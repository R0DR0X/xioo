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18E7051E-24DD-4468-B3C1-AC256DD97569}" xr6:coauthVersionLast="47" xr6:coauthVersionMax="47" xr10:uidLastSave="{00000000-0000-0000-0000-000000000000}"/>
  <bookViews>
    <workbookView xWindow="-108" yWindow="-108" windowWidth="23256" windowHeight="13896" activeTab="1" xr2:uid="{D0C09B95-B007-4212-AB74-70908523E143}"/>
  </bookViews>
  <sheets>
    <sheet name="Gráficos" sheetId="8" r:id="rId1"/>
    <sheet name="TD" sheetId="3" r:id="rId2"/>
    <sheet name="Resumen" sheetId="1" r:id="rId3"/>
    <sheet name="Costos Producción Febrero" sheetId="5" r:id="rId4"/>
    <sheet name="Costos Producción Marzo" sheetId="4" r:id="rId5"/>
    <sheet name="Detalle Costos" sheetId="2" r:id="rId6"/>
  </sheets>
  <externalReferences>
    <externalReference r:id="rId7"/>
  </externalReferences>
  <definedNames>
    <definedName name="_xlnm._FilterDatabase" localSheetId="5" hidden="1">'Detalle Costos'!$A$4:$U$206</definedName>
    <definedName name="_xlnm._FilterDatabase" localSheetId="2" hidden="1">Resumen!$C$3:$BR$147</definedName>
  </definedNames>
  <calcPr calcId="191028"/>
  <pivotCaches>
    <pivotCache cacheId="13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53" i="1" l="1"/>
  <c r="AB138" i="1"/>
  <c r="AB139" i="1"/>
  <c r="AB140" i="1"/>
  <c r="AB141" i="1"/>
  <c r="AB142" i="1"/>
  <c r="AB143" i="1"/>
  <c r="AB144" i="1"/>
  <c r="AB145" i="1"/>
  <c r="AB146" i="1"/>
  <c r="AB147" i="1"/>
  <c r="AB132" i="1"/>
  <c r="AB133" i="1"/>
  <c r="AB134" i="1"/>
  <c r="AB135" i="1"/>
  <c r="AB136" i="1"/>
  <c r="AB128" i="1"/>
  <c r="AB129" i="1"/>
  <c r="AB13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C153" i="1"/>
  <c r="AG152" i="1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Z18" i="3"/>
  <c r="Z17" i="3"/>
  <c r="Z16" i="3"/>
  <c r="Z15" i="3"/>
  <c r="Z14" i="3"/>
  <c r="Z13" i="3"/>
  <c r="Z12" i="3"/>
  <c r="Z11" i="3"/>
  <c r="Z10" i="3"/>
  <c r="Z9" i="3"/>
  <c r="Z8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AB154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91" i="1"/>
  <c r="AB92" i="1"/>
  <c r="AB93" i="1"/>
  <c r="AB94" i="1"/>
  <c r="AB95" i="1"/>
  <c r="AB96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36" i="1"/>
  <c r="AB37" i="1"/>
  <c r="AB38" i="1"/>
  <c r="AB39" i="1"/>
  <c r="AB40" i="1"/>
  <c r="AB41" i="1"/>
  <c r="AG11" i="1"/>
  <c r="AG14" i="1"/>
  <c r="AG10" i="1"/>
  <c r="AG9" i="1"/>
  <c r="AG7" i="1"/>
  <c r="AG6" i="1"/>
  <c r="AG5" i="1"/>
  <c r="AG4" i="1"/>
  <c r="AF153" i="1"/>
  <c r="G19" i="3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BB111" i="1" l="1"/>
  <c r="BO111" i="1"/>
  <c r="BB112" i="1"/>
  <c r="BB113" i="1"/>
  <c r="BL113" i="1"/>
  <c r="BB114" i="1"/>
  <c r="BL114" i="1"/>
  <c r="BB115" i="1"/>
  <c r="BO115" i="1"/>
  <c r="BB116" i="1"/>
  <c r="BL116" i="1"/>
  <c r="BO116" i="1"/>
  <c r="BB117" i="1"/>
  <c r="BB118" i="1"/>
  <c r="BL118" i="1"/>
  <c r="BO118" i="1"/>
  <c r="BB119" i="1"/>
  <c r="BL119" i="1"/>
  <c r="BB120" i="1"/>
  <c r="BL120" i="1"/>
  <c r="BB121" i="1"/>
  <c r="BB122" i="1"/>
  <c r="BO122" i="1"/>
  <c r="BB123" i="1"/>
  <c r="BL123" i="1"/>
  <c r="BO123" i="1"/>
  <c r="BB124" i="1"/>
  <c r="BB125" i="1"/>
  <c r="BL125" i="1"/>
  <c r="BB126" i="1"/>
  <c r="BL126" i="1"/>
  <c r="BB127" i="1"/>
  <c r="BO127" i="1"/>
  <c r="BB128" i="1"/>
  <c r="BO128" i="1"/>
  <c r="BB129" i="1"/>
  <c r="BB130" i="1"/>
  <c r="BL130" i="1"/>
  <c r="BB131" i="1"/>
  <c r="BL131" i="1"/>
  <c r="BB132" i="1"/>
  <c r="BL132" i="1"/>
  <c r="BO132" i="1"/>
  <c r="BB133" i="1"/>
  <c r="BB134" i="1"/>
  <c r="BO134" i="1"/>
  <c r="BB135" i="1"/>
  <c r="BO135" i="1"/>
  <c r="BB136" i="1"/>
  <c r="BB137" i="1"/>
  <c r="BB138" i="1"/>
  <c r="BB139" i="1"/>
  <c r="BB140" i="1"/>
  <c r="BO140" i="1"/>
  <c r="BB141" i="1"/>
  <c r="BB142" i="1"/>
  <c r="BL142" i="1"/>
  <c r="BB143" i="1"/>
  <c r="BL143" i="1"/>
  <c r="BB144" i="1"/>
  <c r="BL144" i="1"/>
  <c r="BB145" i="1"/>
  <c r="BB146" i="1"/>
  <c r="BO146" i="1"/>
  <c r="BB147" i="1"/>
  <c r="BL147" i="1"/>
  <c r="BO147" i="1"/>
  <c r="G149" i="1"/>
  <c r="AB127" i="1"/>
  <c r="AD127" i="1" s="1"/>
  <c r="BD127" i="1" s="1"/>
  <c r="AB126" i="1"/>
  <c r="AD126" i="1" s="1"/>
  <c r="BD126" i="1" s="1"/>
  <c r="AF111" i="1"/>
  <c r="BF111" i="1" s="1"/>
  <c r="AC112" i="1"/>
  <c r="BC112" i="1" s="1"/>
  <c r="AC113" i="1"/>
  <c r="BC113" i="1" s="1"/>
  <c r="AD114" i="1"/>
  <c r="BD114" i="1" s="1"/>
  <c r="AD115" i="1"/>
  <c r="BD115" i="1" s="1"/>
  <c r="AE116" i="1"/>
  <c r="BE116" i="1" s="1"/>
  <c r="AE117" i="1"/>
  <c r="BE117" i="1" s="1"/>
  <c r="AF118" i="1"/>
  <c r="BF118" i="1" s="1"/>
  <c r="AF119" i="1"/>
  <c r="BF119" i="1" s="1"/>
  <c r="AD120" i="1"/>
  <c r="BD120" i="1" s="1"/>
  <c r="AD121" i="1"/>
  <c r="BD121" i="1" s="1"/>
  <c r="AF122" i="1"/>
  <c r="BF122" i="1" s="1"/>
  <c r="AF123" i="1"/>
  <c r="BF123" i="1" s="1"/>
  <c r="AC124" i="1"/>
  <c r="BC124" i="1" s="1"/>
  <c r="AC125" i="1"/>
  <c r="BC125" i="1" s="1"/>
  <c r="AE128" i="1"/>
  <c r="BE128" i="1" s="1"/>
  <c r="AE129" i="1"/>
  <c r="BE129" i="1" s="1"/>
  <c r="AF130" i="1"/>
  <c r="BF130" i="1" s="1"/>
  <c r="AB131" i="1"/>
  <c r="AE131" i="1" s="1"/>
  <c r="BE131" i="1" s="1"/>
  <c r="AC132" i="1"/>
  <c r="BC132" i="1" s="1"/>
  <c r="AF133" i="1"/>
  <c r="BF133" i="1" s="1"/>
  <c r="AE134" i="1"/>
  <c r="BE134" i="1" s="1"/>
  <c r="AF135" i="1"/>
  <c r="BF135" i="1" s="1"/>
  <c r="AC136" i="1"/>
  <c r="BC136" i="1" s="1"/>
  <c r="AB137" i="1"/>
  <c r="AC137" i="1" s="1"/>
  <c r="BC137" i="1" s="1"/>
  <c r="AD138" i="1"/>
  <c r="BD138" i="1" s="1"/>
  <c r="AC139" i="1"/>
  <c r="BC139" i="1" s="1"/>
  <c r="AE140" i="1"/>
  <c r="BE140" i="1" s="1"/>
  <c r="AD141" i="1"/>
  <c r="BD141" i="1" s="1"/>
  <c r="AF142" i="1"/>
  <c r="BF142" i="1" s="1"/>
  <c r="AF143" i="1"/>
  <c r="BF143" i="1" s="1"/>
  <c r="AE144" i="1"/>
  <c r="BE144" i="1" s="1"/>
  <c r="AC145" i="1"/>
  <c r="BC145" i="1" s="1"/>
  <c r="AF146" i="1"/>
  <c r="BF146" i="1" s="1"/>
  <c r="AF147" i="1"/>
  <c r="BF147" i="1" s="1"/>
  <c r="AF110" i="1"/>
  <c r="AX112" i="1"/>
  <c r="BQ112" i="1" s="1"/>
  <c r="AX113" i="1"/>
  <c r="BQ113" i="1" s="1"/>
  <c r="AX114" i="1"/>
  <c r="AX115" i="1"/>
  <c r="BQ115" i="1" s="1"/>
  <c r="AX116" i="1"/>
  <c r="BQ116" i="1" s="1"/>
  <c r="AX117" i="1"/>
  <c r="BQ117" i="1" s="1"/>
  <c r="AX118" i="1"/>
  <c r="BQ118" i="1" s="1"/>
  <c r="AX119" i="1"/>
  <c r="BQ119" i="1" s="1"/>
  <c r="AX120" i="1"/>
  <c r="BQ120" i="1" s="1"/>
  <c r="AX121" i="1"/>
  <c r="BQ121" i="1" s="1"/>
  <c r="AX122" i="1"/>
  <c r="BQ122" i="1" s="1"/>
  <c r="AX123" i="1"/>
  <c r="BQ123" i="1" s="1"/>
  <c r="AX124" i="1"/>
  <c r="BQ124" i="1" s="1"/>
  <c r="AX125" i="1"/>
  <c r="BQ125" i="1" s="1"/>
  <c r="AX126" i="1"/>
  <c r="BQ126" i="1" s="1"/>
  <c r="AX127" i="1"/>
  <c r="BQ127" i="1" s="1"/>
  <c r="AX128" i="1"/>
  <c r="BQ128" i="1" s="1"/>
  <c r="AX129" i="1"/>
  <c r="BQ129" i="1" s="1"/>
  <c r="AX130" i="1"/>
  <c r="BQ130" i="1" s="1"/>
  <c r="AX131" i="1"/>
  <c r="BQ131" i="1" s="1"/>
  <c r="AX132" i="1"/>
  <c r="BQ132" i="1" s="1"/>
  <c r="AX133" i="1"/>
  <c r="BQ133" i="1" s="1"/>
  <c r="AX134" i="1"/>
  <c r="BQ134" i="1" s="1"/>
  <c r="AX135" i="1"/>
  <c r="BQ135" i="1" s="1"/>
  <c r="AX136" i="1"/>
  <c r="BQ136" i="1" s="1"/>
  <c r="AX137" i="1"/>
  <c r="BQ137" i="1" s="1"/>
  <c r="AX138" i="1"/>
  <c r="BQ138" i="1" s="1"/>
  <c r="AX139" i="1"/>
  <c r="BQ139" i="1" s="1"/>
  <c r="AX140" i="1"/>
  <c r="BQ140" i="1" s="1"/>
  <c r="AX141" i="1"/>
  <c r="BQ141" i="1" s="1"/>
  <c r="AX142" i="1"/>
  <c r="BQ142" i="1" s="1"/>
  <c r="AX143" i="1"/>
  <c r="BQ143" i="1" s="1"/>
  <c r="AX144" i="1"/>
  <c r="BQ144" i="1" s="1"/>
  <c r="AX145" i="1"/>
  <c r="BQ145" i="1" s="1"/>
  <c r="AX146" i="1"/>
  <c r="BQ146" i="1" s="1"/>
  <c r="AX147" i="1"/>
  <c r="BQ147" i="1" s="1"/>
  <c r="AX111" i="1"/>
  <c r="BQ111" i="1" s="1"/>
  <c r="BO112" i="1"/>
  <c r="BO114" i="1"/>
  <c r="BO117" i="1"/>
  <c r="BO119" i="1"/>
  <c r="BO120" i="1"/>
  <c r="BO121" i="1"/>
  <c r="BO124" i="1"/>
  <c r="BO125" i="1"/>
  <c r="BO126" i="1"/>
  <c r="BO129" i="1"/>
  <c r="BO130" i="1"/>
  <c r="BO131" i="1"/>
  <c r="BO133" i="1"/>
  <c r="BO136" i="1"/>
  <c r="BO137" i="1"/>
  <c r="BO138" i="1"/>
  <c r="BO139" i="1"/>
  <c r="BO141" i="1"/>
  <c r="BO142" i="1"/>
  <c r="BO143" i="1"/>
  <c r="BO144" i="1"/>
  <c r="BO145" i="1"/>
  <c r="AR110" i="1"/>
  <c r="AR111" i="1"/>
  <c r="AR112" i="1"/>
  <c r="BM112" i="1" s="1"/>
  <c r="AR113" i="1"/>
  <c r="BM113" i="1" s="1"/>
  <c r="AR114" i="1"/>
  <c r="BM114" i="1" s="1"/>
  <c r="AR115" i="1"/>
  <c r="BM115" i="1" s="1"/>
  <c r="AR116" i="1"/>
  <c r="BM116" i="1" s="1"/>
  <c r="AR117" i="1"/>
  <c r="BM117" i="1" s="1"/>
  <c r="AR118" i="1"/>
  <c r="BM118" i="1" s="1"/>
  <c r="AR119" i="1"/>
  <c r="BM119" i="1" s="1"/>
  <c r="AR120" i="1"/>
  <c r="BM120" i="1" s="1"/>
  <c r="AR121" i="1"/>
  <c r="BM121" i="1" s="1"/>
  <c r="AR122" i="1"/>
  <c r="BM122" i="1" s="1"/>
  <c r="AR123" i="1"/>
  <c r="BM123" i="1" s="1"/>
  <c r="AR124" i="1"/>
  <c r="BM124" i="1" s="1"/>
  <c r="AR125" i="1"/>
  <c r="BM125" i="1" s="1"/>
  <c r="AR126" i="1"/>
  <c r="BM126" i="1" s="1"/>
  <c r="AR127" i="1"/>
  <c r="BM127" i="1" s="1"/>
  <c r="AR128" i="1"/>
  <c r="BM128" i="1" s="1"/>
  <c r="AR129" i="1"/>
  <c r="BM129" i="1" s="1"/>
  <c r="AR130" i="1"/>
  <c r="BM130" i="1" s="1"/>
  <c r="AR131" i="1"/>
  <c r="BM131" i="1" s="1"/>
  <c r="AR132" i="1"/>
  <c r="BM132" i="1" s="1"/>
  <c r="AR133" i="1"/>
  <c r="BM133" i="1" s="1"/>
  <c r="AR134" i="1"/>
  <c r="BM134" i="1" s="1"/>
  <c r="AR135" i="1"/>
  <c r="BM135" i="1" s="1"/>
  <c r="AR136" i="1"/>
  <c r="BM136" i="1" s="1"/>
  <c r="AR137" i="1"/>
  <c r="BM137" i="1" s="1"/>
  <c r="AR138" i="1"/>
  <c r="BM138" i="1" s="1"/>
  <c r="AR139" i="1"/>
  <c r="BM139" i="1" s="1"/>
  <c r="AR140" i="1"/>
  <c r="BM140" i="1" s="1"/>
  <c r="AR141" i="1"/>
  <c r="BM141" i="1" s="1"/>
  <c r="AR142" i="1"/>
  <c r="BM142" i="1" s="1"/>
  <c r="AR143" i="1"/>
  <c r="BM143" i="1" s="1"/>
  <c r="AR144" i="1"/>
  <c r="BM144" i="1" s="1"/>
  <c r="AR145" i="1"/>
  <c r="BM145" i="1" s="1"/>
  <c r="AR146" i="1"/>
  <c r="BM146" i="1" s="1"/>
  <c r="AR147" i="1"/>
  <c r="BM147" i="1" s="1"/>
  <c r="BL111" i="1"/>
  <c r="BL112" i="1"/>
  <c r="BL115" i="1"/>
  <c r="BL117" i="1"/>
  <c r="BL121" i="1"/>
  <c r="BL122" i="1"/>
  <c r="BL124" i="1"/>
  <c r="BL127" i="1"/>
  <c r="BL128" i="1"/>
  <c r="BL129" i="1"/>
  <c r="BL133" i="1"/>
  <c r="BL134" i="1"/>
  <c r="BL135" i="1"/>
  <c r="BL136" i="1"/>
  <c r="BL137" i="1"/>
  <c r="BL138" i="1"/>
  <c r="BL139" i="1"/>
  <c r="BL140" i="1"/>
  <c r="BL141" i="1"/>
  <c r="BL145" i="1"/>
  <c r="BL146" i="1"/>
  <c r="AO110" i="1"/>
  <c r="AO111" i="1"/>
  <c r="BJ111" i="1" s="1"/>
  <c r="AO112" i="1"/>
  <c r="BJ112" i="1" s="1"/>
  <c r="AO113" i="1"/>
  <c r="BJ113" i="1" s="1"/>
  <c r="AO114" i="1"/>
  <c r="BJ114" i="1" s="1"/>
  <c r="AO115" i="1"/>
  <c r="BJ115" i="1" s="1"/>
  <c r="AO116" i="1"/>
  <c r="BJ116" i="1" s="1"/>
  <c r="AO117" i="1"/>
  <c r="BJ117" i="1" s="1"/>
  <c r="AO118" i="1"/>
  <c r="BJ118" i="1" s="1"/>
  <c r="AO119" i="1"/>
  <c r="AO120" i="1"/>
  <c r="BJ120" i="1" s="1"/>
  <c r="AO121" i="1"/>
  <c r="BJ121" i="1" s="1"/>
  <c r="AO122" i="1"/>
  <c r="BJ122" i="1" s="1"/>
  <c r="AO123" i="1"/>
  <c r="BJ123" i="1" s="1"/>
  <c r="AO124" i="1"/>
  <c r="BJ124" i="1" s="1"/>
  <c r="AO125" i="1"/>
  <c r="BJ125" i="1" s="1"/>
  <c r="AO126" i="1"/>
  <c r="BJ126" i="1" s="1"/>
  <c r="AO127" i="1"/>
  <c r="BJ127" i="1" s="1"/>
  <c r="AO128" i="1"/>
  <c r="BJ128" i="1" s="1"/>
  <c r="AO129" i="1"/>
  <c r="BJ129" i="1" s="1"/>
  <c r="AO130" i="1"/>
  <c r="BJ130" i="1" s="1"/>
  <c r="AO131" i="1"/>
  <c r="BJ131" i="1" s="1"/>
  <c r="AO132" i="1"/>
  <c r="BJ132" i="1" s="1"/>
  <c r="AO133" i="1"/>
  <c r="BJ133" i="1" s="1"/>
  <c r="AO134" i="1"/>
  <c r="BJ134" i="1" s="1"/>
  <c r="AO135" i="1"/>
  <c r="BJ135" i="1" s="1"/>
  <c r="AO136" i="1"/>
  <c r="BJ136" i="1" s="1"/>
  <c r="AO137" i="1"/>
  <c r="BJ137" i="1" s="1"/>
  <c r="AO138" i="1"/>
  <c r="BJ138" i="1" s="1"/>
  <c r="AO139" i="1"/>
  <c r="BJ139" i="1" s="1"/>
  <c r="AO140" i="1"/>
  <c r="BJ140" i="1" s="1"/>
  <c r="AO141" i="1"/>
  <c r="BJ141" i="1" s="1"/>
  <c r="AO142" i="1"/>
  <c r="BJ142" i="1" s="1"/>
  <c r="AO143" i="1"/>
  <c r="BJ143" i="1" s="1"/>
  <c r="AO144" i="1"/>
  <c r="BJ144" i="1" s="1"/>
  <c r="AO145" i="1"/>
  <c r="BJ145" i="1" s="1"/>
  <c r="AO146" i="1"/>
  <c r="BJ146" i="1" s="1"/>
  <c r="AO147" i="1"/>
  <c r="BJ147" i="1" s="1"/>
  <c r="AM110" i="1"/>
  <c r="AM111" i="1"/>
  <c r="AM112" i="1"/>
  <c r="BI112" i="1" s="1"/>
  <c r="AM113" i="1"/>
  <c r="BI113" i="1" s="1"/>
  <c r="AM114" i="1"/>
  <c r="BI114" i="1" s="1"/>
  <c r="AM115" i="1"/>
  <c r="BI115" i="1" s="1"/>
  <c r="AM116" i="1"/>
  <c r="AM117" i="1"/>
  <c r="BI117" i="1" s="1"/>
  <c r="AM118" i="1"/>
  <c r="BI118" i="1" s="1"/>
  <c r="AM119" i="1"/>
  <c r="BI119" i="1" s="1"/>
  <c r="AM120" i="1"/>
  <c r="AM121" i="1"/>
  <c r="AM122" i="1"/>
  <c r="AM123" i="1"/>
  <c r="BI123" i="1" s="1"/>
  <c r="AM124" i="1"/>
  <c r="BI124" i="1" s="1"/>
  <c r="AM125" i="1"/>
  <c r="BI125" i="1" s="1"/>
  <c r="AM126" i="1"/>
  <c r="BI126" i="1" s="1"/>
  <c r="AM127" i="1"/>
  <c r="BI127" i="1" s="1"/>
  <c r="AM128" i="1"/>
  <c r="AM129" i="1"/>
  <c r="BI129" i="1" s="1"/>
  <c r="AM130" i="1"/>
  <c r="BI130" i="1" s="1"/>
  <c r="AM131" i="1"/>
  <c r="BI131" i="1" s="1"/>
  <c r="AM132" i="1"/>
  <c r="AM133" i="1"/>
  <c r="AM134" i="1"/>
  <c r="AM135" i="1"/>
  <c r="BI135" i="1" s="1"/>
  <c r="AM136" i="1"/>
  <c r="BI136" i="1" s="1"/>
  <c r="AM137" i="1"/>
  <c r="BI137" i="1" s="1"/>
  <c r="AM138" i="1"/>
  <c r="BI138" i="1" s="1"/>
  <c r="AM139" i="1"/>
  <c r="BI139" i="1" s="1"/>
  <c r="AM140" i="1"/>
  <c r="AM141" i="1"/>
  <c r="BI141" i="1" s="1"/>
  <c r="AM142" i="1"/>
  <c r="BI142" i="1" s="1"/>
  <c r="AM143" i="1"/>
  <c r="BI143" i="1" s="1"/>
  <c r="AM144" i="1"/>
  <c r="BI144" i="1" s="1"/>
  <c r="AM145" i="1"/>
  <c r="BI145" i="1" s="1"/>
  <c r="AM146" i="1"/>
  <c r="AM147" i="1"/>
  <c r="BI147" i="1" s="1"/>
  <c r="AP140" i="1" l="1"/>
  <c r="BK140" i="1" s="1"/>
  <c r="AP128" i="1"/>
  <c r="BK128" i="1" s="1"/>
  <c r="AP116" i="1"/>
  <c r="BK116" i="1" s="1"/>
  <c r="BI128" i="1"/>
  <c r="AP146" i="1"/>
  <c r="BK146" i="1" s="1"/>
  <c r="AP134" i="1"/>
  <c r="BK134" i="1" s="1"/>
  <c r="AP122" i="1"/>
  <c r="BK122" i="1" s="1"/>
  <c r="AP145" i="1"/>
  <c r="BK145" i="1" s="1"/>
  <c r="AP133" i="1"/>
  <c r="BK133" i="1" s="1"/>
  <c r="AP121" i="1"/>
  <c r="BK121" i="1" s="1"/>
  <c r="BI122" i="1"/>
  <c r="BI146" i="1"/>
  <c r="BI121" i="1"/>
  <c r="BI116" i="1"/>
  <c r="BI134" i="1"/>
  <c r="BI133" i="1"/>
  <c r="BI140" i="1"/>
  <c r="BM111" i="1"/>
  <c r="BJ119" i="1"/>
  <c r="BO113" i="1"/>
  <c r="BQ114" i="1"/>
  <c r="BI111" i="1"/>
  <c r="AP132" i="1"/>
  <c r="BK132" i="1" s="1"/>
  <c r="BI132" i="1"/>
  <c r="AP120" i="1"/>
  <c r="BK120" i="1" s="1"/>
  <c r="BI120" i="1"/>
  <c r="AC140" i="1"/>
  <c r="BC140" i="1" s="1"/>
  <c r="AC128" i="1"/>
  <c r="BC128" i="1" s="1"/>
  <c r="AE112" i="1"/>
  <c r="BE112" i="1" s="1"/>
  <c r="AC110" i="1"/>
  <c r="AD147" i="1"/>
  <c r="BD147" i="1" s="1"/>
  <c r="AE147" i="1"/>
  <c r="BE147" i="1" s="1"/>
  <c r="AE111" i="1"/>
  <c r="AE114" i="1"/>
  <c r="BE114" i="1" s="1"/>
  <c r="AE113" i="1"/>
  <c r="BE113" i="1" s="1"/>
  <c r="AP139" i="1"/>
  <c r="BK139" i="1" s="1"/>
  <c r="AP127" i="1"/>
  <c r="BK127" i="1" s="1"/>
  <c r="AP115" i="1"/>
  <c r="BK115" i="1" s="1"/>
  <c r="AF141" i="1"/>
  <c r="BF141" i="1" s="1"/>
  <c r="AF140" i="1"/>
  <c r="BF140" i="1" s="1"/>
  <c r="AF128" i="1"/>
  <c r="BF128" i="1" s="1"/>
  <c r="AF117" i="1"/>
  <c r="BF117" i="1" s="1"/>
  <c r="AF116" i="1"/>
  <c r="BF116" i="1" s="1"/>
  <c r="AF125" i="1"/>
  <c r="BF125" i="1" s="1"/>
  <c r="AE110" i="1"/>
  <c r="AC147" i="1"/>
  <c r="AE135" i="1"/>
  <c r="BE135" i="1" s="1"/>
  <c r="AE127" i="1"/>
  <c r="BE127" i="1" s="1"/>
  <c r="AE126" i="1"/>
  <c r="BE126" i="1" s="1"/>
  <c r="AF114" i="1"/>
  <c r="BF114" i="1" s="1"/>
  <c r="AC123" i="1"/>
  <c r="BC123" i="1" s="1"/>
  <c r="AD112" i="1"/>
  <c r="BD112" i="1" s="1"/>
  <c r="AE124" i="1"/>
  <c r="BE124" i="1" s="1"/>
  <c r="AF137" i="1"/>
  <c r="BF137" i="1" s="1"/>
  <c r="AF113" i="1"/>
  <c r="BF113" i="1" s="1"/>
  <c r="AE139" i="1"/>
  <c r="BE139" i="1" s="1"/>
  <c r="AD137" i="1"/>
  <c r="BD137" i="1" s="1"/>
  <c r="AE138" i="1"/>
  <c r="BE138" i="1" s="1"/>
  <c r="AE136" i="1"/>
  <c r="BE136" i="1" s="1"/>
  <c r="AD125" i="1"/>
  <c r="BD125" i="1" s="1"/>
  <c r="AC135" i="1"/>
  <c r="BC135" i="1" s="1"/>
  <c r="AF115" i="1"/>
  <c r="BF115" i="1" s="1"/>
  <c r="AE125" i="1"/>
  <c r="BE125" i="1" s="1"/>
  <c r="AP131" i="1"/>
  <c r="BK131" i="1" s="1"/>
  <c r="AP119" i="1"/>
  <c r="BK119" i="1" s="1"/>
  <c r="AC116" i="1"/>
  <c r="BC116" i="1" s="1"/>
  <c r="AD111" i="1"/>
  <c r="AE123" i="1"/>
  <c r="BE123" i="1" s="1"/>
  <c r="AF136" i="1"/>
  <c r="BF136" i="1" s="1"/>
  <c r="AF112" i="1"/>
  <c r="AF127" i="1"/>
  <c r="BF127" i="1" s="1"/>
  <c r="AF126" i="1"/>
  <c r="BF126" i="1" s="1"/>
  <c r="AD136" i="1"/>
  <c r="BD136" i="1" s="1"/>
  <c r="AE137" i="1"/>
  <c r="BE137" i="1" s="1"/>
  <c r="AD135" i="1"/>
  <c r="BD135" i="1" s="1"/>
  <c r="AF124" i="1"/>
  <c r="BF124" i="1" s="1"/>
  <c r="AD124" i="1"/>
  <c r="BD124" i="1" s="1"/>
  <c r="AD123" i="1"/>
  <c r="BD123" i="1" s="1"/>
  <c r="AF139" i="1"/>
  <c r="BF139" i="1" s="1"/>
  <c r="AD113" i="1"/>
  <c r="BD113" i="1" s="1"/>
  <c r="AF138" i="1"/>
  <c r="BF138" i="1" s="1"/>
  <c r="AP142" i="1"/>
  <c r="BK142" i="1" s="1"/>
  <c r="AP130" i="1"/>
  <c r="BK130" i="1" s="1"/>
  <c r="AP118" i="1"/>
  <c r="BK118" i="1" s="1"/>
  <c r="AC111" i="1"/>
  <c r="AD110" i="1"/>
  <c r="AE115" i="1"/>
  <c r="BE115" i="1" s="1"/>
  <c r="AF129" i="1"/>
  <c r="BF129" i="1" s="1"/>
  <c r="AC141" i="1"/>
  <c r="BC141" i="1" s="1"/>
  <c r="AC129" i="1"/>
  <c r="BC129" i="1" s="1"/>
  <c r="AC117" i="1"/>
  <c r="AD143" i="1"/>
  <c r="BD143" i="1" s="1"/>
  <c r="AD131" i="1"/>
  <c r="BD131" i="1" s="1"/>
  <c r="AD119" i="1"/>
  <c r="BD119" i="1" s="1"/>
  <c r="AE145" i="1"/>
  <c r="BE145" i="1" s="1"/>
  <c r="AE133" i="1"/>
  <c r="BE133" i="1" s="1"/>
  <c r="AE121" i="1"/>
  <c r="BE121" i="1" s="1"/>
  <c r="AC122" i="1"/>
  <c r="BC122" i="1" s="1"/>
  <c r="AC121" i="1"/>
  <c r="BC121" i="1" s="1"/>
  <c r="AC120" i="1"/>
  <c r="BC120" i="1" s="1"/>
  <c r="AD134" i="1"/>
  <c r="BD134" i="1" s="1"/>
  <c r="AC143" i="1"/>
  <c r="BC143" i="1" s="1"/>
  <c r="AC119" i="1"/>
  <c r="BC119" i="1" s="1"/>
  <c r="AD133" i="1"/>
  <c r="BD133" i="1" s="1"/>
  <c r="AC142" i="1"/>
  <c r="BC142" i="1" s="1"/>
  <c r="AD132" i="1"/>
  <c r="BD132" i="1" s="1"/>
  <c r="AE146" i="1"/>
  <c r="BE146" i="1" s="1"/>
  <c r="AD118" i="1"/>
  <c r="BD118" i="1" s="1"/>
  <c r="AE120" i="1"/>
  <c r="BE120" i="1" s="1"/>
  <c r="AF134" i="1"/>
  <c r="BF134" i="1" s="1"/>
  <c r="AC127" i="1"/>
  <c r="BC127" i="1" s="1"/>
  <c r="AD129" i="1"/>
  <c r="BD129" i="1" s="1"/>
  <c r="AE143" i="1"/>
  <c r="BE143" i="1" s="1"/>
  <c r="AF145" i="1"/>
  <c r="BF145" i="1" s="1"/>
  <c r="AC138" i="1"/>
  <c r="BC138" i="1" s="1"/>
  <c r="AC126" i="1"/>
  <c r="BC126" i="1" s="1"/>
  <c r="AC114" i="1"/>
  <c r="BC114" i="1" s="1"/>
  <c r="AD140" i="1"/>
  <c r="BD140" i="1" s="1"/>
  <c r="AD128" i="1"/>
  <c r="BD128" i="1" s="1"/>
  <c r="AD116" i="1"/>
  <c r="BD116" i="1" s="1"/>
  <c r="AE142" i="1"/>
  <c r="BE142" i="1" s="1"/>
  <c r="AE130" i="1"/>
  <c r="BE130" i="1" s="1"/>
  <c r="AE118" i="1"/>
  <c r="BE118" i="1" s="1"/>
  <c r="AF144" i="1"/>
  <c r="BF144" i="1" s="1"/>
  <c r="AF132" i="1"/>
  <c r="BF132" i="1" s="1"/>
  <c r="AF120" i="1"/>
  <c r="BF120" i="1" s="1"/>
  <c r="AC146" i="1"/>
  <c r="BC146" i="1" s="1"/>
  <c r="AC133" i="1"/>
  <c r="BC133" i="1" s="1"/>
  <c r="AC144" i="1"/>
  <c r="BC144" i="1" s="1"/>
  <c r="AD146" i="1"/>
  <c r="BD146" i="1" s="1"/>
  <c r="AD145" i="1"/>
  <c r="BD145" i="1" s="1"/>
  <c r="AC118" i="1"/>
  <c r="BC118" i="1" s="1"/>
  <c r="AE122" i="1"/>
  <c r="BE122" i="1" s="1"/>
  <c r="AD130" i="1"/>
  <c r="BD130" i="1" s="1"/>
  <c r="AE132" i="1"/>
  <c r="BE132" i="1" s="1"/>
  <c r="AC115" i="1"/>
  <c r="BC115" i="1" s="1"/>
  <c r="AD117" i="1"/>
  <c r="BD117" i="1" s="1"/>
  <c r="AE119" i="1"/>
  <c r="BE119" i="1" s="1"/>
  <c r="AF121" i="1"/>
  <c r="BF121" i="1" s="1"/>
  <c r="AD139" i="1"/>
  <c r="AE141" i="1"/>
  <c r="BE141" i="1" s="1"/>
  <c r="AF131" i="1"/>
  <c r="BF131" i="1" s="1"/>
  <c r="AC134" i="1"/>
  <c r="BC134" i="1" s="1"/>
  <c r="AD122" i="1"/>
  <c r="BD122" i="1" s="1"/>
  <c r="AC131" i="1"/>
  <c r="BC131" i="1" s="1"/>
  <c r="AC130" i="1"/>
  <c r="BC130" i="1" s="1"/>
  <c r="AD144" i="1"/>
  <c r="BD144" i="1" s="1"/>
  <c r="AD142" i="1"/>
  <c r="BD142" i="1" s="1"/>
  <c r="AP136" i="1"/>
  <c r="BK136" i="1" s="1"/>
  <c r="AP124" i="1"/>
  <c r="BK124" i="1" s="1"/>
  <c r="AP112" i="1"/>
  <c r="BK112" i="1" s="1"/>
  <c r="AP147" i="1"/>
  <c r="BK147" i="1" s="1"/>
  <c r="AP135" i="1"/>
  <c r="BK135" i="1" s="1"/>
  <c r="AP123" i="1"/>
  <c r="BK123" i="1" s="1"/>
  <c r="AP111" i="1"/>
  <c r="AP144" i="1"/>
  <c r="BK144" i="1" s="1"/>
  <c r="AP138" i="1"/>
  <c r="BK138" i="1" s="1"/>
  <c r="AP126" i="1"/>
  <c r="BK126" i="1" s="1"/>
  <c r="AP114" i="1"/>
  <c r="BK114" i="1" s="1"/>
  <c r="AP143" i="1"/>
  <c r="BK143" i="1" s="1"/>
  <c r="AP137" i="1"/>
  <c r="BK137" i="1" s="1"/>
  <c r="AP125" i="1"/>
  <c r="BK125" i="1" s="1"/>
  <c r="AP113" i="1"/>
  <c r="BK113" i="1" s="1"/>
  <c r="AP141" i="1"/>
  <c r="BK141" i="1" s="1"/>
  <c r="AP129" i="1"/>
  <c r="BK129" i="1" s="1"/>
  <c r="AP117" i="1"/>
  <c r="BK117" i="1" s="1"/>
  <c r="BF112" i="1" l="1"/>
  <c r="AG147" i="1"/>
  <c r="BC147" i="1"/>
  <c r="AG139" i="1"/>
  <c r="BD139" i="1"/>
  <c r="AG117" i="1"/>
  <c r="BC117" i="1"/>
  <c r="BD111" i="1"/>
  <c r="AG110" i="1"/>
  <c r="BK111" i="1"/>
  <c r="BE111" i="1"/>
  <c r="AG111" i="1"/>
  <c r="BC111" i="1"/>
  <c r="AG122" i="1"/>
  <c r="AG136" i="1"/>
  <c r="AG129" i="1"/>
  <c r="AG124" i="1"/>
  <c r="AG135" i="1"/>
  <c r="AG140" i="1"/>
  <c r="AG125" i="1"/>
  <c r="AG133" i="1"/>
  <c r="AG137" i="1"/>
  <c r="AG113" i="1"/>
  <c r="AG126" i="1"/>
  <c r="AG138" i="1"/>
  <c r="AG112" i="1"/>
  <c r="AG116" i="1"/>
  <c r="AG123" i="1"/>
  <c r="AG128" i="1"/>
  <c r="AG127" i="1"/>
  <c r="AG134" i="1"/>
  <c r="AG145" i="1"/>
  <c r="AG132" i="1"/>
  <c r="AG115" i="1"/>
  <c r="AG121" i="1"/>
  <c r="AG118" i="1"/>
  <c r="AG144" i="1"/>
  <c r="AG114" i="1"/>
  <c r="AG120" i="1"/>
  <c r="AG141" i="1"/>
  <c r="AG146" i="1"/>
  <c r="AG143" i="1"/>
  <c r="AG142" i="1"/>
  <c r="AG130" i="1"/>
  <c r="AG131" i="1"/>
  <c r="AG119" i="1"/>
  <c r="AK131" i="1" l="1"/>
  <c r="BH131" i="1" s="1"/>
  <c r="BG131" i="1"/>
  <c r="AK144" i="1"/>
  <c r="AS144" i="1" s="1"/>
  <c r="BG144" i="1"/>
  <c r="AK134" i="1"/>
  <c r="AS134" i="1" s="1"/>
  <c r="BG134" i="1"/>
  <c r="AK140" i="1"/>
  <c r="AS140" i="1" s="1"/>
  <c r="BG140" i="1"/>
  <c r="AK130" i="1"/>
  <c r="BH130" i="1" s="1"/>
  <c r="BG130" i="1"/>
  <c r="AK127" i="1"/>
  <c r="BH127" i="1" s="1"/>
  <c r="BG127" i="1"/>
  <c r="AK118" i="1"/>
  <c r="AS118" i="1" s="1"/>
  <c r="BG118" i="1"/>
  <c r="AK124" i="1"/>
  <c r="AS124" i="1" s="1"/>
  <c r="BG124" i="1"/>
  <c r="AK123" i="1"/>
  <c r="BG123" i="1"/>
  <c r="AK143" i="1"/>
  <c r="AS143" i="1" s="1"/>
  <c r="BG143" i="1"/>
  <c r="AK115" i="1"/>
  <c r="AS115" i="1" s="1"/>
  <c r="BG115" i="1"/>
  <c r="AK122" i="1"/>
  <c r="BG122" i="1"/>
  <c r="AK137" i="1"/>
  <c r="BG137" i="1"/>
  <c r="AK135" i="1"/>
  <c r="BG135" i="1"/>
  <c r="AK142" i="1"/>
  <c r="BH142" i="1" s="1"/>
  <c r="BG142" i="1"/>
  <c r="AK128" i="1"/>
  <c r="BG128" i="1"/>
  <c r="AK129" i="1"/>
  <c r="BG129" i="1"/>
  <c r="AK121" i="1"/>
  <c r="AS121" i="1" s="1"/>
  <c r="BG121" i="1"/>
  <c r="AK136" i="1"/>
  <c r="BG136" i="1"/>
  <c r="AK146" i="1"/>
  <c r="BH146" i="1" s="1"/>
  <c r="BG146" i="1"/>
  <c r="AK112" i="1"/>
  <c r="AS112" i="1" s="1"/>
  <c r="BG112" i="1"/>
  <c r="AK117" i="1"/>
  <c r="BG117" i="1"/>
  <c r="AK138" i="1"/>
  <c r="BG138" i="1"/>
  <c r="AK141" i="1"/>
  <c r="BG141" i="1"/>
  <c r="AK126" i="1"/>
  <c r="AS126" i="1" s="1"/>
  <c r="BG126" i="1"/>
  <c r="AK139" i="1"/>
  <c r="BG139" i="1"/>
  <c r="AK113" i="1"/>
  <c r="AS113" i="1" s="1"/>
  <c r="BG113" i="1"/>
  <c r="AK111" i="1"/>
  <c r="BG111" i="1"/>
  <c r="AK132" i="1"/>
  <c r="BG132" i="1"/>
  <c r="AK116" i="1"/>
  <c r="AS116" i="1" s="1"/>
  <c r="BG116" i="1"/>
  <c r="AK120" i="1"/>
  <c r="BH120" i="1" s="1"/>
  <c r="BG120" i="1"/>
  <c r="AK147" i="1"/>
  <c r="BG147" i="1"/>
  <c r="AK133" i="1"/>
  <c r="AS133" i="1" s="1"/>
  <c r="BG133" i="1"/>
  <c r="AK119" i="1"/>
  <c r="BH119" i="1" s="1"/>
  <c r="BG119" i="1"/>
  <c r="AK114" i="1"/>
  <c r="AS114" i="1" s="1"/>
  <c r="BN114" i="1" s="1"/>
  <c r="BG114" i="1"/>
  <c r="AK145" i="1"/>
  <c r="AS145" i="1" s="1"/>
  <c r="BG145" i="1"/>
  <c r="AK125" i="1"/>
  <c r="BG125" i="1"/>
  <c r="AL146" i="1"/>
  <c r="AS146" i="1"/>
  <c r="BN146" i="1" s="1"/>
  <c r="AL131" i="1" l="1"/>
  <c r="AS131" i="1"/>
  <c r="BN131" i="1" s="1"/>
  <c r="AS130" i="1"/>
  <c r="BN130" i="1" s="1"/>
  <c r="AS120" i="1"/>
  <c r="BN120" i="1" s="1"/>
  <c r="AL130" i="1"/>
  <c r="AV145" i="1"/>
  <c r="BN145" i="1"/>
  <c r="AY116" i="1"/>
  <c r="BN116" i="1"/>
  <c r="AY143" i="1"/>
  <c r="BN143" i="1"/>
  <c r="AL128" i="1"/>
  <c r="BH128" i="1"/>
  <c r="AY121" i="1"/>
  <c r="BN121" i="1"/>
  <c r="AL119" i="1"/>
  <c r="AL141" i="1"/>
  <c r="BH141" i="1"/>
  <c r="AL122" i="1"/>
  <c r="BH122" i="1"/>
  <c r="AL129" i="1"/>
  <c r="BH129" i="1"/>
  <c r="AS129" i="1"/>
  <c r="AY134" i="1"/>
  <c r="BN134" i="1"/>
  <c r="AV144" i="1"/>
  <c r="BN144" i="1"/>
  <c r="AL117" i="1"/>
  <c r="BH117" i="1"/>
  <c r="AS117" i="1"/>
  <c r="AL140" i="1"/>
  <c r="BH140" i="1"/>
  <c r="AL127" i="1"/>
  <c r="AT124" i="1"/>
  <c r="BN124" i="1"/>
  <c r="AL112" i="1"/>
  <c r="BH112" i="1"/>
  <c r="AL123" i="1"/>
  <c r="BH123" i="1"/>
  <c r="AS119" i="1"/>
  <c r="BN119" i="1" s="1"/>
  <c r="AY140" i="1"/>
  <c r="BN140" i="1"/>
  <c r="AL145" i="1"/>
  <c r="BH145" i="1"/>
  <c r="AL116" i="1"/>
  <c r="BH116" i="1"/>
  <c r="AL121" i="1"/>
  <c r="BH121" i="1"/>
  <c r="AY112" i="1"/>
  <c r="BN112" i="1"/>
  <c r="AL114" i="1"/>
  <c r="BH114" i="1"/>
  <c r="AL132" i="1"/>
  <c r="BH132" i="1"/>
  <c r="AY115" i="1"/>
  <c r="BN115" i="1"/>
  <c r="AL138" i="1"/>
  <c r="BH138" i="1"/>
  <c r="AL115" i="1"/>
  <c r="BH115" i="1"/>
  <c r="AY133" i="1"/>
  <c r="BN133" i="1"/>
  <c r="AS127" i="1"/>
  <c r="BN127" i="1" s="1"/>
  <c r="AL111" i="1"/>
  <c r="BH111" i="1"/>
  <c r="AS111" i="1"/>
  <c r="AL143" i="1"/>
  <c r="BH143" i="1"/>
  <c r="AV113" i="1"/>
  <c r="BN113" i="1"/>
  <c r="AL133" i="1"/>
  <c r="BH133" i="1"/>
  <c r="AS128" i="1"/>
  <c r="AL113" i="1"/>
  <c r="BH113" i="1"/>
  <c r="AL134" i="1"/>
  <c r="BH134" i="1"/>
  <c r="AS122" i="1"/>
  <c r="AL147" i="1"/>
  <c r="BH147" i="1"/>
  <c r="AS147" i="1"/>
  <c r="AS142" i="1"/>
  <c r="BN142" i="1" s="1"/>
  <c r="AT118" i="1"/>
  <c r="BN118" i="1"/>
  <c r="AS138" i="1"/>
  <c r="BN138" i="1" s="1"/>
  <c r="BH139" i="1"/>
  <c r="AL139" i="1"/>
  <c r="AS139" i="1"/>
  <c r="AL135" i="1"/>
  <c r="BH135" i="1"/>
  <c r="AS135" i="1"/>
  <c r="AL124" i="1"/>
  <c r="BH124" i="1"/>
  <c r="AL144" i="1"/>
  <c r="BH144" i="1"/>
  <c r="AL142" i="1"/>
  <c r="AS132" i="1"/>
  <c r="AT126" i="1"/>
  <c r="BN126" i="1"/>
  <c r="AL125" i="1"/>
  <c r="BH125" i="1"/>
  <c r="AS125" i="1"/>
  <c r="AS141" i="1"/>
  <c r="BN141" i="1" s="1"/>
  <c r="AL120" i="1"/>
  <c r="AS123" i="1"/>
  <c r="AV123" i="1" s="1"/>
  <c r="AL126" i="1"/>
  <c r="BH126" i="1"/>
  <c r="AL136" i="1"/>
  <c r="BH136" i="1"/>
  <c r="AS136" i="1"/>
  <c r="AL137" i="1"/>
  <c r="BH137" i="1"/>
  <c r="AS137" i="1"/>
  <c r="AL118" i="1"/>
  <c r="BH118" i="1"/>
  <c r="AV115" i="1"/>
  <c r="AT145" i="1"/>
  <c r="AT115" i="1"/>
  <c r="AY145" i="1"/>
  <c r="AY124" i="1"/>
  <c r="AV124" i="1"/>
  <c r="AV116" i="1"/>
  <c r="AV112" i="1"/>
  <c r="AT140" i="1"/>
  <c r="AV140" i="1"/>
  <c r="AV133" i="1"/>
  <c r="AT133" i="1"/>
  <c r="AT143" i="1"/>
  <c r="AT112" i="1"/>
  <c r="AY113" i="1"/>
  <c r="AT113" i="1"/>
  <c r="AT116" i="1"/>
  <c r="AV143" i="1"/>
  <c r="AT134" i="1"/>
  <c r="AV134" i="1"/>
  <c r="AV126" i="1"/>
  <c r="AY126" i="1"/>
  <c r="AT121" i="1"/>
  <c r="AV121" i="1"/>
  <c r="AY118" i="1"/>
  <c r="AV118" i="1"/>
  <c r="AY144" i="1"/>
  <c r="AT144" i="1"/>
  <c r="AT114" i="1"/>
  <c r="AV114" i="1"/>
  <c r="AY114" i="1"/>
  <c r="AY146" i="1"/>
  <c r="AT146" i="1"/>
  <c r="AV146" i="1"/>
  <c r="AT141" i="1" l="1"/>
  <c r="AY141" i="1"/>
  <c r="AZ141" i="1" s="1"/>
  <c r="AV120" i="1"/>
  <c r="AY131" i="1"/>
  <c r="AT131" i="1"/>
  <c r="AT120" i="1"/>
  <c r="AY120" i="1"/>
  <c r="BR120" i="1" s="1"/>
  <c r="AV131" i="1"/>
  <c r="AW131" i="1" s="1"/>
  <c r="AV130" i="1"/>
  <c r="BP130" i="1" s="1"/>
  <c r="AY123" i="1"/>
  <c r="AZ123" i="1" s="1"/>
  <c r="AT130" i="1"/>
  <c r="AV141" i="1"/>
  <c r="AW141" i="1" s="1"/>
  <c r="AY130" i="1"/>
  <c r="AZ130" i="1" s="1"/>
  <c r="AY138" i="1"/>
  <c r="BR138" i="1" s="1"/>
  <c r="AZ146" i="1"/>
  <c r="BR146" i="1"/>
  <c r="BN139" i="1"/>
  <c r="AT139" i="1"/>
  <c r="AY139" i="1"/>
  <c r="AV139" i="1"/>
  <c r="AZ140" i="1"/>
  <c r="BR140" i="1"/>
  <c r="AZ144" i="1"/>
  <c r="BR144" i="1"/>
  <c r="AW123" i="1"/>
  <c r="BP123" i="1"/>
  <c r="AW112" i="1"/>
  <c r="BP112" i="1"/>
  <c r="AW118" i="1"/>
  <c r="BP118" i="1"/>
  <c r="AW116" i="1"/>
  <c r="BP116" i="1"/>
  <c r="AY136" i="1"/>
  <c r="BN136" i="1"/>
  <c r="AV136" i="1"/>
  <c r="AT136" i="1"/>
  <c r="AZ120" i="1"/>
  <c r="AZ118" i="1"/>
  <c r="BR118" i="1"/>
  <c r="AW124" i="1"/>
  <c r="BP124" i="1"/>
  <c r="AV132" i="1"/>
  <c r="BN132" i="1"/>
  <c r="BN128" i="1"/>
  <c r="AY128" i="1"/>
  <c r="AV128" i="1"/>
  <c r="AT128" i="1"/>
  <c r="AW144" i="1"/>
  <c r="BP144" i="1"/>
  <c r="AZ121" i="1"/>
  <c r="BR121" i="1"/>
  <c r="AT119" i="1"/>
  <c r="AZ114" i="1"/>
  <c r="BR114" i="1"/>
  <c r="AW121" i="1"/>
  <c r="BP121" i="1"/>
  <c r="AT138" i="1"/>
  <c r="AZ124" i="1"/>
  <c r="BR124" i="1"/>
  <c r="AZ133" i="1"/>
  <c r="BR133" i="1"/>
  <c r="AZ112" i="1"/>
  <c r="BR112" i="1"/>
  <c r="AV119" i="1"/>
  <c r="AW114" i="1"/>
  <c r="BP114" i="1"/>
  <c r="AZ145" i="1"/>
  <c r="BR145" i="1"/>
  <c r="AZ134" i="1"/>
  <c r="BR134" i="1"/>
  <c r="AY119" i="1"/>
  <c r="AZ126" i="1"/>
  <c r="BR126" i="1"/>
  <c r="AZ113" i="1"/>
  <c r="BR113" i="1"/>
  <c r="AY129" i="1"/>
  <c r="BN129" i="1"/>
  <c r="AT129" i="1"/>
  <c r="AV129" i="1"/>
  <c r="AV142" i="1"/>
  <c r="AT127" i="1"/>
  <c r="AW126" i="1"/>
  <c r="BP126" i="1"/>
  <c r="AT123" i="1"/>
  <c r="BN123" i="1"/>
  <c r="AT147" i="1"/>
  <c r="BN147" i="1"/>
  <c r="AV147" i="1"/>
  <c r="AY147" i="1"/>
  <c r="AT142" i="1"/>
  <c r="AW134" i="1"/>
  <c r="BP134" i="1"/>
  <c r="AW115" i="1"/>
  <c r="BP115" i="1"/>
  <c r="AY142" i="1"/>
  <c r="BR141" i="1"/>
  <c r="AY127" i="1"/>
  <c r="AV138" i="1"/>
  <c r="AY135" i="1"/>
  <c r="BN135" i="1"/>
  <c r="AT135" i="1"/>
  <c r="AV135" i="1"/>
  <c r="AZ116" i="1"/>
  <c r="BR116" i="1"/>
  <c r="AT125" i="1"/>
  <c r="BN125" i="1"/>
  <c r="AV125" i="1"/>
  <c r="AY125" i="1"/>
  <c r="AY122" i="1"/>
  <c r="BN122" i="1"/>
  <c r="AT122" i="1"/>
  <c r="AV122" i="1"/>
  <c r="AY111" i="1"/>
  <c r="BN111" i="1"/>
  <c r="AV111" i="1"/>
  <c r="AT111" i="1"/>
  <c r="AZ115" i="1"/>
  <c r="BR115" i="1"/>
  <c r="AW120" i="1"/>
  <c r="BP120" i="1"/>
  <c r="AW113" i="1"/>
  <c r="BP113" i="1"/>
  <c r="AZ143" i="1"/>
  <c r="BR143" i="1"/>
  <c r="AV127" i="1"/>
  <c r="AW146" i="1"/>
  <c r="BP146" i="1"/>
  <c r="AY132" i="1"/>
  <c r="AW133" i="1"/>
  <c r="BP133" i="1"/>
  <c r="AZ131" i="1"/>
  <c r="BR131" i="1"/>
  <c r="AT132" i="1"/>
  <c r="AW143" i="1"/>
  <c r="BP143" i="1"/>
  <c r="AW140" i="1"/>
  <c r="BP140" i="1"/>
  <c r="BN137" i="1"/>
  <c r="AT137" i="1"/>
  <c r="AY137" i="1"/>
  <c r="AV137" i="1"/>
  <c r="AY117" i="1"/>
  <c r="BN117" i="1"/>
  <c r="AT117" i="1"/>
  <c r="AV117" i="1"/>
  <c r="AW145" i="1"/>
  <c r="BP145" i="1"/>
  <c r="AW130" i="1" l="1"/>
  <c r="BP141" i="1"/>
  <c r="BR123" i="1"/>
  <c r="BP131" i="1"/>
  <c r="AZ138" i="1"/>
  <c r="BR130" i="1"/>
  <c r="AW139" i="1"/>
  <c r="BP139" i="1"/>
  <c r="AZ117" i="1"/>
  <c r="BR117" i="1"/>
  <c r="AZ127" i="1"/>
  <c r="BR127" i="1"/>
  <c r="AW119" i="1"/>
  <c r="BP119" i="1"/>
  <c r="AZ136" i="1"/>
  <c r="BR136" i="1"/>
  <c r="AZ125" i="1"/>
  <c r="BR125" i="1"/>
  <c r="AZ137" i="1"/>
  <c r="BR137" i="1"/>
  <c r="AZ142" i="1"/>
  <c r="BR142" i="1"/>
  <c r="AW127" i="1"/>
  <c r="BP127" i="1"/>
  <c r="AZ139" i="1"/>
  <c r="BR139" i="1"/>
  <c r="AW135" i="1"/>
  <c r="BP135" i="1"/>
  <c r="AZ128" i="1"/>
  <c r="BR128" i="1"/>
  <c r="AZ111" i="1"/>
  <c r="BR111" i="1"/>
  <c r="AW142" i="1"/>
  <c r="BP142" i="1"/>
  <c r="AW117" i="1"/>
  <c r="BP117" i="1"/>
  <c r="AW122" i="1"/>
  <c r="BP122" i="1"/>
  <c r="AZ147" i="1"/>
  <c r="BR147" i="1"/>
  <c r="AW129" i="1"/>
  <c r="BP129" i="1"/>
  <c r="AW138" i="1"/>
  <c r="BP138" i="1"/>
  <c r="AZ122" i="1"/>
  <c r="BR122" i="1"/>
  <c r="AZ129" i="1"/>
  <c r="BR129" i="1"/>
  <c r="AW137" i="1"/>
  <c r="BP137" i="1"/>
  <c r="AZ132" i="1"/>
  <c r="BR132" i="1"/>
  <c r="AW125" i="1"/>
  <c r="BP125" i="1"/>
  <c r="AW111" i="1"/>
  <c r="BP111" i="1"/>
  <c r="AZ119" i="1"/>
  <c r="BR119" i="1"/>
  <c r="AW128" i="1"/>
  <c r="BP128" i="1"/>
  <c r="AZ135" i="1"/>
  <c r="BR135" i="1"/>
  <c r="AW147" i="1"/>
  <c r="BP147" i="1"/>
  <c r="AW132" i="1"/>
  <c r="BP132" i="1"/>
  <c r="AW136" i="1"/>
  <c r="BP136" i="1"/>
  <c r="AF99" i="1" l="1"/>
  <c r="AF100" i="1"/>
  <c r="AC101" i="1"/>
  <c r="AC102" i="1"/>
  <c r="AC103" i="1"/>
  <c r="AE104" i="1"/>
  <c r="AC105" i="1"/>
  <c r="AD106" i="1"/>
  <c r="AD107" i="1"/>
  <c r="AD108" i="1"/>
  <c r="AC109" i="1"/>
  <c r="AE91" i="1"/>
  <c r="AE92" i="1"/>
  <c r="AE93" i="1"/>
  <c r="AE94" i="1"/>
  <c r="AE95" i="1"/>
  <c r="AE96" i="1"/>
  <c r="AF73" i="1"/>
  <c r="AC74" i="1"/>
  <c r="AE75" i="1"/>
  <c r="AC76" i="1"/>
  <c r="AE77" i="1"/>
  <c r="AF78" i="1"/>
  <c r="AF79" i="1"/>
  <c r="AE83" i="1"/>
  <c r="AC84" i="1"/>
  <c r="AD85" i="1"/>
  <c r="AF86" i="1"/>
  <c r="AC87" i="1"/>
  <c r="AF88" i="1"/>
  <c r="AF89" i="1"/>
  <c r="AD78" i="1"/>
  <c r="AE79" i="1"/>
  <c r="AF80" i="1"/>
  <c r="AF81" i="1"/>
  <c r="AF82" i="1"/>
  <c r="AF94" i="1"/>
  <c r="AE101" i="1"/>
  <c r="AD92" i="1"/>
  <c r="AB90" i="1"/>
  <c r="AC90" i="1" s="1"/>
  <c r="AB97" i="1"/>
  <c r="AD97" i="1" s="1"/>
  <c r="AB98" i="1"/>
  <c r="AF98" i="1" s="1"/>
  <c r="AC43" i="1"/>
  <c r="AE44" i="1"/>
  <c r="AF45" i="1"/>
  <c r="AD46" i="1"/>
  <c r="AD47" i="1"/>
  <c r="AD48" i="1"/>
  <c r="AD49" i="1"/>
  <c r="AF50" i="1"/>
  <c r="AF51" i="1"/>
  <c r="AD52" i="1"/>
  <c r="AF53" i="1"/>
  <c r="AE54" i="1"/>
  <c r="AD55" i="1"/>
  <c r="AE56" i="1"/>
  <c r="AD57" i="1"/>
  <c r="AF58" i="1"/>
  <c r="AD59" i="1"/>
  <c r="AC60" i="1"/>
  <c r="AE61" i="1"/>
  <c r="AE62" i="1"/>
  <c r="AE63" i="1"/>
  <c r="AE64" i="1"/>
  <c r="AD65" i="1"/>
  <c r="AD66" i="1"/>
  <c r="AE67" i="1"/>
  <c r="AE68" i="1"/>
  <c r="AF69" i="1"/>
  <c r="AC70" i="1"/>
  <c r="AF36" i="1"/>
  <c r="AF37" i="1"/>
  <c r="AF38" i="1"/>
  <c r="AE39" i="1"/>
  <c r="AF40" i="1"/>
  <c r="AD41" i="1"/>
  <c r="AF42" i="1"/>
  <c r="AE42" i="1"/>
  <c r="AD42" i="1"/>
  <c r="AC42" i="1"/>
  <c r="AF92" i="1" l="1"/>
  <c r="AF93" i="1"/>
  <c r="AE78" i="1"/>
  <c r="AC92" i="1"/>
  <c r="AD102" i="1"/>
  <c r="AD101" i="1"/>
  <c r="AF91" i="1"/>
  <c r="AC91" i="1"/>
  <c r="AD100" i="1"/>
  <c r="AD103" i="1"/>
  <c r="AD104" i="1"/>
  <c r="AD93" i="1"/>
  <c r="AD91" i="1"/>
  <c r="AC100" i="1"/>
  <c r="AE100" i="1"/>
  <c r="AC49" i="1"/>
  <c r="AC48" i="1"/>
  <c r="AF59" i="1"/>
  <c r="AF48" i="1"/>
  <c r="AF47" i="1"/>
  <c r="AC47" i="1"/>
  <c r="AC94" i="1"/>
  <c r="AE47" i="1"/>
  <c r="AC93" i="1"/>
  <c r="AE103" i="1"/>
  <c r="AE102" i="1"/>
  <c r="AD105" i="1"/>
  <c r="AF108" i="1"/>
  <c r="AD75" i="1"/>
  <c r="AF106" i="1"/>
  <c r="AF105" i="1"/>
  <c r="AF101" i="1"/>
  <c r="AD95" i="1"/>
  <c r="AC95" i="1"/>
  <c r="AD94" i="1"/>
  <c r="AF95" i="1"/>
  <c r="AF109" i="1"/>
  <c r="AF107" i="1"/>
  <c r="AD74" i="1"/>
  <c r="AF104" i="1"/>
  <c r="AC45" i="1"/>
  <c r="AF103" i="1"/>
  <c r="AC98" i="1"/>
  <c r="AF102" i="1"/>
  <c r="AC40" i="1"/>
  <c r="AC97" i="1"/>
  <c r="AE97" i="1"/>
  <c r="AC96" i="1"/>
  <c r="AE59" i="1"/>
  <c r="AC38" i="1"/>
  <c r="AD38" i="1"/>
  <c r="AC86" i="1"/>
  <c r="AE90" i="1"/>
  <c r="AF60" i="1"/>
  <c r="AE60" i="1"/>
  <c r="AC85" i="1"/>
  <c r="AF97" i="1"/>
  <c r="AC59" i="1"/>
  <c r="AC75" i="1"/>
  <c r="AD90" i="1"/>
  <c r="AE74" i="1"/>
  <c r="AF96" i="1"/>
  <c r="AF46" i="1"/>
  <c r="AF76" i="1"/>
  <c r="AD69" i="1"/>
  <c r="AD45" i="1"/>
  <c r="AE70" i="1"/>
  <c r="AF77" i="1"/>
  <c r="AE108" i="1"/>
  <c r="AE89" i="1"/>
  <c r="AF74" i="1"/>
  <c r="AC69" i="1"/>
  <c r="AD70" i="1"/>
  <c r="AE55" i="1"/>
  <c r="AE106" i="1"/>
  <c r="AE46" i="1"/>
  <c r="AE105" i="1"/>
  <c r="AE87" i="1"/>
  <c r="AC58" i="1"/>
  <c r="AD87" i="1"/>
  <c r="AE86" i="1"/>
  <c r="AF70" i="1"/>
  <c r="AD86" i="1"/>
  <c r="AE85" i="1"/>
  <c r="AF87" i="1"/>
  <c r="AD98" i="1"/>
  <c r="AC88" i="1"/>
  <c r="AD77" i="1"/>
  <c r="AE76" i="1"/>
  <c r="AF85" i="1"/>
  <c r="AC77" i="1"/>
  <c r="AE69" i="1"/>
  <c r="AE109" i="1"/>
  <c r="AF75" i="1"/>
  <c r="AE58" i="1"/>
  <c r="AE107" i="1"/>
  <c r="AE57" i="1"/>
  <c r="AE88" i="1"/>
  <c r="AD68" i="1"/>
  <c r="AD88" i="1"/>
  <c r="AD67" i="1"/>
  <c r="AF90" i="1"/>
  <c r="AD58" i="1"/>
  <c r="AC104" i="1"/>
  <c r="AC46" i="1"/>
  <c r="AD40" i="1"/>
  <c r="AD96" i="1"/>
  <c r="AD76" i="1"/>
  <c r="AE98" i="1"/>
  <c r="AC108" i="1"/>
  <c r="AD109" i="1"/>
  <c r="AC107" i="1"/>
  <c r="AC106" i="1"/>
  <c r="AC99" i="1"/>
  <c r="AD99" i="1"/>
  <c r="AE99" i="1"/>
  <c r="AC83" i="1"/>
  <c r="AD89" i="1"/>
  <c r="AC89" i="1"/>
  <c r="AD84" i="1"/>
  <c r="AE84" i="1"/>
  <c r="AD82" i="1"/>
  <c r="AD81" i="1"/>
  <c r="AE82" i="1"/>
  <c r="AF83" i="1"/>
  <c r="AC82" i="1"/>
  <c r="AD83" i="1"/>
  <c r="AC81" i="1"/>
  <c r="AF84" i="1"/>
  <c r="AC80" i="1"/>
  <c r="AD80" i="1"/>
  <c r="AE81" i="1"/>
  <c r="AC78" i="1"/>
  <c r="AD79" i="1"/>
  <c r="AE80" i="1"/>
  <c r="AC79" i="1"/>
  <c r="AC73" i="1"/>
  <c r="AE73" i="1"/>
  <c r="AD73" i="1"/>
  <c r="AC63" i="1"/>
  <c r="AC62" i="1"/>
  <c r="AC61" i="1"/>
  <c r="AD60" i="1"/>
  <c r="AE40" i="1"/>
  <c r="AF41" i="1"/>
  <c r="AF64" i="1"/>
  <c r="AE41" i="1"/>
  <c r="AE38" i="1"/>
  <c r="AF49" i="1"/>
  <c r="AC41" i="1"/>
  <c r="AE48" i="1"/>
  <c r="AD51" i="1"/>
  <c r="AD50" i="1"/>
  <c r="AF52" i="1"/>
  <c r="AD56" i="1"/>
  <c r="AF65" i="1"/>
  <c r="AD63" i="1"/>
  <c r="AE52" i="1"/>
  <c r="AD62" i="1"/>
  <c r="AE51" i="1"/>
  <c r="AF62" i="1"/>
  <c r="AD61" i="1"/>
  <c r="AE50" i="1"/>
  <c r="AF61" i="1"/>
  <c r="AD64" i="1"/>
  <c r="AF63" i="1"/>
  <c r="AE49" i="1"/>
  <c r="AC39" i="1"/>
  <c r="AC57" i="1"/>
  <c r="AE45" i="1"/>
  <c r="AC51" i="1"/>
  <c r="AE66" i="1"/>
  <c r="AE65" i="1"/>
  <c r="AF54" i="1"/>
  <c r="AF57" i="1"/>
  <c r="AC50" i="1"/>
  <c r="AF66" i="1"/>
  <c r="AD54" i="1"/>
  <c r="AF39" i="1"/>
  <c r="AD36" i="1"/>
  <c r="AD39" i="1"/>
  <c r="AC44" i="1"/>
  <c r="AC55" i="1"/>
  <c r="AC54" i="1"/>
  <c r="AC64" i="1"/>
  <c r="AC52" i="1"/>
  <c r="AF68" i="1"/>
  <c r="AF56" i="1"/>
  <c r="AF44" i="1"/>
  <c r="AD44" i="1"/>
  <c r="AC68" i="1"/>
  <c r="AD53" i="1"/>
  <c r="AC67" i="1"/>
  <c r="AC66" i="1"/>
  <c r="AC53" i="1"/>
  <c r="AF67" i="1"/>
  <c r="AF55" i="1"/>
  <c r="AF43" i="1"/>
  <c r="AE53" i="1"/>
  <c r="AC56" i="1"/>
  <c r="AC65" i="1"/>
  <c r="AE43" i="1"/>
  <c r="AD43" i="1"/>
  <c r="AC37" i="1"/>
  <c r="AE37" i="1"/>
  <c r="AC36" i="1"/>
  <c r="AE36" i="1"/>
  <c r="AD37" i="1"/>
  <c r="AG36" i="1" l="1"/>
  <c r="AG15" i="1" l="1"/>
  <c r="E5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AN4" i="1" l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P110" i="1" s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F134" i="4" l="1"/>
  <c r="G134" i="4"/>
  <c r="H134" i="4"/>
  <c r="I134" i="4"/>
  <c r="J134" i="4"/>
  <c r="F135" i="4"/>
  <c r="G135" i="4"/>
  <c r="H135" i="4"/>
  <c r="I135" i="4"/>
  <c r="J135" i="4"/>
  <c r="E135" i="4" s="1"/>
  <c r="F136" i="4"/>
  <c r="G136" i="4"/>
  <c r="H136" i="4"/>
  <c r="I136" i="4"/>
  <c r="J136" i="4"/>
  <c r="F137" i="4"/>
  <c r="G137" i="4"/>
  <c r="H137" i="4"/>
  <c r="I137" i="4"/>
  <c r="J137" i="4"/>
  <c r="F138" i="4"/>
  <c r="G138" i="4"/>
  <c r="H138" i="4"/>
  <c r="I138" i="4"/>
  <c r="J138" i="4"/>
  <c r="F139" i="4"/>
  <c r="G139" i="4"/>
  <c r="H139" i="4"/>
  <c r="I139" i="4"/>
  <c r="J139" i="4"/>
  <c r="F140" i="4"/>
  <c r="G140" i="4"/>
  <c r="H140" i="4"/>
  <c r="I140" i="4"/>
  <c r="J140" i="4"/>
  <c r="E140" i="4" s="1"/>
  <c r="F141" i="4"/>
  <c r="G141" i="4"/>
  <c r="H141" i="4"/>
  <c r="I141" i="4"/>
  <c r="J141" i="4"/>
  <c r="F142" i="4"/>
  <c r="G142" i="4"/>
  <c r="H142" i="4"/>
  <c r="I142" i="4"/>
  <c r="J142" i="4"/>
  <c r="F143" i="4"/>
  <c r="G143" i="4"/>
  <c r="H143" i="4"/>
  <c r="I143" i="4"/>
  <c r="J143" i="4"/>
  <c r="F144" i="4"/>
  <c r="G144" i="4"/>
  <c r="H144" i="4"/>
  <c r="I144" i="4"/>
  <c r="J144" i="4"/>
  <c r="F145" i="4"/>
  <c r="G145" i="4"/>
  <c r="H145" i="4"/>
  <c r="I145" i="4"/>
  <c r="J145" i="4"/>
  <c r="F146" i="4"/>
  <c r="G146" i="4"/>
  <c r="H146" i="4"/>
  <c r="I146" i="4"/>
  <c r="J146" i="4"/>
  <c r="F147" i="4"/>
  <c r="G147" i="4"/>
  <c r="H147" i="4"/>
  <c r="I147" i="4"/>
  <c r="J147" i="4"/>
  <c r="E147" i="4" s="1"/>
  <c r="F148" i="4"/>
  <c r="G148" i="4"/>
  <c r="H148" i="4"/>
  <c r="I148" i="4"/>
  <c r="J148" i="4"/>
  <c r="F149" i="4"/>
  <c r="G149" i="4"/>
  <c r="H149" i="4"/>
  <c r="I149" i="4"/>
  <c r="J149" i="4"/>
  <c r="F150" i="4"/>
  <c r="G150" i="4"/>
  <c r="H150" i="4"/>
  <c r="I150" i="4"/>
  <c r="J150" i="4"/>
  <c r="F151" i="4"/>
  <c r="G151" i="4"/>
  <c r="H151" i="4"/>
  <c r="I151" i="4"/>
  <c r="J151" i="4"/>
  <c r="E151" i="4" s="1"/>
  <c r="F152" i="4"/>
  <c r="G152" i="4"/>
  <c r="H152" i="4"/>
  <c r="I152" i="4"/>
  <c r="J152" i="4"/>
  <c r="F153" i="4"/>
  <c r="G153" i="4"/>
  <c r="H153" i="4"/>
  <c r="I153" i="4"/>
  <c r="J153" i="4"/>
  <c r="F154" i="4"/>
  <c r="G154" i="4"/>
  <c r="H154" i="4"/>
  <c r="I154" i="4"/>
  <c r="J154" i="4"/>
  <c r="F155" i="4"/>
  <c r="G155" i="4"/>
  <c r="H155" i="4"/>
  <c r="I155" i="4"/>
  <c r="J155" i="4"/>
  <c r="F156" i="4"/>
  <c r="G156" i="4"/>
  <c r="H156" i="4"/>
  <c r="I156" i="4"/>
  <c r="J156" i="4"/>
  <c r="F157" i="4"/>
  <c r="G157" i="4"/>
  <c r="H157" i="4"/>
  <c r="I157" i="4"/>
  <c r="J157" i="4"/>
  <c r="F158" i="4"/>
  <c r="G158" i="4"/>
  <c r="H158" i="4"/>
  <c r="I158" i="4"/>
  <c r="J158" i="4"/>
  <c r="F159" i="4"/>
  <c r="G159" i="4"/>
  <c r="H159" i="4"/>
  <c r="I159" i="4"/>
  <c r="J159" i="4"/>
  <c r="F160" i="4"/>
  <c r="G160" i="4"/>
  <c r="H160" i="4"/>
  <c r="I160" i="4"/>
  <c r="J160" i="4"/>
  <c r="F161" i="4"/>
  <c r="G161" i="4"/>
  <c r="H161" i="4"/>
  <c r="I161" i="4"/>
  <c r="J161" i="4"/>
  <c r="E161" i="4" s="1"/>
  <c r="F162" i="4"/>
  <c r="G162" i="4"/>
  <c r="H162" i="4"/>
  <c r="I162" i="4"/>
  <c r="J162" i="4"/>
  <c r="F163" i="4"/>
  <c r="G163" i="4"/>
  <c r="H163" i="4"/>
  <c r="I163" i="4"/>
  <c r="J163" i="4"/>
  <c r="F164" i="4"/>
  <c r="G164" i="4"/>
  <c r="H164" i="4"/>
  <c r="I164" i="4"/>
  <c r="J164" i="4"/>
  <c r="F165" i="4"/>
  <c r="G165" i="4"/>
  <c r="H165" i="4"/>
  <c r="I165" i="4"/>
  <c r="J165" i="4"/>
  <c r="F166" i="4"/>
  <c r="G166" i="4"/>
  <c r="H166" i="4"/>
  <c r="I166" i="4"/>
  <c r="J166" i="4"/>
  <c r="F167" i="4"/>
  <c r="G167" i="4"/>
  <c r="H167" i="4"/>
  <c r="I167" i="4"/>
  <c r="J167" i="4"/>
  <c r="F168" i="4"/>
  <c r="G168" i="4"/>
  <c r="H168" i="4"/>
  <c r="I168" i="4"/>
  <c r="J168" i="4"/>
  <c r="F169" i="4"/>
  <c r="G169" i="4"/>
  <c r="H169" i="4"/>
  <c r="I169" i="4"/>
  <c r="J169" i="4"/>
  <c r="F170" i="4"/>
  <c r="G170" i="4"/>
  <c r="H170" i="4"/>
  <c r="I170" i="4"/>
  <c r="J170" i="4"/>
  <c r="F171" i="4"/>
  <c r="G171" i="4"/>
  <c r="H171" i="4"/>
  <c r="I171" i="4"/>
  <c r="J171" i="4"/>
  <c r="F172" i="4"/>
  <c r="G172" i="4"/>
  <c r="H172" i="4"/>
  <c r="I172" i="4"/>
  <c r="J172" i="4"/>
  <c r="F173" i="4"/>
  <c r="G173" i="4"/>
  <c r="H173" i="4"/>
  <c r="I173" i="4"/>
  <c r="J173" i="4"/>
  <c r="F174" i="4"/>
  <c r="G174" i="4"/>
  <c r="H174" i="4"/>
  <c r="I174" i="4"/>
  <c r="J174" i="4"/>
  <c r="F175" i="4"/>
  <c r="G175" i="4"/>
  <c r="H175" i="4"/>
  <c r="I175" i="4"/>
  <c r="J175" i="4"/>
  <c r="F176" i="4"/>
  <c r="G176" i="4"/>
  <c r="H176" i="4"/>
  <c r="I176" i="4"/>
  <c r="J176" i="4"/>
  <c r="E175" i="4"/>
  <c r="D174" i="4"/>
  <c r="E174" i="4" s="1"/>
  <c r="D173" i="4"/>
  <c r="D172" i="4"/>
  <c r="E172" i="4" s="1"/>
  <c r="D171" i="4"/>
  <c r="D170" i="4"/>
  <c r="E170" i="4" s="1"/>
  <c r="D169" i="4"/>
  <c r="D168" i="4"/>
  <c r="E168" i="4" s="1"/>
  <c r="D167" i="4"/>
  <c r="E167" i="4" s="1"/>
  <c r="D166" i="4"/>
  <c r="E166" i="4" s="1"/>
  <c r="D165" i="4"/>
  <c r="E165" i="4" s="1"/>
  <c r="D164" i="4"/>
  <c r="E164" i="4" s="1"/>
  <c r="D163" i="4"/>
  <c r="E163" i="4" s="1"/>
  <c r="E162" i="4"/>
  <c r="E160" i="4"/>
  <c r="D159" i="4"/>
  <c r="D158" i="4"/>
  <c r="E158" i="4" s="1"/>
  <c r="D157" i="4"/>
  <c r="D156" i="4"/>
  <c r="E156" i="4" s="1"/>
  <c r="D155" i="4"/>
  <c r="E155" i="4" s="1"/>
  <c r="D154" i="4"/>
  <c r="E154" i="4" s="1"/>
  <c r="E153" i="4"/>
  <c r="E152" i="4"/>
  <c r="D152" i="4"/>
  <c r="D151" i="4"/>
  <c r="D150" i="4"/>
  <c r="E150" i="4" s="1"/>
  <c r="D149" i="4"/>
  <c r="E148" i="4"/>
  <c r="D148" i="4"/>
  <c r="D147" i="4"/>
  <c r="D146" i="4"/>
  <c r="E146" i="4" s="1"/>
  <c r="D145" i="4"/>
  <c r="E144" i="4"/>
  <c r="D144" i="4"/>
  <c r="E143" i="4"/>
  <c r="D143" i="4"/>
  <c r="D142" i="4"/>
  <c r="E141" i="4"/>
  <c r="D140" i="4"/>
  <c r="E139" i="4"/>
  <c r="D139" i="4"/>
  <c r="D138" i="4"/>
  <c r="E138" i="4" s="1"/>
  <c r="E137" i="4"/>
  <c r="D137" i="4"/>
  <c r="E136" i="4"/>
  <c r="D136" i="4"/>
  <c r="D135" i="4"/>
  <c r="D134" i="4"/>
  <c r="E91" i="4"/>
  <c r="E92" i="4"/>
  <c r="E93" i="4"/>
  <c r="E94" i="4"/>
  <c r="E95" i="4"/>
  <c r="E99" i="4"/>
  <c r="E100" i="4"/>
  <c r="E101" i="4"/>
  <c r="E102" i="4"/>
  <c r="E103" i="4"/>
  <c r="E105" i="4"/>
  <c r="E106" i="4"/>
  <c r="E107" i="4"/>
  <c r="E110" i="4"/>
  <c r="E111" i="4"/>
  <c r="E112" i="4"/>
  <c r="E113" i="4"/>
  <c r="E114" i="4"/>
  <c r="E115" i="4"/>
  <c r="E116" i="4"/>
  <c r="E117" i="4"/>
  <c r="E118" i="4"/>
  <c r="E119" i="4"/>
  <c r="E122" i="4"/>
  <c r="E123" i="4"/>
  <c r="E124" i="4"/>
  <c r="E125" i="4"/>
  <c r="F126" i="4"/>
  <c r="G126" i="4"/>
  <c r="H126" i="4"/>
  <c r="I126" i="4"/>
  <c r="D121" i="4"/>
  <c r="D122" i="4"/>
  <c r="D123" i="4"/>
  <c r="D124" i="4"/>
  <c r="D113" i="4"/>
  <c r="D114" i="4"/>
  <c r="D115" i="4"/>
  <c r="D116" i="4"/>
  <c r="D117" i="4"/>
  <c r="D118" i="4"/>
  <c r="D119" i="4"/>
  <c r="D120" i="4"/>
  <c r="D104" i="4"/>
  <c r="E104" i="4" s="1"/>
  <c r="D105" i="4"/>
  <c r="D106" i="4"/>
  <c r="D107" i="4"/>
  <c r="D108" i="4"/>
  <c r="D109" i="4"/>
  <c r="D92" i="4"/>
  <c r="D93" i="4"/>
  <c r="D94" i="4"/>
  <c r="D95" i="4"/>
  <c r="D96" i="4"/>
  <c r="D97" i="4"/>
  <c r="D98" i="4"/>
  <c r="E98" i="4" s="1"/>
  <c r="D99" i="4"/>
  <c r="D100" i="4"/>
  <c r="D101" i="4"/>
  <c r="D102" i="4"/>
  <c r="D84" i="4"/>
  <c r="D85" i="4"/>
  <c r="D86" i="4"/>
  <c r="D87" i="4"/>
  <c r="E87" i="4" s="1"/>
  <c r="D88" i="4"/>
  <c r="E88" i="4" s="1"/>
  <c r="D89" i="4"/>
  <c r="E89" i="4" s="1"/>
  <c r="D90" i="4"/>
  <c r="E90" i="4" s="1"/>
  <c r="J85" i="4"/>
  <c r="E85" i="4" s="1"/>
  <c r="J86" i="4"/>
  <c r="J87" i="4"/>
  <c r="J88" i="4"/>
  <c r="J89" i="4"/>
  <c r="J90" i="4"/>
  <c r="J91" i="4"/>
  <c r="J92" i="4"/>
  <c r="J93" i="4"/>
  <c r="J94" i="4"/>
  <c r="J95" i="4"/>
  <c r="J96" i="4"/>
  <c r="E96" i="4" s="1"/>
  <c r="J97" i="4"/>
  <c r="E97" i="4" s="1"/>
  <c r="J98" i="4"/>
  <c r="J99" i="4"/>
  <c r="J100" i="4"/>
  <c r="J101" i="4"/>
  <c r="J102" i="4"/>
  <c r="J103" i="4"/>
  <c r="J104" i="4"/>
  <c r="J105" i="4"/>
  <c r="J106" i="4"/>
  <c r="J107" i="4"/>
  <c r="J108" i="4"/>
  <c r="E108" i="4" s="1"/>
  <c r="J109" i="4"/>
  <c r="E109" i="4" s="1"/>
  <c r="J110" i="4"/>
  <c r="J111" i="4"/>
  <c r="J112" i="4"/>
  <c r="J113" i="4"/>
  <c r="J114" i="4"/>
  <c r="J115" i="4"/>
  <c r="J116" i="4"/>
  <c r="J117" i="4"/>
  <c r="J118" i="4"/>
  <c r="J119" i="4"/>
  <c r="J120" i="4"/>
  <c r="E120" i="4" s="1"/>
  <c r="J121" i="4"/>
  <c r="E121" i="4" s="1"/>
  <c r="J122" i="4"/>
  <c r="J123" i="4"/>
  <c r="J124" i="4"/>
  <c r="J125" i="4"/>
  <c r="E157" i="4" l="1"/>
  <c r="E149" i="4"/>
  <c r="E159" i="4"/>
  <c r="E171" i="4"/>
  <c r="E145" i="4"/>
  <c r="E169" i="4"/>
  <c r="E173" i="4"/>
  <c r="E142" i="4"/>
  <c r="E134" i="4"/>
  <c r="D176" i="4"/>
  <c r="E176" i="4" s="1"/>
  <c r="D126" i="4"/>
  <c r="E86" i="4"/>
  <c r="J84" i="4"/>
  <c r="E84" i="4" s="1"/>
  <c r="J126" i="4" l="1"/>
  <c r="E126" i="4" s="1"/>
  <c r="D8" i="8" l="1"/>
  <c r="E8" i="8"/>
  <c r="F8" i="8"/>
  <c r="G8" i="8"/>
  <c r="C8" i="8"/>
  <c r="D7" i="8"/>
  <c r="D9" i="8" s="1"/>
  <c r="E7" i="8"/>
  <c r="F7" i="8"/>
  <c r="G7" i="8"/>
  <c r="C7" i="8"/>
  <c r="D6" i="8"/>
  <c r="E6" i="8"/>
  <c r="F6" i="8"/>
  <c r="G6" i="8"/>
  <c r="C6" i="8"/>
  <c r="F5" i="8"/>
  <c r="E5" i="8"/>
  <c r="D5" i="8"/>
  <c r="C5" i="8"/>
  <c r="AH34" i="3"/>
  <c r="AG34" i="3"/>
  <c r="AH19" i="3"/>
  <c r="AG19" i="3"/>
  <c r="AK6" i="3"/>
  <c r="AL6" i="3"/>
  <c r="AL5" i="3"/>
  <c r="AK5" i="3"/>
  <c r="AG6" i="3"/>
  <c r="AH6" i="3"/>
  <c r="AI6" i="3"/>
  <c r="AJ6" i="3"/>
  <c r="AG5" i="3"/>
  <c r="AH5" i="3"/>
  <c r="AI5" i="3"/>
  <c r="AJ5" i="3"/>
  <c r="B19" i="3"/>
  <c r="C19" i="3"/>
  <c r="D19" i="3"/>
  <c r="E19" i="3"/>
  <c r="F19" i="3"/>
  <c r="O8" i="3"/>
  <c r="G165" i="1"/>
  <c r="G160" i="1"/>
  <c r="AX72" i="1"/>
  <c r="AU72" i="1"/>
  <c r="AQ72" i="1"/>
  <c r="AO72" i="1"/>
  <c r="AM72" i="1"/>
  <c r="S72" i="1"/>
  <c r="P62" i="1"/>
  <c r="BB62" i="1" s="1"/>
  <c r="P46" i="1"/>
  <c r="S46" i="1" s="1"/>
  <c r="AR46" i="1" s="1"/>
  <c r="BM46" i="1" s="1"/>
  <c r="P158" i="1"/>
  <c r="P50" i="1"/>
  <c r="BB50" i="1" s="1"/>
  <c r="P39" i="1"/>
  <c r="S39" i="1" s="1"/>
  <c r="AR39" i="1" s="1"/>
  <c r="BM39" i="1" s="1"/>
  <c r="P38" i="1"/>
  <c r="BB38" i="1" s="1"/>
  <c r="P54" i="1"/>
  <c r="BB54" i="1" s="1"/>
  <c r="Y8" i="3"/>
  <c r="Y9" i="3"/>
  <c r="Y10" i="3"/>
  <c r="Y11" i="3"/>
  <c r="Y12" i="3"/>
  <c r="Y13" i="3"/>
  <c r="Y14" i="3"/>
  <c r="Y15" i="3"/>
  <c r="Y16" i="3"/>
  <c r="Y17" i="3"/>
  <c r="Y18" i="3"/>
  <c r="X8" i="3"/>
  <c r="X9" i="3"/>
  <c r="X10" i="3"/>
  <c r="X11" i="3"/>
  <c r="X12" i="3"/>
  <c r="X13" i="3"/>
  <c r="X14" i="3"/>
  <c r="X15" i="3"/>
  <c r="X16" i="3"/>
  <c r="X17" i="3"/>
  <c r="X18" i="3"/>
  <c r="O9" i="3"/>
  <c r="O10" i="3"/>
  <c r="O11" i="3"/>
  <c r="O12" i="3"/>
  <c r="O13" i="3"/>
  <c r="O14" i="3"/>
  <c r="O15" i="3"/>
  <c r="O16" i="3"/>
  <c r="O17" i="3"/>
  <c r="O18" i="3"/>
  <c r="N8" i="3"/>
  <c r="N9" i="3"/>
  <c r="N10" i="3"/>
  <c r="N11" i="3"/>
  <c r="N12" i="3"/>
  <c r="N13" i="3"/>
  <c r="N14" i="3"/>
  <c r="N15" i="3"/>
  <c r="N16" i="3"/>
  <c r="N17" i="3"/>
  <c r="N18" i="3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AX74" i="1"/>
  <c r="BQ74" i="1" s="1"/>
  <c r="AX75" i="1"/>
  <c r="BQ75" i="1" s="1"/>
  <c r="AX76" i="1"/>
  <c r="BQ76" i="1" s="1"/>
  <c r="AX77" i="1"/>
  <c r="BQ77" i="1" s="1"/>
  <c r="AX78" i="1"/>
  <c r="BQ78" i="1" s="1"/>
  <c r="AX79" i="1"/>
  <c r="BQ79" i="1" s="1"/>
  <c r="AX80" i="1"/>
  <c r="BQ80" i="1" s="1"/>
  <c r="AX81" i="1"/>
  <c r="BQ81" i="1" s="1"/>
  <c r="AX82" i="1"/>
  <c r="BQ82" i="1" s="1"/>
  <c r="AX83" i="1"/>
  <c r="BQ83" i="1" s="1"/>
  <c r="AX84" i="1"/>
  <c r="BQ84" i="1" s="1"/>
  <c r="AX85" i="1"/>
  <c r="BQ85" i="1" s="1"/>
  <c r="AX86" i="1"/>
  <c r="BQ86" i="1" s="1"/>
  <c r="AX87" i="1"/>
  <c r="BQ87" i="1" s="1"/>
  <c r="AX88" i="1"/>
  <c r="BQ88" i="1" s="1"/>
  <c r="AX89" i="1"/>
  <c r="BQ89" i="1" s="1"/>
  <c r="AX90" i="1"/>
  <c r="BQ90" i="1" s="1"/>
  <c r="AX91" i="1"/>
  <c r="BQ91" i="1" s="1"/>
  <c r="AX92" i="1"/>
  <c r="BQ92" i="1" s="1"/>
  <c r="AX93" i="1"/>
  <c r="BQ93" i="1" s="1"/>
  <c r="AX94" i="1"/>
  <c r="BQ94" i="1" s="1"/>
  <c r="AX95" i="1"/>
  <c r="BQ95" i="1" s="1"/>
  <c r="AX96" i="1"/>
  <c r="BQ96" i="1" s="1"/>
  <c r="AX97" i="1"/>
  <c r="BQ97" i="1" s="1"/>
  <c r="AX98" i="1"/>
  <c r="BQ98" i="1" s="1"/>
  <c r="AX99" i="1"/>
  <c r="BQ99" i="1" s="1"/>
  <c r="AX100" i="1"/>
  <c r="BQ100" i="1" s="1"/>
  <c r="AX101" i="1"/>
  <c r="BQ101" i="1" s="1"/>
  <c r="AX102" i="1"/>
  <c r="BQ102" i="1" s="1"/>
  <c r="AX103" i="1"/>
  <c r="BQ103" i="1" s="1"/>
  <c r="AX104" i="1"/>
  <c r="BQ104" i="1" s="1"/>
  <c r="AX105" i="1"/>
  <c r="BQ105" i="1" s="1"/>
  <c r="AX106" i="1"/>
  <c r="BQ106" i="1" s="1"/>
  <c r="AX107" i="1"/>
  <c r="BQ107" i="1" s="1"/>
  <c r="AX108" i="1"/>
  <c r="BQ108" i="1" s="1"/>
  <c r="AX109" i="1"/>
  <c r="BQ109" i="1" s="1"/>
  <c r="AX110" i="1"/>
  <c r="BQ110" i="1" s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AX73" i="1"/>
  <c r="BQ73" i="1" s="1"/>
  <c r="BO73" i="1"/>
  <c r="AR73" i="1"/>
  <c r="BM73" i="1" s="1"/>
  <c r="AR74" i="1"/>
  <c r="BM74" i="1" s="1"/>
  <c r="AR75" i="1"/>
  <c r="BM75" i="1" s="1"/>
  <c r="AR76" i="1"/>
  <c r="BM76" i="1" s="1"/>
  <c r="AR77" i="1"/>
  <c r="BM77" i="1" s="1"/>
  <c r="AR78" i="1"/>
  <c r="BM78" i="1" s="1"/>
  <c r="AR79" i="1"/>
  <c r="BM79" i="1" s="1"/>
  <c r="AR80" i="1"/>
  <c r="BM80" i="1" s="1"/>
  <c r="AR81" i="1"/>
  <c r="BM81" i="1" s="1"/>
  <c r="AR82" i="1"/>
  <c r="BM82" i="1" s="1"/>
  <c r="AR83" i="1"/>
  <c r="BM83" i="1" s="1"/>
  <c r="AR84" i="1"/>
  <c r="BM84" i="1" s="1"/>
  <c r="AR85" i="1"/>
  <c r="BM85" i="1" s="1"/>
  <c r="AR86" i="1"/>
  <c r="BM86" i="1" s="1"/>
  <c r="AR87" i="1"/>
  <c r="BM87" i="1" s="1"/>
  <c r="AR88" i="1"/>
  <c r="BM88" i="1" s="1"/>
  <c r="AR89" i="1"/>
  <c r="BM89" i="1" s="1"/>
  <c r="AR90" i="1"/>
  <c r="BM90" i="1" s="1"/>
  <c r="AR91" i="1"/>
  <c r="BM91" i="1" s="1"/>
  <c r="AR92" i="1"/>
  <c r="BM92" i="1" s="1"/>
  <c r="AR93" i="1"/>
  <c r="BM93" i="1" s="1"/>
  <c r="AR94" i="1"/>
  <c r="BM94" i="1" s="1"/>
  <c r="AR95" i="1"/>
  <c r="BM95" i="1" s="1"/>
  <c r="AR96" i="1"/>
  <c r="BM96" i="1" s="1"/>
  <c r="AR97" i="1"/>
  <c r="BM97" i="1" s="1"/>
  <c r="AR98" i="1"/>
  <c r="BM98" i="1" s="1"/>
  <c r="AR99" i="1"/>
  <c r="BM99" i="1" s="1"/>
  <c r="AR100" i="1"/>
  <c r="BM100" i="1" s="1"/>
  <c r="AR101" i="1"/>
  <c r="BM101" i="1" s="1"/>
  <c r="AR102" i="1"/>
  <c r="BM102" i="1" s="1"/>
  <c r="AR103" i="1"/>
  <c r="BM103" i="1" s="1"/>
  <c r="AR104" i="1"/>
  <c r="BM104" i="1" s="1"/>
  <c r="AR105" i="1"/>
  <c r="BM105" i="1" s="1"/>
  <c r="AR106" i="1"/>
  <c r="BM106" i="1" s="1"/>
  <c r="AR107" i="1"/>
  <c r="BM107" i="1" s="1"/>
  <c r="AR108" i="1"/>
  <c r="BM108" i="1" s="1"/>
  <c r="AR109" i="1"/>
  <c r="BM109" i="1" s="1"/>
  <c r="BM110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AO73" i="1"/>
  <c r="BJ73" i="1" s="1"/>
  <c r="AO74" i="1"/>
  <c r="BJ74" i="1" s="1"/>
  <c r="AO75" i="1"/>
  <c r="AO76" i="1"/>
  <c r="BJ76" i="1" s="1"/>
  <c r="AO77" i="1"/>
  <c r="BJ77" i="1" s="1"/>
  <c r="AO78" i="1"/>
  <c r="BJ78" i="1" s="1"/>
  <c r="AO79" i="1"/>
  <c r="BJ79" i="1" s="1"/>
  <c r="AO80" i="1"/>
  <c r="BJ80" i="1" s="1"/>
  <c r="AO81" i="1"/>
  <c r="BJ81" i="1" s="1"/>
  <c r="AO82" i="1"/>
  <c r="BJ82" i="1" s="1"/>
  <c r="AO83" i="1"/>
  <c r="BJ83" i="1" s="1"/>
  <c r="AO84" i="1"/>
  <c r="BJ84" i="1" s="1"/>
  <c r="AO85" i="1"/>
  <c r="BJ85" i="1" s="1"/>
  <c r="AO86" i="1"/>
  <c r="BJ86" i="1" s="1"/>
  <c r="AO87" i="1"/>
  <c r="BJ87" i="1" s="1"/>
  <c r="AO88" i="1"/>
  <c r="BJ88" i="1" s="1"/>
  <c r="AO89" i="1"/>
  <c r="BJ89" i="1" s="1"/>
  <c r="AO90" i="1"/>
  <c r="BJ90" i="1" s="1"/>
  <c r="AO91" i="1"/>
  <c r="BJ91" i="1" s="1"/>
  <c r="AO92" i="1"/>
  <c r="BJ92" i="1" s="1"/>
  <c r="AO93" i="1"/>
  <c r="BJ93" i="1" s="1"/>
  <c r="AO94" i="1"/>
  <c r="BJ94" i="1" s="1"/>
  <c r="AO95" i="1"/>
  <c r="BJ95" i="1" s="1"/>
  <c r="AO96" i="1"/>
  <c r="BJ96" i="1" s="1"/>
  <c r="AO97" i="1"/>
  <c r="BJ97" i="1" s="1"/>
  <c r="AO98" i="1"/>
  <c r="AO99" i="1"/>
  <c r="BJ99" i="1" s="1"/>
  <c r="AO100" i="1"/>
  <c r="BJ100" i="1" s="1"/>
  <c r="AO101" i="1"/>
  <c r="BJ101" i="1" s="1"/>
  <c r="AO102" i="1"/>
  <c r="BJ102" i="1" s="1"/>
  <c r="AO103" i="1"/>
  <c r="BJ103" i="1" s="1"/>
  <c r="AO104" i="1"/>
  <c r="AO105" i="1"/>
  <c r="AO106" i="1"/>
  <c r="BJ106" i="1" s="1"/>
  <c r="AO107" i="1"/>
  <c r="BJ107" i="1" s="1"/>
  <c r="AO108" i="1"/>
  <c r="BJ108" i="1" s="1"/>
  <c r="AO109" i="1"/>
  <c r="BJ109" i="1" s="1"/>
  <c r="AM73" i="1"/>
  <c r="BI73" i="1" s="1"/>
  <c r="AM74" i="1"/>
  <c r="BI74" i="1" s="1"/>
  <c r="AM75" i="1"/>
  <c r="BI75" i="1" s="1"/>
  <c r="AM76" i="1"/>
  <c r="BI76" i="1" s="1"/>
  <c r="AM77" i="1"/>
  <c r="BI77" i="1" s="1"/>
  <c r="AM78" i="1"/>
  <c r="BI78" i="1" s="1"/>
  <c r="AM79" i="1"/>
  <c r="BI79" i="1" s="1"/>
  <c r="AM80" i="1"/>
  <c r="AM81" i="1"/>
  <c r="BI81" i="1" s="1"/>
  <c r="AM82" i="1"/>
  <c r="BI82" i="1" s="1"/>
  <c r="AM83" i="1"/>
  <c r="AM84" i="1"/>
  <c r="BI84" i="1" s="1"/>
  <c r="AM85" i="1"/>
  <c r="BI85" i="1" s="1"/>
  <c r="AM86" i="1"/>
  <c r="AM87" i="1"/>
  <c r="BI87" i="1" s="1"/>
  <c r="AM88" i="1"/>
  <c r="AM89" i="1"/>
  <c r="BI89" i="1" s="1"/>
  <c r="AM90" i="1"/>
  <c r="AM91" i="1"/>
  <c r="BI91" i="1" s="1"/>
  <c r="AM92" i="1"/>
  <c r="BI92" i="1" s="1"/>
  <c r="AM93" i="1"/>
  <c r="BI93" i="1" s="1"/>
  <c r="AM94" i="1"/>
  <c r="AM95" i="1"/>
  <c r="AM96" i="1"/>
  <c r="BI96" i="1" s="1"/>
  <c r="AM97" i="1"/>
  <c r="BI97" i="1" s="1"/>
  <c r="AM98" i="1"/>
  <c r="BI98" i="1" s="1"/>
  <c r="AM99" i="1"/>
  <c r="AM100" i="1"/>
  <c r="BI100" i="1" s="1"/>
  <c r="AM101" i="1"/>
  <c r="BI101" i="1" s="1"/>
  <c r="AM102" i="1"/>
  <c r="AM103" i="1"/>
  <c r="BI103" i="1" s="1"/>
  <c r="AM104" i="1"/>
  <c r="BI104" i="1" s="1"/>
  <c r="AM105" i="1"/>
  <c r="BI105" i="1" s="1"/>
  <c r="AM106" i="1"/>
  <c r="BI106" i="1" s="1"/>
  <c r="AM107" i="1"/>
  <c r="BI107" i="1" s="1"/>
  <c r="AM108" i="1"/>
  <c r="BI108" i="1" s="1"/>
  <c r="AM109" i="1"/>
  <c r="BI110" i="1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Q36" i="1"/>
  <c r="BL36" i="1" s="1"/>
  <c r="AQ37" i="1"/>
  <c r="BL37" i="1" s="1"/>
  <c r="AQ38" i="1"/>
  <c r="BL38" i="1" s="1"/>
  <c r="AQ39" i="1"/>
  <c r="BL39" i="1" s="1"/>
  <c r="AQ40" i="1"/>
  <c r="BL40" i="1" s="1"/>
  <c r="AQ41" i="1"/>
  <c r="BL41" i="1" s="1"/>
  <c r="AQ42" i="1"/>
  <c r="BL42" i="1" s="1"/>
  <c r="AQ43" i="1"/>
  <c r="BL43" i="1" s="1"/>
  <c r="AQ44" i="1"/>
  <c r="BL44" i="1" s="1"/>
  <c r="AQ45" i="1"/>
  <c r="BL45" i="1" s="1"/>
  <c r="AQ46" i="1"/>
  <c r="BL46" i="1" s="1"/>
  <c r="AQ47" i="1"/>
  <c r="BL47" i="1" s="1"/>
  <c r="AQ48" i="1"/>
  <c r="BL48" i="1" s="1"/>
  <c r="AQ49" i="1"/>
  <c r="BL49" i="1" s="1"/>
  <c r="AQ50" i="1"/>
  <c r="BL50" i="1" s="1"/>
  <c r="AQ51" i="1"/>
  <c r="BL51" i="1" s="1"/>
  <c r="AQ52" i="1"/>
  <c r="BL52" i="1" s="1"/>
  <c r="AQ53" i="1"/>
  <c r="BL53" i="1" s="1"/>
  <c r="AQ54" i="1"/>
  <c r="BL54" i="1" s="1"/>
  <c r="AQ55" i="1"/>
  <c r="BL55" i="1" s="1"/>
  <c r="AQ56" i="1"/>
  <c r="BL56" i="1" s="1"/>
  <c r="AQ57" i="1"/>
  <c r="BL57" i="1" s="1"/>
  <c r="AQ58" i="1"/>
  <c r="BL58" i="1" s="1"/>
  <c r="AQ59" i="1"/>
  <c r="BL59" i="1" s="1"/>
  <c r="AQ60" i="1"/>
  <c r="BL60" i="1" s="1"/>
  <c r="AQ61" i="1"/>
  <c r="BL61" i="1" s="1"/>
  <c r="AQ62" i="1"/>
  <c r="BL62" i="1" s="1"/>
  <c r="AQ63" i="1"/>
  <c r="BL63" i="1" s="1"/>
  <c r="AQ64" i="1"/>
  <c r="BL64" i="1" s="1"/>
  <c r="AQ65" i="1"/>
  <c r="BL65" i="1" s="1"/>
  <c r="AQ66" i="1"/>
  <c r="BL66" i="1" s="1"/>
  <c r="AQ67" i="1"/>
  <c r="BL67" i="1" s="1"/>
  <c r="AQ68" i="1"/>
  <c r="BL68" i="1" s="1"/>
  <c r="AQ69" i="1"/>
  <c r="BL69" i="1" s="1"/>
  <c r="AQ70" i="1"/>
  <c r="BL70" i="1" s="1"/>
  <c r="AQ12" i="1"/>
  <c r="BL12" i="1" s="1"/>
  <c r="AQ13" i="1"/>
  <c r="BL13" i="1" s="1"/>
  <c r="AQ16" i="1"/>
  <c r="BL16" i="1" s="1"/>
  <c r="AQ17" i="1"/>
  <c r="BL17" i="1" s="1"/>
  <c r="AQ18" i="1"/>
  <c r="BL18" i="1" s="1"/>
  <c r="AQ19" i="1"/>
  <c r="BL19" i="1" s="1"/>
  <c r="AQ20" i="1"/>
  <c r="BL20" i="1" s="1"/>
  <c r="AQ21" i="1"/>
  <c r="BL21" i="1" s="1"/>
  <c r="AQ22" i="1"/>
  <c r="BL22" i="1" s="1"/>
  <c r="AQ23" i="1"/>
  <c r="BL23" i="1" s="1"/>
  <c r="AQ24" i="1"/>
  <c r="BL24" i="1" s="1"/>
  <c r="AQ25" i="1"/>
  <c r="BL25" i="1" s="1"/>
  <c r="AQ26" i="1"/>
  <c r="BL26" i="1" s="1"/>
  <c r="AQ27" i="1"/>
  <c r="BL27" i="1" s="1"/>
  <c r="AQ28" i="1"/>
  <c r="BL28" i="1" s="1"/>
  <c r="AQ29" i="1"/>
  <c r="BL29" i="1" s="1"/>
  <c r="AQ30" i="1"/>
  <c r="BL30" i="1" s="1"/>
  <c r="AQ31" i="1"/>
  <c r="BL31" i="1" s="1"/>
  <c r="AQ32" i="1"/>
  <c r="BL32" i="1" s="1"/>
  <c r="AQ33" i="1"/>
  <c r="BL33" i="1" s="1"/>
  <c r="AQ34" i="1"/>
  <c r="BL34" i="1" s="1"/>
  <c r="AQ35" i="1"/>
  <c r="AQ4" i="1"/>
  <c r="AQ5" i="1"/>
  <c r="BL5" i="1" s="1"/>
  <c r="AQ6" i="1"/>
  <c r="BL6" i="1" s="1"/>
  <c r="AQ7" i="1"/>
  <c r="BL7" i="1" s="1"/>
  <c r="AQ8" i="1"/>
  <c r="BL8" i="1" s="1"/>
  <c r="AQ9" i="1"/>
  <c r="BL9" i="1" s="1"/>
  <c r="AQ10" i="1"/>
  <c r="BL10" i="1" s="1"/>
  <c r="AQ11" i="1"/>
  <c r="BL11" i="1" s="1"/>
  <c r="AQ14" i="1"/>
  <c r="BL14" i="1" s="1"/>
  <c r="AQ15" i="1"/>
  <c r="AO51" i="1"/>
  <c r="BJ51" i="1" s="1"/>
  <c r="AO48" i="1"/>
  <c r="BJ48" i="1" s="1"/>
  <c r="AO49" i="1"/>
  <c r="BJ49" i="1" s="1"/>
  <c r="AO50" i="1"/>
  <c r="BJ50" i="1" s="1"/>
  <c r="AO46" i="1"/>
  <c r="BJ46" i="1" s="1"/>
  <c r="AO47" i="1"/>
  <c r="BJ47" i="1" s="1"/>
  <c r="AO34" i="1"/>
  <c r="BJ34" i="1" s="1"/>
  <c r="AO35" i="1"/>
  <c r="AO36" i="1"/>
  <c r="AO37" i="1"/>
  <c r="BJ37" i="1" s="1"/>
  <c r="AO38" i="1"/>
  <c r="BJ38" i="1" s="1"/>
  <c r="AO39" i="1"/>
  <c r="BJ39" i="1" s="1"/>
  <c r="AO40" i="1"/>
  <c r="BJ40" i="1" s="1"/>
  <c r="AO41" i="1"/>
  <c r="BJ41" i="1" s="1"/>
  <c r="AO42" i="1"/>
  <c r="BJ42" i="1" s="1"/>
  <c r="AO43" i="1"/>
  <c r="BJ43" i="1" s="1"/>
  <c r="AO44" i="1"/>
  <c r="BJ44" i="1" s="1"/>
  <c r="AO45" i="1"/>
  <c r="BJ45" i="1" s="1"/>
  <c r="AO27" i="1"/>
  <c r="BJ27" i="1" s="1"/>
  <c r="AO28" i="1"/>
  <c r="BJ28" i="1" s="1"/>
  <c r="AO29" i="1"/>
  <c r="BJ29" i="1" s="1"/>
  <c r="AO30" i="1"/>
  <c r="AO31" i="1"/>
  <c r="BJ31" i="1" s="1"/>
  <c r="AO32" i="1"/>
  <c r="BJ32" i="1" s="1"/>
  <c r="AO33" i="1"/>
  <c r="BJ33" i="1" s="1"/>
  <c r="AO52" i="1"/>
  <c r="BJ52" i="1" s="1"/>
  <c r="AO53" i="1"/>
  <c r="BJ53" i="1" s="1"/>
  <c r="AO54" i="1"/>
  <c r="BJ54" i="1" s="1"/>
  <c r="AO55" i="1"/>
  <c r="BJ55" i="1" s="1"/>
  <c r="AO56" i="1"/>
  <c r="BJ56" i="1" s="1"/>
  <c r="AO57" i="1"/>
  <c r="BJ57" i="1" s="1"/>
  <c r="AO58" i="1"/>
  <c r="BJ58" i="1" s="1"/>
  <c r="AO59" i="1"/>
  <c r="AO60" i="1"/>
  <c r="AO61" i="1"/>
  <c r="AO62" i="1"/>
  <c r="BJ62" i="1" s="1"/>
  <c r="AO63" i="1"/>
  <c r="BJ63" i="1" s="1"/>
  <c r="AO64" i="1"/>
  <c r="BJ64" i="1" s="1"/>
  <c r="AO65" i="1"/>
  <c r="BJ65" i="1" s="1"/>
  <c r="AO66" i="1"/>
  <c r="BJ66" i="1" s="1"/>
  <c r="AO67" i="1"/>
  <c r="BJ67" i="1" s="1"/>
  <c r="AO68" i="1"/>
  <c r="BJ68" i="1" s="1"/>
  <c r="AO69" i="1"/>
  <c r="BJ69" i="1" s="1"/>
  <c r="AO70" i="1"/>
  <c r="BJ70" i="1" s="1"/>
  <c r="AO4" i="1"/>
  <c r="AO5" i="1"/>
  <c r="BJ5" i="1" s="1"/>
  <c r="AO6" i="1"/>
  <c r="BJ6" i="1" s="1"/>
  <c r="AO7" i="1"/>
  <c r="BJ7" i="1" s="1"/>
  <c r="AO8" i="1"/>
  <c r="BJ8" i="1" s="1"/>
  <c r="AO9" i="1"/>
  <c r="BJ9" i="1" s="1"/>
  <c r="AO10" i="1"/>
  <c r="BJ10" i="1" s="1"/>
  <c r="AO11" i="1"/>
  <c r="BJ11" i="1" s="1"/>
  <c r="AO12" i="1"/>
  <c r="BJ12" i="1" s="1"/>
  <c r="AO13" i="1"/>
  <c r="BJ13" i="1" s="1"/>
  <c r="AO14" i="1"/>
  <c r="BJ14" i="1" s="1"/>
  <c r="AO15" i="1"/>
  <c r="AO16" i="1"/>
  <c r="AO17" i="1"/>
  <c r="BJ17" i="1" s="1"/>
  <c r="AO18" i="1"/>
  <c r="BJ18" i="1" s="1"/>
  <c r="AO19" i="1"/>
  <c r="BJ19" i="1" s="1"/>
  <c r="AO20" i="1"/>
  <c r="BJ20" i="1" s="1"/>
  <c r="AO21" i="1"/>
  <c r="BJ21" i="1" s="1"/>
  <c r="AO22" i="1"/>
  <c r="BJ22" i="1" s="1"/>
  <c r="AO23" i="1"/>
  <c r="BJ23" i="1" s="1"/>
  <c r="AO24" i="1"/>
  <c r="BJ24" i="1" s="1"/>
  <c r="AO25" i="1"/>
  <c r="BJ25" i="1" s="1"/>
  <c r="AO26" i="1"/>
  <c r="BJ26" i="1" s="1"/>
  <c r="AU36" i="1"/>
  <c r="BO36" i="1" s="1"/>
  <c r="AU37" i="1"/>
  <c r="BO37" i="1" s="1"/>
  <c r="AU38" i="1"/>
  <c r="BO38" i="1" s="1"/>
  <c r="AU39" i="1"/>
  <c r="BO39" i="1" s="1"/>
  <c r="AU40" i="1"/>
  <c r="BO40" i="1" s="1"/>
  <c r="AU41" i="1"/>
  <c r="BO41" i="1" s="1"/>
  <c r="AU42" i="1"/>
  <c r="BO42" i="1" s="1"/>
  <c r="AU43" i="1"/>
  <c r="BO43" i="1" s="1"/>
  <c r="AU44" i="1"/>
  <c r="BO44" i="1" s="1"/>
  <c r="AU45" i="1"/>
  <c r="BO45" i="1" s="1"/>
  <c r="AU46" i="1"/>
  <c r="BO46" i="1" s="1"/>
  <c r="AU47" i="1"/>
  <c r="BO47" i="1" s="1"/>
  <c r="AU48" i="1"/>
  <c r="BO48" i="1" s="1"/>
  <c r="AU49" i="1"/>
  <c r="BO49" i="1" s="1"/>
  <c r="AU50" i="1"/>
  <c r="BO50" i="1" s="1"/>
  <c r="AU51" i="1"/>
  <c r="BO51" i="1" s="1"/>
  <c r="AU52" i="1"/>
  <c r="BO52" i="1" s="1"/>
  <c r="AU53" i="1"/>
  <c r="BO53" i="1" s="1"/>
  <c r="AU54" i="1"/>
  <c r="BO54" i="1" s="1"/>
  <c r="AU55" i="1"/>
  <c r="BO55" i="1" s="1"/>
  <c r="AU56" i="1"/>
  <c r="BO56" i="1" s="1"/>
  <c r="AU57" i="1"/>
  <c r="BO57" i="1" s="1"/>
  <c r="AU58" i="1"/>
  <c r="BO58" i="1" s="1"/>
  <c r="AU59" i="1"/>
  <c r="BO59" i="1" s="1"/>
  <c r="AU60" i="1"/>
  <c r="BO60" i="1" s="1"/>
  <c r="AU61" i="1"/>
  <c r="BO61" i="1" s="1"/>
  <c r="AU62" i="1"/>
  <c r="BO62" i="1" s="1"/>
  <c r="AU63" i="1"/>
  <c r="BO63" i="1" s="1"/>
  <c r="AU64" i="1"/>
  <c r="BO64" i="1" s="1"/>
  <c r="AU65" i="1"/>
  <c r="BO65" i="1" s="1"/>
  <c r="AU66" i="1"/>
  <c r="BO66" i="1" s="1"/>
  <c r="AU67" i="1"/>
  <c r="BO67" i="1" s="1"/>
  <c r="AU68" i="1"/>
  <c r="BO68" i="1" s="1"/>
  <c r="AU69" i="1"/>
  <c r="BO69" i="1" s="1"/>
  <c r="AU70" i="1"/>
  <c r="BO70" i="1" s="1"/>
  <c r="B7" i="5"/>
  <c r="B14" i="5" s="1"/>
  <c r="B43" i="5" s="1"/>
  <c r="B6" i="5"/>
  <c r="B35" i="5" s="1"/>
  <c r="B8" i="5"/>
  <c r="B37" i="5" s="1"/>
  <c r="B9" i="5"/>
  <c r="B10" i="5"/>
  <c r="A10" i="5" s="1"/>
  <c r="B11" i="5"/>
  <c r="B12" i="5"/>
  <c r="B41" i="5" s="1"/>
  <c r="B13" i="5"/>
  <c r="B42" i="5" s="1"/>
  <c r="B15" i="5"/>
  <c r="B44" i="5" s="1"/>
  <c r="B16" i="5"/>
  <c r="B45" i="5" s="1"/>
  <c r="B17" i="5"/>
  <c r="B46" i="5" s="1"/>
  <c r="B18" i="5"/>
  <c r="A18" i="5" s="1"/>
  <c r="B19" i="5"/>
  <c r="B48" i="5" s="1"/>
  <c r="B20" i="5"/>
  <c r="B49" i="5" s="1"/>
  <c r="B21" i="5"/>
  <c r="B50" i="5" s="1"/>
  <c r="B22" i="5"/>
  <c r="B51" i="5" s="1"/>
  <c r="B23" i="5"/>
  <c r="B52" i="5" s="1"/>
  <c r="B24" i="5"/>
  <c r="B53" i="5" s="1"/>
  <c r="B25" i="5"/>
  <c r="A25" i="5" s="1"/>
  <c r="B26" i="5"/>
  <c r="B55" i="5" s="1"/>
  <c r="B27" i="5"/>
  <c r="B56" i="5" s="1"/>
  <c r="B28" i="5"/>
  <c r="B57" i="5" s="1"/>
  <c r="B5" i="5"/>
  <c r="G43" i="5"/>
  <c r="H43" i="5"/>
  <c r="I43" i="5"/>
  <c r="G55" i="5"/>
  <c r="H55" i="5"/>
  <c r="I55" i="5"/>
  <c r="K12" i="5"/>
  <c r="H41" i="5"/>
  <c r="K14" i="5"/>
  <c r="K43" i="5"/>
  <c r="K24" i="5"/>
  <c r="H53" i="5"/>
  <c r="K26" i="5"/>
  <c r="K55" i="5"/>
  <c r="J6" i="5"/>
  <c r="K6" i="5"/>
  <c r="J7" i="5"/>
  <c r="J8" i="5"/>
  <c r="J9" i="5"/>
  <c r="K9" i="5"/>
  <c r="J10" i="5"/>
  <c r="K10" i="5"/>
  <c r="J11" i="5"/>
  <c r="J12" i="5"/>
  <c r="J41" i="5"/>
  <c r="J13" i="5"/>
  <c r="K13" i="5"/>
  <c r="J14" i="5"/>
  <c r="J43" i="5"/>
  <c r="J15" i="5"/>
  <c r="K15" i="5"/>
  <c r="J16" i="5"/>
  <c r="K16" i="5"/>
  <c r="J17" i="5"/>
  <c r="K17" i="5"/>
  <c r="J18" i="5"/>
  <c r="K18" i="5"/>
  <c r="J19" i="5"/>
  <c r="J20" i="5"/>
  <c r="J21" i="5"/>
  <c r="K21" i="5"/>
  <c r="J22" i="5"/>
  <c r="J23" i="5"/>
  <c r="K23" i="5"/>
  <c r="J24" i="5"/>
  <c r="J53" i="5"/>
  <c r="J25" i="5"/>
  <c r="K25" i="5"/>
  <c r="J26" i="5"/>
  <c r="J55" i="5"/>
  <c r="J27" i="5"/>
  <c r="K27" i="5"/>
  <c r="J28" i="5"/>
  <c r="K28" i="5"/>
  <c r="J29" i="5"/>
  <c r="J5" i="5"/>
  <c r="I6" i="4"/>
  <c r="J6" i="4" s="1"/>
  <c r="I7" i="4"/>
  <c r="J7" i="4" s="1"/>
  <c r="I45" i="4" s="1"/>
  <c r="I8" i="4"/>
  <c r="J8" i="4" s="1"/>
  <c r="I9" i="4"/>
  <c r="I10" i="4"/>
  <c r="J10" i="4" s="1"/>
  <c r="I11" i="4"/>
  <c r="J11" i="4" s="1"/>
  <c r="F49" i="4" s="1"/>
  <c r="I12" i="4"/>
  <c r="J12" i="4" s="1"/>
  <c r="I13" i="4"/>
  <c r="J13" i="4" s="1"/>
  <c r="G51" i="4" s="1"/>
  <c r="I14" i="4"/>
  <c r="I15" i="4"/>
  <c r="I16" i="4"/>
  <c r="I17" i="4"/>
  <c r="I18" i="4"/>
  <c r="J18" i="4" s="1"/>
  <c r="I19" i="4"/>
  <c r="J19" i="4" s="1"/>
  <c r="H57" i="4" s="1"/>
  <c r="I20" i="4"/>
  <c r="J20" i="4" s="1"/>
  <c r="I21" i="4"/>
  <c r="J21" i="4" s="1"/>
  <c r="J59" i="4" s="1"/>
  <c r="I22" i="4"/>
  <c r="J22" i="4" s="1"/>
  <c r="I23" i="4"/>
  <c r="I24" i="4"/>
  <c r="J24" i="4" s="1"/>
  <c r="J62" i="4" s="1"/>
  <c r="I25" i="4"/>
  <c r="J25" i="4" s="1"/>
  <c r="I26" i="4"/>
  <c r="I27" i="4"/>
  <c r="I28" i="4"/>
  <c r="I29" i="4"/>
  <c r="I30" i="4"/>
  <c r="J30" i="4" s="1"/>
  <c r="E30" i="4" s="1"/>
  <c r="I31" i="4"/>
  <c r="J31" i="4" s="1"/>
  <c r="I32" i="4"/>
  <c r="I33" i="4"/>
  <c r="J33" i="4" s="1"/>
  <c r="I34" i="4"/>
  <c r="J34" i="4" s="1"/>
  <c r="F72" i="4" s="1"/>
  <c r="I35" i="4"/>
  <c r="J35" i="4" s="1"/>
  <c r="I36" i="4"/>
  <c r="J36" i="4" s="1"/>
  <c r="I37" i="4"/>
  <c r="J37" i="4" s="1"/>
  <c r="I38" i="4"/>
  <c r="J38" i="4" s="1"/>
  <c r="I5" i="4"/>
  <c r="K35" i="5"/>
  <c r="H35" i="5"/>
  <c r="I35" i="5"/>
  <c r="G35" i="5"/>
  <c r="J35" i="5"/>
  <c r="I57" i="5"/>
  <c r="G57" i="5"/>
  <c r="J57" i="5"/>
  <c r="H57" i="5"/>
  <c r="K57" i="5"/>
  <c r="J49" i="5"/>
  <c r="G46" i="5"/>
  <c r="H46" i="5"/>
  <c r="I46" i="5"/>
  <c r="K46" i="5"/>
  <c r="G56" i="5"/>
  <c r="H56" i="5"/>
  <c r="I56" i="5"/>
  <c r="J56" i="5"/>
  <c r="K56" i="5"/>
  <c r="I42" i="5"/>
  <c r="J42" i="5"/>
  <c r="G42" i="5"/>
  <c r="H42" i="5"/>
  <c r="K42" i="5"/>
  <c r="J48" i="5"/>
  <c r="G47" i="5"/>
  <c r="K47" i="5"/>
  <c r="H47" i="5"/>
  <c r="I47" i="5"/>
  <c r="J47" i="5"/>
  <c r="J58" i="5"/>
  <c r="I45" i="5"/>
  <c r="G45" i="5"/>
  <c r="J45" i="5"/>
  <c r="K45" i="5"/>
  <c r="H45" i="5"/>
  <c r="K44" i="5"/>
  <c r="G44" i="5"/>
  <c r="H44" i="5"/>
  <c r="I44" i="5"/>
  <c r="J44" i="5"/>
  <c r="I54" i="5"/>
  <c r="G54" i="5"/>
  <c r="H54" i="5"/>
  <c r="J54" i="5"/>
  <c r="K54" i="5"/>
  <c r="G52" i="5"/>
  <c r="H52" i="5"/>
  <c r="K52" i="5"/>
  <c r="I52" i="5"/>
  <c r="G39" i="5"/>
  <c r="H39" i="5"/>
  <c r="I39" i="5"/>
  <c r="K39" i="5"/>
  <c r="K50" i="5"/>
  <c r="H50" i="5"/>
  <c r="J50" i="5"/>
  <c r="G50" i="5"/>
  <c r="I50" i="5"/>
  <c r="K38" i="5"/>
  <c r="H38" i="5"/>
  <c r="I38" i="5"/>
  <c r="J38" i="5"/>
  <c r="G38" i="5"/>
  <c r="K11" i="5"/>
  <c r="K22" i="5"/>
  <c r="J52" i="5"/>
  <c r="K8" i="5"/>
  <c r="K5" i="5"/>
  <c r="K29" i="5"/>
  <c r="J39" i="5"/>
  <c r="K53" i="5"/>
  <c r="J46" i="5"/>
  <c r="K41" i="5"/>
  <c r="G53" i="5"/>
  <c r="G41" i="5"/>
  <c r="K20" i="5"/>
  <c r="K7" i="5"/>
  <c r="I41" i="5"/>
  <c r="K19" i="5"/>
  <c r="I53" i="5"/>
  <c r="G51" i="5"/>
  <c r="H51" i="5"/>
  <c r="I51" i="5"/>
  <c r="K51" i="5"/>
  <c r="G49" i="5"/>
  <c r="H49" i="5"/>
  <c r="I49" i="5"/>
  <c r="K49" i="5"/>
  <c r="G34" i="5"/>
  <c r="H34" i="5"/>
  <c r="I34" i="5"/>
  <c r="K34" i="5"/>
  <c r="K37" i="5"/>
  <c r="G37" i="5"/>
  <c r="H37" i="5"/>
  <c r="I37" i="5"/>
  <c r="J34" i="5"/>
  <c r="I36" i="5"/>
  <c r="K36" i="5"/>
  <c r="G36" i="5"/>
  <c r="H36" i="5"/>
  <c r="G40" i="5"/>
  <c r="K40" i="5"/>
  <c r="H40" i="5"/>
  <c r="I40" i="5"/>
  <c r="J40" i="5"/>
  <c r="J51" i="5"/>
  <c r="G58" i="5"/>
  <c r="H58" i="5"/>
  <c r="I58" i="5"/>
  <c r="K58" i="5"/>
  <c r="I48" i="5"/>
  <c r="H48" i="5"/>
  <c r="K48" i="5"/>
  <c r="G48" i="5"/>
  <c r="J36" i="5"/>
  <c r="J37" i="5"/>
  <c r="L200" i="2"/>
  <c r="L193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10" i="2"/>
  <c r="R71" i="1"/>
  <c r="AM71" i="1" s="1"/>
  <c r="S8" i="1"/>
  <c r="AR8" i="1" s="1"/>
  <c r="BM8" i="1" s="1"/>
  <c r="S11" i="1"/>
  <c r="AR11" i="1" s="1"/>
  <c r="BM11" i="1" s="1"/>
  <c r="S15" i="1"/>
  <c r="S16" i="1"/>
  <c r="AR16" i="1" s="1"/>
  <c r="BM16" i="1" s="1"/>
  <c r="S18" i="1"/>
  <c r="AR18" i="1" s="1"/>
  <c r="BM18" i="1" s="1"/>
  <c r="S22" i="1"/>
  <c r="AR22" i="1" s="1"/>
  <c r="BM22" i="1" s="1"/>
  <c r="S23" i="1"/>
  <c r="AR23" i="1" s="1"/>
  <c r="BM23" i="1" s="1"/>
  <c r="S24" i="1"/>
  <c r="AR24" i="1" s="1"/>
  <c r="BM24" i="1" s="1"/>
  <c r="S25" i="1"/>
  <c r="AR25" i="1" s="1"/>
  <c r="BM25" i="1" s="1"/>
  <c r="S26" i="1"/>
  <c r="AR26" i="1" s="1"/>
  <c r="BM26" i="1" s="1"/>
  <c r="S27" i="1"/>
  <c r="AR27" i="1" s="1"/>
  <c r="BM27" i="1" s="1"/>
  <c r="S28" i="1"/>
  <c r="AR28" i="1" s="1"/>
  <c r="BM28" i="1" s="1"/>
  <c r="S29" i="1"/>
  <c r="AR29" i="1" s="1"/>
  <c r="BM29" i="1" s="1"/>
  <c r="S30" i="1"/>
  <c r="AR30" i="1" s="1"/>
  <c r="BM30" i="1" s="1"/>
  <c r="S34" i="1"/>
  <c r="AR34" i="1" s="1"/>
  <c r="BM34" i="1" s="1"/>
  <c r="S35" i="1"/>
  <c r="S36" i="1"/>
  <c r="AR36" i="1" s="1"/>
  <c r="BM36" i="1" s="1"/>
  <c r="S37" i="1"/>
  <c r="AR37" i="1" s="1"/>
  <c r="BM37" i="1" s="1"/>
  <c r="S40" i="1"/>
  <c r="AR40" i="1" s="1"/>
  <c r="BM40" i="1" s="1"/>
  <c r="S41" i="1"/>
  <c r="AR41" i="1" s="1"/>
  <c r="BM41" i="1" s="1"/>
  <c r="S42" i="1"/>
  <c r="AR42" i="1" s="1"/>
  <c r="BM42" i="1" s="1"/>
  <c r="S43" i="1"/>
  <c r="AR43" i="1" s="1"/>
  <c r="BM43" i="1" s="1"/>
  <c r="S44" i="1"/>
  <c r="AR44" i="1" s="1"/>
  <c r="BM44" i="1" s="1"/>
  <c r="S45" i="1"/>
  <c r="AR45" i="1" s="1"/>
  <c r="BM45" i="1" s="1"/>
  <c r="S47" i="1"/>
  <c r="AR47" i="1" s="1"/>
  <c r="BM47" i="1" s="1"/>
  <c r="S48" i="1"/>
  <c r="AR48" i="1" s="1"/>
  <c r="BM48" i="1" s="1"/>
  <c r="S49" i="1"/>
  <c r="AR49" i="1" s="1"/>
  <c r="BM49" i="1" s="1"/>
  <c r="S51" i="1"/>
  <c r="AR51" i="1" s="1"/>
  <c r="BM51" i="1" s="1"/>
  <c r="S52" i="1"/>
  <c r="AR52" i="1" s="1"/>
  <c r="BM52" i="1" s="1"/>
  <c r="S53" i="1"/>
  <c r="AR53" i="1" s="1"/>
  <c r="BM53" i="1" s="1"/>
  <c r="S55" i="1"/>
  <c r="AR55" i="1" s="1"/>
  <c r="BM55" i="1" s="1"/>
  <c r="S56" i="1"/>
  <c r="AR56" i="1" s="1"/>
  <c r="BM56" i="1" s="1"/>
  <c r="S57" i="1"/>
  <c r="AR57" i="1" s="1"/>
  <c r="BM57" i="1" s="1"/>
  <c r="S58" i="1"/>
  <c r="AR58" i="1" s="1"/>
  <c r="BM58" i="1" s="1"/>
  <c r="S59" i="1"/>
  <c r="AR59" i="1" s="1"/>
  <c r="BM59" i="1" s="1"/>
  <c r="S60" i="1"/>
  <c r="AR60" i="1" s="1"/>
  <c r="BM60" i="1" s="1"/>
  <c r="S61" i="1"/>
  <c r="AR61" i="1" s="1"/>
  <c r="BM61" i="1" s="1"/>
  <c r="S63" i="1"/>
  <c r="AR63" i="1" s="1"/>
  <c r="BM63" i="1" s="1"/>
  <c r="S64" i="1"/>
  <c r="AR64" i="1" s="1"/>
  <c r="BM64" i="1" s="1"/>
  <c r="S65" i="1"/>
  <c r="AR65" i="1" s="1"/>
  <c r="BM65" i="1" s="1"/>
  <c r="S66" i="1"/>
  <c r="AR66" i="1" s="1"/>
  <c r="BM66" i="1" s="1"/>
  <c r="S67" i="1"/>
  <c r="AR67" i="1" s="1"/>
  <c r="BM67" i="1" s="1"/>
  <c r="S68" i="1"/>
  <c r="AR68" i="1" s="1"/>
  <c r="BM68" i="1" s="1"/>
  <c r="S69" i="1"/>
  <c r="AR69" i="1" s="1"/>
  <c r="BM69" i="1" s="1"/>
  <c r="AA71" i="1"/>
  <c r="G71" i="1"/>
  <c r="AX70" i="1"/>
  <c r="BQ70" i="1" s="1"/>
  <c r="AA70" i="1"/>
  <c r="R70" i="1"/>
  <c r="AM70" i="1" s="1"/>
  <c r="BI70" i="1" s="1"/>
  <c r="P70" i="1"/>
  <c r="P13" i="1"/>
  <c r="BB13" i="1" s="1"/>
  <c r="AA19" i="1"/>
  <c r="AB19" i="1" s="1"/>
  <c r="AX16" i="1"/>
  <c r="BQ16" i="1" s="1"/>
  <c r="AX17" i="1"/>
  <c r="BQ17" i="1" s="1"/>
  <c r="AX18" i="1"/>
  <c r="BQ18" i="1" s="1"/>
  <c r="AX19" i="1"/>
  <c r="BQ19" i="1" s="1"/>
  <c r="AX20" i="1"/>
  <c r="BQ20" i="1" s="1"/>
  <c r="AX21" i="1"/>
  <c r="BQ21" i="1" s="1"/>
  <c r="AX22" i="1"/>
  <c r="BQ22" i="1" s="1"/>
  <c r="AX23" i="1"/>
  <c r="BQ23" i="1" s="1"/>
  <c r="AX24" i="1"/>
  <c r="BQ24" i="1" s="1"/>
  <c r="AX25" i="1"/>
  <c r="BQ25" i="1" s="1"/>
  <c r="AX26" i="1"/>
  <c r="BQ26" i="1" s="1"/>
  <c r="AX27" i="1"/>
  <c r="BQ27" i="1" s="1"/>
  <c r="AX28" i="1"/>
  <c r="BQ28" i="1" s="1"/>
  <c r="AX29" i="1"/>
  <c r="BQ29" i="1" s="1"/>
  <c r="AX30" i="1"/>
  <c r="BQ30" i="1" s="1"/>
  <c r="AX31" i="1"/>
  <c r="BQ31" i="1" s="1"/>
  <c r="AX32" i="1"/>
  <c r="BQ32" i="1" s="1"/>
  <c r="AX33" i="1"/>
  <c r="BQ33" i="1" s="1"/>
  <c r="AX34" i="1"/>
  <c r="BQ34" i="1" s="1"/>
  <c r="AU16" i="1"/>
  <c r="BO16" i="1" s="1"/>
  <c r="AU17" i="1"/>
  <c r="BO17" i="1" s="1"/>
  <c r="AU18" i="1"/>
  <c r="BO18" i="1" s="1"/>
  <c r="AU19" i="1"/>
  <c r="BO19" i="1" s="1"/>
  <c r="AU20" i="1"/>
  <c r="BO20" i="1" s="1"/>
  <c r="AU21" i="1"/>
  <c r="BO21" i="1" s="1"/>
  <c r="AU22" i="1"/>
  <c r="BO22" i="1" s="1"/>
  <c r="AU23" i="1"/>
  <c r="BO23" i="1" s="1"/>
  <c r="AU24" i="1"/>
  <c r="BO24" i="1" s="1"/>
  <c r="AU25" i="1"/>
  <c r="BO25" i="1" s="1"/>
  <c r="AU26" i="1"/>
  <c r="BO26" i="1" s="1"/>
  <c r="AU27" i="1"/>
  <c r="BO27" i="1" s="1"/>
  <c r="AU28" i="1"/>
  <c r="BO28" i="1" s="1"/>
  <c r="AU29" i="1"/>
  <c r="BO29" i="1" s="1"/>
  <c r="AU30" i="1"/>
  <c r="BO30" i="1" s="1"/>
  <c r="AU31" i="1"/>
  <c r="BO31" i="1" s="1"/>
  <c r="AU32" i="1"/>
  <c r="BO32" i="1" s="1"/>
  <c r="AU33" i="1"/>
  <c r="BO33" i="1" s="1"/>
  <c r="AU34" i="1"/>
  <c r="BO34" i="1" s="1"/>
  <c r="AU12" i="1"/>
  <c r="BO12" i="1" s="1"/>
  <c r="AU13" i="1"/>
  <c r="BO13" i="1" s="1"/>
  <c r="C35" i="1"/>
  <c r="AM35" i="1"/>
  <c r="AU35" i="1"/>
  <c r="AX35" i="1"/>
  <c r="AG35" i="1"/>
  <c r="AE35" i="1" s="1"/>
  <c r="C15" i="1"/>
  <c r="AD15" i="1"/>
  <c r="AM15" i="1"/>
  <c r="AU15" i="1"/>
  <c r="AX15" i="1"/>
  <c r="P20" i="1"/>
  <c r="BB20" i="1" s="1"/>
  <c r="P19" i="1"/>
  <c r="BB19" i="1" s="1"/>
  <c r="P21" i="1"/>
  <c r="S21" i="1" s="1"/>
  <c r="AR21" i="1" s="1"/>
  <c r="BM21" i="1" s="1"/>
  <c r="P17" i="1"/>
  <c r="BB17" i="1" s="1"/>
  <c r="P14" i="1"/>
  <c r="O14" i="1" s="1"/>
  <c r="P10" i="1"/>
  <c r="BB10" i="1" s="1"/>
  <c r="P9" i="1"/>
  <c r="O9" i="1" s="1"/>
  <c r="P4" i="1"/>
  <c r="S4" i="1" s="1"/>
  <c r="O7" i="1"/>
  <c r="AJ13" i="1"/>
  <c r="AX36" i="1"/>
  <c r="BQ36" i="1" s="1"/>
  <c r="AX37" i="1"/>
  <c r="BQ37" i="1" s="1"/>
  <c r="AX38" i="1"/>
  <c r="BQ38" i="1" s="1"/>
  <c r="AX39" i="1"/>
  <c r="BQ39" i="1" s="1"/>
  <c r="AX40" i="1"/>
  <c r="BQ40" i="1" s="1"/>
  <c r="AX41" i="1"/>
  <c r="BQ41" i="1" s="1"/>
  <c r="AX42" i="1"/>
  <c r="BQ42" i="1" s="1"/>
  <c r="AX43" i="1"/>
  <c r="BQ43" i="1" s="1"/>
  <c r="AX44" i="1"/>
  <c r="BQ44" i="1" s="1"/>
  <c r="AX45" i="1"/>
  <c r="BQ45" i="1" s="1"/>
  <c r="AX46" i="1"/>
  <c r="BQ46" i="1" s="1"/>
  <c r="AX47" i="1"/>
  <c r="BQ47" i="1" s="1"/>
  <c r="AX48" i="1"/>
  <c r="BQ48" i="1" s="1"/>
  <c r="AX49" i="1"/>
  <c r="BQ49" i="1" s="1"/>
  <c r="AX50" i="1"/>
  <c r="BQ50" i="1" s="1"/>
  <c r="AX51" i="1"/>
  <c r="BQ51" i="1" s="1"/>
  <c r="AX52" i="1"/>
  <c r="BQ52" i="1" s="1"/>
  <c r="AX53" i="1"/>
  <c r="BQ53" i="1" s="1"/>
  <c r="AX54" i="1"/>
  <c r="BQ54" i="1" s="1"/>
  <c r="AX55" i="1"/>
  <c r="BQ55" i="1" s="1"/>
  <c r="AX56" i="1"/>
  <c r="BQ56" i="1" s="1"/>
  <c r="AX57" i="1"/>
  <c r="BQ57" i="1" s="1"/>
  <c r="AX58" i="1"/>
  <c r="BQ58" i="1" s="1"/>
  <c r="AX59" i="1"/>
  <c r="BQ59" i="1" s="1"/>
  <c r="AX60" i="1"/>
  <c r="BQ60" i="1" s="1"/>
  <c r="AX61" i="1"/>
  <c r="BQ61" i="1" s="1"/>
  <c r="AX62" i="1"/>
  <c r="BQ62" i="1" s="1"/>
  <c r="AX63" i="1"/>
  <c r="BQ63" i="1" s="1"/>
  <c r="AX64" i="1"/>
  <c r="BQ64" i="1" s="1"/>
  <c r="AX65" i="1"/>
  <c r="BQ65" i="1" s="1"/>
  <c r="AX66" i="1"/>
  <c r="BQ66" i="1" s="1"/>
  <c r="AX67" i="1"/>
  <c r="BQ67" i="1" s="1"/>
  <c r="AX68" i="1"/>
  <c r="BQ68" i="1" s="1"/>
  <c r="AX69" i="1"/>
  <c r="BQ69" i="1" s="1"/>
  <c r="O4" i="1"/>
  <c r="AJ4" i="1"/>
  <c r="AH4" i="1"/>
  <c r="AH33" i="1"/>
  <c r="AH32" i="1"/>
  <c r="AH31" i="1"/>
  <c r="AH23" i="1"/>
  <c r="AH22" i="1"/>
  <c r="AJ22" i="1" s="1"/>
  <c r="AH16" i="1"/>
  <c r="AH34" i="1"/>
  <c r="AJ34" i="1" s="1"/>
  <c r="AH21" i="1"/>
  <c r="AJ21" i="1" s="1"/>
  <c r="AH18" i="1"/>
  <c r="AJ18" i="1" s="1"/>
  <c r="AJ30" i="1"/>
  <c r="AH12" i="1"/>
  <c r="AJ12" i="1" s="1"/>
  <c r="AJ24" i="1"/>
  <c r="AH29" i="1"/>
  <c r="AH28" i="1"/>
  <c r="AH27" i="1"/>
  <c r="AH26" i="1"/>
  <c r="AH25" i="1"/>
  <c r="AI8" i="1"/>
  <c r="AG8" i="1" s="1"/>
  <c r="AX4" i="1"/>
  <c r="AX5" i="1"/>
  <c r="BQ5" i="1" s="1"/>
  <c r="AX6" i="1"/>
  <c r="BQ6" i="1" s="1"/>
  <c r="AX7" i="1"/>
  <c r="BQ7" i="1" s="1"/>
  <c r="AX8" i="1"/>
  <c r="BQ8" i="1" s="1"/>
  <c r="AX9" i="1"/>
  <c r="AX10" i="1"/>
  <c r="BQ10" i="1" s="1"/>
  <c r="AX11" i="1"/>
  <c r="BQ11" i="1" s="1"/>
  <c r="AX14" i="1"/>
  <c r="BQ14" i="1" s="1"/>
  <c r="AU4" i="1"/>
  <c r="AU5" i="1"/>
  <c r="BO5" i="1" s="1"/>
  <c r="AU6" i="1"/>
  <c r="BO6" i="1" s="1"/>
  <c r="AU7" i="1"/>
  <c r="BO7" i="1" s="1"/>
  <c r="AU8" i="1"/>
  <c r="BO8" i="1" s="1"/>
  <c r="AU9" i="1"/>
  <c r="BO9" i="1" s="1"/>
  <c r="AU10" i="1"/>
  <c r="BO10" i="1" s="1"/>
  <c r="AU11" i="1"/>
  <c r="BO11" i="1" s="1"/>
  <c r="AU14" i="1"/>
  <c r="BO14" i="1" s="1"/>
  <c r="BB5" i="1"/>
  <c r="BB6" i="1"/>
  <c r="BB7" i="1"/>
  <c r="BB8" i="1"/>
  <c r="BB11" i="1"/>
  <c r="BB12" i="1"/>
  <c r="BB16" i="1"/>
  <c r="BB18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6" i="1"/>
  <c r="BB37" i="1"/>
  <c r="BB40" i="1"/>
  <c r="BB41" i="1"/>
  <c r="BB42" i="1"/>
  <c r="BB43" i="1"/>
  <c r="BB44" i="1"/>
  <c r="BB45" i="1"/>
  <c r="BB47" i="1"/>
  <c r="BB48" i="1"/>
  <c r="BB49" i="1"/>
  <c r="BB51" i="1"/>
  <c r="BB52" i="1"/>
  <c r="BB53" i="1"/>
  <c r="BB55" i="1"/>
  <c r="BB56" i="1"/>
  <c r="BB57" i="1"/>
  <c r="BB58" i="1"/>
  <c r="BB59" i="1"/>
  <c r="BB60" i="1"/>
  <c r="BB61" i="1"/>
  <c r="BB63" i="1"/>
  <c r="BB64" i="1"/>
  <c r="BB65" i="1"/>
  <c r="BB66" i="1"/>
  <c r="BB67" i="1"/>
  <c r="BB68" i="1"/>
  <c r="BB69" i="1"/>
  <c r="BB4" i="1"/>
  <c r="U8" i="3"/>
  <c r="V8" i="3"/>
  <c r="W8" i="3"/>
  <c r="U9" i="3"/>
  <c r="V9" i="3"/>
  <c r="W9" i="3"/>
  <c r="U10" i="3"/>
  <c r="V10" i="3"/>
  <c r="W10" i="3"/>
  <c r="U11" i="3"/>
  <c r="V11" i="3"/>
  <c r="W11" i="3"/>
  <c r="U12" i="3"/>
  <c r="V12" i="3"/>
  <c r="W12" i="3"/>
  <c r="U13" i="3"/>
  <c r="V13" i="3"/>
  <c r="W13" i="3"/>
  <c r="U14" i="3"/>
  <c r="V14" i="3"/>
  <c r="W14" i="3"/>
  <c r="U15" i="3"/>
  <c r="V15" i="3"/>
  <c r="W15" i="3"/>
  <c r="U16" i="3"/>
  <c r="V16" i="3"/>
  <c r="W16" i="3"/>
  <c r="U17" i="3"/>
  <c r="V17" i="3"/>
  <c r="W17" i="3"/>
  <c r="U18" i="3"/>
  <c r="V18" i="3"/>
  <c r="W18" i="3"/>
  <c r="K8" i="3"/>
  <c r="L8" i="3"/>
  <c r="M8" i="3"/>
  <c r="K9" i="3"/>
  <c r="L9" i="3"/>
  <c r="M9" i="3"/>
  <c r="K10" i="3"/>
  <c r="L10" i="3"/>
  <c r="M10" i="3"/>
  <c r="K11" i="3"/>
  <c r="L11" i="3"/>
  <c r="M11" i="3"/>
  <c r="K12" i="3"/>
  <c r="L12" i="3"/>
  <c r="M12" i="3"/>
  <c r="K13" i="3"/>
  <c r="L13" i="3"/>
  <c r="M13" i="3"/>
  <c r="K14" i="3"/>
  <c r="L14" i="3"/>
  <c r="M14" i="3"/>
  <c r="K15" i="3"/>
  <c r="L15" i="3"/>
  <c r="M15" i="3"/>
  <c r="K16" i="3"/>
  <c r="L16" i="3"/>
  <c r="M16" i="3"/>
  <c r="K17" i="3"/>
  <c r="L17" i="3"/>
  <c r="M17" i="3"/>
  <c r="K18" i="3"/>
  <c r="L18" i="3"/>
  <c r="M18" i="3"/>
  <c r="AX12" i="1"/>
  <c r="BQ12" i="1" s="1"/>
  <c r="AX13" i="1"/>
  <c r="BQ13" i="1" s="1"/>
  <c r="AM8" i="1"/>
  <c r="BI8" i="1" s="1"/>
  <c r="AM9" i="1"/>
  <c r="BI9" i="1" s="1"/>
  <c r="AM10" i="1"/>
  <c r="AM11" i="1"/>
  <c r="BI11" i="1" s="1"/>
  <c r="AM14" i="1"/>
  <c r="BI14" i="1" s="1"/>
  <c r="AM16" i="1"/>
  <c r="BI16" i="1" s="1"/>
  <c r="AM17" i="1"/>
  <c r="BI17" i="1" s="1"/>
  <c r="AM18" i="1"/>
  <c r="BI18" i="1" s="1"/>
  <c r="AM19" i="1"/>
  <c r="BI19" i="1" s="1"/>
  <c r="AM20" i="1"/>
  <c r="BI20" i="1" s="1"/>
  <c r="AM21" i="1"/>
  <c r="BI21" i="1" s="1"/>
  <c r="AM22" i="1"/>
  <c r="BI22" i="1" s="1"/>
  <c r="AM23" i="1"/>
  <c r="BI23" i="1" s="1"/>
  <c r="AM24" i="1"/>
  <c r="BI24" i="1" s="1"/>
  <c r="AM25" i="1"/>
  <c r="BI25" i="1" s="1"/>
  <c r="AM26" i="1"/>
  <c r="BI26" i="1" s="1"/>
  <c r="AM27" i="1"/>
  <c r="BI27" i="1" s="1"/>
  <c r="AM28" i="1"/>
  <c r="BI28" i="1" s="1"/>
  <c r="AM29" i="1"/>
  <c r="BI29" i="1" s="1"/>
  <c r="AM30" i="1"/>
  <c r="BI30" i="1" s="1"/>
  <c r="AM34" i="1"/>
  <c r="BI34" i="1" s="1"/>
  <c r="AM36" i="1"/>
  <c r="BI36" i="1" s="1"/>
  <c r="AM37" i="1"/>
  <c r="BI37" i="1" s="1"/>
  <c r="AM38" i="1"/>
  <c r="BI38" i="1" s="1"/>
  <c r="AM39" i="1"/>
  <c r="BI39" i="1" s="1"/>
  <c r="AM40" i="1"/>
  <c r="BI40" i="1" s="1"/>
  <c r="AM41" i="1"/>
  <c r="BI41" i="1" s="1"/>
  <c r="AM42" i="1"/>
  <c r="BI42" i="1" s="1"/>
  <c r="AM43" i="1"/>
  <c r="BI43" i="1" s="1"/>
  <c r="AM44" i="1"/>
  <c r="BI44" i="1" s="1"/>
  <c r="AM45" i="1"/>
  <c r="BI45" i="1" s="1"/>
  <c r="AM46" i="1"/>
  <c r="AM47" i="1"/>
  <c r="BI47" i="1" s="1"/>
  <c r="AM48" i="1"/>
  <c r="BI48" i="1" s="1"/>
  <c r="AM49" i="1"/>
  <c r="AM50" i="1"/>
  <c r="AM51" i="1"/>
  <c r="BI51" i="1" s="1"/>
  <c r="AM52" i="1"/>
  <c r="AM53" i="1"/>
  <c r="BI53" i="1" s="1"/>
  <c r="AM54" i="1"/>
  <c r="BI54" i="1" s="1"/>
  <c r="AM55" i="1"/>
  <c r="AM56" i="1"/>
  <c r="BI56" i="1" s="1"/>
  <c r="AM57" i="1"/>
  <c r="BI57" i="1" s="1"/>
  <c r="AM58" i="1"/>
  <c r="AM59" i="1"/>
  <c r="BI59" i="1" s="1"/>
  <c r="AM60" i="1"/>
  <c r="BI60" i="1" s="1"/>
  <c r="AM61" i="1"/>
  <c r="BI61" i="1" s="1"/>
  <c r="AM62" i="1"/>
  <c r="BI62" i="1" s="1"/>
  <c r="AM63" i="1"/>
  <c r="BI63" i="1" s="1"/>
  <c r="AM64" i="1"/>
  <c r="BI64" i="1" s="1"/>
  <c r="AM65" i="1"/>
  <c r="BI65" i="1" s="1"/>
  <c r="AM66" i="1"/>
  <c r="BI66" i="1" s="1"/>
  <c r="AM67" i="1"/>
  <c r="BI67" i="1" s="1"/>
  <c r="AM68" i="1"/>
  <c r="AM69" i="1"/>
  <c r="BI69" i="1" s="1"/>
  <c r="AM4" i="1"/>
  <c r="AA4" i="1"/>
  <c r="AB4" i="1" s="1"/>
  <c r="AA5" i="1"/>
  <c r="AA6" i="1"/>
  <c r="AA7" i="1"/>
  <c r="AB7" i="1" s="1"/>
  <c r="AA8" i="1"/>
  <c r="AB8" i="1" s="1"/>
  <c r="AA9" i="1"/>
  <c r="AA10" i="1"/>
  <c r="AA11" i="1"/>
  <c r="AA14" i="1"/>
  <c r="AB14" i="1" s="1"/>
  <c r="W131" i="2"/>
  <c r="X131" i="2"/>
  <c r="AA49" i="1"/>
  <c r="AA30" i="1"/>
  <c r="AB30" i="1" s="1"/>
  <c r="AA66" i="1"/>
  <c r="AA67" i="1"/>
  <c r="AA43" i="1"/>
  <c r="AA55" i="1"/>
  <c r="AA54" i="1"/>
  <c r="AA53" i="1"/>
  <c r="AA45" i="1"/>
  <c r="AA44" i="1"/>
  <c r="AA41" i="1"/>
  <c r="AA69" i="1"/>
  <c r="AA68" i="1"/>
  <c r="AA64" i="1"/>
  <c r="AA63" i="1"/>
  <c r="AA62" i="1"/>
  <c r="AA61" i="1"/>
  <c r="AA60" i="1"/>
  <c r="AA59" i="1"/>
  <c r="AA58" i="1"/>
  <c r="AA57" i="1"/>
  <c r="AA56" i="1"/>
  <c r="AA40" i="1"/>
  <c r="AA39" i="1"/>
  <c r="AA52" i="1"/>
  <c r="AA51" i="1"/>
  <c r="AA47" i="1"/>
  <c r="AA38" i="1"/>
  <c r="AA65" i="1"/>
  <c r="AA48" i="1"/>
  <c r="AA46" i="1"/>
  <c r="AA50" i="1"/>
  <c r="AA36" i="1"/>
  <c r="AA37" i="1"/>
  <c r="P5" i="2"/>
  <c r="W5" i="2"/>
  <c r="P6" i="2"/>
  <c r="P7" i="2"/>
  <c r="P8" i="2"/>
  <c r="W8" i="2"/>
  <c r="P9" i="2"/>
  <c r="W9" i="2"/>
  <c r="P10" i="2"/>
  <c r="W10" i="2"/>
  <c r="P11" i="2"/>
  <c r="W11" i="2"/>
  <c r="P12" i="2"/>
  <c r="P13" i="2"/>
  <c r="W13" i="2"/>
  <c r="Z13" i="2"/>
  <c r="P14" i="2"/>
  <c r="W14" i="2"/>
  <c r="P15" i="2"/>
  <c r="W15" i="2"/>
  <c r="P16" i="2"/>
  <c r="P17" i="2"/>
  <c r="W17" i="2"/>
  <c r="P18" i="2"/>
  <c r="P19" i="2"/>
  <c r="W19" i="2"/>
  <c r="P20" i="2"/>
  <c r="W20" i="2"/>
  <c r="P21" i="2"/>
  <c r="W21" i="2"/>
  <c r="Z21" i="2"/>
  <c r="P22" i="2"/>
  <c r="W22" i="2"/>
  <c r="P23" i="2"/>
  <c r="P24" i="2"/>
  <c r="W24" i="2"/>
  <c r="P25" i="2"/>
  <c r="W25" i="2"/>
  <c r="P26" i="2"/>
  <c r="W26" i="2"/>
  <c r="X26" i="2"/>
  <c r="P27" i="2"/>
  <c r="W27" i="2"/>
  <c r="P28" i="2"/>
  <c r="P29" i="2"/>
  <c r="W29" i="2"/>
  <c r="P30" i="2"/>
  <c r="P31" i="2"/>
  <c r="W31" i="2"/>
  <c r="Z31" i="2"/>
  <c r="P32" i="2"/>
  <c r="W32" i="2"/>
  <c r="X32" i="2"/>
  <c r="P33" i="2"/>
  <c r="W33" i="2"/>
  <c r="P34" i="2"/>
  <c r="W34" i="2"/>
  <c r="P35" i="2"/>
  <c r="P36" i="2"/>
  <c r="W36" i="2"/>
  <c r="P37" i="2"/>
  <c r="W37" i="2"/>
  <c r="Z37" i="2"/>
  <c r="P38" i="2"/>
  <c r="P39" i="2"/>
  <c r="W39" i="2"/>
  <c r="P40" i="2"/>
  <c r="P41" i="2"/>
  <c r="W41" i="2"/>
  <c r="P42" i="2"/>
  <c r="P43" i="2"/>
  <c r="P44" i="2"/>
  <c r="W44" i="2"/>
  <c r="Z44" i="2"/>
  <c r="P45" i="2"/>
  <c r="P46" i="2"/>
  <c r="P47" i="2"/>
  <c r="W47" i="2"/>
  <c r="P48" i="2"/>
  <c r="W48" i="2"/>
  <c r="P49" i="2"/>
  <c r="W49" i="2"/>
  <c r="P50" i="2"/>
  <c r="W50" i="2"/>
  <c r="P51" i="2"/>
  <c r="W51" i="2"/>
  <c r="P52" i="2"/>
  <c r="P53" i="2"/>
  <c r="W53" i="2"/>
  <c r="AA53" i="2"/>
  <c r="P54" i="2"/>
  <c r="P55" i="2"/>
  <c r="P56" i="2"/>
  <c r="W56" i="2"/>
  <c r="P57" i="2"/>
  <c r="W57" i="2"/>
  <c r="P58" i="2"/>
  <c r="W58" i="2"/>
  <c r="Z58" i="2"/>
  <c r="P59" i="2"/>
  <c r="W59" i="2"/>
  <c r="AA59" i="2"/>
  <c r="P60" i="2"/>
  <c r="P61" i="2"/>
  <c r="P62" i="2"/>
  <c r="P63" i="2"/>
  <c r="W63" i="2"/>
  <c r="Y63" i="2"/>
  <c r="P64" i="2"/>
  <c r="W64" i="2"/>
  <c r="Z64" i="2"/>
  <c r="P65" i="2"/>
  <c r="W65" i="2"/>
  <c r="P66" i="2"/>
  <c r="W66" i="2"/>
  <c r="P67" i="2"/>
  <c r="P68" i="2"/>
  <c r="W68" i="2"/>
  <c r="P69" i="2"/>
  <c r="W69" i="2"/>
  <c r="P70" i="2"/>
  <c r="W70" i="2"/>
  <c r="P71" i="2"/>
  <c r="W71" i="2"/>
  <c r="P72" i="2"/>
  <c r="W72" i="2"/>
  <c r="P73" i="2"/>
  <c r="W73" i="2"/>
  <c r="P74" i="2"/>
  <c r="P75" i="2"/>
  <c r="P76" i="2"/>
  <c r="W76" i="2"/>
  <c r="P77" i="2"/>
  <c r="W77" i="2"/>
  <c r="Y77" i="2"/>
  <c r="P78" i="2"/>
  <c r="W78" i="2"/>
  <c r="P79" i="2"/>
  <c r="P80" i="2"/>
  <c r="W80" i="2"/>
  <c r="Y80" i="2"/>
  <c r="P81" i="2"/>
  <c r="W81" i="2"/>
  <c r="P82" i="2"/>
  <c r="W82" i="2"/>
  <c r="P83" i="2"/>
  <c r="P84" i="2"/>
  <c r="W84" i="2"/>
  <c r="X84" i="2"/>
  <c r="P85" i="2"/>
  <c r="W85" i="2"/>
  <c r="P86" i="2"/>
  <c r="P87" i="2"/>
  <c r="W87" i="2"/>
  <c r="P88" i="2"/>
  <c r="W88" i="2"/>
  <c r="P89" i="2"/>
  <c r="W89" i="2"/>
  <c r="X89" i="2"/>
  <c r="P90" i="2"/>
  <c r="W90" i="2"/>
  <c r="P91" i="2"/>
  <c r="P92" i="2"/>
  <c r="W92" i="2"/>
  <c r="X92" i="2"/>
  <c r="P93" i="2"/>
  <c r="P94" i="2"/>
  <c r="W94" i="2"/>
  <c r="P95" i="2"/>
  <c r="P96" i="2"/>
  <c r="W96" i="2"/>
  <c r="Z96" i="2"/>
  <c r="P97" i="2"/>
  <c r="W97" i="2"/>
  <c r="P98" i="2"/>
  <c r="P99" i="2"/>
  <c r="W99" i="2"/>
  <c r="P100" i="2"/>
  <c r="W100" i="2"/>
  <c r="Z100" i="2"/>
  <c r="P101" i="2"/>
  <c r="W101" i="2"/>
  <c r="P102" i="2"/>
  <c r="W102" i="2"/>
  <c r="P103" i="2"/>
  <c r="P104" i="2"/>
  <c r="W104" i="2"/>
  <c r="P105" i="2"/>
  <c r="W105" i="2"/>
  <c r="P106" i="2"/>
  <c r="W106" i="2"/>
  <c r="P107" i="2"/>
  <c r="W107" i="2"/>
  <c r="X107" i="2"/>
  <c r="P108" i="2"/>
  <c r="W108" i="2"/>
  <c r="Z108" i="2"/>
  <c r="P109" i="2"/>
  <c r="P110" i="2"/>
  <c r="P111" i="2"/>
  <c r="W111" i="2"/>
  <c r="P112" i="2"/>
  <c r="W112" i="2"/>
  <c r="P113" i="2"/>
  <c r="W113" i="2"/>
  <c r="X113" i="2"/>
  <c r="P114" i="2"/>
  <c r="W114" i="2"/>
  <c r="X114" i="2"/>
  <c r="P115" i="2"/>
  <c r="P116" i="2"/>
  <c r="P117" i="2"/>
  <c r="W117" i="2"/>
  <c r="P118" i="2"/>
  <c r="W118" i="2"/>
  <c r="P119" i="2"/>
  <c r="W119" i="2"/>
  <c r="P120" i="2"/>
  <c r="W120" i="2"/>
  <c r="P121" i="2"/>
  <c r="W121" i="2"/>
  <c r="P122" i="2"/>
  <c r="W122" i="2"/>
  <c r="Z122" i="2"/>
  <c r="P123" i="2"/>
  <c r="W123" i="2"/>
  <c r="Z123" i="2"/>
  <c r="P124" i="2"/>
  <c r="P125" i="2"/>
  <c r="W125" i="2"/>
  <c r="Y125" i="2"/>
  <c r="P126" i="2"/>
  <c r="W126" i="2"/>
  <c r="P127" i="2"/>
  <c r="W127" i="2"/>
  <c r="P128" i="2"/>
  <c r="W128" i="2"/>
  <c r="P129" i="2"/>
  <c r="W129" i="2"/>
  <c r="P130" i="2"/>
  <c r="W130" i="2"/>
  <c r="Z130" i="2"/>
  <c r="P131" i="2"/>
  <c r="P132" i="2"/>
  <c r="P133" i="2"/>
  <c r="P134" i="2"/>
  <c r="W134" i="2"/>
  <c r="X134" i="2"/>
  <c r="P135" i="2"/>
  <c r="W135" i="2"/>
  <c r="P136" i="2"/>
  <c r="P137" i="2"/>
  <c r="W137" i="2"/>
  <c r="P138" i="2"/>
  <c r="W138" i="2"/>
  <c r="P139" i="2"/>
  <c r="W139" i="2"/>
  <c r="P140" i="2"/>
  <c r="W140" i="2"/>
  <c r="Z140" i="2"/>
  <c r="P141" i="2"/>
  <c r="P142" i="2"/>
  <c r="W142" i="2"/>
  <c r="P143" i="2"/>
  <c r="W143" i="2"/>
  <c r="P144" i="2"/>
  <c r="W144" i="2"/>
  <c r="Z144" i="2"/>
  <c r="P145" i="2"/>
  <c r="W145" i="2"/>
  <c r="P146" i="2"/>
  <c r="P147" i="2"/>
  <c r="W147" i="2"/>
  <c r="P148" i="2"/>
  <c r="W148" i="2"/>
  <c r="P149" i="2"/>
  <c r="W149" i="2"/>
  <c r="X149" i="2"/>
  <c r="P150" i="2"/>
  <c r="W150" i="2"/>
  <c r="Z150" i="2"/>
  <c r="P151" i="2"/>
  <c r="P152" i="2"/>
  <c r="P153" i="2"/>
  <c r="W153" i="2"/>
  <c r="P154" i="2"/>
  <c r="P155" i="2"/>
  <c r="W155" i="2"/>
  <c r="X155" i="2"/>
  <c r="P156" i="2"/>
  <c r="W156" i="2"/>
  <c r="Z156" i="2"/>
  <c r="P157" i="2"/>
  <c r="P158" i="2"/>
  <c r="R7" i="1"/>
  <c r="R6" i="1"/>
  <c r="AM6" i="1" s="1"/>
  <c r="BI6" i="1" s="1"/>
  <c r="R5" i="1"/>
  <c r="R13" i="1"/>
  <c r="R12" i="1"/>
  <c r="R33" i="1"/>
  <c r="R32" i="1"/>
  <c r="R31" i="1"/>
  <c r="AA131" i="2"/>
  <c r="AA122" i="2"/>
  <c r="AA155" i="2"/>
  <c r="W154" i="2"/>
  <c r="Z154" i="2"/>
  <c r="Z155" i="2"/>
  <c r="Y155" i="2"/>
  <c r="AA123" i="2"/>
  <c r="W132" i="2"/>
  <c r="Y132" i="2"/>
  <c r="Z131" i="2"/>
  <c r="X29" i="2"/>
  <c r="AA29" i="2"/>
  <c r="Z107" i="2"/>
  <c r="AA112" i="2"/>
  <c r="W46" i="2"/>
  <c r="Z46" i="2"/>
  <c r="AA107" i="2"/>
  <c r="Y107" i="2"/>
  <c r="X59" i="2"/>
  <c r="Z59" i="2"/>
  <c r="Y59" i="2"/>
  <c r="W23" i="2"/>
  <c r="X23" i="2"/>
  <c r="AA37" i="2"/>
  <c r="X128" i="2"/>
  <c r="Z128" i="2"/>
  <c r="Y128" i="2"/>
  <c r="Z142" i="2"/>
  <c r="AA142" i="2"/>
  <c r="Z72" i="2"/>
  <c r="X72" i="2"/>
  <c r="Y72" i="2"/>
  <c r="Z36" i="2"/>
  <c r="X36" i="2"/>
  <c r="Y36" i="2"/>
  <c r="Z119" i="2"/>
  <c r="X119" i="2"/>
  <c r="Y119" i="2"/>
  <c r="X71" i="2"/>
  <c r="Y71" i="2"/>
  <c r="Z71" i="2"/>
  <c r="AA71" i="2"/>
  <c r="Z118" i="2"/>
  <c r="AA118" i="2"/>
  <c r="Z94" i="2"/>
  <c r="AA94" i="2"/>
  <c r="Z57" i="2"/>
  <c r="X57" i="2"/>
  <c r="Y57" i="2"/>
  <c r="AA17" i="2"/>
  <c r="X17" i="2"/>
  <c r="Y17" i="2"/>
  <c r="Z17" i="2"/>
  <c r="Z147" i="2"/>
  <c r="X147" i="2"/>
  <c r="Y147" i="2"/>
  <c r="Z135" i="2"/>
  <c r="X135" i="2"/>
  <c r="Z111" i="2"/>
  <c r="X111" i="2"/>
  <c r="Y111" i="2"/>
  <c r="X39" i="2"/>
  <c r="Y39" i="2"/>
  <c r="X27" i="2"/>
  <c r="Y27" i="2"/>
  <c r="W75" i="2"/>
  <c r="AA75" i="2"/>
  <c r="X77" i="2"/>
  <c r="AA147" i="2"/>
  <c r="Y44" i="2"/>
  <c r="W95" i="2"/>
  <c r="AA95" i="2"/>
  <c r="Y131" i="2"/>
  <c r="AA58" i="2"/>
  <c r="X44" i="2"/>
  <c r="AA111" i="2"/>
  <c r="X156" i="2"/>
  <c r="AA92" i="2"/>
  <c r="AA128" i="2"/>
  <c r="Z53" i="2"/>
  <c r="X123" i="2"/>
  <c r="AA44" i="2"/>
  <c r="Y140" i="2"/>
  <c r="X140" i="2"/>
  <c r="Y53" i="2"/>
  <c r="AA49" i="2"/>
  <c r="W152" i="2"/>
  <c r="W83" i="2"/>
  <c r="AA83" i="2"/>
  <c r="X125" i="2"/>
  <c r="X96" i="2"/>
  <c r="X53" i="2"/>
  <c r="W116" i="2"/>
  <c r="AA116" i="2"/>
  <c r="Y92" i="2"/>
  <c r="W35" i="2"/>
  <c r="AA35" i="2"/>
  <c r="AA13" i="2"/>
  <c r="Z92" i="2"/>
  <c r="Y123" i="2"/>
  <c r="X50" i="2"/>
  <c r="AA50" i="2"/>
  <c r="Y50" i="2"/>
  <c r="Z50" i="2"/>
  <c r="Z120" i="2"/>
  <c r="X120" i="2"/>
  <c r="Y120" i="2"/>
  <c r="AA120" i="2"/>
  <c r="W124" i="2"/>
  <c r="AA124" i="2"/>
  <c r="AA150" i="2"/>
  <c r="X47" i="2"/>
  <c r="Z47" i="2"/>
  <c r="Y47" i="2"/>
  <c r="AA47" i="2"/>
  <c r="AA88" i="2"/>
  <c r="AA76" i="2"/>
  <c r="W151" i="2"/>
  <c r="AA151" i="2"/>
  <c r="X127" i="2"/>
  <c r="Y127" i="2"/>
  <c r="Z127" i="2"/>
  <c r="W103" i="2"/>
  <c r="W79" i="2"/>
  <c r="AA79" i="2"/>
  <c r="W55" i="2"/>
  <c r="AA55" i="2"/>
  <c r="W43" i="2"/>
  <c r="AA43" i="2"/>
  <c r="X19" i="2"/>
  <c r="Y19" i="2"/>
  <c r="X104" i="2"/>
  <c r="Z104" i="2"/>
  <c r="Y104" i="2"/>
  <c r="Z19" i="2"/>
  <c r="Z138" i="2"/>
  <c r="X138" i="2"/>
  <c r="Z114" i="2"/>
  <c r="Y114" i="2"/>
  <c r="AA114" i="2"/>
  <c r="Z90" i="2"/>
  <c r="X90" i="2"/>
  <c r="Z66" i="2"/>
  <c r="AA66" i="2"/>
  <c r="Y101" i="2"/>
  <c r="Z101" i="2"/>
  <c r="AA101" i="2"/>
  <c r="AA139" i="2"/>
  <c r="X143" i="2"/>
  <c r="Y143" i="2"/>
  <c r="X101" i="2"/>
  <c r="X148" i="2"/>
  <c r="Y148" i="2"/>
  <c r="Z148" i="2"/>
  <c r="X112" i="2"/>
  <c r="Y112" i="2"/>
  <c r="X88" i="2"/>
  <c r="Y88" i="2"/>
  <c r="X76" i="2"/>
  <c r="Y76" i="2"/>
  <c r="X64" i="2"/>
  <c r="Y64" i="2"/>
  <c r="W40" i="2"/>
  <c r="AA40" i="2"/>
  <c r="W28" i="2"/>
  <c r="AA28" i="2"/>
  <c r="W16" i="2"/>
  <c r="AA16" i="2"/>
  <c r="Z33" i="2"/>
  <c r="X33" i="2"/>
  <c r="Y33" i="2"/>
  <c r="X14" i="2"/>
  <c r="Y14" i="2"/>
  <c r="Z14" i="2"/>
  <c r="AA138" i="2"/>
  <c r="Z112" i="2"/>
  <c r="AA100" i="2"/>
  <c r="Y137" i="2"/>
  <c r="AA137" i="2"/>
  <c r="Z137" i="2"/>
  <c r="X137" i="2"/>
  <c r="X10" i="2"/>
  <c r="Y10" i="2"/>
  <c r="Z10" i="2"/>
  <c r="AA144" i="2"/>
  <c r="Y138" i="2"/>
  <c r="W158" i="2"/>
  <c r="W38" i="2"/>
  <c r="Z5" i="2"/>
  <c r="X5" i="2"/>
  <c r="Y144" i="2"/>
  <c r="X73" i="2"/>
  <c r="Y73" i="2"/>
  <c r="Z73" i="2"/>
  <c r="X37" i="2"/>
  <c r="Y37" i="2"/>
  <c r="X49" i="2"/>
  <c r="Y49" i="2"/>
  <c r="Z49" i="2"/>
  <c r="AA134" i="2"/>
  <c r="AA90" i="2"/>
  <c r="Z26" i="2"/>
  <c r="Z87" i="2"/>
  <c r="X87" i="2"/>
  <c r="Y87" i="2"/>
  <c r="AA87" i="2"/>
  <c r="X25" i="2"/>
  <c r="Y25" i="2"/>
  <c r="Z25" i="2"/>
  <c r="AA143" i="2"/>
  <c r="Y90" i="2"/>
  <c r="Y26" i="2"/>
  <c r="Z69" i="2"/>
  <c r="X69" i="2"/>
  <c r="Y69" i="2"/>
  <c r="Z24" i="2"/>
  <c r="X24" i="2"/>
  <c r="Y24" i="2"/>
  <c r="Y150" i="2"/>
  <c r="Y134" i="2"/>
  <c r="W110" i="2"/>
  <c r="Z68" i="2"/>
  <c r="X68" i="2"/>
  <c r="Y68" i="2"/>
  <c r="AA68" i="2"/>
  <c r="X150" i="2"/>
  <c r="Y66" i="2"/>
  <c r="Y41" i="2"/>
  <c r="X41" i="2"/>
  <c r="Z41" i="2"/>
  <c r="AA41" i="2"/>
  <c r="Z88" i="2"/>
  <c r="Z76" i="2"/>
  <c r="X66" i="2"/>
  <c r="Y32" i="2"/>
  <c r="X139" i="2"/>
  <c r="Y139" i="2"/>
  <c r="W115" i="2"/>
  <c r="AA115" i="2"/>
  <c r="W91" i="2"/>
  <c r="AA91" i="2"/>
  <c r="W67" i="2"/>
  <c r="AA67" i="2"/>
  <c r="X31" i="2"/>
  <c r="Y31" i="2"/>
  <c r="W7" i="2"/>
  <c r="AA7" i="2"/>
  <c r="X145" i="2"/>
  <c r="Y145" i="2"/>
  <c r="Z145" i="2"/>
  <c r="X82" i="2"/>
  <c r="Y82" i="2"/>
  <c r="Z82" i="2"/>
  <c r="AA82" i="2"/>
  <c r="AA104" i="2"/>
  <c r="AA31" i="2"/>
  <c r="Z126" i="2"/>
  <c r="X126" i="2"/>
  <c r="Y126" i="2"/>
  <c r="AA126" i="2"/>
  <c r="Z102" i="2"/>
  <c r="X102" i="2"/>
  <c r="AA102" i="2"/>
  <c r="Z78" i="2"/>
  <c r="X78" i="2"/>
  <c r="X121" i="2"/>
  <c r="Y121" i="2"/>
  <c r="Z121" i="2"/>
  <c r="Y102" i="2"/>
  <c r="Z99" i="2"/>
  <c r="X99" i="2"/>
  <c r="Z139" i="2"/>
  <c r="W136" i="2"/>
  <c r="AA136" i="2"/>
  <c r="X100" i="2"/>
  <c r="Y100" i="2"/>
  <c r="W52" i="2"/>
  <c r="AA52" i="2"/>
  <c r="X122" i="2"/>
  <c r="Y122" i="2"/>
  <c r="W98" i="2"/>
  <c r="W74" i="2"/>
  <c r="AA74" i="2"/>
  <c r="W62" i="2"/>
  <c r="AA14" i="2"/>
  <c r="Z9" i="2"/>
  <c r="X9" i="2"/>
  <c r="Y9" i="2"/>
  <c r="AA99" i="2"/>
  <c r="AA26" i="2"/>
  <c r="X97" i="2"/>
  <c r="Y97" i="2"/>
  <c r="Z97" i="2"/>
  <c r="X8" i="2"/>
  <c r="AA8" i="2"/>
  <c r="Y8" i="2"/>
  <c r="Z8" i="2"/>
  <c r="X144" i="2"/>
  <c r="Y99" i="2"/>
  <c r="AA78" i="2"/>
  <c r="X70" i="2"/>
  <c r="Y70" i="2"/>
  <c r="Z70" i="2"/>
  <c r="AA70" i="2"/>
  <c r="Z48" i="2"/>
  <c r="X48" i="2"/>
  <c r="Y48" i="2"/>
  <c r="AA5" i="2"/>
  <c r="Z134" i="2"/>
  <c r="Y78" i="2"/>
  <c r="W86" i="2"/>
  <c r="Y5" i="2"/>
  <c r="Z143" i="2"/>
  <c r="AA127" i="2"/>
  <c r="Z129" i="2"/>
  <c r="X129" i="2"/>
  <c r="Y129" i="2"/>
  <c r="X85" i="2"/>
  <c r="Y85" i="2"/>
  <c r="Z85" i="2"/>
  <c r="Z32" i="2"/>
  <c r="X106" i="2"/>
  <c r="Y106" i="2"/>
  <c r="Z106" i="2"/>
  <c r="Z84" i="2"/>
  <c r="AA84" i="2"/>
  <c r="X65" i="2"/>
  <c r="Z65" i="2"/>
  <c r="Y65" i="2"/>
  <c r="AA65" i="2"/>
  <c r="AA32" i="2"/>
  <c r="W146" i="2"/>
  <c r="Z105" i="2"/>
  <c r="X105" i="2"/>
  <c r="Y105" i="2"/>
  <c r="Z63" i="2"/>
  <c r="AA63" i="2"/>
  <c r="X63" i="2"/>
  <c r="AA148" i="2"/>
  <c r="AA106" i="2"/>
  <c r="Y84" i="2"/>
  <c r="AA64" i="2"/>
  <c r="AA19" i="2"/>
  <c r="AA10" i="2"/>
  <c r="AA145" i="2"/>
  <c r="AA121" i="2"/>
  <c r="W109" i="2"/>
  <c r="AA109" i="2"/>
  <c r="AA85" i="2"/>
  <c r="W61" i="2"/>
  <c r="AA61" i="2"/>
  <c r="AA25" i="2"/>
  <c r="X58" i="2"/>
  <c r="Y58" i="2"/>
  <c r="X22" i="2"/>
  <c r="Y22" i="2"/>
  <c r="AA80" i="2"/>
  <c r="X11" i="2"/>
  <c r="Z11" i="2"/>
  <c r="AA11" i="2"/>
  <c r="Y11" i="2"/>
  <c r="Z153" i="2"/>
  <c r="X153" i="2"/>
  <c r="Y153" i="2"/>
  <c r="Z117" i="2"/>
  <c r="X117" i="2"/>
  <c r="Y117" i="2"/>
  <c r="Z22" i="2"/>
  <c r="AA153" i="2"/>
  <c r="W141" i="2"/>
  <c r="AA105" i="2"/>
  <c r="AA81" i="2"/>
  <c r="AA57" i="2"/>
  <c r="W45" i="2"/>
  <c r="AA21" i="2"/>
  <c r="AA9" i="2"/>
  <c r="Y149" i="2"/>
  <c r="AA149" i="2"/>
  <c r="Z149" i="2"/>
  <c r="Y113" i="2"/>
  <c r="AA113" i="2"/>
  <c r="Z113" i="2"/>
  <c r="AA156" i="2"/>
  <c r="AA140" i="2"/>
  <c r="AA135" i="2"/>
  <c r="AA119" i="2"/>
  <c r="Y108" i="2"/>
  <c r="AA96" i="2"/>
  <c r="X80" i="2"/>
  <c r="Y21" i="2"/>
  <c r="W157" i="2"/>
  <c r="AA157" i="2"/>
  <c r="AA97" i="2"/>
  <c r="AA73" i="2"/>
  <c r="X13" i="2"/>
  <c r="Y13" i="2"/>
  <c r="Z81" i="2"/>
  <c r="X81" i="2"/>
  <c r="Y81" i="2"/>
  <c r="Z39" i="2"/>
  <c r="AA39" i="2"/>
  <c r="Y154" i="2"/>
  <c r="X118" i="2"/>
  <c r="Y118" i="2"/>
  <c r="W133" i="2"/>
  <c r="Z80" i="2"/>
  <c r="AA22" i="2"/>
  <c r="X56" i="2"/>
  <c r="Z56" i="2"/>
  <c r="Y56" i="2"/>
  <c r="X20" i="2"/>
  <c r="Y20" i="2"/>
  <c r="Z20" i="2"/>
  <c r="AA108" i="2"/>
  <c r="AA129" i="2"/>
  <c r="AA117" i="2"/>
  <c r="W93" i="2"/>
  <c r="AA93" i="2"/>
  <c r="AA69" i="2"/>
  <c r="AA33" i="2"/>
  <c r="AA56" i="2"/>
  <c r="AA20" i="2"/>
  <c r="X130" i="2"/>
  <c r="Y130" i="2"/>
  <c r="Y89" i="2"/>
  <c r="AA89" i="2"/>
  <c r="Z89" i="2"/>
  <c r="Z51" i="2"/>
  <c r="AA51" i="2"/>
  <c r="X51" i="2"/>
  <c r="Y51" i="2"/>
  <c r="X34" i="2"/>
  <c r="Y34" i="2"/>
  <c r="AA34" i="2"/>
  <c r="Z34" i="2"/>
  <c r="Z15" i="2"/>
  <c r="AA15" i="2"/>
  <c r="X15" i="2"/>
  <c r="Y15" i="2"/>
  <c r="Y156" i="2"/>
  <c r="Y135" i="2"/>
  <c r="AA130" i="2"/>
  <c r="X108" i="2"/>
  <c r="Y96" i="2"/>
  <c r="AA72" i="2"/>
  <c r="X21" i="2"/>
  <c r="AA36" i="2"/>
  <c r="X142" i="2"/>
  <c r="Y142" i="2"/>
  <c r="W12" i="2"/>
  <c r="Z125" i="2"/>
  <c r="Z77" i="2"/>
  <c r="Y29" i="2"/>
  <c r="AA48" i="2"/>
  <c r="AA24" i="2"/>
  <c r="X94" i="2"/>
  <c r="Y94" i="2"/>
  <c r="AA125" i="2"/>
  <c r="AA77" i="2"/>
  <c r="Z29" i="2"/>
  <c r="W60" i="2"/>
  <c r="AA60" i="2"/>
  <c r="Z27" i="2"/>
  <c r="AA27" i="2"/>
  <c r="W54" i="2"/>
  <c r="W42" i="2"/>
  <c r="W30" i="2"/>
  <c r="W18" i="2"/>
  <c r="W6" i="2"/>
  <c r="AA6" i="2"/>
  <c r="X154" i="2"/>
  <c r="Z132" i="2"/>
  <c r="X132" i="2"/>
  <c r="Y46" i="2"/>
  <c r="X46" i="2"/>
  <c r="AA132" i="2"/>
  <c r="AA154" i="2"/>
  <c r="AA23" i="2"/>
  <c r="Y23" i="2"/>
  <c r="Z23" i="2"/>
  <c r="AA46" i="2"/>
  <c r="Y83" i="2"/>
  <c r="Z83" i="2"/>
  <c r="X83" i="2"/>
  <c r="Y152" i="2"/>
  <c r="Z152" i="2"/>
  <c r="X152" i="2"/>
  <c r="Z95" i="2"/>
  <c r="Y95" i="2"/>
  <c r="X95" i="2"/>
  <c r="X116" i="2"/>
  <c r="Y116" i="2"/>
  <c r="Z116" i="2"/>
  <c r="Z75" i="2"/>
  <c r="X75" i="2"/>
  <c r="Y75" i="2"/>
  <c r="X35" i="2"/>
  <c r="Z35" i="2"/>
  <c r="Y35" i="2"/>
  <c r="AA152" i="2"/>
  <c r="Z18" i="2"/>
  <c r="X18" i="2"/>
  <c r="Y18" i="2"/>
  <c r="Z141" i="2"/>
  <c r="X141" i="2"/>
  <c r="Y141" i="2"/>
  <c r="X86" i="2"/>
  <c r="Y86" i="2"/>
  <c r="Z86" i="2"/>
  <c r="X103" i="2"/>
  <c r="Y103" i="2"/>
  <c r="Z103" i="2"/>
  <c r="Z30" i="2"/>
  <c r="X30" i="2"/>
  <c r="Y30" i="2"/>
  <c r="X38" i="2"/>
  <c r="Z38" i="2"/>
  <c r="Y38" i="2"/>
  <c r="AA18" i="2"/>
  <c r="Z42" i="2"/>
  <c r="X42" i="2"/>
  <c r="Y42" i="2"/>
  <c r="AA38" i="2"/>
  <c r="X16" i="2"/>
  <c r="Y16" i="2"/>
  <c r="Z16" i="2"/>
  <c r="X124" i="2"/>
  <c r="Y124" i="2"/>
  <c r="Z124" i="2"/>
  <c r="Z54" i="2"/>
  <c r="X54" i="2"/>
  <c r="Y54" i="2"/>
  <c r="X146" i="2"/>
  <c r="Z146" i="2"/>
  <c r="Y146" i="2"/>
  <c r="Z62" i="2"/>
  <c r="X62" i="2"/>
  <c r="Y62" i="2"/>
  <c r="X52" i="2"/>
  <c r="Y52" i="2"/>
  <c r="Z52" i="2"/>
  <c r="X7" i="2"/>
  <c r="Y7" i="2"/>
  <c r="Z7" i="2"/>
  <c r="AA86" i="2"/>
  <c r="AA62" i="2"/>
  <c r="X110" i="2"/>
  <c r="Y110" i="2"/>
  <c r="Z110" i="2"/>
  <c r="AA110" i="2"/>
  <c r="X28" i="2"/>
  <c r="Y28" i="2"/>
  <c r="Z28" i="2"/>
  <c r="X158" i="2"/>
  <c r="Z158" i="2"/>
  <c r="Y158" i="2"/>
  <c r="X151" i="2"/>
  <c r="Y151" i="2"/>
  <c r="Z151" i="2"/>
  <c r="Z12" i="2"/>
  <c r="X12" i="2"/>
  <c r="Y12" i="2"/>
  <c r="Z45" i="2"/>
  <c r="X45" i="2"/>
  <c r="Y45" i="2"/>
  <c r="X74" i="2"/>
  <c r="Y74" i="2"/>
  <c r="Z74" i="2"/>
  <c r="AA30" i="2"/>
  <c r="X40" i="2"/>
  <c r="Y40" i="2"/>
  <c r="Z40" i="2"/>
  <c r="Z60" i="2"/>
  <c r="X60" i="2"/>
  <c r="Y60" i="2"/>
  <c r="Z93" i="2"/>
  <c r="X93" i="2"/>
  <c r="Y93" i="2"/>
  <c r="X133" i="2"/>
  <c r="Y133" i="2"/>
  <c r="Z133" i="2"/>
  <c r="AA45" i="2"/>
  <c r="X98" i="2"/>
  <c r="Y98" i="2"/>
  <c r="Z98" i="2"/>
  <c r="AA54" i="2"/>
  <c r="X67" i="2"/>
  <c r="Y67" i="2"/>
  <c r="Z67" i="2"/>
  <c r="AA42" i="2"/>
  <c r="AA133" i="2"/>
  <c r="X61" i="2"/>
  <c r="Y61" i="2"/>
  <c r="Z61" i="2"/>
  <c r="X91" i="2"/>
  <c r="Y91" i="2"/>
  <c r="Z91" i="2"/>
  <c r="AA158" i="2"/>
  <c r="X43" i="2"/>
  <c r="Y43" i="2"/>
  <c r="Z43" i="2"/>
  <c r="X136" i="2"/>
  <c r="Y136" i="2"/>
  <c r="Z136" i="2"/>
  <c r="AA98" i="2"/>
  <c r="X55" i="2"/>
  <c r="Y55" i="2"/>
  <c r="Z55" i="2"/>
  <c r="X79" i="2"/>
  <c r="Y79" i="2"/>
  <c r="Z79" i="2"/>
  <c r="Z6" i="2"/>
  <c r="X6" i="2"/>
  <c r="Y6" i="2"/>
  <c r="AA12" i="2"/>
  <c r="X157" i="2"/>
  <c r="Y157" i="2"/>
  <c r="Z157" i="2"/>
  <c r="AA141" i="2"/>
  <c r="X109" i="2"/>
  <c r="Y109" i="2"/>
  <c r="Z109" i="2"/>
  <c r="AA146" i="2"/>
  <c r="X115" i="2"/>
  <c r="Y115" i="2"/>
  <c r="Z115" i="2"/>
  <c r="AA103" i="2"/>
  <c r="C4" i="1"/>
  <c r="C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AA17" i="1"/>
  <c r="AB17" i="1" s="1"/>
  <c r="AA21" i="1"/>
  <c r="AB21" i="1" s="1"/>
  <c r="AA34" i="1"/>
  <c r="AB34" i="1" s="1"/>
  <c r="AA18" i="1"/>
  <c r="AB18" i="1" s="1"/>
  <c r="AA13" i="1"/>
  <c r="AB13" i="1" s="1"/>
  <c r="AA22" i="1"/>
  <c r="AB22" i="1" s="1"/>
  <c r="AA23" i="1"/>
  <c r="AB23" i="1" s="1"/>
  <c r="AA31" i="1"/>
  <c r="AB31" i="1" s="1"/>
  <c r="AA32" i="1"/>
  <c r="AB32" i="1" s="1"/>
  <c r="AA33" i="1"/>
  <c r="AB33" i="1" s="1"/>
  <c r="AA16" i="1"/>
  <c r="AB16" i="1" s="1"/>
  <c r="AA24" i="1"/>
  <c r="AB24" i="1" s="1"/>
  <c r="AA12" i="1"/>
  <c r="AB12" i="1" s="1"/>
  <c r="AA20" i="1"/>
  <c r="AB20" i="1" s="1"/>
  <c r="AA25" i="1"/>
  <c r="AB25" i="1" s="1"/>
  <c r="AA26" i="1"/>
  <c r="AB26" i="1" s="1"/>
  <c r="AA27" i="1"/>
  <c r="AB27" i="1" s="1"/>
  <c r="AA28" i="1"/>
  <c r="AB28" i="1" s="1"/>
  <c r="AA29" i="1"/>
  <c r="AB29" i="1" s="1"/>
  <c r="C5" i="2"/>
  <c r="C6" i="2"/>
  <c r="C7" i="2"/>
  <c r="C8" i="2"/>
  <c r="C9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BJ4" i="1" l="1"/>
  <c r="AM5" i="1"/>
  <c r="R149" i="1"/>
  <c r="BL4" i="1"/>
  <c r="BQ4" i="1"/>
  <c r="AX149" i="1"/>
  <c r="BI4" i="1"/>
  <c r="BB14" i="1"/>
  <c r="S10" i="1"/>
  <c r="Q10" i="1" s="1"/>
  <c r="O10" i="1"/>
  <c r="S17" i="1"/>
  <c r="AR17" i="1" s="1"/>
  <c r="BM17" i="1" s="1"/>
  <c r="S14" i="1"/>
  <c r="Q14" i="1" s="1"/>
  <c r="BB39" i="1"/>
  <c r="AX71" i="1"/>
  <c r="BQ71" i="1" s="1"/>
  <c r="AE71" i="1"/>
  <c r="AD71" i="1"/>
  <c r="AC71" i="1"/>
  <c r="AF71" i="1"/>
  <c r="AN71" i="1"/>
  <c r="AN149" i="1" s="1"/>
  <c r="S38" i="1"/>
  <c r="AR38" i="1" s="1"/>
  <c r="BM38" i="1" s="1"/>
  <c r="S50" i="1"/>
  <c r="AR50" i="1" s="1"/>
  <c r="BM50" i="1" s="1"/>
  <c r="E9" i="8"/>
  <c r="G9" i="8"/>
  <c r="C9" i="8"/>
  <c r="AG19" i="1"/>
  <c r="F9" i="8"/>
  <c r="AG16" i="1"/>
  <c r="AF16" i="1" s="1"/>
  <c r="BF16" i="1" s="1"/>
  <c r="AG29" i="1"/>
  <c r="AF29" i="1" s="1"/>
  <c r="BF29" i="1" s="1"/>
  <c r="AG23" i="1"/>
  <c r="AC23" i="1" s="1"/>
  <c r="BC23" i="1" s="1"/>
  <c r="AJ31" i="1"/>
  <c r="S54" i="1"/>
  <c r="AR54" i="1" s="1"/>
  <c r="BM54" i="1" s="1"/>
  <c r="AG28" i="1"/>
  <c r="P71" i="1"/>
  <c r="P149" i="1" s="1"/>
  <c r="AJ23" i="1"/>
  <c r="AG27" i="1"/>
  <c r="AG33" i="1"/>
  <c r="AD33" i="1" s="1"/>
  <c r="BD33" i="1" s="1"/>
  <c r="BB9" i="1"/>
  <c r="S9" i="1"/>
  <c r="AR9" i="1" s="1"/>
  <c r="BM9" i="1" s="1"/>
  <c r="S70" i="1"/>
  <c r="AR70" i="1" s="1"/>
  <c r="BM70" i="1" s="1"/>
  <c r="AG20" i="1"/>
  <c r="AE20" i="1" s="1"/>
  <c r="BE20" i="1" s="1"/>
  <c r="BO4" i="1"/>
  <c r="AP46" i="1"/>
  <c r="BK46" i="1" s="1"/>
  <c r="AJ25" i="1"/>
  <c r="AG32" i="1"/>
  <c r="AF32" i="1" s="1"/>
  <c r="BF32" i="1" s="1"/>
  <c r="AG24" i="1"/>
  <c r="AP55" i="1"/>
  <c r="BK55" i="1" s="1"/>
  <c r="AG31" i="1"/>
  <c r="AP83" i="1"/>
  <c r="BK83" i="1" s="1"/>
  <c r="AG30" i="1"/>
  <c r="AG34" i="1"/>
  <c r="AB11" i="1"/>
  <c r="AB9" i="1"/>
  <c r="AB6" i="1"/>
  <c r="AB10" i="1"/>
  <c r="AB5" i="1"/>
  <c r="AK7" i="1"/>
  <c r="BH7" i="1" s="1"/>
  <c r="AF7" i="1"/>
  <c r="BF7" i="1" s="1"/>
  <c r="O17" i="1"/>
  <c r="AP90" i="1"/>
  <c r="BK90" i="1" s="1"/>
  <c r="AJ27" i="1"/>
  <c r="AP109" i="1"/>
  <c r="BK109" i="1" s="1"/>
  <c r="AP99" i="1"/>
  <c r="BK99" i="1" s="1"/>
  <c r="AP79" i="1"/>
  <c r="BK79" i="1" s="1"/>
  <c r="AP82" i="1"/>
  <c r="BK82" i="1" s="1"/>
  <c r="O21" i="1"/>
  <c r="BB21" i="1"/>
  <c r="AU71" i="1"/>
  <c r="BO71" i="1" s="1"/>
  <c r="AO71" i="1"/>
  <c r="AO149" i="1" s="1"/>
  <c r="AQ71" i="1"/>
  <c r="BL71" i="1" s="1"/>
  <c r="AP42" i="1"/>
  <c r="BK42" i="1" s="1"/>
  <c r="BI71" i="1"/>
  <c r="Q17" i="1"/>
  <c r="Q4" i="1"/>
  <c r="AR4" i="1"/>
  <c r="AJ26" i="1"/>
  <c r="S62" i="1"/>
  <c r="AR62" i="1" s="1"/>
  <c r="BM62" i="1" s="1"/>
  <c r="AP72" i="1"/>
  <c r="AJ28" i="1"/>
  <c r="O20" i="1"/>
  <c r="S20" i="1"/>
  <c r="AR20" i="1" s="1"/>
  <c r="BM20" i="1" s="1"/>
  <c r="S19" i="1"/>
  <c r="AP92" i="1"/>
  <c r="BK92" i="1" s="1"/>
  <c r="AP66" i="1"/>
  <c r="BK66" i="1" s="1"/>
  <c r="BB46" i="1"/>
  <c r="AJ29" i="1"/>
  <c r="O19" i="1"/>
  <c r="AK35" i="1"/>
  <c r="AL35" i="1" s="1"/>
  <c r="AJ33" i="1"/>
  <c r="AE4" i="1"/>
  <c r="BI90" i="1"/>
  <c r="AP103" i="1"/>
  <c r="BK103" i="1" s="1"/>
  <c r="AP93" i="1"/>
  <c r="BK93" i="1" s="1"/>
  <c r="BI109" i="1"/>
  <c r="BI83" i="1"/>
  <c r="AD14" i="1"/>
  <c r="BD14" i="1" s="1"/>
  <c r="AP9" i="1"/>
  <c r="BK9" i="1" s="1"/>
  <c r="BB70" i="1"/>
  <c r="AP48" i="1"/>
  <c r="BK48" i="1" s="1"/>
  <c r="AF15" i="1"/>
  <c r="AP63" i="1"/>
  <c r="BK63" i="1" s="1"/>
  <c r="AP108" i="1"/>
  <c r="BK108" i="1" s="1"/>
  <c r="AP76" i="1"/>
  <c r="BK76" i="1" s="1"/>
  <c r="AP65" i="1"/>
  <c r="BK65" i="1" s="1"/>
  <c r="AP15" i="1"/>
  <c r="AP51" i="1"/>
  <c r="BK51" i="1" s="1"/>
  <c r="BI99" i="1"/>
  <c r="AP10" i="1"/>
  <c r="BK10" i="1" s="1"/>
  <c r="AP22" i="1"/>
  <c r="BK22" i="1" s="1"/>
  <c r="AP41" i="1"/>
  <c r="BK41" i="1" s="1"/>
  <c r="AP8" i="1"/>
  <c r="BK8" i="1" s="1"/>
  <c r="AP84" i="1"/>
  <c r="BK84" i="1" s="1"/>
  <c r="AP34" i="1"/>
  <c r="BK34" i="1" s="1"/>
  <c r="AP78" i="1"/>
  <c r="BK78" i="1" s="1"/>
  <c r="AP20" i="1"/>
  <c r="BK20" i="1" s="1"/>
  <c r="AP24" i="1"/>
  <c r="BK24" i="1" s="1"/>
  <c r="AP89" i="1"/>
  <c r="BK89" i="1" s="1"/>
  <c r="AP35" i="1"/>
  <c r="AP25" i="1"/>
  <c r="BK25" i="1" s="1"/>
  <c r="AP91" i="1"/>
  <c r="BK91" i="1" s="1"/>
  <c r="AP47" i="1"/>
  <c r="BK47" i="1" s="1"/>
  <c r="AP39" i="1"/>
  <c r="BK39" i="1" s="1"/>
  <c r="AP64" i="1"/>
  <c r="BK64" i="1" s="1"/>
  <c r="AP38" i="1"/>
  <c r="BK38" i="1" s="1"/>
  <c r="AP101" i="1"/>
  <c r="BK101" i="1" s="1"/>
  <c r="AP26" i="1"/>
  <c r="BK26" i="1" s="1"/>
  <c r="BI55" i="1"/>
  <c r="BI46" i="1"/>
  <c r="AP23" i="1"/>
  <c r="BK23" i="1" s="1"/>
  <c r="Q21" i="1"/>
  <c r="AP96" i="1"/>
  <c r="BK96" i="1" s="1"/>
  <c r="AP19" i="1"/>
  <c r="BK19" i="1" s="1"/>
  <c r="AK15" i="1"/>
  <c r="AL15" i="1" s="1"/>
  <c r="AC15" i="1"/>
  <c r="AE15" i="1"/>
  <c r="AG21" i="1"/>
  <c r="AE21" i="1" s="1"/>
  <c r="BE21" i="1" s="1"/>
  <c r="BI10" i="1"/>
  <c r="BI88" i="1"/>
  <c r="AP88" i="1"/>
  <c r="BK88" i="1" s="1"/>
  <c r="AP73" i="1"/>
  <c r="BK73" i="1" s="1"/>
  <c r="S7" i="1"/>
  <c r="AR7" i="1" s="1"/>
  <c r="BM7" i="1" s="1"/>
  <c r="AM7" i="1"/>
  <c r="AP54" i="1"/>
  <c r="BK54" i="1" s="1"/>
  <c r="AG22" i="1"/>
  <c r="AK22" i="1" s="1"/>
  <c r="BH22" i="1" s="1"/>
  <c r="AG13" i="1"/>
  <c r="AD13" i="1" s="1"/>
  <c r="BD13" i="1" s="1"/>
  <c r="S6" i="1"/>
  <c r="AR6" i="1" s="1"/>
  <c r="BM6" i="1" s="1"/>
  <c r="AP97" i="1"/>
  <c r="BK97" i="1" s="1"/>
  <c r="AP87" i="1"/>
  <c r="BK87" i="1" s="1"/>
  <c r="AP11" i="1"/>
  <c r="BK11" i="1" s="1"/>
  <c r="AC35" i="1"/>
  <c r="AP53" i="1"/>
  <c r="BK53" i="1" s="1"/>
  <c r="AP85" i="1"/>
  <c r="BK85" i="1" s="1"/>
  <c r="AP50" i="1"/>
  <c r="BK50" i="1" s="1"/>
  <c r="AP40" i="1"/>
  <c r="BK40" i="1" s="1"/>
  <c r="AP43" i="1"/>
  <c r="BK43" i="1" s="1"/>
  <c r="AP14" i="1"/>
  <c r="BK14" i="1" s="1"/>
  <c r="AP107" i="1"/>
  <c r="BK107" i="1" s="1"/>
  <c r="AP44" i="1"/>
  <c r="BK44" i="1" s="1"/>
  <c r="AP77" i="1"/>
  <c r="BK77" i="1" s="1"/>
  <c r="AD35" i="1"/>
  <c r="AG12" i="1"/>
  <c r="AC12" i="1" s="1"/>
  <c r="BC12" i="1" s="1"/>
  <c r="AP67" i="1"/>
  <c r="BK67" i="1" s="1"/>
  <c r="AP18" i="1"/>
  <c r="BK18" i="1" s="1"/>
  <c r="AP6" i="1"/>
  <c r="BK6" i="1" s="1"/>
  <c r="AP100" i="1"/>
  <c r="BK100" i="1" s="1"/>
  <c r="AP45" i="1"/>
  <c r="BK45" i="1" s="1"/>
  <c r="AF35" i="1"/>
  <c r="AP69" i="1"/>
  <c r="BK69" i="1" s="1"/>
  <c r="AP62" i="1"/>
  <c r="BK62" i="1" s="1"/>
  <c r="AP68" i="1"/>
  <c r="BK68" i="1" s="1"/>
  <c r="AP27" i="1"/>
  <c r="BK27" i="1" s="1"/>
  <c r="AP21" i="1"/>
  <c r="BK21" i="1" s="1"/>
  <c r="AP57" i="1"/>
  <c r="BK57" i="1" s="1"/>
  <c r="AP106" i="1"/>
  <c r="BK106" i="1" s="1"/>
  <c r="AP104" i="1"/>
  <c r="BK104" i="1" s="1"/>
  <c r="BK110" i="1"/>
  <c r="BJ110" i="1"/>
  <c r="AP70" i="1"/>
  <c r="BK70" i="1" s="1"/>
  <c r="BI80" i="1"/>
  <c r="AP80" i="1"/>
  <c r="BK80" i="1" s="1"/>
  <c r="AP94" i="1"/>
  <c r="BK94" i="1" s="1"/>
  <c r="BI94" i="1"/>
  <c r="BI86" i="1"/>
  <c r="AP86" i="1"/>
  <c r="BK86" i="1" s="1"/>
  <c r="BI52" i="1"/>
  <c r="AP52" i="1"/>
  <c r="BK52" i="1" s="1"/>
  <c r="AP29" i="1"/>
  <c r="BK29" i="1" s="1"/>
  <c r="AP17" i="1"/>
  <c r="BK17" i="1" s="1"/>
  <c r="AP102" i="1"/>
  <c r="BK102" i="1" s="1"/>
  <c r="BI102" i="1"/>
  <c r="AG26" i="1"/>
  <c r="AE26" i="1" s="1"/>
  <c r="BE26" i="1" s="1"/>
  <c r="AG18" i="1"/>
  <c r="AE18" i="1" s="1"/>
  <c r="BE18" i="1" s="1"/>
  <c r="S32" i="1"/>
  <c r="AR32" i="1" s="1"/>
  <c r="BM32" i="1" s="1"/>
  <c r="AM32" i="1"/>
  <c r="AG25" i="1"/>
  <c r="AD25" i="1" s="1"/>
  <c r="BD25" i="1" s="1"/>
  <c r="AC7" i="1"/>
  <c r="BC7" i="1" s="1"/>
  <c r="AD7" i="1"/>
  <c r="BD7" i="1" s="1"/>
  <c r="BG7" i="1"/>
  <c r="AE7" i="1"/>
  <c r="BE7" i="1" s="1"/>
  <c r="BJ16" i="1"/>
  <c r="AP16" i="1"/>
  <c r="BK16" i="1" s="1"/>
  <c r="AP4" i="1"/>
  <c r="BJ59" i="1"/>
  <c r="AP59" i="1"/>
  <c r="BK59" i="1" s="1"/>
  <c r="BJ36" i="1"/>
  <c r="AP36" i="1"/>
  <c r="BK36" i="1" s="1"/>
  <c r="BJ60" i="1"/>
  <c r="AP60" i="1"/>
  <c r="BK60" i="1" s="1"/>
  <c r="AP30" i="1"/>
  <c r="BK30" i="1" s="1"/>
  <c r="BJ30" i="1"/>
  <c r="BI5" i="1"/>
  <c r="AP5" i="1"/>
  <c r="BK5" i="1" s="1"/>
  <c r="AM33" i="1"/>
  <c r="S33" i="1"/>
  <c r="AR33" i="1" s="1"/>
  <c r="BM33" i="1" s="1"/>
  <c r="AP98" i="1"/>
  <c r="BK98" i="1" s="1"/>
  <c r="BJ98" i="1"/>
  <c r="AM12" i="1"/>
  <c r="S12" i="1"/>
  <c r="AR12" i="1" s="1"/>
  <c r="BM12" i="1" s="1"/>
  <c r="BI68" i="1"/>
  <c r="BI50" i="1"/>
  <c r="AP28" i="1"/>
  <c r="BK28" i="1" s="1"/>
  <c r="AP105" i="1"/>
  <c r="BK105" i="1" s="1"/>
  <c r="BJ105" i="1"/>
  <c r="BJ75" i="1"/>
  <c r="AP75" i="1"/>
  <c r="BK75" i="1" s="1"/>
  <c r="AM13" i="1"/>
  <c r="S13" i="1"/>
  <c r="AR13" i="1" s="1"/>
  <c r="BM13" i="1" s="1"/>
  <c r="BI58" i="1"/>
  <c r="AP58" i="1"/>
  <c r="BK58" i="1" s="1"/>
  <c r="AP74" i="1"/>
  <c r="BK74" i="1" s="1"/>
  <c r="BJ104" i="1"/>
  <c r="S5" i="1"/>
  <c r="BI95" i="1"/>
  <c r="AP95" i="1"/>
  <c r="BK95" i="1" s="1"/>
  <c r="AP81" i="1"/>
  <c r="BK81" i="1" s="1"/>
  <c r="BQ9" i="1"/>
  <c r="AP61" i="1"/>
  <c r="BK61" i="1" s="1"/>
  <c r="BJ61" i="1"/>
  <c r="BI49" i="1"/>
  <c r="AP49" i="1"/>
  <c r="BK49" i="1" s="1"/>
  <c r="AP37" i="1"/>
  <c r="BK37" i="1" s="1"/>
  <c r="AP56" i="1"/>
  <c r="BK56" i="1" s="1"/>
  <c r="AM31" i="1"/>
  <c r="S31" i="1"/>
  <c r="AR31" i="1" s="1"/>
  <c r="BM31" i="1" s="1"/>
  <c r="G5" i="8"/>
  <c r="K12" i="4"/>
  <c r="I51" i="4"/>
  <c r="A5" i="5"/>
  <c r="H51" i="4"/>
  <c r="B39" i="5"/>
  <c r="H69" i="4"/>
  <c r="J69" i="4"/>
  <c r="A8" i="5"/>
  <c r="B34" i="5"/>
  <c r="H44" i="4"/>
  <c r="G44" i="4"/>
  <c r="J44" i="4"/>
  <c r="G71" i="4"/>
  <c r="J71" i="4"/>
  <c r="E33" i="4"/>
  <c r="F56" i="4"/>
  <c r="G56" i="4"/>
  <c r="J56" i="4"/>
  <c r="K13" i="4"/>
  <c r="I62" i="4"/>
  <c r="J32" i="4"/>
  <c r="H70" i="4" s="1"/>
  <c r="J68" i="4"/>
  <c r="I49" i="4"/>
  <c r="G68" i="4"/>
  <c r="G62" i="4"/>
  <c r="H48" i="4"/>
  <c r="F68" i="4"/>
  <c r="I48" i="4"/>
  <c r="B36" i="5"/>
  <c r="G48" i="4"/>
  <c r="A15" i="5"/>
  <c r="F48" i="4"/>
  <c r="A27" i="5"/>
  <c r="J48" i="4"/>
  <c r="J75" i="4"/>
  <c r="E37" i="4"/>
  <c r="F75" i="4"/>
  <c r="G75" i="4"/>
  <c r="H75" i="4"/>
  <c r="F57" i="4"/>
  <c r="G57" i="4"/>
  <c r="J57" i="4"/>
  <c r="I57" i="4"/>
  <c r="J27" i="4"/>
  <c r="J15" i="4"/>
  <c r="I53" i="4" s="1"/>
  <c r="F74" i="4"/>
  <c r="G74" i="4"/>
  <c r="E36" i="4"/>
  <c r="I74" i="4"/>
  <c r="J74" i="4"/>
  <c r="J26" i="4"/>
  <c r="I64" i="4" s="1"/>
  <c r="H74" i="4"/>
  <c r="F60" i="4"/>
  <c r="I60" i="4"/>
  <c r="G60" i="4"/>
  <c r="H60" i="4"/>
  <c r="J60" i="4"/>
  <c r="F59" i="4"/>
  <c r="H59" i="4"/>
  <c r="G59" i="4"/>
  <c r="J29" i="4"/>
  <c r="I67" i="4" s="1"/>
  <c r="J17" i="4"/>
  <c r="I55" i="4" s="1"/>
  <c r="J5" i="4"/>
  <c r="I43" i="4" s="1"/>
  <c r="J58" i="4"/>
  <c r="F58" i="4"/>
  <c r="H58" i="4"/>
  <c r="G58" i="4"/>
  <c r="B54" i="5"/>
  <c r="B47" i="5"/>
  <c r="B40" i="5"/>
  <c r="A11" i="5"/>
  <c r="I58" i="4"/>
  <c r="G76" i="4"/>
  <c r="H76" i="4"/>
  <c r="E38" i="4"/>
  <c r="J14" i="4"/>
  <c r="I52" i="4" s="1"/>
  <c r="H73" i="4"/>
  <c r="E35" i="4"/>
  <c r="J73" i="4"/>
  <c r="F73" i="4"/>
  <c r="G73" i="4"/>
  <c r="F50" i="4"/>
  <c r="H50" i="4"/>
  <c r="G50" i="4"/>
  <c r="J50" i="4"/>
  <c r="J76" i="4"/>
  <c r="B38" i="5"/>
  <c r="G46" i="4"/>
  <c r="J46" i="4"/>
  <c r="F46" i="4"/>
  <c r="H46" i="4"/>
  <c r="I76" i="4"/>
  <c r="I73" i="4"/>
  <c r="J23" i="4"/>
  <c r="H49" i="4"/>
  <c r="J49" i="4"/>
  <c r="G49" i="4"/>
  <c r="J45" i="4"/>
  <c r="I50" i="4"/>
  <c r="F45" i="4"/>
  <c r="G45" i="4"/>
  <c r="H45" i="4"/>
  <c r="F76" i="4"/>
  <c r="I46" i="4"/>
  <c r="I75" i="4"/>
  <c r="J63" i="4"/>
  <c r="F63" i="4"/>
  <c r="J51" i="4"/>
  <c r="F51" i="4"/>
  <c r="I56" i="4"/>
  <c r="H56" i="4"/>
  <c r="F44" i="4"/>
  <c r="J72" i="4"/>
  <c r="I63" i="4"/>
  <c r="F62" i="4"/>
  <c r="H62" i="4"/>
  <c r="E34" i="4"/>
  <c r="H72" i="4"/>
  <c r="H63" i="4"/>
  <c r="I44" i="4"/>
  <c r="G72" i="4"/>
  <c r="G63" i="4"/>
  <c r="F71" i="4"/>
  <c r="H71" i="4"/>
  <c r="I72" i="4"/>
  <c r="I71" i="4"/>
  <c r="I59" i="4"/>
  <c r="I68" i="4"/>
  <c r="H68" i="4"/>
  <c r="J9" i="4"/>
  <c r="I47" i="4" s="1"/>
  <c r="F69" i="4"/>
  <c r="G69" i="4"/>
  <c r="E31" i="4"/>
  <c r="I69" i="4"/>
  <c r="J28" i="4"/>
  <c r="J16" i="4"/>
  <c r="AQ149" i="1" l="1"/>
  <c r="AM149" i="1"/>
  <c r="BE4" i="1"/>
  <c r="BM4" i="1"/>
  <c r="AU149" i="1"/>
  <c r="BO149" i="1" s="1"/>
  <c r="AR14" i="1"/>
  <c r="BM14" i="1" s="1"/>
  <c r="BQ149" i="1"/>
  <c r="AR10" i="1"/>
  <c r="BM10" i="1" s="1"/>
  <c r="AP71" i="1"/>
  <c r="BK71" i="1" s="1"/>
  <c r="AK19" i="1"/>
  <c r="AL19" i="1" s="1"/>
  <c r="BG19" i="1"/>
  <c r="AF19" i="1"/>
  <c r="BF19" i="1" s="1"/>
  <c r="AD19" i="1"/>
  <c r="BD19" i="1" s="1"/>
  <c r="AE19" i="1"/>
  <c r="BE19" i="1" s="1"/>
  <c r="AC19" i="1"/>
  <c r="BC19" i="1" s="1"/>
  <c r="Q9" i="1"/>
  <c r="Q70" i="1"/>
  <c r="AC25" i="1"/>
  <c r="BC25" i="1" s="1"/>
  <c r="AL7" i="1"/>
  <c r="BB149" i="1"/>
  <c r="S71" i="1"/>
  <c r="AR71" i="1" s="1"/>
  <c r="BM71" i="1" s="1"/>
  <c r="BB71" i="1"/>
  <c r="AF23" i="1"/>
  <c r="BF23" i="1" s="1"/>
  <c r="AS35" i="1"/>
  <c r="AT35" i="1" s="1"/>
  <c r="AD21" i="1"/>
  <c r="BD21" i="1" s="1"/>
  <c r="AF20" i="1"/>
  <c r="BF20" i="1" s="1"/>
  <c r="BG34" i="1"/>
  <c r="AE34" i="1"/>
  <c r="BE34" i="1" s="1"/>
  <c r="AK34" i="1"/>
  <c r="BH34" i="1" s="1"/>
  <c r="AC34" i="1"/>
  <c r="BC34" i="1" s="1"/>
  <c r="AF34" i="1"/>
  <c r="BF34" i="1" s="1"/>
  <c r="AD34" i="1"/>
  <c r="BD34" i="1" s="1"/>
  <c r="AD31" i="1"/>
  <c r="BD31" i="1" s="1"/>
  <c r="AK31" i="1"/>
  <c r="BH31" i="1" s="1"/>
  <c r="AC31" i="1"/>
  <c r="BC31" i="1" s="1"/>
  <c r="BG31" i="1"/>
  <c r="AF31" i="1"/>
  <c r="BF31" i="1" s="1"/>
  <c r="AE31" i="1"/>
  <c r="BE31" i="1" s="1"/>
  <c r="AD30" i="1"/>
  <c r="BD30" i="1" s="1"/>
  <c r="AF30" i="1"/>
  <c r="BF30" i="1" s="1"/>
  <c r="AE30" i="1"/>
  <c r="BE30" i="1" s="1"/>
  <c r="AC30" i="1"/>
  <c r="BC30" i="1" s="1"/>
  <c r="AK30" i="1"/>
  <c r="BH30" i="1" s="1"/>
  <c r="BG30" i="1"/>
  <c r="AE24" i="1"/>
  <c r="BE24" i="1" s="1"/>
  <c r="AD24" i="1"/>
  <c r="BD24" i="1" s="1"/>
  <c r="BG24" i="1"/>
  <c r="AF24" i="1"/>
  <c r="BF24" i="1" s="1"/>
  <c r="AK24" i="1"/>
  <c r="AC24" i="1"/>
  <c r="BC24" i="1" s="1"/>
  <c r="BJ149" i="1"/>
  <c r="BL149" i="1"/>
  <c r="BJ71" i="1"/>
  <c r="AG17" i="1"/>
  <c r="AF5" i="1"/>
  <c r="BF5" i="1" s="1"/>
  <c r="AC5" i="1"/>
  <c r="BC5" i="1" s="1"/>
  <c r="AK5" i="1"/>
  <c r="AL5" i="1" s="1"/>
  <c r="BG5" i="1"/>
  <c r="AE5" i="1"/>
  <c r="BE5" i="1" s="1"/>
  <c r="AD5" i="1"/>
  <c r="BD5" i="1" s="1"/>
  <c r="BG9" i="1"/>
  <c r="AK9" i="1"/>
  <c r="BH9" i="1" s="1"/>
  <c r="AF9" i="1"/>
  <c r="BF9" i="1" s="1"/>
  <c r="AC9" i="1"/>
  <c r="BC9" i="1" s="1"/>
  <c r="AE9" i="1"/>
  <c r="BE9" i="1" s="1"/>
  <c r="AD9" i="1"/>
  <c r="BD9" i="1" s="1"/>
  <c r="AF10" i="1"/>
  <c r="BF10" i="1" s="1"/>
  <c r="AE10" i="1"/>
  <c r="BE10" i="1" s="1"/>
  <c r="AD10" i="1"/>
  <c r="BD10" i="1" s="1"/>
  <c r="AK10" i="1"/>
  <c r="BH10" i="1" s="1"/>
  <c r="AC10" i="1"/>
  <c r="BC10" i="1" s="1"/>
  <c r="BG10" i="1"/>
  <c r="AF6" i="1"/>
  <c r="BF6" i="1" s="1"/>
  <c r="BG6" i="1"/>
  <c r="AK6" i="1"/>
  <c r="AS6" i="1" s="1"/>
  <c r="AD6" i="1"/>
  <c r="BD6" i="1" s="1"/>
  <c r="AC6" i="1"/>
  <c r="BC6" i="1" s="1"/>
  <c r="AE6" i="1"/>
  <c r="BE6" i="1" s="1"/>
  <c r="AF11" i="1"/>
  <c r="BF11" i="1" s="1"/>
  <c r="BG11" i="1"/>
  <c r="AD11" i="1"/>
  <c r="BD11" i="1" s="1"/>
  <c r="AK11" i="1"/>
  <c r="AL11" i="1" s="1"/>
  <c r="AE11" i="1"/>
  <c r="BE11" i="1" s="1"/>
  <c r="AC11" i="1"/>
  <c r="BC11" i="1" s="1"/>
  <c r="BI149" i="1"/>
  <c r="AD23" i="1"/>
  <c r="BD23" i="1" s="1"/>
  <c r="AC14" i="1"/>
  <c r="BC14" i="1" s="1"/>
  <c r="AF14" i="1"/>
  <c r="BF14" i="1" s="1"/>
  <c r="BG14" i="1"/>
  <c r="BG8" i="1"/>
  <c r="AF8" i="1"/>
  <c r="BF8" i="1" s="1"/>
  <c r="BG4" i="1"/>
  <c r="AF4" i="1"/>
  <c r="AD4" i="1"/>
  <c r="AK4" i="1"/>
  <c r="AC4" i="1"/>
  <c r="AK14" i="1"/>
  <c r="BH14" i="1" s="1"/>
  <c r="AE23" i="1"/>
  <c r="BE23" i="1" s="1"/>
  <c r="AF33" i="1"/>
  <c r="BF33" i="1" s="1"/>
  <c r="AE16" i="1"/>
  <c r="BE16" i="1" s="1"/>
  <c r="AC33" i="1"/>
  <c r="BC33" i="1" s="1"/>
  <c r="BG33" i="1"/>
  <c r="Q19" i="1"/>
  <c r="AR19" i="1"/>
  <c r="BM19" i="1" s="1"/>
  <c r="AK16" i="1"/>
  <c r="AS16" i="1" s="1"/>
  <c r="AC20" i="1"/>
  <c r="BC20" i="1" s="1"/>
  <c r="AE33" i="1"/>
  <c r="BE33" i="1" s="1"/>
  <c r="AK33" i="1"/>
  <c r="AL33" i="1" s="1"/>
  <c r="AC32" i="1"/>
  <c r="BC32" i="1" s="1"/>
  <c r="AE32" i="1"/>
  <c r="BE32" i="1" s="1"/>
  <c r="BG20" i="1"/>
  <c r="Q20" i="1"/>
  <c r="AD20" i="1"/>
  <c r="BD20" i="1" s="1"/>
  <c r="AK32" i="1"/>
  <c r="BH32" i="1" s="1"/>
  <c r="AK20" i="1"/>
  <c r="BH20" i="1" s="1"/>
  <c r="AC8" i="1"/>
  <c r="BC8" i="1" s="1"/>
  <c r="AD32" i="1"/>
  <c r="BD32" i="1" s="1"/>
  <c r="AE8" i="1"/>
  <c r="BE8" i="1" s="1"/>
  <c r="BG32" i="1"/>
  <c r="AE14" i="1"/>
  <c r="BE14" i="1" s="1"/>
  <c r="AD16" i="1"/>
  <c r="BD16" i="1" s="1"/>
  <c r="AC16" i="1"/>
  <c r="BC16" i="1" s="1"/>
  <c r="BG22" i="1"/>
  <c r="AE22" i="1"/>
  <c r="BE22" i="1" s="1"/>
  <c r="BG16" i="1"/>
  <c r="BG13" i="1"/>
  <c r="AS22" i="1"/>
  <c r="AV22" i="1" s="1"/>
  <c r="AS15" i="1"/>
  <c r="AY15" i="1" s="1"/>
  <c r="AZ15" i="1" s="1"/>
  <c r="AC13" i="1"/>
  <c r="BC13" i="1" s="1"/>
  <c r="AK13" i="1"/>
  <c r="BH13" i="1" s="1"/>
  <c r="BI7" i="1"/>
  <c r="AP7" i="1"/>
  <c r="AL22" i="1"/>
  <c r="AE12" i="1"/>
  <c r="BE12" i="1" s="1"/>
  <c r="BG12" i="1"/>
  <c r="BG21" i="1"/>
  <c r="AC21" i="1"/>
  <c r="BC21" i="1" s="1"/>
  <c r="AK21" i="1"/>
  <c r="AK12" i="1"/>
  <c r="AL12" i="1" s="1"/>
  <c r="AF13" i="1"/>
  <c r="BF13" i="1" s="1"/>
  <c r="AD22" i="1"/>
  <c r="BD22" i="1" s="1"/>
  <c r="AD12" i="1"/>
  <c r="BD12" i="1" s="1"/>
  <c r="AD8" i="1"/>
  <c r="BD8" i="1" s="1"/>
  <c r="AK8" i="1"/>
  <c r="AF21" i="1"/>
  <c r="BF21" i="1" s="1"/>
  <c r="AF22" i="1"/>
  <c r="BF22" i="1" s="1"/>
  <c r="AC22" i="1"/>
  <c r="BC22" i="1" s="1"/>
  <c r="AF12" i="1"/>
  <c r="BF12" i="1" s="1"/>
  <c r="AE13" i="1"/>
  <c r="BE13" i="1" s="1"/>
  <c r="AK27" i="1"/>
  <c r="BG27" i="1"/>
  <c r="AF27" i="1"/>
  <c r="BF27" i="1" s="1"/>
  <c r="AD27" i="1"/>
  <c r="BD27" i="1" s="1"/>
  <c r="AE27" i="1"/>
  <c r="BE27" i="1" s="1"/>
  <c r="AP13" i="1"/>
  <c r="BK13" i="1" s="1"/>
  <c r="BI13" i="1"/>
  <c r="BG25" i="1"/>
  <c r="AF25" i="1"/>
  <c r="BF25" i="1" s="1"/>
  <c r="AK25" i="1"/>
  <c r="AE25" i="1"/>
  <c r="BE25" i="1" s="1"/>
  <c r="BI31" i="1"/>
  <c r="AP31" i="1"/>
  <c r="BK31" i="1" s="1"/>
  <c r="AR5" i="1"/>
  <c r="BI32" i="1"/>
  <c r="AP32" i="1"/>
  <c r="BK32" i="1" s="1"/>
  <c r="AK29" i="1"/>
  <c r="BG29" i="1"/>
  <c r="AD29" i="1"/>
  <c r="BD29" i="1" s="1"/>
  <c r="AP12" i="1"/>
  <c r="BK12" i="1" s="1"/>
  <c r="BI12" i="1"/>
  <c r="BK4" i="1"/>
  <c r="AF18" i="1"/>
  <c r="BF18" i="1" s="1"/>
  <c r="BG28" i="1"/>
  <c r="AK28" i="1"/>
  <c r="AC28" i="1"/>
  <c r="BC28" i="1" s="1"/>
  <c r="AF28" i="1"/>
  <c r="BF28" i="1" s="1"/>
  <c r="AD28" i="1"/>
  <c r="BD28" i="1" s="1"/>
  <c r="AE29" i="1"/>
  <c r="BE29" i="1" s="1"/>
  <c r="AK26" i="1"/>
  <c r="BG26" i="1"/>
  <c r="AC26" i="1"/>
  <c r="BC26" i="1" s="1"/>
  <c r="AF26" i="1"/>
  <c r="BF26" i="1" s="1"/>
  <c r="AD26" i="1"/>
  <c r="BD26" i="1" s="1"/>
  <c r="BI33" i="1"/>
  <c r="AP33" i="1"/>
  <c r="AK23" i="1"/>
  <c r="BG23" i="1"/>
  <c r="BG18" i="1"/>
  <c r="AK18" i="1"/>
  <c r="AD18" i="1"/>
  <c r="BD18" i="1" s="1"/>
  <c r="AC18" i="1"/>
  <c r="BC18" i="1" s="1"/>
  <c r="AC27" i="1"/>
  <c r="BC27" i="1" s="1"/>
  <c r="AE28" i="1"/>
  <c r="BE28" i="1" s="1"/>
  <c r="AC29" i="1"/>
  <c r="BC29" i="1" s="1"/>
  <c r="BE44" i="1"/>
  <c r="BF53" i="1"/>
  <c r="BE90" i="1"/>
  <c r="BF44" i="1"/>
  <c r="BE53" i="1"/>
  <c r="BF55" i="1"/>
  <c r="BD55" i="1"/>
  <c r="BE55" i="1"/>
  <c r="BD43" i="1"/>
  <c r="BE43" i="1"/>
  <c r="BC53" i="1"/>
  <c r="BD53" i="1"/>
  <c r="BF43" i="1"/>
  <c r="BC43" i="1"/>
  <c r="G70" i="4"/>
  <c r="BC44" i="1"/>
  <c r="I70" i="4"/>
  <c r="BD97" i="1"/>
  <c r="E32" i="4"/>
  <c r="F70" i="4"/>
  <c r="J70" i="4"/>
  <c r="BD44" i="1"/>
  <c r="BE71" i="1"/>
  <c r="BF71" i="1"/>
  <c r="BD71" i="1"/>
  <c r="BE64" i="1"/>
  <c r="BD64" i="1"/>
  <c r="BF64" i="1"/>
  <c r="BF58" i="1"/>
  <c r="BD58" i="1"/>
  <c r="BE58" i="1"/>
  <c r="BC55" i="1"/>
  <c r="BF46" i="1"/>
  <c r="BD39" i="1"/>
  <c r="BE39" i="1"/>
  <c r="BF39" i="1"/>
  <c r="BE41" i="1"/>
  <c r="BF41" i="1"/>
  <c r="BD41" i="1"/>
  <c r="BE98" i="1"/>
  <c r="BE59" i="1"/>
  <c r="BF59" i="1"/>
  <c r="BD59" i="1"/>
  <c r="BD54" i="1"/>
  <c r="BF54" i="1"/>
  <c r="BE54" i="1"/>
  <c r="BF69" i="1"/>
  <c r="BE69" i="1"/>
  <c r="BD69" i="1"/>
  <c r="AD72" i="1"/>
  <c r="BD51" i="1"/>
  <c r="BF51" i="1"/>
  <c r="BE51" i="1"/>
  <c r="BD63" i="1"/>
  <c r="BE63" i="1"/>
  <c r="BF63" i="1"/>
  <c r="AC72" i="1"/>
  <c r="BD110" i="1"/>
  <c r="BF110" i="1"/>
  <c r="BE110" i="1"/>
  <c r="H53" i="4"/>
  <c r="J53" i="4"/>
  <c r="F53" i="4"/>
  <c r="G53" i="4"/>
  <c r="BF38" i="1"/>
  <c r="BE38" i="1"/>
  <c r="BD38" i="1"/>
  <c r="BF47" i="1"/>
  <c r="BD47" i="1"/>
  <c r="BE47" i="1"/>
  <c r="BF81" i="1"/>
  <c r="BD81" i="1"/>
  <c r="BE81" i="1"/>
  <c r="BD66" i="1"/>
  <c r="BF66" i="1"/>
  <c r="BE66" i="1"/>
  <c r="BF109" i="1"/>
  <c r="BE109" i="1"/>
  <c r="BD109" i="1"/>
  <c r="G64" i="4"/>
  <c r="H64" i="4"/>
  <c r="F64" i="4"/>
  <c r="J64" i="4"/>
  <c r="H65" i="4"/>
  <c r="G65" i="4"/>
  <c r="J65" i="4"/>
  <c r="F65" i="4"/>
  <c r="G54" i="4"/>
  <c r="J54" i="4"/>
  <c r="F54" i="4"/>
  <c r="H54" i="4"/>
  <c r="BE70" i="1"/>
  <c r="BF70" i="1"/>
  <c r="BD70" i="1"/>
  <c r="BE68" i="1"/>
  <c r="BF68" i="1"/>
  <c r="BD68" i="1"/>
  <c r="AE72" i="1"/>
  <c r="BF97" i="1"/>
  <c r="BE97" i="1"/>
  <c r="BD42" i="1"/>
  <c r="BF90" i="1"/>
  <c r="BF99" i="1"/>
  <c r="BD99" i="1"/>
  <c r="BE99" i="1"/>
  <c r="I65" i="4"/>
  <c r="G66" i="4"/>
  <c r="J66" i="4"/>
  <c r="F66" i="4"/>
  <c r="H66" i="4"/>
  <c r="BF61" i="1"/>
  <c r="BE61" i="1"/>
  <c r="BD61" i="1"/>
  <c r="BE62" i="1"/>
  <c r="BD62" i="1"/>
  <c r="BF62" i="1"/>
  <c r="AF72" i="1"/>
  <c r="H61" i="4"/>
  <c r="J61" i="4"/>
  <c r="G61" i="4"/>
  <c r="F61" i="4"/>
  <c r="G52" i="4"/>
  <c r="H52" i="4"/>
  <c r="J52" i="4"/>
  <c r="F52" i="4"/>
  <c r="BD103" i="1"/>
  <c r="BE103" i="1"/>
  <c r="BF103" i="1"/>
  <c r="E29" i="4"/>
  <c r="J67" i="4"/>
  <c r="F67" i="4"/>
  <c r="G67" i="4"/>
  <c r="H67" i="4"/>
  <c r="BF52" i="1"/>
  <c r="BD52" i="1"/>
  <c r="BE52" i="1"/>
  <c r="BD56" i="1"/>
  <c r="BF56" i="1"/>
  <c r="BE56" i="1"/>
  <c r="BE42" i="1"/>
  <c r="I61" i="4"/>
  <c r="BF106" i="1"/>
  <c r="BD106" i="1"/>
  <c r="BE106" i="1"/>
  <c r="G43" i="4"/>
  <c r="J43" i="4"/>
  <c r="H43" i="4"/>
  <c r="F43" i="4"/>
  <c r="BE96" i="1"/>
  <c r="BF96" i="1"/>
  <c r="BD96" i="1"/>
  <c r="BE37" i="1"/>
  <c r="BF37" i="1"/>
  <c r="BD37" i="1"/>
  <c r="BF40" i="1"/>
  <c r="BE40" i="1"/>
  <c r="BD40" i="1"/>
  <c r="BD67" i="1"/>
  <c r="BE67" i="1"/>
  <c r="BF67" i="1"/>
  <c r="BF45" i="1"/>
  <c r="BE45" i="1"/>
  <c r="BD45" i="1"/>
  <c r="BD98" i="1"/>
  <c r="BD46" i="1"/>
  <c r="I54" i="4"/>
  <c r="F47" i="4"/>
  <c r="H47" i="4"/>
  <c r="G47" i="4"/>
  <c r="J47" i="4"/>
  <c r="BD48" i="1"/>
  <c r="BE48" i="1"/>
  <c r="BF48" i="1"/>
  <c r="BD90" i="1"/>
  <c r="BF50" i="1"/>
  <c r="BE50" i="1"/>
  <c r="BD50" i="1"/>
  <c r="BD57" i="1"/>
  <c r="BF57" i="1"/>
  <c r="BE57" i="1"/>
  <c r="BD60" i="1"/>
  <c r="BF60" i="1"/>
  <c r="BE60" i="1"/>
  <c r="BD49" i="1"/>
  <c r="BE49" i="1"/>
  <c r="BF49" i="1"/>
  <c r="BF42" i="1"/>
  <c r="BF98" i="1"/>
  <c r="BE65" i="1"/>
  <c r="BD65" i="1"/>
  <c r="BF65" i="1"/>
  <c r="J55" i="4"/>
  <c r="F55" i="4"/>
  <c r="G55" i="4"/>
  <c r="H55" i="4"/>
  <c r="BE46" i="1"/>
  <c r="I66" i="4"/>
  <c r="BH19" i="1" l="1"/>
  <c r="BC4" i="1"/>
  <c r="AR149" i="1"/>
  <c r="BD4" i="1"/>
  <c r="BF4" i="1"/>
  <c r="AP149" i="1"/>
  <c r="BK149" i="1" s="1"/>
  <c r="AS4" i="1"/>
  <c r="S149" i="1"/>
  <c r="Q71" i="1"/>
  <c r="Q149" i="1" s="1"/>
  <c r="AY35" i="1"/>
  <c r="AZ35" i="1" s="1"/>
  <c r="AV35" i="1"/>
  <c r="AW35" i="1" s="1"/>
  <c r="AL6" i="1"/>
  <c r="BH6" i="1"/>
  <c r="AL34" i="1"/>
  <c r="AS34" i="1"/>
  <c r="AY34" i="1" s="1"/>
  <c r="AS30" i="1"/>
  <c r="AT30" i="1" s="1"/>
  <c r="AL31" i="1"/>
  <c r="BH11" i="1"/>
  <c r="AC17" i="1"/>
  <c r="BC17" i="1" s="1"/>
  <c r="AF17" i="1"/>
  <c r="BF17" i="1" s="1"/>
  <c r="AD17" i="1"/>
  <c r="BD17" i="1" s="1"/>
  <c r="AK17" i="1"/>
  <c r="AS17" i="1" s="1"/>
  <c r="AE17" i="1"/>
  <c r="BE17" i="1" s="1"/>
  <c r="BG17" i="1"/>
  <c r="BH24" i="1"/>
  <c r="AL24" i="1"/>
  <c r="AS24" i="1"/>
  <c r="AY24" i="1" s="1"/>
  <c r="BR24" i="1" s="1"/>
  <c r="AS10" i="1"/>
  <c r="AT10" i="1" s="1"/>
  <c r="BH5" i="1"/>
  <c r="AL10" i="1"/>
  <c r="AL30" i="1"/>
  <c r="AS11" i="1"/>
  <c r="AY11" i="1" s="1"/>
  <c r="AS19" i="1"/>
  <c r="AV19" i="1" s="1"/>
  <c r="BH16" i="1"/>
  <c r="AL9" i="1"/>
  <c r="AS9" i="1"/>
  <c r="AV9" i="1" s="1"/>
  <c r="AS14" i="1"/>
  <c r="AT14" i="1" s="1"/>
  <c r="AL14" i="1"/>
  <c r="AL20" i="1"/>
  <c r="AL32" i="1"/>
  <c r="AS20" i="1"/>
  <c r="BN20" i="1" s="1"/>
  <c r="BN22" i="1"/>
  <c r="AL4" i="1"/>
  <c r="BH4" i="1"/>
  <c r="AL16" i="1"/>
  <c r="AT22" i="1"/>
  <c r="BH33" i="1"/>
  <c r="AT15" i="1"/>
  <c r="AY22" i="1"/>
  <c r="AZ22" i="1" s="1"/>
  <c r="BH12" i="1"/>
  <c r="AS12" i="1"/>
  <c r="AV12" i="1" s="1"/>
  <c r="AS32" i="1"/>
  <c r="BN32" i="1" s="1"/>
  <c r="AV15" i="1"/>
  <c r="AW15" i="1" s="1"/>
  <c r="AS13" i="1"/>
  <c r="AV13" i="1" s="1"/>
  <c r="AL8" i="1"/>
  <c r="BH8" i="1"/>
  <c r="AS8" i="1"/>
  <c r="AL13" i="1"/>
  <c r="BH21" i="1"/>
  <c r="AL21" i="1"/>
  <c r="AS21" i="1"/>
  <c r="AS31" i="1"/>
  <c r="AY31" i="1" s="1"/>
  <c r="BK7" i="1"/>
  <c r="AS7" i="1"/>
  <c r="AY6" i="1"/>
  <c r="AV6" i="1"/>
  <c r="AT6" i="1"/>
  <c r="BN6" i="1"/>
  <c r="BH18" i="1"/>
  <c r="AS18" i="1"/>
  <c r="AL18" i="1"/>
  <c r="AW22" i="1"/>
  <c r="BP22" i="1"/>
  <c r="BH26" i="1"/>
  <c r="AS26" i="1"/>
  <c r="AL26" i="1"/>
  <c r="BM5" i="1"/>
  <c r="BM149" i="1"/>
  <c r="BN4" i="1"/>
  <c r="AS5" i="1"/>
  <c r="AS33" i="1"/>
  <c r="BK33" i="1"/>
  <c r="AV16" i="1"/>
  <c r="AT16" i="1"/>
  <c r="AY16" i="1"/>
  <c r="BN16" i="1"/>
  <c r="BH28" i="1"/>
  <c r="AS28" i="1"/>
  <c r="AL28" i="1"/>
  <c r="BH23" i="1"/>
  <c r="AS23" i="1"/>
  <c r="AL23" i="1"/>
  <c r="AL29" i="1"/>
  <c r="BH29" i="1"/>
  <c r="AS29" i="1"/>
  <c r="AS25" i="1"/>
  <c r="AL25" i="1"/>
  <c r="BH25" i="1"/>
  <c r="BH27" i="1"/>
  <c r="AS27" i="1"/>
  <c r="AL27" i="1"/>
  <c r="AG55" i="1"/>
  <c r="AK55" i="1" s="1"/>
  <c r="AG53" i="1"/>
  <c r="AG43" i="1"/>
  <c r="AG44" i="1"/>
  <c r="AK44" i="1" s="1"/>
  <c r="AG65" i="1"/>
  <c r="BC65" i="1"/>
  <c r="BF92" i="1"/>
  <c r="BE92" i="1"/>
  <c r="BD92" i="1"/>
  <c r="BD100" i="1"/>
  <c r="BF100" i="1"/>
  <c r="BE100" i="1"/>
  <c r="AG56" i="1"/>
  <c r="BC56" i="1"/>
  <c r="BF78" i="1"/>
  <c r="BE78" i="1"/>
  <c r="BD78" i="1"/>
  <c r="BF79" i="1"/>
  <c r="BE79" i="1"/>
  <c r="BD79" i="1"/>
  <c r="AG40" i="1"/>
  <c r="BC40" i="1"/>
  <c r="BD104" i="1"/>
  <c r="BF104" i="1"/>
  <c r="BE104" i="1"/>
  <c r="BC90" i="1"/>
  <c r="AG90" i="1"/>
  <c r="BC41" i="1"/>
  <c r="AG41" i="1"/>
  <c r="BC48" i="1"/>
  <c r="AG48" i="1"/>
  <c r="BD108" i="1"/>
  <c r="BE108" i="1"/>
  <c r="BF108" i="1"/>
  <c r="BC103" i="1"/>
  <c r="AG103" i="1"/>
  <c r="BC97" i="1"/>
  <c r="AG97" i="1"/>
  <c r="AG81" i="1"/>
  <c r="BC81" i="1"/>
  <c r="BF82" i="1"/>
  <c r="BD82" i="1"/>
  <c r="BE82" i="1"/>
  <c r="AG72" i="1"/>
  <c r="BD84" i="1"/>
  <c r="BF84" i="1"/>
  <c r="BE84" i="1"/>
  <c r="BE101" i="1"/>
  <c r="BF101" i="1"/>
  <c r="BD101" i="1"/>
  <c r="BF105" i="1"/>
  <c r="BD105" i="1"/>
  <c r="BE105" i="1"/>
  <c r="AG51" i="1"/>
  <c r="BC51" i="1"/>
  <c r="AG64" i="1"/>
  <c r="BC64" i="1"/>
  <c r="AG57" i="1"/>
  <c r="BC57" i="1"/>
  <c r="BD85" i="1"/>
  <c r="BE85" i="1"/>
  <c r="BF85" i="1"/>
  <c r="AG37" i="1"/>
  <c r="BC37" i="1"/>
  <c r="AG98" i="1"/>
  <c r="BC98" i="1"/>
  <c r="BE74" i="1"/>
  <c r="BD74" i="1"/>
  <c r="BF74" i="1"/>
  <c r="BE102" i="1"/>
  <c r="BD102" i="1"/>
  <c r="BF102" i="1"/>
  <c r="AG59" i="1"/>
  <c r="BC59" i="1"/>
  <c r="AG49" i="1"/>
  <c r="BC49" i="1"/>
  <c r="BD80" i="1"/>
  <c r="BF80" i="1"/>
  <c r="BE80" i="1"/>
  <c r="AG45" i="1"/>
  <c r="BC45" i="1"/>
  <c r="AG109" i="1"/>
  <c r="BC109" i="1"/>
  <c r="AG47" i="1"/>
  <c r="BC47" i="1"/>
  <c r="BF83" i="1"/>
  <c r="BD83" i="1"/>
  <c r="BE83" i="1"/>
  <c r="BC39" i="1"/>
  <c r="AG39" i="1"/>
  <c r="BF91" i="1"/>
  <c r="BE91" i="1"/>
  <c r="BD91" i="1"/>
  <c r="AG106" i="1"/>
  <c r="BC106" i="1"/>
  <c r="AG52" i="1"/>
  <c r="BC52" i="1"/>
  <c r="AG62" i="1"/>
  <c r="BC62" i="1"/>
  <c r="AG68" i="1"/>
  <c r="BC68" i="1"/>
  <c r="BE77" i="1"/>
  <c r="BF77" i="1"/>
  <c r="BD77" i="1"/>
  <c r="BE36" i="1"/>
  <c r="AG50" i="1"/>
  <c r="BC50" i="1"/>
  <c r="BD107" i="1"/>
  <c r="BF107" i="1"/>
  <c r="BE107" i="1"/>
  <c r="AG67" i="1"/>
  <c r="BC67" i="1"/>
  <c r="BC96" i="1"/>
  <c r="AG96" i="1"/>
  <c r="BE87" i="1"/>
  <c r="BF87" i="1"/>
  <c r="BD87" i="1"/>
  <c r="BD36" i="1"/>
  <c r="AG71" i="1"/>
  <c r="BC71" i="1"/>
  <c r="BD88" i="1"/>
  <c r="BE88" i="1"/>
  <c r="BF88" i="1"/>
  <c r="AG69" i="1"/>
  <c r="BC69" i="1"/>
  <c r="BF36" i="1"/>
  <c r="AG60" i="1"/>
  <c r="BC60" i="1"/>
  <c r="BE76" i="1"/>
  <c r="BF76" i="1"/>
  <c r="BD76" i="1"/>
  <c r="AG61" i="1"/>
  <c r="BC61" i="1"/>
  <c r="AG99" i="1"/>
  <c r="BC99" i="1"/>
  <c r="AG70" i="1"/>
  <c r="BC70" i="1"/>
  <c r="AG66" i="1"/>
  <c r="BC66" i="1"/>
  <c r="AG38" i="1"/>
  <c r="BC38" i="1"/>
  <c r="AG54" i="1"/>
  <c r="BC54" i="1"/>
  <c r="BC36" i="1"/>
  <c r="BC58" i="1"/>
  <c r="AG58" i="1"/>
  <c r="BD73" i="1"/>
  <c r="BE73" i="1"/>
  <c r="BF73" i="1"/>
  <c r="BE75" i="1"/>
  <c r="BD75" i="1"/>
  <c r="BF75" i="1"/>
  <c r="BC46" i="1"/>
  <c r="AG46" i="1"/>
  <c r="BC42" i="1"/>
  <c r="AG42" i="1"/>
  <c r="BC110" i="1"/>
  <c r="AG63" i="1"/>
  <c r="BC63" i="1"/>
  <c r="AE149" i="1" l="1"/>
  <c r="AD149" i="1"/>
  <c r="AF149" i="1"/>
  <c r="AC149" i="1"/>
  <c r="AV4" i="1"/>
  <c r="BP4" i="1" s="1"/>
  <c r="AT4" i="1"/>
  <c r="AY4" i="1"/>
  <c r="BR4" i="1" s="1"/>
  <c r="AT34" i="1"/>
  <c r="AV30" i="1"/>
  <c r="BP30" i="1" s="1"/>
  <c r="AV34" i="1"/>
  <c r="BP34" i="1" s="1"/>
  <c r="AY30" i="1"/>
  <c r="BR30" i="1" s="1"/>
  <c r="BN30" i="1"/>
  <c r="BN34" i="1"/>
  <c r="AL17" i="1"/>
  <c r="BH17" i="1"/>
  <c r="AV14" i="1"/>
  <c r="AW14" i="1" s="1"/>
  <c r="AY14" i="1"/>
  <c r="BR14" i="1" s="1"/>
  <c r="AY9" i="1"/>
  <c r="BR9" i="1" s="1"/>
  <c r="AP152" i="1"/>
  <c r="BN9" i="1"/>
  <c r="AT11" i="1"/>
  <c r="BN14" i="1"/>
  <c r="AV11" i="1"/>
  <c r="BP11" i="1" s="1"/>
  <c r="BN11" i="1"/>
  <c r="BN19" i="1"/>
  <c r="AY19" i="1"/>
  <c r="AZ19" i="1" s="1"/>
  <c r="AT19" i="1"/>
  <c r="AZ24" i="1"/>
  <c r="AT24" i="1"/>
  <c r="AT9" i="1"/>
  <c r="BN24" i="1"/>
  <c r="BN10" i="1"/>
  <c r="AY10" i="1"/>
  <c r="AZ10" i="1" s="1"/>
  <c r="AV10" i="1"/>
  <c r="AW10" i="1" s="1"/>
  <c r="AV24" i="1"/>
  <c r="BP24" i="1" s="1"/>
  <c r="AT20" i="1"/>
  <c r="AY20" i="1"/>
  <c r="BR20" i="1" s="1"/>
  <c r="AV20" i="1"/>
  <c r="AW20" i="1" s="1"/>
  <c r="BR22" i="1"/>
  <c r="BN12" i="1"/>
  <c r="AT12" i="1"/>
  <c r="AY32" i="1"/>
  <c r="BR32" i="1" s="1"/>
  <c r="AY12" i="1"/>
  <c r="BR12" i="1" s="1"/>
  <c r="AT32" i="1"/>
  <c r="AV32" i="1"/>
  <c r="BP32" i="1" s="1"/>
  <c r="AT13" i="1"/>
  <c r="AY13" i="1"/>
  <c r="BR13" i="1" s="1"/>
  <c r="BN13" i="1"/>
  <c r="AT31" i="1"/>
  <c r="BN8" i="1"/>
  <c r="AY8" i="1"/>
  <c r="AV8" i="1"/>
  <c r="AT8" i="1"/>
  <c r="AV21" i="1"/>
  <c r="AY21" i="1"/>
  <c r="BN21" i="1"/>
  <c r="AT21" i="1"/>
  <c r="BN31" i="1"/>
  <c r="AV31" i="1"/>
  <c r="BP31" i="1" s="1"/>
  <c r="AY7" i="1"/>
  <c r="BN7" i="1"/>
  <c r="AT7" i="1"/>
  <c r="AV7" i="1"/>
  <c r="BP16" i="1"/>
  <c r="AW16" i="1"/>
  <c r="BN25" i="1"/>
  <c r="AT25" i="1"/>
  <c r="AY25" i="1"/>
  <c r="AV25" i="1"/>
  <c r="AV5" i="1"/>
  <c r="AT5" i="1"/>
  <c r="AY5" i="1"/>
  <c r="BN5" i="1"/>
  <c r="AZ34" i="1"/>
  <c r="BR34" i="1"/>
  <c r="BN17" i="1"/>
  <c r="AY17" i="1"/>
  <c r="AT17" i="1"/>
  <c r="AV17" i="1"/>
  <c r="AZ31" i="1"/>
  <c r="BR31" i="1"/>
  <c r="AW19" i="1"/>
  <c r="BP19" i="1"/>
  <c r="AY26" i="1"/>
  <c r="BN26" i="1"/>
  <c r="AV26" i="1"/>
  <c r="AT26" i="1"/>
  <c r="BP9" i="1"/>
  <c r="AW9" i="1"/>
  <c r="AW13" i="1"/>
  <c r="BP13" i="1"/>
  <c r="BP6" i="1"/>
  <c r="AW6" i="1"/>
  <c r="AT29" i="1"/>
  <c r="BN29" i="1"/>
  <c r="AV29" i="1"/>
  <c r="AY29" i="1"/>
  <c r="BN33" i="1"/>
  <c r="AY33" i="1"/>
  <c r="AV33" i="1"/>
  <c r="AT33" i="1"/>
  <c r="BR6" i="1"/>
  <c r="AZ6" i="1"/>
  <c r="BN27" i="1"/>
  <c r="AT27" i="1"/>
  <c r="AV27" i="1"/>
  <c r="AY27" i="1"/>
  <c r="AV23" i="1"/>
  <c r="AT23" i="1"/>
  <c r="AY23" i="1"/>
  <c r="BN23" i="1"/>
  <c r="BR16" i="1"/>
  <c r="AZ16" i="1"/>
  <c r="BR11" i="1"/>
  <c r="AZ11" i="1"/>
  <c r="AV18" i="1"/>
  <c r="AT18" i="1"/>
  <c r="BN18" i="1"/>
  <c r="AY18" i="1"/>
  <c r="AT28" i="1"/>
  <c r="AV28" i="1"/>
  <c r="BN28" i="1"/>
  <c r="AY28" i="1"/>
  <c r="AW12" i="1"/>
  <c r="BP12" i="1"/>
  <c r="BG55" i="1"/>
  <c r="BG53" i="1"/>
  <c r="AK53" i="1"/>
  <c r="BH53" i="1" s="1"/>
  <c r="AK43" i="1"/>
  <c r="BH43" i="1" s="1"/>
  <c r="BG43" i="1"/>
  <c r="BG44" i="1"/>
  <c r="BF89" i="1"/>
  <c r="BD89" i="1"/>
  <c r="BE89" i="1"/>
  <c r="BG64" i="1"/>
  <c r="AK64" i="1"/>
  <c r="AG75" i="1"/>
  <c r="BC75" i="1"/>
  <c r="AG91" i="1"/>
  <c r="BC91" i="1"/>
  <c r="BG47" i="1"/>
  <c r="AK47" i="1"/>
  <c r="AK49" i="1"/>
  <c r="BG49" i="1"/>
  <c r="AK98" i="1"/>
  <c r="BG98" i="1"/>
  <c r="BG51" i="1"/>
  <c r="AK51" i="1"/>
  <c r="AG104" i="1"/>
  <c r="BC104" i="1"/>
  <c r="BG103" i="1"/>
  <c r="AK103" i="1"/>
  <c r="AK39" i="1"/>
  <c r="BG39" i="1"/>
  <c r="AK109" i="1"/>
  <c r="BG109" i="1"/>
  <c r="AK59" i="1"/>
  <c r="BG59" i="1"/>
  <c r="AK37" i="1"/>
  <c r="BG37" i="1"/>
  <c r="BC105" i="1"/>
  <c r="AG105" i="1"/>
  <c r="BH55" i="1"/>
  <c r="AS55" i="1"/>
  <c r="AL55" i="1"/>
  <c r="AG78" i="1"/>
  <c r="BC78" i="1"/>
  <c r="AK36" i="1"/>
  <c r="BG36" i="1"/>
  <c r="AB72" i="1"/>
  <c r="AK72" i="1"/>
  <c r="AG73" i="1"/>
  <c r="BC73" i="1"/>
  <c r="BG38" i="1"/>
  <c r="AK38" i="1"/>
  <c r="AG76" i="1"/>
  <c r="BC76" i="1"/>
  <c r="AK69" i="1"/>
  <c r="BG69" i="1"/>
  <c r="AK68" i="1"/>
  <c r="BG68" i="1"/>
  <c r="AG102" i="1"/>
  <c r="BC102" i="1"/>
  <c r="AG85" i="1"/>
  <c r="BC85" i="1"/>
  <c r="AK40" i="1"/>
  <c r="BG40" i="1"/>
  <c r="AK50" i="1"/>
  <c r="BG50" i="1"/>
  <c r="BG45" i="1"/>
  <c r="AK45" i="1"/>
  <c r="BC82" i="1"/>
  <c r="AG82" i="1"/>
  <c r="AK48" i="1"/>
  <c r="BG48" i="1"/>
  <c r="BC100" i="1"/>
  <c r="AG100" i="1"/>
  <c r="AK54" i="1"/>
  <c r="BG54" i="1"/>
  <c r="AK66" i="1"/>
  <c r="BG66" i="1"/>
  <c r="BG62" i="1"/>
  <c r="AK62" i="1"/>
  <c r="BC80" i="1"/>
  <c r="AG80" i="1"/>
  <c r="AK56" i="1"/>
  <c r="BG56" i="1"/>
  <c r="AK67" i="1"/>
  <c r="BG67" i="1"/>
  <c r="BC107" i="1"/>
  <c r="AG107" i="1"/>
  <c r="BC108" i="1"/>
  <c r="AG108" i="1"/>
  <c r="BC87" i="1"/>
  <c r="AG87" i="1"/>
  <c r="AK110" i="1"/>
  <c r="BG110" i="1"/>
  <c r="AK41" i="1"/>
  <c r="BG41" i="1"/>
  <c r="AK42" i="1"/>
  <c r="BG42" i="1"/>
  <c r="AK58" i="1"/>
  <c r="BG58" i="1"/>
  <c r="AK70" i="1"/>
  <c r="BG70" i="1"/>
  <c r="AG88" i="1"/>
  <c r="BC88" i="1"/>
  <c r="AK96" i="1"/>
  <c r="BG96" i="1"/>
  <c r="BG52" i="1"/>
  <c r="AK52" i="1"/>
  <c r="BC83" i="1"/>
  <c r="AG83" i="1"/>
  <c r="AG101" i="1"/>
  <c r="BC101" i="1"/>
  <c r="BG81" i="1"/>
  <c r="AK81" i="1"/>
  <c r="BC79" i="1"/>
  <c r="AG79" i="1"/>
  <c r="BC77" i="1"/>
  <c r="AG77" i="1"/>
  <c r="AK61" i="1"/>
  <c r="BG61" i="1"/>
  <c r="BF93" i="1"/>
  <c r="BD93" i="1"/>
  <c r="BE93" i="1"/>
  <c r="BC74" i="1"/>
  <c r="AG74" i="1"/>
  <c r="AK57" i="1"/>
  <c r="BG57" i="1"/>
  <c r="AK97" i="1"/>
  <c r="BG97" i="1"/>
  <c r="BG90" i="1"/>
  <c r="AK90" i="1"/>
  <c r="AK63" i="1"/>
  <c r="BG63" i="1"/>
  <c r="BH44" i="1"/>
  <c r="AL44" i="1"/>
  <c r="AS44" i="1"/>
  <c r="AK60" i="1"/>
  <c r="BG60" i="1"/>
  <c r="BG46" i="1"/>
  <c r="AK46" i="1"/>
  <c r="BG99" i="1"/>
  <c r="AK99" i="1"/>
  <c r="AK71" i="1"/>
  <c r="BG71" i="1"/>
  <c r="BG106" i="1"/>
  <c r="AK106" i="1"/>
  <c r="BF94" i="1"/>
  <c r="BD94" i="1"/>
  <c r="BE94" i="1"/>
  <c r="BD95" i="1"/>
  <c r="BF95" i="1"/>
  <c r="BE95" i="1"/>
  <c r="BC84" i="1"/>
  <c r="AG84" i="1"/>
  <c r="BC92" i="1"/>
  <c r="AG92" i="1"/>
  <c r="BF86" i="1"/>
  <c r="BD86" i="1"/>
  <c r="BG65" i="1"/>
  <c r="AK65" i="1"/>
  <c r="AZ4" i="1" l="1"/>
  <c r="AW4" i="1"/>
  <c r="AW30" i="1"/>
  <c r="AZ30" i="1"/>
  <c r="AW34" i="1"/>
  <c r="AZ14" i="1"/>
  <c r="BP14" i="1"/>
  <c r="AZ9" i="1"/>
  <c r="BP20" i="1"/>
  <c r="AW11" i="1"/>
  <c r="BR19" i="1"/>
  <c r="BR10" i="1"/>
  <c r="BC149" i="1"/>
  <c r="AW24" i="1"/>
  <c r="BP10" i="1"/>
  <c r="AZ12" i="1"/>
  <c r="AZ20" i="1"/>
  <c r="AZ32" i="1"/>
  <c r="AW31" i="1"/>
  <c r="AW32" i="1"/>
  <c r="AZ13" i="1"/>
  <c r="BF149" i="1"/>
  <c r="BD149" i="1"/>
  <c r="BE86" i="1"/>
  <c r="BE149" i="1"/>
  <c r="AW7" i="1"/>
  <c r="BP7" i="1"/>
  <c r="AZ8" i="1"/>
  <c r="BR8" i="1"/>
  <c r="AZ21" i="1"/>
  <c r="BR21" i="1"/>
  <c r="BP21" i="1"/>
  <c r="AW21" i="1"/>
  <c r="BR7" i="1"/>
  <c r="AZ7" i="1"/>
  <c r="BP8" i="1"/>
  <c r="AW8" i="1"/>
  <c r="AZ23" i="1"/>
  <c r="BR23" i="1"/>
  <c r="BP5" i="1"/>
  <c r="AW5" i="1"/>
  <c r="AZ28" i="1"/>
  <c r="BR28" i="1"/>
  <c r="AZ27" i="1"/>
  <c r="BR27" i="1"/>
  <c r="BP18" i="1"/>
  <c r="AW18" i="1"/>
  <c r="AW27" i="1"/>
  <c r="BP27" i="1"/>
  <c r="BP33" i="1"/>
  <c r="AW33" i="1"/>
  <c r="BR26" i="1"/>
  <c r="AZ26" i="1"/>
  <c r="AZ5" i="1"/>
  <c r="BR5" i="1"/>
  <c r="AW28" i="1"/>
  <c r="BP28" i="1"/>
  <c r="BR33" i="1"/>
  <c r="AZ33" i="1"/>
  <c r="BP25" i="1"/>
  <c r="AW25" i="1"/>
  <c r="BP23" i="1"/>
  <c r="AW23" i="1"/>
  <c r="AZ25" i="1"/>
  <c r="BR25" i="1"/>
  <c r="AW17" i="1"/>
  <c r="BP17" i="1"/>
  <c r="AZ17" i="1"/>
  <c r="BR17" i="1"/>
  <c r="AW26" i="1"/>
  <c r="BP26" i="1"/>
  <c r="AZ29" i="1"/>
  <c r="BR29" i="1"/>
  <c r="AZ18" i="1"/>
  <c r="BR18" i="1"/>
  <c r="AW29" i="1"/>
  <c r="BP29" i="1"/>
  <c r="AL53" i="1"/>
  <c r="AS53" i="1"/>
  <c r="AY53" i="1" s="1"/>
  <c r="AL43" i="1"/>
  <c r="AS43" i="1"/>
  <c r="AV43" i="1" s="1"/>
  <c r="BH49" i="1"/>
  <c r="AL49" i="1"/>
  <c r="AS49" i="1"/>
  <c r="BH65" i="1"/>
  <c r="AS65" i="1"/>
  <c r="AL65" i="1"/>
  <c r="BC89" i="1"/>
  <c r="AG89" i="1"/>
  <c r="BH63" i="1"/>
  <c r="AS63" i="1"/>
  <c r="AL63" i="1"/>
  <c r="AS81" i="1"/>
  <c r="BH81" i="1"/>
  <c r="AL81" i="1"/>
  <c r="AL96" i="1"/>
  <c r="AS96" i="1"/>
  <c r="BH96" i="1"/>
  <c r="BH62" i="1"/>
  <c r="AL62" i="1"/>
  <c r="AS62" i="1"/>
  <c r="BH48" i="1"/>
  <c r="AS48" i="1"/>
  <c r="AL48" i="1"/>
  <c r="AS36" i="1"/>
  <c r="BH36" i="1"/>
  <c r="AL36" i="1"/>
  <c r="AS67" i="1"/>
  <c r="AL67" i="1"/>
  <c r="BH67" i="1"/>
  <c r="BG82" i="1"/>
  <c r="AK82" i="1"/>
  <c r="AL40" i="1"/>
  <c r="BH40" i="1"/>
  <c r="AS40" i="1"/>
  <c r="BH59" i="1"/>
  <c r="AL59" i="1"/>
  <c r="AS59" i="1"/>
  <c r="BG104" i="1"/>
  <c r="AK104" i="1"/>
  <c r="AK79" i="1"/>
  <c r="BG79" i="1"/>
  <c r="AK107" i="1"/>
  <c r="BG107" i="1"/>
  <c r="BH37" i="1"/>
  <c r="AS37" i="1"/>
  <c r="AL37" i="1"/>
  <c r="BH69" i="1"/>
  <c r="AL69" i="1"/>
  <c r="AS69" i="1"/>
  <c r="BC93" i="1"/>
  <c r="AG93" i="1"/>
  <c r="AG86" i="1"/>
  <c r="BC86" i="1"/>
  <c r="AL66" i="1"/>
  <c r="BH66" i="1"/>
  <c r="AS66" i="1"/>
  <c r="AL45" i="1"/>
  <c r="AS45" i="1"/>
  <c r="BH45" i="1"/>
  <c r="AS38" i="1"/>
  <c r="BH38" i="1"/>
  <c r="AL38" i="1"/>
  <c r="AK78" i="1"/>
  <c r="BG78" i="1"/>
  <c r="BG91" i="1"/>
  <c r="AK91" i="1"/>
  <c r="AL71" i="1"/>
  <c r="AS71" i="1"/>
  <c r="BH71" i="1"/>
  <c r="AS42" i="1"/>
  <c r="AL42" i="1"/>
  <c r="BH42" i="1"/>
  <c r="BG74" i="1"/>
  <c r="AK74" i="1"/>
  <c r="BH51" i="1"/>
  <c r="AS51" i="1"/>
  <c r="AL51" i="1"/>
  <c r="AK101" i="1"/>
  <c r="BG101" i="1"/>
  <c r="BG85" i="1"/>
  <c r="AK85" i="1"/>
  <c r="AS103" i="1"/>
  <c r="BH103" i="1"/>
  <c r="AL103" i="1"/>
  <c r="BH47" i="1"/>
  <c r="AL47" i="1"/>
  <c r="AS47" i="1"/>
  <c r="BH46" i="1"/>
  <c r="AS46" i="1"/>
  <c r="AL46" i="1"/>
  <c r="AK92" i="1"/>
  <c r="BG92" i="1"/>
  <c r="AS106" i="1"/>
  <c r="AL106" i="1"/>
  <c r="BH106" i="1"/>
  <c r="BG83" i="1"/>
  <c r="AK83" i="1"/>
  <c r="AL70" i="1"/>
  <c r="AS70" i="1"/>
  <c r="BH70" i="1"/>
  <c r="BH110" i="1"/>
  <c r="AL110" i="1"/>
  <c r="AS110" i="1"/>
  <c r="AV55" i="1"/>
  <c r="BN55" i="1"/>
  <c r="AY55" i="1"/>
  <c r="AT55" i="1"/>
  <c r="BH109" i="1"/>
  <c r="AS109" i="1"/>
  <c r="AL109" i="1"/>
  <c r="BG75" i="1"/>
  <c r="AK75" i="1"/>
  <c r="AG95" i="1"/>
  <c r="BC95" i="1"/>
  <c r="BG80" i="1"/>
  <c r="AK80" i="1"/>
  <c r="AL68" i="1"/>
  <c r="BH68" i="1"/>
  <c r="AS68" i="1"/>
  <c r="AL57" i="1"/>
  <c r="AS57" i="1"/>
  <c r="BH57" i="1"/>
  <c r="AS99" i="1"/>
  <c r="AL99" i="1"/>
  <c r="BH99" i="1"/>
  <c r="AS90" i="1"/>
  <c r="AL90" i="1"/>
  <c r="BH90" i="1"/>
  <c r="BG88" i="1"/>
  <c r="AK88" i="1"/>
  <c r="AS41" i="1"/>
  <c r="AL41" i="1"/>
  <c r="BH41" i="1"/>
  <c r="BG76" i="1"/>
  <c r="AK76" i="1"/>
  <c r="BC94" i="1"/>
  <c r="AG94" i="1"/>
  <c r="BH60" i="1"/>
  <c r="AL60" i="1"/>
  <c r="AS60" i="1"/>
  <c r="AL61" i="1"/>
  <c r="AS61" i="1"/>
  <c r="BH61" i="1"/>
  <c r="AK87" i="1"/>
  <c r="BG87" i="1"/>
  <c r="AL54" i="1"/>
  <c r="AS54" i="1"/>
  <c r="BH54" i="1"/>
  <c r="BG102" i="1"/>
  <c r="AK102" i="1"/>
  <c r="AS64" i="1"/>
  <c r="AL64" i="1"/>
  <c r="BH64" i="1"/>
  <c r="BG84" i="1"/>
  <c r="AK84" i="1"/>
  <c r="AL97" i="1"/>
  <c r="AS97" i="1"/>
  <c r="BH97" i="1"/>
  <c r="AS52" i="1"/>
  <c r="AL52" i="1"/>
  <c r="BH52" i="1"/>
  <c r="AL58" i="1"/>
  <c r="BH58" i="1"/>
  <c r="AS58" i="1"/>
  <c r="AL56" i="1"/>
  <c r="AS56" i="1"/>
  <c r="BH56" i="1"/>
  <c r="BH50" i="1"/>
  <c r="AL50" i="1"/>
  <c r="AS50" i="1"/>
  <c r="AK73" i="1"/>
  <c r="BG73" i="1"/>
  <c r="BG105" i="1"/>
  <c r="AK105" i="1"/>
  <c r="AS98" i="1"/>
  <c r="AL98" i="1"/>
  <c r="BH98" i="1"/>
  <c r="AV44" i="1"/>
  <c r="AT44" i="1"/>
  <c r="BN44" i="1"/>
  <c r="AY44" i="1"/>
  <c r="BG77" i="1"/>
  <c r="AK77" i="1"/>
  <c r="BG108" i="1"/>
  <c r="AK108" i="1"/>
  <c r="BG100" i="1"/>
  <c r="AK100" i="1"/>
  <c r="AL72" i="1"/>
  <c r="AS72" i="1"/>
  <c r="AL39" i="1"/>
  <c r="AS39" i="1"/>
  <c r="BH39" i="1"/>
  <c r="AG149" i="1" l="1"/>
  <c r="AB149" i="1" s="1"/>
  <c r="AT43" i="1"/>
  <c r="BN53" i="1"/>
  <c r="AV53" i="1"/>
  <c r="BP53" i="1" s="1"/>
  <c r="AT53" i="1"/>
  <c r="AY43" i="1"/>
  <c r="AZ43" i="1" s="1"/>
  <c r="BN43" i="1"/>
  <c r="AS108" i="1"/>
  <c r="AL108" i="1"/>
  <c r="BH108" i="1"/>
  <c r="AV58" i="1"/>
  <c r="AT58" i="1"/>
  <c r="BN58" i="1"/>
  <c r="AY58" i="1"/>
  <c r="BN57" i="1"/>
  <c r="AV57" i="1"/>
  <c r="AT57" i="1"/>
  <c r="AY57" i="1"/>
  <c r="AT70" i="1"/>
  <c r="BN70" i="1"/>
  <c r="AY70" i="1"/>
  <c r="AV70" i="1"/>
  <c r="AT46" i="1"/>
  <c r="AY46" i="1"/>
  <c r="BN46" i="1"/>
  <c r="AV46" i="1"/>
  <c r="AW43" i="1"/>
  <c r="BP43" i="1"/>
  <c r="AL105" i="1"/>
  <c r="AS105" i="1"/>
  <c r="BH105" i="1"/>
  <c r="AT61" i="1"/>
  <c r="AY61" i="1"/>
  <c r="BN61" i="1"/>
  <c r="AV61" i="1"/>
  <c r="BN41" i="1"/>
  <c r="AY41" i="1"/>
  <c r="AT41" i="1"/>
  <c r="AV41" i="1"/>
  <c r="AL107" i="1"/>
  <c r="AS107" i="1"/>
  <c r="BH107" i="1"/>
  <c r="AT48" i="1"/>
  <c r="BN48" i="1"/>
  <c r="AV48" i="1"/>
  <c r="AY48" i="1"/>
  <c r="AT63" i="1"/>
  <c r="BN63" i="1"/>
  <c r="AY63" i="1"/>
  <c r="AV63" i="1"/>
  <c r="BN109" i="1"/>
  <c r="AV109" i="1"/>
  <c r="AT109" i="1"/>
  <c r="AY109" i="1"/>
  <c r="AV39" i="1"/>
  <c r="AY39" i="1"/>
  <c r="BN39" i="1"/>
  <c r="AT39" i="1"/>
  <c r="AZ44" i="1"/>
  <c r="BR44" i="1"/>
  <c r="AS73" i="1"/>
  <c r="BH73" i="1"/>
  <c r="AL73" i="1"/>
  <c r="BN52" i="1"/>
  <c r="AY52" i="1"/>
  <c r="AT52" i="1"/>
  <c r="AV52" i="1"/>
  <c r="BR55" i="1"/>
  <c r="AZ55" i="1"/>
  <c r="BH101" i="1"/>
  <c r="AL101" i="1"/>
  <c r="AS101" i="1"/>
  <c r="AY69" i="1"/>
  <c r="BN69" i="1"/>
  <c r="AT69" i="1"/>
  <c r="AV69" i="1"/>
  <c r="BH104" i="1"/>
  <c r="AS104" i="1"/>
  <c r="AL104" i="1"/>
  <c r="BH77" i="1"/>
  <c r="AL77" i="1"/>
  <c r="AS77" i="1"/>
  <c r="AL88" i="1"/>
  <c r="BH88" i="1"/>
  <c r="AS88" i="1"/>
  <c r="AV68" i="1"/>
  <c r="AT68" i="1"/>
  <c r="AY68" i="1"/>
  <c r="BN68" i="1"/>
  <c r="AK86" i="1"/>
  <c r="BG86" i="1"/>
  <c r="BN60" i="1"/>
  <c r="AV60" i="1"/>
  <c r="AT60" i="1"/>
  <c r="AY60" i="1"/>
  <c r="BH83" i="1"/>
  <c r="AS83" i="1"/>
  <c r="AL83" i="1"/>
  <c r="AS78" i="1"/>
  <c r="BH78" i="1"/>
  <c r="AL78" i="1"/>
  <c r="BG93" i="1"/>
  <c r="AK93" i="1"/>
  <c r="BH79" i="1"/>
  <c r="AS79" i="1"/>
  <c r="AL79" i="1"/>
  <c r="AK89" i="1"/>
  <c r="BG89" i="1"/>
  <c r="BN50" i="1"/>
  <c r="AT50" i="1"/>
  <c r="AV50" i="1"/>
  <c r="AY50" i="1"/>
  <c r="AK94" i="1"/>
  <c r="BG94" i="1"/>
  <c r="AT42" i="1"/>
  <c r="AY42" i="1"/>
  <c r="BN42" i="1"/>
  <c r="AV42" i="1"/>
  <c r="AT65" i="1"/>
  <c r="BN65" i="1"/>
  <c r="AV65" i="1"/>
  <c r="AY65" i="1"/>
  <c r="BN54" i="1"/>
  <c r="AT54" i="1"/>
  <c r="AV54" i="1"/>
  <c r="AY54" i="1"/>
  <c r="AV103" i="1"/>
  <c r="AY103" i="1"/>
  <c r="AT103" i="1"/>
  <c r="BN103" i="1"/>
  <c r="AS85" i="1"/>
  <c r="AL85" i="1"/>
  <c r="BH85" i="1"/>
  <c r="AT71" i="1"/>
  <c r="AV71" i="1"/>
  <c r="BN71" i="1"/>
  <c r="AY71" i="1"/>
  <c r="AY45" i="1"/>
  <c r="AT45" i="1"/>
  <c r="BN45" i="1"/>
  <c r="AV45" i="1"/>
  <c r="AT59" i="1"/>
  <c r="AY59" i="1"/>
  <c r="AV59" i="1"/>
  <c r="BN59" i="1"/>
  <c r="AV49" i="1"/>
  <c r="AY49" i="1"/>
  <c r="BN49" i="1"/>
  <c r="AT49" i="1"/>
  <c r="BN64" i="1"/>
  <c r="AY64" i="1"/>
  <c r="AT64" i="1"/>
  <c r="AV64" i="1"/>
  <c r="AV47" i="1"/>
  <c r="AT47" i="1"/>
  <c r="BN47" i="1"/>
  <c r="AY47" i="1"/>
  <c r="BH82" i="1"/>
  <c r="AS82" i="1"/>
  <c r="AL82" i="1"/>
  <c r="BH102" i="1"/>
  <c r="AS102" i="1"/>
  <c r="AL102" i="1"/>
  <c r="AV62" i="1"/>
  <c r="AT62" i="1"/>
  <c r="AY62" i="1"/>
  <c r="BN62" i="1"/>
  <c r="AY72" i="1"/>
  <c r="AZ72" i="1" s="1"/>
  <c r="AV72" i="1"/>
  <c r="AW72" i="1" s="1"/>
  <c r="AT72" i="1"/>
  <c r="AL80" i="1"/>
  <c r="AS80" i="1"/>
  <c r="BH80" i="1"/>
  <c r="AY38" i="1"/>
  <c r="AV38" i="1"/>
  <c r="BN38" i="1"/>
  <c r="AT38" i="1"/>
  <c r="AV97" i="1"/>
  <c r="AY97" i="1"/>
  <c r="AT97" i="1"/>
  <c r="BN97" i="1"/>
  <c r="AT90" i="1"/>
  <c r="AY90" i="1"/>
  <c r="BN90" i="1"/>
  <c r="AV90" i="1"/>
  <c r="AW55" i="1"/>
  <c r="BP55" i="1"/>
  <c r="BN106" i="1"/>
  <c r="AV106" i="1"/>
  <c r="AY106" i="1"/>
  <c r="AT106" i="1"/>
  <c r="AT51" i="1"/>
  <c r="AY51" i="1"/>
  <c r="AV51" i="1"/>
  <c r="BN51" i="1"/>
  <c r="AV67" i="1"/>
  <c r="BN67" i="1"/>
  <c r="AY67" i="1"/>
  <c r="AT67" i="1"/>
  <c r="BN96" i="1"/>
  <c r="AV96" i="1"/>
  <c r="AT96" i="1"/>
  <c r="AY96" i="1"/>
  <c r="BH100" i="1"/>
  <c r="AS100" i="1"/>
  <c r="AL100" i="1"/>
  <c r="BP44" i="1"/>
  <c r="AW44" i="1"/>
  <c r="AT110" i="1"/>
  <c r="BN110" i="1"/>
  <c r="AY110" i="1"/>
  <c r="AV110" i="1"/>
  <c r="BH84" i="1"/>
  <c r="AL84" i="1"/>
  <c r="AS84" i="1"/>
  <c r="AL76" i="1"/>
  <c r="BH76" i="1"/>
  <c r="AS76" i="1"/>
  <c r="BG95" i="1"/>
  <c r="AK95" i="1"/>
  <c r="BH92" i="1"/>
  <c r="AS92" i="1"/>
  <c r="AL92" i="1"/>
  <c r="AT37" i="1"/>
  <c r="AV37" i="1"/>
  <c r="AY37" i="1"/>
  <c r="BN37" i="1"/>
  <c r="BN99" i="1"/>
  <c r="AY99" i="1"/>
  <c r="AV99" i="1"/>
  <c r="AT99" i="1"/>
  <c r="AL74" i="1"/>
  <c r="BH74" i="1"/>
  <c r="AS74" i="1"/>
  <c r="AT66" i="1"/>
  <c r="BN66" i="1"/>
  <c r="AY66" i="1"/>
  <c r="AV66" i="1"/>
  <c r="BN98" i="1"/>
  <c r="AT98" i="1"/>
  <c r="AV98" i="1"/>
  <c r="AY98" i="1"/>
  <c r="AS87" i="1"/>
  <c r="BH87" i="1"/>
  <c r="AL87" i="1"/>
  <c r="AZ53" i="1"/>
  <c r="BR53" i="1"/>
  <c r="AV40" i="1"/>
  <c r="AT40" i="1"/>
  <c r="BN40" i="1"/>
  <c r="AY40" i="1"/>
  <c r="AT36" i="1"/>
  <c r="BN36" i="1"/>
  <c r="AY36" i="1"/>
  <c r="AV36" i="1"/>
  <c r="AT81" i="1"/>
  <c r="BN81" i="1"/>
  <c r="AV81" i="1"/>
  <c r="AY81" i="1"/>
  <c r="AY56" i="1"/>
  <c r="BN56" i="1"/>
  <c r="AV56" i="1"/>
  <c r="AT56" i="1"/>
  <c r="AS75" i="1"/>
  <c r="BH75" i="1"/>
  <c r="AL75" i="1"/>
  <c r="AL91" i="1"/>
  <c r="AS91" i="1"/>
  <c r="BH91" i="1"/>
  <c r="AK149" i="1" l="1"/>
  <c r="AL149" i="1" s="1"/>
  <c r="BG149" i="1"/>
  <c r="BR43" i="1"/>
  <c r="AW53" i="1"/>
  <c r="AV91" i="1"/>
  <c r="BN91" i="1"/>
  <c r="AY91" i="1"/>
  <c r="AT91" i="1"/>
  <c r="BR67" i="1"/>
  <c r="AZ67" i="1"/>
  <c r="BR38" i="1"/>
  <c r="AZ38" i="1"/>
  <c r="AZ45" i="1"/>
  <c r="BR45" i="1"/>
  <c r="BR54" i="1"/>
  <c r="AZ54" i="1"/>
  <c r="AW60" i="1"/>
  <c r="BP60" i="1"/>
  <c r="BN77" i="1"/>
  <c r="AV77" i="1"/>
  <c r="AT77" i="1"/>
  <c r="AY77" i="1"/>
  <c r="AW46" i="1"/>
  <c r="BP46" i="1"/>
  <c r="AW36" i="1"/>
  <c r="BP36" i="1"/>
  <c r="AL95" i="1"/>
  <c r="BH95" i="1"/>
  <c r="AS95" i="1"/>
  <c r="BP90" i="1"/>
  <c r="AW90" i="1"/>
  <c r="AZ71" i="1"/>
  <c r="BR71" i="1"/>
  <c r="AW54" i="1"/>
  <c r="BP54" i="1"/>
  <c r="AS93" i="1"/>
  <c r="BH93" i="1"/>
  <c r="AL93" i="1"/>
  <c r="AZ41" i="1"/>
  <c r="BR41" i="1"/>
  <c r="AZ81" i="1"/>
  <c r="BR81" i="1"/>
  <c r="AW81" i="1"/>
  <c r="BP81" i="1"/>
  <c r="AW110" i="1"/>
  <c r="BP110" i="1"/>
  <c r="BP62" i="1"/>
  <c r="AW62" i="1"/>
  <c r="BR103" i="1"/>
  <c r="AZ103" i="1"/>
  <c r="AZ42" i="1"/>
  <c r="BR42" i="1"/>
  <c r="AZ60" i="1"/>
  <c r="BR60" i="1"/>
  <c r="AV101" i="1"/>
  <c r="AT101" i="1"/>
  <c r="BN101" i="1"/>
  <c r="AY101" i="1"/>
  <c r="AW57" i="1"/>
  <c r="BP57" i="1"/>
  <c r="AY74" i="1"/>
  <c r="AT74" i="1"/>
  <c r="BN74" i="1"/>
  <c r="AV74" i="1"/>
  <c r="AV92" i="1"/>
  <c r="BN92" i="1"/>
  <c r="AT92" i="1"/>
  <c r="AY92" i="1"/>
  <c r="AZ110" i="1"/>
  <c r="BR110" i="1"/>
  <c r="AW38" i="1"/>
  <c r="BP38" i="1"/>
  <c r="BR64" i="1"/>
  <c r="AZ64" i="1"/>
  <c r="BP103" i="1"/>
  <c r="AW103" i="1"/>
  <c r="BN79" i="1"/>
  <c r="AV79" i="1"/>
  <c r="AT79" i="1"/>
  <c r="AY79" i="1"/>
  <c r="BN102" i="1"/>
  <c r="AV102" i="1"/>
  <c r="AY102" i="1"/>
  <c r="AT102" i="1"/>
  <c r="BR58" i="1"/>
  <c r="AZ58" i="1"/>
  <c r="AV87" i="1"/>
  <c r="AY87" i="1"/>
  <c r="BN87" i="1"/>
  <c r="AT87" i="1"/>
  <c r="BP67" i="1"/>
  <c r="AW67" i="1"/>
  <c r="AY80" i="1"/>
  <c r="BN80" i="1"/>
  <c r="AT80" i="1"/>
  <c r="AV80" i="1"/>
  <c r="AS94" i="1"/>
  <c r="AL94" i="1"/>
  <c r="BH94" i="1"/>
  <c r="BR39" i="1"/>
  <c r="AZ39" i="1"/>
  <c r="AZ48" i="1"/>
  <c r="BR48" i="1"/>
  <c r="AZ46" i="1"/>
  <c r="BR46" i="1"/>
  <c r="AW96" i="1"/>
  <c r="BP96" i="1"/>
  <c r="BP45" i="1"/>
  <c r="AW45" i="1"/>
  <c r="BR36" i="1"/>
  <c r="AZ36" i="1"/>
  <c r="BR98" i="1"/>
  <c r="AZ98" i="1"/>
  <c r="AW99" i="1"/>
  <c r="BP99" i="1"/>
  <c r="BR90" i="1"/>
  <c r="AZ90" i="1"/>
  <c r="BN82" i="1"/>
  <c r="AY82" i="1"/>
  <c r="AT82" i="1"/>
  <c r="AV82" i="1"/>
  <c r="BR49" i="1"/>
  <c r="AZ49" i="1"/>
  <c r="AW71" i="1"/>
  <c r="BP71" i="1"/>
  <c r="AZ50" i="1"/>
  <c r="BR50" i="1"/>
  <c r="BP52" i="1"/>
  <c r="AW52" i="1"/>
  <c r="AW39" i="1"/>
  <c r="BP39" i="1"/>
  <c r="AW48" i="1"/>
  <c r="BP48" i="1"/>
  <c r="AW61" i="1"/>
  <c r="BP61" i="1"/>
  <c r="AW58" i="1"/>
  <c r="BP58" i="1"/>
  <c r="AV88" i="1"/>
  <c r="BN88" i="1"/>
  <c r="AY88" i="1"/>
  <c r="AT88" i="1"/>
  <c r="AT75" i="1"/>
  <c r="AY75" i="1"/>
  <c r="BN75" i="1"/>
  <c r="AV75" i="1"/>
  <c r="BP98" i="1"/>
  <c r="AW98" i="1"/>
  <c r="BR99" i="1"/>
  <c r="AZ99" i="1"/>
  <c r="BN76" i="1"/>
  <c r="AT76" i="1"/>
  <c r="AY76" i="1"/>
  <c r="AV76" i="1"/>
  <c r="AW51" i="1"/>
  <c r="BP51" i="1"/>
  <c r="BP49" i="1"/>
  <c r="AW49" i="1"/>
  <c r="BR65" i="1"/>
  <c r="AZ65" i="1"/>
  <c r="BP50" i="1"/>
  <c r="AW50" i="1"/>
  <c r="AL86" i="1"/>
  <c r="BH86" i="1"/>
  <c r="AS86" i="1"/>
  <c r="AT104" i="1"/>
  <c r="BN104" i="1"/>
  <c r="AV104" i="1"/>
  <c r="AY104" i="1"/>
  <c r="AW70" i="1"/>
  <c r="BP70" i="1"/>
  <c r="AV100" i="1"/>
  <c r="AT100" i="1"/>
  <c r="BN100" i="1"/>
  <c r="AY100" i="1"/>
  <c r="BR51" i="1"/>
  <c r="AZ51" i="1"/>
  <c r="BR47" i="1"/>
  <c r="AZ47" i="1"/>
  <c r="BP65" i="1"/>
  <c r="AW65" i="1"/>
  <c r="AZ52" i="1"/>
  <c r="BR52" i="1"/>
  <c r="AZ61" i="1"/>
  <c r="BR61" i="1"/>
  <c r="BR70" i="1"/>
  <c r="AZ70" i="1"/>
  <c r="AZ69" i="1"/>
  <c r="BR69" i="1"/>
  <c r="BP56" i="1"/>
  <c r="AW56" i="1"/>
  <c r="AZ40" i="1"/>
  <c r="BR40" i="1"/>
  <c r="BP59" i="1"/>
  <c r="AW59" i="1"/>
  <c r="AT78" i="1"/>
  <c r="AV78" i="1"/>
  <c r="BN78" i="1"/>
  <c r="AY78" i="1"/>
  <c r="BR68" i="1"/>
  <c r="AZ68" i="1"/>
  <c r="AW69" i="1"/>
  <c r="BP69" i="1"/>
  <c r="BR109" i="1"/>
  <c r="AZ109" i="1"/>
  <c r="AV108" i="1"/>
  <c r="AT108" i="1"/>
  <c r="AY108" i="1"/>
  <c r="BN108" i="1"/>
  <c r="AY73" i="1"/>
  <c r="AV73" i="1"/>
  <c r="BN73" i="1"/>
  <c r="AT73" i="1"/>
  <c r="AW63" i="1"/>
  <c r="BP63" i="1"/>
  <c r="AZ63" i="1"/>
  <c r="BR63" i="1"/>
  <c r="AW66" i="1"/>
  <c r="BP66" i="1"/>
  <c r="AZ37" i="1"/>
  <c r="BR37" i="1"/>
  <c r="AV84" i="1"/>
  <c r="BN84" i="1"/>
  <c r="AY84" i="1"/>
  <c r="AT84" i="1"/>
  <c r="AZ96" i="1"/>
  <c r="BR96" i="1"/>
  <c r="AZ97" i="1"/>
  <c r="BR97" i="1"/>
  <c r="AZ59" i="1"/>
  <c r="BR59" i="1"/>
  <c r="BN85" i="1"/>
  <c r="AT85" i="1"/>
  <c r="AV85" i="1"/>
  <c r="AY85" i="1"/>
  <c r="AT107" i="1"/>
  <c r="BN107" i="1"/>
  <c r="AV107" i="1"/>
  <c r="AY107" i="1"/>
  <c r="BP40" i="1"/>
  <c r="AW40" i="1"/>
  <c r="AW106" i="1"/>
  <c r="BP106" i="1"/>
  <c r="BP64" i="1"/>
  <c r="AW64" i="1"/>
  <c r="AW41" i="1"/>
  <c r="BP41" i="1"/>
  <c r="BR56" i="1"/>
  <c r="AZ56" i="1"/>
  <c r="BR66" i="1"/>
  <c r="AZ66" i="1"/>
  <c r="AW37" i="1"/>
  <c r="BP37" i="1"/>
  <c r="AZ106" i="1"/>
  <c r="BR106" i="1"/>
  <c r="AW97" i="1"/>
  <c r="BP97" i="1"/>
  <c r="AZ62" i="1"/>
  <c r="BR62" i="1"/>
  <c r="AW47" i="1"/>
  <c r="BP47" i="1"/>
  <c r="AW42" i="1"/>
  <c r="BP42" i="1"/>
  <c r="AS89" i="1"/>
  <c r="BH89" i="1"/>
  <c r="AL89" i="1"/>
  <c r="AV83" i="1"/>
  <c r="BN83" i="1"/>
  <c r="AT83" i="1"/>
  <c r="AY83" i="1"/>
  <c r="BP68" i="1"/>
  <c r="AW68" i="1"/>
  <c r="BP109" i="1"/>
  <c r="AW109" i="1"/>
  <c r="AV105" i="1"/>
  <c r="AT105" i="1"/>
  <c r="AY105" i="1"/>
  <c r="BN105" i="1"/>
  <c r="BR57" i="1"/>
  <c r="AZ57" i="1"/>
  <c r="AS149" i="1" l="1"/>
  <c r="BN149" i="1" s="1"/>
  <c r="BH149" i="1"/>
  <c r="BP82" i="1"/>
  <c r="AW82" i="1"/>
  <c r="BP92" i="1"/>
  <c r="AW92" i="1"/>
  <c r="AZ107" i="1"/>
  <c r="BR107" i="1"/>
  <c r="BR104" i="1"/>
  <c r="AZ104" i="1"/>
  <c r="AY94" i="1"/>
  <c r="BN94" i="1"/>
  <c r="AT94" i="1"/>
  <c r="AV94" i="1"/>
  <c r="AW74" i="1"/>
  <c r="BP74" i="1"/>
  <c r="AW77" i="1"/>
  <c r="BP77" i="1"/>
  <c r="AW107" i="1"/>
  <c r="BP107" i="1"/>
  <c r="BP104" i="1"/>
  <c r="AW104" i="1"/>
  <c r="BR75" i="1"/>
  <c r="AZ75" i="1"/>
  <c r="AZ82" i="1"/>
  <c r="BR82" i="1"/>
  <c r="BP80" i="1"/>
  <c r="AW80" i="1"/>
  <c r="AY95" i="1"/>
  <c r="AT95" i="1"/>
  <c r="AV95" i="1"/>
  <c r="BN95" i="1"/>
  <c r="AZ91" i="1"/>
  <c r="BR91" i="1"/>
  <c r="BR83" i="1"/>
  <c r="AZ83" i="1"/>
  <c r="AZ84" i="1"/>
  <c r="BR84" i="1"/>
  <c r="AW76" i="1"/>
  <c r="BP76" i="1"/>
  <c r="BR74" i="1"/>
  <c r="AZ74" i="1"/>
  <c r="BP91" i="1"/>
  <c r="AW91" i="1"/>
  <c r="BR85" i="1"/>
  <c r="AZ85" i="1"/>
  <c r="AW73" i="1"/>
  <c r="BP73" i="1"/>
  <c r="AZ78" i="1"/>
  <c r="BR78" i="1"/>
  <c r="AZ100" i="1"/>
  <c r="BR100" i="1"/>
  <c r="AV86" i="1"/>
  <c r="AT86" i="1"/>
  <c r="BN86" i="1"/>
  <c r="AY86" i="1"/>
  <c r="AZ76" i="1"/>
  <c r="BR76" i="1"/>
  <c r="AZ88" i="1"/>
  <c r="BR88" i="1"/>
  <c r="AZ80" i="1"/>
  <c r="BR80" i="1"/>
  <c r="BP85" i="1"/>
  <c r="AW85" i="1"/>
  <c r="AW84" i="1"/>
  <c r="BP84" i="1"/>
  <c r="AZ73" i="1"/>
  <c r="BR73" i="1"/>
  <c r="BR102" i="1"/>
  <c r="AZ102" i="1"/>
  <c r="BP83" i="1"/>
  <c r="AW83" i="1"/>
  <c r="BP78" i="1"/>
  <c r="AW78" i="1"/>
  <c r="AW88" i="1"/>
  <c r="BP88" i="1"/>
  <c r="AW102" i="1"/>
  <c r="BP102" i="1"/>
  <c r="BN93" i="1"/>
  <c r="AY93" i="1"/>
  <c r="AV93" i="1"/>
  <c r="AT93" i="1"/>
  <c r="AZ108" i="1"/>
  <c r="BR108" i="1"/>
  <c r="AW100" i="1"/>
  <c r="BP100" i="1"/>
  <c r="BR101" i="1"/>
  <c r="AZ101" i="1"/>
  <c r="AZ105" i="1"/>
  <c r="BR105" i="1"/>
  <c r="BR79" i="1"/>
  <c r="AZ79" i="1"/>
  <c r="AZ92" i="1"/>
  <c r="BR92" i="1"/>
  <c r="AV89" i="1"/>
  <c r="BN89" i="1"/>
  <c r="AY89" i="1"/>
  <c r="AT89" i="1"/>
  <c r="BP108" i="1"/>
  <c r="AW108" i="1"/>
  <c r="AZ87" i="1"/>
  <c r="BR87" i="1"/>
  <c r="BP105" i="1"/>
  <c r="AW105" i="1"/>
  <c r="BP87" i="1"/>
  <c r="AW87" i="1"/>
  <c r="AW79" i="1"/>
  <c r="BP79" i="1"/>
  <c r="AW101" i="1"/>
  <c r="BP101" i="1"/>
  <c r="AZ77" i="1"/>
  <c r="BR77" i="1"/>
  <c r="AW75" i="1"/>
  <c r="BP75" i="1"/>
  <c r="AV149" i="1" l="1"/>
  <c r="AW149" i="1" s="1"/>
  <c r="AY149" i="1"/>
  <c r="BR149" i="1" s="1"/>
  <c r="AT149" i="1"/>
  <c r="AW89" i="1"/>
  <c r="BP89" i="1"/>
  <c r="AZ94" i="1"/>
  <c r="BR94" i="1"/>
  <c r="AZ93" i="1"/>
  <c r="BR93" i="1"/>
  <c r="AZ86" i="1"/>
  <c r="BR86" i="1"/>
  <c r="AW86" i="1"/>
  <c r="BP86" i="1"/>
  <c r="AZ95" i="1"/>
  <c r="BR95" i="1"/>
  <c r="BR89" i="1"/>
  <c r="AZ89" i="1"/>
  <c r="BP94" i="1"/>
  <c r="AW94" i="1"/>
  <c r="AW93" i="1"/>
  <c r="BP93" i="1"/>
  <c r="BP95" i="1"/>
  <c r="AW95" i="1"/>
  <c r="BP149" i="1" l="1"/>
  <c r="AZ1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tc={743F763D-BF14-4725-ABDD-766DB822D542}</author>
    <author>tc={820516E0-4AB1-49A7-845D-22E96737FF7A}</author>
    <author>tc={E72F7E13-0828-4E09-98D0-25D30BC24A04}</author>
    <author>Rodrigo Sebastian Martinez Montalvo (PFRO)</author>
    <author>tc={1E248A2B-787B-4DCE-94CB-52323DAFCCE3}</author>
    <author>tc={6B8ABF03-AD92-41AD-AA56-4CCF25614F6E}</author>
    <author>tc={ADC37C9E-FF1D-488C-95F1-FBB76ECE040E}</author>
  </authors>
  <commentList>
    <comment ref="P38" authorId="0" shapeId="0" xr:uid="{743F763D-BF14-4725-ABDD-766DB822D5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APLICADO SIMILAR A EEFF</t>
      </text>
    </comment>
    <comment ref="P39" authorId="1" shapeId="0" xr:uid="{820516E0-4AB1-49A7-845D-22E96737FF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SIMILAR A EEFF</t>
      </text>
    </comment>
    <comment ref="P46" authorId="2" shapeId="0" xr:uid="{E72F7E13-0828-4E09-98D0-25D30BC24A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SIMILAR A EEFF</t>
      </text>
    </comment>
    <comment ref="P50" authorId="3" shapeId="0" xr:uid="{5C8E066D-5766-4BDF-81F1-5145727BBF1B}">
      <text>
        <r>
          <rPr>
            <b/>
            <sz val="9"/>
            <color indexed="81"/>
            <rFont val="Tahoma"/>
            <family val="2"/>
          </rPr>
          <t>DESCUENTO SIMILAR A EEFF</t>
        </r>
      </text>
    </comment>
    <comment ref="P54" authorId="4" shapeId="0" xr:uid="{1E248A2B-787B-4DCE-94CB-52323DAFCC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APLICA DESCUENTO DE 4K SIMILAR A EEFF</t>
      </text>
    </comment>
    <comment ref="AC61" authorId="5" shapeId="0" xr:uid="{6B8ABF03-AD92-41AD-AA56-4CCF25614F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incrementó 25% costo materia prima a las 520 tm despachadas al final de mes</t>
      </text>
    </comment>
    <comment ref="P62" authorId="6" shapeId="0" xr:uid="{ADC37C9E-FF1D-488C-95F1-FBB76ECE04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SIMILAR A EEFF</t>
      </text>
    </comment>
  </commentList>
</comments>
</file>

<file path=xl/sharedStrings.xml><?xml version="1.0" encoding="utf-8"?>
<sst xmlns="http://schemas.openxmlformats.org/spreadsheetml/2006/main" count="3583" uniqueCount="761">
  <si>
    <t>ANÁLISIS DE RENTABILIDAD</t>
  </si>
  <si>
    <t>EEFF PERU FROST (USD)</t>
  </si>
  <si>
    <t>Etiquetas de columna</t>
  </si>
  <si>
    <t>ANÁLISIS UNITARIO</t>
  </si>
  <si>
    <t>ANÁLISIS VÉRTICAL</t>
  </si>
  <si>
    <t>Valores</t>
  </si>
  <si>
    <t>ENERO</t>
  </si>
  <si>
    <t>FEBRERO</t>
  </si>
  <si>
    <t>MARZO</t>
  </si>
  <si>
    <t>Total general</t>
  </si>
  <si>
    <t>NOMBRE</t>
  </si>
  <si>
    <t>TOTAL</t>
  </si>
  <si>
    <t xml:space="preserve">Suma de  Cantidad </t>
  </si>
  <si>
    <t>Suma de VALOR 
CFR</t>
  </si>
  <si>
    <t>Suma de COSTO 
VENTAS</t>
  </si>
  <si>
    <t>Suma de UTILIDAD 
BRUTA</t>
  </si>
  <si>
    <t>Suma de GASTO
VENTAS</t>
  </si>
  <si>
    <t>Suma de GASTO 
ADM</t>
  </si>
  <si>
    <t>Suma de DRAWBACK</t>
  </si>
  <si>
    <t>Suma de UTILIDAD 
OPERATIVA</t>
  </si>
  <si>
    <t>Suma de GASTO 
FINANCIERO</t>
  </si>
  <si>
    <t>Suma de UTILIDAD 
NETA</t>
  </si>
  <si>
    <t>Suma de DEPRECIACIÓN</t>
  </si>
  <si>
    <t>Suma de EBITDA</t>
  </si>
  <si>
    <t>ANÁLISIS POR PRODUCTO</t>
  </si>
  <si>
    <t>RANKING DE VENTAS (USD)</t>
  </si>
  <si>
    <t>UTILIDAD NETA (USD)</t>
  </si>
  <si>
    <t>EBITDA (USD)</t>
  </si>
  <si>
    <t>Etiquetas de fila</t>
  </si>
  <si>
    <t>%</t>
  </si>
  <si>
    <t>MG</t>
  </si>
  <si>
    <t>POTA REJOS CONGELADOS</t>
  </si>
  <si>
    <t>POTA ALAS CONGELADAS</t>
  </si>
  <si>
    <t>POTA FILETE CONGELADO</t>
  </si>
  <si>
    <t>POTA NUCAS</t>
  </si>
  <si>
    <t>POTA ALAS COCIDAS</t>
  </si>
  <si>
    <t>POTA REPRODUCTORES</t>
  </si>
  <si>
    <t>POTA CONOS</t>
  </si>
  <si>
    <t>POTA MEMBRANA PRECOCIDA</t>
  </si>
  <si>
    <t>POTA  TELILLA PRECOCIDA</t>
  </si>
  <si>
    <t>ANÁLISIS POR CLIENTE</t>
  </si>
  <si>
    <t>NETO</t>
  </si>
  <si>
    <t>EBITDA</t>
  </si>
  <si>
    <t>TSUJINO</t>
  </si>
  <si>
    <t>KULALIA</t>
  </si>
  <si>
    <t>AVANCE GROUP</t>
  </si>
  <si>
    <t>Pesciro Asia International LTD.</t>
  </si>
  <si>
    <t>LONGKOU JIABAO AQUATIC</t>
  </si>
  <si>
    <t>OVERSEA</t>
  </si>
  <si>
    <t>LONGKOU BOHAI</t>
  </si>
  <si>
    <t>DAIRECK S.A.</t>
  </si>
  <si>
    <t>Longkou Yunfeng Aquatic</t>
  </si>
  <si>
    <t>FOOD &amp; BEVERAGES TRADERS</t>
  </si>
  <si>
    <t>GLOBAL OCEAN</t>
  </si>
  <si>
    <t>SACRAMENTO CO., LTD</t>
  </si>
  <si>
    <t xml:space="preserve">Hunan Jinyueyang </t>
  </si>
  <si>
    <t>OCEANUS FISH</t>
  </si>
  <si>
    <t>Pesciro SL</t>
  </si>
  <si>
    <t>SHANDONG SHEENIER</t>
  </si>
  <si>
    <t>MES LINK</t>
  </si>
  <si>
    <t>MES 
EJERCICIO</t>
  </si>
  <si>
    <t>FP</t>
  </si>
  <si>
    <t>Emision</t>
  </si>
  <si>
    <t>Fecha Embarque</t>
  </si>
  <si>
    <t xml:space="preserve"> Cantidad </t>
  </si>
  <si>
    <t>Producto</t>
  </si>
  <si>
    <t>Corte</t>
  </si>
  <si>
    <t>Espec.</t>
  </si>
  <si>
    <t>País</t>
  </si>
  <si>
    <t xml:space="preserve">Puerto </t>
  </si>
  <si>
    <t>Cliente (Razón Social)</t>
  </si>
  <si>
    <t xml:space="preserve">Contacto </t>
  </si>
  <si>
    <t>Precio TM</t>
  </si>
  <si>
    <t>VALOR 
CFR</t>
  </si>
  <si>
    <t xml:space="preserve"> FOB / TM </t>
  </si>
  <si>
    <t>Costo Flete</t>
  </si>
  <si>
    <t>VALOR 
FOB</t>
  </si>
  <si>
    <t>Cantidad de FCL (Contenedores)</t>
  </si>
  <si>
    <t>M/V Nave</t>
  </si>
  <si>
    <t>Booking</t>
  </si>
  <si>
    <t xml:space="preserve"> Naviera </t>
  </si>
  <si>
    <t>Puerto</t>
  </si>
  <si>
    <t>CÓDIGO</t>
  </si>
  <si>
    <t>Categoría</t>
  </si>
  <si>
    <t>MATCH</t>
  </si>
  <si>
    <t>COSTO 
UNITARIO</t>
  </si>
  <si>
    <t>Materia Prima</t>
  </si>
  <si>
    <t>MOD</t>
  </si>
  <si>
    <t>Envases</t>
  </si>
  <si>
    <t>CIF</t>
  </si>
  <si>
    <t>COSTO 
VENTAS</t>
  </si>
  <si>
    <t>UTILIDAD 
BRUTA</t>
  </si>
  <si>
    <t>MARGEN 
BRUTO</t>
  </si>
  <si>
    <t>Flete</t>
  </si>
  <si>
    <t>SS Logístico</t>
  </si>
  <si>
    <t>GASTO
VENTAS</t>
  </si>
  <si>
    <t>GASTO 
ADM</t>
  </si>
  <si>
    <t>DRAWBACK</t>
  </si>
  <si>
    <t>UTILIDAD 
OPERATIVA</t>
  </si>
  <si>
    <t>MARGEN 
OPERATIVO</t>
  </si>
  <si>
    <t>GASTO 
FINANCIERO</t>
  </si>
  <si>
    <t>UTILIDAD 
NETA</t>
  </si>
  <si>
    <t>MARGEN 
NETO</t>
  </si>
  <si>
    <t>DEPRECIACIÓN</t>
  </si>
  <si>
    <t>MARGEN 
EBITDA</t>
  </si>
  <si>
    <t>PRECIO 
CFR</t>
  </si>
  <si>
    <t>127-2025</t>
  </si>
  <si>
    <t>Rejos</t>
  </si>
  <si>
    <t>España</t>
  </si>
  <si>
    <t>Valencia</t>
  </si>
  <si>
    <t>Ignacio / Ives</t>
  </si>
  <si>
    <t>MERSIN EXPRESS 603N</t>
  </si>
  <si>
    <t>HAPAG</t>
  </si>
  <si>
    <t>PAITA</t>
  </si>
  <si>
    <t>Compensación</t>
  </si>
  <si>
    <t>128-2025B</t>
  </si>
  <si>
    <t>Nucas</t>
  </si>
  <si>
    <t>1000-up</t>
  </si>
  <si>
    <t xml:space="preserve">Tailandia </t>
  </si>
  <si>
    <t>Lat Krabang</t>
  </si>
  <si>
    <t>Julieta</t>
  </si>
  <si>
    <t>ECO SIROCCO 26005S</t>
  </si>
  <si>
    <t>COSCO</t>
  </si>
  <si>
    <t>500 - 1 kg.</t>
  </si>
  <si>
    <t>1 - 2 kgs.</t>
  </si>
  <si>
    <t>129-2025</t>
  </si>
  <si>
    <t>Conos</t>
  </si>
  <si>
    <t>Tailandia</t>
  </si>
  <si>
    <t>Bangkok</t>
  </si>
  <si>
    <t>Jose</t>
  </si>
  <si>
    <t>ECO MARIN 26002S</t>
  </si>
  <si>
    <t>137-2025</t>
  </si>
  <si>
    <t>Filete</t>
  </si>
  <si>
    <t>2 - 4 kg</t>
  </si>
  <si>
    <t>Taiwan</t>
  </si>
  <si>
    <t>KAOHSIUNG</t>
  </si>
  <si>
    <t>ECO MARIN 25052N</t>
  </si>
  <si>
    <t>LIMF26385300</t>
  </si>
  <si>
    <t>ONE</t>
  </si>
  <si>
    <t>140-2025</t>
  </si>
  <si>
    <t>2-4kg</t>
  </si>
  <si>
    <t xml:space="preserve">Japón </t>
  </si>
  <si>
    <t>Sendai</t>
  </si>
  <si>
    <t>ECO SIROCCO 26003S</t>
  </si>
  <si>
    <t>LIMG00358300</t>
  </si>
  <si>
    <t>145-2025</t>
  </si>
  <si>
    <t>500-1 / 1-2</t>
  </si>
  <si>
    <t>Vigo</t>
  </si>
  <si>
    <t>Jorge</t>
  </si>
  <si>
    <t>IZMIT EXPRESS 604N</t>
  </si>
  <si>
    <t>146-2026</t>
  </si>
  <si>
    <t xml:space="preserve">10 cm - up </t>
  </si>
  <si>
    <t>ECO MARIN 26006S</t>
  </si>
  <si>
    <t>500-up</t>
  </si>
  <si>
    <t>147-2026</t>
  </si>
  <si>
    <t>Alas</t>
  </si>
  <si>
    <t>1 - 2 KGS.</t>
  </si>
  <si>
    <t>ECO MARIN 26004N</t>
  </si>
  <si>
    <t>LIMG01524600</t>
  </si>
  <si>
    <t>148-2026</t>
  </si>
  <si>
    <t>2-4 (B)</t>
  </si>
  <si>
    <t xml:space="preserve">España </t>
  </si>
  <si>
    <t>ODYSSEUS 606N</t>
  </si>
  <si>
    <t>149-2026</t>
  </si>
  <si>
    <t>Entradas</t>
  </si>
  <si>
    <t>150-2026A</t>
  </si>
  <si>
    <t>1-2 KG</t>
  </si>
  <si>
    <t>Avelino</t>
  </si>
  <si>
    <t xml:space="preserve">CAPE SPENCER 608N </t>
  </si>
  <si>
    <t>151-2025</t>
  </si>
  <si>
    <t>Membrana</t>
  </si>
  <si>
    <t xml:space="preserve">China </t>
  </si>
  <si>
    <t>Qingdao</t>
  </si>
  <si>
    <t>ECO SIROCCO 26009S</t>
  </si>
  <si>
    <t>Telilla</t>
  </si>
  <si>
    <t>152-2026</t>
  </si>
  <si>
    <t>2-UP KG</t>
  </si>
  <si>
    <t xml:space="preserve">GEMLIK EXPRESS 607N </t>
  </si>
  <si>
    <t>156-2026A</t>
  </si>
  <si>
    <t>2-4 kg 100%  blanco, No polyphosphate,no medicine</t>
  </si>
  <si>
    <t>CMA CGM IMAGINATION / 0DVITN1MA</t>
  </si>
  <si>
    <t>LMM0571149</t>
  </si>
  <si>
    <t>CMA CGM</t>
  </si>
  <si>
    <t>156-2026B</t>
  </si>
  <si>
    <t>CMA CGM EXCELLENCE 0DVNNN1MA</t>
  </si>
  <si>
    <t>LMM0571699</t>
  </si>
  <si>
    <t>157-2026</t>
  </si>
  <si>
    <t>ECO SIROCCO 26007S</t>
  </si>
  <si>
    <t>160-2026</t>
  </si>
  <si>
    <t>162-2026A</t>
  </si>
  <si>
    <t>1-2 kg</t>
  </si>
  <si>
    <t>James</t>
  </si>
  <si>
    <t>ECO SIROCCO 26007N</t>
  </si>
  <si>
    <t>LIMG02628500</t>
  </si>
  <si>
    <t>162-2026B</t>
  </si>
  <si>
    <t>Dalian</t>
  </si>
  <si>
    <t>LIMG02851300</t>
  </si>
  <si>
    <t>162-2026C</t>
  </si>
  <si>
    <t xml:space="preserve">Xiamen </t>
  </si>
  <si>
    <t>LIMG02630500</t>
  </si>
  <si>
    <t>164-2026</t>
  </si>
  <si>
    <t>Daruma</t>
  </si>
  <si>
    <t>Yantai</t>
  </si>
  <si>
    <t>julia</t>
  </si>
  <si>
    <t>168-2026A</t>
  </si>
  <si>
    <t xml:space="preserve">Filete </t>
  </si>
  <si>
    <t>2-4 AA</t>
  </si>
  <si>
    <t>ECO MARIN 26008N</t>
  </si>
  <si>
    <t>168-2026B</t>
  </si>
  <si>
    <t>shidao</t>
  </si>
  <si>
    <t>ECO MARIN 26008S</t>
  </si>
  <si>
    <t>168-2026C</t>
  </si>
  <si>
    <t>170-2026A</t>
  </si>
  <si>
    <t>9 FCL 1-2 / 1 FCL 2-UP</t>
  </si>
  <si>
    <t>Ramon</t>
  </si>
  <si>
    <t>CAPE SABLE 609N</t>
  </si>
  <si>
    <t>150-2026B</t>
  </si>
  <si>
    <t>LEONIDAS Z 610N</t>
  </si>
  <si>
    <t>Inventario final</t>
  </si>
  <si>
    <t>150-2026C</t>
  </si>
  <si>
    <t>159-2026A</t>
  </si>
  <si>
    <t>B</t>
  </si>
  <si>
    <t>ECO SIROCCO 26009N</t>
  </si>
  <si>
    <t>LIMG03265300</t>
  </si>
  <si>
    <t>161-2026A</t>
  </si>
  <si>
    <t>LIMG03094300</t>
  </si>
  <si>
    <t>ONE LINE</t>
  </si>
  <si>
    <t>163-2026</t>
  </si>
  <si>
    <t>1-up</t>
  </si>
  <si>
    <t>korea</t>
  </si>
  <si>
    <t>Busan</t>
  </si>
  <si>
    <t>ECO MARIN 26010S</t>
  </si>
  <si>
    <t>167-2026</t>
  </si>
  <si>
    <t>ECO SIROCCO 26011S</t>
  </si>
  <si>
    <t>169-2026A</t>
  </si>
  <si>
    <t>1-UP</t>
  </si>
  <si>
    <t>LIMG02789600</t>
  </si>
  <si>
    <t>169-2026B</t>
  </si>
  <si>
    <t>ECO MARIN 26010N</t>
  </si>
  <si>
    <t>LIMG03633900</t>
  </si>
  <si>
    <t>170-2026B</t>
  </si>
  <si>
    <t>CMA CGM BOLDNESS / 0DVODN1MA</t>
  </si>
  <si>
    <t>LMM0575562</t>
  </si>
  <si>
    <t>171-2026</t>
  </si>
  <si>
    <t>Shidao</t>
  </si>
  <si>
    <t>LIMG03093900</t>
  </si>
  <si>
    <t>172-2026A</t>
  </si>
  <si>
    <t xml:space="preserve">1-2 KG </t>
  </si>
  <si>
    <t>LMM0575536</t>
  </si>
  <si>
    <t>172-2026B</t>
  </si>
  <si>
    <t xml:space="preserve">0.3 - UP </t>
  </si>
  <si>
    <t>174-2026</t>
  </si>
  <si>
    <t>LIMG03595900</t>
  </si>
  <si>
    <t>175-2026</t>
  </si>
  <si>
    <t>Klaipeda</t>
  </si>
  <si>
    <t>Lituania</t>
  </si>
  <si>
    <t>CMA CGM VOLTAIRE / 0DVOFN1MA</t>
  </si>
  <si>
    <t>LMM0575667</t>
  </si>
  <si>
    <t>176-2026A</t>
  </si>
  <si>
    <t>161-2026B</t>
  </si>
  <si>
    <t>ECO SIROCCO 26013S</t>
  </si>
  <si>
    <t>165-2026</t>
  </si>
  <si>
    <t>CMA CGM BETTER WAYS 0DVOHN1MA</t>
  </si>
  <si>
    <t>LMM0577574</t>
  </si>
  <si>
    <t>ECO MARIN 26012S</t>
  </si>
  <si>
    <t xml:space="preserve"> 1-2 </t>
  </si>
  <si>
    <t>176-2026B</t>
  </si>
  <si>
    <t>LIMG04326900</t>
  </si>
  <si>
    <t>177-2026A</t>
  </si>
  <si>
    <t>Korea</t>
  </si>
  <si>
    <t>LIMG04588500</t>
  </si>
  <si>
    <t>179-2026A</t>
  </si>
  <si>
    <t>Laem chabang</t>
  </si>
  <si>
    <t>ACER FOOD</t>
  </si>
  <si>
    <t>ECO MARIN 26012N</t>
  </si>
  <si>
    <t>LIMG03918800</t>
  </si>
  <si>
    <t>179-2026B1</t>
  </si>
  <si>
    <t>LIMG03924500</t>
  </si>
  <si>
    <t>179-2026B2</t>
  </si>
  <si>
    <t>LIMG03933500</t>
  </si>
  <si>
    <t>179-2026B3</t>
  </si>
  <si>
    <t>LIMG03937900</t>
  </si>
  <si>
    <t>179-2026B4</t>
  </si>
  <si>
    <t>LIMG03938300</t>
  </si>
  <si>
    <t>179-2026B5</t>
  </si>
  <si>
    <t>LIMG03940300</t>
  </si>
  <si>
    <t>179-2026C1</t>
  </si>
  <si>
    <t>KHUNRUNG</t>
  </si>
  <si>
    <t>179-2026C2</t>
  </si>
  <si>
    <t>181-2026</t>
  </si>
  <si>
    <t>500-1000</t>
  </si>
  <si>
    <t>LIMG04324700</t>
  </si>
  <si>
    <t>183-2026</t>
  </si>
  <si>
    <t xml:space="preserve">2- UP LIMPIOS </t>
  </si>
  <si>
    <t>184-2026</t>
  </si>
  <si>
    <t>China</t>
  </si>
  <si>
    <t>185-2026</t>
  </si>
  <si>
    <t xml:space="preserve">Daruma </t>
  </si>
  <si>
    <t>189-2026</t>
  </si>
  <si>
    <t>300-500</t>
  </si>
  <si>
    <t>MES</t>
  </si>
  <si>
    <t>PRODUCTO</t>
  </si>
  <si>
    <t>Cant.oper.</t>
  </si>
  <si>
    <t>Un.</t>
  </si>
  <si>
    <t>Val.prov.</t>
  </si>
  <si>
    <t>Dif.prec.</t>
  </si>
  <si>
    <t>DifTpoCam</t>
  </si>
  <si>
    <t>Valor real</t>
  </si>
  <si>
    <t>Precio</t>
  </si>
  <si>
    <t>Mater.Prim</t>
  </si>
  <si>
    <t>Envases y</t>
  </si>
  <si>
    <t>Servicio de Terceros</t>
  </si>
  <si>
    <t>CIF-Otros</t>
  </si>
  <si>
    <t>CIF-Gastos</t>
  </si>
  <si>
    <t>CIF-Manten</t>
  </si>
  <si>
    <t>CIF-Serv.</t>
  </si>
  <si>
    <t>CIF-Deprec</t>
  </si>
  <si>
    <t>CIF- Otros 2</t>
  </si>
  <si>
    <t>POTA ALAS FR C/P C/C (B) S/COD BL10 S20</t>
  </si>
  <si>
    <t>Inventario inicial</t>
  </si>
  <si>
    <t>KG</t>
  </si>
  <si>
    <t>Revalorización</t>
  </si>
  <si>
    <t>Inventario acumulado</t>
  </si>
  <si>
    <t>4,137.55-</t>
  </si>
  <si>
    <t>3,502.80-</t>
  </si>
  <si>
    <t>2,200.35-</t>
  </si>
  <si>
    <t>0.12-</t>
  </si>
  <si>
    <t>2,835.10-</t>
  </si>
  <si>
    <t>0.02-</t>
  </si>
  <si>
    <t>POTA ALAS FR C/P C/C 1-2 BL10 S20</t>
  </si>
  <si>
    <t>Inv. acumulado</t>
  </si>
  <si>
    <t>16,077.05-</t>
  </si>
  <si>
    <t>5,733.20-</t>
  </si>
  <si>
    <t>89,328.33-</t>
  </si>
  <si>
    <t>0.15-</t>
  </si>
  <si>
    <t>99,672.18-</t>
  </si>
  <si>
    <t>55,222.48-</t>
  </si>
  <si>
    <t>0.01-</t>
  </si>
  <si>
    <t>44,449.70-</t>
  </si>
  <si>
    <t>POTA ALAS FR C/P C/C 2-UP BL10 S20</t>
  </si>
  <si>
    <t>0.37-</t>
  </si>
  <si>
    <t>0.06-</t>
  </si>
  <si>
    <t>16,616.79-</t>
  </si>
  <si>
    <t>5,734.40-</t>
  </si>
  <si>
    <t>37,221.26-</t>
  </si>
  <si>
    <t>48,103.65-</t>
  </si>
  <si>
    <t>16,991.63-</t>
  </si>
  <si>
    <t>31,112.02-</t>
  </si>
  <si>
    <t>POTA FILETE C/M C/T FR 2-4 (B) BL10 S20</t>
  </si>
  <si>
    <t>140,352.17-</t>
  </si>
  <si>
    <t>163,134.40-</t>
  </si>
  <si>
    <t>83,798.54-</t>
  </si>
  <si>
    <t>61,016.31-</t>
  </si>
  <si>
    <t>41,351.43-</t>
  </si>
  <si>
    <t>19,664.88-</t>
  </si>
  <si>
    <t>POTA NUCAS FR ABIERTAS 0.5-1 BL10 S20</t>
  </si>
  <si>
    <t>31,211.16-</t>
  </si>
  <si>
    <t>23,140.00-</t>
  </si>
  <si>
    <t>30,434.64-</t>
  </si>
  <si>
    <t>0.16-</t>
  </si>
  <si>
    <t>38,505.80-</t>
  </si>
  <si>
    <t>0.17-</t>
  </si>
  <si>
    <t>9,918.74-</t>
  </si>
  <si>
    <t>0.04-</t>
  </si>
  <si>
    <t>28,587.06-</t>
  </si>
  <si>
    <t>0.13-</t>
  </si>
  <si>
    <t>POTA NUCAS FR ABIERTAS 1-2 BL10 S20</t>
  </si>
  <si>
    <t>2,656.74-</t>
  </si>
  <si>
    <t>0.03-</t>
  </si>
  <si>
    <t>1,723.20-</t>
  </si>
  <si>
    <t>14,186.06-</t>
  </si>
  <si>
    <t>18,566.00-</t>
  </si>
  <si>
    <t>0.05-</t>
  </si>
  <si>
    <t>POTA REJOS OR FR LIMPIOS S/COD BL10 S20</t>
  </si>
  <si>
    <t>1,678.37-</t>
  </si>
  <si>
    <t>558.00-</t>
  </si>
  <si>
    <t>19,787.46-</t>
  </si>
  <si>
    <t>22,023.83-</t>
  </si>
  <si>
    <t>POTA REJOS FR C/B S/U S/V S/OR 1-2 BL10</t>
  </si>
  <si>
    <t>50,436.61-</t>
  </si>
  <si>
    <t>38,615.60-</t>
  </si>
  <si>
    <t>58,618.42-</t>
  </si>
  <si>
    <t>70,439.43-</t>
  </si>
  <si>
    <t>28,019.51-</t>
  </si>
  <si>
    <t>42,419.92-</t>
  </si>
  <si>
    <t>POTA REJOS FR 2 UP</t>
  </si>
  <si>
    <t>5,017.38-</t>
  </si>
  <si>
    <t>1,419.00-</t>
  </si>
  <si>
    <t>19,306.03-</t>
  </si>
  <si>
    <t>25,742.41-</t>
  </si>
  <si>
    <t>9,355.17-</t>
  </si>
  <si>
    <t>16,387.24-</t>
  </si>
  <si>
    <t>POTA FILETE PRE COCIDO S/M S/T C/P S/COD</t>
  </si>
  <si>
    <t>600,280.66-</t>
  </si>
  <si>
    <t>313,588.80-</t>
  </si>
  <si>
    <t>647,203.81-</t>
  </si>
  <si>
    <t>933,895.67-</t>
  </si>
  <si>
    <t>0.11-</t>
  </si>
  <si>
    <t>78,172.07-</t>
  </si>
  <si>
    <t>855,723.60-</t>
  </si>
  <si>
    <t>0.10-</t>
  </si>
  <si>
    <t>PPTA RECORTES PRECOCIDA B10 S20</t>
  </si>
  <si>
    <t>13,761.55-</t>
  </si>
  <si>
    <t>2,700.20-</t>
  </si>
  <si>
    <t>15,739.71-</t>
  </si>
  <si>
    <t>26,801.06-</t>
  </si>
  <si>
    <t>POTA ALAS PRE COC 0.3 - UP BL9 S18</t>
  </si>
  <si>
    <t>37,945.18-</t>
  </si>
  <si>
    <t>99,139.19-</t>
  </si>
  <si>
    <t>137,084.37-</t>
  </si>
  <si>
    <t>POTA RECORTES LAM PRE COC (T) BL7.5 S15</t>
  </si>
  <si>
    <t>26,343.41-</t>
  </si>
  <si>
    <t>7,303.50-</t>
  </si>
  <si>
    <t>46,968.50-</t>
  </si>
  <si>
    <t>66,008.41-</t>
  </si>
  <si>
    <t>42,069.99-</t>
  </si>
  <si>
    <t>23,938.42-</t>
  </si>
  <si>
    <t>Cant</t>
  </si>
  <si>
    <t>C.U</t>
  </si>
  <si>
    <t>Cotos Vta</t>
  </si>
  <si>
    <t>RESIDUOS DE POTA</t>
  </si>
  <si>
    <t>Residuos</t>
  </si>
  <si>
    <t>PROVEEDORA DE PRODUCTOS MARINOS</t>
  </si>
  <si>
    <t>X</t>
  </si>
  <si>
    <t>2 - UP</t>
  </si>
  <si>
    <t>153-2026</t>
  </si>
  <si>
    <t>CAPE SKAGEN 614N</t>
  </si>
  <si>
    <t>POTA FILETE C/M C/T FR 0.5-1 BL10 S20</t>
  </si>
  <si>
    <t>POTA FILETE C/M C/T FR 1-2 BL10 S20</t>
  </si>
  <si>
    <t>POTA FILETE C/M C/T FR 2-4 BL10 S20</t>
  </si>
  <si>
    <t>POTA FILETE C/M C/T FR 2.0 - 4.0 AA BL10</t>
  </si>
  <si>
    <t>POTA NUCAS FR ABIERTAS 0.3-0.5 BL10 S20</t>
  </si>
  <si>
    <t>POTA ALAS FR C/P C/C &lt; 0.5 BL10 S20</t>
  </si>
  <si>
    <t>POTA ALAS FR C/P C/C 0.5-1 BL10 S20</t>
  </si>
  <si>
    <t>POTA RECORTES PRE COC BL10 S20</t>
  </si>
  <si>
    <t>POTA RECORTES FR BL10 S20</t>
  </si>
  <si>
    <t>POTA RECORTES LAM FR (T) BL10 S20</t>
  </si>
  <si>
    <t>POTA RECORTES LAM FR (M) BL10 S20</t>
  </si>
  <si>
    <t>POTA REJOS FR C/B S/U S/V S/OR 0.5-1 BL1</t>
  </si>
  <si>
    <t>POTA CONO FR S/COD BL10 S20</t>
  </si>
  <si>
    <t>POTA TUBO/ALETA EVISC. 0.5 - 1.0 BL10 S2</t>
  </si>
  <si>
    <t>POTA TUBO/ALETA EVISC. 1.0 - 2.0 BL10 S2</t>
  </si>
  <si>
    <t>POTA ALAS FR C/P C/C AA S/COD BL10 S20</t>
  </si>
  <si>
    <t>POTA NUCAS FR ABIERTAS 0.1 - 0.3 BL10 S2</t>
  </si>
  <si>
    <t>POTA REJOS FR S-S/POR C/UV 0.1 - 0.3 BL1</t>
  </si>
  <si>
    <t>POTA REJOS FR C/B S/U S/V S/OR 0.3 - 0.5</t>
  </si>
  <si>
    <t>POTA LABIOS FR S/COD BL10 S20</t>
  </si>
  <si>
    <t>BONITO ENT FR S/COD BL10 S20</t>
  </si>
  <si>
    <t>POTA ALAS PRE COC S/COD BL10 S20</t>
  </si>
  <si>
    <t>POTA FILETE PRE COCIDO S/M S/T 0.6 - 1.0</t>
  </si>
  <si>
    <t>POTA ALAS FR C/P C/C 0.3 - 0.5 BL10 S20</t>
  </si>
  <si>
    <t>POTA NUCAS CERRADAS 0.1 - 0.3 BL10 S20</t>
  </si>
  <si>
    <t>POTA FILETE S/M S/T FR 1.0-2.0 CM/ESP</t>
  </si>
  <si>
    <t>POTA ALAS PRE COC 0.3 - UP BL10 S20</t>
  </si>
  <si>
    <t>POTA ALAS PRE COC AA BL10 S20</t>
  </si>
  <si>
    <t>POTA ALAS PRE COC AA BL9 S18</t>
  </si>
  <si>
    <t>POTA VENTOSAS C/U FR BL10 S20</t>
  </si>
  <si>
    <t>POTA RECORTES LAM PRE COC (M) BL7.5 S15</t>
  </si>
  <si>
    <t>POTA REJOS FR C/B S/U S/V S/OR 2.0 - UP</t>
  </si>
  <si>
    <t>POTA FILETE S/M S/T FR 1.5-UP CM/ESP BL1</t>
  </si>
  <si>
    <t>LANGOSTINO COLA P&amp;D S/COD</t>
  </si>
  <si>
    <t>CONCHA ABANICO T/SOLO S/COD</t>
  </si>
  <si>
    <t>CABALLA ENTERA FR S/COD</t>
  </si>
  <si>
    <t>POTA FILETE PARA REPROCESO</t>
  </si>
  <si>
    <t>POTA REJOS FR C/B C/U C/V S/OR 1.0 - UP</t>
  </si>
  <si>
    <t>POTA REJOS FR S-S/POR C/UV 0.3 - 0.5 BL1</t>
  </si>
  <si>
    <t>ABRIL</t>
  </si>
  <si>
    <t>145-2025B</t>
  </si>
  <si>
    <t>POTA RECORTES  COCIDOS</t>
  </si>
  <si>
    <t xml:space="preserve">Recortes cocidos </t>
  </si>
  <si>
    <t>150-2026D</t>
  </si>
  <si>
    <t>s/t</t>
  </si>
  <si>
    <t>172-2026C</t>
  </si>
  <si>
    <t>2-4 kg  AA</t>
  </si>
  <si>
    <t>173-2026</t>
  </si>
  <si>
    <t>177-2026B</t>
  </si>
  <si>
    <t>178-2026A</t>
  </si>
  <si>
    <t>2-4 kg</t>
  </si>
  <si>
    <t>178-2026B</t>
  </si>
  <si>
    <t>178-2026C</t>
  </si>
  <si>
    <t>182-2026</t>
  </si>
  <si>
    <t>186-2026</t>
  </si>
  <si>
    <t>187-2026</t>
  </si>
  <si>
    <t>188-2026</t>
  </si>
  <si>
    <t xml:space="preserve">2-4 A </t>
  </si>
  <si>
    <t>Hakata</t>
  </si>
  <si>
    <t>190-2026</t>
  </si>
  <si>
    <t xml:space="preserve">Tokyo </t>
  </si>
  <si>
    <t>191-2026</t>
  </si>
  <si>
    <t>Alas Precocidas</t>
  </si>
  <si>
    <t xml:space="preserve">300-up skin-on </t>
  </si>
  <si>
    <t>YANTAI TAIXI FOODSTUFF</t>
  </si>
  <si>
    <t>Sasha</t>
  </si>
  <si>
    <t>192-2026</t>
  </si>
  <si>
    <t xml:space="preserve">1-up </t>
  </si>
  <si>
    <t>193-2026</t>
  </si>
  <si>
    <t>2-4 A  external skin removed, inner membranes on</t>
  </si>
  <si>
    <t>194-2026</t>
  </si>
  <si>
    <t>POTA FILETE DARUMA</t>
  </si>
  <si>
    <t>195-2026</t>
  </si>
  <si>
    <t>POTA SUCKERS CONGELADO</t>
  </si>
  <si>
    <t>Ventosas</t>
  </si>
  <si>
    <t>MAWEI FUZHOU</t>
  </si>
  <si>
    <t>196-2026</t>
  </si>
  <si>
    <t>Longkou Yunfeng Aquatic Food</t>
  </si>
  <si>
    <t xml:space="preserve">Nana </t>
  </si>
  <si>
    <t>197-2026A</t>
  </si>
  <si>
    <t xml:space="preserve">2-4 AA LIGERAMENTE ROSADO </t>
  </si>
  <si>
    <t>198-2026A</t>
  </si>
  <si>
    <t>198-2026B</t>
  </si>
  <si>
    <t>200-2026</t>
  </si>
  <si>
    <t>Qingdao Haiyujia</t>
  </si>
  <si>
    <t>Mark</t>
  </si>
  <si>
    <t>201-2026</t>
  </si>
  <si>
    <t>jack</t>
  </si>
  <si>
    <t>202-2026A</t>
  </si>
  <si>
    <t>202-2026B</t>
  </si>
  <si>
    <t>203-2026</t>
  </si>
  <si>
    <t>&lt;1000 DIRTY SUCKERS ON ,SEXUAL OFF</t>
  </si>
  <si>
    <t>SHIDAO</t>
  </si>
  <si>
    <t>204-2026</t>
  </si>
  <si>
    <t xml:space="preserve">1-2 A - AA  manto </t>
  </si>
  <si>
    <t>KOBE</t>
  </si>
  <si>
    <t>205-2026</t>
  </si>
  <si>
    <t>&gt;60 CM , SUCKERS OFF</t>
  </si>
  <si>
    <t>Manzanillo</t>
  </si>
  <si>
    <t xml:space="preserve">Mexico </t>
  </si>
  <si>
    <t>GOLDEN SEAFOOD</t>
  </si>
  <si>
    <t>alexander</t>
  </si>
  <si>
    <t>207-2026</t>
  </si>
  <si>
    <t>300-500 / 500-1000</t>
  </si>
  <si>
    <t>208-2026</t>
  </si>
  <si>
    <t xml:space="preserve">&lt;1000 </t>
  </si>
  <si>
    <t>Shenzhen Yueshi</t>
  </si>
  <si>
    <t>susan</t>
  </si>
  <si>
    <t>209-2026</t>
  </si>
  <si>
    <t>210-2026A</t>
  </si>
  <si>
    <t xml:space="preserve">&lt;1000 ENTERAS </t>
  </si>
  <si>
    <t>213-2026</t>
  </si>
  <si>
    <t>1-2 A - AA  manto</t>
  </si>
  <si>
    <t>214-2026</t>
  </si>
  <si>
    <t>2-4 A - AA</t>
  </si>
  <si>
    <t>SENDAI</t>
  </si>
  <si>
    <t>218-2026A</t>
  </si>
  <si>
    <t xml:space="preserve">1-2 LIMPIO </t>
  </si>
  <si>
    <t>218-2026B</t>
  </si>
  <si>
    <t>MSC CAROLE NX614R</t>
  </si>
  <si>
    <t>EBKG16377153</t>
  </si>
  <si>
    <t>MSC</t>
  </si>
  <si>
    <t>EBKG16377125</t>
  </si>
  <si>
    <t>ECO MARIN 26014N</t>
  </si>
  <si>
    <t>LIMG05144800</t>
  </si>
  <si>
    <t>LIMG05163900</t>
  </si>
  <si>
    <t>ECO MARIN 26016N</t>
  </si>
  <si>
    <t>LIMG05567300</t>
  </si>
  <si>
    <t>CAPE SABLE 617N</t>
  </si>
  <si>
    <t>LEONIDAS Z  618N</t>
  </si>
  <si>
    <t>LIMG05569500</t>
  </si>
  <si>
    <t>LIMG05575900</t>
  </si>
  <si>
    <t>LIMG05162800</t>
  </si>
  <si>
    <t>LIMG05576300</t>
  </si>
  <si>
    <t>ECO MARIN 26016S</t>
  </si>
  <si>
    <t>ECO SIROCCO 26015S</t>
  </si>
  <si>
    <t>CMA CGM EXCELLENCE 0DVOPN1MA</t>
  </si>
  <si>
    <t>LMM0581298</t>
  </si>
  <si>
    <t>LIMG05822400</t>
  </si>
  <si>
    <t>ECO SIROCCO 26017N</t>
  </si>
  <si>
    <t>ECO MARIN 26016N(</t>
  </si>
  <si>
    <t>LIMG05097800</t>
  </si>
  <si>
    <t>ECO SIROCCO 26017S</t>
  </si>
  <si>
    <t>LIMG06389600</t>
  </si>
  <si>
    <t>LEONIDAS Z 618N</t>
  </si>
  <si>
    <t>LIMG06456800</t>
  </si>
  <si>
    <t>LIMG06698900</t>
  </si>
  <si>
    <t>LIMG06699300</t>
  </si>
  <si>
    <t>3</t>
  </si>
  <si>
    <t>Total 3</t>
  </si>
  <si>
    <t>TM</t>
  </si>
  <si>
    <t>COSTO X TM</t>
  </si>
  <si>
    <t>MATERIA PRIMA</t>
  </si>
  <si>
    <t>MANO OBRA</t>
  </si>
  <si>
    <t>ENVASES</t>
  </si>
  <si>
    <t>DESPERDICIOS</t>
  </si>
  <si>
    <t>OTROS</t>
  </si>
  <si>
    <t>CIF DEPRECIACIÓN</t>
  </si>
  <si>
    <t>COSTOS DE PRODUCCIÓN DE MARZO 2025 EN USD</t>
  </si>
  <si>
    <t>ASIGNACIÓN DE COSTOS POR PORCENTAJE</t>
  </si>
  <si>
    <t>2</t>
  </si>
  <si>
    <t>Total 2</t>
  </si>
  <si>
    <t>COSTOS DE PRODUCCIÓN DE FEBRERO 2025 EN USD</t>
  </si>
  <si>
    <t>venta marzo</t>
  </si>
  <si>
    <t>% aplicado nuevo costo materia prima</t>
  </si>
  <si>
    <t>tm vendidas en marzo con nuevo costo materia prima</t>
  </si>
  <si>
    <t>incremento costo</t>
  </si>
  <si>
    <t>venta abril</t>
  </si>
  <si>
    <t>tm vendidas en abril con nuevo costo materia prima</t>
  </si>
  <si>
    <t>Budget</t>
  </si>
  <si>
    <t>Real</t>
  </si>
  <si>
    <t>EBITDA NETO</t>
  </si>
  <si>
    <t>Concepto</t>
  </si>
  <si>
    <t>Enero</t>
  </si>
  <si>
    <t>Febrero</t>
  </si>
  <si>
    <t>Marzo</t>
  </si>
  <si>
    <t>Abril</t>
  </si>
  <si>
    <t>Venta CFR</t>
  </si>
  <si>
    <t>Utilidad Neta</t>
  </si>
  <si>
    <t>Acum Abril venta y rentabilidad por producto</t>
  </si>
  <si>
    <t>Acum Abril venta y rentabilidad por cliente</t>
  </si>
  <si>
    <t>FILETE CONGELADO</t>
  </si>
  <si>
    <t>REJOS CONGELADOS</t>
  </si>
  <si>
    <t>ALAS CONGELADAS</t>
  </si>
  <si>
    <t>FILETE DARUMA</t>
  </si>
  <si>
    <t>REPRODUCTORES</t>
  </si>
  <si>
    <t>NUCAS</t>
  </si>
  <si>
    <t>ALAS COCIDAS</t>
  </si>
  <si>
    <t>Acum 2026</t>
  </si>
  <si>
    <t>TM Materia Prima</t>
  </si>
  <si>
    <t>TM Vendidas PT</t>
  </si>
  <si>
    <t>Venta</t>
  </si>
  <si>
    <t>Margen Neto %</t>
  </si>
  <si>
    <t>PERU FROST - RESUMEN RESULTADOS CONGELADOS 2026 (MILES US$)</t>
  </si>
  <si>
    <t>1. RESULTADOS INTERNOS</t>
  </si>
  <si>
    <t>PERU FROST</t>
  </si>
  <si>
    <t>NUCA</t>
  </si>
  <si>
    <t>REPRODUCTOR</t>
  </si>
  <si>
    <t>TENTACULO</t>
  </si>
  <si>
    <t>Top 15 Exportadores — Productos Congelados (Alas, Filete, Nuca, Tentáculo, Reproductor)</t>
  </si>
  <si>
    <t>KSL S.A.C.</t>
  </si>
  <si>
    <t>Resumen de Precios por TM Peru Frost vs Mercado</t>
  </si>
  <si>
    <t>INDUSTRIA PERUANA</t>
  </si>
  <si>
    <t>Nro</t>
  </si>
  <si>
    <t>Exportador</t>
  </si>
  <si>
    <t>Valor FOB (US$)</t>
  </si>
  <si>
    <t>Precio por TM</t>
  </si>
  <si>
    <t>Industrial Pesquera Santa Monica S.A.</t>
  </si>
  <si>
    <t>Pesquera Hermanos Cordova S.A.C.</t>
  </si>
  <si>
    <t>Oceano Seafood S.A.</t>
  </si>
  <si>
    <t>Productora Andina De Congelados S.R.L.</t>
  </si>
  <si>
    <t>Costa Mira Sociedad Anonima Cerrada</t>
  </si>
  <si>
    <t>Novaperu S.A.C.</t>
  </si>
  <si>
    <t>Peru Frost Sociedad Anonima Cerrada</t>
  </si>
  <si>
    <t>Esmeralda Corp S.A.C.</t>
  </si>
  <si>
    <t>Proveedora De Productos Marinos Sociedad</t>
  </si>
  <si>
    <t>Peruvian Sea Food S.A.</t>
  </si>
  <si>
    <t>Pesquera Supercetus S.A.C.</t>
  </si>
  <si>
    <t>Global Top Food Peru S.A.C.</t>
  </si>
  <si>
    <t>Seafrost S.A.C.</t>
  </si>
  <si>
    <t>Pacific Freezing Company S.A.C.</t>
  </si>
  <si>
    <t>Dexim Srl</t>
  </si>
  <si>
    <t>Inversiones Holding Peru Sociedad Anonim</t>
  </si>
  <si>
    <t>Mik Carpe S.A.C.</t>
  </si>
  <si>
    <t>Pesquera Exalmar S.A.A.</t>
  </si>
  <si>
    <t>Transmarina Del Peru S.A.C.</t>
  </si>
  <si>
    <t>Frigosa S.A.C.</t>
  </si>
  <si>
    <t>Frigosa Sociedad S.A.C.</t>
  </si>
  <si>
    <t>Corporacion Pesquera Del Mar Sociedad An</t>
  </si>
  <si>
    <t>Refrigerados Fisholg &amp; Hijos Sociedad An</t>
  </si>
  <si>
    <t>Top 15 Exportadores — Productos Cocidos (Alas Cocidas, Filete Daruma)</t>
  </si>
  <si>
    <t>2. BENCHMARK INDUSTRIA PERUANA DE CONGELADOS (VERITRADE)</t>
  </si>
  <si>
    <t>COSTOS DE PRODUCCIÓN DE ABRIL 2025 EN USD</t>
  </si>
  <si>
    <t>Total 4</t>
  </si>
  <si>
    <t>POTA ALAS FR C/P C/C 1.0-2.0 ENT BL10 S2</t>
  </si>
  <si>
    <t>POTA FILETE C/M C/T FR &lt; 0.5 AA BL10 S20</t>
  </si>
  <si>
    <t>POTA FILETE C/M C/T FR 0.5 - 1.0 AA BL10</t>
  </si>
  <si>
    <t>POTA FILETE C/M C/T FR 0.5 - 1.0 AAA BL1</t>
  </si>
  <si>
    <t>POTA FILETE C/M C/T FR 1.0 - 2.0 AA BL10</t>
  </si>
  <si>
    <t>POTA FILETE C/M C/T FR 1.0 - 2.0 AAA BL1</t>
  </si>
  <si>
    <t>POTA NUCAS CERRADAS &lt; 0.1 BL10 S20</t>
  </si>
  <si>
    <t>POTA REJOS FR S-S/POR C/UV 0.5 - 1.0 BL1</t>
  </si>
  <si>
    <t>POTA REJOS OR FR LIMPIOS &lt;60 CM BL10 S20</t>
  </si>
  <si>
    <t>POTA TUBO/ALETA EVISC. 1.0 - 1.5 BL10 S2</t>
  </si>
  <si>
    <t>Otros 
Gastos Ventas</t>
  </si>
  <si>
    <t xml:space="preserve">POTA TUBOALETA </t>
  </si>
  <si>
    <t>POTA LABIOS CONGELADOS</t>
  </si>
  <si>
    <t>197-2026B</t>
  </si>
  <si>
    <t>197-2026C</t>
  </si>
  <si>
    <t>197-2026D</t>
  </si>
  <si>
    <t>197-2026E</t>
  </si>
  <si>
    <t>198-2026C</t>
  </si>
  <si>
    <t>198-2026D</t>
  </si>
  <si>
    <t>198-2026E</t>
  </si>
  <si>
    <t>198-2026F</t>
  </si>
  <si>
    <t>199-2026</t>
  </si>
  <si>
    <t>206-2026</t>
  </si>
  <si>
    <t>210-2026B</t>
  </si>
  <si>
    <t>211-2026</t>
  </si>
  <si>
    <t>212-2026</t>
  </si>
  <si>
    <t>215-2026</t>
  </si>
  <si>
    <t>216-2026</t>
  </si>
  <si>
    <t>217-2026</t>
  </si>
  <si>
    <t>220-2026</t>
  </si>
  <si>
    <t>221-2026A</t>
  </si>
  <si>
    <t>222-2026A</t>
  </si>
  <si>
    <t>223-2026</t>
  </si>
  <si>
    <t>224-2026A</t>
  </si>
  <si>
    <t>225-2026</t>
  </si>
  <si>
    <t>227-2026A</t>
  </si>
  <si>
    <t>227-2026B</t>
  </si>
  <si>
    <t>228-2026</t>
  </si>
  <si>
    <t>229-2026A</t>
  </si>
  <si>
    <t>229-2026B</t>
  </si>
  <si>
    <t>229-2026C</t>
  </si>
  <si>
    <t>230-2026</t>
  </si>
  <si>
    <t>234-2026</t>
  </si>
  <si>
    <t>235-2026</t>
  </si>
  <si>
    <t>236-2026</t>
  </si>
  <si>
    <t>237-2026A</t>
  </si>
  <si>
    <t>237-2026B</t>
  </si>
  <si>
    <t>239-2026</t>
  </si>
  <si>
    <t>MAYO</t>
  </si>
  <si>
    <t>TUBOALETA</t>
  </si>
  <si>
    <t>Labios</t>
  </si>
  <si>
    <t xml:space="preserve">1-2 SIN CORTAR </t>
  </si>
  <si>
    <t>&lt;1.5</t>
  </si>
  <si>
    <t xml:space="preserve">GIANT OCEAN FOOD </t>
  </si>
  <si>
    <t>100-300</t>
  </si>
  <si>
    <t>500 - UP</t>
  </si>
  <si>
    <t xml:space="preserve">1-2 A - AA  </t>
  </si>
  <si>
    <t xml:space="preserve">1000 - up </t>
  </si>
  <si>
    <t>TT INTERBIZ</t>
  </si>
  <si>
    <t>Tar</t>
  </si>
  <si>
    <t xml:space="preserve">300-500 SUCIO </t>
  </si>
  <si>
    <t>YANTAI HONGCHANG</t>
  </si>
  <si>
    <t>LYNN</t>
  </si>
  <si>
    <t>300-500 SUCIO eyes off , neck off , beak off , sex leg off,</t>
  </si>
  <si>
    <t>NINGBO JUN TAO</t>
  </si>
  <si>
    <t>Cherry</t>
  </si>
  <si>
    <t>cut from Daruma,plate frozen</t>
  </si>
  <si>
    <t>YANTAI HIZEN INTERNATIONAL</t>
  </si>
  <si>
    <t>Alicia</t>
  </si>
  <si>
    <t xml:space="preserve">500-1000 SUCIO </t>
  </si>
  <si>
    <t>Mawei</t>
  </si>
  <si>
    <t>Xiamen</t>
  </si>
  <si>
    <t>1-2  A-AA</t>
  </si>
  <si>
    <t>Ningbo</t>
  </si>
  <si>
    <t>ZHOUSHAN EAST CHINA</t>
  </si>
  <si>
    <t>WANG</t>
  </si>
  <si>
    <t>1-2 / 0.5-1 AAA</t>
  </si>
  <si>
    <t>ZHEJIANG ZHOUFU</t>
  </si>
  <si>
    <t xml:space="preserve">LONGKOU SANMING </t>
  </si>
  <si>
    <t>Dolly</t>
  </si>
  <si>
    <t>ECO SIROCCO 26019N</t>
  </si>
  <si>
    <t>ECO MARIN 26020S</t>
  </si>
  <si>
    <t>ECO SIROCCO 26021S</t>
  </si>
  <si>
    <t>ECO MARIN 26022S</t>
  </si>
  <si>
    <t>ECO SIROCCO 26019S</t>
  </si>
  <si>
    <t>LIMG07571700</t>
  </si>
  <si>
    <t>LIMG07568600</t>
  </si>
  <si>
    <t>LIMG07572800</t>
  </si>
  <si>
    <t>IZMIT EXPRESS 621N</t>
  </si>
  <si>
    <t>LIMG07569700</t>
  </si>
  <si>
    <t>LIMG07120400</t>
  </si>
  <si>
    <t>ECO MARIN  260220S</t>
  </si>
  <si>
    <t>LIMG07124800</t>
  </si>
  <si>
    <t xml:space="preserve"> LIMG08114800</t>
  </si>
  <si>
    <t xml:space="preserve"> LIMG08415500</t>
  </si>
  <si>
    <t>LIMG08417700</t>
  </si>
  <si>
    <t>LIMG08416600</t>
  </si>
  <si>
    <t>ECO SIROCCO 26021N</t>
  </si>
  <si>
    <t>LIMG08350300</t>
  </si>
  <si>
    <t>CAPE SKAGEN 622N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</si>
</sst>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;[Red]#,##0.00"/>
    <numFmt numFmtId="165" formatCode="_-* #,##0_-;\-* #,##0_-;_-* &quot;-&quot;??_-;_-@_-"/>
    <numFmt numFmtId="166" formatCode="_-* #,##0.000_-;\-* #,##0.000_-;_-* &quot;-&quot;??_-;_-@_-"/>
    <numFmt numFmtId="167" formatCode="_-* #,##0.0_-;\-* #,##0.0_-;_-* &quot;-&quot;??_-;_-@_-"/>
  </numFmts>
  <fonts count="3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Inter"/>
    </font>
    <font>
      <sz val="11"/>
      <color rgb="FF242424"/>
      <name val="Aptos Narrow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</font>
    <font>
      <sz val="11"/>
      <color theme="1"/>
      <name val="Aptos Narrow"/>
      <family val="2"/>
    </font>
    <font>
      <sz val="12"/>
      <color rgb="FF242424"/>
      <name val="Segoe UI"/>
      <family val="2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i/>
      <sz val="11"/>
      <color rgb="FFFF0000"/>
      <name val="Aptos Narrow"/>
      <family val="2"/>
      <scheme val="minor"/>
    </font>
    <font>
      <sz val="10"/>
      <color rgb="FFFF0000"/>
      <name val="Calibri"/>
      <family val="2"/>
    </font>
    <font>
      <sz val="8"/>
      <name val="Aptos Narrow"/>
      <family val="2"/>
      <scheme val="minor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249977111117893"/>
        <bgColor theme="9"/>
      </patternFill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4">
    <xf numFmtId="0" fontId="0" fillId="0" borderId="0" xfId="0"/>
    <xf numFmtId="0" fontId="0" fillId="0" borderId="0" xfId="0" applyAlignment="1">
      <alignment horizontal="left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/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15" fillId="0" borderId="1" xfId="1" applyNumberFormat="1" applyFont="1" applyBorder="1" applyAlignment="1">
      <alignment vertical="center" wrapText="1"/>
    </xf>
    <xf numFmtId="165" fontId="16" fillId="0" borderId="1" xfId="1" applyNumberFormat="1" applyFont="1" applyBorder="1" applyAlignment="1">
      <alignment horizontal="left" vertical="center" wrapText="1" indent="1" readingOrder="1"/>
    </xf>
    <xf numFmtId="165" fontId="0" fillId="0" borderId="1" xfId="1" applyNumberFormat="1" applyFont="1" applyBorder="1"/>
    <xf numFmtId="165" fontId="15" fillId="0" borderId="1" xfId="1" applyNumberFormat="1" applyFont="1" applyBorder="1" applyAlignment="1">
      <alignment horizontal="right" vertical="center" wrapText="1"/>
    </xf>
    <xf numFmtId="165" fontId="16" fillId="0" borderId="1" xfId="1" applyNumberFormat="1" applyFont="1" applyBorder="1" applyAlignment="1">
      <alignment horizontal="right" vertical="center" wrapText="1" indent="1" readingOrder="1"/>
    </xf>
    <xf numFmtId="165" fontId="1" fillId="0" borderId="1" xfId="1" applyNumberFormat="1" applyFont="1" applyBorder="1" applyAlignment="1">
      <alignment horizontal="right"/>
    </xf>
    <xf numFmtId="165" fontId="16" fillId="0" borderId="1" xfId="1" applyNumberFormat="1" applyFont="1" applyBorder="1" applyAlignment="1">
      <alignment horizontal="right" vertical="center" wrapText="1" readingOrder="1"/>
    </xf>
    <xf numFmtId="165" fontId="0" fillId="0" borderId="1" xfId="1" applyNumberFormat="1" applyFont="1" applyBorder="1" applyAlignment="1">
      <alignment horizontal="right"/>
    </xf>
    <xf numFmtId="166" fontId="15" fillId="0" borderId="1" xfId="1" applyNumberFormat="1" applyFont="1" applyBorder="1" applyAlignment="1">
      <alignment horizontal="right" vertical="center" wrapText="1"/>
    </xf>
    <xf numFmtId="166" fontId="16" fillId="0" borderId="1" xfId="1" applyNumberFormat="1" applyFont="1" applyBorder="1" applyAlignment="1">
      <alignment horizontal="right" vertical="center" wrapText="1" indent="1" readingOrder="1"/>
    </xf>
    <xf numFmtId="0" fontId="0" fillId="0" borderId="2" xfId="0" applyBorder="1"/>
    <xf numFmtId="16" fontId="0" fillId="0" borderId="1" xfId="0" applyNumberFormat="1" applyBorder="1"/>
    <xf numFmtId="43" fontId="1" fillId="0" borderId="1" xfId="1" applyFont="1" applyFill="1" applyBorder="1"/>
    <xf numFmtId="0" fontId="0" fillId="0" borderId="1" xfId="0" applyBorder="1" applyAlignment="1">
      <alignment horizontal="center" vertical="center"/>
    </xf>
    <xf numFmtId="1" fontId="1" fillId="0" borderId="1" xfId="1" applyNumberFormat="1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43" fontId="0" fillId="0" borderId="1" xfId="1" applyFont="1" applyFill="1" applyBorder="1"/>
    <xf numFmtId="0" fontId="0" fillId="0" borderId="1" xfId="0" applyBorder="1" applyAlignment="1">
      <alignment horizontal="center"/>
    </xf>
    <xf numFmtId="0" fontId="1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1" applyFont="1" applyFill="1" applyBorder="1"/>
    <xf numFmtId="1" fontId="6" fillId="0" borderId="1" xfId="1" applyNumberFormat="1" applyFont="1" applyFill="1" applyBorder="1" applyAlignment="1">
      <alignment horizontal="right"/>
    </xf>
    <xf numFmtId="43" fontId="4" fillId="0" borderId="1" xfId="1" applyFont="1" applyFill="1" applyBorder="1"/>
    <xf numFmtId="43" fontId="2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165" fontId="0" fillId="0" borderId="1" xfId="1" applyNumberFormat="1" applyFont="1" applyFill="1" applyBorder="1"/>
    <xf numFmtId="165" fontId="4" fillId="0" borderId="1" xfId="1" applyNumberFormat="1" applyFont="1" applyFill="1" applyBorder="1"/>
    <xf numFmtId="165" fontId="1" fillId="0" borderId="1" xfId="1" applyNumberFormat="1" applyFont="1" applyFill="1" applyBorder="1"/>
    <xf numFmtId="43" fontId="2" fillId="2" borderId="1" xfId="1" applyFont="1" applyFill="1" applyBorder="1" applyAlignment="1">
      <alignment horizontal="center" vertical="center" wrapText="1"/>
    </xf>
    <xf numFmtId="4" fontId="4" fillId="0" borderId="1" xfId="1" applyNumberFormat="1" applyFont="1" applyFill="1" applyBorder="1"/>
    <xf numFmtId="0" fontId="0" fillId="0" borderId="3" xfId="0" applyBorder="1"/>
    <xf numFmtId="165" fontId="4" fillId="5" borderId="4" xfId="1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5" fontId="4" fillId="0" borderId="1" xfId="0" applyNumberFormat="1" applyFont="1" applyBorder="1"/>
    <xf numFmtId="0" fontId="4" fillId="0" borderId="0" xfId="0" applyFont="1"/>
    <xf numFmtId="0" fontId="15" fillId="0" borderId="6" xfId="0" applyFont="1" applyBorder="1" applyAlignment="1">
      <alignment vertical="center" wrapText="1"/>
    </xf>
    <xf numFmtId="165" fontId="15" fillId="0" borderId="0" xfId="1" applyNumberFormat="1" applyFont="1" applyBorder="1" applyAlignment="1">
      <alignment horizontal="right" vertical="center" wrapText="1"/>
    </xf>
    <xf numFmtId="165" fontId="0" fillId="0" borderId="0" xfId="1" applyNumberFormat="1" applyFont="1"/>
    <xf numFmtId="165" fontId="16" fillId="0" borderId="0" xfId="1" applyNumberFormat="1" applyFont="1" applyBorder="1" applyAlignment="1">
      <alignment horizontal="right" vertical="center" wrapText="1" readingOrder="1"/>
    </xf>
    <xf numFmtId="165" fontId="0" fillId="0" borderId="0" xfId="0" applyNumberFormat="1"/>
    <xf numFmtId="0" fontId="8" fillId="0" borderId="1" xfId="0" applyFont="1" applyBorder="1"/>
    <xf numFmtId="1" fontId="0" fillId="0" borderId="1" xfId="0" applyNumberFormat="1" applyBorder="1"/>
    <xf numFmtId="164" fontId="4" fillId="0" borderId="1" xfId="0" applyNumberFormat="1" applyFont="1" applyBorder="1"/>
    <xf numFmtId="0" fontId="6" fillId="0" borderId="1" xfId="0" applyFont="1" applyBorder="1" applyAlignment="1">
      <alignment horizontal="left"/>
    </xf>
    <xf numFmtId="43" fontId="1" fillId="0" borderId="2" xfId="1" applyFont="1" applyFill="1" applyBorder="1"/>
    <xf numFmtId="165" fontId="1" fillId="0" borderId="2" xfId="1" applyNumberFormat="1" applyFont="1" applyFill="1" applyBorder="1"/>
    <xf numFmtId="1" fontId="6" fillId="0" borderId="1" xfId="0" applyNumberFormat="1" applyFont="1" applyBorder="1"/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" fontId="6" fillId="0" borderId="1" xfId="1" applyNumberFormat="1" applyFont="1" applyFill="1" applyBorder="1"/>
    <xf numFmtId="4" fontId="4" fillId="0" borderId="1" xfId="0" applyNumberFormat="1" applyFont="1" applyBorder="1"/>
    <xf numFmtId="0" fontId="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9" fontId="0" fillId="0" borderId="0" xfId="2" applyFont="1"/>
    <xf numFmtId="9" fontId="0" fillId="0" borderId="0" xfId="2" applyFont="1" applyAlignment="1">
      <alignment horizontal="center"/>
    </xf>
    <xf numFmtId="43" fontId="2" fillId="6" borderId="1" xfId="1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horizontal="center" vertical="center"/>
    </xf>
    <xf numFmtId="0" fontId="0" fillId="0" borderId="0" xfId="0" pivotButton="1"/>
    <xf numFmtId="0" fontId="4" fillId="0" borderId="0" xfId="0" applyFont="1" applyAlignment="1">
      <alignment horizontal="left"/>
    </xf>
    <xf numFmtId="165" fontId="4" fillId="0" borderId="0" xfId="0" applyNumberFormat="1" applyFont="1"/>
    <xf numFmtId="0" fontId="23" fillId="0" borderId="0" xfId="0" applyFont="1" applyAlignment="1">
      <alignment horizontal="left"/>
    </xf>
    <xf numFmtId="165" fontId="23" fillId="0" borderId="0" xfId="0" applyNumberFormat="1" applyFont="1"/>
    <xf numFmtId="0" fontId="4" fillId="7" borderId="8" xfId="0" applyFont="1" applyFill="1" applyBorder="1" applyAlignment="1">
      <alignment horizontal="center"/>
    </xf>
    <xf numFmtId="165" fontId="4" fillId="0" borderId="0" xfId="1" applyNumberFormat="1" applyFont="1"/>
    <xf numFmtId="9" fontId="4" fillId="0" borderId="0" xfId="2" applyFont="1"/>
    <xf numFmtId="9" fontId="4" fillId="0" borderId="0" xfId="2" applyFont="1" applyAlignment="1">
      <alignment horizontal="center"/>
    </xf>
    <xf numFmtId="0" fontId="0" fillId="5" borderId="0" xfId="0" applyFill="1"/>
    <xf numFmtId="0" fontId="4" fillId="5" borderId="0" xfId="0" applyFont="1" applyFill="1" applyAlignment="1">
      <alignment horizontal="center"/>
    </xf>
    <xf numFmtId="0" fontId="24" fillId="0" borderId="0" xfId="0" applyFont="1"/>
    <xf numFmtId="43" fontId="25" fillId="3" borderId="1" xfId="1" applyFont="1" applyFill="1" applyBorder="1" applyAlignment="1">
      <alignment horizontal="center" vertical="center" wrapText="1"/>
    </xf>
    <xf numFmtId="165" fontId="4" fillId="0" borderId="1" xfId="1" applyNumberFormat="1" applyFont="1" applyBorder="1"/>
    <xf numFmtId="9" fontId="23" fillId="0" borderId="3" xfId="2" applyFont="1" applyBorder="1" applyAlignment="1">
      <alignment horizontal="center"/>
    </xf>
    <xf numFmtId="9" fontId="23" fillId="0" borderId="1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9" fontId="23" fillId="0" borderId="1" xfId="2" applyFont="1" applyFill="1" applyBorder="1" applyAlignment="1">
      <alignment horizontal="center"/>
    </xf>
    <xf numFmtId="165" fontId="4" fillId="0" borderId="2" xfId="1" applyNumberFormat="1" applyFont="1" applyFill="1" applyBorder="1"/>
    <xf numFmtId="0" fontId="0" fillId="5" borderId="4" xfId="0" applyFill="1" applyBorder="1"/>
    <xf numFmtId="0" fontId="8" fillId="0" borderId="1" xfId="0" applyFont="1" applyBorder="1" applyAlignment="1">
      <alignment vertical="center"/>
    </xf>
    <xf numFmtId="9" fontId="23" fillId="0" borderId="7" xfId="2" applyFont="1" applyFill="1" applyBorder="1" applyAlignment="1">
      <alignment horizontal="center"/>
    </xf>
    <xf numFmtId="0" fontId="22" fillId="0" borderId="1" xfId="0" applyFont="1" applyBorder="1"/>
    <xf numFmtId="16" fontId="0" fillId="0" borderId="1" xfId="0" applyNumberFormat="1" applyBorder="1" applyAlignment="1">
      <alignment horizontal="center"/>
    </xf>
    <xf numFmtId="43" fontId="1" fillId="0" borderId="1" xfId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9" fontId="4" fillId="5" borderId="4" xfId="2" applyFont="1" applyFill="1" applyBorder="1" applyAlignment="1">
      <alignment horizontal="center"/>
    </xf>
    <xf numFmtId="43" fontId="2" fillId="9" borderId="1" xfId="1" applyFont="1" applyFill="1" applyBorder="1" applyAlignment="1">
      <alignment horizontal="center" vertical="center" wrapText="1"/>
    </xf>
    <xf numFmtId="43" fontId="0" fillId="0" borderId="0" xfId="0" applyNumberFormat="1"/>
    <xf numFmtId="165" fontId="0" fillId="8" borderId="1" xfId="1" applyNumberFormat="1" applyFont="1" applyFill="1" applyBorder="1"/>
    <xf numFmtId="43" fontId="0" fillId="0" borderId="0" xfId="1" applyFont="1"/>
    <xf numFmtId="165" fontId="0" fillId="0" borderId="9" xfId="1" applyNumberFormat="1" applyFont="1" applyFill="1" applyBorder="1" applyAlignment="1">
      <alignment vertical="top"/>
    </xf>
    <xf numFmtId="4" fontId="0" fillId="0" borderId="0" xfId="0" applyNumberFormat="1"/>
    <xf numFmtId="43" fontId="0" fillId="0" borderId="1" xfId="1" applyFont="1" applyBorder="1"/>
    <xf numFmtId="9" fontId="23" fillId="0" borderId="7" xfId="2" applyFont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9" fontId="1" fillId="0" borderId="0" xfId="2" applyFont="1"/>
    <xf numFmtId="165" fontId="4" fillId="12" borderId="0" xfId="0" applyNumberFormat="1" applyFont="1" applyFill="1"/>
    <xf numFmtId="167" fontId="4" fillId="5" borderId="4" xfId="1" applyNumberFormat="1" applyFont="1" applyFill="1" applyBorder="1" applyAlignment="1">
      <alignment horizontal="center"/>
    </xf>
    <xf numFmtId="0" fontId="0" fillId="0" borderId="5" xfId="0" applyBorder="1"/>
    <xf numFmtId="43" fontId="0" fillId="0" borderId="5" xfId="0" applyNumberFormat="1" applyBorder="1"/>
    <xf numFmtId="0" fontId="26" fillId="0" borderId="0" xfId="0" applyFont="1" applyAlignment="1">
      <alignment horizontal="left" indent="2"/>
    </xf>
    <xf numFmtId="43" fontId="0" fillId="0" borderId="5" xfId="1" applyFont="1" applyBorder="1"/>
    <xf numFmtId="0" fontId="27" fillId="0" borderId="0" xfId="0" applyFont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16" fontId="3" fillId="11" borderId="1" xfId="0" applyNumberFormat="1" applyFont="1" applyFill="1" applyBorder="1" applyAlignment="1">
      <alignment horizontal="center"/>
    </xf>
    <xf numFmtId="43" fontId="3" fillId="11" borderId="1" xfId="1" applyFont="1" applyFill="1" applyBorder="1" applyAlignment="1">
      <alignment horizontal="center"/>
    </xf>
    <xf numFmtId="2" fontId="28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/>
    <xf numFmtId="43" fontId="3" fillId="11" borderId="1" xfId="1" applyFont="1" applyFill="1" applyBorder="1"/>
    <xf numFmtId="164" fontId="27" fillId="11" borderId="1" xfId="0" applyNumberFormat="1" applyFont="1" applyFill="1" applyBorder="1"/>
    <xf numFmtId="43" fontId="27" fillId="11" borderId="1" xfId="1" applyFont="1" applyFill="1" applyBorder="1"/>
    <xf numFmtId="165" fontId="3" fillId="11" borderId="1" xfId="1" applyNumberFormat="1" applyFont="1" applyFill="1" applyBorder="1"/>
    <xf numFmtId="165" fontId="27" fillId="11" borderId="1" xfId="1" applyNumberFormat="1" applyFont="1" applyFill="1" applyBorder="1"/>
    <xf numFmtId="9" fontId="29" fillId="11" borderId="1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165" fontId="0" fillId="0" borderId="4" xfId="1" applyNumberFormat="1" applyFont="1" applyBorder="1"/>
    <xf numFmtId="1" fontId="3" fillId="11" borderId="1" xfId="0" applyNumberFormat="1" applyFont="1" applyFill="1" applyBorder="1"/>
    <xf numFmtId="0" fontId="30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left"/>
    </xf>
    <xf numFmtId="0" fontId="3" fillId="11" borderId="2" xfId="0" applyFont="1" applyFill="1" applyBorder="1"/>
    <xf numFmtId="0" fontId="8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/>
    <xf numFmtId="43" fontId="0" fillId="0" borderId="1" xfId="1" applyFont="1" applyFill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/>
    <xf numFmtId="164" fontId="0" fillId="0" borderId="1" xfId="0" applyNumberFormat="1" applyBorder="1"/>
    <xf numFmtId="43" fontId="3" fillId="11" borderId="2" xfId="1" applyFont="1" applyFill="1" applyBorder="1"/>
    <xf numFmtId="165" fontId="3" fillId="11" borderId="2" xfId="1" applyNumberFormat="1" applyFont="1" applyFill="1" applyBorder="1"/>
    <xf numFmtId="165" fontId="27" fillId="11" borderId="2" xfId="1" applyNumberFormat="1" applyFont="1" applyFill="1" applyBorder="1"/>
    <xf numFmtId="0" fontId="4" fillId="0" borderId="0" xfId="0" applyFont="1" applyAlignment="1">
      <alignment horizontal="center"/>
    </xf>
    <xf numFmtId="0" fontId="4" fillId="7" borderId="0" xfId="0" applyFont="1" applyFill="1"/>
    <xf numFmtId="0" fontId="0" fillId="0" borderId="0" xfId="0" applyAlignment="1">
      <alignment vertical="top"/>
    </xf>
    <xf numFmtId="0" fontId="0" fillId="0" borderId="7" xfId="0" applyBorder="1"/>
    <xf numFmtId="0" fontId="32" fillId="5" borderId="1" xfId="0" applyFont="1" applyFill="1" applyBorder="1" applyAlignment="1">
      <alignment horizontal="center" vertical="center" wrapText="1"/>
    </xf>
    <xf numFmtId="43" fontId="15" fillId="0" borderId="1" xfId="1" applyFont="1" applyBorder="1" applyAlignment="1">
      <alignment horizontal="right" vertical="center" wrapText="1"/>
    </xf>
    <xf numFmtId="43" fontId="16" fillId="0" borderId="1" xfId="1" applyFont="1" applyBorder="1" applyAlignment="1">
      <alignment horizontal="right" vertical="center" wrapText="1" indent="1" readingOrder="1"/>
    </xf>
    <xf numFmtId="165" fontId="3" fillId="0" borderId="0" xfId="1" applyNumberFormat="1" applyFont="1"/>
    <xf numFmtId="16" fontId="0" fillId="0" borderId="5" xfId="0" applyNumberFormat="1" applyBorder="1" applyAlignment="1">
      <alignment horizontal="center"/>
    </xf>
    <xf numFmtId="43" fontId="1" fillId="0" borderId="5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43" fontId="1" fillId="0" borderId="5" xfId="1" applyFont="1" applyFill="1" applyBorder="1"/>
    <xf numFmtId="164" fontId="4" fillId="0" borderId="5" xfId="0" applyNumberFormat="1" applyFont="1" applyBorder="1"/>
    <xf numFmtId="43" fontId="6" fillId="0" borderId="5" xfId="1" applyFont="1" applyFill="1" applyBorder="1"/>
    <xf numFmtId="43" fontId="4" fillId="0" borderId="5" xfId="1" applyFont="1" applyFill="1" applyBorder="1"/>
    <xf numFmtId="1" fontId="6" fillId="0" borderId="5" xfId="0" applyNumberFormat="1" applyFont="1" applyBorder="1"/>
    <xf numFmtId="0" fontId="8" fillId="0" borderId="5" xfId="0" applyFont="1" applyBorder="1"/>
    <xf numFmtId="0" fontId="9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/>
    </xf>
    <xf numFmtId="0" fontId="6" fillId="0" borderId="5" xfId="0" applyFont="1" applyBorder="1"/>
    <xf numFmtId="43" fontId="1" fillId="0" borderId="0" xfId="1" applyFont="1" applyFill="1" applyBorder="1"/>
    <xf numFmtId="165" fontId="1" fillId="0" borderId="0" xfId="1" applyNumberFormat="1" applyFont="1" applyFill="1" applyBorder="1"/>
    <xf numFmtId="165" fontId="4" fillId="0" borderId="0" xfId="1" applyNumberFormat="1" applyFont="1" applyFill="1" applyBorder="1"/>
    <xf numFmtId="9" fontId="23" fillId="0" borderId="5" xfId="2" applyFont="1" applyFill="1" applyBorder="1" applyAlignment="1">
      <alignment horizontal="center"/>
    </xf>
    <xf numFmtId="165" fontId="0" fillId="0" borderId="5" xfId="1" applyNumberFormat="1" applyFont="1" applyFill="1" applyBorder="1"/>
    <xf numFmtId="165" fontId="4" fillId="0" borderId="5" xfId="1" applyNumberFormat="1" applyFont="1" applyFill="1" applyBorder="1"/>
    <xf numFmtId="0" fontId="12" fillId="11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0" borderId="1" xfId="1" applyNumberFormat="1" applyFont="1" applyBorder="1" applyAlignment="1">
      <alignment vertical="top"/>
    </xf>
    <xf numFmtId="165" fontId="0" fillId="10" borderId="0" xfId="1" applyNumberFormat="1" applyFont="1" applyFill="1" applyBorder="1" applyAlignment="1">
      <alignment vertical="top"/>
    </xf>
    <xf numFmtId="165" fontId="0" fillId="0" borderId="0" xfId="1" applyNumberFormat="1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165" fontId="4" fillId="0" borderId="1" xfId="1" applyNumberFormat="1" applyFont="1" applyBorder="1" applyAlignment="1">
      <alignment vertical="top"/>
    </xf>
    <xf numFmtId="0" fontId="33" fillId="7" borderId="1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0" fontId="4" fillId="0" borderId="0" xfId="0" applyFont="1" applyAlignment="1">
      <alignment horizontal="left" vertical="top"/>
    </xf>
    <xf numFmtId="9" fontId="0" fillId="0" borderId="1" xfId="2" applyFont="1" applyBorder="1" applyAlignment="1">
      <alignment horizontal="center" vertical="top"/>
    </xf>
    <xf numFmtId="9" fontId="0" fillId="0" borderId="1" xfId="2" applyFont="1" applyBorder="1" applyAlignment="1">
      <alignment horizontal="center"/>
    </xf>
    <xf numFmtId="9" fontId="4" fillId="0" borderId="1" xfId="2" applyFont="1" applyBorder="1" applyAlignment="1">
      <alignment horizontal="center" vertical="top"/>
    </xf>
    <xf numFmtId="9" fontId="4" fillId="0" borderId="1" xfId="2" applyFont="1" applyBorder="1" applyAlignment="1">
      <alignment horizontal="center"/>
    </xf>
    <xf numFmtId="0" fontId="0" fillId="17" borderId="1" xfId="0" applyFill="1" applyBorder="1" applyAlignment="1">
      <alignment horizontal="center" vertical="top"/>
    </xf>
    <xf numFmtId="0" fontId="0" fillId="14" borderId="1" xfId="0" applyFill="1" applyBorder="1" applyAlignment="1">
      <alignment horizontal="center" vertical="top"/>
    </xf>
    <xf numFmtId="0" fontId="0" fillId="15" borderId="1" xfId="0" applyFill="1" applyBorder="1" applyAlignment="1">
      <alignment horizontal="center" vertical="top"/>
    </xf>
    <xf numFmtId="0" fontId="0" fillId="16" borderId="1" xfId="0" applyFill="1" applyBorder="1" applyAlignment="1">
      <alignment horizontal="center" vertical="top"/>
    </xf>
    <xf numFmtId="0" fontId="0" fillId="12" borderId="1" xfId="0" applyFill="1" applyBorder="1" applyAlignment="1">
      <alignment horizontal="center" vertical="top"/>
    </xf>
    <xf numFmtId="0" fontId="0" fillId="18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4" fillId="0" borderId="1" xfId="0" applyFont="1" applyBorder="1"/>
    <xf numFmtId="0" fontId="0" fillId="11" borderId="1" xfId="0" applyFill="1" applyBorder="1" applyAlignment="1">
      <alignment horizontal="center" vertical="center"/>
    </xf>
    <xf numFmtId="164" fontId="27" fillId="5" borderId="1" xfId="0" applyNumberFormat="1" applyFont="1" applyFill="1" applyBorder="1"/>
    <xf numFmtId="43" fontId="4" fillId="7" borderId="10" xfId="0" applyNumberFormat="1" applyFont="1" applyFill="1" applyBorder="1"/>
    <xf numFmtId="4" fontId="27" fillId="5" borderId="1" xfId="0" applyNumberFormat="1" applyFont="1" applyFill="1" applyBorder="1"/>
    <xf numFmtId="165" fontId="27" fillId="5" borderId="1" xfId="1" applyNumberFormat="1" applyFont="1" applyFill="1" applyBorder="1"/>
    <xf numFmtId="165" fontId="27" fillId="5" borderId="2" xfId="1" applyNumberFormat="1" applyFont="1" applyFill="1" applyBorder="1"/>
    <xf numFmtId="9" fontId="0" fillId="0" borderId="0" xfId="0" applyNumberFormat="1"/>
    <xf numFmtId="0" fontId="0" fillId="0" borderId="0" xfId="0" applyAlignment="1">
      <alignment horizontal="right"/>
    </xf>
    <xf numFmtId="165" fontId="2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35" fillId="0" borderId="0" xfId="2" applyFont="1" applyAlignment="1">
      <alignment horizontal="center"/>
    </xf>
    <xf numFmtId="9" fontId="3" fillId="0" borderId="0" xfId="0" applyNumberFormat="1" applyFont="1" applyAlignment="1">
      <alignment horizontal="center"/>
    </xf>
    <xf numFmtId="43" fontId="0" fillId="0" borderId="0" xfId="1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/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7" fontId="4" fillId="0" borderId="16" xfId="0" applyNumberFormat="1" applyFont="1" applyBorder="1" applyAlignment="1">
      <alignment horizontal="center"/>
    </xf>
    <xf numFmtId="0" fontId="24" fillId="0" borderId="0" xfId="0" applyFont="1" applyAlignment="1">
      <alignment horizontal="left"/>
    </xf>
    <xf numFmtId="10" fontId="0" fillId="0" borderId="0" xfId="0" applyNumberFormat="1"/>
    <xf numFmtId="0" fontId="2" fillId="19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65" fontId="4" fillId="0" borderId="0" xfId="1" applyNumberFormat="1" applyFont="1" applyBorder="1"/>
    <xf numFmtId="165" fontId="4" fillId="0" borderId="9" xfId="1" applyNumberFormat="1" applyFont="1" applyBorder="1"/>
    <xf numFmtId="3" fontId="4" fillId="0" borderId="0" xfId="1" applyNumberFormat="1" applyFont="1" applyBorder="1"/>
    <xf numFmtId="3" fontId="4" fillId="0" borderId="9" xfId="1" applyNumberFormat="1" applyFont="1" applyBorder="1"/>
    <xf numFmtId="0" fontId="4" fillId="0" borderId="12" xfId="0" applyFont="1" applyBorder="1" applyAlignment="1">
      <alignment horizontal="center"/>
    </xf>
    <xf numFmtId="9" fontId="4" fillId="0" borderId="13" xfId="2" applyFont="1" applyBorder="1" applyAlignment="1">
      <alignment horizontal="right"/>
    </xf>
    <xf numFmtId="9" fontId="4" fillId="0" borderId="14" xfId="2" applyFont="1" applyBorder="1" applyAlignment="1">
      <alignment horizontal="right"/>
    </xf>
    <xf numFmtId="0" fontId="4" fillId="20" borderId="1" xfId="0" applyFont="1" applyFill="1" applyBorder="1" applyAlignment="1">
      <alignment horizontal="center"/>
    </xf>
    <xf numFmtId="0" fontId="4" fillId="20" borderId="1" xfId="0" applyFont="1" applyFill="1" applyBorder="1"/>
    <xf numFmtId="165" fontId="4" fillId="20" borderId="1" xfId="1" applyNumberFormat="1" applyFont="1" applyFill="1" applyBorder="1"/>
    <xf numFmtId="0" fontId="0" fillId="0" borderId="0" xfId="0" applyAlignment="1">
      <alignment horizontal="left" vertical="top"/>
    </xf>
    <xf numFmtId="165" fontId="0" fillId="0" borderId="0" xfId="0" applyNumberFormat="1" applyAlignment="1">
      <alignment vertical="top"/>
    </xf>
    <xf numFmtId="0" fontId="4" fillId="7" borderId="10" xfId="0" applyFont="1" applyFill="1" applyBorder="1" applyAlignment="1">
      <alignment horizontal="left" vertical="top"/>
    </xf>
    <xf numFmtId="165" fontId="4" fillId="7" borderId="10" xfId="0" applyNumberFormat="1" applyFont="1" applyFill="1" applyBorder="1" applyAlignment="1">
      <alignment vertical="top"/>
    </xf>
    <xf numFmtId="0" fontId="33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12" borderId="0" xfId="0" applyFont="1" applyFill="1" applyAlignment="1">
      <alignment horizontal="left"/>
    </xf>
    <xf numFmtId="3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114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ill>
        <patternFill patternType="solid">
          <bgColor theme="5" tint="0.59999389629810485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Ventas y Utilidad Neta</a:t>
            </a:r>
            <a:r>
              <a:rPr lang="es-PE" sz="1200" b="1" baseline="0"/>
              <a:t> </a:t>
            </a:r>
            <a:r>
              <a:rPr lang="es-PE" sz="1200" b="1"/>
              <a:t>Mensual 2026 </a:t>
            </a:r>
          </a:p>
          <a:p>
            <a:pPr>
              <a:defRPr sz="1200" b="1"/>
            </a:pPr>
            <a:r>
              <a:rPr lang="es-PE" sz="1200" b="1"/>
              <a:t>(Miles 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TD!$AF$5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TD!$AG$4:$AJ$4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TD!$AG$5:$AJ$5</c:f>
              <c:numCache>
                <c:formatCode>_-* #,##0_-;\-* #,##0_-;_-* "-"??_-;_-@_-</c:formatCode>
                <c:ptCount val="4"/>
                <c:pt idx="0">
                  <c:v>564.61527999999998</c:v>
                </c:pt>
                <c:pt idx="1">
                  <c:v>2769.8245000000002</c:v>
                </c:pt>
                <c:pt idx="2">
                  <c:v>3896.41831</c:v>
                </c:pt>
                <c:pt idx="3">
                  <c:v>4888.92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9-4F83-9151-46139AC6AEBF}"/>
            </c:ext>
          </c:extLst>
        </c:ser>
        <c:ser>
          <c:idx val="1"/>
          <c:order val="1"/>
          <c:tx>
            <c:strRef>
              <c:f>TD!$AF$6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4.19847075886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C9-4F83-9151-46139AC6AEBF}"/>
                </c:ext>
              </c:extLst>
            </c:dLbl>
            <c:dLbl>
              <c:idx val="1"/>
              <c:layout>
                <c:manualLayout>
                  <c:x val="-9.0608520225989325E-17"/>
                  <c:y val="-2.29007495938272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C9-4F83-9151-46139AC6AEBF}"/>
                </c:ext>
              </c:extLst>
            </c:dLbl>
            <c:dLbl>
              <c:idx val="2"/>
              <c:layout>
                <c:manualLayout>
                  <c:x val="0"/>
                  <c:y val="-2.67175411927983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C9-4F83-9151-46139AC6AE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TD!$AG$4:$AJ$4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TD!$AG$6:$AJ$6</c:f>
              <c:numCache>
                <c:formatCode>_-* #,##0_-;\-* #,##0_-;_-* "-"??_-;_-@_-</c:formatCode>
                <c:ptCount val="4"/>
                <c:pt idx="0">
                  <c:v>-96.824986380864743</c:v>
                </c:pt>
                <c:pt idx="1">
                  <c:v>-535.23678810018885</c:v>
                </c:pt>
                <c:pt idx="2">
                  <c:v>-326.64927033714383</c:v>
                </c:pt>
                <c:pt idx="3">
                  <c:v>89.405430429645392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C9-4F83-9151-46139AC6A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267135"/>
        <c:axId val="531263775"/>
      </c:barChart>
      <c:catAx>
        <c:axId val="53126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3775"/>
        <c:crosses val="autoZero"/>
        <c:auto val="1"/>
        <c:lblAlgn val="ctr"/>
        <c:lblOffset val="100"/>
        <c:noMultiLvlLbl val="0"/>
      </c:catAx>
      <c:valAx>
        <c:axId val="53126377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 y Utilidad Acumulada Abril por Producto</a:t>
            </a:r>
            <a:r>
              <a:rPr lang="es-PE" sz="1200" b="1" baseline="0"/>
              <a:t> (Miles US$)</a:t>
            </a:r>
            <a:endParaRPr lang="es-PE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TD!$AG$11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TD!$AF$12:$AF$19</c:f>
              <c:strCache>
                <c:ptCount val="8"/>
                <c:pt idx="0">
                  <c:v>FILETE CONGELADO</c:v>
                </c:pt>
                <c:pt idx="1">
                  <c:v>REJOS CONGELADOS</c:v>
                </c:pt>
                <c:pt idx="2">
                  <c:v>ALAS CONGELADAS</c:v>
                </c:pt>
                <c:pt idx="3">
                  <c:v>FILETE DARUMA</c:v>
                </c:pt>
                <c:pt idx="4">
                  <c:v>REPRODUCTORES</c:v>
                </c:pt>
                <c:pt idx="5">
                  <c:v>NUCAS</c:v>
                </c:pt>
                <c:pt idx="6">
                  <c:v>ALAS COCIDAS</c:v>
                </c:pt>
                <c:pt idx="7">
                  <c:v>OTROS</c:v>
                </c:pt>
              </c:strCache>
            </c:strRef>
          </c:cat>
          <c:val>
            <c:numRef>
              <c:f>TD!$AG$12:$AG$19</c:f>
              <c:numCache>
                <c:formatCode>_-* #,##0_-;\-* #,##0_-;_-* "-"??_-;_-@_-</c:formatCode>
                <c:ptCount val="8"/>
                <c:pt idx="0">
                  <c:v>3148.23</c:v>
                </c:pt>
                <c:pt idx="1">
                  <c:v>2631.8490000000002</c:v>
                </c:pt>
                <c:pt idx="2">
                  <c:v>2273.4270000000001</c:v>
                </c:pt>
                <c:pt idx="3">
                  <c:v>1927.8</c:v>
                </c:pt>
                <c:pt idx="4">
                  <c:v>599.40499999999997</c:v>
                </c:pt>
                <c:pt idx="5">
                  <c:v>514.83000000000004</c:v>
                </c:pt>
                <c:pt idx="6">
                  <c:v>384.2577</c:v>
                </c:pt>
                <c:pt idx="7">
                  <c:v>420.26689000000005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2-4BBA-A0AE-E5E9AAB07A48}"/>
            </c:ext>
          </c:extLst>
        </c:ser>
        <c:ser>
          <c:idx val="1"/>
          <c:order val="1"/>
          <c:tx>
            <c:strRef>
              <c:f>TD!$AH$11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TD!$AF$12:$AF$19</c:f>
              <c:strCache>
                <c:ptCount val="8"/>
                <c:pt idx="0">
                  <c:v>FILETE CONGELADO</c:v>
                </c:pt>
                <c:pt idx="1">
                  <c:v>REJOS CONGELADOS</c:v>
                </c:pt>
                <c:pt idx="2">
                  <c:v>ALAS CONGELADAS</c:v>
                </c:pt>
                <c:pt idx="3">
                  <c:v>FILETE DARUMA</c:v>
                </c:pt>
                <c:pt idx="4">
                  <c:v>REPRODUCTORES</c:v>
                </c:pt>
                <c:pt idx="5">
                  <c:v>NUCAS</c:v>
                </c:pt>
                <c:pt idx="6">
                  <c:v>ALAS COCIDAS</c:v>
                </c:pt>
                <c:pt idx="7">
                  <c:v>OTROS</c:v>
                </c:pt>
              </c:strCache>
            </c:strRef>
          </c:cat>
          <c:val>
            <c:numRef>
              <c:f>TD!$AH$12:$AH$19</c:f>
              <c:numCache>
                <c:formatCode>_-* #,##0_-;\-* #,##0_-;_-* "-"??_-;_-@_-</c:formatCode>
                <c:ptCount val="8"/>
                <c:pt idx="0">
                  <c:v>-1138.4306055680258</c:v>
                </c:pt>
                <c:pt idx="1">
                  <c:v>311.25594609437849</c:v>
                </c:pt>
                <c:pt idx="2">
                  <c:v>-451.32788288255074</c:v>
                </c:pt>
                <c:pt idx="3">
                  <c:v>513.07692735927731</c:v>
                </c:pt>
                <c:pt idx="4">
                  <c:v>126.98724667837696</c:v>
                </c:pt>
                <c:pt idx="5">
                  <c:v>-431.34411270209853</c:v>
                </c:pt>
                <c:pt idx="6">
                  <c:v>138.02446829659678</c:v>
                </c:pt>
                <c:pt idx="7">
                  <c:v>130.12556711077065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B2-4BBA-A0AE-E5E9AAB07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552367"/>
        <c:axId val="2056556207"/>
      </c:barChart>
      <c:catAx>
        <c:axId val="205655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6207"/>
        <c:crosses val="autoZero"/>
        <c:auto val="1"/>
        <c:lblAlgn val="ctr"/>
        <c:lblOffset val="100"/>
        <c:noMultiLvlLbl val="0"/>
      </c:catAx>
      <c:valAx>
        <c:axId val="205655620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 y Utilidad Acumulada Abril por Cliente </a:t>
            </a:r>
            <a:r>
              <a:rPr lang="es-PE" sz="1200" b="1" baseline="0"/>
              <a:t>(Miles US$)</a:t>
            </a:r>
            <a:endParaRPr lang="es-PE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TD!$AG$11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TD!$AF$27:$AF$34</c:f>
              <c:strCache>
                <c:ptCount val="8"/>
                <c:pt idx="0">
                  <c:v>TSUJINO</c:v>
                </c:pt>
                <c:pt idx="1">
                  <c:v>LONGKOU JIABAO AQUATIC</c:v>
                </c:pt>
                <c:pt idx="2">
                  <c:v>KULALIA</c:v>
                </c:pt>
                <c:pt idx="3">
                  <c:v>AVANCE GROUP</c:v>
                </c:pt>
                <c:pt idx="4">
                  <c:v>FOOD &amp; BEVERAGES TRADERS</c:v>
                </c:pt>
                <c:pt idx="5">
                  <c:v>Qingdao Haiyujia</c:v>
                </c:pt>
                <c:pt idx="6">
                  <c:v>Longkou Yunfeng Aquatic Food</c:v>
                </c:pt>
                <c:pt idx="7">
                  <c:v>OTROS</c:v>
                </c:pt>
              </c:strCache>
            </c:strRef>
          </c:cat>
          <c:val>
            <c:numRef>
              <c:f>TD!$AG$27:$AG$34</c:f>
              <c:numCache>
                <c:formatCode>_-* #,##0_-;\-* #,##0_-;_-* "-"??_-;_-@_-</c:formatCode>
                <c:ptCount val="8"/>
                <c:pt idx="0">
                  <c:v>2790.2730000000001</c:v>
                </c:pt>
                <c:pt idx="1">
                  <c:v>1406.7</c:v>
                </c:pt>
                <c:pt idx="2">
                  <c:v>1378.9216999999999</c:v>
                </c:pt>
                <c:pt idx="3">
                  <c:v>1097.2</c:v>
                </c:pt>
                <c:pt idx="4">
                  <c:v>935.40599999999995</c:v>
                </c:pt>
                <c:pt idx="5">
                  <c:v>595.78200000000004</c:v>
                </c:pt>
                <c:pt idx="6">
                  <c:v>575.1</c:v>
                </c:pt>
                <c:pt idx="7">
                  <c:v>2863.84539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C-4FDB-A770-1201F7530061}"/>
            </c:ext>
          </c:extLst>
        </c:ser>
        <c:ser>
          <c:idx val="1"/>
          <c:order val="1"/>
          <c:tx>
            <c:strRef>
              <c:f>TD!$AH$11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3.3847987328256182E-2"/>
                  <c:y val="-4.43620608199860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BC-4FDB-A770-1201F7530061}"/>
                </c:ext>
              </c:extLst>
            </c:dLbl>
            <c:dLbl>
              <c:idx val="6"/>
              <c:layout>
                <c:manualLayout>
                  <c:x val="4.0973879397362745E-2"/>
                  <c:y val="-3.60441334815568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BC-4FDB-A770-1201F7530061}"/>
                </c:ext>
              </c:extLst>
            </c:dLbl>
            <c:dLbl>
              <c:idx val="7"/>
              <c:layout>
                <c:manualLayout>
                  <c:x val="3.384798732825605E-2"/>
                  <c:y val="-1.1090569784572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BC-4FDB-A770-1201F75300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TD!$AF$27:$AF$34</c:f>
              <c:strCache>
                <c:ptCount val="8"/>
                <c:pt idx="0">
                  <c:v>TSUJINO</c:v>
                </c:pt>
                <c:pt idx="1">
                  <c:v>LONGKOU JIABAO AQUATIC</c:v>
                </c:pt>
                <c:pt idx="2">
                  <c:v>KULALIA</c:v>
                </c:pt>
                <c:pt idx="3">
                  <c:v>AVANCE GROUP</c:v>
                </c:pt>
                <c:pt idx="4">
                  <c:v>FOOD &amp; BEVERAGES TRADERS</c:v>
                </c:pt>
                <c:pt idx="5">
                  <c:v>Qingdao Haiyujia</c:v>
                </c:pt>
                <c:pt idx="6">
                  <c:v>Longkou Yunfeng Aquatic Food</c:v>
                </c:pt>
                <c:pt idx="7">
                  <c:v>OTROS</c:v>
                </c:pt>
              </c:strCache>
            </c:strRef>
          </c:cat>
          <c:val>
            <c:numRef>
              <c:f>TD!$AH$27:$AH$34</c:f>
              <c:numCache>
                <c:formatCode>_-* #,##0_-;\-* #,##0_-;_-* "-"??_-;_-@_-</c:formatCode>
                <c:ptCount val="8"/>
                <c:pt idx="0">
                  <c:v>-709.04030084151225</c:v>
                </c:pt>
                <c:pt idx="1">
                  <c:v>394.79634341714831</c:v>
                </c:pt>
                <c:pt idx="2">
                  <c:v>101.00030128966993</c:v>
                </c:pt>
                <c:pt idx="3">
                  <c:v>-468.13754206169125</c:v>
                </c:pt>
                <c:pt idx="4">
                  <c:v>-74.238540516649905</c:v>
                </c:pt>
                <c:pt idx="5">
                  <c:v>101.96620977498908</c:v>
                </c:pt>
                <c:pt idx="6">
                  <c:v>-44.789183040265556</c:v>
                </c:pt>
                <c:pt idx="7">
                  <c:v>-19.037083757894287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BC-4FDB-A770-1201F753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552367"/>
        <c:axId val="2056556207"/>
      </c:barChart>
      <c:catAx>
        <c:axId val="205655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6207"/>
        <c:crosses val="autoZero"/>
        <c:auto val="1"/>
        <c:lblAlgn val="ctr"/>
        <c:lblOffset val="100"/>
        <c:noMultiLvlLbl val="0"/>
      </c:catAx>
      <c:valAx>
        <c:axId val="205655620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Ventas y Utilidad </a:t>
            </a:r>
            <a:r>
              <a:rPr lang="es-PE" sz="1200" b="1" baseline="0"/>
              <a:t>N</a:t>
            </a:r>
            <a:r>
              <a:rPr lang="es-PE" sz="1200" b="1"/>
              <a:t>eta</a:t>
            </a:r>
            <a:r>
              <a:rPr lang="es-PE" sz="1200" b="1" baseline="0"/>
              <a:t> </a:t>
            </a:r>
            <a:r>
              <a:rPr lang="es-PE" sz="1200" b="1"/>
              <a:t>Acum</a:t>
            </a:r>
            <a:r>
              <a:rPr lang="es-PE" sz="1200" b="1" baseline="0"/>
              <a:t>ulada Abril 2026</a:t>
            </a:r>
            <a:r>
              <a:rPr lang="es-PE" sz="1200" b="1"/>
              <a:t> </a:t>
            </a:r>
          </a:p>
          <a:p>
            <a:pPr>
              <a:defRPr sz="1200" b="1"/>
            </a:pPr>
            <a:r>
              <a:rPr lang="es-PE" sz="1200" b="1"/>
              <a:t>(Miles 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TD!$AF$5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TD!$AK$4:$AL$4</c:f>
              <c:strCache>
                <c:ptCount val="2"/>
                <c:pt idx="0">
                  <c:v>Real</c:v>
                </c:pt>
                <c:pt idx="1">
                  <c:v>Budget</c:v>
                </c:pt>
              </c:strCache>
            </c:strRef>
          </c:cat>
          <c:val>
            <c:numRef>
              <c:f>TD!$AK$5:$AL$5</c:f>
              <c:numCache>
                <c:formatCode>_-* #,##0_-;\-* #,##0_-;_-* "-"??_-;_-@_-</c:formatCode>
                <c:ptCount val="2"/>
                <c:pt idx="0">
                  <c:v>5016.1035000000002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C-4CEC-8A6C-FD1BAAD2451D}"/>
            </c:ext>
          </c:extLst>
        </c:ser>
        <c:ser>
          <c:idx val="1"/>
          <c:order val="1"/>
          <c:tx>
            <c:strRef>
              <c:f>TD!$AF$6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TD!$AK$4:$AL$4</c:f>
              <c:strCache>
                <c:ptCount val="2"/>
                <c:pt idx="0">
                  <c:v>Real</c:v>
                </c:pt>
                <c:pt idx="1">
                  <c:v>Budget</c:v>
                </c:pt>
              </c:strCache>
            </c:strRef>
          </c:cat>
          <c:val>
            <c:numRef>
              <c:f>TD!$AK$6:$AL$6</c:f>
              <c:numCache>
                <c:formatCode>_-* #,##0_-;\-* #,##0_-;_-* "-"??_-;_-@_-</c:formatCode>
                <c:ptCount val="2"/>
                <c:pt idx="0">
                  <c:v>401.88556924044065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C-4CEC-8A6C-FD1BAAD24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267135"/>
        <c:axId val="531263775"/>
      </c:barChart>
      <c:catAx>
        <c:axId val="53126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3775"/>
        <c:crosses val="autoZero"/>
        <c:auto val="1"/>
        <c:lblAlgn val="ctr"/>
        <c:lblOffset val="100"/>
        <c:noMultiLvlLbl val="0"/>
      </c:catAx>
      <c:valAx>
        <c:axId val="53126377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Precios US$</a:t>
            </a:r>
            <a:r>
              <a:rPr lang="es-PE" sz="1200" b="1" baseline="0"/>
              <a:t> </a:t>
            </a:r>
            <a:r>
              <a:rPr lang="es-PE" sz="1200" b="1"/>
              <a:t>por TM Peru Frost vs Industria Peruana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TD!$AO$11</c:f>
              <c:strCache>
                <c:ptCount val="1"/>
                <c:pt idx="0">
                  <c:v>PERU FROST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TD!$AN$12:$AN$18</c:f>
              <c:strCache>
                <c:ptCount val="7"/>
                <c:pt idx="0">
                  <c:v>FILETE CONGELADO</c:v>
                </c:pt>
                <c:pt idx="1">
                  <c:v>FILETE DARUMA</c:v>
                </c:pt>
                <c:pt idx="2">
                  <c:v>REPRODUCTOR</c:v>
                </c:pt>
                <c:pt idx="3">
                  <c:v>NUCA</c:v>
                </c:pt>
                <c:pt idx="4">
                  <c:v>ALAS COCIDAS</c:v>
                </c:pt>
                <c:pt idx="5">
                  <c:v>ALAS CONGELADAS</c:v>
                </c:pt>
                <c:pt idx="6">
                  <c:v>TENTACULO</c:v>
                </c:pt>
              </c:strCache>
            </c:strRef>
          </c:cat>
          <c:val>
            <c:numRef>
              <c:f>TD!$AO$12:$AO$18</c:f>
              <c:numCache>
                <c:formatCode>General</c:formatCode>
                <c:ptCount val="7"/>
                <c:pt idx="0">
                  <c:v>1323</c:v>
                </c:pt>
                <c:pt idx="1">
                  <c:v>3292</c:v>
                </c:pt>
                <c:pt idx="2">
                  <c:v>2724</c:v>
                </c:pt>
                <c:pt idx="3">
                  <c:v>1123</c:v>
                </c:pt>
                <c:pt idx="4">
                  <c:v>3240</c:v>
                </c:pt>
                <c:pt idx="5">
                  <c:v>1509</c:v>
                </c:pt>
                <c:pt idx="6">
                  <c:v>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9-486B-B8E3-2429AF1044D9}"/>
            </c:ext>
          </c:extLst>
        </c:ser>
        <c:ser>
          <c:idx val="1"/>
          <c:order val="1"/>
          <c:tx>
            <c:strRef>
              <c:f>TD!$AP$11</c:f>
              <c:strCache>
                <c:ptCount val="1"/>
                <c:pt idx="0">
                  <c:v>INDUSTRIA PERUANA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39-486B-B8E3-2429AF1044D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39-486B-B8E3-2429AF1044D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39-486B-B8E3-2429AF1044D9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39-486B-B8E3-2429AF1044D9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39-486B-B8E3-2429AF1044D9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39-486B-B8E3-2429AF1044D9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39-486B-B8E3-2429AF1044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TD!$AN$12:$AN$18</c:f>
              <c:strCache>
                <c:ptCount val="7"/>
                <c:pt idx="0">
                  <c:v>FILETE CONGELADO</c:v>
                </c:pt>
                <c:pt idx="1">
                  <c:v>FILETE DARUMA</c:v>
                </c:pt>
                <c:pt idx="2">
                  <c:v>REPRODUCTOR</c:v>
                </c:pt>
                <c:pt idx="3">
                  <c:v>NUCA</c:v>
                </c:pt>
                <c:pt idx="4">
                  <c:v>ALAS COCIDAS</c:v>
                </c:pt>
                <c:pt idx="5">
                  <c:v>ALAS CONGELADAS</c:v>
                </c:pt>
                <c:pt idx="6">
                  <c:v>TENTACULO</c:v>
                </c:pt>
              </c:strCache>
            </c:strRef>
          </c:cat>
          <c:val>
            <c:numRef>
              <c:f>TD!$AP$12:$AP$18</c:f>
              <c:numCache>
                <c:formatCode>General</c:formatCode>
                <c:ptCount val="7"/>
                <c:pt idx="0">
                  <c:v>1525</c:v>
                </c:pt>
                <c:pt idx="1">
                  <c:v>3417</c:v>
                </c:pt>
                <c:pt idx="2">
                  <c:v>2704</c:v>
                </c:pt>
                <c:pt idx="3">
                  <c:v>1171</c:v>
                </c:pt>
                <c:pt idx="4">
                  <c:v>3318</c:v>
                </c:pt>
                <c:pt idx="5">
                  <c:v>1579</c:v>
                </c:pt>
                <c:pt idx="6">
                  <c:v>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9-486B-B8E3-2429AF104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179327"/>
        <c:axId val="1982180767"/>
      </c:barChart>
      <c:catAx>
        <c:axId val="198217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2180767"/>
        <c:crosses val="autoZero"/>
        <c:auto val="1"/>
        <c:lblAlgn val="ctr"/>
        <c:lblOffset val="100"/>
        <c:noMultiLvlLbl val="0"/>
      </c:catAx>
      <c:valAx>
        <c:axId val="1982180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217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765174</xdr:colOff>
      <xdr:row>12</xdr:row>
      <xdr:rowOff>171450</xdr:rowOff>
    </xdr:from>
    <xdr:to>
      <xdr:col>5</xdr:col>
      <xdr:colOff>790575</xdr:colOff>
      <xdr:row>31</xdr:row>
      <xdr:rowOff>60327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AF6275-5BA0-42AA-B67C-3064B9ECB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33</xdr:row>
      <xdr:rowOff>130174</xdr:rowOff>
    </xdr:from>
    <xdr:to>
      <xdr:col>9</xdr:col>
      <xdr:colOff>211666</xdr:colOff>
      <xdr:row>59</xdr:row>
      <xdr:rowOff>5292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6A12C3-563A-40C3-AB58-35E64E906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120651</xdr:colOff>
      <xdr:row>33</xdr:row>
      <xdr:rowOff>130175</xdr:rowOff>
    </xdr:from>
    <xdr:to>
      <xdr:col>19</xdr:col>
      <xdr:colOff>134408</xdr:colOff>
      <xdr:row>59</xdr:row>
      <xdr:rowOff>5293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7CEF57-E678-479C-9473-E81DDDE69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312208</xdr:colOff>
      <xdr:row>12</xdr:row>
      <xdr:rowOff>151342</xdr:rowOff>
    </xdr:from>
    <xdr:to>
      <xdr:col>11</xdr:col>
      <xdr:colOff>397933</xdr:colOff>
      <xdr:row>31</xdr:row>
      <xdr:rowOff>40219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A2D9502-3B31-43BD-A5D6-8D51A43A6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790574</xdr:colOff>
      <xdr:row>64</xdr:row>
      <xdr:rowOff>0</xdr:rowOff>
    </xdr:from>
    <xdr:to>
      <xdr:col>9</xdr:col>
      <xdr:colOff>209549</xdr:colOff>
      <xdr:row>82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D710661-A024-4E44-AEB6-AE9F08E9D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MATERIA%20PRIMA%202026%20ACTUALIZADO%20AL%204-5-2026.xlsx" TargetMode="External"/><Relationship Id="rId1" Type="http://schemas.openxmlformats.org/officeDocument/2006/relationships/externalLinkPath" Target="MATERIA%20PRIMA%202026%20ACTUALIZADO%20AL%204-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 (2)"/>
      <sheetName val="Hoja2"/>
      <sheetName val="Hoja1"/>
      <sheetName val="Hoja8"/>
      <sheetName val="Ingreso M.P"/>
      <sheetName val="Datos e.p"/>
      <sheetName val="Datos Proveedor"/>
      <sheetName val="Hoja7"/>
      <sheetName val="Hoja6"/>
      <sheetName val="Hoja3"/>
      <sheetName val="Hoja4"/>
      <sheetName val="Hoja5"/>
      <sheetName val="REPORTE "/>
      <sheetName val="REPORTE POR DIA"/>
      <sheetName val="Resumen"/>
      <sheetName val="REPORTE DIARIO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D4">
            <v>1877.2149999999999</v>
          </cell>
        </row>
        <row r="5">
          <cell r="D5">
            <v>3149.7860000000001</v>
          </cell>
        </row>
        <row r="6">
          <cell r="D6">
            <v>2255.518</v>
          </cell>
        </row>
        <row r="7">
          <cell r="D7">
            <v>2853.1889999999999</v>
          </cell>
        </row>
      </sheetData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drigo Sebastian Martinez Montalvo (PFRO)" id="{8CB64CF2-02A6-40B8-83A5-8B37A2DB3E5D}" userId="S::rodrigom@perufrost.com::75c07d1f-87b1-48a3-938c-bed2666ad39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89.0332837963" createdVersion="8" refreshedVersion="8" minRefreshableVersion="3" recordCount="144" xr:uid="{3ED1F535-2E88-4B65-9866-0D89EEA5861E}">
  <cacheSource type="worksheet">
    <worksheetSource ref="B3:AY147" sheet="Resumen"/>
  </cacheSource>
  <cacheFields count="50">
    <cacheField name="MES LINK" numFmtId="0">
      <sharedItems containsBlank="1"/>
    </cacheField>
    <cacheField name="MES _x000a_EJERCICIO" numFmtId="0">
      <sharedItems count="5">
        <s v="ENERO"/>
        <s v="FEBRERO"/>
        <s v="MARZO"/>
        <s v="ABRIL"/>
        <s v="MAYO"/>
      </sharedItems>
    </cacheField>
    <cacheField name="FP" numFmtId="0">
      <sharedItems containsBlank="1"/>
    </cacheField>
    <cacheField name="Emision" numFmtId="16">
      <sharedItems containsSemiMixedTypes="0" containsNonDate="0" containsDate="1" containsString="0" minDate="1900-01-14T00:00:00" maxDate="2026-05-12T00:00:00"/>
    </cacheField>
    <cacheField name="Fecha Embarque" numFmtId="16">
      <sharedItems containsSemiMixedTypes="0" containsNonDate="0" containsDate="1" containsString="0" minDate="2026-01-09T00:00:00" maxDate="2026-05-30T00:00:00"/>
    </cacheField>
    <cacheField name=" Cantidad " numFmtId="43">
      <sharedItems containsSemiMixedTypes="0" containsString="0" containsNumber="1" minValue="0" maxValue="351"/>
    </cacheField>
    <cacheField name="Producto" numFmtId="0">
      <sharedItems count="15">
        <s v="POTA REPRODUCTORES"/>
        <s v="POTA NUCAS"/>
        <s v="POTA REJOS CONGELADOS"/>
        <s v="POTA CONOS"/>
        <s v="POTA FILETE CONGELADO"/>
        <s v="POTA ALAS CONGELADAS"/>
        <s v="RESIDUOS DE POTA"/>
        <s v="POTA MEMBRANA PRECOCIDA"/>
        <s v="POTA  TELILLA PRECOCIDA"/>
        <s v="POTA FILETE DARUMA"/>
        <s v="POTA ALAS COCIDAS"/>
        <s v="POTA RECORTES  COCIDOS"/>
        <s v="POTA SUCKERS CONGELADO"/>
        <s v="POTA TUBOALETA "/>
        <s v="POTA LABIOS CONGELADOS"/>
      </sharedItems>
    </cacheField>
    <cacheField name="Corte" numFmtId="0">
      <sharedItems/>
    </cacheField>
    <cacheField name="Espec." numFmtId="0">
      <sharedItems containsBlank="1"/>
    </cacheField>
    <cacheField name="País" numFmtId="0">
      <sharedItems/>
    </cacheField>
    <cacheField name="Puerto " numFmtId="0">
      <sharedItems containsBlank="1"/>
    </cacheField>
    <cacheField name="Cliente (Razón Social)" numFmtId="0">
      <sharedItems count="31">
        <s v="OCEANUS FISH"/>
        <s v="DAIRECK S.A."/>
        <s v="TSUJINO"/>
        <s v="GLOBAL OCEAN"/>
        <s v="PROVEEDORA DE PRODUCTOS MARINOS"/>
        <s v="FOOD &amp; BEVERAGES TRADERS"/>
        <s v="OVERSEA"/>
        <s v="Hunan Jinyueyang "/>
        <s v="Longkou Yunfeng Aquatic"/>
        <s v="AVANCE GROUP"/>
        <s v="SACRAMENTO CO., LTD"/>
        <s v="KULALIA"/>
        <s v="Pesciro Asia International LTD."/>
        <s v="Pesciro SL"/>
        <s v="SHANDONG SHEENIER"/>
        <s v="LONGKOU JIABAO AQUATIC"/>
        <s v="LONGKOU BOHAI"/>
        <s v="YANTAI TAIXI FOODSTUFF"/>
        <s v="Longkou Yunfeng Aquatic Food"/>
        <s v="Qingdao Haiyujia"/>
        <s v="GOLDEN SEAFOOD"/>
        <s v="Shenzhen Yueshi"/>
        <s v="GIANT OCEAN FOOD "/>
        <s v="TT INTERBIZ"/>
        <s v="YANTAI HONGCHANG"/>
        <s v="NINGBO JUN TAO"/>
        <s v="YANTAI HIZEN INTERNATIONAL"/>
        <s v="ZHOUSHAN EAST CHINA"/>
        <s v="ZHEJIANG ZHOUFU"/>
        <s v="LONGKOU SANMING "/>
        <s v="TSUJINO " u="1"/>
      </sharedItems>
    </cacheField>
    <cacheField name="Contacto " numFmtId="0">
      <sharedItems containsBlank="1"/>
    </cacheField>
    <cacheField name="Precio TM" numFmtId="0">
      <sharedItems containsSemiMixedTypes="0" containsString="0" containsNumber="1" minValue="0" maxValue="4200"/>
    </cacheField>
    <cacheField name="VALOR _x000a_CFR" numFmtId="0">
      <sharedItems containsSemiMixedTypes="0" containsString="0" containsNumber="1" minValue="4350" maxValue="669600"/>
    </cacheField>
    <cacheField name=" FOB / TM " numFmtId="0">
      <sharedItems containsSemiMixedTypes="0" containsString="0" containsNumber="1" minValue="0" maxValue="4074.3386243386244"/>
    </cacheField>
    <cacheField name="Costo Flete" numFmtId="0">
      <sharedItems containsSemiMixedTypes="0" containsString="0" containsNumber="1" minValue="0" maxValue="40339"/>
    </cacheField>
    <cacheField name="VALOR _x000a_FOB" numFmtId="0">
      <sharedItems containsSemiMixedTypes="0" containsString="0" containsNumber="1" minValue="3937.5" maxValue="646400"/>
    </cacheField>
    <cacheField name="Cantidad de FCL (Contenedores)" numFmtId="0">
      <sharedItems containsString="0" containsBlank="1" containsNumber="1" containsInteger="1" minValue="0" maxValue="13"/>
    </cacheField>
    <cacheField name="M/V Nave" numFmtId="0">
      <sharedItems containsBlank="1"/>
    </cacheField>
    <cacheField name="Booking" numFmtId="0">
      <sharedItems containsBlank="1" containsMixedTypes="1" containsNumber="1" containsInteger="1" minValue="10367430" maxValue="6502206550"/>
    </cacheField>
    <cacheField name=" Naviera " numFmtId="0">
      <sharedItems containsBlank="1" containsMixedTypes="1" containsNumber="1" containsInteger="1" minValue="1" maxValue="1"/>
    </cacheField>
    <cacheField name="Puerto" numFmtId="0">
      <sharedItems containsBlank="1"/>
    </cacheField>
    <cacheField name="CÓDIGO" numFmtId="0">
      <sharedItems containsString="0" containsBlank="1" containsNumber="1" containsInteger="1" minValue="10005721" maxValue="10009332"/>
    </cacheField>
    <cacheField name="Categoría" numFmtId="0">
      <sharedItems containsBlank="1"/>
    </cacheField>
    <cacheField name="MATCH" numFmtId="0">
      <sharedItems containsBlank="1"/>
    </cacheField>
    <cacheField name="COSTO _x000a_UNITARIO" numFmtId="43">
      <sharedItems containsSemiMixedTypes="0" containsString="0" containsNumber="1" minValue="0" maxValue="3389.0116659973501"/>
    </cacheField>
    <cacheField name="Materia Prima" numFmtId="165">
      <sharedItems containsSemiMixedTypes="0" containsString="0" containsNumber="1" minValue="0" maxValue="375991.20240823057"/>
    </cacheField>
    <cacheField name="MOD" numFmtId="165">
      <sharedItems containsSemiMixedTypes="0" containsString="0" containsNumber="1" minValue="0" maxValue="148631.31673615499"/>
    </cacheField>
    <cacheField name="Envases" numFmtId="165">
      <sharedItems containsSemiMixedTypes="0" containsString="0" containsNumber="1" minValue="0" maxValue="6607.8389818432224"/>
    </cacheField>
    <cacheField name="CIF" numFmtId="165">
      <sharedItems containsSemiMixedTypes="0" containsString="0" containsNumber="1" minValue="-1954.7419455458373" maxValue="112780.34112889848"/>
    </cacheField>
    <cacheField name="COSTO _x000a_VENTAS" numFmtId="165">
      <sharedItems containsSemiMixedTypes="0" containsString="0" containsNumber="1" minValue="0" maxValue="619592.80676279881"/>
    </cacheField>
    <cacheField name="Cant" numFmtId="0">
      <sharedItems containsString="0" containsBlank="1" containsNumber="1" minValue="3" maxValue="351"/>
    </cacheField>
    <cacheField name="C.U" numFmtId="0">
      <sharedItems containsString="0" containsBlank="1" containsNumber="1" minValue="0" maxValue="3441.6816659973501"/>
    </cacheField>
    <cacheField name="Cotos Vta" numFmtId="165">
      <sharedItems containsString="0" containsBlank="1" containsNumber="1" minValue="5803.9692134831503" maxValue="586944.50729207729"/>
    </cacheField>
    <cacheField name="UTILIDAD _x000a_BRUTA" numFmtId="165">
      <sharedItems containsSemiMixedTypes="0" containsString="0" containsNumber="1" minValue="-163292.80676279881" maxValue="238222.00600182544"/>
    </cacheField>
    <cacheField name="MARGEN _x000a_BRUTO" numFmtId="9">
      <sharedItems containsSemiMixedTypes="0" containsString="0" containsNumber="1" minValue="-1.2684833530233324" maxValue="1"/>
    </cacheField>
    <cacheField name="Flete" numFmtId="165">
      <sharedItems containsSemiMixedTypes="0" containsString="0" containsNumber="1" minValue="0" maxValue="40339"/>
    </cacheField>
    <cacheField name="Otros _x000a_Gastos Ventas" numFmtId="165">
      <sharedItems containsSemiMixedTypes="0" containsString="0" containsNumber="1" minValue="0" maxValue="6943.6207021797509"/>
    </cacheField>
    <cacheField name="SS Logístico" numFmtId="165">
      <sharedItems containsSemiMixedTypes="0" containsString="0" containsNumber="1" minValue="0" maxValue="25407"/>
    </cacheField>
    <cacheField name="GASTO_x000a_VENTAS" numFmtId="165">
      <sharedItems containsSemiMixedTypes="0" containsString="0" containsNumber="1" minValue="0" maxValue="72689.62070217976"/>
    </cacheField>
    <cacheField name="GASTO _x000a_ADM" numFmtId="165">
      <sharedItems containsSemiMixedTypes="0" containsString="0" containsNumber="1" minValue="0" maxValue="14707.451612903227"/>
    </cacheField>
    <cacheField name="DRAWBACK" numFmtId="165">
      <sharedItems containsSemiMixedTypes="0" containsString="0" containsNumber="1" minValue="0" maxValue="19392"/>
    </cacheField>
    <cacheField name="UTILIDAD _x000a_OPERATIVA" numFmtId="165">
      <sharedItems containsSemiMixedTypes="0" containsString="0" containsNumber="1" minValue="-235660.48665301016" maxValue="219320.62358576988"/>
    </cacheField>
    <cacheField name="MARGEN _x000a_OPERATIVO" numFmtId="9">
      <sharedItems containsSemiMixedTypes="0" containsString="0" containsNumber="1" minValue="-1.5842330303247265" maxValue="1"/>
    </cacheField>
    <cacheField name="GASTO _x000a_FINANCIERO" numFmtId="165">
      <sharedItems containsSemiMixedTypes="0" containsString="0" containsNumber="1" minValue="0" maxValue="38105.129032258068"/>
    </cacheField>
    <cacheField name="UTILIDAD _x000a_NETA" numFmtId="165">
      <sharedItems containsSemiMixedTypes="0" containsString="0" containsNumber="1" minValue="-267553.52832222637" maxValue="202301.145928207"/>
    </cacheField>
    <cacheField name="MARGEN _x000a_NETO" numFmtId="9">
      <sharedItems containsSemiMixedTypes="0" containsString="0" containsNumber="1" minValue="-1.679201175085165" maxValue="1"/>
    </cacheField>
    <cacheField name="DEPRECIACIÓN" numFmtId="165">
      <sharedItems containsSemiMixedTypes="0" containsString="0" containsNumber="1" minValue="0" maxValue="35863.548387096773"/>
    </cacheField>
    <cacheField name="EBITDA" numFmtId="165">
      <sharedItems containsSemiMixedTypes="0" containsString="0" containsNumber="1" minValue="-208994.03321728844" maxValue="228800.918309741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ENERO"/>
    <x v="0"/>
    <s v="127-2025"/>
    <d v="1900-11-20T00:00:00"/>
    <d v="2026-01-11T00:00:00"/>
    <n v="26"/>
    <x v="0"/>
    <s v="Rejos"/>
    <m/>
    <s v="España"/>
    <s v="Valencia"/>
    <x v="0"/>
    <s v="Ignacio / Ives"/>
    <n v="2848.6153846153848"/>
    <n v="74064"/>
    <n v="2670.3846153846152"/>
    <n v="4634"/>
    <n v="69430"/>
    <n v="1"/>
    <s v="MERSIN EXPRESS 603N"/>
    <n v="26106924"/>
    <s v="HAPAG"/>
    <s v="PAITA"/>
    <n v="10007567"/>
    <s v="Compensación"/>
    <s v="ENERO10007567Compensación"/>
    <n v="1848.6442338709517"/>
    <n v="30321.714401007226"/>
    <n v="7452.4837224904713"/>
    <n v="447.27651091268916"/>
    <n v="7428.0103905023961"/>
    <n v="45649.485024912778"/>
    <n v="22.658000000000001"/>
    <n v="1776.8136579060747"/>
    <n v="41460.14"/>
    <n v="28414.514975087222"/>
    <n v="0.38364812830912753"/>
    <n v="4634"/>
    <n v="514.34227423553716"/>
    <n v="1882"/>
    <n v="7030.3422742355369"/>
    <n v="5311.0241935483873"/>
    <n v="2082.9"/>
    <n v="18156.048507303301"/>
    <n v="0.24513999388776331"/>
    <n v="13760.185483870968"/>
    <n v="4395.8630234323336"/>
    <n v="5.9352222718626238E-2"/>
    <n v="12950.725806451614"/>
    <n v="31106.774313754915"/>
  </r>
  <r>
    <s v="ENERO"/>
    <x v="0"/>
    <s v="128-2025B"/>
    <d v="1900-11-20T00:00:00"/>
    <d v="2026-01-31T00:00:00"/>
    <n v="17.04"/>
    <x v="1"/>
    <s v="Nucas"/>
    <s v="1000-up"/>
    <s v="Tailandia "/>
    <s v="Lat Krabang"/>
    <x v="1"/>
    <s v="Julieta"/>
    <n v="1850"/>
    <n v="31524"/>
    <n v="1656.3380281690143"/>
    <n v="2343"/>
    <n v="29181"/>
    <n v="1"/>
    <s v="ECO SIROCCO 26005S"/>
    <n v="6443191850"/>
    <s v="COSCO"/>
    <s v="PAITA"/>
    <n v="10005779"/>
    <s v="Compensación"/>
    <s v="ENERO10005779Compensación"/>
    <n v="1948.6442338709517"/>
    <n v="19902.438830808464"/>
    <n v="6720.2922271365615"/>
    <n v="241.5042419528985"/>
    <n v="4759.6794882740951"/>
    <n v="31623.91478817202"/>
    <n v="17.04"/>
    <n v="1876.9277777777766"/>
    <n v="33696.516935933098"/>
    <n v="-99.914788172020053"/>
    <n v="-3.1694831928695613E-3"/>
    <n v="2343"/>
    <n v="337.09201357590587"/>
    <n v="1233.4338461538462"/>
    <n v="3913.5258597297525"/>
    <n v="3480.7635483870968"/>
    <n v="875.43"/>
    <n v="-6618.7741962888686"/>
    <n v="-0.20995984634846049"/>
    <n v="9018.213870967742"/>
    <n v="-15636.988067256611"/>
    <n v="-0.49603438863268018"/>
    <n v="8487.706451612903"/>
    <n v="1868.9322553240345"/>
  </r>
  <r>
    <s v="ENERO"/>
    <x v="0"/>
    <s v="128-2025B"/>
    <d v="1900-11-20T00:00:00"/>
    <d v="2026-01-31T00:00:00"/>
    <n v="3"/>
    <x v="1"/>
    <s v="Nucas"/>
    <s v="500 - 1 kg."/>
    <s v="Tailandia "/>
    <s v="Lat Krabang"/>
    <x v="1"/>
    <s v="Julieta"/>
    <n v="1450"/>
    <n v="4350"/>
    <n v="1450"/>
    <n v="412.5"/>
    <n v="3937.5"/>
    <n v="0"/>
    <m/>
    <n v="6443191850"/>
    <s v="COSCO"/>
    <s v="PAITA"/>
    <n v="10005781"/>
    <s v="Compensación"/>
    <s v="ENERO10005781Compensación"/>
    <n v="1998.6442338709517"/>
    <n v="3521.466558545404"/>
    <n v="1150.8274796596877"/>
    <n v="46.818854926393001"/>
    <n v="848.47773858894107"/>
    <n v="5567.5906317204262"/>
    <n v="3"/>
    <n v="1876.9277777777766"/>
    <n v="5803.9692134831503"/>
    <n v="-1217.5906317204262"/>
    <n v="-0.27990589234952329"/>
    <n v="412.5"/>
    <n v="59.347185488715823"/>
    <n v="217.15384615384616"/>
    <n v="689.001031642562"/>
    <n v="612.8104838709678"/>
    <n v="118.125"/>
    <n v="-2401.2771472339559"/>
    <n v="-0.55201773499631168"/>
    <n v="1587.7137096774195"/>
    <n v="-3988.9908569113754"/>
    <n v="-0.91700939239341961"/>
    <n v="1494.3145161290322"/>
    <n v="-906.96263110492373"/>
  </r>
  <r>
    <s v="ENERO"/>
    <x v="0"/>
    <s v="128-2025B"/>
    <d v="1900-11-20T00:00:00"/>
    <d v="2026-01-31T00:00:00"/>
    <n v="3.96"/>
    <x v="2"/>
    <s v="Rejos"/>
    <s v="1 - 2 kgs."/>
    <s v="Tailandia "/>
    <s v="Lat Krabang"/>
    <x v="1"/>
    <s v="Julieta"/>
    <n v="2234.3434343434342"/>
    <n v="8848"/>
    <n v="2800"/>
    <n v="544.5"/>
    <n v="8303.5"/>
    <n v="0"/>
    <m/>
    <n v="6443191850"/>
    <s v="COSCO"/>
    <s v="PAITA"/>
    <n v="10007162"/>
    <s v="Compensación"/>
    <s v="ENERO10007162Compensación"/>
    <n v="1808.6442338709517"/>
    <n v="4545.8938098077351"/>
    <n v="1199.3898584925348"/>
    <n v="61.113394855157161"/>
    <n v="1191.9798289936848"/>
    <n v="6998.3768921491119"/>
    <n v="3.16"/>
    <n v="1788.3311258278143"/>
    <n v="5822.9226614836498"/>
    <n v="1849.6231078508881"/>
    <n v="0.20904420296687254"/>
    <n v="544.5"/>
    <n v="78.33828484510488"/>
    <n v="286.64307692307693"/>
    <n v="909.48136176818184"/>
    <n v="808.9098387096775"/>
    <n v="249.10499999999999"/>
    <n v="380.33690737302879"/>
    <n v="4.2985636005089152E-2"/>
    <n v="2095.7820967741936"/>
    <n v="-1715.445189401165"/>
    <n v="-0.19387942918186765"/>
    <n v="1972.4951612903226"/>
    <n v="2352.8320686633515"/>
  </r>
  <r>
    <s v="ENERO"/>
    <x v="0"/>
    <s v="129-2025"/>
    <d v="2025-11-21T00:00:00"/>
    <d v="2026-01-09T00:00:00"/>
    <n v="24"/>
    <x v="3"/>
    <s v="Conos"/>
    <m/>
    <s v="Tailandia"/>
    <s v="Bangkok"/>
    <x v="2"/>
    <s v="Jose"/>
    <n v="2100"/>
    <n v="50400"/>
    <n v="1962.5"/>
    <n v="3300"/>
    <n v="47100"/>
    <n v="1"/>
    <s v="ECO MARIN 26002S"/>
    <n v="6440924270"/>
    <s v="COSCO"/>
    <s v="PAITA"/>
    <n v="10007969"/>
    <s v="Compensación"/>
    <s v="ENERO10007969Compensación"/>
    <n v="1658.6442338709517"/>
    <n v="30120.853077701555"/>
    <n v="5277.3638992265369"/>
    <n v="399.40993284746679"/>
    <n v="3160.4310866962137"/>
    <n v="38958.057996471776"/>
    <n v="24"/>
    <n v="1644.316650390625"/>
    <n v="39463.599609375"/>
    <n v="11441.942003528224"/>
    <n v="0.22702265880016317"/>
    <n v="3300"/>
    <n v="474.77748390972658"/>
    <n v="1737.2307692307693"/>
    <n v="5512.008253140496"/>
    <n v="4902.4838709677424"/>
    <n v="1413"/>
    <n v="2440.4498794199853"/>
    <n v="4.8421624591666379E-2"/>
    <n v="12701.709677419356"/>
    <n v="-10261.25979799937"/>
    <n v="-0.20359642456347957"/>
    <n v="11954.516129032258"/>
    <n v="14394.966008452244"/>
  </r>
  <r>
    <s v="ENERO"/>
    <x v="0"/>
    <s v="137-2025"/>
    <d v="2025-12-09T00:00:00"/>
    <d v="2026-01-21T00:00:00"/>
    <n v="24"/>
    <x v="4"/>
    <s v="Filete"/>
    <s v="2 - 4 kg"/>
    <s v="Taiwan"/>
    <s v="KAOHSIUNG"/>
    <x v="2"/>
    <s v="Jose"/>
    <n v="1966.6666666666667"/>
    <n v="47200"/>
    <n v="1841.5416666666667"/>
    <n v="3003"/>
    <n v="44197"/>
    <n v="1"/>
    <s v="ECO MARIN 25052N"/>
    <s v="LIMF26385300"/>
    <s v="ONE"/>
    <s v="PAITA"/>
    <n v="10005721"/>
    <s v="Compensación"/>
    <s v="ENERO10005721Compensación"/>
    <n v="1878.6442338709517"/>
    <n v="27003.901467966942"/>
    <n v="9795.8890932765044"/>
    <n v="426.26796295886788"/>
    <n v="7297.1068330224707"/>
    <n v="44523.165357224789"/>
    <n v="23.7"/>
    <n v="1876.1961237553337"/>
    <n v="44778.444670991703"/>
    <n v="2676.8346427752113"/>
    <n v="5.6712598363881594E-2"/>
    <n v="3003"/>
    <n v="474.77748390972658"/>
    <n v="1737.2307692307693"/>
    <n v="5215.008253140496"/>
    <n v="4902.4838709677424"/>
    <n v="1325.9099999999999"/>
    <n v="-6114.7474813330273"/>
    <n v="-0.1295497347740048"/>
    <n v="12701.709677419356"/>
    <n v="-18816.457158752382"/>
    <n v="-0.39865375336339792"/>
    <n v="11954.516129032258"/>
    <n v="5839.7686476992303"/>
  </r>
  <r>
    <s v="ENERO"/>
    <x v="0"/>
    <s v="140-2025"/>
    <d v="1900-12-12T00:00:00"/>
    <d v="2026-01-16T00:00:00"/>
    <n v="24"/>
    <x v="4"/>
    <s v="Filete"/>
    <s v="2-4kg"/>
    <s v="Japón "/>
    <s v="Sendai"/>
    <x v="2"/>
    <s v="Jose"/>
    <n v="1983.3333333333333"/>
    <n v="47600"/>
    <n v="1845.7083333333333"/>
    <n v="3303"/>
    <n v="44297"/>
    <n v="1"/>
    <s v="ECO SIROCCO 26003S"/>
    <s v="LIMG00358300"/>
    <s v="ONE"/>
    <s v="PAITA"/>
    <n v="10005721"/>
    <s v="Compensación"/>
    <s v="ENERO10005721Compensación"/>
    <n v="1878.6442338709517"/>
    <n v="27003.901467966942"/>
    <n v="9795.8890932765044"/>
    <n v="426.26796295886788"/>
    <n v="7297.1068330224707"/>
    <n v="44523.165357224789"/>
    <n v="23.7"/>
    <n v="1876.1961237553337"/>
    <n v="44778.444670991703"/>
    <n v="3076.8346427752113"/>
    <n v="6.4639383251580071E-2"/>
    <n v="3303"/>
    <n v="474.77748390972658"/>
    <n v="1737.2307692307693"/>
    <n v="5515.008253140496"/>
    <n v="4902.4838709677424"/>
    <n v="1328.9099999999999"/>
    <n v="-6011.7474813330273"/>
    <n v="-0.12629721599439134"/>
    <n v="12701.709677419356"/>
    <n v="-18713.457158752382"/>
    <n v="-0.39313985627631054"/>
    <n v="11954.516129032258"/>
    <n v="5942.7686476992303"/>
  </r>
  <r>
    <s v="ENERO"/>
    <x v="0"/>
    <s v="145-2025"/>
    <d v="2025-12-29T00:00:00"/>
    <d v="2026-01-19T00:00:00"/>
    <n v="54"/>
    <x v="2"/>
    <s v="Rejos"/>
    <s v="500-1 / 1-2"/>
    <s v="España"/>
    <s v="Vigo"/>
    <x v="3"/>
    <s v="Jorge"/>
    <n v="2600"/>
    <n v="140400"/>
    <n v="2430.962962962963"/>
    <n v="9128"/>
    <n v="131272"/>
    <n v="2"/>
    <s v="IZMIT EXPRESS 604N"/>
    <n v="28952064"/>
    <s v="HAPAG"/>
    <s v="PAITA"/>
    <n v="10007162"/>
    <s v="Compensación"/>
    <s v="ENERO10007162Compensación"/>
    <n v="1808.6442338709517"/>
    <n v="61989.461042832751"/>
    <n v="16355.316252170929"/>
    <n v="833.36447529759766"/>
    <n v="16254.27039536843"/>
    <n v="95432.41216566971"/>
    <n v="54"/>
    <n v="1788.3311258278143"/>
    <n v="99505.640417758506"/>
    <n v="44967.58783433029"/>
    <n v="0.32028196463198211"/>
    <n v="9128"/>
    <n v="1068.2493387968848"/>
    <n v="3908.7692307692309"/>
    <n v="14105.018569566115"/>
    <n v="11030.58870967742"/>
    <n v="3938.16"/>
    <n v="23770.140555086757"/>
    <n v="0.16930299540660082"/>
    <n v="28578.846774193549"/>
    <n v="-4808.7062191067926"/>
    <n v="-3.4250044295632429E-2"/>
    <n v="26897.661290322583"/>
    <n v="50667.80184540934"/>
  </r>
  <r>
    <s v="FEBRERO"/>
    <x v="1"/>
    <s v="146-2026"/>
    <d v="2026-01-05T00:00:00"/>
    <d v="2026-02-06T00:00:00"/>
    <n v="10"/>
    <x v="3"/>
    <s v="Conos"/>
    <s v="10 cm - up "/>
    <s v="Tailandia"/>
    <s v="Lat Krabang"/>
    <x v="2"/>
    <s v="Jose"/>
    <n v="2100"/>
    <n v="21000"/>
    <n v="2100"/>
    <n v="1458.3333333333335"/>
    <n v="19541.666666666668"/>
    <n v="1"/>
    <s v="ECO MARIN 26006S"/>
    <n v="6444023300"/>
    <s v="COSCO"/>
    <s v="PAITA"/>
    <n v="10007969"/>
    <s v="Compensación"/>
    <s v="FEBRERO10007969Compensación"/>
    <n v="1298.0939858348793"/>
    <n v="10499.590576041763"/>
    <n v="1976.4508396275346"/>
    <n v="154.98936803953117"/>
    <n v="349.9090746399645"/>
    <n v="12980.939858348793"/>
    <n v="10"/>
    <n v="1205.0788876276956"/>
    <n v="12050.788876276956"/>
    <n v="8019.0601416512072"/>
    <n v="0.38186000674529558"/>
    <n v="1458.3333333333335"/>
    <n v="197.82395162905274"/>
    <n v="723.84615384615381"/>
    <n v="2380.0034388085401"/>
    <n v="346.35011931713882"/>
    <n v="586.25"/>
    <n v="5878.956583525528"/>
    <n v="0.27995031350121563"/>
    <n v="908.63366578963473"/>
    <n v="4970.3229177358935"/>
    <n v="0.23668204370170923"/>
    <n v="755.57945297680976"/>
    <n v="6634.536036502338"/>
  </r>
  <r>
    <s v="FEBRERO"/>
    <x v="1"/>
    <s v="146-2026"/>
    <d v="2026-01-05T00:00:00"/>
    <d v="2026-02-06T00:00:00"/>
    <n v="14"/>
    <x v="1"/>
    <s v="Nucas"/>
    <s v="500-up"/>
    <s v="Tailandia "/>
    <s v="Lat Krabang"/>
    <x v="2"/>
    <s v="Jose"/>
    <n v="1700"/>
    <n v="23456"/>
    <n v="1700"/>
    <n v="2041.6666666666667"/>
    <n v="21414.333333333332"/>
    <n v="0"/>
    <m/>
    <m/>
    <m/>
    <m/>
    <n v="10005779"/>
    <s v="Compensación"/>
    <s v="FEBRERO10005779Compensación"/>
    <n v="1840.615098207184"/>
    <n v="15685.111953724419"/>
    <n v="5673.5351466995489"/>
    <n v="187.96970671476492"/>
    <n v="4221.9945677618425"/>
    <n v="25768.611374900574"/>
    <n v="14.849"/>
    <n v="1747.6000000000004"/>
    <n v="25950.112400000005"/>
    <n v="-2312.6113749005744"/>
    <n v="-9.8593595451081789E-2"/>
    <n v="2041.6666666666667"/>
    <n v="276.95353228067381"/>
    <n v="1013.3846153846155"/>
    <n v="3332.0048143319564"/>
    <n v="484.89016704399438"/>
    <n v="642.42999999999995"/>
    <n v="-5487.0763562765251"/>
    <n v="-0.23393060864071133"/>
    <n v="1272.0871321054888"/>
    <n v="-6759.1634883820134"/>
    <n v="-0.28816351843374888"/>
    <n v="1057.8112341675337"/>
    <n v="-4429.2651221089909"/>
  </r>
  <r>
    <s v="ENERO"/>
    <x v="0"/>
    <s v="147-2026"/>
    <d v="2026-01-10T00:00:00"/>
    <d v="2026-01-28T00:00:00"/>
    <n v="72"/>
    <x v="5"/>
    <s v="Alas"/>
    <s v="1 - 2 kgs."/>
    <s v="Tailandia "/>
    <s v="Bangkok"/>
    <x v="2"/>
    <s v="Jose"/>
    <n v="1887.7083333333333"/>
    <n v="135915"/>
    <n v="1754.25"/>
    <n v="9609"/>
    <n v="126306"/>
    <n v="3"/>
    <s v="ECO MARIN 26004N"/>
    <s v="LIMG01524600"/>
    <s v="ONE"/>
    <s v="PAITA"/>
    <n v="10006720"/>
    <s v="Compensación"/>
    <s v="ENERO10006720Compensación"/>
    <n v="1738.6442338709517"/>
    <n v="80708.237355928184"/>
    <n v="18674.883831127005"/>
    <n v="1170.5202921446628"/>
    <n v="21686.758072334378"/>
    <n v="122240.39955153422"/>
    <n v="69.7"/>
    <n v="1718.8475609756097"/>
    <n v="120156.942632387"/>
    <n v="13674.600448465775"/>
    <n v="0.10061141484358441"/>
    <n v="9609"/>
    <n v="1424.3324517291799"/>
    <n v="5211.6923076923076"/>
    <n v="16245.024759421489"/>
    <n v="14707.451612903227"/>
    <n v="3789.18"/>
    <n v="-13488.695923858941"/>
    <n v="-9.9243614934767618E-2"/>
    <n v="38105.129032258068"/>
    <n v="-51593.824956117009"/>
    <n v="-0.37960361222909178"/>
    <n v="35863.548387096773"/>
    <n v="22374.852463237832"/>
  </r>
  <r>
    <s v="ENERO"/>
    <x v="0"/>
    <m/>
    <d v="2026-01-31T00:00:00"/>
    <d v="2026-01-31T00:00:00"/>
    <n v="0"/>
    <x v="6"/>
    <s v="Residuos"/>
    <s v="Residuos"/>
    <s v="Residuos"/>
    <s v="Residuos"/>
    <x v="4"/>
    <m/>
    <n v="0"/>
    <n v="24314.28"/>
    <n v="0"/>
    <n v="0"/>
    <n v="24314.28"/>
    <m/>
    <m/>
    <m/>
    <m/>
    <m/>
    <m/>
    <m/>
    <m/>
    <n v="0"/>
    <n v="0"/>
    <n v="0"/>
    <n v="0"/>
    <n v="0"/>
    <n v="0"/>
    <m/>
    <m/>
    <m/>
    <n v="24314.28"/>
    <n v="1"/>
    <n v="0"/>
    <n v="0"/>
    <n v="0"/>
    <n v="0"/>
    <n v="0"/>
    <n v="0"/>
    <n v="24314.28"/>
    <n v="1"/>
    <n v="0"/>
    <n v="24314.28"/>
    <n v="1"/>
    <n v="0"/>
    <n v="24314.28"/>
  </r>
  <r>
    <s v="FEBRERO"/>
    <x v="1"/>
    <s v="148-2026"/>
    <d v="1900-01-14T00:00:00"/>
    <d v="2026-02-02T00:00:00"/>
    <n v="135"/>
    <x v="4"/>
    <s v="Filete"/>
    <s v="2-4 (B)"/>
    <s v="España "/>
    <s v="Vigo"/>
    <x v="5"/>
    <s v="Jorge"/>
    <n v="1650"/>
    <n v="222750"/>
    <n v="1480.962962962963"/>
    <n v="22820"/>
    <n v="199930"/>
    <n v="5"/>
    <s v="ODYSSEUS 606N"/>
    <n v="59582082"/>
    <s v="HAPAG"/>
    <s v="PAITA"/>
    <n v="10005721"/>
    <s v="Compensación"/>
    <s v="FEBRERO10005721Compensación"/>
    <n v="1765.2216716888854"/>
    <n v="144612.00092624253"/>
    <n v="47774.393939933281"/>
    <n v="2541.4765314781621"/>
    <n v="43377.054280345568"/>
    <n v="238304.92567799953"/>
    <n v="135"/>
    <n v="1672.2065734817018"/>
    <n v="251295.39"/>
    <n v="-15554.925677999534"/>
    <n v="-6.9831316175082078E-2"/>
    <n v="22820"/>
    <n v="2670.6233469922122"/>
    <n v="9771.923076923078"/>
    <n v="35262.546423915293"/>
    <n v="4675.7266107813739"/>
    <n v="5997.9"/>
    <n v="-49495.298712696203"/>
    <n v="-0.22220111655531405"/>
    <n v="12266.554488160069"/>
    <n v="-61761.853200856276"/>
    <n v="-0.27726982357286767"/>
    <n v="10256.328244508353"/>
    <n v="-39238.97046818785"/>
  </r>
  <r>
    <s v="FEBRERO"/>
    <x v="1"/>
    <s v="149-2026"/>
    <d v="1900-01-15T00:00:00"/>
    <d v="2026-02-02T00:00:00"/>
    <n v="27"/>
    <x v="0"/>
    <s v="Rejos"/>
    <m/>
    <s v="España "/>
    <s v="Vigo"/>
    <x v="3"/>
    <s v="Jorge"/>
    <n v="2873.5185185185187"/>
    <n v="77585"/>
    <n v="2711.8888888888887"/>
    <n v="4364"/>
    <n v="73221"/>
    <n v="1"/>
    <m/>
    <m/>
    <m/>
    <m/>
    <n v="10007567"/>
    <s v="Entradas"/>
    <s v="FEBRERO10007567Entradas"/>
    <n v="1745.2508737332942"/>
    <n v="29088.955538352959"/>
    <n v="8334.6849466464082"/>
    <n v="528.835359913601"/>
    <n v="9169.297745885975"/>
    <n v="47121.773590798941"/>
    <n v="26.302"/>
    <n v="1652.2357755261105"/>
    <n v="48129"/>
    <n v="30463.226409201059"/>
    <n v="0.3926432481691185"/>
    <n v="4364"/>
    <n v="534.12466939844239"/>
    <n v="1954.3846153846155"/>
    <n v="6852.5092847830574"/>
    <n v="935.1453221562748"/>
    <n v="2196.63"/>
    <n v="24872.20180226173"/>
    <n v="0.32058003225187509"/>
    <n v="2453.3108976320141"/>
    <n v="22418.890904629716"/>
    <n v="0.28895908880105325"/>
    <n v="2051.2656489016708"/>
    <n v="26923.4674511634"/>
  </r>
  <r>
    <s v="FEBRERO"/>
    <x v="1"/>
    <s v="150-2026A"/>
    <d v="1900-11-20T00:00:00"/>
    <d v="2026-02-16T00:00:00"/>
    <n v="26"/>
    <x v="2"/>
    <s v="Rejos"/>
    <s v="1-2 KG"/>
    <s v="España "/>
    <s v="Vigo"/>
    <x v="6"/>
    <s v="Avelino"/>
    <n v="2600"/>
    <n v="67600"/>
    <n v="2432.1538461538462"/>
    <n v="4364"/>
    <n v="63236"/>
    <n v="1"/>
    <s v="CAPE SPENCER 608N "/>
    <n v="11400418"/>
    <s v="HAPAG"/>
    <s v="PAITA"/>
    <n v="10007162"/>
    <s v="Compensación"/>
    <s v="FEBRERO10007162Compensación"/>
    <n v="1758.861309807008"/>
    <n v="28707.971034187925"/>
    <n v="8191.5894616150017"/>
    <n v="426.49256910440619"/>
    <n v="8404.3409900748629"/>
    <n v="45730.394054982207"/>
    <n v="26"/>
    <n v="1665.8462115998243"/>
    <n v="43312.001501595434"/>
    <n v="21869.605945017793"/>
    <n v="0.32351488084345847"/>
    <n v="4364"/>
    <n v="514.34227423553716"/>
    <n v="1882"/>
    <n v="6760.3422742355369"/>
    <n v="900.51031022456095"/>
    <n v="1897.08"/>
    <n v="16105.833360557695"/>
    <n v="0.23825197278931501"/>
    <n v="2362.4475310530506"/>
    <n v="13743.385829504645"/>
    <n v="0.20330452410509831"/>
    <n v="1975.2928470904976"/>
    <n v="18081.126207648194"/>
  </r>
  <r>
    <s v="FEBRERO"/>
    <x v="1"/>
    <s v="151-2025"/>
    <d v="1900-01-25T00:00:00"/>
    <d v="2026-02-27T00:00:00"/>
    <n v="27"/>
    <x v="7"/>
    <s v="Membrana"/>
    <m/>
    <s v="China "/>
    <s v="Qingdao"/>
    <x v="7"/>
    <m/>
    <n v="1429.8611111111111"/>
    <n v="38606.25"/>
    <n v="1322.4537037037037"/>
    <n v="2900"/>
    <n v="35706.25"/>
    <n v="1"/>
    <s v="ECO SIROCCO 26009S"/>
    <n v="6445502950"/>
    <s v="COSCO"/>
    <s v="PAITA"/>
    <n v="10009332"/>
    <s v="Entradas"/>
    <s v="FEBRERO10009332Entradas"/>
    <n v="1312.5248638321839"/>
    <n v="29388.919142759507"/>
    <n v="5377.893860857248"/>
    <n v="543.21917722686192"/>
    <n v="128.13914262535019"/>
    <n v="35438.171323468967"/>
    <n v="26.625"/>
    <n v="1219.5097656250002"/>
    <n v="40733.759999999995"/>
    <n v="3168.0786765310331"/>
    <n v="8.206128998623366E-2"/>
    <n v="2900"/>
    <n v="534.12466939844239"/>
    <n v="1954.3846153846155"/>
    <n v="5388.5092847830574"/>
    <n v="935.1453221562748"/>
    <n v="1071.1875"/>
    <n v="-2084.388430408299"/>
    <n v="-5.3990958210349334E-2"/>
    <n v="2453.3108976320141"/>
    <n v="-4537.699328040313"/>
    <n v="-0.11753794600719607"/>
    <n v="2051.2656489016708"/>
    <n v="-33.122781506628144"/>
  </r>
  <r>
    <s v="FEBRERO"/>
    <x v="1"/>
    <s v="151-2025"/>
    <d v="1900-01-25T00:00:00"/>
    <d v="2026-02-27T00:00:00"/>
    <n v="27"/>
    <x v="8"/>
    <s v="Telilla"/>
    <m/>
    <s v="China "/>
    <s v="Qingdao"/>
    <x v="7"/>
    <m/>
    <n v="1429.8611111111111"/>
    <n v="38606.25"/>
    <n v="1322.4537037037037"/>
    <n v="2900"/>
    <n v="35706.25"/>
    <n v="1"/>
    <s v="ECO SIROCCO 26009S"/>
    <n v="6445502950"/>
    <s v="COSCO"/>
    <s v="PAITA"/>
    <n v="10009332"/>
    <s v="Compensación"/>
    <s v="FEBRERO10009332Compensación"/>
    <n v="1312.5248638321839"/>
    <n v="28828.026905661765"/>
    <n v="5033.6698093573023"/>
    <n v="503.76195870799722"/>
    <n v="1072.7126497419006"/>
    <n v="35438.171323468967"/>
    <n v="26.625"/>
    <n v="1219.5097656250002"/>
    <n v="40354.030000000006"/>
    <n v="3168.0786765310331"/>
    <n v="8.206128998623366E-2"/>
    <n v="2900"/>
    <n v="534.12466939844239"/>
    <n v="1954.3846153846155"/>
    <n v="5388.5092847830574"/>
    <n v="935.1453221562748"/>
    <n v="1071.1875"/>
    <n v="-2084.388430408299"/>
    <n v="-5.3990958210349334E-2"/>
    <n v="2453.3108976320141"/>
    <n v="-4537.699328040313"/>
    <n v="-0.11753794600719607"/>
    <n v="2051.2656489016708"/>
    <n v="-33.122781506628144"/>
  </r>
  <r>
    <s v="FEBRERO"/>
    <x v="1"/>
    <s v="152-2026"/>
    <d v="1900-01-25T00:00:00"/>
    <d v="2026-02-09T00:00:00"/>
    <n v="27"/>
    <x v="2"/>
    <s v="Rejos"/>
    <s v="2-UP KG"/>
    <s v="España "/>
    <s v="Vigo"/>
    <x v="6"/>
    <s v="Avelino"/>
    <n v="2781.2962962962961"/>
    <n v="75095"/>
    <n v="2619.6666666666665"/>
    <n v="4364"/>
    <n v="70731"/>
    <n v="1"/>
    <s v="GEMLIK EXPRESS 607N "/>
    <n v="24312444"/>
    <s v="HAPAG"/>
    <s v="PAITA"/>
    <n v="10007162"/>
    <s v="Compensación"/>
    <s v="FEBRERO10007162Compensación"/>
    <n v="1758.861309807008"/>
    <n v="29812.123766272078"/>
    <n v="8506.650594754039"/>
    <n v="442.89612945457566"/>
    <n v="8727.5848743085116"/>
    <n v="47489.255364789213"/>
    <n v="27"/>
    <n v="1665.8462115998243"/>
    <n v="44977.847713195253"/>
    <n v="27605.744635210787"/>
    <n v="0.36761095459365856"/>
    <n v="4364"/>
    <n v="534.12466939844239"/>
    <n v="1954.3846153846155"/>
    <n v="6852.5092847830574"/>
    <n v="935.1453221562748"/>
    <n v="2121.9299999999998"/>
    <n v="21940.020028271458"/>
    <n v="0.29216352657662237"/>
    <n v="2453.3108976320141"/>
    <n v="19486.709130639443"/>
    <n v="0.25949409588706895"/>
    <n v="2051.2656489016708"/>
    <n v="23991.285677173128"/>
  </r>
  <r>
    <s v="FEBRERO"/>
    <x v="1"/>
    <s v="156-2026A"/>
    <d v="1900-01-26T00:00:00"/>
    <d v="2026-02-09T00:00:00"/>
    <n v="54"/>
    <x v="4"/>
    <s v="Filete"/>
    <s v="2-4 kg 100%  blanco, No polyphosphate,no medicine"/>
    <s v="China "/>
    <s v="Qingdao"/>
    <x v="8"/>
    <m/>
    <n v="1650"/>
    <n v="89100"/>
    <n v="1534.962962962963"/>
    <n v="6212"/>
    <n v="82888"/>
    <n v="2"/>
    <s v="CMA CGM IMAGINATION / 0DVITN1MA"/>
    <s v="LMM0571149"/>
    <s v="CMA CGM"/>
    <s v="PAITA"/>
    <n v="10005721"/>
    <s v="Compensación"/>
    <s v="FEBRERO10005721Compensación"/>
    <n v="1765.2216716888854"/>
    <n v="57844.800370497003"/>
    <n v="19109.757575973312"/>
    <n v="1016.5906125912649"/>
    <n v="17350.821712138226"/>
    <n v="95321.970271199811"/>
    <n v="54"/>
    <n v="1672.2065734817018"/>
    <n v="90299.154968011891"/>
    <n v="-6221.9702711998107"/>
    <n v="-6.983131617508205E-2"/>
    <n v="6212"/>
    <n v="1068.2493387968848"/>
    <n v="3908.7692307692309"/>
    <n v="11189.018569566115"/>
    <n v="1870.2906443125496"/>
    <n v="2486.64"/>
    <n v="-16794.639485078475"/>
    <n v="-0.18849202564622305"/>
    <n v="4906.6217952640282"/>
    <n v="-21701.261280342504"/>
    <n v="-0.2435607326637767"/>
    <n v="4102.5312978033417"/>
    <n v="-12692.108187275133"/>
  </r>
  <r>
    <s v="FEBRERO"/>
    <x v="1"/>
    <s v="156-2026B"/>
    <d v="1900-01-26T00:00:00"/>
    <d v="2026-02-18T00:00:00"/>
    <n v="81"/>
    <x v="4"/>
    <s v="Filete"/>
    <s v="2-4 kg 100%  blanco, No polyphosphate,no medicine"/>
    <s v="China "/>
    <s v="Qingdao"/>
    <x v="8"/>
    <m/>
    <n v="1650"/>
    <n v="133650"/>
    <n v="1534.962962962963"/>
    <n v="9318"/>
    <n v="124332"/>
    <n v="3"/>
    <s v="CMA CGM EXCELLENCE 0DVNNN1MA"/>
    <s v="LMM0571699"/>
    <s v="CMA CGM"/>
    <s v="PAITA"/>
    <n v="10005721"/>
    <s v="Compensación"/>
    <s v="FEBRERO10005721Compensación"/>
    <n v="1765.2216716888854"/>
    <n v="86767.200555745498"/>
    <n v="28664.636363959966"/>
    <n v="1524.8859188868973"/>
    <n v="26026.232568207339"/>
    <n v="142982.95540679971"/>
    <n v="81"/>
    <n v="1672.2065734817018"/>
    <n v="135448.73245201784"/>
    <n v="-9332.9554067997087"/>
    <n v="-6.9831316175081995E-2"/>
    <n v="9318"/>
    <n v="1602.3740081953272"/>
    <n v="5863.1538461538466"/>
    <n v="16783.527854349173"/>
    <n v="2805.4359664688245"/>
    <n v="3729.96"/>
    <n v="-25191.959227617706"/>
    <n v="-0.18849202564622303"/>
    <n v="7359.9326928960418"/>
    <n v="-32551.89192051375"/>
    <n v="-0.24356073266377665"/>
    <n v="6153.7969467050116"/>
    <n v="-19038.162280912693"/>
  </r>
  <r>
    <s v="FEBRERO"/>
    <x v="1"/>
    <s v="157-2026"/>
    <d v="1900-01-27T00:00:00"/>
    <d v="2026-02-13T00:00:00"/>
    <n v="24"/>
    <x v="3"/>
    <s v="Conos"/>
    <m/>
    <s v="Tailandia"/>
    <s v="Lat Krabang"/>
    <x v="2"/>
    <s v="Jose"/>
    <n v="2000"/>
    <n v="48000"/>
    <n v="1854.1666666666667"/>
    <n v="3500"/>
    <n v="44500"/>
    <n v="1"/>
    <s v="ECO SIROCCO 26007S"/>
    <n v="6445030580"/>
    <s v="COSCO"/>
    <s v="PAITA"/>
    <n v="10007969"/>
    <s v="Compensación"/>
    <s v="FEBRERO10007969Compensación"/>
    <n v="1298.0939858348793"/>
    <n v="25199.017382500231"/>
    <n v="4743.4820151060831"/>
    <n v="371.9744832948748"/>
    <n v="839.7817791359148"/>
    <n v="31154.255660037103"/>
    <n v="23.14"/>
    <n v="1205.0788876276956"/>
    <n v="27885.525459704877"/>
    <n v="16845.744339962897"/>
    <n v="0.35095300708256039"/>
    <n v="3500"/>
    <n v="474.77748390972658"/>
    <n v="1737.2307692307693"/>
    <n v="5712.008253140496"/>
    <n v="831.24028636113326"/>
    <n v="1335"/>
    <n v="11637.495800461269"/>
    <n v="0.24244782917627644"/>
    <n v="2180.7207978951237"/>
    <n v="9456.7750025661444"/>
    <n v="0.19701614588679467"/>
    <n v="1823.3472434681516"/>
    <n v="13460.843043929421"/>
  </r>
  <r>
    <s v="FEBRERO"/>
    <x v="1"/>
    <s v="160-2026"/>
    <d v="1900-01-29T00:00:00"/>
    <d v="2026-02-13T00:00:00"/>
    <n v="108"/>
    <x v="5"/>
    <s v="Alas"/>
    <m/>
    <s v="China "/>
    <s v="Qingdao"/>
    <x v="2"/>
    <s v="Jose"/>
    <n v="1600"/>
    <n v="172800"/>
    <n v="1492.5925925925926"/>
    <n v="11600"/>
    <n v="161200"/>
    <n v="4"/>
    <s v="ECO SIROCCO 26007S"/>
    <n v="6445031110"/>
    <s v="COSCO"/>
    <s v="PAITA"/>
    <n v="10006720"/>
    <s v="Compensación"/>
    <s v="FEBRERO10006720Compensación"/>
    <n v="1687.5784164208503"/>
    <n v="118149.03960395469"/>
    <n v="27034.726612342896"/>
    <n v="1770.7574924361886"/>
    <n v="35303.945264718073"/>
    <n v="182258.46897345185"/>
    <n v="108"/>
    <n v="1594.5633182136667"/>
    <n v="172212.83836707601"/>
    <n v="-9458.468973451847"/>
    <n v="-5.4736510263031522E-2"/>
    <n v="11600"/>
    <n v="2136.4986775937696"/>
    <n v="7817.5384615384619"/>
    <n v="21554.03713913223"/>
    <n v="3740.5812886250992"/>
    <n v="4836"/>
    <n v="-29917.087401209174"/>
    <n v="-0.17313129283107159"/>
    <n v="9813.2435905280563"/>
    <n v="-39730.330991737232"/>
    <n v="-0.22992089694292381"/>
    <n v="8205.0625956066833"/>
    <n v="-21712.02480560249"/>
  </r>
  <r>
    <s v="FEBRERO"/>
    <x v="1"/>
    <s v="160-2026"/>
    <d v="1900-01-29T00:00:00"/>
    <d v="2026-02-13T00:00:00"/>
    <n v="108"/>
    <x v="5"/>
    <s v="Alas"/>
    <m/>
    <s v="China "/>
    <s v="Qingdao"/>
    <x v="2"/>
    <s v="Jose"/>
    <n v="1600"/>
    <n v="172800"/>
    <n v="1492.5925925925926"/>
    <n v="11600"/>
    <n v="161200"/>
    <n v="4"/>
    <s v="ECO SIROCCO 26007S"/>
    <n v="6445031130"/>
    <s v="COSCO"/>
    <s v="PAITA"/>
    <n v="10006720"/>
    <s v="Compensación"/>
    <s v="FEBRERO10006720Compensación"/>
    <n v="1687.5784164208503"/>
    <n v="118149.03960395469"/>
    <n v="27034.726612342896"/>
    <n v="1770.7574924361886"/>
    <n v="35303.945264718073"/>
    <n v="182258.46897345185"/>
    <n v="108"/>
    <n v="1594.5633182136667"/>
    <n v="172212.83836707601"/>
    <n v="-9458.468973451847"/>
    <n v="-5.4736510263031522E-2"/>
    <n v="11600"/>
    <n v="2136.4986775937696"/>
    <n v="7817.5384615384619"/>
    <n v="21554.03713913223"/>
    <n v="3740.5812886250992"/>
    <n v="4836"/>
    <n v="-29917.087401209174"/>
    <n v="-0.17313129283107159"/>
    <n v="9813.2435905280563"/>
    <n v="-39730.330991737232"/>
    <n v="-0.22992089694292381"/>
    <n v="8205.0625956066833"/>
    <n v="-21712.02480560249"/>
  </r>
  <r>
    <s v="FEBRERO"/>
    <x v="1"/>
    <s v="162-2026A"/>
    <d v="1900-02-02T00:00:00"/>
    <d v="2026-02-17T00:00:00"/>
    <n v="115.5"/>
    <x v="5"/>
    <s v="Alas"/>
    <s v="1-2 KG"/>
    <s v="China "/>
    <s v="Qingdao"/>
    <x v="9"/>
    <s v="James"/>
    <n v="1500"/>
    <n v="173250"/>
    <n v="1382.987012987013"/>
    <n v="13515"/>
    <n v="159735"/>
    <n v="5"/>
    <s v="ECO SIROCCO 26007N"/>
    <s v="LIMG02628500"/>
    <s v="ONE"/>
    <s v="PAITA"/>
    <n v="10006720"/>
    <s v="Compensación"/>
    <s v="FEBRERO10006720Compensación"/>
    <n v="1687.5784164208503"/>
    <n v="126353.83402089599"/>
    <n v="28912.138182644485"/>
    <n v="1893.7267627442573"/>
    <n v="37755.60813032349"/>
    <n v="194915.30709660822"/>
    <n v="115.5"/>
    <n v="1594.5633182136667"/>
    <n v="184172.0632536785"/>
    <n v="-21665.307096608216"/>
    <n v="-0.12505227761390023"/>
    <n v="13515"/>
    <n v="2284.8666413155593"/>
    <n v="8360.423076923078"/>
    <n v="24160.289718238637"/>
    <n v="4000.3438781129535"/>
    <n v="4792.05"/>
    <n v="-45033.890692959802"/>
    <n v="-0.25993587701564097"/>
    <n v="10494.718839870282"/>
    <n v="-55528.609532830087"/>
    <n v="-0.32051145473495002"/>
    <n v="8774.8586091904799"/>
    <n v="-36259.032083769322"/>
  </r>
  <r>
    <s v="FEBRERO"/>
    <x v="1"/>
    <s v="162-2026B"/>
    <d v="1900-02-02T00:00:00"/>
    <d v="2026-02-17T00:00:00"/>
    <n v="46.8"/>
    <x v="5"/>
    <s v="Alas"/>
    <s v="1-2 KG"/>
    <s v="China "/>
    <s v="Dalian"/>
    <x v="9"/>
    <s v="James"/>
    <n v="1500"/>
    <n v="70200"/>
    <n v="1380.2136752136753"/>
    <n v="5606"/>
    <n v="64594"/>
    <n v="2"/>
    <s v="ECO SIROCCO 26007N"/>
    <s v="LIMG02851300"/>
    <s v="ONE"/>
    <s v="PAITA"/>
    <n v="10006720"/>
    <s v="Compensación"/>
    <s v="FEBRERO10006720Compensación"/>
    <n v="1687.5784164208503"/>
    <n v="51197.917161713696"/>
    <n v="11715.04819868192"/>
    <n v="767.32824672234824"/>
    <n v="15298.376281377828"/>
    <n v="78978.669888495788"/>
    <n v="46.8"/>
    <n v="1594.5633182136667"/>
    <n v="74625.563292399602"/>
    <n v="-8778.6698884957877"/>
    <n v="-0.12505227761390011"/>
    <n v="5606"/>
    <n v="925.81609362396682"/>
    <n v="3387.6"/>
    <n v="9919.4160936239659"/>
    <n v="1620.9185584042095"/>
    <n v="1937.82"/>
    <n v="-18381.184540523962"/>
    <n v="-0.26184023561999947"/>
    <n v="4252.4055558954906"/>
    <n v="-22633.590096419452"/>
    <n v="-0.32241581333930841"/>
    <n v="3555.5271247628957"/>
    <n v="-14825.657415761067"/>
  </r>
  <r>
    <s v="FEBRERO"/>
    <x v="1"/>
    <s v="162-2026C"/>
    <d v="1900-02-02T00:00:00"/>
    <d v="2026-02-17T00:00:00"/>
    <n v="81"/>
    <x v="5"/>
    <s v="Alas"/>
    <s v="1-2 KG"/>
    <s v="China "/>
    <s v="Xiamen "/>
    <x v="9"/>
    <s v="James"/>
    <n v="1500"/>
    <n v="121500"/>
    <n v="1385.0740740740741"/>
    <n v="9309"/>
    <n v="112191"/>
    <n v="3"/>
    <s v="ECO SIROCCO 26007N"/>
    <s v="LIMG02630500"/>
    <s v="ONE"/>
    <s v="PAITA"/>
    <n v="10006720"/>
    <s v="Compensación"/>
    <s v="FEBRERO10006720Compensación"/>
    <n v="1687.5784164208503"/>
    <n v="88611.779702966014"/>
    <n v="20276.044959257171"/>
    <n v="1328.0681193271414"/>
    <n v="26477.958948538551"/>
    <n v="136693.85173008888"/>
    <n v="81"/>
    <n v="1594.5633182136667"/>
    <n v="129159.62877530701"/>
    <n v="-15193.851730088878"/>
    <n v="-0.12505227761390023"/>
    <n v="9309"/>
    <n v="1602.3740081953272"/>
    <n v="5863.1538461538466"/>
    <n v="16774.527854349173"/>
    <n v="2805.4359664688245"/>
    <n v="3365.73"/>
    <n v="-31408.085550906875"/>
    <n v="-0.25850276173585907"/>
    <n v="7359.9326928960418"/>
    <n v="-38768.018243802915"/>
    <n v="-0.319078339455168"/>
    <n v="6153.7969467050116"/>
    <n v="-25254.288604201865"/>
  </r>
  <r>
    <s v="FEBRERO"/>
    <x v="1"/>
    <s v="164-2026"/>
    <d v="1900-02-08T00:00:00"/>
    <d v="2026-02-27T00:00:00"/>
    <n v="27"/>
    <x v="9"/>
    <s v="Daruma"/>
    <m/>
    <s v="China "/>
    <s v="Yantai"/>
    <x v="10"/>
    <s v="julia"/>
    <n v="3400"/>
    <n v="91800"/>
    <n v="3292.5925925925926"/>
    <n v="2900"/>
    <n v="88900"/>
    <n v="1"/>
    <s v="ECO SIROCCO 26009S"/>
    <n v="6445569300"/>
    <s v="COSCO"/>
    <s v="PAITA"/>
    <n v="10009239"/>
    <s v="Compensación"/>
    <s v="FEBRERO10009239Compensación"/>
    <n v="2162.0637093182954"/>
    <n v="29695.701246086359"/>
    <n v="19399.333341164038"/>
    <n v="373.38300629398708"/>
    <n v="8907.3025580495996"/>
    <n v="58375.720151593974"/>
    <n v="27"/>
    <n v="2069.0486111111118"/>
    <n v="55864.312500000015"/>
    <n v="33424.279848406026"/>
    <n v="0.3640989090240308"/>
    <n v="2900"/>
    <n v="534.12466939844239"/>
    <n v="1954.3846153846155"/>
    <n v="5388.5092847830574"/>
    <n v="935.1453221562748"/>
    <n v="2667"/>
    <n v="29767.625241466696"/>
    <n v="0.32426607016848252"/>
    <n v="2453.3108976320141"/>
    <n v="27314.314343834681"/>
    <n v="0.29754155058643444"/>
    <n v="2051.2656489016708"/>
    <n v="31818.890890368366"/>
  </r>
  <r>
    <s v="FEBRERO"/>
    <x v="1"/>
    <s v="168-2026A"/>
    <d v="1900-02-11T00:00:00"/>
    <d v="2026-02-24T00:00:00"/>
    <n v="351"/>
    <x v="4"/>
    <s v="Filete "/>
    <s v="2-4 AA"/>
    <s v="China "/>
    <s v="Qingdao"/>
    <x v="9"/>
    <s v="James"/>
    <n v="1300"/>
    <n v="456300"/>
    <n v="1300"/>
    <n v="40339"/>
    <n v="415961"/>
    <n v="13"/>
    <s v="ECO MARIN 26008N"/>
    <n v="6445505270"/>
    <s v="COSCO"/>
    <s v="PAITA"/>
    <n v="10005721"/>
    <s v="Compensación"/>
    <s v="FEBRERO10005721Compensación"/>
    <n v="1765.2216716888854"/>
    <n v="375991.20240823057"/>
    <n v="124213.42424382654"/>
    <n v="6607.8389818432224"/>
    <n v="112780.34112889848"/>
    <n v="619592.80676279881"/>
    <n v="351"/>
    <n v="1672.2065734817018"/>
    <n v="586944.50729207729"/>
    <n v="-163292.80676279881"/>
    <n v="-0.35786282437606576"/>
    <n v="40339"/>
    <n v="6943.6207021797509"/>
    <n v="25407"/>
    <n v="72689.62070217976"/>
    <n v="12156.889188031573"/>
    <n v="12478.83"/>
    <n v="-235660.48665301016"/>
    <n v="-0.51645953682447987"/>
    <n v="31893.041669216182"/>
    <n v="-267553.52832222637"/>
    <n v="-0.58635443419291333"/>
    <n v="26666.453435721716"/>
    <n v="-208994.03321728844"/>
  </r>
  <r>
    <s v="FEBRERO"/>
    <x v="1"/>
    <s v="168-2026B"/>
    <d v="1900-02-11T00:00:00"/>
    <d v="2026-02-22T00:00:00"/>
    <n v="135"/>
    <x v="4"/>
    <s v="Filete "/>
    <s v="2-4 AA"/>
    <s v="China "/>
    <s v="shidao"/>
    <x v="9"/>
    <s v="James"/>
    <n v="1300"/>
    <n v="175500"/>
    <n v="1300"/>
    <n v="15515"/>
    <n v="159985"/>
    <n v="5"/>
    <s v="ECO MARIN 26008S"/>
    <n v="6445260920"/>
    <s v="COSCO"/>
    <s v="PAITA"/>
    <n v="10005721"/>
    <s v="Compensación"/>
    <s v="FEBRERO10005721Compensación"/>
    <n v="1765.2216716888854"/>
    <n v="144612.00092624253"/>
    <n v="47774.393939933281"/>
    <n v="2541.4765314781621"/>
    <n v="43377.054280345568"/>
    <n v="238304.92567799953"/>
    <n v="135"/>
    <n v="1672.2065734817018"/>
    <n v="238110"/>
    <n v="-62804.925677999534"/>
    <n v="-0.3578628243760657"/>
    <n v="15515"/>
    <n v="2670.6233469922122"/>
    <n v="9771.923076923078"/>
    <n v="27957.54642391529"/>
    <n v="4675.7266107813739"/>
    <n v="4799.55"/>
    <n v="-90638.648712696202"/>
    <n v="-0.51645953682447976"/>
    <n v="12266.554488160069"/>
    <n v="-102905.20320085627"/>
    <n v="-0.58635443419291322"/>
    <n v="10256.328244508353"/>
    <n v="-80382.320468187856"/>
  </r>
  <r>
    <s v="FEBRERO"/>
    <x v="1"/>
    <s v="168-2026C"/>
    <d v="1900-02-11T00:00:00"/>
    <d v="2026-02-22T00:00:00"/>
    <n v="54"/>
    <x v="4"/>
    <s v="Filete "/>
    <s v="2-4 AA"/>
    <s v="China "/>
    <s v="Xiamen "/>
    <x v="9"/>
    <s v="James"/>
    <n v="1300"/>
    <n v="70200"/>
    <n v="1300"/>
    <n v="6206"/>
    <n v="63994"/>
    <n v="2"/>
    <s v="ECO MARIN 26008S"/>
    <n v="6445502930"/>
    <s v="COSCO"/>
    <s v="PAITA"/>
    <n v="10005721"/>
    <s v="Compensación"/>
    <s v="FEBRERO10005721Compensación"/>
    <n v="1765.2216716888854"/>
    <n v="57844.800370497003"/>
    <n v="19109.757575973312"/>
    <n v="1016.5906125912649"/>
    <n v="17350.821712138226"/>
    <n v="95321.970271199811"/>
    <n v="54"/>
    <n v="1672.2065734817018"/>
    <n v="90299.154968011891"/>
    <n v="-25121.970271199811"/>
    <n v="-0.3578628243760657"/>
    <n v="6206"/>
    <n v="1068.2493387968848"/>
    <n v="3908.7692307692309"/>
    <n v="11183.018569566115"/>
    <n v="1870.2906443125496"/>
    <n v="1919.82"/>
    <n v="-36255.459485078471"/>
    <n v="-0.51645953682447965"/>
    <n v="4906.6217952640282"/>
    <n v="-41162.0812803425"/>
    <n v="-0.58635443419291311"/>
    <n v="4102.5312978033417"/>
    <n v="-32152.928187275131"/>
  </r>
  <r>
    <s v="FEBRERO"/>
    <x v="1"/>
    <s v="170-2026A"/>
    <d v="1900-02-11T00:00:00"/>
    <d v="2026-02-23T00:00:00"/>
    <n v="156"/>
    <x v="2"/>
    <s v="Rejos"/>
    <s v="9 FCL 1-2 / 1 FCL 2-UP"/>
    <s v="España "/>
    <s v="Vigo"/>
    <x v="11"/>
    <s v="Ramon"/>
    <n v="2500"/>
    <n v="390000"/>
    <n v="2337.2307692307691"/>
    <n v="25392"/>
    <n v="364608"/>
    <n v="4"/>
    <s v="CAPE SABLE 609N"/>
    <n v="11428031"/>
    <s v="HAPAG"/>
    <s v="PAITA"/>
    <n v="10007162"/>
    <s v="Compensación"/>
    <s v="FEBRERO10007162Compensación"/>
    <n v="1758.861309807008"/>
    <n v="172247.82620512758"/>
    <n v="49149.536769690014"/>
    <n v="2558.9554146264372"/>
    <n v="50426.045940449185"/>
    <n v="274382.36432989326"/>
    <n v="156"/>
    <n v="1665.8462115998243"/>
    <n v="259872.00900957259"/>
    <n v="115617.63567010674"/>
    <n v="0.2964554760771968"/>
    <n v="25392"/>
    <n v="3086.053645413223"/>
    <n v="11292"/>
    <n v="39770.053645413223"/>
    <n v="5403.0618613473662"/>
    <n v="10938.24"/>
    <n v="81382.76016334616"/>
    <n v="0.20867374400857991"/>
    <n v="14174.685186318302"/>
    <n v="67208.074977027863"/>
    <n v="0.17232839737699451"/>
    <n v="11851.757082542987"/>
    <n v="93234.517245889147"/>
  </r>
  <r>
    <s v="FEBRERO"/>
    <x v="1"/>
    <m/>
    <d v="2026-02-27T00:00:00"/>
    <d v="2026-02-27T00:00:00"/>
    <n v="0"/>
    <x v="6"/>
    <s v="Residuos"/>
    <s v="Residuos"/>
    <s v="Residuos"/>
    <s v="Residuos"/>
    <x v="4"/>
    <m/>
    <n v="0"/>
    <n v="40026"/>
    <n v="0"/>
    <n v="0"/>
    <n v="40026"/>
    <m/>
    <m/>
    <m/>
    <m/>
    <m/>
    <m/>
    <m/>
    <m/>
    <n v="0"/>
    <n v="0"/>
    <n v="0"/>
    <n v="0"/>
    <n v="0"/>
    <n v="0"/>
    <m/>
    <m/>
    <m/>
    <n v="40026"/>
    <n v="1"/>
    <n v="0"/>
    <n v="0"/>
    <n v="0"/>
    <n v="0"/>
    <n v="0"/>
    <n v="0"/>
    <n v="40026"/>
    <n v="1"/>
    <n v="0"/>
    <n v="40026"/>
    <n v="1"/>
    <n v="0"/>
    <n v="40026"/>
  </r>
  <r>
    <s v="FEBRERO"/>
    <x v="2"/>
    <s v="150-2026B"/>
    <d v="1900-11-20T00:00:00"/>
    <d v="2026-03-03T00:00:00"/>
    <n v="26"/>
    <x v="2"/>
    <s v="Rejos"/>
    <s v="1-2 KG"/>
    <s v="España "/>
    <s v="Vigo"/>
    <x v="6"/>
    <s v="Avelino"/>
    <n v="2600"/>
    <n v="67600"/>
    <n v="2518.6153846153848"/>
    <n v="4232"/>
    <n v="63368"/>
    <n v="1"/>
    <s v="LEONIDAS Z 610N"/>
    <n v="51077247"/>
    <m/>
    <m/>
    <n v="10007162"/>
    <s v="Inventario final"/>
    <s v="FEBRERO10007162Inventario final"/>
    <n v="1766.7551345683703"/>
    <n v="28165.463625247896"/>
    <n v="7996.736806726075"/>
    <n v="425.85042752523856"/>
    <n v="9347.5826392784129"/>
    <n v="45935.633498777628"/>
    <m/>
    <n v="2018.1792863359442"/>
    <m/>
    <n v="21664.366501222372"/>
    <n v="0.32047879439678068"/>
    <n v="4232"/>
    <n v="514.34227423553716"/>
    <n v="1882"/>
    <n v="6628.3422742355369"/>
    <n v="1023.6767211143401"/>
    <n v="1901.04"/>
    <n v="15913.387505872495"/>
    <n v="0.23540514061941561"/>
    <n v="2012.3749874736948"/>
    <n v="13901.0125183988"/>
    <n v="0.20563627985797042"/>
    <n v="1607.0643207528283"/>
    <n v="17520.451826625322"/>
  </r>
  <r>
    <s v="FEBRERO"/>
    <x v="2"/>
    <s v="150-2026C"/>
    <d v="1900-11-20T00:00:00"/>
    <d v="2026-03-03T00:00:00"/>
    <n v="26"/>
    <x v="2"/>
    <s v="Rejos"/>
    <s v="1-2 KG"/>
    <s v="España "/>
    <s v="Vigo"/>
    <x v="6"/>
    <s v="Avelino"/>
    <n v="2600"/>
    <n v="67600"/>
    <n v="2518.6153846153848"/>
    <n v="4232"/>
    <n v="63368"/>
    <n v="1"/>
    <s v="LEONIDAS Z 610N"/>
    <n v="37563181"/>
    <m/>
    <m/>
    <n v="10007162"/>
    <s v="Inventario final"/>
    <s v="FEBRERO10007162Inventario final"/>
    <n v="1766.7551345683703"/>
    <n v="28165.463625247896"/>
    <n v="7996.736806726075"/>
    <n v="425.85042752523856"/>
    <n v="9347.5826392784129"/>
    <n v="45935.633498777628"/>
    <m/>
    <n v="2018.1792863359442"/>
    <m/>
    <n v="21664.366501222372"/>
    <n v="0.32047879439678068"/>
    <n v="4232"/>
    <n v="514.34227423553716"/>
    <n v="1882"/>
    <n v="6628.3422742355369"/>
    <n v="1023.6767211143401"/>
    <n v="1901.04"/>
    <n v="15913.387505872495"/>
    <n v="0.23540514061941561"/>
    <n v="2012.3749874736948"/>
    <n v="13901.0125183988"/>
    <n v="0.20563627985797042"/>
    <n v="1607.0643207528283"/>
    <n v="17520.451826625322"/>
  </r>
  <r>
    <s v="FEBRERO"/>
    <x v="2"/>
    <s v="159-2026A"/>
    <d v="1900-01-29T00:00:00"/>
    <d v="2026-03-03T00:00:00"/>
    <n v="24"/>
    <x v="4"/>
    <s v="Filete"/>
    <s v="B"/>
    <s v="Japón "/>
    <s v="Sendai"/>
    <x v="2"/>
    <s v="Jose"/>
    <n v="1700"/>
    <n v="39610"/>
    <n v="1562.375"/>
    <n v="3303"/>
    <n v="36307"/>
    <n v="1"/>
    <s v="ECO SIROCCO 26009N"/>
    <s v="LIMG03265300"/>
    <s v="ONE"/>
    <s v="PAITA"/>
    <n v="10005721"/>
    <s v="Inventario final"/>
    <s v="FEBRERO10005721Inventario final"/>
    <n v="1843.8447259243096"/>
    <n v="26874.888580887997"/>
    <n v="7874.9003078254636"/>
    <n v="482.43411840152658"/>
    <n v="9020.0504150684392"/>
    <n v="44252.273422183425"/>
    <m/>
    <n v="2095.2688776918835"/>
    <m/>
    <n v="-4642.2734221834253"/>
    <n v="-0.11719953098165678"/>
    <n v="3303"/>
    <n v="474.77748390972658"/>
    <n v="1737.2307692307693"/>
    <n v="5515.008253140496"/>
    <n v="944.93235795169858"/>
    <n v="1089.21"/>
    <n v="-10013.004033275618"/>
    <n v="-0.25278980139549656"/>
    <n v="1857.5769115141798"/>
    <n v="-11870.580944789797"/>
    <n v="-0.29968646666977522"/>
    <n v="1483.443988387226"/>
    <n v="-8529.5600448883924"/>
  </r>
  <r>
    <s v="FEBRERO"/>
    <x v="2"/>
    <s v="161-2026A"/>
    <d v="1900-01-29T00:00:00"/>
    <d v="2026-03-04T00:00:00"/>
    <n v="72"/>
    <x v="1"/>
    <s v="Nucas"/>
    <s v="500-up"/>
    <s v="Tailandia "/>
    <s v="Lat Krabang"/>
    <x v="2"/>
    <s v="Jose"/>
    <n v="1400"/>
    <n v="94640"/>
    <n v="1266.5416666666667"/>
    <n v="9609"/>
    <n v="85031"/>
    <n v="3"/>
    <s v="ECO SIROCCO 26009N"/>
    <s v="LIMG03094300"/>
    <s v="ONE LINE"/>
    <s v="PAITA"/>
    <n v="10005779"/>
    <s v="Inventario final"/>
    <s v="FEBRERO10005779Inventario final"/>
    <n v="1848.8139327140159"/>
    <n v="77286.438786047816"/>
    <n v="29412.192720785511"/>
    <n v="850.24345678864745"/>
    <n v="25565.728191787166"/>
    <n v="133114.60315540916"/>
    <m/>
    <n v="2100.2380844815898"/>
    <m/>
    <n v="-38474.603155409161"/>
    <n v="-0.4065363816082963"/>
    <n v="9609"/>
    <n v="1424.3324517291799"/>
    <n v="5211.6923076923076"/>
    <n v="16245.024759421489"/>
    <n v="2834.7970738550957"/>
    <n v="2550.9299999999998"/>
    <n v="-55003.494988685743"/>
    <n v="-0.58118654890834476"/>
    <n v="5572.7307345425397"/>
    <n v="-60576.225723228286"/>
    <n v="-0.64007000975515937"/>
    <n v="4450.3319651616785"/>
    <n v="-50553.163023524066"/>
  </r>
  <r>
    <s v="FEBRERO"/>
    <x v="2"/>
    <s v="161-2026B"/>
    <d v="1900-01-29T00:00:00"/>
    <d v="2026-03-27T00:00:00"/>
    <n v="48"/>
    <x v="1"/>
    <s v="Nucas"/>
    <s v="500-up"/>
    <s v="Tailandia "/>
    <s v="Lat Krabang"/>
    <x v="2"/>
    <s v="Jose"/>
    <n v="1400"/>
    <n v="67200"/>
    <n v="1254.1666666666667"/>
    <n v="7000"/>
    <n v="60200"/>
    <n v="2"/>
    <s v="ECO SIROCCO 26013S"/>
    <n v="6446527790"/>
    <s v="COSCO"/>
    <s v="PAITA"/>
    <n v="10005779"/>
    <s v="Inventario final"/>
    <s v="FEBRERO10005779Inventario final"/>
    <n v="1848.8139327140159"/>
    <n v="51524.29252403188"/>
    <n v="19608.128480523676"/>
    <n v="566.82897119243171"/>
    <n v="17043.818794524777"/>
    <n v="88743.068770272759"/>
    <m/>
    <n v="2100.2380844815898"/>
    <m/>
    <n v="-21543.068770272759"/>
    <n v="-0.32058138051001128"/>
    <n v="7000"/>
    <n v="949.55496781945317"/>
    <n v="3474.4615384615386"/>
    <n v="11424.016506280992"/>
    <n v="1889.8647159033972"/>
    <n v="1806"/>
    <n v="-33050.949992457143"/>
    <n v="-0.49182961298299321"/>
    <n v="3715.1538230283595"/>
    <n v="-36766.103815485505"/>
    <n v="-0.54711464011139144"/>
    <n v="2966.887976774452"/>
    <n v="-30084.062015682692"/>
  </r>
  <r>
    <s v="FEBRERO"/>
    <x v="2"/>
    <s v="163-2026"/>
    <d v="1900-02-02T00:00:00"/>
    <d v="2026-03-06T00:00:00"/>
    <n v="48"/>
    <x v="5"/>
    <s v="Alas"/>
    <s v="1-up"/>
    <s v="korea"/>
    <s v="Busan"/>
    <x v="2"/>
    <s v="Jose"/>
    <n v="1600"/>
    <n v="76800"/>
    <n v="1479.1666666666667"/>
    <n v="5800"/>
    <n v="71000"/>
    <n v="2"/>
    <s v="ECO MARIN 26010S"/>
    <n v="6445718250"/>
    <s v="COSCO"/>
    <s v="PAITA"/>
    <n v="10006720"/>
    <s v="Inventario final"/>
    <s v="FEBRERO10006720Inventario final"/>
    <n v="1697.773966045401"/>
    <n v="52293.587011734999"/>
    <n v="10999.292155823263"/>
    <n v="761.45985296296817"/>
    <n v="17438.811349658019"/>
    <n v="81493.150370179239"/>
    <m/>
    <n v="1949.1981178129749"/>
    <m/>
    <n v="-4693.150370179239"/>
    <n v="-6.1108728778375504E-2"/>
    <n v="5800"/>
    <n v="949.55496781945317"/>
    <n v="3474.4615384615386"/>
    <n v="10224.016506280992"/>
    <n v="1889.8647159033972"/>
    <n v="2130"/>
    <n v="-14677.03159236363"/>
    <n v="-0.19110718219223477"/>
    <n v="3715.1538230283595"/>
    <n v="-18392.185415391988"/>
    <n v="-0.23948158092958319"/>
    <n v="2966.887976774452"/>
    <n v="-11710.143615589179"/>
  </r>
  <r>
    <s v="FEBRERO"/>
    <x v="2"/>
    <s v="165-2026"/>
    <d v="1900-02-08T00:00:00"/>
    <d v="2026-03-24T00:00:00"/>
    <n v="27"/>
    <x v="7"/>
    <s v="Membrana"/>
    <m/>
    <s v="China "/>
    <s v="Qingdao"/>
    <x v="8"/>
    <m/>
    <n v="1400"/>
    <n v="37800"/>
    <n v="1271.6296296296296"/>
    <n v="3466"/>
    <n v="34334"/>
    <n v="1"/>
    <s v="CMA CGM BETTER WAYS 0DVOHN1MA"/>
    <s v="LMM0577574"/>
    <s v="CMA CGM"/>
    <s v="PAITA"/>
    <m/>
    <m/>
    <m/>
    <n v="0"/>
    <n v="0"/>
    <n v="0"/>
    <n v="0"/>
    <n v="0"/>
    <n v="0"/>
    <m/>
    <n v="0"/>
    <m/>
    <n v="37800"/>
    <n v="1"/>
    <n v="3466"/>
    <n v="534.12466939844239"/>
    <n v="1954.3846153846155"/>
    <n v="5954.5092847830574"/>
    <n v="1063.0489026956609"/>
    <n v="1030.02"/>
    <n v="31812.461812521284"/>
    <n v="0.84159951884976936"/>
    <n v="2089.7740254534524"/>
    <n v="29722.687787067833"/>
    <n v="0.78631449172137124"/>
    <n v="1668.8744869356292"/>
    <n v="33481.336299456911"/>
  </r>
  <r>
    <s v="FEBRERO"/>
    <x v="2"/>
    <s v="167-2026"/>
    <d v="1900-02-10T00:00:00"/>
    <d v="2026-03-23T00:00:00"/>
    <n v="48"/>
    <x v="3"/>
    <s v="Conos"/>
    <m/>
    <s v="Tailandia"/>
    <s v="Bangkok"/>
    <x v="2"/>
    <s v="Jose"/>
    <n v="1600"/>
    <n v="76800"/>
    <n v="1462.5"/>
    <n v="6600"/>
    <n v="70200"/>
    <n v="2"/>
    <s v="ECO MARIN 26012S"/>
    <n v="6446513180"/>
    <s v="COSCO"/>
    <s v="PAITA"/>
    <n v="10007969"/>
    <s v="Inventario final"/>
    <s v="FEBRERO10007969Inventario final"/>
    <n v="1344.0154793112408"/>
    <n v="54648.533810131099"/>
    <n v="10974.478477884059"/>
    <n v="844.47266447023821"/>
    <n v="-1954.7419455458373"/>
    <n v="64512.743006939556"/>
    <m/>
    <n v="1595.4396310788147"/>
    <m/>
    <n v="12287.256993060444"/>
    <n v="0.15999032543047453"/>
    <n v="6600"/>
    <n v="949.55496781945317"/>
    <n v="3474.4615384615386"/>
    <n v="11024.016506280992"/>
    <n v="1889.8647159033972"/>
    <n v="2106"/>
    <n v="1479.375770876055"/>
    <n v="1.9262705349948631E-2"/>
    <n v="3715.1538230283595"/>
    <n v="-2235.7780521523046"/>
    <n v="-2.9111693387399797E-2"/>
    <n v="2966.887976774452"/>
    <n v="4446.263747650507"/>
  </r>
  <r>
    <s v="FEBRERO"/>
    <x v="2"/>
    <s v="169-2026A"/>
    <d v="1900-02-11T00:00:00"/>
    <d v="2026-03-03T00:00:00"/>
    <n v="116.8"/>
    <x v="5"/>
    <s v="Alas"/>
    <s v="1-up"/>
    <s v="China "/>
    <s v="Qingdao"/>
    <x v="2"/>
    <s v="Jose"/>
    <n v="1600"/>
    <n v="186880"/>
    <n v="1484.2893835616439"/>
    <n v="13515"/>
    <n v="173365"/>
    <n v="5"/>
    <s v="ECO SIROCCO 26009N"/>
    <s v="LIMG02789600"/>
    <s v="ONE"/>
    <s v="PAITA"/>
    <n v="10006720"/>
    <s v="Inventario final"/>
    <s v="FEBRERO10006720Inventario final"/>
    <n v="1697.773966045401"/>
    <n v="127247.72839522184"/>
    <n v="26764.944245836607"/>
    <n v="1852.8856422098893"/>
    <n v="42434.440950834512"/>
    <n v="198299.99923410284"/>
    <m/>
    <n v="1949.1981178129749"/>
    <m/>
    <n v="-11419.999234102841"/>
    <n v="-6.110872877837565E-2"/>
    <n v="13515"/>
    <n v="2310.5837550273359"/>
    <n v="8454.5230769230766"/>
    <n v="24280.106831950412"/>
    <n v="4598.6708086982662"/>
    <n v="5200.95"/>
    <n v="-35097.826874751525"/>
    <n v="-0.18780943319109336"/>
    <n v="9040.207636035675"/>
    <n v="-44138.034510787198"/>
    <n v="-0.23618383192844178"/>
    <n v="7219.4274101511664"/>
    <n v="-27878.399464600359"/>
  </r>
  <r>
    <s v="FEBRERO"/>
    <x v="2"/>
    <s v="169-2026B"/>
    <d v="1900-02-11T00:00:00"/>
    <d v="2026-03-10T00:00:00"/>
    <n v="135"/>
    <x v="5"/>
    <s v="Alas"/>
    <s v="1-up"/>
    <s v="China "/>
    <s v="Qingdao"/>
    <x v="2"/>
    <s v="Jose"/>
    <n v="1600"/>
    <n v="216000"/>
    <n v="1519.911111111111"/>
    <n v="10812"/>
    <n v="205188"/>
    <n v="4"/>
    <s v="ECO MARIN 26010N"/>
    <s v="LIMG03633900"/>
    <s v="ONE"/>
    <s v="PAITA"/>
    <n v="10006720"/>
    <s v="Inventario final"/>
    <s v="FEBRERO10006720Inventario final"/>
    <n v="1697.773966045401"/>
    <n v="147075.71347050471"/>
    <n v="30935.509188252927"/>
    <n v="2141.6058364583478"/>
    <n v="49046.656920913178"/>
    <n v="229199.48541612917"/>
    <m/>
    <n v="1949.1981178129749"/>
    <m/>
    <n v="-13199.485416129173"/>
    <n v="-6.1108728778375802E-2"/>
    <n v="10812"/>
    <n v="2670.6233469922122"/>
    <n v="9771.923076923078"/>
    <n v="23254.54642391529"/>
    <n v="5315.2445134783047"/>
    <n v="6155.6399999999994"/>
    <n v="-35613.636353522772"/>
    <n v="-0.16487794608112394"/>
    <n v="10448.870127267262"/>
    <n v="-46062.506480790034"/>
    <n v="-0.21325234481847238"/>
    <n v="8344.3724346781455"/>
    <n v="-27269.263918844626"/>
  </r>
  <r>
    <s v="FEBRERO"/>
    <x v="2"/>
    <s v="170-2026B"/>
    <d v="1900-02-11T00:00:00"/>
    <d v="2026-03-11T00:00:00"/>
    <n v="78"/>
    <x v="2"/>
    <s v="Rejos"/>
    <s v=" 1-2 "/>
    <s v="España "/>
    <s v="Vigo"/>
    <x v="11"/>
    <s v="Ramon"/>
    <n v="2400"/>
    <n v="171600"/>
    <n v="2243.0865384615386"/>
    <n v="12239.25"/>
    <n v="159360.75"/>
    <n v="3"/>
    <s v="CMA CGM BOLDNESS / 0DVODN1MA"/>
    <s v="LMM0575562"/>
    <s v="CMA CGM"/>
    <m/>
    <n v="10007162"/>
    <s v="Inventario final"/>
    <s v="FEBRERO10007162Inventario final"/>
    <n v="1766.7551345683703"/>
    <n v="84496.390875743688"/>
    <n v="23990.210420178224"/>
    <n v="1277.5512825757157"/>
    <n v="28042.747917835241"/>
    <n v="137806.90049633288"/>
    <m/>
    <n v="2018.1792863359442"/>
    <m/>
    <n v="33793.099503667123"/>
    <n v="0.19692948428710444"/>
    <n v="12239.25"/>
    <n v="1543.0268227066115"/>
    <n v="5646"/>
    <n v="19428.276822706612"/>
    <n v="3071.0301633430204"/>
    <n v="4780.8225000000002"/>
    <n v="16074.615017617491"/>
    <n v="9.3674912690078618E-2"/>
    <n v="6037.124962421085"/>
    <n v="10037.490055196406"/>
    <n v="5.8493531790188846E-2"/>
    <n v="4821.1929622584848"/>
    <n v="20895.807979875975"/>
  </r>
  <r>
    <s v="FEBRERO"/>
    <x v="2"/>
    <s v="171-2026"/>
    <d v="1900-02-12T00:00:00"/>
    <d v="2026-03-04T00:00:00"/>
    <n v="135"/>
    <x v="4"/>
    <s v="Filete "/>
    <s v="2-4 AA"/>
    <s v="China "/>
    <s v="shidao"/>
    <x v="12"/>
    <m/>
    <n v="1450"/>
    <n v="195750"/>
    <n v="1338.7777777777778"/>
    <n v="15015"/>
    <n v="180735"/>
    <n v="5"/>
    <s v="ECO SIROCCO 26009N"/>
    <s v="LIMG03093900"/>
    <s v="ONE"/>
    <s v="PAITA"/>
    <n v="10005721"/>
    <s v="Inventario final"/>
    <s v="FEBRERO10005721Inventario final"/>
    <n v="2146.320321316593"/>
    <n v="175970.30682324362"/>
    <n v="51562.953245356839"/>
    <n v="3158.8625784104593"/>
    <n v="59061.120730729119"/>
    <n v="289753.24337774003"/>
    <m/>
    <n v="2397.7444730841671"/>
    <m/>
    <n v="-94003.243377740029"/>
    <n v="-0.48022091125282262"/>
    <n v="15015"/>
    <n v="2670.6233469922122"/>
    <n v="9771.923076923078"/>
    <n v="27457.54642391529"/>
    <n v="5315.2445134783047"/>
    <n v="5422.05"/>
    <n v="-121353.98431513362"/>
    <n v="-0.61994372574780909"/>
    <n v="10448.870127267262"/>
    <n v="-131802.85444240089"/>
    <n v="-0.6733223726304004"/>
    <n v="8344.3724346781455"/>
    <n v="-113009.61188045549"/>
  </r>
  <r>
    <s v="FEBRERO"/>
    <x v="2"/>
    <s v="172-2026A"/>
    <d v="1900-02-15T00:00:00"/>
    <d v="2026-03-11T00:00:00"/>
    <n v="150"/>
    <x v="2"/>
    <s v="Rejos"/>
    <s v="1-2 KG "/>
    <s v="España "/>
    <s v="Vigo"/>
    <x v="11"/>
    <s v="Ramon"/>
    <n v="2300"/>
    <n v="345000"/>
    <n v="2139.1"/>
    <n v="24135"/>
    <n v="320865"/>
    <n v="6"/>
    <s v="CMA CGM BOLDNESS / 0DVODN1MA"/>
    <s v="LMM0575536"/>
    <s v="CMA CGM"/>
    <m/>
    <n v="10007162"/>
    <s v="Inventario final"/>
    <s v="FEBRERO10007162Inventario final"/>
    <n v="1766.7551345683703"/>
    <n v="162493.05937643017"/>
    <n v="46135.020038804279"/>
    <n v="2456.8293895686838"/>
    <n v="53928.361380452385"/>
    <n v="265013.2701852555"/>
    <m/>
    <n v="2018.1792863359442"/>
    <m/>
    <n v="79986.729814744496"/>
    <n v="0.23184559366592608"/>
    <n v="24135"/>
    <n v="2967.3592744357911"/>
    <n v="10857.692307692309"/>
    <n v="37960.051582128101"/>
    <n v="5905.8272371981166"/>
    <n v="9625.9499999999989"/>
    <n v="45746.800995418278"/>
    <n v="0.13259942317512544"/>
    <n v="11609.855696963625"/>
    <n v="34136.945298454651"/>
    <n v="9.8947667531752617E-2"/>
    <n v="9271.5249274201633"/>
    <n v="55018.325922838441"/>
  </r>
  <r>
    <s v="FEBRERO"/>
    <x v="2"/>
    <s v="172-2026A"/>
    <d v="1900-02-15T00:00:00"/>
    <d v="2026-03-11T00:00:00"/>
    <n v="25"/>
    <x v="0"/>
    <s v="Rejos"/>
    <m/>
    <s v="España "/>
    <s v="Vigo"/>
    <x v="11"/>
    <s v="Ramon"/>
    <n v="2500"/>
    <n v="62500"/>
    <n v="2336.7199999999998"/>
    <n v="4082"/>
    <n v="58418"/>
    <n v="1"/>
    <s v="CMA CGM BOLDNESS / 0DVODN1MA"/>
    <s v="LMM0575536"/>
    <s v="CMA CGM"/>
    <m/>
    <n v="10007567"/>
    <s v="Inventario final"/>
    <s v="FEBRERO10007567Inventario final"/>
    <n v="1768.0738104406516"/>
    <n v="27298.290088254191"/>
    <n v="7357.005354098982"/>
    <n v="477.08717495014446"/>
    <n v="9069.4626437129718"/>
    <n v="44201.845261016286"/>
    <m/>
    <n v="2019.4979622082255"/>
    <m/>
    <n v="18298.154738983714"/>
    <n v="0.29277047582373944"/>
    <n v="4082"/>
    <n v="494.55987907263187"/>
    <n v="1809.6153846153848"/>
    <n v="6386.1752636880165"/>
    <n v="984.30453953301935"/>
    <n v="1752.54"/>
    <n v="12680.21493576268"/>
    <n v="0.20288343897220287"/>
    <n v="1934.9759494939374"/>
    <n v="10745.238986268743"/>
    <n v="0.17192382378029988"/>
    <n v="1545.2541545700271"/>
    <n v="14225.469090332708"/>
  </r>
  <r>
    <s v="FEBRERO"/>
    <x v="2"/>
    <s v="172-2026B"/>
    <d v="1900-02-15T00:00:00"/>
    <d v="2026-03-27T00:00:00"/>
    <n v="54"/>
    <x v="10"/>
    <s v="Alas"/>
    <s v="0.3 - UP "/>
    <s v="China "/>
    <s v="Qingdao"/>
    <x v="11"/>
    <s v="Ramon"/>
    <n v="3350"/>
    <n v="177221.7"/>
    <n v="3242.5925925925926"/>
    <n v="5800"/>
    <n v="171421.7"/>
    <n v="2"/>
    <s v="ECO SIROCCO 26013S"/>
    <n v="6446512380"/>
    <s v="COSCO"/>
    <s v="PAITA"/>
    <n v="10009331"/>
    <s v="Inventario final"/>
    <s v="FEBRERO10009331Inventario final"/>
    <n v="2194.0201024181183"/>
    <n v="67606.19864837428"/>
    <n v="26821.671860544291"/>
    <n v="1228.4198144435131"/>
    <n v="22820.795207216317"/>
    <n v="118477.08553057839"/>
    <m/>
    <n v="2445.4442541856924"/>
    <m/>
    <n v="58744.61446942162"/>
    <n v="0.33147529038160461"/>
    <n v="5800"/>
    <n v="1068.2493387968848"/>
    <n v="3908.7692307692309"/>
    <n v="10777.018569566115"/>
    <n v="2126.0978053913218"/>
    <n v="5142.6509999999998"/>
    <n v="50984.149094464185"/>
    <n v="0.28768570155045448"/>
    <n v="4179.5480509069048"/>
    <n v="46804.601043557283"/>
    <n v="0.26410197534250762"/>
    <n v="3337.7489738712584"/>
    <n v="54321.898068335446"/>
  </r>
  <r>
    <s v="FEBRERO"/>
    <x v="2"/>
    <s v="174-2026"/>
    <d v="1900-02-17T00:00:00"/>
    <d v="2026-03-10T00:00:00"/>
    <n v="108"/>
    <x v="4"/>
    <s v="Filete "/>
    <s v="2-4 AA"/>
    <s v="China "/>
    <s v="shidao"/>
    <x v="12"/>
    <m/>
    <n v="1450"/>
    <n v="156600"/>
    <n v="1338.7777777777778"/>
    <n v="12012"/>
    <n v="144588"/>
    <n v="4"/>
    <s v="ECO MARIN 26010N"/>
    <s v="LIMG03595900"/>
    <m/>
    <m/>
    <n v="10005721"/>
    <s v="Inventario final"/>
    <s v="FEBRERO10005721Inventario final"/>
    <n v="1843.8447259243096"/>
    <n v="120936.99861399598"/>
    <n v="35437.051385214589"/>
    <n v="2170.9535328068696"/>
    <n v="40590.226867807978"/>
    <n v="199135.23039982541"/>
    <m/>
    <n v="2095.2688776918835"/>
    <m/>
    <n v="-42535.230399825406"/>
    <n v="-0.27161705236159261"/>
    <n v="12012"/>
    <n v="2136.4986775937696"/>
    <n v="7821.6923076923076"/>
    <n v="21970.190985286077"/>
    <n v="4252.1956107826436"/>
    <n v="4337.6399999999994"/>
    <n v="-64419.976995894132"/>
    <n v="-0.41136639205551806"/>
    <n v="8359.0961018138096"/>
    <n v="-72779.073097707937"/>
    <n v="-0.46474503893810942"/>
    <n v="6675.4979477425168"/>
    <n v="-57744.479048151617"/>
  </r>
  <r>
    <s v="FEBRERO"/>
    <x v="2"/>
    <s v="175-2026"/>
    <d v="1900-02-17T00:00:00"/>
    <d v="2026-03-18T00:00:00"/>
    <n v="26"/>
    <x v="4"/>
    <s v="Filete "/>
    <s v="2-4 AA"/>
    <s v="Klaipeda"/>
    <s v="Lituania"/>
    <x v="13"/>
    <m/>
    <n v="1500"/>
    <n v="39000"/>
    <n v="1230.9615384615386"/>
    <n v="6995"/>
    <n v="32005"/>
    <n v="1"/>
    <s v="CMA CGM VOLTAIRE / 0DVOFN1MA"/>
    <s v="LMM0575667"/>
    <n v="1"/>
    <s v="CMA CGM"/>
    <n v="10005721"/>
    <s v="Inventario final"/>
    <s v="FEBRERO10005721Inventario final"/>
    <n v="1843.8447259243096"/>
    <n v="29114.462629295329"/>
    <n v="8531.142000144253"/>
    <n v="522.63696160165375"/>
    <n v="9771.7212829908094"/>
    <n v="47939.96287403204"/>
    <m/>
    <n v="2095.2688776918835"/>
    <m/>
    <n v="-8939.9628740320404"/>
    <n v="-0.22922981728287284"/>
    <n v="6995"/>
    <n v="514.34227423553716"/>
    <n v="1883"/>
    <n v="9392.342274235536"/>
    <n v="1023.6767211143401"/>
    <n v="960.15"/>
    <n v="-18395.831869381916"/>
    <n v="-0.4716879966508184"/>
    <n v="2012.3749874736948"/>
    <n v="-20408.20685685561"/>
    <n v="-0.52328735530398995"/>
    <n v="1607.0643207528283"/>
    <n v="-16788.76754862909"/>
  </r>
  <r>
    <s v="FEBRERO"/>
    <x v="2"/>
    <s v="176-2026A"/>
    <d v="1900-02-17T00:00:00"/>
    <d v="2026-03-23T00:00:00"/>
    <n v="54"/>
    <x v="5"/>
    <s v="Alas"/>
    <s v="1-up"/>
    <s v="China "/>
    <s v="Qingdao"/>
    <x v="2"/>
    <s v="Jose"/>
    <n v="1600"/>
    <n v="86400"/>
    <n v="1492.5925925925926"/>
    <n v="5800"/>
    <n v="80600"/>
    <n v="2"/>
    <s v="ECO SIROCCO 26011S"/>
    <n v="6446527810"/>
    <s v="COSCO"/>
    <s v="PAITA"/>
    <n v="10006720"/>
    <s v="Inventario final"/>
    <s v="FEBRERO10006720Inventario final"/>
    <n v="1697.773966045401"/>
    <n v="58830.285388201875"/>
    <n v="12374.203675301171"/>
    <n v="856.64233458333922"/>
    <n v="19618.66276836527"/>
    <n v="91679.794166451669"/>
    <m/>
    <n v="1949.1981178129749"/>
    <m/>
    <n v="-5279.7941664516693"/>
    <n v="-6.1108728778375802E-2"/>
    <n v="5800"/>
    <n v="1068.2493387968848"/>
    <n v="3910.8461538461538"/>
    <n v="10779.095492643039"/>
    <n v="2126.0978053913218"/>
    <n v="2418"/>
    <n v="-15766.987464486028"/>
    <n v="-0.18248828083895866"/>
    <n v="4179.5480509069048"/>
    <n v="-19946.535515392934"/>
    <n v="-0.2308626795763071"/>
    <n v="3337.7489738712584"/>
    <n v="-12429.238490614771"/>
  </r>
  <r>
    <s v="FEBRERO"/>
    <x v="2"/>
    <s v="176-2026B"/>
    <d v="1900-02-17T00:00:00"/>
    <d v="2026-03-27T00:00:00"/>
    <n v="81"/>
    <x v="5"/>
    <s v="Alas"/>
    <s v="1-up"/>
    <s v="China "/>
    <s v="Qingdao"/>
    <x v="2"/>
    <s v="Jose"/>
    <n v="1600"/>
    <n v="125600"/>
    <n v="1499.5185185185185"/>
    <n v="8139"/>
    <n v="117461"/>
    <n v="3"/>
    <s v="ECO SIROCCO 26013S"/>
    <s v="LIMG04326900"/>
    <s v="ONE LINE"/>
    <s v="PAITA"/>
    <n v="10006720"/>
    <s v="Inventario final"/>
    <s v="FEBRERO10006720Inventario final"/>
    <n v="1697.773966045401"/>
    <n v="88245.428082302809"/>
    <n v="18561.305512951756"/>
    <n v="1284.9635018750089"/>
    <n v="29427.994152547904"/>
    <n v="137519.69124967747"/>
    <m/>
    <n v="1949.1981178129749"/>
    <m/>
    <n v="-11919.691249677475"/>
    <n v="-9.4902000395521297E-2"/>
    <n v="8139"/>
    <n v="1602.3740081953272"/>
    <n v="5866.2692307692305"/>
    <n v="15607.643238964558"/>
    <n v="3189.1467080869825"/>
    <n v="3523.83"/>
    <n v="-27192.651196729013"/>
    <n v="-0.21650199997395711"/>
    <n v="6269.3220763603567"/>
    <n v="-33461.973273089374"/>
    <n v="-0.26641698465835489"/>
    <n v="5006.623460806888"/>
    <n v="-22186.027735922125"/>
  </r>
  <r>
    <s v="FEBRERO"/>
    <x v="2"/>
    <s v="177-2026A"/>
    <d v="1900-02-18T00:00:00"/>
    <d v="2026-03-27T00:00:00"/>
    <n v="48"/>
    <x v="5"/>
    <s v="Alas"/>
    <s v="1-up"/>
    <s v="korea"/>
    <s v="Busan"/>
    <x v="2"/>
    <s v="Jose"/>
    <n v="1600"/>
    <n v="76800"/>
    <n v="1486.9583333333333"/>
    <n v="5426"/>
    <n v="71374"/>
    <n v="2"/>
    <s v="ECO SIROCCO 26013S"/>
    <s v="LIMG04588500"/>
    <s v="ONE LINE"/>
    <s v="PAITA"/>
    <n v="10006720"/>
    <s v="Inventario final"/>
    <s v="FEBRERO10006720Inventario final"/>
    <n v="1697.773966045401"/>
    <n v="52293.587011734999"/>
    <n v="10999.292155823263"/>
    <n v="761.45985296296817"/>
    <n v="17438.811349658019"/>
    <n v="81493.150370179239"/>
    <m/>
    <n v="1949.1981178129749"/>
    <m/>
    <n v="-4693.150370179239"/>
    <n v="-6.1108728778375504E-2"/>
    <n v="5426"/>
    <n v="949.55496781945317"/>
    <n v="3476.3076923076924"/>
    <n v="9851.8626601271462"/>
    <n v="1889.8647159033972"/>
    <n v="2141.2199999999998"/>
    <n v="-14293.657746209783"/>
    <n v="-0.18611533523710655"/>
    <n v="3715.1538230283595"/>
    <n v="-18008.811569238143"/>
    <n v="-0.23448973397445499"/>
    <n v="2966.887976774452"/>
    <n v="-11326.76976943533"/>
  </r>
  <r>
    <s v="FEBRERO"/>
    <x v="2"/>
    <s v="179-2026A"/>
    <d v="1900-02-22T00:00:00"/>
    <d v="2026-03-20T00:00:00"/>
    <n v="24"/>
    <x v="1"/>
    <s v="Nucas"/>
    <s v="500-up"/>
    <s v="Tailandia "/>
    <s v="Laem chabang"/>
    <x v="1"/>
    <s v="ACER FOOD"/>
    <n v="1100"/>
    <n v="26400"/>
    <n v="966.54166666666663"/>
    <n v="3203"/>
    <n v="23197"/>
    <n v="1"/>
    <s v="ECO MARIN 26012N"/>
    <s v="LIMG03918800"/>
    <s v="ONE LINE"/>
    <s v="PAITA"/>
    <n v="10005779"/>
    <s v="Inventario final"/>
    <s v="FEBRERO10005779Inventario final"/>
    <n v="1848.8139327140159"/>
    <n v="25762.14626201594"/>
    <n v="9804.0642402618378"/>
    <n v="283.41448559621585"/>
    <n v="8521.9093972623887"/>
    <n v="44371.53438513638"/>
    <m/>
    <n v="2100.2380844815898"/>
    <m/>
    <n v="-17971.53438513638"/>
    <n v="-0.68073993883092343"/>
    <n v="3203"/>
    <n v="474.77748390972658"/>
    <n v="1738.1538461538462"/>
    <n v="5415.9313300635731"/>
    <n v="944.93235795169858"/>
    <n v="695.91"/>
    <n v="-23636.48807315165"/>
    <n v="-0.89532151792241099"/>
    <n v="1857.5769115141798"/>
    <n v="-25494.064984665831"/>
    <n v="-0.96568427972219051"/>
    <n v="1483.443988387226"/>
    <n v="-22153.044084764424"/>
  </r>
  <r>
    <s v="FEBRERO"/>
    <x v="2"/>
    <s v="179-2026B1"/>
    <d v="1900-02-22T00:00:00"/>
    <d v="2026-03-20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MARIN 26012N"/>
    <s v="LIMG03924500"/>
    <s v="ONE LINE"/>
    <s v="PAITA"/>
    <n v="10005779"/>
    <s v="Inventario final"/>
    <s v="FEBRERO10005779Inventario final"/>
    <n v="1848.8139327140159"/>
    <n v="25762.14626201594"/>
    <n v="9804.0642402618378"/>
    <n v="283.41448559621585"/>
    <n v="8521.9093972623887"/>
    <n v="44371.53438513638"/>
    <m/>
    <n v="2100.2380844815898"/>
    <m/>
    <n v="-17971.53438513638"/>
    <n v="-0.68073993883092343"/>
    <n v="3513"/>
    <n v="474.77748390972658"/>
    <n v="1738.1538461538462"/>
    <n v="5725.9313300635731"/>
    <n v="944.93235795169858"/>
    <n v="686.61"/>
    <n v="-23955.788073151649"/>
    <n v="-0.90741621489210789"/>
    <n v="1857.5769115141798"/>
    <n v="-25813.36498466583"/>
    <n v="-0.97777897669188751"/>
    <n v="1483.443988387226"/>
    <n v="-22472.344084764423"/>
  </r>
  <r>
    <s v="FEBRERO"/>
    <x v="2"/>
    <s v="179-2026B2"/>
    <d v="1900-02-22T00:00:00"/>
    <d v="2026-03-20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MARIN 26012N"/>
    <s v="LIMG03933500"/>
    <s v="ONE LINE"/>
    <s v="PAITA"/>
    <n v="10005779"/>
    <s v="Inventario final"/>
    <s v="FEBRERO10005779Inventario final"/>
    <n v="1848.8139327140159"/>
    <n v="25762.14626201594"/>
    <n v="9804.0642402618378"/>
    <n v="283.41448559621585"/>
    <n v="8521.9093972623887"/>
    <n v="44371.53438513638"/>
    <m/>
    <n v="2100.2380844815898"/>
    <m/>
    <n v="-17971.53438513638"/>
    <n v="-0.68073993883092343"/>
    <n v="3513"/>
    <n v="474.77748390972658"/>
    <n v="1738.1538461538462"/>
    <n v="5725.9313300635731"/>
    <n v="944.93235795169858"/>
    <n v="686.61"/>
    <n v="-23955.788073151649"/>
    <n v="-0.90741621489210789"/>
    <n v="1857.5769115141798"/>
    <n v="-25813.36498466583"/>
    <n v="-0.97777897669188751"/>
    <n v="1483.443988387226"/>
    <n v="-22472.344084764423"/>
  </r>
  <r>
    <s v="FEBRERO"/>
    <x v="2"/>
    <s v="179-2026B3"/>
    <d v="1900-02-22T00:00:00"/>
    <d v="2026-03-27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SIROCCO 26013S"/>
    <s v="LIMG03937900"/>
    <s v="ONE LINE"/>
    <s v="PAITA"/>
    <n v="10005779"/>
    <s v="Inventario final"/>
    <s v="FEBRERO10005779Inventario final"/>
    <n v="1848.8139327140159"/>
    <n v="25762.14626201594"/>
    <n v="9804.0642402618378"/>
    <n v="283.41448559621585"/>
    <n v="8521.9093972623887"/>
    <n v="44371.53438513638"/>
    <m/>
    <n v="2100.2380844815898"/>
    <m/>
    <n v="-17971.53438513638"/>
    <n v="-0.68073993883092343"/>
    <n v="3513"/>
    <n v="474.77748390972658"/>
    <n v="1738.1538461538462"/>
    <n v="5725.9313300635731"/>
    <n v="944.93235795169858"/>
    <n v="686.61"/>
    <n v="-23955.788073151649"/>
    <n v="-0.90741621489210789"/>
    <n v="1857.5769115141798"/>
    <n v="-25813.36498466583"/>
    <n v="-0.97777897669188751"/>
    <n v="1483.443988387226"/>
    <n v="-22472.344084764423"/>
  </r>
  <r>
    <s v="FEBRERO"/>
    <x v="2"/>
    <s v="179-2026B4"/>
    <d v="1900-02-22T00:00:00"/>
    <d v="2026-03-27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SIROCCO 26013S"/>
    <s v="LIMG03938300"/>
    <s v="ONE LINE"/>
    <s v="PAITA"/>
    <n v="10005779"/>
    <s v="Inventario final"/>
    <s v="FEBRERO10005779Inventario final"/>
    <n v="1848.8139327140159"/>
    <n v="25762.14626201594"/>
    <n v="9804.0642402618378"/>
    <n v="283.41448559621585"/>
    <n v="8521.9093972623887"/>
    <n v="44371.53438513638"/>
    <m/>
    <n v="2100.2380844815898"/>
    <m/>
    <n v="-17971.53438513638"/>
    <n v="-0.68073993883092343"/>
    <n v="3513"/>
    <n v="474.77748390972658"/>
    <n v="1738.1538461538462"/>
    <n v="5725.9313300635731"/>
    <n v="944.93235795169858"/>
    <n v="686.61"/>
    <n v="-23955.788073151649"/>
    <n v="-0.90741621489210789"/>
    <n v="1857.5769115141798"/>
    <n v="-25813.36498466583"/>
    <n v="-0.97777897669188751"/>
    <n v="1483.443988387226"/>
    <n v="-22472.344084764423"/>
  </r>
  <r>
    <s v="FEBRERO"/>
    <x v="2"/>
    <s v="179-2026B5"/>
    <d v="1900-02-22T00:00:00"/>
    <d v="2026-03-27T00:00:00"/>
    <n v="24"/>
    <x v="1"/>
    <s v="Nucas"/>
    <s v="500-up"/>
    <s v="Tailandia "/>
    <s v="Lat Krabang"/>
    <x v="1"/>
    <s v="Julieta"/>
    <n v="1100"/>
    <n v="26400"/>
    <n v="966.54166666666663"/>
    <n v="3203"/>
    <n v="23197"/>
    <n v="1"/>
    <s v="ECO SIROCCO 26013S"/>
    <s v="LIMG03940300"/>
    <s v="ONE LINE"/>
    <s v="PAITA"/>
    <n v="10005779"/>
    <s v="Inventario final"/>
    <s v="FEBRERO10005779Inventario final"/>
    <n v="1848.8139327140159"/>
    <n v="25762.14626201594"/>
    <n v="9804.0642402618378"/>
    <n v="283.41448559621585"/>
    <n v="8521.9093972623887"/>
    <n v="44371.53438513638"/>
    <m/>
    <n v="2100.2380844815898"/>
    <m/>
    <n v="-17971.53438513638"/>
    <n v="-0.68073993883092343"/>
    <n v="3203"/>
    <n v="474.77748390972658"/>
    <n v="1738.1538461538462"/>
    <n v="5415.9313300635731"/>
    <n v="944.93235795169858"/>
    <n v="695.91"/>
    <n v="-23636.48807315165"/>
    <n v="-0.89532151792241099"/>
    <n v="1857.5769115141798"/>
    <n v="-25494.064984665831"/>
    <n v="-0.96568427972219051"/>
    <n v="1483.443988387226"/>
    <n v="-22153.044084764424"/>
  </r>
  <r>
    <s v="FEBRERO"/>
    <x v="2"/>
    <s v="179-2026C1"/>
    <d v="1900-02-22T00:00:00"/>
    <d v="2026-03-27T00:00:00"/>
    <n v="24"/>
    <x v="1"/>
    <s v="Nucas"/>
    <s v="1-2 KG "/>
    <s v="Tailandia "/>
    <s v="Lat Krabang"/>
    <x v="1"/>
    <s v="KHUNRUNG"/>
    <n v="1200"/>
    <n v="19560"/>
    <n v="1054.1666666666667"/>
    <n v="3500"/>
    <n v="16060"/>
    <n v="1"/>
    <s v="ECO SIROCCO 26013S"/>
    <n v="6447908140"/>
    <s v="COSCO"/>
    <s v="PAITA"/>
    <n v="10005779"/>
    <s v="Inventario final"/>
    <s v="FEBRERO10005779Inventario final"/>
    <n v="1848.8139327140159"/>
    <n v="25762.14626201594"/>
    <n v="9804.0642402618378"/>
    <n v="283.41448559621585"/>
    <n v="8521.9093972623887"/>
    <n v="44371.53438513638"/>
    <m/>
    <n v="2100.2380844815898"/>
    <m/>
    <n v="-24811.53438513638"/>
    <n v="-1.2684833530233324"/>
    <n v="3500"/>
    <n v="474.77748390972658"/>
    <n v="1738.1538461538462"/>
    <n v="5712.9313300635731"/>
    <n v="944.93235795169858"/>
    <n v="481.79999999999995"/>
    <n v="-30987.59807315165"/>
    <n v="-1.5842330303247265"/>
    <n v="1857.5769115141798"/>
    <n v="-32845.174984665828"/>
    <n v="-1.679201175085165"/>
    <n v="1483.443988387226"/>
    <n v="-29504.154084764425"/>
  </r>
  <r>
    <s v="FEBRERO"/>
    <x v="2"/>
    <s v="179-2026C2"/>
    <d v="1900-02-22T00:00:00"/>
    <d v="2026-03-27T00:00:00"/>
    <n v="24"/>
    <x v="1"/>
    <s v="Nucas"/>
    <s v="1-2 KG "/>
    <s v="Tailandia "/>
    <s v="Lat Krabang"/>
    <x v="1"/>
    <s v="KHUNRUNG"/>
    <n v="1200"/>
    <n v="28800"/>
    <n v="1054.1666666666667"/>
    <n v="3500"/>
    <n v="25300"/>
    <n v="1"/>
    <s v="ECO SIROCCO 26013S"/>
    <n v="6447908120"/>
    <s v="COSCO"/>
    <s v="PAITA"/>
    <n v="10005779"/>
    <s v="Inventario final"/>
    <s v="FEBRERO10005779Inventario final"/>
    <n v="1848.8139327140159"/>
    <n v="25762.14626201594"/>
    <n v="9804.0642402618378"/>
    <n v="283.41448559621585"/>
    <n v="8521.9093972623887"/>
    <n v="44371.53438513638"/>
    <m/>
    <n v="2100.2380844815898"/>
    <m/>
    <n v="-15571.53438513638"/>
    <n v="-0.54067827726167983"/>
    <n v="3500"/>
    <n v="474.77748390972658"/>
    <n v="1738.1538461538462"/>
    <n v="5712.9313300635731"/>
    <n v="944.93235795169858"/>
    <n v="759"/>
    <n v="-21470.398073151649"/>
    <n v="-0.74549993309554341"/>
    <n v="1857.5769115141798"/>
    <n v="-23327.974984665831"/>
    <n v="-0.80999913141200797"/>
    <n v="1483.443988387226"/>
    <n v="-19986.954084764424"/>
  </r>
  <r>
    <s v="FEBRERO"/>
    <x v="2"/>
    <s v="181-2026"/>
    <d v="2026-02-24T00:00:00"/>
    <d v="2026-03-27T00:00:00"/>
    <n v="48"/>
    <x v="1"/>
    <s v="Nucas"/>
    <s v="500-1000"/>
    <s v="Tailandia "/>
    <s v="Lat Krabang"/>
    <x v="2"/>
    <s v="Jose"/>
    <n v="1200"/>
    <n v="57600"/>
    <n v="1126.8125"/>
    <n v="3513"/>
    <n v="54087"/>
    <n v="1"/>
    <s v="ECO SIROCCO 26013S"/>
    <s v="LIMG04324700"/>
    <s v="ONE LINE"/>
    <s v="PAITA"/>
    <n v="10005779"/>
    <s v="Inventario final"/>
    <s v="FEBRERO10005779Inventario final"/>
    <n v="1848.8139327140159"/>
    <n v="51524.29252403188"/>
    <n v="19608.128480523676"/>
    <n v="566.82897119243171"/>
    <n v="17043.818794524777"/>
    <n v="88743.068770272759"/>
    <m/>
    <n v="2100.2380844815898"/>
    <m/>
    <n v="-31143.068770272759"/>
    <n v="-0.54067827726167983"/>
    <n v="3513"/>
    <n v="949.55496781945317"/>
    <n v="3476.3076923076924"/>
    <n v="7938.8626601271453"/>
    <n v="1889.8647159033972"/>
    <n v="1622.61"/>
    <n v="-39349.186146303298"/>
    <n v="-0.68314559281776555"/>
    <n v="3715.1538230283595"/>
    <n v="-43064.339969331661"/>
    <n v="-0.74764479113423021"/>
    <n v="2966.887976774452"/>
    <n v="-36382.298169528847"/>
  </r>
  <r>
    <s v="FEBRERO"/>
    <x v="2"/>
    <s v="183-2026"/>
    <d v="1900-02-26T00:00:00"/>
    <d v="2026-03-27T00:00:00"/>
    <n v="27"/>
    <x v="2"/>
    <s v="Rejos"/>
    <s v="2- UP LIMPIOS "/>
    <s v="China "/>
    <s v="Yantai"/>
    <x v="14"/>
    <m/>
    <n v="2600"/>
    <n v="70200"/>
    <n v="2485.1851851851852"/>
    <n v="3100"/>
    <n v="67100"/>
    <n v="1"/>
    <s v="ECO SIROCCO 26013S"/>
    <n v="6447908790"/>
    <s v="COSCO"/>
    <s v="PAITA"/>
    <n v="10007162"/>
    <s v="Inventario final"/>
    <s v="FEBRERO10007162Inventario final"/>
    <n v="1766.7551345683703"/>
    <n v="29248.750687757431"/>
    <n v="8304.3036069847694"/>
    <n v="442.22929012236312"/>
    <n v="9707.1050484814295"/>
    <n v="47702.388633345996"/>
    <m/>
    <n v="2018.1792863359442"/>
    <m/>
    <n v="22497.611366654004"/>
    <n v="0.32047879439678068"/>
    <n v="3100"/>
    <n v="534.12466939844239"/>
    <n v="1955.4230769230769"/>
    <n v="5589.5477463215193"/>
    <n v="1063.0489026956609"/>
    <n v="2013"/>
    <n v="17858.014717636823"/>
    <n v="0.25438767404041057"/>
    <n v="2089.7740254534524"/>
    <n v="15768.24069218337"/>
    <n v="0.22461881327896538"/>
    <n v="1668.8744869356292"/>
    <n v="19526.889204572453"/>
  </r>
  <r>
    <s v="FEBRERO"/>
    <x v="2"/>
    <s v="184-2026"/>
    <d v="1900-02-27T00:00:00"/>
    <d v="2026-03-23T00:00:00"/>
    <n v="216"/>
    <x v="9"/>
    <s v="Daruma"/>
    <m/>
    <s v="China"/>
    <s v="Qingdao"/>
    <x v="15"/>
    <s v="James"/>
    <n v="3100"/>
    <n v="669600"/>
    <n v="2992.5925925925926"/>
    <n v="23200"/>
    <n v="646400"/>
    <n v="8"/>
    <s v="ECO MARIN 26012N"/>
    <n v="6447338820"/>
    <s v="COSCO"/>
    <s v="PAITA"/>
    <n v="10009239"/>
    <s v="Inventario final"/>
    <s v="FEBRERO10009239Inventario final"/>
    <n v="2146.320321316593"/>
    <n v="227981.43263903135"/>
    <n v="148631.31673615499"/>
    <n v="2721.9574430468538"/>
    <n v="84270.48258615096"/>
    <n v="463605.18940438412"/>
    <m/>
    <n v="2397.7444730841671"/>
    <m/>
    <n v="205994.81059561588"/>
    <n v="0.30763860602690546"/>
    <n v="23200"/>
    <n v="4272.9973551875391"/>
    <n v="15643.384615384615"/>
    <n v="43116.381970572154"/>
    <n v="8504.3912215652872"/>
    <n v="19392"/>
    <n v="173766.03740347843"/>
    <n v="0.25950722431821749"/>
    <n v="16718.192203627619"/>
    <n v="157047.84519985082"/>
    <n v="0.23453979271184414"/>
    <n v="13350.995895485034"/>
    <n v="187117.03329896348"/>
  </r>
  <r>
    <s v="FEBRERO"/>
    <x v="2"/>
    <s v="185-2026"/>
    <d v="1900-02-27T00:00:00"/>
    <d v="2026-03-23T00:00:00"/>
    <n v="108"/>
    <x v="9"/>
    <s v="Daruma "/>
    <m/>
    <s v="China "/>
    <s v="Qingdao"/>
    <x v="16"/>
    <s v="James"/>
    <n v="3100"/>
    <n v="334800"/>
    <n v="2992.5925925925926"/>
    <n v="11600"/>
    <n v="323200"/>
    <n v="4"/>
    <s v="ECO MARIN 26012N"/>
    <n v="6447338860"/>
    <s v="COSCO"/>
    <s v="PAITA"/>
    <n v="10009239"/>
    <s v="Inventario final"/>
    <s v="FEBRERO10009239Inventario final"/>
    <n v="2146.320321316593"/>
    <n v="113990.71631951568"/>
    <n v="74315.658368077493"/>
    <n v="1360.9787215234269"/>
    <n v="42135.24129307548"/>
    <n v="231802.59470219206"/>
    <m/>
    <n v="2397.7444730841671"/>
    <m/>
    <n v="102997.40529780794"/>
    <n v="0.30763860602690546"/>
    <n v="11600"/>
    <n v="2136.4986775937696"/>
    <n v="7821.6923076923076"/>
    <n v="21558.190985286077"/>
    <n v="4252.1956107826436"/>
    <n v="9696"/>
    <n v="86883.018701739216"/>
    <n v="0.25950722431821749"/>
    <n v="8359.0961018138096"/>
    <n v="78523.922599925412"/>
    <n v="0.23453979271184414"/>
    <n v="6675.4979477425168"/>
    <n v="93558.516649481739"/>
  </r>
  <r>
    <s v="FEBRERO"/>
    <x v="2"/>
    <s v="189-2026"/>
    <d v="1900-03-08T00:00:00"/>
    <d v="2026-03-27T00:00:00"/>
    <n v="10"/>
    <x v="1"/>
    <s v="Nucas"/>
    <s v="300-500"/>
    <s v="Tailandia "/>
    <s v="Lat Krabang"/>
    <x v="1"/>
    <s v="Julieta"/>
    <n v="1130"/>
    <n v="11300"/>
    <n v="990"/>
    <n v="1400"/>
    <n v="9900"/>
    <n v="1"/>
    <s v="ECO SIROCCO 26013S"/>
    <n v="6447908000"/>
    <s v="COSCO"/>
    <s v="PAITA"/>
    <n v="10005779"/>
    <s v="Inventario final"/>
    <s v="FEBRERO10005779Inventario final"/>
    <n v="1848.8139327140159"/>
    <n v="10734.227609173307"/>
    <n v="4085.0267667757657"/>
    <n v="118.08936899842325"/>
    <n v="3550.7955821926616"/>
    <n v="18488.139327140158"/>
    <m/>
    <n v="2100.2380844815898"/>
    <m/>
    <n v="-7188.1393271401575"/>
    <n v="-0.63611852452567763"/>
    <n v="1400"/>
    <n v="197.82395162905274"/>
    <n v="724.23076923076917"/>
    <n v="2322.0547208598218"/>
    <n v="393.72181581320774"/>
    <n v="297"/>
    <n v="-9606.9158638131867"/>
    <n v="-0.85016954547019352"/>
    <n v="773.99037979757497"/>
    <n v="-10380.906243610762"/>
    <n v="-0.91866426934608514"/>
    <n v="618.10166182801083"/>
    <n v="-8988.8142019851766"/>
  </r>
  <r>
    <s v="FEBRERO"/>
    <x v="2"/>
    <s v="189-2026"/>
    <d v="1900-03-08T00:00:00"/>
    <d v="2026-03-27T00:00:00"/>
    <n v="15"/>
    <x v="1"/>
    <s v="Nucas"/>
    <s v="500-1000"/>
    <s v="Tailandia "/>
    <s v="Lat Krabang"/>
    <x v="1"/>
    <s v="Julieta"/>
    <n v="1200"/>
    <n v="18000"/>
    <n v="1060"/>
    <n v="2100"/>
    <n v="15900"/>
    <n v="0"/>
    <s v="ECO SIROCCO 26013S"/>
    <n v="6447908000"/>
    <s v="COSCO"/>
    <s v="PAITA"/>
    <n v="10005779"/>
    <s v="Inventario final"/>
    <s v="FEBRERO10005779Inventario final"/>
    <n v="1848.8139327140159"/>
    <n v="16101.341413759963"/>
    <n v="6127.5401501636488"/>
    <n v="177.13405349763488"/>
    <n v="5326.1933732889929"/>
    <n v="27732.208990710238"/>
    <m/>
    <n v="2100.2380844815898"/>
    <m/>
    <n v="-9732.2089907102381"/>
    <n v="-0.54067827726167994"/>
    <n v="2100"/>
    <n v="296.7359274435791"/>
    <n v="1086.3461538461538"/>
    <n v="3483.0820812897327"/>
    <n v="590.58272371981161"/>
    <n v="477"/>
    <n v="-13328.873795719783"/>
    <n v="-0.74049298865109903"/>
    <n v="1160.9855696963625"/>
    <n v="-14489.859365416145"/>
    <n v="-0.80499218696756358"/>
    <n v="927.15249274201619"/>
    <n v="-12401.721302977767"/>
  </r>
  <r>
    <s v="FEBRERO"/>
    <x v="2"/>
    <s v="170-2026B"/>
    <d v="1900-02-11T00:00:00"/>
    <d v="2026-03-11T00:00:00"/>
    <n v="24"/>
    <x v="2"/>
    <s v="Rejos"/>
    <s v="2 - UP"/>
    <s v="España "/>
    <s v="Vigo"/>
    <x v="11"/>
    <s v="Ramon"/>
    <n v="2400"/>
    <n v="57600"/>
    <n v="2230.0104166666665"/>
    <n v="4079.75"/>
    <n v="53520.25"/>
    <n v="1"/>
    <s v="CMA CGM BOLDNESS / 0DVODN1MA"/>
    <s v="LMM0575562"/>
    <s v="CMA CGM"/>
    <m/>
    <n v="10007162"/>
    <s v="Inventario final"/>
    <s v="FEBRERO10007162Inventario final"/>
    <n v="1766.7551345683703"/>
    <n v="25998.889500228826"/>
    <n v="7381.6032062086852"/>
    <n v="393.09270233098943"/>
    <n v="8628.5378208723814"/>
    <n v="42402.123229640885"/>
    <m/>
    <n v="2018.1792863359442"/>
    <m/>
    <n v="15197.876770359115"/>
    <n v="0.26385202726317908"/>
    <n v="4079.75"/>
    <n v="474.77748390972658"/>
    <n v="1738.1538461538462"/>
    <n v="6292.6813300635731"/>
    <n v="944.93235795169858"/>
    <n v="1605.6074999999998"/>
    <n v="9565.8705823438431"/>
    <n v="0.1660741420545806"/>
    <n v="1857.5769115141798"/>
    <n v="7708.2936708296638"/>
    <n v="0.13382454289634832"/>
    <n v="1483.443988387226"/>
    <n v="11049.314570731069"/>
  </r>
  <r>
    <s v="FEBRERO"/>
    <x v="2"/>
    <s v="153-2026"/>
    <d v="1900-01-25T00:00:00"/>
    <d v="2026-03-29T00:00:00"/>
    <n v="26"/>
    <x v="0"/>
    <s v="Rejos"/>
    <m/>
    <s v="España "/>
    <s v="Valencia"/>
    <x v="0"/>
    <s v="Ignacio / Ives"/>
    <n v="2950"/>
    <n v="76700"/>
    <n v="2793.0865384615386"/>
    <n v="4079.75"/>
    <n v="72620.25"/>
    <n v="1"/>
    <s v="CAPE SKAGEN 614N"/>
    <n v="19449468"/>
    <s v="HAPAG"/>
    <m/>
    <n v="10007567"/>
    <s v="Inventario final"/>
    <s v="FEBRERO10007567Inventario final"/>
    <n v="1768.0738104406516"/>
    <n v="28390.221691784358"/>
    <n v="7651.2855682629415"/>
    <n v="496.17066194815021"/>
    <n v="9432.2411494614898"/>
    <n v="45969.919071456941"/>
    <m/>
    <n v="2019.4979622082255"/>
    <m/>
    <n v="30730.080928543059"/>
    <n v="0.40065294561333842"/>
    <n v="4079.75"/>
    <n v="514.34227423553716"/>
    <n v="1883"/>
    <n v="6477.0922742355369"/>
    <n v="1023.6767211143401"/>
    <n v="2178.6075000000001"/>
    <n v="25407.919433193179"/>
    <n v="0.3312636171211627"/>
    <n v="2012.3749874736948"/>
    <n v="23395.544445719486"/>
    <n v="0.3050266550941263"/>
    <n v="1607.0643207528283"/>
    <n v="27014.983753946006"/>
  </r>
  <r>
    <s v="FEBRERO"/>
    <x v="2"/>
    <m/>
    <d v="2026-03-30T00:00:00"/>
    <d v="2026-03-30T00:00:00"/>
    <n v="0"/>
    <x v="6"/>
    <s v="Residuos"/>
    <s v="Residuos"/>
    <s v="Residuos"/>
    <s v="Residuos"/>
    <x v="4"/>
    <m/>
    <n v="0"/>
    <n v="26456.610000000008"/>
    <n v="0"/>
    <n v="0"/>
    <n v="26456.610000000008"/>
    <m/>
    <m/>
    <m/>
    <m/>
    <m/>
    <m/>
    <m/>
    <m/>
    <n v="0"/>
    <n v="0"/>
    <n v="0"/>
    <n v="0"/>
    <n v="0"/>
    <n v="0"/>
    <m/>
    <m/>
    <m/>
    <n v="26456.610000000008"/>
    <n v="1"/>
    <n v="0"/>
    <n v="0"/>
    <n v="0"/>
    <n v="0"/>
    <n v="0"/>
    <n v="0"/>
    <n v="26456.610000000008"/>
    <n v="1"/>
    <n v="0"/>
    <n v="26456.610000000008"/>
    <n v="1"/>
    <n v="0"/>
    <n v="26456.610000000008"/>
  </r>
  <r>
    <s v="MARZO"/>
    <x v="3"/>
    <s v="145-2025B"/>
    <d v="2025-12-29T00:00:00"/>
    <d v="2026-04-11T00:00:00"/>
    <n v="27"/>
    <x v="11"/>
    <s v="Recortes cocidos "/>
    <m/>
    <s v="España "/>
    <s v="Vigo"/>
    <x v="3"/>
    <s v="Jorge"/>
    <n v="2500"/>
    <n v="67500"/>
    <n v="2312.2896296296294"/>
    <n v="5068.18"/>
    <n v="62431.82"/>
    <n v="1"/>
    <s v="MSC CAROLE NX614R"/>
    <s v="EBKG16377153"/>
    <s v="MSC"/>
    <m/>
    <n v="10007050"/>
    <m/>
    <m/>
    <n v="1685.098304411272"/>
    <n v="38051.666500394953"/>
    <n v="6983.5232876599148"/>
    <n v="663.43471232769195"/>
    <n v="-200.97028127821309"/>
    <n v="45497.654219104341"/>
    <m/>
    <n v="1788.1098445595856"/>
    <m/>
    <n v="22002.345780895659"/>
    <n v="0.32596067823549124"/>
    <n v="5068.18"/>
    <n v="534.12466939844239"/>
    <n v="1955.4230769230769"/>
    <n v="7557.7277463215196"/>
    <n v="832.68265635440798"/>
    <n v="1872.9546"/>
    <n v="15484.889978219733"/>
    <n v="0.22940577745510715"/>
    <n v="2836.5796095938122"/>
    <n v="12648.31036862592"/>
    <n v="0.18738237583149511"/>
    <n v="1580.0491206619561"/>
    <n v="17064.939098881689"/>
  </r>
  <r>
    <s v="MARZO"/>
    <x v="3"/>
    <s v="150-2026D"/>
    <d v="1900-11-20T00:00:00"/>
    <d v="2026-04-11T00:00:00"/>
    <n v="26"/>
    <x v="0"/>
    <s v="Rejos"/>
    <s v="s/t"/>
    <s v="España "/>
    <s v="Vigo"/>
    <x v="6"/>
    <s v="Avelino"/>
    <n v="2950"/>
    <n v="76700"/>
    <n v="2755.07"/>
    <n v="5068.18"/>
    <n v="71631.820000000007"/>
    <n v="1"/>
    <s v="MSC CAROLE NX614R"/>
    <s v="EBKG16377125"/>
    <s v="MSC"/>
    <m/>
    <n v="10007567"/>
    <m/>
    <m/>
    <n v="2001.4942427698361"/>
    <n v="32138.287967120508"/>
    <n v="8661.4053803837232"/>
    <n v="561.67492412153217"/>
    <n v="10677.482040389968"/>
    <n v="52038.850312015726"/>
    <m/>
    <n v="2104.5057829181496"/>
    <m/>
    <n v="24661.149687984274"/>
    <n v="0.32152737533225911"/>
    <n v="5068.18"/>
    <n v="514.34227423553716"/>
    <n v="1883"/>
    <n v="7465.5222742355372"/>
    <n v="801.84255797091134"/>
    <n v="2148.9546"/>
    <n v="18542.739455777828"/>
    <n v="0.24175670737650362"/>
    <n v="2731.5211055347822"/>
    <n v="15811.218350243045"/>
    <n v="0.20614365515310359"/>
    <n v="1521.5287828596613"/>
    <n v="20064.268238637491"/>
  </r>
  <r>
    <s v="MARZO"/>
    <x v="3"/>
    <s v="172-2026C"/>
    <d v="1900-02-15T00:00:00"/>
    <d v="2026-04-08T00:00:00"/>
    <n v="125"/>
    <x v="4"/>
    <s v="Filete "/>
    <s v="2-4 kg  AA"/>
    <s v="España"/>
    <s v="Vigo"/>
    <x v="11"/>
    <s v="Ramon"/>
    <n v="1400"/>
    <n v="175000"/>
    <n v="1143.1600000000001"/>
    <n v="32105"/>
    <n v="142895"/>
    <n v="5"/>
    <s v="ECO MARIN 26014N"/>
    <s v="LIMG05144800"/>
    <s v="ONE"/>
    <m/>
    <n v="10005721"/>
    <m/>
    <m/>
    <n v="2033.6752269777967"/>
    <n v="154384.14489271821"/>
    <n v="45237.759646141254"/>
    <n v="2771.3669811996328"/>
    <n v="51816.131852165483"/>
    <n v="254209.40337222457"/>
    <m/>
    <n v="2136.6867671261102"/>
    <m/>
    <n v="-79209.403372224566"/>
    <n v="-0.45262516212699749"/>
    <n v="32105"/>
    <n v="2472.7993953631594"/>
    <n v="9052.8846153846152"/>
    <n v="43630.684010747776"/>
    <n v="3855.012297937074"/>
    <n v="4286.8499999999995"/>
    <n v="-122408.24968090942"/>
    <n v="-0.69947571246233953"/>
    <n v="13132.31300737876"/>
    <n v="-135540.56268828816"/>
    <n v="-0.77451750107593231"/>
    <n v="7315.0422252868339"/>
    <n v="-115093.20745562259"/>
  </r>
  <r>
    <s v="MARZO"/>
    <x v="3"/>
    <s v="173-2026"/>
    <d v="1900-02-16T00:00:00"/>
    <d v="2026-04-08T00:00:00"/>
    <n v="120"/>
    <x v="4"/>
    <s v="Filete "/>
    <s v="2-4 AA"/>
    <s v="Japón "/>
    <s v="Sendai"/>
    <x v="2"/>
    <s v="Jose"/>
    <n v="1500"/>
    <n v="180000"/>
    <n v="1371.2083333333333"/>
    <n v="15455"/>
    <n v="164545"/>
    <n v="5"/>
    <s v="ECO MARIN 26014N"/>
    <s v="LIMG05163900"/>
    <s v="ONE"/>
    <m/>
    <n v="10005721"/>
    <m/>
    <m/>
    <n v="2033.6752269777967"/>
    <n v="148208.77909700948"/>
    <n v="43428.249260295604"/>
    <n v="2660.5123019516473"/>
    <n v="49743.486578078868"/>
    <n v="244041.02723733563"/>
    <m/>
    <n v="2136.6867671261102"/>
    <m/>
    <n v="-64041.027237335627"/>
    <n v="-0.3557834846518646"/>
    <n v="15455"/>
    <n v="2373.8874195486328"/>
    <n v="8690.7692307692305"/>
    <n v="26519.656650317862"/>
    <n v="3700.8118060195911"/>
    <n v="4936.3499999999995"/>
    <n v="-89325.145693673068"/>
    <n v="-0.49625080940929484"/>
    <n v="12607.02048708361"/>
    <n v="-101932.16618075667"/>
    <n v="-0.56628981211531482"/>
    <n v="7022.4405362753605"/>
    <n v="-82302.705157397708"/>
  </r>
  <r>
    <s v="MARZO"/>
    <x v="3"/>
    <s v="177-2026B"/>
    <d v="1900-02-18T00:00:00"/>
    <d v="2026-04-20T00:00:00"/>
    <n v="68.819999999999993"/>
    <x v="5"/>
    <s v="Alas"/>
    <s v="1-up"/>
    <s v="korea"/>
    <s v="Busan"/>
    <x v="2"/>
    <s v="Jose"/>
    <n v="1600"/>
    <n v="110111.99999999999"/>
    <n v="1482.258064516129"/>
    <n v="8103"/>
    <n v="102008.99999999999"/>
    <n v="3"/>
    <s v="ECO MARIN 26016N"/>
    <s v="LIMG05567300"/>
    <s v="ONE LINE"/>
    <m/>
    <n v="10006720"/>
    <m/>
    <m/>
    <n v="1933.6326766546831"/>
    <n v="85391.761118426497"/>
    <n v="17961.07289467577"/>
    <n v="1243.4105514868299"/>
    <n v="28476.356242786176"/>
    <n v="133072.60080737527"/>
    <m/>
    <n v="2036.6442168029967"/>
    <m/>
    <n v="-22960.600807375289"/>
    <n v="-0.20852042290917694"/>
    <n v="8103"/>
    <n v="1361.4244351111408"/>
    <n v="4984.1561538461528"/>
    <n v="14448.580588957295"/>
    <n v="2122.4155707522355"/>
    <n v="3060.2699999999995"/>
    <n v="-36471.326967084824"/>
    <n v="-0.33122027542034316"/>
    <n v="7230.1262493424501"/>
    <n v="-43701.453216427275"/>
    <n v="-0.39688184045723701"/>
    <n v="4027.3696475539186"/>
    <n v="-32443.957319530906"/>
  </r>
  <r>
    <s v="MARZO"/>
    <x v="3"/>
    <s v="178-2026A"/>
    <d v="1900-02-18T00:00:00"/>
    <d v="2026-04-13T00:00:00"/>
    <n v="26"/>
    <x v="4"/>
    <s v="Filete"/>
    <s v="2-4 kg"/>
    <s v="España"/>
    <s v="Valencia"/>
    <x v="0"/>
    <s v="Ignacio / Ives"/>
    <n v="1400"/>
    <n v="36400"/>
    <n v="1213.4615384615386"/>
    <n v="4850"/>
    <n v="31550"/>
    <n v="1"/>
    <s v="CAPE SPENCER 608N "/>
    <n v="93351271"/>
    <s v="HAPAG"/>
    <m/>
    <n v="10005721"/>
    <m/>
    <m/>
    <n v="2033.6752269777967"/>
    <n v="32111.902137685389"/>
    <n v="9409.4540063973818"/>
    <n v="576.44433208952364"/>
    <n v="10777.75542525042"/>
    <n v="52875.555901422711"/>
    <m/>
    <n v="2136.6867671261102"/>
    <m/>
    <n v="-16475.555901422711"/>
    <n v="-0.45262516212699755"/>
    <n v="4850"/>
    <n v="514.34227423553716"/>
    <n v="1883"/>
    <n v="7247.3422742355369"/>
    <n v="801.84255797091134"/>
    <n v="946.5"/>
    <n v="-23578.240733629158"/>
    <n v="-0.6477538663084933"/>
    <n v="2731.5211055347822"/>
    <n v="-26309.761839163941"/>
    <n v="-0.72279565492208631"/>
    <n v="1521.5287828596613"/>
    <n v="-22056.711950769495"/>
  </r>
  <r>
    <s v="MARZO"/>
    <x v="3"/>
    <s v="178-2026B"/>
    <d v="1900-02-18T00:00:00"/>
    <d v="2026-04-20T00:00:00"/>
    <n v="26"/>
    <x v="4"/>
    <s v="Filete"/>
    <s v="2-4 kg"/>
    <s v="España"/>
    <s v="Valencia"/>
    <x v="0"/>
    <s v="Ignacio / Ives"/>
    <n v="1400"/>
    <n v="36400"/>
    <n v="1213.4615384615386"/>
    <n v="4850"/>
    <n v="31550"/>
    <n v="1"/>
    <s v="CAPE SABLE 617N"/>
    <n v="10367430"/>
    <s v="HAPAG"/>
    <m/>
    <n v="10005721"/>
    <m/>
    <m/>
    <n v="2033.6752269777967"/>
    <n v="32111.902137685389"/>
    <n v="9409.4540063973818"/>
    <n v="576.44433208952364"/>
    <n v="10777.75542525042"/>
    <n v="52875.555901422711"/>
    <m/>
    <n v="2136.6867671261102"/>
    <m/>
    <n v="-16475.555901422711"/>
    <n v="-0.45262516212699755"/>
    <n v="4850"/>
    <n v="514.34227423553716"/>
    <n v="1883"/>
    <n v="7247.3422742355369"/>
    <n v="801.84255797091134"/>
    <n v="946.5"/>
    <n v="-23578.240733629158"/>
    <n v="-0.6477538663084933"/>
    <n v="2731.5211055347822"/>
    <n v="-26309.761839163941"/>
    <n v="-0.72279565492208631"/>
    <n v="1521.5287828596613"/>
    <n v="-22056.711950769495"/>
  </r>
  <r>
    <s v="MARZO"/>
    <x v="3"/>
    <s v="178-2026C"/>
    <d v="1900-02-18T00:00:00"/>
    <d v="2026-04-27T00:00:00"/>
    <n v="26"/>
    <x v="4"/>
    <s v="Filete"/>
    <s v="2-4 kg"/>
    <s v="España"/>
    <s v="Valencia"/>
    <x v="0"/>
    <s v="Ignacio / Ives"/>
    <n v="1400"/>
    <n v="36400"/>
    <n v="1213.4615384615386"/>
    <n v="4850"/>
    <n v="31550"/>
    <n v="1"/>
    <s v="LEONIDAS Z  618N"/>
    <n v="92234213"/>
    <s v="HAPAG"/>
    <m/>
    <n v="10005721"/>
    <m/>
    <m/>
    <n v="2033.6752269777967"/>
    <n v="32111.902137685389"/>
    <n v="9409.4540063973818"/>
    <n v="576.44433208952364"/>
    <n v="10777.75542525042"/>
    <n v="52875.555901422711"/>
    <m/>
    <n v="2136.6867671261102"/>
    <m/>
    <n v="-16475.555901422711"/>
    <n v="-0.45262516212699755"/>
    <n v="4850"/>
    <n v="514.34227423553716"/>
    <n v="1883"/>
    <n v="7247.3422742355369"/>
    <n v="801.84255797091134"/>
    <n v="946.5"/>
    <n v="-23578.240733629158"/>
    <n v="-0.6477538663084933"/>
    <n v="2731.5211055347822"/>
    <n v="-26309.761839163941"/>
    <n v="-0.72279565492208631"/>
    <n v="1521.5287828596613"/>
    <n v="-22056.711950769495"/>
  </r>
  <r>
    <s v="MARZO"/>
    <x v="3"/>
    <s v="182-2026"/>
    <d v="2026-02-24T00:00:00"/>
    <d v="2026-04-20T00:00:00"/>
    <n v="22.2"/>
    <x v="3"/>
    <s v="Conos"/>
    <m/>
    <s v="Tailandia"/>
    <s v="Lat Krabang"/>
    <x v="2"/>
    <s v="Jose"/>
    <n v="1600"/>
    <n v="35520"/>
    <n v="1442.2972972972973"/>
    <n v="3501"/>
    <n v="32019"/>
    <n v="1"/>
    <s v="ECO MARIN 26016N"/>
    <s v="LIMG05569500"/>
    <s v="ONE LINE"/>
    <m/>
    <n v="10007969"/>
    <m/>
    <m/>
    <n v="1634.5598884231147"/>
    <n v="30738.793562846407"/>
    <n v="6172.9419779792925"/>
    <n v="475.00031735170239"/>
    <n v="-1099.5063351842578"/>
    <n v="36287.229522993148"/>
    <m/>
    <n v="1737.5714285714282"/>
    <m/>
    <n v="-767.22952299314784"/>
    <n v="-2.1599930264446728E-2"/>
    <n v="3501"/>
    <n v="439.16917261649706"/>
    <n v="1607.7923076923075"/>
    <n v="5547.9614803088043"/>
    <n v="684.65018411362428"/>
    <n v="960.56999999999994"/>
    <n v="-6039.2711874155766"/>
    <n v="-0.17002452667273582"/>
    <n v="2332.298790110468"/>
    <n v="-8371.5699775260437"/>
    <n v="-0.23568609170962962"/>
    <n v="1299.1514992109417"/>
    <n v="-4740.1196882046352"/>
  </r>
  <r>
    <s v="MARZO"/>
    <x v="3"/>
    <s v="186-2026"/>
    <d v="1900-03-04T00:00:00"/>
    <d v="2026-04-13T00:00:00"/>
    <n v="26"/>
    <x v="0"/>
    <s v="Rejos"/>
    <m/>
    <s v="España"/>
    <s v="Valencia"/>
    <x v="0"/>
    <s v="Ignacio / Ives"/>
    <n v="3100"/>
    <n v="80600"/>
    <n v="2913.4615384615386"/>
    <n v="4850"/>
    <n v="75750"/>
    <n v="1"/>
    <s v="CAPE SPENCER 608N "/>
    <n v="32406022"/>
    <s v="HAPAG"/>
    <m/>
    <n v="10007567"/>
    <m/>
    <m/>
    <n v="2001.4942427698361"/>
    <n v="32138.287967120508"/>
    <n v="8661.4053803837232"/>
    <n v="561.67492412153217"/>
    <n v="10677.482040389968"/>
    <n v="52038.850312015726"/>
    <m/>
    <n v="2104.5057829181496"/>
    <m/>
    <n v="28561.149687984274"/>
    <n v="0.35435669588069818"/>
    <n v="4850"/>
    <n v="514.34227423553716"/>
    <n v="1883"/>
    <n v="7247.3422742355369"/>
    <n v="801.84255797091134"/>
    <n v="2272.5"/>
    <n v="22784.464855777827"/>
    <n v="0.28268566818582913"/>
    <n v="2731.5211055347822"/>
    <n v="20052.943750243045"/>
    <n v="0.24879582816678716"/>
    <n v="1521.5287828596613"/>
    <n v="24305.99363863749"/>
  </r>
  <r>
    <s v="MARZO"/>
    <x v="3"/>
    <s v="187-2026"/>
    <d v="1900-03-06T00:00:00"/>
    <d v="2026-04-20T00:00:00"/>
    <n v="115.8"/>
    <x v="5"/>
    <s v="Alas"/>
    <s v="1-up"/>
    <s v="Japón "/>
    <s v="Sendai"/>
    <x v="2"/>
    <s v="Jose"/>
    <n v="1650"/>
    <n v="191070"/>
    <n v="1507.4697754749568"/>
    <n v="16505"/>
    <n v="174565"/>
    <n v="5"/>
    <s v="ECO MARIN 26016N"/>
    <s v="LIMG05575900"/>
    <s v="ONE LINE"/>
    <m/>
    <n v="10006720"/>
    <m/>
    <m/>
    <n v="1933.6326766546831"/>
    <n v="143684.48034748313"/>
    <n v="30222.20635285461"/>
    <n v="2092.2252522838553"/>
    <n v="47915.752003990696"/>
    <n v="223914.66395661229"/>
    <m/>
    <n v="2036.6442168029967"/>
    <m/>
    <n v="-32844.66395661229"/>
    <n v="-0.17189859191192908"/>
    <n v="16505"/>
    <n v="2290.8013598644307"/>
    <n v="8386.5923076923063"/>
    <n v="27182.393667556738"/>
    <n v="3571.2833928089053"/>
    <n v="5236.95"/>
    <n v="-58361.391016977934"/>
    <n v="-0.30544507780906438"/>
    <n v="12165.774770035683"/>
    <n v="-70527.165787013611"/>
    <n v="-0.36911689845090079"/>
    <n v="6776.655117505723"/>
    <n v="-51584.735899472209"/>
  </r>
  <r>
    <s v="MARZO"/>
    <x v="3"/>
    <s v="188-2026"/>
    <d v="1900-03-06T00:00:00"/>
    <d v="2026-04-08T00:00:00"/>
    <n v="46"/>
    <x v="4"/>
    <s v="Filete"/>
    <s v="2-4 A "/>
    <s v="Japón "/>
    <s v="Hakata"/>
    <x v="2"/>
    <s v="Jose"/>
    <n v="1700"/>
    <n v="78200"/>
    <n v="1547.7826086956522"/>
    <n v="7002"/>
    <n v="71198"/>
    <n v="2"/>
    <s v="ECO MARIN 26014N"/>
    <s v="LIMG05162800"/>
    <s v="ONE"/>
    <m/>
    <n v="10005721"/>
    <m/>
    <m/>
    <n v="2033.6752269777967"/>
    <n v="56813.365320520301"/>
    <n v="16647.495549779982"/>
    <n v="1019.8630490814649"/>
    <n v="19068.336521596899"/>
    <n v="93549.060440978647"/>
    <m/>
    <n v="2136.6867671261102"/>
    <m/>
    <n v="-15349.060440978647"/>
    <n v="-0.19627954528105687"/>
    <n v="7002"/>
    <n v="909.99017749364259"/>
    <n v="3331.4615384615381"/>
    <n v="11243.45171595518"/>
    <n v="1418.6445256408433"/>
    <n v="2135.94"/>
    <n v="-25875.216682574672"/>
    <n v="-0.33088512381809043"/>
    <n v="4832.691186715384"/>
    <n v="-30707.907869290055"/>
    <n v="-0.39268424385281397"/>
    <n v="2691.9355389055549"/>
    <n v="-23183.281143669115"/>
  </r>
  <r>
    <s v="MARZO"/>
    <x v="3"/>
    <s v="190-2026"/>
    <d v="1900-03-10T00:00:00"/>
    <d v="2026-04-20T00:00:00"/>
    <n v="24"/>
    <x v="4"/>
    <s v="Filete"/>
    <s v="2-4 A "/>
    <s v="Japón "/>
    <s v="Tokyo "/>
    <x v="2"/>
    <s v="Jose"/>
    <n v="1800"/>
    <n v="43200"/>
    <n v="1666.625"/>
    <n v="3201"/>
    <n v="39999"/>
    <n v="1"/>
    <s v="ECO MARIN 26016N"/>
    <s v="LIMG05576300"/>
    <s v="ONE LINE"/>
    <m/>
    <n v="10005721"/>
    <m/>
    <m/>
    <n v="2033.6752269777967"/>
    <n v="29641.755819401897"/>
    <n v="8685.6498520591213"/>
    <n v="532.1024603903295"/>
    <n v="9948.6973156157728"/>
    <n v="48808.205447467117"/>
    <m/>
    <n v="2136.6867671261102"/>
    <m/>
    <n v="-5608.2054474671168"/>
    <n v="-0.1298195705432203"/>
    <n v="3201"/>
    <n v="474.77748390972658"/>
    <n v="1738.1538461538462"/>
    <n v="5413.9313300635731"/>
    <n v="740.16236120391818"/>
    <n v="1199.97"/>
    <n v="-10562.329138734609"/>
    <n v="-0.24449835969293077"/>
    <n v="2521.4040974167219"/>
    <n v="-13083.733236151331"/>
    <n v="-0.30286419528128078"/>
    <n v="1404.488107255072"/>
    <n v="-9157.8410314795365"/>
  </r>
  <r>
    <s v="MARZO"/>
    <x v="3"/>
    <s v="191-2026"/>
    <d v="1900-03-12T00:00:00"/>
    <d v="2026-04-17T00:00:00"/>
    <n v="26.64"/>
    <x v="10"/>
    <s v="Alas Precocidas"/>
    <s v="300-up skin-on "/>
    <s v="China "/>
    <s v="Yantai"/>
    <x v="17"/>
    <s v="Sasha"/>
    <n v="3600"/>
    <n v="95904"/>
    <n v="3475.1876876876877"/>
    <n v="3325"/>
    <n v="92579"/>
    <n v="1"/>
    <s v="ECO MARIN 26016S"/>
    <n v="6450014810"/>
    <s v="COSCO"/>
    <m/>
    <n v="10009331"/>
    <m/>
    <m/>
    <n v="2949.6669176004234"/>
    <n v="44839.354584750741"/>
    <n v="17789.292685511718"/>
    <n v="814.74114415529175"/>
    <n v="15135.738270457532"/>
    <n v="78579.126684875286"/>
    <m/>
    <n v="3052.6784577487369"/>
    <m/>
    <n v="17324.873315124714"/>
    <n v="0.18064807844432676"/>
    <n v="3325"/>
    <n v="527.00300713979652"/>
    <n v="1929.3507692307692"/>
    <n v="5781.3537763705654"/>
    <n v="821.58022093634918"/>
    <n v="2777.37"/>
    <n v="13499.309317817799"/>
    <n v="0.1407585639578933"/>
    <n v="2798.7585481325614"/>
    <n v="10700.550769685236"/>
    <n v="0.11157564616371826"/>
    <n v="1558.9817990531301"/>
    <n v="15058.291116870929"/>
  </r>
  <r>
    <s v="MARZO"/>
    <x v="3"/>
    <s v="192-2026"/>
    <d v="1900-03-12T00:00:00"/>
    <d v="2026-04-10T00:00:00"/>
    <n v="27"/>
    <x v="5"/>
    <s v="Alas"/>
    <s v="1-up "/>
    <s v="China "/>
    <s v="Yantai"/>
    <x v="17"/>
    <s v="Sasha"/>
    <n v="1700"/>
    <n v="45900"/>
    <n v="1585.1851851851852"/>
    <n v="3100"/>
    <n v="42800"/>
    <n v="1"/>
    <s v="ECO SIROCCO 26015S"/>
    <n v="6448952470"/>
    <s v="COSCO"/>
    <m/>
    <n v="10006720"/>
    <m/>
    <m/>
    <n v="1933.6326766546831"/>
    <n v="33501.562775319901"/>
    <n v="7046.6284242407128"/>
    <n v="487.8245406879455"/>
    <n v="11172.066529427882"/>
    <n v="52208.082269676437"/>
    <m/>
    <n v="2036.6442168029967"/>
    <m/>
    <n v="-6308.0822696764371"/>
    <n v="-0.1374309862674605"/>
    <n v="3100"/>
    <n v="534.12466939844239"/>
    <n v="1955.4230769230769"/>
    <n v="5589.5477463215193"/>
    <n v="832.68265635440798"/>
    <n v="1284"/>
    <n v="-11446.312672352364"/>
    <n v="-0.24937500375495344"/>
    <n v="2836.5796095938122"/>
    <n v="-14282.892281946177"/>
    <n v="-0.31117412378967707"/>
    <n v="1580.0491206619561"/>
    <n v="-9866.2635516904083"/>
  </r>
  <r>
    <s v="MARZO"/>
    <x v="3"/>
    <s v="193-2026"/>
    <d v="1900-03-12T00:00:00"/>
    <d v="2026-04-10T00:00:00"/>
    <n v="27"/>
    <x v="4"/>
    <s v="Filete"/>
    <s v="2-4 A  external skin removed, inner membranes on"/>
    <s v="China "/>
    <s v="Yantai"/>
    <x v="17"/>
    <s v="Sasha"/>
    <n v="1600"/>
    <n v="43200"/>
    <n v="1485.1851851851852"/>
    <n v="3100"/>
    <n v="40100"/>
    <n v="1"/>
    <s v="ECO SIROCCO 26015S"/>
    <n v="6448952410"/>
    <s v="COSCO"/>
    <m/>
    <n v="10005721"/>
    <m/>
    <m/>
    <n v="2033.6752269777967"/>
    <n v="33346.975296827135"/>
    <n v="9771.3560835665121"/>
    <n v="598.6152679391206"/>
    <n v="11192.284480067745"/>
    <n v="54909.231128400512"/>
    <m/>
    <n v="2136.6867671261102"/>
    <m/>
    <n v="-11709.231128400512"/>
    <n v="-0.27104701686112298"/>
    <n v="3100"/>
    <n v="534.12466939844239"/>
    <n v="1955.4230769230769"/>
    <n v="5589.5477463215193"/>
    <n v="832.68265635440798"/>
    <n v="1203"/>
    <n v="-16928.461531076442"/>
    <n v="-0.39186253544158428"/>
    <n v="2836.5796095938122"/>
    <n v="-19765.041140670255"/>
    <n v="-0.45752410047847814"/>
    <n v="1580.0491206619561"/>
    <n v="-15348.412410414487"/>
  </r>
  <r>
    <s v="MARZO"/>
    <x v="3"/>
    <s v="194-2026"/>
    <d v="1900-03-12T00:00:00"/>
    <d v="2026-04-10T00:00:00"/>
    <n v="27"/>
    <x v="9"/>
    <s v="Daruma "/>
    <m/>
    <s v="China "/>
    <s v="Yantai"/>
    <x v="17"/>
    <s v="Sasha"/>
    <n v="3500"/>
    <n v="94500"/>
    <n v="3385.1851851851852"/>
    <n v="3100"/>
    <n v="91400"/>
    <n v="1"/>
    <s v="ECO SIROCCO 26015S"/>
    <n v="6448952450"/>
    <s v="COSCO"/>
    <m/>
    <n v="10009239"/>
    <m/>
    <m/>
    <n v="2429.4937901121884"/>
    <n v="32257.503071445481"/>
    <n v="21030.112411481849"/>
    <n v="385.13465576141596"/>
    <n v="11923.582194340348"/>
    <n v="65596.332333029088"/>
    <m/>
    <n v="2532.505330260502"/>
    <m/>
    <n v="28903.667666970912"/>
    <n v="0.30585891711080332"/>
    <n v="3100"/>
    <n v="534.12466939844239"/>
    <n v="1955.4230769230769"/>
    <n v="5589.5477463215193"/>
    <n v="832.68265635440798"/>
    <n v="2742"/>
    <n v="25223.437264294982"/>
    <n v="0.26691468004544955"/>
    <n v="2836.5796095938122"/>
    <n v="22386.857654701169"/>
    <n v="0.23689796460001236"/>
    <n v="1580.0491206619561"/>
    <n v="26803.486384956937"/>
  </r>
  <r>
    <s v="MARZO"/>
    <x v="3"/>
    <s v="195-2026"/>
    <d v="1900-03-16T00:00:00"/>
    <d v="2026-04-22T00:00:00"/>
    <n v="24.2"/>
    <x v="12"/>
    <s v="Ventosas"/>
    <m/>
    <s v="China "/>
    <s v="MAWEI FUZHOU"/>
    <x v="9"/>
    <s v="James"/>
    <n v="1250"/>
    <n v="30250"/>
    <n v="1108.0165289256199"/>
    <n v="3436"/>
    <n v="26814"/>
    <n v="1"/>
    <s v="CMA CGM EXCELLENCE 0DVOPN1MA"/>
    <s v="LMM0581298"/>
    <s v="CMA CGM"/>
    <m/>
    <m/>
    <m/>
    <m/>
    <n v="0"/>
    <n v="0"/>
    <n v="0"/>
    <n v="0"/>
    <n v="0"/>
    <n v="0"/>
    <m/>
    <n v="0"/>
    <m/>
    <n v="30250"/>
    <n v="1"/>
    <n v="3436"/>
    <n v="478.73396294230764"/>
    <n v="1752.6384615384613"/>
    <n v="5667.372424480769"/>
    <n v="746.33038088061755"/>
    <n v="804.42"/>
    <n v="24640.717194638615"/>
    <n v="0.81456916345912778"/>
    <n v="2542.4157982285278"/>
    <n v="22098.301396410086"/>
    <n v="0.73052236021190364"/>
    <n v="1416.192174815531"/>
    <n v="26056.909369454144"/>
  </r>
  <r>
    <s v="MARZO"/>
    <x v="3"/>
    <s v="196-2026"/>
    <d v="1900-03-24T00:00:00"/>
    <d v="2026-04-20T00:00:00"/>
    <n v="81"/>
    <x v="4"/>
    <s v="Filete"/>
    <s v="2-4 AA"/>
    <s v="China "/>
    <s v="Qingdao"/>
    <x v="18"/>
    <s v="Nana "/>
    <n v="2200"/>
    <n v="178200"/>
    <n v="2099.962962962963"/>
    <n v="8103"/>
    <n v="170097"/>
    <n v="3"/>
    <s v="ECO MARIN 26016N"/>
    <s v="LIMG05822400"/>
    <m/>
    <m/>
    <n v="10005721"/>
    <m/>
    <m/>
    <n v="2033.6752269777967"/>
    <n v="100040.92589048141"/>
    <n v="29314.068250699533"/>
    <n v="1795.8458038173619"/>
    <n v="33576.853440203231"/>
    <n v="164727.69338520154"/>
    <m/>
    <n v="2136.6867671261102"/>
    <m/>
    <n v="13472.306614798465"/>
    <n v="7.5602169555546939E-2"/>
    <n v="8103"/>
    <n v="1602.3740081953272"/>
    <n v="5866.2692307692305"/>
    <n v="15571.643238964558"/>
    <n v="2498.0479690632242"/>
    <n v="5102.91"/>
    <n v="505.52540677068282"/>
    <n v="2.8368429111710596E-3"/>
    <n v="8509.7388287814374"/>
    <n v="-8004.2134220107546"/>
    <n v="-4.4917022570206258E-2"/>
    <n v="4740.147361985868"/>
    <n v="5245.6727687565508"/>
  </r>
  <r>
    <s v="MARZO"/>
    <x v="3"/>
    <s v="197-2026A"/>
    <d v="1900-03-27T00:00:00"/>
    <d v="2026-04-28T00:00:00"/>
    <n v="189"/>
    <x v="4"/>
    <s v="Filete"/>
    <s v="2-4 AA LIGERAMENTE ROSADO "/>
    <s v="China "/>
    <s v="Qingdao"/>
    <x v="18"/>
    <s v="Nana "/>
    <n v="2100"/>
    <n v="396900"/>
    <n v="2029.6296296296296"/>
    <n v="13300"/>
    <n v="383600"/>
    <n v="4"/>
    <s v="ECO SIROCCO 26017N"/>
    <n v="6450842530"/>
    <m/>
    <m/>
    <n v="10005721"/>
    <m/>
    <m/>
    <n v="2033.6752269777967"/>
    <n v="233428.82707778993"/>
    <n v="68399.492584965585"/>
    <n v="4190.306875573845"/>
    <n v="78345.991360474218"/>
    <n v="384364.61789880355"/>
    <m/>
    <n v="2136.6867671261102"/>
    <m/>
    <n v="12535.382101196446"/>
    <n v="3.1583225248668294E-2"/>
    <n v="13300"/>
    <n v="3738.872685789097"/>
    <n v="13687.961538461537"/>
    <n v="30726.834224250633"/>
    <n v="5828.7785944808556"/>
    <n v="11508"/>
    <n v="-12512.230717535043"/>
    <n v="-3.1524894727979452E-2"/>
    <n v="19856.057267156684"/>
    <n v="-32368.287984691728"/>
    <n v="-8.155275380370805E-2"/>
    <n v="11060.343844633693"/>
    <n v="-1451.8868729013502"/>
  </r>
  <r>
    <s v="MARZO"/>
    <x v="3"/>
    <s v="198-2026A"/>
    <d v="1900-03-28T00:00:00"/>
    <d v="2026-04-17T00:00:00"/>
    <n v="162"/>
    <x v="9"/>
    <s v="Daruma"/>
    <m/>
    <s v="China"/>
    <s v="Qingdao"/>
    <x v="15"/>
    <s v="James"/>
    <n v="3900"/>
    <n v="631800"/>
    <n v="3792.5925925925926"/>
    <n v="17400"/>
    <n v="614400"/>
    <n v="6"/>
    <s v="ECO MARIN 26016S"/>
    <n v="6450013900"/>
    <m/>
    <m/>
    <n v="10009239"/>
    <m/>
    <m/>
    <n v="2429.4937901121884"/>
    <n v="193545.01842867289"/>
    <n v="126180.6744688911"/>
    <n v="2310.807934568496"/>
    <n v="71541.493166042084"/>
    <n v="393577.99399817456"/>
    <m/>
    <n v="2532.505330260502"/>
    <m/>
    <n v="238222.00600182544"/>
    <n v="0.37705287433020807"/>
    <n v="17400"/>
    <n v="3204.7480163906544"/>
    <n v="11732.538461538461"/>
    <n v="32337.286477929116"/>
    <n v="4996.0959381264483"/>
    <n v="18432"/>
    <n v="219320.62358576988"/>
    <n v="0.3471361563560777"/>
    <n v="17019.477657562875"/>
    <n v="202301.145928207"/>
    <n v="0.32019807839222381"/>
    <n v="9480.2947239717359"/>
    <n v="228800.91830974162"/>
  </r>
  <r>
    <s v="MARZO"/>
    <x v="3"/>
    <s v="198-2026B"/>
    <d v="1900-03-28T00:00:00"/>
    <d v="2026-04-22T00:00:00"/>
    <n v="27"/>
    <x v="9"/>
    <s v="Daruma"/>
    <m/>
    <s v="China"/>
    <s v="Qingdao"/>
    <x v="15"/>
    <s v="James"/>
    <n v="3900"/>
    <n v="105300"/>
    <n v="3799.962962962963"/>
    <n v="2701"/>
    <n v="102599"/>
    <n v="1"/>
    <s v="ECO MARIN 26016N("/>
    <s v="LIMG05097800"/>
    <m/>
    <m/>
    <n v="10009239"/>
    <m/>
    <m/>
    <n v="2429.4937901121884"/>
    <n v="32257.503071445481"/>
    <n v="21030.112411481849"/>
    <n v="385.13465576141596"/>
    <n v="11923.582194340348"/>
    <n v="65596.332333029088"/>
    <m/>
    <n v="2532.505330260502"/>
    <m/>
    <n v="39703.667666970912"/>
    <n v="0.37705287433020812"/>
    <n v="2701"/>
    <n v="534.12466939844239"/>
    <n v="1955.4230769230769"/>
    <n v="5190.5477463215193"/>
    <n v="832.68265635440798"/>
    <n v="3077.97"/>
    <n v="36758.407264294983"/>
    <n v="0.34908269006927811"/>
    <n v="2836.5796095938122"/>
    <n v="33921.82765470117"/>
    <n v="0.32214461210542422"/>
    <n v="1580.0491206619561"/>
    <n v="38338.456384956939"/>
  </r>
  <r>
    <s v="MARZO"/>
    <x v="3"/>
    <s v="200-2026"/>
    <d v="1900-03-28T00:00:00"/>
    <d v="2026-04-24T00:00:00"/>
    <n v="26.46"/>
    <x v="10"/>
    <s v="Alas Precocidas"/>
    <m/>
    <s v="China "/>
    <s v="Qingdao"/>
    <x v="19"/>
    <s v="Mark"/>
    <n v="4200"/>
    <n v="111132"/>
    <n v="4074.3386243386244"/>
    <n v="3325"/>
    <n v="107807"/>
    <n v="1"/>
    <s v="ECO SIROCCO 26017S"/>
    <n v="6451450280"/>
    <s v="COSCO"/>
    <m/>
    <n v="10009331"/>
    <m/>
    <m/>
    <n v="2949.6669176004234"/>
    <n v="44536.38597269162"/>
    <n v="17669.094761960961"/>
    <n v="809.23613642451278"/>
    <n v="15033.469768630115"/>
    <n v="78048.186639707215"/>
    <m/>
    <n v="3052.6784577487369"/>
    <m/>
    <n v="33083.813360292785"/>
    <n v="0.29769835295228003"/>
    <n v="3325"/>
    <n v="523.44217601047353"/>
    <n v="1916.3146153846153"/>
    <n v="5764.7567913950888"/>
    <n v="816.02900322731989"/>
    <n v="3234.21"/>
    <n v="29737.237565670377"/>
    <n v="0.2675848321425906"/>
    <n v="2779.848017401936"/>
    <n v="26957.389548268442"/>
    <n v="0.2425709026047263"/>
    <n v="1548.448138248717"/>
    <n v="31285.685703919095"/>
  </r>
  <r>
    <s v="MARZO"/>
    <x v="3"/>
    <s v="201-2026"/>
    <d v="1900-03-31T00:00:00"/>
    <d v="2026-04-24T00:00:00"/>
    <n v="54"/>
    <x v="2"/>
    <s v="Rejos"/>
    <s v="2- UP LIMPIOS "/>
    <s v="China "/>
    <s v="Yantai"/>
    <x v="14"/>
    <s v="jack"/>
    <n v="2700"/>
    <n v="145800"/>
    <n v="2576.8518518518517"/>
    <n v="6650"/>
    <n v="139150"/>
    <n v="2"/>
    <s v="ECO SIROCCO 26017S"/>
    <n v="6450494060"/>
    <s v="COSCO"/>
    <m/>
    <n v="10007162"/>
    <m/>
    <m/>
    <n v="1939.5214199724567"/>
    <n v="64217.816443701828"/>
    <n v="18232.718737943713"/>
    <n v="970.94743232890846"/>
    <n v="21312.674064538205"/>
    <n v="104734.15667851265"/>
    <m/>
    <n v="2042.5329601207702"/>
    <m/>
    <n v="41065.843321487351"/>
    <n v="0.28165873334353464"/>
    <n v="6650"/>
    <n v="1068.2493387968848"/>
    <n v="3910.8461538461538"/>
    <n v="11629.095492643039"/>
    <n v="1665.365312708816"/>
    <n v="4174.5"/>
    <n v="31945.882516135498"/>
    <n v="0.21910756183906377"/>
    <n v="5673.1592191876243"/>
    <n v="26272.723296947872"/>
    <n v="0.18019700478016373"/>
    <n v="3160.0982413239121"/>
    <n v="35105.980757459409"/>
  </r>
  <r>
    <s v="MARZO"/>
    <x v="3"/>
    <s v="202-2026A"/>
    <d v="1900-03-31T00:00:00"/>
    <d v="2026-04-24T00:00:00"/>
    <n v="26.1"/>
    <x v="8"/>
    <s v="Membrana"/>
    <m/>
    <s v="China "/>
    <s v="Qingdao"/>
    <x v="7"/>
    <m/>
    <n v="2000"/>
    <n v="52200"/>
    <n v="1880.2681992337164"/>
    <n v="3125"/>
    <n v="49075"/>
    <n v="1"/>
    <s v="ECO SIROCCO 26017S"/>
    <n v="6450494050"/>
    <s v="COSCO"/>
    <m/>
    <m/>
    <m/>
    <m/>
    <n v="0"/>
    <n v="0"/>
    <n v="0"/>
    <n v="0"/>
    <n v="0"/>
    <n v="0"/>
    <m/>
    <n v="0"/>
    <m/>
    <n v="52200"/>
    <n v="1"/>
    <n v="3125"/>
    <n v="516.32051375182766"/>
    <n v="1890.2423076923078"/>
    <n v="5531.5628214441349"/>
    <n v="804.92656780926109"/>
    <n v="1472.25"/>
    <n v="47335.760610746598"/>
    <n v="0.90681533737062447"/>
    <n v="2742.0269559406852"/>
    <n v="44593.73365480591"/>
    <n v="0.85428608534110939"/>
    <n v="1527.380816639891"/>
    <n v="48863.141427386487"/>
  </r>
  <r>
    <s v="MARZO"/>
    <x v="3"/>
    <s v="202-2026B"/>
    <d v="1900-03-31T00:00:00"/>
    <d v="2026-04-28T00:00:00"/>
    <n v="26.25"/>
    <x v="7"/>
    <s v="Telilla"/>
    <m/>
    <s v="China "/>
    <s v="Qingdao"/>
    <x v="7"/>
    <m/>
    <n v="2000"/>
    <n v="52500"/>
    <n v="1880.952380952381"/>
    <n v="3125"/>
    <n v="49375"/>
    <n v="1"/>
    <s v="ECO SIROCCO 26017N"/>
    <n v="6451132960"/>
    <s v="COSCO"/>
    <m/>
    <m/>
    <m/>
    <m/>
    <n v="0"/>
    <n v="0"/>
    <n v="0"/>
    <n v="0"/>
    <n v="0"/>
    <n v="0"/>
    <m/>
    <n v="0"/>
    <m/>
    <n v="52500"/>
    <n v="1"/>
    <n v="3125"/>
    <n v="519.28787302626347"/>
    <n v="1901.1057692307691"/>
    <n v="5545.3936422570332"/>
    <n v="809.55258256678553"/>
    <n v="1481.25"/>
    <n v="47626.30377517618"/>
    <n v="0.90716769095573679"/>
    <n v="2757.7857315495398"/>
    <n v="44868.518043626638"/>
    <n v="0.85463843892622171"/>
    <n v="1536.1588673102351"/>
    <n v="49162.462642486418"/>
  </r>
  <r>
    <s v="MARZO"/>
    <x v="3"/>
    <s v="203-2026"/>
    <d v="1900-04-06T00:00:00"/>
    <d v="2026-04-28T00:00:00"/>
    <n v="54"/>
    <x v="2"/>
    <s v="Rejos"/>
    <s v="&lt;1000 DIRTY SUCKERS ON ,SEXUAL OFF"/>
    <s v="China "/>
    <s v="shidao"/>
    <x v="19"/>
    <s v="Mark"/>
    <n v="2850"/>
    <n v="153900"/>
    <n v="2726.8518518518517"/>
    <n v="6650"/>
    <n v="147250"/>
    <n v="2"/>
    <s v="ECO SIROCCO 26017S"/>
    <n v="6451277930"/>
    <s v="COSCO"/>
    <m/>
    <n v="10007162"/>
    <m/>
    <m/>
    <n v="1939.5214199724567"/>
    <n v="64217.816443701828"/>
    <n v="18232.718737943713"/>
    <n v="970.94743232890846"/>
    <n v="21312.674064538205"/>
    <n v="104734.15667851265"/>
    <m/>
    <n v="2042.5329601207702"/>
    <m/>
    <n v="49165.843321487351"/>
    <n v="0.31946616843071701"/>
    <n v="6650"/>
    <n v="1068.2493387968848"/>
    <n v="3910.8461538461538"/>
    <n v="11629.095492643039"/>
    <n v="1665.365312708816"/>
    <n v="4417.5"/>
    <n v="40288.882516135491"/>
    <n v="0.26178611121595513"/>
    <n v="5673.1592191876243"/>
    <n v="34615.723296947865"/>
    <n v="0.22492347821278663"/>
    <n v="3160.0982413239121"/>
    <n v="43448.980757459402"/>
  </r>
  <r>
    <s v="MARZO"/>
    <x v="3"/>
    <s v="204-2026"/>
    <d v="1900-04-07T00:00:00"/>
    <d v="2026-04-28T00:00:00"/>
    <n v="24"/>
    <x v="4"/>
    <s v="Filete"/>
    <s v="1-2 A - AA  manto "/>
    <s v="Japón "/>
    <s v="KOBE"/>
    <x v="2"/>
    <s v="Jose"/>
    <n v="2300"/>
    <n v="55200"/>
    <n v="2166.625"/>
    <n v="3201"/>
    <n v="51999"/>
    <n v="1"/>
    <s v="ECO SIROCCO 26017N"/>
    <s v="LIMG06389600"/>
    <s v="ONE"/>
    <m/>
    <n v="10005721"/>
    <m/>
    <m/>
    <n v="2033.6752269777967"/>
    <n v="29641.755819401897"/>
    <n v="8685.6498520591213"/>
    <n v="532.1024603903295"/>
    <n v="9948.6973156157728"/>
    <n v="48808.205447467117"/>
    <m/>
    <n v="2136.6867671261102"/>
    <m/>
    <n v="6391.7945525328832"/>
    <n v="0.11579337957487107"/>
    <n v="3201"/>
    <n v="474.77748390972658"/>
    <n v="1738.1538461538462"/>
    <n v="5413.9313300635731"/>
    <n v="740.16236120391818"/>
    <n v="1559.97"/>
    <n v="1797.670861265392"/>
    <n v="3.256650110988029E-2"/>
    <n v="2521.4040974167219"/>
    <n v="-723.73323615132995"/>
    <n v="-1.3111109350567571E-2"/>
    <n v="1404.488107255072"/>
    <n v="3202.158968520464"/>
  </r>
  <r>
    <s v="MARZO"/>
    <x v="3"/>
    <s v="205-2026"/>
    <d v="1900-04-07T00:00:00"/>
    <d v="2026-04-28T00:00:00"/>
    <n v="25.8"/>
    <x v="0"/>
    <s v="Rejos"/>
    <s v="&gt;60 CM , SUCKERS OFF"/>
    <s v="Manzanillo"/>
    <s v="Mexico "/>
    <x v="20"/>
    <s v="alexander"/>
    <n v="2920"/>
    <n v="75336"/>
    <n v="2815.4651162790697"/>
    <n v="2697"/>
    <n v="72639"/>
    <n v="1"/>
    <s v="LEONIDAS Z 618N"/>
    <n v="35835231"/>
    <s v="HAPAG"/>
    <m/>
    <n v="10007567"/>
    <m/>
    <m/>
    <n v="2001.4942427698361"/>
    <n v="31891.070367373428"/>
    <n v="8594.7791851500024"/>
    <n v="557.35434778213573"/>
    <n v="10595.3475631562"/>
    <n v="51638.551463461772"/>
    <m/>
    <n v="2104.5057829181496"/>
    <m/>
    <n v="23697.448536538228"/>
    <n v="0.31455676617471368"/>
    <n v="2697"/>
    <n v="510.3857952029561"/>
    <n v="1868.5153846153846"/>
    <n v="5075.901179818341"/>
    <n v="795.67453829421208"/>
    <n v="2179.17"/>
    <n v="20005.042818425674"/>
    <n v="0.26554426593429004"/>
    <n v="2710.5094047229763"/>
    <n v="17294.533413702698"/>
    <n v="0.22956532618804687"/>
    <n v="1509.8247152992026"/>
    <n v="21514.867533724879"/>
  </r>
  <r>
    <s v="MARZO"/>
    <x v="3"/>
    <s v="207-2026"/>
    <d v="1900-03-06T00:00:00"/>
    <d v="2026-04-28T00:00:00"/>
    <n v="24"/>
    <x v="5"/>
    <s v="Alas"/>
    <s v="300-500 / 500-1000"/>
    <s v="Japón "/>
    <s v="Sendai"/>
    <x v="2"/>
    <s v="Jose"/>
    <n v="2400"/>
    <n v="57600"/>
    <n v="2262.4583333333335"/>
    <n v="3301"/>
    <n v="54299"/>
    <n v="1"/>
    <s v="ECO SIROCCO 26017N"/>
    <s v="LIMG06456800"/>
    <s v="COSCO"/>
    <m/>
    <n v="10006720"/>
    <m/>
    <m/>
    <n v="1933.6326766546831"/>
    <n v="29779.166911395467"/>
    <n v="6263.6697104361883"/>
    <n v="433.62181394484048"/>
    <n v="9930.7258039358949"/>
    <n v="46407.184239712384"/>
    <m/>
    <n v="2036.6442168029967"/>
    <m/>
    <n v="11192.815760287616"/>
    <n v="0.1943197180605489"/>
    <n v="3301"/>
    <n v="474.77748390972658"/>
    <n v="1738.1538461538462"/>
    <n v="5513.9313300635731"/>
    <n v="740.16236120391818"/>
    <n v="1628.97"/>
    <n v="6567.692069020125"/>
    <n v="0.11402243175382161"/>
    <n v="2521.4040974167219"/>
    <n v="4046.2879716034031"/>
    <n v="7.0248055062559087E-2"/>
    <n v="1404.488107255072"/>
    <n v="7972.1801762751966"/>
  </r>
  <r>
    <s v="MARZO"/>
    <x v="3"/>
    <s v="208-2026"/>
    <d v="1900-04-10T00:00:00"/>
    <d v="2026-04-28T00:00:00"/>
    <n v="27"/>
    <x v="2"/>
    <s v="Rejos"/>
    <s v="&lt;1000 "/>
    <s v="China "/>
    <s v="shidao"/>
    <x v="21"/>
    <s v="susan"/>
    <n v="3000"/>
    <n v="81000"/>
    <n v="2880.9259259259261"/>
    <n v="3215"/>
    <n v="77785"/>
    <n v="1"/>
    <s v="ECO SIROCCO 26017N"/>
    <n v="6451442940"/>
    <s v="COSCO"/>
    <m/>
    <n v="10007162"/>
    <m/>
    <m/>
    <n v="1939.5214199724567"/>
    <n v="32108.908221850914"/>
    <n v="9116.3593689718564"/>
    <n v="485.47371616445423"/>
    <n v="10656.337032269103"/>
    <n v="52367.078339256324"/>
    <m/>
    <n v="2042.5329601207702"/>
    <m/>
    <n v="28632.921660743676"/>
    <n v="0.35349286000918118"/>
    <n v="3215"/>
    <n v="534.12466939844239"/>
    <n v="1955.4230769230769"/>
    <n v="5704.5477463215193"/>
    <n v="832.68265635440798"/>
    <n v="2333.5499999999997"/>
    <n v="24429.241258067745"/>
    <n v="0.3015955710872561"/>
    <n v="2836.5796095938122"/>
    <n v="21592.661648473932"/>
    <n v="0.26657606973424608"/>
    <n v="1580.0491206619561"/>
    <n v="26009.2903787297"/>
  </r>
  <r>
    <s v="MARZO"/>
    <x v="3"/>
    <s v="209-2026"/>
    <d v="1900-04-10T00:00:00"/>
    <d v="2026-04-28T00:00:00"/>
    <n v="26"/>
    <x v="0"/>
    <s v="Rejos"/>
    <s v="&gt;60 CM , SUCKERS OFF"/>
    <s v="Manzanillo"/>
    <s v="Mexico "/>
    <x v="20"/>
    <s v="alexander"/>
    <n v="2920"/>
    <n v="75920"/>
    <n v="2816.2692307692309"/>
    <n v="2697"/>
    <n v="73223"/>
    <n v="1"/>
    <s v="LEONIDAS Z 618N"/>
    <n v="13060709"/>
    <s v="HAPAG"/>
    <m/>
    <n v="10007567"/>
    <m/>
    <m/>
    <n v="2001.4942427698361"/>
    <n v="32138.287967120508"/>
    <n v="8661.4053803837232"/>
    <n v="561.67492412153217"/>
    <n v="10677.482040389968"/>
    <n v="52038.850312015726"/>
    <m/>
    <n v="2104.5057829181496"/>
    <m/>
    <n v="23881.149687984274"/>
    <n v="0.31455676617471384"/>
    <n v="2697"/>
    <n v="514.34227423553716"/>
    <n v="1883"/>
    <n v="5094.3422742355369"/>
    <n v="801.84255797091134"/>
    <n v="2196.69"/>
    <n v="20181.654855777826"/>
    <n v="0.26582790905924431"/>
    <n v="2731.5211055347822"/>
    <n v="17450.133750243043"/>
    <n v="0.22984896931300111"/>
    <n v="1521.5287828596613"/>
    <n v="21703.183638637489"/>
  </r>
  <r>
    <s v="MARZO"/>
    <x v="3"/>
    <s v="210-2026A"/>
    <d v="1900-04-13T00:00:00"/>
    <d v="2026-04-28T00:00:00"/>
    <n v="108"/>
    <x v="5"/>
    <s v="Alas"/>
    <s v="&lt;1000 ENTERAS "/>
    <s v="China "/>
    <s v="shidao"/>
    <x v="19"/>
    <s v="Mark"/>
    <n v="2350"/>
    <n v="253800"/>
    <n v="2319.212962962963"/>
    <n v="3325"/>
    <n v="250475"/>
    <n v="1"/>
    <s v="ECO SIROCCO 26017N"/>
    <n v="6451281130"/>
    <s v="COSCO"/>
    <m/>
    <n v="10006720"/>
    <m/>
    <m/>
    <n v="1933.6326766546831"/>
    <n v="134006.2511012796"/>
    <n v="28186.513696962851"/>
    <n v="1951.298162751782"/>
    <n v="44688.26611771153"/>
    <n v="208832.32907870575"/>
    <m/>
    <n v="2036.6442168029967"/>
    <m/>
    <n v="44967.670921294251"/>
    <n v="0.17717758440226261"/>
    <n v="3325"/>
    <n v="2136.4986775937696"/>
    <n v="7821.6923076923076"/>
    <n v="13283.190985286077"/>
    <n v="3330.7306254176319"/>
    <n v="7514.25"/>
    <n v="35867.999310590545"/>
    <n v="0.14132387435220861"/>
    <n v="11346.318438375249"/>
    <n v="24521.680872215296"/>
    <n v="9.6618127944110704E-2"/>
    <n v="6320.1964826478243"/>
    <n v="42188.195793238367"/>
  </r>
  <r>
    <s v="MARZO"/>
    <x v="3"/>
    <s v="210-2026A"/>
    <d v="1900-04-13T00:00:00"/>
    <d v="2026-04-28T00:00:00"/>
    <n v="27"/>
    <x v="2"/>
    <s v="Rejos"/>
    <s v="&lt;1000 DIRTY SUCKERS ON ,SEXUAL OFF"/>
    <s v="China "/>
    <s v="shidao"/>
    <x v="19"/>
    <s v="Mark"/>
    <n v="2850"/>
    <n v="76950"/>
    <n v="2726.8518518518517"/>
    <n v="3325"/>
    <n v="73625"/>
    <n v="1"/>
    <s v="ECO SIROCCO 26017N"/>
    <n v="6451281130"/>
    <s v="COSCO"/>
    <m/>
    <n v="10007162"/>
    <m/>
    <m/>
    <n v="1939.5214199724567"/>
    <n v="32108.908221850914"/>
    <n v="9116.3593689718564"/>
    <n v="485.47371616445423"/>
    <n v="10656.337032269103"/>
    <n v="52367.078339256324"/>
    <m/>
    <n v="2042.5329601207702"/>
    <m/>
    <n v="24582.921660743676"/>
    <n v="0.31946616843071701"/>
    <n v="3325"/>
    <n v="534.12466939844239"/>
    <n v="1955.4230769230769"/>
    <n v="5814.5477463215193"/>
    <n v="832.68265635440798"/>
    <n v="2208.75"/>
    <n v="20144.441258067745"/>
    <n v="0.26178611121595513"/>
    <n v="2836.5796095938122"/>
    <n v="17307.861648473932"/>
    <n v="0.22492347821278663"/>
    <n v="1580.0491206619561"/>
    <n v="21724.490378729701"/>
  </r>
  <r>
    <s v="MARZO"/>
    <x v="3"/>
    <s v="213-2026"/>
    <d v="1900-04-15T00:00:00"/>
    <d v="2026-04-28T00:00:00"/>
    <n v="70.900000000000006"/>
    <x v="4"/>
    <s v="Filete"/>
    <s v="1-2 A - AA  manto"/>
    <s v="Japón "/>
    <s v="KOBE"/>
    <x v="2"/>
    <s v="Jose"/>
    <n v="2300"/>
    <n v="163070"/>
    <n v="2164.5557122708037"/>
    <n v="9603"/>
    <n v="153467"/>
    <n v="3"/>
    <s v="ECO SIROCCO 26017N"/>
    <s v="LIMG06698900"/>
    <s v="COSCO"/>
    <m/>
    <n v="10005721"/>
    <m/>
    <m/>
    <n v="2033.6752269777967"/>
    <n v="87566.686983149775"/>
    <n v="25658.857271291323"/>
    <n v="1571.9193517364317"/>
    <n v="29390.109986548265"/>
    <n v="144187.57359272579"/>
    <m/>
    <n v="2136.6867671261102"/>
    <m/>
    <n v="18882.426407274208"/>
    <n v="0.11579337957487096"/>
    <n v="9603"/>
    <n v="1402.571817049984"/>
    <n v="5134.7961538461541"/>
    <n v="16140.367970896139"/>
    <n v="2186.5629753899084"/>
    <n v="4604.01"/>
    <n v="5159.5054609881608"/>
    <n v="3.1639820083327164E-2"/>
    <n v="7448.6479377852338"/>
    <n v="-2289.142476797073"/>
    <n v="-1.4037790377120702E-2"/>
    <n v="4149.091950182692"/>
    <n v="9308.5974111708529"/>
  </r>
  <r>
    <s v="MARZO"/>
    <x v="3"/>
    <s v="214-2026"/>
    <d v="1900-04-16T00:00:00"/>
    <d v="2026-04-28T00:00:00"/>
    <n v="24"/>
    <x v="4"/>
    <s v="Filete"/>
    <s v="2-4 A - AA"/>
    <s v="Japón "/>
    <s v="Sendai"/>
    <x v="2"/>
    <s v="Jose"/>
    <n v="2200"/>
    <n v="52800"/>
    <n v="2062.4583333333335"/>
    <n v="3301"/>
    <n v="49499"/>
    <n v="1"/>
    <s v="ECO SIROCCO 26017N"/>
    <s v="LIMG06699300"/>
    <s v="COSCO"/>
    <m/>
    <n v="10005721"/>
    <m/>
    <m/>
    <n v="2033.6752269777967"/>
    <n v="29641.755819401897"/>
    <n v="8685.6498520591213"/>
    <n v="532.1024603903295"/>
    <n v="9948.6973156157728"/>
    <n v="48808.205447467117"/>
    <m/>
    <n v="2136.6867671261102"/>
    <m/>
    <n v="3991.7945525328832"/>
    <n v="7.5602169555547036E-2"/>
    <n v="3301"/>
    <n v="474.77748390972658"/>
    <n v="1738.1538461538462"/>
    <n v="5513.9313300635731"/>
    <n v="740.16236120391818"/>
    <n v="1484.97"/>
    <n v="-777.32913873460825"/>
    <n v="-1.472214277906455E-2"/>
    <n v="2521.4040974167219"/>
    <n v="-3298.7332361513299"/>
    <n v="-6.2476008260441855E-2"/>
    <n v="1404.488107255072"/>
    <n v="627.15896852046376"/>
  </r>
  <r>
    <s v="MARZO"/>
    <x v="3"/>
    <s v="218-2026A"/>
    <d v="1900-04-17T00:00:00"/>
    <d v="2026-04-27T00:00:00"/>
    <n v="134.94"/>
    <x v="2"/>
    <s v="Rejos"/>
    <s v="1-2 LIMPIO "/>
    <s v="España "/>
    <s v="Vigo"/>
    <x v="5"/>
    <s v="Jorge"/>
    <n v="2400"/>
    <n v="323856"/>
    <n v="2213.9172965762564"/>
    <n v="25110"/>
    <n v="298746"/>
    <n v="5"/>
    <s v="LEONIDAS Z 618N"/>
    <n v="23616054"/>
    <s v="HAPAG"/>
    <m/>
    <n v="10007162"/>
    <m/>
    <m/>
    <n v="1939.5214199724567"/>
    <n v="160473.18797987266"/>
    <n v="45561.53826848379"/>
    <n v="2426.2897503419058"/>
    <n v="53258.004412384915"/>
    <n v="261719.02041108327"/>
    <m/>
    <n v="2042.5329601207702"/>
    <m/>
    <n v="62136.979588916729"/>
    <n v="0.19186607501147648"/>
    <n v="25110"/>
    <n v="2669.4364032824378"/>
    <n v="9772.7699999999986"/>
    <n v="37552.206403282435"/>
    <n v="4161.56287586903"/>
    <n v="8962.3799999999992"/>
    <n v="29385.590309765263"/>
    <n v="9.073659376317024E-2"/>
    <n v="14176.594537725519"/>
    <n v="15208.995772039743"/>
    <n v="4.6962217071907709E-2"/>
    <n v="7896.7343830416421"/>
    <n v="37282.324692806906"/>
  </r>
  <r>
    <s v="MARZO"/>
    <x v="3"/>
    <s v="218-2026B"/>
    <d v="1900-04-17T00:00:00"/>
    <d v="2026-04-27T00:00:00"/>
    <n v="162"/>
    <x v="2"/>
    <s v="Rejos"/>
    <s v="1-2 LIMPIO "/>
    <s v="España "/>
    <s v="Vigo"/>
    <x v="5"/>
    <s v="Jorge"/>
    <n v="2400"/>
    <n v="388800"/>
    <n v="2214.0432098765432"/>
    <n v="30125"/>
    <n v="358675"/>
    <n v="6"/>
    <s v="LEONIDAS Z 618N"/>
    <n v="16115713"/>
    <s v="HAPAG"/>
    <m/>
    <n v="10007162"/>
    <m/>
    <m/>
    <n v="1939.5214199724567"/>
    <n v="192653.44933110548"/>
    <n v="54698.156213831142"/>
    <n v="2912.8422969867252"/>
    <n v="63938.022193614612"/>
    <n v="314202.47003553796"/>
    <m/>
    <n v="2042.5329601207702"/>
    <m/>
    <n v="74597.529964462039"/>
    <n v="0.19186607501147643"/>
    <n v="30125"/>
    <n v="3204.7480163906544"/>
    <n v="11732.538461538461"/>
    <n v="45062.286477929112"/>
    <n v="4996.0959381264483"/>
    <n v="10760.25"/>
    <n v="35299.397548406479"/>
    <n v="9.0790631554543408E-2"/>
    <n v="17019.477657562875"/>
    <n v="18279.919890843605"/>
    <n v="4.7016254863280878E-2"/>
    <n v="9480.2947239717359"/>
    <n v="44779.692272378219"/>
  </r>
  <r>
    <m/>
    <x v="4"/>
    <s v="197-2026B"/>
    <d v="1900-03-27T00:00:00"/>
    <d v="2026-05-12T00:00:00"/>
    <n v="54"/>
    <x v="4"/>
    <s v="Filete"/>
    <s v="2-4 AA LIGERAMENTE ROSADO "/>
    <s v="China "/>
    <s v="Qingdao"/>
    <x v="18"/>
    <s v="Nana "/>
    <n v="2100"/>
    <n v="113400"/>
    <n v="1984.2592592592594"/>
    <n v="6250"/>
    <n v="107150"/>
    <n v="2"/>
    <s v="ECO SIROCCO 26019N"/>
    <n v="6500110010"/>
    <m/>
    <m/>
    <n v="10005721"/>
    <m/>
    <m/>
    <n v="2084.0167833638698"/>
    <n v="68344.891328871803"/>
    <n v="20026.472077981987"/>
    <n v="1226.8667569077954"/>
    <n v="22938.676137887382"/>
    <n v="112536.90630164897"/>
    <m/>
    <n v="2136.6867833638698"/>
    <m/>
    <n v="863.0936983510328"/>
    <n v="7.6110555410143985E-3"/>
    <n v="6250"/>
    <n v="0"/>
    <n v="3910.8461538461538"/>
    <n v="10160.846153846154"/>
    <n v="2144.8726956574487"/>
    <n v="3214.5"/>
    <n v="-8228.1251511525697"/>
    <n v="-7.2558422849669929E-2"/>
    <n v="4216.4563040544299"/>
    <n v="-12444.581455207001"/>
    <n v="-0.10974057720641094"/>
    <n v="3370.5978780082191"/>
    <n v="-4857.5272731443511"/>
  </r>
  <r>
    <m/>
    <x v="4"/>
    <s v="197-2026C"/>
    <d v="1900-03-27T00:00:00"/>
    <d v="2026-05-15T00:00:00"/>
    <n v="26.8"/>
    <x v="4"/>
    <s v="Filete"/>
    <s v="2-4 AA LIGERAMENTE ROSADO "/>
    <s v="China "/>
    <s v="Qingdao"/>
    <x v="18"/>
    <s v="Nana "/>
    <n v="2100"/>
    <n v="56280"/>
    <n v="1991.7910447761194"/>
    <n v="2900"/>
    <n v="53380"/>
    <n v="1"/>
    <s v="ECO MARIN 26020S"/>
    <n v="6500435850"/>
    <m/>
    <m/>
    <n v="10005721"/>
    <m/>
    <m/>
    <n v="2084.0167833638698"/>
    <n v="33919.316437291935"/>
    <n v="9939.063920183653"/>
    <n v="608.88942750238743"/>
    <n v="11384.380009173738"/>
    <n v="55851.649794151708"/>
    <m/>
    <n v="2136.6867833638698"/>
    <m/>
    <n v="428.35020584829181"/>
    <n v="7.6110555410144245E-3"/>
    <n v="2900"/>
    <n v="0"/>
    <n v="1940.9384615384615"/>
    <n v="4840.9384615384615"/>
    <n v="1064.4923748818449"/>
    <n v="1601.3999999999999"/>
    <n v="-3875.6806305720147"/>
    <n v="-6.8864261381876596E-2"/>
    <n v="2092.6116471973837"/>
    <n v="-5968.2922777693984"/>
    <n v="-0.1060464157386176"/>
    <n v="1672.8152431596347"/>
    <n v="-2202.8653874123802"/>
  </r>
  <r>
    <m/>
    <x v="4"/>
    <s v="197-2026D"/>
    <d v="1900-03-27T00:00:00"/>
    <d v="2026-05-22T00:00:00"/>
    <n v="54"/>
    <x v="5"/>
    <s v="Alas"/>
    <s v="1-2 SIN CORTAR "/>
    <s v="China "/>
    <s v="Qingdao"/>
    <x v="18"/>
    <s v="Nana "/>
    <n v="2100"/>
    <n v="113400"/>
    <n v="2046.2962962962963"/>
    <n v="2900"/>
    <n v="110500"/>
    <n v="2"/>
    <s v="ECO SIROCCO 26021S"/>
    <n v="6501056160"/>
    <m/>
    <m/>
    <n v="10006720"/>
    <m/>
    <m/>
    <n v="1983.0685678837301"/>
    <n v="68716.149573619288"/>
    <n v="14453.569704711135"/>
    <n v="1000.5928478145422"/>
    <n v="22915.390539576449"/>
    <n v="107085.7026657214"/>
    <m/>
    <n v="2035.73856788373"/>
    <m/>
    <n v="6314.297334278599"/>
    <n v="5.5681634341081122E-2"/>
    <n v="2900"/>
    <n v="0"/>
    <n v="3910.8461538461538"/>
    <n v="6810.8461538461543"/>
    <n v="2144.8726956574487"/>
    <n v="3315"/>
    <n v="673.57848477499601"/>
    <n v="5.9398455447530508E-3"/>
    <n v="4216.4563040544299"/>
    <n v="-3542.8778192794339"/>
    <n v="-3.1242308811987952E-2"/>
    <n v="3370.5978780082191"/>
    <n v="4044.1763627832152"/>
  </r>
  <r>
    <m/>
    <x v="4"/>
    <s v="197-2026E"/>
    <d v="1900-03-27T00:00:00"/>
    <d v="2026-05-28T00:00:00"/>
    <n v="27"/>
    <x v="5"/>
    <s v="Alas"/>
    <s v="1-2 SIN CORTAR "/>
    <s v="China "/>
    <s v="Qingdao"/>
    <x v="18"/>
    <s v="Nana "/>
    <n v="2100"/>
    <n v="56700"/>
    <n v="1992.5925925925926"/>
    <n v="2900"/>
    <n v="53800"/>
    <n v="1"/>
    <s v="ECO MARIN 26022S"/>
    <n v="6501720390"/>
    <m/>
    <m/>
    <n v="10006720"/>
    <m/>
    <m/>
    <n v="1983.0685678837301"/>
    <n v="34358.074786809644"/>
    <n v="7226.7848523555676"/>
    <n v="500.29642390727111"/>
    <n v="11457.695269788224"/>
    <n v="53542.8513328607"/>
    <m/>
    <n v="2035.73856788373"/>
    <m/>
    <n v="3157.1486671392995"/>
    <n v="5.5681634341081122E-2"/>
    <n v="2900"/>
    <n v="0"/>
    <n v="1955.4230769230769"/>
    <n v="4855.4230769230771"/>
    <n v="1072.4363478287244"/>
    <n v="1614"/>
    <n v="-1156.7107576125018"/>
    <n v="-2.0400542462301618E-2"/>
    <n v="2108.2281520272149"/>
    <n v="-3264.9389096397167"/>
    <n v="-5.7582696819042621E-2"/>
    <n v="1685.2989390041096"/>
    <n v="528.5881813916078"/>
  </r>
  <r>
    <m/>
    <x v="4"/>
    <s v="198-2026C"/>
    <d v="1900-03-28T00:00:00"/>
    <d v="2026-05-08T00:00:00"/>
    <n v="81"/>
    <x v="9"/>
    <s v="Daruma"/>
    <m/>
    <s v="China"/>
    <s v="Qingdao"/>
    <x v="15"/>
    <s v="James"/>
    <n v="3900"/>
    <n v="315900"/>
    <n v="3784.2592592592591"/>
    <n v="9375"/>
    <n v="306525"/>
    <n v="3"/>
    <s v="ECO SIROCCO 26019S"/>
    <n v="6452208610"/>
    <m/>
    <m/>
    <n v="10009239"/>
    <m/>
    <m/>
    <n v="3389.0116659973501"/>
    <n v="134992.38566075021"/>
    <n v="88007.588152497206"/>
    <n v="1611.7256771770219"/>
    <n v="49898.245455360942"/>
    <n v="274509.94494578533"/>
    <m/>
    <n v="3441.6816659973501"/>
    <m/>
    <n v="41390.055054214667"/>
    <n v="0.13102264974426928"/>
    <n v="9375"/>
    <n v="0"/>
    <n v="5866.2692307692305"/>
    <n v="15241.26923076923"/>
    <n v="3217.3090434861729"/>
    <n v="9195.75"/>
    <n v="32127.226779959263"/>
    <n v="0.10170062291851618"/>
    <n v="6324.6844560816453"/>
    <n v="25802.542323877617"/>
    <n v="8.1679462880271031E-2"/>
    <n v="5055.8968170123289"/>
    <n v="37183.123596971593"/>
  </r>
  <r>
    <m/>
    <x v="4"/>
    <s v="198-2026C"/>
    <d v="1900-03-28T00:00:00"/>
    <d v="2026-05-08T00:00:00"/>
    <n v="27"/>
    <x v="10"/>
    <s v="Alas Precocidas"/>
    <m/>
    <s v="China"/>
    <s v="Qingdao"/>
    <x v="15"/>
    <s v="James"/>
    <n v="3950"/>
    <n v="106650"/>
    <n v="3834.2592592592591"/>
    <n v="3125"/>
    <n v="103525"/>
    <n v="1"/>
    <s v="ECO SIROCCO 26019S"/>
    <n v="6452208610"/>
    <m/>
    <m/>
    <n v="10009331"/>
    <m/>
    <m/>
    <n v="2967.4040355810298"/>
    <n v="45718.56622425036"/>
    <n v="18138.105761266521"/>
    <n v="830.71661712439152"/>
    <n v="15432.52035804654"/>
    <n v="80119.908960687811"/>
    <m/>
    <n v="3020.0740355810299"/>
    <m/>
    <n v="26530.091039312189"/>
    <n v="0.24875847200480253"/>
    <n v="3125"/>
    <n v="0"/>
    <n v="1955.4230769230769"/>
    <n v="5080.4230769230771"/>
    <n v="1072.4363478287244"/>
    <n v="3105.75"/>
    <n v="23482.981614560387"/>
    <n v="0.22018735691102098"/>
    <n v="2108.2281520272149"/>
    <n v="21374.753462533172"/>
    <n v="0.20041962927832321"/>
    <n v="1685.2989390041096"/>
    <n v="25168.280553564498"/>
  </r>
  <r>
    <m/>
    <x v="4"/>
    <s v="198-2026D"/>
    <d v="1900-03-28T00:00:00"/>
    <d v="2026-05-15T00:00:00"/>
    <n v="26.28"/>
    <x v="10"/>
    <s v="Alas Precocidas"/>
    <m/>
    <s v="China"/>
    <s v="Qingdao"/>
    <x v="15"/>
    <s v="James"/>
    <n v="3950"/>
    <n v="103806"/>
    <n v="3839.6499238964989"/>
    <n v="2900"/>
    <n v="100906"/>
    <n v="1"/>
    <s v="ECO MARIN 26020S"/>
    <n v="6500435810"/>
    <m/>
    <m/>
    <n v="10009331"/>
    <m/>
    <m/>
    <n v="2967.4040355810298"/>
    <n v="44499.40445827035"/>
    <n v="17654.422940966084"/>
    <n v="808.56417400107455"/>
    <n v="15020.986481831966"/>
    <n v="77983.378055069479"/>
    <m/>
    <n v="3020.0740355810299"/>
    <m/>
    <n v="25822.621944930521"/>
    <n v="0.24875847200480242"/>
    <n v="2900"/>
    <n v="0"/>
    <n v="1903.2784615384614"/>
    <n v="4803.2784615384617"/>
    <n v="1043.8380452199585"/>
    <n v="3027.18"/>
    <n v="23002.685438172099"/>
    <n v="0.22159302389237712"/>
    <n v="2052.0087346398227"/>
    <n v="20950.676703532277"/>
    <n v="0.20182529625967938"/>
    <n v="1640.3576339640001"/>
    <n v="24643.043072136097"/>
  </r>
  <r>
    <m/>
    <x v="4"/>
    <s v="198-2026E"/>
    <d v="1900-03-28T00:00:00"/>
    <d v="2026-05-22T00:00:00"/>
    <n v="27"/>
    <x v="10"/>
    <s v="Alas Precocidas"/>
    <m/>
    <s v="China"/>
    <s v="Qingdao"/>
    <x v="15"/>
    <s v="James"/>
    <n v="3950"/>
    <n v="106650"/>
    <n v="3842.5925925925926"/>
    <n v="2900"/>
    <n v="103750"/>
    <n v="1"/>
    <s v="ECO SIROCCO 26021S"/>
    <n v="6501056150"/>
    <m/>
    <m/>
    <n v="10009331"/>
    <m/>
    <m/>
    <n v="2967.4040355810298"/>
    <n v="45718.56622425036"/>
    <n v="18138.105761266521"/>
    <n v="830.71661712439152"/>
    <n v="15432.52035804654"/>
    <n v="80119.908960687811"/>
    <m/>
    <n v="3020.0740355810299"/>
    <m/>
    <n v="26530.091039312189"/>
    <n v="0.24875847200480253"/>
    <n v="2900"/>
    <n v="0"/>
    <n v="1955.4230769230769"/>
    <n v="4855.4230769230771"/>
    <n v="1072.4363478287244"/>
    <n v="3112.5"/>
    <n v="23714.731614560387"/>
    <n v="0.2223603526916117"/>
    <n v="2108.2281520272149"/>
    <n v="21606.503462533172"/>
    <n v="0.20259262505891393"/>
    <n v="1685.2989390041096"/>
    <n v="25400.030553564498"/>
  </r>
  <r>
    <m/>
    <x v="4"/>
    <s v="198-2026F"/>
    <d v="1900-03-28T00:00:00"/>
    <d v="2026-05-28T00:00:00"/>
    <n v="27"/>
    <x v="10"/>
    <s v="Alas Precocidas"/>
    <m/>
    <s v="China"/>
    <s v="Qingdao"/>
    <x v="15"/>
    <s v="James"/>
    <n v="3950"/>
    <n v="106650"/>
    <n v="3842.5925925925926"/>
    <n v="2900"/>
    <n v="103750"/>
    <n v="1"/>
    <s v="ECO MARIN 26022S"/>
    <n v="6501717020"/>
    <m/>
    <m/>
    <n v="10009331"/>
    <m/>
    <m/>
    <n v="2967.4040355810298"/>
    <n v="45718.56622425036"/>
    <n v="18138.105761266521"/>
    <n v="830.71661712439152"/>
    <n v="15432.52035804654"/>
    <n v="80119.908960687811"/>
    <m/>
    <n v="3020.0740355810299"/>
    <m/>
    <n v="26530.091039312189"/>
    <n v="0.24875847200480253"/>
    <n v="2900"/>
    <n v="0"/>
    <n v="1955.4230769230769"/>
    <n v="4855.4230769230771"/>
    <n v="1072.4363478287244"/>
    <n v="3112.5"/>
    <n v="23714.731614560387"/>
    <n v="0.2223603526916117"/>
    <n v="2108.2281520272149"/>
    <n v="21606.503462533172"/>
    <n v="0.20259262505891393"/>
    <n v="1685.2989390041096"/>
    <n v="25400.030553564498"/>
  </r>
  <r>
    <m/>
    <x v="4"/>
    <s v="199-2026"/>
    <d v="1900-03-28T00:00:00"/>
    <d v="2026-05-12T00:00:00"/>
    <n v="81"/>
    <x v="9"/>
    <s v="Daruma"/>
    <m/>
    <s v="China"/>
    <s v="Qingdao"/>
    <x v="16"/>
    <s v="James"/>
    <n v="3700"/>
    <n v="299700"/>
    <n v="3584.2592592592591"/>
    <n v="9375"/>
    <n v="290325"/>
    <n v="3"/>
    <s v="ECO SIROCCO 26019N"/>
    <n v="6500110030"/>
    <m/>
    <m/>
    <n v="10009239"/>
    <m/>
    <m/>
    <n v="3389.0116659973501"/>
    <n v="134992.38566075021"/>
    <n v="88007.588152497206"/>
    <n v="1611.7256771770219"/>
    <n v="49898.245455360942"/>
    <n v="274509.94494578533"/>
    <m/>
    <n v="3441.6816659973501"/>
    <m/>
    <n v="25190.055054214667"/>
    <n v="8.4050901081797358E-2"/>
    <n v="9375"/>
    <n v="0"/>
    <n v="5866.2692307692305"/>
    <n v="15241.26923076923"/>
    <n v="3217.3090434861729"/>
    <n v="8709.75"/>
    <n v="15441.226779959263"/>
    <n v="5.1522278211408951E-2"/>
    <n v="6324.6844560816453"/>
    <n v="9116.5423238776166"/>
    <n v="3.0418893306231619E-2"/>
    <n v="5055.8968170123289"/>
    <n v="20497.123596971593"/>
  </r>
  <r>
    <m/>
    <x v="4"/>
    <s v="206-2026"/>
    <d v="1900-04-07T00:00:00"/>
    <d v="2026-05-18T00:00:00"/>
    <n v="26"/>
    <x v="0"/>
    <s v="Rejos"/>
    <m/>
    <s v="España"/>
    <s v="Valencia"/>
    <x v="0"/>
    <s v="Ignacio / Ives"/>
    <n v="3100"/>
    <n v="80600"/>
    <n v="2888.0769230769229"/>
    <n v="5510"/>
    <n v="75090"/>
    <m/>
    <m/>
    <m/>
    <m/>
    <m/>
    <n v="10007567"/>
    <m/>
    <m/>
    <n v="1768.5702425897002"/>
    <n v="28398.192975948623"/>
    <n v="7653.4338632691833"/>
    <n v="496.30997460950596"/>
    <n v="9434.8894935048902"/>
    <n v="45982.826307332194"/>
    <m/>
    <n v="1821.2402425897001"/>
    <m/>
    <n v="34617.173692667806"/>
    <n v="0.42949347013235489"/>
    <n v="5510"/>
    <n v="0"/>
    <n v="1883"/>
    <n v="7393"/>
    <n v="1032.7164830943273"/>
    <n v="2252.6999999999998"/>
    <n v="28444.157209573481"/>
    <n v="0.35290517629743773"/>
    <n v="2030.145627878059"/>
    <n v="26414.01158169542"/>
    <n v="0.32771726528158091"/>
    <n v="1622.8804597817352"/>
    <n v="30067.037669355217"/>
  </r>
  <r>
    <m/>
    <x v="4"/>
    <s v="210-2026B"/>
    <d v="1900-04-13T00:00:00"/>
    <d v="2026-05-12T00:00:00"/>
    <n v="81"/>
    <x v="2"/>
    <s v="Rejos"/>
    <s v="&lt;1000 DIRTY SUCKERS ON ,SEXUAL OFF"/>
    <s v="China "/>
    <s v="shidao"/>
    <x v="19"/>
    <s v="Mark"/>
    <n v="2850"/>
    <n v="230850"/>
    <n v="2726.8518518518517"/>
    <n v="9975"/>
    <n v="220875"/>
    <n v="3"/>
    <s v="ECO SIROCCO 26019N"/>
    <n v="6452208600"/>
    <m/>
    <m/>
    <n v="10007162"/>
    <m/>
    <m/>
    <n v="1829.5095185638502"/>
    <n v="90862.96127124528"/>
    <n v="25797.8067193807"/>
    <n v="1373.8112540381953"/>
    <n v="30155.691759007699"/>
    <n v="148190.27100367189"/>
    <m/>
    <n v="1882.17951856385"/>
    <m/>
    <n v="82659.728996328107"/>
    <n v="0.35806683559163138"/>
    <n v="9975"/>
    <n v="0"/>
    <n v="5866.2692307692305"/>
    <n v="15841.26923076923"/>
    <n v="3217.3090434861729"/>
    <n v="6626.25"/>
    <n v="70227.400722072693"/>
    <n v="0.3042122621705553"/>
    <n v="6324.6844560816453"/>
    <n v="63902.716265991046"/>
    <n v="0.27681488527611459"/>
    <n v="5055.8968170123289"/>
    <n v="75283.297539085019"/>
  </r>
  <r>
    <m/>
    <x v="4"/>
    <s v="211-2026"/>
    <d v="1900-04-13T00:00:00"/>
    <d v="2026-05-12T00:00:00"/>
    <n v="27"/>
    <x v="13"/>
    <s v="TUBOALETA"/>
    <s v="&lt;1.5"/>
    <s v="China "/>
    <s v="shidao"/>
    <x v="22"/>
    <s v="Mark"/>
    <n v="2000"/>
    <n v="54000"/>
    <n v="1888.851851851852"/>
    <n v="3001"/>
    <n v="50999"/>
    <n v="1"/>
    <s v="ECO SIROCCO 26019N"/>
    <s v="LIMG07571700"/>
    <m/>
    <m/>
    <n v="10005721"/>
    <m/>
    <m/>
    <n v="2084.0167833638698"/>
    <n v="34172.445664435902"/>
    <n v="10013.236038990994"/>
    <n v="613.43337845389772"/>
    <n v="11469.338068943691"/>
    <n v="56268.453150824484"/>
    <m/>
    <n v="2136.6867833638698"/>
    <m/>
    <n v="-2268.4531508244836"/>
    <n v="-4.2008391681934883E-2"/>
    <n v="3001"/>
    <n v="0"/>
    <n v="1955.4230769230769"/>
    <n v="4956.4230769230771"/>
    <n v="1072.4363478287244"/>
    <n v="1529.97"/>
    <n v="-6767.3425755762846"/>
    <n v="-0.12532115880696823"/>
    <n v="2108.2281520272149"/>
    <n v="-8875.5707276034991"/>
    <n v="-0.16436242088154629"/>
    <n v="1685.2989390041096"/>
    <n v="-5082.0436365721753"/>
  </r>
  <r>
    <m/>
    <x v="4"/>
    <s v="212-2026"/>
    <d v="1900-04-15T00:00:00"/>
    <d v="2026-05-12T00:00:00"/>
    <n v="11.5"/>
    <x v="1"/>
    <s v="Nucas"/>
    <s v="100-300"/>
    <s v="Tailandia "/>
    <s v="Lat Krabang"/>
    <x v="1"/>
    <s v="Julieta"/>
    <n v="1200"/>
    <n v="13800"/>
    <n v="1047.7826086956522"/>
    <n v="1750.5"/>
    <n v="12049.5"/>
    <n v="1"/>
    <s v="ECO SIROCCO 26019N"/>
    <s v="LIMG07568600"/>
    <m/>
    <m/>
    <n v="10005779"/>
    <m/>
    <m/>
    <n v="1701.0234474995802"/>
    <n v="11357.578180556377"/>
    <n v="4322.24958912478"/>
    <n v="124.94697238821222"/>
    <n v="3756.9949041758045"/>
    <n v="19561.769646245171"/>
    <m/>
    <n v="1753.6934474995801"/>
    <m/>
    <n v="-5761.7696462451713"/>
    <n v="-0.41751953958298343"/>
    <n v="1750.5"/>
    <n v="0"/>
    <n v="832.86538461538453"/>
    <n v="2583.3653846153848"/>
    <n v="456.7784444455678"/>
    <n v="361.48500000000001"/>
    <n v="-8440.4284753061238"/>
    <n v="-0.61162525183377714"/>
    <n v="897.9490277152953"/>
    <n v="-9338.3775030214183"/>
    <n v="-0.67669402195807382"/>
    <n v="717.81251105730598"/>
    <n v="-7722.6159642488183"/>
  </r>
  <r>
    <m/>
    <x v="4"/>
    <s v="212-2026"/>
    <d v="1900-04-15T00:00:00"/>
    <d v="2026-05-12T00:00:00"/>
    <n v="11"/>
    <x v="1"/>
    <s v="Nucas"/>
    <s v="300-500"/>
    <s v="Tailandia "/>
    <s v="Lat Krabang"/>
    <x v="1"/>
    <s v="Julieta"/>
    <n v="1300"/>
    <n v="14300"/>
    <n v="1140.8636363636363"/>
    <n v="1750.5"/>
    <n v="12549.5"/>
    <m/>
    <s v="ECO SIROCCO 26019N"/>
    <s v="LIMG07568600"/>
    <m/>
    <m/>
    <n v="10005779"/>
    <m/>
    <m/>
    <n v="1701.0234474995802"/>
    <n v="10863.770433575664"/>
    <n v="4134.3256939454413"/>
    <n v="119.51449532785517"/>
    <n v="3593.6472996464217"/>
    <n v="18711.257922495381"/>
    <m/>
    <n v="1753.6934474995801"/>
    <m/>
    <n v="-4411.2579224953806"/>
    <n v="-0.30847957499967699"/>
    <n v="1750.5"/>
    <n v="0"/>
    <n v="796.65384615384608"/>
    <n v="2547.1538461538462"/>
    <n v="436.91851207836919"/>
    <n v="376.48500000000001"/>
    <n v="-7018.8452807275962"/>
    <n v="-0.49082834130962211"/>
    <n v="858.90776564071723"/>
    <n v="-7877.7530463683133"/>
    <n v="-0.55089182142435755"/>
    <n v="686.6032714461187"/>
    <n v="-6332.2420092814773"/>
  </r>
  <r>
    <m/>
    <x v="4"/>
    <s v="215-2026"/>
    <d v="1900-04-16T00:00:00"/>
    <d v="2026-05-12T00:00:00"/>
    <n v="26.25"/>
    <x v="8"/>
    <s v="Telilla"/>
    <m/>
    <s v="China "/>
    <s v="Qingdao"/>
    <x v="7"/>
    <m/>
    <n v="2050"/>
    <n v="53812.5"/>
    <n v="1947.104761904762"/>
    <n v="2701"/>
    <n v="51111.5"/>
    <n v="1"/>
    <s v="ECO SIROCCO 26019N"/>
    <s v="LIMG07572800"/>
    <m/>
    <m/>
    <m/>
    <m/>
    <m/>
    <n v="0"/>
    <n v="0"/>
    <n v="0"/>
    <n v="0"/>
    <n v="0"/>
    <n v="0"/>
    <m/>
    <m/>
    <m/>
    <n v="53812.5"/>
    <n v="1"/>
    <n v="2701"/>
    <n v="0"/>
    <n v="1901.1057692307691"/>
    <n v="4602.1057692307695"/>
    <n v="1042.6464492779264"/>
    <n v="1533.345"/>
    <n v="49701.092781491308"/>
    <n v="0.92359754297777108"/>
    <n v="2049.666258915348"/>
    <n v="47651.426522575959"/>
    <n v="0.88550850680745108"/>
    <n v="1638.4850795873288"/>
    <n v="51339.577861078636"/>
  </r>
  <r>
    <m/>
    <x v="4"/>
    <s v="216-2026"/>
    <d v="2025-04-17T00:00:00"/>
    <d v="2026-05-18T00:00:00"/>
    <n v="27"/>
    <x v="11"/>
    <s v="Recortes cocidos "/>
    <m/>
    <s v="España "/>
    <s v="Vigo"/>
    <x v="3"/>
    <s v="Jorge"/>
    <n v="2350"/>
    <n v="63450"/>
    <n v="2162.962962962963"/>
    <n v="5050"/>
    <n v="58400"/>
    <n v="1"/>
    <s v="IZMIT EXPRESS 621N"/>
    <n v="24658732"/>
    <m/>
    <m/>
    <n v="10007050"/>
    <m/>
    <m/>
    <n v="0"/>
    <n v="0"/>
    <n v="0"/>
    <n v="0"/>
    <n v="0"/>
    <n v="0"/>
    <m/>
    <m/>
    <m/>
    <n v="63450"/>
    <n v="1"/>
    <n v="5050"/>
    <n v="0"/>
    <n v="1955.4230769230769"/>
    <n v="7005.4230769230771"/>
    <n v="1072.4363478287244"/>
    <n v="1752"/>
    <n v="57124.140575248195"/>
    <n v="0.9003016639125011"/>
    <n v="2108.2281520272149"/>
    <n v="55015.91242322098"/>
    <n v="0.86707505789158357"/>
    <n v="1685.2989390041096"/>
    <n v="58809.439514252306"/>
  </r>
  <r>
    <m/>
    <x v="4"/>
    <s v="217-2026"/>
    <d v="1900-04-17T00:00:00"/>
    <d v="2026-05-12T00:00:00"/>
    <n v="22.5"/>
    <x v="1"/>
    <s v="Nucas"/>
    <s v="100-300"/>
    <s v="Tailandia "/>
    <s v="Lat Krabang"/>
    <x v="1"/>
    <s v="Julieta"/>
    <n v="1050"/>
    <n v="23625"/>
    <n v="894.4"/>
    <n v="3501"/>
    <n v="20124"/>
    <n v="1"/>
    <s v="ECO SIROCCO 26019N"/>
    <s v="LIMG07569700"/>
    <m/>
    <m/>
    <n v="10005779"/>
    <m/>
    <m/>
    <n v="1701.0234474995802"/>
    <n v="22221.348614132039"/>
    <n v="8456.5752830702204"/>
    <n v="244.4614677160674"/>
    <n v="7350.6422038222263"/>
    <n v="38273.027568740552"/>
    <m/>
    <n v="1753.6934474995801"/>
    <m/>
    <n v="-14648.027568740552"/>
    <n v="-0.620022330951981"/>
    <n v="3501"/>
    <n v="0"/>
    <n v="1629.5192307692307"/>
    <n v="5130.5192307692305"/>
    <n v="893.69695652393693"/>
    <n v="603.72"/>
    <n v="-20068.523756033719"/>
    <n v="-0.84946132300671828"/>
    <n v="1756.8567933560125"/>
    <n v="-21825.380549389731"/>
    <n v="-0.92382563172020027"/>
    <n v="1404.4157825034247"/>
    <n v="-18664.107973530296"/>
  </r>
  <r>
    <m/>
    <x v="4"/>
    <s v="220-2026"/>
    <d v="1900-04-21T00:00:00"/>
    <d v="2026-05-12T00:00:00"/>
    <n v="112"/>
    <x v="1"/>
    <s v="Nucas"/>
    <s v="500 - UP"/>
    <s v="Tailandia "/>
    <s v="Lat Krabang"/>
    <x v="2"/>
    <s v="Jose"/>
    <n v="1250"/>
    <n v="140000"/>
    <n v="1093.7053571428571"/>
    <n v="17505"/>
    <n v="122495"/>
    <n v="5"/>
    <s v="ECO SIROCCO 26019N"/>
    <s v="LIMG07120400"/>
    <m/>
    <m/>
    <n v="10005779"/>
    <m/>
    <m/>
    <n v="1701.0234474995802"/>
    <n v="110612.93532367949"/>
    <n v="42094.95252017177"/>
    <n v="1216.87486151998"/>
    <n v="36589.863414581749"/>
    <n v="190514.626119953"/>
    <m/>
    <n v="1753.6934474995801"/>
    <m/>
    <n v="-50514.626119952998"/>
    <n v="-0.36081875799966429"/>
    <n v="17505"/>
    <n v="0"/>
    <n v="8111.3846153846152"/>
    <n v="25616.384615384617"/>
    <n v="4448.6248502524859"/>
    <n v="3674.85"/>
    <n v="-76904.7855855901"/>
    <n v="-0.54931989703992934"/>
    <n v="8745.2427047054844"/>
    <n v="-85650.028290295581"/>
    <n v="-0.61178591635925417"/>
    <n v="6990.8696729059357"/>
    <n v="-69913.91591268417"/>
  </r>
  <r>
    <m/>
    <x v="4"/>
    <s v="221-2026A"/>
    <d v="1900-04-22T00:00:00"/>
    <d v="2026-05-15T00:00:00"/>
    <n v="48"/>
    <x v="4"/>
    <s v="Filete"/>
    <s v="1-2 A - AA  "/>
    <s v="Japón "/>
    <s v="KOBE"/>
    <x v="2"/>
    <s v="Jose"/>
    <n v="2300"/>
    <n v="110400"/>
    <n v="2166.625"/>
    <n v="6402"/>
    <n v="103998"/>
    <n v="2"/>
    <s v="ECO MARIN  260220S"/>
    <s v="LIMG07124800"/>
    <m/>
    <m/>
    <n v="10005721"/>
    <m/>
    <m/>
    <n v="2084.0167833638698"/>
    <n v="60751.014514552713"/>
    <n v="17801.308513761767"/>
    <n v="1090.5482283624849"/>
    <n v="20389.934344788784"/>
    <n v="100032.80560146575"/>
    <m/>
    <n v="2136.6867833638698"/>
    <m/>
    <n v="10367.194398534251"/>
    <n v="9.3905746363534881E-2"/>
    <n v="6402"/>
    <n v="0"/>
    <n v="3476.3076923076924"/>
    <n v="9878.3076923076915"/>
    <n v="1906.5535072510656"/>
    <n v="3119.94"/>
    <n v="1702.2731989754943"/>
    <n v="1.5419141295067884E-2"/>
    <n v="3747.9611591594935"/>
    <n v="-2045.6879601839992"/>
    <n v="-1.8529782248043469E-2"/>
    <n v="2996.0870026739726"/>
    <n v="4698.3602016494669"/>
  </r>
  <r>
    <m/>
    <x v="4"/>
    <s v="222-2026A"/>
    <d v="1900-04-23T00:00:00"/>
    <d v="2026-05-18T00:00:00"/>
    <n v="26"/>
    <x v="14"/>
    <s v="Labios"/>
    <m/>
    <s v="España "/>
    <s v="Vigo"/>
    <x v="11"/>
    <s v="Ramon"/>
    <n v="1400"/>
    <n v="36400"/>
    <n v="1205.7692307692307"/>
    <n v="5050"/>
    <n v="31350"/>
    <n v="1"/>
    <s v="IZMIT EXPRESS 621N"/>
    <n v="91002009"/>
    <m/>
    <m/>
    <m/>
    <m/>
    <m/>
    <n v="0"/>
    <n v="0"/>
    <n v="0"/>
    <n v="0"/>
    <n v="0"/>
    <n v="0"/>
    <m/>
    <m/>
    <m/>
    <n v="36400"/>
    <n v="1"/>
    <n v="5050"/>
    <n v="0"/>
    <n v="1883"/>
    <n v="6933"/>
    <n v="1032.7164830943273"/>
    <n v="940.5"/>
    <n v="29374.783516905674"/>
    <n v="0.80699954716773825"/>
    <n v="2030.145627878059"/>
    <n v="27344.637889027614"/>
    <n v="0.75122631563262676"/>
    <n v="1622.8804597817352"/>
    <n v="30997.66397668741"/>
  </r>
  <r>
    <m/>
    <x v="4"/>
    <s v="223-2026"/>
    <d v="2025-04-24T00:00:00"/>
    <d v="2026-05-15T00:00:00"/>
    <n v="26"/>
    <x v="1"/>
    <s v="Nucas"/>
    <s v="1000 - up "/>
    <s v="Tailandia "/>
    <s v="Lat Krabang"/>
    <x v="23"/>
    <s v="Tar"/>
    <n v="1300"/>
    <n v="33800"/>
    <n v="1157.6923076923076"/>
    <n v="3700"/>
    <n v="30100"/>
    <n v="1"/>
    <s v="ECO MARIN 26020S"/>
    <n v="6500435880"/>
    <m/>
    <m/>
    <n v="10005779"/>
    <m/>
    <m/>
    <n v="1701.0234474995802"/>
    <n v="25678.002842997026"/>
    <n v="9772.042549325588"/>
    <n v="282.48880713856676"/>
    <n v="8494.0754355279059"/>
    <n v="44226.609634989087"/>
    <m/>
    <n v="1753.6934474995801"/>
    <m/>
    <n v="-10426.609634989087"/>
    <n v="-0.3084795749996771"/>
    <n v="3700"/>
    <n v="0"/>
    <n v="1883"/>
    <n v="5583"/>
    <n v="1032.7164830943273"/>
    <n v="903"/>
    <n v="-16139.326118083412"/>
    <n v="-0.47749485556459798"/>
    <n v="2030.145627878059"/>
    <n v="-18169.471745961473"/>
    <n v="-0.53755833567933353"/>
    <n v="1622.8804597817352"/>
    <n v="-14516.445658301676"/>
  </r>
  <r>
    <m/>
    <x v="4"/>
    <s v="224-2026A"/>
    <d v="1900-04-29T00:00:00"/>
    <d v="2026-05-22T00:00:00"/>
    <n v="54"/>
    <x v="2"/>
    <s v="Rejos"/>
    <s v="300-500 SUCIO "/>
    <s v="China "/>
    <s v="Yantai"/>
    <x v="24"/>
    <s v="LYNN"/>
    <n v="3050"/>
    <n v="164700"/>
    <n v="2931.4444444444443"/>
    <n v="6402"/>
    <n v="158298"/>
    <n v="2"/>
    <s v="ECO SIROCCO 26021S"/>
    <s v=" LIMG08114800"/>
    <m/>
    <m/>
    <n v="10007162"/>
    <m/>
    <m/>
    <n v="1829.5095185638502"/>
    <n v="60575.307514163513"/>
    <n v="17198.537812920466"/>
    <n v="915.87416935879696"/>
    <n v="20103.794506005135"/>
    <n v="98793.514002447919"/>
    <m/>
    <n v="1882.17951856385"/>
    <m/>
    <n v="65906.485997552081"/>
    <n v="0.40016081358562283"/>
    <n v="6402"/>
    <n v="0"/>
    <n v="3910.8461538461538"/>
    <n v="10312.846153846154"/>
    <n v="2144.8726956574487"/>
    <n v="4748.9399999999996"/>
    <n v="58197.707148048481"/>
    <n v="0.35335584182178797"/>
    <n v="4216.4563040544299"/>
    <n v="53981.25084399405"/>
    <n v="0.32775501423190073"/>
    <n v="3370.5978780082191"/>
    <n v="61568.305026056703"/>
  </r>
  <r>
    <m/>
    <x v="4"/>
    <s v="225-2026"/>
    <d v="1900-04-29T00:00:00"/>
    <d v="2026-05-28T00:00:00"/>
    <n v="27"/>
    <x v="2"/>
    <s v="Rejos"/>
    <s v="300-500 SUCIO eyes off , neck off , beak off , sex leg off,"/>
    <s v="China "/>
    <s v="shidao"/>
    <x v="25"/>
    <s v="Cherry"/>
    <n v="3100"/>
    <n v="83700"/>
    <n v="2981.4814814814813"/>
    <n v="3200"/>
    <n v="80500"/>
    <n v="1"/>
    <s v="ECO SIROCCO 26021S"/>
    <n v="6501720400"/>
    <m/>
    <m/>
    <n v="10007162"/>
    <m/>
    <m/>
    <n v="1829.5095185638502"/>
    <n v="30287.653757081756"/>
    <n v="8599.2689064602328"/>
    <n v="457.93708467939848"/>
    <n v="10051.897253002568"/>
    <n v="49396.757001223959"/>
    <m/>
    <n v="1882.17951856385"/>
    <m/>
    <n v="34303.242998776041"/>
    <n v="0.40983563917295152"/>
    <n v="3200"/>
    <n v="0"/>
    <n v="1955.4230769230769"/>
    <n v="5155.4230769230771"/>
    <n v="1072.4363478287244"/>
    <n v="2415"/>
    <n v="30490.383574024239"/>
    <n v="0.36428176313051658"/>
    <n v="2108.2281520272149"/>
    <n v="28382.155421997024"/>
    <n v="0.33909385211465981"/>
    <n v="1685.2989390041096"/>
    <n v="32175.682513028351"/>
  </r>
  <r>
    <m/>
    <x v="4"/>
    <s v="227-2026A"/>
    <d v="1900-05-01T00:00:00"/>
    <d v="2026-05-22T00:00:00"/>
    <n v="108"/>
    <x v="9"/>
    <s v="Daruma"/>
    <m/>
    <s v="China"/>
    <s v="Qingdao"/>
    <x v="15"/>
    <s v="James"/>
    <n v="3900"/>
    <n v="421200"/>
    <n v="3846.2962962962961"/>
    <n v="5800"/>
    <n v="415400"/>
    <n v="2"/>
    <s v="ECO SIROCCO 26021S"/>
    <n v="6452679230"/>
    <m/>
    <m/>
    <n v="10009239"/>
    <m/>
    <m/>
    <n v="3389.0116659973501"/>
    <n v="179989.84754766696"/>
    <n v="117343.45086999628"/>
    <n v="2148.9675695693622"/>
    <n v="66530.993940481261"/>
    <n v="366013.25992771384"/>
    <m/>
    <n v="3441.6816659973501"/>
    <m/>
    <n v="55186.740072286164"/>
    <n v="0.13102264974426914"/>
    <n v="5800"/>
    <n v="0"/>
    <n v="7821.6923076923076"/>
    <n v="13621.692307692309"/>
    <n v="4289.7453913148975"/>
    <n v="12462"/>
    <n v="49737.302373278952"/>
    <n v="0.11808476346932324"/>
    <n v="8432.9126081088598"/>
    <n v="41304.38976517009"/>
    <n v="9.8063603431078089E-2"/>
    <n v="6741.1957560164383"/>
    <n v="56478.498129295389"/>
  </r>
  <r>
    <m/>
    <x v="4"/>
    <s v="227-2026B"/>
    <d v="1900-05-01T00:00:00"/>
    <d v="2026-05-28T00:00:00"/>
    <n v="27"/>
    <x v="9"/>
    <s v="Daruma"/>
    <m/>
    <s v="China"/>
    <s v="Qingdao"/>
    <x v="15"/>
    <s v="James"/>
    <n v="3900"/>
    <n v="105300"/>
    <n v="3792.5925925925926"/>
    <n v="2900"/>
    <n v="102400"/>
    <n v="1"/>
    <s v="ECO MARIN 26022S"/>
    <n v="6502035370"/>
    <m/>
    <m/>
    <n v="10009239"/>
    <m/>
    <m/>
    <n v="3389.0116659973501"/>
    <n v="44997.461886916739"/>
    <n v="29335.862717499069"/>
    <n v="537.24189239234056"/>
    <n v="16632.748485120315"/>
    <n v="91503.314981928459"/>
    <m/>
    <n v="3441.6816659973501"/>
    <m/>
    <n v="13796.685018071541"/>
    <n v="0.13102264974426914"/>
    <n v="2900"/>
    <n v="0"/>
    <n v="1955.4230769230769"/>
    <n v="4855.4230769230771"/>
    <n v="1072.4363478287244"/>
    <n v="3072"/>
    <n v="10940.82559331974"/>
    <n v="0.10390147761937074"/>
    <n v="2108.2281520272149"/>
    <n v="8832.5974412925243"/>
    <n v="8.3880317581125588E-2"/>
    <n v="1685.2989390041096"/>
    <n v="12626.124532323849"/>
  </r>
  <r>
    <m/>
    <x v="4"/>
    <s v="228-2026"/>
    <d v="1900-05-05T00:00:00"/>
    <d v="2026-05-28T00:00:00"/>
    <n v="27"/>
    <x v="11"/>
    <s v="Recortes cocidos "/>
    <s v="cut from Daruma,plate frozen"/>
    <s v="China "/>
    <s v="Yantai"/>
    <x v="26"/>
    <s v="Alicia"/>
    <n v="2500"/>
    <n v="67500"/>
    <n v="2381.4814814814813"/>
    <n v="3200"/>
    <n v="64300"/>
    <n v="1"/>
    <s v="ECO MARIN 26022S"/>
    <n v="6502035350"/>
    <m/>
    <m/>
    <n v="10007050"/>
    <m/>
    <m/>
    <n v="0"/>
    <n v="0"/>
    <n v="0"/>
    <n v="0"/>
    <n v="0"/>
    <n v="0"/>
    <m/>
    <m/>
    <m/>
    <n v="67500"/>
    <n v="1"/>
    <n v="3200"/>
    <n v="0"/>
    <n v="1955.4230769230769"/>
    <n v="5155.4230769230771"/>
    <n v="1072.4363478287244"/>
    <n v="1929"/>
    <n v="63201.140575248195"/>
    <n v="0.93631319370738064"/>
    <n v="2108.2281520272149"/>
    <n v="61092.91242322098"/>
    <n v="0.90508018404771817"/>
    <n v="1685.2989390041096"/>
    <n v="64886.439514252306"/>
  </r>
  <r>
    <m/>
    <x v="4"/>
    <s v="229-2026A"/>
    <d v="1900-05-07T00:00:00"/>
    <d v="2026-05-15T00:00:00"/>
    <n v="81"/>
    <x v="2"/>
    <s v="Rejos"/>
    <s v="500-1000 SUCIO "/>
    <s v="China "/>
    <s v="Mawei"/>
    <x v="9"/>
    <s v="James"/>
    <n v="2900"/>
    <n v="234900"/>
    <n v="2792.5925925925926"/>
    <n v="8700"/>
    <n v="226200"/>
    <n v="3"/>
    <s v="ECO MARIN  260220S"/>
    <n v="6500435910"/>
    <m/>
    <m/>
    <n v="10007162"/>
    <m/>
    <m/>
    <n v="1829.5095185638502"/>
    <n v="90862.96127124528"/>
    <n v="25797.8067193807"/>
    <n v="1373.8112540381953"/>
    <n v="30155.691759007699"/>
    <n v="148190.27100367189"/>
    <m/>
    <n v="1882.17951856385"/>
    <m/>
    <n v="86709.728996328107"/>
    <n v="0.36913464877108604"/>
    <n v="8700"/>
    <n v="0"/>
    <n v="5866.2692307692305"/>
    <n v="14566.26923076923"/>
    <n v="3217.3090434861729"/>
    <n v="6786"/>
    <n v="75712.150722072707"/>
    <n v="0.32231652074105027"/>
    <n v="6324.6844560816453"/>
    <n v="69387.466265991068"/>
    <n v="0.29539151241375505"/>
    <n v="5055.8968170123289"/>
    <n v="80768.047539085033"/>
  </r>
  <r>
    <m/>
    <x v="4"/>
    <s v="229-2026B"/>
    <d v="1900-05-07T00:00:00"/>
    <d v="2026-05-22T00:00:00"/>
    <n v="54"/>
    <x v="2"/>
    <s v="Rejos"/>
    <s v="500-1000 SUCIO "/>
    <s v="China "/>
    <s v="shidao"/>
    <x v="9"/>
    <s v="James"/>
    <n v="2900"/>
    <n v="156600"/>
    <n v="2788.8518518518517"/>
    <n v="6002"/>
    <n v="150598"/>
    <n v="2"/>
    <s v="ECO SIROCCO 26021S"/>
    <s v=" LIMG08415500"/>
    <m/>
    <m/>
    <n v="10007162"/>
    <m/>
    <m/>
    <n v="1829.5095185638502"/>
    <n v="60575.307514163513"/>
    <n v="17198.537812920466"/>
    <n v="915.87416935879696"/>
    <n v="20103.794506005135"/>
    <n v="98793.514002447919"/>
    <m/>
    <n v="1882.17951856385"/>
    <m/>
    <n v="57806.485997552081"/>
    <n v="0.36913464877108609"/>
    <n v="6002"/>
    <n v="0"/>
    <n v="3910.8461538461538"/>
    <n v="9912.8461538461543"/>
    <n v="2144.8726956574487"/>
    <n v="4517.9399999999996"/>
    <n v="50266.707148048481"/>
    <n v="0.32098791282278721"/>
    <n v="4216.4563040544299"/>
    <n v="46050.25084399405"/>
    <n v="0.29406290449549199"/>
    <n v="3370.5978780082191"/>
    <n v="53637.305026056703"/>
  </r>
  <r>
    <m/>
    <x v="4"/>
    <s v="229-2026C"/>
    <d v="1900-05-07T00:00:00"/>
    <d v="2026-05-28T00:00:00"/>
    <n v="81"/>
    <x v="2"/>
    <s v="Rejos"/>
    <s v="500-1000 SUCIO "/>
    <s v="China "/>
    <s v="Xiamen"/>
    <x v="9"/>
    <s v="James"/>
    <n v="2900"/>
    <n v="234900"/>
    <n v="2828.3950617283949"/>
    <n v="5800"/>
    <n v="229100"/>
    <n v="2"/>
    <s v="ECO MARIN 26022S"/>
    <n v="6502035420"/>
    <m/>
    <m/>
    <n v="10007162"/>
    <m/>
    <m/>
    <n v="1829.5095185638502"/>
    <n v="90862.96127124528"/>
    <n v="25797.8067193807"/>
    <n v="1373.8112540381953"/>
    <n v="30155.691759007699"/>
    <n v="148190.27100367189"/>
    <m/>
    <n v="1882.17951856385"/>
    <m/>
    <n v="86709.728996328107"/>
    <n v="0.36913464877108604"/>
    <n v="5800"/>
    <n v="0"/>
    <n v="5866.2692307692305"/>
    <n v="11666.26923076923"/>
    <n v="3217.3090434861729"/>
    <n v="6873"/>
    <n v="78699.150722072707"/>
    <n v="0.3350325701237663"/>
    <n v="6324.6844560816453"/>
    <n v="72374.466265991068"/>
    <n v="0.30810756179647114"/>
    <n v="5055.8968170123289"/>
    <n v="83755.047539085033"/>
  </r>
  <r>
    <m/>
    <x v="4"/>
    <s v="230-2026"/>
    <d v="1900-05-07T00:00:00"/>
    <d v="2026-05-28T00:00:00"/>
    <n v="216"/>
    <x v="5"/>
    <s v="Alas"/>
    <s v="500-1000"/>
    <s v="China "/>
    <m/>
    <x v="9"/>
    <s v="James"/>
    <n v="1950"/>
    <n v="421200"/>
    <n v="1842.5925925925926"/>
    <n v="23200"/>
    <n v="398000"/>
    <n v="8"/>
    <s v="ECO MARIN 26022S"/>
    <n v="6452679320"/>
    <m/>
    <m/>
    <n v="10006720"/>
    <m/>
    <m/>
    <n v="1983.0685678837301"/>
    <n v="274864.59829447715"/>
    <n v="57814.278818844541"/>
    <n v="4002.3713912581688"/>
    <n v="91661.562158305795"/>
    <n v="428342.8106628856"/>
    <m/>
    <n v="2035.73856788373"/>
    <m/>
    <n v="-7142.810662885604"/>
    <n v="-1.6958239940374178E-2"/>
    <n v="23200"/>
    <n v="0"/>
    <n v="15643.384615384615"/>
    <n v="38843.384615384617"/>
    <n v="8579.4907826297949"/>
    <n v="11940"/>
    <n v="-42625.686060900014"/>
    <n v="-0.10120058419017097"/>
    <n v="16865.82521621772"/>
    <n v="-59491.511277117737"/>
    <n v="-0.14124290426666131"/>
    <n v="13482.391512032877"/>
    <n v="-29143.294548867139"/>
  </r>
  <r>
    <m/>
    <x v="4"/>
    <s v="234-2026"/>
    <d v="1900-05-08T00:00:00"/>
    <d v="2026-05-22T00:00:00"/>
    <n v="81"/>
    <x v="4"/>
    <s v="Filete"/>
    <s v="1-2  A-AA"/>
    <s v="China"/>
    <s v="Ningbo"/>
    <x v="27"/>
    <s v="WANG"/>
    <n v="2150"/>
    <n v="174150"/>
    <n v="2042.5555555555557"/>
    <n v="8703"/>
    <n v="165447"/>
    <n v="3"/>
    <s v="ECO SIROCCO 26021S"/>
    <s v="LIMG08417700"/>
    <m/>
    <m/>
    <n v="10005721"/>
    <m/>
    <m/>
    <n v="2084.0167833638698"/>
    <n v="102517.3369933077"/>
    <n v="30039.708116972979"/>
    <n v="1840.3001353616933"/>
    <n v="34408.014206831074"/>
    <n v="168805.35945247347"/>
    <m/>
    <n v="2136.6867833638698"/>
    <m/>
    <n v="5344.6405475265346"/>
    <n v="3.0689868202851189E-2"/>
    <n v="8703"/>
    <n v="0"/>
    <n v="5866.2692307692305"/>
    <n v="14569.26923076923"/>
    <n v="3217.3090434861729"/>
    <n v="4963.41"/>
    <n v="-7478.5277267288693"/>
    <n v="-4.2943024557731087E-2"/>
    <n v="6324.6844560816453"/>
    <n v="-13803.212182810516"/>
    <n v="-7.9260477650361844E-2"/>
    <n v="5055.8968170123289"/>
    <n v="-2422.6309097165404"/>
  </r>
  <r>
    <m/>
    <x v="4"/>
    <s v="235-2026"/>
    <d v="1900-05-09T00:00:00"/>
    <d v="2026-05-22T00:00:00"/>
    <n v="54"/>
    <x v="4"/>
    <s v="Filete"/>
    <s v="1-2 / 0.5-1 AAA"/>
    <s v="China"/>
    <s v="Ningbo"/>
    <x v="28"/>
    <s v="WANG"/>
    <n v="2030"/>
    <n v="109620"/>
    <n v="1922.5555555555557"/>
    <n v="5802"/>
    <n v="103818"/>
    <n v="2"/>
    <s v="ECO SIROCCO 26021S"/>
    <s v="LIMG08416600"/>
    <m/>
    <m/>
    <n v="10005721"/>
    <m/>
    <m/>
    <n v="2084.0167833638698"/>
    <n v="68344.891328871803"/>
    <n v="20026.472077981987"/>
    <n v="1226.8667569077954"/>
    <n v="22938.676137887382"/>
    <n v="112536.90630164897"/>
    <m/>
    <n v="2136.6867833638698"/>
    <m/>
    <n v="-2916.9063016489672"/>
    <n v="-2.6609252888605793E-2"/>
    <n v="5802"/>
    <n v="0"/>
    <n v="3910.8461538461538"/>
    <n v="9712.8461538461543"/>
    <n v="2144.8726956574487"/>
    <n v="3114.54"/>
    <n v="-11660.085151152569"/>
    <n v="-0.10636822797986288"/>
    <n v="4216.4563040544299"/>
    <n v="-15876.541455207"/>
    <n v="-0.14483252559028462"/>
    <n v="3370.5978780082191"/>
    <n v="-8289.4872731443502"/>
  </r>
  <r>
    <m/>
    <x v="4"/>
    <s v="236-2026"/>
    <d v="2026-05-11T00:00:00"/>
    <d v="2026-05-29T00:00:00"/>
    <n v="24"/>
    <x v="3"/>
    <s v="Conos"/>
    <m/>
    <s v="Tailandia"/>
    <s v="Lat Krabang"/>
    <x v="2"/>
    <s v="Jose"/>
    <n v="1800"/>
    <n v="43200"/>
    <n v="1654.125"/>
    <n v="3501"/>
    <n v="39699"/>
    <n v="1"/>
    <s v="ECO SIROCCO 26021N"/>
    <s v="LIMG08350300"/>
    <m/>
    <m/>
    <n v="10007969"/>
    <m/>
    <m/>
    <n v="1442.0093794440902"/>
    <n v="29316.514407803013"/>
    <n v="5887.3209212315051"/>
    <n v="453.0221271983682"/>
    <n v="-1048.6323495747224"/>
    <n v="34608.225106658167"/>
    <m/>
    <n v="1494.67937944409"/>
    <m/>
    <n v="8591.7748933418334"/>
    <n v="0.1988836780866165"/>
    <n v="3501"/>
    <n v="0"/>
    <n v="1738.1538461538462"/>
    <n v="5239.1538461538457"/>
    <n v="953.27675362553282"/>
    <n v="1190.97"/>
    <n v="3590.3142935624546"/>
    <n v="8.3109127165797561E-2"/>
    <n v="1873.9805795797467"/>
    <n v="1716.3337139827079"/>
    <n v="3.9729947082933051E-2"/>
    <n v="1498.0435013369863"/>
    <n v="5088.3577948994407"/>
  </r>
  <r>
    <m/>
    <x v="4"/>
    <s v="237-2026A"/>
    <d v="2026-05-11T00:00:00"/>
    <d v="2026-05-22T00:00:00"/>
    <n v="216"/>
    <x v="4"/>
    <s v="Filete"/>
    <s v="1-2  A-AA"/>
    <s v="China "/>
    <s v="Yantai"/>
    <x v="29"/>
    <s v="Dolly"/>
    <n v="2020"/>
    <n v="436320"/>
    <n v="1912.5925925925926"/>
    <n v="23200"/>
    <n v="413120"/>
    <n v="8"/>
    <s v="ECO SIROCCO 26021S"/>
    <n v="6452679310"/>
    <m/>
    <m/>
    <n v="10005721"/>
    <m/>
    <m/>
    <n v="2084.0167833638698"/>
    <n v="273379.56531548721"/>
    <n v="80105.888311927949"/>
    <n v="4907.4670276311817"/>
    <n v="91754.704551549527"/>
    <n v="450147.62520659587"/>
    <m/>
    <n v="2136.6867833638698"/>
    <m/>
    <n v="-13827.625206595869"/>
    <n v="-3.1691476912806812E-2"/>
    <n v="23200"/>
    <n v="0"/>
    <n v="15643.384615384615"/>
    <n v="38843.384615384617"/>
    <n v="8579.4907826297949"/>
    <n v="12393.6"/>
    <n v="-48856.90060461028"/>
    <n v="-0.11197492804503639"/>
    <n v="16865.82521621772"/>
    <n v="-65722.725820827996"/>
    <n v="-0.15062964297036119"/>
    <n v="13482.391512032877"/>
    <n v="-35374.509092577406"/>
  </r>
  <r>
    <m/>
    <x v="4"/>
    <s v="237-2026B"/>
    <d v="2026-05-11T00:00:00"/>
    <d v="2026-05-28T00:00:00"/>
    <n v="27"/>
    <x v="4"/>
    <s v="Filete"/>
    <s v="1-2  A-AA"/>
    <s v="China "/>
    <s v="Yantai"/>
    <x v="29"/>
    <s v="Dolly"/>
    <n v="2020"/>
    <n v="54540"/>
    <n v="1912.5925925925926"/>
    <n v="2900"/>
    <n v="51640"/>
    <n v="1"/>
    <s v="ECO MARIN 26022S"/>
    <n v="6502206550"/>
    <m/>
    <m/>
    <n v="10005721"/>
    <m/>
    <m/>
    <n v="2084.0167833638698"/>
    <n v="34172.445664435902"/>
    <n v="10013.236038990994"/>
    <n v="613.43337845389772"/>
    <n v="11469.338068943691"/>
    <n v="56268.453150824484"/>
    <m/>
    <n v="2136.6867833638698"/>
    <m/>
    <n v="-1728.4531508244836"/>
    <n v="-3.1691476912806812E-2"/>
    <n v="2900"/>
    <n v="0"/>
    <n v="1955.4230769230769"/>
    <n v="4855.4230769230771"/>
    <n v="1072.4363478287244"/>
    <n v="1549.2"/>
    <n v="-6107.1125755762851"/>
    <n v="-0.11197492804503639"/>
    <n v="2108.2281520272149"/>
    <n v="-8215.3407276034995"/>
    <n v="-0.15062964297036119"/>
    <n v="1685.2989390041096"/>
    <n v="-4421.8136365721757"/>
  </r>
  <r>
    <m/>
    <x v="4"/>
    <s v="239-2026"/>
    <d v="1900-05-12T00:00:00"/>
    <d v="2026-05-25T00:00:00"/>
    <n v="26"/>
    <x v="0"/>
    <s v="Rejos"/>
    <m/>
    <s v="España "/>
    <s v="Vigo"/>
    <x v="3"/>
    <s v="Jorge"/>
    <n v="2850"/>
    <n v="74100"/>
    <n v="2651.9230769230771"/>
    <n v="5150"/>
    <n v="68950"/>
    <n v="1"/>
    <s v="CAPE SKAGEN 622N"/>
    <n v="15593336"/>
    <m/>
    <m/>
    <n v="10007567"/>
    <m/>
    <m/>
    <n v="1768.5702425897002"/>
    <n v="28398.192975948623"/>
    <n v="7653.4338632691833"/>
    <n v="496.30997460950596"/>
    <n v="9434.8894935048902"/>
    <n v="45982.826307332194"/>
    <m/>
    <n v="1821.2402425897001"/>
    <m/>
    <n v="28117.173692667806"/>
    <n v="0.37944903768782462"/>
    <n v="5150"/>
    <n v="0"/>
    <n v="1883"/>
    <n v="7033"/>
    <n v="1032.7164830943273"/>
    <n v="2068.5"/>
    <n v="22119.95720957348"/>
    <n v="0.29851494209950713"/>
    <n v="2030.145627878059"/>
    <n v="20089.81158169542"/>
    <n v="0.27111756520506641"/>
    <n v="1622.8804597817352"/>
    <n v="23742.8376693552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6A1B3-BC42-43AE-8D99-71F1B26480A3}" name="TablaDinámica8" cacheId="13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50:Z82" firstHeaderRow="1" firstDataRow="2" firstDataCol="1"/>
  <pivotFields count="50"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32">
        <item x="2"/>
        <item x="15"/>
        <item x="11"/>
        <item x="9"/>
        <item x="5"/>
        <item x="18"/>
        <item m="1" x="30"/>
        <item x="19"/>
        <item x="16"/>
        <item x="29"/>
        <item x="3"/>
        <item x="0"/>
        <item x="6"/>
        <item x="12"/>
        <item x="1"/>
        <item x="17"/>
        <item x="8"/>
        <item x="14"/>
        <item x="7"/>
        <item x="27"/>
        <item x="24"/>
        <item x="20"/>
        <item x="28"/>
        <item x="10"/>
        <item x="4"/>
        <item x="25"/>
        <item x="21"/>
        <item x="26"/>
        <item x="22"/>
        <item x="13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11"/>
  </rowFields>
  <rowItems count="3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EBITDA" fld="49" baseField="0" baseItem="0"/>
  </dataFields>
  <formats count="1"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94144-FFAC-4BA4-9C4E-C16BAF0231FE}" name="TablaDinámica3" cacheId="13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50:P82" firstHeaderRow="1" firstDataRow="2" firstDataCol="1"/>
  <pivotFields count="50"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32">
        <item x="2"/>
        <item x="15"/>
        <item x="11"/>
        <item x="9"/>
        <item x="5"/>
        <item x="18"/>
        <item m="1" x="30"/>
        <item x="19"/>
        <item x="16"/>
        <item x="29"/>
        <item x="3"/>
        <item x="0"/>
        <item x="6"/>
        <item x="12"/>
        <item x="1"/>
        <item x="17"/>
        <item x="8"/>
        <item x="14"/>
        <item x="7"/>
        <item x="27"/>
        <item x="24"/>
        <item x="20"/>
        <item x="28"/>
        <item x="10"/>
        <item x="4"/>
        <item x="25"/>
        <item x="21"/>
        <item x="26"/>
        <item x="22"/>
        <item x="13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11"/>
  </rowFields>
  <rowItems count="3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UTILIDAD _x000a_NETA" fld="46" baseField="0" baseItem="0"/>
  </dataFields>
  <formats count="1"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3410E-9FA7-43FD-B3E3-E9F5B624DEAF}" name="TablaDinámica1" cacheId="13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26:Z43" firstHeaderRow="1" firstDataRow="2" firstDataCol="1"/>
  <pivotFields count="50"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numFmtId="16" showAll="0"/>
    <pivotField numFmtId="16" showAll="0"/>
    <pivotField showAll="0"/>
    <pivotField axis="axisRow" showAll="0">
      <items count="16">
        <item x="4"/>
        <item x="2"/>
        <item x="9"/>
        <item x="5"/>
        <item x="10"/>
        <item x="0"/>
        <item x="1"/>
        <item x="3"/>
        <item x="11"/>
        <item x="7"/>
        <item x="8"/>
        <item x="12"/>
        <item x="6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EBITDA" fld="49" baseField="0" baseItem="0"/>
  </dataFields>
  <formats count="1">
    <format dxfId="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A72F0-581C-4FEF-A650-D5E207568570}" name="TablaDinámica4" cacheId="13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0:G82" firstHeaderRow="1" firstDataRow="2" firstDataCol="1"/>
  <pivotFields count="50"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32">
        <item x="2"/>
        <item x="15"/>
        <item x="11"/>
        <item x="9"/>
        <item x="5"/>
        <item x="18"/>
        <item m="1" x="30"/>
        <item x="19"/>
        <item x="16"/>
        <item x="29"/>
        <item x="3"/>
        <item x="0"/>
        <item x="6"/>
        <item x="12"/>
        <item x="1"/>
        <item x="17"/>
        <item x="8"/>
        <item x="14"/>
        <item x="7"/>
        <item x="27"/>
        <item x="24"/>
        <item x="20"/>
        <item x="28"/>
        <item x="10"/>
        <item x="4"/>
        <item x="25"/>
        <item x="21"/>
        <item x="26"/>
        <item x="22"/>
        <item x="13"/>
        <item x="23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1"/>
  </rowFields>
  <rowItems count="3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VALOR _x000a_CFR" fld="14" baseField="0" baseItem="0"/>
  </dataFields>
  <formats count="1">
    <format dxfId="9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5A392-EE65-4C7E-AE41-17A47CAEF8C3}" name="TablaDinámica2" cacheId="13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G18" firstHeaderRow="1" firstDataRow="2" firstDataCol="1"/>
  <pivotFields count="50"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numFmtId="16" showAll="0"/>
    <pivotField numFmtId="16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dataField="1" numFmtId="165" showAll="0"/>
    <pivotField numFmtId="9" showAll="0"/>
    <pivotField numFmtId="165" showAll="0"/>
    <pivotField numFmtId="165" showAll="0"/>
    <pivotField numFmtId="165" showAll="0"/>
    <pivotField dataField="1" numFmtId="165" showAll="0"/>
    <pivotField dataField="1" showAll="0"/>
    <pivotField dataField="1" numFmtId="165" showAll="0"/>
    <pivotField dataField="1" showAll="0"/>
    <pivotField showAll="0"/>
    <pivotField dataField="1" showAll="0"/>
    <pivotField dataField="1" showAll="0"/>
    <pivotField numFmtId="9" showAll="0"/>
    <pivotField dataField="1" showAll="0"/>
    <pivotField dataField="1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2">
    <dataField name="Suma de  Cantidad " fld="5" baseField="0" baseItem="0"/>
    <dataField name="Suma de VALOR _x000a_CFR" fld="14" baseField="0" baseItem="0"/>
    <dataField name="Suma de COSTO _x000a_VENTAS" fld="31" baseField="0" baseItem="0" numFmtId="165"/>
    <dataField name="Suma de UTILIDAD _x000a_BRUTA" fld="35" baseField="0" baseItem="0" numFmtId="165"/>
    <dataField name="Suma de GASTO_x000a_VENTAS" fld="40" baseField="0" baseItem="0" numFmtId="165"/>
    <dataField name="Suma de GASTO _x000a_ADM" fld="41" baseField="0" baseItem="0"/>
    <dataField name="Suma de DRAWBACK" fld="42" baseField="0" baseItem="0" numFmtId="165"/>
    <dataField name="Suma de UTILIDAD _x000a_OPERATIVA" fld="43" baseField="0" baseItem="0"/>
    <dataField name="Suma de GASTO _x000a_FINANCIERO" fld="45" baseField="0" baseItem="0"/>
    <dataField name="Suma de UTILIDAD _x000a_NETA" fld="46" baseField="0" baseItem="0"/>
    <dataField name="Suma de DEPRECIACIÓN" fld="48" baseField="0" baseItem="0"/>
    <dataField name="Suma de EBITDA" fld="49" baseField="0" baseItem="0"/>
  </dataFields>
  <formats count="16">
    <format dxfId="106">
      <pivotArea outline="0" collapsedLevelsAreSubtotals="1" fieldPosition="0"/>
    </format>
    <format dxfId="105">
      <pivotArea collapsedLevelsAreSubtotals="1" fieldPosition="0">
        <references count="1">
          <reference field="4294967294" count="1">
            <x v="3"/>
          </reference>
        </references>
      </pivotArea>
    </format>
    <format dxfId="10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3">
      <pivotArea collapsedLevelsAreSubtotals="1" fieldPosition="0">
        <references count="1">
          <reference field="4294967294" count="1">
            <x v="7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01">
      <pivotArea collapsedLevelsAreSubtotals="1" fieldPosition="0">
        <references count="1">
          <reference field="4294967294" count="1">
            <x v="9"/>
          </reference>
        </references>
      </pivotArea>
    </format>
    <format dxfId="100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99">
      <pivotArea collapsedLevelsAreSubtotals="1" fieldPosition="0">
        <references count="1">
          <reference field="4294967294" count="1">
            <x v="11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97">
      <pivotArea collapsedLevelsAreSubtotals="1" fieldPosition="0">
        <references count="1">
          <reference field="4294967294" count="1">
            <x v="0"/>
          </reference>
        </references>
      </pivotArea>
    </format>
    <format dxfId="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">
      <pivotArea collapsedLevelsAreSubtotals="1" fieldPosition="0">
        <references count="1">
          <reference field="4294967294" count="1">
            <x v="0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">
      <pivotArea collapsedLevelsAreSubtotals="1" fieldPosition="0">
        <references count="2">
          <reference field="4294967294" count="1">
            <x v="9"/>
          </reference>
          <reference field="1" count="0" selected="0"/>
        </references>
      </pivotArea>
    </format>
    <format dxfId="92">
      <pivotArea field="1" grandCol="1" collapsedLevelsAreSubtotals="1" axis="axisCol" fieldPosition="0">
        <references count="1">
          <reference field="4294967294" count="1">
            <x v="9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80AFC-78C6-4023-B466-47FBF105A576}" name="TablaDinámica13" cacheId="13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6:P43" firstHeaderRow="1" firstDataRow="2" firstDataCol="1"/>
  <pivotFields count="50"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numFmtId="16" showAll="0"/>
    <pivotField numFmtId="16" showAll="0"/>
    <pivotField showAll="0"/>
    <pivotField axis="axisRow" showAll="0">
      <items count="16">
        <item x="4"/>
        <item x="2"/>
        <item x="9"/>
        <item x="5"/>
        <item x="10"/>
        <item x="0"/>
        <item x="1"/>
        <item x="3"/>
        <item x="11"/>
        <item x="7"/>
        <item x="8"/>
        <item x="12"/>
        <item x="6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UTILIDAD _x000a_NETA" fld="46" baseField="0" baseItem="0"/>
  </dataFields>
  <formats count="1">
    <format dxfId="1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F41B2-5674-40A1-8503-FDA21D0DFCD9}" name="TablaDinámica7" cacheId="13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G43" firstHeaderRow="1" firstDataRow="2" firstDataCol="1"/>
  <pivotFields count="50"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numFmtId="16" showAll="0"/>
    <pivotField numFmtId="16" showAll="0"/>
    <pivotField showAll="0"/>
    <pivotField axis="axisRow" showAll="0">
      <items count="16">
        <item x="4"/>
        <item x="2"/>
        <item x="9"/>
        <item x="5"/>
        <item x="10"/>
        <item x="0"/>
        <item x="1"/>
        <item x="3"/>
        <item x="11"/>
        <item x="7"/>
        <item x="8"/>
        <item x="12"/>
        <item x="6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VALOR _x000a_CFR" fld="14" baseField="0" baseItem="0"/>
  </dataFields>
  <formats count="1">
    <format dxfId="1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8" dT="2026-05-05T04:09:53.60" personId="{8CB64CF2-02A6-40B8-83A5-8B37A2DB3E5D}" id="{743F763D-BF14-4725-ABDD-766DB822D542}">
    <text>DESCUENTO APLICADO SIMILAR A EEFF</text>
  </threadedComment>
  <threadedComment ref="P39" dT="2026-05-05T04:10:30.46" personId="{8CB64CF2-02A6-40B8-83A5-8B37A2DB3E5D}" id="{820516E0-4AB1-49A7-845D-22E96737FF7A}">
    <text>DESCUENTO SIMILAR A EEFF</text>
  </threadedComment>
  <threadedComment ref="P46" dT="2026-05-05T04:14:35.51" personId="{8CB64CF2-02A6-40B8-83A5-8B37A2DB3E5D}" id="{E72F7E13-0828-4E09-98D0-25D30BC24A04}">
    <text>DESCUENTO SIMILAR A EEFF</text>
  </threadedComment>
  <threadedComment ref="P54" dT="2026-05-05T04:09:13.48" personId="{8CB64CF2-02A6-40B8-83A5-8B37A2DB3E5D}" id="{1E248A2B-787B-4DCE-94CB-52323DAFCCE3}">
    <text>SE APLICA DESCUENTO DE 4K SIMILAR A EEFF</text>
  </threadedComment>
  <threadedComment ref="AC61" dT="2026-05-05T04:46:45.59" personId="{8CB64CF2-02A6-40B8-83A5-8B37A2DB3E5D}" id="{6B8ABF03-AD92-41AD-AA56-4CCF25614F6E}">
    <text>Se incrementó 25% costo materia prima a las 520 tm despachadas al final de mes</text>
  </threadedComment>
  <threadedComment ref="P62" dT="2026-05-05T04:19:09.03" personId="{8CB64CF2-02A6-40B8-83A5-8B37A2DB3E5D}" id="{ADC37C9E-FF1D-488C-95F1-FBB76ECE040E}">
    <text>DESCUENTO SIMILAR A EEFF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EFBE-6465-46C9-9661-E048167F5E68}">
  <dimension ref="B2:N104"/>
  <sheetViews>
    <sheetView showGridLines="0" zoomScale="90" zoomScaleNormal="90" workbookViewId="0">
      <selection activeCell="D6" sqref="D6"/>
    </sheetView>
  </sheetViews>
  <sheetFormatPr baseColWidth="10" defaultRowHeight="14.4"/>
  <cols>
    <col min="2" max="2" width="20.109375" customWidth="1"/>
    <col min="3" max="3" width="30.5546875" customWidth="1"/>
    <col min="4" max="6" width="17.21875" customWidth="1"/>
    <col min="7" max="7" width="13.77734375" customWidth="1"/>
    <col min="10" max="10" width="7.77734375" customWidth="1"/>
    <col min="11" max="11" width="38.5546875" customWidth="1"/>
    <col min="12" max="14" width="17.21875" customWidth="1"/>
  </cols>
  <sheetData>
    <row r="2" spans="2:7" ht="15" thickBot="1"/>
    <row r="3" spans="2:7" ht="15" thickBot="1">
      <c r="B3" s="257" t="s">
        <v>620</v>
      </c>
      <c r="C3" s="258"/>
      <c r="D3" s="258"/>
      <c r="E3" s="258"/>
      <c r="F3" s="258"/>
      <c r="G3" s="259"/>
    </row>
    <row r="4" spans="2:7" ht="15" thickBot="1">
      <c r="B4" s="234" t="s">
        <v>599</v>
      </c>
      <c r="C4" s="236">
        <v>46023</v>
      </c>
      <c r="D4" s="236">
        <v>46054</v>
      </c>
      <c r="E4" s="236">
        <v>46082</v>
      </c>
      <c r="F4" s="236">
        <v>46113</v>
      </c>
      <c r="G4" s="235" t="s">
        <v>615</v>
      </c>
    </row>
    <row r="5" spans="2:7">
      <c r="B5" s="240" t="s">
        <v>616</v>
      </c>
      <c r="C5" s="241">
        <f>[1]Resumen!$D$4</f>
        <v>1877.2149999999999</v>
      </c>
      <c r="D5" s="241">
        <f>[1]Resumen!$D$5</f>
        <v>3149.7860000000001</v>
      </c>
      <c r="E5" s="241">
        <f>[1]Resumen!$D$6</f>
        <v>2255.518</v>
      </c>
      <c r="F5" s="241">
        <f>[1]Resumen!$D$7</f>
        <v>2853.1889999999999</v>
      </c>
      <c r="G5" s="242">
        <f>SUM(C5:F5)</f>
        <v>10135.708000000001</v>
      </c>
    </row>
    <row r="6" spans="2:7">
      <c r="B6" s="240" t="s">
        <v>617</v>
      </c>
      <c r="C6" s="241">
        <f>TD!B7</f>
        <v>248</v>
      </c>
      <c r="D6" s="241">
        <f>TD!C7</f>
        <v>1634.3</v>
      </c>
      <c r="E6" s="241">
        <f>TD!D7</f>
        <v>1995.8</v>
      </c>
      <c r="F6" s="241">
        <f>TD!E7</f>
        <v>2110.1099999999997</v>
      </c>
      <c r="G6" s="242">
        <f>TD!F7</f>
        <v>1978.33</v>
      </c>
    </row>
    <row r="7" spans="2:7">
      <c r="B7" s="240" t="s">
        <v>618</v>
      </c>
      <c r="C7" s="243">
        <f>TD!B8</f>
        <v>564615.28</v>
      </c>
      <c r="D7" s="243">
        <f>TD!C8</f>
        <v>2769824.5</v>
      </c>
      <c r="E7" s="243">
        <f>TD!D8</f>
        <v>3896418.31</v>
      </c>
      <c r="F7" s="243">
        <f>TD!E8</f>
        <v>4888920</v>
      </c>
      <c r="G7" s="244">
        <f>TD!F8</f>
        <v>5016103.5</v>
      </c>
    </row>
    <row r="8" spans="2:7">
      <c r="B8" s="240" t="s">
        <v>605</v>
      </c>
      <c r="C8" s="243">
        <f>TD!B16</f>
        <v>-96824.98638086475</v>
      </c>
      <c r="D8" s="243">
        <f>TD!C16</f>
        <v>-535236.78810018883</v>
      </c>
      <c r="E8" s="243">
        <f>TD!D16</f>
        <v>-326649.27033714385</v>
      </c>
      <c r="F8" s="243">
        <f>TD!E16</f>
        <v>89405.430429645392</v>
      </c>
      <c r="G8" s="244">
        <f>TD!F16</f>
        <v>401885.56924044067</v>
      </c>
    </row>
    <row r="9" spans="2:7" ht="15" thickBot="1">
      <c r="B9" s="245" t="s">
        <v>619</v>
      </c>
      <c r="C9" s="246">
        <f>C8/C7</f>
        <v>-0.17148842727186686</v>
      </c>
      <c r="D9" s="246">
        <f t="shared" ref="D9:G9" si="0">D8/D7</f>
        <v>-0.19323852038285777</v>
      </c>
      <c r="E9" s="246">
        <f t="shared" si="0"/>
        <v>-8.3833214082484855E-2</v>
      </c>
      <c r="F9" s="246">
        <f t="shared" si="0"/>
        <v>1.8287358031967262E-2</v>
      </c>
      <c r="G9" s="247">
        <f t="shared" si="0"/>
        <v>8.0119074345344085E-2</v>
      </c>
    </row>
    <row r="12" spans="2:7">
      <c r="B12" s="237" t="s">
        <v>621</v>
      </c>
    </row>
    <row r="62" spans="2:2">
      <c r="B62" s="237" t="s">
        <v>658</v>
      </c>
    </row>
    <row r="87" spans="2:14" ht="15.6">
      <c r="B87" s="260" t="s">
        <v>626</v>
      </c>
      <c r="C87" s="260"/>
      <c r="D87" s="260"/>
      <c r="E87" s="260"/>
      <c r="F87" s="260"/>
      <c r="J87" s="260" t="s">
        <v>657</v>
      </c>
      <c r="K87" s="260"/>
      <c r="L87" s="260"/>
      <c r="M87" s="260"/>
      <c r="N87" s="260"/>
    </row>
    <row r="89" spans="2:14">
      <c r="B89" s="239" t="s">
        <v>630</v>
      </c>
      <c r="C89" s="239" t="s">
        <v>631</v>
      </c>
      <c r="D89" s="239" t="s">
        <v>632</v>
      </c>
      <c r="E89" s="239" t="s">
        <v>577</v>
      </c>
      <c r="F89" s="239" t="s">
        <v>633</v>
      </c>
      <c r="J89" s="239" t="s">
        <v>630</v>
      </c>
      <c r="K89" s="239" t="s">
        <v>631</v>
      </c>
      <c r="L89" s="239" t="s">
        <v>632</v>
      </c>
      <c r="M89" s="239" t="s">
        <v>577</v>
      </c>
      <c r="N89" s="239" t="s">
        <v>633</v>
      </c>
    </row>
    <row r="90" spans="2:14">
      <c r="B90" s="27">
        <v>1</v>
      </c>
      <c r="C90" s="7" t="s">
        <v>634</v>
      </c>
      <c r="D90" s="10">
        <v>12800672</v>
      </c>
      <c r="E90" s="10">
        <v>7371.2</v>
      </c>
      <c r="F90" s="10">
        <v>1737</v>
      </c>
      <c r="J90" s="27">
        <v>1</v>
      </c>
      <c r="K90" s="7" t="s">
        <v>638</v>
      </c>
      <c r="L90" s="10">
        <v>9211788</v>
      </c>
      <c r="M90" s="10">
        <v>2579.8000000000002</v>
      </c>
      <c r="N90" s="10">
        <v>3571</v>
      </c>
    </row>
    <row r="91" spans="2:14">
      <c r="B91" s="27">
        <v>2</v>
      </c>
      <c r="C91" s="7" t="s">
        <v>635</v>
      </c>
      <c r="D91" s="10">
        <v>11792528</v>
      </c>
      <c r="E91" s="10">
        <v>7242.6</v>
      </c>
      <c r="F91" s="10">
        <v>1628</v>
      </c>
      <c r="J91" s="27">
        <v>2</v>
      </c>
      <c r="K91" s="7" t="s">
        <v>627</v>
      </c>
      <c r="L91" s="10">
        <v>5319083</v>
      </c>
      <c r="M91" s="10">
        <v>1670.5</v>
      </c>
      <c r="N91" s="10">
        <v>3184</v>
      </c>
    </row>
    <row r="92" spans="2:14">
      <c r="B92" s="27">
        <v>3</v>
      </c>
      <c r="C92" s="7" t="s">
        <v>636</v>
      </c>
      <c r="D92" s="10">
        <v>11724680</v>
      </c>
      <c r="E92" s="10">
        <v>6746.5</v>
      </c>
      <c r="F92" s="10">
        <v>1738</v>
      </c>
      <c r="J92" s="27">
        <v>3</v>
      </c>
      <c r="K92" s="7" t="s">
        <v>647</v>
      </c>
      <c r="L92" s="10">
        <v>4286058</v>
      </c>
      <c r="M92" s="10">
        <v>1338</v>
      </c>
      <c r="N92" s="10">
        <v>3203</v>
      </c>
    </row>
    <row r="93" spans="2:14">
      <c r="B93" s="27">
        <v>4</v>
      </c>
      <c r="C93" s="7" t="s">
        <v>637</v>
      </c>
      <c r="D93" s="10">
        <v>8847640</v>
      </c>
      <c r="E93" s="10">
        <v>5227.2</v>
      </c>
      <c r="F93" s="10">
        <v>1693</v>
      </c>
      <c r="J93" s="27">
        <v>4</v>
      </c>
      <c r="K93" s="7" t="s">
        <v>636</v>
      </c>
      <c r="L93" s="10">
        <v>4050574</v>
      </c>
      <c r="M93" s="10">
        <v>1190.4000000000001</v>
      </c>
      <c r="N93" s="10">
        <v>3403</v>
      </c>
    </row>
    <row r="94" spans="2:14">
      <c r="B94" s="27">
        <v>5</v>
      </c>
      <c r="C94" s="7" t="s">
        <v>638</v>
      </c>
      <c r="D94" s="10">
        <v>8496998</v>
      </c>
      <c r="E94" s="10">
        <v>4421.2</v>
      </c>
      <c r="F94" s="10">
        <v>1922</v>
      </c>
      <c r="J94" s="27">
        <v>5</v>
      </c>
      <c r="K94" s="7" t="s">
        <v>654</v>
      </c>
      <c r="L94" s="10">
        <v>3921103</v>
      </c>
      <c r="M94" s="10">
        <v>1215</v>
      </c>
      <c r="N94" s="10">
        <v>3227</v>
      </c>
    </row>
    <row r="95" spans="2:14">
      <c r="B95" s="27">
        <v>6</v>
      </c>
      <c r="C95" s="7" t="s">
        <v>639</v>
      </c>
      <c r="D95" s="10">
        <v>6857126</v>
      </c>
      <c r="E95" s="10">
        <v>3973.8</v>
      </c>
      <c r="F95" s="10">
        <v>1726</v>
      </c>
      <c r="J95" s="27">
        <v>6</v>
      </c>
      <c r="K95" s="7" t="s">
        <v>648</v>
      </c>
      <c r="L95" s="10">
        <v>3883786</v>
      </c>
      <c r="M95" s="10">
        <v>1076.8</v>
      </c>
      <c r="N95" s="10">
        <v>3607</v>
      </c>
    </row>
    <row r="96" spans="2:14">
      <c r="B96" s="248">
        <v>7</v>
      </c>
      <c r="C96" s="249" t="s">
        <v>640</v>
      </c>
      <c r="D96" s="250">
        <v>6231879</v>
      </c>
      <c r="E96" s="250">
        <v>3981.4</v>
      </c>
      <c r="F96" s="250">
        <v>1565</v>
      </c>
      <c r="J96" s="27">
        <v>7</v>
      </c>
      <c r="K96" s="7" t="s">
        <v>649</v>
      </c>
      <c r="L96" s="10">
        <v>2905633</v>
      </c>
      <c r="M96" s="10">
        <v>847.7</v>
      </c>
      <c r="N96" s="10">
        <v>3428</v>
      </c>
    </row>
    <row r="97" spans="2:14">
      <c r="B97" s="27">
        <v>8</v>
      </c>
      <c r="C97" s="7" t="s">
        <v>641</v>
      </c>
      <c r="D97" s="10">
        <v>6229395</v>
      </c>
      <c r="E97" s="10">
        <v>3736</v>
      </c>
      <c r="F97" s="10">
        <v>1667</v>
      </c>
      <c r="J97" s="27">
        <v>8</v>
      </c>
      <c r="K97" s="7" t="s">
        <v>655</v>
      </c>
      <c r="L97" s="10">
        <v>2751416</v>
      </c>
      <c r="M97" s="10">
        <v>796</v>
      </c>
      <c r="N97" s="10">
        <v>3457</v>
      </c>
    </row>
    <row r="98" spans="2:14">
      <c r="B98" s="27">
        <v>9</v>
      </c>
      <c r="C98" s="7" t="s">
        <v>642</v>
      </c>
      <c r="D98" s="10">
        <v>6166547</v>
      </c>
      <c r="E98" s="10">
        <v>3730.3</v>
      </c>
      <c r="F98" s="10">
        <v>1653</v>
      </c>
      <c r="J98" s="27">
        <v>9</v>
      </c>
      <c r="K98" s="7" t="s">
        <v>650</v>
      </c>
      <c r="L98" s="10">
        <v>2475284</v>
      </c>
      <c r="M98" s="10">
        <v>735</v>
      </c>
      <c r="N98" s="10">
        <v>3368</v>
      </c>
    </row>
    <row r="99" spans="2:14">
      <c r="B99" s="27">
        <v>10</v>
      </c>
      <c r="C99" s="7" t="s">
        <v>643</v>
      </c>
      <c r="D99" s="10">
        <v>6164559</v>
      </c>
      <c r="E99" s="10">
        <v>3692.9</v>
      </c>
      <c r="F99" s="10">
        <v>1669</v>
      </c>
      <c r="J99" s="27">
        <v>10</v>
      </c>
      <c r="K99" s="7" t="s">
        <v>646</v>
      </c>
      <c r="L99" s="10">
        <v>2135285</v>
      </c>
      <c r="M99" s="10">
        <v>602.9</v>
      </c>
      <c r="N99" s="10">
        <v>3542</v>
      </c>
    </row>
    <row r="100" spans="2:14">
      <c r="B100" s="27">
        <v>11</v>
      </c>
      <c r="C100" s="7" t="s">
        <v>644</v>
      </c>
      <c r="D100" s="10">
        <v>5928869</v>
      </c>
      <c r="E100" s="10">
        <v>3562.1</v>
      </c>
      <c r="F100" s="10">
        <v>1664</v>
      </c>
      <c r="J100" s="27">
        <v>11</v>
      </c>
      <c r="K100" s="7" t="s">
        <v>651</v>
      </c>
      <c r="L100" s="10">
        <v>1926814</v>
      </c>
      <c r="M100" s="10">
        <v>563.20000000000005</v>
      </c>
      <c r="N100" s="10">
        <v>3421</v>
      </c>
    </row>
    <row r="101" spans="2:14">
      <c r="B101" s="27">
        <v>12</v>
      </c>
      <c r="C101" s="7" t="s">
        <v>652</v>
      </c>
      <c r="D101" s="10">
        <v>5879029</v>
      </c>
      <c r="E101" s="10">
        <v>3591.3</v>
      </c>
      <c r="F101" s="10">
        <v>1637</v>
      </c>
      <c r="J101" s="27">
        <v>12</v>
      </c>
      <c r="K101" s="7" t="s">
        <v>656</v>
      </c>
      <c r="L101" s="10">
        <v>1802223</v>
      </c>
      <c r="M101" s="10">
        <v>539.5</v>
      </c>
      <c r="N101" s="10">
        <v>3340</v>
      </c>
    </row>
    <row r="102" spans="2:14">
      <c r="B102" s="27">
        <v>13</v>
      </c>
      <c r="C102" s="7" t="s">
        <v>653</v>
      </c>
      <c r="D102" s="10">
        <v>5845822</v>
      </c>
      <c r="E102" s="10">
        <v>3191.4</v>
      </c>
      <c r="F102" s="10">
        <v>1832</v>
      </c>
      <c r="J102" s="248">
        <v>13</v>
      </c>
      <c r="K102" s="249" t="s">
        <v>640</v>
      </c>
      <c r="L102" s="250">
        <v>1682322</v>
      </c>
      <c r="M102" s="250">
        <v>511.9</v>
      </c>
      <c r="N102" s="250">
        <v>3286</v>
      </c>
    </row>
    <row r="103" spans="2:14">
      <c r="B103" s="27">
        <v>14</v>
      </c>
      <c r="C103" s="7" t="s">
        <v>645</v>
      </c>
      <c r="D103" s="10">
        <v>5592801</v>
      </c>
      <c r="E103" s="10">
        <v>3427.3</v>
      </c>
      <c r="F103" s="10">
        <v>1632</v>
      </c>
      <c r="J103" s="27">
        <v>14</v>
      </c>
      <c r="K103" s="7" t="s">
        <v>645</v>
      </c>
      <c r="L103" s="10">
        <v>1626116</v>
      </c>
      <c r="M103" s="10">
        <v>524.20000000000005</v>
      </c>
      <c r="N103" s="10">
        <v>3102</v>
      </c>
    </row>
    <row r="104" spans="2:14">
      <c r="B104" s="27">
        <v>15</v>
      </c>
      <c r="C104" s="7" t="s">
        <v>646</v>
      </c>
      <c r="D104" s="10">
        <v>5556358</v>
      </c>
      <c r="E104" s="10">
        <v>3119.3</v>
      </c>
      <c r="F104" s="10">
        <v>1781</v>
      </c>
      <c r="J104" s="27">
        <v>15</v>
      </c>
      <c r="K104" s="7" t="s">
        <v>634</v>
      </c>
      <c r="L104" s="10">
        <v>1603048</v>
      </c>
      <c r="M104" s="10">
        <v>475.7</v>
      </c>
      <c r="N104" s="10">
        <v>3370</v>
      </c>
    </row>
  </sheetData>
  <mergeCells count="3">
    <mergeCell ref="B3:G3"/>
    <mergeCell ref="B87:F87"/>
    <mergeCell ref="J87:N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334C-21BE-48A2-AF1B-C2A868C004CD}">
  <dimension ref="A1:BB109"/>
  <sheetViews>
    <sheetView showGridLines="0" tabSelected="1" zoomScale="90" zoomScaleNormal="90" workbookViewId="0">
      <selection activeCell="F21" sqref="F21"/>
    </sheetView>
  </sheetViews>
  <sheetFormatPr baseColWidth="10" defaultColWidth="11.44140625" defaultRowHeight="14.4"/>
  <cols>
    <col min="1" max="1" width="26.77734375" bestFit="1" customWidth="1"/>
    <col min="2" max="2" width="22.44140625" bestFit="1" customWidth="1"/>
    <col min="3" max="6" width="11.33203125" bestFit="1" customWidth="1"/>
    <col min="7" max="8" width="12.44140625" customWidth="1"/>
    <col min="9" max="9" width="10.77734375" customWidth="1"/>
    <col min="10" max="10" width="26.77734375" bestFit="1" customWidth="1"/>
    <col min="11" max="11" width="22.44140625" bestFit="1" customWidth="1"/>
    <col min="12" max="13" width="9.6640625" bestFit="1" customWidth="1"/>
    <col min="14" max="14" width="9.44140625" bestFit="1" customWidth="1"/>
    <col min="15" max="15" width="9.6640625" bestFit="1" customWidth="1"/>
    <col min="16" max="16" width="12.44140625" customWidth="1"/>
    <col min="17" max="17" width="12.109375" customWidth="1"/>
    <col min="18" max="19" width="7.109375" customWidth="1"/>
    <col min="20" max="20" width="26.77734375" bestFit="1" customWidth="1"/>
    <col min="21" max="21" width="22.44140625" bestFit="1" customWidth="1"/>
    <col min="22" max="22" width="9.6640625" bestFit="1" customWidth="1"/>
    <col min="23" max="23" width="9.44140625" bestFit="1" customWidth="1"/>
    <col min="24" max="25" width="9.6640625" bestFit="1" customWidth="1"/>
    <col min="26" max="26" width="12.44140625" customWidth="1"/>
    <col min="27" max="27" width="8.5546875" bestFit="1" customWidth="1"/>
    <col min="28" max="28" width="11.5546875" customWidth="1"/>
    <col min="29" max="29" width="36" bestFit="1" customWidth="1"/>
    <col min="30" max="30" width="22.44140625" bestFit="1" customWidth="1"/>
    <col min="31" max="32" width="13.77734375" bestFit="1" customWidth="1"/>
    <col min="33" max="33" width="12.44140625" bestFit="1" customWidth="1"/>
    <col min="40" max="40" width="18.5546875" bestFit="1" customWidth="1"/>
  </cols>
  <sheetData>
    <row r="1" spans="1:46">
      <c r="B1" s="56"/>
      <c r="C1" s="56"/>
      <c r="D1" s="56"/>
      <c r="J1" s="114"/>
      <c r="O1" s="228"/>
      <c r="P1" s="228"/>
      <c r="Q1" s="228"/>
      <c r="R1" s="228"/>
    </row>
    <row r="2" spans="1:46">
      <c r="A2" s="53" t="s">
        <v>0</v>
      </c>
      <c r="E2" s="56"/>
      <c r="F2" s="56"/>
      <c r="G2" s="56"/>
      <c r="N2" s="225"/>
      <c r="O2" s="56"/>
      <c r="P2" s="56"/>
      <c r="R2" s="74"/>
      <c r="AD2" s="58"/>
    </row>
    <row r="3" spans="1:46">
      <c r="E3" s="171"/>
      <c r="F3" s="171"/>
      <c r="G3" s="171"/>
      <c r="N3" s="225"/>
      <c r="O3" s="112"/>
      <c r="P3" s="112"/>
      <c r="Q3" s="112"/>
      <c r="R3" s="74"/>
      <c r="AD3" s="58"/>
    </row>
    <row r="4" spans="1:46">
      <c r="A4" s="256" t="s">
        <v>1</v>
      </c>
      <c r="B4" s="256"/>
      <c r="C4" s="256"/>
      <c r="D4" s="256"/>
      <c r="E4" s="256"/>
      <c r="F4" s="164"/>
      <c r="G4" s="164"/>
      <c r="N4" s="225"/>
      <c r="O4" s="112"/>
      <c r="P4" s="112"/>
      <c r="Q4" s="112"/>
      <c r="R4" s="74"/>
      <c r="AD4" s="58"/>
      <c r="AG4" s="228" t="s">
        <v>600</v>
      </c>
      <c r="AH4" s="228" t="s">
        <v>601</v>
      </c>
      <c r="AI4" s="228" t="s">
        <v>602</v>
      </c>
      <c r="AJ4" s="228" t="s">
        <v>603</v>
      </c>
      <c r="AK4" s="228" t="s">
        <v>597</v>
      </c>
      <c r="AL4" s="228" t="s">
        <v>596</v>
      </c>
    </row>
    <row r="5" spans="1:46">
      <c r="B5" s="77" t="s">
        <v>2</v>
      </c>
      <c r="J5" s="256" t="s">
        <v>3</v>
      </c>
      <c r="K5" s="256"/>
      <c r="L5" s="256"/>
      <c r="M5" s="256"/>
      <c r="N5" s="256"/>
      <c r="O5" s="164"/>
      <c r="P5" s="164"/>
      <c r="R5" s="230"/>
      <c r="T5" s="256" t="s">
        <v>4</v>
      </c>
      <c r="U5" s="256"/>
      <c r="V5" s="256"/>
      <c r="W5" s="256"/>
      <c r="X5" s="256"/>
      <c r="AF5" s="1" t="s">
        <v>604</v>
      </c>
      <c r="AG5" s="58">
        <f>B8/1000</f>
        <v>564.61527999999998</v>
      </c>
      <c r="AH5" s="58">
        <f>C8/1000</f>
        <v>2769.8245000000002</v>
      </c>
      <c r="AI5" s="58">
        <f>D8/1000</f>
        <v>3896.41831</v>
      </c>
      <c r="AJ5" s="58">
        <f>E8/1000</f>
        <v>4888.92</v>
      </c>
      <c r="AK5" s="58">
        <f>F8/1000</f>
        <v>5016.1035000000002</v>
      </c>
      <c r="AL5" s="58">
        <f>H8/1000</f>
        <v>0</v>
      </c>
    </row>
    <row r="6" spans="1:46">
      <c r="A6" s="77" t="s">
        <v>5</v>
      </c>
      <c r="B6" t="s">
        <v>6</v>
      </c>
      <c r="C6" t="s">
        <v>7</v>
      </c>
      <c r="D6" t="s">
        <v>8</v>
      </c>
      <c r="E6" t="s">
        <v>466</v>
      </c>
      <c r="F6" t="s">
        <v>709</v>
      </c>
      <c r="G6" t="s">
        <v>9</v>
      </c>
      <c r="I6" s="228"/>
      <c r="J6" s="82" t="s">
        <v>10</v>
      </c>
      <c r="K6" s="82" t="s">
        <v>6</v>
      </c>
      <c r="L6" s="82" t="s">
        <v>7</v>
      </c>
      <c r="M6" s="82" t="s">
        <v>8</v>
      </c>
      <c r="N6" s="82" t="s">
        <v>466</v>
      </c>
      <c r="O6" s="82" t="s">
        <v>11</v>
      </c>
      <c r="P6" s="228"/>
      <c r="Q6" s="228"/>
      <c r="R6" s="228"/>
      <c r="T6" s="82" t="s">
        <v>10</v>
      </c>
      <c r="U6" s="82" t="s">
        <v>6</v>
      </c>
      <c r="V6" s="82" t="s">
        <v>7</v>
      </c>
      <c r="W6" s="82" t="s">
        <v>8</v>
      </c>
      <c r="X6" s="82" t="s">
        <v>466</v>
      </c>
      <c r="Y6" s="82" t="s">
        <v>709</v>
      </c>
      <c r="Z6" s="82" t="s">
        <v>11</v>
      </c>
      <c r="AF6" s="1" t="s">
        <v>605</v>
      </c>
      <c r="AG6" s="58">
        <f>B16/1000</f>
        <v>-96.824986380864743</v>
      </c>
      <c r="AH6" s="58">
        <f>C16/1000</f>
        <v>-535.23678810018885</v>
      </c>
      <c r="AI6" s="58">
        <f>D16/1000</f>
        <v>-326.64927033714383</v>
      </c>
      <c r="AJ6" s="58">
        <f>E16/1000</f>
        <v>89.405430429645392</v>
      </c>
      <c r="AK6" s="58">
        <f t="shared" ref="AK6" si="0">F16/1000</f>
        <v>401.88556924044065</v>
      </c>
      <c r="AL6" s="58">
        <f t="shared" ref="AL6" si="1">H16/1000</f>
        <v>0</v>
      </c>
    </row>
    <row r="7" spans="1:46">
      <c r="A7" s="80" t="s">
        <v>12</v>
      </c>
      <c r="B7" s="81">
        <v>248</v>
      </c>
      <c r="C7" s="81">
        <v>1634.3</v>
      </c>
      <c r="D7" s="81">
        <v>1995.8</v>
      </c>
      <c r="E7" s="81">
        <v>2110.1099999999997</v>
      </c>
      <c r="F7" s="81">
        <v>1978.33</v>
      </c>
      <c r="G7" s="81">
        <v>7966.5399999999991</v>
      </c>
      <c r="I7" s="229"/>
      <c r="J7" s="80"/>
      <c r="T7" s="80"/>
      <c r="AE7" s="79"/>
      <c r="AT7" s="233"/>
    </row>
    <row r="8" spans="1:46">
      <c r="A8" s="1" t="s">
        <v>13</v>
      </c>
      <c r="B8" s="58">
        <v>564615.28</v>
      </c>
      <c r="C8" s="58">
        <v>2769824.5</v>
      </c>
      <c r="D8" s="58">
        <v>3896418.31</v>
      </c>
      <c r="E8" s="58">
        <v>4888920</v>
      </c>
      <c r="F8" s="58">
        <v>5016103.5</v>
      </c>
      <c r="G8" s="58">
        <v>17135881.59</v>
      </c>
      <c r="I8" s="229"/>
      <c r="J8" s="1" t="s">
        <v>13</v>
      </c>
      <c r="K8" s="56">
        <f t="shared" ref="K8:K18" si="2">B8/B$7</f>
        <v>2276.6745161290323</v>
      </c>
      <c r="L8" s="56">
        <f t="shared" ref="L8:L18" si="3">C8/C$7</f>
        <v>1694.8078688123355</v>
      </c>
      <c r="M8" s="56">
        <f>D8/D$7</f>
        <v>1952.3090039082074</v>
      </c>
      <c r="N8" s="56">
        <f>E8/E$7</f>
        <v>2316.90291027482</v>
      </c>
      <c r="O8" s="56">
        <f>F8/F$7</f>
        <v>2535.5241542108747</v>
      </c>
      <c r="P8" s="56"/>
      <c r="Q8" s="56"/>
      <c r="R8" s="74"/>
      <c r="T8" s="1" t="s">
        <v>13</v>
      </c>
      <c r="U8" s="74">
        <f t="shared" ref="U8:U18" si="4">B8/B$8</f>
        <v>1</v>
      </c>
      <c r="V8" s="74">
        <f t="shared" ref="V8:V18" si="5">C8/C$8</f>
        <v>1</v>
      </c>
      <c r="W8" s="74">
        <f>D8/D$8</f>
        <v>1</v>
      </c>
      <c r="X8" s="74">
        <f>E8/E$8</f>
        <v>1</v>
      </c>
      <c r="Y8" s="74">
        <f>F8/F$8</f>
        <v>1</v>
      </c>
      <c r="Z8" s="74">
        <f>G8/G$8</f>
        <v>1</v>
      </c>
      <c r="AA8" s="74"/>
      <c r="AD8" s="58"/>
      <c r="AE8" s="79"/>
    </row>
    <row r="9" spans="1:46">
      <c r="A9" s="1" t="s">
        <v>14</v>
      </c>
      <c r="B9" s="58">
        <v>435516.56776507961</v>
      </c>
      <c r="C9" s="58">
        <v>2818813.9777623755</v>
      </c>
      <c r="D9" s="58">
        <v>3665924.6714940947</v>
      </c>
      <c r="E9" s="58">
        <v>4170536.6700670035</v>
      </c>
      <c r="F9" s="58">
        <v>4155714.8599903286</v>
      </c>
      <c r="G9" s="58">
        <v>15246506.747078881</v>
      </c>
      <c r="I9" s="229"/>
      <c r="J9" s="1" t="s">
        <v>14</v>
      </c>
      <c r="K9" s="56">
        <f t="shared" si="2"/>
        <v>1756.1151926011275</v>
      </c>
      <c r="L9" s="56">
        <f t="shared" si="3"/>
        <v>1724.7836858363676</v>
      </c>
      <c r="M9" s="56">
        <f>D9/D$7</f>
        <v>1836.8196570268037</v>
      </c>
      <c r="N9" s="56">
        <f>E9/E$7</f>
        <v>1976.4546256199933</v>
      </c>
      <c r="O9" s="56">
        <f>F9/F$7</f>
        <v>2100.6176219287627</v>
      </c>
      <c r="P9" s="56"/>
      <c r="Q9" s="56"/>
      <c r="R9" s="74"/>
      <c r="T9" s="1" t="s">
        <v>14</v>
      </c>
      <c r="U9" s="74">
        <f t="shared" si="4"/>
        <v>0.77135101225932035</v>
      </c>
      <c r="V9" s="74">
        <f t="shared" si="5"/>
        <v>1.0176868526371889</v>
      </c>
      <c r="W9" s="74">
        <f>D9/D$8</f>
        <v>0.94084473992067208</v>
      </c>
      <c r="X9" s="74">
        <f>E9/E$8</f>
        <v>0.85305889032076687</v>
      </c>
      <c r="Y9" s="74">
        <f>F9/F$8</f>
        <v>0.82847470352043739</v>
      </c>
      <c r="Z9" s="74">
        <f>G9/G$8</f>
        <v>0.88974160255497425</v>
      </c>
      <c r="AA9" s="74"/>
      <c r="AD9" s="58"/>
      <c r="AE9" s="79"/>
      <c r="AN9" s="53" t="s">
        <v>628</v>
      </c>
    </row>
    <row r="10" spans="1:46">
      <c r="A10" s="78" t="s">
        <v>15</v>
      </c>
      <c r="B10" s="79">
        <v>129098.71223492037</v>
      </c>
      <c r="C10" s="79">
        <v>-48989.477762375784</v>
      </c>
      <c r="D10" s="79">
        <v>230493.63850590549</v>
      </c>
      <c r="E10" s="79">
        <v>718383.32993299712</v>
      </c>
      <c r="F10" s="79">
        <v>860388.64000967157</v>
      </c>
      <c r="G10" s="79">
        <v>1889374.8429211187</v>
      </c>
      <c r="I10" s="229"/>
      <c r="J10" s="78" t="s">
        <v>15</v>
      </c>
      <c r="K10" s="83">
        <f t="shared" si="2"/>
        <v>520.55932352790467</v>
      </c>
      <c r="L10" s="83">
        <f t="shared" si="3"/>
        <v>-29.975817024032175</v>
      </c>
      <c r="M10" s="83">
        <f>D10/D$7</f>
        <v>115.48934688140369</v>
      </c>
      <c r="N10" s="83">
        <f>E10/E$7</f>
        <v>340.44828465482709</v>
      </c>
      <c r="O10" s="83">
        <f>F10/F$7</f>
        <v>434.90653228211249</v>
      </c>
      <c r="P10" s="83"/>
      <c r="Q10" s="83"/>
      <c r="R10" s="74"/>
      <c r="T10" s="78" t="s">
        <v>15</v>
      </c>
      <c r="U10" s="85">
        <f t="shared" si="4"/>
        <v>0.22864898774067957</v>
      </c>
      <c r="V10" s="85">
        <f t="shared" si="5"/>
        <v>-1.768685263718903E-2</v>
      </c>
      <c r="W10" s="85">
        <f>D10/D$8</f>
        <v>5.9155260079327955E-2</v>
      </c>
      <c r="X10" s="85">
        <f>E10/E$8</f>
        <v>0.14694110967923327</v>
      </c>
      <c r="Y10" s="85">
        <f>F10/F$8</f>
        <v>0.17152529647956258</v>
      </c>
      <c r="Z10" s="85">
        <f>G10/G$8</f>
        <v>0.11025839744502569</v>
      </c>
      <c r="AA10" s="85"/>
      <c r="AF10" s="79" t="s">
        <v>606</v>
      </c>
    </row>
    <row r="11" spans="1:46">
      <c r="A11" s="1" t="s">
        <v>16</v>
      </c>
      <c r="B11" s="58">
        <v>59134.418615785122</v>
      </c>
      <c r="C11" s="58">
        <v>356852.54533781309</v>
      </c>
      <c r="D11" s="58">
        <v>432727.47734304931</v>
      </c>
      <c r="E11" s="58">
        <v>480312.0487033517</v>
      </c>
      <c r="F11" s="58">
        <v>369157.74576923071</v>
      </c>
      <c r="G11" s="58">
        <v>1698184.2357692299</v>
      </c>
      <c r="I11" s="229"/>
      <c r="J11" s="1" t="s">
        <v>16</v>
      </c>
      <c r="K11" s="56">
        <f t="shared" si="2"/>
        <v>238.44523635397226</v>
      </c>
      <c r="L11" s="56">
        <f t="shared" si="3"/>
        <v>218.35192151857865</v>
      </c>
      <c r="M11" s="56">
        <f>D11/D$7</f>
        <v>216.81905869478371</v>
      </c>
      <c r="N11" s="56">
        <f>E11/E$7</f>
        <v>227.62417537633192</v>
      </c>
      <c r="O11" s="56">
        <f>F11/F$7</f>
        <v>186.60069137567075</v>
      </c>
      <c r="P11" s="56"/>
      <c r="Q11" s="56"/>
      <c r="T11" s="1" t="s">
        <v>16</v>
      </c>
      <c r="U11" s="74">
        <f t="shared" si="4"/>
        <v>0.10473400333017045</v>
      </c>
      <c r="V11" s="74">
        <f t="shared" si="5"/>
        <v>0.12883579639714107</v>
      </c>
      <c r="W11" s="74">
        <f>D11/D$8</f>
        <v>0.11105775687186145</v>
      </c>
      <c r="X11" s="74">
        <f>E11/E$8</f>
        <v>9.824502113009656E-2</v>
      </c>
      <c r="Y11" s="74">
        <f>F11/F$8</f>
        <v>7.3594523272741616E-2</v>
      </c>
      <c r="Z11" s="74">
        <f>G11/G$8</f>
        <v>9.9101072031230697E-2</v>
      </c>
      <c r="AA11" s="74"/>
      <c r="AF11" s="58"/>
      <c r="AG11" s="228" t="s">
        <v>604</v>
      </c>
      <c r="AH11" s="228" t="s">
        <v>605</v>
      </c>
      <c r="AN11" t="s">
        <v>301</v>
      </c>
      <c r="AO11" t="s">
        <v>622</v>
      </c>
      <c r="AP11" t="s">
        <v>629</v>
      </c>
    </row>
    <row r="12" spans="1:46">
      <c r="A12" s="1" t="s">
        <v>17</v>
      </c>
      <c r="B12" s="58">
        <v>50659</v>
      </c>
      <c r="C12" s="58">
        <v>56603.999999999993</v>
      </c>
      <c r="D12" s="58">
        <v>78579</v>
      </c>
      <c r="E12" s="58">
        <v>65076</v>
      </c>
      <c r="F12" s="58">
        <v>78579.000000000015</v>
      </c>
      <c r="G12" s="58">
        <v>329497</v>
      </c>
      <c r="I12" s="229"/>
      <c r="J12" s="1" t="s">
        <v>17</v>
      </c>
      <c r="K12" s="56">
        <f t="shared" si="2"/>
        <v>204.27016129032259</v>
      </c>
      <c r="L12" s="56">
        <f t="shared" si="3"/>
        <v>34.635011931713883</v>
      </c>
      <c r="M12" s="56">
        <f>D12/D$7</f>
        <v>39.372181581320774</v>
      </c>
      <c r="N12" s="56">
        <f>E12/E$7</f>
        <v>30.840098383496599</v>
      </c>
      <c r="O12" s="56">
        <f>F12/F$7</f>
        <v>39.719864734397206</v>
      </c>
      <c r="P12" s="56"/>
      <c r="Q12" s="56"/>
      <c r="T12" s="1" t="s">
        <v>17</v>
      </c>
      <c r="U12" s="74">
        <f t="shared" si="4"/>
        <v>8.9723041147593455E-2</v>
      </c>
      <c r="V12" s="74">
        <f t="shared" si="5"/>
        <v>2.0435951808499057E-2</v>
      </c>
      <c r="W12" s="74">
        <f>D12/D$8</f>
        <v>2.0166982533248591E-2</v>
      </c>
      <c r="X12" s="74">
        <f>E12/E$8</f>
        <v>1.3310915294175401E-2</v>
      </c>
      <c r="Y12" s="74">
        <f>F12/F$8</f>
        <v>1.5665346618146937E-2</v>
      </c>
      <c r="Z12" s="74">
        <f>G12/G$8</f>
        <v>1.9228482542286287E-2</v>
      </c>
      <c r="AA12" s="74"/>
      <c r="AF12" s="78" t="s">
        <v>608</v>
      </c>
      <c r="AG12" s="79">
        <v>3148.23</v>
      </c>
      <c r="AH12" s="79">
        <v>-1138.4306055680258</v>
      </c>
      <c r="AI12" s="110"/>
      <c r="AJ12" s="58"/>
      <c r="AN12" t="s">
        <v>608</v>
      </c>
      <c r="AO12">
        <v>1323</v>
      </c>
      <c r="AP12">
        <v>1525</v>
      </c>
    </row>
    <row r="13" spans="1:46">
      <c r="A13" s="1" t="s">
        <v>18</v>
      </c>
      <c r="B13" s="58">
        <v>15120.72</v>
      </c>
      <c r="C13" s="58">
        <v>75707.235000000015</v>
      </c>
      <c r="D13" s="58">
        <v>108636.56850000001</v>
      </c>
      <c r="E13" s="58">
        <v>138095.14920000001</v>
      </c>
      <c r="F13" s="58">
        <v>143706.67500000002</v>
      </c>
      <c r="G13" s="58">
        <v>481266.34770000004</v>
      </c>
      <c r="I13" s="229"/>
      <c r="J13" s="1" t="s">
        <v>18</v>
      </c>
      <c r="K13" s="56">
        <f t="shared" si="2"/>
        <v>60.970645161290321</v>
      </c>
      <c r="L13" s="56">
        <f t="shared" si="3"/>
        <v>46.323952150767923</v>
      </c>
      <c r="M13" s="56">
        <f>D13/D$7</f>
        <v>54.432592694658787</v>
      </c>
      <c r="N13" s="56">
        <f>E13/E$7</f>
        <v>65.444526209534118</v>
      </c>
      <c r="O13" s="56">
        <f>F13/F$7</f>
        <v>72.64039619274844</v>
      </c>
      <c r="P13" s="56"/>
      <c r="Q13" s="56"/>
      <c r="T13" s="1" t="s">
        <v>18</v>
      </c>
      <c r="U13" s="74">
        <f t="shared" si="4"/>
        <v>2.6780571719560969E-2</v>
      </c>
      <c r="V13" s="74">
        <f t="shared" si="5"/>
        <v>2.7332863508139238E-2</v>
      </c>
      <c r="W13" s="74">
        <f>D13/D$8</f>
        <v>2.788113591941313E-2</v>
      </c>
      <c r="X13" s="74">
        <f>E13/E$8</f>
        <v>2.8246555312829831E-2</v>
      </c>
      <c r="Y13" s="74">
        <f>F13/F$8</f>
        <v>2.8649064956494621E-2</v>
      </c>
      <c r="Z13" s="74">
        <f>G13/G$8</f>
        <v>2.8085298394034949E-2</v>
      </c>
      <c r="AA13" s="74"/>
      <c r="AF13" s="78" t="s">
        <v>609</v>
      </c>
      <c r="AG13" s="79">
        <v>2631.8490000000002</v>
      </c>
      <c r="AH13" s="79">
        <v>311.25594609437849</v>
      </c>
      <c r="AI13" s="58"/>
      <c r="AJ13" s="58"/>
      <c r="AN13" t="s">
        <v>611</v>
      </c>
      <c r="AO13">
        <v>3292</v>
      </c>
      <c r="AP13">
        <v>3417</v>
      </c>
    </row>
    <row r="14" spans="1:46">
      <c r="A14" s="78" t="s">
        <v>19</v>
      </c>
      <c r="B14" s="79">
        <v>34426.01361913525</v>
      </c>
      <c r="C14" s="79">
        <v>-386738.78810018883</v>
      </c>
      <c r="D14" s="79">
        <v>-172176.27033714412</v>
      </c>
      <c r="E14" s="79">
        <v>311090.43042964535</v>
      </c>
      <c r="F14" s="79">
        <v>556358.56924044061</v>
      </c>
      <c r="G14" s="79">
        <v>342959.95485188824</v>
      </c>
      <c r="I14" s="229"/>
      <c r="J14" s="78" t="s">
        <v>19</v>
      </c>
      <c r="K14" s="83">
        <f t="shared" si="2"/>
        <v>138.81457104490019</v>
      </c>
      <c r="L14" s="83">
        <f t="shared" si="3"/>
        <v>-236.63879832355678</v>
      </c>
      <c r="M14" s="83">
        <f>D14/D$7</f>
        <v>-86.269300700042152</v>
      </c>
      <c r="N14" s="83">
        <f>E14/E$7</f>
        <v>147.42853710453267</v>
      </c>
      <c r="O14" s="83">
        <f>F14/F$7</f>
        <v>281.22637236479284</v>
      </c>
      <c r="P14" s="83"/>
      <c r="Q14" s="83"/>
      <c r="T14" s="78" t="s">
        <v>19</v>
      </c>
      <c r="U14" s="85">
        <f t="shared" si="4"/>
        <v>6.0972514982476647E-2</v>
      </c>
      <c r="V14" s="85">
        <f t="shared" si="5"/>
        <v>-0.13962573733468991</v>
      </c>
      <c r="W14" s="85">
        <f>D14/D$8</f>
        <v>-4.4188343406369048E-2</v>
      </c>
      <c r="X14" s="85">
        <f>E14/E$8</f>
        <v>6.3631728567791118E-2</v>
      </c>
      <c r="Y14" s="85">
        <f>F14/F$8</f>
        <v>0.11091449154516859</v>
      </c>
      <c r="Z14" s="85">
        <f>G14/G$8</f>
        <v>2.0014141265543621E-2</v>
      </c>
      <c r="AA14" s="85"/>
      <c r="AF14" s="78" t="s">
        <v>610</v>
      </c>
      <c r="AG14" s="79">
        <v>2273.4270000000001</v>
      </c>
      <c r="AH14" s="79">
        <v>-451.32788288255074</v>
      </c>
      <c r="AI14" s="58"/>
      <c r="AJ14" s="58"/>
      <c r="AN14" t="s">
        <v>624</v>
      </c>
      <c r="AO14">
        <v>2724</v>
      </c>
      <c r="AP14">
        <v>2704</v>
      </c>
    </row>
    <row r="15" spans="1:46">
      <c r="A15" s="1" t="s">
        <v>20</v>
      </c>
      <c r="B15" s="58">
        <v>131251</v>
      </c>
      <c r="C15" s="58">
        <v>148498</v>
      </c>
      <c r="D15" s="58">
        <v>154472.99999999994</v>
      </c>
      <c r="E15" s="58">
        <v>221685</v>
      </c>
      <c r="F15" s="58">
        <v>154472.99999999997</v>
      </c>
      <c r="G15" s="58">
        <v>810380</v>
      </c>
      <c r="I15" s="229"/>
      <c r="J15" s="1" t="s">
        <v>20</v>
      </c>
      <c r="K15" s="56">
        <f t="shared" si="2"/>
        <v>529.23790322580646</v>
      </c>
      <c r="L15" s="56">
        <f t="shared" si="3"/>
        <v>90.863366578963479</v>
      </c>
      <c r="M15" s="56">
        <f>D15/D$7</f>
        <v>77.399037979757466</v>
      </c>
      <c r="N15" s="56">
        <f>E15/E$7</f>
        <v>105.05850405903011</v>
      </c>
      <c r="O15" s="56">
        <f>F15/F$7</f>
        <v>78.0825241491561</v>
      </c>
      <c r="P15" s="56"/>
      <c r="Q15" s="56"/>
      <c r="T15" s="1" t="s">
        <v>20</v>
      </c>
      <c r="U15" s="74">
        <f t="shared" si="4"/>
        <v>0.23246094225434352</v>
      </c>
      <c r="V15" s="74">
        <f t="shared" si="5"/>
        <v>5.3612783048167856E-2</v>
      </c>
      <c r="W15" s="74">
        <f>D15/D$8</f>
        <v>3.9644870676115863E-2</v>
      </c>
      <c r="X15" s="74">
        <f>E15/E$8</f>
        <v>4.5344370535823866E-2</v>
      </c>
      <c r="Y15" s="74">
        <f>F15/F$8</f>
        <v>3.079541719982452E-2</v>
      </c>
      <c r="Z15" s="74">
        <f>G15/G$8</f>
        <v>4.7291409884211273E-2</v>
      </c>
      <c r="AA15" s="74"/>
      <c r="AF15" s="78" t="s">
        <v>611</v>
      </c>
      <c r="AG15" s="79">
        <v>1927.8</v>
      </c>
      <c r="AH15" s="79">
        <v>513.07692735927731</v>
      </c>
      <c r="AI15" s="58"/>
      <c r="AJ15" s="58"/>
      <c r="AN15" t="s">
        <v>623</v>
      </c>
      <c r="AO15">
        <v>1123</v>
      </c>
      <c r="AP15">
        <v>1171</v>
      </c>
    </row>
    <row r="16" spans="1:46">
      <c r="A16" s="262" t="s">
        <v>21</v>
      </c>
      <c r="B16" s="119">
        <v>-96824.98638086475</v>
      </c>
      <c r="C16" s="119">
        <v>-535236.78810018883</v>
      </c>
      <c r="D16" s="119">
        <v>-326649.27033714385</v>
      </c>
      <c r="E16" s="119">
        <v>89405.430429645392</v>
      </c>
      <c r="F16" s="119">
        <v>401885.56924044067</v>
      </c>
      <c r="G16" s="119">
        <v>-467420.04514811136</v>
      </c>
      <c r="I16" s="229"/>
      <c r="J16" s="78" t="s">
        <v>21</v>
      </c>
      <c r="K16" s="83">
        <f t="shared" si="2"/>
        <v>-390.42333218090624</v>
      </c>
      <c r="L16" s="83">
        <f t="shared" si="3"/>
        <v>-327.50216490252024</v>
      </c>
      <c r="M16" s="83">
        <f>D16/D$7</f>
        <v>-163.66833867979952</v>
      </c>
      <c r="N16" s="83">
        <f>E16/E$7</f>
        <v>42.370033045502559</v>
      </c>
      <c r="O16" s="83">
        <f>F16/F$7</f>
        <v>203.14384821563678</v>
      </c>
      <c r="P16" s="83"/>
      <c r="Q16" s="83"/>
      <c r="T16" s="78" t="s">
        <v>21</v>
      </c>
      <c r="U16" s="85">
        <f t="shared" si="4"/>
        <v>-0.17148842727186686</v>
      </c>
      <c r="V16" s="85">
        <f t="shared" si="5"/>
        <v>-0.19323852038285777</v>
      </c>
      <c r="W16" s="85">
        <f>D16/D$8</f>
        <v>-8.3833214082484855E-2</v>
      </c>
      <c r="X16" s="85">
        <f>E16/E$8</f>
        <v>1.8287358031967262E-2</v>
      </c>
      <c r="Y16" s="85">
        <f>F16/F$8</f>
        <v>8.0119074345344085E-2</v>
      </c>
      <c r="Z16" s="85">
        <f>G16/G$8</f>
        <v>-2.7277268618667628E-2</v>
      </c>
      <c r="AA16" s="85"/>
      <c r="AF16" s="78" t="s">
        <v>612</v>
      </c>
      <c r="AG16" s="79">
        <v>599.40499999999997</v>
      </c>
      <c r="AH16" s="79">
        <v>126.98724667837696</v>
      </c>
      <c r="AI16" s="58"/>
      <c r="AJ16" s="58"/>
      <c r="AN16" t="s">
        <v>614</v>
      </c>
      <c r="AO16">
        <v>3240</v>
      </c>
      <c r="AP16">
        <v>3318</v>
      </c>
    </row>
    <row r="17" spans="1:44">
      <c r="A17" s="1" t="s">
        <v>22</v>
      </c>
      <c r="B17" s="58">
        <v>123530</v>
      </c>
      <c r="C17" s="58">
        <v>124152.39344367619</v>
      </c>
      <c r="D17" s="58">
        <v>123360.72966763443</v>
      </c>
      <c r="E17" s="58">
        <v>123484.35000000002</v>
      </c>
      <c r="F17" s="58">
        <v>123484.35</v>
      </c>
      <c r="G17" s="58">
        <v>618011.8231113106</v>
      </c>
      <c r="I17" s="229"/>
      <c r="J17" s="1" t="s">
        <v>22</v>
      </c>
      <c r="K17" s="56">
        <f t="shared" si="2"/>
        <v>498.10483870967744</v>
      </c>
      <c r="L17" s="56">
        <f t="shared" si="3"/>
        <v>75.966709565976984</v>
      </c>
      <c r="M17" s="56">
        <f>D17/D$7</f>
        <v>61.810166182801098</v>
      </c>
      <c r="N17" s="56">
        <f>E17/E$7</f>
        <v>58.520337802294684</v>
      </c>
      <c r="O17" s="56">
        <f>F17/F$7</f>
        <v>62.41847922237443</v>
      </c>
      <c r="P17" s="56"/>
      <c r="Q17" s="56"/>
      <c r="T17" s="1" t="s">
        <v>22</v>
      </c>
      <c r="U17" s="74">
        <f t="shared" si="4"/>
        <v>0.21878614408026648</v>
      </c>
      <c r="V17" s="74">
        <f t="shared" si="5"/>
        <v>4.4823198525277032E-2</v>
      </c>
      <c r="W17" s="74">
        <f>D17/D$8</f>
        <v>3.1660032330469781E-2</v>
      </c>
      <c r="X17" s="74">
        <f>E17/E$8</f>
        <v>2.5258001767261486E-2</v>
      </c>
      <c r="Y17" s="74">
        <f>F17/F$8</f>
        <v>2.4617584146738602E-2</v>
      </c>
      <c r="Z17" s="74">
        <f>G17/G$8</f>
        <v>3.6065364939961084E-2</v>
      </c>
      <c r="AA17" s="74"/>
      <c r="AF17" s="78" t="s">
        <v>613</v>
      </c>
      <c r="AG17" s="79">
        <v>514.83000000000004</v>
      </c>
      <c r="AH17" s="79">
        <v>-431.34411270209853</v>
      </c>
      <c r="AI17" s="58"/>
      <c r="AJ17" s="58"/>
      <c r="AN17" t="s">
        <v>610</v>
      </c>
      <c r="AO17">
        <v>1509</v>
      </c>
      <c r="AP17">
        <v>1579</v>
      </c>
    </row>
    <row r="18" spans="1:44">
      <c r="A18" s="78" t="s">
        <v>23</v>
      </c>
      <c r="B18" s="79">
        <v>157956.01361913525</v>
      </c>
      <c r="C18" s="79">
        <v>-262586.39465651254</v>
      </c>
      <c r="D18" s="79">
        <v>-48815.540669509508</v>
      </c>
      <c r="E18" s="79">
        <v>434574.78042964544</v>
      </c>
      <c r="F18" s="79">
        <v>679842.91924044071</v>
      </c>
      <c r="G18" s="79">
        <v>960971.77796319942</v>
      </c>
      <c r="I18" s="229"/>
      <c r="J18" s="78" t="s">
        <v>23</v>
      </c>
      <c r="K18" s="83">
        <f t="shared" si="2"/>
        <v>636.9194097545776</v>
      </c>
      <c r="L18" s="83">
        <f t="shared" si="3"/>
        <v>-160.67208875757973</v>
      </c>
      <c r="M18" s="83">
        <f>D18/D$7</f>
        <v>-24.459134517240962</v>
      </c>
      <c r="N18" s="83">
        <f>E18/E$7</f>
        <v>205.94887490682737</v>
      </c>
      <c r="O18" s="83">
        <f>F18/F$7</f>
        <v>343.64485158716735</v>
      </c>
      <c r="P18" s="83"/>
      <c r="Q18" s="83"/>
      <c r="T18" s="78" t="s">
        <v>23</v>
      </c>
      <c r="U18" s="85">
        <f t="shared" si="4"/>
        <v>0.27975865906274311</v>
      </c>
      <c r="V18" s="85">
        <f t="shared" si="5"/>
        <v>-9.4802538809412848E-2</v>
      </c>
      <c r="W18" s="85">
        <f>D18/D$8</f>
        <v>-1.2528311075899216E-2</v>
      </c>
      <c r="X18" s="85">
        <f>E18/E$8</f>
        <v>8.8889730335052611E-2</v>
      </c>
      <c r="Y18" s="85">
        <f>F18/F$8</f>
        <v>0.13553207569190723</v>
      </c>
      <c r="Z18" s="85">
        <f>G18/G$8</f>
        <v>5.6079506205504739E-2</v>
      </c>
      <c r="AA18" s="85"/>
      <c r="AF18" s="78" t="s">
        <v>614</v>
      </c>
      <c r="AG18" s="79">
        <v>384.2577</v>
      </c>
      <c r="AH18" s="79">
        <v>138.02446829659678</v>
      </c>
      <c r="AI18" s="58"/>
      <c r="AJ18" s="58"/>
      <c r="AN18" t="s">
        <v>625</v>
      </c>
      <c r="AO18">
        <v>2290</v>
      </c>
      <c r="AP18">
        <v>2288</v>
      </c>
    </row>
    <row r="19" spans="1:44">
      <c r="A19" s="78" t="s">
        <v>598</v>
      </c>
      <c r="B19" s="79">
        <f t="shared" ref="B19:G19" si="6">B16+B17</f>
        <v>26705.01361913525</v>
      </c>
      <c r="C19" s="79">
        <f t="shared" si="6"/>
        <v>-411084.39465651265</v>
      </c>
      <c r="D19" s="79">
        <f t="shared" si="6"/>
        <v>-203288.54066950944</v>
      </c>
      <c r="E19" s="79">
        <f t="shared" si="6"/>
        <v>212889.78042964541</v>
      </c>
      <c r="F19" s="79">
        <f t="shared" si="6"/>
        <v>525369.91924044071</v>
      </c>
      <c r="G19" s="79">
        <f t="shared" si="6"/>
        <v>150591.77796319925</v>
      </c>
      <c r="I19" s="229"/>
      <c r="AF19" s="78" t="s">
        <v>583</v>
      </c>
      <c r="AG19" s="79">
        <f>SUM(AG20:AG23)</f>
        <v>420.26689000000005</v>
      </c>
      <c r="AH19" s="79">
        <f>SUM(AH20:AH23)</f>
        <v>130.12556711077065</v>
      </c>
    </row>
    <row r="20" spans="1:44">
      <c r="O20" s="228"/>
      <c r="P20" s="228"/>
      <c r="Q20" s="228"/>
      <c r="AF20" s="1" t="s">
        <v>37</v>
      </c>
      <c r="AG20" s="58">
        <v>231.72</v>
      </c>
      <c r="AH20" s="58">
        <v>0.42290479048241469</v>
      </c>
      <c r="AI20" s="58"/>
      <c r="AJ20" s="58"/>
    </row>
    <row r="21" spans="1:44">
      <c r="G21" s="58"/>
      <c r="O21" s="56"/>
      <c r="P21" s="56"/>
      <c r="Q21" s="56"/>
      <c r="AF21" s="1" t="s">
        <v>468</v>
      </c>
      <c r="AG21" s="58">
        <v>67.5</v>
      </c>
      <c r="AH21" s="58">
        <v>15.712770115605499</v>
      </c>
      <c r="AI21" s="58"/>
      <c r="AJ21" s="58"/>
      <c r="AR21" s="238">
        <v>6.9199999999999998E-2</v>
      </c>
    </row>
    <row r="22" spans="1:44">
      <c r="B22" s="58"/>
      <c r="C22" s="58"/>
      <c r="D22" s="58"/>
      <c r="E22" s="58"/>
      <c r="G22" s="263"/>
      <c r="H22" s="58"/>
      <c r="J22" s="73"/>
      <c r="N22" s="53"/>
      <c r="O22" s="83"/>
      <c r="P22" s="83"/>
      <c r="Q22" s="83"/>
      <c r="AF22" s="1" t="s">
        <v>500</v>
      </c>
      <c r="AG22" s="58">
        <v>30.25</v>
      </c>
      <c r="AH22" s="58">
        <v>23.193002204682731</v>
      </c>
      <c r="AI22" s="58"/>
      <c r="AJ22" s="58"/>
      <c r="AR22" s="238">
        <v>6.3700000000000007E-2</v>
      </c>
    </row>
    <row r="23" spans="1:44">
      <c r="A23" s="88" t="s">
        <v>24</v>
      </c>
      <c r="AF23" s="1" t="s">
        <v>420</v>
      </c>
      <c r="AG23" s="58">
        <v>90.796890000000019</v>
      </c>
      <c r="AH23" s="58">
        <v>90.796890000000019</v>
      </c>
      <c r="AI23" s="58"/>
      <c r="AJ23" s="58"/>
      <c r="AR23" s="238">
        <v>6.3399999999999998E-2</v>
      </c>
    </row>
    <row r="24" spans="1:44">
      <c r="AR24" s="238">
        <v>4.7800000000000002E-2</v>
      </c>
    </row>
    <row r="25" spans="1:44">
      <c r="A25" s="256" t="s">
        <v>25</v>
      </c>
      <c r="B25" s="256"/>
      <c r="C25" s="256"/>
      <c r="D25" s="256"/>
      <c r="E25" s="256"/>
      <c r="F25" s="164"/>
      <c r="G25" s="164"/>
      <c r="J25" s="256" t="s">
        <v>26</v>
      </c>
      <c r="K25" s="256"/>
      <c r="L25" s="256"/>
      <c r="M25" s="256"/>
      <c r="N25" s="256"/>
      <c r="O25" s="164"/>
      <c r="P25" s="164"/>
      <c r="T25" s="256" t="s">
        <v>27</v>
      </c>
      <c r="U25" s="256"/>
      <c r="V25" s="256"/>
      <c r="W25" s="256"/>
      <c r="X25" s="256"/>
      <c r="AC25" s="53"/>
      <c r="AD25" s="53"/>
      <c r="AE25" s="53"/>
      <c r="AF25" s="79" t="s">
        <v>607</v>
      </c>
      <c r="AR25" s="238">
        <v>4.5900000000000003E-2</v>
      </c>
    </row>
    <row r="26" spans="1:44">
      <c r="A26" s="77" t="s">
        <v>13</v>
      </c>
      <c r="B26" s="77" t="s">
        <v>2</v>
      </c>
      <c r="H26" s="86"/>
      <c r="J26" s="77" t="s">
        <v>21</v>
      </c>
      <c r="K26" s="77" t="s">
        <v>2</v>
      </c>
      <c r="Q26" s="86"/>
      <c r="T26" s="77" t="s">
        <v>23</v>
      </c>
      <c r="U26" s="77" t="s">
        <v>2</v>
      </c>
      <c r="AA26" s="86"/>
      <c r="AF26" s="53"/>
      <c r="AG26" s="1" t="s">
        <v>604</v>
      </c>
      <c r="AH26" s="1" t="s">
        <v>605</v>
      </c>
      <c r="AR26" s="238">
        <v>3.7100000000000001E-2</v>
      </c>
    </row>
    <row r="27" spans="1:44">
      <c r="A27" s="77" t="s">
        <v>28</v>
      </c>
      <c r="B27" t="s">
        <v>6</v>
      </c>
      <c r="C27" t="s">
        <v>7</v>
      </c>
      <c r="D27" t="s">
        <v>8</v>
      </c>
      <c r="E27" t="s">
        <v>466</v>
      </c>
      <c r="F27" t="s">
        <v>709</v>
      </c>
      <c r="G27" t="s">
        <v>9</v>
      </c>
      <c r="H27" s="87" t="s">
        <v>29</v>
      </c>
      <c r="J27" s="77" t="s">
        <v>28</v>
      </c>
      <c r="K27" t="s">
        <v>6</v>
      </c>
      <c r="L27" t="s">
        <v>7</v>
      </c>
      <c r="M27" t="s">
        <v>8</v>
      </c>
      <c r="N27" t="s">
        <v>466</v>
      </c>
      <c r="O27" t="s">
        <v>709</v>
      </c>
      <c r="P27" t="s">
        <v>9</v>
      </c>
      <c r="Q27" s="87" t="s">
        <v>30</v>
      </c>
      <c r="T27" s="77" t="s">
        <v>28</v>
      </c>
      <c r="U27" t="s">
        <v>6</v>
      </c>
      <c r="V27" t="s">
        <v>7</v>
      </c>
      <c r="W27" t="s">
        <v>8</v>
      </c>
      <c r="X27" t="s">
        <v>466</v>
      </c>
      <c r="Y27" t="s">
        <v>709</v>
      </c>
      <c r="Z27" t="s">
        <v>9</v>
      </c>
      <c r="AA27" s="87" t="s">
        <v>30</v>
      </c>
      <c r="AD27" s="1"/>
      <c r="AE27" s="58"/>
      <c r="AF27" s="78" t="s">
        <v>43</v>
      </c>
      <c r="AG27" s="79">
        <v>2790.2730000000001</v>
      </c>
      <c r="AH27" s="79">
        <v>-709.04030084151225</v>
      </c>
      <c r="AI27" s="1"/>
      <c r="AJ27" s="58"/>
      <c r="AK27" s="110"/>
      <c r="AR27" s="238">
        <v>3.3700000000000001E-2</v>
      </c>
    </row>
    <row r="28" spans="1:44">
      <c r="A28" s="1" t="s">
        <v>33</v>
      </c>
      <c r="B28" s="58">
        <v>94800</v>
      </c>
      <c r="C28" s="58">
        <v>1147500</v>
      </c>
      <c r="D28" s="58">
        <v>430960</v>
      </c>
      <c r="E28" s="58">
        <v>1474970</v>
      </c>
      <c r="F28" s="58">
        <v>1054710</v>
      </c>
      <c r="G28" s="58">
        <v>4202940</v>
      </c>
      <c r="H28" s="73">
        <f t="shared" ref="H28:H43" si="7">G28/$G$43</f>
        <v>0.24527130267127389</v>
      </c>
      <c r="J28" s="1" t="s">
        <v>33</v>
      </c>
      <c r="K28" s="58">
        <v>-37529.914317504765</v>
      </c>
      <c r="L28" s="58">
        <v>-527635.81920513767</v>
      </c>
      <c r="M28" s="58">
        <v>-236860.71534175423</v>
      </c>
      <c r="N28" s="58">
        <v>-426642.80698845052</v>
      </c>
      <c r="O28" s="58">
        <v>-124076.3818796094</v>
      </c>
      <c r="P28" s="58">
        <v>-1352745.6377324564</v>
      </c>
      <c r="Q28" s="73">
        <f t="shared" ref="Q28:Q43" si="8">P28/G28</f>
        <v>-0.3218569948018426</v>
      </c>
      <c r="T28" s="1" t="s">
        <v>33</v>
      </c>
      <c r="U28" s="58">
        <v>11782.537295398461</v>
      </c>
      <c r="V28" s="58">
        <v>-392498.52280912711</v>
      </c>
      <c r="W28" s="58">
        <v>-196072.41852212459</v>
      </c>
      <c r="X28" s="58">
        <v>-294323.88180682488</v>
      </c>
      <c r="Y28" s="58">
        <v>-52870.473370917738</v>
      </c>
      <c r="Z28" s="58">
        <v>-923982.75921359577</v>
      </c>
      <c r="AA28" s="73">
        <f t="shared" ref="AA28:AA43" si="9">Z28/G28</f>
        <v>-0.21984200564690332</v>
      </c>
      <c r="AD28" s="1"/>
      <c r="AE28" s="58"/>
      <c r="AF28" s="78" t="s">
        <v>47</v>
      </c>
      <c r="AG28" s="79">
        <v>1406.7</v>
      </c>
      <c r="AH28" s="79">
        <v>394.79634341714831</v>
      </c>
      <c r="AI28" s="1"/>
      <c r="AJ28" s="58"/>
      <c r="AK28" s="58"/>
      <c r="AR28" s="238">
        <v>3.3700000000000001E-2</v>
      </c>
    </row>
    <row r="29" spans="1:44">
      <c r="A29" s="1" t="s">
        <v>31</v>
      </c>
      <c r="B29" s="58">
        <v>149248</v>
      </c>
      <c r="C29" s="58">
        <v>532695</v>
      </c>
      <c r="D29" s="58">
        <v>779600</v>
      </c>
      <c r="E29" s="58">
        <v>1170306</v>
      </c>
      <c r="F29" s="58">
        <v>1105650</v>
      </c>
      <c r="G29" s="58">
        <v>3737499</v>
      </c>
      <c r="H29" s="73">
        <f t="shared" si="7"/>
        <v>0.21810952534715783</v>
      </c>
      <c r="J29" s="1" t="s">
        <v>31</v>
      </c>
      <c r="K29" s="58">
        <v>-6524.151408507958</v>
      </c>
      <c r="L29" s="58">
        <v>100438.16993717194</v>
      </c>
      <c r="M29" s="58">
        <v>95452.994753461695</v>
      </c>
      <c r="N29" s="58">
        <v>133277.88555372693</v>
      </c>
      <c r="O29" s="58">
        <v>334078.3059079583</v>
      </c>
      <c r="P29" s="58">
        <v>656723.20474381093</v>
      </c>
      <c r="Q29" s="73">
        <f t="shared" si="8"/>
        <v>0.17571194125906414</v>
      </c>
      <c r="T29" s="1" t="s">
        <v>31</v>
      </c>
      <c r="U29" s="58">
        <v>53020.633914072692</v>
      </c>
      <c r="V29" s="58">
        <v>135306.92913071049</v>
      </c>
      <c r="W29" s="58">
        <v>141531.24133126857</v>
      </c>
      <c r="X29" s="58">
        <v>208350.75923756332</v>
      </c>
      <c r="Y29" s="58">
        <v>387187.68518239685</v>
      </c>
      <c r="Z29" s="58">
        <v>925397.24879601202</v>
      </c>
      <c r="AA29" s="73">
        <f t="shared" si="9"/>
        <v>0.2475979923462219</v>
      </c>
      <c r="AD29" s="1"/>
      <c r="AE29" s="58"/>
      <c r="AF29" s="78" t="s">
        <v>44</v>
      </c>
      <c r="AG29" s="79">
        <v>1378.9216999999999</v>
      </c>
      <c r="AH29" s="79">
        <v>101.00030128966993</v>
      </c>
      <c r="AI29" s="1"/>
      <c r="AJ29" s="58"/>
      <c r="AK29" s="58"/>
      <c r="AR29" s="238">
        <v>3.3300000000000003E-2</v>
      </c>
    </row>
    <row r="30" spans="1:44">
      <c r="A30" s="1" t="s">
        <v>498</v>
      </c>
      <c r="B30" s="58"/>
      <c r="C30" s="58">
        <v>91800</v>
      </c>
      <c r="D30" s="58">
        <v>1004400</v>
      </c>
      <c r="E30" s="58">
        <v>831600</v>
      </c>
      <c r="F30" s="58">
        <v>1142100</v>
      </c>
      <c r="G30" s="58">
        <v>3069900</v>
      </c>
      <c r="H30" s="73">
        <f t="shared" si="7"/>
        <v>0.17915039759562204</v>
      </c>
      <c r="J30" s="1" t="s">
        <v>498</v>
      </c>
      <c r="K30" s="58"/>
      <c r="L30" s="58">
        <v>27314.314343834681</v>
      </c>
      <c r="M30" s="58">
        <v>235571.76779977622</v>
      </c>
      <c r="N30" s="58">
        <v>258609.83123760932</v>
      </c>
      <c r="O30" s="58">
        <v>85056.071854217851</v>
      </c>
      <c r="P30" s="58">
        <v>606551.9852354381</v>
      </c>
      <c r="Q30" s="73">
        <f t="shared" si="8"/>
        <v>0.19758037240152387</v>
      </c>
      <c r="T30" s="1" t="s">
        <v>498</v>
      </c>
      <c r="U30" s="58"/>
      <c r="V30" s="58">
        <v>31818.890890368366</v>
      </c>
      <c r="W30" s="58">
        <v>280675.54994844523</v>
      </c>
      <c r="X30" s="58">
        <v>293942.86107965553</v>
      </c>
      <c r="Y30" s="58">
        <v>126784.86985556243</v>
      </c>
      <c r="Z30" s="58">
        <v>733222.17177403159</v>
      </c>
      <c r="AA30" s="73">
        <f t="shared" si="9"/>
        <v>0.23884236352129762</v>
      </c>
      <c r="AD30" s="1"/>
      <c r="AE30" s="58"/>
      <c r="AF30" s="78" t="s">
        <v>45</v>
      </c>
      <c r="AG30" s="79">
        <v>1097.2</v>
      </c>
      <c r="AH30" s="79">
        <v>-468.13754206169125</v>
      </c>
      <c r="AI30" s="1"/>
      <c r="AJ30" s="58"/>
      <c r="AK30" s="58"/>
      <c r="AR30" s="238">
        <v>3.3300000000000003E-2</v>
      </c>
    </row>
    <row r="31" spans="1:44">
      <c r="A31" s="1" t="s">
        <v>32</v>
      </c>
      <c r="B31" s="58">
        <v>135915</v>
      </c>
      <c r="C31" s="58">
        <v>710550</v>
      </c>
      <c r="D31" s="58">
        <v>768480</v>
      </c>
      <c r="E31" s="58">
        <v>658482</v>
      </c>
      <c r="F31" s="58">
        <v>591300</v>
      </c>
      <c r="G31" s="58">
        <v>2864727</v>
      </c>
      <c r="H31" s="73">
        <f t="shared" si="7"/>
        <v>0.16717710057425764</v>
      </c>
      <c r="J31" s="1" t="s">
        <v>32</v>
      </c>
      <c r="K31" s="58">
        <v>-51593.824956117009</v>
      </c>
      <c r="L31" s="58">
        <v>-196390.87985652691</v>
      </c>
      <c r="M31" s="58">
        <v>-180010.04676468967</v>
      </c>
      <c r="N31" s="58">
        <v>-99943.542441568366</v>
      </c>
      <c r="O31" s="58">
        <v>-66299.328006036885</v>
      </c>
      <c r="P31" s="58">
        <v>-594237.62202493893</v>
      </c>
      <c r="Q31" s="73">
        <f t="shared" si="8"/>
        <v>-0.20743254838067954</v>
      </c>
      <c r="T31" s="1" t="s">
        <v>32</v>
      </c>
      <c r="U31" s="58">
        <v>22374.852463237832</v>
      </c>
      <c r="V31" s="58">
        <v>-119763.02771493723</v>
      </c>
      <c r="W31" s="58">
        <v>-112799.84299500639</v>
      </c>
      <c r="X31" s="58">
        <v>-43734.580801179967</v>
      </c>
      <c r="Y31" s="58">
        <v>-24570.530004692315</v>
      </c>
      <c r="Z31" s="58">
        <v>-278493.12905257806</v>
      </c>
      <c r="AA31" s="73">
        <f t="shared" si="9"/>
        <v>-9.7214544022023064E-2</v>
      </c>
      <c r="AD31" s="1"/>
      <c r="AE31" s="58"/>
      <c r="AF31" s="78" t="s">
        <v>52</v>
      </c>
      <c r="AG31" s="79">
        <v>935.40599999999995</v>
      </c>
      <c r="AH31" s="79">
        <v>-74.238540516649905</v>
      </c>
      <c r="AI31" s="1"/>
      <c r="AJ31" s="58"/>
      <c r="AK31" s="58"/>
      <c r="AR31" s="238">
        <v>3.2000000000000001E-2</v>
      </c>
    </row>
    <row r="32" spans="1:44">
      <c r="A32" s="1" t="s">
        <v>35</v>
      </c>
      <c r="B32" s="58"/>
      <c r="C32" s="58"/>
      <c r="D32" s="58">
        <v>177221.7</v>
      </c>
      <c r="E32" s="58">
        <v>207036</v>
      </c>
      <c r="F32" s="58">
        <v>423756</v>
      </c>
      <c r="G32" s="58">
        <v>808013.7</v>
      </c>
      <c r="H32" s="73">
        <f t="shared" si="7"/>
        <v>4.7153319527577335E-2</v>
      </c>
      <c r="J32" s="1" t="s">
        <v>35</v>
      </c>
      <c r="K32" s="58"/>
      <c r="L32" s="58"/>
      <c r="M32" s="58">
        <v>46804.601043557283</v>
      </c>
      <c r="N32" s="58">
        <v>37657.940317953675</v>
      </c>
      <c r="O32" s="58">
        <v>85538.437091131796</v>
      </c>
      <c r="P32" s="58">
        <v>170000.97845264274</v>
      </c>
      <c r="Q32" s="73">
        <f t="shared" si="8"/>
        <v>0.2103936832415623</v>
      </c>
      <c r="T32" s="1" t="s">
        <v>35</v>
      </c>
      <c r="U32" s="58"/>
      <c r="V32" s="58"/>
      <c r="W32" s="58">
        <v>54321.898068335446</v>
      </c>
      <c r="X32" s="58">
        <v>46343.97682079002</v>
      </c>
      <c r="Y32" s="58">
        <v>100611.3847328296</v>
      </c>
      <c r="Z32" s="58">
        <v>201277.25962195505</v>
      </c>
      <c r="AA32" s="73">
        <f t="shared" si="9"/>
        <v>0.24910129571064829</v>
      </c>
      <c r="AD32" s="1"/>
      <c r="AE32" s="58"/>
      <c r="AF32" s="78" t="s">
        <v>511</v>
      </c>
      <c r="AG32" s="79">
        <v>595.78200000000004</v>
      </c>
      <c r="AH32" s="79">
        <v>101.96620977498908</v>
      </c>
      <c r="AI32" s="1"/>
      <c r="AJ32" s="58"/>
      <c r="AK32" s="58"/>
      <c r="AR32" s="238">
        <v>3.1800000000000002E-2</v>
      </c>
    </row>
    <row r="33" spans="1:44">
      <c r="A33" s="1" t="s">
        <v>36</v>
      </c>
      <c r="B33" s="58">
        <v>74064</v>
      </c>
      <c r="C33" s="58">
        <v>77585</v>
      </c>
      <c r="D33" s="58">
        <v>139200</v>
      </c>
      <c r="E33" s="58">
        <v>308556</v>
      </c>
      <c r="F33" s="58">
        <v>154700</v>
      </c>
      <c r="G33" s="58">
        <v>754105</v>
      </c>
      <c r="H33" s="73">
        <f t="shared" si="7"/>
        <v>4.4007365249306672E-2</v>
      </c>
      <c r="J33" s="1" t="s">
        <v>36</v>
      </c>
      <c r="K33" s="58">
        <v>4395.8630234323336</v>
      </c>
      <c r="L33" s="58">
        <v>22418.890904629716</v>
      </c>
      <c r="M33" s="58">
        <v>34140.783431988231</v>
      </c>
      <c r="N33" s="58">
        <v>70608.829264431828</v>
      </c>
      <c r="O33" s="58">
        <v>46503.823163390844</v>
      </c>
      <c r="P33" s="58">
        <v>178068.18978787295</v>
      </c>
      <c r="Q33" s="73">
        <f t="shared" si="8"/>
        <v>0.23613182486241696</v>
      </c>
      <c r="T33" s="1" t="s">
        <v>36</v>
      </c>
      <c r="U33" s="58">
        <v>31106.774313754915</v>
      </c>
      <c r="V33" s="58">
        <v>26923.4674511634</v>
      </c>
      <c r="W33" s="58">
        <v>41240.452844278712</v>
      </c>
      <c r="X33" s="58">
        <v>87588.313049637349</v>
      </c>
      <c r="Y33" s="58">
        <v>53809.875338710437</v>
      </c>
      <c r="Z33" s="58">
        <v>240668.88299754483</v>
      </c>
      <c r="AA33" s="73">
        <f t="shared" si="9"/>
        <v>0.31914505671961441</v>
      </c>
      <c r="AD33" s="1"/>
      <c r="AE33" s="58"/>
      <c r="AF33" s="78" t="s">
        <v>504</v>
      </c>
      <c r="AG33" s="79">
        <v>575.1</v>
      </c>
      <c r="AH33" s="79">
        <v>-44.789183040265556</v>
      </c>
      <c r="AI33" s="1"/>
      <c r="AJ33" s="58"/>
      <c r="AK33" s="58"/>
      <c r="AR33" s="238">
        <v>3.1600000000000003E-2</v>
      </c>
    </row>
    <row r="34" spans="1:44">
      <c r="A34" s="1" t="s">
        <v>34</v>
      </c>
      <c r="B34" s="58">
        <v>35874</v>
      </c>
      <c r="C34" s="58">
        <v>23456</v>
      </c>
      <c r="D34" s="58">
        <v>455500</v>
      </c>
      <c r="E34" s="58"/>
      <c r="F34" s="58">
        <v>225525</v>
      </c>
      <c r="G34" s="58">
        <v>740355</v>
      </c>
      <c r="H34" s="73">
        <f t="shared" si="7"/>
        <v>4.3204955409592093E-2</v>
      </c>
      <c r="J34" s="1" t="s">
        <v>34</v>
      </c>
      <c r="K34" s="58">
        <v>-19625.978924167986</v>
      </c>
      <c r="L34" s="58">
        <v>-6759.1634883820134</v>
      </c>
      <c r="M34" s="58">
        <v>-375692.17499439901</v>
      </c>
      <c r="N34" s="58"/>
      <c r="O34" s="58">
        <v>-142861.0111350365</v>
      </c>
      <c r="P34" s="58">
        <v>-544938.32854198548</v>
      </c>
      <c r="Q34" s="73">
        <f t="shared" si="8"/>
        <v>-0.73605004159083887</v>
      </c>
      <c r="T34" s="1" t="s">
        <v>34</v>
      </c>
      <c r="U34" s="58">
        <v>961.96962421911076</v>
      </c>
      <c r="V34" s="58">
        <v>-4429.2651221089909</v>
      </c>
      <c r="W34" s="58">
        <v>-322096.63139181392</v>
      </c>
      <c r="X34" s="58"/>
      <c r="Y34" s="58">
        <v>-117149.32751804643</v>
      </c>
      <c r="Z34" s="58">
        <v>-442713.25440775021</v>
      </c>
      <c r="AA34" s="73">
        <f t="shared" si="9"/>
        <v>-0.59797428856123103</v>
      </c>
      <c r="AD34" s="1"/>
      <c r="AE34" s="58"/>
      <c r="AF34" s="78" t="s">
        <v>583</v>
      </c>
      <c r="AG34" s="79">
        <f>SUM(AG35:AG51)</f>
        <v>2863.84539</v>
      </c>
      <c r="AH34" s="79">
        <f>SUM(AH35:AH51)</f>
        <v>-19.037083757894287</v>
      </c>
      <c r="AI34" s="1"/>
      <c r="AJ34" s="58"/>
      <c r="AK34" s="58"/>
      <c r="AR34" s="238">
        <v>3.0200000000000001E-2</v>
      </c>
    </row>
    <row r="35" spans="1:44">
      <c r="A35" s="1" t="s">
        <v>37</v>
      </c>
      <c r="B35" s="58">
        <v>50400</v>
      </c>
      <c r="C35" s="58">
        <v>69000</v>
      </c>
      <c r="D35" s="58">
        <v>76800</v>
      </c>
      <c r="E35" s="58">
        <v>35520</v>
      </c>
      <c r="F35" s="58">
        <v>43200</v>
      </c>
      <c r="G35" s="58">
        <v>274920</v>
      </c>
      <c r="H35" s="73">
        <f t="shared" si="7"/>
        <v>1.6043528227951534E-2</v>
      </c>
      <c r="J35" s="1" t="s">
        <v>37</v>
      </c>
      <c r="K35" s="58">
        <v>-10261.25979799937</v>
      </c>
      <c r="L35" s="58">
        <v>14427.097920302038</v>
      </c>
      <c r="M35" s="58">
        <v>-2235.7780521523046</v>
      </c>
      <c r="N35" s="58">
        <v>-8371.5699775260437</v>
      </c>
      <c r="O35" s="58">
        <v>1716.3337139827079</v>
      </c>
      <c r="P35" s="58">
        <v>-4725.176193392972</v>
      </c>
      <c r="Q35" s="73">
        <f t="shared" si="8"/>
        <v>-1.7187458873101163E-2</v>
      </c>
      <c r="T35" s="1" t="s">
        <v>37</v>
      </c>
      <c r="U35" s="58">
        <v>14394.966008452244</v>
      </c>
      <c r="V35" s="58">
        <v>20095.379080431758</v>
      </c>
      <c r="W35" s="58">
        <v>4446.263747650507</v>
      </c>
      <c r="X35" s="58">
        <v>-4740.1196882046352</v>
      </c>
      <c r="Y35" s="58">
        <v>5088.3577948994407</v>
      </c>
      <c r="Z35" s="58">
        <v>39284.846943229313</v>
      </c>
      <c r="AA35" s="73">
        <f t="shared" si="9"/>
        <v>0.14289555850148886</v>
      </c>
      <c r="AD35" s="1"/>
      <c r="AE35" s="58"/>
      <c r="AF35" s="1" t="s">
        <v>48</v>
      </c>
      <c r="AG35" s="58">
        <v>354.59500000000003</v>
      </c>
      <c r="AH35" s="58">
        <v>86.215826509200753</v>
      </c>
      <c r="AI35" s="1"/>
      <c r="AJ35" s="58"/>
      <c r="AK35" s="58"/>
      <c r="AR35" s="238">
        <v>0.03</v>
      </c>
    </row>
    <row r="36" spans="1:44">
      <c r="A36" s="1" t="s">
        <v>468</v>
      </c>
      <c r="B36" s="58"/>
      <c r="C36" s="58"/>
      <c r="D36" s="58"/>
      <c r="E36" s="58">
        <v>67500</v>
      </c>
      <c r="F36" s="58">
        <v>130950</v>
      </c>
      <c r="G36" s="58">
        <v>198450</v>
      </c>
      <c r="H36" s="73">
        <f t="shared" si="7"/>
        <v>1.1580962377553404E-2</v>
      </c>
      <c r="J36" s="1" t="s">
        <v>468</v>
      </c>
      <c r="K36" s="58"/>
      <c r="L36" s="58"/>
      <c r="M36" s="58"/>
      <c r="N36" s="58">
        <v>12648.31036862592</v>
      </c>
      <c r="O36" s="58">
        <v>116108.82484644196</v>
      </c>
      <c r="P36" s="58">
        <v>128757.13521506789</v>
      </c>
      <c r="Q36" s="73">
        <f t="shared" si="8"/>
        <v>0.6488139844548646</v>
      </c>
      <c r="T36" s="1" t="s">
        <v>468</v>
      </c>
      <c r="U36" s="58"/>
      <c r="V36" s="58"/>
      <c r="W36" s="58"/>
      <c r="X36" s="58">
        <v>17064.939098881689</v>
      </c>
      <c r="Y36" s="58">
        <v>123695.87902850461</v>
      </c>
      <c r="Z36" s="58">
        <v>140760.8181273863</v>
      </c>
      <c r="AA36" s="73">
        <f t="shared" si="9"/>
        <v>0.7093011747411756</v>
      </c>
      <c r="AD36" s="1"/>
      <c r="AE36" s="58"/>
      <c r="AF36" s="1" t="s">
        <v>46</v>
      </c>
      <c r="AG36" s="58">
        <v>352.35</v>
      </c>
      <c r="AH36" s="58">
        <v>-117.23252909401094</v>
      </c>
      <c r="AI36" s="1"/>
      <c r="AJ36" s="58"/>
      <c r="AK36" s="58"/>
    </row>
    <row r="37" spans="1:44">
      <c r="A37" s="1" t="s">
        <v>38</v>
      </c>
      <c r="B37" s="58"/>
      <c r="C37" s="58">
        <v>38606.25</v>
      </c>
      <c r="D37" s="58">
        <v>37800</v>
      </c>
      <c r="E37" s="58">
        <v>52500</v>
      </c>
      <c r="F37" s="58"/>
      <c r="G37" s="58">
        <v>128906.25</v>
      </c>
      <c r="H37" s="73">
        <f t="shared" si="7"/>
        <v>7.5225922473242304E-3</v>
      </c>
      <c r="J37" s="1" t="s">
        <v>38</v>
      </c>
      <c r="K37" s="58"/>
      <c r="L37" s="58">
        <v>-4537.699328040313</v>
      </c>
      <c r="M37" s="58">
        <v>29722.687787067833</v>
      </c>
      <c r="N37" s="58">
        <v>44868.518043626638</v>
      </c>
      <c r="O37" s="58"/>
      <c r="P37" s="58">
        <v>70053.506502654156</v>
      </c>
      <c r="Q37" s="73">
        <f t="shared" si="8"/>
        <v>0.54344538377816554</v>
      </c>
      <c r="T37" s="1" t="s">
        <v>38</v>
      </c>
      <c r="U37" s="58"/>
      <c r="V37" s="58">
        <v>-33.122781506628144</v>
      </c>
      <c r="W37" s="58">
        <v>33481.336299456911</v>
      </c>
      <c r="X37" s="58">
        <v>49162.462642486418</v>
      </c>
      <c r="Y37" s="58"/>
      <c r="Z37" s="58">
        <v>82610.676160436706</v>
      </c>
      <c r="AA37" s="73">
        <f t="shared" si="9"/>
        <v>0.64085857869914531</v>
      </c>
      <c r="AD37" s="1"/>
      <c r="AE37" s="58"/>
      <c r="AF37" s="1" t="s">
        <v>56</v>
      </c>
      <c r="AG37" s="58">
        <v>340.56400000000002</v>
      </c>
      <c r="AH37" s="58">
        <v>-36.175426260934969</v>
      </c>
      <c r="AI37" s="1"/>
      <c r="AJ37" s="58"/>
      <c r="AK37" s="58"/>
    </row>
    <row r="38" spans="1:44">
      <c r="A38" s="1" t="s">
        <v>39</v>
      </c>
      <c r="B38" s="58"/>
      <c r="C38" s="58">
        <v>38606.25</v>
      </c>
      <c r="D38" s="58"/>
      <c r="E38" s="58">
        <v>52200</v>
      </c>
      <c r="F38" s="58">
        <v>53812.5</v>
      </c>
      <c r="G38" s="58">
        <v>144618.75</v>
      </c>
      <c r="H38" s="73">
        <f t="shared" si="7"/>
        <v>8.4395278550708046E-3</v>
      </c>
      <c r="J38" s="1" t="s">
        <v>39</v>
      </c>
      <c r="K38" s="58"/>
      <c r="L38" s="58">
        <v>-4537.699328040313</v>
      </c>
      <c r="M38" s="58"/>
      <c r="N38" s="58">
        <v>44593.73365480591</v>
      </c>
      <c r="O38" s="58">
        <v>47651.426522575959</v>
      </c>
      <c r="P38" s="58">
        <v>87707.460849341558</v>
      </c>
      <c r="Q38" s="73">
        <f t="shared" si="8"/>
        <v>0.60647364777625001</v>
      </c>
      <c r="T38" s="1" t="s">
        <v>39</v>
      </c>
      <c r="U38" s="58"/>
      <c r="V38" s="58">
        <v>-33.122781506628144</v>
      </c>
      <c r="W38" s="58"/>
      <c r="X38" s="58">
        <v>48863.141427386487</v>
      </c>
      <c r="Y38" s="58">
        <v>51339.577861078636</v>
      </c>
      <c r="Z38" s="58">
        <v>100169.59650695849</v>
      </c>
      <c r="AA38" s="73">
        <f t="shared" si="9"/>
        <v>0.69264598474926997</v>
      </c>
      <c r="AD38" s="1"/>
      <c r="AE38" s="58"/>
      <c r="AF38" s="1" t="s">
        <v>49</v>
      </c>
      <c r="AG38" s="58">
        <v>334.8</v>
      </c>
      <c r="AH38" s="58">
        <v>61.759822004793016</v>
      </c>
      <c r="AI38" s="1"/>
      <c r="AJ38" s="58"/>
      <c r="AK38" s="58"/>
    </row>
    <row r="39" spans="1:44">
      <c r="A39" s="1" t="s">
        <v>500</v>
      </c>
      <c r="B39" s="58"/>
      <c r="C39" s="58"/>
      <c r="D39" s="58"/>
      <c r="E39" s="58">
        <v>30250</v>
      </c>
      <c r="F39" s="58"/>
      <c r="G39" s="58">
        <v>30250</v>
      </c>
      <c r="H39" s="73">
        <f t="shared" si="7"/>
        <v>1.765301647372086E-3</v>
      </c>
      <c r="J39" s="1" t="s">
        <v>500</v>
      </c>
      <c r="K39" s="58"/>
      <c r="L39" s="58"/>
      <c r="M39" s="58"/>
      <c r="N39" s="58">
        <v>22098.301396410086</v>
      </c>
      <c r="O39" s="58"/>
      <c r="P39" s="58">
        <v>22098.301396410086</v>
      </c>
      <c r="Q39" s="73">
        <f t="shared" si="8"/>
        <v>0.73052236021190364</v>
      </c>
      <c r="T39" s="1" t="s">
        <v>500</v>
      </c>
      <c r="U39" s="58"/>
      <c r="V39" s="58"/>
      <c r="W39" s="58"/>
      <c r="X39" s="58">
        <v>26056.909369454144</v>
      </c>
      <c r="Y39" s="58"/>
      <c r="Z39" s="58">
        <v>26056.909369454144</v>
      </c>
      <c r="AA39" s="73">
        <f t="shared" si="9"/>
        <v>0.86138543370096343</v>
      </c>
      <c r="AD39" s="1"/>
      <c r="AE39" s="58"/>
      <c r="AF39" s="1" t="s">
        <v>53</v>
      </c>
      <c r="AG39" s="58">
        <v>285.48500000000001</v>
      </c>
      <c r="AH39" s="58">
        <v>31.414281094170896</v>
      </c>
      <c r="AI39" s="1"/>
      <c r="AJ39" s="58"/>
      <c r="AK39" s="58"/>
    </row>
    <row r="40" spans="1:44">
      <c r="A40" s="1" t="s">
        <v>420</v>
      </c>
      <c r="B40" s="58">
        <v>24314.28</v>
      </c>
      <c r="C40" s="58">
        <v>40026</v>
      </c>
      <c r="D40" s="58">
        <v>26456.610000000008</v>
      </c>
      <c r="E40" s="58"/>
      <c r="F40" s="58"/>
      <c r="G40" s="58">
        <v>90796.890000000014</v>
      </c>
      <c r="H40" s="73">
        <f t="shared" si="7"/>
        <v>5.2986413055623833E-3</v>
      </c>
      <c r="J40" s="1" t="s">
        <v>420</v>
      </c>
      <c r="K40" s="58">
        <v>24314.28</v>
      </c>
      <c r="L40" s="58">
        <v>40026</v>
      </c>
      <c r="M40" s="58">
        <v>26456.610000000008</v>
      </c>
      <c r="N40" s="58"/>
      <c r="O40" s="58"/>
      <c r="P40" s="58">
        <v>90796.890000000014</v>
      </c>
      <c r="Q40" s="73">
        <f t="shared" si="8"/>
        <v>1</v>
      </c>
      <c r="T40" s="1" t="s">
        <v>420</v>
      </c>
      <c r="U40" s="58">
        <v>24314.28</v>
      </c>
      <c r="V40" s="58">
        <v>40026</v>
      </c>
      <c r="W40" s="58">
        <v>26456.610000000008</v>
      </c>
      <c r="X40" s="58"/>
      <c r="Y40" s="58"/>
      <c r="Z40" s="58">
        <v>90796.890000000014</v>
      </c>
      <c r="AA40" s="73">
        <f t="shared" si="9"/>
        <v>1</v>
      </c>
      <c r="AD40" s="1"/>
      <c r="AE40" s="58"/>
      <c r="AF40" s="1" t="s">
        <v>50</v>
      </c>
      <c r="AG40" s="58">
        <v>280.78199999999998</v>
      </c>
      <c r="AH40" s="58">
        <v>-291.00909126768249</v>
      </c>
      <c r="AI40" s="1"/>
      <c r="AJ40" s="58"/>
      <c r="AK40" s="58"/>
    </row>
    <row r="41" spans="1:44">
      <c r="A41" s="1" t="s">
        <v>672</v>
      </c>
      <c r="B41" s="58"/>
      <c r="C41" s="58"/>
      <c r="D41" s="58"/>
      <c r="E41" s="58"/>
      <c r="F41" s="58">
        <v>54000</v>
      </c>
      <c r="G41" s="58">
        <v>54000</v>
      </c>
      <c r="H41" s="118">
        <f t="shared" si="7"/>
        <v>3.1512822796063685E-3</v>
      </c>
      <c r="J41" s="1" t="s">
        <v>672</v>
      </c>
      <c r="K41" s="58"/>
      <c r="L41" s="58"/>
      <c r="M41" s="58"/>
      <c r="N41" s="58"/>
      <c r="O41" s="58">
        <v>-8875.5707276034991</v>
      </c>
      <c r="P41" s="58">
        <v>-8875.5707276034991</v>
      </c>
      <c r="Q41" s="118">
        <f t="shared" si="8"/>
        <v>-0.16436242088154629</v>
      </c>
      <c r="T41" s="1" t="s">
        <v>672</v>
      </c>
      <c r="U41" s="58"/>
      <c r="V41" s="58"/>
      <c r="W41" s="58"/>
      <c r="X41" s="58"/>
      <c r="Y41" s="58">
        <v>-5082.0436365721753</v>
      </c>
      <c r="Z41" s="58">
        <v>-5082.0436365721753</v>
      </c>
      <c r="AA41" s="118">
        <f t="shared" si="9"/>
        <v>-9.4111919195781019E-2</v>
      </c>
      <c r="AD41" s="1"/>
      <c r="AE41" s="58"/>
      <c r="AF41" s="1" t="s">
        <v>491</v>
      </c>
      <c r="AG41" s="58">
        <v>279.50400000000002</v>
      </c>
      <c r="AH41" s="58">
        <v>19.044142804751697</v>
      </c>
      <c r="AI41" s="1"/>
      <c r="AJ41" s="58"/>
      <c r="AK41" s="58"/>
    </row>
    <row r="42" spans="1:44">
      <c r="A42" s="1" t="s">
        <v>673</v>
      </c>
      <c r="B42" s="58"/>
      <c r="C42" s="58"/>
      <c r="D42" s="58"/>
      <c r="E42" s="58"/>
      <c r="F42" s="58">
        <v>36400</v>
      </c>
      <c r="G42" s="58">
        <v>36400</v>
      </c>
      <c r="H42" s="118">
        <f t="shared" si="7"/>
        <v>2.1241976847717003E-3</v>
      </c>
      <c r="J42" s="1" t="s">
        <v>673</v>
      </c>
      <c r="K42" s="58"/>
      <c r="L42" s="58"/>
      <c r="M42" s="58"/>
      <c r="N42" s="58"/>
      <c r="O42" s="58">
        <v>27344.637889027614</v>
      </c>
      <c r="P42" s="58">
        <v>27344.637889027614</v>
      </c>
      <c r="Q42" s="118">
        <f t="shared" si="8"/>
        <v>0.75122631563262676</v>
      </c>
      <c r="T42" s="1" t="s">
        <v>673</v>
      </c>
      <c r="U42" s="58"/>
      <c r="V42" s="58"/>
      <c r="W42" s="58"/>
      <c r="X42" s="58"/>
      <c r="Y42" s="58">
        <v>30997.66397668741</v>
      </c>
      <c r="Z42" s="58">
        <v>30997.66397668741</v>
      </c>
      <c r="AA42" s="118">
        <f t="shared" si="9"/>
        <v>0.85158417518372009</v>
      </c>
      <c r="AD42" s="1"/>
      <c r="AE42" s="58"/>
      <c r="AF42" s="1"/>
      <c r="AG42" s="58"/>
      <c r="AH42" s="58"/>
      <c r="AI42" s="1"/>
      <c r="AJ42" s="58"/>
      <c r="AK42" s="58"/>
    </row>
    <row r="43" spans="1:44">
      <c r="A43" s="1" t="s">
        <v>9</v>
      </c>
      <c r="B43" s="58">
        <v>564615.28</v>
      </c>
      <c r="C43" s="58">
        <v>2769824.5</v>
      </c>
      <c r="D43" s="58">
        <v>3896418.31</v>
      </c>
      <c r="E43" s="58">
        <v>4888920</v>
      </c>
      <c r="F43" s="58">
        <v>5016103.5</v>
      </c>
      <c r="G43" s="58">
        <v>17135881.59</v>
      </c>
      <c r="H43" s="84">
        <f t="shared" si="7"/>
        <v>1</v>
      </c>
      <c r="J43" s="1" t="s">
        <v>9</v>
      </c>
      <c r="K43" s="58">
        <v>-96824.98638086475</v>
      </c>
      <c r="L43" s="58">
        <v>-535236.78810018883</v>
      </c>
      <c r="M43" s="58">
        <v>-326649.27033714397</v>
      </c>
      <c r="N43" s="58">
        <v>89405.430429645363</v>
      </c>
      <c r="O43" s="58">
        <v>401885.56924044079</v>
      </c>
      <c r="P43" s="58">
        <v>-467420.0451481113</v>
      </c>
      <c r="Q43" s="84">
        <f t="shared" si="8"/>
        <v>-2.7277268618667624E-2</v>
      </c>
      <c r="T43" s="1" t="s">
        <v>9</v>
      </c>
      <c r="U43" s="58">
        <v>157956.01361913525</v>
      </c>
      <c r="V43" s="58">
        <v>-262586.39465651254</v>
      </c>
      <c r="W43" s="58">
        <v>-48815.540669509508</v>
      </c>
      <c r="X43" s="58">
        <v>434574.7804296455</v>
      </c>
      <c r="Y43" s="58">
        <v>679842.91924044059</v>
      </c>
      <c r="Z43" s="58">
        <v>960971.77796319954</v>
      </c>
      <c r="AA43" s="84">
        <f t="shared" si="9"/>
        <v>5.6079506205504746E-2</v>
      </c>
      <c r="AD43" s="1"/>
      <c r="AE43" s="58"/>
      <c r="AF43" s="1"/>
      <c r="AG43" s="58"/>
      <c r="AH43" s="58"/>
      <c r="AI43" s="1"/>
      <c r="AJ43" s="58"/>
      <c r="AK43" s="58"/>
    </row>
    <row r="44" spans="1:44">
      <c r="A44" s="1"/>
      <c r="B44" s="58"/>
      <c r="C44" s="58"/>
      <c r="D44" s="58"/>
      <c r="E44" s="58"/>
      <c r="F44" s="58"/>
      <c r="G44" s="58"/>
      <c r="H44" s="84"/>
      <c r="J44" s="1"/>
      <c r="K44" s="58"/>
      <c r="L44" s="58"/>
      <c r="M44" s="58"/>
      <c r="N44" s="58"/>
      <c r="O44" s="58"/>
      <c r="P44" s="58"/>
      <c r="Q44" s="84"/>
      <c r="T44" s="1"/>
      <c r="U44" s="58"/>
      <c r="V44" s="58"/>
      <c r="W44" s="58"/>
      <c r="X44" s="58"/>
      <c r="Y44" s="58"/>
      <c r="Z44" s="58"/>
      <c r="AA44" s="84"/>
      <c r="AD44" s="1"/>
      <c r="AE44" s="58"/>
      <c r="AF44" s="1"/>
      <c r="AG44" s="58"/>
      <c r="AH44" s="58"/>
      <c r="AI44" s="1"/>
      <c r="AJ44" s="58"/>
      <c r="AK44" s="58"/>
    </row>
    <row r="45" spans="1:44">
      <c r="A45" s="1"/>
      <c r="B45" s="58"/>
      <c r="C45" s="58"/>
      <c r="D45" s="58"/>
      <c r="E45" s="58"/>
      <c r="F45" s="58"/>
      <c r="G45" s="58"/>
      <c r="H45" s="84"/>
      <c r="J45" s="1"/>
      <c r="K45" s="58"/>
      <c r="L45" s="58"/>
      <c r="M45" s="58"/>
      <c r="N45" s="58"/>
      <c r="O45" s="58"/>
      <c r="P45" s="58"/>
      <c r="Q45" s="84"/>
      <c r="T45" s="1"/>
      <c r="U45" s="58"/>
      <c r="V45" s="58"/>
      <c r="W45" s="58"/>
      <c r="X45" s="58"/>
      <c r="Y45" s="58"/>
      <c r="Z45" s="58"/>
      <c r="AA45" s="84"/>
      <c r="AD45" s="1"/>
      <c r="AE45" s="58"/>
      <c r="AF45" s="1"/>
      <c r="AG45" s="58"/>
      <c r="AH45" s="58"/>
      <c r="AI45" s="1"/>
      <c r="AJ45" s="58"/>
      <c r="AK45" s="58"/>
    </row>
    <row r="46" spans="1:44">
      <c r="AD46" s="1"/>
      <c r="AE46" s="58"/>
      <c r="AF46" s="1" t="s">
        <v>55</v>
      </c>
      <c r="AG46" s="58">
        <v>181.91249999999999</v>
      </c>
      <c r="AH46" s="58">
        <v>72.469655599165876</v>
      </c>
      <c r="AI46" s="1"/>
      <c r="AJ46" s="58"/>
      <c r="AK46" s="58"/>
    </row>
    <row r="47" spans="1:44">
      <c r="A47" s="88" t="s">
        <v>40</v>
      </c>
      <c r="AD47" s="1"/>
      <c r="AE47" s="58"/>
      <c r="AF47" s="1" t="s">
        <v>527</v>
      </c>
      <c r="AG47" s="58">
        <v>151.256</v>
      </c>
      <c r="AH47" s="58">
        <v>31.632905260534464</v>
      </c>
      <c r="AI47" s="1"/>
      <c r="AJ47" s="58"/>
      <c r="AK47" s="58"/>
    </row>
    <row r="48" spans="1:44">
      <c r="AD48" s="1"/>
      <c r="AE48" s="58"/>
      <c r="AF48" s="1" t="s">
        <v>54</v>
      </c>
      <c r="AG48" s="58">
        <v>91.8</v>
      </c>
      <c r="AH48" s="58">
        <v>29.126229164827038</v>
      </c>
      <c r="AI48" s="1"/>
      <c r="AJ48" s="58"/>
      <c r="AK48" s="58"/>
    </row>
    <row r="49" spans="1:54">
      <c r="A49" s="256" t="s">
        <v>25</v>
      </c>
      <c r="B49" s="256"/>
      <c r="C49" s="256"/>
      <c r="D49" s="256"/>
      <c r="E49" s="256"/>
      <c r="F49" s="164"/>
      <c r="G49" s="164"/>
      <c r="J49" s="256" t="s">
        <v>26</v>
      </c>
      <c r="K49" s="256"/>
      <c r="L49" s="256"/>
      <c r="M49" s="256"/>
      <c r="N49" s="256"/>
      <c r="O49" s="256"/>
      <c r="P49" s="256"/>
      <c r="Q49" s="256"/>
      <c r="R49" s="164"/>
      <c r="T49" s="256" t="s">
        <v>27</v>
      </c>
      <c r="U49" s="256"/>
      <c r="V49" s="256"/>
      <c r="W49" s="256"/>
      <c r="X49" s="256"/>
      <c r="AC49" s="53"/>
      <c r="AD49" s="1"/>
      <c r="AE49" s="58"/>
      <c r="AF49" s="1" t="s">
        <v>422</v>
      </c>
      <c r="AG49" s="58">
        <v>90.796890000000019</v>
      </c>
      <c r="AH49" s="58">
        <v>90.796890000000019</v>
      </c>
      <c r="AI49" s="1"/>
      <c r="AJ49" s="58"/>
      <c r="AK49" s="58"/>
      <c r="BB49" s="233"/>
    </row>
    <row r="50" spans="1:54">
      <c r="A50" s="77" t="s">
        <v>13</v>
      </c>
      <c r="B50" s="77" t="s">
        <v>2</v>
      </c>
      <c r="H50" s="86"/>
      <c r="J50" s="77" t="s">
        <v>21</v>
      </c>
      <c r="K50" s="77" t="s">
        <v>2</v>
      </c>
      <c r="Q50" s="87" t="s">
        <v>30</v>
      </c>
      <c r="R50" s="87"/>
      <c r="T50" s="77" t="s">
        <v>23</v>
      </c>
      <c r="U50" s="77" t="s">
        <v>2</v>
      </c>
      <c r="AA50" s="87" t="s">
        <v>30</v>
      </c>
      <c r="AD50" s="1"/>
      <c r="AE50" s="58"/>
      <c r="AF50" s="1" t="s">
        <v>533</v>
      </c>
      <c r="AG50" s="58">
        <v>81</v>
      </c>
      <c r="AH50" s="58">
        <v>18.351483046402617</v>
      </c>
      <c r="AI50" s="1"/>
      <c r="AJ50" s="58"/>
      <c r="AK50" s="58"/>
    </row>
    <row r="51" spans="1:54">
      <c r="A51" s="77" t="s">
        <v>28</v>
      </c>
      <c r="B51" t="s">
        <v>6</v>
      </c>
      <c r="C51" t="s">
        <v>7</v>
      </c>
      <c r="D51" t="s">
        <v>8</v>
      </c>
      <c r="E51" t="s">
        <v>466</v>
      </c>
      <c r="F51" t="s">
        <v>709</v>
      </c>
      <c r="G51" t="s">
        <v>9</v>
      </c>
      <c r="H51" s="87" t="s">
        <v>29</v>
      </c>
      <c r="J51" s="77" t="s">
        <v>28</v>
      </c>
      <c r="K51" t="s">
        <v>6</v>
      </c>
      <c r="L51" t="s">
        <v>7</v>
      </c>
      <c r="M51" t="s">
        <v>8</v>
      </c>
      <c r="N51" t="s">
        <v>466</v>
      </c>
      <c r="O51" t="s">
        <v>709</v>
      </c>
      <c r="P51" t="s">
        <v>9</v>
      </c>
      <c r="Q51" s="87" t="s">
        <v>41</v>
      </c>
      <c r="R51" s="87"/>
      <c r="S51" s="53"/>
      <c r="T51" s="77" t="s">
        <v>28</v>
      </c>
      <c r="U51" t="s">
        <v>6</v>
      </c>
      <c r="V51" t="s">
        <v>7</v>
      </c>
      <c r="W51" t="s">
        <v>8</v>
      </c>
      <c r="X51" t="s">
        <v>466</v>
      </c>
      <c r="Y51" t="s">
        <v>709</v>
      </c>
      <c r="Z51" t="s">
        <v>9</v>
      </c>
      <c r="AA51" s="87" t="s">
        <v>42</v>
      </c>
      <c r="AF51" s="1" t="s">
        <v>57</v>
      </c>
      <c r="AG51" s="58">
        <v>39</v>
      </c>
      <c r="AH51" s="58">
        <v>-15.43127261911228</v>
      </c>
    </row>
    <row r="52" spans="1:54">
      <c r="A52" s="1" t="s">
        <v>43</v>
      </c>
      <c r="B52" s="58">
        <v>281115</v>
      </c>
      <c r="C52" s="58">
        <v>438056</v>
      </c>
      <c r="D52" s="58">
        <v>1104330</v>
      </c>
      <c r="E52" s="58">
        <v>966772</v>
      </c>
      <c r="F52" s="58">
        <v>293600</v>
      </c>
      <c r="G52" s="58">
        <v>3083873</v>
      </c>
      <c r="H52" s="73">
        <f t="shared" ref="H52:H82" si="10">G52/$G$82</f>
        <v>0.17996582106400982</v>
      </c>
      <c r="J52" s="1" t="s">
        <v>43</v>
      </c>
      <c r="K52" s="58">
        <v>-99384.999071621147</v>
      </c>
      <c r="L52" s="58">
        <v>-71792.727551554446</v>
      </c>
      <c r="M52" s="58">
        <v>-334523.07526967721</v>
      </c>
      <c r="N52" s="58">
        <v>-270589.31724466127</v>
      </c>
      <c r="O52" s="58">
        <v>-85979.38253649688</v>
      </c>
      <c r="P52" s="58">
        <v>-862269.501674011</v>
      </c>
      <c r="Q52" s="73">
        <f t="shared" ref="Q52:Q82" si="11">P52/G52</f>
        <v>-0.27960603490286762</v>
      </c>
      <c r="R52" s="73"/>
      <c r="S52" s="73"/>
      <c r="T52" s="1" t="s">
        <v>43</v>
      </c>
      <c r="U52" s="58">
        <v>48552.355767088535</v>
      </c>
      <c r="V52" s="58">
        <v>-27757.935652882214</v>
      </c>
      <c r="W52" s="58">
        <v>-233902.6625009799</v>
      </c>
      <c r="X52" s="58">
        <v>-182302.54471526711</v>
      </c>
      <c r="Y52" s="58">
        <v>-60127.197916135257</v>
      </c>
      <c r="Z52" s="58">
        <v>-455537.98501817597</v>
      </c>
      <c r="AA52" s="73">
        <f t="shared" ref="AA52:AA82" si="12">Z52/G52</f>
        <v>-0.14771619486865251</v>
      </c>
    </row>
    <row r="53" spans="1:54">
      <c r="A53" s="1" t="s">
        <v>47</v>
      </c>
      <c r="B53" s="58"/>
      <c r="C53" s="58"/>
      <c r="D53" s="58">
        <v>669600</v>
      </c>
      <c r="E53" s="58">
        <v>737100</v>
      </c>
      <c r="F53" s="58">
        <v>1266156</v>
      </c>
      <c r="G53" s="58">
        <v>2672856</v>
      </c>
      <c r="H53" s="73">
        <f t="shared" si="10"/>
        <v>0.15598006942110296</v>
      </c>
      <c r="J53" s="1" t="s">
        <v>47</v>
      </c>
      <c r="K53" s="58"/>
      <c r="L53" s="58"/>
      <c r="M53" s="58">
        <v>157047.84519985082</v>
      </c>
      <c r="N53" s="58">
        <v>236222.97358290816</v>
      </c>
      <c r="O53" s="58">
        <v>161477.96662147201</v>
      </c>
      <c r="P53" s="58">
        <v>554748.78540423105</v>
      </c>
      <c r="Q53" s="73">
        <f t="shared" si="11"/>
        <v>0.20754907312785689</v>
      </c>
      <c r="R53" s="73"/>
      <c r="S53" s="73"/>
      <c r="T53" s="1" t="s">
        <v>47</v>
      </c>
      <c r="U53" s="58"/>
      <c r="V53" s="58"/>
      <c r="W53" s="58">
        <v>187117.03329896348</v>
      </c>
      <c r="X53" s="58">
        <v>267139.37469469855</v>
      </c>
      <c r="Y53" s="58">
        <v>206899.13099142045</v>
      </c>
      <c r="Z53" s="58">
        <v>661155.53898508253</v>
      </c>
      <c r="AA53" s="73">
        <f t="shared" si="12"/>
        <v>0.24735920640134842</v>
      </c>
    </row>
    <row r="54" spans="1:54">
      <c r="A54" s="1" t="s">
        <v>44</v>
      </c>
      <c r="B54" s="58"/>
      <c r="C54" s="58">
        <v>390000</v>
      </c>
      <c r="D54" s="58">
        <v>813921.7</v>
      </c>
      <c r="E54" s="58">
        <v>175000</v>
      </c>
      <c r="F54" s="58">
        <v>36400</v>
      </c>
      <c r="G54" s="58">
        <v>1415321.7</v>
      </c>
      <c r="H54" s="73">
        <f t="shared" si="10"/>
        <v>8.2594040613932607E-2</v>
      </c>
      <c r="J54" s="1" t="s">
        <v>44</v>
      </c>
      <c r="K54" s="58"/>
      <c r="L54" s="58">
        <v>67208.074977027863</v>
      </c>
      <c r="M54" s="58">
        <v>109432.56905430675</v>
      </c>
      <c r="N54" s="58">
        <v>-135540.56268828816</v>
      </c>
      <c r="O54" s="58">
        <v>27344.637889027614</v>
      </c>
      <c r="P54" s="58">
        <v>68444.719232074058</v>
      </c>
      <c r="Q54" s="73">
        <f t="shared" si="11"/>
        <v>4.8359831713223972E-2</v>
      </c>
      <c r="R54" s="73"/>
      <c r="S54" s="73"/>
      <c r="T54" s="1" t="s">
        <v>44</v>
      </c>
      <c r="U54" s="58"/>
      <c r="V54" s="58">
        <v>93234.517245889147</v>
      </c>
      <c r="W54" s="58">
        <v>155510.81563211366</v>
      </c>
      <c r="X54" s="58">
        <v>-115093.20745562259</v>
      </c>
      <c r="Y54" s="58">
        <v>30997.66397668741</v>
      </c>
      <c r="Z54" s="58">
        <v>164649.78939906764</v>
      </c>
      <c r="AA54" s="73">
        <f t="shared" si="12"/>
        <v>0.11633382671873656</v>
      </c>
    </row>
    <row r="55" spans="1:54">
      <c r="A55" s="1" t="s">
        <v>45</v>
      </c>
      <c r="B55" s="58"/>
      <c r="C55" s="58">
        <v>1066950</v>
      </c>
      <c r="D55" s="58"/>
      <c r="E55" s="58">
        <v>30250</v>
      </c>
      <c r="F55" s="58">
        <v>1047600</v>
      </c>
      <c r="G55" s="58">
        <v>2144800</v>
      </c>
      <c r="H55" s="73">
        <f t="shared" si="10"/>
        <v>0.12516426357962479</v>
      </c>
      <c r="J55" s="1" t="s">
        <v>45</v>
      </c>
      <c r="K55" s="58"/>
      <c r="L55" s="58">
        <v>-528551.03067647759</v>
      </c>
      <c r="M55" s="58"/>
      <c r="N55" s="58">
        <v>22098.301396410086</v>
      </c>
      <c r="O55" s="58">
        <v>128320.67209885846</v>
      </c>
      <c r="P55" s="58">
        <v>-378132.05718120903</v>
      </c>
      <c r="Q55" s="73">
        <f t="shared" si="11"/>
        <v>-0.17630177973760211</v>
      </c>
      <c r="R55" s="73"/>
      <c r="S55" s="73"/>
      <c r="T55" s="1" t="s">
        <v>45</v>
      </c>
      <c r="U55" s="58"/>
      <c r="V55" s="58">
        <v>-397868.25997648365</v>
      </c>
      <c r="W55" s="58"/>
      <c r="X55" s="58">
        <v>26056.909369454144</v>
      </c>
      <c r="Y55" s="58">
        <v>189017.10555535962</v>
      </c>
      <c r="Z55" s="58">
        <v>-182794.24505166989</v>
      </c>
      <c r="AA55" s="73">
        <f t="shared" si="12"/>
        <v>-8.5226708808126578E-2</v>
      </c>
    </row>
    <row r="56" spans="1:54">
      <c r="A56" s="1" t="s">
        <v>52</v>
      </c>
      <c r="B56" s="58"/>
      <c r="C56" s="58">
        <v>222750</v>
      </c>
      <c r="D56" s="58"/>
      <c r="E56" s="58">
        <v>712656</v>
      </c>
      <c r="F56" s="58"/>
      <c r="G56" s="58">
        <v>935406</v>
      </c>
      <c r="H56" s="73">
        <f t="shared" si="10"/>
        <v>5.4587562074768052E-2</v>
      </c>
      <c r="J56" s="1" t="s">
        <v>52</v>
      </c>
      <c r="K56" s="58"/>
      <c r="L56" s="58">
        <v>-61761.853200856276</v>
      </c>
      <c r="M56" s="58"/>
      <c r="N56" s="58">
        <v>33488.915662883344</v>
      </c>
      <c r="O56" s="58"/>
      <c r="P56" s="58">
        <v>-28272.937537972932</v>
      </c>
      <c r="Q56" s="73">
        <f t="shared" si="11"/>
        <v>-3.0225311295814794E-2</v>
      </c>
      <c r="R56" s="73"/>
      <c r="S56" s="73"/>
      <c r="T56" s="1" t="s">
        <v>52</v>
      </c>
      <c r="U56" s="58"/>
      <c r="V56" s="58">
        <v>-39238.97046818785</v>
      </c>
      <c r="W56" s="58"/>
      <c r="X56" s="58">
        <v>82062.016965185117</v>
      </c>
      <c r="Y56" s="58"/>
      <c r="Z56" s="58">
        <v>42823.046496997267</v>
      </c>
      <c r="AA56" s="73">
        <f t="shared" si="12"/>
        <v>4.5780170853081191E-2</v>
      </c>
    </row>
    <row r="57" spans="1:54">
      <c r="A57" s="1" t="s">
        <v>504</v>
      </c>
      <c r="B57" s="58"/>
      <c r="C57" s="58"/>
      <c r="D57" s="58"/>
      <c r="E57" s="58">
        <v>575100</v>
      </c>
      <c r="F57" s="58">
        <v>339780</v>
      </c>
      <c r="G57" s="58">
        <v>914880</v>
      </c>
      <c r="H57" s="73">
        <f t="shared" si="10"/>
        <v>5.3389724666042117E-2</v>
      </c>
      <c r="J57" s="1" t="s">
        <v>504</v>
      </c>
      <c r="K57" s="58"/>
      <c r="L57" s="58"/>
      <c r="M57" s="58"/>
      <c r="N57" s="58">
        <v>-40372.501406702482</v>
      </c>
      <c r="O57" s="58">
        <v>-25220.690461895549</v>
      </c>
      <c r="P57" s="58">
        <v>-65593.191868598034</v>
      </c>
      <c r="Q57" s="73">
        <f t="shared" si="11"/>
        <v>-7.1695951237974412E-2</v>
      </c>
      <c r="R57" s="73"/>
      <c r="S57" s="73"/>
      <c r="T57" s="1" t="s">
        <v>504</v>
      </c>
      <c r="U57" s="58"/>
      <c r="V57" s="58"/>
      <c r="W57" s="58"/>
      <c r="X57" s="58">
        <v>3793.7858958552006</v>
      </c>
      <c r="Y57" s="58">
        <v>-2487.6281163819085</v>
      </c>
      <c r="Z57" s="58">
        <v>1306.1577794732921</v>
      </c>
      <c r="AA57" s="73">
        <f t="shared" si="12"/>
        <v>1.4276820779482468E-3</v>
      </c>
      <c r="AH57" s="73"/>
    </row>
    <row r="58" spans="1:54">
      <c r="A58" s="1" t="s">
        <v>511</v>
      </c>
      <c r="B58" s="58"/>
      <c r="C58" s="58"/>
      <c r="D58" s="58"/>
      <c r="E58" s="58">
        <v>595782</v>
      </c>
      <c r="F58" s="58">
        <v>230850</v>
      </c>
      <c r="G58" s="58">
        <v>826632</v>
      </c>
      <c r="H58" s="73">
        <f t="shared" si="10"/>
        <v>4.8239829136214288E-2</v>
      </c>
      <c r="J58" s="1" t="s">
        <v>511</v>
      </c>
      <c r="K58" s="58"/>
      <c r="L58" s="58"/>
      <c r="M58" s="58"/>
      <c r="N58" s="58">
        <v>103402.65536590554</v>
      </c>
      <c r="O58" s="58">
        <v>63902.716265991046</v>
      </c>
      <c r="P58" s="58">
        <v>167305.37163189659</v>
      </c>
      <c r="Q58" s="73">
        <f t="shared" si="11"/>
        <v>0.20239401769093937</v>
      </c>
      <c r="R58" s="73"/>
      <c r="S58" s="73"/>
      <c r="T58" s="1" t="s">
        <v>511</v>
      </c>
      <c r="U58" s="58"/>
      <c r="V58" s="58"/>
      <c r="W58" s="58"/>
      <c r="X58" s="58">
        <v>138647.35263334657</v>
      </c>
      <c r="Y58" s="58">
        <v>75283.297539085019</v>
      </c>
      <c r="Z58" s="58">
        <v>213930.6501724316</v>
      </c>
      <c r="AA58" s="73">
        <f t="shared" si="12"/>
        <v>0.258797929637894</v>
      </c>
      <c r="AH58" s="73"/>
    </row>
    <row r="59" spans="1:54">
      <c r="A59" s="1" t="s">
        <v>49</v>
      </c>
      <c r="B59" s="58"/>
      <c r="C59" s="58"/>
      <c r="D59" s="58">
        <v>334800</v>
      </c>
      <c r="E59" s="58"/>
      <c r="F59" s="58">
        <v>299700</v>
      </c>
      <c r="G59" s="58">
        <v>634500</v>
      </c>
      <c r="H59" s="73">
        <f t="shared" si="10"/>
        <v>3.7027566785374826E-2</v>
      </c>
      <c r="J59" s="1" t="s">
        <v>49</v>
      </c>
      <c r="K59" s="58"/>
      <c r="L59" s="58"/>
      <c r="M59" s="58">
        <v>78523.922599925412</v>
      </c>
      <c r="N59" s="58"/>
      <c r="O59" s="58">
        <v>9116.5423238776166</v>
      </c>
      <c r="P59" s="58">
        <v>87640.464923803025</v>
      </c>
      <c r="Q59" s="73">
        <f t="shared" si="11"/>
        <v>0.13812524022663991</v>
      </c>
      <c r="R59" s="73"/>
      <c r="S59" s="73"/>
      <c r="T59" s="1" t="s">
        <v>49</v>
      </c>
      <c r="U59" s="58"/>
      <c r="V59" s="58"/>
      <c r="W59" s="58">
        <v>93558.516649481739</v>
      </c>
      <c r="X59" s="58"/>
      <c r="Y59" s="58">
        <v>20497.123596971593</v>
      </c>
      <c r="Z59" s="58">
        <v>114055.64024645333</v>
      </c>
      <c r="AA59" s="73">
        <f t="shared" si="12"/>
        <v>0.17975672221663253</v>
      </c>
      <c r="AH59" s="73"/>
    </row>
    <row r="60" spans="1:54">
      <c r="A60" s="1" t="s">
        <v>739</v>
      </c>
      <c r="B60" s="58"/>
      <c r="C60" s="58"/>
      <c r="D60" s="58"/>
      <c r="E60" s="58"/>
      <c r="F60" s="58">
        <v>490860</v>
      </c>
      <c r="G60" s="58">
        <v>490860</v>
      </c>
      <c r="H60" s="73">
        <f t="shared" si="10"/>
        <v>2.8645155921621888E-2</v>
      </c>
      <c r="J60" s="1" t="s">
        <v>739</v>
      </c>
      <c r="K60" s="58"/>
      <c r="L60" s="58"/>
      <c r="M60" s="58"/>
      <c r="N60" s="58"/>
      <c r="O60" s="58">
        <v>-73938.066548431496</v>
      </c>
      <c r="P60" s="58">
        <v>-73938.066548431496</v>
      </c>
      <c r="Q60" s="73">
        <f t="shared" si="11"/>
        <v>-0.15062964297036119</v>
      </c>
      <c r="R60" s="73"/>
      <c r="S60" s="73"/>
      <c r="T60" s="1" t="s">
        <v>739</v>
      </c>
      <c r="U60" s="58"/>
      <c r="V60" s="58"/>
      <c r="W60" s="58"/>
      <c r="X60" s="58"/>
      <c r="Y60" s="58">
        <v>-39796.322729149579</v>
      </c>
      <c r="Z60" s="58">
        <v>-39796.322729149579</v>
      </c>
      <c r="AA60" s="73">
        <f t="shared" si="12"/>
        <v>-8.1074690806237179E-2</v>
      </c>
      <c r="AH60" s="73"/>
    </row>
    <row r="61" spans="1:54">
      <c r="A61" s="1" t="s">
        <v>53</v>
      </c>
      <c r="B61" s="58">
        <v>140400</v>
      </c>
      <c r="C61" s="58">
        <v>77585</v>
      </c>
      <c r="D61" s="58"/>
      <c r="E61" s="58">
        <v>67500</v>
      </c>
      <c r="F61" s="58">
        <v>137550</v>
      </c>
      <c r="G61" s="58">
        <v>423035</v>
      </c>
      <c r="H61" s="73">
        <f t="shared" si="10"/>
        <v>2.4687087021357038E-2</v>
      </c>
      <c r="J61" s="1" t="s">
        <v>53</v>
      </c>
      <c r="K61" s="58">
        <v>-4808.7062191067926</v>
      </c>
      <c r="L61" s="58">
        <v>22418.890904629716</v>
      </c>
      <c r="M61" s="58"/>
      <c r="N61" s="58">
        <v>12648.31036862592</v>
      </c>
      <c r="O61" s="58">
        <v>75105.724004916396</v>
      </c>
      <c r="P61" s="58">
        <v>105364.21905906525</v>
      </c>
      <c r="Q61" s="73">
        <f t="shared" si="11"/>
        <v>0.24906737990725411</v>
      </c>
      <c r="R61" s="73"/>
      <c r="S61" s="73"/>
      <c r="T61" s="1" t="s">
        <v>53</v>
      </c>
      <c r="U61" s="58">
        <v>50667.80184540934</v>
      </c>
      <c r="V61" s="58">
        <v>26923.4674511634</v>
      </c>
      <c r="W61" s="58"/>
      <c r="X61" s="58">
        <v>17064.939098881689</v>
      </c>
      <c r="Y61" s="58">
        <v>82552.277183607526</v>
      </c>
      <c r="Z61" s="58">
        <v>177208.48557906196</v>
      </c>
      <c r="AA61" s="73">
        <f t="shared" si="12"/>
        <v>0.41889792943624515</v>
      </c>
      <c r="AH61" s="73"/>
    </row>
    <row r="62" spans="1:54">
      <c r="A62" s="1" t="s">
        <v>56</v>
      </c>
      <c r="B62" s="58">
        <v>74064</v>
      </c>
      <c r="C62" s="58"/>
      <c r="D62" s="58">
        <v>76700</v>
      </c>
      <c r="E62" s="58">
        <v>189800</v>
      </c>
      <c r="F62" s="58">
        <v>80600</v>
      </c>
      <c r="G62" s="58">
        <v>421164</v>
      </c>
      <c r="H62" s="73">
        <f t="shared" si="10"/>
        <v>2.4577900926076604E-2</v>
      </c>
      <c r="J62" s="1" t="s">
        <v>56</v>
      </c>
      <c r="K62" s="58">
        <v>4395.8630234323336</v>
      </c>
      <c r="L62" s="58"/>
      <c r="M62" s="58">
        <v>23395.544445719486</v>
      </c>
      <c r="N62" s="58">
        <v>-58876.341767248778</v>
      </c>
      <c r="O62" s="58">
        <v>26414.01158169542</v>
      </c>
      <c r="P62" s="58">
        <v>-4670.9227164015392</v>
      </c>
      <c r="Q62" s="73">
        <f t="shared" si="11"/>
        <v>-1.1090508012084459E-2</v>
      </c>
      <c r="R62" s="73"/>
      <c r="S62" s="73"/>
      <c r="T62" s="1" t="s">
        <v>56</v>
      </c>
      <c r="U62" s="58">
        <v>31106.774313754915</v>
      </c>
      <c r="V62" s="58"/>
      <c r="W62" s="58">
        <v>27014.983753946006</v>
      </c>
      <c r="X62" s="58">
        <v>-41864.142213670988</v>
      </c>
      <c r="Y62" s="58">
        <v>30067.037669355217</v>
      </c>
      <c r="Z62" s="58">
        <v>46324.653523385154</v>
      </c>
      <c r="AA62" s="73">
        <f t="shared" si="12"/>
        <v>0.10999195924481948</v>
      </c>
      <c r="AH62" s="73"/>
    </row>
    <row r="63" spans="1:54">
      <c r="A63" s="1" t="s">
        <v>48</v>
      </c>
      <c r="B63" s="58"/>
      <c r="C63" s="58">
        <v>142695</v>
      </c>
      <c r="D63" s="58">
        <v>135200</v>
      </c>
      <c r="E63" s="58">
        <v>76700</v>
      </c>
      <c r="F63" s="58"/>
      <c r="G63" s="58">
        <v>354595</v>
      </c>
      <c r="H63" s="73">
        <f t="shared" si="10"/>
        <v>2.0693128517352225E-2</v>
      </c>
      <c r="J63" s="1" t="s">
        <v>48</v>
      </c>
      <c r="K63" s="58"/>
      <c r="L63" s="58">
        <v>33230.094960144088</v>
      </c>
      <c r="M63" s="58">
        <v>27802.0250367976</v>
      </c>
      <c r="N63" s="58">
        <v>15811.218350243045</v>
      </c>
      <c r="O63" s="58"/>
      <c r="P63" s="58">
        <v>76843.338347184734</v>
      </c>
      <c r="Q63" s="73">
        <f t="shared" si="11"/>
        <v>0.21670733751797044</v>
      </c>
      <c r="R63" s="73"/>
      <c r="S63" s="73"/>
      <c r="T63" s="1" t="s">
        <v>48</v>
      </c>
      <c r="U63" s="58"/>
      <c r="V63" s="58">
        <v>42072.411884821326</v>
      </c>
      <c r="W63" s="58">
        <v>35040.903653250643</v>
      </c>
      <c r="X63" s="58">
        <v>20064.268238637491</v>
      </c>
      <c r="Y63" s="58"/>
      <c r="Z63" s="58">
        <v>97177.583776709464</v>
      </c>
      <c r="AA63" s="73">
        <f t="shared" si="12"/>
        <v>0.27405232385315492</v>
      </c>
      <c r="AH63" s="73"/>
    </row>
    <row r="64" spans="1:54">
      <c r="A64" s="1" t="s">
        <v>46</v>
      </c>
      <c r="B64" s="58"/>
      <c r="C64" s="58"/>
      <c r="D64" s="58">
        <v>352350</v>
      </c>
      <c r="E64" s="58"/>
      <c r="F64" s="58"/>
      <c r="G64" s="58">
        <v>352350</v>
      </c>
      <c r="H64" s="73">
        <f t="shared" si="10"/>
        <v>2.0562116874431553E-2</v>
      </c>
      <c r="J64" s="1" t="s">
        <v>46</v>
      </c>
      <c r="K64" s="58"/>
      <c r="L64" s="58"/>
      <c r="M64" s="58">
        <v>-204581.92754010882</v>
      </c>
      <c r="N64" s="58"/>
      <c r="O64" s="58"/>
      <c r="P64" s="58">
        <v>-204581.92754010882</v>
      </c>
      <c r="Q64" s="73">
        <f t="shared" si="11"/>
        <v>-0.58062133543382666</v>
      </c>
      <c r="R64" s="73"/>
      <c r="S64" s="73"/>
      <c r="T64" s="1" t="s">
        <v>46</v>
      </c>
      <c r="U64" s="58"/>
      <c r="V64" s="58"/>
      <c r="W64" s="58">
        <v>-170754.0909286071</v>
      </c>
      <c r="X64" s="58"/>
      <c r="Y64" s="58"/>
      <c r="Z64" s="58">
        <v>-170754.0909286071</v>
      </c>
      <c r="AA64" s="73">
        <f t="shared" si="12"/>
        <v>-0.48461498773551043</v>
      </c>
      <c r="AH64" s="73"/>
    </row>
    <row r="65" spans="1:34">
      <c r="A65" s="1" t="s">
        <v>50</v>
      </c>
      <c r="B65" s="58">
        <v>44722</v>
      </c>
      <c r="C65" s="58"/>
      <c r="D65" s="58">
        <v>236060</v>
      </c>
      <c r="E65" s="58"/>
      <c r="F65" s="58">
        <v>51725</v>
      </c>
      <c r="G65" s="58">
        <v>332507</v>
      </c>
      <c r="H65" s="73">
        <f t="shared" si="10"/>
        <v>1.9404137350834717E-2</v>
      </c>
      <c r="J65" s="1" t="s">
        <v>50</v>
      </c>
      <c r="K65" s="58">
        <v>-21341.424113569152</v>
      </c>
      <c r="L65" s="58"/>
      <c r="M65" s="58">
        <v>-235285.5054863535</v>
      </c>
      <c r="N65" s="58"/>
      <c r="O65" s="58">
        <v>-39041.511098779461</v>
      </c>
      <c r="P65" s="58">
        <v>-295668.44069870212</v>
      </c>
      <c r="Q65" s="73">
        <f t="shared" si="11"/>
        <v>-0.88920967287516395</v>
      </c>
      <c r="R65" s="73"/>
      <c r="S65" s="73"/>
      <c r="T65" s="1" t="s">
        <v>50</v>
      </c>
      <c r="U65" s="58">
        <v>3314.8016928824622</v>
      </c>
      <c r="V65" s="58"/>
      <c r="W65" s="58">
        <v>-205077.10818307832</v>
      </c>
      <c r="X65" s="58"/>
      <c r="Y65" s="58">
        <v>-32718.965947060591</v>
      </c>
      <c r="Z65" s="58">
        <v>-234481.27243725644</v>
      </c>
      <c r="AA65" s="73">
        <f t="shared" si="12"/>
        <v>-0.70519198825064267</v>
      </c>
      <c r="AH65" s="73"/>
    </row>
    <row r="66" spans="1:34">
      <c r="A66" s="1" t="s">
        <v>491</v>
      </c>
      <c r="B66" s="58"/>
      <c r="C66" s="58"/>
      <c r="D66" s="58"/>
      <c r="E66" s="58">
        <v>279504</v>
      </c>
      <c r="F66" s="58"/>
      <c r="G66" s="58">
        <v>279504</v>
      </c>
      <c r="H66" s="73">
        <f t="shared" si="10"/>
        <v>1.6311037079242564E-2</v>
      </c>
      <c r="J66" s="1" t="s">
        <v>491</v>
      </c>
      <c r="K66" s="58"/>
      <c r="L66" s="58"/>
      <c r="M66" s="58"/>
      <c r="N66" s="58">
        <v>-960.52499823002654</v>
      </c>
      <c r="O66" s="58"/>
      <c r="P66" s="58">
        <v>-960.52499823002654</v>
      </c>
      <c r="Q66" s="73">
        <f t="shared" si="11"/>
        <v>-3.4365339967586386E-3</v>
      </c>
      <c r="R66" s="73"/>
      <c r="S66" s="73"/>
      <c r="T66" s="1" t="s">
        <v>491</v>
      </c>
      <c r="U66" s="58"/>
      <c r="V66" s="58"/>
      <c r="W66" s="58"/>
      <c r="X66" s="58">
        <v>16647.101539722971</v>
      </c>
      <c r="Y66" s="58"/>
      <c r="Z66" s="58">
        <v>16647.101539722971</v>
      </c>
      <c r="AA66" s="73">
        <f t="shared" si="12"/>
        <v>5.9559439363025116E-2</v>
      </c>
      <c r="AH66" s="73"/>
    </row>
    <row r="67" spans="1:34">
      <c r="A67" s="1" t="s">
        <v>51</v>
      </c>
      <c r="B67" s="58"/>
      <c r="C67" s="58">
        <v>222750</v>
      </c>
      <c r="D67" s="58">
        <v>37800</v>
      </c>
      <c r="E67" s="58"/>
      <c r="F67" s="58"/>
      <c r="G67" s="58">
        <v>260550</v>
      </c>
      <c r="H67" s="73">
        <f t="shared" si="10"/>
        <v>1.5204936999100728E-2</v>
      </c>
      <c r="J67" s="1" t="s">
        <v>51</v>
      </c>
      <c r="K67" s="58"/>
      <c r="L67" s="58">
        <v>-54253.15320085625</v>
      </c>
      <c r="M67" s="58">
        <v>29722.687787067833</v>
      </c>
      <c r="N67" s="58"/>
      <c r="O67" s="58"/>
      <c r="P67" s="58">
        <v>-24530.465413788417</v>
      </c>
      <c r="Q67" s="73">
        <f t="shared" si="11"/>
        <v>-9.4148783012045351E-2</v>
      </c>
      <c r="R67" s="73"/>
      <c r="S67" s="73"/>
      <c r="T67" s="1" t="s">
        <v>51</v>
      </c>
      <c r="U67" s="58"/>
      <c r="V67" s="58">
        <v>-31730.270468187824</v>
      </c>
      <c r="W67" s="58">
        <v>33481.336299456911</v>
      </c>
      <c r="X67" s="58"/>
      <c r="Y67" s="58"/>
      <c r="Z67" s="58">
        <v>1751.0658312690866</v>
      </c>
      <c r="AA67" s="73">
        <f t="shared" si="12"/>
        <v>6.7206518183423013E-3</v>
      </c>
      <c r="AH67" s="73"/>
    </row>
    <row r="68" spans="1:34">
      <c r="A68" s="1" t="s">
        <v>58</v>
      </c>
      <c r="B68" s="58"/>
      <c r="C68" s="58"/>
      <c r="D68" s="58">
        <v>70200</v>
      </c>
      <c r="E68" s="58">
        <v>145800</v>
      </c>
      <c r="F68" s="58"/>
      <c r="G68" s="58">
        <v>216000</v>
      </c>
      <c r="H68" s="73">
        <f t="shared" si="10"/>
        <v>1.2605129118425474E-2</v>
      </c>
      <c r="J68" s="1" t="s">
        <v>58</v>
      </c>
      <c r="K68" s="58"/>
      <c r="L68" s="58"/>
      <c r="M68" s="58">
        <v>15768.24069218337</v>
      </c>
      <c r="N68" s="58">
        <v>26272.723296947872</v>
      </c>
      <c r="O68" s="58"/>
      <c r="P68" s="58">
        <v>42040.96398913124</v>
      </c>
      <c r="Q68" s="73">
        <f t="shared" si="11"/>
        <v>0.19463409254227426</v>
      </c>
      <c r="R68" s="73"/>
      <c r="S68" s="84"/>
      <c r="T68" s="1" t="s">
        <v>58</v>
      </c>
      <c r="U68" s="58"/>
      <c r="V68" s="58"/>
      <c r="W68" s="58">
        <v>19526.889204572453</v>
      </c>
      <c r="X68" s="58">
        <v>35105.980757459409</v>
      </c>
      <c r="Y68" s="58"/>
      <c r="Z68" s="58">
        <v>54632.869962031866</v>
      </c>
      <c r="AA68" s="73">
        <f t="shared" si="12"/>
        <v>0.2529299535279253</v>
      </c>
      <c r="AH68" s="118"/>
    </row>
    <row r="69" spans="1:34">
      <c r="A69" s="1" t="s">
        <v>55</v>
      </c>
      <c r="B69" s="58"/>
      <c r="C69" s="58">
        <v>77212.5</v>
      </c>
      <c r="D69" s="58"/>
      <c r="E69" s="58">
        <v>104700</v>
      </c>
      <c r="F69" s="58">
        <v>53812.5</v>
      </c>
      <c r="G69" s="58">
        <v>235725</v>
      </c>
      <c r="H69" s="73">
        <f t="shared" si="10"/>
        <v>1.3756222506670577E-2</v>
      </c>
      <c r="J69" s="1" t="s">
        <v>55</v>
      </c>
      <c r="K69" s="58"/>
      <c r="L69" s="58">
        <v>-9075.3986560806261</v>
      </c>
      <c r="M69" s="58"/>
      <c r="N69" s="58">
        <v>89462.251698432548</v>
      </c>
      <c r="O69" s="58">
        <v>47651.426522575959</v>
      </c>
      <c r="P69" s="58">
        <v>128038.27956492789</v>
      </c>
      <c r="Q69" s="73">
        <f t="shared" si="11"/>
        <v>0.54316801172946394</v>
      </c>
      <c r="R69" s="84"/>
      <c r="T69" s="1" t="s">
        <v>55</v>
      </c>
      <c r="U69" s="58"/>
      <c r="V69" s="58">
        <v>-66.245563013256287</v>
      </c>
      <c r="W69" s="58"/>
      <c r="X69" s="58">
        <v>98025.604069872905</v>
      </c>
      <c r="Y69" s="58">
        <v>51339.577861078636</v>
      </c>
      <c r="Z69" s="58">
        <v>149298.9363679383</v>
      </c>
      <c r="AA69" s="73">
        <f t="shared" si="12"/>
        <v>0.63336063789559149</v>
      </c>
      <c r="AH69" s="84"/>
    </row>
    <row r="70" spans="1:34">
      <c r="A70" s="1" t="s">
        <v>735</v>
      </c>
      <c r="B70" s="58"/>
      <c r="C70" s="58"/>
      <c r="D70" s="58"/>
      <c r="E70" s="58"/>
      <c r="F70" s="58">
        <v>174150</v>
      </c>
      <c r="G70" s="58">
        <v>174150</v>
      </c>
      <c r="H70" s="73">
        <f t="shared" si="10"/>
        <v>1.0162885351730539E-2</v>
      </c>
      <c r="J70" s="1" t="s">
        <v>735</v>
      </c>
      <c r="K70" s="58"/>
      <c r="L70" s="58"/>
      <c r="M70" s="58"/>
      <c r="N70" s="58"/>
      <c r="O70" s="58">
        <v>-13803.212182810516</v>
      </c>
      <c r="P70" s="58">
        <v>-13803.212182810516</v>
      </c>
      <c r="Q70" s="73">
        <f t="shared" si="11"/>
        <v>-7.9260477650361844E-2</v>
      </c>
      <c r="T70" s="1" t="s">
        <v>735</v>
      </c>
      <c r="U70" s="58"/>
      <c r="V70" s="58"/>
      <c r="W70" s="58"/>
      <c r="X70" s="58"/>
      <c r="Y70" s="58">
        <v>-2422.6309097165404</v>
      </c>
      <c r="Z70" s="58">
        <v>-2422.6309097165404</v>
      </c>
      <c r="AA70" s="73">
        <f t="shared" si="12"/>
        <v>-1.3911173756626703E-2</v>
      </c>
    </row>
    <row r="71" spans="1:34">
      <c r="A71" s="1" t="s">
        <v>722</v>
      </c>
      <c r="B71" s="58"/>
      <c r="C71" s="58"/>
      <c r="D71" s="58"/>
      <c r="E71" s="58"/>
      <c r="F71" s="58">
        <v>164700</v>
      </c>
      <c r="G71" s="58">
        <v>164700</v>
      </c>
      <c r="H71" s="73">
        <f t="shared" si="10"/>
        <v>9.6114109527994235E-3</v>
      </c>
      <c r="J71" s="1" t="s">
        <v>722</v>
      </c>
      <c r="K71" s="58"/>
      <c r="L71" s="58"/>
      <c r="M71" s="58"/>
      <c r="N71" s="58"/>
      <c r="O71" s="58">
        <v>53981.25084399405</v>
      </c>
      <c r="P71" s="58">
        <v>53981.25084399405</v>
      </c>
      <c r="Q71" s="73">
        <f t="shared" si="11"/>
        <v>0.32775501423190073</v>
      </c>
      <c r="T71" s="1" t="s">
        <v>722</v>
      </c>
      <c r="U71" s="58"/>
      <c r="V71" s="58"/>
      <c r="W71" s="58"/>
      <c r="X71" s="58"/>
      <c r="Y71" s="58">
        <v>61568.305026056703</v>
      </c>
      <c r="Z71" s="58">
        <v>61568.305026056703</v>
      </c>
      <c r="AA71" s="73">
        <f t="shared" si="12"/>
        <v>0.37382091697666486</v>
      </c>
    </row>
    <row r="72" spans="1:34">
      <c r="A72" s="1" t="s">
        <v>527</v>
      </c>
      <c r="B72" s="58"/>
      <c r="C72" s="58"/>
      <c r="D72" s="58"/>
      <c r="E72" s="58">
        <v>151256</v>
      </c>
      <c r="F72" s="58"/>
      <c r="G72" s="58">
        <v>151256</v>
      </c>
      <c r="H72" s="73">
        <f t="shared" si="10"/>
        <v>8.8268583793359411E-3</v>
      </c>
      <c r="J72" s="1" t="s">
        <v>527</v>
      </c>
      <c r="K72" s="58"/>
      <c r="L72" s="58"/>
      <c r="M72" s="58"/>
      <c r="N72" s="58">
        <v>34744.667163945742</v>
      </c>
      <c r="O72" s="58"/>
      <c r="P72" s="58">
        <v>34744.667163945742</v>
      </c>
      <c r="Q72" s="73">
        <f t="shared" si="11"/>
        <v>0.22970769532412427</v>
      </c>
      <c r="T72" s="1" t="s">
        <v>527</v>
      </c>
      <c r="U72" s="58"/>
      <c r="V72" s="58"/>
      <c r="W72" s="58"/>
      <c r="X72" s="58">
        <v>43218.051172362364</v>
      </c>
      <c r="Y72" s="58"/>
      <c r="Z72" s="58">
        <v>43218.051172362364</v>
      </c>
      <c r="AA72" s="73">
        <f t="shared" si="12"/>
        <v>0.28572784664649575</v>
      </c>
    </row>
    <row r="73" spans="1:34">
      <c r="A73" s="1" t="s">
        <v>738</v>
      </c>
      <c r="B73" s="58"/>
      <c r="C73" s="58"/>
      <c r="D73" s="58"/>
      <c r="E73" s="58"/>
      <c r="F73" s="58">
        <v>109620</v>
      </c>
      <c r="G73" s="58">
        <v>109620</v>
      </c>
      <c r="H73" s="73">
        <f t="shared" si="10"/>
        <v>6.397103027600928E-3</v>
      </c>
      <c r="J73" s="1" t="s">
        <v>738</v>
      </c>
      <c r="K73" s="58"/>
      <c r="L73" s="58"/>
      <c r="M73" s="58"/>
      <c r="N73" s="58"/>
      <c r="O73" s="58">
        <v>-15876.541455207</v>
      </c>
      <c r="P73" s="58">
        <v>-15876.541455207</v>
      </c>
      <c r="Q73" s="73">
        <f t="shared" si="11"/>
        <v>-0.14483252559028462</v>
      </c>
      <c r="T73" s="1" t="s">
        <v>738</v>
      </c>
      <c r="U73" s="58"/>
      <c r="V73" s="58"/>
      <c r="W73" s="58"/>
      <c r="X73" s="58"/>
      <c r="Y73" s="58">
        <v>-8289.4872731443502</v>
      </c>
      <c r="Z73" s="58">
        <v>-8289.4872731443502</v>
      </c>
      <c r="AA73" s="73">
        <f t="shared" si="12"/>
        <v>-7.5620208658496169E-2</v>
      </c>
    </row>
    <row r="74" spans="1:34">
      <c r="A74" s="1" t="s">
        <v>54</v>
      </c>
      <c r="B74" s="58"/>
      <c r="C74" s="58">
        <v>91800</v>
      </c>
      <c r="D74" s="58"/>
      <c r="E74" s="58"/>
      <c r="F74" s="58"/>
      <c r="G74" s="58">
        <v>91800</v>
      </c>
      <c r="H74" s="118">
        <f t="shared" si="10"/>
        <v>5.3571798753308262E-3</v>
      </c>
      <c r="J74" s="1" t="s">
        <v>54</v>
      </c>
      <c r="K74" s="58"/>
      <c r="L74" s="58">
        <v>27314.314343834681</v>
      </c>
      <c r="M74" s="58"/>
      <c r="N74" s="58"/>
      <c r="O74" s="58"/>
      <c r="P74" s="58">
        <v>27314.314343834681</v>
      </c>
      <c r="Q74" s="118">
        <f t="shared" si="11"/>
        <v>0.29754155058643444</v>
      </c>
      <c r="T74" s="1" t="s">
        <v>54</v>
      </c>
      <c r="U74" s="58"/>
      <c r="V74" s="58">
        <v>31818.890890368366</v>
      </c>
      <c r="W74" s="58"/>
      <c r="X74" s="58"/>
      <c r="Y74" s="58"/>
      <c r="Z74" s="58">
        <v>31818.890890368366</v>
      </c>
      <c r="AA74" s="118">
        <f t="shared" si="12"/>
        <v>0.34661101187765103</v>
      </c>
    </row>
    <row r="75" spans="1:34">
      <c r="A75" s="1" t="s">
        <v>422</v>
      </c>
      <c r="B75" s="58">
        <v>24314.28</v>
      </c>
      <c r="C75" s="58">
        <v>40026</v>
      </c>
      <c r="D75" s="58">
        <v>26456.610000000008</v>
      </c>
      <c r="E75" s="58"/>
      <c r="F75" s="58"/>
      <c r="G75" s="58">
        <v>90796.890000000014</v>
      </c>
      <c r="H75" s="118">
        <f t="shared" si="10"/>
        <v>5.2986413055623833E-3</v>
      </c>
      <c r="J75" s="1" t="s">
        <v>422</v>
      </c>
      <c r="K75" s="58">
        <v>24314.28</v>
      </c>
      <c r="L75" s="58">
        <v>40026</v>
      </c>
      <c r="M75" s="58">
        <v>26456.610000000008</v>
      </c>
      <c r="N75" s="58"/>
      <c r="O75" s="58"/>
      <c r="P75" s="58">
        <v>90796.890000000014</v>
      </c>
      <c r="Q75" s="118">
        <f t="shared" si="11"/>
        <v>1</v>
      </c>
      <c r="T75" s="1" t="s">
        <v>422</v>
      </c>
      <c r="U75" s="58">
        <v>24314.28</v>
      </c>
      <c r="V75" s="58">
        <v>40026</v>
      </c>
      <c r="W75" s="58">
        <v>26456.610000000008</v>
      </c>
      <c r="X75" s="58"/>
      <c r="Y75" s="58"/>
      <c r="Z75" s="58">
        <v>90796.890000000014</v>
      </c>
      <c r="AA75" s="118">
        <f t="shared" si="12"/>
        <v>1</v>
      </c>
    </row>
    <row r="76" spans="1:34">
      <c r="A76" s="1" t="s">
        <v>725</v>
      </c>
      <c r="B76" s="58"/>
      <c r="C76" s="58"/>
      <c r="D76" s="58"/>
      <c r="E76" s="58"/>
      <c r="F76" s="58">
        <v>83700</v>
      </c>
      <c r="G76" s="58">
        <v>83700</v>
      </c>
      <c r="H76" s="118">
        <f t="shared" si="10"/>
        <v>4.8844875333898712E-3</v>
      </c>
      <c r="J76" s="1" t="s">
        <v>725</v>
      </c>
      <c r="K76" s="58"/>
      <c r="L76" s="58"/>
      <c r="M76" s="58"/>
      <c r="N76" s="58"/>
      <c r="O76" s="58">
        <v>28382.155421997024</v>
      </c>
      <c r="P76" s="58">
        <v>28382.155421997024</v>
      </c>
      <c r="Q76" s="118">
        <f t="shared" si="11"/>
        <v>0.33909385211465981</v>
      </c>
      <c r="T76" s="1" t="s">
        <v>725</v>
      </c>
      <c r="U76" s="58"/>
      <c r="V76" s="58"/>
      <c r="W76" s="58"/>
      <c r="X76" s="58"/>
      <c r="Y76" s="58">
        <v>32175.682513028351</v>
      </c>
      <c r="Z76" s="58">
        <v>32175.682513028351</v>
      </c>
      <c r="AA76" s="118">
        <f t="shared" si="12"/>
        <v>0.38441675642805678</v>
      </c>
    </row>
    <row r="77" spans="1:34">
      <c r="A77" s="1" t="s">
        <v>533</v>
      </c>
      <c r="B77" s="58"/>
      <c r="C77" s="58"/>
      <c r="D77" s="58"/>
      <c r="E77" s="58">
        <v>81000</v>
      </c>
      <c r="F77" s="58"/>
      <c r="G77" s="58">
        <v>81000</v>
      </c>
      <c r="H77" s="118">
        <f t="shared" si="10"/>
        <v>4.7269234194095523E-3</v>
      </c>
      <c r="J77" s="1" t="s">
        <v>533</v>
      </c>
      <c r="K77" s="58"/>
      <c r="L77" s="58"/>
      <c r="M77" s="58"/>
      <c r="N77" s="58">
        <v>21592.661648473932</v>
      </c>
      <c r="O77" s="58"/>
      <c r="P77" s="58">
        <v>21592.661648473932</v>
      </c>
      <c r="Q77" s="118">
        <f t="shared" si="11"/>
        <v>0.26657606973424608</v>
      </c>
      <c r="T77" s="1" t="s">
        <v>533</v>
      </c>
      <c r="U77" s="58"/>
      <c r="V77" s="58"/>
      <c r="W77" s="58"/>
      <c r="X77" s="58">
        <v>26009.2903787297</v>
      </c>
      <c r="Y77" s="58"/>
      <c r="Z77" s="58">
        <v>26009.2903787297</v>
      </c>
      <c r="AA77" s="118">
        <f t="shared" si="12"/>
        <v>0.32110235035468765</v>
      </c>
    </row>
    <row r="78" spans="1:34">
      <c r="A78" s="1" t="s">
        <v>728</v>
      </c>
      <c r="B78" s="58"/>
      <c r="C78" s="58"/>
      <c r="D78" s="58"/>
      <c r="E78" s="58"/>
      <c r="F78" s="58">
        <v>67500</v>
      </c>
      <c r="G78" s="58">
        <v>67500</v>
      </c>
      <c r="H78" s="118">
        <f t="shared" si="10"/>
        <v>3.9391028495079604E-3</v>
      </c>
      <c r="J78" s="1" t="s">
        <v>728</v>
      </c>
      <c r="K78" s="58"/>
      <c r="L78" s="58"/>
      <c r="M78" s="58"/>
      <c r="N78" s="58"/>
      <c r="O78" s="58">
        <v>61092.91242322098</v>
      </c>
      <c r="P78" s="58">
        <v>61092.91242322098</v>
      </c>
      <c r="Q78" s="118">
        <f t="shared" si="11"/>
        <v>0.90508018404771817</v>
      </c>
      <c r="T78" s="1" t="s">
        <v>728</v>
      </c>
      <c r="U78" s="58"/>
      <c r="V78" s="58"/>
      <c r="W78" s="58"/>
      <c r="X78" s="58"/>
      <c r="Y78" s="58">
        <v>64886.439514252306</v>
      </c>
      <c r="Z78" s="58">
        <v>64886.439514252306</v>
      </c>
      <c r="AA78" s="118">
        <f t="shared" si="12"/>
        <v>0.96128058539633043</v>
      </c>
    </row>
    <row r="79" spans="1:34">
      <c r="A79" s="1" t="s">
        <v>714</v>
      </c>
      <c r="B79" s="58"/>
      <c r="C79" s="58"/>
      <c r="D79" s="58"/>
      <c r="E79" s="58"/>
      <c r="F79" s="58">
        <v>54000</v>
      </c>
      <c r="G79" s="58">
        <v>54000</v>
      </c>
      <c r="H79" s="118">
        <f t="shared" si="10"/>
        <v>3.1512822796063685E-3</v>
      </c>
      <c r="J79" s="1" t="s">
        <v>714</v>
      </c>
      <c r="K79" s="58"/>
      <c r="L79" s="58"/>
      <c r="M79" s="58"/>
      <c r="N79" s="58"/>
      <c r="O79" s="58">
        <v>-8875.5707276034991</v>
      </c>
      <c r="P79" s="58">
        <v>-8875.5707276034991</v>
      </c>
      <c r="Q79" s="118">
        <f t="shared" si="11"/>
        <v>-0.16436242088154629</v>
      </c>
      <c r="T79" s="1" t="s">
        <v>714</v>
      </c>
      <c r="U79" s="58"/>
      <c r="V79" s="58"/>
      <c r="W79" s="58"/>
      <c r="X79" s="58"/>
      <c r="Y79" s="58">
        <v>-5082.0436365721753</v>
      </c>
      <c r="Z79" s="58">
        <v>-5082.0436365721753</v>
      </c>
      <c r="AA79" s="118">
        <f t="shared" si="12"/>
        <v>-9.4111919195781019E-2</v>
      </c>
    </row>
    <row r="80" spans="1:34">
      <c r="A80" s="1" t="s">
        <v>57</v>
      </c>
      <c r="B80" s="58"/>
      <c r="C80" s="58"/>
      <c r="D80" s="58">
        <v>39000</v>
      </c>
      <c r="E80" s="58"/>
      <c r="F80" s="58"/>
      <c r="G80" s="58">
        <v>39000</v>
      </c>
      <c r="H80" s="118">
        <f t="shared" si="10"/>
        <v>2.2759260908268215E-3</v>
      </c>
      <c r="J80" s="1" t="s">
        <v>57</v>
      </c>
      <c r="K80" s="58"/>
      <c r="L80" s="58"/>
      <c r="M80" s="58">
        <v>-20408.20685685561</v>
      </c>
      <c r="N80" s="58"/>
      <c r="O80" s="58"/>
      <c r="P80" s="58">
        <v>-20408.20685685561</v>
      </c>
      <c r="Q80" s="118">
        <f t="shared" si="11"/>
        <v>-0.52328735530398995</v>
      </c>
      <c r="T80" s="1" t="s">
        <v>57</v>
      </c>
      <c r="U80" s="58"/>
      <c r="V80" s="58"/>
      <c r="W80" s="58">
        <v>-16788.76754862909</v>
      </c>
      <c r="X80" s="58"/>
      <c r="Y80" s="58"/>
      <c r="Z80" s="58">
        <v>-16788.76754862909</v>
      </c>
      <c r="AA80" s="118">
        <f t="shared" si="12"/>
        <v>-0.43048121919561771</v>
      </c>
    </row>
    <row r="81" spans="1:27">
      <c r="A81" s="1" t="s">
        <v>719</v>
      </c>
      <c r="B81" s="58"/>
      <c r="C81" s="58"/>
      <c r="D81" s="58"/>
      <c r="E81" s="58"/>
      <c r="F81" s="58">
        <v>33800</v>
      </c>
      <c r="G81" s="58">
        <v>33800</v>
      </c>
      <c r="H81" s="118">
        <f t="shared" si="10"/>
        <v>1.9724692787165786E-3</v>
      </c>
      <c r="J81" s="1" t="s">
        <v>719</v>
      </c>
      <c r="K81" s="58"/>
      <c r="L81" s="58"/>
      <c r="M81" s="58"/>
      <c r="N81" s="58"/>
      <c r="O81" s="58">
        <v>-18169.471745961473</v>
      </c>
      <c r="P81" s="58">
        <v>-18169.471745961473</v>
      </c>
      <c r="Q81" s="118">
        <f t="shared" si="11"/>
        <v>-0.53755833567933353</v>
      </c>
      <c r="T81" s="1" t="s">
        <v>719</v>
      </c>
      <c r="U81" s="58"/>
      <c r="V81" s="58"/>
      <c r="W81" s="58"/>
      <c r="X81" s="58"/>
      <c r="Y81" s="58">
        <v>-14516.445658301676</v>
      </c>
      <c r="Z81" s="58">
        <v>-14516.445658301676</v>
      </c>
      <c r="AA81" s="118">
        <f t="shared" si="12"/>
        <v>-0.42948064077815612</v>
      </c>
    </row>
    <row r="82" spans="1:27">
      <c r="A82" s="1" t="s">
        <v>9</v>
      </c>
      <c r="B82" s="58">
        <v>564615.28</v>
      </c>
      <c r="C82" s="58">
        <v>2769824.5</v>
      </c>
      <c r="D82" s="58">
        <v>3896418.31</v>
      </c>
      <c r="E82" s="58">
        <v>4888920</v>
      </c>
      <c r="F82" s="58">
        <v>5016103.5</v>
      </c>
      <c r="G82" s="58">
        <v>17135881.59</v>
      </c>
      <c r="H82" s="84">
        <f t="shared" si="10"/>
        <v>1</v>
      </c>
      <c r="J82" s="1" t="s">
        <v>9</v>
      </c>
      <c r="K82" s="58">
        <v>-96824.986380864764</v>
      </c>
      <c r="L82" s="58">
        <v>-535236.78810018883</v>
      </c>
      <c r="M82" s="58">
        <v>-326649.27033714385</v>
      </c>
      <c r="N82" s="58">
        <v>89405.430429645479</v>
      </c>
      <c r="O82" s="58">
        <v>401885.56924044067</v>
      </c>
      <c r="P82" s="58">
        <v>-467420.04514811136</v>
      </c>
      <c r="Q82" s="84">
        <f t="shared" si="11"/>
        <v>-2.7277268618667628E-2</v>
      </c>
      <c r="T82" s="1" t="s">
        <v>9</v>
      </c>
      <c r="U82" s="58">
        <v>157956.01361913525</v>
      </c>
      <c r="V82" s="58">
        <v>-262586.39465651248</v>
      </c>
      <c r="W82" s="58">
        <v>-48815.540669509515</v>
      </c>
      <c r="X82" s="58">
        <v>434574.78042964538</v>
      </c>
      <c r="Y82" s="58">
        <v>679842.91924044082</v>
      </c>
      <c r="Z82" s="58">
        <v>960971.77796319965</v>
      </c>
      <c r="AA82" s="84">
        <f t="shared" si="12"/>
        <v>5.6079506205504753E-2</v>
      </c>
    </row>
    <row r="83" spans="1:27">
      <c r="H83" s="84"/>
      <c r="Q83" s="84"/>
      <c r="AA83" s="84"/>
    </row>
    <row r="84" spans="1:27">
      <c r="A84" s="1"/>
      <c r="B84" s="58"/>
      <c r="C84" s="58"/>
      <c r="D84" s="58"/>
      <c r="E84" s="58"/>
      <c r="F84" s="58"/>
      <c r="G84" s="58"/>
      <c r="H84" s="84"/>
      <c r="J84" s="1"/>
      <c r="K84" s="58"/>
      <c r="L84" s="58"/>
      <c r="M84" s="58"/>
      <c r="N84" s="58"/>
      <c r="O84" s="58"/>
      <c r="P84" s="58"/>
      <c r="Q84" s="84"/>
      <c r="T84" s="1"/>
      <c r="U84" s="58"/>
      <c r="V84" s="58"/>
      <c r="W84" s="58"/>
      <c r="X84" s="58"/>
      <c r="Y84" s="58"/>
      <c r="Z84" s="58"/>
      <c r="AA84" s="84"/>
    </row>
    <row r="85" spans="1:27">
      <c r="H85" s="73"/>
    </row>
    <row r="91" spans="1:27">
      <c r="H91" s="165"/>
    </row>
    <row r="92" spans="1:27">
      <c r="H92" s="82"/>
    </row>
    <row r="93" spans="1:27">
      <c r="H93" s="226"/>
    </row>
    <row r="94" spans="1:27">
      <c r="H94" s="227"/>
    </row>
    <row r="95" spans="1:27">
      <c r="H95" s="227"/>
    </row>
    <row r="96" spans="1:27">
      <c r="J96" s="56"/>
    </row>
    <row r="97" spans="1:10">
      <c r="E97" s="225"/>
      <c r="F97" s="56"/>
      <c r="G97" s="56"/>
      <c r="I97" s="232"/>
      <c r="J97" s="58"/>
    </row>
    <row r="98" spans="1:10">
      <c r="E98" s="232"/>
      <c r="F98" s="83"/>
      <c r="G98" s="83"/>
      <c r="I98" s="232"/>
      <c r="J98" s="83"/>
    </row>
    <row r="99" spans="1:10">
      <c r="E99" s="232"/>
      <c r="F99" s="79"/>
      <c r="G99" s="79"/>
      <c r="I99" s="232"/>
      <c r="J99" s="83"/>
    </row>
    <row r="100" spans="1:10">
      <c r="E100" s="232"/>
      <c r="F100" s="79"/>
      <c r="G100" s="79"/>
      <c r="I100" s="232"/>
      <c r="J100" s="83"/>
    </row>
    <row r="101" spans="1:10">
      <c r="E101" s="232"/>
      <c r="F101" s="79"/>
      <c r="G101" s="79"/>
      <c r="I101" s="232"/>
      <c r="J101" s="83"/>
    </row>
    <row r="102" spans="1:10">
      <c r="F102" s="79"/>
      <c r="G102" s="79"/>
      <c r="J102" s="79"/>
    </row>
    <row r="106" spans="1:10">
      <c r="A106" s="1"/>
      <c r="B106" s="58"/>
      <c r="C106" s="58"/>
      <c r="D106" s="58"/>
    </row>
    <row r="107" spans="1:10">
      <c r="A107" s="1"/>
      <c r="B107" s="58"/>
      <c r="C107" s="58"/>
      <c r="D107" s="58"/>
      <c r="E107" s="58"/>
      <c r="F107" s="58"/>
      <c r="G107" s="58"/>
    </row>
    <row r="108" spans="1:10">
      <c r="A108" s="1"/>
      <c r="B108" s="58"/>
      <c r="C108" s="58"/>
      <c r="D108" s="58"/>
      <c r="E108" s="58"/>
      <c r="F108" s="58"/>
      <c r="G108" s="58"/>
    </row>
    <row r="109" spans="1:10">
      <c r="A109" s="78"/>
      <c r="B109" s="79"/>
      <c r="C109" s="79"/>
      <c r="D109" s="79"/>
      <c r="E109" s="79"/>
      <c r="F109" s="79"/>
      <c r="G109" s="79"/>
    </row>
  </sheetData>
  <mergeCells count="9">
    <mergeCell ref="A4:E4"/>
    <mergeCell ref="J5:N5"/>
    <mergeCell ref="T5:X5"/>
    <mergeCell ref="A49:E49"/>
    <mergeCell ref="T49:X49"/>
    <mergeCell ref="J49:Q49"/>
    <mergeCell ref="A25:E25"/>
    <mergeCell ref="J25:N25"/>
    <mergeCell ref="T25:X25"/>
  </mergeCells>
  <phoneticPr fontId="31" type="noConversion"/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DF5D-4B52-4DC0-B796-EF7D4CAE41BF}">
  <sheetPr filterMode="1"/>
  <dimension ref="B2:BR166"/>
  <sheetViews>
    <sheetView showGridLines="0" zoomScale="80" zoomScaleNormal="80" workbookViewId="0">
      <pane xSplit="8" ySplit="3" topLeftCell="AA125" activePane="bottomRight" state="frozen"/>
      <selection pane="topRight" activeCell="I1" sqref="I1"/>
      <selection pane="bottomLeft" activeCell="A4" sqref="A4"/>
      <selection pane="bottomRight" activeCell="AF156" sqref="AF156"/>
    </sheetView>
  </sheetViews>
  <sheetFormatPr baseColWidth="10" defaultColWidth="11.44140625" defaultRowHeight="14.4" outlineLevelCol="1"/>
  <cols>
    <col min="2" max="2" width="11.5546875" customWidth="1" outlineLevel="1"/>
    <col min="3" max="3" width="11.5546875"/>
    <col min="7" max="7" width="15.77734375" bestFit="1" customWidth="1"/>
    <col min="8" max="8" width="36" customWidth="1"/>
    <col min="10" max="12" width="11.5546875" customWidth="1" outlineLevel="1"/>
    <col min="13" max="13" width="26.77734375" customWidth="1" outlineLevel="1"/>
    <col min="14" max="15" width="11.5546875" customWidth="1" outlineLevel="1"/>
    <col min="16" max="16" width="13.33203125" customWidth="1"/>
    <col min="17" max="18" width="11.5546875" customWidth="1" outlineLevel="1"/>
    <col min="19" max="19" width="14.44140625" customWidth="1"/>
    <col min="20" max="24" width="11.5546875" customWidth="1" outlineLevel="1"/>
    <col min="25" max="26" width="16.33203125" customWidth="1" outlineLevel="1"/>
    <col min="27" max="27" width="32.109375" customWidth="1" outlineLevel="1"/>
    <col min="28" max="28" width="12.109375" customWidth="1"/>
    <col min="29" max="32" width="12.109375" customWidth="1" outlineLevel="1"/>
    <col min="33" max="33" width="14" bestFit="1" customWidth="1"/>
    <col min="34" max="35" width="12.21875" customWidth="1" outlineLevel="1"/>
    <col min="36" max="36" width="13.21875" customWidth="1" outlineLevel="1"/>
    <col min="37" max="38" width="11.33203125" customWidth="1"/>
    <col min="39" max="41" width="12.109375" customWidth="1" outlineLevel="1"/>
    <col min="42" max="49" width="12.109375" customWidth="1"/>
    <col min="50" max="50" width="15.33203125" customWidth="1"/>
    <col min="51" max="51" width="12.109375" customWidth="1"/>
  </cols>
  <sheetData>
    <row r="2" spans="2:70">
      <c r="G2" s="125" t="s">
        <v>423</v>
      </c>
      <c r="H2" s="125" t="s">
        <v>423</v>
      </c>
      <c r="M2" s="125" t="s">
        <v>423</v>
      </c>
      <c r="P2" s="125" t="s">
        <v>423</v>
      </c>
      <c r="AV2" s="125" t="s">
        <v>423</v>
      </c>
      <c r="AW2" s="125" t="s">
        <v>423</v>
      </c>
      <c r="BB2" s="261" t="s">
        <v>3</v>
      </c>
      <c r="BC2" s="261"/>
      <c r="BD2" s="261"/>
      <c r="BE2" s="261"/>
      <c r="BF2" s="261"/>
      <c r="BG2" s="261"/>
      <c r="BH2" s="261"/>
      <c r="BI2" s="261"/>
      <c r="BJ2" s="261"/>
      <c r="BK2" s="261"/>
      <c r="BL2" s="261"/>
      <c r="BM2" s="261"/>
      <c r="BN2" s="261"/>
      <c r="BO2" s="261"/>
      <c r="BP2" s="261"/>
      <c r="BQ2" s="261"/>
      <c r="BR2" s="261"/>
    </row>
    <row r="3" spans="2:70" ht="43.2">
      <c r="B3" s="33" t="s">
        <v>59</v>
      </c>
      <c r="C3" s="37" t="s">
        <v>60</v>
      </c>
      <c r="D3" s="34" t="s">
        <v>61</v>
      </c>
      <c r="E3" s="34" t="s">
        <v>62</v>
      </c>
      <c r="F3" s="35" t="s">
        <v>63</v>
      </c>
      <c r="G3" s="36" t="s">
        <v>64</v>
      </c>
      <c r="H3" s="37" t="s">
        <v>65</v>
      </c>
      <c r="I3" s="37" t="s">
        <v>66</v>
      </c>
      <c r="J3" s="37" t="s">
        <v>67</v>
      </c>
      <c r="K3" s="34" t="s">
        <v>68</v>
      </c>
      <c r="L3" s="34" t="s">
        <v>69</v>
      </c>
      <c r="M3" s="34" t="s">
        <v>70</v>
      </c>
      <c r="N3" s="34" t="s">
        <v>71</v>
      </c>
      <c r="O3" s="36" t="s">
        <v>72</v>
      </c>
      <c r="P3" s="47" t="s">
        <v>73</v>
      </c>
      <c r="Q3" s="36" t="s">
        <v>74</v>
      </c>
      <c r="R3" s="36" t="s">
        <v>75</v>
      </c>
      <c r="S3" s="47" t="s">
        <v>76</v>
      </c>
      <c r="T3" s="38" t="s">
        <v>77</v>
      </c>
      <c r="U3" s="34" t="s">
        <v>78</v>
      </c>
      <c r="V3" s="39" t="s">
        <v>79</v>
      </c>
      <c r="W3" s="40" t="s">
        <v>80</v>
      </c>
      <c r="X3" s="41" t="s">
        <v>81</v>
      </c>
      <c r="Y3" s="33" t="s">
        <v>82</v>
      </c>
      <c r="Z3" s="6" t="s">
        <v>83</v>
      </c>
      <c r="AA3" s="42" t="s">
        <v>84</v>
      </c>
      <c r="AB3" s="43" t="s">
        <v>85</v>
      </c>
      <c r="AC3" s="75" t="s">
        <v>86</v>
      </c>
      <c r="AD3" s="75" t="s">
        <v>87</v>
      </c>
      <c r="AE3" s="75" t="s">
        <v>88</v>
      </c>
      <c r="AF3" s="75" t="s">
        <v>89</v>
      </c>
      <c r="AG3" s="43" t="s">
        <v>90</v>
      </c>
      <c r="AH3" s="109" t="s">
        <v>417</v>
      </c>
      <c r="AI3" s="109" t="s">
        <v>418</v>
      </c>
      <c r="AJ3" s="109" t="s">
        <v>419</v>
      </c>
      <c r="AK3" s="43" t="s">
        <v>91</v>
      </c>
      <c r="AL3" s="89" t="s">
        <v>92</v>
      </c>
      <c r="AM3" s="76" t="s">
        <v>93</v>
      </c>
      <c r="AN3" s="75" t="s">
        <v>671</v>
      </c>
      <c r="AO3" s="76" t="s">
        <v>94</v>
      </c>
      <c r="AP3" s="43" t="s">
        <v>95</v>
      </c>
      <c r="AQ3" s="43" t="s">
        <v>96</v>
      </c>
      <c r="AR3" s="33" t="s">
        <v>97</v>
      </c>
      <c r="AS3" s="43" t="s">
        <v>98</v>
      </c>
      <c r="AT3" s="89" t="s">
        <v>99</v>
      </c>
      <c r="AU3" s="43" t="s">
        <v>100</v>
      </c>
      <c r="AV3" s="43" t="s">
        <v>101</v>
      </c>
      <c r="AW3" s="89" t="s">
        <v>102</v>
      </c>
      <c r="AX3" s="33" t="s">
        <v>103</v>
      </c>
      <c r="AY3" s="33" t="s">
        <v>42</v>
      </c>
      <c r="AZ3" s="89" t="s">
        <v>104</v>
      </c>
      <c r="BB3" s="43" t="s">
        <v>105</v>
      </c>
      <c r="BC3" s="75" t="s">
        <v>86</v>
      </c>
      <c r="BD3" s="75" t="s">
        <v>87</v>
      </c>
      <c r="BE3" s="75" t="s">
        <v>88</v>
      </c>
      <c r="BF3" s="75" t="s">
        <v>89</v>
      </c>
      <c r="BG3" s="43" t="s">
        <v>90</v>
      </c>
      <c r="BH3" s="43" t="s">
        <v>91</v>
      </c>
      <c r="BI3" s="76" t="s">
        <v>93</v>
      </c>
      <c r="BJ3" s="76" t="s">
        <v>94</v>
      </c>
      <c r="BK3" s="43" t="s">
        <v>95</v>
      </c>
      <c r="BL3" s="43" t="s">
        <v>96</v>
      </c>
      <c r="BM3" s="33" t="s">
        <v>97</v>
      </c>
      <c r="BN3" s="43" t="s">
        <v>98</v>
      </c>
      <c r="BO3" s="43" t="s">
        <v>100</v>
      </c>
      <c r="BP3" s="43" t="s">
        <v>101</v>
      </c>
      <c r="BQ3" s="33" t="s">
        <v>103</v>
      </c>
      <c r="BR3" s="33" t="s">
        <v>42</v>
      </c>
    </row>
    <row r="4" spans="2:70" hidden="1">
      <c r="B4" s="4" t="s">
        <v>6</v>
      </c>
      <c r="C4" s="27" t="str">
        <f t="shared" ref="C4:C35" si="0">B4</f>
        <v>ENERO</v>
      </c>
      <c r="D4" s="25" t="s">
        <v>106</v>
      </c>
      <c r="E4" s="100">
        <v>325</v>
      </c>
      <c r="F4" s="100">
        <v>46033</v>
      </c>
      <c r="G4" s="101">
        <v>26</v>
      </c>
      <c r="H4" s="102" t="s">
        <v>36</v>
      </c>
      <c r="I4" s="27" t="s">
        <v>107</v>
      </c>
      <c r="J4" s="7"/>
      <c r="K4" s="7" t="s">
        <v>108</v>
      </c>
      <c r="L4" s="7" t="s">
        <v>109</v>
      </c>
      <c r="M4" s="21" t="s">
        <v>56</v>
      </c>
      <c r="N4" s="7" t="s">
        <v>110</v>
      </c>
      <c r="O4" s="46">
        <f>P4/G4</f>
        <v>2848.6153846153848</v>
      </c>
      <c r="P4" s="52">
        <f>78000*0+74064</f>
        <v>74064</v>
      </c>
      <c r="Q4" s="46">
        <f>S4/G4</f>
        <v>2670.3846153846152</v>
      </c>
      <c r="R4" s="46">
        <v>4634</v>
      </c>
      <c r="S4" s="45">
        <f t="shared" ref="S4:S35" si="1">P4-R4</f>
        <v>69430</v>
      </c>
      <c r="T4" s="22">
        <v>1</v>
      </c>
      <c r="U4" s="23" t="s">
        <v>111</v>
      </c>
      <c r="V4" s="24">
        <v>26106924</v>
      </c>
      <c r="W4" s="25" t="s">
        <v>112</v>
      </c>
      <c r="X4" s="4" t="s">
        <v>113</v>
      </c>
      <c r="Y4" s="7">
        <v>10007567</v>
      </c>
      <c r="Z4" s="3" t="s">
        <v>114</v>
      </c>
      <c r="AA4" s="7" t="str">
        <f t="shared" ref="AA4:AA14" si="2">B4&amp;Y4&amp;Z4</f>
        <v>ENERO10007567Compensación</v>
      </c>
      <c r="AB4" s="26">
        <f>INDEX('Detalle Costos'!$L$5:$L$158,MATCH(Resumen!AA4,'Detalle Costos'!$C$5:$C$158,0))*1000+4623.769999996/248</f>
        <v>1848.6442338709517</v>
      </c>
      <c r="AC4" s="44">
        <f>IFERROR(INDEX('Detalle Costos'!$X$5:$X$158,MATCH(Resumen!AA4,'Detalle Costos'!$C$5:$C$158,0))*AG4,0)</f>
        <v>30321.714401007226</v>
      </c>
      <c r="AD4" s="44">
        <f>IFERROR(INDEX('Detalle Costos'!$Z$5:$Z$158,MATCH(Resumen!AA4,'Detalle Costos'!$C$5:$C$158,0))*AG4,0)</f>
        <v>7452.4837224904713</v>
      </c>
      <c r="AE4" s="44">
        <f>IFERROR(INDEX('Detalle Costos'!$Y$5:$Y$158,MATCH(Resumen!AA4,'Detalle Costos'!$C$5:$C$158,0))*AG4,0)</f>
        <v>447.27651091268916</v>
      </c>
      <c r="AF4" s="44">
        <f>IFERROR(INDEX('Detalle Costos'!$AA$5:$AA$158,MATCH(Resumen!AA4,'Detalle Costos'!$C$5:$C$158,0))*AG4,0)</f>
        <v>7428.0103905023961</v>
      </c>
      <c r="AG4" s="44">
        <f>AI4*G4+6518.87/248*G4-47.35*G4</f>
        <v>45649.485024912778</v>
      </c>
      <c r="AH4" s="117">
        <f>48.96-AH17</f>
        <v>22.658000000000001</v>
      </c>
      <c r="AI4" s="26">
        <v>1776.8136579060747</v>
      </c>
      <c r="AJ4" s="44">
        <f>89589.14-AJ17</f>
        <v>41460.14</v>
      </c>
      <c r="AK4" s="90">
        <f t="shared" ref="AK4:AK35" si="3">P4-AG4</f>
        <v>28414.514975087222</v>
      </c>
      <c r="AL4" s="91">
        <f t="shared" ref="AL4:AL35" si="4">AK4/P4</f>
        <v>0.38364812830912753</v>
      </c>
      <c r="AM4" s="10">
        <f t="shared" ref="AM4:AM35" si="5">R4</f>
        <v>4634</v>
      </c>
      <c r="AN4" s="10">
        <f t="shared" ref="AN4:AN35" si="6">118461.136538461/5988.21*G4</f>
        <v>514.34227423553716</v>
      </c>
      <c r="AO4" s="10">
        <f t="shared" ref="AO4:AO50" si="7">1882/26*G4</f>
        <v>1882</v>
      </c>
      <c r="AP4" s="10">
        <f t="shared" ref="AP4:AP35" si="8">SUM(AM4:AO4)</f>
        <v>7030.3422742355369</v>
      </c>
      <c r="AQ4" s="10">
        <f t="shared" ref="AQ4:AQ11" si="9">50659/248*G4</f>
        <v>5311.0241935483873</v>
      </c>
      <c r="AR4" s="10">
        <f t="shared" ref="AR4:AR14" si="10">S4*0.03</f>
        <v>2082.9</v>
      </c>
      <c r="AS4" s="90">
        <f t="shared" ref="AS4:AS35" si="11">AK4-AP4-AQ4+AR4</f>
        <v>18156.048507303301</v>
      </c>
      <c r="AT4" s="91">
        <f t="shared" ref="AT4:AT35" si="12">AS4/P4</f>
        <v>0.24513999388776331</v>
      </c>
      <c r="AU4" s="10">
        <f t="shared" ref="AU4:AU11" si="13">131251/248*G4</f>
        <v>13760.185483870968</v>
      </c>
      <c r="AV4" s="90">
        <f t="shared" ref="AV4:AV35" si="14">AS4-AU4</f>
        <v>4395.8630234323336</v>
      </c>
      <c r="AW4" s="91">
        <f t="shared" ref="AW4:AW35" si="15">AV4/P4</f>
        <v>5.9352222718626238E-2</v>
      </c>
      <c r="AX4" s="10">
        <f t="shared" ref="AX4:AX11" si="16">123530/248*G4</f>
        <v>12950.725806451614</v>
      </c>
      <c r="AY4" s="90">
        <f t="shared" ref="AY4:AY35" si="17">AS4+AX4</f>
        <v>31106.774313754915</v>
      </c>
      <c r="AZ4" s="91">
        <f t="shared" ref="AZ4:AZ35" si="18">AY4/P4</f>
        <v>0.41999857304162502</v>
      </c>
      <c r="BB4" s="10">
        <f t="shared" ref="BB4:BB14" si="19">P4/$G4</f>
        <v>2848.6153846153848</v>
      </c>
      <c r="BC4" s="10">
        <f t="shared" ref="BC4:BC14" si="20">-AC4/$G4</f>
        <v>-1166.2197846541242</v>
      </c>
      <c r="BD4" s="10">
        <f t="shared" ref="BD4:BD14" si="21">-AD4/$G4</f>
        <v>-286.63398932655662</v>
      </c>
      <c r="BE4" s="10">
        <f t="shared" ref="BE4:BE14" si="22">-AE4/$G4</f>
        <v>-17.20294272741112</v>
      </c>
      <c r="BF4" s="10">
        <f t="shared" ref="BF4:BF14" si="23">-AF4/$G4</f>
        <v>-285.69270732701523</v>
      </c>
      <c r="BG4" s="10">
        <f t="shared" ref="BG4:BG14" si="24">-AG4/$G4</f>
        <v>-1755.7494240351068</v>
      </c>
      <c r="BH4" s="10">
        <f t="shared" ref="BH4:BH14" si="25">AK4/$G4</f>
        <v>1092.8659605802777</v>
      </c>
      <c r="BI4" s="10">
        <f t="shared" ref="BI4:BI14" si="26">-AM4/$G4</f>
        <v>-178.23076923076923</v>
      </c>
      <c r="BJ4" s="10">
        <f t="shared" ref="BJ4:BJ14" si="27">-AO4/$G4</f>
        <v>-72.384615384615387</v>
      </c>
      <c r="BK4" s="10">
        <f t="shared" ref="BK4:BK14" si="28">-AP4/$G4</f>
        <v>-270.39777977828987</v>
      </c>
      <c r="BL4" s="10">
        <f t="shared" ref="BL4:BL14" si="29">-AQ4/$G4</f>
        <v>-204.27016129032259</v>
      </c>
      <c r="BM4" s="10">
        <f t="shared" ref="BM4:BM14" si="30">AR4/$G4</f>
        <v>80.111538461538458</v>
      </c>
      <c r="BN4" s="10">
        <f t="shared" ref="BN4:BN14" si="31">AS4/$G4</f>
        <v>698.30955797320394</v>
      </c>
      <c r="BO4" s="10">
        <f t="shared" ref="BO4:BO14" si="32">-AU4/$G4</f>
        <v>-529.23790322580646</v>
      </c>
      <c r="BP4" s="10">
        <f t="shared" ref="BP4:BP14" si="33">AV4/$G4</f>
        <v>169.07165474739745</v>
      </c>
      <c r="BQ4" s="10">
        <f t="shared" ref="BQ4:BQ14" si="34">AX4/$G4</f>
        <v>498.10483870967744</v>
      </c>
      <c r="BR4" s="10">
        <f t="shared" ref="BR4:BR14" si="35">AY4/$G4</f>
        <v>1196.4143966828813</v>
      </c>
    </row>
    <row r="5" spans="2:70" hidden="1">
      <c r="B5" s="4" t="s">
        <v>6</v>
      </c>
      <c r="C5" s="27" t="str">
        <f t="shared" si="0"/>
        <v>ENERO</v>
      </c>
      <c r="D5" s="25" t="s">
        <v>115</v>
      </c>
      <c r="E5" s="100">
        <v>325</v>
      </c>
      <c r="F5" s="100">
        <v>46053</v>
      </c>
      <c r="G5" s="101">
        <v>17.04</v>
      </c>
      <c r="H5" s="102" t="s">
        <v>34</v>
      </c>
      <c r="I5" s="27" t="s">
        <v>116</v>
      </c>
      <c r="J5" s="19" t="s">
        <v>117</v>
      </c>
      <c r="K5" s="7" t="s">
        <v>118</v>
      </c>
      <c r="L5" s="7" t="s">
        <v>119</v>
      </c>
      <c r="M5" s="21" t="s">
        <v>50</v>
      </c>
      <c r="N5" s="7" t="s">
        <v>120</v>
      </c>
      <c r="O5" s="46">
        <v>1850</v>
      </c>
      <c r="P5" s="52">
        <v>31524</v>
      </c>
      <c r="Q5" s="46">
        <v>1656.3380281690143</v>
      </c>
      <c r="R5" s="46">
        <f>3300/24*G5</f>
        <v>2343</v>
      </c>
      <c r="S5" s="45">
        <f t="shared" si="1"/>
        <v>29181</v>
      </c>
      <c r="T5" s="22">
        <v>1</v>
      </c>
      <c r="U5" s="27" t="s">
        <v>121</v>
      </c>
      <c r="V5" s="24">
        <v>6443191850</v>
      </c>
      <c r="W5" s="25" t="s">
        <v>122</v>
      </c>
      <c r="X5" s="4" t="s">
        <v>113</v>
      </c>
      <c r="Y5" s="7">
        <v>10005779</v>
      </c>
      <c r="Z5" s="28" t="s">
        <v>114</v>
      </c>
      <c r="AA5" s="7" t="str">
        <f t="shared" si="2"/>
        <v>ENERO10005779Compensación</v>
      </c>
      <c r="AB5" s="26">
        <f>INDEX('Detalle Costos'!$L$5:$L$158,MATCH(Resumen!AA5,'Detalle Costos'!$C$5:$C$158,0))*1000+4623.769999996/248</f>
        <v>1948.6442338709517</v>
      </c>
      <c r="AC5" s="44">
        <f>IFERROR(INDEX('Detalle Costos'!$X$5:$X$158,MATCH(Resumen!AA5,'Detalle Costos'!$C$5:$C$158,0))*AG5,0)</f>
        <v>19902.438830808464</v>
      </c>
      <c r="AD5" s="44">
        <f>IFERROR(INDEX('Detalle Costos'!$Z$5:$Z$158,MATCH(Resumen!AA5,'Detalle Costos'!$C$5:$C$158,0))*AG5,0)</f>
        <v>6720.2922271365615</v>
      </c>
      <c r="AE5" s="44">
        <f>IFERROR(INDEX('Detalle Costos'!$Y$5:$Y$158,MATCH(Resumen!AA5,'Detalle Costos'!$C$5:$C$158,0))*AG5,0)</f>
        <v>241.5042419528985</v>
      </c>
      <c r="AF5" s="44">
        <f>IFERROR(INDEX('Detalle Costos'!$AA$5:$AA$158,MATCH(Resumen!AA5,'Detalle Costos'!$C$5:$C$158,0))*AG5,0)</f>
        <v>4759.6794882740951</v>
      </c>
      <c r="AG5" s="44">
        <f>AI5*G5+6518.87/248*G5-47.35*G5</f>
        <v>31623.91478817202</v>
      </c>
      <c r="AH5" s="44">
        <v>17.04</v>
      </c>
      <c r="AI5" s="26">
        <v>1876.9277777777766</v>
      </c>
      <c r="AJ5" s="44">
        <v>33696.516935933098</v>
      </c>
      <c r="AK5" s="90">
        <f t="shared" si="3"/>
        <v>-99.914788172020053</v>
      </c>
      <c r="AL5" s="92">
        <f t="shared" si="4"/>
        <v>-3.1694831928695613E-3</v>
      </c>
      <c r="AM5" s="10">
        <f t="shared" si="5"/>
        <v>2343</v>
      </c>
      <c r="AN5" s="10">
        <f t="shared" si="6"/>
        <v>337.09201357590587</v>
      </c>
      <c r="AO5" s="10">
        <f t="shared" si="7"/>
        <v>1233.4338461538462</v>
      </c>
      <c r="AP5" s="10">
        <f t="shared" si="8"/>
        <v>3913.5258597297525</v>
      </c>
      <c r="AQ5" s="10">
        <f t="shared" si="9"/>
        <v>3480.7635483870968</v>
      </c>
      <c r="AR5" s="10">
        <f t="shared" si="10"/>
        <v>875.43</v>
      </c>
      <c r="AS5" s="90">
        <f t="shared" si="11"/>
        <v>-6618.7741962888686</v>
      </c>
      <c r="AT5" s="92">
        <f t="shared" si="12"/>
        <v>-0.20995984634846049</v>
      </c>
      <c r="AU5" s="10">
        <f t="shared" si="13"/>
        <v>9018.213870967742</v>
      </c>
      <c r="AV5" s="90">
        <f t="shared" si="14"/>
        <v>-15636.988067256611</v>
      </c>
      <c r="AW5" s="92">
        <f t="shared" si="15"/>
        <v>-0.49603438863268018</v>
      </c>
      <c r="AX5" s="10">
        <f t="shared" si="16"/>
        <v>8487.706451612903</v>
      </c>
      <c r="AY5" s="90">
        <f t="shared" si="17"/>
        <v>1868.9322553240345</v>
      </c>
      <c r="AZ5" s="92">
        <f t="shared" si="18"/>
        <v>5.9286012413527295E-2</v>
      </c>
      <c r="BB5" s="10">
        <f t="shared" si="19"/>
        <v>1850</v>
      </c>
      <c r="BC5" s="10">
        <f t="shared" si="20"/>
        <v>-1167.9834994605906</v>
      </c>
      <c r="BD5" s="10">
        <f t="shared" si="21"/>
        <v>-394.38334666294378</v>
      </c>
      <c r="BE5" s="10">
        <f t="shared" si="22"/>
        <v>-14.172784152165406</v>
      </c>
      <c r="BF5" s="10">
        <f t="shared" si="23"/>
        <v>-279.32391363110889</v>
      </c>
      <c r="BG5" s="10">
        <f t="shared" si="24"/>
        <v>-1855.8635439068087</v>
      </c>
      <c r="BH5" s="10">
        <f t="shared" si="25"/>
        <v>-5.8635439068086885</v>
      </c>
      <c r="BI5" s="10">
        <f t="shared" si="26"/>
        <v>-137.5</v>
      </c>
      <c r="BJ5" s="10">
        <f t="shared" si="27"/>
        <v>-72.384615384615387</v>
      </c>
      <c r="BK5" s="10">
        <f t="shared" si="28"/>
        <v>-229.6670105475207</v>
      </c>
      <c r="BL5" s="10">
        <f t="shared" si="29"/>
        <v>-204.27016129032259</v>
      </c>
      <c r="BM5" s="10">
        <f t="shared" si="30"/>
        <v>51.375</v>
      </c>
      <c r="BN5" s="10">
        <f t="shared" si="31"/>
        <v>-388.42571574465194</v>
      </c>
      <c r="BO5" s="10">
        <f t="shared" si="32"/>
        <v>-529.23790322580646</v>
      </c>
      <c r="BP5" s="10">
        <f t="shared" si="33"/>
        <v>-917.6636189704584</v>
      </c>
      <c r="BQ5" s="10">
        <f t="shared" si="34"/>
        <v>498.10483870967744</v>
      </c>
      <c r="BR5" s="10">
        <f t="shared" si="35"/>
        <v>109.6791229650255</v>
      </c>
    </row>
    <row r="6" spans="2:70" hidden="1">
      <c r="B6" s="4" t="s">
        <v>6</v>
      </c>
      <c r="C6" s="27" t="str">
        <f t="shared" si="0"/>
        <v>ENERO</v>
      </c>
      <c r="D6" s="25" t="s">
        <v>115</v>
      </c>
      <c r="E6" s="100">
        <v>325</v>
      </c>
      <c r="F6" s="100">
        <v>46053</v>
      </c>
      <c r="G6" s="101">
        <v>3</v>
      </c>
      <c r="H6" s="102" t="s">
        <v>34</v>
      </c>
      <c r="I6" s="27" t="s">
        <v>116</v>
      </c>
      <c r="J6" s="7" t="s">
        <v>123</v>
      </c>
      <c r="K6" s="7" t="s">
        <v>118</v>
      </c>
      <c r="L6" s="7" t="s">
        <v>119</v>
      </c>
      <c r="M6" s="21" t="s">
        <v>50</v>
      </c>
      <c r="N6" s="7" t="s">
        <v>120</v>
      </c>
      <c r="O6" s="46">
        <v>1450</v>
      </c>
      <c r="P6" s="52">
        <v>4350</v>
      </c>
      <c r="Q6" s="46">
        <v>1450</v>
      </c>
      <c r="R6" s="46">
        <f>3300/24*G6</f>
        <v>412.5</v>
      </c>
      <c r="S6" s="45">
        <f t="shared" si="1"/>
        <v>3937.5</v>
      </c>
      <c r="T6" s="22">
        <v>0</v>
      </c>
      <c r="U6" s="27"/>
      <c r="V6" s="24">
        <v>6443191850</v>
      </c>
      <c r="W6" s="25" t="s">
        <v>122</v>
      </c>
      <c r="X6" s="4" t="s">
        <v>113</v>
      </c>
      <c r="Y6" s="7">
        <v>10005781</v>
      </c>
      <c r="Z6" s="28" t="s">
        <v>114</v>
      </c>
      <c r="AA6" s="7" t="str">
        <f t="shared" si="2"/>
        <v>ENERO10005781Compensación</v>
      </c>
      <c r="AB6" s="26">
        <f>INDEX('Detalle Costos'!$L$5:$L$158,MATCH(Resumen!AA6,'Detalle Costos'!$C$5:$C$158,0))*1000+4623.769999996/248</f>
        <v>1998.6442338709517</v>
      </c>
      <c r="AC6" s="44">
        <f>IFERROR(INDEX('Detalle Costos'!$X$5:$X$158,MATCH(Resumen!AA6,'Detalle Costos'!$C$5:$C$158,0))*AG6,0)</f>
        <v>3521.466558545404</v>
      </c>
      <c r="AD6" s="44">
        <f>IFERROR(INDEX('Detalle Costos'!$Z$5:$Z$158,MATCH(Resumen!AA6,'Detalle Costos'!$C$5:$C$158,0))*AG6,0)</f>
        <v>1150.8274796596877</v>
      </c>
      <c r="AE6" s="44">
        <f>IFERROR(INDEX('Detalle Costos'!$Y$5:$Y$158,MATCH(Resumen!AA6,'Detalle Costos'!$C$5:$C$158,0))*AG6,0)</f>
        <v>46.818854926393001</v>
      </c>
      <c r="AF6" s="44">
        <f>IFERROR(INDEX('Detalle Costos'!$AA$5:$AA$158,MATCH(Resumen!AA6,'Detalle Costos'!$C$5:$C$158,0))*AG6,0)</f>
        <v>848.47773858894107</v>
      </c>
      <c r="AG6" s="44">
        <f>AI6*G6+6518.87/248*G6-47.35*G6</f>
        <v>5567.5906317204262</v>
      </c>
      <c r="AH6" s="195">
        <v>3</v>
      </c>
      <c r="AI6" s="26">
        <v>1876.9277777777766</v>
      </c>
      <c r="AJ6" s="44">
        <v>5803.9692134831503</v>
      </c>
      <c r="AK6" s="90">
        <f t="shared" si="3"/>
        <v>-1217.5906317204262</v>
      </c>
      <c r="AL6" s="92">
        <f t="shared" si="4"/>
        <v>-0.27990589234952329</v>
      </c>
      <c r="AM6" s="10">
        <f t="shared" si="5"/>
        <v>412.5</v>
      </c>
      <c r="AN6" s="10">
        <f t="shared" si="6"/>
        <v>59.347185488715823</v>
      </c>
      <c r="AO6" s="10">
        <f t="shared" si="7"/>
        <v>217.15384615384616</v>
      </c>
      <c r="AP6" s="10">
        <f t="shared" si="8"/>
        <v>689.001031642562</v>
      </c>
      <c r="AQ6" s="10">
        <f t="shared" si="9"/>
        <v>612.8104838709678</v>
      </c>
      <c r="AR6" s="10">
        <f t="shared" si="10"/>
        <v>118.125</v>
      </c>
      <c r="AS6" s="90">
        <f t="shared" si="11"/>
        <v>-2401.2771472339559</v>
      </c>
      <c r="AT6" s="92">
        <f t="shared" si="12"/>
        <v>-0.55201773499631168</v>
      </c>
      <c r="AU6" s="10">
        <f t="shared" si="13"/>
        <v>1587.7137096774195</v>
      </c>
      <c r="AV6" s="90">
        <f t="shared" si="14"/>
        <v>-3988.9908569113754</v>
      </c>
      <c r="AW6" s="92">
        <f t="shared" si="15"/>
        <v>-0.91700939239341961</v>
      </c>
      <c r="AX6" s="10">
        <f t="shared" si="16"/>
        <v>1494.3145161290322</v>
      </c>
      <c r="AY6" s="90">
        <f t="shared" si="17"/>
        <v>-906.96263110492373</v>
      </c>
      <c r="AZ6" s="92">
        <f t="shared" si="18"/>
        <v>-0.20849715657584453</v>
      </c>
      <c r="BB6" s="10">
        <f t="shared" si="19"/>
        <v>1450</v>
      </c>
      <c r="BC6" s="10">
        <f t="shared" si="20"/>
        <v>-1173.8221861818013</v>
      </c>
      <c r="BD6" s="10">
        <f t="shared" si="21"/>
        <v>-383.60915988656257</v>
      </c>
      <c r="BE6" s="10">
        <f t="shared" si="22"/>
        <v>-15.606284975464334</v>
      </c>
      <c r="BF6" s="10">
        <f t="shared" si="23"/>
        <v>-282.82591286298037</v>
      </c>
      <c r="BG6" s="10">
        <f t="shared" si="24"/>
        <v>-1855.8635439068087</v>
      </c>
      <c r="BH6" s="10">
        <f t="shared" si="25"/>
        <v>-405.86354390680873</v>
      </c>
      <c r="BI6" s="10">
        <f t="shared" si="26"/>
        <v>-137.5</v>
      </c>
      <c r="BJ6" s="10">
        <f t="shared" si="27"/>
        <v>-72.384615384615387</v>
      </c>
      <c r="BK6" s="10">
        <f t="shared" si="28"/>
        <v>-229.66701054752068</v>
      </c>
      <c r="BL6" s="10">
        <f t="shared" si="29"/>
        <v>-204.27016129032259</v>
      </c>
      <c r="BM6" s="10">
        <f t="shared" si="30"/>
        <v>39.375</v>
      </c>
      <c r="BN6" s="10">
        <f t="shared" si="31"/>
        <v>-800.42571574465194</v>
      </c>
      <c r="BO6" s="10">
        <f t="shared" si="32"/>
        <v>-529.23790322580646</v>
      </c>
      <c r="BP6" s="10">
        <f t="shared" si="33"/>
        <v>-1329.6636189704584</v>
      </c>
      <c r="BQ6" s="10">
        <f t="shared" si="34"/>
        <v>498.10483870967738</v>
      </c>
      <c r="BR6" s="10">
        <f t="shared" si="35"/>
        <v>-302.32087703497456</v>
      </c>
    </row>
    <row r="7" spans="2:70" hidden="1">
      <c r="B7" s="4" t="s">
        <v>6</v>
      </c>
      <c r="C7" s="27" t="str">
        <f t="shared" si="0"/>
        <v>ENERO</v>
      </c>
      <c r="D7" s="25" t="s">
        <v>115</v>
      </c>
      <c r="E7" s="100">
        <v>325</v>
      </c>
      <c r="F7" s="100">
        <v>46053</v>
      </c>
      <c r="G7" s="101">
        <v>3.96</v>
      </c>
      <c r="H7" s="102" t="s">
        <v>31</v>
      </c>
      <c r="I7" s="27" t="s">
        <v>107</v>
      </c>
      <c r="J7" s="7" t="s">
        <v>124</v>
      </c>
      <c r="K7" s="7" t="s">
        <v>118</v>
      </c>
      <c r="L7" s="7" t="s">
        <v>119</v>
      </c>
      <c r="M7" s="21" t="s">
        <v>50</v>
      </c>
      <c r="N7" s="7" t="s">
        <v>120</v>
      </c>
      <c r="O7" s="46">
        <f>P7/G7</f>
        <v>2234.3434343434342</v>
      </c>
      <c r="P7" s="52">
        <v>8848</v>
      </c>
      <c r="Q7" s="46">
        <v>2800</v>
      </c>
      <c r="R7" s="46">
        <f>3300/24*G7</f>
        <v>544.5</v>
      </c>
      <c r="S7" s="45">
        <f t="shared" si="1"/>
        <v>8303.5</v>
      </c>
      <c r="T7" s="22">
        <v>0</v>
      </c>
      <c r="U7" s="27"/>
      <c r="V7" s="24">
        <v>6443191850</v>
      </c>
      <c r="W7" s="25" t="s">
        <v>122</v>
      </c>
      <c r="X7" s="4" t="s">
        <v>113</v>
      </c>
      <c r="Y7" s="7">
        <v>10007162</v>
      </c>
      <c r="Z7" s="28" t="s">
        <v>114</v>
      </c>
      <c r="AA7" s="7" t="str">
        <f t="shared" si="2"/>
        <v>ENERO10007162Compensación</v>
      </c>
      <c r="AB7" s="26">
        <f>INDEX('Detalle Costos'!$L$5:$L$158,MATCH(Resumen!AA7,'Detalle Costos'!$C$5:$C$158,0))*1000+4623.769999996/248</f>
        <v>1808.6442338709517</v>
      </c>
      <c r="AC7" s="44">
        <f>IFERROR(INDEX('Detalle Costos'!$X$5:$X$158,MATCH(Resumen!AA7,'Detalle Costos'!$C$5:$C$158,0))*AG7,0)</f>
        <v>4545.8938098077351</v>
      </c>
      <c r="AD7" s="44">
        <f>IFERROR(INDEX('Detalle Costos'!$Z$5:$Z$158,MATCH(Resumen!AA7,'Detalle Costos'!$C$5:$C$158,0))*AG7,0)</f>
        <v>1199.3898584925348</v>
      </c>
      <c r="AE7" s="44">
        <f>IFERROR(INDEX('Detalle Costos'!$Y$5:$Y$158,MATCH(Resumen!AA7,'Detalle Costos'!$C$5:$C$158,0))*AG7,0)</f>
        <v>61.113394855157161</v>
      </c>
      <c r="AF7" s="44">
        <f>IFERROR(INDEX('Detalle Costos'!$AA$5:$AA$158,MATCH(Resumen!AA7,'Detalle Costos'!$C$5:$C$158,0))*AG7,0)</f>
        <v>1191.9798289936848</v>
      </c>
      <c r="AG7" s="44">
        <f>AI7*G7+6518.87/248*G7-47.35*G7</f>
        <v>6998.3768921491119</v>
      </c>
      <c r="AH7" s="44">
        <v>3.16</v>
      </c>
      <c r="AI7" s="26">
        <v>1788.3311258278143</v>
      </c>
      <c r="AJ7" s="44">
        <v>5822.9226614836498</v>
      </c>
      <c r="AK7" s="90">
        <f t="shared" si="3"/>
        <v>1849.6231078508881</v>
      </c>
      <c r="AL7" s="92">
        <f t="shared" si="4"/>
        <v>0.20904420296687254</v>
      </c>
      <c r="AM7" s="10">
        <f t="shared" si="5"/>
        <v>544.5</v>
      </c>
      <c r="AN7" s="10">
        <f t="shared" si="6"/>
        <v>78.33828484510488</v>
      </c>
      <c r="AO7" s="10">
        <f t="shared" si="7"/>
        <v>286.64307692307693</v>
      </c>
      <c r="AP7" s="10">
        <f t="shared" si="8"/>
        <v>909.48136176818184</v>
      </c>
      <c r="AQ7" s="10">
        <f t="shared" si="9"/>
        <v>808.9098387096775</v>
      </c>
      <c r="AR7" s="10">
        <f t="shared" si="10"/>
        <v>249.10499999999999</v>
      </c>
      <c r="AS7" s="90">
        <f t="shared" si="11"/>
        <v>380.33690737302879</v>
      </c>
      <c r="AT7" s="92">
        <f t="shared" si="12"/>
        <v>4.2985636005089152E-2</v>
      </c>
      <c r="AU7" s="10">
        <f t="shared" si="13"/>
        <v>2095.7820967741936</v>
      </c>
      <c r="AV7" s="90">
        <f t="shared" si="14"/>
        <v>-1715.445189401165</v>
      </c>
      <c r="AW7" s="92">
        <f t="shared" si="15"/>
        <v>-0.19387942918186765</v>
      </c>
      <c r="AX7" s="10">
        <f t="shared" si="16"/>
        <v>1972.4951612903226</v>
      </c>
      <c r="AY7" s="90">
        <f t="shared" si="17"/>
        <v>2352.8320686633515</v>
      </c>
      <c r="AZ7" s="92">
        <f t="shared" si="18"/>
        <v>0.26591682512017989</v>
      </c>
      <c r="BB7" s="10">
        <f t="shared" si="19"/>
        <v>2234.3434343434342</v>
      </c>
      <c r="BC7" s="10">
        <f t="shared" si="20"/>
        <v>-1147.9529822746806</v>
      </c>
      <c r="BD7" s="10">
        <f t="shared" si="21"/>
        <v>-302.87622689205426</v>
      </c>
      <c r="BE7" s="10">
        <f t="shared" si="22"/>
        <v>-15.432675468474031</v>
      </c>
      <c r="BF7" s="10">
        <f t="shared" si="23"/>
        <v>-301.00500732163761</v>
      </c>
      <c r="BG7" s="10">
        <f t="shared" si="24"/>
        <v>-1767.2668919568464</v>
      </c>
      <c r="BH7" s="10">
        <f t="shared" si="25"/>
        <v>467.0765423865879</v>
      </c>
      <c r="BI7" s="10">
        <f t="shared" si="26"/>
        <v>-137.5</v>
      </c>
      <c r="BJ7" s="10">
        <f t="shared" si="27"/>
        <v>-72.384615384615387</v>
      </c>
      <c r="BK7" s="10">
        <f t="shared" si="28"/>
        <v>-229.66701054752068</v>
      </c>
      <c r="BL7" s="10">
        <f t="shared" si="29"/>
        <v>-204.27016129032259</v>
      </c>
      <c r="BM7" s="10">
        <f t="shared" si="30"/>
        <v>62.905303030303031</v>
      </c>
      <c r="BN7" s="10">
        <f t="shared" si="31"/>
        <v>96.044673579047682</v>
      </c>
      <c r="BO7" s="10">
        <f t="shared" si="32"/>
        <v>-529.23790322580646</v>
      </c>
      <c r="BP7" s="10">
        <f t="shared" si="33"/>
        <v>-433.19322964675882</v>
      </c>
      <c r="BQ7" s="10">
        <f t="shared" si="34"/>
        <v>498.10483870967744</v>
      </c>
      <c r="BR7" s="10">
        <f t="shared" si="35"/>
        <v>594.14951228872508</v>
      </c>
    </row>
    <row r="8" spans="2:70" hidden="1">
      <c r="B8" s="4" t="s">
        <v>6</v>
      </c>
      <c r="C8" s="27" t="str">
        <f t="shared" si="0"/>
        <v>ENERO</v>
      </c>
      <c r="D8" s="25" t="s">
        <v>125</v>
      </c>
      <c r="E8" s="100">
        <v>45982</v>
      </c>
      <c r="F8" s="100">
        <v>46031</v>
      </c>
      <c r="G8" s="101">
        <v>24</v>
      </c>
      <c r="H8" s="102" t="s">
        <v>37</v>
      </c>
      <c r="I8" s="27" t="s">
        <v>126</v>
      </c>
      <c r="J8" s="19"/>
      <c r="K8" s="7" t="s">
        <v>127</v>
      </c>
      <c r="L8" s="7" t="s">
        <v>128</v>
      </c>
      <c r="M8" s="21" t="s">
        <v>43</v>
      </c>
      <c r="N8" s="7" t="s">
        <v>129</v>
      </c>
      <c r="O8" s="46">
        <v>2100</v>
      </c>
      <c r="P8" s="52">
        <v>50400</v>
      </c>
      <c r="Q8" s="46">
        <v>1962.5</v>
      </c>
      <c r="R8" s="46">
        <v>3300</v>
      </c>
      <c r="S8" s="45">
        <f t="shared" si="1"/>
        <v>47100</v>
      </c>
      <c r="T8" s="22">
        <v>1</v>
      </c>
      <c r="U8" s="27" t="s">
        <v>130</v>
      </c>
      <c r="V8" s="24">
        <v>6440924270</v>
      </c>
      <c r="W8" s="25" t="s">
        <v>122</v>
      </c>
      <c r="X8" s="4" t="s">
        <v>113</v>
      </c>
      <c r="Y8" s="7">
        <v>10007969</v>
      </c>
      <c r="Z8" s="28" t="s">
        <v>114</v>
      </c>
      <c r="AA8" s="7" t="str">
        <f t="shared" si="2"/>
        <v>ENERO10007969Compensación</v>
      </c>
      <c r="AB8" s="26">
        <f>INDEX('Detalle Costos'!$L$5:$L$158,MATCH(Resumen!AA8,'Detalle Costos'!$C$5:$C$158,0))*1000+4623.769999996/248</f>
        <v>1658.6442338709517</v>
      </c>
      <c r="AC8" s="44">
        <f>IFERROR(INDEX('Detalle Costos'!$X$5:$X$158,MATCH(Resumen!AA8,'Detalle Costos'!$C$5:$C$158,0))*AG8,0)</f>
        <v>30120.853077701555</v>
      </c>
      <c r="AD8" s="44">
        <f>IFERROR(INDEX('Detalle Costos'!$Z$5:$Z$158,MATCH(Resumen!AA8,'Detalle Costos'!$C$5:$C$158,0))*AG8,0)</f>
        <v>5277.3638992265369</v>
      </c>
      <c r="AE8" s="44">
        <f>IFERROR(INDEX('Detalle Costos'!$Y$5:$Y$158,MATCH(Resumen!AA8,'Detalle Costos'!$C$5:$C$158,0))*AG8,0)</f>
        <v>399.40993284746679</v>
      </c>
      <c r="AF8" s="44">
        <f>IFERROR(INDEX('Detalle Costos'!$AA$5:$AA$158,MATCH(Resumen!AA8,'Detalle Costos'!$C$5:$C$158,0))*AG8,0)</f>
        <v>3160.4310866962137</v>
      </c>
      <c r="AG8" s="44">
        <f>AI8*G8+6518.87/248*G8-47.35*G8</f>
        <v>38958.057996471776</v>
      </c>
      <c r="AH8" s="196">
        <v>24</v>
      </c>
      <c r="AI8" s="26">
        <f t="shared" ref="AI8" si="36">+AJ8/AH8</f>
        <v>1644.316650390625</v>
      </c>
      <c r="AJ8" s="44">
        <v>39463.599609375</v>
      </c>
      <c r="AK8" s="90">
        <f t="shared" si="3"/>
        <v>11441.942003528224</v>
      </c>
      <c r="AL8" s="92">
        <f t="shared" si="4"/>
        <v>0.22702265880016317</v>
      </c>
      <c r="AM8" s="10">
        <f t="shared" si="5"/>
        <v>3300</v>
      </c>
      <c r="AN8" s="10">
        <f t="shared" si="6"/>
        <v>474.77748390972658</v>
      </c>
      <c r="AO8" s="10">
        <f t="shared" si="7"/>
        <v>1737.2307692307693</v>
      </c>
      <c r="AP8" s="10">
        <f t="shared" si="8"/>
        <v>5512.008253140496</v>
      </c>
      <c r="AQ8" s="10">
        <f t="shared" si="9"/>
        <v>4902.4838709677424</v>
      </c>
      <c r="AR8" s="10">
        <f t="shared" si="10"/>
        <v>1413</v>
      </c>
      <c r="AS8" s="90">
        <f t="shared" si="11"/>
        <v>2440.4498794199853</v>
      </c>
      <c r="AT8" s="92">
        <f t="shared" si="12"/>
        <v>4.8421624591666379E-2</v>
      </c>
      <c r="AU8" s="10">
        <f t="shared" si="13"/>
        <v>12701.709677419356</v>
      </c>
      <c r="AV8" s="90">
        <f t="shared" si="14"/>
        <v>-10261.25979799937</v>
      </c>
      <c r="AW8" s="92">
        <f t="shared" si="15"/>
        <v>-0.20359642456347957</v>
      </c>
      <c r="AX8" s="10">
        <f t="shared" si="16"/>
        <v>11954.516129032258</v>
      </c>
      <c r="AY8" s="90">
        <f t="shared" si="17"/>
        <v>14394.966008452244</v>
      </c>
      <c r="AZ8" s="92">
        <f t="shared" si="18"/>
        <v>0.28561440492960799</v>
      </c>
      <c r="BB8" s="10">
        <f t="shared" si="19"/>
        <v>2100</v>
      </c>
      <c r="BC8" s="10">
        <f t="shared" si="20"/>
        <v>-1255.0355449042315</v>
      </c>
      <c r="BD8" s="10">
        <f t="shared" si="21"/>
        <v>-219.89016246777237</v>
      </c>
      <c r="BE8" s="10">
        <f t="shared" si="22"/>
        <v>-16.642080535311116</v>
      </c>
      <c r="BF8" s="10">
        <f t="shared" si="23"/>
        <v>-131.68462861234224</v>
      </c>
      <c r="BG8" s="10">
        <f t="shared" si="24"/>
        <v>-1623.2524165196573</v>
      </c>
      <c r="BH8" s="10">
        <f t="shared" si="25"/>
        <v>476.74758348034266</v>
      </c>
      <c r="BI8" s="10">
        <f t="shared" si="26"/>
        <v>-137.5</v>
      </c>
      <c r="BJ8" s="10">
        <f t="shared" si="27"/>
        <v>-72.384615384615387</v>
      </c>
      <c r="BK8" s="10">
        <f t="shared" si="28"/>
        <v>-229.66701054752068</v>
      </c>
      <c r="BL8" s="10">
        <f t="shared" si="29"/>
        <v>-204.27016129032259</v>
      </c>
      <c r="BM8" s="10">
        <f t="shared" si="30"/>
        <v>58.875</v>
      </c>
      <c r="BN8" s="10">
        <f t="shared" si="31"/>
        <v>101.68541164249939</v>
      </c>
      <c r="BO8" s="10">
        <f t="shared" si="32"/>
        <v>-529.23790322580646</v>
      </c>
      <c r="BP8" s="10">
        <f t="shared" si="33"/>
        <v>-427.55249158330707</v>
      </c>
      <c r="BQ8" s="10">
        <f t="shared" si="34"/>
        <v>498.10483870967738</v>
      </c>
      <c r="BR8" s="10">
        <f t="shared" si="35"/>
        <v>599.79025035217683</v>
      </c>
    </row>
    <row r="9" spans="2:70" hidden="1">
      <c r="B9" s="4" t="s">
        <v>6</v>
      </c>
      <c r="C9" s="27" t="str">
        <f t="shared" si="0"/>
        <v>ENERO</v>
      </c>
      <c r="D9" s="25" t="s">
        <v>131</v>
      </c>
      <c r="E9" s="100">
        <v>46000</v>
      </c>
      <c r="F9" s="100">
        <v>46043</v>
      </c>
      <c r="G9" s="101">
        <v>24</v>
      </c>
      <c r="H9" s="102" t="s">
        <v>33</v>
      </c>
      <c r="I9" s="27" t="s">
        <v>132</v>
      </c>
      <c r="J9" s="7" t="s">
        <v>133</v>
      </c>
      <c r="K9" s="7" t="s">
        <v>134</v>
      </c>
      <c r="L9" s="7" t="s">
        <v>135</v>
      </c>
      <c r="M9" s="21" t="s">
        <v>43</v>
      </c>
      <c r="N9" s="7" t="s">
        <v>129</v>
      </c>
      <c r="O9" s="46">
        <f>P9/G9</f>
        <v>1966.6666666666667</v>
      </c>
      <c r="P9" s="52">
        <f>48000*0+47200</f>
        <v>47200</v>
      </c>
      <c r="Q9" s="46">
        <f>S9/G9</f>
        <v>1841.5416666666667</v>
      </c>
      <c r="R9" s="46">
        <v>3003</v>
      </c>
      <c r="S9" s="45">
        <f t="shared" si="1"/>
        <v>44197</v>
      </c>
      <c r="T9" s="22">
        <v>1</v>
      </c>
      <c r="U9" s="27" t="s">
        <v>136</v>
      </c>
      <c r="V9" s="24" t="s">
        <v>137</v>
      </c>
      <c r="W9" s="25" t="s">
        <v>138</v>
      </c>
      <c r="X9" s="4" t="s">
        <v>113</v>
      </c>
      <c r="Y9" s="7">
        <v>10005721</v>
      </c>
      <c r="Z9" s="28" t="s">
        <v>114</v>
      </c>
      <c r="AA9" s="7" t="str">
        <f t="shared" si="2"/>
        <v>ENERO10005721Compensación</v>
      </c>
      <c r="AB9" s="26">
        <f>INDEX('Detalle Costos'!$L$5:$L$158,MATCH(Resumen!AA9,'Detalle Costos'!$C$5:$C$158,0))*1000+4623.769999996/248</f>
        <v>1878.6442338709517</v>
      </c>
      <c r="AC9" s="44">
        <f>IFERROR(INDEX('Detalle Costos'!$X$5:$X$158,MATCH(Resumen!AA9,'Detalle Costos'!$C$5:$C$158,0))*AG9,0)</f>
        <v>27003.901467966942</v>
      </c>
      <c r="AD9" s="44">
        <f>IFERROR(INDEX('Detalle Costos'!$Z$5:$Z$158,MATCH(Resumen!AA9,'Detalle Costos'!$C$5:$C$158,0))*AG9,0)</f>
        <v>9795.8890932765044</v>
      </c>
      <c r="AE9" s="44">
        <f>IFERROR(INDEX('Detalle Costos'!$Y$5:$Y$158,MATCH(Resumen!AA9,'Detalle Costos'!$C$5:$C$158,0))*AG9,0)</f>
        <v>426.26796295886788</v>
      </c>
      <c r="AF9" s="44">
        <f>IFERROR(INDEX('Detalle Costos'!$AA$5:$AA$158,MATCH(Resumen!AA9,'Detalle Costos'!$C$5:$C$158,0))*AG9,0)</f>
        <v>7297.1068330224707</v>
      </c>
      <c r="AG9" s="44">
        <f>AI9*G9+6518.87/248*G9-47.35*G9</f>
        <v>44523.165357224789</v>
      </c>
      <c r="AH9" s="44">
        <v>23.7</v>
      </c>
      <c r="AI9" s="26">
        <v>1876.1961237553337</v>
      </c>
      <c r="AJ9" s="44">
        <v>44778.444670991703</v>
      </c>
      <c r="AK9" s="90">
        <f t="shared" si="3"/>
        <v>2676.8346427752113</v>
      </c>
      <c r="AL9" s="92">
        <f t="shared" si="4"/>
        <v>5.6712598363881594E-2</v>
      </c>
      <c r="AM9" s="10">
        <f t="shared" si="5"/>
        <v>3003</v>
      </c>
      <c r="AN9" s="10">
        <f t="shared" si="6"/>
        <v>474.77748390972658</v>
      </c>
      <c r="AO9" s="10">
        <f t="shared" si="7"/>
        <v>1737.2307692307693</v>
      </c>
      <c r="AP9" s="10">
        <f t="shared" si="8"/>
        <v>5215.008253140496</v>
      </c>
      <c r="AQ9" s="10">
        <f t="shared" si="9"/>
        <v>4902.4838709677424</v>
      </c>
      <c r="AR9" s="10">
        <f t="shared" si="10"/>
        <v>1325.9099999999999</v>
      </c>
      <c r="AS9" s="90">
        <f t="shared" si="11"/>
        <v>-6114.7474813330273</v>
      </c>
      <c r="AT9" s="92">
        <f t="shared" si="12"/>
        <v>-0.1295497347740048</v>
      </c>
      <c r="AU9" s="10">
        <f t="shared" si="13"/>
        <v>12701.709677419356</v>
      </c>
      <c r="AV9" s="90">
        <f t="shared" si="14"/>
        <v>-18816.457158752382</v>
      </c>
      <c r="AW9" s="92">
        <f t="shared" si="15"/>
        <v>-0.39865375336339792</v>
      </c>
      <c r="AX9" s="10">
        <f t="shared" si="16"/>
        <v>11954.516129032258</v>
      </c>
      <c r="AY9" s="90">
        <f t="shared" si="17"/>
        <v>5839.7686476992303</v>
      </c>
      <c r="AZ9" s="92">
        <f t="shared" si="18"/>
        <v>0.12372391202752607</v>
      </c>
      <c r="BB9" s="10">
        <f t="shared" si="19"/>
        <v>1966.6666666666667</v>
      </c>
      <c r="BC9" s="10">
        <f t="shared" si="20"/>
        <v>-1125.1625611652892</v>
      </c>
      <c r="BD9" s="10">
        <f t="shared" si="21"/>
        <v>-408.16204555318768</v>
      </c>
      <c r="BE9" s="10">
        <f t="shared" si="22"/>
        <v>-17.761165123286162</v>
      </c>
      <c r="BF9" s="10">
        <f t="shared" si="23"/>
        <v>-304.04611804260293</v>
      </c>
      <c r="BG9" s="10">
        <f t="shared" si="24"/>
        <v>-1855.1318898843663</v>
      </c>
      <c r="BH9" s="10">
        <f t="shared" si="25"/>
        <v>111.53477678230047</v>
      </c>
      <c r="BI9" s="10">
        <f t="shared" si="26"/>
        <v>-125.125</v>
      </c>
      <c r="BJ9" s="10">
        <f t="shared" si="27"/>
        <v>-72.384615384615387</v>
      </c>
      <c r="BK9" s="10">
        <f t="shared" si="28"/>
        <v>-217.29201054752068</v>
      </c>
      <c r="BL9" s="10">
        <f t="shared" si="29"/>
        <v>-204.27016129032259</v>
      </c>
      <c r="BM9" s="10">
        <f t="shared" si="30"/>
        <v>55.246249999999996</v>
      </c>
      <c r="BN9" s="10">
        <f t="shared" si="31"/>
        <v>-254.78114505554279</v>
      </c>
      <c r="BO9" s="10">
        <f t="shared" si="32"/>
        <v>-529.23790322580646</v>
      </c>
      <c r="BP9" s="10">
        <f t="shared" si="33"/>
        <v>-784.01904828134923</v>
      </c>
      <c r="BQ9" s="10">
        <f t="shared" si="34"/>
        <v>498.10483870967738</v>
      </c>
      <c r="BR9" s="10">
        <f t="shared" si="35"/>
        <v>243.32369365413459</v>
      </c>
    </row>
    <row r="10" spans="2:70" hidden="1">
      <c r="B10" s="4" t="s">
        <v>6</v>
      </c>
      <c r="C10" s="27" t="str">
        <f t="shared" si="0"/>
        <v>ENERO</v>
      </c>
      <c r="D10" s="25" t="s">
        <v>139</v>
      </c>
      <c r="E10" s="100">
        <v>347</v>
      </c>
      <c r="F10" s="100">
        <v>46038</v>
      </c>
      <c r="G10" s="101">
        <v>24</v>
      </c>
      <c r="H10" s="102" t="s">
        <v>33</v>
      </c>
      <c r="I10" s="27" t="s">
        <v>132</v>
      </c>
      <c r="J10" s="7" t="s">
        <v>140</v>
      </c>
      <c r="K10" s="7" t="s">
        <v>141</v>
      </c>
      <c r="L10" s="7" t="s">
        <v>142</v>
      </c>
      <c r="M10" s="21" t="s">
        <v>43</v>
      </c>
      <c r="N10" s="7" t="s">
        <v>129</v>
      </c>
      <c r="O10" s="46">
        <f>P10/G10</f>
        <v>1983.3333333333333</v>
      </c>
      <c r="P10" s="52">
        <f>48000*0+47600</f>
        <v>47600</v>
      </c>
      <c r="Q10" s="46">
        <f>S10/G10</f>
        <v>1845.7083333333333</v>
      </c>
      <c r="R10" s="46">
        <v>3303</v>
      </c>
      <c r="S10" s="45">
        <f t="shared" si="1"/>
        <v>44297</v>
      </c>
      <c r="T10" s="22">
        <v>1</v>
      </c>
      <c r="U10" s="27" t="s">
        <v>143</v>
      </c>
      <c r="V10" s="24" t="s">
        <v>144</v>
      </c>
      <c r="W10" s="25" t="s">
        <v>138</v>
      </c>
      <c r="X10" s="4" t="s">
        <v>113</v>
      </c>
      <c r="Y10" s="7">
        <v>10005721</v>
      </c>
      <c r="Z10" s="28" t="s">
        <v>114</v>
      </c>
      <c r="AA10" s="7" t="str">
        <f t="shared" si="2"/>
        <v>ENERO10005721Compensación</v>
      </c>
      <c r="AB10" s="26">
        <f>INDEX('Detalle Costos'!$L$5:$L$158,MATCH(Resumen!AA10,'Detalle Costos'!$C$5:$C$158,0))*1000+4623.769999996/248</f>
        <v>1878.6442338709517</v>
      </c>
      <c r="AC10" s="44">
        <f>IFERROR(INDEX('Detalle Costos'!$X$5:$X$158,MATCH(Resumen!AA10,'Detalle Costos'!$C$5:$C$158,0))*AG10,0)</f>
        <v>27003.901467966942</v>
      </c>
      <c r="AD10" s="44">
        <f>IFERROR(INDEX('Detalle Costos'!$Z$5:$Z$158,MATCH(Resumen!AA10,'Detalle Costos'!$C$5:$C$158,0))*AG10,0)</f>
        <v>9795.8890932765044</v>
      </c>
      <c r="AE10" s="44">
        <f>IFERROR(INDEX('Detalle Costos'!$Y$5:$Y$158,MATCH(Resumen!AA10,'Detalle Costos'!$C$5:$C$158,0))*AG10,0)</f>
        <v>426.26796295886788</v>
      </c>
      <c r="AF10" s="44">
        <f>IFERROR(INDEX('Detalle Costos'!$AA$5:$AA$158,MATCH(Resumen!AA10,'Detalle Costos'!$C$5:$C$158,0))*AG10,0)</f>
        <v>7297.1068330224707</v>
      </c>
      <c r="AG10" s="44">
        <f>AI10*G10+6518.87/248*G10-47.35*G10</f>
        <v>44523.165357224789</v>
      </c>
      <c r="AH10" s="44">
        <v>23.7</v>
      </c>
      <c r="AI10" s="26">
        <v>1876.1961237553337</v>
      </c>
      <c r="AJ10" s="44">
        <v>44778.444670991703</v>
      </c>
      <c r="AK10" s="90">
        <f t="shared" si="3"/>
        <v>3076.8346427752113</v>
      </c>
      <c r="AL10" s="92">
        <f t="shared" si="4"/>
        <v>6.4639383251580071E-2</v>
      </c>
      <c r="AM10" s="10">
        <f t="shared" si="5"/>
        <v>3303</v>
      </c>
      <c r="AN10" s="10">
        <f t="shared" si="6"/>
        <v>474.77748390972658</v>
      </c>
      <c r="AO10" s="10">
        <f t="shared" si="7"/>
        <v>1737.2307692307693</v>
      </c>
      <c r="AP10" s="10">
        <f t="shared" si="8"/>
        <v>5515.008253140496</v>
      </c>
      <c r="AQ10" s="10">
        <f t="shared" si="9"/>
        <v>4902.4838709677424</v>
      </c>
      <c r="AR10" s="10">
        <f t="shared" si="10"/>
        <v>1328.9099999999999</v>
      </c>
      <c r="AS10" s="90">
        <f t="shared" si="11"/>
        <v>-6011.7474813330273</v>
      </c>
      <c r="AT10" s="92">
        <f t="shared" si="12"/>
        <v>-0.12629721599439134</v>
      </c>
      <c r="AU10" s="10">
        <f t="shared" si="13"/>
        <v>12701.709677419356</v>
      </c>
      <c r="AV10" s="90">
        <f t="shared" si="14"/>
        <v>-18713.457158752382</v>
      </c>
      <c r="AW10" s="92">
        <f t="shared" si="15"/>
        <v>-0.39313985627631054</v>
      </c>
      <c r="AX10" s="10">
        <f t="shared" si="16"/>
        <v>11954.516129032258</v>
      </c>
      <c r="AY10" s="90">
        <f t="shared" si="17"/>
        <v>5942.7686476992303</v>
      </c>
      <c r="AZ10" s="92">
        <f t="shared" si="18"/>
        <v>0.12484808083401744</v>
      </c>
      <c r="BB10" s="10">
        <f t="shared" si="19"/>
        <v>1983.3333333333333</v>
      </c>
      <c r="BC10" s="10">
        <f t="shared" si="20"/>
        <v>-1125.1625611652892</v>
      </c>
      <c r="BD10" s="10">
        <f t="shared" si="21"/>
        <v>-408.16204555318768</v>
      </c>
      <c r="BE10" s="10">
        <f t="shared" si="22"/>
        <v>-17.761165123286162</v>
      </c>
      <c r="BF10" s="10">
        <f t="shared" si="23"/>
        <v>-304.04611804260293</v>
      </c>
      <c r="BG10" s="10">
        <f t="shared" si="24"/>
        <v>-1855.1318898843663</v>
      </c>
      <c r="BH10" s="10">
        <f t="shared" si="25"/>
        <v>128.20144344896713</v>
      </c>
      <c r="BI10" s="10">
        <f t="shared" si="26"/>
        <v>-137.625</v>
      </c>
      <c r="BJ10" s="10">
        <f t="shared" si="27"/>
        <v>-72.384615384615387</v>
      </c>
      <c r="BK10" s="10">
        <f t="shared" si="28"/>
        <v>-229.79201054752068</v>
      </c>
      <c r="BL10" s="10">
        <f t="shared" si="29"/>
        <v>-204.27016129032259</v>
      </c>
      <c r="BM10" s="10">
        <f t="shared" si="30"/>
        <v>55.371249999999996</v>
      </c>
      <c r="BN10" s="10">
        <f t="shared" si="31"/>
        <v>-250.48947838887614</v>
      </c>
      <c r="BO10" s="10">
        <f t="shared" si="32"/>
        <v>-529.23790322580646</v>
      </c>
      <c r="BP10" s="10">
        <f t="shared" si="33"/>
        <v>-779.7273816146826</v>
      </c>
      <c r="BQ10" s="10">
        <f t="shared" si="34"/>
        <v>498.10483870967738</v>
      </c>
      <c r="BR10" s="10">
        <f t="shared" si="35"/>
        <v>247.61536032080127</v>
      </c>
    </row>
    <row r="11" spans="2:70" hidden="1">
      <c r="B11" s="4" t="s">
        <v>6</v>
      </c>
      <c r="C11" s="27" t="str">
        <f t="shared" si="0"/>
        <v>ENERO</v>
      </c>
      <c r="D11" s="25" t="s">
        <v>145</v>
      </c>
      <c r="E11" s="100">
        <v>46020</v>
      </c>
      <c r="F11" s="100">
        <v>46041</v>
      </c>
      <c r="G11" s="101">
        <v>54</v>
      </c>
      <c r="H11" s="102" t="s">
        <v>31</v>
      </c>
      <c r="I11" s="27" t="s">
        <v>107</v>
      </c>
      <c r="J11" s="19" t="s">
        <v>146</v>
      </c>
      <c r="K11" s="7" t="s">
        <v>108</v>
      </c>
      <c r="L11" s="4" t="s">
        <v>147</v>
      </c>
      <c r="M11" s="29" t="s">
        <v>53</v>
      </c>
      <c r="N11" s="4" t="s">
        <v>148</v>
      </c>
      <c r="O11" s="46">
        <v>2600</v>
      </c>
      <c r="P11" s="52">
        <v>140400</v>
      </c>
      <c r="Q11" s="46">
        <v>2430.962962962963</v>
      </c>
      <c r="R11" s="46">
        <v>9128</v>
      </c>
      <c r="S11" s="45">
        <f t="shared" si="1"/>
        <v>131272</v>
      </c>
      <c r="T11" s="22">
        <v>2</v>
      </c>
      <c r="U11" s="27" t="s">
        <v>149</v>
      </c>
      <c r="V11" s="24">
        <v>28952064</v>
      </c>
      <c r="W11" s="25" t="s">
        <v>112</v>
      </c>
      <c r="X11" s="4" t="s">
        <v>113</v>
      </c>
      <c r="Y11" s="7">
        <v>10007162</v>
      </c>
      <c r="Z11" s="28" t="s">
        <v>114</v>
      </c>
      <c r="AA11" s="7" t="str">
        <f t="shared" si="2"/>
        <v>ENERO10007162Compensación</v>
      </c>
      <c r="AB11" s="26">
        <f>INDEX('Detalle Costos'!$L$5:$L$158,MATCH(Resumen!AA11,'Detalle Costos'!$C$5:$C$158,0))*1000+4623.769999996/248</f>
        <v>1808.6442338709517</v>
      </c>
      <c r="AC11" s="44">
        <f>IFERROR(INDEX('Detalle Costos'!$X$5:$X$158,MATCH(Resumen!AA11,'Detalle Costos'!$C$5:$C$158,0))*AG11,0)</f>
        <v>61989.461042832751</v>
      </c>
      <c r="AD11" s="44">
        <f>IFERROR(INDEX('Detalle Costos'!$Z$5:$Z$158,MATCH(Resumen!AA11,'Detalle Costos'!$C$5:$C$158,0))*AG11,0)</f>
        <v>16355.316252170929</v>
      </c>
      <c r="AE11" s="44">
        <f>IFERROR(INDEX('Detalle Costos'!$Y$5:$Y$158,MATCH(Resumen!AA11,'Detalle Costos'!$C$5:$C$158,0))*AG11,0)</f>
        <v>833.36447529759766</v>
      </c>
      <c r="AF11" s="44">
        <f>IFERROR(INDEX('Detalle Costos'!$AA$5:$AA$158,MATCH(Resumen!AA11,'Detalle Costos'!$C$5:$C$158,0))*AG11,0)</f>
        <v>16254.27039536843</v>
      </c>
      <c r="AG11" s="44">
        <f>AI11*G11+6518.87/248*G11-47.35*G11</f>
        <v>95432.41216566971</v>
      </c>
      <c r="AH11" s="44">
        <v>54</v>
      </c>
      <c r="AI11" s="26">
        <v>1788.3311258278143</v>
      </c>
      <c r="AJ11" s="44">
        <v>99505.640417758506</v>
      </c>
      <c r="AK11" s="90">
        <f t="shared" si="3"/>
        <v>44967.58783433029</v>
      </c>
      <c r="AL11" s="93">
        <f t="shared" si="4"/>
        <v>0.32028196463198211</v>
      </c>
      <c r="AM11" s="10">
        <f t="shared" si="5"/>
        <v>9128</v>
      </c>
      <c r="AN11" s="10">
        <f t="shared" si="6"/>
        <v>1068.2493387968848</v>
      </c>
      <c r="AO11" s="10">
        <f t="shared" si="7"/>
        <v>3908.7692307692309</v>
      </c>
      <c r="AP11" s="10">
        <f t="shared" si="8"/>
        <v>14105.018569566115</v>
      </c>
      <c r="AQ11" s="10">
        <f t="shared" si="9"/>
        <v>11030.58870967742</v>
      </c>
      <c r="AR11" s="10">
        <f t="shared" si="10"/>
        <v>3938.16</v>
      </c>
      <c r="AS11" s="90">
        <f t="shared" si="11"/>
        <v>23770.140555086757</v>
      </c>
      <c r="AT11" s="93">
        <f t="shared" si="12"/>
        <v>0.16930299540660082</v>
      </c>
      <c r="AU11" s="10">
        <f t="shared" si="13"/>
        <v>28578.846774193549</v>
      </c>
      <c r="AV11" s="90">
        <f t="shared" si="14"/>
        <v>-4808.7062191067926</v>
      </c>
      <c r="AW11" s="93">
        <f t="shared" si="15"/>
        <v>-3.4250044295632429E-2</v>
      </c>
      <c r="AX11" s="10">
        <f t="shared" si="16"/>
        <v>26897.661290322583</v>
      </c>
      <c r="AY11" s="90">
        <f t="shared" si="17"/>
        <v>50667.80184540934</v>
      </c>
      <c r="AZ11" s="93">
        <f t="shared" si="18"/>
        <v>0.36088177952570755</v>
      </c>
      <c r="BB11" s="10">
        <f t="shared" si="19"/>
        <v>2600</v>
      </c>
      <c r="BC11" s="10">
        <f t="shared" si="20"/>
        <v>-1147.9529822746806</v>
      </c>
      <c r="BD11" s="10">
        <f t="shared" si="21"/>
        <v>-302.87622689205426</v>
      </c>
      <c r="BE11" s="10">
        <f t="shared" si="22"/>
        <v>-15.432675468474031</v>
      </c>
      <c r="BF11" s="10">
        <f t="shared" si="23"/>
        <v>-301.00500732163761</v>
      </c>
      <c r="BG11" s="10">
        <f t="shared" si="24"/>
        <v>-1767.2668919568464</v>
      </c>
      <c r="BH11" s="10">
        <f t="shared" si="25"/>
        <v>832.73310804315349</v>
      </c>
      <c r="BI11" s="10">
        <f t="shared" si="26"/>
        <v>-169.03703703703704</v>
      </c>
      <c r="BJ11" s="10">
        <f t="shared" si="27"/>
        <v>-72.384615384615387</v>
      </c>
      <c r="BK11" s="10">
        <f t="shared" si="28"/>
        <v>-261.20404758455766</v>
      </c>
      <c r="BL11" s="10">
        <f t="shared" si="29"/>
        <v>-204.27016129032259</v>
      </c>
      <c r="BM11" s="10">
        <f t="shared" si="30"/>
        <v>72.928888888888892</v>
      </c>
      <c r="BN11" s="10">
        <f t="shared" si="31"/>
        <v>440.18778805716215</v>
      </c>
      <c r="BO11" s="10">
        <f t="shared" si="32"/>
        <v>-529.23790322580646</v>
      </c>
      <c r="BP11" s="10">
        <f t="shared" si="33"/>
        <v>-89.050115168644311</v>
      </c>
      <c r="BQ11" s="10">
        <f t="shared" si="34"/>
        <v>498.10483870967749</v>
      </c>
      <c r="BR11" s="10">
        <f t="shared" si="35"/>
        <v>938.29262676683959</v>
      </c>
    </row>
    <row r="12" spans="2:70" hidden="1">
      <c r="B12" s="4" t="s">
        <v>7</v>
      </c>
      <c r="C12" s="27" t="str">
        <f t="shared" si="0"/>
        <v>FEBRERO</v>
      </c>
      <c r="D12" s="25" t="s">
        <v>150</v>
      </c>
      <c r="E12" s="100">
        <v>46027</v>
      </c>
      <c r="F12" s="100">
        <v>46059</v>
      </c>
      <c r="G12" s="101">
        <v>10</v>
      </c>
      <c r="H12" s="102" t="s">
        <v>37</v>
      </c>
      <c r="I12" s="27" t="s">
        <v>126</v>
      </c>
      <c r="J12" s="7" t="s">
        <v>151</v>
      </c>
      <c r="K12" s="7" t="s">
        <v>127</v>
      </c>
      <c r="L12" s="7" t="s">
        <v>119</v>
      </c>
      <c r="M12" s="21" t="s">
        <v>43</v>
      </c>
      <c r="N12" s="7" t="s">
        <v>129</v>
      </c>
      <c r="O12" s="20">
        <v>2100</v>
      </c>
      <c r="P12" s="61">
        <v>21000</v>
      </c>
      <c r="Q12" s="20">
        <v>2100</v>
      </c>
      <c r="R12" s="30">
        <f>3500/24*G12</f>
        <v>1458.3333333333335</v>
      </c>
      <c r="S12" s="32">
        <f t="shared" si="1"/>
        <v>19541.666666666668</v>
      </c>
      <c r="T12" s="22">
        <v>1</v>
      </c>
      <c r="U12" s="27" t="s">
        <v>152</v>
      </c>
      <c r="V12" s="24">
        <v>6444023300</v>
      </c>
      <c r="W12" s="25" t="s">
        <v>122</v>
      </c>
      <c r="X12" s="4" t="s">
        <v>113</v>
      </c>
      <c r="Y12" s="7">
        <v>10007969</v>
      </c>
      <c r="Z12" s="7" t="s">
        <v>114</v>
      </c>
      <c r="AA12" s="7" t="str">
        <f t="shared" si="2"/>
        <v>FEBRERO10007969Compensación</v>
      </c>
      <c r="AB12" s="26">
        <f>INDEX('Detalle Costos'!$L$5:$L$158,MATCH(Resumen!AA12,'Detalle Costos'!$C$5:$C$158,0))*1000*0+AI12+229398.68/1634.3-47.35</f>
        <v>1298.0939858348793</v>
      </c>
      <c r="AC12" s="44">
        <f>IFERROR(INDEX('Detalle Costos'!$X$5:$X$158,MATCH(Resumen!AA12,'Detalle Costos'!$C$5:$C$158,0))*AG12,0)</f>
        <v>10499.590576041763</v>
      </c>
      <c r="AD12" s="44">
        <f>IFERROR(INDEX('Detalle Costos'!$Z$5:$Z$158,MATCH(Resumen!AA12,'Detalle Costos'!$C$5:$C$158,0))*AG12,0)</f>
        <v>1976.4508396275346</v>
      </c>
      <c r="AE12" s="44">
        <f>IFERROR(INDEX('Detalle Costos'!$Y$5:$Y$158,MATCH(Resumen!AA12,'Detalle Costos'!$C$5:$C$158,0))*AG12,0)</f>
        <v>154.98936803953117</v>
      </c>
      <c r="AF12" s="44">
        <f>IFERROR(INDEX('Detalle Costos'!$AA$5:$AA$158,MATCH(Resumen!AA12,'Detalle Costos'!$C$5:$C$158,0))*AG12,0)</f>
        <v>349.9090746399645</v>
      </c>
      <c r="AG12" s="44">
        <f t="shared" ref="AG12:AG35" si="37">AB12*G12</f>
        <v>12980.939858348793</v>
      </c>
      <c r="AH12" s="26">
        <f>+G12</f>
        <v>10</v>
      </c>
      <c r="AI12" s="45">
        <v>1205.0788876276956</v>
      </c>
      <c r="AJ12" s="44">
        <f>+AI12*AH12</f>
        <v>12050.788876276956</v>
      </c>
      <c r="AK12" s="45">
        <f t="shared" si="3"/>
        <v>8019.0601416512072</v>
      </c>
      <c r="AL12" s="94">
        <f t="shared" si="4"/>
        <v>0.38186000674529558</v>
      </c>
      <c r="AM12" s="44">
        <f t="shared" si="5"/>
        <v>1458.3333333333335</v>
      </c>
      <c r="AN12" s="44">
        <f t="shared" si="6"/>
        <v>197.82395162905274</v>
      </c>
      <c r="AO12" s="44">
        <f t="shared" si="7"/>
        <v>723.84615384615381</v>
      </c>
      <c r="AP12" s="44">
        <f t="shared" si="8"/>
        <v>2380.0034388085401</v>
      </c>
      <c r="AQ12" s="44">
        <f>56604/1634.3*G12</f>
        <v>346.35011931713882</v>
      </c>
      <c r="AR12" s="44">
        <f t="shared" si="10"/>
        <v>586.25</v>
      </c>
      <c r="AS12" s="45">
        <f t="shared" si="11"/>
        <v>5878.956583525528</v>
      </c>
      <c r="AT12" s="94">
        <f t="shared" si="12"/>
        <v>0.27995031350121563</v>
      </c>
      <c r="AU12" s="44">
        <f>148498/1634.3*G12</f>
        <v>908.63366578963473</v>
      </c>
      <c r="AV12" s="45">
        <f t="shared" si="14"/>
        <v>4970.3229177358935</v>
      </c>
      <c r="AW12" s="94">
        <f t="shared" si="15"/>
        <v>0.23668204370170923</v>
      </c>
      <c r="AX12" s="44">
        <f>123484.35/1634.3*G12</f>
        <v>755.57945297680976</v>
      </c>
      <c r="AY12" s="45">
        <f t="shared" si="17"/>
        <v>6634.536036502338</v>
      </c>
      <c r="AZ12" s="94">
        <f t="shared" si="18"/>
        <v>0.3159302874524923</v>
      </c>
      <c r="BB12" s="10">
        <f t="shared" si="19"/>
        <v>2100</v>
      </c>
      <c r="BC12" s="10">
        <f t="shared" si="20"/>
        <v>-1049.9590576041762</v>
      </c>
      <c r="BD12" s="10">
        <f t="shared" si="21"/>
        <v>-197.64508396275346</v>
      </c>
      <c r="BE12" s="10">
        <f t="shared" si="22"/>
        <v>-15.498936803953118</v>
      </c>
      <c r="BF12" s="10">
        <f t="shared" si="23"/>
        <v>-34.99090746399645</v>
      </c>
      <c r="BG12" s="10">
        <f t="shared" si="24"/>
        <v>-1298.0939858348793</v>
      </c>
      <c r="BH12" s="10">
        <f t="shared" si="25"/>
        <v>801.90601416512072</v>
      </c>
      <c r="BI12" s="10">
        <f t="shared" si="26"/>
        <v>-145.83333333333334</v>
      </c>
      <c r="BJ12" s="10">
        <f t="shared" si="27"/>
        <v>-72.384615384615387</v>
      </c>
      <c r="BK12" s="10">
        <f t="shared" si="28"/>
        <v>-238.00034388085402</v>
      </c>
      <c r="BL12" s="10">
        <f t="shared" si="29"/>
        <v>-34.635011931713883</v>
      </c>
      <c r="BM12" s="10">
        <f t="shared" si="30"/>
        <v>58.625</v>
      </c>
      <c r="BN12" s="10">
        <f t="shared" si="31"/>
        <v>587.8956583525528</v>
      </c>
      <c r="BO12" s="10">
        <f t="shared" si="32"/>
        <v>-90.863366578963479</v>
      </c>
      <c r="BP12" s="10">
        <f t="shared" si="33"/>
        <v>497.03229177358935</v>
      </c>
      <c r="BQ12" s="10">
        <f t="shared" si="34"/>
        <v>75.557945297680973</v>
      </c>
      <c r="BR12" s="10">
        <f t="shared" si="35"/>
        <v>663.45360365023384</v>
      </c>
    </row>
    <row r="13" spans="2:70" hidden="1">
      <c r="B13" s="4" t="s">
        <v>7</v>
      </c>
      <c r="C13" s="126" t="str">
        <f t="shared" si="0"/>
        <v>FEBRERO</v>
      </c>
      <c r="D13" s="127" t="s">
        <v>150</v>
      </c>
      <c r="E13" s="128">
        <v>46027</v>
      </c>
      <c r="F13" s="128">
        <v>46059</v>
      </c>
      <c r="G13" s="129">
        <v>14</v>
      </c>
      <c r="H13" s="130" t="s">
        <v>34</v>
      </c>
      <c r="I13" s="126" t="s">
        <v>116</v>
      </c>
      <c r="J13" s="131" t="s">
        <v>153</v>
      </c>
      <c r="K13" s="131" t="s">
        <v>118</v>
      </c>
      <c r="L13" s="131" t="s">
        <v>119</v>
      </c>
      <c r="M13" s="218" t="s">
        <v>43</v>
      </c>
      <c r="N13" s="131" t="s">
        <v>129</v>
      </c>
      <c r="O13" s="132">
        <v>1700</v>
      </c>
      <c r="P13" s="133">
        <f>23800-344</f>
        <v>23456</v>
      </c>
      <c r="Q13" s="20">
        <v>1700</v>
      </c>
      <c r="R13" s="30">
        <f>3500/24*G13</f>
        <v>2041.6666666666667</v>
      </c>
      <c r="S13" s="134">
        <f t="shared" si="1"/>
        <v>21414.333333333332</v>
      </c>
      <c r="T13" s="22">
        <v>0</v>
      </c>
      <c r="U13" s="27"/>
      <c r="V13" s="24"/>
      <c r="W13" s="25"/>
      <c r="X13" s="4"/>
      <c r="Y13" s="7">
        <v>10005779</v>
      </c>
      <c r="Z13" s="7" t="s">
        <v>114</v>
      </c>
      <c r="AA13" s="7" t="str">
        <f t="shared" si="2"/>
        <v>FEBRERO10005779Compensación</v>
      </c>
      <c r="AB13" s="132">
        <f>INDEX('Detalle Costos'!$L$5:$L$158,MATCH(Resumen!AA13,'Detalle Costos'!$C$5:$C$158,0))*1000*0+AI13+229398.68/1634.3-47.35</f>
        <v>1840.615098207184</v>
      </c>
      <c r="AC13" s="44">
        <f>IFERROR(INDEX('Detalle Costos'!$X$5:$X$158,MATCH(Resumen!AA13,'Detalle Costos'!$C$5:$C$158,0))*AG13,0)</f>
        <v>15685.111953724419</v>
      </c>
      <c r="AD13" s="44">
        <f>IFERROR(INDEX('Detalle Costos'!$Z$5:$Z$158,MATCH(Resumen!AA13,'Detalle Costos'!$C$5:$C$158,0))*AG13,0)</f>
        <v>5673.5351466995489</v>
      </c>
      <c r="AE13" s="44">
        <f>IFERROR(INDEX('Detalle Costos'!$Y$5:$Y$158,MATCH(Resumen!AA13,'Detalle Costos'!$C$5:$C$158,0))*AG13,0)</f>
        <v>187.96970671476492</v>
      </c>
      <c r="AF13" s="44">
        <f>IFERROR(INDEX('Detalle Costos'!$AA$5:$AA$158,MATCH(Resumen!AA13,'Detalle Costos'!$C$5:$C$158,0))*AG13,0)</f>
        <v>4221.9945677618425</v>
      </c>
      <c r="AG13" s="135">
        <f t="shared" si="37"/>
        <v>25768.611374900574</v>
      </c>
      <c r="AH13" s="26">
        <v>14.849</v>
      </c>
      <c r="AI13" s="45">
        <v>1747.6000000000004</v>
      </c>
      <c r="AJ13" s="44">
        <f>AI13*AH13</f>
        <v>25950.112400000005</v>
      </c>
      <c r="AK13" s="136">
        <f t="shared" si="3"/>
        <v>-2312.6113749005744</v>
      </c>
      <c r="AL13" s="137">
        <f t="shared" si="4"/>
        <v>-9.8593595451081789E-2</v>
      </c>
      <c r="AM13" s="44">
        <f t="shared" si="5"/>
        <v>2041.6666666666667</v>
      </c>
      <c r="AN13" s="44">
        <f t="shared" si="6"/>
        <v>276.95353228067381</v>
      </c>
      <c r="AO13" s="44">
        <f t="shared" si="7"/>
        <v>1013.3846153846155</v>
      </c>
      <c r="AP13" s="135">
        <f t="shared" si="8"/>
        <v>3332.0048143319564</v>
      </c>
      <c r="AQ13" s="135">
        <f>56604/1634.3*G13</f>
        <v>484.89016704399438</v>
      </c>
      <c r="AR13" s="135">
        <f t="shared" si="10"/>
        <v>642.42999999999995</v>
      </c>
      <c r="AS13" s="136">
        <f t="shared" si="11"/>
        <v>-5487.0763562765251</v>
      </c>
      <c r="AT13" s="137">
        <f t="shared" si="12"/>
        <v>-0.23393060864071133</v>
      </c>
      <c r="AU13" s="135">
        <f>148498/1634.3*G13</f>
        <v>1272.0871321054888</v>
      </c>
      <c r="AV13" s="136">
        <f t="shared" si="14"/>
        <v>-6759.1634883820134</v>
      </c>
      <c r="AW13" s="137">
        <f t="shared" si="15"/>
        <v>-0.28816351843374888</v>
      </c>
      <c r="AX13" s="135">
        <f>123484.35/1634.3*G13</f>
        <v>1057.8112341675337</v>
      </c>
      <c r="AY13" s="136">
        <f t="shared" si="17"/>
        <v>-4429.2651221089909</v>
      </c>
      <c r="AZ13" s="137">
        <f t="shared" si="18"/>
        <v>-0.18883292642006272</v>
      </c>
      <c r="BB13" s="44">
        <f t="shared" si="19"/>
        <v>1675.4285714285713</v>
      </c>
      <c r="BC13" s="44">
        <f t="shared" si="20"/>
        <v>-1120.3651395517443</v>
      </c>
      <c r="BD13" s="44">
        <f t="shared" si="21"/>
        <v>-405.25251047853919</v>
      </c>
      <c r="BE13" s="44">
        <f t="shared" si="22"/>
        <v>-13.426407622483209</v>
      </c>
      <c r="BF13" s="44">
        <f t="shared" si="23"/>
        <v>-301.57104055441732</v>
      </c>
      <c r="BG13" s="44">
        <f t="shared" si="24"/>
        <v>-1840.6150982071838</v>
      </c>
      <c r="BH13" s="44">
        <f t="shared" si="25"/>
        <v>-165.18652677861246</v>
      </c>
      <c r="BI13" s="44">
        <f t="shared" si="26"/>
        <v>-145.83333333333334</v>
      </c>
      <c r="BJ13" s="44">
        <f t="shared" si="27"/>
        <v>-72.384615384615387</v>
      </c>
      <c r="BK13" s="44">
        <f t="shared" si="28"/>
        <v>-238.00034388085402</v>
      </c>
      <c r="BL13" s="44">
        <f t="shared" si="29"/>
        <v>-34.635011931713883</v>
      </c>
      <c r="BM13" s="44">
        <f t="shared" si="30"/>
        <v>45.887857142857136</v>
      </c>
      <c r="BN13" s="44">
        <f t="shared" si="31"/>
        <v>-391.93402544832321</v>
      </c>
      <c r="BO13" s="44">
        <f t="shared" si="32"/>
        <v>-90.863366578963479</v>
      </c>
      <c r="BP13" s="44">
        <f t="shared" si="33"/>
        <v>-482.79739202728666</v>
      </c>
      <c r="BQ13" s="44">
        <f t="shared" si="34"/>
        <v>75.557945297680973</v>
      </c>
      <c r="BR13" s="44">
        <f t="shared" si="35"/>
        <v>-316.37608015064222</v>
      </c>
    </row>
    <row r="14" spans="2:70" hidden="1">
      <c r="B14" s="4" t="s">
        <v>6</v>
      </c>
      <c r="C14" s="27" t="str">
        <f t="shared" si="0"/>
        <v>ENERO</v>
      </c>
      <c r="D14" s="27" t="s">
        <v>154</v>
      </c>
      <c r="E14" s="100">
        <v>46032</v>
      </c>
      <c r="F14" s="100">
        <v>46050</v>
      </c>
      <c r="G14" s="101">
        <v>72</v>
      </c>
      <c r="H14" s="102" t="s">
        <v>32</v>
      </c>
      <c r="I14" s="27" t="s">
        <v>155</v>
      </c>
      <c r="J14" s="19" t="s">
        <v>156</v>
      </c>
      <c r="K14" s="7" t="s">
        <v>118</v>
      </c>
      <c r="L14" s="7" t="s">
        <v>128</v>
      </c>
      <c r="M14" s="21" t="s">
        <v>43</v>
      </c>
      <c r="N14" s="7" t="s">
        <v>129</v>
      </c>
      <c r="O14" s="46">
        <f>P14/G14</f>
        <v>1887.7083333333333</v>
      </c>
      <c r="P14" s="52">
        <f>140400*0+135915</f>
        <v>135915</v>
      </c>
      <c r="Q14" s="46">
        <f>S14/G14</f>
        <v>1754.25</v>
      </c>
      <c r="R14" s="46">
        <v>9609</v>
      </c>
      <c r="S14" s="45">
        <f t="shared" si="1"/>
        <v>126306</v>
      </c>
      <c r="T14" s="60">
        <v>3</v>
      </c>
      <c r="U14" s="97" t="s">
        <v>157</v>
      </c>
      <c r="V14" s="59" t="s">
        <v>158</v>
      </c>
      <c r="W14" s="25" t="s">
        <v>138</v>
      </c>
      <c r="X14" s="4" t="s">
        <v>113</v>
      </c>
      <c r="Y14" s="7">
        <v>10006720</v>
      </c>
      <c r="Z14" s="7" t="s">
        <v>114</v>
      </c>
      <c r="AA14" s="7" t="str">
        <f t="shared" si="2"/>
        <v>ENERO10006720Compensación</v>
      </c>
      <c r="AB14" s="26">
        <f>INDEX('Detalle Costos'!$L$5:$L$158,MATCH(Resumen!AA14,'Detalle Costos'!$C$5:$C$158,0))*1000+4623.769999996/248</f>
        <v>1738.6442338709517</v>
      </c>
      <c r="AC14" s="44">
        <f>IFERROR(INDEX('Detalle Costos'!$X$5:$X$158,MATCH(Resumen!AA14,'Detalle Costos'!$C$5:$C$158,0))*AG14,0)</f>
        <v>80708.237355928184</v>
      </c>
      <c r="AD14" s="44">
        <f>IFERROR(INDEX('Detalle Costos'!$Z$5:$Z$158,MATCH(Resumen!AA14,'Detalle Costos'!$C$5:$C$158,0))*AG14,0)</f>
        <v>18674.883831127005</v>
      </c>
      <c r="AE14" s="44">
        <f>IFERROR(INDEX('Detalle Costos'!$Y$5:$Y$158,MATCH(Resumen!AA14,'Detalle Costos'!$C$5:$C$158,0))*AG14,0)</f>
        <v>1170.5202921446628</v>
      </c>
      <c r="AF14" s="44">
        <f>IFERROR(INDEX('Detalle Costos'!$AA$5:$AA$158,MATCH(Resumen!AA14,'Detalle Costos'!$C$5:$C$158,0))*AG14,0)</f>
        <v>21686.758072334378</v>
      </c>
      <c r="AG14" s="44">
        <f>AI14*G14+6518.87/248*G14-47.35*G14</f>
        <v>122240.39955153422</v>
      </c>
      <c r="AH14" s="44">
        <v>69.7</v>
      </c>
      <c r="AI14" s="26">
        <v>1718.8475609756097</v>
      </c>
      <c r="AJ14" s="44">
        <v>120156.942632387</v>
      </c>
      <c r="AK14" s="45">
        <f t="shared" si="3"/>
        <v>13674.600448465775</v>
      </c>
      <c r="AL14" s="98">
        <f t="shared" si="4"/>
        <v>0.10061141484358441</v>
      </c>
      <c r="AM14" s="44">
        <f t="shared" si="5"/>
        <v>9609</v>
      </c>
      <c r="AN14" s="44">
        <f t="shared" si="6"/>
        <v>1424.3324517291799</v>
      </c>
      <c r="AO14" s="44">
        <f t="shared" si="7"/>
        <v>5211.6923076923076</v>
      </c>
      <c r="AP14" s="44">
        <f t="shared" si="8"/>
        <v>16245.024759421489</v>
      </c>
      <c r="AQ14" s="44">
        <f>50659/248*G14</f>
        <v>14707.451612903227</v>
      </c>
      <c r="AR14" s="44">
        <f t="shared" si="10"/>
        <v>3789.18</v>
      </c>
      <c r="AS14" s="45">
        <f t="shared" si="11"/>
        <v>-13488.695923858941</v>
      </c>
      <c r="AT14" s="98">
        <f t="shared" si="12"/>
        <v>-9.9243614934767618E-2</v>
      </c>
      <c r="AU14" s="44">
        <f>131251/248*G14</f>
        <v>38105.129032258068</v>
      </c>
      <c r="AV14" s="45">
        <f t="shared" si="14"/>
        <v>-51593.824956117009</v>
      </c>
      <c r="AW14" s="98">
        <f t="shared" si="15"/>
        <v>-0.37960361222909178</v>
      </c>
      <c r="AX14" s="44">
        <f>123530/248*G14</f>
        <v>35863.548387096773</v>
      </c>
      <c r="AY14" s="45">
        <f t="shared" si="17"/>
        <v>22374.852463237832</v>
      </c>
      <c r="AZ14" s="98">
        <f t="shared" si="18"/>
        <v>0.16462386390933917</v>
      </c>
      <c r="BB14" s="44">
        <f t="shared" si="19"/>
        <v>1887.7083333333333</v>
      </c>
      <c r="BC14" s="44">
        <f t="shared" si="20"/>
        <v>-1120.947741054558</v>
      </c>
      <c r="BD14" s="44">
        <f t="shared" si="21"/>
        <v>-259.37338654343063</v>
      </c>
      <c r="BE14" s="44">
        <f t="shared" si="22"/>
        <v>-16.257226279786984</v>
      </c>
      <c r="BF14" s="44">
        <f t="shared" si="23"/>
        <v>-301.20497322686634</v>
      </c>
      <c r="BG14" s="44">
        <f t="shared" si="24"/>
        <v>-1697.783327104642</v>
      </c>
      <c r="BH14" s="44">
        <f t="shared" si="25"/>
        <v>189.92500622869133</v>
      </c>
      <c r="BI14" s="44">
        <f t="shared" si="26"/>
        <v>-133.45833333333334</v>
      </c>
      <c r="BJ14" s="44">
        <f t="shared" si="27"/>
        <v>-72.384615384615387</v>
      </c>
      <c r="BK14" s="44">
        <f t="shared" si="28"/>
        <v>-225.62534388085402</v>
      </c>
      <c r="BL14" s="44">
        <f t="shared" si="29"/>
        <v>-204.27016129032259</v>
      </c>
      <c r="BM14" s="44">
        <f t="shared" si="30"/>
        <v>52.627499999999998</v>
      </c>
      <c r="BN14" s="44">
        <f t="shared" si="31"/>
        <v>-187.34299894248528</v>
      </c>
      <c r="BO14" s="44">
        <f t="shared" si="32"/>
        <v>-529.23790322580646</v>
      </c>
      <c r="BP14" s="44">
        <f t="shared" si="33"/>
        <v>-716.5809021682918</v>
      </c>
      <c r="BQ14" s="44">
        <f t="shared" si="34"/>
        <v>498.10483870967738</v>
      </c>
      <c r="BR14" s="44">
        <f t="shared" si="35"/>
        <v>310.7618397671921</v>
      </c>
    </row>
    <row r="15" spans="2:70" hidden="1">
      <c r="B15" s="4" t="s">
        <v>6</v>
      </c>
      <c r="C15" s="27" t="str">
        <f t="shared" si="0"/>
        <v>ENERO</v>
      </c>
      <c r="D15" s="27"/>
      <c r="E15" s="100">
        <v>46053</v>
      </c>
      <c r="F15" s="100">
        <v>46053</v>
      </c>
      <c r="G15" s="101">
        <v>0</v>
      </c>
      <c r="H15" s="102" t="s">
        <v>420</v>
      </c>
      <c r="I15" s="27" t="s">
        <v>421</v>
      </c>
      <c r="J15" s="27" t="s">
        <v>421</v>
      </c>
      <c r="K15" s="27" t="s">
        <v>421</v>
      </c>
      <c r="L15" s="27" t="s">
        <v>421</v>
      </c>
      <c r="M15" s="27" t="s">
        <v>422</v>
      </c>
      <c r="N15" s="7"/>
      <c r="O15" s="46">
        <v>0</v>
      </c>
      <c r="P15" s="52">
        <v>24314.28</v>
      </c>
      <c r="Q15" s="46">
        <v>0</v>
      </c>
      <c r="R15" s="46">
        <v>0</v>
      </c>
      <c r="S15" s="45">
        <f t="shared" si="1"/>
        <v>24314.28</v>
      </c>
      <c r="T15" s="60"/>
      <c r="U15" s="97"/>
      <c r="V15" s="59"/>
      <c r="W15" s="25"/>
      <c r="X15" s="4"/>
      <c r="Y15" s="7"/>
      <c r="Z15" s="7"/>
      <c r="AA15" s="7"/>
      <c r="AB15" s="26">
        <v>0</v>
      </c>
      <c r="AC15" s="44">
        <f>IFERROR(INDEX('Detalle Costos'!$X$5:$X$158,MATCH(Resumen!AA15,'Detalle Costos'!$C$5:$C$158,0))*AG15,0)</f>
        <v>0</v>
      </c>
      <c r="AD15" s="44">
        <f>IFERROR(INDEX('Detalle Costos'!$Z$5:$Z$158,MATCH(Resumen!AA15,'Detalle Costos'!$C$5:$C$158,0))*AG15,0)</f>
        <v>0</v>
      </c>
      <c r="AE15" s="44">
        <f>IFERROR(INDEX('Detalle Costos'!$Y$5:$Y$158,MATCH(Resumen!AA15,'Detalle Costos'!$C$5:$C$158,0))*AG15,0)</f>
        <v>0</v>
      </c>
      <c r="AF15" s="44">
        <f>IFERROR(INDEX('Detalle Costos'!$AA$5:$AA$158,MATCH(Resumen!AA15,'Detalle Costos'!$C$5:$C$158,0))*AG15,0)</f>
        <v>0</v>
      </c>
      <c r="AG15" s="44">
        <f t="shared" ref="AG15" si="38">AI15*G15</f>
        <v>0</v>
      </c>
      <c r="AH15" s="44"/>
      <c r="AI15" s="26"/>
      <c r="AJ15" s="10"/>
      <c r="AK15" s="45">
        <f t="shared" si="3"/>
        <v>24314.28</v>
      </c>
      <c r="AL15" s="98">
        <f t="shared" si="4"/>
        <v>1</v>
      </c>
      <c r="AM15" s="44">
        <f t="shared" si="5"/>
        <v>0</v>
      </c>
      <c r="AN15" s="44">
        <f t="shared" si="6"/>
        <v>0</v>
      </c>
      <c r="AO15" s="44">
        <f t="shared" si="7"/>
        <v>0</v>
      </c>
      <c r="AP15" s="44">
        <f t="shared" si="8"/>
        <v>0</v>
      </c>
      <c r="AQ15" s="44">
        <f>50659/248*G15</f>
        <v>0</v>
      </c>
      <c r="AR15" s="44">
        <v>0</v>
      </c>
      <c r="AS15" s="45">
        <f t="shared" si="11"/>
        <v>24314.28</v>
      </c>
      <c r="AT15" s="98">
        <f t="shared" si="12"/>
        <v>1</v>
      </c>
      <c r="AU15" s="44">
        <f>131251/248*G15</f>
        <v>0</v>
      </c>
      <c r="AV15" s="45">
        <f t="shared" si="14"/>
        <v>24314.28</v>
      </c>
      <c r="AW15" s="98">
        <f t="shared" si="15"/>
        <v>1</v>
      </c>
      <c r="AX15" s="44">
        <f>123530/248*G15</f>
        <v>0</v>
      </c>
      <c r="AY15" s="45">
        <f t="shared" si="17"/>
        <v>24314.28</v>
      </c>
      <c r="AZ15" s="98">
        <f t="shared" si="18"/>
        <v>1</v>
      </c>
      <c r="BB15" s="44">
        <v>0</v>
      </c>
      <c r="BC15" s="44">
        <v>0</v>
      </c>
      <c r="BD15" s="44">
        <v>0</v>
      </c>
      <c r="BE15" s="44"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0</v>
      </c>
      <c r="BK15" s="44">
        <v>0</v>
      </c>
      <c r="BL15" s="44">
        <v>0</v>
      </c>
      <c r="BM15" s="44">
        <v>0</v>
      </c>
      <c r="BN15" s="44">
        <v>0</v>
      </c>
      <c r="BO15" s="44">
        <v>0</v>
      </c>
      <c r="BP15" s="44">
        <v>0</v>
      </c>
      <c r="BQ15" s="44">
        <v>0</v>
      </c>
      <c r="BR15" s="44">
        <v>0</v>
      </c>
    </row>
    <row r="16" spans="2:70" hidden="1">
      <c r="B16" s="4" t="s">
        <v>7</v>
      </c>
      <c r="C16" s="27" t="str">
        <f t="shared" si="0"/>
        <v>FEBRERO</v>
      </c>
      <c r="D16" s="29" t="s">
        <v>159</v>
      </c>
      <c r="E16" s="100">
        <v>15</v>
      </c>
      <c r="F16" s="100">
        <v>46055</v>
      </c>
      <c r="G16" s="101">
        <v>135</v>
      </c>
      <c r="H16" s="102" t="s">
        <v>33</v>
      </c>
      <c r="I16" s="27" t="s">
        <v>132</v>
      </c>
      <c r="J16" s="7" t="s">
        <v>160</v>
      </c>
      <c r="K16" s="7" t="s">
        <v>161</v>
      </c>
      <c r="L16" s="7" t="s">
        <v>147</v>
      </c>
      <c r="M16" s="21" t="s">
        <v>52</v>
      </c>
      <c r="N16" s="4" t="s">
        <v>148</v>
      </c>
      <c r="O16" s="20">
        <v>1650</v>
      </c>
      <c r="P16" s="48">
        <v>222750</v>
      </c>
      <c r="Q16" s="20">
        <v>1480.962962962963</v>
      </c>
      <c r="R16" s="30">
        <v>22820</v>
      </c>
      <c r="S16" s="32">
        <f t="shared" si="1"/>
        <v>199930</v>
      </c>
      <c r="T16" s="60">
        <v>5</v>
      </c>
      <c r="U16" s="59" t="s">
        <v>162</v>
      </c>
      <c r="V16" s="146">
        <v>59582082</v>
      </c>
      <c r="W16" s="25" t="s">
        <v>112</v>
      </c>
      <c r="X16" s="62" t="s">
        <v>113</v>
      </c>
      <c r="Y16" s="7">
        <v>10005721</v>
      </c>
      <c r="Z16" s="7" t="s">
        <v>114</v>
      </c>
      <c r="AA16" s="7" t="str">
        <f t="shared" ref="AA16:AA34" si="39">B16&amp;Y16&amp;Z16</f>
        <v>FEBRERO10005721Compensación</v>
      </c>
      <c r="AB16" s="26">
        <f>INDEX('Detalle Costos'!$L$5:$L$158,MATCH(Resumen!AA16,'Detalle Costos'!$C$5:$C$158,0))*1000*0+AI16+229398.68/1634.3-47.35</f>
        <v>1765.2216716888854</v>
      </c>
      <c r="AC16" s="44">
        <f>IFERROR(INDEX('Detalle Costos'!$X$5:$X$158,MATCH(Resumen!AA16,'Detalle Costos'!$C$5:$C$158,0))*AG16,0)</f>
        <v>144612.00092624253</v>
      </c>
      <c r="AD16" s="44">
        <f>IFERROR(INDEX('Detalle Costos'!$Z$5:$Z$158,MATCH(Resumen!AA16,'Detalle Costos'!$C$5:$C$158,0))*AG16,0)</f>
        <v>47774.393939933281</v>
      </c>
      <c r="AE16" s="44">
        <f>IFERROR(INDEX('Detalle Costos'!$Y$5:$Y$158,MATCH(Resumen!AA16,'Detalle Costos'!$C$5:$C$158,0))*AG16,0)</f>
        <v>2541.4765314781621</v>
      </c>
      <c r="AF16" s="44">
        <f>IFERROR(INDEX('Detalle Costos'!$AA$5:$AA$158,MATCH(Resumen!AA16,'Detalle Costos'!$C$5:$C$158,0))*AG16,0)</f>
        <v>43377.054280345568</v>
      </c>
      <c r="AG16" s="44">
        <f t="shared" si="37"/>
        <v>238304.92567799953</v>
      </c>
      <c r="AH16" s="26">
        <f>+G16</f>
        <v>135</v>
      </c>
      <c r="AI16" s="45">
        <v>1672.2065734817018</v>
      </c>
      <c r="AJ16" s="113">
        <v>251295.39</v>
      </c>
      <c r="AK16" s="45">
        <f t="shared" si="3"/>
        <v>-15554.925677999534</v>
      </c>
      <c r="AL16" s="94">
        <f t="shared" si="4"/>
        <v>-6.9831316175082078E-2</v>
      </c>
      <c r="AM16" s="44">
        <f t="shared" si="5"/>
        <v>22820</v>
      </c>
      <c r="AN16" s="44">
        <f t="shared" si="6"/>
        <v>2670.6233469922122</v>
      </c>
      <c r="AO16" s="44">
        <f t="shared" si="7"/>
        <v>9771.923076923078</v>
      </c>
      <c r="AP16" s="44">
        <f t="shared" si="8"/>
        <v>35262.546423915293</v>
      </c>
      <c r="AQ16" s="44">
        <f t="shared" ref="AQ16:AQ35" si="40">56604/1634.3*G16</f>
        <v>4675.7266107813739</v>
      </c>
      <c r="AR16" s="44">
        <f t="shared" ref="AR16:AR34" si="41">S16*0.03</f>
        <v>5997.9</v>
      </c>
      <c r="AS16" s="45">
        <f t="shared" si="11"/>
        <v>-49495.298712696203</v>
      </c>
      <c r="AT16" s="94">
        <f t="shared" si="12"/>
        <v>-0.22220111655531405</v>
      </c>
      <c r="AU16" s="44">
        <f t="shared" ref="AU16:AU34" si="42">148498/1634.3*G16</f>
        <v>12266.554488160069</v>
      </c>
      <c r="AV16" s="45">
        <f t="shared" si="14"/>
        <v>-61761.853200856276</v>
      </c>
      <c r="AW16" s="94">
        <f t="shared" si="15"/>
        <v>-0.27726982357286767</v>
      </c>
      <c r="AX16" s="44">
        <f t="shared" ref="AX16:AX34" si="43">124162.35/1634.3*G16</f>
        <v>10256.328244508353</v>
      </c>
      <c r="AY16" s="45">
        <f t="shared" si="17"/>
        <v>-39238.97046818785</v>
      </c>
      <c r="AZ16" s="94">
        <f t="shared" si="18"/>
        <v>-0.17615699424551223</v>
      </c>
      <c r="BB16" s="44">
        <f t="shared" ref="BB16:BB34" si="44">P16/$G16</f>
        <v>1650</v>
      </c>
      <c r="BC16" s="44">
        <f t="shared" ref="BC16:BC34" si="45">-AC16/$G16</f>
        <v>-1071.2000068610557</v>
      </c>
      <c r="BD16" s="44">
        <f t="shared" ref="BD16:BD34" si="46">-AD16/$G16</f>
        <v>-353.88439955506135</v>
      </c>
      <c r="BE16" s="44">
        <f t="shared" ref="BE16:BE34" si="47">-AE16/$G16</f>
        <v>-18.825752085023424</v>
      </c>
      <c r="BF16" s="44">
        <f t="shared" ref="BF16:BF34" si="48">-AF16/$G16</f>
        <v>-321.31151318774494</v>
      </c>
      <c r="BG16" s="44">
        <f t="shared" ref="BG16:BG34" si="49">-AG16/$G16</f>
        <v>-1765.2216716888854</v>
      </c>
      <c r="BH16" s="44">
        <f t="shared" ref="BH16:BH34" si="50">AK16/$G16</f>
        <v>-115.22167168888544</v>
      </c>
      <c r="BI16" s="44">
        <f t="shared" ref="BI16:BI34" si="51">-AM16/$G16</f>
        <v>-169.03703703703704</v>
      </c>
      <c r="BJ16" s="44">
        <f t="shared" ref="BJ16:BJ34" si="52">-AO16/$G16</f>
        <v>-72.384615384615387</v>
      </c>
      <c r="BK16" s="44">
        <f t="shared" ref="BK16:BK34" si="53">-AP16/$G16</f>
        <v>-261.20404758455771</v>
      </c>
      <c r="BL16" s="44">
        <f t="shared" ref="BL16:BL34" si="54">-AQ16/$G16</f>
        <v>-34.635011931713883</v>
      </c>
      <c r="BM16" s="44">
        <f t="shared" ref="BM16:BM34" si="55">AR16/$G16</f>
        <v>44.428888888888885</v>
      </c>
      <c r="BN16" s="44">
        <f t="shared" ref="BN16:BN34" si="56">AS16/$G16</f>
        <v>-366.63184231626815</v>
      </c>
      <c r="BO16" s="44">
        <f t="shared" ref="BO16:BO34" si="57">-AU16/$G16</f>
        <v>-90.863366578963479</v>
      </c>
      <c r="BP16" s="44">
        <f t="shared" ref="BP16:BP34" si="58">AV16/$G16</f>
        <v>-457.49520889523166</v>
      </c>
      <c r="BQ16" s="44">
        <f t="shared" ref="BQ16:BQ34" si="59">AX16/$G16</f>
        <v>75.972801811172985</v>
      </c>
      <c r="BR16" s="44">
        <f t="shared" ref="BR16:BR34" si="60">AY16/$G16</f>
        <v>-290.65904050509516</v>
      </c>
    </row>
    <row r="17" spans="2:70" hidden="1">
      <c r="B17" s="4" t="s">
        <v>7</v>
      </c>
      <c r="C17" s="27" t="str">
        <f t="shared" si="0"/>
        <v>FEBRERO</v>
      </c>
      <c r="D17" s="29" t="s">
        <v>163</v>
      </c>
      <c r="E17" s="100">
        <v>16</v>
      </c>
      <c r="F17" s="100">
        <v>46055</v>
      </c>
      <c r="G17" s="101">
        <v>27</v>
      </c>
      <c r="H17" s="102" t="s">
        <v>36</v>
      </c>
      <c r="I17" s="27" t="s">
        <v>107</v>
      </c>
      <c r="J17" s="7"/>
      <c r="K17" s="7" t="s">
        <v>161</v>
      </c>
      <c r="L17" s="7" t="s">
        <v>147</v>
      </c>
      <c r="M17" s="29" t="s">
        <v>53</v>
      </c>
      <c r="N17" s="4" t="s">
        <v>148</v>
      </c>
      <c r="O17" s="20">
        <f>P17/G17</f>
        <v>2873.5185185185187</v>
      </c>
      <c r="P17" s="48">
        <f>79650*0+77585</f>
        <v>77585</v>
      </c>
      <c r="Q17" s="20">
        <f>S17/G17</f>
        <v>2711.8888888888887</v>
      </c>
      <c r="R17" s="30">
        <v>4364</v>
      </c>
      <c r="S17" s="32">
        <f t="shared" si="1"/>
        <v>73221</v>
      </c>
      <c r="T17" s="60">
        <v>1</v>
      </c>
      <c r="U17" s="7"/>
      <c r="V17" s="7"/>
      <c r="W17" s="4"/>
      <c r="X17" s="4"/>
      <c r="Y17" s="7">
        <v>10007567</v>
      </c>
      <c r="Z17" s="7" t="s">
        <v>164</v>
      </c>
      <c r="AA17" s="7" t="str">
        <f t="shared" si="39"/>
        <v>FEBRERO10007567Entradas</v>
      </c>
      <c r="AB17" s="26">
        <f>INDEX('Detalle Costos'!$L$5:$L$158,MATCH(Resumen!AA17,'Detalle Costos'!$C$5:$C$158,0))*1000*0+AI17+229398.68/1634.3-47.35</f>
        <v>1745.2508737332942</v>
      </c>
      <c r="AC17" s="44">
        <f>IFERROR(INDEX('Detalle Costos'!$X$5:$X$158,MATCH(Resumen!AA17,'Detalle Costos'!$C$5:$C$158,0))*AG17,0)</f>
        <v>29088.955538352959</v>
      </c>
      <c r="AD17" s="44">
        <f>IFERROR(INDEX('Detalle Costos'!$Z$5:$Z$158,MATCH(Resumen!AA17,'Detalle Costos'!$C$5:$C$158,0))*AG17,0)</f>
        <v>8334.6849466464082</v>
      </c>
      <c r="AE17" s="44">
        <f>IFERROR(INDEX('Detalle Costos'!$Y$5:$Y$158,MATCH(Resumen!AA17,'Detalle Costos'!$C$5:$C$158,0))*AG17,0)</f>
        <v>528.835359913601</v>
      </c>
      <c r="AF17" s="44">
        <f>IFERROR(INDEX('Detalle Costos'!$AA$5:$AA$158,MATCH(Resumen!AA17,'Detalle Costos'!$C$5:$C$158,0))*AG17,0)</f>
        <v>9169.297745885975</v>
      </c>
      <c r="AG17" s="44">
        <f t="shared" si="37"/>
        <v>47121.773590798941</v>
      </c>
      <c r="AH17" s="101">
        <v>26.302</v>
      </c>
      <c r="AI17" s="45">
        <v>1652.2357755261105</v>
      </c>
      <c r="AJ17" s="44">
        <v>48129</v>
      </c>
      <c r="AK17" s="45">
        <f t="shared" si="3"/>
        <v>30463.226409201059</v>
      </c>
      <c r="AL17" s="94">
        <f t="shared" si="4"/>
        <v>0.3926432481691185</v>
      </c>
      <c r="AM17" s="44">
        <f t="shared" si="5"/>
        <v>4364</v>
      </c>
      <c r="AN17" s="44">
        <f t="shared" si="6"/>
        <v>534.12466939844239</v>
      </c>
      <c r="AO17" s="44">
        <f t="shared" si="7"/>
        <v>1954.3846153846155</v>
      </c>
      <c r="AP17" s="44">
        <f t="shared" si="8"/>
        <v>6852.5092847830574</v>
      </c>
      <c r="AQ17" s="44">
        <f t="shared" si="40"/>
        <v>935.1453221562748</v>
      </c>
      <c r="AR17" s="44">
        <f t="shared" si="41"/>
        <v>2196.63</v>
      </c>
      <c r="AS17" s="45">
        <f t="shared" si="11"/>
        <v>24872.20180226173</v>
      </c>
      <c r="AT17" s="94">
        <f t="shared" si="12"/>
        <v>0.32058003225187509</v>
      </c>
      <c r="AU17" s="44">
        <f t="shared" si="42"/>
        <v>2453.3108976320141</v>
      </c>
      <c r="AV17" s="45">
        <f t="shared" si="14"/>
        <v>22418.890904629716</v>
      </c>
      <c r="AW17" s="94">
        <f t="shared" si="15"/>
        <v>0.28895908880105325</v>
      </c>
      <c r="AX17" s="44">
        <f t="shared" si="43"/>
        <v>2051.2656489016708</v>
      </c>
      <c r="AY17" s="45">
        <f t="shared" si="17"/>
        <v>26923.4674511634</v>
      </c>
      <c r="AZ17" s="94">
        <f t="shared" si="18"/>
        <v>0.34701897855466135</v>
      </c>
      <c r="BB17" s="44">
        <f t="shared" si="44"/>
        <v>2873.5185185185187</v>
      </c>
      <c r="BC17" s="44">
        <f t="shared" si="45"/>
        <v>-1077.3687236427022</v>
      </c>
      <c r="BD17" s="44">
        <f t="shared" si="46"/>
        <v>-308.69203506097807</v>
      </c>
      <c r="BE17" s="44">
        <f t="shared" si="47"/>
        <v>-19.586494811614852</v>
      </c>
      <c r="BF17" s="44">
        <f t="shared" si="48"/>
        <v>-339.60362021799909</v>
      </c>
      <c r="BG17" s="44">
        <f t="shared" si="49"/>
        <v>-1745.2508737332942</v>
      </c>
      <c r="BH17" s="44">
        <f t="shared" si="50"/>
        <v>1128.2676447852243</v>
      </c>
      <c r="BI17" s="44">
        <f t="shared" si="51"/>
        <v>-161.62962962962962</v>
      </c>
      <c r="BJ17" s="44">
        <f t="shared" si="52"/>
        <v>-72.384615384615387</v>
      </c>
      <c r="BK17" s="44">
        <f t="shared" si="53"/>
        <v>-253.79664017715027</v>
      </c>
      <c r="BL17" s="44">
        <f t="shared" si="54"/>
        <v>-34.635011931713883</v>
      </c>
      <c r="BM17" s="44">
        <f t="shared" si="55"/>
        <v>81.356666666666669</v>
      </c>
      <c r="BN17" s="44">
        <f t="shared" si="56"/>
        <v>921.192659343027</v>
      </c>
      <c r="BO17" s="44">
        <f t="shared" si="57"/>
        <v>-90.863366578963479</v>
      </c>
      <c r="BP17" s="44">
        <f t="shared" si="58"/>
        <v>830.32929276406355</v>
      </c>
      <c r="BQ17" s="44">
        <f t="shared" si="59"/>
        <v>75.972801811172999</v>
      </c>
      <c r="BR17" s="44">
        <f t="shared" si="60"/>
        <v>997.16546115419999</v>
      </c>
    </row>
    <row r="18" spans="2:70" hidden="1">
      <c r="B18" s="4" t="s">
        <v>7</v>
      </c>
      <c r="C18" s="27" t="str">
        <f t="shared" si="0"/>
        <v>FEBRERO</v>
      </c>
      <c r="D18" s="25" t="s">
        <v>165</v>
      </c>
      <c r="E18" s="100">
        <v>325</v>
      </c>
      <c r="F18" s="100">
        <v>46069</v>
      </c>
      <c r="G18" s="101">
        <v>26</v>
      </c>
      <c r="H18" s="102" t="s">
        <v>31</v>
      </c>
      <c r="I18" s="27" t="s">
        <v>107</v>
      </c>
      <c r="J18" s="19" t="s">
        <v>166</v>
      </c>
      <c r="K18" s="7" t="s">
        <v>161</v>
      </c>
      <c r="L18" s="7" t="s">
        <v>147</v>
      </c>
      <c r="M18" s="21" t="s">
        <v>48</v>
      </c>
      <c r="N18" s="7" t="s">
        <v>167</v>
      </c>
      <c r="O18" s="20">
        <v>2600</v>
      </c>
      <c r="P18" s="61">
        <v>67600</v>
      </c>
      <c r="Q18" s="20">
        <v>2432.1538461538462</v>
      </c>
      <c r="R18" s="30">
        <v>4364</v>
      </c>
      <c r="S18" s="32">
        <f t="shared" si="1"/>
        <v>63236</v>
      </c>
      <c r="T18" s="60">
        <v>1</v>
      </c>
      <c r="U18" s="7" t="s">
        <v>168</v>
      </c>
      <c r="V18" s="7">
        <v>11400418</v>
      </c>
      <c r="W18" s="4" t="s">
        <v>112</v>
      </c>
      <c r="X18" s="4" t="s">
        <v>113</v>
      </c>
      <c r="Y18" s="7">
        <v>10007162</v>
      </c>
      <c r="Z18" s="7" t="s">
        <v>114</v>
      </c>
      <c r="AA18" s="7" t="str">
        <f t="shared" si="39"/>
        <v>FEBRERO10007162Compensación</v>
      </c>
      <c r="AB18" s="26">
        <f>INDEX('Detalle Costos'!$L$5:$L$158,MATCH(Resumen!AA18,'Detalle Costos'!$C$5:$C$158,0))*1000*0+AI18+229398.68/1634.3-47.35</f>
        <v>1758.861309807008</v>
      </c>
      <c r="AC18" s="44">
        <f>IFERROR(INDEX('Detalle Costos'!$X$5:$X$158,MATCH(Resumen!AA18,'Detalle Costos'!$C$5:$C$158,0))*AG18,0)</f>
        <v>28707.971034187925</v>
      </c>
      <c r="AD18" s="44">
        <f>IFERROR(INDEX('Detalle Costos'!$Z$5:$Z$158,MATCH(Resumen!AA18,'Detalle Costos'!$C$5:$C$158,0))*AG18,0)</f>
        <v>8191.5894616150017</v>
      </c>
      <c r="AE18" s="44">
        <f>IFERROR(INDEX('Detalle Costos'!$Y$5:$Y$158,MATCH(Resumen!AA18,'Detalle Costos'!$C$5:$C$158,0))*AG18,0)</f>
        <v>426.49256910440619</v>
      </c>
      <c r="AF18" s="44">
        <f>IFERROR(INDEX('Detalle Costos'!$AA$5:$AA$158,MATCH(Resumen!AA18,'Detalle Costos'!$C$5:$C$158,0))*AG18,0)</f>
        <v>8404.3409900748629</v>
      </c>
      <c r="AG18" s="44">
        <f t="shared" si="37"/>
        <v>45730.394054982207</v>
      </c>
      <c r="AH18" s="26">
        <f>+G18</f>
        <v>26</v>
      </c>
      <c r="AI18" s="45">
        <v>1665.8462115998243</v>
      </c>
      <c r="AJ18" s="44">
        <f>AI18*AH18</f>
        <v>43312.001501595434</v>
      </c>
      <c r="AK18" s="45">
        <f t="shared" si="3"/>
        <v>21869.605945017793</v>
      </c>
      <c r="AL18" s="94">
        <f t="shared" si="4"/>
        <v>0.32351488084345847</v>
      </c>
      <c r="AM18" s="44">
        <f t="shared" si="5"/>
        <v>4364</v>
      </c>
      <c r="AN18" s="44">
        <f t="shared" si="6"/>
        <v>514.34227423553716</v>
      </c>
      <c r="AO18" s="44">
        <f t="shared" si="7"/>
        <v>1882</v>
      </c>
      <c r="AP18" s="44">
        <f t="shared" si="8"/>
        <v>6760.3422742355369</v>
      </c>
      <c r="AQ18" s="44">
        <f t="shared" si="40"/>
        <v>900.51031022456095</v>
      </c>
      <c r="AR18" s="44">
        <f t="shared" si="41"/>
        <v>1897.08</v>
      </c>
      <c r="AS18" s="45">
        <f t="shared" si="11"/>
        <v>16105.833360557695</v>
      </c>
      <c r="AT18" s="94">
        <f t="shared" si="12"/>
        <v>0.23825197278931501</v>
      </c>
      <c r="AU18" s="44">
        <f t="shared" si="42"/>
        <v>2362.4475310530506</v>
      </c>
      <c r="AV18" s="45">
        <f t="shared" si="14"/>
        <v>13743.385829504645</v>
      </c>
      <c r="AW18" s="94">
        <f t="shared" si="15"/>
        <v>0.20330452410509831</v>
      </c>
      <c r="AX18" s="44">
        <f t="shared" si="43"/>
        <v>1975.2928470904976</v>
      </c>
      <c r="AY18" s="45">
        <f t="shared" si="17"/>
        <v>18081.126207648194</v>
      </c>
      <c r="AZ18" s="94">
        <f t="shared" si="18"/>
        <v>0.26747228117822774</v>
      </c>
      <c r="BB18" s="44">
        <f t="shared" si="44"/>
        <v>2600</v>
      </c>
      <c r="BC18" s="44">
        <f t="shared" si="45"/>
        <v>-1104.152732084151</v>
      </c>
      <c r="BD18" s="44">
        <f t="shared" si="46"/>
        <v>-315.06113313903853</v>
      </c>
      <c r="BE18" s="44">
        <f t="shared" si="47"/>
        <v>-16.403560350169467</v>
      </c>
      <c r="BF18" s="44">
        <f t="shared" si="48"/>
        <v>-323.2438842336486</v>
      </c>
      <c r="BG18" s="44">
        <f t="shared" si="49"/>
        <v>-1758.861309807008</v>
      </c>
      <c r="BH18" s="44">
        <f t="shared" si="50"/>
        <v>841.13869019299204</v>
      </c>
      <c r="BI18" s="44">
        <f t="shared" si="51"/>
        <v>-167.84615384615384</v>
      </c>
      <c r="BJ18" s="44">
        <f t="shared" si="52"/>
        <v>-72.384615384615387</v>
      </c>
      <c r="BK18" s="44">
        <f t="shared" si="53"/>
        <v>-260.01316439367451</v>
      </c>
      <c r="BL18" s="44">
        <f t="shared" si="54"/>
        <v>-34.635011931713883</v>
      </c>
      <c r="BM18" s="44">
        <f t="shared" si="55"/>
        <v>72.964615384615385</v>
      </c>
      <c r="BN18" s="44">
        <f t="shared" si="56"/>
        <v>619.45512925221908</v>
      </c>
      <c r="BO18" s="44">
        <f t="shared" si="57"/>
        <v>-90.863366578963479</v>
      </c>
      <c r="BP18" s="44">
        <f t="shared" si="58"/>
        <v>528.59176267325552</v>
      </c>
      <c r="BQ18" s="44">
        <f t="shared" si="59"/>
        <v>75.972801811172985</v>
      </c>
      <c r="BR18" s="44">
        <f t="shared" si="60"/>
        <v>695.42793106339207</v>
      </c>
    </row>
    <row r="19" spans="2:70" hidden="1">
      <c r="B19" s="4" t="s">
        <v>7</v>
      </c>
      <c r="C19" s="27" t="str">
        <f t="shared" si="0"/>
        <v>FEBRERO</v>
      </c>
      <c r="D19" s="25" t="s">
        <v>169</v>
      </c>
      <c r="E19" s="100">
        <v>26</v>
      </c>
      <c r="F19" s="100">
        <v>46080</v>
      </c>
      <c r="G19" s="101">
        <v>27</v>
      </c>
      <c r="H19" s="102" t="s">
        <v>38</v>
      </c>
      <c r="I19" s="27" t="s">
        <v>170</v>
      </c>
      <c r="J19" s="7"/>
      <c r="K19" s="7" t="s">
        <v>171</v>
      </c>
      <c r="L19" s="7" t="s">
        <v>172</v>
      </c>
      <c r="M19" s="21" t="s">
        <v>55</v>
      </c>
      <c r="N19" s="7"/>
      <c r="O19" s="20">
        <f>P19/G19</f>
        <v>1429.8611111111111</v>
      </c>
      <c r="P19" s="61">
        <f>39150*0+38606.25</f>
        <v>38606.25</v>
      </c>
      <c r="Q19" s="20">
        <f>S19/G19</f>
        <v>1322.4537037037037</v>
      </c>
      <c r="R19" s="30">
        <v>2900</v>
      </c>
      <c r="S19" s="32">
        <f t="shared" si="1"/>
        <v>35706.25</v>
      </c>
      <c r="T19" s="60">
        <v>1</v>
      </c>
      <c r="U19" s="7" t="s">
        <v>173</v>
      </c>
      <c r="V19" s="7">
        <v>6445502950</v>
      </c>
      <c r="W19" s="4" t="s">
        <v>122</v>
      </c>
      <c r="X19" s="4" t="s">
        <v>113</v>
      </c>
      <c r="Y19" s="7">
        <v>10009332</v>
      </c>
      <c r="Z19" s="7" t="s">
        <v>164</v>
      </c>
      <c r="AA19" s="7" t="str">
        <f t="shared" si="39"/>
        <v>FEBRERO10009332Entradas</v>
      </c>
      <c r="AB19" s="26">
        <f>INDEX('Detalle Costos'!$L$5:$L$158,MATCH(Resumen!AA19,'Detalle Costos'!$C$5:$C$158,0))*1000*0+AI19+229398.68/1634.3-47.35</f>
        <v>1312.5248638321839</v>
      </c>
      <c r="AC19" s="44">
        <f>IFERROR(INDEX('Detalle Costos'!$X$5:$X$158,MATCH(Resumen!AA19,'Detalle Costos'!$C$5:$C$158,0))*AG19,0)</f>
        <v>29388.919142759507</v>
      </c>
      <c r="AD19" s="44">
        <f>IFERROR(INDEX('Detalle Costos'!$Z$5:$Z$158,MATCH(Resumen!AA19,'Detalle Costos'!$C$5:$C$158,0))*AG19,0)</f>
        <v>5377.893860857248</v>
      </c>
      <c r="AE19" s="44">
        <f>IFERROR(INDEX('Detalle Costos'!$Y$5:$Y$158,MATCH(Resumen!AA19,'Detalle Costos'!$C$5:$C$158,0))*AG19,0)</f>
        <v>543.21917722686192</v>
      </c>
      <c r="AF19" s="44">
        <f>IFERROR(INDEX('Detalle Costos'!$AA$5:$AA$158,MATCH(Resumen!AA19,'Detalle Costos'!$C$5:$C$158,0))*AG19,0)</f>
        <v>128.13914262535019</v>
      </c>
      <c r="AG19" s="44">
        <f t="shared" si="37"/>
        <v>35438.171323468967</v>
      </c>
      <c r="AH19" s="26">
        <v>26.625</v>
      </c>
      <c r="AI19" s="45">
        <v>1219.5097656250002</v>
      </c>
      <c r="AJ19" s="44">
        <v>40733.759999999995</v>
      </c>
      <c r="AK19" s="45">
        <f t="shared" si="3"/>
        <v>3168.0786765310331</v>
      </c>
      <c r="AL19" s="94">
        <f t="shared" si="4"/>
        <v>8.206128998623366E-2</v>
      </c>
      <c r="AM19" s="44">
        <f t="shared" si="5"/>
        <v>2900</v>
      </c>
      <c r="AN19" s="44">
        <f t="shared" si="6"/>
        <v>534.12466939844239</v>
      </c>
      <c r="AO19" s="44">
        <f t="shared" si="7"/>
        <v>1954.3846153846155</v>
      </c>
      <c r="AP19" s="44">
        <f t="shared" si="8"/>
        <v>5388.5092847830574</v>
      </c>
      <c r="AQ19" s="44">
        <f t="shared" si="40"/>
        <v>935.1453221562748</v>
      </c>
      <c r="AR19" s="44">
        <f t="shared" si="41"/>
        <v>1071.1875</v>
      </c>
      <c r="AS19" s="45">
        <f t="shared" si="11"/>
        <v>-2084.388430408299</v>
      </c>
      <c r="AT19" s="94">
        <f t="shared" si="12"/>
        <v>-5.3990958210349334E-2</v>
      </c>
      <c r="AU19" s="44">
        <f t="shared" si="42"/>
        <v>2453.3108976320141</v>
      </c>
      <c r="AV19" s="45">
        <f t="shared" si="14"/>
        <v>-4537.699328040313</v>
      </c>
      <c r="AW19" s="94">
        <f t="shared" si="15"/>
        <v>-0.11753794600719607</v>
      </c>
      <c r="AX19" s="44">
        <f t="shared" si="43"/>
        <v>2051.2656489016708</v>
      </c>
      <c r="AY19" s="45">
        <f t="shared" si="17"/>
        <v>-33.122781506628144</v>
      </c>
      <c r="AZ19" s="94">
        <f t="shared" si="18"/>
        <v>-8.5796422876161611E-4</v>
      </c>
      <c r="BB19" s="44">
        <f t="shared" si="44"/>
        <v>1429.8611111111111</v>
      </c>
      <c r="BC19" s="44">
        <f t="shared" si="45"/>
        <v>-1088.4784867688707</v>
      </c>
      <c r="BD19" s="44">
        <f t="shared" si="46"/>
        <v>-199.181254105824</v>
      </c>
      <c r="BE19" s="44">
        <f t="shared" si="47"/>
        <v>-20.11922878618007</v>
      </c>
      <c r="BF19" s="44">
        <f t="shared" si="48"/>
        <v>-4.7458941713092662</v>
      </c>
      <c r="BG19" s="44">
        <f t="shared" si="49"/>
        <v>-1312.5248638321839</v>
      </c>
      <c r="BH19" s="44">
        <f t="shared" si="50"/>
        <v>117.33624727892715</v>
      </c>
      <c r="BI19" s="44">
        <f t="shared" si="51"/>
        <v>-107.4074074074074</v>
      </c>
      <c r="BJ19" s="44">
        <f t="shared" si="52"/>
        <v>-72.384615384615387</v>
      </c>
      <c r="BK19" s="44">
        <f t="shared" si="53"/>
        <v>-199.57441795492807</v>
      </c>
      <c r="BL19" s="44">
        <f t="shared" si="54"/>
        <v>-34.635011931713883</v>
      </c>
      <c r="BM19" s="44">
        <f t="shared" si="55"/>
        <v>39.673611111111114</v>
      </c>
      <c r="BN19" s="44">
        <f t="shared" si="56"/>
        <v>-77.199571496603667</v>
      </c>
      <c r="BO19" s="44">
        <f t="shared" si="57"/>
        <v>-90.863366578963479</v>
      </c>
      <c r="BP19" s="44">
        <f t="shared" si="58"/>
        <v>-168.06293807556716</v>
      </c>
      <c r="BQ19" s="44">
        <f t="shared" si="59"/>
        <v>75.972801811172999</v>
      </c>
      <c r="BR19" s="44">
        <f t="shared" si="60"/>
        <v>-1.226769685430672</v>
      </c>
    </row>
    <row r="20" spans="2:70" hidden="1">
      <c r="B20" s="4" t="s">
        <v>7</v>
      </c>
      <c r="C20" s="27" t="str">
        <f t="shared" si="0"/>
        <v>FEBRERO</v>
      </c>
      <c r="D20" s="25" t="s">
        <v>169</v>
      </c>
      <c r="E20" s="100">
        <v>26</v>
      </c>
      <c r="F20" s="100">
        <v>46080</v>
      </c>
      <c r="G20" s="101">
        <v>27</v>
      </c>
      <c r="H20" s="102" t="s">
        <v>39</v>
      </c>
      <c r="I20" s="27" t="s">
        <v>174</v>
      </c>
      <c r="J20" s="7"/>
      <c r="K20" s="7" t="s">
        <v>171</v>
      </c>
      <c r="L20" s="7" t="s">
        <v>172</v>
      </c>
      <c r="M20" s="21" t="s">
        <v>55</v>
      </c>
      <c r="N20" s="7"/>
      <c r="O20" s="20">
        <f>P20/G20</f>
        <v>1429.8611111111111</v>
      </c>
      <c r="P20" s="61">
        <f>39150*0+38606.25</f>
        <v>38606.25</v>
      </c>
      <c r="Q20" s="20">
        <f>S20/G20</f>
        <v>1322.4537037037037</v>
      </c>
      <c r="R20" s="30">
        <v>2900</v>
      </c>
      <c r="S20" s="32">
        <f t="shared" si="1"/>
        <v>35706.25</v>
      </c>
      <c r="T20" s="60">
        <v>1</v>
      </c>
      <c r="U20" s="7" t="s">
        <v>173</v>
      </c>
      <c r="V20" s="7">
        <v>6445502950</v>
      </c>
      <c r="W20" s="4" t="s">
        <v>122</v>
      </c>
      <c r="X20" s="4" t="s">
        <v>113</v>
      </c>
      <c r="Y20" s="7">
        <v>10009332</v>
      </c>
      <c r="Z20" s="7" t="s">
        <v>114</v>
      </c>
      <c r="AA20" s="7" t="str">
        <f t="shared" si="39"/>
        <v>FEBRERO10009332Compensación</v>
      </c>
      <c r="AB20" s="26">
        <f>INDEX('Detalle Costos'!$L$5:$L$158,MATCH(Resumen!AA20,'Detalle Costos'!$C$5:$C$158,0))*1000*0+AI20+229398.68/1634.3-47.35</f>
        <v>1312.5248638321839</v>
      </c>
      <c r="AC20" s="44">
        <f>IFERROR(INDEX('Detalle Costos'!$X$5:$X$158,MATCH(Resumen!AA20,'Detalle Costos'!$C$5:$C$158,0))*AG20,0)</f>
        <v>28828.026905661765</v>
      </c>
      <c r="AD20" s="44">
        <f>IFERROR(INDEX('Detalle Costos'!$Z$5:$Z$158,MATCH(Resumen!AA20,'Detalle Costos'!$C$5:$C$158,0))*AG20,0)</f>
        <v>5033.6698093573023</v>
      </c>
      <c r="AE20" s="44">
        <f>IFERROR(INDEX('Detalle Costos'!$Y$5:$Y$158,MATCH(Resumen!AA20,'Detalle Costos'!$C$5:$C$158,0))*AG20,0)</f>
        <v>503.76195870799722</v>
      </c>
      <c r="AF20" s="44">
        <f>IFERROR(INDEX('Detalle Costos'!$AA$5:$AA$158,MATCH(Resumen!AA20,'Detalle Costos'!$C$5:$C$158,0))*AG20,0)</f>
        <v>1072.7126497419006</v>
      </c>
      <c r="AG20" s="44">
        <f t="shared" si="37"/>
        <v>35438.171323468967</v>
      </c>
      <c r="AH20" s="26">
        <v>26.625</v>
      </c>
      <c r="AI20" s="45">
        <v>1219.5097656250002</v>
      </c>
      <c r="AJ20" s="44">
        <v>40354.030000000006</v>
      </c>
      <c r="AK20" s="45">
        <f t="shared" si="3"/>
        <v>3168.0786765310331</v>
      </c>
      <c r="AL20" s="94">
        <f t="shared" si="4"/>
        <v>8.206128998623366E-2</v>
      </c>
      <c r="AM20" s="44">
        <f t="shared" si="5"/>
        <v>2900</v>
      </c>
      <c r="AN20" s="44">
        <f t="shared" si="6"/>
        <v>534.12466939844239</v>
      </c>
      <c r="AO20" s="44">
        <f t="shared" si="7"/>
        <v>1954.3846153846155</v>
      </c>
      <c r="AP20" s="44">
        <f t="shared" si="8"/>
        <v>5388.5092847830574</v>
      </c>
      <c r="AQ20" s="44">
        <f t="shared" si="40"/>
        <v>935.1453221562748</v>
      </c>
      <c r="AR20" s="44">
        <f t="shared" si="41"/>
        <v>1071.1875</v>
      </c>
      <c r="AS20" s="45">
        <f t="shared" si="11"/>
        <v>-2084.388430408299</v>
      </c>
      <c r="AT20" s="94">
        <f t="shared" si="12"/>
        <v>-5.3990958210349334E-2</v>
      </c>
      <c r="AU20" s="44">
        <f t="shared" si="42"/>
        <v>2453.3108976320141</v>
      </c>
      <c r="AV20" s="45">
        <f t="shared" si="14"/>
        <v>-4537.699328040313</v>
      </c>
      <c r="AW20" s="94">
        <f t="shared" si="15"/>
        <v>-0.11753794600719607</v>
      </c>
      <c r="AX20" s="44">
        <f t="shared" si="43"/>
        <v>2051.2656489016708</v>
      </c>
      <c r="AY20" s="45">
        <f t="shared" si="17"/>
        <v>-33.122781506628144</v>
      </c>
      <c r="AZ20" s="94">
        <f t="shared" si="18"/>
        <v>-8.5796422876161611E-4</v>
      </c>
      <c r="BB20" s="44">
        <f t="shared" si="44"/>
        <v>1429.8611111111111</v>
      </c>
      <c r="BC20" s="44">
        <f t="shared" si="45"/>
        <v>-1067.7047002096949</v>
      </c>
      <c r="BD20" s="44">
        <f t="shared" si="46"/>
        <v>-186.43221516138158</v>
      </c>
      <c r="BE20" s="44">
        <f t="shared" si="47"/>
        <v>-18.657850322518417</v>
      </c>
      <c r="BF20" s="44">
        <f t="shared" si="48"/>
        <v>-39.730098138588907</v>
      </c>
      <c r="BG20" s="44">
        <f t="shared" si="49"/>
        <v>-1312.5248638321839</v>
      </c>
      <c r="BH20" s="44">
        <f t="shared" si="50"/>
        <v>117.33624727892715</v>
      </c>
      <c r="BI20" s="44">
        <f t="shared" si="51"/>
        <v>-107.4074074074074</v>
      </c>
      <c r="BJ20" s="44">
        <f t="shared" si="52"/>
        <v>-72.384615384615387</v>
      </c>
      <c r="BK20" s="44">
        <f t="shared" si="53"/>
        <v>-199.57441795492807</v>
      </c>
      <c r="BL20" s="44">
        <f t="shared" si="54"/>
        <v>-34.635011931713883</v>
      </c>
      <c r="BM20" s="44">
        <f t="shared" si="55"/>
        <v>39.673611111111114</v>
      </c>
      <c r="BN20" s="44">
        <f t="shared" si="56"/>
        <v>-77.199571496603667</v>
      </c>
      <c r="BO20" s="44">
        <f t="shared" si="57"/>
        <v>-90.863366578963479</v>
      </c>
      <c r="BP20" s="44">
        <f t="shared" si="58"/>
        <v>-168.06293807556716</v>
      </c>
      <c r="BQ20" s="44">
        <f t="shared" si="59"/>
        <v>75.972801811172999</v>
      </c>
      <c r="BR20" s="44">
        <f t="shared" si="60"/>
        <v>-1.226769685430672</v>
      </c>
    </row>
    <row r="21" spans="2:70" hidden="1">
      <c r="B21" s="4" t="s">
        <v>7</v>
      </c>
      <c r="C21" s="27" t="str">
        <f t="shared" si="0"/>
        <v>FEBRERO</v>
      </c>
      <c r="D21" s="25" t="s">
        <v>175</v>
      </c>
      <c r="E21" s="100">
        <v>26</v>
      </c>
      <c r="F21" s="100">
        <v>46062</v>
      </c>
      <c r="G21" s="101">
        <v>27</v>
      </c>
      <c r="H21" s="102" t="s">
        <v>31</v>
      </c>
      <c r="I21" s="27" t="s">
        <v>107</v>
      </c>
      <c r="J21" s="19" t="s">
        <v>176</v>
      </c>
      <c r="K21" s="7" t="s">
        <v>161</v>
      </c>
      <c r="L21" s="7" t="s">
        <v>147</v>
      </c>
      <c r="M21" s="21" t="s">
        <v>48</v>
      </c>
      <c r="N21" s="7" t="s">
        <v>167</v>
      </c>
      <c r="O21" s="20">
        <f>P21/G21</f>
        <v>2781.2962962962961</v>
      </c>
      <c r="P21" s="61">
        <f>75600*0+75095</f>
        <v>75095</v>
      </c>
      <c r="Q21" s="20">
        <f>S21/G21</f>
        <v>2619.6666666666665</v>
      </c>
      <c r="R21" s="30">
        <v>4364</v>
      </c>
      <c r="S21" s="32">
        <f t="shared" si="1"/>
        <v>70731</v>
      </c>
      <c r="T21" s="60">
        <v>1</v>
      </c>
      <c r="U21" s="7" t="s">
        <v>177</v>
      </c>
      <c r="V21" s="7">
        <v>24312444</v>
      </c>
      <c r="W21" s="25" t="s">
        <v>112</v>
      </c>
      <c r="X21" s="62" t="s">
        <v>113</v>
      </c>
      <c r="Y21" s="7">
        <v>10007162</v>
      </c>
      <c r="Z21" s="7" t="s">
        <v>114</v>
      </c>
      <c r="AA21" s="7" t="str">
        <f t="shared" si="39"/>
        <v>FEBRERO10007162Compensación</v>
      </c>
      <c r="AB21" s="26">
        <f>INDEX('Detalle Costos'!$L$5:$L$158,MATCH(Resumen!AA21,'Detalle Costos'!$C$5:$C$158,0))*1000*0+AI21+229398.68/1634.3-47.35</f>
        <v>1758.861309807008</v>
      </c>
      <c r="AC21" s="44">
        <f>IFERROR(INDEX('Detalle Costos'!$X$5:$X$158,MATCH(Resumen!AA21,'Detalle Costos'!$C$5:$C$158,0))*AG21,0)</f>
        <v>29812.123766272078</v>
      </c>
      <c r="AD21" s="44">
        <f>IFERROR(INDEX('Detalle Costos'!$Z$5:$Z$158,MATCH(Resumen!AA21,'Detalle Costos'!$C$5:$C$158,0))*AG21,0)</f>
        <v>8506.650594754039</v>
      </c>
      <c r="AE21" s="44">
        <f>IFERROR(INDEX('Detalle Costos'!$Y$5:$Y$158,MATCH(Resumen!AA21,'Detalle Costos'!$C$5:$C$158,0))*AG21,0)</f>
        <v>442.89612945457566</v>
      </c>
      <c r="AF21" s="44">
        <f>IFERROR(INDEX('Detalle Costos'!$AA$5:$AA$158,MATCH(Resumen!AA21,'Detalle Costos'!$C$5:$C$158,0))*AG21,0)</f>
        <v>8727.5848743085116</v>
      </c>
      <c r="AG21" s="44">
        <f t="shared" si="37"/>
        <v>47489.255364789213</v>
      </c>
      <c r="AH21" s="26">
        <f>+G21</f>
        <v>27</v>
      </c>
      <c r="AI21" s="45">
        <v>1665.8462115998243</v>
      </c>
      <c r="AJ21" s="44">
        <f>AI21*AH21</f>
        <v>44977.847713195253</v>
      </c>
      <c r="AK21" s="45">
        <f t="shared" si="3"/>
        <v>27605.744635210787</v>
      </c>
      <c r="AL21" s="94">
        <f t="shared" si="4"/>
        <v>0.36761095459365856</v>
      </c>
      <c r="AM21" s="44">
        <f t="shared" si="5"/>
        <v>4364</v>
      </c>
      <c r="AN21" s="44">
        <f t="shared" si="6"/>
        <v>534.12466939844239</v>
      </c>
      <c r="AO21" s="44">
        <f t="shared" si="7"/>
        <v>1954.3846153846155</v>
      </c>
      <c r="AP21" s="44">
        <f t="shared" si="8"/>
        <v>6852.5092847830574</v>
      </c>
      <c r="AQ21" s="44">
        <f t="shared" si="40"/>
        <v>935.1453221562748</v>
      </c>
      <c r="AR21" s="44">
        <f t="shared" si="41"/>
        <v>2121.9299999999998</v>
      </c>
      <c r="AS21" s="45">
        <f t="shared" si="11"/>
        <v>21940.020028271458</v>
      </c>
      <c r="AT21" s="94">
        <f t="shared" si="12"/>
        <v>0.29216352657662237</v>
      </c>
      <c r="AU21" s="44">
        <f t="shared" si="42"/>
        <v>2453.3108976320141</v>
      </c>
      <c r="AV21" s="45">
        <f t="shared" si="14"/>
        <v>19486.709130639443</v>
      </c>
      <c r="AW21" s="94">
        <f t="shared" si="15"/>
        <v>0.25949409588706895</v>
      </c>
      <c r="AX21" s="44">
        <f t="shared" si="43"/>
        <v>2051.2656489016708</v>
      </c>
      <c r="AY21" s="45">
        <f t="shared" si="17"/>
        <v>23991.285677173128</v>
      </c>
      <c r="AZ21" s="94">
        <f t="shared" si="18"/>
        <v>0.31947913545739565</v>
      </c>
      <c r="BB21" s="44">
        <f t="shared" si="44"/>
        <v>2781.2962962962961</v>
      </c>
      <c r="BC21" s="44">
        <f t="shared" si="45"/>
        <v>-1104.152732084151</v>
      </c>
      <c r="BD21" s="44">
        <f t="shared" si="46"/>
        <v>-315.06113313903847</v>
      </c>
      <c r="BE21" s="44">
        <f t="shared" si="47"/>
        <v>-16.403560350169467</v>
      </c>
      <c r="BF21" s="44">
        <f t="shared" si="48"/>
        <v>-323.2438842336486</v>
      </c>
      <c r="BG21" s="44">
        <f t="shared" si="49"/>
        <v>-1758.861309807008</v>
      </c>
      <c r="BH21" s="44">
        <f t="shared" si="50"/>
        <v>1022.4349864892885</v>
      </c>
      <c r="BI21" s="44">
        <f t="shared" si="51"/>
        <v>-161.62962962962962</v>
      </c>
      <c r="BJ21" s="44">
        <f t="shared" si="52"/>
        <v>-72.384615384615387</v>
      </c>
      <c r="BK21" s="44">
        <f t="shared" si="53"/>
        <v>-253.79664017715027</v>
      </c>
      <c r="BL21" s="44">
        <f t="shared" si="54"/>
        <v>-34.635011931713883</v>
      </c>
      <c r="BM21" s="44">
        <f t="shared" si="55"/>
        <v>78.589999999999989</v>
      </c>
      <c r="BN21" s="44">
        <f t="shared" si="56"/>
        <v>812.59333438042438</v>
      </c>
      <c r="BO21" s="44">
        <f t="shared" si="57"/>
        <v>-90.863366578963479</v>
      </c>
      <c r="BP21" s="44">
        <f t="shared" si="58"/>
        <v>721.72996780146082</v>
      </c>
      <c r="BQ21" s="44">
        <f t="shared" si="59"/>
        <v>75.972801811172999</v>
      </c>
      <c r="BR21" s="44">
        <f t="shared" si="60"/>
        <v>888.56613619159737</v>
      </c>
    </row>
    <row r="22" spans="2:70" hidden="1">
      <c r="B22" s="4" t="s">
        <v>7</v>
      </c>
      <c r="C22" s="27" t="str">
        <f t="shared" si="0"/>
        <v>FEBRERO</v>
      </c>
      <c r="D22" s="25" t="s">
        <v>178</v>
      </c>
      <c r="E22" s="100">
        <v>27</v>
      </c>
      <c r="F22" s="100">
        <v>46062</v>
      </c>
      <c r="G22" s="103">
        <v>54</v>
      </c>
      <c r="H22" s="102" t="s">
        <v>33</v>
      </c>
      <c r="I22" s="27" t="s">
        <v>132</v>
      </c>
      <c r="J22" s="19" t="s">
        <v>179</v>
      </c>
      <c r="K22" s="7" t="s">
        <v>171</v>
      </c>
      <c r="L22" s="7" t="s">
        <v>172</v>
      </c>
      <c r="M22" s="21" t="s">
        <v>51</v>
      </c>
      <c r="N22" s="7"/>
      <c r="O22" s="20">
        <v>1650</v>
      </c>
      <c r="P22" s="61">
        <v>89100</v>
      </c>
      <c r="Q22" s="20">
        <v>1534.962962962963</v>
      </c>
      <c r="R22" s="30">
        <v>6212</v>
      </c>
      <c r="S22" s="32">
        <f t="shared" si="1"/>
        <v>82888</v>
      </c>
      <c r="T22" s="60">
        <v>2</v>
      </c>
      <c r="U22" s="7" t="s">
        <v>180</v>
      </c>
      <c r="V22" s="7" t="s">
        <v>181</v>
      </c>
      <c r="W22" s="4" t="s">
        <v>182</v>
      </c>
      <c r="X22" s="4" t="s">
        <v>113</v>
      </c>
      <c r="Y22" s="7">
        <v>10005721</v>
      </c>
      <c r="Z22" s="7" t="s">
        <v>114</v>
      </c>
      <c r="AA22" s="7" t="str">
        <f t="shared" si="39"/>
        <v>FEBRERO10005721Compensación</v>
      </c>
      <c r="AB22" s="26">
        <f>INDEX('Detalle Costos'!$L$5:$L$158,MATCH(Resumen!AA22,'Detalle Costos'!$C$5:$C$158,0))*1000*0+AI22+229398.68/1634.3-47.35</f>
        <v>1765.2216716888854</v>
      </c>
      <c r="AC22" s="44">
        <f>IFERROR(INDEX('Detalle Costos'!$X$5:$X$158,MATCH(Resumen!AA22,'Detalle Costos'!$C$5:$C$158,0))*AG22,0)</f>
        <v>57844.800370497003</v>
      </c>
      <c r="AD22" s="44">
        <f>IFERROR(INDEX('Detalle Costos'!$Z$5:$Z$158,MATCH(Resumen!AA22,'Detalle Costos'!$C$5:$C$158,0))*AG22,0)</f>
        <v>19109.757575973312</v>
      </c>
      <c r="AE22" s="44">
        <f>IFERROR(INDEX('Detalle Costos'!$Y$5:$Y$158,MATCH(Resumen!AA22,'Detalle Costos'!$C$5:$C$158,0))*AG22,0)</f>
        <v>1016.5906125912649</v>
      </c>
      <c r="AF22" s="44">
        <f>IFERROR(INDEX('Detalle Costos'!$AA$5:$AA$158,MATCH(Resumen!AA22,'Detalle Costos'!$C$5:$C$158,0))*AG22,0)</f>
        <v>17350.821712138226</v>
      </c>
      <c r="AG22" s="44">
        <f t="shared" si="37"/>
        <v>95321.970271199811</v>
      </c>
      <c r="AH22" s="26">
        <f>+G22</f>
        <v>54</v>
      </c>
      <c r="AI22" s="45">
        <v>1672.2065734817018</v>
      </c>
      <c r="AJ22" s="44">
        <f t="shared" ref="AJ22:AJ29" si="61">+AI22*AH22</f>
        <v>90299.154968011891</v>
      </c>
      <c r="AK22" s="45">
        <f t="shared" si="3"/>
        <v>-6221.9702711998107</v>
      </c>
      <c r="AL22" s="94">
        <f t="shared" si="4"/>
        <v>-6.983131617508205E-2</v>
      </c>
      <c r="AM22" s="44">
        <f t="shared" si="5"/>
        <v>6212</v>
      </c>
      <c r="AN22" s="44">
        <f t="shared" si="6"/>
        <v>1068.2493387968848</v>
      </c>
      <c r="AO22" s="44">
        <f t="shared" si="7"/>
        <v>3908.7692307692309</v>
      </c>
      <c r="AP22" s="44">
        <f t="shared" si="8"/>
        <v>11189.018569566115</v>
      </c>
      <c r="AQ22" s="44">
        <f t="shared" si="40"/>
        <v>1870.2906443125496</v>
      </c>
      <c r="AR22" s="44">
        <f t="shared" si="41"/>
        <v>2486.64</v>
      </c>
      <c r="AS22" s="45">
        <f t="shared" si="11"/>
        <v>-16794.639485078475</v>
      </c>
      <c r="AT22" s="94">
        <f t="shared" si="12"/>
        <v>-0.18849202564622305</v>
      </c>
      <c r="AU22" s="44">
        <f t="shared" si="42"/>
        <v>4906.6217952640282</v>
      </c>
      <c r="AV22" s="45">
        <f t="shared" si="14"/>
        <v>-21701.261280342504</v>
      </c>
      <c r="AW22" s="94">
        <f t="shared" si="15"/>
        <v>-0.2435607326637767</v>
      </c>
      <c r="AX22" s="44">
        <f t="shared" si="43"/>
        <v>4102.5312978033417</v>
      </c>
      <c r="AY22" s="45">
        <f t="shared" si="17"/>
        <v>-12692.108187275133</v>
      </c>
      <c r="AZ22" s="94">
        <f t="shared" si="18"/>
        <v>-0.14244790333642124</v>
      </c>
      <c r="BB22" s="44">
        <f t="shared" si="44"/>
        <v>1650</v>
      </c>
      <c r="BC22" s="44">
        <f t="shared" si="45"/>
        <v>-1071.2000068610557</v>
      </c>
      <c r="BD22" s="44">
        <f t="shared" si="46"/>
        <v>-353.88439955506135</v>
      </c>
      <c r="BE22" s="44">
        <f t="shared" si="47"/>
        <v>-18.825752085023424</v>
      </c>
      <c r="BF22" s="44">
        <f t="shared" si="48"/>
        <v>-321.31151318774494</v>
      </c>
      <c r="BG22" s="44">
        <f t="shared" si="49"/>
        <v>-1765.2216716888854</v>
      </c>
      <c r="BH22" s="44">
        <f t="shared" si="50"/>
        <v>-115.22167168888538</v>
      </c>
      <c r="BI22" s="44">
        <f t="shared" si="51"/>
        <v>-115.03703703703704</v>
      </c>
      <c r="BJ22" s="44">
        <f t="shared" si="52"/>
        <v>-72.384615384615387</v>
      </c>
      <c r="BK22" s="44">
        <f t="shared" si="53"/>
        <v>-207.20404758455769</v>
      </c>
      <c r="BL22" s="44">
        <f t="shared" si="54"/>
        <v>-34.635011931713883</v>
      </c>
      <c r="BM22" s="44">
        <f t="shared" si="55"/>
        <v>46.048888888888889</v>
      </c>
      <c r="BN22" s="44">
        <f t="shared" si="56"/>
        <v>-311.01184231626803</v>
      </c>
      <c r="BO22" s="44">
        <f t="shared" si="57"/>
        <v>-90.863366578963479</v>
      </c>
      <c r="BP22" s="44">
        <f t="shared" si="58"/>
        <v>-401.87520889523154</v>
      </c>
      <c r="BQ22" s="44">
        <f t="shared" si="59"/>
        <v>75.972801811172999</v>
      </c>
      <c r="BR22" s="44">
        <f t="shared" si="60"/>
        <v>-235.03904050509504</v>
      </c>
    </row>
    <row r="23" spans="2:70" hidden="1">
      <c r="B23" s="4" t="s">
        <v>7</v>
      </c>
      <c r="C23" s="27" t="str">
        <f t="shared" si="0"/>
        <v>FEBRERO</v>
      </c>
      <c r="D23" s="25" t="s">
        <v>183</v>
      </c>
      <c r="E23" s="100">
        <v>27</v>
      </c>
      <c r="F23" s="100">
        <v>46071</v>
      </c>
      <c r="G23" s="103">
        <v>81</v>
      </c>
      <c r="H23" s="102" t="s">
        <v>33</v>
      </c>
      <c r="I23" s="27" t="s">
        <v>132</v>
      </c>
      <c r="J23" s="19" t="s">
        <v>179</v>
      </c>
      <c r="K23" s="7" t="s">
        <v>171</v>
      </c>
      <c r="L23" s="7" t="s">
        <v>172</v>
      </c>
      <c r="M23" s="21" t="s">
        <v>51</v>
      </c>
      <c r="N23" s="7"/>
      <c r="O23" s="20">
        <v>1650</v>
      </c>
      <c r="P23" s="61">
        <v>133650</v>
      </c>
      <c r="Q23" s="20">
        <v>1534.962962962963</v>
      </c>
      <c r="R23" s="30">
        <v>9318</v>
      </c>
      <c r="S23" s="32">
        <f t="shared" si="1"/>
        <v>124332</v>
      </c>
      <c r="T23" s="60">
        <v>3</v>
      </c>
      <c r="U23" s="147" t="s">
        <v>184</v>
      </c>
      <c r="V23" s="148" t="s">
        <v>185</v>
      </c>
      <c r="W23" s="4" t="s">
        <v>182</v>
      </c>
      <c r="X23" s="4" t="s">
        <v>113</v>
      </c>
      <c r="Y23" s="7">
        <v>10005721</v>
      </c>
      <c r="Z23" s="7" t="s">
        <v>114</v>
      </c>
      <c r="AA23" s="7" t="str">
        <f t="shared" si="39"/>
        <v>FEBRERO10005721Compensación</v>
      </c>
      <c r="AB23" s="26">
        <f>INDEX('Detalle Costos'!$L$5:$L$158,MATCH(Resumen!AA23,'Detalle Costos'!$C$5:$C$158,0))*1000*0+AI23+229398.68/1634.3-47.35</f>
        <v>1765.2216716888854</v>
      </c>
      <c r="AC23" s="44">
        <f>IFERROR(INDEX('Detalle Costos'!$X$5:$X$158,MATCH(Resumen!AA23,'Detalle Costos'!$C$5:$C$158,0))*AG23,0)</f>
        <v>86767.200555745498</v>
      </c>
      <c r="AD23" s="44">
        <f>IFERROR(INDEX('Detalle Costos'!$Z$5:$Z$158,MATCH(Resumen!AA23,'Detalle Costos'!$C$5:$C$158,0))*AG23,0)</f>
        <v>28664.636363959966</v>
      </c>
      <c r="AE23" s="44">
        <f>IFERROR(INDEX('Detalle Costos'!$Y$5:$Y$158,MATCH(Resumen!AA23,'Detalle Costos'!$C$5:$C$158,0))*AG23,0)</f>
        <v>1524.8859188868973</v>
      </c>
      <c r="AF23" s="44">
        <f>IFERROR(INDEX('Detalle Costos'!$AA$5:$AA$158,MATCH(Resumen!AA23,'Detalle Costos'!$C$5:$C$158,0))*AG23,0)</f>
        <v>26026.232568207339</v>
      </c>
      <c r="AG23" s="44">
        <f t="shared" si="37"/>
        <v>142982.95540679971</v>
      </c>
      <c r="AH23" s="26">
        <f>+G23</f>
        <v>81</v>
      </c>
      <c r="AI23" s="45">
        <v>1672.2065734817018</v>
      </c>
      <c r="AJ23" s="44">
        <f t="shared" si="61"/>
        <v>135448.73245201784</v>
      </c>
      <c r="AK23" s="45">
        <f t="shared" si="3"/>
        <v>-9332.9554067997087</v>
      </c>
      <c r="AL23" s="94">
        <f t="shared" si="4"/>
        <v>-6.9831316175081995E-2</v>
      </c>
      <c r="AM23" s="44">
        <f t="shared" si="5"/>
        <v>9318</v>
      </c>
      <c r="AN23" s="44">
        <f t="shared" si="6"/>
        <v>1602.3740081953272</v>
      </c>
      <c r="AO23" s="44">
        <f t="shared" si="7"/>
        <v>5863.1538461538466</v>
      </c>
      <c r="AP23" s="44">
        <f t="shared" si="8"/>
        <v>16783.527854349173</v>
      </c>
      <c r="AQ23" s="44">
        <f t="shared" si="40"/>
        <v>2805.4359664688245</v>
      </c>
      <c r="AR23" s="44">
        <f t="shared" si="41"/>
        <v>3729.96</v>
      </c>
      <c r="AS23" s="45">
        <f t="shared" si="11"/>
        <v>-25191.959227617706</v>
      </c>
      <c r="AT23" s="94">
        <f t="shared" si="12"/>
        <v>-0.18849202564622303</v>
      </c>
      <c r="AU23" s="44">
        <f t="shared" si="42"/>
        <v>7359.9326928960418</v>
      </c>
      <c r="AV23" s="45">
        <f t="shared" si="14"/>
        <v>-32551.89192051375</v>
      </c>
      <c r="AW23" s="94">
        <f t="shared" si="15"/>
        <v>-0.24356073266377665</v>
      </c>
      <c r="AX23" s="44">
        <f t="shared" si="43"/>
        <v>6153.7969467050116</v>
      </c>
      <c r="AY23" s="45">
        <f t="shared" si="17"/>
        <v>-19038.162280912693</v>
      </c>
      <c r="AZ23" s="94">
        <f t="shared" si="18"/>
        <v>-0.14244790333642118</v>
      </c>
      <c r="BB23" s="44">
        <f t="shared" si="44"/>
        <v>1650</v>
      </c>
      <c r="BC23" s="44">
        <f t="shared" si="45"/>
        <v>-1071.2000068610555</v>
      </c>
      <c r="BD23" s="44">
        <f t="shared" si="46"/>
        <v>-353.88439955506129</v>
      </c>
      <c r="BE23" s="44">
        <f t="shared" si="47"/>
        <v>-18.825752085023424</v>
      </c>
      <c r="BF23" s="44">
        <f t="shared" si="48"/>
        <v>-321.31151318774494</v>
      </c>
      <c r="BG23" s="44">
        <f t="shared" si="49"/>
        <v>-1765.2216716888852</v>
      </c>
      <c r="BH23" s="44">
        <f t="shared" si="50"/>
        <v>-115.22167168888529</v>
      </c>
      <c r="BI23" s="44">
        <f t="shared" si="51"/>
        <v>-115.03703703703704</v>
      </c>
      <c r="BJ23" s="44">
        <f t="shared" si="52"/>
        <v>-72.384615384615387</v>
      </c>
      <c r="BK23" s="44">
        <f t="shared" si="53"/>
        <v>-207.20404758455769</v>
      </c>
      <c r="BL23" s="44">
        <f t="shared" si="54"/>
        <v>-34.635011931713883</v>
      </c>
      <c r="BM23" s="44">
        <f t="shared" si="55"/>
        <v>46.048888888888889</v>
      </c>
      <c r="BN23" s="44">
        <f t="shared" si="56"/>
        <v>-311.01184231626797</v>
      </c>
      <c r="BO23" s="44">
        <f t="shared" si="57"/>
        <v>-90.863366578963479</v>
      </c>
      <c r="BP23" s="44">
        <f t="shared" si="58"/>
        <v>-401.87520889523148</v>
      </c>
      <c r="BQ23" s="44">
        <f t="shared" si="59"/>
        <v>75.972801811172985</v>
      </c>
      <c r="BR23" s="44">
        <f t="shared" si="60"/>
        <v>-235.03904050509499</v>
      </c>
    </row>
    <row r="24" spans="2:70" hidden="1">
      <c r="B24" s="4" t="s">
        <v>7</v>
      </c>
      <c r="C24" s="27" t="str">
        <f t="shared" si="0"/>
        <v>FEBRERO</v>
      </c>
      <c r="D24" s="25" t="s">
        <v>186</v>
      </c>
      <c r="E24" s="100">
        <v>28</v>
      </c>
      <c r="F24" s="100">
        <v>46066</v>
      </c>
      <c r="G24" s="101">
        <v>24</v>
      </c>
      <c r="H24" s="102" t="s">
        <v>37</v>
      </c>
      <c r="I24" s="27" t="s">
        <v>126</v>
      </c>
      <c r="J24" s="19"/>
      <c r="K24" s="7" t="s">
        <v>127</v>
      </c>
      <c r="L24" s="7" t="s">
        <v>119</v>
      </c>
      <c r="M24" s="21" t="s">
        <v>43</v>
      </c>
      <c r="N24" s="7" t="s">
        <v>129</v>
      </c>
      <c r="O24" s="20">
        <v>2000</v>
      </c>
      <c r="P24" s="61">
        <v>48000</v>
      </c>
      <c r="Q24" s="20">
        <v>1854.1666666666667</v>
      </c>
      <c r="R24" s="30">
        <v>3500</v>
      </c>
      <c r="S24" s="32">
        <f t="shared" si="1"/>
        <v>44500</v>
      </c>
      <c r="T24" s="26">
        <v>1</v>
      </c>
      <c r="U24" s="44" t="s">
        <v>187</v>
      </c>
      <c r="V24" s="44">
        <v>6445030580</v>
      </c>
      <c r="W24" s="44" t="s">
        <v>122</v>
      </c>
      <c r="X24" s="44" t="s">
        <v>113</v>
      </c>
      <c r="Y24" s="7">
        <v>10007969</v>
      </c>
      <c r="Z24" s="7" t="s">
        <v>114</v>
      </c>
      <c r="AA24" s="7" t="str">
        <f t="shared" si="39"/>
        <v>FEBRERO10007969Compensación</v>
      </c>
      <c r="AB24" s="26">
        <f>INDEX('Detalle Costos'!$L$5:$L$158,MATCH(Resumen!AA24,'Detalle Costos'!$C$5:$C$158,0))*1000*0+AI24+229398.68/1634.3-47.35</f>
        <v>1298.0939858348793</v>
      </c>
      <c r="AC24" s="111">
        <f>IFERROR(INDEX('Detalle Costos'!$X$5:$X$158,MATCH(Resumen!AA24,'Detalle Costos'!$C$5:$C$158,0))*AG24,0)</f>
        <v>25199.017382500231</v>
      </c>
      <c r="AD24" s="111">
        <f>IFERROR(INDEX('Detalle Costos'!$Z$5:$Z$158,MATCH(Resumen!AA24,'Detalle Costos'!$C$5:$C$158,0))*AG24,0)</f>
        <v>4743.4820151060831</v>
      </c>
      <c r="AE24" s="111">
        <f>IFERROR(INDEX('Detalle Costos'!$Y$5:$Y$158,MATCH(Resumen!AA24,'Detalle Costos'!$C$5:$C$158,0))*AG24,0)</f>
        <v>371.9744832948748</v>
      </c>
      <c r="AF24" s="111">
        <f>IFERROR(INDEX('Detalle Costos'!$AA$5:$AA$158,MATCH(Resumen!AA24,'Detalle Costos'!$C$5:$C$158,0))*AG24,0)</f>
        <v>839.7817791359148</v>
      </c>
      <c r="AG24" s="44">
        <f t="shared" si="37"/>
        <v>31154.255660037103</v>
      </c>
      <c r="AH24" s="26">
        <v>23.14</v>
      </c>
      <c r="AI24" s="45">
        <v>1205.0788876276956</v>
      </c>
      <c r="AJ24" s="44">
        <f t="shared" si="61"/>
        <v>27885.525459704877</v>
      </c>
      <c r="AK24" s="45">
        <f t="shared" si="3"/>
        <v>16845.744339962897</v>
      </c>
      <c r="AL24" s="94">
        <f t="shared" si="4"/>
        <v>0.35095300708256039</v>
      </c>
      <c r="AM24" s="44">
        <f t="shared" si="5"/>
        <v>3500</v>
      </c>
      <c r="AN24" s="44">
        <f t="shared" si="6"/>
        <v>474.77748390972658</v>
      </c>
      <c r="AO24" s="44">
        <f t="shared" si="7"/>
        <v>1737.2307692307693</v>
      </c>
      <c r="AP24" s="44">
        <f t="shared" si="8"/>
        <v>5712.008253140496</v>
      </c>
      <c r="AQ24" s="44">
        <f t="shared" si="40"/>
        <v>831.24028636113326</v>
      </c>
      <c r="AR24" s="44">
        <f t="shared" si="41"/>
        <v>1335</v>
      </c>
      <c r="AS24" s="45">
        <f t="shared" si="11"/>
        <v>11637.495800461269</v>
      </c>
      <c r="AT24" s="94">
        <f t="shared" si="12"/>
        <v>0.24244782917627644</v>
      </c>
      <c r="AU24" s="44">
        <f t="shared" si="42"/>
        <v>2180.7207978951237</v>
      </c>
      <c r="AV24" s="45">
        <f t="shared" si="14"/>
        <v>9456.7750025661444</v>
      </c>
      <c r="AW24" s="94">
        <f t="shared" si="15"/>
        <v>0.19701614588679467</v>
      </c>
      <c r="AX24" s="44">
        <f t="shared" si="43"/>
        <v>1823.3472434681516</v>
      </c>
      <c r="AY24" s="45">
        <f t="shared" si="17"/>
        <v>13460.843043929421</v>
      </c>
      <c r="AZ24" s="94">
        <f t="shared" si="18"/>
        <v>0.28043423008186291</v>
      </c>
      <c r="BB24" s="44">
        <f t="shared" si="44"/>
        <v>2000</v>
      </c>
      <c r="BC24" s="44">
        <f t="shared" si="45"/>
        <v>-1049.9590576041762</v>
      </c>
      <c r="BD24" s="44">
        <f t="shared" si="46"/>
        <v>-197.64508396275346</v>
      </c>
      <c r="BE24" s="44">
        <f t="shared" si="47"/>
        <v>-15.498936803953116</v>
      </c>
      <c r="BF24" s="44">
        <f t="shared" si="48"/>
        <v>-34.99090746399645</v>
      </c>
      <c r="BG24" s="44">
        <f t="shared" si="49"/>
        <v>-1298.0939858348793</v>
      </c>
      <c r="BH24" s="44">
        <f t="shared" si="50"/>
        <v>701.90601416512072</v>
      </c>
      <c r="BI24" s="44">
        <f t="shared" si="51"/>
        <v>-145.83333333333334</v>
      </c>
      <c r="BJ24" s="44">
        <f t="shared" si="52"/>
        <v>-72.384615384615387</v>
      </c>
      <c r="BK24" s="44">
        <f t="shared" si="53"/>
        <v>-238.00034388085399</v>
      </c>
      <c r="BL24" s="44">
        <f t="shared" si="54"/>
        <v>-34.635011931713883</v>
      </c>
      <c r="BM24" s="44">
        <f t="shared" si="55"/>
        <v>55.625</v>
      </c>
      <c r="BN24" s="44">
        <f t="shared" si="56"/>
        <v>484.89565835255286</v>
      </c>
      <c r="BO24" s="44">
        <f t="shared" si="57"/>
        <v>-90.863366578963493</v>
      </c>
      <c r="BP24" s="44">
        <f t="shared" si="58"/>
        <v>394.03229177358935</v>
      </c>
      <c r="BQ24" s="44">
        <f t="shared" si="59"/>
        <v>75.972801811172985</v>
      </c>
      <c r="BR24" s="44">
        <f t="shared" si="60"/>
        <v>560.8684601637259</v>
      </c>
    </row>
    <row r="25" spans="2:70" hidden="1">
      <c r="B25" s="4" t="s">
        <v>7</v>
      </c>
      <c r="C25" s="27" t="str">
        <f t="shared" si="0"/>
        <v>FEBRERO</v>
      </c>
      <c r="D25" s="27" t="s">
        <v>188</v>
      </c>
      <c r="E25" s="100">
        <v>30</v>
      </c>
      <c r="F25" s="100">
        <v>46066</v>
      </c>
      <c r="G25" s="101">
        <v>108</v>
      </c>
      <c r="H25" s="102" t="s">
        <v>32</v>
      </c>
      <c r="I25" s="27" t="s">
        <v>155</v>
      </c>
      <c r="J25" s="19"/>
      <c r="K25" s="7" t="s">
        <v>171</v>
      </c>
      <c r="L25" s="7" t="s">
        <v>172</v>
      </c>
      <c r="M25" s="21" t="s">
        <v>43</v>
      </c>
      <c r="N25" s="7" t="s">
        <v>129</v>
      </c>
      <c r="O25" s="20">
        <v>1600</v>
      </c>
      <c r="P25" s="61">
        <v>172800</v>
      </c>
      <c r="Q25" s="20">
        <v>1492.5925925925926</v>
      </c>
      <c r="R25" s="30">
        <v>11600</v>
      </c>
      <c r="S25" s="32">
        <f t="shared" si="1"/>
        <v>161200</v>
      </c>
      <c r="T25" s="60">
        <v>4</v>
      </c>
      <c r="U25" s="7" t="s">
        <v>187</v>
      </c>
      <c r="V25" s="7">
        <v>6445031110</v>
      </c>
      <c r="W25" s="4" t="s">
        <v>122</v>
      </c>
      <c r="X25" s="4" t="s">
        <v>113</v>
      </c>
      <c r="Y25" s="7">
        <v>10006720</v>
      </c>
      <c r="Z25" s="7" t="s">
        <v>114</v>
      </c>
      <c r="AA25" s="7" t="str">
        <f t="shared" si="39"/>
        <v>FEBRERO10006720Compensación</v>
      </c>
      <c r="AB25" s="26">
        <f>INDEX('Detalle Costos'!$L$5:$L$158,MATCH(Resumen!AA25,'Detalle Costos'!$C$5:$C$158,0))*1000*0+AI25+229398.68/1634.3-47.35</f>
        <v>1687.5784164208503</v>
      </c>
      <c r="AC25" s="44">
        <f>IFERROR(INDEX('Detalle Costos'!$X$5:$X$158,MATCH(Resumen!AA25,'Detalle Costos'!$C$5:$C$158,0))*AG25,0)</f>
        <v>118149.03960395469</v>
      </c>
      <c r="AD25" s="44">
        <f>IFERROR(INDEX('Detalle Costos'!$Z$5:$Z$158,MATCH(Resumen!AA25,'Detalle Costos'!$C$5:$C$158,0))*AG25,0)</f>
        <v>27034.726612342896</v>
      </c>
      <c r="AE25" s="44">
        <f>IFERROR(INDEX('Detalle Costos'!$Y$5:$Y$158,MATCH(Resumen!AA25,'Detalle Costos'!$C$5:$C$158,0))*AG25,0)</f>
        <v>1770.7574924361886</v>
      </c>
      <c r="AF25" s="44">
        <f>IFERROR(INDEX('Detalle Costos'!$AA$5:$AA$158,MATCH(Resumen!AA25,'Detalle Costos'!$C$5:$C$158,0))*AG25,0)</f>
        <v>35303.945264718073</v>
      </c>
      <c r="AG25" s="44">
        <f t="shared" si="37"/>
        <v>182258.46897345185</v>
      </c>
      <c r="AH25" s="26">
        <f>+G25</f>
        <v>108</v>
      </c>
      <c r="AI25" s="45">
        <v>1594.5633182136667</v>
      </c>
      <c r="AJ25" s="44">
        <f t="shared" si="61"/>
        <v>172212.83836707601</v>
      </c>
      <c r="AK25" s="45">
        <f t="shared" si="3"/>
        <v>-9458.468973451847</v>
      </c>
      <c r="AL25" s="94">
        <f t="shared" si="4"/>
        <v>-5.4736510263031522E-2</v>
      </c>
      <c r="AM25" s="44">
        <f t="shared" si="5"/>
        <v>11600</v>
      </c>
      <c r="AN25" s="44">
        <f t="shared" si="6"/>
        <v>2136.4986775937696</v>
      </c>
      <c r="AO25" s="44">
        <f t="shared" si="7"/>
        <v>7817.5384615384619</v>
      </c>
      <c r="AP25" s="44">
        <f t="shared" si="8"/>
        <v>21554.03713913223</v>
      </c>
      <c r="AQ25" s="44">
        <f t="shared" si="40"/>
        <v>3740.5812886250992</v>
      </c>
      <c r="AR25" s="44">
        <f t="shared" si="41"/>
        <v>4836</v>
      </c>
      <c r="AS25" s="45">
        <f t="shared" si="11"/>
        <v>-29917.087401209174</v>
      </c>
      <c r="AT25" s="94">
        <f t="shared" si="12"/>
        <v>-0.17313129283107159</v>
      </c>
      <c r="AU25" s="44">
        <f t="shared" si="42"/>
        <v>9813.2435905280563</v>
      </c>
      <c r="AV25" s="45">
        <f t="shared" si="14"/>
        <v>-39730.330991737232</v>
      </c>
      <c r="AW25" s="94">
        <f t="shared" si="15"/>
        <v>-0.22992089694292381</v>
      </c>
      <c r="AX25" s="44">
        <f t="shared" si="43"/>
        <v>8205.0625956066833</v>
      </c>
      <c r="AY25" s="45">
        <f t="shared" si="17"/>
        <v>-21712.02480560249</v>
      </c>
      <c r="AZ25" s="94">
        <f t="shared" si="18"/>
        <v>-0.12564829169908848</v>
      </c>
      <c r="BB25" s="44">
        <f t="shared" si="44"/>
        <v>1600</v>
      </c>
      <c r="BC25" s="44">
        <f t="shared" si="45"/>
        <v>-1093.9725889255064</v>
      </c>
      <c r="BD25" s="44">
        <f t="shared" si="46"/>
        <v>-250.32154270687866</v>
      </c>
      <c r="BE25" s="44">
        <f t="shared" si="47"/>
        <v>-16.395902707742486</v>
      </c>
      <c r="BF25" s="44">
        <f t="shared" si="48"/>
        <v>-326.88838208072292</v>
      </c>
      <c r="BG25" s="44">
        <f t="shared" si="49"/>
        <v>-1687.5784164208505</v>
      </c>
      <c r="BH25" s="44">
        <f t="shared" si="50"/>
        <v>-87.578416420850431</v>
      </c>
      <c r="BI25" s="44">
        <f t="shared" si="51"/>
        <v>-107.4074074074074</v>
      </c>
      <c r="BJ25" s="44">
        <f t="shared" si="52"/>
        <v>-72.384615384615387</v>
      </c>
      <c r="BK25" s="44">
        <f t="shared" si="53"/>
        <v>-199.57441795492807</v>
      </c>
      <c r="BL25" s="44">
        <f t="shared" si="54"/>
        <v>-34.635011931713883</v>
      </c>
      <c r="BM25" s="44">
        <f t="shared" si="55"/>
        <v>44.777777777777779</v>
      </c>
      <c r="BN25" s="44">
        <f t="shared" si="56"/>
        <v>-277.01006852971454</v>
      </c>
      <c r="BO25" s="44">
        <f t="shared" si="57"/>
        <v>-90.863366578963479</v>
      </c>
      <c r="BP25" s="44">
        <f t="shared" si="58"/>
        <v>-367.87343510867805</v>
      </c>
      <c r="BQ25" s="44">
        <f t="shared" si="59"/>
        <v>75.972801811172999</v>
      </c>
      <c r="BR25" s="44">
        <f t="shared" si="60"/>
        <v>-201.03726671854159</v>
      </c>
    </row>
    <row r="26" spans="2:70" hidden="1">
      <c r="B26" s="4" t="s">
        <v>7</v>
      </c>
      <c r="C26" s="27" t="str">
        <f t="shared" si="0"/>
        <v>FEBRERO</v>
      </c>
      <c r="D26" s="27" t="s">
        <v>188</v>
      </c>
      <c r="E26" s="100">
        <v>30</v>
      </c>
      <c r="F26" s="100">
        <v>46066</v>
      </c>
      <c r="G26" s="101">
        <v>108</v>
      </c>
      <c r="H26" s="102" t="s">
        <v>32</v>
      </c>
      <c r="I26" s="27" t="s">
        <v>155</v>
      </c>
      <c r="J26" s="19"/>
      <c r="K26" s="7" t="s">
        <v>171</v>
      </c>
      <c r="L26" s="7" t="s">
        <v>172</v>
      </c>
      <c r="M26" s="21" t="s">
        <v>43</v>
      </c>
      <c r="N26" s="7" t="s">
        <v>129</v>
      </c>
      <c r="O26" s="20">
        <v>1600</v>
      </c>
      <c r="P26" s="61">
        <v>172800</v>
      </c>
      <c r="Q26" s="20">
        <v>1492.5925925925926</v>
      </c>
      <c r="R26" s="30">
        <v>11600</v>
      </c>
      <c r="S26" s="32">
        <f t="shared" si="1"/>
        <v>161200</v>
      </c>
      <c r="T26" s="60">
        <v>4</v>
      </c>
      <c r="U26" s="7" t="s">
        <v>187</v>
      </c>
      <c r="V26" s="7">
        <v>6445031130</v>
      </c>
      <c r="W26" s="4" t="s">
        <v>122</v>
      </c>
      <c r="X26" s="4" t="s">
        <v>113</v>
      </c>
      <c r="Y26" s="7">
        <v>10006720</v>
      </c>
      <c r="Z26" s="7" t="s">
        <v>114</v>
      </c>
      <c r="AA26" s="7" t="str">
        <f t="shared" si="39"/>
        <v>FEBRERO10006720Compensación</v>
      </c>
      <c r="AB26" s="26">
        <f>INDEX('Detalle Costos'!$L$5:$L$158,MATCH(Resumen!AA26,'Detalle Costos'!$C$5:$C$158,0))*1000*0+AI26+229398.68/1634.3-47.35</f>
        <v>1687.5784164208503</v>
      </c>
      <c r="AC26" s="44">
        <f>IFERROR(INDEX('Detalle Costos'!$X$5:$X$158,MATCH(Resumen!AA26,'Detalle Costos'!$C$5:$C$158,0))*AG26,0)</f>
        <v>118149.03960395469</v>
      </c>
      <c r="AD26" s="44">
        <f>IFERROR(INDEX('Detalle Costos'!$Z$5:$Z$158,MATCH(Resumen!AA26,'Detalle Costos'!$C$5:$C$158,0))*AG26,0)</f>
        <v>27034.726612342896</v>
      </c>
      <c r="AE26" s="44">
        <f>IFERROR(INDEX('Detalle Costos'!$Y$5:$Y$158,MATCH(Resumen!AA26,'Detalle Costos'!$C$5:$C$158,0))*AG26,0)</f>
        <v>1770.7574924361886</v>
      </c>
      <c r="AF26" s="44">
        <f>IFERROR(INDEX('Detalle Costos'!$AA$5:$AA$158,MATCH(Resumen!AA26,'Detalle Costos'!$C$5:$C$158,0))*AG26,0)</f>
        <v>35303.945264718073</v>
      </c>
      <c r="AG26" s="44">
        <f t="shared" si="37"/>
        <v>182258.46897345185</v>
      </c>
      <c r="AH26" s="26">
        <f>+G26</f>
        <v>108</v>
      </c>
      <c r="AI26" s="45">
        <v>1594.5633182136667</v>
      </c>
      <c r="AJ26" s="44">
        <f t="shared" si="61"/>
        <v>172212.83836707601</v>
      </c>
      <c r="AK26" s="45">
        <f t="shared" si="3"/>
        <v>-9458.468973451847</v>
      </c>
      <c r="AL26" s="94">
        <f t="shared" si="4"/>
        <v>-5.4736510263031522E-2</v>
      </c>
      <c r="AM26" s="44">
        <f t="shared" si="5"/>
        <v>11600</v>
      </c>
      <c r="AN26" s="44">
        <f t="shared" si="6"/>
        <v>2136.4986775937696</v>
      </c>
      <c r="AO26" s="44">
        <f t="shared" si="7"/>
        <v>7817.5384615384619</v>
      </c>
      <c r="AP26" s="44">
        <f t="shared" si="8"/>
        <v>21554.03713913223</v>
      </c>
      <c r="AQ26" s="44">
        <f t="shared" si="40"/>
        <v>3740.5812886250992</v>
      </c>
      <c r="AR26" s="44">
        <f t="shared" si="41"/>
        <v>4836</v>
      </c>
      <c r="AS26" s="45">
        <f t="shared" si="11"/>
        <v>-29917.087401209174</v>
      </c>
      <c r="AT26" s="94">
        <f t="shared" si="12"/>
        <v>-0.17313129283107159</v>
      </c>
      <c r="AU26" s="44">
        <f t="shared" si="42"/>
        <v>9813.2435905280563</v>
      </c>
      <c r="AV26" s="45">
        <f t="shared" si="14"/>
        <v>-39730.330991737232</v>
      </c>
      <c r="AW26" s="94">
        <f t="shared" si="15"/>
        <v>-0.22992089694292381</v>
      </c>
      <c r="AX26" s="44">
        <f t="shared" si="43"/>
        <v>8205.0625956066833</v>
      </c>
      <c r="AY26" s="45">
        <f t="shared" si="17"/>
        <v>-21712.02480560249</v>
      </c>
      <c r="AZ26" s="94">
        <f t="shared" si="18"/>
        <v>-0.12564829169908848</v>
      </c>
      <c r="BB26" s="44">
        <f t="shared" si="44"/>
        <v>1600</v>
      </c>
      <c r="BC26" s="44">
        <f t="shared" si="45"/>
        <v>-1093.9725889255064</v>
      </c>
      <c r="BD26" s="44">
        <f t="shared" si="46"/>
        <v>-250.32154270687866</v>
      </c>
      <c r="BE26" s="44">
        <f t="shared" si="47"/>
        <v>-16.395902707742486</v>
      </c>
      <c r="BF26" s="44">
        <f t="shared" si="48"/>
        <v>-326.88838208072292</v>
      </c>
      <c r="BG26" s="44">
        <f t="shared" si="49"/>
        <v>-1687.5784164208505</v>
      </c>
      <c r="BH26" s="44">
        <f t="shared" si="50"/>
        <v>-87.578416420850431</v>
      </c>
      <c r="BI26" s="44">
        <f t="shared" si="51"/>
        <v>-107.4074074074074</v>
      </c>
      <c r="BJ26" s="44">
        <f t="shared" si="52"/>
        <v>-72.384615384615387</v>
      </c>
      <c r="BK26" s="44">
        <f t="shared" si="53"/>
        <v>-199.57441795492807</v>
      </c>
      <c r="BL26" s="44">
        <f t="shared" si="54"/>
        <v>-34.635011931713883</v>
      </c>
      <c r="BM26" s="44">
        <f t="shared" si="55"/>
        <v>44.777777777777779</v>
      </c>
      <c r="BN26" s="44">
        <f t="shared" si="56"/>
        <v>-277.01006852971454</v>
      </c>
      <c r="BO26" s="44">
        <f t="shared" si="57"/>
        <v>-90.863366578963479</v>
      </c>
      <c r="BP26" s="44">
        <f t="shared" si="58"/>
        <v>-367.87343510867805</v>
      </c>
      <c r="BQ26" s="44">
        <f t="shared" si="59"/>
        <v>75.972801811172999</v>
      </c>
      <c r="BR26" s="44">
        <f t="shared" si="60"/>
        <v>-201.03726671854159</v>
      </c>
    </row>
    <row r="27" spans="2:70" hidden="1">
      <c r="B27" s="4" t="s">
        <v>7</v>
      </c>
      <c r="C27" s="27" t="str">
        <f t="shared" si="0"/>
        <v>FEBRERO</v>
      </c>
      <c r="D27" s="27" t="s">
        <v>189</v>
      </c>
      <c r="E27" s="100">
        <v>34</v>
      </c>
      <c r="F27" s="100">
        <v>46070</v>
      </c>
      <c r="G27" s="101">
        <v>115.5</v>
      </c>
      <c r="H27" s="102" t="s">
        <v>32</v>
      </c>
      <c r="I27" s="27" t="s">
        <v>155</v>
      </c>
      <c r="J27" s="4" t="s">
        <v>190</v>
      </c>
      <c r="K27" s="7" t="s">
        <v>171</v>
      </c>
      <c r="L27" s="7" t="s">
        <v>172</v>
      </c>
      <c r="M27" s="21" t="s">
        <v>45</v>
      </c>
      <c r="N27" s="7" t="s">
        <v>191</v>
      </c>
      <c r="O27" s="20">
        <v>1500</v>
      </c>
      <c r="P27" s="61">
        <v>173250</v>
      </c>
      <c r="Q27" s="20">
        <v>1382.987012987013</v>
      </c>
      <c r="R27" s="30">
        <v>13515</v>
      </c>
      <c r="S27" s="32">
        <f t="shared" si="1"/>
        <v>159735</v>
      </c>
      <c r="T27" s="60">
        <v>5</v>
      </c>
      <c r="U27" s="7" t="s">
        <v>192</v>
      </c>
      <c r="V27" s="7" t="s">
        <v>193</v>
      </c>
      <c r="W27" s="4" t="s">
        <v>138</v>
      </c>
      <c r="X27" s="4" t="s">
        <v>113</v>
      </c>
      <c r="Y27" s="7">
        <v>10006720</v>
      </c>
      <c r="Z27" s="7" t="s">
        <v>114</v>
      </c>
      <c r="AA27" s="7" t="str">
        <f t="shared" si="39"/>
        <v>FEBRERO10006720Compensación</v>
      </c>
      <c r="AB27" s="26">
        <f>INDEX('Detalle Costos'!$L$5:$L$158,MATCH(Resumen!AA27,'Detalle Costos'!$C$5:$C$158,0))*1000*0+AI27+229398.68/1634.3-47.35</f>
        <v>1687.5784164208503</v>
      </c>
      <c r="AC27" s="44">
        <f>IFERROR(INDEX('Detalle Costos'!$X$5:$X$158,MATCH(Resumen!AA27,'Detalle Costos'!$C$5:$C$158,0))*AG27,0)</f>
        <v>126353.83402089599</v>
      </c>
      <c r="AD27" s="44">
        <f>IFERROR(INDEX('Detalle Costos'!$Z$5:$Z$158,MATCH(Resumen!AA27,'Detalle Costos'!$C$5:$C$158,0))*AG27,0)</f>
        <v>28912.138182644485</v>
      </c>
      <c r="AE27" s="44">
        <f>IFERROR(INDEX('Detalle Costos'!$Y$5:$Y$158,MATCH(Resumen!AA27,'Detalle Costos'!$C$5:$C$158,0))*AG27,0)</f>
        <v>1893.7267627442573</v>
      </c>
      <c r="AF27" s="44">
        <f>IFERROR(INDEX('Detalle Costos'!$AA$5:$AA$158,MATCH(Resumen!AA27,'Detalle Costos'!$C$5:$C$158,0))*AG27,0)</f>
        <v>37755.60813032349</v>
      </c>
      <c r="AG27" s="44">
        <f t="shared" si="37"/>
        <v>194915.30709660822</v>
      </c>
      <c r="AH27" s="26">
        <f>+G27</f>
        <v>115.5</v>
      </c>
      <c r="AI27" s="45">
        <v>1594.5633182136667</v>
      </c>
      <c r="AJ27" s="44">
        <f t="shared" si="61"/>
        <v>184172.0632536785</v>
      </c>
      <c r="AK27" s="45">
        <f t="shared" si="3"/>
        <v>-21665.307096608216</v>
      </c>
      <c r="AL27" s="94">
        <f t="shared" si="4"/>
        <v>-0.12505227761390023</v>
      </c>
      <c r="AM27" s="44">
        <f t="shared" si="5"/>
        <v>13515</v>
      </c>
      <c r="AN27" s="44">
        <f t="shared" si="6"/>
        <v>2284.8666413155593</v>
      </c>
      <c r="AO27" s="44">
        <f t="shared" si="7"/>
        <v>8360.423076923078</v>
      </c>
      <c r="AP27" s="44">
        <f t="shared" si="8"/>
        <v>24160.289718238637</v>
      </c>
      <c r="AQ27" s="44">
        <f t="shared" si="40"/>
        <v>4000.3438781129535</v>
      </c>
      <c r="AR27" s="44">
        <f t="shared" si="41"/>
        <v>4792.05</v>
      </c>
      <c r="AS27" s="45">
        <f t="shared" si="11"/>
        <v>-45033.890692959802</v>
      </c>
      <c r="AT27" s="94">
        <f t="shared" si="12"/>
        <v>-0.25993587701564097</v>
      </c>
      <c r="AU27" s="44">
        <f t="shared" si="42"/>
        <v>10494.718839870282</v>
      </c>
      <c r="AV27" s="45">
        <f t="shared" si="14"/>
        <v>-55528.609532830087</v>
      </c>
      <c r="AW27" s="94">
        <f t="shared" si="15"/>
        <v>-0.32051145473495002</v>
      </c>
      <c r="AX27" s="44">
        <f t="shared" si="43"/>
        <v>8774.8586091904799</v>
      </c>
      <c r="AY27" s="45">
        <f t="shared" si="17"/>
        <v>-36259.032083769322</v>
      </c>
      <c r="AZ27" s="94">
        <f t="shared" si="18"/>
        <v>-0.209287342474859</v>
      </c>
      <c r="BB27" s="44">
        <f t="shared" si="44"/>
        <v>1500</v>
      </c>
      <c r="BC27" s="44">
        <f t="shared" si="45"/>
        <v>-1093.9725889255064</v>
      </c>
      <c r="BD27" s="44">
        <f t="shared" si="46"/>
        <v>-250.32154270687866</v>
      </c>
      <c r="BE27" s="44">
        <f t="shared" si="47"/>
        <v>-16.395902707742486</v>
      </c>
      <c r="BF27" s="44">
        <f t="shared" si="48"/>
        <v>-326.88838208072286</v>
      </c>
      <c r="BG27" s="44">
        <f t="shared" si="49"/>
        <v>-1687.5784164208503</v>
      </c>
      <c r="BH27" s="44">
        <f t="shared" si="50"/>
        <v>-187.57841642085035</v>
      </c>
      <c r="BI27" s="44">
        <f t="shared" si="51"/>
        <v>-117.01298701298701</v>
      </c>
      <c r="BJ27" s="44">
        <f t="shared" si="52"/>
        <v>-72.384615384615401</v>
      </c>
      <c r="BK27" s="44">
        <f t="shared" si="53"/>
        <v>-209.17999756050767</v>
      </c>
      <c r="BL27" s="44">
        <f t="shared" si="54"/>
        <v>-34.635011931713883</v>
      </c>
      <c r="BM27" s="44">
        <f t="shared" si="55"/>
        <v>41.489610389610391</v>
      </c>
      <c r="BN27" s="44">
        <f t="shared" si="56"/>
        <v>-389.9038155234615</v>
      </c>
      <c r="BO27" s="44">
        <f t="shared" si="57"/>
        <v>-90.863366578963479</v>
      </c>
      <c r="BP27" s="44">
        <f t="shared" si="58"/>
        <v>-480.76718210242501</v>
      </c>
      <c r="BQ27" s="44">
        <f t="shared" si="59"/>
        <v>75.972801811172985</v>
      </c>
      <c r="BR27" s="44">
        <f t="shared" si="60"/>
        <v>-313.93101371228852</v>
      </c>
    </row>
    <row r="28" spans="2:70" hidden="1">
      <c r="B28" s="4" t="s">
        <v>7</v>
      </c>
      <c r="C28" s="27" t="str">
        <f t="shared" si="0"/>
        <v>FEBRERO</v>
      </c>
      <c r="D28" s="27" t="s">
        <v>194</v>
      </c>
      <c r="E28" s="100">
        <v>34</v>
      </c>
      <c r="F28" s="100">
        <v>46070</v>
      </c>
      <c r="G28" s="101">
        <v>46.8</v>
      </c>
      <c r="H28" s="102" t="s">
        <v>32</v>
      </c>
      <c r="I28" s="27" t="s">
        <v>155</v>
      </c>
      <c r="J28" s="4" t="s">
        <v>190</v>
      </c>
      <c r="K28" s="7" t="s">
        <v>171</v>
      </c>
      <c r="L28" s="7" t="s">
        <v>195</v>
      </c>
      <c r="M28" s="21" t="s">
        <v>45</v>
      </c>
      <c r="N28" s="7" t="s">
        <v>191</v>
      </c>
      <c r="O28" s="20">
        <v>1500</v>
      </c>
      <c r="P28" s="61">
        <v>70200</v>
      </c>
      <c r="Q28" s="20">
        <v>1380.2136752136753</v>
      </c>
      <c r="R28" s="30">
        <v>5606</v>
      </c>
      <c r="S28" s="32">
        <f t="shared" si="1"/>
        <v>64594</v>
      </c>
      <c r="T28" s="60">
        <v>2</v>
      </c>
      <c r="U28" s="7" t="s">
        <v>192</v>
      </c>
      <c r="V28" s="7" t="s">
        <v>196</v>
      </c>
      <c r="W28" s="4" t="s">
        <v>138</v>
      </c>
      <c r="X28" s="4" t="s">
        <v>113</v>
      </c>
      <c r="Y28" s="7">
        <v>10006720</v>
      </c>
      <c r="Z28" s="7" t="s">
        <v>114</v>
      </c>
      <c r="AA28" s="7" t="str">
        <f t="shared" si="39"/>
        <v>FEBRERO10006720Compensación</v>
      </c>
      <c r="AB28" s="26">
        <f>INDEX('Detalle Costos'!$L$5:$L$158,MATCH(Resumen!AA28,'Detalle Costos'!$C$5:$C$158,0))*1000*0+AI28+229398.68/1634.3-47.35</f>
        <v>1687.5784164208503</v>
      </c>
      <c r="AC28" s="44">
        <f>IFERROR(INDEX('Detalle Costos'!$X$5:$X$158,MATCH(Resumen!AA28,'Detalle Costos'!$C$5:$C$158,0))*AG28,0)</f>
        <v>51197.917161713696</v>
      </c>
      <c r="AD28" s="44">
        <f>IFERROR(INDEX('Detalle Costos'!$Z$5:$Z$158,MATCH(Resumen!AA28,'Detalle Costos'!$C$5:$C$158,0))*AG28,0)</f>
        <v>11715.04819868192</v>
      </c>
      <c r="AE28" s="44">
        <f>IFERROR(INDEX('Detalle Costos'!$Y$5:$Y$158,MATCH(Resumen!AA28,'Detalle Costos'!$C$5:$C$158,0))*AG28,0)</f>
        <v>767.32824672234824</v>
      </c>
      <c r="AF28" s="44">
        <f>IFERROR(INDEX('Detalle Costos'!$AA$5:$AA$158,MATCH(Resumen!AA28,'Detalle Costos'!$C$5:$C$158,0))*AG28,0)</f>
        <v>15298.376281377828</v>
      </c>
      <c r="AG28" s="44">
        <f t="shared" si="37"/>
        <v>78978.669888495788</v>
      </c>
      <c r="AH28" s="26">
        <f>+G28</f>
        <v>46.8</v>
      </c>
      <c r="AI28" s="45">
        <v>1594.5633182136667</v>
      </c>
      <c r="AJ28" s="44">
        <f t="shared" si="61"/>
        <v>74625.563292399602</v>
      </c>
      <c r="AK28" s="45">
        <f t="shared" si="3"/>
        <v>-8778.6698884957877</v>
      </c>
      <c r="AL28" s="94">
        <f t="shared" si="4"/>
        <v>-0.12505227761390011</v>
      </c>
      <c r="AM28" s="44">
        <f t="shared" si="5"/>
        <v>5606</v>
      </c>
      <c r="AN28" s="44">
        <f t="shared" si="6"/>
        <v>925.81609362396682</v>
      </c>
      <c r="AO28" s="44">
        <f t="shared" si="7"/>
        <v>3387.6</v>
      </c>
      <c r="AP28" s="44">
        <f t="shared" si="8"/>
        <v>9919.4160936239659</v>
      </c>
      <c r="AQ28" s="44">
        <f t="shared" si="40"/>
        <v>1620.9185584042095</v>
      </c>
      <c r="AR28" s="44">
        <f t="shared" si="41"/>
        <v>1937.82</v>
      </c>
      <c r="AS28" s="45">
        <f t="shared" si="11"/>
        <v>-18381.184540523962</v>
      </c>
      <c r="AT28" s="94">
        <f t="shared" si="12"/>
        <v>-0.26184023561999947</v>
      </c>
      <c r="AU28" s="44">
        <f t="shared" si="42"/>
        <v>4252.4055558954906</v>
      </c>
      <c r="AV28" s="45">
        <f t="shared" si="14"/>
        <v>-22633.590096419452</v>
      </c>
      <c r="AW28" s="94">
        <f t="shared" si="15"/>
        <v>-0.32241581333930841</v>
      </c>
      <c r="AX28" s="44">
        <f t="shared" si="43"/>
        <v>3555.5271247628957</v>
      </c>
      <c r="AY28" s="45">
        <f t="shared" si="17"/>
        <v>-14825.657415761067</v>
      </c>
      <c r="AZ28" s="94">
        <f t="shared" si="18"/>
        <v>-0.21119170107921748</v>
      </c>
      <c r="BB28" s="44">
        <f t="shared" si="44"/>
        <v>1500</v>
      </c>
      <c r="BC28" s="44">
        <f t="shared" si="45"/>
        <v>-1093.9725889255064</v>
      </c>
      <c r="BD28" s="44">
        <f t="shared" si="46"/>
        <v>-250.32154270687863</v>
      </c>
      <c r="BE28" s="44">
        <f t="shared" si="47"/>
        <v>-16.395902707742486</v>
      </c>
      <c r="BF28" s="44">
        <f t="shared" si="48"/>
        <v>-326.88838208072286</v>
      </c>
      <c r="BG28" s="44">
        <f t="shared" si="49"/>
        <v>-1687.5784164208503</v>
      </c>
      <c r="BH28" s="44">
        <f t="shared" si="50"/>
        <v>-187.57841642085017</v>
      </c>
      <c r="BI28" s="44">
        <f t="shared" si="51"/>
        <v>-119.7863247863248</v>
      </c>
      <c r="BJ28" s="44">
        <f t="shared" si="52"/>
        <v>-72.384615384615387</v>
      </c>
      <c r="BK28" s="44">
        <f t="shared" si="53"/>
        <v>-211.95333533384544</v>
      </c>
      <c r="BL28" s="44">
        <f t="shared" si="54"/>
        <v>-34.635011931713883</v>
      </c>
      <c r="BM28" s="44">
        <f t="shared" si="55"/>
        <v>41.406410256410254</v>
      </c>
      <c r="BN28" s="44">
        <f t="shared" si="56"/>
        <v>-392.76035342999921</v>
      </c>
      <c r="BO28" s="44">
        <f t="shared" si="57"/>
        <v>-90.863366578963479</v>
      </c>
      <c r="BP28" s="44">
        <f t="shared" si="58"/>
        <v>-483.62372000896266</v>
      </c>
      <c r="BQ28" s="44">
        <f t="shared" si="59"/>
        <v>75.972801811172985</v>
      </c>
      <c r="BR28" s="44">
        <f t="shared" si="60"/>
        <v>-316.78755161882623</v>
      </c>
    </row>
    <row r="29" spans="2:70" hidden="1">
      <c r="B29" s="4" t="s">
        <v>7</v>
      </c>
      <c r="C29" s="27" t="str">
        <f t="shared" si="0"/>
        <v>FEBRERO</v>
      </c>
      <c r="D29" s="27" t="s">
        <v>197</v>
      </c>
      <c r="E29" s="100">
        <v>34</v>
      </c>
      <c r="F29" s="100">
        <v>46070</v>
      </c>
      <c r="G29" s="101">
        <v>81</v>
      </c>
      <c r="H29" s="102" t="s">
        <v>32</v>
      </c>
      <c r="I29" s="27" t="s">
        <v>155</v>
      </c>
      <c r="J29" s="4" t="s">
        <v>190</v>
      </c>
      <c r="K29" s="7" t="s">
        <v>171</v>
      </c>
      <c r="L29" s="7" t="s">
        <v>198</v>
      </c>
      <c r="M29" s="21" t="s">
        <v>45</v>
      </c>
      <c r="N29" s="7" t="s">
        <v>191</v>
      </c>
      <c r="O29" s="20">
        <v>1500</v>
      </c>
      <c r="P29" s="61">
        <v>121500</v>
      </c>
      <c r="Q29" s="20">
        <v>1385.0740740740741</v>
      </c>
      <c r="R29" s="30">
        <v>9309</v>
      </c>
      <c r="S29" s="32">
        <f t="shared" si="1"/>
        <v>112191</v>
      </c>
      <c r="T29" s="60">
        <v>3</v>
      </c>
      <c r="U29" s="7" t="s">
        <v>192</v>
      </c>
      <c r="V29" s="7" t="s">
        <v>199</v>
      </c>
      <c r="W29" s="4" t="s">
        <v>138</v>
      </c>
      <c r="X29" s="4" t="s">
        <v>113</v>
      </c>
      <c r="Y29" s="7">
        <v>10006720</v>
      </c>
      <c r="Z29" s="7" t="s">
        <v>114</v>
      </c>
      <c r="AA29" s="7" t="str">
        <f t="shared" si="39"/>
        <v>FEBRERO10006720Compensación</v>
      </c>
      <c r="AB29" s="26">
        <f>INDEX('Detalle Costos'!$L$5:$L$158,MATCH(Resumen!AA29,'Detalle Costos'!$C$5:$C$158,0))*1000*0+AI29+229398.68/1634.3-47.35</f>
        <v>1687.5784164208503</v>
      </c>
      <c r="AC29" s="44">
        <f>IFERROR(INDEX('Detalle Costos'!$X$5:$X$158,MATCH(Resumen!AA29,'Detalle Costos'!$C$5:$C$158,0))*AG29,0)</f>
        <v>88611.779702966014</v>
      </c>
      <c r="AD29" s="44">
        <f>IFERROR(INDEX('Detalle Costos'!$Z$5:$Z$158,MATCH(Resumen!AA29,'Detalle Costos'!$C$5:$C$158,0))*AG29,0)</f>
        <v>20276.044959257171</v>
      </c>
      <c r="AE29" s="44">
        <f>IFERROR(INDEX('Detalle Costos'!$Y$5:$Y$158,MATCH(Resumen!AA29,'Detalle Costos'!$C$5:$C$158,0))*AG29,0)</f>
        <v>1328.0681193271414</v>
      </c>
      <c r="AF29" s="44">
        <f>IFERROR(INDEX('Detalle Costos'!$AA$5:$AA$158,MATCH(Resumen!AA29,'Detalle Costos'!$C$5:$C$158,0))*AG29,0)</f>
        <v>26477.958948538551</v>
      </c>
      <c r="AG29" s="44">
        <f t="shared" si="37"/>
        <v>136693.85173008888</v>
      </c>
      <c r="AH29" s="26">
        <f>+G29</f>
        <v>81</v>
      </c>
      <c r="AI29" s="45">
        <v>1594.5633182136667</v>
      </c>
      <c r="AJ29" s="44">
        <f t="shared" si="61"/>
        <v>129159.62877530701</v>
      </c>
      <c r="AK29" s="45">
        <f t="shared" si="3"/>
        <v>-15193.851730088878</v>
      </c>
      <c r="AL29" s="94">
        <f t="shared" si="4"/>
        <v>-0.12505227761390023</v>
      </c>
      <c r="AM29" s="44">
        <f t="shared" si="5"/>
        <v>9309</v>
      </c>
      <c r="AN29" s="44">
        <f t="shared" si="6"/>
        <v>1602.3740081953272</v>
      </c>
      <c r="AO29" s="44">
        <f t="shared" si="7"/>
        <v>5863.1538461538466</v>
      </c>
      <c r="AP29" s="44">
        <f t="shared" si="8"/>
        <v>16774.527854349173</v>
      </c>
      <c r="AQ29" s="44">
        <f t="shared" si="40"/>
        <v>2805.4359664688245</v>
      </c>
      <c r="AR29" s="44">
        <f t="shared" si="41"/>
        <v>3365.73</v>
      </c>
      <c r="AS29" s="45">
        <f t="shared" si="11"/>
        <v>-31408.085550906875</v>
      </c>
      <c r="AT29" s="94">
        <f t="shared" si="12"/>
        <v>-0.25850276173585907</v>
      </c>
      <c r="AU29" s="44">
        <f t="shared" si="42"/>
        <v>7359.9326928960418</v>
      </c>
      <c r="AV29" s="45">
        <f t="shared" si="14"/>
        <v>-38768.018243802915</v>
      </c>
      <c r="AW29" s="94">
        <f t="shared" si="15"/>
        <v>-0.319078339455168</v>
      </c>
      <c r="AX29" s="44">
        <f t="shared" si="43"/>
        <v>6153.7969467050116</v>
      </c>
      <c r="AY29" s="45">
        <f t="shared" si="17"/>
        <v>-25254.288604201865</v>
      </c>
      <c r="AZ29" s="94">
        <f t="shared" si="18"/>
        <v>-0.20785422719507707</v>
      </c>
      <c r="BB29" s="44">
        <f t="shared" si="44"/>
        <v>1500</v>
      </c>
      <c r="BC29" s="44">
        <f t="shared" si="45"/>
        <v>-1093.9725889255064</v>
      </c>
      <c r="BD29" s="44">
        <f t="shared" si="46"/>
        <v>-250.32154270687866</v>
      </c>
      <c r="BE29" s="44">
        <f t="shared" si="47"/>
        <v>-16.395902707742486</v>
      </c>
      <c r="BF29" s="44">
        <f t="shared" si="48"/>
        <v>-326.88838208072286</v>
      </c>
      <c r="BG29" s="44">
        <f t="shared" si="49"/>
        <v>-1687.5784164208503</v>
      </c>
      <c r="BH29" s="44">
        <f t="shared" si="50"/>
        <v>-187.57841642085035</v>
      </c>
      <c r="BI29" s="44">
        <f t="shared" si="51"/>
        <v>-114.92592592592592</v>
      </c>
      <c r="BJ29" s="44">
        <f t="shared" si="52"/>
        <v>-72.384615384615387</v>
      </c>
      <c r="BK29" s="44">
        <f t="shared" si="53"/>
        <v>-207.09293647344657</v>
      </c>
      <c r="BL29" s="44">
        <f t="shared" si="54"/>
        <v>-34.635011931713883</v>
      </c>
      <c r="BM29" s="44">
        <f t="shared" si="55"/>
        <v>41.55222222222222</v>
      </c>
      <c r="BN29" s="44">
        <f t="shared" si="56"/>
        <v>-387.75414260378858</v>
      </c>
      <c r="BO29" s="44">
        <f t="shared" si="57"/>
        <v>-90.863366578963479</v>
      </c>
      <c r="BP29" s="44">
        <f t="shared" si="58"/>
        <v>-478.61750918275203</v>
      </c>
      <c r="BQ29" s="44">
        <f t="shared" si="59"/>
        <v>75.972801811172985</v>
      </c>
      <c r="BR29" s="44">
        <f t="shared" si="60"/>
        <v>-311.78134079261559</v>
      </c>
    </row>
    <row r="30" spans="2:70" hidden="1">
      <c r="B30" s="4" t="s">
        <v>7</v>
      </c>
      <c r="C30" s="27" t="str">
        <f t="shared" si="0"/>
        <v>FEBRERO</v>
      </c>
      <c r="D30" s="27" t="s">
        <v>200</v>
      </c>
      <c r="E30" s="100">
        <v>40</v>
      </c>
      <c r="F30" s="100">
        <v>46080</v>
      </c>
      <c r="G30" s="103">
        <v>27</v>
      </c>
      <c r="H30" s="27" t="s">
        <v>498</v>
      </c>
      <c r="I30" s="27" t="s">
        <v>201</v>
      </c>
      <c r="J30" s="7"/>
      <c r="K30" s="7" t="s">
        <v>171</v>
      </c>
      <c r="L30" s="7" t="s">
        <v>202</v>
      </c>
      <c r="M30" s="21" t="s">
        <v>54</v>
      </c>
      <c r="N30" s="7" t="s">
        <v>203</v>
      </c>
      <c r="O30" s="20">
        <v>3400</v>
      </c>
      <c r="P30" s="61">
        <v>91800</v>
      </c>
      <c r="Q30" s="20">
        <v>3292.5925925925926</v>
      </c>
      <c r="R30" s="30">
        <v>2900</v>
      </c>
      <c r="S30" s="32">
        <f t="shared" si="1"/>
        <v>88900</v>
      </c>
      <c r="T30" s="60">
        <v>1</v>
      </c>
      <c r="U30" s="149" t="s">
        <v>173</v>
      </c>
      <c r="V30" s="149">
        <v>6445569300</v>
      </c>
      <c r="W30" s="4" t="s">
        <v>122</v>
      </c>
      <c r="X30" s="4" t="s">
        <v>113</v>
      </c>
      <c r="Y30" s="7">
        <v>10009239</v>
      </c>
      <c r="Z30" s="7" t="s">
        <v>114</v>
      </c>
      <c r="AA30" s="7" t="str">
        <f t="shared" si="39"/>
        <v>FEBRERO10009239Compensación</v>
      </c>
      <c r="AB30" s="26">
        <f>INDEX('Detalle Costos'!$L$5:$L$158,MATCH(Resumen!AA30,'Detalle Costos'!$C$5:$C$158,0))*1000*0+AI30+229398.68/1634.3-47.35</f>
        <v>2162.0637093182954</v>
      </c>
      <c r="AC30" s="44">
        <f>IFERROR(INDEX('Detalle Costos'!$X$5:$X$158,MATCH(Resumen!AA30,'Detalle Costos'!$C$5:$C$158,0))*AG30,0)</f>
        <v>29695.701246086359</v>
      </c>
      <c r="AD30" s="44">
        <f>IFERROR(INDEX('Detalle Costos'!$Z$5:$Z$158,MATCH(Resumen!AA30,'Detalle Costos'!$C$5:$C$158,0))*AG30,0)</f>
        <v>19399.333341164038</v>
      </c>
      <c r="AE30" s="44">
        <f>IFERROR(INDEX('Detalle Costos'!$Y$5:$Y$158,MATCH(Resumen!AA30,'Detalle Costos'!$C$5:$C$158,0))*AG30,0)</f>
        <v>373.38300629398708</v>
      </c>
      <c r="AF30" s="44">
        <f>IFERROR(INDEX('Detalle Costos'!$AA$5:$AA$158,MATCH(Resumen!AA30,'Detalle Costos'!$C$5:$C$158,0))*AG30,0)</f>
        <v>8907.3025580495996</v>
      </c>
      <c r="AG30" s="44">
        <f t="shared" si="37"/>
        <v>58375.720151593974</v>
      </c>
      <c r="AH30" s="26">
        <v>27</v>
      </c>
      <c r="AI30" s="45">
        <v>2069.0486111111118</v>
      </c>
      <c r="AJ30" s="44">
        <f>AI30*AH30</f>
        <v>55864.312500000015</v>
      </c>
      <c r="AK30" s="45">
        <f t="shared" si="3"/>
        <v>33424.279848406026</v>
      </c>
      <c r="AL30" s="94">
        <f t="shared" si="4"/>
        <v>0.3640989090240308</v>
      </c>
      <c r="AM30" s="44">
        <f t="shared" si="5"/>
        <v>2900</v>
      </c>
      <c r="AN30" s="44">
        <f t="shared" si="6"/>
        <v>534.12466939844239</v>
      </c>
      <c r="AO30" s="44">
        <f t="shared" si="7"/>
        <v>1954.3846153846155</v>
      </c>
      <c r="AP30" s="44">
        <f t="shared" si="8"/>
        <v>5388.5092847830574</v>
      </c>
      <c r="AQ30" s="44">
        <f t="shared" si="40"/>
        <v>935.1453221562748</v>
      </c>
      <c r="AR30" s="44">
        <f t="shared" si="41"/>
        <v>2667</v>
      </c>
      <c r="AS30" s="45">
        <f t="shared" si="11"/>
        <v>29767.625241466696</v>
      </c>
      <c r="AT30" s="94">
        <f t="shared" si="12"/>
        <v>0.32426607016848252</v>
      </c>
      <c r="AU30" s="44">
        <f t="shared" si="42"/>
        <v>2453.3108976320141</v>
      </c>
      <c r="AV30" s="45">
        <f t="shared" si="14"/>
        <v>27314.314343834681</v>
      </c>
      <c r="AW30" s="94">
        <f t="shared" si="15"/>
        <v>0.29754155058643444</v>
      </c>
      <c r="AX30" s="44">
        <f t="shared" si="43"/>
        <v>2051.2656489016708</v>
      </c>
      <c r="AY30" s="45">
        <f t="shared" si="17"/>
        <v>31818.890890368366</v>
      </c>
      <c r="AZ30" s="94">
        <f t="shared" si="18"/>
        <v>0.34661101187765103</v>
      </c>
      <c r="BB30" s="44">
        <f t="shared" si="44"/>
        <v>3400</v>
      </c>
      <c r="BC30" s="44">
        <f t="shared" si="45"/>
        <v>-1099.8407868920874</v>
      </c>
      <c r="BD30" s="44">
        <f t="shared" si="46"/>
        <v>-718.49382745051992</v>
      </c>
      <c r="BE30" s="44">
        <f t="shared" si="47"/>
        <v>-13.829000233110632</v>
      </c>
      <c r="BF30" s="44">
        <f t="shared" si="48"/>
        <v>-329.90009474257778</v>
      </c>
      <c r="BG30" s="44">
        <f t="shared" si="49"/>
        <v>-2162.0637093182954</v>
      </c>
      <c r="BH30" s="44">
        <f t="shared" si="50"/>
        <v>1237.9362906817046</v>
      </c>
      <c r="BI30" s="44">
        <f t="shared" si="51"/>
        <v>-107.4074074074074</v>
      </c>
      <c r="BJ30" s="44">
        <f t="shared" si="52"/>
        <v>-72.384615384615387</v>
      </c>
      <c r="BK30" s="44">
        <f t="shared" si="53"/>
        <v>-199.57441795492807</v>
      </c>
      <c r="BL30" s="44">
        <f t="shared" si="54"/>
        <v>-34.635011931713883</v>
      </c>
      <c r="BM30" s="44">
        <f t="shared" si="55"/>
        <v>98.777777777777771</v>
      </c>
      <c r="BN30" s="44">
        <f t="shared" si="56"/>
        <v>1102.5046385728406</v>
      </c>
      <c r="BO30" s="44">
        <f t="shared" si="57"/>
        <v>-90.863366578963479</v>
      </c>
      <c r="BP30" s="44">
        <f t="shared" si="58"/>
        <v>1011.6412719938771</v>
      </c>
      <c r="BQ30" s="44">
        <f t="shared" si="59"/>
        <v>75.972801811172999</v>
      </c>
      <c r="BR30" s="44">
        <f t="shared" si="60"/>
        <v>1178.4774403840136</v>
      </c>
    </row>
    <row r="31" spans="2:70" hidden="1">
      <c r="B31" s="4" t="s">
        <v>7</v>
      </c>
      <c r="C31" s="27" t="str">
        <f t="shared" si="0"/>
        <v>FEBRERO</v>
      </c>
      <c r="D31" s="27" t="s">
        <v>204</v>
      </c>
      <c r="E31" s="100">
        <v>43</v>
      </c>
      <c r="F31" s="100">
        <v>46077</v>
      </c>
      <c r="G31" s="101">
        <v>351</v>
      </c>
      <c r="H31" s="150" t="s">
        <v>33</v>
      </c>
      <c r="I31" s="27" t="s">
        <v>205</v>
      </c>
      <c r="J31" s="4" t="s">
        <v>206</v>
      </c>
      <c r="K31" s="7" t="s">
        <v>171</v>
      </c>
      <c r="L31" s="7" t="s">
        <v>172</v>
      </c>
      <c r="M31" s="21" t="s">
        <v>45</v>
      </c>
      <c r="N31" s="7" t="s">
        <v>191</v>
      </c>
      <c r="O31" s="20">
        <v>1300</v>
      </c>
      <c r="P31" s="61">
        <v>456300</v>
      </c>
      <c r="Q31" s="20">
        <v>1300</v>
      </c>
      <c r="R31" s="30">
        <f>3103*T31</f>
        <v>40339</v>
      </c>
      <c r="S31" s="32">
        <f t="shared" si="1"/>
        <v>415961</v>
      </c>
      <c r="T31" s="151">
        <v>13</v>
      </c>
      <c r="U31" s="149" t="s">
        <v>207</v>
      </c>
      <c r="V31" s="149">
        <v>6445505270</v>
      </c>
      <c r="W31" s="152" t="s">
        <v>122</v>
      </c>
      <c r="X31" s="4" t="s">
        <v>113</v>
      </c>
      <c r="Y31" s="7">
        <v>10005721</v>
      </c>
      <c r="Z31" s="7" t="s">
        <v>114</v>
      </c>
      <c r="AA31" s="7" t="str">
        <f t="shared" si="39"/>
        <v>FEBRERO10005721Compensación</v>
      </c>
      <c r="AB31" s="26">
        <f>INDEX('Detalle Costos'!$L$5:$L$158,MATCH(Resumen!AA31,'Detalle Costos'!$C$5:$C$158,0))*1000*0+AI31+229398.68/1634.3-47.35</f>
        <v>1765.2216716888854</v>
      </c>
      <c r="AC31" s="44">
        <f>IFERROR(INDEX('Detalle Costos'!$X$5:$X$158,MATCH(Resumen!AA31,'Detalle Costos'!$C$5:$C$158,0))*AG31,0)</f>
        <v>375991.20240823057</v>
      </c>
      <c r="AD31" s="44">
        <f>IFERROR(INDEX('Detalle Costos'!$Z$5:$Z$158,MATCH(Resumen!AA31,'Detalle Costos'!$C$5:$C$158,0))*AG31,0)</f>
        <v>124213.42424382654</v>
      </c>
      <c r="AE31" s="44">
        <f>IFERROR(INDEX('Detalle Costos'!$Y$5:$Y$158,MATCH(Resumen!AA31,'Detalle Costos'!$C$5:$C$158,0))*AG31,0)</f>
        <v>6607.8389818432224</v>
      </c>
      <c r="AF31" s="44">
        <f>IFERROR(INDEX('Detalle Costos'!$AA$5:$AA$158,MATCH(Resumen!AA31,'Detalle Costos'!$C$5:$C$158,0))*AG31,0)</f>
        <v>112780.34112889848</v>
      </c>
      <c r="AG31" s="44">
        <f t="shared" si="37"/>
        <v>619592.80676279881</v>
      </c>
      <c r="AH31" s="26">
        <f>+G31</f>
        <v>351</v>
      </c>
      <c r="AI31" s="45">
        <v>1672.2065734817018</v>
      </c>
      <c r="AJ31" s="44">
        <f>+AI31*AH31</f>
        <v>586944.50729207729</v>
      </c>
      <c r="AK31" s="45">
        <f t="shared" si="3"/>
        <v>-163292.80676279881</v>
      </c>
      <c r="AL31" s="94">
        <f t="shared" si="4"/>
        <v>-0.35786282437606576</v>
      </c>
      <c r="AM31" s="44">
        <f t="shared" si="5"/>
        <v>40339</v>
      </c>
      <c r="AN31" s="44">
        <f t="shared" si="6"/>
        <v>6943.6207021797509</v>
      </c>
      <c r="AO31" s="44">
        <f t="shared" si="7"/>
        <v>25407</v>
      </c>
      <c r="AP31" s="44">
        <f t="shared" si="8"/>
        <v>72689.62070217976</v>
      </c>
      <c r="AQ31" s="44">
        <f t="shared" si="40"/>
        <v>12156.889188031573</v>
      </c>
      <c r="AR31" s="44">
        <f t="shared" si="41"/>
        <v>12478.83</v>
      </c>
      <c r="AS31" s="45">
        <f t="shared" si="11"/>
        <v>-235660.48665301016</v>
      </c>
      <c r="AT31" s="94">
        <f t="shared" si="12"/>
        <v>-0.51645953682447987</v>
      </c>
      <c r="AU31" s="44">
        <f t="shared" si="42"/>
        <v>31893.041669216182</v>
      </c>
      <c r="AV31" s="45">
        <f t="shared" si="14"/>
        <v>-267553.52832222637</v>
      </c>
      <c r="AW31" s="94">
        <f t="shared" si="15"/>
        <v>-0.58635443419291333</v>
      </c>
      <c r="AX31" s="44">
        <f t="shared" si="43"/>
        <v>26666.453435721716</v>
      </c>
      <c r="AY31" s="45">
        <f t="shared" si="17"/>
        <v>-208994.03321728844</v>
      </c>
      <c r="AZ31" s="94">
        <f t="shared" si="18"/>
        <v>-0.45801892004665445</v>
      </c>
      <c r="BB31" s="44">
        <f t="shared" si="44"/>
        <v>1300</v>
      </c>
      <c r="BC31" s="44">
        <f t="shared" si="45"/>
        <v>-1071.2000068610557</v>
      </c>
      <c r="BD31" s="44">
        <f t="shared" si="46"/>
        <v>-353.88439955506135</v>
      </c>
      <c r="BE31" s="44">
        <f t="shared" si="47"/>
        <v>-18.825752085023424</v>
      </c>
      <c r="BF31" s="44">
        <f t="shared" si="48"/>
        <v>-321.31151318774494</v>
      </c>
      <c r="BG31" s="44">
        <f t="shared" si="49"/>
        <v>-1765.2216716888854</v>
      </c>
      <c r="BH31" s="44">
        <f t="shared" si="50"/>
        <v>-465.22167168888546</v>
      </c>
      <c r="BI31" s="44">
        <f t="shared" si="51"/>
        <v>-114.92592592592592</v>
      </c>
      <c r="BJ31" s="44">
        <f t="shared" si="52"/>
        <v>-72.384615384615387</v>
      </c>
      <c r="BK31" s="44">
        <f t="shared" si="53"/>
        <v>-207.0929364734466</v>
      </c>
      <c r="BL31" s="44">
        <f t="shared" si="54"/>
        <v>-34.635011931713883</v>
      </c>
      <c r="BM31" s="44">
        <f t="shared" si="55"/>
        <v>35.55222222222222</v>
      </c>
      <c r="BN31" s="44">
        <f t="shared" si="56"/>
        <v>-671.39739787182384</v>
      </c>
      <c r="BO31" s="44">
        <f t="shared" si="57"/>
        <v>-90.863366578963479</v>
      </c>
      <c r="BP31" s="44">
        <f t="shared" si="58"/>
        <v>-762.26076445078741</v>
      </c>
      <c r="BQ31" s="44">
        <f t="shared" si="59"/>
        <v>75.972801811172985</v>
      </c>
      <c r="BR31" s="44">
        <f t="shared" si="60"/>
        <v>-595.42459606065086</v>
      </c>
    </row>
    <row r="32" spans="2:70" hidden="1">
      <c r="B32" s="4" t="s">
        <v>7</v>
      </c>
      <c r="C32" s="27" t="str">
        <f t="shared" si="0"/>
        <v>FEBRERO</v>
      </c>
      <c r="D32" s="27" t="s">
        <v>208</v>
      </c>
      <c r="E32" s="100">
        <v>43</v>
      </c>
      <c r="F32" s="100">
        <v>46075</v>
      </c>
      <c r="G32" s="101">
        <v>135</v>
      </c>
      <c r="H32" s="150" t="s">
        <v>33</v>
      </c>
      <c r="I32" s="27" t="s">
        <v>205</v>
      </c>
      <c r="J32" s="4" t="s">
        <v>206</v>
      </c>
      <c r="K32" s="7" t="s">
        <v>171</v>
      </c>
      <c r="L32" s="7" t="s">
        <v>209</v>
      </c>
      <c r="M32" s="21" t="s">
        <v>45</v>
      </c>
      <c r="N32" s="7" t="s">
        <v>191</v>
      </c>
      <c r="O32" s="20">
        <v>1300</v>
      </c>
      <c r="P32" s="61">
        <v>175500</v>
      </c>
      <c r="Q32" s="20">
        <v>1300</v>
      </c>
      <c r="R32" s="30">
        <f>3103*T32</f>
        <v>15515</v>
      </c>
      <c r="S32" s="32">
        <f t="shared" si="1"/>
        <v>159985</v>
      </c>
      <c r="T32" s="151">
        <v>5</v>
      </c>
      <c r="U32" s="149" t="s">
        <v>210</v>
      </c>
      <c r="V32" s="149">
        <v>6445260920</v>
      </c>
      <c r="W32" s="152" t="s">
        <v>122</v>
      </c>
      <c r="X32" s="4" t="s">
        <v>113</v>
      </c>
      <c r="Y32" s="7">
        <v>10005721</v>
      </c>
      <c r="Z32" s="7" t="s">
        <v>114</v>
      </c>
      <c r="AA32" s="7" t="str">
        <f t="shared" si="39"/>
        <v>FEBRERO10005721Compensación</v>
      </c>
      <c r="AB32" s="26">
        <f>INDEX('Detalle Costos'!$L$5:$L$158,MATCH(Resumen!AA32,'Detalle Costos'!$C$5:$C$158,0))*1000*0+AI32+229398.68/1634.3-47.35</f>
        <v>1765.2216716888854</v>
      </c>
      <c r="AC32" s="44">
        <f>IFERROR(INDEX('Detalle Costos'!$X$5:$X$158,MATCH(Resumen!AA32,'Detalle Costos'!$C$5:$C$158,0))*AG32,0)</f>
        <v>144612.00092624253</v>
      </c>
      <c r="AD32" s="44">
        <f>IFERROR(INDEX('Detalle Costos'!$Z$5:$Z$158,MATCH(Resumen!AA32,'Detalle Costos'!$C$5:$C$158,0))*AG32,0)</f>
        <v>47774.393939933281</v>
      </c>
      <c r="AE32" s="44">
        <f>IFERROR(INDEX('Detalle Costos'!$Y$5:$Y$158,MATCH(Resumen!AA32,'Detalle Costos'!$C$5:$C$158,0))*AG32,0)</f>
        <v>2541.4765314781621</v>
      </c>
      <c r="AF32" s="44">
        <f>IFERROR(INDEX('Detalle Costos'!$AA$5:$AA$158,MATCH(Resumen!AA32,'Detalle Costos'!$C$5:$C$158,0))*AG32,0)</f>
        <v>43377.054280345568</v>
      </c>
      <c r="AG32" s="44">
        <f t="shared" si="37"/>
        <v>238304.92567799953</v>
      </c>
      <c r="AH32" s="26">
        <f>+G32</f>
        <v>135</v>
      </c>
      <c r="AI32" s="45">
        <v>1672.2065734817018</v>
      </c>
      <c r="AJ32" s="44">
        <v>238110</v>
      </c>
      <c r="AK32" s="45">
        <f t="shared" si="3"/>
        <v>-62804.925677999534</v>
      </c>
      <c r="AL32" s="94">
        <f t="shared" si="4"/>
        <v>-0.3578628243760657</v>
      </c>
      <c r="AM32" s="44">
        <f t="shared" si="5"/>
        <v>15515</v>
      </c>
      <c r="AN32" s="44">
        <f t="shared" si="6"/>
        <v>2670.6233469922122</v>
      </c>
      <c r="AO32" s="44">
        <f t="shared" si="7"/>
        <v>9771.923076923078</v>
      </c>
      <c r="AP32" s="44">
        <f t="shared" si="8"/>
        <v>27957.54642391529</v>
      </c>
      <c r="AQ32" s="44">
        <f t="shared" si="40"/>
        <v>4675.7266107813739</v>
      </c>
      <c r="AR32" s="44">
        <f t="shared" si="41"/>
        <v>4799.55</v>
      </c>
      <c r="AS32" s="45">
        <f t="shared" si="11"/>
        <v>-90638.648712696202</v>
      </c>
      <c r="AT32" s="94">
        <f t="shared" si="12"/>
        <v>-0.51645953682447976</v>
      </c>
      <c r="AU32" s="44">
        <f t="shared" si="42"/>
        <v>12266.554488160069</v>
      </c>
      <c r="AV32" s="45">
        <f t="shared" si="14"/>
        <v>-102905.20320085627</v>
      </c>
      <c r="AW32" s="94">
        <f t="shared" si="15"/>
        <v>-0.58635443419291322</v>
      </c>
      <c r="AX32" s="44">
        <f t="shared" si="43"/>
        <v>10256.328244508353</v>
      </c>
      <c r="AY32" s="45">
        <f t="shared" si="17"/>
        <v>-80382.320468187856</v>
      </c>
      <c r="AZ32" s="94">
        <f t="shared" si="18"/>
        <v>-0.45801892004665445</v>
      </c>
      <c r="BB32" s="44">
        <f t="shared" si="44"/>
        <v>1300</v>
      </c>
      <c r="BC32" s="44">
        <f t="shared" si="45"/>
        <v>-1071.2000068610557</v>
      </c>
      <c r="BD32" s="44">
        <f t="shared" si="46"/>
        <v>-353.88439955506135</v>
      </c>
      <c r="BE32" s="44">
        <f t="shared" si="47"/>
        <v>-18.825752085023424</v>
      </c>
      <c r="BF32" s="44">
        <f t="shared" si="48"/>
        <v>-321.31151318774494</v>
      </c>
      <c r="BG32" s="44">
        <f t="shared" si="49"/>
        <v>-1765.2216716888854</v>
      </c>
      <c r="BH32" s="44">
        <f t="shared" si="50"/>
        <v>-465.22167168888546</v>
      </c>
      <c r="BI32" s="44">
        <f t="shared" si="51"/>
        <v>-114.92592592592592</v>
      </c>
      <c r="BJ32" s="44">
        <f t="shared" si="52"/>
        <v>-72.384615384615387</v>
      </c>
      <c r="BK32" s="44">
        <f t="shared" si="53"/>
        <v>-207.0929364734466</v>
      </c>
      <c r="BL32" s="44">
        <f t="shared" si="54"/>
        <v>-34.635011931713883</v>
      </c>
      <c r="BM32" s="44">
        <f t="shared" si="55"/>
        <v>35.552222222222227</v>
      </c>
      <c r="BN32" s="44">
        <f t="shared" si="56"/>
        <v>-671.39739787182373</v>
      </c>
      <c r="BO32" s="44">
        <f t="shared" si="57"/>
        <v>-90.863366578963479</v>
      </c>
      <c r="BP32" s="44">
        <f t="shared" si="58"/>
        <v>-762.26076445078718</v>
      </c>
      <c r="BQ32" s="44">
        <f t="shared" si="59"/>
        <v>75.972801811172985</v>
      </c>
      <c r="BR32" s="44">
        <f t="shared" si="60"/>
        <v>-595.42459606065074</v>
      </c>
    </row>
    <row r="33" spans="2:70" hidden="1">
      <c r="B33" s="4" t="s">
        <v>7</v>
      </c>
      <c r="C33" s="27" t="str">
        <f t="shared" si="0"/>
        <v>FEBRERO</v>
      </c>
      <c r="D33" s="27" t="s">
        <v>211</v>
      </c>
      <c r="E33" s="100">
        <v>43</v>
      </c>
      <c r="F33" s="100">
        <v>46075</v>
      </c>
      <c r="G33" s="101">
        <v>54</v>
      </c>
      <c r="H33" s="150" t="s">
        <v>33</v>
      </c>
      <c r="I33" s="27" t="s">
        <v>205</v>
      </c>
      <c r="J33" s="4" t="s">
        <v>206</v>
      </c>
      <c r="K33" s="7" t="s">
        <v>171</v>
      </c>
      <c r="L33" s="7" t="s">
        <v>198</v>
      </c>
      <c r="M33" s="21" t="s">
        <v>45</v>
      </c>
      <c r="N33" s="7" t="s">
        <v>191</v>
      </c>
      <c r="O33" s="20">
        <v>1300</v>
      </c>
      <c r="P33" s="61">
        <v>70200</v>
      </c>
      <c r="Q33" s="20">
        <v>1300</v>
      </c>
      <c r="R33" s="30">
        <f>3103*T33</f>
        <v>6206</v>
      </c>
      <c r="S33" s="32">
        <f t="shared" si="1"/>
        <v>63994</v>
      </c>
      <c r="T33" s="31">
        <v>2</v>
      </c>
      <c r="U33" s="149" t="s">
        <v>210</v>
      </c>
      <c r="V33" s="149">
        <v>6445502930</v>
      </c>
      <c r="W33" s="152" t="s">
        <v>122</v>
      </c>
      <c r="X33" s="4" t="s">
        <v>113</v>
      </c>
      <c r="Y33" s="7">
        <v>10005721</v>
      </c>
      <c r="Z33" s="7" t="s">
        <v>114</v>
      </c>
      <c r="AA33" s="7" t="str">
        <f t="shared" si="39"/>
        <v>FEBRERO10005721Compensación</v>
      </c>
      <c r="AB33" s="26">
        <f>INDEX('Detalle Costos'!$L$5:$L$158,MATCH(Resumen!AA33,'Detalle Costos'!$C$5:$C$158,0))*1000*0+AI33+229398.68/1634.3-47.35</f>
        <v>1765.2216716888854</v>
      </c>
      <c r="AC33" s="44">
        <f>IFERROR(INDEX('Detalle Costos'!$X$5:$X$158,MATCH(Resumen!AA33,'Detalle Costos'!$C$5:$C$158,0))*AG33,0)</f>
        <v>57844.800370497003</v>
      </c>
      <c r="AD33" s="44">
        <f>IFERROR(INDEX('Detalle Costos'!$Z$5:$Z$158,MATCH(Resumen!AA33,'Detalle Costos'!$C$5:$C$158,0))*AG33,0)</f>
        <v>19109.757575973312</v>
      </c>
      <c r="AE33" s="44">
        <f>IFERROR(INDEX('Detalle Costos'!$Y$5:$Y$158,MATCH(Resumen!AA33,'Detalle Costos'!$C$5:$C$158,0))*AG33,0)</f>
        <v>1016.5906125912649</v>
      </c>
      <c r="AF33" s="44">
        <f>IFERROR(INDEX('Detalle Costos'!$AA$5:$AA$158,MATCH(Resumen!AA33,'Detalle Costos'!$C$5:$C$158,0))*AG33,0)</f>
        <v>17350.821712138226</v>
      </c>
      <c r="AG33" s="44">
        <f t="shared" si="37"/>
        <v>95321.970271199811</v>
      </c>
      <c r="AH33" s="26">
        <f>+G33</f>
        <v>54</v>
      </c>
      <c r="AI33" s="45">
        <v>1672.2065734817018</v>
      </c>
      <c r="AJ33" s="44">
        <f>+AI33*AH33</f>
        <v>90299.154968011891</v>
      </c>
      <c r="AK33" s="45">
        <f t="shared" si="3"/>
        <v>-25121.970271199811</v>
      </c>
      <c r="AL33" s="94">
        <f t="shared" si="4"/>
        <v>-0.3578628243760657</v>
      </c>
      <c r="AM33" s="44">
        <f t="shared" si="5"/>
        <v>6206</v>
      </c>
      <c r="AN33" s="44">
        <f t="shared" si="6"/>
        <v>1068.2493387968848</v>
      </c>
      <c r="AO33" s="44">
        <f t="shared" si="7"/>
        <v>3908.7692307692309</v>
      </c>
      <c r="AP33" s="44">
        <f t="shared" si="8"/>
        <v>11183.018569566115</v>
      </c>
      <c r="AQ33" s="44">
        <f t="shared" si="40"/>
        <v>1870.2906443125496</v>
      </c>
      <c r="AR33" s="44">
        <f t="shared" si="41"/>
        <v>1919.82</v>
      </c>
      <c r="AS33" s="45">
        <f t="shared" si="11"/>
        <v>-36255.459485078471</v>
      </c>
      <c r="AT33" s="94">
        <f t="shared" si="12"/>
        <v>-0.51645953682447965</v>
      </c>
      <c r="AU33" s="44">
        <f t="shared" si="42"/>
        <v>4906.6217952640282</v>
      </c>
      <c r="AV33" s="45">
        <f t="shared" si="14"/>
        <v>-41162.0812803425</v>
      </c>
      <c r="AW33" s="94">
        <f t="shared" si="15"/>
        <v>-0.58635443419291311</v>
      </c>
      <c r="AX33" s="44">
        <f t="shared" si="43"/>
        <v>4102.5312978033417</v>
      </c>
      <c r="AY33" s="45">
        <f t="shared" si="17"/>
        <v>-32152.928187275131</v>
      </c>
      <c r="AZ33" s="94">
        <f t="shared" si="18"/>
        <v>-0.45801892004665429</v>
      </c>
      <c r="BB33" s="44">
        <f t="shared" si="44"/>
        <v>1300</v>
      </c>
      <c r="BC33" s="44">
        <f t="shared" si="45"/>
        <v>-1071.2000068610557</v>
      </c>
      <c r="BD33" s="44">
        <f t="shared" si="46"/>
        <v>-353.88439955506135</v>
      </c>
      <c r="BE33" s="44">
        <f t="shared" si="47"/>
        <v>-18.825752085023424</v>
      </c>
      <c r="BF33" s="44">
        <f t="shared" si="48"/>
        <v>-321.31151318774494</v>
      </c>
      <c r="BG33" s="44">
        <f t="shared" si="49"/>
        <v>-1765.2216716888854</v>
      </c>
      <c r="BH33" s="44">
        <f t="shared" si="50"/>
        <v>-465.22167168888541</v>
      </c>
      <c r="BI33" s="44">
        <f t="shared" si="51"/>
        <v>-114.92592592592592</v>
      </c>
      <c r="BJ33" s="44">
        <f t="shared" si="52"/>
        <v>-72.384615384615387</v>
      </c>
      <c r="BK33" s="44">
        <f t="shared" si="53"/>
        <v>-207.09293647344657</v>
      </c>
      <c r="BL33" s="44">
        <f t="shared" si="54"/>
        <v>-34.635011931713883</v>
      </c>
      <c r="BM33" s="44">
        <f t="shared" si="55"/>
        <v>35.55222222222222</v>
      </c>
      <c r="BN33" s="44">
        <f t="shared" si="56"/>
        <v>-671.3973978718235</v>
      </c>
      <c r="BO33" s="44">
        <f t="shared" si="57"/>
        <v>-90.863366578963479</v>
      </c>
      <c r="BP33" s="44">
        <f t="shared" si="58"/>
        <v>-762.26076445078706</v>
      </c>
      <c r="BQ33" s="44">
        <f t="shared" si="59"/>
        <v>75.972801811172999</v>
      </c>
      <c r="BR33" s="44">
        <f t="shared" si="60"/>
        <v>-595.42459606065052</v>
      </c>
    </row>
    <row r="34" spans="2:70" hidden="1">
      <c r="B34" s="7" t="s">
        <v>7</v>
      </c>
      <c r="C34" s="27" t="str">
        <f t="shared" si="0"/>
        <v>FEBRERO</v>
      </c>
      <c r="D34" s="25" t="s">
        <v>212</v>
      </c>
      <c r="E34" s="100">
        <v>43</v>
      </c>
      <c r="F34" s="100">
        <v>46076</v>
      </c>
      <c r="G34" s="101">
        <v>156</v>
      </c>
      <c r="H34" s="104" t="s">
        <v>31</v>
      </c>
      <c r="I34" s="105" t="s">
        <v>107</v>
      </c>
      <c r="J34" s="7" t="s">
        <v>213</v>
      </c>
      <c r="K34" s="7" t="s">
        <v>161</v>
      </c>
      <c r="L34" s="7" t="s">
        <v>147</v>
      </c>
      <c r="M34" s="21" t="s">
        <v>44</v>
      </c>
      <c r="N34" s="7" t="s">
        <v>214</v>
      </c>
      <c r="O34" s="20">
        <v>2500</v>
      </c>
      <c r="P34" s="61">
        <v>390000</v>
      </c>
      <c r="Q34" s="30">
        <v>2337.2307692307691</v>
      </c>
      <c r="R34" s="30">
        <v>25392</v>
      </c>
      <c r="S34" s="32">
        <f t="shared" si="1"/>
        <v>364608</v>
      </c>
      <c r="T34" s="31">
        <v>4</v>
      </c>
      <c r="U34" s="29" t="s">
        <v>215</v>
      </c>
      <c r="V34" s="153">
        <v>11428031</v>
      </c>
      <c r="W34" s="25" t="s">
        <v>112</v>
      </c>
      <c r="X34" s="4" t="s">
        <v>113</v>
      </c>
      <c r="Y34" s="7">
        <v>10007162</v>
      </c>
      <c r="Z34" s="7" t="s">
        <v>114</v>
      </c>
      <c r="AA34" s="7" t="str">
        <f t="shared" si="39"/>
        <v>FEBRERO10007162Compensación</v>
      </c>
      <c r="AB34" s="26">
        <f>INDEX('Detalle Costos'!$L$5:$L$158,MATCH(Resumen!AA34,'Detalle Costos'!$C$5:$C$158,0))*1000*0+AI34+229398.68/1634.3-47.35</f>
        <v>1758.861309807008</v>
      </c>
      <c r="AC34" s="44">
        <f>IFERROR(INDEX('Detalle Costos'!$X$5:$X$158,MATCH(Resumen!AA34,'Detalle Costos'!$C$5:$C$158,0))*AG34,0)</f>
        <v>172247.82620512758</v>
      </c>
      <c r="AD34" s="44">
        <f>IFERROR(INDEX('Detalle Costos'!$Z$5:$Z$158,MATCH(Resumen!AA34,'Detalle Costos'!$C$5:$C$158,0))*AG34,0)</f>
        <v>49149.536769690014</v>
      </c>
      <c r="AE34" s="44">
        <f>IFERROR(INDEX('Detalle Costos'!$Y$5:$Y$158,MATCH(Resumen!AA34,'Detalle Costos'!$C$5:$C$158,0))*AG34,0)</f>
        <v>2558.9554146264372</v>
      </c>
      <c r="AF34" s="44">
        <f>IFERROR(INDEX('Detalle Costos'!$AA$5:$AA$158,MATCH(Resumen!AA34,'Detalle Costos'!$C$5:$C$158,0))*AG34,0)</f>
        <v>50426.045940449185</v>
      </c>
      <c r="AG34" s="44">
        <f t="shared" si="37"/>
        <v>274382.36432989326</v>
      </c>
      <c r="AH34" s="26">
        <f>+G34</f>
        <v>156</v>
      </c>
      <c r="AI34" s="45">
        <v>1665.8462115998243</v>
      </c>
      <c r="AJ34" s="44">
        <f>AI34*AH34</f>
        <v>259872.00900957259</v>
      </c>
      <c r="AK34" s="45">
        <f t="shared" si="3"/>
        <v>115617.63567010674</v>
      </c>
      <c r="AL34" s="94">
        <f t="shared" si="4"/>
        <v>0.2964554760771968</v>
      </c>
      <c r="AM34" s="44">
        <f t="shared" si="5"/>
        <v>25392</v>
      </c>
      <c r="AN34" s="44">
        <f t="shared" si="6"/>
        <v>3086.053645413223</v>
      </c>
      <c r="AO34" s="44">
        <f t="shared" si="7"/>
        <v>11292</v>
      </c>
      <c r="AP34" s="44">
        <f t="shared" si="8"/>
        <v>39770.053645413223</v>
      </c>
      <c r="AQ34" s="44">
        <f t="shared" si="40"/>
        <v>5403.0618613473662</v>
      </c>
      <c r="AR34" s="44">
        <f t="shared" si="41"/>
        <v>10938.24</v>
      </c>
      <c r="AS34" s="45">
        <f t="shared" si="11"/>
        <v>81382.76016334616</v>
      </c>
      <c r="AT34" s="94">
        <f t="shared" si="12"/>
        <v>0.20867374400857991</v>
      </c>
      <c r="AU34" s="44">
        <f t="shared" si="42"/>
        <v>14174.685186318302</v>
      </c>
      <c r="AV34" s="45">
        <f t="shared" si="14"/>
        <v>67208.074977027863</v>
      </c>
      <c r="AW34" s="94">
        <f t="shared" si="15"/>
        <v>0.17232839737699451</v>
      </c>
      <c r="AX34" s="44">
        <f t="shared" si="43"/>
        <v>11851.757082542987</v>
      </c>
      <c r="AY34" s="45">
        <f t="shared" si="17"/>
        <v>93234.517245889147</v>
      </c>
      <c r="AZ34" s="94">
        <f t="shared" si="18"/>
        <v>0.23906286473304911</v>
      </c>
      <c r="BB34" s="44">
        <f t="shared" si="44"/>
        <v>2500</v>
      </c>
      <c r="BC34" s="44">
        <f t="shared" si="45"/>
        <v>-1104.1527320841512</v>
      </c>
      <c r="BD34" s="44">
        <f t="shared" si="46"/>
        <v>-315.06113313903853</v>
      </c>
      <c r="BE34" s="44">
        <f t="shared" si="47"/>
        <v>-16.403560350169471</v>
      </c>
      <c r="BF34" s="44">
        <f t="shared" si="48"/>
        <v>-323.2438842336486</v>
      </c>
      <c r="BG34" s="44">
        <f t="shared" si="49"/>
        <v>-1758.861309807008</v>
      </c>
      <c r="BH34" s="44">
        <f t="shared" si="50"/>
        <v>741.13869019299193</v>
      </c>
      <c r="BI34" s="44">
        <f t="shared" si="51"/>
        <v>-162.76923076923077</v>
      </c>
      <c r="BJ34" s="44">
        <f t="shared" si="52"/>
        <v>-72.384615384615387</v>
      </c>
      <c r="BK34" s="44">
        <f t="shared" si="53"/>
        <v>-254.93624131675142</v>
      </c>
      <c r="BL34" s="44">
        <f t="shared" si="54"/>
        <v>-34.635011931713883</v>
      </c>
      <c r="BM34" s="44">
        <f t="shared" si="55"/>
        <v>70.116923076923072</v>
      </c>
      <c r="BN34" s="44">
        <f t="shared" si="56"/>
        <v>521.68436002144972</v>
      </c>
      <c r="BO34" s="44">
        <f t="shared" si="57"/>
        <v>-90.863366578963479</v>
      </c>
      <c r="BP34" s="44">
        <f t="shared" si="58"/>
        <v>430.82099344248633</v>
      </c>
      <c r="BQ34" s="44">
        <f t="shared" si="59"/>
        <v>75.972801811172985</v>
      </c>
      <c r="BR34" s="44">
        <f t="shared" si="60"/>
        <v>597.65716183262271</v>
      </c>
    </row>
    <row r="35" spans="2:70" hidden="1">
      <c r="B35" s="7" t="s">
        <v>7</v>
      </c>
      <c r="C35" s="27" t="str">
        <f t="shared" si="0"/>
        <v>FEBRERO</v>
      </c>
      <c r="D35" s="27"/>
      <c r="E35" s="100">
        <v>46080</v>
      </c>
      <c r="F35" s="100">
        <v>46080</v>
      </c>
      <c r="G35" s="154">
        <v>0</v>
      </c>
      <c r="H35" s="102" t="s">
        <v>420</v>
      </c>
      <c r="I35" s="27" t="s">
        <v>421</v>
      </c>
      <c r="J35" s="27" t="s">
        <v>421</v>
      </c>
      <c r="K35" s="27" t="s">
        <v>421</v>
      </c>
      <c r="L35" s="27" t="s">
        <v>421</v>
      </c>
      <c r="M35" s="27" t="s">
        <v>422</v>
      </c>
      <c r="N35" s="7"/>
      <c r="O35" s="44">
        <v>0</v>
      </c>
      <c r="P35" s="52">
        <v>40026</v>
      </c>
      <c r="Q35" s="44">
        <v>0</v>
      </c>
      <c r="R35" s="44">
        <v>0</v>
      </c>
      <c r="S35" s="45">
        <f t="shared" si="1"/>
        <v>40026</v>
      </c>
      <c r="T35" s="60"/>
      <c r="U35" s="97"/>
      <c r="V35" s="59"/>
      <c r="W35" s="25"/>
      <c r="X35" s="4"/>
      <c r="Y35" s="7"/>
      <c r="Z35" s="7"/>
      <c r="AA35" s="7"/>
      <c r="AB35" s="26">
        <v>0</v>
      </c>
      <c r="AC35" s="44">
        <f>IFERROR(INDEX('Detalle Costos'!$X$5:$X$158,MATCH(Resumen!AA35,'Detalle Costos'!$C$5:$C$158,0))*AG35,0)</f>
        <v>0</v>
      </c>
      <c r="AD35" s="44">
        <f>IFERROR(INDEX('Detalle Costos'!$Z$5:$Z$158,MATCH(Resumen!AA35,'Detalle Costos'!$C$5:$C$158,0))*AG35,0)</f>
        <v>0</v>
      </c>
      <c r="AE35" s="44">
        <f>IFERROR(INDEX('Detalle Costos'!$Y$5:$Y$158,MATCH(Resumen!AA35,'Detalle Costos'!$C$5:$C$158,0))*AG35,0)</f>
        <v>0</v>
      </c>
      <c r="AF35" s="44">
        <f>IFERROR(INDEX('Detalle Costos'!$AA$5:$AA$158,MATCH(Resumen!AA35,'Detalle Costos'!$C$5:$C$158,0))*AG35,0)</f>
        <v>0</v>
      </c>
      <c r="AG35" s="44">
        <f t="shared" si="37"/>
        <v>0</v>
      </c>
      <c r="AH35" s="44"/>
      <c r="AI35" s="115"/>
      <c r="AJ35" s="44"/>
      <c r="AK35" s="45">
        <f t="shared" si="3"/>
        <v>40026</v>
      </c>
      <c r="AL35" s="116">
        <f t="shared" si="4"/>
        <v>1</v>
      </c>
      <c r="AM35" s="44">
        <f t="shared" si="5"/>
        <v>0</v>
      </c>
      <c r="AN35" s="44">
        <f t="shared" si="6"/>
        <v>0</v>
      </c>
      <c r="AO35" s="44">
        <f t="shared" si="7"/>
        <v>0</v>
      </c>
      <c r="AP35" s="44">
        <f t="shared" si="8"/>
        <v>0</v>
      </c>
      <c r="AQ35" s="44">
        <f t="shared" si="40"/>
        <v>0</v>
      </c>
      <c r="AR35" s="44">
        <v>0</v>
      </c>
      <c r="AS35" s="45">
        <f t="shared" si="11"/>
        <v>40026</v>
      </c>
      <c r="AT35" s="116">
        <f t="shared" si="12"/>
        <v>1</v>
      </c>
      <c r="AU35" s="44">
        <f>131251/248*G35</f>
        <v>0</v>
      </c>
      <c r="AV35" s="45">
        <f t="shared" si="14"/>
        <v>40026</v>
      </c>
      <c r="AW35" s="116">
        <f t="shared" si="15"/>
        <v>1</v>
      </c>
      <c r="AX35" s="44">
        <f>123530/248*G35</f>
        <v>0</v>
      </c>
      <c r="AY35" s="45">
        <f t="shared" si="17"/>
        <v>40026</v>
      </c>
      <c r="AZ35" s="116">
        <f t="shared" si="18"/>
        <v>1</v>
      </c>
      <c r="BB35" s="44">
        <v>0</v>
      </c>
      <c r="BC35" s="44">
        <v>0</v>
      </c>
      <c r="BD35" s="44">
        <v>0</v>
      </c>
      <c r="BE35" s="44"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0</v>
      </c>
      <c r="BK35" s="44">
        <v>0</v>
      </c>
      <c r="BL35" s="44">
        <v>0</v>
      </c>
      <c r="BM35" s="44">
        <v>0</v>
      </c>
      <c r="BN35" s="44">
        <v>0</v>
      </c>
      <c r="BO35" s="44">
        <v>0</v>
      </c>
      <c r="BP35" s="44">
        <v>0</v>
      </c>
      <c r="BQ35" s="44">
        <v>0</v>
      </c>
      <c r="BR35" s="44">
        <v>0</v>
      </c>
    </row>
    <row r="36" spans="2:70" hidden="1">
      <c r="B36" s="7" t="s">
        <v>7</v>
      </c>
      <c r="C36" s="126" t="s">
        <v>8</v>
      </c>
      <c r="D36" s="127" t="s">
        <v>216</v>
      </c>
      <c r="E36" s="128">
        <v>325</v>
      </c>
      <c r="F36" s="128">
        <v>46084</v>
      </c>
      <c r="G36" s="129">
        <v>26</v>
      </c>
      <c r="H36" s="130" t="s">
        <v>31</v>
      </c>
      <c r="I36" s="126" t="s">
        <v>107</v>
      </c>
      <c r="J36" s="19" t="s">
        <v>166</v>
      </c>
      <c r="K36" s="7" t="s">
        <v>161</v>
      </c>
      <c r="L36" s="7" t="s">
        <v>147</v>
      </c>
      <c r="M36" s="21" t="s">
        <v>48</v>
      </c>
      <c r="N36" s="7" t="s">
        <v>167</v>
      </c>
      <c r="O36" s="20">
        <v>2600</v>
      </c>
      <c r="P36" s="133">
        <v>67600</v>
      </c>
      <c r="Q36" s="132">
        <v>2518.6153846153848</v>
      </c>
      <c r="R36" s="132">
        <v>4232</v>
      </c>
      <c r="S36" s="134">
        <f t="shared" ref="S36:S67" si="62">P36-R36</f>
        <v>63368</v>
      </c>
      <c r="T36" s="65">
        <v>1</v>
      </c>
      <c r="U36" s="7" t="s">
        <v>217</v>
      </c>
      <c r="V36" s="7">
        <v>51077247</v>
      </c>
      <c r="W36" s="4"/>
      <c r="X36" s="4"/>
      <c r="Y36" s="7">
        <v>10007162</v>
      </c>
      <c r="Z36" s="7" t="s">
        <v>218</v>
      </c>
      <c r="AA36" s="7" t="str">
        <f t="shared" ref="AA36:AA41" si="63">B36&amp;Y36&amp;Z36</f>
        <v>FEBRERO10007162Inventario final</v>
      </c>
      <c r="AB36" s="132">
        <f t="shared" ref="AB36:AB41" si="64">AI36-616968.19/1968.8+215187/1968.8-47.35</f>
        <v>1766.7551345683703</v>
      </c>
      <c r="AC36" s="46">
        <f>IFERROR(INDEX('Costos Producción Febrero'!$G$34:$G$57,MATCH(Resumen!Y36,'Costos Producción Febrero'!$B$34:$B$57,0))*AB36*G36,0)</f>
        <v>28165.463625247896</v>
      </c>
      <c r="AD36" s="46">
        <f>IFERROR(INDEX('Costos Producción Febrero'!$H$34:$H$57,MATCH(Resumen!Y36,'Costos Producción Febrero'!$B$34:$B$57,0))*AB36*G36,0)</f>
        <v>7996.736806726075</v>
      </c>
      <c r="AE36" s="46">
        <f>IFERROR(INDEX('Costos Producción Febrero'!$I$34:$I$57,MATCH(Resumen!Y36,'Costos Producción Febrero'!$B$34:$B$57,0))*AB36*G36,0)</f>
        <v>425.85042752523856</v>
      </c>
      <c r="AF36" s="46">
        <f>IFERROR(INDEX('Costos Producción Febrero'!$J$34:$J$57,MATCH(Resumen!Y36,'Costos Producción Febrero'!$B$34:$B$57,0))*AB36*G36,0)</f>
        <v>9347.5826392784129</v>
      </c>
      <c r="AG36" s="135">
        <f>SUM(AC36:AF36)</f>
        <v>45935.633498777628</v>
      </c>
      <c r="AH36" s="46"/>
      <c r="AI36" s="45">
        <v>2018.1792863359442</v>
      </c>
      <c r="AJ36" s="46"/>
      <c r="AK36" s="136">
        <f t="shared" ref="AK36:AK67" si="65">P36-AG36</f>
        <v>21664.366501222372</v>
      </c>
      <c r="AL36" s="137">
        <f t="shared" ref="AL36:AL67" si="66">AK36/P36</f>
        <v>0.32047879439678068</v>
      </c>
      <c r="AM36" s="44">
        <f t="shared" ref="AM36:AM67" si="67">R36</f>
        <v>4232</v>
      </c>
      <c r="AN36" s="44">
        <f t="shared" ref="AN36:AN67" si="68">118461.136538461/5988.21*G36</f>
        <v>514.34227423553716</v>
      </c>
      <c r="AO36" s="44">
        <f t="shared" si="7"/>
        <v>1882</v>
      </c>
      <c r="AP36" s="135">
        <f t="shared" ref="AP36:AP67" si="69">SUM(AM36:AO36)</f>
        <v>6628.3422742355369</v>
      </c>
      <c r="AQ36" s="135">
        <f t="shared" ref="AQ36:AQ71" si="70">78579/1995.8*G36</f>
        <v>1023.6767211143401</v>
      </c>
      <c r="AR36" s="135">
        <f t="shared" ref="AR36:AR71" si="71">S36*0.03</f>
        <v>1901.04</v>
      </c>
      <c r="AS36" s="136">
        <f t="shared" ref="AS36:AS67" si="72">AK36-AP36-AQ36+AR36</f>
        <v>15913.387505872495</v>
      </c>
      <c r="AT36" s="137">
        <f t="shared" ref="AT36:AT67" si="73">AS36/P36</f>
        <v>0.23540514061941561</v>
      </c>
      <c r="AU36" s="135">
        <f t="shared" ref="AU36:AU71" si="74">154473/1995.8*G36</f>
        <v>2012.3749874736948</v>
      </c>
      <c r="AV36" s="136">
        <f t="shared" ref="AV36:AV67" si="75">AS36-AU36</f>
        <v>13901.0125183988</v>
      </c>
      <c r="AW36" s="137">
        <f t="shared" ref="AW36:AW67" si="76">AV36/P36</f>
        <v>0.20563627985797042</v>
      </c>
      <c r="AX36" s="135">
        <f t="shared" ref="AX36:AX71" si="77">123484.35/1997.8*G36</f>
        <v>1607.0643207528283</v>
      </c>
      <c r="AY36" s="136">
        <f t="shared" ref="AY36:AY67" si="78">AS36+AX36</f>
        <v>17520.451826625322</v>
      </c>
      <c r="AZ36" s="137">
        <f t="shared" ref="AZ36:AZ67" si="79">AY36/P36</f>
        <v>0.25917828145895444</v>
      </c>
      <c r="BB36" s="44">
        <f t="shared" ref="BB36:BB71" si="80">P36/$G36</f>
        <v>2600</v>
      </c>
      <c r="BC36" s="44">
        <f t="shared" ref="BC36:BC71" si="81">-AC36/$G36</f>
        <v>-1083.2870625095345</v>
      </c>
      <c r="BD36" s="44">
        <f t="shared" ref="BD36:BD71" si="82">-AD36/$G36</f>
        <v>-307.5668002586952</v>
      </c>
      <c r="BE36" s="44">
        <f t="shared" ref="BE36:BE71" si="83">-AE36/$G36</f>
        <v>-16.378862597124559</v>
      </c>
      <c r="BF36" s="44">
        <f t="shared" ref="BF36:BF71" si="84">-AF36/$G36</f>
        <v>-359.52240920301585</v>
      </c>
      <c r="BG36" s="44">
        <f t="shared" ref="BG36:BG71" si="85">-AG36/$G36</f>
        <v>-1766.7551345683703</v>
      </c>
      <c r="BH36" s="44">
        <f t="shared" ref="BH36:BH71" si="86">AK36/$G36</f>
        <v>833.24486543162971</v>
      </c>
      <c r="BI36" s="44">
        <f t="shared" ref="BI36:BI71" si="87">-AM36/$G36</f>
        <v>-162.76923076923077</v>
      </c>
      <c r="BJ36" s="44">
        <f t="shared" ref="BJ36:BJ71" si="88">-AO36/$G36</f>
        <v>-72.384615384615387</v>
      </c>
      <c r="BK36" s="44">
        <f t="shared" ref="BK36:BK71" si="89">-AP36/$G36</f>
        <v>-254.93624131675142</v>
      </c>
      <c r="BL36" s="44">
        <f t="shared" ref="BL36:BL71" si="90">-AQ36/$G36</f>
        <v>-39.372181581320774</v>
      </c>
      <c r="BM36" s="44">
        <f t="shared" ref="BM36:BM71" si="91">AR36/$G36</f>
        <v>73.116923076923072</v>
      </c>
      <c r="BN36" s="44">
        <f t="shared" ref="BN36:BN71" si="92">AS36/$G36</f>
        <v>612.05336561048057</v>
      </c>
      <c r="BO36" s="44">
        <f t="shared" ref="BO36:BO71" si="93">-AU36/$G36</f>
        <v>-77.399037979757495</v>
      </c>
      <c r="BP36" s="44">
        <f t="shared" ref="BP36:BP71" si="94">AV36/$G36</f>
        <v>534.65432763072306</v>
      </c>
      <c r="BQ36" s="44">
        <f t="shared" ref="BQ36:BQ71" si="95">AX36/$G36</f>
        <v>61.81016618280109</v>
      </c>
      <c r="BR36" s="44">
        <f t="shared" ref="BR36:BR71" si="96">AY36/$G36</f>
        <v>673.8635317932816</v>
      </c>
    </row>
    <row r="37" spans="2:70" hidden="1">
      <c r="B37" s="7" t="s">
        <v>7</v>
      </c>
      <c r="C37" s="126" t="s">
        <v>8</v>
      </c>
      <c r="D37" s="127" t="s">
        <v>219</v>
      </c>
      <c r="E37" s="128">
        <v>325</v>
      </c>
      <c r="F37" s="128">
        <v>46084</v>
      </c>
      <c r="G37" s="129">
        <v>26</v>
      </c>
      <c r="H37" s="130" t="s">
        <v>31</v>
      </c>
      <c r="I37" s="126" t="s">
        <v>107</v>
      </c>
      <c r="J37" s="19" t="s">
        <v>166</v>
      </c>
      <c r="K37" s="7" t="s">
        <v>161</v>
      </c>
      <c r="L37" s="7" t="s">
        <v>147</v>
      </c>
      <c r="M37" s="21" t="s">
        <v>48</v>
      </c>
      <c r="N37" s="7" t="s">
        <v>167</v>
      </c>
      <c r="O37" s="20">
        <v>2600</v>
      </c>
      <c r="P37" s="133">
        <v>67600</v>
      </c>
      <c r="Q37" s="132">
        <v>2518.6153846153848</v>
      </c>
      <c r="R37" s="132">
        <v>4232</v>
      </c>
      <c r="S37" s="134">
        <f t="shared" si="62"/>
        <v>63368</v>
      </c>
      <c r="T37" s="65">
        <v>1</v>
      </c>
      <c r="U37" s="7" t="s">
        <v>217</v>
      </c>
      <c r="V37" s="7">
        <v>37563181</v>
      </c>
      <c r="W37" s="4"/>
      <c r="X37" s="4"/>
      <c r="Y37" s="7">
        <v>10007162</v>
      </c>
      <c r="Z37" s="7" t="s">
        <v>218</v>
      </c>
      <c r="AA37" s="7" t="str">
        <f t="shared" si="63"/>
        <v>FEBRERO10007162Inventario final</v>
      </c>
      <c r="AB37" s="132">
        <f t="shared" si="64"/>
        <v>1766.7551345683703</v>
      </c>
      <c r="AC37" s="46">
        <f>IFERROR(INDEX('Costos Producción Febrero'!$G$34:$G$57,MATCH(Resumen!Y37,'Costos Producción Febrero'!$B$34:$B$57,0))*AB37*G37,0)</f>
        <v>28165.463625247896</v>
      </c>
      <c r="AD37" s="46">
        <f>IFERROR(INDEX('Costos Producción Febrero'!$H$34:$H$57,MATCH(Resumen!Y37,'Costos Producción Febrero'!$B$34:$B$57,0))*AB37*G37,0)</f>
        <v>7996.736806726075</v>
      </c>
      <c r="AE37" s="46">
        <f>IFERROR(INDEX('Costos Producción Febrero'!$I$34:$I$57,MATCH(Resumen!Y37,'Costos Producción Febrero'!$B$34:$B$57,0))*AB37*G37,0)</f>
        <v>425.85042752523856</v>
      </c>
      <c r="AF37" s="46">
        <f>IFERROR(INDEX('Costos Producción Febrero'!$J$34:$J$57,MATCH(Resumen!Y37,'Costos Producción Febrero'!$B$34:$B$57,0))*AB37*G37,0)</f>
        <v>9347.5826392784129</v>
      </c>
      <c r="AG37" s="135">
        <f t="shared" ref="AG37:AG67" si="97">SUM(AC37:AF37)</f>
        <v>45935.633498777628</v>
      </c>
      <c r="AH37" s="46"/>
      <c r="AI37" s="45">
        <v>2018.1792863359442</v>
      </c>
      <c r="AJ37" s="46"/>
      <c r="AK37" s="136">
        <f t="shared" si="65"/>
        <v>21664.366501222372</v>
      </c>
      <c r="AL37" s="137">
        <f t="shared" si="66"/>
        <v>0.32047879439678068</v>
      </c>
      <c r="AM37" s="44">
        <f t="shared" si="67"/>
        <v>4232</v>
      </c>
      <c r="AN37" s="44">
        <f t="shared" si="68"/>
        <v>514.34227423553716</v>
      </c>
      <c r="AO37" s="44">
        <f t="shared" si="7"/>
        <v>1882</v>
      </c>
      <c r="AP37" s="135">
        <f t="shared" si="69"/>
        <v>6628.3422742355369</v>
      </c>
      <c r="AQ37" s="135">
        <f t="shared" si="70"/>
        <v>1023.6767211143401</v>
      </c>
      <c r="AR37" s="135">
        <f t="shared" si="71"/>
        <v>1901.04</v>
      </c>
      <c r="AS37" s="136">
        <f t="shared" si="72"/>
        <v>15913.387505872495</v>
      </c>
      <c r="AT37" s="137">
        <f t="shared" si="73"/>
        <v>0.23540514061941561</v>
      </c>
      <c r="AU37" s="135">
        <f t="shared" si="74"/>
        <v>2012.3749874736948</v>
      </c>
      <c r="AV37" s="136">
        <f t="shared" si="75"/>
        <v>13901.0125183988</v>
      </c>
      <c r="AW37" s="137">
        <f t="shared" si="76"/>
        <v>0.20563627985797042</v>
      </c>
      <c r="AX37" s="135">
        <f t="shared" si="77"/>
        <v>1607.0643207528283</v>
      </c>
      <c r="AY37" s="136">
        <f t="shared" si="78"/>
        <v>17520.451826625322</v>
      </c>
      <c r="AZ37" s="137">
        <f t="shared" si="79"/>
        <v>0.25917828145895444</v>
      </c>
      <c r="BB37" s="44">
        <f t="shared" si="80"/>
        <v>2600</v>
      </c>
      <c r="BC37" s="44">
        <f t="shared" si="81"/>
        <v>-1083.2870625095345</v>
      </c>
      <c r="BD37" s="44">
        <f t="shared" si="82"/>
        <v>-307.5668002586952</v>
      </c>
      <c r="BE37" s="44">
        <f t="shared" si="83"/>
        <v>-16.378862597124559</v>
      </c>
      <c r="BF37" s="44">
        <f t="shared" si="84"/>
        <v>-359.52240920301585</v>
      </c>
      <c r="BG37" s="44">
        <f t="shared" si="85"/>
        <v>-1766.7551345683703</v>
      </c>
      <c r="BH37" s="44">
        <f t="shared" si="86"/>
        <v>833.24486543162971</v>
      </c>
      <c r="BI37" s="44">
        <f t="shared" si="87"/>
        <v>-162.76923076923077</v>
      </c>
      <c r="BJ37" s="44">
        <f t="shared" si="88"/>
        <v>-72.384615384615387</v>
      </c>
      <c r="BK37" s="44">
        <f t="shared" si="89"/>
        <v>-254.93624131675142</v>
      </c>
      <c r="BL37" s="44">
        <f t="shared" si="90"/>
        <v>-39.372181581320774</v>
      </c>
      <c r="BM37" s="44">
        <f t="shared" si="91"/>
        <v>73.116923076923072</v>
      </c>
      <c r="BN37" s="44">
        <f t="shared" si="92"/>
        <v>612.05336561048057</v>
      </c>
      <c r="BO37" s="44">
        <f t="shared" si="93"/>
        <v>-77.399037979757495</v>
      </c>
      <c r="BP37" s="44">
        <f t="shared" si="94"/>
        <v>534.65432763072306</v>
      </c>
      <c r="BQ37" s="44">
        <f t="shared" si="95"/>
        <v>61.81016618280109</v>
      </c>
      <c r="BR37" s="44">
        <f t="shared" si="96"/>
        <v>673.8635317932816</v>
      </c>
    </row>
    <row r="38" spans="2:70" hidden="1">
      <c r="B38" s="7" t="s">
        <v>7</v>
      </c>
      <c r="C38" s="29" t="s">
        <v>8</v>
      </c>
      <c r="D38" s="27" t="s">
        <v>220</v>
      </c>
      <c r="E38" s="100">
        <v>30</v>
      </c>
      <c r="F38" s="100">
        <v>46084</v>
      </c>
      <c r="G38" s="101">
        <v>24</v>
      </c>
      <c r="H38" s="150" t="s">
        <v>33</v>
      </c>
      <c r="I38" s="27" t="s">
        <v>132</v>
      </c>
      <c r="J38" s="19" t="s">
        <v>221</v>
      </c>
      <c r="K38" s="7" t="s">
        <v>141</v>
      </c>
      <c r="L38" s="7" t="s">
        <v>142</v>
      </c>
      <c r="M38" s="21" t="s">
        <v>43</v>
      </c>
      <c r="N38" s="7" t="s">
        <v>129</v>
      </c>
      <c r="O38" s="20">
        <v>1700</v>
      </c>
      <c r="P38" s="219">
        <f>40800-1190</f>
        <v>39610</v>
      </c>
      <c r="Q38" s="20">
        <v>1562.375</v>
      </c>
      <c r="R38" s="30">
        <v>3303</v>
      </c>
      <c r="S38" s="32">
        <f t="shared" si="62"/>
        <v>36307</v>
      </c>
      <c r="T38" s="65">
        <v>1</v>
      </c>
      <c r="U38" s="23" t="s">
        <v>222</v>
      </c>
      <c r="V38" s="149" t="s">
        <v>223</v>
      </c>
      <c r="W38" s="62" t="s">
        <v>138</v>
      </c>
      <c r="X38" s="4" t="s">
        <v>113</v>
      </c>
      <c r="Y38" s="7">
        <v>10005721</v>
      </c>
      <c r="Z38" s="7" t="s">
        <v>218</v>
      </c>
      <c r="AA38" s="7" t="str">
        <f t="shared" si="63"/>
        <v>FEBRERO10005721Inventario final</v>
      </c>
      <c r="AB38" s="20">
        <f t="shared" si="64"/>
        <v>1843.8447259243096</v>
      </c>
      <c r="AC38" s="46">
        <f>IFERROR(INDEX('Costos Producción Febrero'!$G$34:$G$57,MATCH(Resumen!Y38,'Costos Producción Febrero'!$B$34:$B$57,0))*AB38*G38,0)</f>
        <v>26874.888580887997</v>
      </c>
      <c r="AD38" s="46">
        <f>IFERROR(INDEX('Costos Producción Febrero'!$H$34:$H$57,MATCH(Resumen!Y38,'Costos Producción Febrero'!$B$34:$B$57,0))*AB38*G38,0)</f>
        <v>7874.9003078254636</v>
      </c>
      <c r="AE38" s="46">
        <f>IFERROR(INDEX('Costos Producción Febrero'!$I$34:$I$57,MATCH(Resumen!Y38,'Costos Producción Febrero'!$B$34:$B$57,0))*AB38*G38,0)</f>
        <v>482.43411840152658</v>
      </c>
      <c r="AF38" s="46">
        <f>IFERROR(INDEX('Costos Producción Febrero'!$J$34:$J$57,MATCH(Resumen!Y38,'Costos Producción Febrero'!$B$34:$B$57,0))*AB38*G38,0)</f>
        <v>9020.0504150684392</v>
      </c>
      <c r="AG38" s="46">
        <f t="shared" si="97"/>
        <v>44252.273422183425</v>
      </c>
      <c r="AH38" s="46"/>
      <c r="AI38" s="45">
        <v>2095.2688776918835</v>
      </c>
      <c r="AJ38" s="46"/>
      <c r="AK38" s="45">
        <f t="shared" si="65"/>
        <v>-4642.2734221834253</v>
      </c>
      <c r="AL38" s="94">
        <f t="shared" si="66"/>
        <v>-0.11719953098165678</v>
      </c>
      <c r="AM38" s="44">
        <f t="shared" si="67"/>
        <v>3303</v>
      </c>
      <c r="AN38" s="44">
        <f t="shared" si="68"/>
        <v>474.77748390972658</v>
      </c>
      <c r="AO38" s="44">
        <f t="shared" si="7"/>
        <v>1737.2307692307693</v>
      </c>
      <c r="AP38" s="44">
        <f t="shared" si="69"/>
        <v>5515.008253140496</v>
      </c>
      <c r="AQ38" s="44">
        <f t="shared" si="70"/>
        <v>944.93235795169858</v>
      </c>
      <c r="AR38" s="44">
        <f t="shared" si="71"/>
        <v>1089.21</v>
      </c>
      <c r="AS38" s="45">
        <f t="shared" si="72"/>
        <v>-10013.004033275618</v>
      </c>
      <c r="AT38" s="94">
        <f t="shared" si="73"/>
        <v>-0.25278980139549656</v>
      </c>
      <c r="AU38" s="44">
        <f t="shared" si="74"/>
        <v>1857.5769115141798</v>
      </c>
      <c r="AV38" s="45">
        <f t="shared" si="75"/>
        <v>-11870.580944789797</v>
      </c>
      <c r="AW38" s="94">
        <f t="shared" si="76"/>
        <v>-0.29968646666977522</v>
      </c>
      <c r="AX38" s="44">
        <f t="shared" si="77"/>
        <v>1483.443988387226</v>
      </c>
      <c r="AY38" s="45">
        <f t="shared" si="78"/>
        <v>-8529.5600448883924</v>
      </c>
      <c r="AZ38" s="94">
        <f t="shared" si="79"/>
        <v>-0.21533855200425125</v>
      </c>
      <c r="BB38" s="44">
        <f t="shared" si="80"/>
        <v>1650.4166666666667</v>
      </c>
      <c r="BC38" s="44">
        <f t="shared" si="81"/>
        <v>-1119.7870242036665</v>
      </c>
      <c r="BD38" s="44">
        <f t="shared" si="82"/>
        <v>-328.12084615939432</v>
      </c>
      <c r="BE38" s="44">
        <f t="shared" si="83"/>
        <v>-20.101421600063606</v>
      </c>
      <c r="BF38" s="44">
        <f t="shared" si="84"/>
        <v>-375.83543396118495</v>
      </c>
      <c r="BG38" s="44">
        <f t="shared" si="85"/>
        <v>-1843.8447259243094</v>
      </c>
      <c r="BH38" s="44">
        <f t="shared" si="86"/>
        <v>-193.42805925764273</v>
      </c>
      <c r="BI38" s="44">
        <f t="shared" si="87"/>
        <v>-137.625</v>
      </c>
      <c r="BJ38" s="44">
        <f t="shared" si="88"/>
        <v>-72.384615384615387</v>
      </c>
      <c r="BK38" s="44">
        <f t="shared" si="89"/>
        <v>-229.79201054752068</v>
      </c>
      <c r="BL38" s="44">
        <f t="shared" si="90"/>
        <v>-39.372181581320774</v>
      </c>
      <c r="BM38" s="44">
        <f t="shared" si="91"/>
        <v>45.383749999999999</v>
      </c>
      <c r="BN38" s="44">
        <f t="shared" si="92"/>
        <v>-417.2085013864841</v>
      </c>
      <c r="BO38" s="44">
        <f t="shared" si="93"/>
        <v>-77.399037979757495</v>
      </c>
      <c r="BP38" s="44">
        <f t="shared" si="94"/>
        <v>-494.60753936624155</v>
      </c>
      <c r="BQ38" s="44">
        <f t="shared" si="95"/>
        <v>61.810166182801083</v>
      </c>
      <c r="BR38" s="44">
        <f t="shared" si="96"/>
        <v>-355.39833520368302</v>
      </c>
    </row>
    <row r="39" spans="2:70" hidden="1">
      <c r="B39" s="7" t="s">
        <v>7</v>
      </c>
      <c r="C39" s="29" t="s">
        <v>8</v>
      </c>
      <c r="D39" s="25" t="s">
        <v>224</v>
      </c>
      <c r="E39" s="100">
        <v>30</v>
      </c>
      <c r="F39" s="100">
        <v>46085</v>
      </c>
      <c r="G39" s="103">
        <v>72</v>
      </c>
      <c r="H39" s="102" t="s">
        <v>34</v>
      </c>
      <c r="I39" s="27" t="s">
        <v>116</v>
      </c>
      <c r="J39" s="7" t="s">
        <v>153</v>
      </c>
      <c r="K39" s="7" t="s">
        <v>118</v>
      </c>
      <c r="L39" s="7" t="s">
        <v>119</v>
      </c>
      <c r="M39" s="21" t="s">
        <v>43</v>
      </c>
      <c r="N39" s="7" t="s">
        <v>129</v>
      </c>
      <c r="O39" s="20">
        <v>1400</v>
      </c>
      <c r="P39" s="219">
        <f>100800-6160</f>
        <v>94640</v>
      </c>
      <c r="Q39" s="20">
        <v>1266.5416666666667</v>
      </c>
      <c r="R39" s="30">
        <v>9609</v>
      </c>
      <c r="S39" s="32">
        <f t="shared" si="62"/>
        <v>85031</v>
      </c>
      <c r="T39" s="65">
        <v>3</v>
      </c>
      <c r="U39" s="66" t="s">
        <v>222</v>
      </c>
      <c r="V39" s="67" t="s">
        <v>225</v>
      </c>
      <c r="W39" s="66" t="s">
        <v>226</v>
      </c>
      <c r="X39" s="4" t="s">
        <v>113</v>
      </c>
      <c r="Y39" s="7">
        <v>10005779</v>
      </c>
      <c r="Z39" s="7" t="s">
        <v>218</v>
      </c>
      <c r="AA39" s="7" t="str">
        <f t="shared" si="63"/>
        <v>FEBRERO10005779Inventario final</v>
      </c>
      <c r="AB39" s="20">
        <f t="shared" si="64"/>
        <v>1848.8139327140159</v>
      </c>
      <c r="AC39" s="46">
        <f>IFERROR(INDEX('Costos Producción Febrero'!$G$34:$G$57,MATCH(Resumen!Y39,'Costos Producción Febrero'!$B$34:$B$57,0))*AB39*G39,0)</f>
        <v>77286.438786047816</v>
      </c>
      <c r="AD39" s="46">
        <f>IFERROR(INDEX('Costos Producción Febrero'!$H$34:$H$57,MATCH(Resumen!Y39,'Costos Producción Febrero'!$B$34:$B$57,0))*AB39*G39,0)</f>
        <v>29412.192720785511</v>
      </c>
      <c r="AE39" s="46">
        <f>IFERROR(INDEX('Costos Producción Febrero'!$I$34:$I$57,MATCH(Resumen!Y39,'Costos Producción Febrero'!$B$34:$B$57,0))*AB39*G39,0)</f>
        <v>850.24345678864745</v>
      </c>
      <c r="AF39" s="46">
        <f>IFERROR(INDEX('Costos Producción Febrero'!$J$34:$J$57,MATCH(Resumen!Y39,'Costos Producción Febrero'!$B$34:$B$57,0))*AB39*G39,0)</f>
        <v>25565.728191787166</v>
      </c>
      <c r="AG39" s="46">
        <f t="shared" si="97"/>
        <v>133114.60315540916</v>
      </c>
      <c r="AH39" s="46"/>
      <c r="AI39" s="45">
        <v>2100.2380844815898</v>
      </c>
      <c r="AJ39" s="46"/>
      <c r="AK39" s="45">
        <f t="shared" si="65"/>
        <v>-38474.603155409161</v>
      </c>
      <c r="AL39" s="94">
        <f t="shared" si="66"/>
        <v>-0.4065363816082963</v>
      </c>
      <c r="AM39" s="44">
        <f t="shared" si="67"/>
        <v>9609</v>
      </c>
      <c r="AN39" s="44">
        <f t="shared" si="68"/>
        <v>1424.3324517291799</v>
      </c>
      <c r="AO39" s="44">
        <f t="shared" si="7"/>
        <v>5211.6923076923076</v>
      </c>
      <c r="AP39" s="44">
        <f t="shared" si="69"/>
        <v>16245.024759421489</v>
      </c>
      <c r="AQ39" s="44">
        <f t="shared" si="70"/>
        <v>2834.7970738550957</v>
      </c>
      <c r="AR39" s="44">
        <f t="shared" si="71"/>
        <v>2550.9299999999998</v>
      </c>
      <c r="AS39" s="45">
        <f t="shared" si="72"/>
        <v>-55003.494988685743</v>
      </c>
      <c r="AT39" s="94">
        <f t="shared" si="73"/>
        <v>-0.58118654890834476</v>
      </c>
      <c r="AU39" s="44">
        <f t="shared" si="74"/>
        <v>5572.7307345425397</v>
      </c>
      <c r="AV39" s="45">
        <f t="shared" si="75"/>
        <v>-60576.225723228286</v>
      </c>
      <c r="AW39" s="94">
        <f t="shared" si="76"/>
        <v>-0.64007000975515937</v>
      </c>
      <c r="AX39" s="44">
        <f t="shared" si="77"/>
        <v>4450.3319651616785</v>
      </c>
      <c r="AY39" s="45">
        <f t="shared" si="78"/>
        <v>-50553.163023524066</v>
      </c>
      <c r="AZ39" s="94">
        <f t="shared" si="79"/>
        <v>-0.53416275384112499</v>
      </c>
      <c r="BB39" s="44">
        <f t="shared" si="80"/>
        <v>1314.4444444444443</v>
      </c>
      <c r="BC39" s="44">
        <f t="shared" si="81"/>
        <v>-1073.4227609173308</v>
      </c>
      <c r="BD39" s="44">
        <f t="shared" si="82"/>
        <v>-408.50267667757657</v>
      </c>
      <c r="BE39" s="44">
        <f t="shared" si="83"/>
        <v>-11.808936899842326</v>
      </c>
      <c r="BF39" s="44">
        <f t="shared" si="84"/>
        <v>-355.07955821926618</v>
      </c>
      <c r="BG39" s="44">
        <f t="shared" si="85"/>
        <v>-1848.8139327140161</v>
      </c>
      <c r="BH39" s="44">
        <f t="shared" si="86"/>
        <v>-534.36948826957166</v>
      </c>
      <c r="BI39" s="44">
        <f t="shared" si="87"/>
        <v>-133.45833333333334</v>
      </c>
      <c r="BJ39" s="44">
        <f t="shared" si="88"/>
        <v>-72.384615384615387</v>
      </c>
      <c r="BK39" s="44">
        <f t="shared" si="89"/>
        <v>-225.62534388085402</v>
      </c>
      <c r="BL39" s="44">
        <f t="shared" si="90"/>
        <v>-39.372181581320774</v>
      </c>
      <c r="BM39" s="44">
        <f t="shared" si="91"/>
        <v>35.429583333333333</v>
      </c>
      <c r="BN39" s="44">
        <f t="shared" si="92"/>
        <v>-763.93743039841308</v>
      </c>
      <c r="BO39" s="44">
        <f t="shared" si="93"/>
        <v>-77.399037979757495</v>
      </c>
      <c r="BP39" s="44">
        <f t="shared" si="94"/>
        <v>-841.33646837817059</v>
      </c>
      <c r="BQ39" s="44">
        <f t="shared" si="95"/>
        <v>61.81016618280109</v>
      </c>
      <c r="BR39" s="44">
        <f t="shared" si="96"/>
        <v>-702.12726421561206</v>
      </c>
    </row>
    <row r="40" spans="2:70" hidden="1">
      <c r="B40" s="7" t="s">
        <v>7</v>
      </c>
      <c r="C40" s="29" t="s">
        <v>8</v>
      </c>
      <c r="D40" s="25" t="s">
        <v>259</v>
      </c>
      <c r="E40" s="100">
        <v>30</v>
      </c>
      <c r="F40" s="100">
        <v>46108</v>
      </c>
      <c r="G40" s="103">
        <v>48</v>
      </c>
      <c r="H40" s="102" t="s">
        <v>34</v>
      </c>
      <c r="I40" s="27" t="s">
        <v>116</v>
      </c>
      <c r="J40" s="7" t="s">
        <v>153</v>
      </c>
      <c r="K40" s="7" t="s">
        <v>118</v>
      </c>
      <c r="L40" s="7" t="s">
        <v>119</v>
      </c>
      <c r="M40" s="21" t="s">
        <v>43</v>
      </c>
      <c r="N40" s="7" t="s">
        <v>129</v>
      </c>
      <c r="O40" s="20">
        <v>1400</v>
      </c>
      <c r="P40" s="61">
        <v>67200</v>
      </c>
      <c r="Q40" s="20">
        <v>1254.1666666666667</v>
      </c>
      <c r="R40" s="30">
        <v>7000</v>
      </c>
      <c r="S40" s="32">
        <f t="shared" si="62"/>
        <v>60200</v>
      </c>
      <c r="T40" s="65">
        <v>2</v>
      </c>
      <c r="U40" s="59" t="s">
        <v>260</v>
      </c>
      <c r="V40" s="27">
        <v>6446527790</v>
      </c>
      <c r="W40" s="62" t="s">
        <v>122</v>
      </c>
      <c r="X40" s="4" t="s">
        <v>113</v>
      </c>
      <c r="Y40" s="7">
        <v>10005779</v>
      </c>
      <c r="Z40" s="7" t="s">
        <v>218</v>
      </c>
      <c r="AA40" s="7" t="str">
        <f t="shared" si="63"/>
        <v>FEBRERO10005779Inventario final</v>
      </c>
      <c r="AB40" s="20">
        <f t="shared" si="64"/>
        <v>1848.8139327140159</v>
      </c>
      <c r="AC40" s="46">
        <f>IFERROR(INDEX('Costos Producción Febrero'!$G$34:$G$57,MATCH(Resumen!Y40,'Costos Producción Febrero'!$B$34:$B$57,0))*AB40*G40,0)</f>
        <v>51524.29252403188</v>
      </c>
      <c r="AD40" s="46">
        <f>IFERROR(INDEX('Costos Producción Febrero'!$H$34:$H$57,MATCH(Resumen!Y40,'Costos Producción Febrero'!$B$34:$B$57,0))*AB40*G40,0)</f>
        <v>19608.128480523676</v>
      </c>
      <c r="AE40" s="46">
        <f>IFERROR(INDEX('Costos Producción Febrero'!$I$34:$I$57,MATCH(Resumen!Y40,'Costos Producción Febrero'!$B$34:$B$57,0))*AB40*G40,0)</f>
        <v>566.82897119243171</v>
      </c>
      <c r="AF40" s="46">
        <f>IFERROR(INDEX('Costos Producción Febrero'!$J$34:$J$57,MATCH(Resumen!Y40,'Costos Producción Febrero'!$B$34:$B$57,0))*AB40*G40,0)</f>
        <v>17043.818794524777</v>
      </c>
      <c r="AG40" s="46">
        <f t="shared" si="97"/>
        <v>88743.068770272759</v>
      </c>
      <c r="AH40" s="46"/>
      <c r="AI40" s="45">
        <v>2100.2380844815898</v>
      </c>
      <c r="AJ40" s="46"/>
      <c r="AK40" s="45">
        <f t="shared" si="65"/>
        <v>-21543.068770272759</v>
      </c>
      <c r="AL40" s="94">
        <f t="shared" si="66"/>
        <v>-0.32058138051001128</v>
      </c>
      <c r="AM40" s="44">
        <f t="shared" si="67"/>
        <v>7000</v>
      </c>
      <c r="AN40" s="44">
        <f t="shared" si="68"/>
        <v>949.55496781945317</v>
      </c>
      <c r="AO40" s="44">
        <f t="shared" si="7"/>
        <v>3474.4615384615386</v>
      </c>
      <c r="AP40" s="44">
        <f t="shared" si="69"/>
        <v>11424.016506280992</v>
      </c>
      <c r="AQ40" s="44">
        <f t="shared" si="70"/>
        <v>1889.8647159033972</v>
      </c>
      <c r="AR40" s="44">
        <f t="shared" si="71"/>
        <v>1806</v>
      </c>
      <c r="AS40" s="45">
        <f t="shared" si="72"/>
        <v>-33050.949992457143</v>
      </c>
      <c r="AT40" s="94">
        <f t="shared" si="73"/>
        <v>-0.49182961298299321</v>
      </c>
      <c r="AU40" s="44">
        <f t="shared" si="74"/>
        <v>3715.1538230283595</v>
      </c>
      <c r="AV40" s="45">
        <f t="shared" si="75"/>
        <v>-36766.103815485505</v>
      </c>
      <c r="AW40" s="94">
        <f t="shared" si="76"/>
        <v>-0.54711464011139144</v>
      </c>
      <c r="AX40" s="44">
        <f t="shared" si="77"/>
        <v>2966.887976774452</v>
      </c>
      <c r="AY40" s="45">
        <f t="shared" si="78"/>
        <v>-30084.062015682692</v>
      </c>
      <c r="AZ40" s="94">
        <f t="shared" si="79"/>
        <v>-0.44767949428099246</v>
      </c>
      <c r="BB40" s="44">
        <f t="shared" si="80"/>
        <v>1400</v>
      </c>
      <c r="BC40" s="44">
        <f t="shared" si="81"/>
        <v>-1073.4227609173308</v>
      </c>
      <c r="BD40" s="44">
        <f t="shared" si="82"/>
        <v>-408.50267667757657</v>
      </c>
      <c r="BE40" s="44">
        <f t="shared" si="83"/>
        <v>-11.808936899842328</v>
      </c>
      <c r="BF40" s="44">
        <f t="shared" si="84"/>
        <v>-355.07955821926618</v>
      </c>
      <c r="BG40" s="44">
        <f t="shared" si="85"/>
        <v>-1848.8139327140159</v>
      </c>
      <c r="BH40" s="44">
        <f t="shared" si="86"/>
        <v>-448.81393271401583</v>
      </c>
      <c r="BI40" s="44">
        <f t="shared" si="87"/>
        <v>-145.83333333333334</v>
      </c>
      <c r="BJ40" s="44">
        <f t="shared" si="88"/>
        <v>-72.384615384615387</v>
      </c>
      <c r="BK40" s="44">
        <f t="shared" si="89"/>
        <v>-238.00034388085399</v>
      </c>
      <c r="BL40" s="44">
        <f t="shared" si="90"/>
        <v>-39.372181581320774</v>
      </c>
      <c r="BM40" s="44">
        <f t="shared" si="91"/>
        <v>37.625</v>
      </c>
      <c r="BN40" s="44">
        <f t="shared" si="92"/>
        <v>-688.56145817619051</v>
      </c>
      <c r="BO40" s="44">
        <f t="shared" si="93"/>
        <v>-77.399037979757495</v>
      </c>
      <c r="BP40" s="44">
        <f t="shared" si="94"/>
        <v>-765.96049615594802</v>
      </c>
      <c r="BQ40" s="44">
        <f t="shared" si="95"/>
        <v>61.810166182801083</v>
      </c>
      <c r="BR40" s="44">
        <f t="shared" si="96"/>
        <v>-626.75129199338937</v>
      </c>
    </row>
    <row r="41" spans="2:70" hidden="1">
      <c r="B41" s="7" t="s">
        <v>7</v>
      </c>
      <c r="C41" s="29" t="s">
        <v>8</v>
      </c>
      <c r="D41" s="25" t="s">
        <v>227</v>
      </c>
      <c r="E41" s="100">
        <v>34</v>
      </c>
      <c r="F41" s="100">
        <v>46087</v>
      </c>
      <c r="G41" s="103">
        <v>48</v>
      </c>
      <c r="H41" s="102" t="s">
        <v>32</v>
      </c>
      <c r="I41" s="27" t="s">
        <v>155</v>
      </c>
      <c r="J41" s="7" t="s">
        <v>228</v>
      </c>
      <c r="K41" s="7" t="s">
        <v>229</v>
      </c>
      <c r="L41" s="7" t="s">
        <v>230</v>
      </c>
      <c r="M41" s="21" t="s">
        <v>43</v>
      </c>
      <c r="N41" s="7" t="s">
        <v>129</v>
      </c>
      <c r="O41" s="20">
        <v>1600</v>
      </c>
      <c r="P41" s="61">
        <v>76800</v>
      </c>
      <c r="Q41" s="20">
        <v>1479.1666666666667</v>
      </c>
      <c r="R41" s="30">
        <v>5800</v>
      </c>
      <c r="S41" s="32">
        <f t="shared" si="62"/>
        <v>71000</v>
      </c>
      <c r="T41" s="65">
        <v>2</v>
      </c>
      <c r="U41" s="23" t="s">
        <v>231</v>
      </c>
      <c r="V41" s="27">
        <v>6445718250</v>
      </c>
      <c r="W41" s="62" t="s">
        <v>122</v>
      </c>
      <c r="X41" s="4" t="s">
        <v>113</v>
      </c>
      <c r="Y41" s="7">
        <v>10006720</v>
      </c>
      <c r="Z41" s="7" t="s">
        <v>218</v>
      </c>
      <c r="AA41" s="7" t="str">
        <f t="shared" si="63"/>
        <v>FEBRERO10006720Inventario final</v>
      </c>
      <c r="AB41" s="20">
        <f t="shared" si="64"/>
        <v>1697.773966045401</v>
      </c>
      <c r="AC41" s="46">
        <f>IFERROR(INDEX('Costos Producción Febrero'!$G$34:$G$57,MATCH(Resumen!Y41,'Costos Producción Febrero'!$B$34:$B$57,0))*AB41*G41,0)</f>
        <v>52293.587011734999</v>
      </c>
      <c r="AD41" s="46">
        <f>IFERROR(INDEX('Costos Producción Febrero'!$H$34:$H$57,MATCH(Resumen!Y41,'Costos Producción Febrero'!$B$34:$B$57,0))*AB41*G41,0)</f>
        <v>10999.292155823263</v>
      </c>
      <c r="AE41" s="46">
        <f>IFERROR(INDEX('Costos Producción Febrero'!$I$34:$I$57,MATCH(Resumen!Y41,'Costos Producción Febrero'!$B$34:$B$57,0))*AB41*G41,0)</f>
        <v>761.45985296296817</v>
      </c>
      <c r="AF41" s="46">
        <f>IFERROR(INDEX('Costos Producción Febrero'!$J$34:$J$57,MATCH(Resumen!Y41,'Costos Producción Febrero'!$B$34:$B$57,0))*AB41*G41,0)</f>
        <v>17438.811349658019</v>
      </c>
      <c r="AG41" s="46">
        <f t="shared" si="97"/>
        <v>81493.150370179239</v>
      </c>
      <c r="AH41" s="46"/>
      <c r="AI41" s="45">
        <v>1949.1981178129749</v>
      </c>
      <c r="AJ41" s="46"/>
      <c r="AK41" s="45">
        <f t="shared" si="65"/>
        <v>-4693.150370179239</v>
      </c>
      <c r="AL41" s="94">
        <f t="shared" si="66"/>
        <v>-6.1108728778375504E-2</v>
      </c>
      <c r="AM41" s="44">
        <f t="shared" si="67"/>
        <v>5800</v>
      </c>
      <c r="AN41" s="44">
        <f t="shared" si="68"/>
        <v>949.55496781945317</v>
      </c>
      <c r="AO41" s="44">
        <f t="shared" si="7"/>
        <v>3474.4615384615386</v>
      </c>
      <c r="AP41" s="44">
        <f t="shared" si="69"/>
        <v>10224.016506280992</v>
      </c>
      <c r="AQ41" s="44">
        <f t="shared" si="70"/>
        <v>1889.8647159033972</v>
      </c>
      <c r="AR41" s="44">
        <f t="shared" si="71"/>
        <v>2130</v>
      </c>
      <c r="AS41" s="45">
        <f t="shared" si="72"/>
        <v>-14677.03159236363</v>
      </c>
      <c r="AT41" s="94">
        <f t="shared" si="73"/>
        <v>-0.19110718219223477</v>
      </c>
      <c r="AU41" s="44">
        <f t="shared" si="74"/>
        <v>3715.1538230283595</v>
      </c>
      <c r="AV41" s="45">
        <f t="shared" si="75"/>
        <v>-18392.185415391988</v>
      </c>
      <c r="AW41" s="94">
        <f t="shared" si="76"/>
        <v>-0.23948158092958319</v>
      </c>
      <c r="AX41" s="44">
        <f t="shared" si="77"/>
        <v>2966.887976774452</v>
      </c>
      <c r="AY41" s="45">
        <f t="shared" si="78"/>
        <v>-11710.143615589179</v>
      </c>
      <c r="AZ41" s="94">
        <f t="shared" si="79"/>
        <v>-0.15247582832798409</v>
      </c>
      <c r="BB41" s="44">
        <f t="shared" si="80"/>
        <v>1600</v>
      </c>
      <c r="BC41" s="44">
        <f t="shared" si="81"/>
        <v>-1089.4497294111459</v>
      </c>
      <c r="BD41" s="44">
        <f t="shared" si="82"/>
        <v>-229.15191991298465</v>
      </c>
      <c r="BE41" s="44">
        <f t="shared" si="83"/>
        <v>-15.863746936728504</v>
      </c>
      <c r="BF41" s="44">
        <f t="shared" si="84"/>
        <v>-363.30856978454204</v>
      </c>
      <c r="BG41" s="44">
        <f t="shared" si="85"/>
        <v>-1697.7739660454008</v>
      </c>
      <c r="BH41" s="44">
        <f t="shared" si="86"/>
        <v>-97.773966045400812</v>
      </c>
      <c r="BI41" s="44">
        <f t="shared" si="87"/>
        <v>-120.83333333333333</v>
      </c>
      <c r="BJ41" s="44">
        <f t="shared" si="88"/>
        <v>-72.384615384615387</v>
      </c>
      <c r="BK41" s="44">
        <f t="shared" si="89"/>
        <v>-213.00034388085399</v>
      </c>
      <c r="BL41" s="44">
        <f t="shared" si="90"/>
        <v>-39.372181581320774</v>
      </c>
      <c r="BM41" s="44">
        <f t="shared" si="91"/>
        <v>44.375</v>
      </c>
      <c r="BN41" s="44">
        <f t="shared" si="92"/>
        <v>-305.7714915075756</v>
      </c>
      <c r="BO41" s="44">
        <f t="shared" si="93"/>
        <v>-77.399037979757495</v>
      </c>
      <c r="BP41" s="44">
        <f t="shared" si="94"/>
        <v>-383.17052948733311</v>
      </c>
      <c r="BQ41" s="44">
        <f t="shared" si="95"/>
        <v>61.810166182801083</v>
      </c>
      <c r="BR41" s="44">
        <f t="shared" si="96"/>
        <v>-243.96132532477455</v>
      </c>
    </row>
    <row r="42" spans="2:70" hidden="1">
      <c r="B42" s="7" t="s">
        <v>7</v>
      </c>
      <c r="C42" s="29" t="s">
        <v>8</v>
      </c>
      <c r="D42" s="25" t="s">
        <v>261</v>
      </c>
      <c r="E42" s="100">
        <v>40</v>
      </c>
      <c r="F42" s="100">
        <v>46105</v>
      </c>
      <c r="G42" s="103">
        <v>27</v>
      </c>
      <c r="H42" s="102" t="s">
        <v>38</v>
      </c>
      <c r="I42" s="27" t="s">
        <v>170</v>
      </c>
      <c r="J42" s="7"/>
      <c r="K42" s="7" t="s">
        <v>171</v>
      </c>
      <c r="L42" s="7" t="s">
        <v>172</v>
      </c>
      <c r="M42" s="21" t="s">
        <v>51</v>
      </c>
      <c r="N42" s="7"/>
      <c r="O42" s="20">
        <v>1400</v>
      </c>
      <c r="P42" s="61">
        <v>37800</v>
      </c>
      <c r="Q42" s="20">
        <v>1271.6296296296296</v>
      </c>
      <c r="R42" s="30">
        <v>3466</v>
      </c>
      <c r="S42" s="32">
        <f t="shared" si="62"/>
        <v>34334</v>
      </c>
      <c r="T42" s="65">
        <v>1</v>
      </c>
      <c r="U42" s="155" t="s">
        <v>262</v>
      </c>
      <c r="V42" s="156" t="s">
        <v>263</v>
      </c>
      <c r="W42" s="157" t="s">
        <v>182</v>
      </c>
      <c r="X42" s="4" t="s">
        <v>113</v>
      </c>
      <c r="Y42" s="7"/>
      <c r="Z42" s="7"/>
      <c r="AA42" s="7"/>
      <c r="AB42" s="20">
        <v>0</v>
      </c>
      <c r="AC42" s="46">
        <f>IFERROR(INDEX('Costos Producción Febrero'!$G$34:$G$57,MATCH(Resumen!Y42,'Costos Producción Febrero'!$B$34:$B$57,0))*AB42*G42,0)</f>
        <v>0</v>
      </c>
      <c r="AD42" s="46">
        <f>IFERROR(INDEX('Costos Producción Febrero'!$H$34:$H$57,MATCH(Resumen!Y42,'Costos Producción Febrero'!$B$34:$B$57,0))*AB42*G42,0)</f>
        <v>0</v>
      </c>
      <c r="AE42" s="46">
        <f>IFERROR(INDEX('Costos Producción Febrero'!$I$34:$I$57,MATCH(Resumen!Y42,'Costos Producción Febrero'!$B$34:$B$57,0))*AB42*G42,0)</f>
        <v>0</v>
      </c>
      <c r="AF42" s="46">
        <f>IFERROR(INDEX('Costos Producción Febrero'!$J$34:$J$57,MATCH(Resumen!Y42,'Costos Producción Febrero'!$B$34:$B$57,0))*AB42*G42,0)</f>
        <v>0</v>
      </c>
      <c r="AG42" s="46">
        <f t="shared" si="97"/>
        <v>0</v>
      </c>
      <c r="AH42" s="46"/>
      <c r="AI42" s="46">
        <v>0</v>
      </c>
      <c r="AJ42" s="46"/>
      <c r="AK42" s="45">
        <f t="shared" si="65"/>
        <v>37800</v>
      </c>
      <c r="AL42" s="94">
        <f t="shared" si="66"/>
        <v>1</v>
      </c>
      <c r="AM42" s="44">
        <f t="shared" si="67"/>
        <v>3466</v>
      </c>
      <c r="AN42" s="44">
        <f t="shared" si="68"/>
        <v>534.12466939844239</v>
      </c>
      <c r="AO42" s="44">
        <f t="shared" si="7"/>
        <v>1954.3846153846155</v>
      </c>
      <c r="AP42" s="44">
        <f t="shared" si="69"/>
        <v>5954.5092847830574</v>
      </c>
      <c r="AQ42" s="44">
        <f t="shared" si="70"/>
        <v>1063.0489026956609</v>
      </c>
      <c r="AR42" s="44">
        <f t="shared" si="71"/>
        <v>1030.02</v>
      </c>
      <c r="AS42" s="45">
        <f t="shared" si="72"/>
        <v>31812.461812521284</v>
      </c>
      <c r="AT42" s="94">
        <f t="shared" si="73"/>
        <v>0.84159951884976936</v>
      </c>
      <c r="AU42" s="44">
        <f t="shared" si="74"/>
        <v>2089.7740254534524</v>
      </c>
      <c r="AV42" s="45">
        <f t="shared" si="75"/>
        <v>29722.687787067833</v>
      </c>
      <c r="AW42" s="94">
        <f t="shared" si="76"/>
        <v>0.78631449172137124</v>
      </c>
      <c r="AX42" s="44">
        <f t="shared" si="77"/>
        <v>1668.8744869356292</v>
      </c>
      <c r="AY42" s="45">
        <f t="shared" si="78"/>
        <v>33481.336299456911</v>
      </c>
      <c r="AZ42" s="94">
        <f t="shared" si="79"/>
        <v>0.88574963755177016</v>
      </c>
      <c r="BB42" s="44">
        <f t="shared" si="80"/>
        <v>1400</v>
      </c>
      <c r="BC42" s="44">
        <f t="shared" si="81"/>
        <v>0</v>
      </c>
      <c r="BD42" s="44">
        <f t="shared" si="82"/>
        <v>0</v>
      </c>
      <c r="BE42" s="44">
        <f t="shared" si="83"/>
        <v>0</v>
      </c>
      <c r="BF42" s="44">
        <f t="shared" si="84"/>
        <v>0</v>
      </c>
      <c r="BG42" s="44">
        <f t="shared" si="85"/>
        <v>0</v>
      </c>
      <c r="BH42" s="44">
        <f t="shared" si="86"/>
        <v>1400</v>
      </c>
      <c r="BI42" s="44">
        <f t="shared" si="87"/>
        <v>-128.37037037037038</v>
      </c>
      <c r="BJ42" s="44">
        <f t="shared" si="88"/>
        <v>-72.384615384615387</v>
      </c>
      <c r="BK42" s="44">
        <f t="shared" si="89"/>
        <v>-220.53738091789103</v>
      </c>
      <c r="BL42" s="44">
        <f t="shared" si="90"/>
        <v>-39.372181581320774</v>
      </c>
      <c r="BM42" s="44">
        <f t="shared" si="91"/>
        <v>38.148888888888891</v>
      </c>
      <c r="BN42" s="44">
        <f t="shared" si="92"/>
        <v>1178.2393263896772</v>
      </c>
      <c r="BO42" s="44">
        <f t="shared" si="93"/>
        <v>-77.399037979757495</v>
      </c>
      <c r="BP42" s="44">
        <f t="shared" si="94"/>
        <v>1100.8402884099198</v>
      </c>
      <c r="BQ42" s="44">
        <f t="shared" si="95"/>
        <v>61.810166182801083</v>
      </c>
      <c r="BR42" s="44">
        <f t="shared" si="96"/>
        <v>1240.0494925724781</v>
      </c>
    </row>
    <row r="43" spans="2:70" hidden="1">
      <c r="B43" s="7" t="s">
        <v>7</v>
      </c>
      <c r="C43" s="29" t="s">
        <v>8</v>
      </c>
      <c r="D43" s="25" t="s">
        <v>232</v>
      </c>
      <c r="E43" s="100">
        <v>42</v>
      </c>
      <c r="F43" s="100">
        <v>46104</v>
      </c>
      <c r="G43" s="101">
        <v>48</v>
      </c>
      <c r="H43" s="102" t="s">
        <v>37</v>
      </c>
      <c r="I43" s="27" t="s">
        <v>126</v>
      </c>
      <c r="J43" s="7"/>
      <c r="K43" s="7" t="s">
        <v>127</v>
      </c>
      <c r="L43" s="7" t="s">
        <v>128</v>
      </c>
      <c r="M43" s="21" t="s">
        <v>43</v>
      </c>
      <c r="N43" s="7" t="s">
        <v>129</v>
      </c>
      <c r="O43" s="20">
        <v>1600</v>
      </c>
      <c r="P43" s="61">
        <v>76800</v>
      </c>
      <c r="Q43" s="20">
        <v>1462.5</v>
      </c>
      <c r="R43" s="30">
        <v>6600</v>
      </c>
      <c r="S43" s="32">
        <f t="shared" si="62"/>
        <v>70200</v>
      </c>
      <c r="T43" s="65">
        <v>2</v>
      </c>
      <c r="U43" s="23" t="s">
        <v>264</v>
      </c>
      <c r="V43" s="27">
        <v>6446513180</v>
      </c>
      <c r="W43" s="62" t="s">
        <v>122</v>
      </c>
      <c r="X43" s="4" t="s">
        <v>113</v>
      </c>
      <c r="Y43" s="7">
        <v>10007969</v>
      </c>
      <c r="Z43" s="7" t="s">
        <v>218</v>
      </c>
      <c r="AA43" s="7" t="str">
        <f t="shared" ref="AA43:AA71" si="98">B43&amp;Y43&amp;Z43</f>
        <v>FEBRERO10007969Inventario final</v>
      </c>
      <c r="AB43" s="20">
        <f t="shared" ref="AB43:AB71" si="99">AI43-616968.19/1968.8+215187/1968.8-47.35</f>
        <v>1344.0154793112408</v>
      </c>
      <c r="AC43" s="46">
        <f>IFERROR(INDEX('Costos Producción Febrero'!$G$34:$G$57,MATCH(Resumen!Y43,'Costos Producción Febrero'!$B$34:$B$57,0))*AB43*G43,0)</f>
        <v>54648.533810131099</v>
      </c>
      <c r="AD43" s="46">
        <f>IFERROR(INDEX('Costos Producción Febrero'!$H$34:$H$57,MATCH(Resumen!Y43,'Costos Producción Febrero'!$B$34:$B$57,0))*AB43*G43,0)</f>
        <v>10974.478477884059</v>
      </c>
      <c r="AE43" s="46">
        <f>IFERROR(INDEX('Costos Producción Febrero'!$I$34:$I$57,MATCH(Resumen!Y43,'Costos Producción Febrero'!$B$34:$B$57,0))*AB43*G43,0)</f>
        <v>844.47266447023821</v>
      </c>
      <c r="AF43" s="46">
        <f>IFERROR(INDEX('Costos Producción Febrero'!$J$34:$J$57,MATCH(Resumen!Y43,'Costos Producción Febrero'!$B$34:$B$57,0))*AB43*G43,0)</f>
        <v>-1954.7419455458373</v>
      </c>
      <c r="AG43" s="46">
        <f t="shared" si="97"/>
        <v>64512.743006939556</v>
      </c>
      <c r="AH43" s="46"/>
      <c r="AI43" s="45">
        <v>1595.4396310788147</v>
      </c>
      <c r="AJ43" s="46"/>
      <c r="AK43" s="45">
        <f t="shared" si="65"/>
        <v>12287.256993060444</v>
      </c>
      <c r="AL43" s="94">
        <f t="shared" si="66"/>
        <v>0.15999032543047453</v>
      </c>
      <c r="AM43" s="44">
        <f t="shared" si="67"/>
        <v>6600</v>
      </c>
      <c r="AN43" s="44">
        <f t="shared" si="68"/>
        <v>949.55496781945317</v>
      </c>
      <c r="AO43" s="44">
        <f t="shared" si="7"/>
        <v>3474.4615384615386</v>
      </c>
      <c r="AP43" s="44">
        <f t="shared" si="69"/>
        <v>11024.016506280992</v>
      </c>
      <c r="AQ43" s="44">
        <f t="shared" si="70"/>
        <v>1889.8647159033972</v>
      </c>
      <c r="AR43" s="44">
        <f t="shared" si="71"/>
        <v>2106</v>
      </c>
      <c r="AS43" s="45">
        <f t="shared" si="72"/>
        <v>1479.375770876055</v>
      </c>
      <c r="AT43" s="94">
        <f t="shared" si="73"/>
        <v>1.9262705349948631E-2</v>
      </c>
      <c r="AU43" s="44">
        <f t="shared" si="74"/>
        <v>3715.1538230283595</v>
      </c>
      <c r="AV43" s="45">
        <f t="shared" si="75"/>
        <v>-2235.7780521523046</v>
      </c>
      <c r="AW43" s="94">
        <f t="shared" si="76"/>
        <v>-2.9111693387399797E-2</v>
      </c>
      <c r="AX43" s="44">
        <f t="shared" si="77"/>
        <v>2966.887976774452</v>
      </c>
      <c r="AY43" s="45">
        <f t="shared" si="78"/>
        <v>4446.263747650507</v>
      </c>
      <c r="AZ43" s="94">
        <f t="shared" si="79"/>
        <v>5.7894059214199309E-2</v>
      </c>
      <c r="BB43" s="44">
        <f t="shared" si="80"/>
        <v>1600</v>
      </c>
      <c r="BC43" s="44">
        <f t="shared" si="81"/>
        <v>-1138.5111210443979</v>
      </c>
      <c r="BD43" s="44">
        <f t="shared" si="82"/>
        <v>-228.63496828925122</v>
      </c>
      <c r="BE43" s="44">
        <f t="shared" si="83"/>
        <v>-17.593180509796628</v>
      </c>
      <c r="BF43" s="44">
        <f t="shared" si="84"/>
        <v>40.723790532204944</v>
      </c>
      <c r="BG43" s="44">
        <f t="shared" si="85"/>
        <v>-1344.0154793112408</v>
      </c>
      <c r="BH43" s="44">
        <f t="shared" si="86"/>
        <v>255.98452068875926</v>
      </c>
      <c r="BI43" s="44">
        <f t="shared" si="87"/>
        <v>-137.5</v>
      </c>
      <c r="BJ43" s="44">
        <f t="shared" si="88"/>
        <v>-72.384615384615387</v>
      </c>
      <c r="BK43" s="44">
        <f t="shared" si="89"/>
        <v>-229.66701054752068</v>
      </c>
      <c r="BL43" s="44">
        <f t="shared" si="90"/>
        <v>-39.372181581320774</v>
      </c>
      <c r="BM43" s="44">
        <f t="shared" si="91"/>
        <v>43.875</v>
      </c>
      <c r="BN43" s="44">
        <f t="shared" si="92"/>
        <v>30.820328559917812</v>
      </c>
      <c r="BO43" s="44">
        <f t="shared" si="93"/>
        <v>-77.399037979757495</v>
      </c>
      <c r="BP43" s="44">
        <f t="shared" si="94"/>
        <v>-46.578709419839676</v>
      </c>
      <c r="BQ43" s="44">
        <f t="shared" si="95"/>
        <v>61.810166182801083</v>
      </c>
      <c r="BR43" s="44">
        <f t="shared" si="96"/>
        <v>92.630494742718895</v>
      </c>
    </row>
    <row r="44" spans="2:70" hidden="1">
      <c r="B44" s="7" t="s">
        <v>7</v>
      </c>
      <c r="C44" s="29" t="s">
        <v>8</v>
      </c>
      <c r="D44" s="25" t="s">
        <v>234</v>
      </c>
      <c r="E44" s="100">
        <v>43</v>
      </c>
      <c r="F44" s="100">
        <v>46084</v>
      </c>
      <c r="G44" s="103">
        <v>116.8</v>
      </c>
      <c r="H44" s="102" t="s">
        <v>32</v>
      </c>
      <c r="I44" s="27" t="s">
        <v>155</v>
      </c>
      <c r="J44" s="4" t="s">
        <v>235</v>
      </c>
      <c r="K44" s="7" t="s">
        <v>171</v>
      </c>
      <c r="L44" s="7" t="s">
        <v>172</v>
      </c>
      <c r="M44" s="21" t="s">
        <v>43</v>
      </c>
      <c r="N44" s="7" t="s">
        <v>129</v>
      </c>
      <c r="O44" s="20">
        <v>1600</v>
      </c>
      <c r="P44" s="61">
        <v>186880</v>
      </c>
      <c r="Q44" s="20">
        <v>1484.2893835616439</v>
      </c>
      <c r="R44" s="30">
        <v>13515</v>
      </c>
      <c r="S44" s="32">
        <f t="shared" si="62"/>
        <v>173365</v>
      </c>
      <c r="T44" s="31">
        <v>5</v>
      </c>
      <c r="U44" s="66" t="s">
        <v>222</v>
      </c>
      <c r="V44" s="29" t="s">
        <v>236</v>
      </c>
      <c r="W44" s="158" t="s">
        <v>138</v>
      </c>
      <c r="X44" s="4" t="s">
        <v>113</v>
      </c>
      <c r="Y44" s="7">
        <v>10006720</v>
      </c>
      <c r="Z44" s="7" t="s">
        <v>218</v>
      </c>
      <c r="AA44" s="7" t="str">
        <f t="shared" si="98"/>
        <v>FEBRERO10006720Inventario final</v>
      </c>
      <c r="AB44" s="20">
        <f t="shared" si="99"/>
        <v>1697.773966045401</v>
      </c>
      <c r="AC44" s="46">
        <f>IFERROR(INDEX('Costos Producción Febrero'!$G$34:$G$57,MATCH(Resumen!Y44,'Costos Producción Febrero'!$B$34:$B$57,0))*AB44*G44,0)</f>
        <v>127247.72839522184</v>
      </c>
      <c r="AD44" s="46">
        <f>IFERROR(INDEX('Costos Producción Febrero'!$H$34:$H$57,MATCH(Resumen!Y44,'Costos Producción Febrero'!$B$34:$B$57,0))*AB44*G44,0)</f>
        <v>26764.944245836607</v>
      </c>
      <c r="AE44" s="46">
        <f>IFERROR(INDEX('Costos Producción Febrero'!$I$34:$I$57,MATCH(Resumen!Y44,'Costos Producción Febrero'!$B$34:$B$57,0))*AB44*G44,0)</f>
        <v>1852.8856422098893</v>
      </c>
      <c r="AF44" s="46">
        <f>IFERROR(INDEX('Costos Producción Febrero'!$J$34:$J$57,MATCH(Resumen!Y44,'Costos Producción Febrero'!$B$34:$B$57,0))*AB44*G44,0)</f>
        <v>42434.440950834512</v>
      </c>
      <c r="AG44" s="46">
        <f t="shared" si="97"/>
        <v>198299.99923410284</v>
      </c>
      <c r="AH44" s="46"/>
      <c r="AI44" s="45">
        <v>1949.1981178129749</v>
      </c>
      <c r="AJ44" s="46"/>
      <c r="AK44" s="45">
        <f t="shared" si="65"/>
        <v>-11419.999234102841</v>
      </c>
      <c r="AL44" s="94">
        <f t="shared" si="66"/>
        <v>-6.110872877837565E-2</v>
      </c>
      <c r="AM44" s="44">
        <f t="shared" si="67"/>
        <v>13515</v>
      </c>
      <c r="AN44" s="44">
        <f t="shared" si="68"/>
        <v>2310.5837550273359</v>
      </c>
      <c r="AO44" s="44">
        <f t="shared" si="7"/>
        <v>8454.5230769230766</v>
      </c>
      <c r="AP44" s="44">
        <f t="shared" si="69"/>
        <v>24280.106831950412</v>
      </c>
      <c r="AQ44" s="44">
        <f t="shared" si="70"/>
        <v>4598.6708086982662</v>
      </c>
      <c r="AR44" s="44">
        <f t="shared" si="71"/>
        <v>5200.95</v>
      </c>
      <c r="AS44" s="45">
        <f t="shared" si="72"/>
        <v>-35097.826874751525</v>
      </c>
      <c r="AT44" s="94">
        <f t="shared" si="73"/>
        <v>-0.18780943319109336</v>
      </c>
      <c r="AU44" s="44">
        <f t="shared" si="74"/>
        <v>9040.207636035675</v>
      </c>
      <c r="AV44" s="45">
        <f t="shared" si="75"/>
        <v>-44138.034510787198</v>
      </c>
      <c r="AW44" s="94">
        <f t="shared" si="76"/>
        <v>-0.23618383192844178</v>
      </c>
      <c r="AX44" s="44">
        <f t="shared" si="77"/>
        <v>7219.4274101511664</v>
      </c>
      <c r="AY44" s="45">
        <f t="shared" si="78"/>
        <v>-27878.399464600359</v>
      </c>
      <c r="AZ44" s="94">
        <f t="shared" si="79"/>
        <v>-0.14917807932684268</v>
      </c>
      <c r="BB44" s="44">
        <f t="shared" si="80"/>
        <v>1600</v>
      </c>
      <c r="BC44" s="44">
        <f t="shared" si="81"/>
        <v>-1089.4497294111459</v>
      </c>
      <c r="BD44" s="44">
        <f t="shared" si="82"/>
        <v>-229.15191991298465</v>
      </c>
      <c r="BE44" s="44">
        <f t="shared" si="83"/>
        <v>-15.863746936728505</v>
      </c>
      <c r="BF44" s="44">
        <f t="shared" si="84"/>
        <v>-363.30856978454204</v>
      </c>
      <c r="BG44" s="44">
        <f t="shared" si="85"/>
        <v>-1697.773966045401</v>
      </c>
      <c r="BH44" s="44">
        <f t="shared" si="86"/>
        <v>-97.773966045401039</v>
      </c>
      <c r="BI44" s="44">
        <f t="shared" si="87"/>
        <v>-115.71061643835617</v>
      </c>
      <c r="BJ44" s="44">
        <f t="shared" si="88"/>
        <v>-72.384615384615387</v>
      </c>
      <c r="BK44" s="44">
        <f t="shared" si="89"/>
        <v>-207.87762698587682</v>
      </c>
      <c r="BL44" s="44">
        <f t="shared" si="90"/>
        <v>-39.372181581320774</v>
      </c>
      <c r="BM44" s="44">
        <f t="shared" si="91"/>
        <v>44.528681506849317</v>
      </c>
      <c r="BN44" s="44">
        <f t="shared" si="92"/>
        <v>-300.49509310574939</v>
      </c>
      <c r="BO44" s="44">
        <f t="shared" si="93"/>
        <v>-77.399037979757495</v>
      </c>
      <c r="BP44" s="44">
        <f t="shared" si="94"/>
        <v>-377.89413108550684</v>
      </c>
      <c r="BQ44" s="44">
        <f t="shared" si="95"/>
        <v>61.810166182801083</v>
      </c>
      <c r="BR44" s="44">
        <f t="shared" si="96"/>
        <v>-238.68492692294828</v>
      </c>
    </row>
    <row r="45" spans="2:70" hidden="1">
      <c r="B45" s="7" t="s">
        <v>7</v>
      </c>
      <c r="C45" s="29" t="s">
        <v>8</v>
      </c>
      <c r="D45" s="25" t="s">
        <v>237</v>
      </c>
      <c r="E45" s="100">
        <v>43</v>
      </c>
      <c r="F45" s="100">
        <v>46091</v>
      </c>
      <c r="G45" s="103">
        <v>135</v>
      </c>
      <c r="H45" s="102" t="s">
        <v>32</v>
      </c>
      <c r="I45" s="27" t="s">
        <v>155</v>
      </c>
      <c r="J45" s="4" t="s">
        <v>235</v>
      </c>
      <c r="K45" s="7" t="s">
        <v>171</v>
      </c>
      <c r="L45" s="7" t="s">
        <v>172</v>
      </c>
      <c r="M45" s="21" t="s">
        <v>43</v>
      </c>
      <c r="N45" s="7" t="s">
        <v>129</v>
      </c>
      <c r="O45" s="20">
        <v>1600</v>
      </c>
      <c r="P45" s="61">
        <v>216000</v>
      </c>
      <c r="Q45" s="20">
        <v>1519.911111111111</v>
      </c>
      <c r="R45" s="30">
        <v>10812</v>
      </c>
      <c r="S45" s="32">
        <f t="shared" si="62"/>
        <v>205188</v>
      </c>
      <c r="T45" s="31">
        <v>4</v>
      </c>
      <c r="U45" s="66" t="s">
        <v>238</v>
      </c>
      <c r="V45" s="67" t="s">
        <v>239</v>
      </c>
      <c r="W45" s="158" t="s">
        <v>138</v>
      </c>
      <c r="X45" s="4" t="s">
        <v>113</v>
      </c>
      <c r="Y45" s="7">
        <v>10006720</v>
      </c>
      <c r="Z45" s="7" t="s">
        <v>218</v>
      </c>
      <c r="AA45" s="7" t="str">
        <f t="shared" si="98"/>
        <v>FEBRERO10006720Inventario final</v>
      </c>
      <c r="AB45" s="20">
        <f t="shared" si="99"/>
        <v>1697.773966045401</v>
      </c>
      <c r="AC45" s="46">
        <f>IFERROR(INDEX('Costos Producción Febrero'!$G$34:$G$57,MATCH(Resumen!Y45,'Costos Producción Febrero'!$B$34:$B$57,0))*AB45*G45,0)</f>
        <v>147075.71347050471</v>
      </c>
      <c r="AD45" s="46">
        <f>IFERROR(INDEX('Costos Producción Febrero'!$H$34:$H$57,MATCH(Resumen!Y45,'Costos Producción Febrero'!$B$34:$B$57,0))*AB45*G45,0)</f>
        <v>30935.509188252927</v>
      </c>
      <c r="AE45" s="46">
        <f>IFERROR(INDEX('Costos Producción Febrero'!$I$34:$I$57,MATCH(Resumen!Y45,'Costos Producción Febrero'!$B$34:$B$57,0))*AB45*G45,0)</f>
        <v>2141.6058364583478</v>
      </c>
      <c r="AF45" s="46">
        <f>IFERROR(INDEX('Costos Producción Febrero'!$J$34:$J$57,MATCH(Resumen!Y45,'Costos Producción Febrero'!$B$34:$B$57,0))*AB45*G45,0)</f>
        <v>49046.656920913178</v>
      </c>
      <c r="AG45" s="46">
        <f t="shared" si="97"/>
        <v>229199.48541612917</v>
      </c>
      <c r="AH45" s="46"/>
      <c r="AI45" s="45">
        <v>1949.1981178129749</v>
      </c>
      <c r="AJ45" s="46"/>
      <c r="AK45" s="45">
        <f t="shared" si="65"/>
        <v>-13199.485416129173</v>
      </c>
      <c r="AL45" s="94">
        <f t="shared" si="66"/>
        <v>-6.1108728778375802E-2</v>
      </c>
      <c r="AM45" s="44">
        <f t="shared" si="67"/>
        <v>10812</v>
      </c>
      <c r="AN45" s="44">
        <f t="shared" si="68"/>
        <v>2670.6233469922122</v>
      </c>
      <c r="AO45" s="44">
        <f t="shared" si="7"/>
        <v>9771.923076923078</v>
      </c>
      <c r="AP45" s="44">
        <f t="shared" si="69"/>
        <v>23254.54642391529</v>
      </c>
      <c r="AQ45" s="44">
        <f t="shared" si="70"/>
        <v>5315.2445134783047</v>
      </c>
      <c r="AR45" s="44">
        <f t="shared" si="71"/>
        <v>6155.6399999999994</v>
      </c>
      <c r="AS45" s="45">
        <f t="shared" si="72"/>
        <v>-35613.636353522772</v>
      </c>
      <c r="AT45" s="94">
        <f t="shared" si="73"/>
        <v>-0.16487794608112394</v>
      </c>
      <c r="AU45" s="44">
        <f t="shared" si="74"/>
        <v>10448.870127267262</v>
      </c>
      <c r="AV45" s="45">
        <f t="shared" si="75"/>
        <v>-46062.506480790034</v>
      </c>
      <c r="AW45" s="94">
        <f t="shared" si="76"/>
        <v>-0.21325234481847238</v>
      </c>
      <c r="AX45" s="44">
        <f t="shared" si="77"/>
        <v>8344.3724346781455</v>
      </c>
      <c r="AY45" s="45">
        <f t="shared" si="78"/>
        <v>-27269.263918844626</v>
      </c>
      <c r="AZ45" s="94">
        <f t="shared" si="79"/>
        <v>-0.12624659221687326</v>
      </c>
      <c r="BB45" s="44">
        <f t="shared" si="80"/>
        <v>1600</v>
      </c>
      <c r="BC45" s="44">
        <f t="shared" si="81"/>
        <v>-1089.4497294111459</v>
      </c>
      <c r="BD45" s="44">
        <f t="shared" si="82"/>
        <v>-229.15191991298465</v>
      </c>
      <c r="BE45" s="44">
        <f t="shared" si="83"/>
        <v>-15.863746936728502</v>
      </c>
      <c r="BF45" s="44">
        <f t="shared" si="84"/>
        <v>-363.30856978454204</v>
      </c>
      <c r="BG45" s="44">
        <f t="shared" si="85"/>
        <v>-1697.7739660454013</v>
      </c>
      <c r="BH45" s="44">
        <f t="shared" si="86"/>
        <v>-97.773966045401281</v>
      </c>
      <c r="BI45" s="44">
        <f t="shared" si="87"/>
        <v>-80.088888888888889</v>
      </c>
      <c r="BJ45" s="44">
        <f t="shared" si="88"/>
        <v>-72.384615384615387</v>
      </c>
      <c r="BK45" s="44">
        <f t="shared" si="89"/>
        <v>-172.25589943640955</v>
      </c>
      <c r="BL45" s="44">
        <f t="shared" si="90"/>
        <v>-39.372181581320774</v>
      </c>
      <c r="BM45" s="44">
        <f t="shared" si="91"/>
        <v>45.597333333333331</v>
      </c>
      <c r="BN45" s="44">
        <f t="shared" si="92"/>
        <v>-263.80471372979832</v>
      </c>
      <c r="BO45" s="44">
        <f t="shared" si="93"/>
        <v>-77.399037979757495</v>
      </c>
      <c r="BP45" s="44">
        <f t="shared" si="94"/>
        <v>-341.20375170955583</v>
      </c>
      <c r="BQ45" s="44">
        <f t="shared" si="95"/>
        <v>61.810166182801076</v>
      </c>
      <c r="BR45" s="44">
        <f t="shared" si="96"/>
        <v>-201.99454754699724</v>
      </c>
    </row>
    <row r="46" spans="2:70" hidden="1">
      <c r="B46" s="7" t="s">
        <v>7</v>
      </c>
      <c r="C46" s="29" t="s">
        <v>8</v>
      </c>
      <c r="D46" s="25" t="s">
        <v>240</v>
      </c>
      <c r="E46" s="100">
        <v>43</v>
      </c>
      <c r="F46" s="100">
        <v>46092</v>
      </c>
      <c r="G46" s="101">
        <v>78</v>
      </c>
      <c r="H46" s="104" t="s">
        <v>31</v>
      </c>
      <c r="I46" s="105" t="s">
        <v>107</v>
      </c>
      <c r="J46" s="7" t="s">
        <v>265</v>
      </c>
      <c r="K46" s="7" t="s">
        <v>161</v>
      </c>
      <c r="L46" s="7" t="s">
        <v>147</v>
      </c>
      <c r="M46" s="21" t="s">
        <v>44</v>
      </c>
      <c r="N46" s="7" t="s">
        <v>214</v>
      </c>
      <c r="O46" s="20">
        <v>2400</v>
      </c>
      <c r="P46" s="219">
        <f>187200-15600</f>
        <v>171600</v>
      </c>
      <c r="Q46" s="20">
        <v>2243.0865384615386</v>
      </c>
      <c r="R46" s="30">
        <v>12239.25</v>
      </c>
      <c r="S46" s="32">
        <f t="shared" si="62"/>
        <v>159360.75</v>
      </c>
      <c r="T46" s="68">
        <v>3</v>
      </c>
      <c r="U46" s="59" t="s">
        <v>241</v>
      </c>
      <c r="V46" s="147" t="s">
        <v>242</v>
      </c>
      <c r="W46" s="157" t="s">
        <v>182</v>
      </c>
      <c r="X46" s="4"/>
      <c r="Y46" s="7">
        <v>10007162</v>
      </c>
      <c r="Z46" s="7" t="s">
        <v>218</v>
      </c>
      <c r="AA46" s="7" t="str">
        <f t="shared" si="98"/>
        <v>FEBRERO10007162Inventario final</v>
      </c>
      <c r="AB46" s="20">
        <f t="shared" si="99"/>
        <v>1766.7551345683703</v>
      </c>
      <c r="AC46" s="46">
        <f>IFERROR(INDEX('Costos Producción Febrero'!$G$34:$G$57,MATCH(Resumen!Y46,'Costos Producción Febrero'!$B$34:$B$57,0))*AB46*G46,0)</f>
        <v>84496.390875743688</v>
      </c>
      <c r="AD46" s="46">
        <f>IFERROR(INDEX('Costos Producción Febrero'!$H$34:$H$57,MATCH(Resumen!Y46,'Costos Producción Febrero'!$B$34:$B$57,0))*AB46*G46,0)</f>
        <v>23990.210420178224</v>
      </c>
      <c r="AE46" s="46">
        <f>IFERROR(INDEX('Costos Producción Febrero'!$I$34:$I$57,MATCH(Resumen!Y46,'Costos Producción Febrero'!$B$34:$B$57,0))*AB46*G46,0)</f>
        <v>1277.5512825757157</v>
      </c>
      <c r="AF46" s="46">
        <f>IFERROR(INDEX('Costos Producción Febrero'!$J$34:$J$57,MATCH(Resumen!Y46,'Costos Producción Febrero'!$B$34:$B$57,0))*AB46*G46,0)</f>
        <v>28042.747917835241</v>
      </c>
      <c r="AG46" s="46">
        <f t="shared" si="97"/>
        <v>137806.90049633288</v>
      </c>
      <c r="AH46" s="46"/>
      <c r="AI46" s="45">
        <v>2018.1792863359442</v>
      </c>
      <c r="AJ46" s="46"/>
      <c r="AK46" s="45">
        <f t="shared" si="65"/>
        <v>33793.099503667123</v>
      </c>
      <c r="AL46" s="94">
        <f t="shared" si="66"/>
        <v>0.19692948428710444</v>
      </c>
      <c r="AM46" s="44">
        <f t="shared" si="67"/>
        <v>12239.25</v>
      </c>
      <c r="AN46" s="44">
        <f t="shared" si="68"/>
        <v>1543.0268227066115</v>
      </c>
      <c r="AO46" s="44">
        <f t="shared" si="7"/>
        <v>5646</v>
      </c>
      <c r="AP46" s="44">
        <f t="shared" si="69"/>
        <v>19428.276822706612</v>
      </c>
      <c r="AQ46" s="44">
        <f t="shared" si="70"/>
        <v>3071.0301633430204</v>
      </c>
      <c r="AR46" s="44">
        <f t="shared" si="71"/>
        <v>4780.8225000000002</v>
      </c>
      <c r="AS46" s="45">
        <f t="shared" si="72"/>
        <v>16074.615017617491</v>
      </c>
      <c r="AT46" s="94">
        <f t="shared" si="73"/>
        <v>9.3674912690078618E-2</v>
      </c>
      <c r="AU46" s="44">
        <f t="shared" si="74"/>
        <v>6037.124962421085</v>
      </c>
      <c r="AV46" s="45">
        <f t="shared" si="75"/>
        <v>10037.490055196406</v>
      </c>
      <c r="AW46" s="94">
        <f t="shared" si="76"/>
        <v>5.8493531790188846E-2</v>
      </c>
      <c r="AX46" s="44">
        <f t="shared" si="77"/>
        <v>4821.1929622584848</v>
      </c>
      <c r="AY46" s="45">
        <f t="shared" si="78"/>
        <v>20895.807979875975</v>
      </c>
      <c r="AZ46" s="94">
        <f t="shared" si="79"/>
        <v>0.12177044277317002</v>
      </c>
      <c r="BB46" s="44">
        <f t="shared" si="80"/>
        <v>2200</v>
      </c>
      <c r="BC46" s="44">
        <f t="shared" si="81"/>
        <v>-1083.2870625095345</v>
      </c>
      <c r="BD46" s="44">
        <f t="shared" si="82"/>
        <v>-307.5668002586952</v>
      </c>
      <c r="BE46" s="44">
        <f t="shared" si="83"/>
        <v>-16.378862597124559</v>
      </c>
      <c r="BF46" s="44">
        <f t="shared" si="84"/>
        <v>-359.52240920301591</v>
      </c>
      <c r="BG46" s="44">
        <f t="shared" si="85"/>
        <v>-1766.7551345683703</v>
      </c>
      <c r="BH46" s="44">
        <f t="shared" si="86"/>
        <v>433.24486543162976</v>
      </c>
      <c r="BI46" s="44">
        <f t="shared" si="87"/>
        <v>-156.91346153846155</v>
      </c>
      <c r="BJ46" s="44">
        <f t="shared" si="88"/>
        <v>-72.384615384615387</v>
      </c>
      <c r="BK46" s="44">
        <f t="shared" si="89"/>
        <v>-249.08047208598219</v>
      </c>
      <c r="BL46" s="44">
        <f t="shared" si="90"/>
        <v>-39.372181581320774</v>
      </c>
      <c r="BM46" s="44">
        <f t="shared" si="91"/>
        <v>61.292596153846155</v>
      </c>
      <c r="BN46" s="44">
        <f t="shared" si="92"/>
        <v>206.08480791817297</v>
      </c>
      <c r="BO46" s="44">
        <f t="shared" si="93"/>
        <v>-77.399037979757495</v>
      </c>
      <c r="BP46" s="44">
        <f t="shared" si="94"/>
        <v>128.68576993841546</v>
      </c>
      <c r="BQ46" s="44">
        <f t="shared" si="95"/>
        <v>61.81016618280109</v>
      </c>
      <c r="BR46" s="44">
        <f t="shared" si="96"/>
        <v>267.89497410097403</v>
      </c>
    </row>
    <row r="47" spans="2:70" hidden="1">
      <c r="B47" s="7" t="s">
        <v>7</v>
      </c>
      <c r="C47" s="29" t="s">
        <v>8</v>
      </c>
      <c r="D47" s="27" t="s">
        <v>243</v>
      </c>
      <c r="E47" s="100">
        <v>44</v>
      </c>
      <c r="F47" s="100">
        <v>46085</v>
      </c>
      <c r="G47" s="101">
        <v>135</v>
      </c>
      <c r="H47" s="150" t="s">
        <v>33</v>
      </c>
      <c r="I47" s="27" t="s">
        <v>205</v>
      </c>
      <c r="J47" s="4" t="s">
        <v>206</v>
      </c>
      <c r="K47" s="7" t="s">
        <v>171</v>
      </c>
      <c r="L47" s="7" t="s">
        <v>244</v>
      </c>
      <c r="M47" s="21" t="s">
        <v>46</v>
      </c>
      <c r="N47" s="7"/>
      <c r="O47" s="20">
        <v>1450</v>
      </c>
      <c r="P47" s="61">
        <v>195750</v>
      </c>
      <c r="Q47" s="20">
        <v>1338.7777777777778</v>
      </c>
      <c r="R47" s="30">
        <v>15015</v>
      </c>
      <c r="S47" s="32">
        <f t="shared" si="62"/>
        <v>180735</v>
      </c>
      <c r="T47" s="68">
        <v>5</v>
      </c>
      <c r="U47" s="157" t="s">
        <v>222</v>
      </c>
      <c r="V47" s="147" t="s">
        <v>245</v>
      </c>
      <c r="W47" s="25" t="s">
        <v>138</v>
      </c>
      <c r="X47" s="4" t="s">
        <v>113</v>
      </c>
      <c r="Y47" s="7">
        <v>10005721</v>
      </c>
      <c r="Z47" s="7" t="s">
        <v>218</v>
      </c>
      <c r="AA47" s="7" t="str">
        <f t="shared" si="98"/>
        <v>FEBRERO10005721Inventario final</v>
      </c>
      <c r="AB47" s="20">
        <f t="shared" si="99"/>
        <v>2146.320321316593</v>
      </c>
      <c r="AC47" s="46">
        <f>IFERROR(INDEX('Costos Producción Febrero'!$G$34:$G$57,MATCH(Resumen!Y47,'Costos Producción Febrero'!$B$34:$B$57,0))*AB47*G47,0)</f>
        <v>175970.30682324362</v>
      </c>
      <c r="AD47" s="46">
        <f>IFERROR(INDEX('Costos Producción Febrero'!$H$34:$H$57,MATCH(Resumen!Y47,'Costos Producción Febrero'!$B$34:$B$57,0))*AB47*G47,0)</f>
        <v>51562.953245356839</v>
      </c>
      <c r="AE47" s="46">
        <f>IFERROR(INDEX('Costos Producción Febrero'!$I$34:$I$57,MATCH(Resumen!Y47,'Costos Producción Febrero'!$B$34:$B$57,0))*AB47*G47,0)</f>
        <v>3158.8625784104593</v>
      </c>
      <c r="AF47" s="46">
        <f>IFERROR(INDEX('Costos Producción Febrero'!$J$34:$J$57,MATCH(Resumen!Y47,'Costos Producción Febrero'!$B$34:$B$57,0))*AB47*G47,0)</f>
        <v>59061.120730729119</v>
      </c>
      <c r="AG47" s="46">
        <f t="shared" si="97"/>
        <v>289753.24337774003</v>
      </c>
      <c r="AH47" s="46"/>
      <c r="AI47" s="45">
        <v>2397.7444730841671</v>
      </c>
      <c r="AJ47" s="46"/>
      <c r="AK47" s="45">
        <f t="shared" si="65"/>
        <v>-94003.243377740029</v>
      </c>
      <c r="AL47" s="94">
        <f t="shared" si="66"/>
        <v>-0.48022091125282262</v>
      </c>
      <c r="AM47" s="44">
        <f t="shared" si="67"/>
        <v>15015</v>
      </c>
      <c r="AN47" s="44">
        <f t="shared" si="68"/>
        <v>2670.6233469922122</v>
      </c>
      <c r="AO47" s="44">
        <f t="shared" si="7"/>
        <v>9771.923076923078</v>
      </c>
      <c r="AP47" s="44">
        <f t="shared" si="69"/>
        <v>27457.54642391529</v>
      </c>
      <c r="AQ47" s="44">
        <f t="shared" si="70"/>
        <v>5315.2445134783047</v>
      </c>
      <c r="AR47" s="44">
        <f t="shared" si="71"/>
        <v>5422.05</v>
      </c>
      <c r="AS47" s="45">
        <f t="shared" si="72"/>
        <v>-121353.98431513362</v>
      </c>
      <c r="AT47" s="94">
        <f t="shared" si="73"/>
        <v>-0.61994372574780909</v>
      </c>
      <c r="AU47" s="44">
        <f t="shared" si="74"/>
        <v>10448.870127267262</v>
      </c>
      <c r="AV47" s="45">
        <f t="shared" si="75"/>
        <v>-131802.85444240089</v>
      </c>
      <c r="AW47" s="94">
        <f t="shared" si="76"/>
        <v>-0.6733223726304004</v>
      </c>
      <c r="AX47" s="44">
        <f t="shared" si="77"/>
        <v>8344.3724346781455</v>
      </c>
      <c r="AY47" s="45">
        <f t="shared" si="78"/>
        <v>-113009.61188045549</v>
      </c>
      <c r="AZ47" s="94">
        <f t="shared" si="79"/>
        <v>-0.57731602493208423</v>
      </c>
      <c r="BB47" s="44">
        <f t="shared" si="80"/>
        <v>1450</v>
      </c>
      <c r="BC47" s="44">
        <f t="shared" si="81"/>
        <v>-1303.483754246249</v>
      </c>
      <c r="BD47" s="44">
        <f t="shared" si="82"/>
        <v>-381.94780181745807</v>
      </c>
      <c r="BE47" s="44">
        <f t="shared" si="83"/>
        <v>-23.398982062299698</v>
      </c>
      <c r="BF47" s="44">
        <f t="shared" si="84"/>
        <v>-437.48978319058608</v>
      </c>
      <c r="BG47" s="44">
        <f t="shared" si="85"/>
        <v>-2146.320321316593</v>
      </c>
      <c r="BH47" s="44">
        <f t="shared" si="86"/>
        <v>-696.32032131659275</v>
      </c>
      <c r="BI47" s="44">
        <f t="shared" si="87"/>
        <v>-111.22222222222223</v>
      </c>
      <c r="BJ47" s="44">
        <f t="shared" si="88"/>
        <v>-72.384615384615387</v>
      </c>
      <c r="BK47" s="44">
        <f t="shared" si="89"/>
        <v>-203.38923276974288</v>
      </c>
      <c r="BL47" s="44">
        <f t="shared" si="90"/>
        <v>-39.372181581320774</v>
      </c>
      <c r="BM47" s="44">
        <f t="shared" si="91"/>
        <v>40.163333333333334</v>
      </c>
      <c r="BN47" s="44">
        <f t="shared" si="92"/>
        <v>-898.9184023343231</v>
      </c>
      <c r="BO47" s="44">
        <f t="shared" si="93"/>
        <v>-77.399037979757495</v>
      </c>
      <c r="BP47" s="44">
        <f t="shared" si="94"/>
        <v>-976.31744031408061</v>
      </c>
      <c r="BQ47" s="44">
        <f t="shared" si="95"/>
        <v>61.810166182801076</v>
      </c>
      <c r="BR47" s="44">
        <f t="shared" si="96"/>
        <v>-837.10823615152208</v>
      </c>
    </row>
    <row r="48" spans="2:70" hidden="1">
      <c r="B48" s="7" t="s">
        <v>7</v>
      </c>
      <c r="C48" s="29" t="s">
        <v>8</v>
      </c>
      <c r="D48" s="25" t="s">
        <v>246</v>
      </c>
      <c r="E48" s="100">
        <v>47</v>
      </c>
      <c r="F48" s="100">
        <v>46092</v>
      </c>
      <c r="G48" s="101">
        <v>150</v>
      </c>
      <c r="H48" s="104" t="s">
        <v>31</v>
      </c>
      <c r="I48" s="105" t="s">
        <v>107</v>
      </c>
      <c r="J48" s="7" t="s">
        <v>247</v>
      </c>
      <c r="K48" s="7" t="s">
        <v>161</v>
      </c>
      <c r="L48" s="7" t="s">
        <v>147</v>
      </c>
      <c r="M48" s="21" t="s">
        <v>44</v>
      </c>
      <c r="N48" s="7" t="s">
        <v>214</v>
      </c>
      <c r="O48" s="20">
        <v>2300</v>
      </c>
      <c r="P48" s="61">
        <v>345000</v>
      </c>
      <c r="Q48" s="20">
        <v>2139.1</v>
      </c>
      <c r="R48" s="30">
        <v>24135</v>
      </c>
      <c r="S48" s="32">
        <f t="shared" si="62"/>
        <v>320865</v>
      </c>
      <c r="T48" s="68">
        <v>6</v>
      </c>
      <c r="U48" s="59" t="s">
        <v>241</v>
      </c>
      <c r="V48" s="147" t="s">
        <v>248</v>
      </c>
      <c r="W48" s="149" t="s">
        <v>182</v>
      </c>
      <c r="X48" s="159"/>
      <c r="Y48" s="7">
        <v>10007162</v>
      </c>
      <c r="Z48" s="7" t="s">
        <v>218</v>
      </c>
      <c r="AA48" s="7" t="str">
        <f t="shared" si="98"/>
        <v>FEBRERO10007162Inventario final</v>
      </c>
      <c r="AB48" s="20">
        <f t="shared" si="99"/>
        <v>1766.7551345683703</v>
      </c>
      <c r="AC48" s="46">
        <f>IFERROR(INDEX('Costos Producción Febrero'!$G$34:$G$57,MATCH(Resumen!Y48,'Costos Producción Febrero'!$B$34:$B$57,0))*AB48*G48,0)</f>
        <v>162493.05937643017</v>
      </c>
      <c r="AD48" s="46">
        <f>IFERROR(INDEX('Costos Producción Febrero'!$H$34:$H$57,MATCH(Resumen!Y48,'Costos Producción Febrero'!$B$34:$B$57,0))*AB48*G48,0)</f>
        <v>46135.020038804279</v>
      </c>
      <c r="AE48" s="46">
        <f>IFERROR(INDEX('Costos Producción Febrero'!$I$34:$I$57,MATCH(Resumen!Y48,'Costos Producción Febrero'!$B$34:$B$57,0))*AB48*G48,0)</f>
        <v>2456.8293895686838</v>
      </c>
      <c r="AF48" s="46">
        <f>IFERROR(INDEX('Costos Producción Febrero'!$J$34:$J$57,MATCH(Resumen!Y48,'Costos Producción Febrero'!$B$34:$B$57,0))*AB48*G48,0)</f>
        <v>53928.361380452385</v>
      </c>
      <c r="AG48" s="46">
        <f t="shared" si="97"/>
        <v>265013.2701852555</v>
      </c>
      <c r="AH48" s="46"/>
      <c r="AI48" s="45">
        <v>2018.1792863359442</v>
      </c>
      <c r="AJ48" s="46"/>
      <c r="AK48" s="45">
        <f t="shared" si="65"/>
        <v>79986.729814744496</v>
      </c>
      <c r="AL48" s="94">
        <f t="shared" si="66"/>
        <v>0.23184559366592608</v>
      </c>
      <c r="AM48" s="44">
        <f t="shared" si="67"/>
        <v>24135</v>
      </c>
      <c r="AN48" s="44">
        <f t="shared" si="68"/>
        <v>2967.3592744357911</v>
      </c>
      <c r="AO48" s="44">
        <f t="shared" si="7"/>
        <v>10857.692307692309</v>
      </c>
      <c r="AP48" s="44">
        <f t="shared" si="69"/>
        <v>37960.051582128101</v>
      </c>
      <c r="AQ48" s="44">
        <f t="shared" si="70"/>
        <v>5905.8272371981166</v>
      </c>
      <c r="AR48" s="44">
        <f t="shared" si="71"/>
        <v>9625.9499999999989</v>
      </c>
      <c r="AS48" s="45">
        <f t="shared" si="72"/>
        <v>45746.800995418278</v>
      </c>
      <c r="AT48" s="94">
        <f t="shared" si="73"/>
        <v>0.13259942317512544</v>
      </c>
      <c r="AU48" s="44">
        <f t="shared" si="74"/>
        <v>11609.855696963625</v>
      </c>
      <c r="AV48" s="45">
        <f t="shared" si="75"/>
        <v>34136.945298454651</v>
      </c>
      <c r="AW48" s="94">
        <f t="shared" si="76"/>
        <v>9.8947667531752617E-2</v>
      </c>
      <c r="AX48" s="44">
        <f t="shared" si="77"/>
        <v>9271.5249274201633</v>
      </c>
      <c r="AY48" s="45">
        <f t="shared" si="78"/>
        <v>55018.325922838441</v>
      </c>
      <c r="AZ48" s="94">
        <f t="shared" si="79"/>
        <v>0.15947340847199548</v>
      </c>
      <c r="BB48" s="44">
        <f t="shared" si="80"/>
        <v>2300</v>
      </c>
      <c r="BC48" s="44">
        <f t="shared" si="81"/>
        <v>-1083.2870625095345</v>
      </c>
      <c r="BD48" s="44">
        <f t="shared" si="82"/>
        <v>-307.5668002586952</v>
      </c>
      <c r="BE48" s="44">
        <f t="shared" si="83"/>
        <v>-16.378862597124559</v>
      </c>
      <c r="BF48" s="44">
        <f t="shared" si="84"/>
        <v>-359.52240920301591</v>
      </c>
      <c r="BG48" s="44">
        <f t="shared" si="85"/>
        <v>-1766.7551345683701</v>
      </c>
      <c r="BH48" s="44">
        <f t="shared" si="86"/>
        <v>533.24486543162993</v>
      </c>
      <c r="BI48" s="44">
        <f t="shared" si="87"/>
        <v>-160.9</v>
      </c>
      <c r="BJ48" s="44">
        <f t="shared" si="88"/>
        <v>-72.384615384615387</v>
      </c>
      <c r="BK48" s="44">
        <f t="shared" si="89"/>
        <v>-253.06701054752068</v>
      </c>
      <c r="BL48" s="44">
        <f t="shared" si="90"/>
        <v>-39.372181581320774</v>
      </c>
      <c r="BM48" s="44">
        <f t="shared" si="91"/>
        <v>64.172999999999988</v>
      </c>
      <c r="BN48" s="44">
        <f t="shared" si="92"/>
        <v>304.97867330278854</v>
      </c>
      <c r="BO48" s="44">
        <f t="shared" si="93"/>
        <v>-77.399037979757495</v>
      </c>
      <c r="BP48" s="44">
        <f t="shared" si="94"/>
        <v>227.579635323031</v>
      </c>
      <c r="BQ48" s="44">
        <f t="shared" si="95"/>
        <v>61.81016618280109</v>
      </c>
      <c r="BR48" s="44">
        <f t="shared" si="96"/>
        <v>366.78883948558962</v>
      </c>
    </row>
    <row r="49" spans="2:70" hidden="1">
      <c r="B49" s="7" t="s">
        <v>7</v>
      </c>
      <c r="C49" s="29" t="s">
        <v>8</v>
      </c>
      <c r="D49" s="25" t="s">
        <v>246</v>
      </c>
      <c r="E49" s="100">
        <v>47</v>
      </c>
      <c r="F49" s="100">
        <v>46092</v>
      </c>
      <c r="G49" s="101">
        <v>25</v>
      </c>
      <c r="H49" s="104" t="s">
        <v>36</v>
      </c>
      <c r="I49" s="105" t="s">
        <v>107</v>
      </c>
      <c r="J49" s="7"/>
      <c r="K49" s="7" t="s">
        <v>161</v>
      </c>
      <c r="L49" s="7" t="s">
        <v>147</v>
      </c>
      <c r="M49" s="21" t="s">
        <v>44</v>
      </c>
      <c r="N49" s="7" t="s">
        <v>214</v>
      </c>
      <c r="O49" s="20">
        <v>2500</v>
      </c>
      <c r="P49" s="61">
        <v>62500</v>
      </c>
      <c r="Q49" s="20">
        <v>2336.7199999999998</v>
      </c>
      <c r="R49" s="30">
        <v>4082</v>
      </c>
      <c r="S49" s="32">
        <f t="shared" si="62"/>
        <v>58418</v>
      </c>
      <c r="T49" s="65">
        <v>1</v>
      </c>
      <c r="U49" s="59" t="s">
        <v>241</v>
      </c>
      <c r="V49" s="147" t="s">
        <v>248</v>
      </c>
      <c r="W49" s="149" t="s">
        <v>182</v>
      </c>
      <c r="X49" s="159"/>
      <c r="Y49" s="7">
        <v>10007567</v>
      </c>
      <c r="Z49" s="7" t="s">
        <v>218</v>
      </c>
      <c r="AA49" s="7" t="str">
        <f t="shared" si="98"/>
        <v>FEBRERO10007567Inventario final</v>
      </c>
      <c r="AB49" s="20">
        <f t="shared" si="99"/>
        <v>1768.0738104406516</v>
      </c>
      <c r="AC49" s="46">
        <f>IFERROR(INDEX('Costos Producción Febrero'!$G$34:$G$57,MATCH(Resumen!Y49,'Costos Producción Febrero'!$B$34:$B$57,0))*AB49*G49,0)</f>
        <v>27298.290088254191</v>
      </c>
      <c r="AD49" s="46">
        <f>IFERROR(INDEX('Costos Producción Febrero'!$H$34:$H$57,MATCH(Resumen!Y49,'Costos Producción Febrero'!$B$34:$B$57,0))*AB49*G49,0)</f>
        <v>7357.005354098982</v>
      </c>
      <c r="AE49" s="46">
        <f>IFERROR(INDEX('Costos Producción Febrero'!$I$34:$I$57,MATCH(Resumen!Y49,'Costos Producción Febrero'!$B$34:$B$57,0))*AB49*G49,0)</f>
        <v>477.08717495014446</v>
      </c>
      <c r="AF49" s="46">
        <f>IFERROR(INDEX('Costos Producción Febrero'!$J$34:$J$57,MATCH(Resumen!Y49,'Costos Producción Febrero'!$B$34:$B$57,0))*AB49*G49,0)</f>
        <v>9069.4626437129718</v>
      </c>
      <c r="AG49" s="46">
        <f t="shared" si="97"/>
        <v>44201.845261016286</v>
      </c>
      <c r="AH49" s="46"/>
      <c r="AI49" s="45">
        <v>2019.4979622082255</v>
      </c>
      <c r="AJ49" s="46"/>
      <c r="AK49" s="45">
        <f t="shared" si="65"/>
        <v>18298.154738983714</v>
      </c>
      <c r="AL49" s="94">
        <f t="shared" si="66"/>
        <v>0.29277047582373944</v>
      </c>
      <c r="AM49" s="44">
        <f t="shared" si="67"/>
        <v>4082</v>
      </c>
      <c r="AN49" s="44">
        <f t="shared" si="68"/>
        <v>494.55987907263187</v>
      </c>
      <c r="AO49" s="44">
        <f t="shared" si="7"/>
        <v>1809.6153846153848</v>
      </c>
      <c r="AP49" s="44">
        <f t="shared" si="69"/>
        <v>6386.1752636880165</v>
      </c>
      <c r="AQ49" s="44">
        <f t="shared" si="70"/>
        <v>984.30453953301935</v>
      </c>
      <c r="AR49" s="44">
        <f t="shared" si="71"/>
        <v>1752.54</v>
      </c>
      <c r="AS49" s="45">
        <f t="shared" si="72"/>
        <v>12680.21493576268</v>
      </c>
      <c r="AT49" s="94">
        <f t="shared" si="73"/>
        <v>0.20288343897220287</v>
      </c>
      <c r="AU49" s="44">
        <f t="shared" si="74"/>
        <v>1934.9759494939374</v>
      </c>
      <c r="AV49" s="45">
        <f t="shared" si="75"/>
        <v>10745.238986268743</v>
      </c>
      <c r="AW49" s="94">
        <f t="shared" si="76"/>
        <v>0.17192382378029988</v>
      </c>
      <c r="AX49" s="44">
        <f t="shared" si="77"/>
        <v>1545.2541545700271</v>
      </c>
      <c r="AY49" s="45">
        <f t="shared" si="78"/>
        <v>14225.469090332708</v>
      </c>
      <c r="AZ49" s="94">
        <f t="shared" si="79"/>
        <v>0.22760750544532332</v>
      </c>
      <c r="BB49" s="44">
        <f t="shared" si="80"/>
        <v>2500</v>
      </c>
      <c r="BC49" s="44">
        <f t="shared" si="81"/>
        <v>-1091.9316035301676</v>
      </c>
      <c r="BD49" s="44">
        <f t="shared" si="82"/>
        <v>-294.28021416395927</v>
      </c>
      <c r="BE49" s="44">
        <f t="shared" si="83"/>
        <v>-19.083486998005778</v>
      </c>
      <c r="BF49" s="44">
        <f t="shared" si="84"/>
        <v>-362.77850574851885</v>
      </c>
      <c r="BG49" s="44">
        <f t="shared" si="85"/>
        <v>-1768.0738104406514</v>
      </c>
      <c r="BH49" s="44">
        <f t="shared" si="86"/>
        <v>731.92618955934859</v>
      </c>
      <c r="BI49" s="44">
        <f t="shared" si="87"/>
        <v>-163.28</v>
      </c>
      <c r="BJ49" s="44">
        <f t="shared" si="88"/>
        <v>-72.384615384615387</v>
      </c>
      <c r="BK49" s="44">
        <f t="shared" si="89"/>
        <v>-255.44701054752065</v>
      </c>
      <c r="BL49" s="44">
        <f t="shared" si="90"/>
        <v>-39.372181581320774</v>
      </c>
      <c r="BM49" s="44">
        <f t="shared" si="91"/>
        <v>70.101600000000005</v>
      </c>
      <c r="BN49" s="44">
        <f t="shared" si="92"/>
        <v>507.20859743050721</v>
      </c>
      <c r="BO49" s="44">
        <f t="shared" si="93"/>
        <v>-77.399037979757495</v>
      </c>
      <c r="BP49" s="44">
        <f t="shared" si="94"/>
        <v>429.8095594507497</v>
      </c>
      <c r="BQ49" s="44">
        <f t="shared" si="95"/>
        <v>61.810166182801083</v>
      </c>
      <c r="BR49" s="44">
        <f t="shared" si="96"/>
        <v>569.01876361330835</v>
      </c>
    </row>
    <row r="50" spans="2:70" hidden="1">
      <c r="B50" s="7" t="s">
        <v>7</v>
      </c>
      <c r="C50" s="29" t="s">
        <v>8</v>
      </c>
      <c r="D50" s="25" t="s">
        <v>249</v>
      </c>
      <c r="E50" s="100">
        <v>47</v>
      </c>
      <c r="F50" s="100">
        <v>46108</v>
      </c>
      <c r="G50" s="101">
        <v>54</v>
      </c>
      <c r="H50" s="27" t="s">
        <v>35</v>
      </c>
      <c r="I50" s="27" t="s">
        <v>155</v>
      </c>
      <c r="J50" s="7" t="s">
        <v>250</v>
      </c>
      <c r="K50" s="7" t="s">
        <v>171</v>
      </c>
      <c r="L50" s="7" t="s">
        <v>172</v>
      </c>
      <c r="M50" s="21" t="s">
        <v>44</v>
      </c>
      <c r="N50" s="7" t="s">
        <v>214</v>
      </c>
      <c r="O50" s="20">
        <v>3350</v>
      </c>
      <c r="P50" s="219">
        <f>180900-3678.3</f>
        <v>177221.7</v>
      </c>
      <c r="Q50" s="20">
        <v>3242.5925925925926</v>
      </c>
      <c r="R50" s="30">
        <v>5800</v>
      </c>
      <c r="S50" s="32">
        <f t="shared" si="62"/>
        <v>171421.7</v>
      </c>
      <c r="T50" s="65">
        <v>2</v>
      </c>
      <c r="U50" s="59" t="s">
        <v>260</v>
      </c>
      <c r="V50" s="147">
        <v>6446512380</v>
      </c>
      <c r="W50" s="62" t="s">
        <v>122</v>
      </c>
      <c r="X50" s="4" t="s">
        <v>113</v>
      </c>
      <c r="Y50" s="18">
        <v>10009331</v>
      </c>
      <c r="Z50" s="7" t="s">
        <v>218</v>
      </c>
      <c r="AA50" s="18" t="str">
        <f t="shared" si="98"/>
        <v>FEBRERO10009331Inventario final</v>
      </c>
      <c r="AB50" s="63">
        <f t="shared" si="99"/>
        <v>2194.0201024181183</v>
      </c>
      <c r="AC50" s="64">
        <f>IFERROR(INDEX('Costos Producción Febrero'!$G$34:$G$57,MATCH(Resumen!Y50,'Costos Producción Febrero'!$B$34:$B$57,0))*AB50*G50,0)</f>
        <v>67606.19864837428</v>
      </c>
      <c r="AD50" s="64">
        <f>IFERROR(INDEX('Costos Producción Febrero'!$H$34:$H$57,MATCH(Resumen!Y50,'Costos Producción Febrero'!$B$34:$B$57,0))*AB50*G50,0)</f>
        <v>26821.671860544291</v>
      </c>
      <c r="AE50" s="64">
        <f>IFERROR(INDEX('Costos Producción Febrero'!$I$34:$I$57,MATCH(Resumen!Y50,'Costos Producción Febrero'!$B$34:$B$57,0))*AB50*G50,0)</f>
        <v>1228.4198144435131</v>
      </c>
      <c r="AF50" s="64">
        <f>IFERROR(INDEX('Costos Producción Febrero'!$J$34:$J$57,MATCH(Resumen!Y50,'Costos Producción Febrero'!$B$34:$B$57,0))*AB50*G50,0)</f>
        <v>22820.795207216317</v>
      </c>
      <c r="AG50" s="64">
        <f t="shared" si="97"/>
        <v>118477.08553057839</v>
      </c>
      <c r="AH50" s="64"/>
      <c r="AI50" s="95">
        <v>2445.4442541856924</v>
      </c>
      <c r="AJ50" s="64"/>
      <c r="AK50" s="95">
        <f t="shared" si="65"/>
        <v>58744.61446942162</v>
      </c>
      <c r="AL50" s="94">
        <f t="shared" si="66"/>
        <v>0.33147529038160461</v>
      </c>
      <c r="AM50" s="44">
        <f t="shared" si="67"/>
        <v>5800</v>
      </c>
      <c r="AN50" s="44">
        <f t="shared" si="68"/>
        <v>1068.2493387968848</v>
      </c>
      <c r="AO50" s="44">
        <f t="shared" si="7"/>
        <v>3908.7692307692309</v>
      </c>
      <c r="AP50" s="44">
        <f t="shared" si="69"/>
        <v>10777.018569566115</v>
      </c>
      <c r="AQ50" s="44">
        <f t="shared" si="70"/>
        <v>2126.0978053913218</v>
      </c>
      <c r="AR50" s="44">
        <f t="shared" si="71"/>
        <v>5142.6509999999998</v>
      </c>
      <c r="AS50" s="45">
        <f t="shared" si="72"/>
        <v>50984.149094464185</v>
      </c>
      <c r="AT50" s="94">
        <f t="shared" si="73"/>
        <v>0.28768570155045448</v>
      </c>
      <c r="AU50" s="44">
        <f t="shared" si="74"/>
        <v>4179.5480509069048</v>
      </c>
      <c r="AV50" s="45">
        <f t="shared" si="75"/>
        <v>46804.601043557283</v>
      </c>
      <c r="AW50" s="94">
        <f t="shared" si="76"/>
        <v>0.26410197534250762</v>
      </c>
      <c r="AX50" s="44">
        <f t="shared" si="77"/>
        <v>3337.7489738712584</v>
      </c>
      <c r="AY50" s="45">
        <f t="shared" si="78"/>
        <v>54321.898068335446</v>
      </c>
      <c r="AZ50" s="94">
        <f t="shared" si="79"/>
        <v>0.30651945031751437</v>
      </c>
      <c r="BB50" s="44">
        <f t="shared" si="80"/>
        <v>3281.8833333333337</v>
      </c>
      <c r="BC50" s="44">
        <f t="shared" si="81"/>
        <v>-1251.9666416365608</v>
      </c>
      <c r="BD50" s="44">
        <f t="shared" si="82"/>
        <v>-496.6976270471165</v>
      </c>
      <c r="BE50" s="44">
        <f t="shared" si="83"/>
        <v>-22.74851508228728</v>
      </c>
      <c r="BF50" s="44">
        <f t="shared" si="84"/>
        <v>-422.60731865215399</v>
      </c>
      <c r="BG50" s="44">
        <f t="shared" si="85"/>
        <v>-2194.0201024181183</v>
      </c>
      <c r="BH50" s="44">
        <f t="shared" si="86"/>
        <v>1087.8632309152151</v>
      </c>
      <c r="BI50" s="44">
        <f t="shared" si="87"/>
        <v>-107.4074074074074</v>
      </c>
      <c r="BJ50" s="44">
        <f t="shared" si="88"/>
        <v>-72.384615384615387</v>
      </c>
      <c r="BK50" s="44">
        <f t="shared" si="89"/>
        <v>-199.57441795492807</v>
      </c>
      <c r="BL50" s="44">
        <f t="shared" si="90"/>
        <v>-39.372181581320774</v>
      </c>
      <c r="BM50" s="44">
        <f t="shared" si="91"/>
        <v>95.234277777777777</v>
      </c>
      <c r="BN50" s="44">
        <f t="shared" si="92"/>
        <v>944.15090915674421</v>
      </c>
      <c r="BO50" s="44">
        <f t="shared" si="93"/>
        <v>-77.399037979757495</v>
      </c>
      <c r="BP50" s="44">
        <f t="shared" si="94"/>
        <v>866.7518711769867</v>
      </c>
      <c r="BQ50" s="44">
        <f t="shared" si="95"/>
        <v>61.810166182801083</v>
      </c>
      <c r="BR50" s="44">
        <f t="shared" si="96"/>
        <v>1005.9610753395453</v>
      </c>
    </row>
    <row r="51" spans="2:70" hidden="1">
      <c r="B51" s="7" t="s">
        <v>7</v>
      </c>
      <c r="C51" s="29" t="s">
        <v>8</v>
      </c>
      <c r="D51" s="27" t="s">
        <v>251</v>
      </c>
      <c r="E51" s="100">
        <v>49</v>
      </c>
      <c r="F51" s="100">
        <v>46091</v>
      </c>
      <c r="G51" s="101">
        <v>108</v>
      </c>
      <c r="H51" s="150" t="s">
        <v>33</v>
      </c>
      <c r="I51" s="27" t="s">
        <v>205</v>
      </c>
      <c r="J51" s="4" t="s">
        <v>206</v>
      </c>
      <c r="K51" s="7" t="s">
        <v>171</v>
      </c>
      <c r="L51" s="7" t="s">
        <v>209</v>
      </c>
      <c r="M51" s="21" t="s">
        <v>46</v>
      </c>
      <c r="N51" s="7"/>
      <c r="O51" s="20">
        <v>1450</v>
      </c>
      <c r="P51" s="61">
        <v>156600</v>
      </c>
      <c r="Q51" s="20">
        <v>1338.7777777777778</v>
      </c>
      <c r="R51" s="30">
        <v>12012</v>
      </c>
      <c r="S51" s="32">
        <f t="shared" si="62"/>
        <v>144588</v>
      </c>
      <c r="T51" s="65">
        <v>4</v>
      </c>
      <c r="U51" s="7" t="s">
        <v>238</v>
      </c>
      <c r="V51" s="7" t="s">
        <v>252</v>
      </c>
      <c r="W51" s="4"/>
      <c r="X51" s="4"/>
      <c r="Y51" s="7">
        <v>10005721</v>
      </c>
      <c r="Z51" s="7" t="s">
        <v>218</v>
      </c>
      <c r="AA51" s="7" t="str">
        <f t="shared" si="98"/>
        <v>FEBRERO10005721Inventario final</v>
      </c>
      <c r="AB51" s="20">
        <f t="shared" si="99"/>
        <v>1843.8447259243096</v>
      </c>
      <c r="AC51" s="46">
        <f>IFERROR(INDEX('Costos Producción Febrero'!$G$34:$G$57,MATCH(Resumen!Y51,'Costos Producción Febrero'!$B$34:$B$57,0))*AB51*G51,0)</f>
        <v>120936.99861399598</v>
      </c>
      <c r="AD51" s="46">
        <f>IFERROR(INDEX('Costos Producción Febrero'!$H$34:$H$57,MATCH(Resumen!Y51,'Costos Producción Febrero'!$B$34:$B$57,0))*AB51*G51,0)</f>
        <v>35437.051385214589</v>
      </c>
      <c r="AE51" s="46">
        <f>IFERROR(INDEX('Costos Producción Febrero'!$I$34:$I$57,MATCH(Resumen!Y51,'Costos Producción Febrero'!$B$34:$B$57,0))*AB51*G51,0)</f>
        <v>2170.9535328068696</v>
      </c>
      <c r="AF51" s="46">
        <f>IFERROR(INDEX('Costos Producción Febrero'!$J$34:$J$57,MATCH(Resumen!Y51,'Costos Producción Febrero'!$B$34:$B$57,0))*AB51*G51,0)</f>
        <v>40590.226867807978</v>
      </c>
      <c r="AG51" s="46">
        <f t="shared" si="97"/>
        <v>199135.23039982541</v>
      </c>
      <c r="AH51" s="46"/>
      <c r="AI51" s="45">
        <v>2095.2688776918835</v>
      </c>
      <c r="AJ51" s="46"/>
      <c r="AK51" s="45">
        <f t="shared" si="65"/>
        <v>-42535.230399825406</v>
      </c>
      <c r="AL51" s="94">
        <f t="shared" si="66"/>
        <v>-0.27161705236159261</v>
      </c>
      <c r="AM51" s="44">
        <f t="shared" si="67"/>
        <v>12012</v>
      </c>
      <c r="AN51" s="44">
        <f t="shared" si="68"/>
        <v>2136.4986775937696</v>
      </c>
      <c r="AO51" s="44">
        <f t="shared" ref="AO51:AO71" si="100">1883/26*G51</f>
        <v>7821.6923076923076</v>
      </c>
      <c r="AP51" s="44">
        <f t="shared" si="69"/>
        <v>21970.190985286077</v>
      </c>
      <c r="AQ51" s="44">
        <f t="shared" si="70"/>
        <v>4252.1956107826436</v>
      </c>
      <c r="AR51" s="44">
        <f t="shared" si="71"/>
        <v>4337.6399999999994</v>
      </c>
      <c r="AS51" s="45">
        <f t="shared" si="72"/>
        <v>-64419.976995894132</v>
      </c>
      <c r="AT51" s="94">
        <f t="shared" si="73"/>
        <v>-0.41136639205551806</v>
      </c>
      <c r="AU51" s="44">
        <f t="shared" si="74"/>
        <v>8359.0961018138096</v>
      </c>
      <c r="AV51" s="45">
        <f t="shared" si="75"/>
        <v>-72779.073097707937</v>
      </c>
      <c r="AW51" s="94">
        <f t="shared" si="76"/>
        <v>-0.46474503893810942</v>
      </c>
      <c r="AX51" s="44">
        <f t="shared" si="77"/>
        <v>6675.4979477425168</v>
      </c>
      <c r="AY51" s="45">
        <f t="shared" si="78"/>
        <v>-57744.479048151617</v>
      </c>
      <c r="AZ51" s="94">
        <f t="shared" si="79"/>
        <v>-0.36873869123979319</v>
      </c>
      <c r="BB51" s="44">
        <f t="shared" si="80"/>
        <v>1450</v>
      </c>
      <c r="BC51" s="44">
        <f t="shared" si="81"/>
        <v>-1119.7870242036665</v>
      </c>
      <c r="BD51" s="44">
        <f t="shared" si="82"/>
        <v>-328.12084615939432</v>
      </c>
      <c r="BE51" s="44">
        <f t="shared" si="83"/>
        <v>-20.101421600063606</v>
      </c>
      <c r="BF51" s="44">
        <f t="shared" si="84"/>
        <v>-375.835433961185</v>
      </c>
      <c r="BG51" s="44">
        <f t="shared" si="85"/>
        <v>-1843.8447259243094</v>
      </c>
      <c r="BH51" s="44">
        <f t="shared" si="86"/>
        <v>-393.84472592430933</v>
      </c>
      <c r="BI51" s="44">
        <f t="shared" si="87"/>
        <v>-111.22222222222223</v>
      </c>
      <c r="BJ51" s="44">
        <f t="shared" si="88"/>
        <v>-72.42307692307692</v>
      </c>
      <c r="BK51" s="44">
        <f t="shared" si="89"/>
        <v>-203.42769430820442</v>
      </c>
      <c r="BL51" s="44">
        <f t="shared" si="90"/>
        <v>-39.372181581320774</v>
      </c>
      <c r="BM51" s="44">
        <f t="shared" si="91"/>
        <v>40.163333333333327</v>
      </c>
      <c r="BN51" s="44">
        <f t="shared" si="92"/>
        <v>-596.48126848050117</v>
      </c>
      <c r="BO51" s="44">
        <f t="shared" si="93"/>
        <v>-77.399037979757495</v>
      </c>
      <c r="BP51" s="44">
        <f t="shared" si="94"/>
        <v>-673.88030646025868</v>
      </c>
      <c r="BQ51" s="44">
        <f t="shared" si="95"/>
        <v>61.810166182801083</v>
      </c>
      <c r="BR51" s="44">
        <f t="shared" si="96"/>
        <v>-534.67110229770014</v>
      </c>
    </row>
    <row r="52" spans="2:70" hidden="1">
      <c r="B52" s="7" t="s">
        <v>7</v>
      </c>
      <c r="C52" s="29" t="s">
        <v>8</v>
      </c>
      <c r="D52" s="27" t="s">
        <v>253</v>
      </c>
      <c r="E52" s="100">
        <v>49</v>
      </c>
      <c r="F52" s="100">
        <v>46099</v>
      </c>
      <c r="G52" s="101">
        <v>26</v>
      </c>
      <c r="H52" s="150" t="s">
        <v>33</v>
      </c>
      <c r="I52" s="27" t="s">
        <v>205</v>
      </c>
      <c r="J52" s="4" t="s">
        <v>206</v>
      </c>
      <c r="K52" s="7" t="s">
        <v>254</v>
      </c>
      <c r="L52" s="7" t="s">
        <v>255</v>
      </c>
      <c r="M52" s="21" t="s">
        <v>57</v>
      </c>
      <c r="N52" s="7"/>
      <c r="O52" s="20">
        <v>1500</v>
      </c>
      <c r="P52" s="61">
        <v>39000</v>
      </c>
      <c r="Q52" s="20">
        <v>1230.9615384615386</v>
      </c>
      <c r="R52" s="30">
        <v>6995</v>
      </c>
      <c r="S52" s="32">
        <f t="shared" si="62"/>
        <v>32005</v>
      </c>
      <c r="T52" s="65">
        <v>1</v>
      </c>
      <c r="U52" s="59" t="s">
        <v>256</v>
      </c>
      <c r="V52" s="155" t="s">
        <v>257</v>
      </c>
      <c r="W52" s="46">
        <v>1</v>
      </c>
      <c r="X52" s="160" t="s">
        <v>182</v>
      </c>
      <c r="Y52" s="7">
        <v>10005721</v>
      </c>
      <c r="Z52" s="7" t="s">
        <v>218</v>
      </c>
      <c r="AA52" s="7" t="str">
        <f t="shared" si="98"/>
        <v>FEBRERO10005721Inventario final</v>
      </c>
      <c r="AB52" s="20">
        <f t="shared" si="99"/>
        <v>1843.8447259243096</v>
      </c>
      <c r="AC52" s="46">
        <f>IFERROR(INDEX('Costos Producción Febrero'!$G$34:$G$57,MATCH(Resumen!Y52,'Costos Producción Febrero'!$B$34:$B$57,0))*AB52*G52,0)</f>
        <v>29114.462629295329</v>
      </c>
      <c r="AD52" s="46">
        <f>IFERROR(INDEX('Costos Producción Febrero'!$H$34:$H$57,MATCH(Resumen!Y52,'Costos Producción Febrero'!$B$34:$B$57,0))*AB52*G52,0)</f>
        <v>8531.142000144253</v>
      </c>
      <c r="AE52" s="46">
        <f>IFERROR(INDEX('Costos Producción Febrero'!$I$34:$I$57,MATCH(Resumen!Y52,'Costos Producción Febrero'!$B$34:$B$57,0))*AB52*G52,0)</f>
        <v>522.63696160165375</v>
      </c>
      <c r="AF52" s="46">
        <f>IFERROR(INDEX('Costos Producción Febrero'!$J$34:$J$57,MATCH(Resumen!Y52,'Costos Producción Febrero'!$B$34:$B$57,0))*AB52*G52,0)</f>
        <v>9771.7212829908094</v>
      </c>
      <c r="AG52" s="46">
        <f t="shared" si="97"/>
        <v>47939.96287403204</v>
      </c>
      <c r="AH52" s="46"/>
      <c r="AI52" s="45">
        <v>2095.2688776918835</v>
      </c>
      <c r="AJ52" s="46"/>
      <c r="AK52" s="45">
        <f t="shared" si="65"/>
        <v>-8939.9628740320404</v>
      </c>
      <c r="AL52" s="94">
        <f t="shared" si="66"/>
        <v>-0.22922981728287284</v>
      </c>
      <c r="AM52" s="44">
        <f t="shared" si="67"/>
        <v>6995</v>
      </c>
      <c r="AN52" s="44">
        <f t="shared" si="68"/>
        <v>514.34227423553716</v>
      </c>
      <c r="AO52" s="44">
        <f t="shared" si="100"/>
        <v>1883</v>
      </c>
      <c r="AP52" s="44">
        <f t="shared" si="69"/>
        <v>9392.342274235536</v>
      </c>
      <c r="AQ52" s="44">
        <f t="shared" si="70"/>
        <v>1023.6767211143401</v>
      </c>
      <c r="AR52" s="44">
        <f t="shared" si="71"/>
        <v>960.15</v>
      </c>
      <c r="AS52" s="45">
        <f t="shared" si="72"/>
        <v>-18395.831869381916</v>
      </c>
      <c r="AT52" s="94">
        <f t="shared" si="73"/>
        <v>-0.4716879966508184</v>
      </c>
      <c r="AU52" s="44">
        <f t="shared" si="74"/>
        <v>2012.3749874736948</v>
      </c>
      <c r="AV52" s="45">
        <f t="shared" si="75"/>
        <v>-20408.20685685561</v>
      </c>
      <c r="AW52" s="94">
        <f t="shared" si="76"/>
        <v>-0.52328735530398995</v>
      </c>
      <c r="AX52" s="44">
        <f t="shared" si="77"/>
        <v>1607.0643207528283</v>
      </c>
      <c r="AY52" s="45">
        <f t="shared" si="78"/>
        <v>-16788.76754862909</v>
      </c>
      <c r="AZ52" s="94">
        <f t="shared" si="79"/>
        <v>-0.43048121919561771</v>
      </c>
      <c r="BB52" s="44">
        <f t="shared" si="80"/>
        <v>1500</v>
      </c>
      <c r="BC52" s="44">
        <f t="shared" si="81"/>
        <v>-1119.7870242036665</v>
      </c>
      <c r="BD52" s="44">
        <f t="shared" si="82"/>
        <v>-328.12084615939432</v>
      </c>
      <c r="BE52" s="44">
        <f t="shared" si="83"/>
        <v>-20.101421600063606</v>
      </c>
      <c r="BF52" s="44">
        <f t="shared" si="84"/>
        <v>-375.835433961185</v>
      </c>
      <c r="BG52" s="44">
        <f t="shared" si="85"/>
        <v>-1843.8447259243092</v>
      </c>
      <c r="BH52" s="44">
        <f t="shared" si="86"/>
        <v>-343.84472592430927</v>
      </c>
      <c r="BI52" s="44">
        <f t="shared" si="87"/>
        <v>-269.03846153846155</v>
      </c>
      <c r="BJ52" s="44">
        <f t="shared" si="88"/>
        <v>-72.42307692307692</v>
      </c>
      <c r="BK52" s="44">
        <f t="shared" si="89"/>
        <v>-361.24393362444368</v>
      </c>
      <c r="BL52" s="44">
        <f t="shared" si="90"/>
        <v>-39.372181581320774</v>
      </c>
      <c r="BM52" s="44">
        <f t="shared" si="91"/>
        <v>36.928846153846152</v>
      </c>
      <c r="BN52" s="44">
        <f t="shared" si="92"/>
        <v>-707.53199497622757</v>
      </c>
      <c r="BO52" s="44">
        <f t="shared" si="93"/>
        <v>-77.399037979757495</v>
      </c>
      <c r="BP52" s="44">
        <f t="shared" si="94"/>
        <v>-784.93103295598496</v>
      </c>
      <c r="BQ52" s="44">
        <f t="shared" si="95"/>
        <v>61.81016618280109</v>
      </c>
      <c r="BR52" s="44">
        <f t="shared" si="96"/>
        <v>-645.72182879342654</v>
      </c>
    </row>
    <row r="53" spans="2:70" hidden="1">
      <c r="B53" s="7" t="s">
        <v>7</v>
      </c>
      <c r="C53" s="29" t="s">
        <v>8</v>
      </c>
      <c r="D53" s="25" t="s">
        <v>258</v>
      </c>
      <c r="E53" s="100">
        <v>49</v>
      </c>
      <c r="F53" s="100">
        <v>46104</v>
      </c>
      <c r="G53" s="103">
        <v>54</v>
      </c>
      <c r="H53" s="102" t="s">
        <v>32</v>
      </c>
      <c r="I53" s="27" t="s">
        <v>155</v>
      </c>
      <c r="J53" s="7" t="s">
        <v>228</v>
      </c>
      <c r="K53" s="7" t="s">
        <v>171</v>
      </c>
      <c r="L53" s="7" t="s">
        <v>172</v>
      </c>
      <c r="M53" s="21" t="s">
        <v>43</v>
      </c>
      <c r="N53" s="7" t="s">
        <v>129</v>
      </c>
      <c r="O53" s="20">
        <v>1600</v>
      </c>
      <c r="P53" s="61">
        <v>86400</v>
      </c>
      <c r="Q53" s="20">
        <v>1492.5925925925926</v>
      </c>
      <c r="R53" s="30">
        <v>5800</v>
      </c>
      <c r="S53" s="32">
        <f t="shared" si="62"/>
        <v>80600</v>
      </c>
      <c r="T53" s="65">
        <v>2</v>
      </c>
      <c r="U53" s="23" t="s">
        <v>233</v>
      </c>
      <c r="V53" s="27">
        <v>6446527810</v>
      </c>
      <c r="W53" s="62" t="s">
        <v>122</v>
      </c>
      <c r="X53" s="4" t="s">
        <v>113</v>
      </c>
      <c r="Y53" s="7">
        <v>10006720</v>
      </c>
      <c r="Z53" s="7" t="s">
        <v>218</v>
      </c>
      <c r="AA53" s="7" t="str">
        <f t="shared" si="98"/>
        <v>FEBRERO10006720Inventario final</v>
      </c>
      <c r="AB53" s="20">
        <f t="shared" si="99"/>
        <v>1697.773966045401</v>
      </c>
      <c r="AC53" s="46">
        <f>IFERROR(INDEX('Costos Producción Febrero'!$G$34:$G$57,MATCH(Resumen!Y53,'Costos Producción Febrero'!$B$34:$B$57,0))*AB53*G53,0)</f>
        <v>58830.285388201875</v>
      </c>
      <c r="AD53" s="46">
        <f>IFERROR(INDEX('Costos Producción Febrero'!$H$34:$H$57,MATCH(Resumen!Y53,'Costos Producción Febrero'!$B$34:$B$57,0))*AB53*G53,0)</f>
        <v>12374.203675301171</v>
      </c>
      <c r="AE53" s="46">
        <f>IFERROR(INDEX('Costos Producción Febrero'!$I$34:$I$57,MATCH(Resumen!Y53,'Costos Producción Febrero'!$B$34:$B$57,0))*AB53*G53,0)</f>
        <v>856.64233458333922</v>
      </c>
      <c r="AF53" s="46">
        <f>IFERROR(INDEX('Costos Producción Febrero'!$J$34:$J$57,MATCH(Resumen!Y53,'Costos Producción Febrero'!$B$34:$B$57,0))*AB53*G53,0)</f>
        <v>19618.66276836527</v>
      </c>
      <c r="AG53" s="46">
        <f t="shared" si="97"/>
        <v>91679.794166451669</v>
      </c>
      <c r="AH53" s="46"/>
      <c r="AI53" s="45">
        <v>1949.1981178129749</v>
      </c>
      <c r="AJ53" s="46"/>
      <c r="AK53" s="45">
        <f t="shared" si="65"/>
        <v>-5279.7941664516693</v>
      </c>
      <c r="AL53" s="94">
        <f t="shared" si="66"/>
        <v>-6.1108728778375802E-2</v>
      </c>
      <c r="AM53" s="44">
        <f t="shared" si="67"/>
        <v>5800</v>
      </c>
      <c r="AN53" s="44">
        <f t="shared" si="68"/>
        <v>1068.2493387968848</v>
      </c>
      <c r="AO53" s="44">
        <f t="shared" si="100"/>
        <v>3910.8461538461538</v>
      </c>
      <c r="AP53" s="44">
        <f t="shared" si="69"/>
        <v>10779.095492643039</v>
      </c>
      <c r="AQ53" s="44">
        <f t="shared" si="70"/>
        <v>2126.0978053913218</v>
      </c>
      <c r="AR53" s="44">
        <f t="shared" si="71"/>
        <v>2418</v>
      </c>
      <c r="AS53" s="45">
        <f t="shared" si="72"/>
        <v>-15766.987464486028</v>
      </c>
      <c r="AT53" s="94">
        <f t="shared" si="73"/>
        <v>-0.18248828083895866</v>
      </c>
      <c r="AU53" s="44">
        <f t="shared" si="74"/>
        <v>4179.5480509069048</v>
      </c>
      <c r="AV53" s="45">
        <f t="shared" si="75"/>
        <v>-19946.535515392934</v>
      </c>
      <c r="AW53" s="94">
        <f t="shared" si="76"/>
        <v>-0.2308626795763071</v>
      </c>
      <c r="AX53" s="44">
        <f t="shared" si="77"/>
        <v>3337.7489738712584</v>
      </c>
      <c r="AY53" s="45">
        <f t="shared" si="78"/>
        <v>-12429.238490614771</v>
      </c>
      <c r="AZ53" s="94">
        <f t="shared" si="79"/>
        <v>-0.143856926974708</v>
      </c>
      <c r="BB53" s="44">
        <f t="shared" si="80"/>
        <v>1600</v>
      </c>
      <c r="BC53" s="44">
        <f t="shared" si="81"/>
        <v>-1089.4497294111459</v>
      </c>
      <c r="BD53" s="44">
        <f t="shared" si="82"/>
        <v>-229.15191991298465</v>
      </c>
      <c r="BE53" s="44">
        <f t="shared" si="83"/>
        <v>-15.863746936728504</v>
      </c>
      <c r="BF53" s="44">
        <f t="shared" si="84"/>
        <v>-363.30856978454204</v>
      </c>
      <c r="BG53" s="44">
        <f t="shared" si="85"/>
        <v>-1697.7739660454013</v>
      </c>
      <c r="BH53" s="44">
        <f t="shared" si="86"/>
        <v>-97.773966045401281</v>
      </c>
      <c r="BI53" s="44">
        <f t="shared" si="87"/>
        <v>-107.4074074074074</v>
      </c>
      <c r="BJ53" s="44">
        <f t="shared" si="88"/>
        <v>-72.42307692307692</v>
      </c>
      <c r="BK53" s="44">
        <f t="shared" si="89"/>
        <v>-199.61287949338961</v>
      </c>
      <c r="BL53" s="44">
        <f t="shared" si="90"/>
        <v>-39.372181581320774</v>
      </c>
      <c r="BM53" s="44">
        <f t="shared" si="91"/>
        <v>44.777777777777779</v>
      </c>
      <c r="BN53" s="44">
        <f t="shared" si="92"/>
        <v>-291.98124934233385</v>
      </c>
      <c r="BO53" s="44">
        <f t="shared" si="93"/>
        <v>-77.399037979757495</v>
      </c>
      <c r="BP53" s="44">
        <f t="shared" si="94"/>
        <v>-369.38028732209136</v>
      </c>
      <c r="BQ53" s="44">
        <f t="shared" si="95"/>
        <v>61.810166182801083</v>
      </c>
      <c r="BR53" s="44">
        <f t="shared" si="96"/>
        <v>-230.1710831595328</v>
      </c>
    </row>
    <row r="54" spans="2:70" hidden="1">
      <c r="B54" s="7" t="s">
        <v>7</v>
      </c>
      <c r="C54" s="29" t="s">
        <v>8</v>
      </c>
      <c r="D54" s="25" t="s">
        <v>266</v>
      </c>
      <c r="E54" s="100">
        <v>49</v>
      </c>
      <c r="F54" s="100">
        <v>46108</v>
      </c>
      <c r="G54" s="103">
        <v>81</v>
      </c>
      <c r="H54" s="102" t="s">
        <v>32</v>
      </c>
      <c r="I54" s="27" t="s">
        <v>155</v>
      </c>
      <c r="J54" s="7" t="s">
        <v>228</v>
      </c>
      <c r="K54" s="7" t="s">
        <v>171</v>
      </c>
      <c r="L54" s="7" t="s">
        <v>172</v>
      </c>
      <c r="M54" s="21" t="s">
        <v>43</v>
      </c>
      <c r="N54" s="7" t="s">
        <v>129</v>
      </c>
      <c r="O54" s="20">
        <v>1600</v>
      </c>
      <c r="P54" s="219">
        <f>129600-4000</f>
        <v>125600</v>
      </c>
      <c r="Q54" s="20">
        <v>1499.5185185185185</v>
      </c>
      <c r="R54" s="30">
        <v>8139</v>
      </c>
      <c r="S54" s="32">
        <f t="shared" si="62"/>
        <v>117461</v>
      </c>
      <c r="T54" s="65">
        <v>3</v>
      </c>
      <c r="U54" s="59" t="s">
        <v>260</v>
      </c>
      <c r="V54" s="67" t="s">
        <v>267</v>
      </c>
      <c r="W54" s="66" t="s">
        <v>226</v>
      </c>
      <c r="X54" s="4" t="s">
        <v>113</v>
      </c>
      <c r="Y54" s="7">
        <v>10006720</v>
      </c>
      <c r="Z54" s="7" t="s">
        <v>218</v>
      </c>
      <c r="AA54" s="7" t="str">
        <f t="shared" si="98"/>
        <v>FEBRERO10006720Inventario final</v>
      </c>
      <c r="AB54" s="20">
        <f t="shared" si="99"/>
        <v>1697.773966045401</v>
      </c>
      <c r="AC54" s="46">
        <f>IFERROR(INDEX('Costos Producción Febrero'!$G$34:$G$57,MATCH(Resumen!Y54,'Costos Producción Febrero'!$B$34:$B$57,0))*AB54*G54,0)</f>
        <v>88245.428082302809</v>
      </c>
      <c r="AD54" s="46">
        <f>IFERROR(INDEX('Costos Producción Febrero'!$H$34:$H$57,MATCH(Resumen!Y54,'Costos Producción Febrero'!$B$34:$B$57,0))*AB54*G54,0)</f>
        <v>18561.305512951756</v>
      </c>
      <c r="AE54" s="46">
        <f>IFERROR(INDEX('Costos Producción Febrero'!$I$34:$I$57,MATCH(Resumen!Y54,'Costos Producción Febrero'!$B$34:$B$57,0))*AB54*G54,0)</f>
        <v>1284.9635018750089</v>
      </c>
      <c r="AF54" s="46">
        <f>IFERROR(INDEX('Costos Producción Febrero'!$J$34:$J$57,MATCH(Resumen!Y54,'Costos Producción Febrero'!$B$34:$B$57,0))*AB54*G54,0)</f>
        <v>29427.994152547904</v>
      </c>
      <c r="AG54" s="46">
        <f t="shared" si="97"/>
        <v>137519.69124967747</v>
      </c>
      <c r="AH54" s="46"/>
      <c r="AI54" s="45">
        <v>1949.1981178129749</v>
      </c>
      <c r="AJ54" s="46"/>
      <c r="AK54" s="45">
        <f t="shared" si="65"/>
        <v>-11919.691249677475</v>
      </c>
      <c r="AL54" s="94">
        <f t="shared" si="66"/>
        <v>-9.4902000395521297E-2</v>
      </c>
      <c r="AM54" s="44">
        <f t="shared" si="67"/>
        <v>8139</v>
      </c>
      <c r="AN54" s="44">
        <f t="shared" si="68"/>
        <v>1602.3740081953272</v>
      </c>
      <c r="AO54" s="44">
        <f t="shared" si="100"/>
        <v>5866.2692307692305</v>
      </c>
      <c r="AP54" s="44">
        <f t="shared" si="69"/>
        <v>15607.643238964558</v>
      </c>
      <c r="AQ54" s="44">
        <f t="shared" si="70"/>
        <v>3189.1467080869825</v>
      </c>
      <c r="AR54" s="44">
        <f t="shared" si="71"/>
        <v>3523.83</v>
      </c>
      <c r="AS54" s="45">
        <f t="shared" si="72"/>
        <v>-27192.651196729013</v>
      </c>
      <c r="AT54" s="94">
        <f t="shared" si="73"/>
        <v>-0.21650199997395711</v>
      </c>
      <c r="AU54" s="44">
        <f t="shared" si="74"/>
        <v>6269.3220763603567</v>
      </c>
      <c r="AV54" s="45">
        <f t="shared" si="75"/>
        <v>-33461.973273089374</v>
      </c>
      <c r="AW54" s="94">
        <f t="shared" si="76"/>
        <v>-0.26641698465835489</v>
      </c>
      <c r="AX54" s="44">
        <f t="shared" si="77"/>
        <v>5006.623460806888</v>
      </c>
      <c r="AY54" s="45">
        <f t="shared" si="78"/>
        <v>-22186.027735922125</v>
      </c>
      <c r="AZ54" s="94">
        <f t="shared" si="79"/>
        <v>-0.17664034821594049</v>
      </c>
      <c r="BB54" s="44">
        <f t="shared" si="80"/>
        <v>1550.6172839506173</v>
      </c>
      <c r="BC54" s="44">
        <f t="shared" si="81"/>
        <v>-1089.4497294111459</v>
      </c>
      <c r="BD54" s="44">
        <f t="shared" si="82"/>
        <v>-229.15191991298465</v>
      </c>
      <c r="BE54" s="44">
        <f t="shared" si="83"/>
        <v>-15.863746936728505</v>
      </c>
      <c r="BF54" s="44">
        <f t="shared" si="84"/>
        <v>-363.30856978454204</v>
      </c>
      <c r="BG54" s="44">
        <f t="shared" si="85"/>
        <v>-1697.7739660454008</v>
      </c>
      <c r="BH54" s="44">
        <f t="shared" si="86"/>
        <v>-147.15668209478363</v>
      </c>
      <c r="BI54" s="44">
        <f t="shared" si="87"/>
        <v>-100.48148148148148</v>
      </c>
      <c r="BJ54" s="44">
        <f t="shared" si="88"/>
        <v>-72.42307692307692</v>
      </c>
      <c r="BK54" s="44">
        <f t="shared" si="89"/>
        <v>-192.68695356746369</v>
      </c>
      <c r="BL54" s="44">
        <f t="shared" si="90"/>
        <v>-39.372181581320774</v>
      </c>
      <c r="BM54" s="44">
        <f t="shared" si="91"/>
        <v>43.504074074074076</v>
      </c>
      <c r="BN54" s="44">
        <f t="shared" si="92"/>
        <v>-335.71174316949401</v>
      </c>
      <c r="BO54" s="44">
        <f t="shared" si="93"/>
        <v>-77.399037979757495</v>
      </c>
      <c r="BP54" s="44">
        <f t="shared" si="94"/>
        <v>-413.11078114925152</v>
      </c>
      <c r="BQ54" s="44">
        <f t="shared" si="95"/>
        <v>61.810166182801083</v>
      </c>
      <c r="BR54" s="44">
        <f t="shared" si="96"/>
        <v>-273.90157698669293</v>
      </c>
    </row>
    <row r="55" spans="2:70" hidden="1">
      <c r="B55" s="7" t="s">
        <v>7</v>
      </c>
      <c r="C55" s="29" t="s">
        <v>8</v>
      </c>
      <c r="D55" s="25" t="s">
        <v>268</v>
      </c>
      <c r="E55" s="100">
        <v>50</v>
      </c>
      <c r="F55" s="100">
        <v>46108</v>
      </c>
      <c r="G55" s="103">
        <v>48</v>
      </c>
      <c r="H55" s="102" t="s">
        <v>32</v>
      </c>
      <c r="I55" s="27" t="s">
        <v>155</v>
      </c>
      <c r="J55" s="7" t="s">
        <v>228</v>
      </c>
      <c r="K55" s="7" t="s">
        <v>269</v>
      </c>
      <c r="L55" s="7" t="s">
        <v>230</v>
      </c>
      <c r="M55" s="21" t="s">
        <v>43</v>
      </c>
      <c r="N55" s="7" t="s">
        <v>129</v>
      </c>
      <c r="O55" s="20">
        <v>1600</v>
      </c>
      <c r="P55" s="61">
        <v>76800</v>
      </c>
      <c r="Q55" s="20">
        <v>1486.9583333333333</v>
      </c>
      <c r="R55" s="30">
        <v>5426</v>
      </c>
      <c r="S55" s="32">
        <f t="shared" si="62"/>
        <v>71374</v>
      </c>
      <c r="T55" s="65">
        <v>2</v>
      </c>
      <c r="U55" s="59" t="s">
        <v>260</v>
      </c>
      <c r="V55" s="156" t="s">
        <v>270</v>
      </c>
      <c r="W55" s="157" t="s">
        <v>226</v>
      </c>
      <c r="X55" s="4" t="s">
        <v>113</v>
      </c>
      <c r="Y55" s="7">
        <v>10006720</v>
      </c>
      <c r="Z55" s="7" t="s">
        <v>218</v>
      </c>
      <c r="AA55" s="7" t="str">
        <f t="shared" si="98"/>
        <v>FEBRERO10006720Inventario final</v>
      </c>
      <c r="AB55" s="20">
        <f t="shared" si="99"/>
        <v>1697.773966045401</v>
      </c>
      <c r="AC55" s="222">
        <f>IFERROR(INDEX('Costos Producción Febrero'!$G$34:$G$57,MATCH(Resumen!Y55,'Costos Producción Febrero'!$B$34:$B$57,0))*AB55*G55,0)</f>
        <v>52293.587011734999</v>
      </c>
      <c r="AD55" s="46">
        <f>IFERROR(INDEX('Costos Producción Febrero'!$H$34:$H$57,MATCH(Resumen!Y55,'Costos Producción Febrero'!$B$34:$B$57,0))*AB55*G55,0)</f>
        <v>10999.292155823263</v>
      </c>
      <c r="AE55" s="46">
        <f>IFERROR(INDEX('Costos Producción Febrero'!$I$34:$I$57,MATCH(Resumen!Y55,'Costos Producción Febrero'!$B$34:$B$57,0))*AB55*G55,0)</f>
        <v>761.45985296296817</v>
      </c>
      <c r="AF55" s="46">
        <f>IFERROR(INDEX('Costos Producción Febrero'!$J$34:$J$57,MATCH(Resumen!Y55,'Costos Producción Febrero'!$B$34:$B$57,0))*AB55*G55,0)</f>
        <v>17438.811349658019</v>
      </c>
      <c r="AG55" s="46">
        <f t="shared" si="97"/>
        <v>81493.150370179239</v>
      </c>
      <c r="AH55" s="46"/>
      <c r="AI55" s="45">
        <v>1949.1981178129749</v>
      </c>
      <c r="AJ55" s="46"/>
      <c r="AK55" s="45">
        <f t="shared" si="65"/>
        <v>-4693.150370179239</v>
      </c>
      <c r="AL55" s="94">
        <f t="shared" si="66"/>
        <v>-6.1108728778375504E-2</v>
      </c>
      <c r="AM55" s="44">
        <f t="shared" si="67"/>
        <v>5426</v>
      </c>
      <c r="AN55" s="44">
        <f t="shared" si="68"/>
        <v>949.55496781945317</v>
      </c>
      <c r="AO55" s="44">
        <f t="shared" si="100"/>
        <v>3476.3076923076924</v>
      </c>
      <c r="AP55" s="44">
        <f t="shared" si="69"/>
        <v>9851.8626601271462</v>
      </c>
      <c r="AQ55" s="44">
        <f t="shared" si="70"/>
        <v>1889.8647159033972</v>
      </c>
      <c r="AR55" s="44">
        <f t="shared" si="71"/>
        <v>2141.2199999999998</v>
      </c>
      <c r="AS55" s="45">
        <f t="shared" si="72"/>
        <v>-14293.657746209783</v>
      </c>
      <c r="AT55" s="94">
        <f t="shared" si="73"/>
        <v>-0.18611533523710655</v>
      </c>
      <c r="AU55" s="44">
        <f t="shared" si="74"/>
        <v>3715.1538230283595</v>
      </c>
      <c r="AV55" s="45">
        <f t="shared" si="75"/>
        <v>-18008.811569238143</v>
      </c>
      <c r="AW55" s="94">
        <f t="shared" si="76"/>
        <v>-0.23448973397445499</v>
      </c>
      <c r="AX55" s="44">
        <f t="shared" si="77"/>
        <v>2966.887976774452</v>
      </c>
      <c r="AY55" s="45">
        <f t="shared" si="78"/>
        <v>-11326.76976943533</v>
      </c>
      <c r="AZ55" s="94">
        <f t="shared" si="79"/>
        <v>-0.14748398137285587</v>
      </c>
      <c r="BB55" s="44">
        <f t="shared" si="80"/>
        <v>1600</v>
      </c>
      <c r="BC55" s="44">
        <f t="shared" si="81"/>
        <v>-1089.4497294111459</v>
      </c>
      <c r="BD55" s="44">
        <f t="shared" si="82"/>
        <v>-229.15191991298465</v>
      </c>
      <c r="BE55" s="44">
        <f t="shared" si="83"/>
        <v>-15.863746936728504</v>
      </c>
      <c r="BF55" s="44">
        <f t="shared" si="84"/>
        <v>-363.30856978454204</v>
      </c>
      <c r="BG55" s="44">
        <f t="shared" si="85"/>
        <v>-1697.7739660454008</v>
      </c>
      <c r="BH55" s="44">
        <f t="shared" si="86"/>
        <v>-97.773966045400812</v>
      </c>
      <c r="BI55" s="44">
        <f t="shared" si="87"/>
        <v>-113.04166666666667</v>
      </c>
      <c r="BJ55" s="44">
        <f t="shared" si="88"/>
        <v>-72.42307692307692</v>
      </c>
      <c r="BK55" s="44">
        <f t="shared" si="89"/>
        <v>-205.24713875264888</v>
      </c>
      <c r="BL55" s="44">
        <f t="shared" si="90"/>
        <v>-39.372181581320774</v>
      </c>
      <c r="BM55" s="44">
        <f t="shared" si="91"/>
        <v>44.608749999999993</v>
      </c>
      <c r="BN55" s="44">
        <f t="shared" si="92"/>
        <v>-297.78453637937048</v>
      </c>
      <c r="BO55" s="44">
        <f t="shared" si="93"/>
        <v>-77.399037979757495</v>
      </c>
      <c r="BP55" s="44">
        <f t="shared" si="94"/>
        <v>-375.18357435912799</v>
      </c>
      <c r="BQ55" s="44">
        <f t="shared" si="95"/>
        <v>61.810166182801083</v>
      </c>
      <c r="BR55" s="44">
        <f t="shared" si="96"/>
        <v>-235.97437019656937</v>
      </c>
    </row>
    <row r="56" spans="2:70" hidden="1">
      <c r="B56" s="7" t="s">
        <v>7</v>
      </c>
      <c r="C56" s="29" t="s">
        <v>8</v>
      </c>
      <c r="D56" s="25" t="s">
        <v>271</v>
      </c>
      <c r="E56" s="100">
        <v>54</v>
      </c>
      <c r="F56" s="106">
        <v>46101</v>
      </c>
      <c r="G56" s="101">
        <v>24</v>
      </c>
      <c r="H56" s="102" t="s">
        <v>34</v>
      </c>
      <c r="I56" s="27" t="s">
        <v>116</v>
      </c>
      <c r="J56" s="7" t="s">
        <v>153</v>
      </c>
      <c r="K56" s="7" t="s">
        <v>118</v>
      </c>
      <c r="L56" s="7" t="s">
        <v>272</v>
      </c>
      <c r="M56" s="21" t="s">
        <v>50</v>
      </c>
      <c r="N56" s="7" t="s">
        <v>273</v>
      </c>
      <c r="O56" s="20">
        <v>1100</v>
      </c>
      <c r="P56" s="69">
        <v>26400</v>
      </c>
      <c r="Q56" s="20">
        <v>966.54166666666663</v>
      </c>
      <c r="R56" s="30">
        <v>3203</v>
      </c>
      <c r="S56" s="32">
        <f t="shared" si="62"/>
        <v>23197</v>
      </c>
      <c r="T56" s="65">
        <v>1</v>
      </c>
      <c r="U56" s="66" t="s">
        <v>274</v>
      </c>
      <c r="V56" s="70" t="s">
        <v>275</v>
      </c>
      <c r="W56" s="66" t="s">
        <v>226</v>
      </c>
      <c r="X56" s="4" t="s">
        <v>113</v>
      </c>
      <c r="Y56" s="7">
        <v>10005779</v>
      </c>
      <c r="Z56" s="7" t="s">
        <v>218</v>
      </c>
      <c r="AA56" s="7" t="str">
        <f t="shared" si="98"/>
        <v>FEBRERO10005779Inventario final</v>
      </c>
      <c r="AB56" s="20">
        <f t="shared" si="99"/>
        <v>1848.8139327140159</v>
      </c>
      <c r="AC56" s="222">
        <f>IFERROR(INDEX('Costos Producción Febrero'!$G$34:$G$57,MATCH(Resumen!Y56,'Costos Producción Febrero'!$B$34:$B$57,0))*AB56*G56,0)</f>
        <v>25762.14626201594</v>
      </c>
      <c r="AD56" s="46">
        <f>IFERROR(INDEX('Costos Producción Febrero'!$H$34:$H$57,MATCH(Resumen!Y56,'Costos Producción Febrero'!$B$34:$B$57,0))*AB56*G56,0)</f>
        <v>9804.0642402618378</v>
      </c>
      <c r="AE56" s="46">
        <f>IFERROR(INDEX('Costos Producción Febrero'!$I$34:$I$57,MATCH(Resumen!Y56,'Costos Producción Febrero'!$B$34:$B$57,0))*AB56*G56,0)</f>
        <v>283.41448559621585</v>
      </c>
      <c r="AF56" s="46">
        <f>IFERROR(INDEX('Costos Producción Febrero'!$J$34:$J$57,MATCH(Resumen!Y56,'Costos Producción Febrero'!$B$34:$B$57,0))*AB56*G56,0)</f>
        <v>8521.9093972623887</v>
      </c>
      <c r="AG56" s="46">
        <f t="shared" si="97"/>
        <v>44371.53438513638</v>
      </c>
      <c r="AH56" s="46"/>
      <c r="AI56" s="45">
        <v>2100.2380844815898</v>
      </c>
      <c r="AJ56" s="46"/>
      <c r="AK56" s="45">
        <f t="shared" si="65"/>
        <v>-17971.53438513638</v>
      </c>
      <c r="AL56" s="94">
        <f t="shared" si="66"/>
        <v>-0.68073993883092343</v>
      </c>
      <c r="AM56" s="44">
        <f t="shared" si="67"/>
        <v>3203</v>
      </c>
      <c r="AN56" s="44">
        <f t="shared" si="68"/>
        <v>474.77748390972658</v>
      </c>
      <c r="AO56" s="44">
        <f t="shared" si="100"/>
        <v>1738.1538461538462</v>
      </c>
      <c r="AP56" s="44">
        <f t="shared" si="69"/>
        <v>5415.9313300635731</v>
      </c>
      <c r="AQ56" s="44">
        <f t="shared" si="70"/>
        <v>944.93235795169858</v>
      </c>
      <c r="AR56" s="44">
        <f t="shared" si="71"/>
        <v>695.91</v>
      </c>
      <c r="AS56" s="45">
        <f t="shared" si="72"/>
        <v>-23636.48807315165</v>
      </c>
      <c r="AT56" s="94">
        <f t="shared" si="73"/>
        <v>-0.89532151792241099</v>
      </c>
      <c r="AU56" s="44">
        <f t="shared" si="74"/>
        <v>1857.5769115141798</v>
      </c>
      <c r="AV56" s="45">
        <f t="shared" si="75"/>
        <v>-25494.064984665831</v>
      </c>
      <c r="AW56" s="94">
        <f t="shared" si="76"/>
        <v>-0.96568427972219051</v>
      </c>
      <c r="AX56" s="44">
        <f t="shared" si="77"/>
        <v>1483.443988387226</v>
      </c>
      <c r="AY56" s="45">
        <f t="shared" si="78"/>
        <v>-22153.044084764424</v>
      </c>
      <c r="AZ56" s="94">
        <f t="shared" si="79"/>
        <v>-0.83913045775622819</v>
      </c>
      <c r="BB56" s="10">
        <f t="shared" si="80"/>
        <v>1100</v>
      </c>
      <c r="BC56" s="10">
        <f t="shared" si="81"/>
        <v>-1073.4227609173308</v>
      </c>
      <c r="BD56" s="10">
        <f t="shared" si="82"/>
        <v>-408.50267667757657</v>
      </c>
      <c r="BE56" s="10">
        <f t="shared" si="83"/>
        <v>-11.808936899842328</v>
      </c>
      <c r="BF56" s="10">
        <f t="shared" si="84"/>
        <v>-355.07955821926618</v>
      </c>
      <c r="BG56" s="10">
        <f t="shared" si="85"/>
        <v>-1848.8139327140159</v>
      </c>
      <c r="BH56" s="10">
        <f t="shared" si="86"/>
        <v>-748.81393271401578</v>
      </c>
      <c r="BI56" s="10">
        <f t="shared" si="87"/>
        <v>-133.45833333333334</v>
      </c>
      <c r="BJ56" s="10">
        <f t="shared" si="88"/>
        <v>-72.42307692307692</v>
      </c>
      <c r="BK56" s="10">
        <f t="shared" si="89"/>
        <v>-225.66380541931554</v>
      </c>
      <c r="BL56" s="10">
        <f t="shared" si="90"/>
        <v>-39.372181581320774</v>
      </c>
      <c r="BM56" s="10">
        <f t="shared" si="91"/>
        <v>28.99625</v>
      </c>
      <c r="BN56" s="10">
        <f t="shared" si="92"/>
        <v>-984.85366971465203</v>
      </c>
      <c r="BO56" s="10">
        <f t="shared" si="93"/>
        <v>-77.399037979757495</v>
      </c>
      <c r="BP56" s="10">
        <f t="shared" si="94"/>
        <v>-1062.2527076944095</v>
      </c>
      <c r="BQ56" s="10">
        <f t="shared" si="95"/>
        <v>61.810166182801083</v>
      </c>
      <c r="BR56" s="10">
        <f t="shared" si="96"/>
        <v>-923.043503531851</v>
      </c>
    </row>
    <row r="57" spans="2:70" hidden="1">
      <c r="B57" s="7" t="s">
        <v>7</v>
      </c>
      <c r="C57" s="29" t="s">
        <v>8</v>
      </c>
      <c r="D57" s="25" t="s">
        <v>276</v>
      </c>
      <c r="E57" s="100">
        <v>54</v>
      </c>
      <c r="F57" s="106">
        <v>46101</v>
      </c>
      <c r="G57" s="101">
        <v>24</v>
      </c>
      <c r="H57" s="102" t="s">
        <v>34</v>
      </c>
      <c r="I57" s="27" t="s">
        <v>116</v>
      </c>
      <c r="J57" s="7" t="s">
        <v>153</v>
      </c>
      <c r="K57" s="7" t="s">
        <v>118</v>
      </c>
      <c r="L57" s="7" t="s">
        <v>119</v>
      </c>
      <c r="M57" s="21" t="s">
        <v>50</v>
      </c>
      <c r="N57" s="7" t="s">
        <v>120</v>
      </c>
      <c r="O57" s="20">
        <v>1100</v>
      </c>
      <c r="P57" s="69">
        <v>26400</v>
      </c>
      <c r="Q57" s="20">
        <v>953.625</v>
      </c>
      <c r="R57" s="30">
        <v>3513</v>
      </c>
      <c r="S57" s="32">
        <f t="shared" si="62"/>
        <v>22887</v>
      </c>
      <c r="T57" s="65">
        <v>1</v>
      </c>
      <c r="U57" s="66" t="s">
        <v>274</v>
      </c>
      <c r="V57" s="70" t="s">
        <v>277</v>
      </c>
      <c r="W57" s="66" t="s">
        <v>226</v>
      </c>
      <c r="X57" s="4" t="s">
        <v>113</v>
      </c>
      <c r="Y57" s="7">
        <v>10005779</v>
      </c>
      <c r="Z57" s="7" t="s">
        <v>218</v>
      </c>
      <c r="AA57" s="7" t="str">
        <f t="shared" si="98"/>
        <v>FEBRERO10005779Inventario final</v>
      </c>
      <c r="AB57" s="20">
        <f t="shared" si="99"/>
        <v>1848.8139327140159</v>
      </c>
      <c r="AC57" s="222">
        <f>IFERROR(INDEX('Costos Producción Febrero'!$G$34:$G$57,MATCH(Resumen!Y57,'Costos Producción Febrero'!$B$34:$B$57,0))*AB57*G57,0)</f>
        <v>25762.14626201594</v>
      </c>
      <c r="AD57" s="46">
        <f>IFERROR(INDEX('Costos Producción Febrero'!$H$34:$H$57,MATCH(Resumen!Y57,'Costos Producción Febrero'!$B$34:$B$57,0))*AB57*G57,0)</f>
        <v>9804.0642402618378</v>
      </c>
      <c r="AE57" s="46">
        <f>IFERROR(INDEX('Costos Producción Febrero'!$I$34:$I$57,MATCH(Resumen!Y57,'Costos Producción Febrero'!$B$34:$B$57,0))*AB57*G57,0)</f>
        <v>283.41448559621585</v>
      </c>
      <c r="AF57" s="46">
        <f>IFERROR(INDEX('Costos Producción Febrero'!$J$34:$J$57,MATCH(Resumen!Y57,'Costos Producción Febrero'!$B$34:$B$57,0))*AB57*G57,0)</f>
        <v>8521.9093972623887</v>
      </c>
      <c r="AG57" s="46">
        <f t="shared" si="97"/>
        <v>44371.53438513638</v>
      </c>
      <c r="AH57" s="46"/>
      <c r="AI57" s="45">
        <v>2100.2380844815898</v>
      </c>
      <c r="AJ57" s="46"/>
      <c r="AK57" s="45">
        <f t="shared" si="65"/>
        <v>-17971.53438513638</v>
      </c>
      <c r="AL57" s="94">
        <f t="shared" si="66"/>
        <v>-0.68073993883092343</v>
      </c>
      <c r="AM57" s="44">
        <f t="shared" si="67"/>
        <v>3513</v>
      </c>
      <c r="AN57" s="44">
        <f t="shared" si="68"/>
        <v>474.77748390972658</v>
      </c>
      <c r="AO57" s="44">
        <f t="shared" si="100"/>
        <v>1738.1538461538462</v>
      </c>
      <c r="AP57" s="44">
        <f t="shared" si="69"/>
        <v>5725.9313300635731</v>
      </c>
      <c r="AQ57" s="44">
        <f t="shared" si="70"/>
        <v>944.93235795169858</v>
      </c>
      <c r="AR57" s="44">
        <f t="shared" si="71"/>
        <v>686.61</v>
      </c>
      <c r="AS57" s="45">
        <f t="shared" si="72"/>
        <v>-23955.788073151649</v>
      </c>
      <c r="AT57" s="94">
        <f t="shared" si="73"/>
        <v>-0.90741621489210789</v>
      </c>
      <c r="AU57" s="44">
        <f t="shared" si="74"/>
        <v>1857.5769115141798</v>
      </c>
      <c r="AV57" s="45">
        <f t="shared" si="75"/>
        <v>-25813.36498466583</v>
      </c>
      <c r="AW57" s="94">
        <f t="shared" si="76"/>
        <v>-0.97777897669188751</v>
      </c>
      <c r="AX57" s="44">
        <f t="shared" si="77"/>
        <v>1483.443988387226</v>
      </c>
      <c r="AY57" s="45">
        <f t="shared" si="78"/>
        <v>-22472.344084764423</v>
      </c>
      <c r="AZ57" s="94">
        <f t="shared" si="79"/>
        <v>-0.85122515472592508</v>
      </c>
      <c r="BB57" s="10">
        <f t="shared" si="80"/>
        <v>1100</v>
      </c>
      <c r="BC57" s="10">
        <f t="shared" si="81"/>
        <v>-1073.4227609173308</v>
      </c>
      <c r="BD57" s="10">
        <f t="shared" si="82"/>
        <v>-408.50267667757657</v>
      </c>
      <c r="BE57" s="10">
        <f t="shared" si="83"/>
        <v>-11.808936899842328</v>
      </c>
      <c r="BF57" s="10">
        <f t="shared" si="84"/>
        <v>-355.07955821926618</v>
      </c>
      <c r="BG57" s="10">
        <f t="shared" si="85"/>
        <v>-1848.8139327140159</v>
      </c>
      <c r="BH57" s="10">
        <f t="shared" si="86"/>
        <v>-748.81393271401578</v>
      </c>
      <c r="BI57" s="10">
        <f t="shared" si="87"/>
        <v>-146.375</v>
      </c>
      <c r="BJ57" s="10">
        <f t="shared" si="88"/>
        <v>-72.42307692307692</v>
      </c>
      <c r="BK57" s="10">
        <f t="shared" si="89"/>
        <v>-238.58047208598222</v>
      </c>
      <c r="BL57" s="10">
        <f t="shared" si="90"/>
        <v>-39.372181581320774</v>
      </c>
      <c r="BM57" s="10">
        <f t="shared" si="91"/>
        <v>28.608750000000001</v>
      </c>
      <c r="BN57" s="10">
        <f t="shared" si="92"/>
        <v>-998.1578363813187</v>
      </c>
      <c r="BO57" s="10">
        <f t="shared" si="93"/>
        <v>-77.399037979757495</v>
      </c>
      <c r="BP57" s="10">
        <f t="shared" si="94"/>
        <v>-1075.5568743610763</v>
      </c>
      <c r="BQ57" s="10">
        <f t="shared" si="95"/>
        <v>61.810166182801083</v>
      </c>
      <c r="BR57" s="10">
        <f t="shared" si="96"/>
        <v>-936.34767019851768</v>
      </c>
    </row>
    <row r="58" spans="2:70" hidden="1">
      <c r="B58" s="7" t="s">
        <v>7</v>
      </c>
      <c r="C58" s="29" t="s">
        <v>8</v>
      </c>
      <c r="D58" s="25" t="s">
        <v>278</v>
      </c>
      <c r="E58" s="100">
        <v>54</v>
      </c>
      <c r="F58" s="106">
        <v>46101</v>
      </c>
      <c r="G58" s="101">
        <v>24</v>
      </c>
      <c r="H58" s="102" t="s">
        <v>34</v>
      </c>
      <c r="I58" s="27" t="s">
        <v>116</v>
      </c>
      <c r="J58" s="7" t="s">
        <v>153</v>
      </c>
      <c r="K58" s="7" t="s">
        <v>118</v>
      </c>
      <c r="L58" s="7" t="s">
        <v>119</v>
      </c>
      <c r="M58" s="21" t="s">
        <v>50</v>
      </c>
      <c r="N58" s="7" t="s">
        <v>120</v>
      </c>
      <c r="O58" s="20">
        <v>1100</v>
      </c>
      <c r="P58" s="69">
        <v>26400</v>
      </c>
      <c r="Q58" s="20">
        <v>953.625</v>
      </c>
      <c r="R58" s="30">
        <v>3513</v>
      </c>
      <c r="S58" s="32">
        <f t="shared" si="62"/>
        <v>22887</v>
      </c>
      <c r="T58" s="65">
        <v>1</v>
      </c>
      <c r="U58" s="66" t="s">
        <v>274</v>
      </c>
      <c r="V58" s="70" t="s">
        <v>279</v>
      </c>
      <c r="W58" s="66" t="s">
        <v>226</v>
      </c>
      <c r="X58" s="4" t="s">
        <v>113</v>
      </c>
      <c r="Y58" s="7">
        <v>10005779</v>
      </c>
      <c r="Z58" s="7" t="s">
        <v>218</v>
      </c>
      <c r="AA58" s="7" t="str">
        <f t="shared" si="98"/>
        <v>FEBRERO10005779Inventario final</v>
      </c>
      <c r="AB58" s="20">
        <f t="shared" si="99"/>
        <v>1848.8139327140159</v>
      </c>
      <c r="AC58" s="222">
        <f>IFERROR(INDEX('Costos Producción Febrero'!$G$34:$G$57,MATCH(Resumen!Y58,'Costos Producción Febrero'!$B$34:$B$57,0))*AB58*G58,0)</f>
        <v>25762.14626201594</v>
      </c>
      <c r="AD58" s="46">
        <f>IFERROR(INDEX('Costos Producción Febrero'!$H$34:$H$57,MATCH(Resumen!Y58,'Costos Producción Febrero'!$B$34:$B$57,0))*AB58*G58,0)</f>
        <v>9804.0642402618378</v>
      </c>
      <c r="AE58" s="46">
        <f>IFERROR(INDEX('Costos Producción Febrero'!$I$34:$I$57,MATCH(Resumen!Y58,'Costos Producción Febrero'!$B$34:$B$57,0))*AB58*G58,0)</f>
        <v>283.41448559621585</v>
      </c>
      <c r="AF58" s="46">
        <f>IFERROR(INDEX('Costos Producción Febrero'!$J$34:$J$57,MATCH(Resumen!Y58,'Costos Producción Febrero'!$B$34:$B$57,0))*AB58*G58,0)</f>
        <v>8521.9093972623887</v>
      </c>
      <c r="AG58" s="46">
        <f t="shared" si="97"/>
        <v>44371.53438513638</v>
      </c>
      <c r="AH58" s="46"/>
      <c r="AI58" s="45">
        <v>2100.2380844815898</v>
      </c>
      <c r="AJ58" s="46"/>
      <c r="AK58" s="45">
        <f t="shared" si="65"/>
        <v>-17971.53438513638</v>
      </c>
      <c r="AL58" s="94">
        <f t="shared" si="66"/>
        <v>-0.68073993883092343</v>
      </c>
      <c r="AM58" s="44">
        <f t="shared" si="67"/>
        <v>3513</v>
      </c>
      <c r="AN58" s="44">
        <f t="shared" si="68"/>
        <v>474.77748390972658</v>
      </c>
      <c r="AO58" s="44">
        <f t="shared" si="100"/>
        <v>1738.1538461538462</v>
      </c>
      <c r="AP58" s="44">
        <f t="shared" si="69"/>
        <v>5725.9313300635731</v>
      </c>
      <c r="AQ58" s="44">
        <f t="shared" si="70"/>
        <v>944.93235795169858</v>
      </c>
      <c r="AR58" s="44">
        <f t="shared" si="71"/>
        <v>686.61</v>
      </c>
      <c r="AS58" s="45">
        <f t="shared" si="72"/>
        <v>-23955.788073151649</v>
      </c>
      <c r="AT58" s="94">
        <f t="shared" si="73"/>
        <v>-0.90741621489210789</v>
      </c>
      <c r="AU58" s="44">
        <f t="shared" si="74"/>
        <v>1857.5769115141798</v>
      </c>
      <c r="AV58" s="45">
        <f t="shared" si="75"/>
        <v>-25813.36498466583</v>
      </c>
      <c r="AW58" s="94">
        <f t="shared" si="76"/>
        <v>-0.97777897669188751</v>
      </c>
      <c r="AX58" s="44">
        <f t="shared" si="77"/>
        <v>1483.443988387226</v>
      </c>
      <c r="AY58" s="45">
        <f t="shared" si="78"/>
        <v>-22472.344084764423</v>
      </c>
      <c r="AZ58" s="94">
        <f t="shared" si="79"/>
        <v>-0.85122515472592508</v>
      </c>
      <c r="BB58" s="10">
        <f t="shared" si="80"/>
        <v>1100</v>
      </c>
      <c r="BC58" s="10">
        <f t="shared" si="81"/>
        <v>-1073.4227609173308</v>
      </c>
      <c r="BD58" s="10">
        <f t="shared" si="82"/>
        <v>-408.50267667757657</v>
      </c>
      <c r="BE58" s="10">
        <f t="shared" si="83"/>
        <v>-11.808936899842328</v>
      </c>
      <c r="BF58" s="10">
        <f t="shared" si="84"/>
        <v>-355.07955821926618</v>
      </c>
      <c r="BG58" s="10">
        <f t="shared" si="85"/>
        <v>-1848.8139327140159</v>
      </c>
      <c r="BH58" s="10">
        <f t="shared" si="86"/>
        <v>-748.81393271401578</v>
      </c>
      <c r="BI58" s="10">
        <f t="shared" si="87"/>
        <v>-146.375</v>
      </c>
      <c r="BJ58" s="10">
        <f t="shared" si="88"/>
        <v>-72.42307692307692</v>
      </c>
      <c r="BK58" s="10">
        <f t="shared" si="89"/>
        <v>-238.58047208598222</v>
      </c>
      <c r="BL58" s="10">
        <f t="shared" si="90"/>
        <v>-39.372181581320774</v>
      </c>
      <c r="BM58" s="10">
        <f t="shared" si="91"/>
        <v>28.608750000000001</v>
      </c>
      <c r="BN58" s="10">
        <f t="shared" si="92"/>
        <v>-998.1578363813187</v>
      </c>
      <c r="BO58" s="10">
        <f t="shared" si="93"/>
        <v>-77.399037979757495</v>
      </c>
      <c r="BP58" s="10">
        <f t="shared" si="94"/>
        <v>-1075.5568743610763</v>
      </c>
      <c r="BQ58" s="10">
        <f t="shared" si="95"/>
        <v>61.810166182801083</v>
      </c>
      <c r="BR58" s="10">
        <f t="shared" si="96"/>
        <v>-936.34767019851768</v>
      </c>
    </row>
    <row r="59" spans="2:70" hidden="1">
      <c r="B59" s="7" t="s">
        <v>7</v>
      </c>
      <c r="C59" s="29" t="s">
        <v>8</v>
      </c>
      <c r="D59" s="25" t="s">
        <v>280</v>
      </c>
      <c r="E59" s="100">
        <v>54</v>
      </c>
      <c r="F59" s="106">
        <v>46108</v>
      </c>
      <c r="G59" s="101">
        <v>24</v>
      </c>
      <c r="H59" s="102" t="s">
        <v>34</v>
      </c>
      <c r="I59" s="27" t="s">
        <v>116</v>
      </c>
      <c r="J59" s="7" t="s">
        <v>153</v>
      </c>
      <c r="K59" s="7" t="s">
        <v>118</v>
      </c>
      <c r="L59" s="7" t="s">
        <v>119</v>
      </c>
      <c r="M59" s="21" t="s">
        <v>50</v>
      </c>
      <c r="N59" s="7" t="s">
        <v>120</v>
      </c>
      <c r="O59" s="20">
        <v>1100</v>
      </c>
      <c r="P59" s="69">
        <v>26400</v>
      </c>
      <c r="Q59" s="20">
        <v>953.625</v>
      </c>
      <c r="R59" s="30">
        <v>3513</v>
      </c>
      <c r="S59" s="32">
        <f t="shared" si="62"/>
        <v>22887</v>
      </c>
      <c r="T59" s="65">
        <v>1</v>
      </c>
      <c r="U59" s="59" t="s">
        <v>260</v>
      </c>
      <c r="V59" s="67" t="s">
        <v>281</v>
      </c>
      <c r="W59" s="66" t="s">
        <v>226</v>
      </c>
      <c r="X59" s="4" t="s">
        <v>113</v>
      </c>
      <c r="Y59" s="7">
        <v>10005779</v>
      </c>
      <c r="Z59" s="7" t="s">
        <v>218</v>
      </c>
      <c r="AA59" s="7" t="str">
        <f t="shared" si="98"/>
        <v>FEBRERO10005779Inventario final</v>
      </c>
      <c r="AB59" s="20">
        <f t="shared" si="99"/>
        <v>1848.8139327140159</v>
      </c>
      <c r="AC59" s="222">
        <f>IFERROR(INDEX('Costos Producción Febrero'!$G$34:$G$57,MATCH(Resumen!Y59,'Costos Producción Febrero'!$B$34:$B$57,0))*AB59*G59,0)</f>
        <v>25762.14626201594</v>
      </c>
      <c r="AD59" s="46">
        <f>IFERROR(INDEX('Costos Producción Febrero'!$H$34:$H$57,MATCH(Resumen!Y59,'Costos Producción Febrero'!$B$34:$B$57,0))*AB59*G59,0)</f>
        <v>9804.0642402618378</v>
      </c>
      <c r="AE59" s="46">
        <f>IFERROR(INDEX('Costos Producción Febrero'!$I$34:$I$57,MATCH(Resumen!Y59,'Costos Producción Febrero'!$B$34:$B$57,0))*AB59*G59,0)</f>
        <v>283.41448559621585</v>
      </c>
      <c r="AF59" s="46">
        <f>IFERROR(INDEX('Costos Producción Febrero'!$J$34:$J$57,MATCH(Resumen!Y59,'Costos Producción Febrero'!$B$34:$B$57,0))*AB59*G59,0)</f>
        <v>8521.9093972623887</v>
      </c>
      <c r="AG59" s="46">
        <f t="shared" si="97"/>
        <v>44371.53438513638</v>
      </c>
      <c r="AH59" s="46"/>
      <c r="AI59" s="45">
        <v>2100.2380844815898</v>
      </c>
      <c r="AJ59" s="46"/>
      <c r="AK59" s="45">
        <f t="shared" si="65"/>
        <v>-17971.53438513638</v>
      </c>
      <c r="AL59" s="94">
        <f t="shared" si="66"/>
        <v>-0.68073993883092343</v>
      </c>
      <c r="AM59" s="44">
        <f t="shared" si="67"/>
        <v>3513</v>
      </c>
      <c r="AN59" s="44">
        <f t="shared" si="68"/>
        <v>474.77748390972658</v>
      </c>
      <c r="AO59" s="44">
        <f t="shared" si="100"/>
        <v>1738.1538461538462</v>
      </c>
      <c r="AP59" s="44">
        <f t="shared" si="69"/>
        <v>5725.9313300635731</v>
      </c>
      <c r="AQ59" s="44">
        <f t="shared" si="70"/>
        <v>944.93235795169858</v>
      </c>
      <c r="AR59" s="44">
        <f t="shared" si="71"/>
        <v>686.61</v>
      </c>
      <c r="AS59" s="45">
        <f t="shared" si="72"/>
        <v>-23955.788073151649</v>
      </c>
      <c r="AT59" s="94">
        <f t="shared" si="73"/>
        <v>-0.90741621489210789</v>
      </c>
      <c r="AU59" s="44">
        <f t="shared" si="74"/>
        <v>1857.5769115141798</v>
      </c>
      <c r="AV59" s="45">
        <f t="shared" si="75"/>
        <v>-25813.36498466583</v>
      </c>
      <c r="AW59" s="94">
        <f t="shared" si="76"/>
        <v>-0.97777897669188751</v>
      </c>
      <c r="AX59" s="44">
        <f t="shared" si="77"/>
        <v>1483.443988387226</v>
      </c>
      <c r="AY59" s="45">
        <f t="shared" si="78"/>
        <v>-22472.344084764423</v>
      </c>
      <c r="AZ59" s="94">
        <f t="shared" si="79"/>
        <v>-0.85122515472592508</v>
      </c>
      <c r="BB59" s="10">
        <f t="shared" si="80"/>
        <v>1100</v>
      </c>
      <c r="BC59" s="10">
        <f t="shared" si="81"/>
        <v>-1073.4227609173308</v>
      </c>
      <c r="BD59" s="10">
        <f t="shared" si="82"/>
        <v>-408.50267667757657</v>
      </c>
      <c r="BE59" s="10">
        <f t="shared" si="83"/>
        <v>-11.808936899842328</v>
      </c>
      <c r="BF59" s="10">
        <f t="shared" si="84"/>
        <v>-355.07955821926618</v>
      </c>
      <c r="BG59" s="10">
        <f t="shared" si="85"/>
        <v>-1848.8139327140159</v>
      </c>
      <c r="BH59" s="10">
        <f t="shared" si="86"/>
        <v>-748.81393271401578</v>
      </c>
      <c r="BI59" s="10">
        <f t="shared" si="87"/>
        <v>-146.375</v>
      </c>
      <c r="BJ59" s="10">
        <f t="shared" si="88"/>
        <v>-72.42307692307692</v>
      </c>
      <c r="BK59" s="10">
        <f t="shared" si="89"/>
        <v>-238.58047208598222</v>
      </c>
      <c r="BL59" s="10">
        <f t="shared" si="90"/>
        <v>-39.372181581320774</v>
      </c>
      <c r="BM59" s="10">
        <f t="shared" si="91"/>
        <v>28.608750000000001</v>
      </c>
      <c r="BN59" s="10">
        <f t="shared" si="92"/>
        <v>-998.1578363813187</v>
      </c>
      <c r="BO59" s="10">
        <f t="shared" si="93"/>
        <v>-77.399037979757495</v>
      </c>
      <c r="BP59" s="10">
        <f t="shared" si="94"/>
        <v>-1075.5568743610763</v>
      </c>
      <c r="BQ59" s="10">
        <f t="shared" si="95"/>
        <v>61.810166182801083</v>
      </c>
      <c r="BR59" s="10">
        <f t="shared" si="96"/>
        <v>-936.34767019851768</v>
      </c>
    </row>
    <row r="60" spans="2:70" hidden="1">
      <c r="B60" s="7" t="s">
        <v>7</v>
      </c>
      <c r="C60" s="29" t="s">
        <v>8</v>
      </c>
      <c r="D60" s="25" t="s">
        <v>282</v>
      </c>
      <c r="E60" s="100">
        <v>54</v>
      </c>
      <c r="F60" s="106">
        <v>46108</v>
      </c>
      <c r="G60" s="101">
        <v>24</v>
      </c>
      <c r="H60" s="102" t="s">
        <v>34</v>
      </c>
      <c r="I60" s="27" t="s">
        <v>116</v>
      </c>
      <c r="J60" s="7" t="s">
        <v>153</v>
      </c>
      <c r="K60" s="7" t="s">
        <v>118</v>
      </c>
      <c r="L60" s="7" t="s">
        <v>119</v>
      </c>
      <c r="M60" s="21" t="s">
        <v>50</v>
      </c>
      <c r="N60" s="7" t="s">
        <v>120</v>
      </c>
      <c r="O60" s="20">
        <v>1100</v>
      </c>
      <c r="P60" s="69">
        <v>26400</v>
      </c>
      <c r="Q60" s="20">
        <v>953.625</v>
      </c>
      <c r="R60" s="30">
        <v>3513</v>
      </c>
      <c r="S60" s="32">
        <f t="shared" si="62"/>
        <v>22887</v>
      </c>
      <c r="T60" s="65">
        <v>1</v>
      </c>
      <c r="U60" s="59" t="s">
        <v>260</v>
      </c>
      <c r="V60" s="67" t="s">
        <v>283</v>
      </c>
      <c r="W60" s="66" t="s">
        <v>226</v>
      </c>
      <c r="X60" s="4" t="s">
        <v>113</v>
      </c>
      <c r="Y60" s="7">
        <v>10005779</v>
      </c>
      <c r="Z60" s="7" t="s">
        <v>218</v>
      </c>
      <c r="AA60" s="7" t="str">
        <f t="shared" si="98"/>
        <v>FEBRERO10005779Inventario final</v>
      </c>
      <c r="AB60" s="20">
        <f t="shared" si="99"/>
        <v>1848.8139327140159</v>
      </c>
      <c r="AC60" s="222">
        <f>IFERROR(INDEX('Costos Producción Febrero'!$G$34:$G$57,MATCH(Resumen!Y60,'Costos Producción Febrero'!$B$34:$B$57,0))*AB60*G60,0)</f>
        <v>25762.14626201594</v>
      </c>
      <c r="AD60" s="46">
        <f>IFERROR(INDEX('Costos Producción Febrero'!$H$34:$H$57,MATCH(Resumen!Y60,'Costos Producción Febrero'!$B$34:$B$57,0))*AB60*G60,0)</f>
        <v>9804.0642402618378</v>
      </c>
      <c r="AE60" s="46">
        <f>IFERROR(INDEX('Costos Producción Febrero'!$I$34:$I$57,MATCH(Resumen!Y60,'Costos Producción Febrero'!$B$34:$B$57,0))*AB60*G60,0)</f>
        <v>283.41448559621585</v>
      </c>
      <c r="AF60" s="46">
        <f>IFERROR(INDEX('Costos Producción Febrero'!$J$34:$J$57,MATCH(Resumen!Y60,'Costos Producción Febrero'!$B$34:$B$57,0))*AB60*G60,0)</f>
        <v>8521.9093972623887</v>
      </c>
      <c r="AG60" s="46">
        <f t="shared" si="97"/>
        <v>44371.53438513638</v>
      </c>
      <c r="AH60" s="46"/>
      <c r="AI60" s="45">
        <v>2100.2380844815898</v>
      </c>
      <c r="AJ60" s="46"/>
      <c r="AK60" s="45">
        <f t="shared" si="65"/>
        <v>-17971.53438513638</v>
      </c>
      <c r="AL60" s="94">
        <f t="shared" si="66"/>
        <v>-0.68073993883092343</v>
      </c>
      <c r="AM60" s="44">
        <f t="shared" si="67"/>
        <v>3513</v>
      </c>
      <c r="AN60" s="44">
        <f t="shared" si="68"/>
        <v>474.77748390972658</v>
      </c>
      <c r="AO60" s="44">
        <f t="shared" si="100"/>
        <v>1738.1538461538462</v>
      </c>
      <c r="AP60" s="44">
        <f t="shared" si="69"/>
        <v>5725.9313300635731</v>
      </c>
      <c r="AQ60" s="44">
        <f t="shared" si="70"/>
        <v>944.93235795169858</v>
      </c>
      <c r="AR60" s="44">
        <f t="shared" si="71"/>
        <v>686.61</v>
      </c>
      <c r="AS60" s="45">
        <f t="shared" si="72"/>
        <v>-23955.788073151649</v>
      </c>
      <c r="AT60" s="94">
        <f t="shared" si="73"/>
        <v>-0.90741621489210789</v>
      </c>
      <c r="AU60" s="44">
        <f t="shared" si="74"/>
        <v>1857.5769115141798</v>
      </c>
      <c r="AV60" s="45">
        <f t="shared" si="75"/>
        <v>-25813.36498466583</v>
      </c>
      <c r="AW60" s="94">
        <f t="shared" si="76"/>
        <v>-0.97777897669188751</v>
      </c>
      <c r="AX60" s="44">
        <f t="shared" si="77"/>
        <v>1483.443988387226</v>
      </c>
      <c r="AY60" s="45">
        <f t="shared" si="78"/>
        <v>-22472.344084764423</v>
      </c>
      <c r="AZ60" s="94">
        <f t="shared" si="79"/>
        <v>-0.85122515472592508</v>
      </c>
      <c r="BB60" s="10">
        <f t="shared" si="80"/>
        <v>1100</v>
      </c>
      <c r="BC60" s="10">
        <f t="shared" si="81"/>
        <v>-1073.4227609173308</v>
      </c>
      <c r="BD60" s="10">
        <f t="shared" si="82"/>
        <v>-408.50267667757657</v>
      </c>
      <c r="BE60" s="10">
        <f t="shared" si="83"/>
        <v>-11.808936899842328</v>
      </c>
      <c r="BF60" s="10">
        <f t="shared" si="84"/>
        <v>-355.07955821926618</v>
      </c>
      <c r="BG60" s="10">
        <f t="shared" si="85"/>
        <v>-1848.8139327140159</v>
      </c>
      <c r="BH60" s="10">
        <f t="shared" si="86"/>
        <v>-748.81393271401578</v>
      </c>
      <c r="BI60" s="10">
        <f t="shared" si="87"/>
        <v>-146.375</v>
      </c>
      <c r="BJ60" s="10">
        <f t="shared" si="88"/>
        <v>-72.42307692307692</v>
      </c>
      <c r="BK60" s="10">
        <f t="shared" si="89"/>
        <v>-238.58047208598222</v>
      </c>
      <c r="BL60" s="10">
        <f t="shared" si="90"/>
        <v>-39.372181581320774</v>
      </c>
      <c r="BM60" s="10">
        <f t="shared" si="91"/>
        <v>28.608750000000001</v>
      </c>
      <c r="BN60" s="10">
        <f t="shared" si="92"/>
        <v>-998.1578363813187</v>
      </c>
      <c r="BO60" s="10">
        <f t="shared" si="93"/>
        <v>-77.399037979757495</v>
      </c>
      <c r="BP60" s="10">
        <f t="shared" si="94"/>
        <v>-1075.5568743610763</v>
      </c>
      <c r="BQ60" s="10">
        <f t="shared" si="95"/>
        <v>61.810166182801083</v>
      </c>
      <c r="BR60" s="10">
        <f t="shared" si="96"/>
        <v>-936.34767019851768</v>
      </c>
    </row>
    <row r="61" spans="2:70" hidden="1">
      <c r="B61" s="7" t="s">
        <v>7</v>
      </c>
      <c r="C61" s="29" t="s">
        <v>8</v>
      </c>
      <c r="D61" s="25" t="s">
        <v>284</v>
      </c>
      <c r="E61" s="100">
        <v>54</v>
      </c>
      <c r="F61" s="106">
        <v>46108</v>
      </c>
      <c r="G61" s="101">
        <v>24</v>
      </c>
      <c r="H61" s="102" t="s">
        <v>34</v>
      </c>
      <c r="I61" s="27" t="s">
        <v>116</v>
      </c>
      <c r="J61" s="7" t="s">
        <v>153</v>
      </c>
      <c r="K61" s="7" t="s">
        <v>118</v>
      </c>
      <c r="L61" s="7" t="s">
        <v>119</v>
      </c>
      <c r="M61" s="21" t="s">
        <v>50</v>
      </c>
      <c r="N61" s="7" t="s">
        <v>120</v>
      </c>
      <c r="O61" s="20">
        <v>1100</v>
      </c>
      <c r="P61" s="69">
        <v>26400</v>
      </c>
      <c r="Q61" s="20">
        <v>966.54166666666663</v>
      </c>
      <c r="R61" s="30">
        <v>3203</v>
      </c>
      <c r="S61" s="32">
        <f t="shared" si="62"/>
        <v>23197</v>
      </c>
      <c r="T61" s="65">
        <v>1</v>
      </c>
      <c r="U61" s="59" t="s">
        <v>260</v>
      </c>
      <c r="V61" s="67" t="s">
        <v>285</v>
      </c>
      <c r="W61" s="66" t="s">
        <v>226</v>
      </c>
      <c r="X61" s="4" t="s">
        <v>113</v>
      </c>
      <c r="Y61" s="7">
        <v>10005779</v>
      </c>
      <c r="Z61" s="7" t="s">
        <v>218</v>
      </c>
      <c r="AA61" s="7" t="str">
        <f t="shared" si="98"/>
        <v>FEBRERO10005779Inventario final</v>
      </c>
      <c r="AB61" s="20">
        <f t="shared" si="99"/>
        <v>1848.8139327140159</v>
      </c>
      <c r="AC61" s="222">
        <f>IFERROR(INDEX('Costos Producción Febrero'!$G$34:$G$57,MATCH(Resumen!Y61,'Costos Producción Febrero'!$B$34:$B$57,0))*AB61*G61,0)</f>
        <v>25762.14626201594</v>
      </c>
      <c r="AD61" s="46">
        <f>IFERROR(INDEX('Costos Producción Febrero'!$H$34:$H$57,MATCH(Resumen!Y61,'Costos Producción Febrero'!$B$34:$B$57,0))*AB61*G61,0)</f>
        <v>9804.0642402618378</v>
      </c>
      <c r="AE61" s="46">
        <f>IFERROR(INDEX('Costos Producción Febrero'!$I$34:$I$57,MATCH(Resumen!Y61,'Costos Producción Febrero'!$B$34:$B$57,0))*AB61*G61,0)</f>
        <v>283.41448559621585</v>
      </c>
      <c r="AF61" s="46">
        <f>IFERROR(INDEX('Costos Producción Febrero'!$J$34:$J$57,MATCH(Resumen!Y61,'Costos Producción Febrero'!$B$34:$B$57,0))*AB61*G61,0)</f>
        <v>8521.9093972623887</v>
      </c>
      <c r="AG61" s="46">
        <f t="shared" si="97"/>
        <v>44371.53438513638</v>
      </c>
      <c r="AH61" s="46"/>
      <c r="AI61" s="45">
        <v>2100.2380844815898</v>
      </c>
      <c r="AJ61" s="46"/>
      <c r="AK61" s="45">
        <f t="shared" si="65"/>
        <v>-17971.53438513638</v>
      </c>
      <c r="AL61" s="94">
        <f t="shared" si="66"/>
        <v>-0.68073993883092343</v>
      </c>
      <c r="AM61" s="44">
        <f t="shared" si="67"/>
        <v>3203</v>
      </c>
      <c r="AN61" s="44">
        <f t="shared" si="68"/>
        <v>474.77748390972658</v>
      </c>
      <c r="AO61" s="44">
        <f t="shared" si="100"/>
        <v>1738.1538461538462</v>
      </c>
      <c r="AP61" s="44">
        <f t="shared" si="69"/>
        <v>5415.9313300635731</v>
      </c>
      <c r="AQ61" s="44">
        <f t="shared" si="70"/>
        <v>944.93235795169858</v>
      </c>
      <c r="AR61" s="44">
        <f t="shared" si="71"/>
        <v>695.91</v>
      </c>
      <c r="AS61" s="45">
        <f t="shared" si="72"/>
        <v>-23636.48807315165</v>
      </c>
      <c r="AT61" s="94">
        <f t="shared" si="73"/>
        <v>-0.89532151792241099</v>
      </c>
      <c r="AU61" s="44">
        <f t="shared" si="74"/>
        <v>1857.5769115141798</v>
      </c>
      <c r="AV61" s="45">
        <f t="shared" si="75"/>
        <v>-25494.064984665831</v>
      </c>
      <c r="AW61" s="94">
        <f t="shared" si="76"/>
        <v>-0.96568427972219051</v>
      </c>
      <c r="AX61" s="44">
        <f t="shared" si="77"/>
        <v>1483.443988387226</v>
      </c>
      <c r="AY61" s="45">
        <f t="shared" si="78"/>
        <v>-22153.044084764424</v>
      </c>
      <c r="AZ61" s="94">
        <f t="shared" si="79"/>
        <v>-0.83913045775622819</v>
      </c>
      <c r="BB61" s="10">
        <f t="shared" si="80"/>
        <v>1100</v>
      </c>
      <c r="BC61" s="10">
        <f t="shared" si="81"/>
        <v>-1073.4227609173308</v>
      </c>
      <c r="BD61" s="10">
        <f t="shared" si="82"/>
        <v>-408.50267667757657</v>
      </c>
      <c r="BE61" s="10">
        <f t="shared" si="83"/>
        <v>-11.808936899842328</v>
      </c>
      <c r="BF61" s="10">
        <f t="shared" si="84"/>
        <v>-355.07955821926618</v>
      </c>
      <c r="BG61" s="10">
        <f t="shared" si="85"/>
        <v>-1848.8139327140159</v>
      </c>
      <c r="BH61" s="10">
        <f t="shared" si="86"/>
        <v>-748.81393271401578</v>
      </c>
      <c r="BI61" s="10">
        <f t="shared" si="87"/>
        <v>-133.45833333333334</v>
      </c>
      <c r="BJ61" s="10">
        <f t="shared" si="88"/>
        <v>-72.42307692307692</v>
      </c>
      <c r="BK61" s="10">
        <f t="shared" si="89"/>
        <v>-225.66380541931554</v>
      </c>
      <c r="BL61" s="10">
        <f t="shared" si="90"/>
        <v>-39.372181581320774</v>
      </c>
      <c r="BM61" s="10">
        <f t="shared" si="91"/>
        <v>28.99625</v>
      </c>
      <c r="BN61" s="10">
        <f t="shared" si="92"/>
        <v>-984.85366971465203</v>
      </c>
      <c r="BO61" s="10">
        <f t="shared" si="93"/>
        <v>-77.399037979757495</v>
      </c>
      <c r="BP61" s="10">
        <f t="shared" si="94"/>
        <v>-1062.2527076944095</v>
      </c>
      <c r="BQ61" s="10">
        <f t="shared" si="95"/>
        <v>61.810166182801083</v>
      </c>
      <c r="BR61" s="10">
        <f t="shared" si="96"/>
        <v>-923.043503531851</v>
      </c>
    </row>
    <row r="62" spans="2:70" hidden="1">
      <c r="B62" s="7" t="s">
        <v>7</v>
      </c>
      <c r="C62" s="29" t="s">
        <v>8</v>
      </c>
      <c r="D62" s="25" t="s">
        <v>286</v>
      </c>
      <c r="E62" s="100">
        <v>54</v>
      </c>
      <c r="F62" s="106">
        <v>46108</v>
      </c>
      <c r="G62" s="101">
        <v>24</v>
      </c>
      <c r="H62" s="102" t="s">
        <v>34</v>
      </c>
      <c r="I62" s="27" t="s">
        <v>116</v>
      </c>
      <c r="J62" s="7" t="s">
        <v>247</v>
      </c>
      <c r="K62" s="7" t="s">
        <v>118</v>
      </c>
      <c r="L62" s="7" t="s">
        <v>119</v>
      </c>
      <c r="M62" s="21" t="s">
        <v>50</v>
      </c>
      <c r="N62" s="7" t="s">
        <v>287</v>
      </c>
      <c r="O62" s="20">
        <v>1200</v>
      </c>
      <c r="P62" s="221">
        <f>28800-9240</f>
        <v>19560</v>
      </c>
      <c r="Q62" s="20">
        <v>1054.1666666666667</v>
      </c>
      <c r="R62" s="30">
        <v>3500</v>
      </c>
      <c r="S62" s="32">
        <f t="shared" si="62"/>
        <v>16060</v>
      </c>
      <c r="T62" s="65">
        <v>1</v>
      </c>
      <c r="U62" s="59" t="s">
        <v>260</v>
      </c>
      <c r="V62" s="27">
        <v>6447908140</v>
      </c>
      <c r="W62" s="25" t="s">
        <v>122</v>
      </c>
      <c r="X62" s="4" t="s">
        <v>113</v>
      </c>
      <c r="Y62" s="7">
        <v>10005779</v>
      </c>
      <c r="Z62" s="7" t="s">
        <v>218</v>
      </c>
      <c r="AA62" s="7" t="str">
        <f t="shared" si="98"/>
        <v>FEBRERO10005779Inventario final</v>
      </c>
      <c r="AB62" s="20">
        <f t="shared" si="99"/>
        <v>1848.8139327140159</v>
      </c>
      <c r="AC62" s="222">
        <f>IFERROR(INDEX('Costos Producción Febrero'!$G$34:$G$57,MATCH(Resumen!Y62,'Costos Producción Febrero'!$B$34:$B$57,0))*AB62*G62,0)</f>
        <v>25762.14626201594</v>
      </c>
      <c r="AD62" s="46">
        <f>IFERROR(INDEX('Costos Producción Febrero'!$H$34:$H$57,MATCH(Resumen!Y62,'Costos Producción Febrero'!$B$34:$B$57,0))*AB62*G62,0)</f>
        <v>9804.0642402618378</v>
      </c>
      <c r="AE62" s="46">
        <f>IFERROR(INDEX('Costos Producción Febrero'!$I$34:$I$57,MATCH(Resumen!Y62,'Costos Producción Febrero'!$B$34:$B$57,0))*AB62*G62,0)</f>
        <v>283.41448559621585</v>
      </c>
      <c r="AF62" s="46">
        <f>IFERROR(INDEX('Costos Producción Febrero'!$J$34:$J$57,MATCH(Resumen!Y62,'Costos Producción Febrero'!$B$34:$B$57,0))*AB62*G62,0)</f>
        <v>8521.9093972623887</v>
      </c>
      <c r="AG62" s="46">
        <f t="shared" si="97"/>
        <v>44371.53438513638</v>
      </c>
      <c r="AH62" s="46"/>
      <c r="AI62" s="45">
        <v>2100.2380844815898</v>
      </c>
      <c r="AJ62" s="46"/>
      <c r="AK62" s="45">
        <f t="shared" si="65"/>
        <v>-24811.53438513638</v>
      </c>
      <c r="AL62" s="94">
        <f t="shared" si="66"/>
        <v>-1.2684833530233324</v>
      </c>
      <c r="AM62" s="44">
        <f t="shared" si="67"/>
        <v>3500</v>
      </c>
      <c r="AN62" s="44">
        <f t="shared" si="68"/>
        <v>474.77748390972658</v>
      </c>
      <c r="AO62" s="44">
        <f t="shared" si="100"/>
        <v>1738.1538461538462</v>
      </c>
      <c r="AP62" s="44">
        <f t="shared" si="69"/>
        <v>5712.9313300635731</v>
      </c>
      <c r="AQ62" s="44">
        <f t="shared" si="70"/>
        <v>944.93235795169858</v>
      </c>
      <c r="AR62" s="44">
        <f t="shared" si="71"/>
        <v>481.79999999999995</v>
      </c>
      <c r="AS62" s="45">
        <f t="shared" si="72"/>
        <v>-30987.59807315165</v>
      </c>
      <c r="AT62" s="94">
        <f t="shared" si="73"/>
        <v>-1.5842330303247265</v>
      </c>
      <c r="AU62" s="44">
        <f t="shared" si="74"/>
        <v>1857.5769115141798</v>
      </c>
      <c r="AV62" s="45">
        <f t="shared" si="75"/>
        <v>-32845.174984665828</v>
      </c>
      <c r="AW62" s="94">
        <f t="shared" si="76"/>
        <v>-1.679201175085165</v>
      </c>
      <c r="AX62" s="44">
        <f t="shared" si="77"/>
        <v>1483.443988387226</v>
      </c>
      <c r="AY62" s="45">
        <f t="shared" si="78"/>
        <v>-29504.154084764425</v>
      </c>
      <c r="AZ62" s="94">
        <f t="shared" si="79"/>
        <v>-1.5083923356219031</v>
      </c>
      <c r="BB62" s="10">
        <f t="shared" si="80"/>
        <v>815</v>
      </c>
      <c r="BC62" s="10">
        <f t="shared" si="81"/>
        <v>-1073.4227609173308</v>
      </c>
      <c r="BD62" s="10">
        <f t="shared" si="82"/>
        <v>-408.50267667757657</v>
      </c>
      <c r="BE62" s="10">
        <f t="shared" si="83"/>
        <v>-11.808936899842328</v>
      </c>
      <c r="BF62" s="10">
        <f t="shared" si="84"/>
        <v>-355.07955821926618</v>
      </c>
      <c r="BG62" s="10">
        <f t="shared" si="85"/>
        <v>-1848.8139327140159</v>
      </c>
      <c r="BH62" s="10">
        <f t="shared" si="86"/>
        <v>-1033.8139327140159</v>
      </c>
      <c r="BI62" s="10">
        <f t="shared" si="87"/>
        <v>-145.83333333333334</v>
      </c>
      <c r="BJ62" s="10">
        <f t="shared" si="88"/>
        <v>-72.42307692307692</v>
      </c>
      <c r="BK62" s="10">
        <f t="shared" si="89"/>
        <v>-238.03880541931554</v>
      </c>
      <c r="BL62" s="10">
        <f t="shared" si="90"/>
        <v>-39.372181581320774</v>
      </c>
      <c r="BM62" s="10">
        <f t="shared" si="91"/>
        <v>20.074999999999999</v>
      </c>
      <c r="BN62" s="10">
        <f t="shared" si="92"/>
        <v>-1291.149919714652</v>
      </c>
      <c r="BO62" s="10">
        <f t="shared" si="93"/>
        <v>-77.399037979757495</v>
      </c>
      <c r="BP62" s="10">
        <f t="shared" si="94"/>
        <v>-1368.5489576944094</v>
      </c>
      <c r="BQ62" s="10">
        <f t="shared" si="95"/>
        <v>61.810166182801083</v>
      </c>
      <c r="BR62" s="10">
        <f t="shared" si="96"/>
        <v>-1229.3397535318511</v>
      </c>
    </row>
    <row r="63" spans="2:70" hidden="1">
      <c r="B63" s="7" t="s">
        <v>7</v>
      </c>
      <c r="C63" s="29" t="s">
        <v>8</v>
      </c>
      <c r="D63" s="25" t="s">
        <v>288</v>
      </c>
      <c r="E63" s="100">
        <v>54</v>
      </c>
      <c r="F63" s="106">
        <v>46108</v>
      </c>
      <c r="G63" s="101">
        <v>24</v>
      </c>
      <c r="H63" s="102" t="s">
        <v>34</v>
      </c>
      <c r="I63" s="27" t="s">
        <v>116</v>
      </c>
      <c r="J63" s="7" t="s">
        <v>247</v>
      </c>
      <c r="K63" s="7" t="s">
        <v>118</v>
      </c>
      <c r="L63" s="7" t="s">
        <v>119</v>
      </c>
      <c r="M63" s="21" t="s">
        <v>50</v>
      </c>
      <c r="N63" s="7" t="s">
        <v>287</v>
      </c>
      <c r="O63" s="20">
        <v>1200</v>
      </c>
      <c r="P63" s="69">
        <v>28800</v>
      </c>
      <c r="Q63" s="20">
        <v>1054.1666666666667</v>
      </c>
      <c r="R63" s="30">
        <v>3500</v>
      </c>
      <c r="S63" s="32">
        <f t="shared" si="62"/>
        <v>25300</v>
      </c>
      <c r="T63" s="65">
        <v>1</v>
      </c>
      <c r="U63" s="59" t="s">
        <v>260</v>
      </c>
      <c r="V63" s="27">
        <v>6447908120</v>
      </c>
      <c r="W63" s="25" t="s">
        <v>122</v>
      </c>
      <c r="X63" s="4" t="s">
        <v>113</v>
      </c>
      <c r="Y63" s="7">
        <v>10005779</v>
      </c>
      <c r="Z63" s="7" t="s">
        <v>218</v>
      </c>
      <c r="AA63" s="7" t="str">
        <f t="shared" si="98"/>
        <v>FEBRERO10005779Inventario final</v>
      </c>
      <c r="AB63" s="20">
        <f t="shared" si="99"/>
        <v>1848.8139327140159</v>
      </c>
      <c r="AC63" s="222">
        <f>IFERROR(INDEX('Costos Producción Febrero'!$G$34:$G$57,MATCH(Resumen!Y63,'Costos Producción Febrero'!$B$34:$B$57,0))*AB63*G63,0)</f>
        <v>25762.14626201594</v>
      </c>
      <c r="AD63" s="46">
        <f>IFERROR(INDEX('Costos Producción Febrero'!$H$34:$H$57,MATCH(Resumen!Y63,'Costos Producción Febrero'!$B$34:$B$57,0))*AB63*G63,0)</f>
        <v>9804.0642402618378</v>
      </c>
      <c r="AE63" s="46">
        <f>IFERROR(INDEX('Costos Producción Febrero'!$I$34:$I$57,MATCH(Resumen!Y63,'Costos Producción Febrero'!$B$34:$B$57,0))*AB63*G63,0)</f>
        <v>283.41448559621585</v>
      </c>
      <c r="AF63" s="46">
        <f>IFERROR(INDEX('Costos Producción Febrero'!$J$34:$J$57,MATCH(Resumen!Y63,'Costos Producción Febrero'!$B$34:$B$57,0))*AB63*G63,0)</f>
        <v>8521.9093972623887</v>
      </c>
      <c r="AG63" s="46">
        <f t="shared" si="97"/>
        <v>44371.53438513638</v>
      </c>
      <c r="AH63" s="46"/>
      <c r="AI63" s="45">
        <v>2100.2380844815898</v>
      </c>
      <c r="AJ63" s="46"/>
      <c r="AK63" s="45">
        <f t="shared" si="65"/>
        <v>-15571.53438513638</v>
      </c>
      <c r="AL63" s="94">
        <f t="shared" si="66"/>
        <v>-0.54067827726167983</v>
      </c>
      <c r="AM63" s="44">
        <f t="shared" si="67"/>
        <v>3500</v>
      </c>
      <c r="AN63" s="44">
        <f t="shared" si="68"/>
        <v>474.77748390972658</v>
      </c>
      <c r="AO63" s="44">
        <f t="shared" si="100"/>
        <v>1738.1538461538462</v>
      </c>
      <c r="AP63" s="44">
        <f t="shared" si="69"/>
        <v>5712.9313300635731</v>
      </c>
      <c r="AQ63" s="44">
        <f t="shared" si="70"/>
        <v>944.93235795169858</v>
      </c>
      <c r="AR63" s="44">
        <f t="shared" si="71"/>
        <v>759</v>
      </c>
      <c r="AS63" s="45">
        <f t="shared" si="72"/>
        <v>-21470.398073151649</v>
      </c>
      <c r="AT63" s="94">
        <f t="shared" si="73"/>
        <v>-0.74549993309554341</v>
      </c>
      <c r="AU63" s="44">
        <f t="shared" si="74"/>
        <v>1857.5769115141798</v>
      </c>
      <c r="AV63" s="45">
        <f t="shared" si="75"/>
        <v>-23327.974984665831</v>
      </c>
      <c r="AW63" s="94">
        <f t="shared" si="76"/>
        <v>-0.80999913141200797</v>
      </c>
      <c r="AX63" s="44">
        <f t="shared" si="77"/>
        <v>1483.443988387226</v>
      </c>
      <c r="AY63" s="45">
        <f t="shared" si="78"/>
        <v>-19986.954084764424</v>
      </c>
      <c r="AZ63" s="94">
        <f t="shared" si="79"/>
        <v>-0.69399146127654254</v>
      </c>
      <c r="BB63" s="10">
        <f t="shared" si="80"/>
        <v>1200</v>
      </c>
      <c r="BC63" s="10">
        <f t="shared" si="81"/>
        <v>-1073.4227609173308</v>
      </c>
      <c r="BD63" s="10">
        <f t="shared" si="82"/>
        <v>-408.50267667757657</v>
      </c>
      <c r="BE63" s="10">
        <f t="shared" si="83"/>
        <v>-11.808936899842328</v>
      </c>
      <c r="BF63" s="10">
        <f t="shared" si="84"/>
        <v>-355.07955821926618</v>
      </c>
      <c r="BG63" s="10">
        <f t="shared" si="85"/>
        <v>-1848.8139327140159</v>
      </c>
      <c r="BH63" s="10">
        <f t="shared" si="86"/>
        <v>-648.81393271401578</v>
      </c>
      <c r="BI63" s="10">
        <f t="shared" si="87"/>
        <v>-145.83333333333334</v>
      </c>
      <c r="BJ63" s="10">
        <f t="shared" si="88"/>
        <v>-72.42307692307692</v>
      </c>
      <c r="BK63" s="10">
        <f t="shared" si="89"/>
        <v>-238.03880541931554</v>
      </c>
      <c r="BL63" s="10">
        <f t="shared" si="90"/>
        <v>-39.372181581320774</v>
      </c>
      <c r="BM63" s="10">
        <f t="shared" si="91"/>
        <v>31.625</v>
      </c>
      <c r="BN63" s="10">
        <f t="shared" si="92"/>
        <v>-894.59991971465206</v>
      </c>
      <c r="BO63" s="10">
        <f t="shared" si="93"/>
        <v>-77.399037979757495</v>
      </c>
      <c r="BP63" s="10">
        <f t="shared" si="94"/>
        <v>-971.99895769440957</v>
      </c>
      <c r="BQ63" s="10">
        <f t="shared" si="95"/>
        <v>61.810166182801083</v>
      </c>
      <c r="BR63" s="10">
        <f t="shared" si="96"/>
        <v>-832.78975353185103</v>
      </c>
    </row>
    <row r="64" spans="2:70" hidden="1">
      <c r="B64" s="7" t="s">
        <v>7</v>
      </c>
      <c r="C64" s="29" t="s">
        <v>8</v>
      </c>
      <c r="D64" s="21" t="s">
        <v>289</v>
      </c>
      <c r="E64" s="100">
        <v>46077</v>
      </c>
      <c r="F64" s="100">
        <v>46108</v>
      </c>
      <c r="G64" s="101">
        <v>48</v>
      </c>
      <c r="H64" s="102" t="s">
        <v>34</v>
      </c>
      <c r="I64" s="27" t="s">
        <v>116</v>
      </c>
      <c r="J64" s="7" t="s">
        <v>290</v>
      </c>
      <c r="K64" s="7" t="s">
        <v>118</v>
      </c>
      <c r="L64" s="7" t="s">
        <v>119</v>
      </c>
      <c r="M64" s="21" t="s">
        <v>43</v>
      </c>
      <c r="N64" s="7" t="s">
        <v>129</v>
      </c>
      <c r="O64" s="20">
        <v>1200</v>
      </c>
      <c r="P64" s="61">
        <v>57600</v>
      </c>
      <c r="Q64" s="20">
        <v>1126.8125</v>
      </c>
      <c r="R64" s="20">
        <v>3513</v>
      </c>
      <c r="S64" s="32">
        <f t="shared" si="62"/>
        <v>54087</v>
      </c>
      <c r="T64" s="65">
        <v>1</v>
      </c>
      <c r="U64" s="59" t="s">
        <v>260</v>
      </c>
      <c r="V64" s="71" t="s">
        <v>291</v>
      </c>
      <c r="W64" s="72" t="s">
        <v>226</v>
      </c>
      <c r="X64" s="4" t="s">
        <v>113</v>
      </c>
      <c r="Y64" s="7">
        <v>10005779</v>
      </c>
      <c r="Z64" s="7" t="s">
        <v>218</v>
      </c>
      <c r="AA64" s="7" t="str">
        <f t="shared" si="98"/>
        <v>FEBRERO10005779Inventario final</v>
      </c>
      <c r="AB64" s="20">
        <f t="shared" si="99"/>
        <v>1848.8139327140159</v>
      </c>
      <c r="AC64" s="222">
        <f>IFERROR(INDEX('Costos Producción Febrero'!$G$34:$G$57,MATCH(Resumen!Y64,'Costos Producción Febrero'!$B$34:$B$57,0))*AB64*G64,0)</f>
        <v>51524.29252403188</v>
      </c>
      <c r="AD64" s="46">
        <f>IFERROR(INDEX('Costos Producción Febrero'!$H$34:$H$57,MATCH(Resumen!Y64,'Costos Producción Febrero'!$B$34:$B$57,0))*AB64*G64,0)</f>
        <v>19608.128480523676</v>
      </c>
      <c r="AE64" s="46">
        <f>IFERROR(INDEX('Costos Producción Febrero'!$I$34:$I$57,MATCH(Resumen!Y64,'Costos Producción Febrero'!$B$34:$B$57,0))*AB64*G64,0)</f>
        <v>566.82897119243171</v>
      </c>
      <c r="AF64" s="46">
        <f>IFERROR(INDEX('Costos Producción Febrero'!$J$34:$J$57,MATCH(Resumen!Y64,'Costos Producción Febrero'!$B$34:$B$57,0))*AB64*G64,0)</f>
        <v>17043.818794524777</v>
      </c>
      <c r="AG64" s="46">
        <f t="shared" si="97"/>
        <v>88743.068770272759</v>
      </c>
      <c r="AH64" s="46"/>
      <c r="AI64" s="45">
        <v>2100.2380844815898</v>
      </c>
      <c r="AJ64" s="46"/>
      <c r="AK64" s="45">
        <f t="shared" si="65"/>
        <v>-31143.068770272759</v>
      </c>
      <c r="AL64" s="94">
        <f t="shared" si="66"/>
        <v>-0.54067827726167983</v>
      </c>
      <c r="AM64" s="44">
        <f t="shared" si="67"/>
        <v>3513</v>
      </c>
      <c r="AN64" s="44">
        <f t="shared" si="68"/>
        <v>949.55496781945317</v>
      </c>
      <c r="AO64" s="44">
        <f t="shared" si="100"/>
        <v>3476.3076923076924</v>
      </c>
      <c r="AP64" s="44">
        <f t="shared" si="69"/>
        <v>7938.8626601271453</v>
      </c>
      <c r="AQ64" s="44">
        <f t="shared" si="70"/>
        <v>1889.8647159033972</v>
      </c>
      <c r="AR64" s="44">
        <f t="shared" si="71"/>
        <v>1622.61</v>
      </c>
      <c r="AS64" s="45">
        <f t="shared" si="72"/>
        <v>-39349.186146303298</v>
      </c>
      <c r="AT64" s="94">
        <f t="shared" si="73"/>
        <v>-0.68314559281776555</v>
      </c>
      <c r="AU64" s="44">
        <f t="shared" si="74"/>
        <v>3715.1538230283595</v>
      </c>
      <c r="AV64" s="45">
        <f t="shared" si="75"/>
        <v>-43064.339969331661</v>
      </c>
      <c r="AW64" s="94">
        <f t="shared" si="76"/>
        <v>-0.74764479113423021</v>
      </c>
      <c r="AX64" s="44">
        <f t="shared" si="77"/>
        <v>2966.887976774452</v>
      </c>
      <c r="AY64" s="45">
        <f t="shared" si="78"/>
        <v>-36382.298169528847</v>
      </c>
      <c r="AZ64" s="94">
        <f t="shared" si="79"/>
        <v>-0.63163712099876468</v>
      </c>
      <c r="BB64" s="10">
        <f t="shared" si="80"/>
        <v>1200</v>
      </c>
      <c r="BC64" s="10">
        <f t="shared" si="81"/>
        <v>-1073.4227609173308</v>
      </c>
      <c r="BD64" s="10">
        <f t="shared" si="82"/>
        <v>-408.50267667757657</v>
      </c>
      <c r="BE64" s="10">
        <f t="shared" si="83"/>
        <v>-11.808936899842328</v>
      </c>
      <c r="BF64" s="10">
        <f t="shared" si="84"/>
        <v>-355.07955821926618</v>
      </c>
      <c r="BG64" s="10">
        <f t="shared" si="85"/>
        <v>-1848.8139327140159</v>
      </c>
      <c r="BH64" s="10">
        <f t="shared" si="86"/>
        <v>-648.81393271401578</v>
      </c>
      <c r="BI64" s="10">
        <f t="shared" si="87"/>
        <v>-73.1875</v>
      </c>
      <c r="BJ64" s="10">
        <f t="shared" si="88"/>
        <v>-72.42307692307692</v>
      </c>
      <c r="BK64" s="10">
        <f t="shared" si="89"/>
        <v>-165.39297208598219</v>
      </c>
      <c r="BL64" s="10">
        <f t="shared" si="90"/>
        <v>-39.372181581320774</v>
      </c>
      <c r="BM64" s="10">
        <f t="shared" si="91"/>
        <v>33.804375</v>
      </c>
      <c r="BN64" s="10">
        <f t="shared" si="92"/>
        <v>-819.77471138131875</v>
      </c>
      <c r="BO64" s="10">
        <f t="shared" si="93"/>
        <v>-77.399037979757495</v>
      </c>
      <c r="BP64" s="10">
        <f t="shared" si="94"/>
        <v>-897.17374936107626</v>
      </c>
      <c r="BQ64" s="10">
        <f t="shared" si="95"/>
        <v>61.810166182801083</v>
      </c>
      <c r="BR64" s="10">
        <f t="shared" si="96"/>
        <v>-757.96454519851761</v>
      </c>
    </row>
    <row r="65" spans="2:70" ht="19.2" hidden="1">
      <c r="B65" s="7" t="s">
        <v>7</v>
      </c>
      <c r="C65" s="29" t="s">
        <v>8</v>
      </c>
      <c r="D65" s="25" t="s">
        <v>292</v>
      </c>
      <c r="E65" s="100">
        <v>58</v>
      </c>
      <c r="F65" s="100">
        <v>46108</v>
      </c>
      <c r="G65" s="101">
        <v>27</v>
      </c>
      <c r="H65" s="104" t="s">
        <v>31</v>
      </c>
      <c r="I65" s="105" t="s">
        <v>107</v>
      </c>
      <c r="J65" s="7" t="s">
        <v>293</v>
      </c>
      <c r="K65" s="7" t="s">
        <v>171</v>
      </c>
      <c r="L65" s="7" t="s">
        <v>202</v>
      </c>
      <c r="M65" s="99" t="s">
        <v>58</v>
      </c>
      <c r="N65" s="7"/>
      <c r="O65" s="20">
        <v>2600</v>
      </c>
      <c r="P65" s="61">
        <v>70200</v>
      </c>
      <c r="Q65" s="20">
        <v>2485.1851851851852</v>
      </c>
      <c r="R65" s="30">
        <v>3100</v>
      </c>
      <c r="S65" s="32">
        <f t="shared" si="62"/>
        <v>67100</v>
      </c>
      <c r="T65" s="65">
        <v>1</v>
      </c>
      <c r="U65" s="7" t="s">
        <v>260</v>
      </c>
      <c r="V65" s="27">
        <v>6447908790</v>
      </c>
      <c r="W65" s="62" t="s">
        <v>122</v>
      </c>
      <c r="X65" s="4" t="s">
        <v>113</v>
      </c>
      <c r="Y65" s="7">
        <v>10007162</v>
      </c>
      <c r="Z65" s="7" t="s">
        <v>218</v>
      </c>
      <c r="AA65" s="7" t="str">
        <f t="shared" si="98"/>
        <v>FEBRERO10007162Inventario final</v>
      </c>
      <c r="AB65" s="20">
        <f t="shared" si="99"/>
        <v>1766.7551345683703</v>
      </c>
      <c r="AC65" s="222">
        <f>IFERROR(INDEX('Costos Producción Febrero'!$G$34:$G$57,MATCH(Resumen!Y65,'Costos Producción Febrero'!$B$34:$B$57,0))*AB65*G65,0)</f>
        <v>29248.750687757431</v>
      </c>
      <c r="AD65" s="46">
        <f>IFERROR(INDEX('Costos Producción Febrero'!$H$34:$H$57,MATCH(Resumen!Y65,'Costos Producción Febrero'!$B$34:$B$57,0))*AB65*G65,0)</f>
        <v>8304.3036069847694</v>
      </c>
      <c r="AE65" s="46">
        <f>IFERROR(INDEX('Costos Producción Febrero'!$I$34:$I$57,MATCH(Resumen!Y65,'Costos Producción Febrero'!$B$34:$B$57,0))*AB65*G65,0)</f>
        <v>442.22929012236312</v>
      </c>
      <c r="AF65" s="46">
        <f>IFERROR(INDEX('Costos Producción Febrero'!$J$34:$J$57,MATCH(Resumen!Y65,'Costos Producción Febrero'!$B$34:$B$57,0))*AB65*G65,0)</f>
        <v>9707.1050484814295</v>
      </c>
      <c r="AG65" s="46">
        <f t="shared" si="97"/>
        <v>47702.388633345996</v>
      </c>
      <c r="AH65" s="46"/>
      <c r="AI65" s="45">
        <v>2018.1792863359442</v>
      </c>
      <c r="AJ65" s="46"/>
      <c r="AK65" s="45">
        <f t="shared" si="65"/>
        <v>22497.611366654004</v>
      </c>
      <c r="AL65" s="94">
        <f t="shared" si="66"/>
        <v>0.32047879439678068</v>
      </c>
      <c r="AM65" s="44">
        <f t="shared" si="67"/>
        <v>3100</v>
      </c>
      <c r="AN65" s="44">
        <f t="shared" si="68"/>
        <v>534.12466939844239</v>
      </c>
      <c r="AO65" s="44">
        <f t="shared" si="100"/>
        <v>1955.4230769230769</v>
      </c>
      <c r="AP65" s="44">
        <f t="shared" si="69"/>
        <v>5589.5477463215193</v>
      </c>
      <c r="AQ65" s="44">
        <f t="shared" si="70"/>
        <v>1063.0489026956609</v>
      </c>
      <c r="AR65" s="44">
        <f t="shared" si="71"/>
        <v>2013</v>
      </c>
      <c r="AS65" s="45">
        <f t="shared" si="72"/>
        <v>17858.014717636823</v>
      </c>
      <c r="AT65" s="94">
        <f t="shared" si="73"/>
        <v>0.25438767404041057</v>
      </c>
      <c r="AU65" s="44">
        <f t="shared" si="74"/>
        <v>2089.7740254534524</v>
      </c>
      <c r="AV65" s="45">
        <f t="shared" si="75"/>
        <v>15768.24069218337</v>
      </c>
      <c r="AW65" s="94">
        <f t="shared" si="76"/>
        <v>0.22461881327896538</v>
      </c>
      <c r="AX65" s="44">
        <f t="shared" si="77"/>
        <v>1668.8744869356292</v>
      </c>
      <c r="AY65" s="45">
        <f t="shared" si="78"/>
        <v>19526.889204572453</v>
      </c>
      <c r="AZ65" s="94">
        <f t="shared" si="79"/>
        <v>0.27816081487994948</v>
      </c>
      <c r="BB65" s="10">
        <f t="shared" si="80"/>
        <v>2600</v>
      </c>
      <c r="BC65" s="10">
        <f t="shared" si="81"/>
        <v>-1083.2870625095345</v>
      </c>
      <c r="BD65" s="10">
        <f t="shared" si="82"/>
        <v>-307.56680025869514</v>
      </c>
      <c r="BE65" s="10">
        <f t="shared" si="83"/>
        <v>-16.378862597124559</v>
      </c>
      <c r="BF65" s="10">
        <f t="shared" si="84"/>
        <v>-359.52240920301591</v>
      </c>
      <c r="BG65" s="10">
        <f t="shared" si="85"/>
        <v>-1766.7551345683703</v>
      </c>
      <c r="BH65" s="10">
        <f t="shared" si="86"/>
        <v>833.24486543162982</v>
      </c>
      <c r="BI65" s="10">
        <f t="shared" si="87"/>
        <v>-114.81481481481481</v>
      </c>
      <c r="BJ65" s="10">
        <f t="shared" si="88"/>
        <v>-72.42307692307692</v>
      </c>
      <c r="BK65" s="10">
        <f t="shared" si="89"/>
        <v>-207.020286900797</v>
      </c>
      <c r="BL65" s="10">
        <f t="shared" si="90"/>
        <v>-39.372181581320774</v>
      </c>
      <c r="BM65" s="10">
        <f t="shared" si="91"/>
        <v>74.555555555555557</v>
      </c>
      <c r="BN65" s="10">
        <f t="shared" si="92"/>
        <v>661.40795250506756</v>
      </c>
      <c r="BO65" s="10">
        <f t="shared" si="93"/>
        <v>-77.399037979757495</v>
      </c>
      <c r="BP65" s="10">
        <f t="shared" si="94"/>
        <v>584.00891452531005</v>
      </c>
      <c r="BQ65" s="10">
        <f t="shared" si="95"/>
        <v>61.810166182801083</v>
      </c>
      <c r="BR65" s="10">
        <f t="shared" si="96"/>
        <v>723.2181186878687</v>
      </c>
    </row>
    <row r="66" spans="2:70" hidden="1">
      <c r="B66" s="7" t="s">
        <v>7</v>
      </c>
      <c r="C66" s="29" t="s">
        <v>8</v>
      </c>
      <c r="D66" s="27" t="s">
        <v>294</v>
      </c>
      <c r="E66" s="100">
        <v>59</v>
      </c>
      <c r="F66" s="100">
        <v>46104</v>
      </c>
      <c r="G66" s="101">
        <v>216</v>
      </c>
      <c r="H66" s="27" t="s">
        <v>498</v>
      </c>
      <c r="I66" s="27" t="s">
        <v>201</v>
      </c>
      <c r="J66" s="7"/>
      <c r="K66" s="7" t="s">
        <v>295</v>
      </c>
      <c r="L66" s="7" t="s">
        <v>172</v>
      </c>
      <c r="M66" s="21" t="s">
        <v>47</v>
      </c>
      <c r="N66" s="7" t="s">
        <v>191</v>
      </c>
      <c r="O66" s="20">
        <v>3100</v>
      </c>
      <c r="P66" s="32">
        <v>669600</v>
      </c>
      <c r="Q66" s="20">
        <v>2992.5925925925926</v>
      </c>
      <c r="R66" s="30">
        <v>23200</v>
      </c>
      <c r="S66" s="32">
        <f t="shared" si="62"/>
        <v>646400</v>
      </c>
      <c r="T66" s="65">
        <v>8</v>
      </c>
      <c r="U66" s="23" t="s">
        <v>274</v>
      </c>
      <c r="V66" s="27">
        <v>6447338820</v>
      </c>
      <c r="W66" s="62" t="s">
        <v>122</v>
      </c>
      <c r="X66" s="4" t="s">
        <v>113</v>
      </c>
      <c r="Y66" s="7">
        <v>10009239</v>
      </c>
      <c r="Z66" s="7" t="s">
        <v>218</v>
      </c>
      <c r="AA66" s="7" t="str">
        <f t="shared" si="98"/>
        <v>FEBRERO10009239Inventario final</v>
      </c>
      <c r="AB66" s="20">
        <f t="shared" si="99"/>
        <v>2146.320321316593</v>
      </c>
      <c r="AC66" s="222">
        <f>IFERROR(INDEX('Costos Producción Febrero'!$G$34:$G$57,MATCH(Resumen!Y66,'Costos Producción Febrero'!$B$34:$B$57,0))*AB66*G66,0)</f>
        <v>227981.43263903135</v>
      </c>
      <c r="AD66" s="46">
        <f>IFERROR(INDEX('Costos Producción Febrero'!$H$34:$H$57,MATCH(Resumen!Y66,'Costos Producción Febrero'!$B$34:$B$57,0))*AB66*G66,0)</f>
        <v>148631.31673615499</v>
      </c>
      <c r="AE66" s="46">
        <f>IFERROR(INDEX('Costos Producción Febrero'!$I$34:$I$57,MATCH(Resumen!Y66,'Costos Producción Febrero'!$B$34:$B$57,0))*AB66*G66,0)</f>
        <v>2721.9574430468538</v>
      </c>
      <c r="AF66" s="46">
        <f>IFERROR(INDEX('Costos Producción Febrero'!$J$34:$J$57,MATCH(Resumen!Y66,'Costos Producción Febrero'!$B$34:$B$57,0))*AB66*G66,0)</f>
        <v>84270.48258615096</v>
      </c>
      <c r="AG66" s="46">
        <f t="shared" si="97"/>
        <v>463605.18940438412</v>
      </c>
      <c r="AH66" s="46"/>
      <c r="AI66" s="45">
        <v>2397.7444730841671</v>
      </c>
      <c r="AJ66" s="46"/>
      <c r="AK66" s="45">
        <f t="shared" si="65"/>
        <v>205994.81059561588</v>
      </c>
      <c r="AL66" s="94">
        <f t="shared" si="66"/>
        <v>0.30763860602690546</v>
      </c>
      <c r="AM66" s="44">
        <f t="shared" si="67"/>
        <v>23200</v>
      </c>
      <c r="AN66" s="44">
        <f t="shared" si="68"/>
        <v>4272.9973551875391</v>
      </c>
      <c r="AO66" s="44">
        <f t="shared" si="100"/>
        <v>15643.384615384615</v>
      </c>
      <c r="AP66" s="44">
        <f t="shared" si="69"/>
        <v>43116.381970572154</v>
      </c>
      <c r="AQ66" s="44">
        <f t="shared" si="70"/>
        <v>8504.3912215652872</v>
      </c>
      <c r="AR66" s="44">
        <f t="shared" si="71"/>
        <v>19392</v>
      </c>
      <c r="AS66" s="45">
        <f t="shared" si="72"/>
        <v>173766.03740347843</v>
      </c>
      <c r="AT66" s="94">
        <f t="shared" si="73"/>
        <v>0.25950722431821749</v>
      </c>
      <c r="AU66" s="44">
        <f t="shared" si="74"/>
        <v>16718.192203627619</v>
      </c>
      <c r="AV66" s="45">
        <f t="shared" si="75"/>
        <v>157047.84519985082</v>
      </c>
      <c r="AW66" s="94">
        <f t="shared" si="76"/>
        <v>0.23453979271184414</v>
      </c>
      <c r="AX66" s="44">
        <f t="shared" si="77"/>
        <v>13350.995895485034</v>
      </c>
      <c r="AY66" s="45">
        <f t="shared" si="78"/>
        <v>187117.03329896348</v>
      </c>
      <c r="AZ66" s="94">
        <f t="shared" si="79"/>
        <v>0.27944598760299205</v>
      </c>
      <c r="BB66" s="10">
        <f t="shared" si="80"/>
        <v>3100</v>
      </c>
      <c r="BC66" s="10">
        <f t="shared" si="81"/>
        <v>-1055.4695955510711</v>
      </c>
      <c r="BD66" s="10">
        <f t="shared" si="82"/>
        <v>-688.1079478525694</v>
      </c>
      <c r="BE66" s="10">
        <f t="shared" si="83"/>
        <v>-12.601654828920619</v>
      </c>
      <c r="BF66" s="10">
        <f t="shared" si="84"/>
        <v>-390.14112308403224</v>
      </c>
      <c r="BG66" s="10">
        <f t="shared" si="85"/>
        <v>-2146.320321316593</v>
      </c>
      <c r="BH66" s="10">
        <f t="shared" si="86"/>
        <v>953.67967868340691</v>
      </c>
      <c r="BI66" s="10">
        <f t="shared" si="87"/>
        <v>-107.4074074074074</v>
      </c>
      <c r="BJ66" s="10">
        <f t="shared" si="88"/>
        <v>-72.42307692307692</v>
      </c>
      <c r="BK66" s="10">
        <f t="shared" si="89"/>
        <v>-199.61287949338961</v>
      </c>
      <c r="BL66" s="10">
        <f t="shared" si="90"/>
        <v>-39.372181581320774</v>
      </c>
      <c r="BM66" s="10">
        <f t="shared" si="91"/>
        <v>89.777777777777771</v>
      </c>
      <c r="BN66" s="10">
        <f t="shared" si="92"/>
        <v>804.4723953864742</v>
      </c>
      <c r="BO66" s="10">
        <f t="shared" si="93"/>
        <v>-77.399037979757495</v>
      </c>
      <c r="BP66" s="10">
        <f t="shared" si="94"/>
        <v>727.07335740671681</v>
      </c>
      <c r="BQ66" s="10">
        <f t="shared" si="95"/>
        <v>61.810166182801083</v>
      </c>
      <c r="BR66" s="10">
        <f t="shared" si="96"/>
        <v>866.28256156927534</v>
      </c>
    </row>
    <row r="67" spans="2:70" hidden="1">
      <c r="B67" s="7" t="s">
        <v>7</v>
      </c>
      <c r="C67" s="29" t="s">
        <v>8</v>
      </c>
      <c r="D67" s="27" t="s">
        <v>296</v>
      </c>
      <c r="E67" s="100">
        <v>59</v>
      </c>
      <c r="F67" s="100">
        <v>46104</v>
      </c>
      <c r="G67" s="101">
        <v>108</v>
      </c>
      <c r="H67" s="27" t="s">
        <v>498</v>
      </c>
      <c r="I67" s="27" t="s">
        <v>297</v>
      </c>
      <c r="J67" s="7"/>
      <c r="K67" s="7" t="s">
        <v>171</v>
      </c>
      <c r="L67" s="7" t="s">
        <v>172</v>
      </c>
      <c r="M67" s="21" t="s">
        <v>49</v>
      </c>
      <c r="N67" s="7" t="s">
        <v>191</v>
      </c>
      <c r="O67" s="20">
        <v>3100</v>
      </c>
      <c r="P67" s="61">
        <v>334800</v>
      </c>
      <c r="Q67" s="20">
        <v>2992.5925925925926</v>
      </c>
      <c r="R67" s="30">
        <v>11600</v>
      </c>
      <c r="S67" s="32">
        <f t="shared" si="62"/>
        <v>323200</v>
      </c>
      <c r="T67" s="65">
        <v>4</v>
      </c>
      <c r="U67" s="23" t="s">
        <v>274</v>
      </c>
      <c r="V67" s="27">
        <v>6447338860</v>
      </c>
      <c r="W67" s="62" t="s">
        <v>122</v>
      </c>
      <c r="X67" s="4" t="s">
        <v>113</v>
      </c>
      <c r="Y67" s="7">
        <v>10009239</v>
      </c>
      <c r="Z67" s="7" t="s">
        <v>218</v>
      </c>
      <c r="AA67" s="7" t="str">
        <f t="shared" si="98"/>
        <v>FEBRERO10009239Inventario final</v>
      </c>
      <c r="AB67" s="20">
        <f t="shared" si="99"/>
        <v>2146.320321316593</v>
      </c>
      <c r="AC67" s="222">
        <f>IFERROR(INDEX('Costos Producción Febrero'!$G$34:$G$57,MATCH(Resumen!Y67,'Costos Producción Febrero'!$B$34:$B$57,0))*AB67*G67,0)</f>
        <v>113990.71631951568</v>
      </c>
      <c r="AD67" s="46">
        <f>IFERROR(INDEX('Costos Producción Febrero'!$H$34:$H$57,MATCH(Resumen!Y67,'Costos Producción Febrero'!$B$34:$B$57,0))*AB67*G67,0)</f>
        <v>74315.658368077493</v>
      </c>
      <c r="AE67" s="46">
        <f>IFERROR(INDEX('Costos Producción Febrero'!$I$34:$I$57,MATCH(Resumen!Y67,'Costos Producción Febrero'!$B$34:$B$57,0))*AB67*G67,0)</f>
        <v>1360.9787215234269</v>
      </c>
      <c r="AF67" s="46">
        <f>IFERROR(INDEX('Costos Producción Febrero'!$J$34:$J$57,MATCH(Resumen!Y67,'Costos Producción Febrero'!$B$34:$B$57,0))*AB67*G67,0)</f>
        <v>42135.24129307548</v>
      </c>
      <c r="AG67" s="46">
        <f t="shared" si="97"/>
        <v>231802.59470219206</v>
      </c>
      <c r="AH67" s="46"/>
      <c r="AI67" s="45">
        <v>2397.7444730841671</v>
      </c>
      <c r="AJ67" s="46"/>
      <c r="AK67" s="45">
        <f t="shared" si="65"/>
        <v>102997.40529780794</v>
      </c>
      <c r="AL67" s="94">
        <f t="shared" si="66"/>
        <v>0.30763860602690546</v>
      </c>
      <c r="AM67" s="44">
        <f t="shared" si="67"/>
        <v>11600</v>
      </c>
      <c r="AN67" s="44">
        <f t="shared" si="68"/>
        <v>2136.4986775937696</v>
      </c>
      <c r="AO67" s="44">
        <f t="shared" si="100"/>
        <v>7821.6923076923076</v>
      </c>
      <c r="AP67" s="44">
        <f t="shared" si="69"/>
        <v>21558.190985286077</v>
      </c>
      <c r="AQ67" s="44">
        <f t="shared" si="70"/>
        <v>4252.1956107826436</v>
      </c>
      <c r="AR67" s="44">
        <f t="shared" si="71"/>
        <v>9696</v>
      </c>
      <c r="AS67" s="45">
        <f t="shared" si="72"/>
        <v>86883.018701739216</v>
      </c>
      <c r="AT67" s="94">
        <f t="shared" si="73"/>
        <v>0.25950722431821749</v>
      </c>
      <c r="AU67" s="44">
        <f t="shared" si="74"/>
        <v>8359.0961018138096</v>
      </c>
      <c r="AV67" s="45">
        <f t="shared" si="75"/>
        <v>78523.922599925412</v>
      </c>
      <c r="AW67" s="94">
        <f t="shared" si="76"/>
        <v>0.23453979271184414</v>
      </c>
      <c r="AX67" s="44">
        <f t="shared" si="77"/>
        <v>6675.4979477425168</v>
      </c>
      <c r="AY67" s="45">
        <f t="shared" si="78"/>
        <v>93558.516649481739</v>
      </c>
      <c r="AZ67" s="94">
        <f t="shared" si="79"/>
        <v>0.27944598760299205</v>
      </c>
      <c r="BB67" s="10">
        <f t="shared" si="80"/>
        <v>3100</v>
      </c>
      <c r="BC67" s="10">
        <f t="shared" si="81"/>
        <v>-1055.4695955510711</v>
      </c>
      <c r="BD67" s="10">
        <f t="shared" si="82"/>
        <v>-688.1079478525694</v>
      </c>
      <c r="BE67" s="10">
        <f t="shared" si="83"/>
        <v>-12.601654828920619</v>
      </c>
      <c r="BF67" s="10">
        <f t="shared" si="84"/>
        <v>-390.14112308403224</v>
      </c>
      <c r="BG67" s="10">
        <f t="shared" si="85"/>
        <v>-2146.320321316593</v>
      </c>
      <c r="BH67" s="10">
        <f t="shared" si="86"/>
        <v>953.67967868340691</v>
      </c>
      <c r="BI67" s="10">
        <f t="shared" si="87"/>
        <v>-107.4074074074074</v>
      </c>
      <c r="BJ67" s="10">
        <f t="shared" si="88"/>
        <v>-72.42307692307692</v>
      </c>
      <c r="BK67" s="10">
        <f t="shared" si="89"/>
        <v>-199.61287949338961</v>
      </c>
      <c r="BL67" s="10">
        <f t="shared" si="90"/>
        <v>-39.372181581320774</v>
      </c>
      <c r="BM67" s="10">
        <f t="shared" si="91"/>
        <v>89.777777777777771</v>
      </c>
      <c r="BN67" s="10">
        <f t="shared" si="92"/>
        <v>804.4723953864742</v>
      </c>
      <c r="BO67" s="10">
        <f t="shared" si="93"/>
        <v>-77.399037979757495</v>
      </c>
      <c r="BP67" s="10">
        <f t="shared" si="94"/>
        <v>727.07335740671681</v>
      </c>
      <c r="BQ67" s="10">
        <f t="shared" si="95"/>
        <v>61.810166182801083</v>
      </c>
      <c r="BR67" s="10">
        <f t="shared" si="96"/>
        <v>866.28256156927534</v>
      </c>
    </row>
    <row r="68" spans="2:70" hidden="1">
      <c r="B68" s="7" t="s">
        <v>7</v>
      </c>
      <c r="C68" s="29" t="s">
        <v>8</v>
      </c>
      <c r="D68" s="25" t="s">
        <v>298</v>
      </c>
      <c r="E68" s="100">
        <v>68</v>
      </c>
      <c r="F68" s="100">
        <v>46108</v>
      </c>
      <c r="G68" s="101">
        <v>10</v>
      </c>
      <c r="H68" s="102" t="s">
        <v>34</v>
      </c>
      <c r="I68" s="27" t="s">
        <v>116</v>
      </c>
      <c r="J68" s="7" t="s">
        <v>299</v>
      </c>
      <c r="K68" s="7" t="s">
        <v>118</v>
      </c>
      <c r="L68" s="7" t="s">
        <v>119</v>
      </c>
      <c r="M68" s="21" t="s">
        <v>50</v>
      </c>
      <c r="N68" s="7" t="s">
        <v>120</v>
      </c>
      <c r="O68" s="20">
        <v>1130</v>
      </c>
      <c r="P68" s="69">
        <v>11300</v>
      </c>
      <c r="Q68" s="20">
        <v>990</v>
      </c>
      <c r="R68" s="30">
        <v>1400</v>
      </c>
      <c r="S68" s="32">
        <f t="shared" ref="S68:S72" si="101">P68-R68</f>
        <v>9900</v>
      </c>
      <c r="T68" s="65">
        <v>1</v>
      </c>
      <c r="U68" s="59" t="s">
        <v>260</v>
      </c>
      <c r="V68" s="27">
        <v>6447908000</v>
      </c>
      <c r="W68" s="25" t="s">
        <v>122</v>
      </c>
      <c r="X68" s="4" t="s">
        <v>113</v>
      </c>
      <c r="Y68" s="7">
        <v>10005779</v>
      </c>
      <c r="Z68" s="7" t="s">
        <v>218</v>
      </c>
      <c r="AA68" s="7" t="str">
        <f t="shared" si="98"/>
        <v>FEBRERO10005779Inventario final</v>
      </c>
      <c r="AB68" s="20">
        <f t="shared" si="99"/>
        <v>1848.8139327140159</v>
      </c>
      <c r="AC68" s="222">
        <f>IFERROR(INDEX('Costos Producción Febrero'!$G$34:$G$57,MATCH(Resumen!Y68,'Costos Producción Febrero'!$B$34:$B$57,0))*AB68*G68,0)</f>
        <v>10734.227609173307</v>
      </c>
      <c r="AD68" s="46">
        <f>IFERROR(INDEX('Costos Producción Febrero'!$H$34:$H$57,MATCH(Resumen!Y68,'Costos Producción Febrero'!$B$34:$B$57,0))*AB68*G68,0)</f>
        <v>4085.0267667757657</v>
      </c>
      <c r="AE68" s="46">
        <f>IFERROR(INDEX('Costos Producción Febrero'!$I$34:$I$57,MATCH(Resumen!Y68,'Costos Producción Febrero'!$B$34:$B$57,0))*AB68*G68,0)</f>
        <v>118.08936899842325</v>
      </c>
      <c r="AF68" s="46">
        <f>IFERROR(INDEX('Costos Producción Febrero'!$J$34:$J$57,MATCH(Resumen!Y68,'Costos Producción Febrero'!$B$34:$B$57,0))*AB68*G68,0)</f>
        <v>3550.7955821926616</v>
      </c>
      <c r="AG68" s="46">
        <f t="shared" ref="AG68:AG99" si="102">SUM(AC68:AF68)</f>
        <v>18488.139327140158</v>
      </c>
      <c r="AH68" s="46"/>
      <c r="AI68" s="45">
        <v>2100.2380844815898</v>
      </c>
      <c r="AJ68" s="46"/>
      <c r="AK68" s="45">
        <f t="shared" ref="AK68:AK99" si="103">P68-AG68</f>
        <v>-7188.1393271401575</v>
      </c>
      <c r="AL68" s="94">
        <f t="shared" ref="AL68:AL99" si="104">AK68/P68</f>
        <v>-0.63611852452567763</v>
      </c>
      <c r="AM68" s="44">
        <f t="shared" ref="AM68:AM99" si="105">R68</f>
        <v>1400</v>
      </c>
      <c r="AN68" s="44">
        <f t="shared" ref="AN68:AN99" si="106">118461.136538461/5988.21*G68</f>
        <v>197.82395162905274</v>
      </c>
      <c r="AO68" s="44">
        <f t="shared" si="100"/>
        <v>724.23076923076917</v>
      </c>
      <c r="AP68" s="44">
        <f t="shared" ref="AP68:AP70" si="107">SUM(AM68:AO68)</f>
        <v>2322.0547208598218</v>
      </c>
      <c r="AQ68" s="44">
        <f t="shared" si="70"/>
        <v>393.72181581320774</v>
      </c>
      <c r="AR68" s="44">
        <f t="shared" si="71"/>
        <v>297</v>
      </c>
      <c r="AS68" s="45">
        <f t="shared" ref="AS68:AS73" si="108">AK68-AP68-AQ68+AR68</f>
        <v>-9606.9158638131867</v>
      </c>
      <c r="AT68" s="94">
        <f t="shared" ref="AT68:AT99" si="109">AS68/P68</f>
        <v>-0.85016954547019352</v>
      </c>
      <c r="AU68" s="44">
        <f t="shared" si="74"/>
        <v>773.99037979757497</v>
      </c>
      <c r="AV68" s="45">
        <f t="shared" ref="AV68:AV73" si="110">AS68-AU68</f>
        <v>-10380.906243610762</v>
      </c>
      <c r="AW68" s="94">
        <f t="shared" ref="AW68:AW99" si="111">AV68/P68</f>
        <v>-0.91866426934608514</v>
      </c>
      <c r="AX68" s="44">
        <f t="shared" si="77"/>
        <v>618.10166182801083</v>
      </c>
      <c r="AY68" s="45">
        <f t="shared" ref="AY68:AY73" si="112">AS68+AX68</f>
        <v>-8988.8142019851766</v>
      </c>
      <c r="AZ68" s="94">
        <f t="shared" ref="AZ68:AZ99" si="113">AY68/P68</f>
        <v>-0.79547028336152004</v>
      </c>
      <c r="BB68" s="10">
        <f t="shared" si="80"/>
        <v>1130</v>
      </c>
      <c r="BC68" s="10">
        <f t="shared" si="81"/>
        <v>-1073.4227609173308</v>
      </c>
      <c r="BD68" s="10">
        <f t="shared" si="82"/>
        <v>-408.50267667757657</v>
      </c>
      <c r="BE68" s="10">
        <f t="shared" si="83"/>
        <v>-11.808936899842326</v>
      </c>
      <c r="BF68" s="10">
        <f t="shared" si="84"/>
        <v>-355.07955821926618</v>
      </c>
      <c r="BG68" s="10">
        <f t="shared" si="85"/>
        <v>-1848.8139327140157</v>
      </c>
      <c r="BH68" s="10">
        <f t="shared" si="86"/>
        <v>-718.81393271401578</v>
      </c>
      <c r="BI68" s="10">
        <f t="shared" si="87"/>
        <v>-140</v>
      </c>
      <c r="BJ68" s="10">
        <f t="shared" si="88"/>
        <v>-72.42307692307692</v>
      </c>
      <c r="BK68" s="10">
        <f t="shared" si="89"/>
        <v>-232.20547208598219</v>
      </c>
      <c r="BL68" s="10">
        <f t="shared" si="90"/>
        <v>-39.372181581320774</v>
      </c>
      <c r="BM68" s="10">
        <f t="shared" si="91"/>
        <v>29.7</v>
      </c>
      <c r="BN68" s="10">
        <f t="shared" si="92"/>
        <v>-960.69158638131864</v>
      </c>
      <c r="BO68" s="10">
        <f t="shared" si="93"/>
        <v>-77.399037979757495</v>
      </c>
      <c r="BP68" s="10">
        <f t="shared" si="94"/>
        <v>-1038.0906243610762</v>
      </c>
      <c r="BQ68" s="10">
        <f t="shared" si="95"/>
        <v>61.810166182801083</v>
      </c>
      <c r="BR68" s="10">
        <f t="shared" si="96"/>
        <v>-898.88142019851762</v>
      </c>
    </row>
    <row r="69" spans="2:70" hidden="1">
      <c r="B69" s="7" t="s">
        <v>7</v>
      </c>
      <c r="C69" s="29" t="s">
        <v>8</v>
      </c>
      <c r="D69" s="25" t="s">
        <v>298</v>
      </c>
      <c r="E69" s="100">
        <v>68</v>
      </c>
      <c r="F69" s="100">
        <v>46108</v>
      </c>
      <c r="G69" s="101">
        <v>15</v>
      </c>
      <c r="H69" s="102" t="s">
        <v>34</v>
      </c>
      <c r="I69" s="27" t="s">
        <v>116</v>
      </c>
      <c r="J69" s="7" t="s">
        <v>290</v>
      </c>
      <c r="K69" s="7" t="s">
        <v>118</v>
      </c>
      <c r="L69" s="7" t="s">
        <v>119</v>
      </c>
      <c r="M69" s="21" t="s">
        <v>50</v>
      </c>
      <c r="N69" s="7" t="s">
        <v>120</v>
      </c>
      <c r="O69" s="20">
        <v>1200</v>
      </c>
      <c r="P69" s="69">
        <v>18000</v>
      </c>
      <c r="Q69" s="20">
        <v>1060</v>
      </c>
      <c r="R69" s="30">
        <v>2100</v>
      </c>
      <c r="S69" s="32">
        <f t="shared" si="101"/>
        <v>15900</v>
      </c>
      <c r="T69" s="65">
        <v>0</v>
      </c>
      <c r="U69" s="59" t="s">
        <v>260</v>
      </c>
      <c r="V69" s="27">
        <v>6447908000</v>
      </c>
      <c r="W69" s="25" t="s">
        <v>122</v>
      </c>
      <c r="X69" s="4" t="s">
        <v>113</v>
      </c>
      <c r="Y69" s="7">
        <v>10005779</v>
      </c>
      <c r="Z69" s="7" t="s">
        <v>218</v>
      </c>
      <c r="AA69" s="7" t="str">
        <f t="shared" si="98"/>
        <v>FEBRERO10005779Inventario final</v>
      </c>
      <c r="AB69" s="20">
        <f t="shared" si="99"/>
        <v>1848.8139327140159</v>
      </c>
      <c r="AC69" s="222">
        <f>IFERROR(INDEX('Costos Producción Febrero'!$G$34:$G$57,MATCH(Resumen!Y69,'Costos Producción Febrero'!$B$34:$B$57,0))*AB69*G69,0)</f>
        <v>16101.341413759963</v>
      </c>
      <c r="AD69" s="46">
        <f>IFERROR(INDEX('Costos Producción Febrero'!$H$34:$H$57,MATCH(Resumen!Y69,'Costos Producción Febrero'!$B$34:$B$57,0))*AB69*G69,0)</f>
        <v>6127.5401501636488</v>
      </c>
      <c r="AE69" s="46">
        <f>IFERROR(INDEX('Costos Producción Febrero'!$I$34:$I$57,MATCH(Resumen!Y69,'Costos Producción Febrero'!$B$34:$B$57,0))*AB69*G69,0)</f>
        <v>177.13405349763488</v>
      </c>
      <c r="AF69" s="46">
        <f>IFERROR(INDEX('Costos Producción Febrero'!$J$34:$J$57,MATCH(Resumen!Y69,'Costos Producción Febrero'!$B$34:$B$57,0))*AB69*G69,0)</f>
        <v>5326.1933732889929</v>
      </c>
      <c r="AG69" s="46">
        <f t="shared" si="102"/>
        <v>27732.208990710238</v>
      </c>
      <c r="AH69" s="46"/>
      <c r="AI69" s="45">
        <v>2100.2380844815898</v>
      </c>
      <c r="AJ69" s="46"/>
      <c r="AK69" s="45">
        <f t="shared" si="103"/>
        <v>-9732.2089907102381</v>
      </c>
      <c r="AL69" s="94">
        <f t="shared" si="104"/>
        <v>-0.54067827726167994</v>
      </c>
      <c r="AM69" s="44">
        <f t="shared" si="105"/>
        <v>2100</v>
      </c>
      <c r="AN69" s="44">
        <f t="shared" si="106"/>
        <v>296.7359274435791</v>
      </c>
      <c r="AO69" s="44">
        <f t="shared" si="100"/>
        <v>1086.3461538461538</v>
      </c>
      <c r="AP69" s="44">
        <f t="shared" si="107"/>
        <v>3483.0820812897327</v>
      </c>
      <c r="AQ69" s="44">
        <f t="shared" si="70"/>
        <v>590.58272371981161</v>
      </c>
      <c r="AR69" s="44">
        <f t="shared" si="71"/>
        <v>477</v>
      </c>
      <c r="AS69" s="45">
        <f t="shared" si="108"/>
        <v>-13328.873795719783</v>
      </c>
      <c r="AT69" s="94">
        <f t="shared" si="109"/>
        <v>-0.74049298865109903</v>
      </c>
      <c r="AU69" s="44">
        <f t="shared" si="74"/>
        <v>1160.9855696963625</v>
      </c>
      <c r="AV69" s="45">
        <f t="shared" si="110"/>
        <v>-14489.859365416145</v>
      </c>
      <c r="AW69" s="94">
        <f t="shared" si="111"/>
        <v>-0.80499218696756358</v>
      </c>
      <c r="AX69" s="44">
        <f t="shared" si="77"/>
        <v>927.15249274201619</v>
      </c>
      <c r="AY69" s="45">
        <f t="shared" si="112"/>
        <v>-12401.721302977767</v>
      </c>
      <c r="AZ69" s="94">
        <f t="shared" si="113"/>
        <v>-0.68898451683209816</v>
      </c>
      <c r="BB69" s="10">
        <f t="shared" si="80"/>
        <v>1200</v>
      </c>
      <c r="BC69" s="10">
        <f t="shared" si="81"/>
        <v>-1073.4227609173308</v>
      </c>
      <c r="BD69" s="10">
        <f t="shared" si="82"/>
        <v>-408.50267667757657</v>
      </c>
      <c r="BE69" s="10">
        <f t="shared" si="83"/>
        <v>-11.808936899842326</v>
      </c>
      <c r="BF69" s="10">
        <f t="shared" si="84"/>
        <v>-355.07955821926618</v>
      </c>
      <c r="BG69" s="10">
        <f t="shared" si="85"/>
        <v>-1848.8139327140159</v>
      </c>
      <c r="BH69" s="10">
        <f t="shared" si="86"/>
        <v>-648.81393271401589</v>
      </c>
      <c r="BI69" s="10">
        <f t="shared" si="87"/>
        <v>-140</v>
      </c>
      <c r="BJ69" s="10">
        <f t="shared" si="88"/>
        <v>-72.42307692307692</v>
      </c>
      <c r="BK69" s="10">
        <f t="shared" si="89"/>
        <v>-232.20547208598219</v>
      </c>
      <c r="BL69" s="10">
        <f t="shared" si="90"/>
        <v>-39.372181581320774</v>
      </c>
      <c r="BM69" s="10">
        <f t="shared" si="91"/>
        <v>31.8</v>
      </c>
      <c r="BN69" s="10">
        <f t="shared" si="92"/>
        <v>-888.59158638131885</v>
      </c>
      <c r="BO69" s="10">
        <f t="shared" si="93"/>
        <v>-77.399037979757495</v>
      </c>
      <c r="BP69" s="10">
        <f t="shared" si="94"/>
        <v>-965.99062436107636</v>
      </c>
      <c r="BQ69" s="10">
        <f t="shared" si="95"/>
        <v>61.810166182801076</v>
      </c>
      <c r="BR69" s="10">
        <f t="shared" si="96"/>
        <v>-826.78142019851782</v>
      </c>
    </row>
    <row r="70" spans="2:70" hidden="1">
      <c r="B70" s="7" t="s">
        <v>7</v>
      </c>
      <c r="C70" s="126" t="s">
        <v>8</v>
      </c>
      <c r="D70" s="127" t="s">
        <v>240</v>
      </c>
      <c r="E70" s="128">
        <v>43</v>
      </c>
      <c r="F70" s="128">
        <v>46092</v>
      </c>
      <c r="G70" s="129">
        <v>24</v>
      </c>
      <c r="H70" s="191" t="s">
        <v>31</v>
      </c>
      <c r="I70" s="126" t="s">
        <v>107</v>
      </c>
      <c r="J70" s="131" t="s">
        <v>424</v>
      </c>
      <c r="K70" s="131" t="s">
        <v>161</v>
      </c>
      <c r="L70" s="131" t="s">
        <v>147</v>
      </c>
      <c r="M70" s="127" t="s">
        <v>44</v>
      </c>
      <c r="N70" s="131" t="s">
        <v>214</v>
      </c>
      <c r="O70" s="132">
        <v>2400</v>
      </c>
      <c r="P70" s="133">
        <f>O70*G70</f>
        <v>57600</v>
      </c>
      <c r="Q70" s="132">
        <f>+S70/G70</f>
        <v>2230.0104166666665</v>
      </c>
      <c r="R70" s="132">
        <f>4079.75</f>
        <v>4079.75</v>
      </c>
      <c r="S70" s="134">
        <f t="shared" si="101"/>
        <v>53520.25</v>
      </c>
      <c r="T70" s="142">
        <v>1</v>
      </c>
      <c r="U70" s="131" t="s">
        <v>241</v>
      </c>
      <c r="V70" s="143" t="s">
        <v>242</v>
      </c>
      <c r="W70" s="144" t="s">
        <v>182</v>
      </c>
      <c r="X70" s="131"/>
      <c r="Y70" s="145">
        <v>10007162</v>
      </c>
      <c r="Z70" s="7" t="s">
        <v>218</v>
      </c>
      <c r="AA70" s="18" t="str">
        <f t="shared" si="98"/>
        <v>FEBRERO10007162Inventario final</v>
      </c>
      <c r="AB70" s="161">
        <f t="shared" si="99"/>
        <v>1766.7551345683703</v>
      </c>
      <c r="AC70" s="223">
        <f>IFERROR(INDEX('Costos Producción Febrero'!$G$34:$G$57,MATCH(Resumen!Y70,'Costos Producción Febrero'!$B$34:$B$57,0))*AB70*G70,0)</f>
        <v>25998.889500228826</v>
      </c>
      <c r="AD70" s="162">
        <f>IFERROR(INDEX('Costos Producción Febrero'!$H$34:$H$57,MATCH(Resumen!Y70,'Costos Producción Febrero'!$B$34:$B$57,0))*AB70*G70,0)</f>
        <v>7381.6032062086852</v>
      </c>
      <c r="AE70" s="162">
        <f>IFERROR(INDEX('Costos Producción Febrero'!$I$34:$I$57,MATCH(Resumen!Y70,'Costos Producción Febrero'!$B$34:$B$57,0))*AB70*G70,0)</f>
        <v>393.09270233098943</v>
      </c>
      <c r="AF70" s="162">
        <f>IFERROR(INDEX('Costos Producción Febrero'!$J$34:$J$57,MATCH(Resumen!Y70,'Costos Producción Febrero'!$B$34:$B$57,0))*AB70*G70,0)</f>
        <v>8628.5378208723814</v>
      </c>
      <c r="AG70" s="162">
        <f t="shared" si="102"/>
        <v>42402.123229640885</v>
      </c>
      <c r="AH70" s="162"/>
      <c r="AI70" s="45">
        <v>2018.1792863359442</v>
      </c>
      <c r="AJ70" s="162"/>
      <c r="AK70" s="163">
        <f t="shared" si="103"/>
        <v>15197.876770359115</v>
      </c>
      <c r="AL70" s="137">
        <f t="shared" si="104"/>
        <v>0.26385202726317908</v>
      </c>
      <c r="AM70" s="135">
        <f t="shared" si="105"/>
        <v>4079.75</v>
      </c>
      <c r="AN70" s="135">
        <f t="shared" si="106"/>
        <v>474.77748390972658</v>
      </c>
      <c r="AO70" s="135">
        <f t="shared" si="100"/>
        <v>1738.1538461538462</v>
      </c>
      <c r="AP70" s="135">
        <f t="shared" si="107"/>
        <v>6292.6813300635731</v>
      </c>
      <c r="AQ70" s="135">
        <f t="shared" si="70"/>
        <v>944.93235795169858</v>
      </c>
      <c r="AR70" s="135">
        <f t="shared" si="71"/>
        <v>1605.6074999999998</v>
      </c>
      <c r="AS70" s="136">
        <f t="shared" si="108"/>
        <v>9565.8705823438431</v>
      </c>
      <c r="AT70" s="137">
        <f t="shared" si="109"/>
        <v>0.1660741420545806</v>
      </c>
      <c r="AU70" s="135">
        <f t="shared" si="74"/>
        <v>1857.5769115141798</v>
      </c>
      <c r="AV70" s="136">
        <f t="shared" si="110"/>
        <v>7708.2936708296638</v>
      </c>
      <c r="AW70" s="137">
        <f t="shared" si="111"/>
        <v>0.13382454289634832</v>
      </c>
      <c r="AX70" s="135">
        <f t="shared" si="77"/>
        <v>1483.443988387226</v>
      </c>
      <c r="AY70" s="136">
        <f t="shared" si="112"/>
        <v>11049.314570731069</v>
      </c>
      <c r="AZ70" s="137">
        <f t="shared" si="113"/>
        <v>0.19182837796408106</v>
      </c>
      <c r="BB70" s="10">
        <f t="shared" si="80"/>
        <v>2400</v>
      </c>
      <c r="BC70" s="10">
        <f t="shared" si="81"/>
        <v>-1083.2870625095345</v>
      </c>
      <c r="BD70" s="10">
        <f t="shared" si="82"/>
        <v>-307.5668002586952</v>
      </c>
      <c r="BE70" s="10">
        <f t="shared" si="83"/>
        <v>-16.378862597124559</v>
      </c>
      <c r="BF70" s="10">
        <f t="shared" si="84"/>
        <v>-359.52240920301591</v>
      </c>
      <c r="BG70" s="10">
        <f t="shared" si="85"/>
        <v>-1766.7551345683703</v>
      </c>
      <c r="BH70" s="10">
        <f t="shared" si="86"/>
        <v>633.24486543162982</v>
      </c>
      <c r="BI70" s="10">
        <f t="shared" si="87"/>
        <v>-169.98958333333334</v>
      </c>
      <c r="BJ70" s="10">
        <f t="shared" si="88"/>
        <v>-72.42307692307692</v>
      </c>
      <c r="BK70" s="10">
        <f t="shared" si="89"/>
        <v>-262.19505541931557</v>
      </c>
      <c r="BL70" s="10">
        <f t="shared" si="90"/>
        <v>-39.372181581320774</v>
      </c>
      <c r="BM70" s="10">
        <f t="shared" si="91"/>
        <v>66.900312499999998</v>
      </c>
      <c r="BN70" s="10">
        <f t="shared" si="92"/>
        <v>398.57794093099346</v>
      </c>
      <c r="BO70" s="10">
        <f t="shared" si="93"/>
        <v>-77.399037979757495</v>
      </c>
      <c r="BP70" s="10">
        <f t="shared" si="94"/>
        <v>321.17890295123601</v>
      </c>
      <c r="BQ70" s="10">
        <f t="shared" si="95"/>
        <v>61.810166182801083</v>
      </c>
      <c r="BR70" s="10">
        <f t="shared" si="96"/>
        <v>460.38810711379455</v>
      </c>
    </row>
    <row r="71" spans="2:70" hidden="1">
      <c r="B71" s="7" t="s">
        <v>7</v>
      </c>
      <c r="C71" s="126" t="s">
        <v>8</v>
      </c>
      <c r="D71" s="127" t="s">
        <v>425</v>
      </c>
      <c r="E71" s="128">
        <v>26</v>
      </c>
      <c r="F71" s="128">
        <v>46110</v>
      </c>
      <c r="G71" s="129">
        <f>26*1</f>
        <v>26</v>
      </c>
      <c r="H71" s="126" t="s">
        <v>36</v>
      </c>
      <c r="I71" s="126" t="s">
        <v>107</v>
      </c>
      <c r="J71" s="131"/>
      <c r="K71" s="131" t="s">
        <v>161</v>
      </c>
      <c r="L71" s="131" t="s">
        <v>109</v>
      </c>
      <c r="M71" s="127" t="s">
        <v>56</v>
      </c>
      <c r="N71" s="131" t="s">
        <v>110</v>
      </c>
      <c r="O71" s="132">
        <v>2950</v>
      </c>
      <c r="P71" s="133">
        <f>+G71*O71</f>
        <v>76700</v>
      </c>
      <c r="Q71" s="132">
        <f>+S71/G71</f>
        <v>2793.0865384615386</v>
      </c>
      <c r="R71" s="132">
        <f>4079.75</f>
        <v>4079.75</v>
      </c>
      <c r="S71" s="134">
        <f t="shared" si="101"/>
        <v>72620.25</v>
      </c>
      <c r="T71" s="142">
        <v>1</v>
      </c>
      <c r="U71" s="131" t="s">
        <v>426</v>
      </c>
      <c r="V71" s="143">
        <v>19449468</v>
      </c>
      <c r="W71" s="144" t="s">
        <v>112</v>
      </c>
      <c r="X71" s="131"/>
      <c r="Y71" s="7">
        <v>10007567</v>
      </c>
      <c r="Z71" s="7" t="s">
        <v>218</v>
      </c>
      <c r="AA71" s="18" t="str">
        <f t="shared" si="98"/>
        <v>FEBRERO10007567Inventario final</v>
      </c>
      <c r="AB71" s="161">
        <f t="shared" si="99"/>
        <v>1768.0738104406516</v>
      </c>
      <c r="AC71" s="223">
        <f>IFERROR(INDEX('Costos Producción Febrero'!$G$34:$G$57,MATCH(Resumen!Y71,'Costos Producción Febrero'!$B$34:$B$57,0))*AB71*G71,0)</f>
        <v>28390.221691784358</v>
      </c>
      <c r="AD71" s="162">
        <f>IFERROR(INDEX('Costos Producción Febrero'!$H$34:$H$57,MATCH(Resumen!Y71,'Costos Producción Febrero'!$B$34:$B$57,0))*AB71*G71,0)</f>
        <v>7651.2855682629415</v>
      </c>
      <c r="AE71" s="162">
        <f>IFERROR(INDEX('Costos Producción Febrero'!$I$34:$I$57,MATCH(Resumen!Y71,'Costos Producción Febrero'!$B$34:$B$57,0))*AB71*G71,0)</f>
        <v>496.17066194815021</v>
      </c>
      <c r="AF71" s="162">
        <f>IFERROR(INDEX('Costos Producción Febrero'!$J$34:$J$57,MATCH(Resumen!Y71,'Costos Producción Febrero'!$B$34:$B$57,0))*AB71*G71,0)</f>
        <v>9432.2411494614898</v>
      </c>
      <c r="AG71" s="162">
        <f t="shared" si="102"/>
        <v>45969.919071456941</v>
      </c>
      <c r="AH71" s="162"/>
      <c r="AI71" s="45">
        <v>2019.4979622082255</v>
      </c>
      <c r="AJ71" s="162"/>
      <c r="AK71" s="163">
        <f t="shared" si="103"/>
        <v>30730.080928543059</v>
      </c>
      <c r="AL71" s="137">
        <f t="shared" si="104"/>
        <v>0.40065294561333842</v>
      </c>
      <c r="AM71" s="135">
        <f t="shared" si="105"/>
        <v>4079.75</v>
      </c>
      <c r="AN71" s="135">
        <f t="shared" si="106"/>
        <v>514.34227423553716</v>
      </c>
      <c r="AO71" s="135">
        <f t="shared" si="100"/>
        <v>1883</v>
      </c>
      <c r="AP71" s="135">
        <f t="shared" ref="AP71:AP110" si="114">SUM(AM71:AO71)</f>
        <v>6477.0922742355369</v>
      </c>
      <c r="AQ71" s="135">
        <f t="shared" si="70"/>
        <v>1023.6767211143401</v>
      </c>
      <c r="AR71" s="135">
        <f t="shared" si="71"/>
        <v>2178.6075000000001</v>
      </c>
      <c r="AS71" s="136">
        <f t="shared" si="108"/>
        <v>25407.919433193179</v>
      </c>
      <c r="AT71" s="137">
        <f t="shared" si="109"/>
        <v>0.3312636171211627</v>
      </c>
      <c r="AU71" s="135">
        <f t="shared" si="74"/>
        <v>2012.3749874736948</v>
      </c>
      <c r="AV71" s="136">
        <f t="shared" si="110"/>
        <v>23395.544445719486</v>
      </c>
      <c r="AW71" s="137">
        <f t="shared" si="111"/>
        <v>0.3050266550941263</v>
      </c>
      <c r="AX71" s="135">
        <f t="shared" si="77"/>
        <v>1607.0643207528283</v>
      </c>
      <c r="AY71" s="136">
        <f t="shared" si="112"/>
        <v>27014.983753946006</v>
      </c>
      <c r="AZ71" s="137">
        <f t="shared" si="113"/>
        <v>0.35221621582719692</v>
      </c>
      <c r="BB71" s="10">
        <f t="shared" si="80"/>
        <v>2950</v>
      </c>
      <c r="BC71" s="10">
        <f t="shared" si="81"/>
        <v>-1091.9316035301676</v>
      </c>
      <c r="BD71" s="10">
        <f t="shared" si="82"/>
        <v>-294.28021416395927</v>
      </c>
      <c r="BE71" s="10">
        <f t="shared" si="83"/>
        <v>-19.083486998005778</v>
      </c>
      <c r="BF71" s="10">
        <f t="shared" si="84"/>
        <v>-362.77850574851885</v>
      </c>
      <c r="BG71" s="10">
        <f t="shared" si="85"/>
        <v>-1768.0738104406516</v>
      </c>
      <c r="BH71" s="10">
        <f t="shared" si="86"/>
        <v>1181.9261895593484</v>
      </c>
      <c r="BI71" s="10">
        <f t="shared" si="87"/>
        <v>-156.91346153846155</v>
      </c>
      <c r="BJ71" s="10">
        <f t="shared" si="88"/>
        <v>-72.42307692307692</v>
      </c>
      <c r="BK71" s="10">
        <f t="shared" si="89"/>
        <v>-249.11893362444374</v>
      </c>
      <c r="BL71" s="10">
        <f t="shared" si="90"/>
        <v>-39.372181581320774</v>
      </c>
      <c r="BM71" s="10">
        <f t="shared" si="91"/>
        <v>83.792596153846162</v>
      </c>
      <c r="BN71" s="10">
        <f t="shared" si="92"/>
        <v>977.22767050742993</v>
      </c>
      <c r="BO71" s="10">
        <f t="shared" si="93"/>
        <v>-77.399037979757495</v>
      </c>
      <c r="BP71" s="10">
        <f t="shared" si="94"/>
        <v>899.82863252767254</v>
      </c>
      <c r="BQ71" s="10">
        <f t="shared" si="95"/>
        <v>61.81016618280109</v>
      </c>
      <c r="BR71" s="10">
        <f t="shared" si="96"/>
        <v>1039.037836690231</v>
      </c>
    </row>
    <row r="72" spans="2:70" hidden="1">
      <c r="B72" s="7" t="s">
        <v>7</v>
      </c>
      <c r="C72" s="126" t="s">
        <v>8</v>
      </c>
      <c r="D72" s="127"/>
      <c r="E72" s="128">
        <v>46111</v>
      </c>
      <c r="F72" s="128">
        <v>46111</v>
      </c>
      <c r="G72" s="154">
        <v>0</v>
      </c>
      <c r="H72" s="102" t="s">
        <v>420</v>
      </c>
      <c r="I72" s="27" t="s">
        <v>421</v>
      </c>
      <c r="J72" s="27" t="s">
        <v>421</v>
      </c>
      <c r="K72" s="27" t="s">
        <v>421</v>
      </c>
      <c r="L72" s="27" t="s">
        <v>421</v>
      </c>
      <c r="M72" s="27" t="s">
        <v>422</v>
      </c>
      <c r="N72" s="7"/>
      <c r="O72" s="44">
        <v>0</v>
      </c>
      <c r="P72" s="52">
        <v>26456.610000000008</v>
      </c>
      <c r="Q72" s="44">
        <v>0</v>
      </c>
      <c r="R72" s="44">
        <v>0</v>
      </c>
      <c r="S72" s="45">
        <f t="shared" si="101"/>
        <v>26456.610000000008</v>
      </c>
      <c r="T72" s="60"/>
      <c r="U72" s="97"/>
      <c r="V72" s="59"/>
      <c r="W72" s="25"/>
      <c r="X72" s="4"/>
      <c r="Y72" s="7"/>
      <c r="Z72" s="7"/>
      <c r="AA72" s="7"/>
      <c r="AB72" s="26">
        <f t="shared" ref="AB72" si="115">IFERROR(AG72/G72,0)</f>
        <v>0</v>
      </c>
      <c r="AC72" s="44">
        <f>IFERROR(INDEX('Costos Producción Febrero'!$G$34:$G$57,MATCH(Resumen!Y72,'Costos Producción Febrero'!$B$34:$B$57,0))*AI72*G72,0)*1.25</f>
        <v>0</v>
      </c>
      <c r="AD72" s="44">
        <f>IFERROR(INDEX('Costos Producción Febrero'!$H$34:$H$57,MATCH(Resumen!Y72,'Costos Producción Febrero'!$B$34:$B$57,0))*AI72*G72,0)</f>
        <v>0</v>
      </c>
      <c r="AE72" s="44">
        <f>IFERROR(INDEX('Costos Producción Febrero'!$I$34:$I$57,MATCH(Resumen!Y72,'Costos Producción Febrero'!$B$34:$B$57,0))*AI72*G72,0)</f>
        <v>0</v>
      </c>
      <c r="AF72" s="44">
        <f>IFERROR(INDEX('Costos Producción Febrero'!$J$34:$J$57,MATCH(Resumen!Y72,'Costos Producción Febrero'!$B$34:$B$57,0))*AI72*G72,0)</f>
        <v>0</v>
      </c>
      <c r="AG72" s="44">
        <f t="shared" si="102"/>
        <v>0</v>
      </c>
      <c r="AH72" s="44"/>
      <c r="AI72" s="115"/>
      <c r="AJ72" s="44"/>
      <c r="AK72" s="45">
        <f t="shared" si="103"/>
        <v>26456.610000000008</v>
      </c>
      <c r="AL72" s="116">
        <f t="shared" si="104"/>
        <v>1</v>
      </c>
      <c r="AM72" s="44">
        <f t="shared" si="105"/>
        <v>0</v>
      </c>
      <c r="AN72" s="44">
        <f t="shared" si="106"/>
        <v>0</v>
      </c>
      <c r="AO72" s="44">
        <f>1882/26*G72</f>
        <v>0</v>
      </c>
      <c r="AP72" s="44">
        <f>SUM(AM72:AO72)</f>
        <v>0</v>
      </c>
      <c r="AQ72" s="44">
        <f>56604/1634.3*G72</f>
        <v>0</v>
      </c>
      <c r="AR72" s="44">
        <v>0</v>
      </c>
      <c r="AS72" s="45">
        <f t="shared" si="108"/>
        <v>26456.610000000008</v>
      </c>
      <c r="AT72" s="116">
        <f t="shared" si="109"/>
        <v>1</v>
      </c>
      <c r="AU72" s="44">
        <f>131251/248*G72</f>
        <v>0</v>
      </c>
      <c r="AV72" s="45">
        <f t="shared" si="110"/>
        <v>26456.610000000008</v>
      </c>
      <c r="AW72" s="116">
        <f t="shared" si="111"/>
        <v>1</v>
      </c>
      <c r="AX72" s="44">
        <f>123530/248*G72</f>
        <v>0</v>
      </c>
      <c r="AY72" s="45">
        <f t="shared" si="112"/>
        <v>26456.610000000008</v>
      </c>
      <c r="AZ72" s="116">
        <f t="shared" si="113"/>
        <v>1</v>
      </c>
      <c r="BB72" s="44">
        <v>0</v>
      </c>
      <c r="BC72" s="44">
        <v>0</v>
      </c>
      <c r="BD72" s="44">
        <v>0</v>
      </c>
      <c r="BE72" s="44">
        <v>0</v>
      </c>
      <c r="BF72" s="44">
        <v>0</v>
      </c>
      <c r="BG72" s="44">
        <v>0</v>
      </c>
      <c r="BH72" s="44">
        <v>0</v>
      </c>
      <c r="BI72" s="44">
        <v>0</v>
      </c>
      <c r="BJ72" s="44">
        <v>0</v>
      </c>
      <c r="BK72" s="44">
        <v>0</v>
      </c>
      <c r="BL72" s="44">
        <v>0</v>
      </c>
      <c r="BM72" s="44">
        <v>0</v>
      </c>
      <c r="BN72" s="44">
        <v>0</v>
      </c>
      <c r="BO72" s="44">
        <v>0</v>
      </c>
      <c r="BP72" s="44">
        <v>0</v>
      </c>
      <c r="BQ72" s="44">
        <v>0</v>
      </c>
      <c r="BR72" s="44">
        <v>0</v>
      </c>
    </row>
    <row r="73" spans="2:70" hidden="1">
      <c r="B73" s="29" t="s">
        <v>8</v>
      </c>
      <c r="C73" s="29" t="s">
        <v>466</v>
      </c>
      <c r="D73" s="25" t="s">
        <v>467</v>
      </c>
      <c r="E73" s="100">
        <v>46020</v>
      </c>
      <c r="F73" s="100">
        <v>46123</v>
      </c>
      <c r="G73" s="101">
        <v>27</v>
      </c>
      <c r="H73" s="27" t="s">
        <v>468</v>
      </c>
      <c r="I73" s="27" t="s">
        <v>469</v>
      </c>
      <c r="J73" s="7"/>
      <c r="K73" s="7" t="s">
        <v>161</v>
      </c>
      <c r="L73" s="7" t="s">
        <v>147</v>
      </c>
      <c r="M73" s="21" t="s">
        <v>53</v>
      </c>
      <c r="N73" s="7" t="s">
        <v>148</v>
      </c>
      <c r="O73" s="20">
        <v>2500</v>
      </c>
      <c r="P73" s="61">
        <v>67500</v>
      </c>
      <c r="Q73" s="20">
        <v>2312.2896296296294</v>
      </c>
      <c r="R73" s="30">
        <v>5068.18</v>
      </c>
      <c r="S73" s="32">
        <v>62431.82</v>
      </c>
      <c r="T73" s="65">
        <v>1</v>
      </c>
      <c r="U73" s="59" t="s">
        <v>546</v>
      </c>
      <c r="V73" s="147" t="s">
        <v>547</v>
      </c>
      <c r="W73" s="62" t="s">
        <v>548</v>
      </c>
      <c r="X73" s="4"/>
      <c r="Y73" s="7">
        <v>10007050</v>
      </c>
      <c r="Z73" s="7"/>
      <c r="AA73" s="7"/>
      <c r="AB73" s="20">
        <f t="shared" ref="AB73:AB89" si="116">AI73-111688.22/2006.56-47.35</f>
        <v>1685.098304411272</v>
      </c>
      <c r="AC73" s="46">
        <f>IFERROR(INDEX('Costos Producción Febrero'!$G$34:$G$57,MATCH(Resumen!Y73,'Costos Producción Febrero'!$B$34:$B$57,0))*AB73*G73,0)</f>
        <v>38051.666500394953</v>
      </c>
      <c r="AD73" s="46">
        <f>IFERROR(INDEX('Costos Producción Febrero'!$H$34:$H$57,MATCH(Resumen!Y73,'Costos Producción Febrero'!$B$34:$B$57,0))*AB73*G73,0)</f>
        <v>6983.5232876599148</v>
      </c>
      <c r="AE73" s="46">
        <f>IFERROR(INDEX('Costos Producción Febrero'!$I$34:$I$57,MATCH(Resumen!Y73,'Costos Producción Febrero'!$B$34:$B$57,0))*AB73*G73,0)</f>
        <v>663.43471232769195</v>
      </c>
      <c r="AF73" s="46">
        <f>IFERROR(INDEX('Costos Producción Febrero'!$J$34:$J$57,MATCH(Resumen!Y73,'Costos Producción Febrero'!$B$34:$B$57,0))*AB73*G73,0)</f>
        <v>-200.97028127821309</v>
      </c>
      <c r="AG73" s="46">
        <f t="shared" si="102"/>
        <v>45497.654219104341</v>
      </c>
      <c r="AH73" s="46"/>
      <c r="AI73" s="45">
        <v>1788.1098445595856</v>
      </c>
      <c r="AJ73" s="46"/>
      <c r="AK73" s="45">
        <f t="shared" si="103"/>
        <v>22002.345780895659</v>
      </c>
      <c r="AL73" s="94">
        <f t="shared" si="104"/>
        <v>0.32596067823549124</v>
      </c>
      <c r="AM73" s="44">
        <f t="shared" si="105"/>
        <v>5068.18</v>
      </c>
      <c r="AN73" s="44">
        <f t="shared" si="106"/>
        <v>534.12466939844239</v>
      </c>
      <c r="AO73" s="44">
        <f t="shared" ref="AO73:AO110" si="117">1883/26*G73</f>
        <v>1955.4230769230769</v>
      </c>
      <c r="AP73" s="44">
        <f t="shared" si="114"/>
        <v>7557.7277463215196</v>
      </c>
      <c r="AQ73" s="44">
        <f t="shared" ref="AQ73:AQ111" si="118">65076/2110.11*G73</f>
        <v>832.68265635440798</v>
      </c>
      <c r="AR73" s="44">
        <f t="shared" ref="AR73:AR110" si="119">S73*0.03</f>
        <v>1872.9546</v>
      </c>
      <c r="AS73" s="45">
        <f t="shared" si="108"/>
        <v>15484.889978219733</v>
      </c>
      <c r="AT73" s="94">
        <f t="shared" si="109"/>
        <v>0.22940577745510715</v>
      </c>
      <c r="AU73" s="44">
        <f t="shared" ref="AU73:AU111" si="120">221685/2110.11*G73</f>
        <v>2836.5796095938122</v>
      </c>
      <c r="AV73" s="45">
        <f t="shared" si="110"/>
        <v>12648.31036862592</v>
      </c>
      <c r="AW73" s="94">
        <f t="shared" si="111"/>
        <v>0.18738237583149511</v>
      </c>
      <c r="AX73" s="44">
        <f t="shared" ref="AX73:AX111" si="121">123484.35/2110.11*G73</f>
        <v>1580.0491206619561</v>
      </c>
      <c r="AY73" s="45">
        <f t="shared" si="112"/>
        <v>17064.939098881689</v>
      </c>
      <c r="AZ73" s="94">
        <f t="shared" si="113"/>
        <v>0.25281391257602503</v>
      </c>
      <c r="BB73" s="10">
        <f t="shared" ref="BB73:BB110" si="122">P73/$G73</f>
        <v>2500</v>
      </c>
      <c r="BC73" s="10">
        <f t="shared" ref="BC73:BC110" si="123">-AC73/$G73</f>
        <v>-1409.3209814961094</v>
      </c>
      <c r="BD73" s="10">
        <f t="shared" ref="BD73:BD110" si="124">-AD73/$G73</f>
        <v>-258.64901065407093</v>
      </c>
      <c r="BE73" s="10">
        <f t="shared" ref="BE73:BE110" si="125">-AE73/$G73</f>
        <v>-24.571656012136739</v>
      </c>
      <c r="BF73" s="10">
        <f t="shared" ref="BF73:BF110" si="126">-AF73/$G73</f>
        <v>7.443343751044929</v>
      </c>
      <c r="BG73" s="10">
        <f t="shared" ref="BG73:BG110" si="127">-AG73/$G73</f>
        <v>-1685.0983044112718</v>
      </c>
      <c r="BH73" s="10">
        <f t="shared" ref="BH73:BH110" si="128">AK73/$G73</f>
        <v>814.9016955887281</v>
      </c>
      <c r="BI73" s="10">
        <f t="shared" ref="BI73:BI110" si="129">-AM73/$G73</f>
        <v>-187.71037037037038</v>
      </c>
      <c r="BJ73" s="10">
        <f t="shared" ref="BJ73:BJ110" si="130">-AO73/$G73</f>
        <v>-72.42307692307692</v>
      </c>
      <c r="BK73" s="10">
        <f t="shared" ref="BK73:BK110" si="131">-AP73/$G73</f>
        <v>-279.91584245635255</v>
      </c>
      <c r="BL73" s="10">
        <f t="shared" ref="BL73:BL110" si="132">-AQ73/$G73</f>
        <v>-30.840098383496592</v>
      </c>
      <c r="BM73" s="10">
        <f t="shared" ref="BM73:BM110" si="133">AR73/$G73</f>
        <v>69.368688888888883</v>
      </c>
      <c r="BN73" s="10">
        <f t="shared" ref="BN73:BN110" si="134">AS73/$G73</f>
        <v>573.51444363776784</v>
      </c>
      <c r="BO73" s="10">
        <f t="shared" ref="BO73:BO110" si="135">-AU73/$G73</f>
        <v>-105.05850405903008</v>
      </c>
      <c r="BP73" s="10">
        <f t="shared" ref="BP73:BP110" si="136">AV73/$G73</f>
        <v>468.4559395787378</v>
      </c>
      <c r="BQ73" s="10">
        <f t="shared" ref="BQ73:BQ110" si="137">AX73/$G73</f>
        <v>58.520337802294669</v>
      </c>
      <c r="BR73" s="10">
        <f t="shared" ref="BR73:BR110" si="138">AY73/$G73</f>
        <v>632.03478144006249</v>
      </c>
    </row>
    <row r="74" spans="2:70" hidden="1">
      <c r="B74" s="29" t="s">
        <v>8</v>
      </c>
      <c r="C74" s="29" t="s">
        <v>466</v>
      </c>
      <c r="D74" s="25" t="s">
        <v>470</v>
      </c>
      <c r="E74" s="100">
        <v>325</v>
      </c>
      <c r="F74" s="100">
        <v>46123</v>
      </c>
      <c r="G74" s="101">
        <v>26</v>
      </c>
      <c r="H74" s="27" t="s">
        <v>36</v>
      </c>
      <c r="I74" s="27" t="s">
        <v>107</v>
      </c>
      <c r="J74" s="7" t="s">
        <v>471</v>
      </c>
      <c r="K74" s="7" t="s">
        <v>161</v>
      </c>
      <c r="L74" s="7" t="s">
        <v>147</v>
      </c>
      <c r="M74" s="21" t="s">
        <v>48</v>
      </c>
      <c r="N74" s="7" t="s">
        <v>167</v>
      </c>
      <c r="O74" s="20">
        <v>2950</v>
      </c>
      <c r="P74" s="61">
        <v>76700</v>
      </c>
      <c r="Q74" s="20">
        <v>2755.07</v>
      </c>
      <c r="R74" s="30">
        <v>5068.18</v>
      </c>
      <c r="S74" s="32">
        <v>71631.820000000007</v>
      </c>
      <c r="T74" s="65">
        <v>1</v>
      </c>
      <c r="U74" s="59" t="s">
        <v>546</v>
      </c>
      <c r="V74" s="147" t="s">
        <v>549</v>
      </c>
      <c r="W74" s="62" t="s">
        <v>548</v>
      </c>
      <c r="X74" s="4"/>
      <c r="Y74" s="7">
        <v>10007567</v>
      </c>
      <c r="Z74" s="7"/>
      <c r="AA74" s="7"/>
      <c r="AB74" s="20">
        <f t="shared" si="116"/>
        <v>2001.4942427698361</v>
      </c>
      <c r="AC74" s="46">
        <f>IFERROR(INDEX('Costos Producción Febrero'!$G$34:$G$57,MATCH(Resumen!Y74,'Costos Producción Febrero'!$B$34:$B$57,0))*AB74*G74,0)</f>
        <v>32138.287967120508</v>
      </c>
      <c r="AD74" s="46">
        <f>IFERROR(INDEX('Costos Producción Febrero'!$H$34:$H$57,MATCH(Resumen!Y74,'Costos Producción Febrero'!$B$34:$B$57,0))*AB74*G74,0)</f>
        <v>8661.4053803837232</v>
      </c>
      <c r="AE74" s="46">
        <f>IFERROR(INDEX('Costos Producción Febrero'!$I$34:$I$57,MATCH(Resumen!Y74,'Costos Producción Febrero'!$B$34:$B$57,0))*AB74*G74,0)</f>
        <v>561.67492412153217</v>
      </c>
      <c r="AF74" s="46">
        <f>IFERROR(INDEX('Costos Producción Febrero'!$J$34:$J$57,MATCH(Resumen!Y74,'Costos Producción Febrero'!$B$34:$B$57,0))*AB74*G74,0)</f>
        <v>10677.482040389968</v>
      </c>
      <c r="AG74" s="46">
        <f t="shared" si="102"/>
        <v>52038.850312015726</v>
      </c>
      <c r="AH74" s="46"/>
      <c r="AI74" s="45">
        <v>2104.5057829181496</v>
      </c>
      <c r="AJ74" s="46"/>
      <c r="AK74" s="45">
        <f t="shared" si="103"/>
        <v>24661.149687984274</v>
      </c>
      <c r="AL74" s="94">
        <f t="shared" si="104"/>
        <v>0.32152737533225911</v>
      </c>
      <c r="AM74" s="44">
        <f t="shared" si="105"/>
        <v>5068.18</v>
      </c>
      <c r="AN74" s="44">
        <f t="shared" si="106"/>
        <v>514.34227423553716</v>
      </c>
      <c r="AO74" s="44">
        <f t="shared" si="117"/>
        <v>1883</v>
      </c>
      <c r="AP74" s="44">
        <f t="shared" si="114"/>
        <v>7465.5222742355372</v>
      </c>
      <c r="AQ74" s="44">
        <f t="shared" si="118"/>
        <v>801.84255797091134</v>
      </c>
      <c r="AR74" s="44">
        <f t="shared" si="119"/>
        <v>2148.9546</v>
      </c>
      <c r="AS74" s="45">
        <f t="shared" ref="AS74:AS110" si="139">AK74-AP74-AQ74+AR74</f>
        <v>18542.739455777828</v>
      </c>
      <c r="AT74" s="94">
        <f t="shared" si="109"/>
        <v>0.24175670737650362</v>
      </c>
      <c r="AU74" s="44">
        <f t="shared" si="120"/>
        <v>2731.5211055347822</v>
      </c>
      <c r="AV74" s="45">
        <f t="shared" ref="AV74:AV137" si="140">AS74-AU74</f>
        <v>15811.218350243045</v>
      </c>
      <c r="AW74" s="94">
        <f t="shared" si="111"/>
        <v>0.20614365515310359</v>
      </c>
      <c r="AX74" s="44">
        <f t="shared" si="121"/>
        <v>1521.5287828596613</v>
      </c>
      <c r="AY74" s="45">
        <f t="shared" ref="AY74:AY137" si="141">AS74+AX74</f>
        <v>20064.268238637491</v>
      </c>
      <c r="AZ74" s="94">
        <f t="shared" si="113"/>
        <v>0.2615941100213493</v>
      </c>
      <c r="BB74" s="10">
        <f t="shared" si="122"/>
        <v>2950</v>
      </c>
      <c r="BC74" s="10">
        <f t="shared" si="123"/>
        <v>-1236.0879987354042</v>
      </c>
      <c r="BD74" s="10">
        <f t="shared" si="124"/>
        <v>-333.13097616860472</v>
      </c>
      <c r="BE74" s="10">
        <f t="shared" si="125"/>
        <v>-21.602881696982006</v>
      </c>
      <c r="BF74" s="10">
        <f t="shared" si="126"/>
        <v>-410.67238616884492</v>
      </c>
      <c r="BG74" s="10">
        <f t="shared" si="127"/>
        <v>-2001.4942427698356</v>
      </c>
      <c r="BH74" s="10">
        <f t="shared" si="128"/>
        <v>948.50575723016436</v>
      </c>
      <c r="BI74" s="10">
        <f t="shared" si="129"/>
        <v>-194.93</v>
      </c>
      <c r="BJ74" s="10">
        <f t="shared" si="130"/>
        <v>-72.42307692307692</v>
      </c>
      <c r="BK74" s="10">
        <f t="shared" si="131"/>
        <v>-287.1354720859822</v>
      </c>
      <c r="BL74" s="10">
        <f t="shared" si="132"/>
        <v>-30.840098383496588</v>
      </c>
      <c r="BM74" s="10">
        <f t="shared" si="133"/>
        <v>82.652100000000004</v>
      </c>
      <c r="BN74" s="10">
        <f t="shared" si="134"/>
        <v>713.18228676068566</v>
      </c>
      <c r="BO74" s="10">
        <f t="shared" si="135"/>
        <v>-105.05850405903008</v>
      </c>
      <c r="BP74" s="10">
        <f t="shared" si="136"/>
        <v>608.12378270165561</v>
      </c>
      <c r="BQ74" s="10">
        <f t="shared" si="137"/>
        <v>58.520337802294662</v>
      </c>
      <c r="BR74" s="10">
        <f t="shared" si="138"/>
        <v>771.70262456298042</v>
      </c>
    </row>
    <row r="75" spans="2:70" hidden="1">
      <c r="B75" s="29" t="s">
        <v>8</v>
      </c>
      <c r="C75" s="29" t="s">
        <v>466</v>
      </c>
      <c r="D75" s="25" t="s">
        <v>472</v>
      </c>
      <c r="E75" s="100">
        <v>47</v>
      </c>
      <c r="F75" s="100">
        <v>46120</v>
      </c>
      <c r="G75" s="101">
        <v>125</v>
      </c>
      <c r="H75" s="193" t="s">
        <v>33</v>
      </c>
      <c r="I75" s="27" t="s">
        <v>205</v>
      </c>
      <c r="J75" s="7" t="s">
        <v>473</v>
      </c>
      <c r="K75" s="7" t="s">
        <v>108</v>
      </c>
      <c r="L75" s="7" t="s">
        <v>147</v>
      </c>
      <c r="M75" s="21" t="s">
        <v>44</v>
      </c>
      <c r="N75" s="7" t="s">
        <v>214</v>
      </c>
      <c r="O75" s="20">
        <v>1400</v>
      </c>
      <c r="P75" s="61">
        <v>175000</v>
      </c>
      <c r="Q75" s="20">
        <v>1143.1600000000001</v>
      </c>
      <c r="R75" s="30">
        <v>32105</v>
      </c>
      <c r="S75" s="32">
        <v>142895</v>
      </c>
      <c r="T75" s="65">
        <v>5</v>
      </c>
      <c r="U75" s="59" t="s">
        <v>550</v>
      </c>
      <c r="V75" s="147" t="s">
        <v>551</v>
      </c>
      <c r="W75" s="62" t="s">
        <v>138</v>
      </c>
      <c r="X75" s="4"/>
      <c r="Y75" s="7">
        <v>10005721</v>
      </c>
      <c r="Z75" s="7"/>
      <c r="AA75" s="7"/>
      <c r="AB75" s="20">
        <f t="shared" si="116"/>
        <v>2033.6752269777967</v>
      </c>
      <c r="AC75" s="46">
        <f>IFERROR(INDEX('Costos Producción Febrero'!$G$34:$G$57,MATCH(Resumen!Y75,'Costos Producción Febrero'!$B$34:$B$57,0))*AB75*G75,0)</f>
        <v>154384.14489271821</v>
      </c>
      <c r="AD75" s="46">
        <f>IFERROR(INDEX('Costos Producción Febrero'!$H$34:$H$57,MATCH(Resumen!Y75,'Costos Producción Febrero'!$B$34:$B$57,0))*AB75*G75,0)</f>
        <v>45237.759646141254</v>
      </c>
      <c r="AE75" s="46">
        <f>IFERROR(INDEX('Costos Producción Febrero'!$I$34:$I$57,MATCH(Resumen!Y75,'Costos Producción Febrero'!$B$34:$B$57,0))*AB75*G75,0)</f>
        <v>2771.3669811996328</v>
      </c>
      <c r="AF75" s="46">
        <f>IFERROR(INDEX('Costos Producción Febrero'!$J$34:$J$57,MATCH(Resumen!Y75,'Costos Producción Febrero'!$B$34:$B$57,0))*AB75*G75,0)</f>
        <v>51816.131852165483</v>
      </c>
      <c r="AG75" s="46">
        <f t="shared" si="102"/>
        <v>254209.40337222457</v>
      </c>
      <c r="AH75" s="46"/>
      <c r="AI75" s="45">
        <v>2136.6867671261102</v>
      </c>
      <c r="AJ75" s="46"/>
      <c r="AK75" s="45">
        <f t="shared" si="103"/>
        <v>-79209.403372224566</v>
      </c>
      <c r="AL75" s="94">
        <f t="shared" si="104"/>
        <v>-0.45262516212699749</v>
      </c>
      <c r="AM75" s="44">
        <f t="shared" si="105"/>
        <v>32105</v>
      </c>
      <c r="AN75" s="44">
        <f t="shared" si="106"/>
        <v>2472.7993953631594</v>
      </c>
      <c r="AO75" s="44">
        <f t="shared" si="117"/>
        <v>9052.8846153846152</v>
      </c>
      <c r="AP75" s="44">
        <f t="shared" si="114"/>
        <v>43630.684010747776</v>
      </c>
      <c r="AQ75" s="44">
        <f t="shared" si="118"/>
        <v>3855.012297937074</v>
      </c>
      <c r="AR75" s="44">
        <f t="shared" si="119"/>
        <v>4286.8499999999995</v>
      </c>
      <c r="AS75" s="45">
        <f t="shared" si="139"/>
        <v>-122408.24968090942</v>
      </c>
      <c r="AT75" s="94">
        <f t="shared" si="109"/>
        <v>-0.69947571246233953</v>
      </c>
      <c r="AU75" s="44">
        <f t="shared" si="120"/>
        <v>13132.31300737876</v>
      </c>
      <c r="AV75" s="45">
        <f t="shared" si="140"/>
        <v>-135540.56268828816</v>
      </c>
      <c r="AW75" s="94">
        <f t="shared" si="111"/>
        <v>-0.77451750107593231</v>
      </c>
      <c r="AX75" s="44">
        <f t="shared" si="121"/>
        <v>7315.0422252868339</v>
      </c>
      <c r="AY75" s="45">
        <f t="shared" si="141"/>
        <v>-115093.20745562259</v>
      </c>
      <c r="AZ75" s="94">
        <f t="shared" si="113"/>
        <v>-0.65767547117498615</v>
      </c>
      <c r="BB75" s="10">
        <f t="shared" si="122"/>
        <v>1400</v>
      </c>
      <c r="BC75" s="10">
        <f t="shared" si="123"/>
        <v>-1235.0731591417457</v>
      </c>
      <c r="BD75" s="10">
        <f t="shared" si="124"/>
        <v>-361.90207716913005</v>
      </c>
      <c r="BE75" s="10">
        <f t="shared" si="125"/>
        <v>-22.170935849597061</v>
      </c>
      <c r="BF75" s="10">
        <f t="shared" si="126"/>
        <v>-414.52905481732387</v>
      </c>
      <c r="BG75" s="10">
        <f t="shared" si="127"/>
        <v>-2033.6752269777965</v>
      </c>
      <c r="BH75" s="10">
        <f t="shared" si="128"/>
        <v>-633.67522697779657</v>
      </c>
      <c r="BI75" s="10">
        <f t="shared" si="129"/>
        <v>-256.83999999999997</v>
      </c>
      <c r="BJ75" s="10">
        <f t="shared" si="130"/>
        <v>-72.42307692307692</v>
      </c>
      <c r="BK75" s="10">
        <f t="shared" si="131"/>
        <v>-349.04547208598223</v>
      </c>
      <c r="BL75" s="10">
        <f t="shared" si="132"/>
        <v>-30.840098383496592</v>
      </c>
      <c r="BM75" s="10">
        <f t="shared" si="133"/>
        <v>34.294799999999995</v>
      </c>
      <c r="BN75" s="10">
        <f t="shared" si="134"/>
        <v>-979.26599744727537</v>
      </c>
      <c r="BO75" s="10">
        <f t="shared" si="135"/>
        <v>-105.05850405903007</v>
      </c>
      <c r="BP75" s="10">
        <f t="shared" si="136"/>
        <v>-1084.3245015063053</v>
      </c>
      <c r="BQ75" s="10">
        <f t="shared" si="137"/>
        <v>58.520337802294669</v>
      </c>
      <c r="BR75" s="10">
        <f t="shared" si="138"/>
        <v>-920.74565964498072</v>
      </c>
    </row>
    <row r="76" spans="2:70" hidden="1">
      <c r="B76" s="29" t="s">
        <v>8</v>
      </c>
      <c r="C76" s="29" t="s">
        <v>466</v>
      </c>
      <c r="D76" s="25" t="s">
        <v>474</v>
      </c>
      <c r="E76" s="100">
        <v>48</v>
      </c>
      <c r="F76" s="100">
        <v>46120</v>
      </c>
      <c r="G76" s="101">
        <v>120</v>
      </c>
      <c r="H76" s="193" t="s">
        <v>33</v>
      </c>
      <c r="I76" s="27" t="s">
        <v>205</v>
      </c>
      <c r="J76" s="7" t="s">
        <v>206</v>
      </c>
      <c r="K76" s="7" t="s">
        <v>141</v>
      </c>
      <c r="L76" s="7" t="s">
        <v>142</v>
      </c>
      <c r="M76" s="21" t="s">
        <v>43</v>
      </c>
      <c r="N76" s="7" t="s">
        <v>129</v>
      </c>
      <c r="O76" s="20">
        <v>1500</v>
      </c>
      <c r="P76" s="61">
        <v>180000</v>
      </c>
      <c r="Q76" s="20">
        <v>1371.2083333333333</v>
      </c>
      <c r="R76" s="30">
        <v>15455</v>
      </c>
      <c r="S76" s="32">
        <v>164545</v>
      </c>
      <c r="T76" s="65">
        <v>5</v>
      </c>
      <c r="U76" s="59" t="s">
        <v>550</v>
      </c>
      <c r="V76" s="147" t="s">
        <v>552</v>
      </c>
      <c r="W76" s="62" t="s">
        <v>138</v>
      </c>
      <c r="X76" s="4"/>
      <c r="Y76" s="7">
        <v>10005721</v>
      </c>
      <c r="Z76" s="7"/>
      <c r="AA76" s="7"/>
      <c r="AB76" s="20">
        <f t="shared" si="116"/>
        <v>2033.6752269777967</v>
      </c>
      <c r="AC76" s="46">
        <f>IFERROR(INDEX('Costos Producción Febrero'!$G$34:$G$57,MATCH(Resumen!Y76,'Costos Producción Febrero'!$B$34:$B$57,0))*AB76*G76,0)</f>
        <v>148208.77909700948</v>
      </c>
      <c r="AD76" s="46">
        <f>IFERROR(INDEX('Costos Producción Febrero'!$H$34:$H$57,MATCH(Resumen!Y76,'Costos Producción Febrero'!$B$34:$B$57,0))*AB76*G76,0)</f>
        <v>43428.249260295604</v>
      </c>
      <c r="AE76" s="46">
        <f>IFERROR(INDEX('Costos Producción Febrero'!$I$34:$I$57,MATCH(Resumen!Y76,'Costos Producción Febrero'!$B$34:$B$57,0))*AB76*G76,0)</f>
        <v>2660.5123019516473</v>
      </c>
      <c r="AF76" s="46">
        <f>IFERROR(INDEX('Costos Producción Febrero'!$J$34:$J$57,MATCH(Resumen!Y76,'Costos Producción Febrero'!$B$34:$B$57,0))*AB76*G76,0)</f>
        <v>49743.486578078868</v>
      </c>
      <c r="AG76" s="46">
        <f t="shared" si="102"/>
        <v>244041.02723733563</v>
      </c>
      <c r="AH76" s="46"/>
      <c r="AI76" s="45">
        <v>2136.6867671261102</v>
      </c>
      <c r="AJ76" s="46"/>
      <c r="AK76" s="45">
        <f t="shared" si="103"/>
        <v>-64041.027237335627</v>
      </c>
      <c r="AL76" s="94">
        <f t="shared" si="104"/>
        <v>-0.3557834846518646</v>
      </c>
      <c r="AM76" s="44">
        <f t="shared" si="105"/>
        <v>15455</v>
      </c>
      <c r="AN76" s="44">
        <f t="shared" si="106"/>
        <v>2373.8874195486328</v>
      </c>
      <c r="AO76" s="44">
        <f t="shared" si="117"/>
        <v>8690.7692307692305</v>
      </c>
      <c r="AP76" s="44">
        <f t="shared" si="114"/>
        <v>26519.656650317862</v>
      </c>
      <c r="AQ76" s="44">
        <f t="shared" si="118"/>
        <v>3700.8118060195911</v>
      </c>
      <c r="AR76" s="44">
        <f t="shared" si="119"/>
        <v>4936.3499999999995</v>
      </c>
      <c r="AS76" s="45">
        <f t="shared" si="139"/>
        <v>-89325.145693673068</v>
      </c>
      <c r="AT76" s="94">
        <f t="shared" si="109"/>
        <v>-0.49625080940929484</v>
      </c>
      <c r="AU76" s="44">
        <f t="shared" si="120"/>
        <v>12607.02048708361</v>
      </c>
      <c r="AV76" s="45">
        <f t="shared" si="140"/>
        <v>-101932.16618075667</v>
      </c>
      <c r="AW76" s="94">
        <f t="shared" si="111"/>
        <v>-0.56628981211531482</v>
      </c>
      <c r="AX76" s="44">
        <f t="shared" si="121"/>
        <v>7022.4405362753605</v>
      </c>
      <c r="AY76" s="45">
        <f t="shared" si="141"/>
        <v>-82302.705157397708</v>
      </c>
      <c r="AZ76" s="94">
        <f t="shared" si="113"/>
        <v>-0.45723725087443173</v>
      </c>
      <c r="BB76" s="10">
        <f t="shared" si="122"/>
        <v>1500</v>
      </c>
      <c r="BC76" s="10">
        <f t="shared" si="123"/>
        <v>-1235.0731591417457</v>
      </c>
      <c r="BD76" s="10">
        <f t="shared" si="124"/>
        <v>-361.90207716913005</v>
      </c>
      <c r="BE76" s="10">
        <f t="shared" si="125"/>
        <v>-22.170935849597061</v>
      </c>
      <c r="BF76" s="10">
        <f t="shared" si="126"/>
        <v>-414.52905481732392</v>
      </c>
      <c r="BG76" s="10">
        <f t="shared" si="127"/>
        <v>-2033.6752269777969</v>
      </c>
      <c r="BH76" s="10">
        <f t="shared" si="128"/>
        <v>-533.67522697779691</v>
      </c>
      <c r="BI76" s="10">
        <f t="shared" si="129"/>
        <v>-128.79166666666666</v>
      </c>
      <c r="BJ76" s="10">
        <f t="shared" si="130"/>
        <v>-72.42307692307692</v>
      </c>
      <c r="BK76" s="10">
        <f t="shared" si="131"/>
        <v>-220.99713875264885</v>
      </c>
      <c r="BL76" s="10">
        <f t="shared" si="132"/>
        <v>-30.840098383496592</v>
      </c>
      <c r="BM76" s="10">
        <f t="shared" si="133"/>
        <v>41.136249999999997</v>
      </c>
      <c r="BN76" s="10">
        <f t="shared" si="134"/>
        <v>-744.37621411394218</v>
      </c>
      <c r="BO76" s="10">
        <f t="shared" si="135"/>
        <v>-105.05850405903008</v>
      </c>
      <c r="BP76" s="10">
        <f t="shared" si="136"/>
        <v>-849.43471817297223</v>
      </c>
      <c r="BQ76" s="10">
        <f t="shared" si="137"/>
        <v>58.520337802294669</v>
      </c>
      <c r="BR76" s="10">
        <f t="shared" si="138"/>
        <v>-685.85587631164753</v>
      </c>
    </row>
    <row r="77" spans="2:70" hidden="1">
      <c r="B77" s="29" t="s">
        <v>8</v>
      </c>
      <c r="C77" s="29" t="s">
        <v>466</v>
      </c>
      <c r="D77" s="25" t="s">
        <v>475</v>
      </c>
      <c r="E77" s="100">
        <v>50</v>
      </c>
      <c r="F77" s="100">
        <v>46132</v>
      </c>
      <c r="G77" s="101">
        <v>68.819999999999993</v>
      </c>
      <c r="H77" s="193" t="s">
        <v>32</v>
      </c>
      <c r="I77" s="27" t="s">
        <v>155</v>
      </c>
      <c r="J77" s="7" t="s">
        <v>228</v>
      </c>
      <c r="K77" s="7" t="s">
        <v>269</v>
      </c>
      <c r="L77" s="7" t="s">
        <v>230</v>
      </c>
      <c r="M77" s="21" t="s">
        <v>43</v>
      </c>
      <c r="N77" s="7" t="s">
        <v>129</v>
      </c>
      <c r="O77" s="20">
        <v>1600</v>
      </c>
      <c r="P77" s="61">
        <v>110111.99999999999</v>
      </c>
      <c r="Q77" s="20">
        <v>1482.258064516129</v>
      </c>
      <c r="R77" s="30">
        <v>8103</v>
      </c>
      <c r="S77" s="32">
        <v>102008.99999999999</v>
      </c>
      <c r="T77" s="65">
        <v>3</v>
      </c>
      <c r="U77" s="59" t="s">
        <v>553</v>
      </c>
      <c r="V77" s="147" t="s">
        <v>554</v>
      </c>
      <c r="W77" s="62" t="s">
        <v>226</v>
      </c>
      <c r="X77" s="4"/>
      <c r="Y77" s="7">
        <v>10006720</v>
      </c>
      <c r="Z77" s="7"/>
      <c r="AA77" s="7"/>
      <c r="AB77" s="20">
        <f t="shared" si="116"/>
        <v>1933.6326766546831</v>
      </c>
      <c r="AC77" s="46">
        <f>IFERROR(INDEX('Costos Producción Febrero'!$G$34:$G$57,MATCH(Resumen!Y77,'Costos Producción Febrero'!$B$34:$B$57,0))*AB77*G77,0)</f>
        <v>85391.761118426497</v>
      </c>
      <c r="AD77" s="46">
        <f>IFERROR(INDEX('Costos Producción Febrero'!$H$34:$H$57,MATCH(Resumen!Y77,'Costos Producción Febrero'!$B$34:$B$57,0))*AB77*G77,0)</f>
        <v>17961.07289467577</v>
      </c>
      <c r="AE77" s="46">
        <f>IFERROR(INDEX('Costos Producción Febrero'!$I$34:$I$57,MATCH(Resumen!Y77,'Costos Producción Febrero'!$B$34:$B$57,0))*AB77*G77,0)</f>
        <v>1243.4105514868299</v>
      </c>
      <c r="AF77" s="46">
        <f>IFERROR(INDEX('Costos Producción Febrero'!$J$34:$J$57,MATCH(Resumen!Y77,'Costos Producción Febrero'!$B$34:$B$57,0))*AB77*G77,0)</f>
        <v>28476.356242786176</v>
      </c>
      <c r="AG77" s="46">
        <f t="shared" si="102"/>
        <v>133072.60080737527</v>
      </c>
      <c r="AH77" s="46"/>
      <c r="AI77" s="45">
        <v>2036.6442168029967</v>
      </c>
      <c r="AJ77" s="46"/>
      <c r="AK77" s="45">
        <f t="shared" si="103"/>
        <v>-22960.600807375289</v>
      </c>
      <c r="AL77" s="94">
        <f t="shared" si="104"/>
        <v>-0.20852042290917694</v>
      </c>
      <c r="AM77" s="44">
        <f t="shared" si="105"/>
        <v>8103</v>
      </c>
      <c r="AN77" s="44">
        <f t="shared" si="106"/>
        <v>1361.4244351111408</v>
      </c>
      <c r="AO77" s="44">
        <f t="shared" si="117"/>
        <v>4984.1561538461528</v>
      </c>
      <c r="AP77" s="44">
        <f t="shared" si="114"/>
        <v>14448.580588957295</v>
      </c>
      <c r="AQ77" s="44">
        <f t="shared" si="118"/>
        <v>2122.4155707522355</v>
      </c>
      <c r="AR77" s="44">
        <f t="shared" si="119"/>
        <v>3060.2699999999995</v>
      </c>
      <c r="AS77" s="45">
        <f t="shared" si="139"/>
        <v>-36471.326967084824</v>
      </c>
      <c r="AT77" s="94">
        <f t="shared" si="109"/>
        <v>-0.33122027542034316</v>
      </c>
      <c r="AU77" s="44">
        <f t="shared" si="120"/>
        <v>7230.1262493424501</v>
      </c>
      <c r="AV77" s="45">
        <f t="shared" si="140"/>
        <v>-43701.453216427275</v>
      </c>
      <c r="AW77" s="94">
        <f t="shared" si="111"/>
        <v>-0.39688184045723701</v>
      </c>
      <c r="AX77" s="44">
        <f t="shared" si="121"/>
        <v>4027.3696475539186</v>
      </c>
      <c r="AY77" s="45">
        <f t="shared" si="141"/>
        <v>-32443.957319530906</v>
      </c>
      <c r="AZ77" s="94">
        <f t="shared" si="113"/>
        <v>-0.29464506429390902</v>
      </c>
      <c r="BB77" s="10">
        <f t="shared" si="122"/>
        <v>1600</v>
      </c>
      <c r="BC77" s="10">
        <f t="shared" si="123"/>
        <v>-1240.7986213081444</v>
      </c>
      <c r="BD77" s="10">
        <f t="shared" si="124"/>
        <v>-260.9862379348412</v>
      </c>
      <c r="BE77" s="10">
        <f t="shared" si="125"/>
        <v>-18.067575581035019</v>
      </c>
      <c r="BF77" s="10">
        <f t="shared" si="126"/>
        <v>-413.78024183066231</v>
      </c>
      <c r="BG77" s="10">
        <f t="shared" si="127"/>
        <v>-1933.6326766546831</v>
      </c>
      <c r="BH77" s="10">
        <f t="shared" si="128"/>
        <v>-333.63267665468311</v>
      </c>
      <c r="BI77" s="10">
        <f t="shared" si="129"/>
        <v>-117.74193548387098</v>
      </c>
      <c r="BJ77" s="10">
        <f t="shared" si="130"/>
        <v>-72.42307692307692</v>
      </c>
      <c r="BK77" s="10">
        <f t="shared" si="131"/>
        <v>-209.9474075698532</v>
      </c>
      <c r="BL77" s="10">
        <f t="shared" si="132"/>
        <v>-30.840098383496596</v>
      </c>
      <c r="BM77" s="10">
        <f t="shared" si="133"/>
        <v>44.467741935483872</v>
      </c>
      <c r="BN77" s="10">
        <f t="shared" si="134"/>
        <v>-529.95244067254907</v>
      </c>
      <c r="BO77" s="10">
        <f t="shared" si="135"/>
        <v>-105.05850405903008</v>
      </c>
      <c r="BP77" s="10">
        <f t="shared" si="136"/>
        <v>-635.01094473157923</v>
      </c>
      <c r="BQ77" s="10">
        <f t="shared" si="137"/>
        <v>58.520337802294669</v>
      </c>
      <c r="BR77" s="10">
        <f t="shared" si="138"/>
        <v>-471.43210287025443</v>
      </c>
    </row>
    <row r="78" spans="2:70" hidden="1">
      <c r="B78" s="29" t="s">
        <v>8</v>
      </c>
      <c r="C78" s="29" t="s">
        <v>466</v>
      </c>
      <c r="D78" s="25" t="s">
        <v>476</v>
      </c>
      <c r="E78" s="100">
        <v>50</v>
      </c>
      <c r="F78" s="100">
        <v>46125</v>
      </c>
      <c r="G78" s="101">
        <v>26</v>
      </c>
      <c r="H78" s="193" t="s">
        <v>33</v>
      </c>
      <c r="I78" s="27" t="s">
        <v>132</v>
      </c>
      <c r="J78" s="7" t="s">
        <v>477</v>
      </c>
      <c r="K78" s="7" t="s">
        <v>108</v>
      </c>
      <c r="L78" s="7" t="s">
        <v>109</v>
      </c>
      <c r="M78" s="21" t="s">
        <v>56</v>
      </c>
      <c r="N78" s="7" t="s">
        <v>110</v>
      </c>
      <c r="O78" s="20">
        <v>1400</v>
      </c>
      <c r="P78" s="61">
        <v>36400</v>
      </c>
      <c r="Q78" s="20">
        <v>1213.4615384615386</v>
      </c>
      <c r="R78" s="30">
        <v>4850</v>
      </c>
      <c r="S78" s="32">
        <v>31550</v>
      </c>
      <c r="T78" s="65">
        <v>1</v>
      </c>
      <c r="U78" s="59" t="s">
        <v>168</v>
      </c>
      <c r="V78" s="147">
        <v>93351271</v>
      </c>
      <c r="W78" s="62" t="s">
        <v>112</v>
      </c>
      <c r="X78" s="4"/>
      <c r="Y78" s="7">
        <v>10005721</v>
      </c>
      <c r="Z78" s="7"/>
      <c r="AA78" s="7"/>
      <c r="AB78" s="20">
        <f t="shared" si="116"/>
        <v>2033.6752269777967</v>
      </c>
      <c r="AC78" s="46">
        <f>IFERROR(INDEX('Costos Producción Febrero'!$G$34:$G$57,MATCH(Resumen!Y78,'Costos Producción Febrero'!$B$34:$B$57,0))*AB78*G78,0)</f>
        <v>32111.902137685389</v>
      </c>
      <c r="AD78" s="46">
        <f>IFERROR(INDEX('Costos Producción Febrero'!$H$34:$H$57,MATCH(Resumen!Y78,'Costos Producción Febrero'!$B$34:$B$57,0))*AB78*G78,0)</f>
        <v>9409.4540063973818</v>
      </c>
      <c r="AE78" s="46">
        <f>IFERROR(INDEX('Costos Producción Febrero'!$I$34:$I$57,MATCH(Resumen!Y78,'Costos Producción Febrero'!$B$34:$B$57,0))*AB78*G78,0)</f>
        <v>576.44433208952364</v>
      </c>
      <c r="AF78" s="46">
        <f>IFERROR(INDEX('Costos Producción Febrero'!$J$34:$J$57,MATCH(Resumen!Y78,'Costos Producción Febrero'!$B$34:$B$57,0))*AB78*G78,0)</f>
        <v>10777.75542525042</v>
      </c>
      <c r="AG78" s="46">
        <f t="shared" si="102"/>
        <v>52875.555901422711</v>
      </c>
      <c r="AH78" s="46"/>
      <c r="AI78" s="45">
        <v>2136.6867671261102</v>
      </c>
      <c r="AJ78" s="46"/>
      <c r="AK78" s="45">
        <f t="shared" si="103"/>
        <v>-16475.555901422711</v>
      </c>
      <c r="AL78" s="94">
        <f t="shared" si="104"/>
        <v>-0.45262516212699755</v>
      </c>
      <c r="AM78" s="44">
        <f t="shared" si="105"/>
        <v>4850</v>
      </c>
      <c r="AN78" s="44">
        <f t="shared" si="106"/>
        <v>514.34227423553716</v>
      </c>
      <c r="AO78" s="44">
        <f t="shared" si="117"/>
        <v>1883</v>
      </c>
      <c r="AP78" s="44">
        <f t="shared" si="114"/>
        <v>7247.3422742355369</v>
      </c>
      <c r="AQ78" s="44">
        <f t="shared" si="118"/>
        <v>801.84255797091134</v>
      </c>
      <c r="AR78" s="44">
        <f t="shared" si="119"/>
        <v>946.5</v>
      </c>
      <c r="AS78" s="45">
        <f t="shared" si="139"/>
        <v>-23578.240733629158</v>
      </c>
      <c r="AT78" s="94">
        <f t="shared" si="109"/>
        <v>-0.6477538663084933</v>
      </c>
      <c r="AU78" s="44">
        <f t="shared" si="120"/>
        <v>2731.5211055347822</v>
      </c>
      <c r="AV78" s="45">
        <f t="shared" si="140"/>
        <v>-26309.761839163941</v>
      </c>
      <c r="AW78" s="94">
        <f t="shared" si="111"/>
        <v>-0.72279565492208631</v>
      </c>
      <c r="AX78" s="44">
        <f t="shared" si="121"/>
        <v>1521.5287828596613</v>
      </c>
      <c r="AY78" s="45">
        <f t="shared" si="141"/>
        <v>-22056.711950769495</v>
      </c>
      <c r="AZ78" s="94">
        <f t="shared" si="113"/>
        <v>-0.60595362502114003</v>
      </c>
      <c r="BB78" s="10">
        <f t="shared" si="122"/>
        <v>1400</v>
      </c>
      <c r="BC78" s="10">
        <f t="shared" si="123"/>
        <v>-1235.0731591417457</v>
      </c>
      <c r="BD78" s="10">
        <f t="shared" si="124"/>
        <v>-361.90207716913005</v>
      </c>
      <c r="BE78" s="10">
        <f t="shared" si="125"/>
        <v>-22.170935849597065</v>
      </c>
      <c r="BF78" s="10">
        <f t="shared" si="126"/>
        <v>-414.52905481732381</v>
      </c>
      <c r="BG78" s="10">
        <f t="shared" si="127"/>
        <v>-2033.6752269777967</v>
      </c>
      <c r="BH78" s="10">
        <f t="shared" si="128"/>
        <v>-633.67522697779657</v>
      </c>
      <c r="BI78" s="10">
        <f t="shared" si="129"/>
        <v>-186.53846153846155</v>
      </c>
      <c r="BJ78" s="10">
        <f t="shared" si="130"/>
        <v>-72.42307692307692</v>
      </c>
      <c r="BK78" s="10">
        <f t="shared" si="131"/>
        <v>-278.74393362444374</v>
      </c>
      <c r="BL78" s="10">
        <f t="shared" si="132"/>
        <v>-30.840098383496588</v>
      </c>
      <c r="BM78" s="10">
        <f t="shared" si="133"/>
        <v>36.403846153846153</v>
      </c>
      <c r="BN78" s="10">
        <f t="shared" si="134"/>
        <v>-906.8554128318907</v>
      </c>
      <c r="BO78" s="10">
        <f t="shared" si="135"/>
        <v>-105.05850405903008</v>
      </c>
      <c r="BP78" s="10">
        <f t="shared" si="136"/>
        <v>-1011.9139168909207</v>
      </c>
      <c r="BQ78" s="10">
        <f t="shared" si="137"/>
        <v>58.520337802294662</v>
      </c>
      <c r="BR78" s="10">
        <f t="shared" si="138"/>
        <v>-848.33507502959594</v>
      </c>
    </row>
    <row r="79" spans="2:70" hidden="1">
      <c r="B79" s="29" t="s">
        <v>8</v>
      </c>
      <c r="C79" s="29" t="s">
        <v>466</v>
      </c>
      <c r="D79" s="25" t="s">
        <v>478</v>
      </c>
      <c r="E79" s="100">
        <v>50</v>
      </c>
      <c r="F79" s="100">
        <v>46132</v>
      </c>
      <c r="G79" s="101">
        <v>26</v>
      </c>
      <c r="H79" s="193" t="s">
        <v>33</v>
      </c>
      <c r="I79" s="27" t="s">
        <v>132</v>
      </c>
      <c r="J79" s="7" t="s">
        <v>477</v>
      </c>
      <c r="K79" s="7" t="s">
        <v>108</v>
      </c>
      <c r="L79" s="7" t="s">
        <v>109</v>
      </c>
      <c r="M79" s="21" t="s">
        <v>56</v>
      </c>
      <c r="N79" s="7" t="s">
        <v>110</v>
      </c>
      <c r="O79" s="20">
        <v>1400</v>
      </c>
      <c r="P79" s="61">
        <v>36400</v>
      </c>
      <c r="Q79" s="20">
        <v>1213.4615384615386</v>
      </c>
      <c r="R79" s="30">
        <v>4850</v>
      </c>
      <c r="S79" s="32">
        <v>31550</v>
      </c>
      <c r="T79" s="65">
        <v>1</v>
      </c>
      <c r="U79" s="59" t="s">
        <v>555</v>
      </c>
      <c r="V79" s="147">
        <v>10367430</v>
      </c>
      <c r="W79" s="62" t="s">
        <v>112</v>
      </c>
      <c r="X79" s="4"/>
      <c r="Y79" s="7">
        <v>10005721</v>
      </c>
      <c r="Z79" s="7"/>
      <c r="AA79" s="7"/>
      <c r="AB79" s="20">
        <f t="shared" si="116"/>
        <v>2033.6752269777967</v>
      </c>
      <c r="AC79" s="46">
        <f>IFERROR(INDEX('Costos Producción Febrero'!$G$34:$G$57,MATCH(Resumen!Y79,'Costos Producción Febrero'!$B$34:$B$57,0))*AB79*G79,0)</f>
        <v>32111.902137685389</v>
      </c>
      <c r="AD79" s="46">
        <f>IFERROR(INDEX('Costos Producción Febrero'!$H$34:$H$57,MATCH(Resumen!Y79,'Costos Producción Febrero'!$B$34:$B$57,0))*AB79*G79,0)</f>
        <v>9409.4540063973818</v>
      </c>
      <c r="AE79" s="46">
        <f>IFERROR(INDEX('Costos Producción Febrero'!$I$34:$I$57,MATCH(Resumen!Y79,'Costos Producción Febrero'!$B$34:$B$57,0))*AB79*G79,0)</f>
        <v>576.44433208952364</v>
      </c>
      <c r="AF79" s="46">
        <f>IFERROR(INDEX('Costos Producción Febrero'!$J$34:$J$57,MATCH(Resumen!Y79,'Costos Producción Febrero'!$B$34:$B$57,0))*AB79*G79,0)</f>
        <v>10777.75542525042</v>
      </c>
      <c r="AG79" s="46">
        <f t="shared" si="102"/>
        <v>52875.555901422711</v>
      </c>
      <c r="AH79" s="46"/>
      <c r="AI79" s="45">
        <v>2136.6867671261102</v>
      </c>
      <c r="AJ79" s="46"/>
      <c r="AK79" s="45">
        <f t="shared" si="103"/>
        <v>-16475.555901422711</v>
      </c>
      <c r="AL79" s="94">
        <f t="shared" si="104"/>
        <v>-0.45262516212699755</v>
      </c>
      <c r="AM79" s="44">
        <f t="shared" si="105"/>
        <v>4850</v>
      </c>
      <c r="AN79" s="44">
        <f t="shared" si="106"/>
        <v>514.34227423553716</v>
      </c>
      <c r="AO79" s="44">
        <f t="shared" si="117"/>
        <v>1883</v>
      </c>
      <c r="AP79" s="44">
        <f t="shared" si="114"/>
        <v>7247.3422742355369</v>
      </c>
      <c r="AQ79" s="44">
        <f t="shared" si="118"/>
        <v>801.84255797091134</v>
      </c>
      <c r="AR79" s="44">
        <f t="shared" si="119"/>
        <v>946.5</v>
      </c>
      <c r="AS79" s="45">
        <f t="shared" si="139"/>
        <v>-23578.240733629158</v>
      </c>
      <c r="AT79" s="94">
        <f t="shared" si="109"/>
        <v>-0.6477538663084933</v>
      </c>
      <c r="AU79" s="44">
        <f t="shared" si="120"/>
        <v>2731.5211055347822</v>
      </c>
      <c r="AV79" s="45">
        <f t="shared" si="140"/>
        <v>-26309.761839163941</v>
      </c>
      <c r="AW79" s="94">
        <f t="shared" si="111"/>
        <v>-0.72279565492208631</v>
      </c>
      <c r="AX79" s="44">
        <f t="shared" si="121"/>
        <v>1521.5287828596613</v>
      </c>
      <c r="AY79" s="45">
        <f t="shared" si="141"/>
        <v>-22056.711950769495</v>
      </c>
      <c r="AZ79" s="94">
        <f t="shared" si="113"/>
        <v>-0.60595362502114003</v>
      </c>
      <c r="BB79" s="10">
        <f t="shared" si="122"/>
        <v>1400</v>
      </c>
      <c r="BC79" s="10">
        <f t="shared" si="123"/>
        <v>-1235.0731591417457</v>
      </c>
      <c r="BD79" s="10">
        <f t="shared" si="124"/>
        <v>-361.90207716913005</v>
      </c>
      <c r="BE79" s="10">
        <f t="shared" si="125"/>
        <v>-22.170935849597065</v>
      </c>
      <c r="BF79" s="10">
        <f t="shared" si="126"/>
        <v>-414.52905481732381</v>
      </c>
      <c r="BG79" s="10">
        <f t="shared" si="127"/>
        <v>-2033.6752269777967</v>
      </c>
      <c r="BH79" s="10">
        <f t="shared" si="128"/>
        <v>-633.67522697779657</v>
      </c>
      <c r="BI79" s="10">
        <f t="shared" si="129"/>
        <v>-186.53846153846155</v>
      </c>
      <c r="BJ79" s="10">
        <f t="shared" si="130"/>
        <v>-72.42307692307692</v>
      </c>
      <c r="BK79" s="10">
        <f t="shared" si="131"/>
        <v>-278.74393362444374</v>
      </c>
      <c r="BL79" s="10">
        <f t="shared" si="132"/>
        <v>-30.840098383496588</v>
      </c>
      <c r="BM79" s="10">
        <f t="shared" si="133"/>
        <v>36.403846153846153</v>
      </c>
      <c r="BN79" s="10">
        <f t="shared" si="134"/>
        <v>-906.8554128318907</v>
      </c>
      <c r="BO79" s="10">
        <f t="shared" si="135"/>
        <v>-105.05850405903008</v>
      </c>
      <c r="BP79" s="10">
        <f t="shared" si="136"/>
        <v>-1011.9139168909207</v>
      </c>
      <c r="BQ79" s="10">
        <f t="shared" si="137"/>
        <v>58.520337802294662</v>
      </c>
      <c r="BR79" s="10">
        <f t="shared" si="138"/>
        <v>-848.33507502959594</v>
      </c>
    </row>
    <row r="80" spans="2:70" hidden="1">
      <c r="B80" s="29" t="s">
        <v>8</v>
      </c>
      <c r="C80" s="29" t="s">
        <v>466</v>
      </c>
      <c r="D80" s="25" t="s">
        <v>479</v>
      </c>
      <c r="E80" s="100">
        <v>50</v>
      </c>
      <c r="F80" s="100">
        <v>46139</v>
      </c>
      <c r="G80" s="101">
        <v>26</v>
      </c>
      <c r="H80" s="193" t="s">
        <v>33</v>
      </c>
      <c r="I80" s="27" t="s">
        <v>132</v>
      </c>
      <c r="J80" s="7" t="s">
        <v>477</v>
      </c>
      <c r="K80" s="7" t="s">
        <v>108</v>
      </c>
      <c r="L80" s="7" t="s">
        <v>109</v>
      </c>
      <c r="M80" s="21" t="s">
        <v>56</v>
      </c>
      <c r="N80" s="7" t="s">
        <v>110</v>
      </c>
      <c r="O80" s="20">
        <v>1400</v>
      </c>
      <c r="P80" s="61">
        <v>36400</v>
      </c>
      <c r="Q80" s="20">
        <v>1213.4615384615386</v>
      </c>
      <c r="R80" s="30">
        <v>4850</v>
      </c>
      <c r="S80" s="32">
        <v>31550</v>
      </c>
      <c r="T80" s="65">
        <v>1</v>
      </c>
      <c r="U80" s="59" t="s">
        <v>556</v>
      </c>
      <c r="V80" s="147">
        <v>92234213</v>
      </c>
      <c r="W80" s="62" t="s">
        <v>112</v>
      </c>
      <c r="X80" s="4"/>
      <c r="Y80" s="7">
        <v>10005721</v>
      </c>
      <c r="Z80" s="7"/>
      <c r="AA80" s="7"/>
      <c r="AB80" s="20">
        <f t="shared" si="116"/>
        <v>2033.6752269777967</v>
      </c>
      <c r="AC80" s="46">
        <f>IFERROR(INDEX('Costos Producción Febrero'!$G$34:$G$57,MATCH(Resumen!Y80,'Costos Producción Febrero'!$B$34:$B$57,0))*AB80*G80,0)</f>
        <v>32111.902137685389</v>
      </c>
      <c r="AD80" s="46">
        <f>IFERROR(INDEX('Costos Producción Febrero'!$H$34:$H$57,MATCH(Resumen!Y80,'Costos Producción Febrero'!$B$34:$B$57,0))*AB80*G80,0)</f>
        <v>9409.4540063973818</v>
      </c>
      <c r="AE80" s="46">
        <f>IFERROR(INDEX('Costos Producción Febrero'!$I$34:$I$57,MATCH(Resumen!Y80,'Costos Producción Febrero'!$B$34:$B$57,0))*AB80*G80,0)</f>
        <v>576.44433208952364</v>
      </c>
      <c r="AF80" s="46">
        <f>IFERROR(INDEX('Costos Producción Febrero'!$J$34:$J$57,MATCH(Resumen!Y80,'Costos Producción Febrero'!$B$34:$B$57,0))*AB80*G80,0)</f>
        <v>10777.75542525042</v>
      </c>
      <c r="AG80" s="46">
        <f t="shared" si="102"/>
        <v>52875.555901422711</v>
      </c>
      <c r="AH80" s="46"/>
      <c r="AI80" s="45">
        <v>2136.6867671261102</v>
      </c>
      <c r="AJ80" s="46"/>
      <c r="AK80" s="45">
        <f t="shared" si="103"/>
        <v>-16475.555901422711</v>
      </c>
      <c r="AL80" s="94">
        <f t="shared" si="104"/>
        <v>-0.45262516212699755</v>
      </c>
      <c r="AM80" s="44">
        <f t="shared" si="105"/>
        <v>4850</v>
      </c>
      <c r="AN80" s="44">
        <f t="shared" si="106"/>
        <v>514.34227423553716</v>
      </c>
      <c r="AO80" s="44">
        <f t="shared" si="117"/>
        <v>1883</v>
      </c>
      <c r="AP80" s="44">
        <f t="shared" si="114"/>
        <v>7247.3422742355369</v>
      </c>
      <c r="AQ80" s="44">
        <f t="shared" si="118"/>
        <v>801.84255797091134</v>
      </c>
      <c r="AR80" s="44">
        <f t="shared" si="119"/>
        <v>946.5</v>
      </c>
      <c r="AS80" s="45">
        <f t="shared" si="139"/>
        <v>-23578.240733629158</v>
      </c>
      <c r="AT80" s="94">
        <f t="shared" si="109"/>
        <v>-0.6477538663084933</v>
      </c>
      <c r="AU80" s="44">
        <f t="shared" si="120"/>
        <v>2731.5211055347822</v>
      </c>
      <c r="AV80" s="45">
        <f t="shared" si="140"/>
        <v>-26309.761839163941</v>
      </c>
      <c r="AW80" s="94">
        <f t="shared" si="111"/>
        <v>-0.72279565492208631</v>
      </c>
      <c r="AX80" s="44">
        <f t="shared" si="121"/>
        <v>1521.5287828596613</v>
      </c>
      <c r="AY80" s="45">
        <f t="shared" si="141"/>
        <v>-22056.711950769495</v>
      </c>
      <c r="AZ80" s="94">
        <f t="shared" si="113"/>
        <v>-0.60595362502114003</v>
      </c>
      <c r="BB80" s="10">
        <f t="shared" si="122"/>
        <v>1400</v>
      </c>
      <c r="BC80" s="10">
        <f t="shared" si="123"/>
        <v>-1235.0731591417457</v>
      </c>
      <c r="BD80" s="10">
        <f t="shared" si="124"/>
        <v>-361.90207716913005</v>
      </c>
      <c r="BE80" s="10">
        <f t="shared" si="125"/>
        <v>-22.170935849597065</v>
      </c>
      <c r="BF80" s="10">
        <f t="shared" si="126"/>
        <v>-414.52905481732381</v>
      </c>
      <c r="BG80" s="10">
        <f t="shared" si="127"/>
        <v>-2033.6752269777967</v>
      </c>
      <c r="BH80" s="10">
        <f t="shared" si="128"/>
        <v>-633.67522697779657</v>
      </c>
      <c r="BI80" s="10">
        <f t="shared" si="129"/>
        <v>-186.53846153846155</v>
      </c>
      <c r="BJ80" s="10">
        <f t="shared" si="130"/>
        <v>-72.42307692307692</v>
      </c>
      <c r="BK80" s="10">
        <f t="shared" si="131"/>
        <v>-278.74393362444374</v>
      </c>
      <c r="BL80" s="10">
        <f t="shared" si="132"/>
        <v>-30.840098383496588</v>
      </c>
      <c r="BM80" s="10">
        <f t="shared" si="133"/>
        <v>36.403846153846153</v>
      </c>
      <c r="BN80" s="10">
        <f t="shared" si="134"/>
        <v>-906.8554128318907</v>
      </c>
      <c r="BO80" s="10">
        <f t="shared" si="135"/>
        <v>-105.05850405903008</v>
      </c>
      <c r="BP80" s="10">
        <f t="shared" si="136"/>
        <v>-1011.9139168909207</v>
      </c>
      <c r="BQ80" s="10">
        <f t="shared" si="137"/>
        <v>58.520337802294662</v>
      </c>
      <c r="BR80" s="10">
        <f t="shared" si="138"/>
        <v>-848.33507502959594</v>
      </c>
    </row>
    <row r="81" spans="2:70" hidden="1">
      <c r="B81" s="29" t="s">
        <v>8</v>
      </c>
      <c r="C81" s="29" t="s">
        <v>466</v>
      </c>
      <c r="D81" s="25" t="s">
        <v>480</v>
      </c>
      <c r="E81" s="100">
        <v>46077</v>
      </c>
      <c r="F81" s="100">
        <v>46132</v>
      </c>
      <c r="G81" s="101">
        <v>22.2</v>
      </c>
      <c r="H81" s="102" t="s">
        <v>37</v>
      </c>
      <c r="I81" s="27" t="s">
        <v>126</v>
      </c>
      <c r="J81" s="7"/>
      <c r="K81" s="7" t="s">
        <v>127</v>
      </c>
      <c r="L81" s="7" t="s">
        <v>119</v>
      </c>
      <c r="M81" s="21" t="s">
        <v>43</v>
      </c>
      <c r="N81" s="7" t="s">
        <v>129</v>
      </c>
      <c r="O81" s="20">
        <v>1600</v>
      </c>
      <c r="P81" s="61">
        <v>35520</v>
      </c>
      <c r="Q81" s="20">
        <v>1442.2972972972973</v>
      </c>
      <c r="R81" s="30">
        <v>3501</v>
      </c>
      <c r="S81" s="32">
        <v>32019</v>
      </c>
      <c r="T81" s="65">
        <v>1</v>
      </c>
      <c r="U81" s="59" t="s">
        <v>553</v>
      </c>
      <c r="V81" s="147" t="s">
        <v>557</v>
      </c>
      <c r="W81" s="62" t="s">
        <v>226</v>
      </c>
      <c r="X81" s="4"/>
      <c r="Y81" s="7">
        <v>10007969</v>
      </c>
      <c r="Z81" s="7"/>
      <c r="AA81" s="7"/>
      <c r="AB81" s="20">
        <f t="shared" si="116"/>
        <v>1634.5598884231147</v>
      </c>
      <c r="AC81" s="46">
        <f>IFERROR(INDEX('Costos Producción Febrero'!$G$34:$G$57,MATCH(Resumen!Y81,'Costos Producción Febrero'!$B$34:$B$57,0))*AB81*G81,0)</f>
        <v>30738.793562846407</v>
      </c>
      <c r="AD81" s="46">
        <f>IFERROR(INDEX('Costos Producción Febrero'!$H$34:$H$57,MATCH(Resumen!Y81,'Costos Producción Febrero'!$B$34:$B$57,0))*AB81*G81,0)</f>
        <v>6172.9419779792925</v>
      </c>
      <c r="AE81" s="46">
        <f>IFERROR(INDEX('Costos Producción Febrero'!$I$34:$I$57,MATCH(Resumen!Y81,'Costos Producción Febrero'!$B$34:$B$57,0))*AB81*G81,0)</f>
        <v>475.00031735170239</v>
      </c>
      <c r="AF81" s="46">
        <f>IFERROR(INDEX('Costos Producción Febrero'!$J$34:$J$57,MATCH(Resumen!Y81,'Costos Producción Febrero'!$B$34:$B$57,0))*AB81*G81,0)</f>
        <v>-1099.5063351842578</v>
      </c>
      <c r="AG81" s="46">
        <f t="shared" si="102"/>
        <v>36287.229522993148</v>
      </c>
      <c r="AH81" s="46"/>
      <c r="AI81" s="45">
        <v>1737.5714285714282</v>
      </c>
      <c r="AJ81" s="46"/>
      <c r="AK81" s="45">
        <f t="shared" si="103"/>
        <v>-767.22952299314784</v>
      </c>
      <c r="AL81" s="94">
        <f t="shared" si="104"/>
        <v>-2.1599930264446728E-2</v>
      </c>
      <c r="AM81" s="44">
        <f t="shared" si="105"/>
        <v>3501</v>
      </c>
      <c r="AN81" s="44">
        <f t="shared" si="106"/>
        <v>439.16917261649706</v>
      </c>
      <c r="AO81" s="44">
        <f t="shared" si="117"/>
        <v>1607.7923076923075</v>
      </c>
      <c r="AP81" s="44">
        <f t="shared" si="114"/>
        <v>5547.9614803088043</v>
      </c>
      <c r="AQ81" s="44">
        <f t="shared" si="118"/>
        <v>684.65018411362428</v>
      </c>
      <c r="AR81" s="44">
        <f t="shared" si="119"/>
        <v>960.56999999999994</v>
      </c>
      <c r="AS81" s="45">
        <f t="shared" si="139"/>
        <v>-6039.2711874155766</v>
      </c>
      <c r="AT81" s="94">
        <f t="shared" si="109"/>
        <v>-0.17002452667273582</v>
      </c>
      <c r="AU81" s="44">
        <f t="shared" si="120"/>
        <v>2332.298790110468</v>
      </c>
      <c r="AV81" s="45">
        <f t="shared" si="140"/>
        <v>-8371.5699775260437</v>
      </c>
      <c r="AW81" s="94">
        <f t="shared" si="111"/>
        <v>-0.23568609170962962</v>
      </c>
      <c r="AX81" s="44">
        <f t="shared" si="121"/>
        <v>1299.1514992109417</v>
      </c>
      <c r="AY81" s="45">
        <f t="shared" si="141"/>
        <v>-4740.1196882046352</v>
      </c>
      <c r="AZ81" s="94">
        <f t="shared" si="113"/>
        <v>-0.13344931554630166</v>
      </c>
      <c r="BB81" s="10">
        <f t="shared" si="122"/>
        <v>1600</v>
      </c>
      <c r="BC81" s="10">
        <f t="shared" si="123"/>
        <v>-1384.6303406687571</v>
      </c>
      <c r="BD81" s="10">
        <f t="shared" si="124"/>
        <v>-278.0604494585267</v>
      </c>
      <c r="BE81" s="10">
        <f t="shared" si="125"/>
        <v>-21.396410691518128</v>
      </c>
      <c r="BF81" s="10">
        <f t="shared" si="126"/>
        <v>49.527312395687289</v>
      </c>
      <c r="BG81" s="10">
        <f t="shared" si="127"/>
        <v>-1634.5598884231149</v>
      </c>
      <c r="BH81" s="10">
        <f t="shared" si="128"/>
        <v>-34.559888423114771</v>
      </c>
      <c r="BI81" s="10">
        <f t="shared" si="129"/>
        <v>-157.70270270270271</v>
      </c>
      <c r="BJ81" s="10">
        <f t="shared" si="130"/>
        <v>-72.42307692307692</v>
      </c>
      <c r="BK81" s="10">
        <f t="shared" si="131"/>
        <v>-249.90817478868487</v>
      </c>
      <c r="BL81" s="10">
        <f t="shared" si="132"/>
        <v>-30.840098383496588</v>
      </c>
      <c r="BM81" s="10">
        <f t="shared" si="133"/>
        <v>43.268918918918921</v>
      </c>
      <c r="BN81" s="10">
        <f t="shared" si="134"/>
        <v>-272.03924267637734</v>
      </c>
      <c r="BO81" s="10">
        <f t="shared" si="135"/>
        <v>-105.05850405903008</v>
      </c>
      <c r="BP81" s="10">
        <f t="shared" si="136"/>
        <v>-377.09774673540738</v>
      </c>
      <c r="BQ81" s="10">
        <f t="shared" si="137"/>
        <v>58.520337802294669</v>
      </c>
      <c r="BR81" s="10">
        <f t="shared" si="138"/>
        <v>-213.51890487408266</v>
      </c>
    </row>
    <row r="82" spans="2:70" hidden="1">
      <c r="B82" s="29" t="s">
        <v>8</v>
      </c>
      <c r="C82" s="29" t="s">
        <v>466</v>
      </c>
      <c r="D82" s="25" t="s">
        <v>481</v>
      </c>
      <c r="E82" s="100">
        <v>64</v>
      </c>
      <c r="F82" s="100">
        <v>46125</v>
      </c>
      <c r="G82" s="101">
        <v>26</v>
      </c>
      <c r="H82" s="27" t="s">
        <v>36</v>
      </c>
      <c r="I82" s="27" t="s">
        <v>107</v>
      </c>
      <c r="J82" s="7"/>
      <c r="K82" s="7" t="s">
        <v>108</v>
      </c>
      <c r="L82" s="7" t="s">
        <v>109</v>
      </c>
      <c r="M82" s="21" t="s">
        <v>56</v>
      </c>
      <c r="N82" s="7" t="s">
        <v>110</v>
      </c>
      <c r="O82" s="20">
        <v>3100</v>
      </c>
      <c r="P82" s="61">
        <v>80600</v>
      </c>
      <c r="Q82" s="20">
        <v>2913.4615384615386</v>
      </c>
      <c r="R82" s="30">
        <v>4850</v>
      </c>
      <c r="S82" s="32">
        <v>75750</v>
      </c>
      <c r="T82" s="65">
        <v>1</v>
      </c>
      <c r="U82" s="59" t="s">
        <v>168</v>
      </c>
      <c r="V82" s="147">
        <v>32406022</v>
      </c>
      <c r="W82" s="62" t="s">
        <v>112</v>
      </c>
      <c r="X82" s="4"/>
      <c r="Y82" s="7">
        <v>10007567</v>
      </c>
      <c r="Z82" s="7"/>
      <c r="AA82" s="7"/>
      <c r="AB82" s="20">
        <f t="shared" si="116"/>
        <v>2001.4942427698361</v>
      </c>
      <c r="AC82" s="46">
        <f>IFERROR(INDEX('Costos Producción Febrero'!$G$34:$G$57,MATCH(Resumen!Y82,'Costos Producción Febrero'!$B$34:$B$57,0))*AB82*G82,0)</f>
        <v>32138.287967120508</v>
      </c>
      <c r="AD82" s="46">
        <f>IFERROR(INDEX('Costos Producción Febrero'!$H$34:$H$57,MATCH(Resumen!Y82,'Costos Producción Febrero'!$B$34:$B$57,0))*AB82*G82,0)</f>
        <v>8661.4053803837232</v>
      </c>
      <c r="AE82" s="46">
        <f>IFERROR(INDEX('Costos Producción Febrero'!$I$34:$I$57,MATCH(Resumen!Y82,'Costos Producción Febrero'!$B$34:$B$57,0))*AB82*G82,0)</f>
        <v>561.67492412153217</v>
      </c>
      <c r="AF82" s="46">
        <f>IFERROR(INDEX('Costos Producción Febrero'!$J$34:$J$57,MATCH(Resumen!Y82,'Costos Producción Febrero'!$B$34:$B$57,0))*AB82*G82,0)</f>
        <v>10677.482040389968</v>
      </c>
      <c r="AG82" s="46">
        <f t="shared" si="102"/>
        <v>52038.850312015726</v>
      </c>
      <c r="AH82" s="46"/>
      <c r="AI82" s="45">
        <v>2104.5057829181496</v>
      </c>
      <c r="AJ82" s="46"/>
      <c r="AK82" s="45">
        <f t="shared" si="103"/>
        <v>28561.149687984274</v>
      </c>
      <c r="AL82" s="94">
        <f t="shared" si="104"/>
        <v>0.35435669588069818</v>
      </c>
      <c r="AM82" s="44">
        <f t="shared" si="105"/>
        <v>4850</v>
      </c>
      <c r="AN82" s="44">
        <f t="shared" si="106"/>
        <v>514.34227423553716</v>
      </c>
      <c r="AO82" s="44">
        <f t="shared" si="117"/>
        <v>1883</v>
      </c>
      <c r="AP82" s="44">
        <f t="shared" si="114"/>
        <v>7247.3422742355369</v>
      </c>
      <c r="AQ82" s="44">
        <f t="shared" si="118"/>
        <v>801.84255797091134</v>
      </c>
      <c r="AR82" s="44">
        <f t="shared" si="119"/>
        <v>2272.5</v>
      </c>
      <c r="AS82" s="45">
        <f t="shared" si="139"/>
        <v>22784.464855777827</v>
      </c>
      <c r="AT82" s="94">
        <f t="shared" si="109"/>
        <v>0.28268566818582913</v>
      </c>
      <c r="AU82" s="44">
        <f t="shared" si="120"/>
        <v>2731.5211055347822</v>
      </c>
      <c r="AV82" s="45">
        <f t="shared" si="140"/>
        <v>20052.943750243045</v>
      </c>
      <c r="AW82" s="94">
        <f t="shared" si="111"/>
        <v>0.24879582816678716</v>
      </c>
      <c r="AX82" s="44">
        <f t="shared" si="121"/>
        <v>1521.5287828596613</v>
      </c>
      <c r="AY82" s="45">
        <f t="shared" si="141"/>
        <v>24305.99363863749</v>
      </c>
      <c r="AZ82" s="94">
        <f t="shared" si="113"/>
        <v>0.30156319650914998</v>
      </c>
      <c r="BB82" s="10">
        <f t="shared" si="122"/>
        <v>3100</v>
      </c>
      <c r="BC82" s="10">
        <f t="shared" si="123"/>
        <v>-1236.0879987354042</v>
      </c>
      <c r="BD82" s="10">
        <f t="shared" si="124"/>
        <v>-333.13097616860472</v>
      </c>
      <c r="BE82" s="10">
        <f t="shared" si="125"/>
        <v>-21.602881696982006</v>
      </c>
      <c r="BF82" s="10">
        <f t="shared" si="126"/>
        <v>-410.67238616884492</v>
      </c>
      <c r="BG82" s="10">
        <f t="shared" si="127"/>
        <v>-2001.4942427698356</v>
      </c>
      <c r="BH82" s="10">
        <f t="shared" si="128"/>
        <v>1098.5057572301644</v>
      </c>
      <c r="BI82" s="10">
        <f t="shared" si="129"/>
        <v>-186.53846153846155</v>
      </c>
      <c r="BJ82" s="10">
        <f t="shared" si="130"/>
        <v>-72.42307692307692</v>
      </c>
      <c r="BK82" s="10">
        <f t="shared" si="131"/>
        <v>-278.74393362444374</v>
      </c>
      <c r="BL82" s="10">
        <f t="shared" si="132"/>
        <v>-30.840098383496588</v>
      </c>
      <c r="BM82" s="10">
        <f t="shared" si="133"/>
        <v>87.40384615384616</v>
      </c>
      <c r="BN82" s="10">
        <f t="shared" si="134"/>
        <v>876.32557137607023</v>
      </c>
      <c r="BO82" s="10">
        <f t="shared" si="135"/>
        <v>-105.05850405903008</v>
      </c>
      <c r="BP82" s="10">
        <f t="shared" si="136"/>
        <v>771.26706731704019</v>
      </c>
      <c r="BQ82" s="10">
        <f t="shared" si="137"/>
        <v>58.520337802294662</v>
      </c>
      <c r="BR82" s="10">
        <f t="shared" si="138"/>
        <v>934.84590917836499</v>
      </c>
    </row>
    <row r="83" spans="2:70" hidden="1">
      <c r="B83" s="29" t="s">
        <v>8</v>
      </c>
      <c r="C83" s="29" t="s">
        <v>466</v>
      </c>
      <c r="D83" s="25" t="s">
        <v>482</v>
      </c>
      <c r="E83" s="100">
        <v>66</v>
      </c>
      <c r="F83" s="100">
        <v>46132</v>
      </c>
      <c r="G83" s="101">
        <v>115.8</v>
      </c>
      <c r="H83" s="193" t="s">
        <v>32</v>
      </c>
      <c r="I83" s="27" t="s">
        <v>155</v>
      </c>
      <c r="J83" s="7" t="s">
        <v>228</v>
      </c>
      <c r="K83" s="7" t="s">
        <v>141</v>
      </c>
      <c r="L83" s="7" t="s">
        <v>142</v>
      </c>
      <c r="M83" s="21" t="s">
        <v>43</v>
      </c>
      <c r="N83" s="7" t="s">
        <v>129</v>
      </c>
      <c r="O83" s="20">
        <v>1650</v>
      </c>
      <c r="P83" s="61">
        <v>191070</v>
      </c>
      <c r="Q83" s="20">
        <v>1507.4697754749568</v>
      </c>
      <c r="R83" s="30">
        <v>16505</v>
      </c>
      <c r="S83" s="32">
        <v>174565</v>
      </c>
      <c r="T83" s="65">
        <v>5</v>
      </c>
      <c r="U83" s="59" t="s">
        <v>553</v>
      </c>
      <c r="V83" s="147" t="s">
        <v>558</v>
      </c>
      <c r="W83" s="62" t="s">
        <v>226</v>
      </c>
      <c r="X83" s="4"/>
      <c r="Y83" s="7">
        <v>10006720</v>
      </c>
      <c r="Z83" s="7"/>
      <c r="AA83" s="7"/>
      <c r="AB83" s="20">
        <f t="shared" si="116"/>
        <v>1933.6326766546831</v>
      </c>
      <c r="AC83" s="46">
        <f>IFERROR(INDEX('Costos Producción Febrero'!$G$34:$G$57,MATCH(Resumen!Y83,'Costos Producción Febrero'!$B$34:$B$57,0))*AB83*G83,0)</f>
        <v>143684.48034748313</v>
      </c>
      <c r="AD83" s="46">
        <f>IFERROR(INDEX('Costos Producción Febrero'!$H$34:$H$57,MATCH(Resumen!Y83,'Costos Producción Febrero'!$B$34:$B$57,0))*AB83*G83,0)</f>
        <v>30222.20635285461</v>
      </c>
      <c r="AE83" s="46">
        <f>IFERROR(INDEX('Costos Producción Febrero'!$I$34:$I$57,MATCH(Resumen!Y83,'Costos Producción Febrero'!$B$34:$B$57,0))*AB83*G83,0)</f>
        <v>2092.2252522838553</v>
      </c>
      <c r="AF83" s="46">
        <f>IFERROR(INDEX('Costos Producción Febrero'!$J$34:$J$57,MATCH(Resumen!Y83,'Costos Producción Febrero'!$B$34:$B$57,0))*AB83*G83,0)</f>
        <v>47915.752003990696</v>
      </c>
      <c r="AG83" s="46">
        <f t="shared" si="102"/>
        <v>223914.66395661229</v>
      </c>
      <c r="AH83" s="46"/>
      <c r="AI83" s="45">
        <v>2036.6442168029967</v>
      </c>
      <c r="AJ83" s="46"/>
      <c r="AK83" s="45">
        <f t="shared" si="103"/>
        <v>-32844.66395661229</v>
      </c>
      <c r="AL83" s="94">
        <f t="shared" si="104"/>
        <v>-0.17189859191192908</v>
      </c>
      <c r="AM83" s="44">
        <f t="shared" si="105"/>
        <v>16505</v>
      </c>
      <c r="AN83" s="44">
        <f t="shared" si="106"/>
        <v>2290.8013598644307</v>
      </c>
      <c r="AO83" s="44">
        <f t="shared" si="117"/>
        <v>8386.5923076923063</v>
      </c>
      <c r="AP83" s="44">
        <f t="shared" si="114"/>
        <v>27182.393667556738</v>
      </c>
      <c r="AQ83" s="44">
        <f t="shared" si="118"/>
        <v>3571.2833928089053</v>
      </c>
      <c r="AR83" s="44">
        <f t="shared" si="119"/>
        <v>5236.95</v>
      </c>
      <c r="AS83" s="45">
        <f t="shared" si="139"/>
        <v>-58361.391016977934</v>
      </c>
      <c r="AT83" s="94">
        <f t="shared" si="109"/>
        <v>-0.30544507780906438</v>
      </c>
      <c r="AU83" s="44">
        <f t="shared" si="120"/>
        <v>12165.774770035683</v>
      </c>
      <c r="AV83" s="45">
        <f t="shared" si="140"/>
        <v>-70527.165787013611</v>
      </c>
      <c r="AW83" s="94">
        <f t="shared" si="111"/>
        <v>-0.36911689845090079</v>
      </c>
      <c r="AX83" s="44">
        <f t="shared" si="121"/>
        <v>6776.655117505723</v>
      </c>
      <c r="AY83" s="45">
        <f t="shared" si="141"/>
        <v>-51584.735899472209</v>
      </c>
      <c r="AZ83" s="94">
        <f t="shared" si="113"/>
        <v>-0.26997820641373427</v>
      </c>
      <c r="BB83" s="10">
        <f t="shared" si="122"/>
        <v>1650</v>
      </c>
      <c r="BC83" s="10">
        <f t="shared" si="123"/>
        <v>-1240.7986213081444</v>
      </c>
      <c r="BD83" s="10">
        <f t="shared" si="124"/>
        <v>-260.9862379348412</v>
      </c>
      <c r="BE83" s="10">
        <f t="shared" si="125"/>
        <v>-18.067575581035019</v>
      </c>
      <c r="BF83" s="10">
        <f t="shared" si="126"/>
        <v>-413.78024183066231</v>
      </c>
      <c r="BG83" s="10">
        <f t="shared" si="127"/>
        <v>-1933.6326766546831</v>
      </c>
      <c r="BH83" s="10">
        <f t="shared" si="128"/>
        <v>-283.632676654683</v>
      </c>
      <c r="BI83" s="10">
        <f t="shared" si="129"/>
        <v>-142.5302245250432</v>
      </c>
      <c r="BJ83" s="10">
        <f t="shared" si="130"/>
        <v>-72.42307692307692</v>
      </c>
      <c r="BK83" s="10">
        <f t="shared" si="131"/>
        <v>-234.73569661102539</v>
      </c>
      <c r="BL83" s="10">
        <f t="shared" si="132"/>
        <v>-30.840098383496592</v>
      </c>
      <c r="BM83" s="10">
        <f t="shared" si="133"/>
        <v>45.224093264248701</v>
      </c>
      <c r="BN83" s="10">
        <f t="shared" si="134"/>
        <v>-503.98437838495624</v>
      </c>
      <c r="BO83" s="10">
        <f t="shared" si="135"/>
        <v>-105.05850405903008</v>
      </c>
      <c r="BP83" s="10">
        <f t="shared" si="136"/>
        <v>-609.04288244398629</v>
      </c>
      <c r="BQ83" s="10">
        <f t="shared" si="137"/>
        <v>58.520337802294669</v>
      </c>
      <c r="BR83" s="10">
        <f t="shared" si="138"/>
        <v>-445.4640405826616</v>
      </c>
    </row>
    <row r="84" spans="2:70" hidden="1">
      <c r="B84" s="29" t="s">
        <v>8</v>
      </c>
      <c r="C84" s="29" t="s">
        <v>466</v>
      </c>
      <c r="D84" s="25" t="s">
        <v>483</v>
      </c>
      <c r="E84" s="100">
        <v>66</v>
      </c>
      <c r="F84" s="100">
        <v>46120</v>
      </c>
      <c r="G84" s="101">
        <v>46</v>
      </c>
      <c r="H84" s="193" t="s">
        <v>33</v>
      </c>
      <c r="I84" s="27" t="s">
        <v>132</v>
      </c>
      <c r="J84" s="7" t="s">
        <v>484</v>
      </c>
      <c r="K84" s="7" t="s">
        <v>141</v>
      </c>
      <c r="L84" s="7" t="s">
        <v>485</v>
      </c>
      <c r="M84" s="21" t="s">
        <v>43</v>
      </c>
      <c r="N84" s="7" t="s">
        <v>129</v>
      </c>
      <c r="O84" s="20">
        <v>1700</v>
      </c>
      <c r="P84" s="61">
        <v>78200</v>
      </c>
      <c r="Q84" s="20">
        <v>1547.7826086956522</v>
      </c>
      <c r="R84" s="30">
        <v>7002</v>
      </c>
      <c r="S84" s="32">
        <v>71198</v>
      </c>
      <c r="T84" s="65">
        <v>2</v>
      </c>
      <c r="U84" s="59" t="s">
        <v>550</v>
      </c>
      <c r="V84" s="147" t="s">
        <v>559</v>
      </c>
      <c r="W84" s="62" t="s">
        <v>138</v>
      </c>
      <c r="X84" s="4"/>
      <c r="Y84" s="7">
        <v>10005721</v>
      </c>
      <c r="Z84" s="7"/>
      <c r="AA84" s="7"/>
      <c r="AB84" s="20">
        <f t="shared" si="116"/>
        <v>2033.6752269777967</v>
      </c>
      <c r="AC84" s="46">
        <f>IFERROR(INDEX('Costos Producción Febrero'!$G$34:$G$57,MATCH(Resumen!Y84,'Costos Producción Febrero'!$B$34:$B$57,0))*AB84*G84,0)</f>
        <v>56813.365320520301</v>
      </c>
      <c r="AD84" s="46">
        <f>IFERROR(INDEX('Costos Producción Febrero'!$H$34:$H$57,MATCH(Resumen!Y84,'Costos Producción Febrero'!$B$34:$B$57,0))*AB84*G84,0)</f>
        <v>16647.495549779982</v>
      </c>
      <c r="AE84" s="46">
        <f>IFERROR(INDEX('Costos Producción Febrero'!$I$34:$I$57,MATCH(Resumen!Y84,'Costos Producción Febrero'!$B$34:$B$57,0))*AB84*G84,0)</f>
        <v>1019.8630490814649</v>
      </c>
      <c r="AF84" s="46">
        <f>IFERROR(INDEX('Costos Producción Febrero'!$J$34:$J$57,MATCH(Resumen!Y84,'Costos Producción Febrero'!$B$34:$B$57,0))*AB84*G84,0)</f>
        <v>19068.336521596899</v>
      </c>
      <c r="AG84" s="46">
        <f t="shared" si="102"/>
        <v>93549.060440978647</v>
      </c>
      <c r="AH84" s="46"/>
      <c r="AI84" s="45">
        <v>2136.6867671261102</v>
      </c>
      <c r="AJ84" s="46"/>
      <c r="AK84" s="45">
        <f t="shared" si="103"/>
        <v>-15349.060440978647</v>
      </c>
      <c r="AL84" s="94">
        <f t="shared" si="104"/>
        <v>-0.19627954528105687</v>
      </c>
      <c r="AM84" s="44">
        <f t="shared" si="105"/>
        <v>7002</v>
      </c>
      <c r="AN84" s="44">
        <f t="shared" si="106"/>
        <v>909.99017749364259</v>
      </c>
      <c r="AO84" s="44">
        <f t="shared" si="117"/>
        <v>3331.4615384615381</v>
      </c>
      <c r="AP84" s="44">
        <f t="shared" si="114"/>
        <v>11243.45171595518</v>
      </c>
      <c r="AQ84" s="44">
        <f t="shared" si="118"/>
        <v>1418.6445256408433</v>
      </c>
      <c r="AR84" s="44">
        <f t="shared" si="119"/>
        <v>2135.94</v>
      </c>
      <c r="AS84" s="45">
        <f t="shared" si="139"/>
        <v>-25875.216682574672</v>
      </c>
      <c r="AT84" s="94">
        <f t="shared" si="109"/>
        <v>-0.33088512381809043</v>
      </c>
      <c r="AU84" s="44">
        <f t="shared" si="120"/>
        <v>4832.691186715384</v>
      </c>
      <c r="AV84" s="45">
        <f t="shared" si="140"/>
        <v>-30707.907869290055</v>
      </c>
      <c r="AW84" s="94">
        <f t="shared" si="111"/>
        <v>-0.39268424385281397</v>
      </c>
      <c r="AX84" s="44">
        <f t="shared" si="121"/>
        <v>2691.9355389055549</v>
      </c>
      <c r="AY84" s="45">
        <f t="shared" si="141"/>
        <v>-23183.281143669115</v>
      </c>
      <c r="AZ84" s="94">
        <f t="shared" si="113"/>
        <v>-0.29646139569909352</v>
      </c>
      <c r="BB84" s="10">
        <f t="shared" si="122"/>
        <v>1700</v>
      </c>
      <c r="BC84" s="10">
        <f t="shared" si="123"/>
        <v>-1235.0731591417457</v>
      </c>
      <c r="BD84" s="10">
        <f t="shared" si="124"/>
        <v>-361.90207716913005</v>
      </c>
      <c r="BE84" s="10">
        <f t="shared" si="125"/>
        <v>-22.170935849597061</v>
      </c>
      <c r="BF84" s="10">
        <f t="shared" si="126"/>
        <v>-414.52905481732387</v>
      </c>
      <c r="BG84" s="10">
        <f t="shared" si="127"/>
        <v>-2033.6752269777967</v>
      </c>
      <c r="BH84" s="10">
        <f t="shared" si="128"/>
        <v>-333.67522697779668</v>
      </c>
      <c r="BI84" s="10">
        <f t="shared" si="129"/>
        <v>-152.21739130434781</v>
      </c>
      <c r="BJ84" s="10">
        <f t="shared" si="130"/>
        <v>-72.42307692307692</v>
      </c>
      <c r="BK84" s="10">
        <f t="shared" si="131"/>
        <v>-244.42286339032998</v>
      </c>
      <c r="BL84" s="10">
        <f t="shared" si="132"/>
        <v>-30.840098383496592</v>
      </c>
      <c r="BM84" s="10">
        <f t="shared" si="133"/>
        <v>46.433478260869563</v>
      </c>
      <c r="BN84" s="10">
        <f t="shared" si="134"/>
        <v>-562.50471049075372</v>
      </c>
      <c r="BO84" s="10">
        <f t="shared" si="135"/>
        <v>-105.05850405903008</v>
      </c>
      <c r="BP84" s="10">
        <f t="shared" si="136"/>
        <v>-667.56321454978377</v>
      </c>
      <c r="BQ84" s="10">
        <f t="shared" si="137"/>
        <v>58.520337802294669</v>
      </c>
      <c r="BR84" s="10">
        <f t="shared" si="138"/>
        <v>-503.98437268845902</v>
      </c>
    </row>
    <row r="85" spans="2:70" hidden="1">
      <c r="B85" s="29" t="s">
        <v>8</v>
      </c>
      <c r="C85" s="29" t="s">
        <v>466</v>
      </c>
      <c r="D85" s="25" t="s">
        <v>486</v>
      </c>
      <c r="E85" s="100">
        <v>70</v>
      </c>
      <c r="F85" s="100">
        <v>46132</v>
      </c>
      <c r="G85" s="101">
        <v>24</v>
      </c>
      <c r="H85" s="193" t="s">
        <v>33</v>
      </c>
      <c r="I85" s="27" t="s">
        <v>132</v>
      </c>
      <c r="J85" s="7" t="s">
        <v>484</v>
      </c>
      <c r="K85" s="7" t="s">
        <v>141</v>
      </c>
      <c r="L85" s="7" t="s">
        <v>487</v>
      </c>
      <c r="M85" s="21" t="s">
        <v>43</v>
      </c>
      <c r="N85" s="7" t="s">
        <v>129</v>
      </c>
      <c r="O85" s="20">
        <v>1800</v>
      </c>
      <c r="P85" s="61">
        <v>43200</v>
      </c>
      <c r="Q85" s="20">
        <v>1666.625</v>
      </c>
      <c r="R85" s="30">
        <v>3201</v>
      </c>
      <c r="S85" s="32">
        <v>39999</v>
      </c>
      <c r="T85" s="65">
        <v>1</v>
      </c>
      <c r="U85" s="59" t="s">
        <v>553</v>
      </c>
      <c r="V85" s="147" t="s">
        <v>560</v>
      </c>
      <c r="W85" s="62" t="s">
        <v>226</v>
      </c>
      <c r="X85" s="4"/>
      <c r="Y85" s="7">
        <v>10005721</v>
      </c>
      <c r="Z85" s="7"/>
      <c r="AA85" s="7"/>
      <c r="AB85" s="20">
        <f t="shared" si="116"/>
        <v>2033.6752269777967</v>
      </c>
      <c r="AC85" s="46">
        <f>IFERROR(INDEX('Costos Producción Febrero'!$G$34:$G$57,MATCH(Resumen!Y85,'Costos Producción Febrero'!$B$34:$B$57,0))*AB85*G85,0)</f>
        <v>29641.755819401897</v>
      </c>
      <c r="AD85" s="46">
        <f>IFERROR(INDEX('Costos Producción Febrero'!$H$34:$H$57,MATCH(Resumen!Y85,'Costos Producción Febrero'!$B$34:$B$57,0))*AB85*G85,0)</f>
        <v>8685.6498520591213</v>
      </c>
      <c r="AE85" s="46">
        <f>IFERROR(INDEX('Costos Producción Febrero'!$I$34:$I$57,MATCH(Resumen!Y85,'Costos Producción Febrero'!$B$34:$B$57,0))*AB85*G85,0)</f>
        <v>532.1024603903295</v>
      </c>
      <c r="AF85" s="46">
        <f>IFERROR(INDEX('Costos Producción Febrero'!$J$34:$J$57,MATCH(Resumen!Y85,'Costos Producción Febrero'!$B$34:$B$57,0))*AB85*G85,0)</f>
        <v>9948.6973156157728</v>
      </c>
      <c r="AG85" s="46">
        <f t="shared" si="102"/>
        <v>48808.205447467117</v>
      </c>
      <c r="AH85" s="46"/>
      <c r="AI85" s="45">
        <v>2136.6867671261102</v>
      </c>
      <c r="AJ85" s="46"/>
      <c r="AK85" s="45">
        <f t="shared" si="103"/>
        <v>-5608.2054474671168</v>
      </c>
      <c r="AL85" s="94">
        <f t="shared" si="104"/>
        <v>-0.1298195705432203</v>
      </c>
      <c r="AM85" s="44">
        <f t="shared" si="105"/>
        <v>3201</v>
      </c>
      <c r="AN85" s="44">
        <f t="shared" si="106"/>
        <v>474.77748390972658</v>
      </c>
      <c r="AO85" s="44">
        <f t="shared" si="117"/>
        <v>1738.1538461538462</v>
      </c>
      <c r="AP85" s="44">
        <f t="shared" si="114"/>
        <v>5413.9313300635731</v>
      </c>
      <c r="AQ85" s="44">
        <f t="shared" si="118"/>
        <v>740.16236120391818</v>
      </c>
      <c r="AR85" s="44">
        <f t="shared" si="119"/>
        <v>1199.97</v>
      </c>
      <c r="AS85" s="45">
        <f t="shared" si="139"/>
        <v>-10562.329138734609</v>
      </c>
      <c r="AT85" s="94">
        <f t="shared" si="109"/>
        <v>-0.24449835969293077</v>
      </c>
      <c r="AU85" s="44">
        <f t="shared" si="120"/>
        <v>2521.4040974167219</v>
      </c>
      <c r="AV85" s="45">
        <f t="shared" si="140"/>
        <v>-13083.733236151331</v>
      </c>
      <c r="AW85" s="94">
        <f t="shared" si="111"/>
        <v>-0.30286419528128078</v>
      </c>
      <c r="AX85" s="44">
        <f t="shared" si="121"/>
        <v>1404.488107255072</v>
      </c>
      <c r="AY85" s="45">
        <f t="shared" si="141"/>
        <v>-9157.8410314795365</v>
      </c>
      <c r="AZ85" s="94">
        <f t="shared" si="113"/>
        <v>-0.21198706091387817</v>
      </c>
      <c r="BB85" s="10">
        <f t="shared" si="122"/>
        <v>1800</v>
      </c>
      <c r="BC85" s="10">
        <f t="shared" si="123"/>
        <v>-1235.0731591417457</v>
      </c>
      <c r="BD85" s="10">
        <f t="shared" si="124"/>
        <v>-361.90207716913005</v>
      </c>
      <c r="BE85" s="10">
        <f t="shared" si="125"/>
        <v>-22.170935849597061</v>
      </c>
      <c r="BF85" s="10">
        <f t="shared" si="126"/>
        <v>-414.52905481732387</v>
      </c>
      <c r="BG85" s="10">
        <f t="shared" si="127"/>
        <v>-2033.6752269777965</v>
      </c>
      <c r="BH85" s="10">
        <f t="shared" si="128"/>
        <v>-233.67522697779654</v>
      </c>
      <c r="BI85" s="10">
        <f t="shared" si="129"/>
        <v>-133.375</v>
      </c>
      <c r="BJ85" s="10">
        <f t="shared" si="130"/>
        <v>-72.42307692307692</v>
      </c>
      <c r="BK85" s="10">
        <f t="shared" si="131"/>
        <v>-225.58047208598222</v>
      </c>
      <c r="BL85" s="10">
        <f t="shared" si="132"/>
        <v>-30.840098383496592</v>
      </c>
      <c r="BM85" s="10">
        <f t="shared" si="133"/>
        <v>49.998750000000001</v>
      </c>
      <c r="BN85" s="10">
        <f t="shared" si="134"/>
        <v>-440.09704744727537</v>
      </c>
      <c r="BO85" s="10">
        <f t="shared" si="135"/>
        <v>-105.05850405903008</v>
      </c>
      <c r="BP85" s="10">
        <f t="shared" si="136"/>
        <v>-545.15555150630541</v>
      </c>
      <c r="BQ85" s="10">
        <f t="shared" si="137"/>
        <v>58.520337802294669</v>
      </c>
      <c r="BR85" s="10">
        <f t="shared" si="138"/>
        <v>-381.57670964498067</v>
      </c>
    </row>
    <row r="86" spans="2:70" hidden="1">
      <c r="B86" s="29" t="s">
        <v>8</v>
      </c>
      <c r="C86" s="29" t="s">
        <v>466</v>
      </c>
      <c r="D86" s="25" t="s">
        <v>488</v>
      </c>
      <c r="E86" s="100">
        <v>72</v>
      </c>
      <c r="F86" s="100">
        <v>46129</v>
      </c>
      <c r="G86" s="101">
        <v>26.64</v>
      </c>
      <c r="H86" s="27" t="s">
        <v>35</v>
      </c>
      <c r="I86" s="27" t="s">
        <v>489</v>
      </c>
      <c r="J86" s="7" t="s">
        <v>490</v>
      </c>
      <c r="K86" s="7" t="s">
        <v>171</v>
      </c>
      <c r="L86" s="7" t="s">
        <v>202</v>
      </c>
      <c r="M86" s="21" t="s">
        <v>491</v>
      </c>
      <c r="N86" s="7" t="s">
        <v>492</v>
      </c>
      <c r="O86" s="20">
        <v>3600</v>
      </c>
      <c r="P86" s="61">
        <v>95904</v>
      </c>
      <c r="Q86" s="20">
        <v>3475.1876876876877</v>
      </c>
      <c r="R86" s="30">
        <v>3325</v>
      </c>
      <c r="S86" s="32">
        <v>92579</v>
      </c>
      <c r="T86" s="65">
        <v>1</v>
      </c>
      <c r="U86" s="59" t="s">
        <v>561</v>
      </c>
      <c r="V86" s="147">
        <v>6450014810</v>
      </c>
      <c r="W86" s="62" t="s">
        <v>122</v>
      </c>
      <c r="X86" s="4"/>
      <c r="Y86" s="7">
        <v>10009331</v>
      </c>
      <c r="Z86" s="7"/>
      <c r="AA86" s="7"/>
      <c r="AB86" s="20">
        <f t="shared" si="116"/>
        <v>2949.6669176004234</v>
      </c>
      <c r="AC86" s="46">
        <f>IFERROR(INDEX('Costos Producción Febrero'!$G$34:$G$57,MATCH(Resumen!Y86,'Costos Producción Febrero'!$B$34:$B$57,0))*AB86*G86,0)</f>
        <v>44839.354584750741</v>
      </c>
      <c r="AD86" s="46">
        <f>IFERROR(INDEX('Costos Producción Febrero'!$H$34:$H$57,MATCH(Resumen!Y86,'Costos Producción Febrero'!$B$34:$B$57,0))*AB86*G86,0)</f>
        <v>17789.292685511718</v>
      </c>
      <c r="AE86" s="46">
        <f>IFERROR(INDEX('Costos Producción Febrero'!$I$34:$I$57,MATCH(Resumen!Y86,'Costos Producción Febrero'!$B$34:$B$57,0))*AB86*G86,0)</f>
        <v>814.74114415529175</v>
      </c>
      <c r="AF86" s="46">
        <f>IFERROR(INDEX('Costos Producción Febrero'!$J$34:$J$57,MATCH(Resumen!Y86,'Costos Producción Febrero'!$B$34:$B$57,0))*AB86*G86,0)</f>
        <v>15135.738270457532</v>
      </c>
      <c r="AG86" s="46">
        <f t="shared" si="102"/>
        <v>78579.126684875286</v>
      </c>
      <c r="AH86" s="46"/>
      <c r="AI86" s="45">
        <v>3052.6784577487369</v>
      </c>
      <c r="AJ86" s="46"/>
      <c r="AK86" s="45">
        <f t="shared" si="103"/>
        <v>17324.873315124714</v>
      </c>
      <c r="AL86" s="94">
        <f t="shared" si="104"/>
        <v>0.18064807844432676</v>
      </c>
      <c r="AM86" s="44">
        <f t="shared" si="105"/>
        <v>3325</v>
      </c>
      <c r="AN86" s="44">
        <f t="shared" si="106"/>
        <v>527.00300713979652</v>
      </c>
      <c r="AO86" s="44">
        <f t="shared" si="117"/>
        <v>1929.3507692307692</v>
      </c>
      <c r="AP86" s="44">
        <f t="shared" si="114"/>
        <v>5781.3537763705654</v>
      </c>
      <c r="AQ86" s="44">
        <f t="shared" si="118"/>
        <v>821.58022093634918</v>
      </c>
      <c r="AR86" s="44">
        <f t="shared" si="119"/>
        <v>2777.37</v>
      </c>
      <c r="AS86" s="45">
        <f t="shared" si="139"/>
        <v>13499.309317817799</v>
      </c>
      <c r="AT86" s="94">
        <f t="shared" si="109"/>
        <v>0.1407585639578933</v>
      </c>
      <c r="AU86" s="44">
        <f t="shared" si="120"/>
        <v>2798.7585481325614</v>
      </c>
      <c r="AV86" s="45">
        <f t="shared" si="140"/>
        <v>10700.550769685236</v>
      </c>
      <c r="AW86" s="94">
        <f t="shared" si="111"/>
        <v>0.11157564616371826</v>
      </c>
      <c r="AX86" s="44">
        <f t="shared" si="121"/>
        <v>1558.9817990531301</v>
      </c>
      <c r="AY86" s="45">
        <f t="shared" si="141"/>
        <v>15058.291116870929</v>
      </c>
      <c r="AZ86" s="94">
        <f t="shared" si="113"/>
        <v>0.15701421334741961</v>
      </c>
      <c r="BB86" s="10">
        <f t="shared" si="122"/>
        <v>3600</v>
      </c>
      <c r="BC86" s="10">
        <f t="shared" si="123"/>
        <v>-1683.1589558840367</v>
      </c>
      <c r="BD86" s="10">
        <f t="shared" si="124"/>
        <v>-667.76624194863803</v>
      </c>
      <c r="BE86" s="10">
        <f t="shared" si="125"/>
        <v>-30.583376282105547</v>
      </c>
      <c r="BF86" s="10">
        <f t="shared" si="126"/>
        <v>-568.15834348564306</v>
      </c>
      <c r="BG86" s="10">
        <f t="shared" si="127"/>
        <v>-2949.6669176004234</v>
      </c>
      <c r="BH86" s="10">
        <f t="shared" si="128"/>
        <v>650.33308239957637</v>
      </c>
      <c r="BI86" s="10">
        <f t="shared" si="129"/>
        <v>-124.81231231231232</v>
      </c>
      <c r="BJ86" s="10">
        <f t="shared" si="130"/>
        <v>-72.42307692307692</v>
      </c>
      <c r="BK86" s="10">
        <f t="shared" si="131"/>
        <v>-217.01778439829448</v>
      </c>
      <c r="BL86" s="10">
        <f t="shared" si="132"/>
        <v>-30.840098383496588</v>
      </c>
      <c r="BM86" s="10">
        <f t="shared" si="133"/>
        <v>104.25563063063062</v>
      </c>
      <c r="BN86" s="10">
        <f t="shared" si="134"/>
        <v>506.73083024841588</v>
      </c>
      <c r="BO86" s="10">
        <f t="shared" si="135"/>
        <v>-105.05850405903008</v>
      </c>
      <c r="BP86" s="10">
        <f t="shared" si="136"/>
        <v>401.67232618938573</v>
      </c>
      <c r="BQ86" s="10">
        <f t="shared" si="137"/>
        <v>58.520337802294669</v>
      </c>
      <c r="BR86" s="10">
        <f t="shared" si="138"/>
        <v>565.25116805071048</v>
      </c>
    </row>
    <row r="87" spans="2:70" hidden="1">
      <c r="B87" s="29" t="s">
        <v>8</v>
      </c>
      <c r="C87" s="29" t="s">
        <v>466</v>
      </c>
      <c r="D87" s="25" t="s">
        <v>493</v>
      </c>
      <c r="E87" s="100">
        <v>72</v>
      </c>
      <c r="F87" s="100">
        <v>46122</v>
      </c>
      <c r="G87" s="101">
        <v>27</v>
      </c>
      <c r="H87" s="193" t="s">
        <v>32</v>
      </c>
      <c r="I87" s="27" t="s">
        <v>155</v>
      </c>
      <c r="J87" s="7" t="s">
        <v>494</v>
      </c>
      <c r="K87" s="7" t="s">
        <v>171</v>
      </c>
      <c r="L87" s="7" t="s">
        <v>202</v>
      </c>
      <c r="M87" s="21" t="s">
        <v>491</v>
      </c>
      <c r="N87" s="7" t="s">
        <v>492</v>
      </c>
      <c r="O87" s="20">
        <v>1700</v>
      </c>
      <c r="P87" s="61">
        <v>45900</v>
      </c>
      <c r="Q87" s="20">
        <v>1585.1851851851852</v>
      </c>
      <c r="R87" s="30">
        <v>3100</v>
      </c>
      <c r="S87" s="32">
        <v>42800</v>
      </c>
      <c r="T87" s="65">
        <v>1</v>
      </c>
      <c r="U87" s="59" t="s">
        <v>562</v>
      </c>
      <c r="V87" s="147">
        <v>6448952470</v>
      </c>
      <c r="W87" s="62" t="s">
        <v>122</v>
      </c>
      <c r="X87" s="4"/>
      <c r="Y87" s="7">
        <v>10006720</v>
      </c>
      <c r="Z87" s="7"/>
      <c r="AA87" s="7"/>
      <c r="AB87" s="20">
        <f t="shared" si="116"/>
        <v>1933.6326766546831</v>
      </c>
      <c r="AC87" s="46">
        <f>IFERROR(INDEX('Costos Producción Febrero'!$G$34:$G$57,MATCH(Resumen!Y87,'Costos Producción Febrero'!$B$34:$B$57,0))*AB87*G87,0)</f>
        <v>33501.562775319901</v>
      </c>
      <c r="AD87" s="46">
        <f>IFERROR(INDEX('Costos Producción Febrero'!$H$34:$H$57,MATCH(Resumen!Y87,'Costos Producción Febrero'!$B$34:$B$57,0))*AB87*G87,0)</f>
        <v>7046.6284242407128</v>
      </c>
      <c r="AE87" s="46">
        <f>IFERROR(INDEX('Costos Producción Febrero'!$I$34:$I$57,MATCH(Resumen!Y87,'Costos Producción Febrero'!$B$34:$B$57,0))*AB87*G87,0)</f>
        <v>487.8245406879455</v>
      </c>
      <c r="AF87" s="46">
        <f>IFERROR(INDEX('Costos Producción Febrero'!$J$34:$J$57,MATCH(Resumen!Y87,'Costos Producción Febrero'!$B$34:$B$57,0))*AB87*G87,0)</f>
        <v>11172.066529427882</v>
      </c>
      <c r="AG87" s="46">
        <f t="shared" si="102"/>
        <v>52208.082269676437</v>
      </c>
      <c r="AH87" s="46"/>
      <c r="AI87" s="45">
        <v>2036.6442168029967</v>
      </c>
      <c r="AJ87" s="46"/>
      <c r="AK87" s="45">
        <f t="shared" si="103"/>
        <v>-6308.0822696764371</v>
      </c>
      <c r="AL87" s="94">
        <f t="shared" si="104"/>
        <v>-0.1374309862674605</v>
      </c>
      <c r="AM87" s="44">
        <f t="shared" si="105"/>
        <v>3100</v>
      </c>
      <c r="AN87" s="44">
        <f t="shared" si="106"/>
        <v>534.12466939844239</v>
      </c>
      <c r="AO87" s="44">
        <f t="shared" si="117"/>
        <v>1955.4230769230769</v>
      </c>
      <c r="AP87" s="44">
        <f t="shared" si="114"/>
        <v>5589.5477463215193</v>
      </c>
      <c r="AQ87" s="44">
        <f t="shared" si="118"/>
        <v>832.68265635440798</v>
      </c>
      <c r="AR87" s="44">
        <f t="shared" si="119"/>
        <v>1284</v>
      </c>
      <c r="AS87" s="45">
        <f t="shared" si="139"/>
        <v>-11446.312672352364</v>
      </c>
      <c r="AT87" s="94">
        <f t="shared" si="109"/>
        <v>-0.24937500375495344</v>
      </c>
      <c r="AU87" s="44">
        <f t="shared" si="120"/>
        <v>2836.5796095938122</v>
      </c>
      <c r="AV87" s="45">
        <f t="shared" si="140"/>
        <v>-14282.892281946177</v>
      </c>
      <c r="AW87" s="94">
        <f t="shared" si="111"/>
        <v>-0.31117412378967707</v>
      </c>
      <c r="AX87" s="44">
        <f t="shared" si="121"/>
        <v>1580.0491206619561</v>
      </c>
      <c r="AY87" s="45">
        <f t="shared" si="141"/>
        <v>-9866.2635516904083</v>
      </c>
      <c r="AZ87" s="94">
        <f t="shared" si="113"/>
        <v>-0.21495127563595662</v>
      </c>
      <c r="BB87" s="10">
        <f t="shared" si="122"/>
        <v>1700</v>
      </c>
      <c r="BC87" s="10">
        <f t="shared" si="123"/>
        <v>-1240.7986213081444</v>
      </c>
      <c r="BD87" s="10">
        <f t="shared" si="124"/>
        <v>-260.9862379348412</v>
      </c>
      <c r="BE87" s="10">
        <f t="shared" si="125"/>
        <v>-18.067575581035019</v>
      </c>
      <c r="BF87" s="10">
        <f t="shared" si="126"/>
        <v>-413.78024183066231</v>
      </c>
      <c r="BG87" s="10">
        <f t="shared" si="127"/>
        <v>-1933.6326766546829</v>
      </c>
      <c r="BH87" s="10">
        <f t="shared" si="128"/>
        <v>-233.63267665468285</v>
      </c>
      <c r="BI87" s="10">
        <f t="shared" si="129"/>
        <v>-114.81481481481481</v>
      </c>
      <c r="BJ87" s="10">
        <f t="shared" si="130"/>
        <v>-72.42307692307692</v>
      </c>
      <c r="BK87" s="10">
        <f t="shared" si="131"/>
        <v>-207.020286900797</v>
      </c>
      <c r="BL87" s="10">
        <f t="shared" si="132"/>
        <v>-30.840098383496592</v>
      </c>
      <c r="BM87" s="10">
        <f t="shared" si="133"/>
        <v>47.555555555555557</v>
      </c>
      <c r="BN87" s="10">
        <f t="shared" si="134"/>
        <v>-423.9375063834209</v>
      </c>
      <c r="BO87" s="10">
        <f t="shared" si="135"/>
        <v>-105.05850405903008</v>
      </c>
      <c r="BP87" s="10">
        <f t="shared" si="136"/>
        <v>-528.99601044245094</v>
      </c>
      <c r="BQ87" s="10">
        <f t="shared" si="137"/>
        <v>58.520337802294669</v>
      </c>
      <c r="BR87" s="10">
        <f t="shared" si="138"/>
        <v>-365.41716858112625</v>
      </c>
    </row>
    <row r="88" spans="2:70" hidden="1">
      <c r="B88" s="29" t="s">
        <v>8</v>
      </c>
      <c r="C88" s="29" t="s">
        <v>466</v>
      </c>
      <c r="D88" s="25" t="s">
        <v>495</v>
      </c>
      <c r="E88" s="100">
        <v>72</v>
      </c>
      <c r="F88" s="100">
        <v>46122</v>
      </c>
      <c r="G88" s="101">
        <v>27</v>
      </c>
      <c r="H88" s="193" t="s">
        <v>33</v>
      </c>
      <c r="I88" s="27" t="s">
        <v>132</v>
      </c>
      <c r="J88" s="7" t="s">
        <v>496</v>
      </c>
      <c r="K88" s="7" t="s">
        <v>171</v>
      </c>
      <c r="L88" s="7" t="s">
        <v>202</v>
      </c>
      <c r="M88" s="21" t="s">
        <v>491</v>
      </c>
      <c r="N88" s="7" t="s">
        <v>492</v>
      </c>
      <c r="O88" s="20">
        <v>1600</v>
      </c>
      <c r="P88" s="61">
        <v>43200</v>
      </c>
      <c r="Q88" s="20">
        <v>1485.1851851851852</v>
      </c>
      <c r="R88" s="30">
        <v>3100</v>
      </c>
      <c r="S88" s="32">
        <v>40100</v>
      </c>
      <c r="T88" s="65">
        <v>1</v>
      </c>
      <c r="U88" s="59" t="s">
        <v>562</v>
      </c>
      <c r="V88" s="147">
        <v>6448952410</v>
      </c>
      <c r="W88" s="62" t="s">
        <v>122</v>
      </c>
      <c r="X88" s="4"/>
      <c r="Y88" s="7">
        <v>10005721</v>
      </c>
      <c r="Z88" s="7"/>
      <c r="AA88" s="7"/>
      <c r="AB88" s="20">
        <f t="shared" si="116"/>
        <v>2033.6752269777967</v>
      </c>
      <c r="AC88" s="46">
        <f>IFERROR(INDEX('Costos Producción Febrero'!$G$34:$G$57,MATCH(Resumen!Y88,'Costos Producción Febrero'!$B$34:$B$57,0))*AB88*G88,0)</f>
        <v>33346.975296827135</v>
      </c>
      <c r="AD88" s="46">
        <f>IFERROR(INDEX('Costos Producción Febrero'!$H$34:$H$57,MATCH(Resumen!Y88,'Costos Producción Febrero'!$B$34:$B$57,0))*AB88*G88,0)</f>
        <v>9771.3560835665121</v>
      </c>
      <c r="AE88" s="46">
        <f>IFERROR(INDEX('Costos Producción Febrero'!$I$34:$I$57,MATCH(Resumen!Y88,'Costos Producción Febrero'!$B$34:$B$57,0))*AB88*G88,0)</f>
        <v>598.6152679391206</v>
      </c>
      <c r="AF88" s="46">
        <f>IFERROR(INDEX('Costos Producción Febrero'!$J$34:$J$57,MATCH(Resumen!Y88,'Costos Producción Febrero'!$B$34:$B$57,0))*AB88*G88,0)</f>
        <v>11192.284480067745</v>
      </c>
      <c r="AG88" s="46">
        <f t="shared" si="102"/>
        <v>54909.231128400512</v>
      </c>
      <c r="AH88" s="46"/>
      <c r="AI88" s="45">
        <v>2136.6867671261102</v>
      </c>
      <c r="AJ88" s="46"/>
      <c r="AK88" s="45">
        <f t="shared" si="103"/>
        <v>-11709.231128400512</v>
      </c>
      <c r="AL88" s="94">
        <f t="shared" si="104"/>
        <v>-0.27104701686112298</v>
      </c>
      <c r="AM88" s="44">
        <f t="shared" si="105"/>
        <v>3100</v>
      </c>
      <c r="AN88" s="44">
        <f t="shared" si="106"/>
        <v>534.12466939844239</v>
      </c>
      <c r="AO88" s="44">
        <f t="shared" si="117"/>
        <v>1955.4230769230769</v>
      </c>
      <c r="AP88" s="44">
        <f t="shared" si="114"/>
        <v>5589.5477463215193</v>
      </c>
      <c r="AQ88" s="44">
        <f t="shared" si="118"/>
        <v>832.68265635440798</v>
      </c>
      <c r="AR88" s="44">
        <f t="shared" si="119"/>
        <v>1203</v>
      </c>
      <c r="AS88" s="45">
        <f t="shared" si="139"/>
        <v>-16928.461531076442</v>
      </c>
      <c r="AT88" s="94">
        <f t="shared" si="109"/>
        <v>-0.39186253544158428</v>
      </c>
      <c r="AU88" s="44">
        <f t="shared" si="120"/>
        <v>2836.5796095938122</v>
      </c>
      <c r="AV88" s="45">
        <f t="shared" si="140"/>
        <v>-19765.041140670255</v>
      </c>
      <c r="AW88" s="94">
        <f t="shared" si="111"/>
        <v>-0.45752410047847814</v>
      </c>
      <c r="AX88" s="44">
        <f t="shared" si="121"/>
        <v>1580.0491206619561</v>
      </c>
      <c r="AY88" s="45">
        <f t="shared" si="141"/>
        <v>-15348.412410414487</v>
      </c>
      <c r="AZ88" s="94">
        <f t="shared" si="113"/>
        <v>-0.35528732431515014</v>
      </c>
      <c r="BB88" s="10">
        <f t="shared" si="122"/>
        <v>1600</v>
      </c>
      <c r="BC88" s="10">
        <f t="shared" si="123"/>
        <v>-1235.0731591417457</v>
      </c>
      <c r="BD88" s="10">
        <f t="shared" si="124"/>
        <v>-361.90207716913005</v>
      </c>
      <c r="BE88" s="10">
        <f t="shared" si="125"/>
        <v>-22.170935849597058</v>
      </c>
      <c r="BF88" s="10">
        <f t="shared" si="126"/>
        <v>-414.52905481732387</v>
      </c>
      <c r="BG88" s="10">
        <f t="shared" si="127"/>
        <v>-2033.6752269777967</v>
      </c>
      <c r="BH88" s="10">
        <f t="shared" si="128"/>
        <v>-433.67522697779674</v>
      </c>
      <c r="BI88" s="10">
        <f t="shared" si="129"/>
        <v>-114.81481481481481</v>
      </c>
      <c r="BJ88" s="10">
        <f t="shared" si="130"/>
        <v>-72.42307692307692</v>
      </c>
      <c r="BK88" s="10">
        <f t="shared" si="131"/>
        <v>-207.020286900797</v>
      </c>
      <c r="BL88" s="10">
        <f t="shared" si="132"/>
        <v>-30.840098383496592</v>
      </c>
      <c r="BM88" s="10">
        <f t="shared" si="133"/>
        <v>44.555555555555557</v>
      </c>
      <c r="BN88" s="10">
        <f t="shared" si="134"/>
        <v>-626.98005670653492</v>
      </c>
      <c r="BO88" s="10">
        <f t="shared" si="135"/>
        <v>-105.05850405903008</v>
      </c>
      <c r="BP88" s="10">
        <f t="shared" si="136"/>
        <v>-732.03856076556497</v>
      </c>
      <c r="BQ88" s="10">
        <f t="shared" si="137"/>
        <v>58.520337802294669</v>
      </c>
      <c r="BR88" s="10">
        <f t="shared" si="138"/>
        <v>-568.45971890424028</v>
      </c>
    </row>
    <row r="89" spans="2:70" hidden="1">
      <c r="B89" s="29" t="s">
        <v>8</v>
      </c>
      <c r="C89" s="29" t="s">
        <v>466</v>
      </c>
      <c r="D89" s="25" t="s">
        <v>497</v>
      </c>
      <c r="E89" s="100">
        <v>72</v>
      </c>
      <c r="F89" s="100">
        <v>46122</v>
      </c>
      <c r="G89" s="101">
        <v>27</v>
      </c>
      <c r="H89" s="27" t="s">
        <v>498</v>
      </c>
      <c r="I89" s="27" t="s">
        <v>297</v>
      </c>
      <c r="J89" s="7"/>
      <c r="K89" s="7" t="s">
        <v>171</v>
      </c>
      <c r="L89" s="7" t="s">
        <v>202</v>
      </c>
      <c r="M89" s="21" t="s">
        <v>491</v>
      </c>
      <c r="N89" s="7" t="s">
        <v>492</v>
      </c>
      <c r="O89" s="20">
        <v>3500</v>
      </c>
      <c r="P89" s="61">
        <v>94500</v>
      </c>
      <c r="Q89" s="20">
        <v>3385.1851851851852</v>
      </c>
      <c r="R89" s="30">
        <v>3100</v>
      </c>
      <c r="S89" s="32">
        <v>91400</v>
      </c>
      <c r="T89" s="65">
        <v>1</v>
      </c>
      <c r="U89" s="59" t="s">
        <v>562</v>
      </c>
      <c r="V89" s="147">
        <v>6448952450</v>
      </c>
      <c r="W89" s="62" t="s">
        <v>122</v>
      </c>
      <c r="X89" s="4"/>
      <c r="Y89" s="7">
        <v>10009239</v>
      </c>
      <c r="Z89" s="7"/>
      <c r="AA89" s="7"/>
      <c r="AB89" s="20">
        <f t="shared" si="116"/>
        <v>2429.4937901121884</v>
      </c>
      <c r="AC89" s="46">
        <f>IFERROR(INDEX('Costos Producción Febrero'!$G$34:$G$57,MATCH(Resumen!Y89,'Costos Producción Febrero'!$B$34:$B$57,0))*AB89*G89,0)</f>
        <v>32257.503071445481</v>
      </c>
      <c r="AD89" s="46">
        <f>IFERROR(INDEX('Costos Producción Febrero'!$H$34:$H$57,MATCH(Resumen!Y89,'Costos Producción Febrero'!$B$34:$B$57,0))*AB89*G89,0)</f>
        <v>21030.112411481849</v>
      </c>
      <c r="AE89" s="46">
        <f>IFERROR(INDEX('Costos Producción Febrero'!$I$34:$I$57,MATCH(Resumen!Y89,'Costos Producción Febrero'!$B$34:$B$57,0))*AB89*G89,0)</f>
        <v>385.13465576141596</v>
      </c>
      <c r="AF89" s="46">
        <f>IFERROR(INDEX('Costos Producción Febrero'!$J$34:$J$57,MATCH(Resumen!Y89,'Costos Producción Febrero'!$B$34:$B$57,0))*AB89*G89,0)</f>
        <v>11923.582194340348</v>
      </c>
      <c r="AG89" s="46">
        <f t="shared" si="102"/>
        <v>65596.332333029088</v>
      </c>
      <c r="AH89" s="46"/>
      <c r="AI89" s="45">
        <v>2532.505330260502</v>
      </c>
      <c r="AJ89" s="46"/>
      <c r="AK89" s="45">
        <f t="shared" si="103"/>
        <v>28903.667666970912</v>
      </c>
      <c r="AL89" s="94">
        <f t="shared" si="104"/>
        <v>0.30585891711080332</v>
      </c>
      <c r="AM89" s="44">
        <f t="shared" si="105"/>
        <v>3100</v>
      </c>
      <c r="AN89" s="44">
        <f t="shared" si="106"/>
        <v>534.12466939844239</v>
      </c>
      <c r="AO89" s="44">
        <f t="shared" si="117"/>
        <v>1955.4230769230769</v>
      </c>
      <c r="AP89" s="44">
        <f t="shared" si="114"/>
        <v>5589.5477463215193</v>
      </c>
      <c r="AQ89" s="44">
        <f t="shared" si="118"/>
        <v>832.68265635440798</v>
      </c>
      <c r="AR89" s="44">
        <f t="shared" si="119"/>
        <v>2742</v>
      </c>
      <c r="AS89" s="45">
        <f t="shared" si="139"/>
        <v>25223.437264294982</v>
      </c>
      <c r="AT89" s="94">
        <f t="shared" si="109"/>
        <v>0.26691468004544955</v>
      </c>
      <c r="AU89" s="44">
        <f t="shared" si="120"/>
        <v>2836.5796095938122</v>
      </c>
      <c r="AV89" s="45">
        <f t="shared" si="140"/>
        <v>22386.857654701169</v>
      </c>
      <c r="AW89" s="94">
        <f t="shared" si="111"/>
        <v>0.23689796460001236</v>
      </c>
      <c r="AX89" s="44">
        <f t="shared" si="121"/>
        <v>1580.0491206619561</v>
      </c>
      <c r="AY89" s="45">
        <f t="shared" si="141"/>
        <v>26803.486384956937</v>
      </c>
      <c r="AZ89" s="94">
        <f t="shared" si="113"/>
        <v>0.28363477656039088</v>
      </c>
      <c r="BB89" s="10">
        <f t="shared" si="122"/>
        <v>3500</v>
      </c>
      <c r="BC89" s="10">
        <f t="shared" si="123"/>
        <v>-1194.7223359794623</v>
      </c>
      <c r="BD89" s="10">
        <f t="shared" si="124"/>
        <v>-778.89305227710554</v>
      </c>
      <c r="BE89" s="10">
        <f t="shared" si="125"/>
        <v>-14.264246509682073</v>
      </c>
      <c r="BF89" s="10">
        <f t="shared" si="126"/>
        <v>-441.6141553459388</v>
      </c>
      <c r="BG89" s="10">
        <f t="shared" si="127"/>
        <v>-2429.4937901121884</v>
      </c>
      <c r="BH89" s="10">
        <f t="shared" si="128"/>
        <v>1070.5062098878116</v>
      </c>
      <c r="BI89" s="10">
        <f t="shared" si="129"/>
        <v>-114.81481481481481</v>
      </c>
      <c r="BJ89" s="10">
        <f t="shared" si="130"/>
        <v>-72.42307692307692</v>
      </c>
      <c r="BK89" s="10">
        <f t="shared" si="131"/>
        <v>-207.020286900797</v>
      </c>
      <c r="BL89" s="10">
        <f t="shared" si="132"/>
        <v>-30.840098383496592</v>
      </c>
      <c r="BM89" s="10">
        <f t="shared" si="133"/>
        <v>101.55555555555556</v>
      </c>
      <c r="BN89" s="10">
        <f t="shared" si="134"/>
        <v>934.20138015907344</v>
      </c>
      <c r="BO89" s="10">
        <f t="shared" si="135"/>
        <v>-105.05850405903008</v>
      </c>
      <c r="BP89" s="10">
        <f t="shared" si="136"/>
        <v>829.14287610004328</v>
      </c>
      <c r="BQ89" s="10">
        <f t="shared" si="137"/>
        <v>58.520337802294669</v>
      </c>
      <c r="BR89" s="10">
        <f t="shared" si="138"/>
        <v>992.72171796136809</v>
      </c>
    </row>
    <row r="90" spans="2:70" hidden="1">
      <c r="B90" s="29" t="s">
        <v>8</v>
      </c>
      <c r="C90" s="29" t="s">
        <v>466</v>
      </c>
      <c r="D90" s="25" t="s">
        <v>499</v>
      </c>
      <c r="E90" s="100">
        <v>76</v>
      </c>
      <c r="F90" s="100">
        <v>46134</v>
      </c>
      <c r="G90" s="101">
        <v>24.2</v>
      </c>
      <c r="H90" s="27" t="s">
        <v>500</v>
      </c>
      <c r="I90" s="27" t="s">
        <v>501</v>
      </c>
      <c r="J90" s="7"/>
      <c r="K90" s="7" t="s">
        <v>171</v>
      </c>
      <c r="L90" s="7" t="s">
        <v>502</v>
      </c>
      <c r="M90" s="21" t="s">
        <v>45</v>
      </c>
      <c r="N90" s="7" t="s">
        <v>191</v>
      </c>
      <c r="O90" s="20">
        <v>1250</v>
      </c>
      <c r="P90" s="61">
        <v>30250</v>
      </c>
      <c r="Q90" s="20">
        <v>1108.0165289256199</v>
      </c>
      <c r="R90" s="30">
        <v>3436</v>
      </c>
      <c r="S90" s="32">
        <v>26814</v>
      </c>
      <c r="T90" s="65">
        <v>1</v>
      </c>
      <c r="U90" s="59" t="s">
        <v>563</v>
      </c>
      <c r="V90" s="147" t="s">
        <v>564</v>
      </c>
      <c r="W90" s="62" t="s">
        <v>182</v>
      </c>
      <c r="X90" s="4"/>
      <c r="Y90" s="7"/>
      <c r="Z90" s="7"/>
      <c r="AA90" s="7"/>
      <c r="AB90" s="20">
        <f t="shared" ref="AB90:AB98" si="142">AI90</f>
        <v>0</v>
      </c>
      <c r="AC90" s="46">
        <f>IFERROR(INDEX('Costos Producción Febrero'!$G$34:$G$57,MATCH(Resumen!Y90,'Costos Producción Febrero'!$B$34:$B$57,0))*AB90*G90,0)</f>
        <v>0</v>
      </c>
      <c r="AD90" s="46">
        <f>IFERROR(INDEX('Costos Producción Febrero'!$H$34:$H$57,MATCH(Resumen!Y90,'Costos Producción Febrero'!$B$34:$B$57,0))*AB90*G90,0)</f>
        <v>0</v>
      </c>
      <c r="AE90" s="46">
        <f>IFERROR(INDEX('Costos Producción Febrero'!$I$34:$I$57,MATCH(Resumen!Y90,'Costos Producción Febrero'!$B$34:$B$57,0))*AB90*G90,0)</f>
        <v>0</v>
      </c>
      <c r="AF90" s="46">
        <f>IFERROR(INDEX('Costos Producción Febrero'!$J$34:$J$57,MATCH(Resumen!Y90,'Costos Producción Febrero'!$B$34:$B$57,0))*AB90*G90,0)</f>
        <v>0</v>
      </c>
      <c r="AG90" s="46">
        <f t="shared" si="102"/>
        <v>0</v>
      </c>
      <c r="AH90" s="46"/>
      <c r="AI90" s="46">
        <v>0</v>
      </c>
      <c r="AJ90" s="46"/>
      <c r="AK90" s="45">
        <f t="shared" si="103"/>
        <v>30250</v>
      </c>
      <c r="AL90" s="94">
        <f t="shared" si="104"/>
        <v>1</v>
      </c>
      <c r="AM90" s="44">
        <f t="shared" si="105"/>
        <v>3436</v>
      </c>
      <c r="AN90" s="44">
        <f t="shared" si="106"/>
        <v>478.73396294230764</v>
      </c>
      <c r="AO90" s="44">
        <f t="shared" si="117"/>
        <v>1752.6384615384613</v>
      </c>
      <c r="AP90" s="44">
        <f t="shared" si="114"/>
        <v>5667.372424480769</v>
      </c>
      <c r="AQ90" s="44">
        <f t="shared" si="118"/>
        <v>746.33038088061755</v>
      </c>
      <c r="AR90" s="44">
        <f t="shared" si="119"/>
        <v>804.42</v>
      </c>
      <c r="AS90" s="45">
        <f t="shared" si="139"/>
        <v>24640.717194638615</v>
      </c>
      <c r="AT90" s="94">
        <f t="shared" si="109"/>
        <v>0.81456916345912778</v>
      </c>
      <c r="AU90" s="44">
        <f t="shared" si="120"/>
        <v>2542.4157982285278</v>
      </c>
      <c r="AV90" s="45">
        <f t="shared" si="140"/>
        <v>22098.301396410086</v>
      </c>
      <c r="AW90" s="94">
        <f t="shared" si="111"/>
        <v>0.73052236021190364</v>
      </c>
      <c r="AX90" s="44">
        <f t="shared" si="121"/>
        <v>1416.192174815531</v>
      </c>
      <c r="AY90" s="45">
        <f t="shared" si="141"/>
        <v>26056.909369454144</v>
      </c>
      <c r="AZ90" s="94">
        <f t="shared" si="113"/>
        <v>0.86138543370096343</v>
      </c>
      <c r="BB90" s="10">
        <f t="shared" si="122"/>
        <v>1250</v>
      </c>
      <c r="BC90" s="10">
        <f t="shared" si="123"/>
        <v>0</v>
      </c>
      <c r="BD90" s="10">
        <f t="shared" si="124"/>
        <v>0</v>
      </c>
      <c r="BE90" s="10">
        <f t="shared" si="125"/>
        <v>0</v>
      </c>
      <c r="BF90" s="10">
        <f t="shared" si="126"/>
        <v>0</v>
      </c>
      <c r="BG90" s="10">
        <f t="shared" si="127"/>
        <v>0</v>
      </c>
      <c r="BH90" s="10">
        <f t="shared" si="128"/>
        <v>1250</v>
      </c>
      <c r="BI90" s="10">
        <f t="shared" si="129"/>
        <v>-141.98347107438016</v>
      </c>
      <c r="BJ90" s="10">
        <f t="shared" si="130"/>
        <v>-72.42307692307692</v>
      </c>
      <c r="BK90" s="10">
        <f t="shared" si="131"/>
        <v>-234.18894316036236</v>
      </c>
      <c r="BL90" s="10">
        <f t="shared" si="132"/>
        <v>-30.840098383496596</v>
      </c>
      <c r="BM90" s="10">
        <f t="shared" si="133"/>
        <v>33.240495867768594</v>
      </c>
      <c r="BN90" s="10">
        <f t="shared" si="134"/>
        <v>1018.2114543239097</v>
      </c>
      <c r="BO90" s="10">
        <f t="shared" si="135"/>
        <v>-105.05850405903008</v>
      </c>
      <c r="BP90" s="10">
        <f t="shared" si="136"/>
        <v>913.15295026487968</v>
      </c>
      <c r="BQ90" s="10">
        <f t="shared" si="137"/>
        <v>58.520337802294669</v>
      </c>
      <c r="BR90" s="10">
        <f t="shared" si="138"/>
        <v>1076.7317921262043</v>
      </c>
    </row>
    <row r="91" spans="2:70" hidden="1">
      <c r="B91" s="29" t="s">
        <v>8</v>
      </c>
      <c r="C91" s="29" t="s">
        <v>466</v>
      </c>
      <c r="D91" s="25" t="s">
        <v>503</v>
      </c>
      <c r="E91" s="100">
        <v>84</v>
      </c>
      <c r="F91" s="100">
        <v>46132</v>
      </c>
      <c r="G91" s="101">
        <v>81</v>
      </c>
      <c r="H91" s="193" t="s">
        <v>33</v>
      </c>
      <c r="I91" s="27" t="s">
        <v>132</v>
      </c>
      <c r="J91" s="7" t="s">
        <v>206</v>
      </c>
      <c r="K91" s="7" t="s">
        <v>171</v>
      </c>
      <c r="L91" s="7" t="s">
        <v>172</v>
      </c>
      <c r="M91" s="21" t="s">
        <v>504</v>
      </c>
      <c r="N91" s="7" t="s">
        <v>505</v>
      </c>
      <c r="O91" s="20">
        <v>2200</v>
      </c>
      <c r="P91" s="61">
        <v>178200</v>
      </c>
      <c r="Q91" s="20">
        <v>2099.962962962963</v>
      </c>
      <c r="R91" s="30">
        <v>8103</v>
      </c>
      <c r="S91" s="32">
        <v>170097</v>
      </c>
      <c r="T91" s="65">
        <v>3</v>
      </c>
      <c r="U91" s="59" t="s">
        <v>553</v>
      </c>
      <c r="V91" s="147" t="s">
        <v>565</v>
      </c>
      <c r="W91" s="62"/>
      <c r="X91" s="4"/>
      <c r="Y91" s="7">
        <v>10005721</v>
      </c>
      <c r="Z91" s="7"/>
      <c r="AA91" s="7"/>
      <c r="AB91" s="20">
        <f t="shared" ref="AB91:AB96" si="143">AI91-111688.22/2006.56-47.35</f>
        <v>2033.6752269777967</v>
      </c>
      <c r="AC91" s="46">
        <f>IFERROR(INDEX('Costos Producción Febrero'!$G$34:$G$57,MATCH(Resumen!Y91,'Costos Producción Febrero'!$B$34:$B$57,0))*AB91*G91,0)</f>
        <v>100040.92589048141</v>
      </c>
      <c r="AD91" s="46">
        <f>IFERROR(INDEX('Costos Producción Febrero'!$H$34:$H$57,MATCH(Resumen!Y91,'Costos Producción Febrero'!$B$34:$B$57,0))*AB91*G91,0)</f>
        <v>29314.068250699533</v>
      </c>
      <c r="AE91" s="46">
        <f>IFERROR(INDEX('Costos Producción Febrero'!$I$34:$I$57,MATCH(Resumen!Y91,'Costos Producción Febrero'!$B$34:$B$57,0))*AB91*G91,0)</f>
        <v>1795.8458038173619</v>
      </c>
      <c r="AF91" s="46">
        <f>IFERROR(INDEX('Costos Producción Febrero'!$J$34:$J$57,MATCH(Resumen!Y91,'Costos Producción Febrero'!$B$34:$B$57,0))*AB91*G91,0)</f>
        <v>33576.853440203231</v>
      </c>
      <c r="AG91" s="46">
        <f t="shared" si="102"/>
        <v>164727.69338520154</v>
      </c>
      <c r="AH91" s="46"/>
      <c r="AI91" s="45">
        <v>2136.6867671261102</v>
      </c>
      <c r="AJ91" s="46"/>
      <c r="AK91" s="45">
        <f t="shared" si="103"/>
        <v>13472.306614798465</v>
      </c>
      <c r="AL91" s="94">
        <f t="shared" si="104"/>
        <v>7.5602169555546939E-2</v>
      </c>
      <c r="AM91" s="44">
        <f t="shared" si="105"/>
        <v>8103</v>
      </c>
      <c r="AN91" s="44">
        <f t="shared" si="106"/>
        <v>1602.3740081953272</v>
      </c>
      <c r="AO91" s="44">
        <f t="shared" si="117"/>
        <v>5866.2692307692305</v>
      </c>
      <c r="AP91" s="44">
        <f t="shared" si="114"/>
        <v>15571.643238964558</v>
      </c>
      <c r="AQ91" s="44">
        <f t="shared" si="118"/>
        <v>2498.0479690632242</v>
      </c>
      <c r="AR91" s="44">
        <f t="shared" si="119"/>
        <v>5102.91</v>
      </c>
      <c r="AS91" s="45">
        <f t="shared" si="139"/>
        <v>505.52540677068282</v>
      </c>
      <c r="AT91" s="94">
        <f t="shared" si="109"/>
        <v>2.8368429111710596E-3</v>
      </c>
      <c r="AU91" s="44">
        <f t="shared" si="120"/>
        <v>8509.7388287814374</v>
      </c>
      <c r="AV91" s="45">
        <f t="shared" si="140"/>
        <v>-8004.2134220107546</v>
      </c>
      <c r="AW91" s="94">
        <f t="shared" si="111"/>
        <v>-4.4917022570206258E-2</v>
      </c>
      <c r="AX91" s="44">
        <f t="shared" si="121"/>
        <v>4740.147361985868</v>
      </c>
      <c r="AY91" s="45">
        <f t="shared" si="141"/>
        <v>5245.6727687565508</v>
      </c>
      <c r="AZ91" s="94">
        <f t="shared" si="113"/>
        <v>2.9436996457668636E-2</v>
      </c>
      <c r="BB91" s="10">
        <f t="shared" si="122"/>
        <v>2200</v>
      </c>
      <c r="BC91" s="10">
        <f t="shared" si="123"/>
        <v>-1235.0731591417457</v>
      </c>
      <c r="BD91" s="10">
        <f t="shared" si="124"/>
        <v>-361.90207716913005</v>
      </c>
      <c r="BE91" s="10">
        <f t="shared" si="125"/>
        <v>-22.170935849597061</v>
      </c>
      <c r="BF91" s="10">
        <f t="shared" si="126"/>
        <v>-414.52905481732387</v>
      </c>
      <c r="BG91" s="10">
        <f t="shared" si="127"/>
        <v>-2033.6752269777967</v>
      </c>
      <c r="BH91" s="10">
        <f t="shared" si="128"/>
        <v>166.32477302220326</v>
      </c>
      <c r="BI91" s="10">
        <f t="shared" si="129"/>
        <v>-100.03703703703704</v>
      </c>
      <c r="BJ91" s="10">
        <f t="shared" si="130"/>
        <v>-72.42307692307692</v>
      </c>
      <c r="BK91" s="10">
        <f t="shared" si="131"/>
        <v>-192.24250912301923</v>
      </c>
      <c r="BL91" s="10">
        <f t="shared" si="132"/>
        <v>-30.840098383496596</v>
      </c>
      <c r="BM91" s="10">
        <f t="shared" si="133"/>
        <v>62.998888888888885</v>
      </c>
      <c r="BN91" s="10">
        <f t="shared" si="134"/>
        <v>6.2410544045763308</v>
      </c>
      <c r="BO91" s="10">
        <f t="shared" si="135"/>
        <v>-105.05850405903008</v>
      </c>
      <c r="BP91" s="10">
        <f t="shared" si="136"/>
        <v>-98.817449654453753</v>
      </c>
      <c r="BQ91" s="10">
        <f t="shared" si="137"/>
        <v>58.520337802294669</v>
      </c>
      <c r="BR91" s="10">
        <f t="shared" si="138"/>
        <v>64.761392206870994</v>
      </c>
    </row>
    <row r="92" spans="2:70" hidden="1">
      <c r="B92" s="29" t="s">
        <v>8</v>
      </c>
      <c r="C92" s="29" t="s">
        <v>466</v>
      </c>
      <c r="D92" s="25" t="s">
        <v>506</v>
      </c>
      <c r="E92" s="100">
        <v>87</v>
      </c>
      <c r="F92" s="100">
        <v>46140</v>
      </c>
      <c r="G92" s="101">
        <v>189</v>
      </c>
      <c r="H92" s="193" t="s">
        <v>33</v>
      </c>
      <c r="I92" s="27" t="s">
        <v>132</v>
      </c>
      <c r="J92" s="7" t="s">
        <v>507</v>
      </c>
      <c r="K92" s="7" t="s">
        <v>171</v>
      </c>
      <c r="L92" s="7" t="s">
        <v>172</v>
      </c>
      <c r="M92" s="21" t="s">
        <v>504</v>
      </c>
      <c r="N92" s="7" t="s">
        <v>505</v>
      </c>
      <c r="O92" s="20">
        <v>2100</v>
      </c>
      <c r="P92" s="61">
        <v>396900</v>
      </c>
      <c r="Q92" s="20">
        <v>2029.6296296296296</v>
      </c>
      <c r="R92" s="30">
        <v>13300</v>
      </c>
      <c r="S92" s="32">
        <v>383600</v>
      </c>
      <c r="T92" s="65">
        <v>4</v>
      </c>
      <c r="U92" s="59" t="s">
        <v>566</v>
      </c>
      <c r="V92" s="147">
        <v>6450842530</v>
      </c>
      <c r="W92" s="62"/>
      <c r="X92" s="4"/>
      <c r="Y92" s="7">
        <v>10005721</v>
      </c>
      <c r="Z92" s="7"/>
      <c r="AA92" s="7"/>
      <c r="AB92" s="20">
        <f t="shared" si="143"/>
        <v>2033.6752269777967</v>
      </c>
      <c r="AC92" s="46">
        <f>IFERROR(INDEX('Costos Producción Febrero'!$G$34:$G$57,MATCH(Resumen!Y92,'Costos Producción Febrero'!$B$34:$B$57,0))*AB92*G92,0)</f>
        <v>233428.82707778993</v>
      </c>
      <c r="AD92" s="46">
        <f>IFERROR(INDEX('Costos Producción Febrero'!$H$34:$H$57,MATCH(Resumen!Y92,'Costos Producción Febrero'!$B$34:$B$57,0))*AB92*G92,0)</f>
        <v>68399.492584965585</v>
      </c>
      <c r="AE92" s="46">
        <f>IFERROR(INDEX('Costos Producción Febrero'!$I$34:$I$57,MATCH(Resumen!Y92,'Costos Producción Febrero'!$B$34:$B$57,0))*AB92*G92,0)</f>
        <v>4190.306875573845</v>
      </c>
      <c r="AF92" s="46">
        <f>IFERROR(INDEX('Costos Producción Febrero'!$J$34:$J$57,MATCH(Resumen!Y92,'Costos Producción Febrero'!$B$34:$B$57,0))*AB92*G92,0)</f>
        <v>78345.991360474218</v>
      </c>
      <c r="AG92" s="46">
        <f t="shared" si="102"/>
        <v>384364.61789880355</v>
      </c>
      <c r="AH92" s="46"/>
      <c r="AI92" s="45">
        <v>2136.6867671261102</v>
      </c>
      <c r="AJ92" s="46"/>
      <c r="AK92" s="45">
        <f t="shared" si="103"/>
        <v>12535.382101196446</v>
      </c>
      <c r="AL92" s="94">
        <f t="shared" si="104"/>
        <v>3.1583225248668294E-2</v>
      </c>
      <c r="AM92" s="44">
        <f t="shared" si="105"/>
        <v>13300</v>
      </c>
      <c r="AN92" s="44">
        <f t="shared" si="106"/>
        <v>3738.872685789097</v>
      </c>
      <c r="AO92" s="44">
        <f t="shared" si="117"/>
        <v>13687.961538461537</v>
      </c>
      <c r="AP92" s="44">
        <f t="shared" si="114"/>
        <v>30726.834224250633</v>
      </c>
      <c r="AQ92" s="44">
        <f t="shared" si="118"/>
        <v>5828.7785944808556</v>
      </c>
      <c r="AR92" s="44">
        <f t="shared" si="119"/>
        <v>11508</v>
      </c>
      <c r="AS92" s="45">
        <f t="shared" si="139"/>
        <v>-12512.230717535043</v>
      </c>
      <c r="AT92" s="94">
        <f t="shared" si="109"/>
        <v>-3.1524894727979452E-2</v>
      </c>
      <c r="AU92" s="44">
        <f t="shared" si="120"/>
        <v>19856.057267156684</v>
      </c>
      <c r="AV92" s="45">
        <f t="shared" si="140"/>
        <v>-32368.287984691728</v>
      </c>
      <c r="AW92" s="94">
        <f t="shared" si="111"/>
        <v>-8.155275380370805E-2</v>
      </c>
      <c r="AX92" s="44">
        <f t="shared" si="121"/>
        <v>11060.343844633693</v>
      </c>
      <c r="AY92" s="45">
        <f t="shared" si="141"/>
        <v>-1451.8868729013502</v>
      </c>
      <c r="AZ92" s="94">
        <f t="shared" si="113"/>
        <v>-3.658067203077224E-3</v>
      </c>
      <c r="BB92" s="10">
        <f t="shared" si="122"/>
        <v>2100</v>
      </c>
      <c r="BC92" s="10">
        <f t="shared" si="123"/>
        <v>-1235.0731591417457</v>
      </c>
      <c r="BD92" s="10">
        <f t="shared" si="124"/>
        <v>-361.90207716913005</v>
      </c>
      <c r="BE92" s="10">
        <f t="shared" si="125"/>
        <v>-22.170935849597065</v>
      </c>
      <c r="BF92" s="10">
        <f t="shared" si="126"/>
        <v>-414.52905481732392</v>
      </c>
      <c r="BG92" s="10">
        <f t="shared" si="127"/>
        <v>-2033.6752269777967</v>
      </c>
      <c r="BH92" s="10">
        <f t="shared" si="128"/>
        <v>66.324773022203416</v>
      </c>
      <c r="BI92" s="10">
        <f t="shared" si="129"/>
        <v>-70.370370370370367</v>
      </c>
      <c r="BJ92" s="10">
        <f t="shared" si="130"/>
        <v>-72.42307692307692</v>
      </c>
      <c r="BK92" s="10">
        <f t="shared" si="131"/>
        <v>-162.57584245635255</v>
      </c>
      <c r="BL92" s="10">
        <f t="shared" si="132"/>
        <v>-30.840098383496592</v>
      </c>
      <c r="BM92" s="10">
        <f t="shared" si="133"/>
        <v>60.888888888888886</v>
      </c>
      <c r="BN92" s="10">
        <f t="shared" si="134"/>
        <v>-66.20227892875684</v>
      </c>
      <c r="BO92" s="10">
        <f t="shared" si="135"/>
        <v>-105.05850405903007</v>
      </c>
      <c r="BP92" s="10">
        <f t="shared" si="136"/>
        <v>-171.26078298778691</v>
      </c>
      <c r="BQ92" s="10">
        <f t="shared" si="137"/>
        <v>58.520337802294669</v>
      </c>
      <c r="BR92" s="10">
        <f t="shared" si="138"/>
        <v>-7.6819411264621706</v>
      </c>
    </row>
    <row r="93" spans="2:70" hidden="1">
      <c r="B93" s="29" t="s">
        <v>8</v>
      </c>
      <c r="C93" s="29" t="s">
        <v>466</v>
      </c>
      <c r="D93" s="25" t="s">
        <v>508</v>
      </c>
      <c r="E93" s="100">
        <v>88</v>
      </c>
      <c r="F93" s="100">
        <v>46129</v>
      </c>
      <c r="G93" s="101">
        <v>162</v>
      </c>
      <c r="H93" s="27" t="s">
        <v>498</v>
      </c>
      <c r="I93" s="27" t="s">
        <v>201</v>
      </c>
      <c r="J93" s="7"/>
      <c r="K93" s="7" t="s">
        <v>295</v>
      </c>
      <c r="L93" s="7" t="s">
        <v>172</v>
      </c>
      <c r="M93" s="21" t="s">
        <v>47</v>
      </c>
      <c r="N93" s="7" t="s">
        <v>191</v>
      </c>
      <c r="O93" s="20">
        <v>3900</v>
      </c>
      <c r="P93" s="61">
        <v>631800</v>
      </c>
      <c r="Q93" s="20">
        <v>3792.5925925925926</v>
      </c>
      <c r="R93" s="30">
        <v>17400</v>
      </c>
      <c r="S93" s="32">
        <v>614400</v>
      </c>
      <c r="T93" s="65">
        <v>6</v>
      </c>
      <c r="U93" s="59" t="s">
        <v>561</v>
      </c>
      <c r="V93" s="147">
        <v>6450013900</v>
      </c>
      <c r="W93" s="62"/>
      <c r="X93" s="4"/>
      <c r="Y93" s="7">
        <v>10009239</v>
      </c>
      <c r="Z93" s="7"/>
      <c r="AA93" s="7"/>
      <c r="AB93" s="20">
        <f t="shared" si="143"/>
        <v>2429.4937901121884</v>
      </c>
      <c r="AC93" s="46">
        <f>IFERROR(INDEX('Costos Producción Febrero'!$G$34:$G$57,MATCH(Resumen!Y93,'Costos Producción Febrero'!$B$34:$B$57,0))*AB93*G93,0)</f>
        <v>193545.01842867289</v>
      </c>
      <c r="AD93" s="46">
        <f>IFERROR(INDEX('Costos Producción Febrero'!$H$34:$H$57,MATCH(Resumen!Y93,'Costos Producción Febrero'!$B$34:$B$57,0))*AB93*G93,0)</f>
        <v>126180.6744688911</v>
      </c>
      <c r="AE93" s="46">
        <f>IFERROR(INDEX('Costos Producción Febrero'!$I$34:$I$57,MATCH(Resumen!Y93,'Costos Producción Febrero'!$B$34:$B$57,0))*AB93*G93,0)</f>
        <v>2310.807934568496</v>
      </c>
      <c r="AF93" s="46">
        <f>IFERROR(INDEX('Costos Producción Febrero'!$J$34:$J$57,MATCH(Resumen!Y93,'Costos Producción Febrero'!$B$34:$B$57,0))*AB93*G93,0)</f>
        <v>71541.493166042084</v>
      </c>
      <c r="AG93" s="46">
        <f t="shared" si="102"/>
        <v>393577.99399817456</v>
      </c>
      <c r="AH93" s="46"/>
      <c r="AI93" s="45">
        <v>2532.505330260502</v>
      </c>
      <c r="AJ93" s="46"/>
      <c r="AK93" s="45">
        <f t="shared" si="103"/>
        <v>238222.00600182544</v>
      </c>
      <c r="AL93" s="94">
        <f t="shared" si="104"/>
        <v>0.37705287433020807</v>
      </c>
      <c r="AM93" s="44">
        <f t="shared" si="105"/>
        <v>17400</v>
      </c>
      <c r="AN93" s="44">
        <f t="shared" si="106"/>
        <v>3204.7480163906544</v>
      </c>
      <c r="AO93" s="44">
        <f t="shared" si="117"/>
        <v>11732.538461538461</v>
      </c>
      <c r="AP93" s="44">
        <f t="shared" si="114"/>
        <v>32337.286477929116</v>
      </c>
      <c r="AQ93" s="44">
        <f t="shared" si="118"/>
        <v>4996.0959381264483</v>
      </c>
      <c r="AR93" s="44">
        <f t="shared" si="119"/>
        <v>18432</v>
      </c>
      <c r="AS93" s="45">
        <f t="shared" si="139"/>
        <v>219320.62358576988</v>
      </c>
      <c r="AT93" s="94">
        <f t="shared" si="109"/>
        <v>0.3471361563560777</v>
      </c>
      <c r="AU93" s="44">
        <f t="shared" si="120"/>
        <v>17019.477657562875</v>
      </c>
      <c r="AV93" s="45">
        <f t="shared" si="140"/>
        <v>202301.145928207</v>
      </c>
      <c r="AW93" s="94">
        <f t="shared" si="111"/>
        <v>0.32019807839222381</v>
      </c>
      <c r="AX93" s="44">
        <f t="shared" si="121"/>
        <v>9480.2947239717359</v>
      </c>
      <c r="AY93" s="45">
        <f t="shared" si="141"/>
        <v>228800.91830974162</v>
      </c>
      <c r="AZ93" s="94">
        <f t="shared" si="113"/>
        <v>0.36214137117717887</v>
      </c>
      <c r="BB93" s="10">
        <f t="shared" si="122"/>
        <v>3900</v>
      </c>
      <c r="BC93" s="10">
        <f t="shared" si="123"/>
        <v>-1194.7223359794623</v>
      </c>
      <c r="BD93" s="10">
        <f t="shared" si="124"/>
        <v>-778.89305227710554</v>
      </c>
      <c r="BE93" s="10">
        <f t="shared" si="125"/>
        <v>-14.264246509682074</v>
      </c>
      <c r="BF93" s="10">
        <f t="shared" si="126"/>
        <v>-441.6141553459388</v>
      </c>
      <c r="BG93" s="10">
        <f t="shared" si="127"/>
        <v>-2429.4937901121884</v>
      </c>
      <c r="BH93" s="10">
        <f t="shared" si="128"/>
        <v>1470.5062098878113</v>
      </c>
      <c r="BI93" s="10">
        <f t="shared" si="129"/>
        <v>-107.4074074074074</v>
      </c>
      <c r="BJ93" s="10">
        <f t="shared" si="130"/>
        <v>-72.42307692307692</v>
      </c>
      <c r="BK93" s="10">
        <f t="shared" si="131"/>
        <v>-199.61287949338961</v>
      </c>
      <c r="BL93" s="10">
        <f t="shared" si="132"/>
        <v>-30.840098383496596</v>
      </c>
      <c r="BM93" s="10">
        <f t="shared" si="133"/>
        <v>113.77777777777777</v>
      </c>
      <c r="BN93" s="10">
        <f t="shared" si="134"/>
        <v>1353.8310097887029</v>
      </c>
      <c r="BO93" s="10">
        <f t="shared" si="135"/>
        <v>-105.05850405903008</v>
      </c>
      <c r="BP93" s="10">
        <f t="shared" si="136"/>
        <v>1248.7725057296727</v>
      </c>
      <c r="BQ93" s="10">
        <f t="shared" si="137"/>
        <v>58.520337802294669</v>
      </c>
      <c r="BR93" s="10">
        <f t="shared" si="138"/>
        <v>1412.3513475909976</v>
      </c>
    </row>
    <row r="94" spans="2:70" hidden="1">
      <c r="B94" s="29" t="s">
        <v>8</v>
      </c>
      <c r="C94" s="29" t="s">
        <v>466</v>
      </c>
      <c r="D94" s="25" t="s">
        <v>509</v>
      </c>
      <c r="E94" s="100">
        <v>88</v>
      </c>
      <c r="F94" s="100">
        <v>46134</v>
      </c>
      <c r="G94" s="101">
        <v>27</v>
      </c>
      <c r="H94" s="27" t="s">
        <v>498</v>
      </c>
      <c r="I94" s="27" t="s">
        <v>201</v>
      </c>
      <c r="J94" s="7"/>
      <c r="K94" s="7" t="s">
        <v>295</v>
      </c>
      <c r="L94" s="7" t="s">
        <v>172</v>
      </c>
      <c r="M94" s="21" t="s">
        <v>47</v>
      </c>
      <c r="N94" s="7" t="s">
        <v>191</v>
      </c>
      <c r="O94" s="20">
        <v>3900</v>
      </c>
      <c r="P94" s="61">
        <v>105300</v>
      </c>
      <c r="Q94" s="20">
        <v>3799.962962962963</v>
      </c>
      <c r="R94" s="30">
        <v>2701</v>
      </c>
      <c r="S94" s="32">
        <v>102599</v>
      </c>
      <c r="T94" s="65">
        <v>1</v>
      </c>
      <c r="U94" s="59" t="s">
        <v>567</v>
      </c>
      <c r="V94" s="147" t="s">
        <v>568</v>
      </c>
      <c r="W94" s="62"/>
      <c r="X94" s="4"/>
      <c r="Y94" s="7">
        <v>10009239</v>
      </c>
      <c r="Z94" s="7"/>
      <c r="AA94" s="7"/>
      <c r="AB94" s="20">
        <f t="shared" si="143"/>
        <v>2429.4937901121884</v>
      </c>
      <c r="AC94" s="46">
        <f>IFERROR(INDEX('Costos Producción Febrero'!$G$34:$G$57,MATCH(Resumen!Y94,'Costos Producción Febrero'!$B$34:$B$57,0))*AB94*G94,0)</f>
        <v>32257.503071445481</v>
      </c>
      <c r="AD94" s="46">
        <f>IFERROR(INDEX('Costos Producción Febrero'!$H$34:$H$57,MATCH(Resumen!Y94,'Costos Producción Febrero'!$B$34:$B$57,0))*AB94*G94,0)</f>
        <v>21030.112411481849</v>
      </c>
      <c r="AE94" s="46">
        <f>IFERROR(INDEX('Costos Producción Febrero'!$I$34:$I$57,MATCH(Resumen!Y94,'Costos Producción Febrero'!$B$34:$B$57,0))*AB94*G94,0)</f>
        <v>385.13465576141596</v>
      </c>
      <c r="AF94" s="46">
        <f>IFERROR(INDEX('Costos Producción Febrero'!$J$34:$J$57,MATCH(Resumen!Y94,'Costos Producción Febrero'!$B$34:$B$57,0))*AB94*G94,0)</f>
        <v>11923.582194340348</v>
      </c>
      <c r="AG94" s="46">
        <f t="shared" si="102"/>
        <v>65596.332333029088</v>
      </c>
      <c r="AH94" s="46"/>
      <c r="AI94" s="45">
        <v>2532.505330260502</v>
      </c>
      <c r="AJ94" s="46"/>
      <c r="AK94" s="45">
        <f t="shared" si="103"/>
        <v>39703.667666970912</v>
      </c>
      <c r="AL94" s="94">
        <f t="shared" si="104"/>
        <v>0.37705287433020812</v>
      </c>
      <c r="AM94" s="44">
        <f t="shared" si="105"/>
        <v>2701</v>
      </c>
      <c r="AN94" s="44">
        <f t="shared" si="106"/>
        <v>534.12466939844239</v>
      </c>
      <c r="AO94" s="44">
        <f t="shared" si="117"/>
        <v>1955.4230769230769</v>
      </c>
      <c r="AP94" s="44">
        <f t="shared" si="114"/>
        <v>5190.5477463215193</v>
      </c>
      <c r="AQ94" s="44">
        <f t="shared" si="118"/>
        <v>832.68265635440798</v>
      </c>
      <c r="AR94" s="44">
        <f t="shared" si="119"/>
        <v>3077.97</v>
      </c>
      <c r="AS94" s="45">
        <f t="shared" si="139"/>
        <v>36758.407264294983</v>
      </c>
      <c r="AT94" s="94">
        <f t="shared" si="109"/>
        <v>0.34908269006927811</v>
      </c>
      <c r="AU94" s="44">
        <f t="shared" si="120"/>
        <v>2836.5796095938122</v>
      </c>
      <c r="AV94" s="45">
        <f t="shared" si="140"/>
        <v>33921.82765470117</v>
      </c>
      <c r="AW94" s="94">
        <f t="shared" si="111"/>
        <v>0.32214461210542422</v>
      </c>
      <c r="AX94" s="44">
        <f t="shared" si="121"/>
        <v>1580.0491206619561</v>
      </c>
      <c r="AY94" s="45">
        <f t="shared" si="141"/>
        <v>38338.456384956939</v>
      </c>
      <c r="AZ94" s="94">
        <f t="shared" si="113"/>
        <v>0.36408790489037929</v>
      </c>
      <c r="BB94" s="10">
        <f t="shared" si="122"/>
        <v>3900</v>
      </c>
      <c r="BC94" s="10">
        <f t="shared" si="123"/>
        <v>-1194.7223359794623</v>
      </c>
      <c r="BD94" s="10">
        <f t="shared" si="124"/>
        <v>-778.89305227710554</v>
      </c>
      <c r="BE94" s="10">
        <f t="shared" si="125"/>
        <v>-14.264246509682073</v>
      </c>
      <c r="BF94" s="10">
        <f t="shared" si="126"/>
        <v>-441.6141553459388</v>
      </c>
      <c r="BG94" s="10">
        <f t="shared" si="127"/>
        <v>-2429.4937901121884</v>
      </c>
      <c r="BH94" s="10">
        <f t="shared" si="128"/>
        <v>1470.5062098878116</v>
      </c>
      <c r="BI94" s="10">
        <f t="shared" si="129"/>
        <v>-100.03703703703704</v>
      </c>
      <c r="BJ94" s="10">
        <f t="shared" si="130"/>
        <v>-72.42307692307692</v>
      </c>
      <c r="BK94" s="10">
        <f t="shared" si="131"/>
        <v>-192.24250912301923</v>
      </c>
      <c r="BL94" s="10">
        <f t="shared" si="132"/>
        <v>-30.840098383496592</v>
      </c>
      <c r="BM94" s="10">
        <f t="shared" si="133"/>
        <v>113.99888888888889</v>
      </c>
      <c r="BN94" s="10">
        <f t="shared" si="134"/>
        <v>1361.4224912701845</v>
      </c>
      <c r="BO94" s="10">
        <f t="shared" si="135"/>
        <v>-105.05850405903008</v>
      </c>
      <c r="BP94" s="10">
        <f t="shared" si="136"/>
        <v>1256.3639872111544</v>
      </c>
      <c r="BQ94" s="10">
        <f t="shared" si="137"/>
        <v>58.520337802294669</v>
      </c>
      <c r="BR94" s="10">
        <f t="shared" si="138"/>
        <v>1419.9428290724793</v>
      </c>
    </row>
    <row r="95" spans="2:70" hidden="1">
      <c r="B95" s="29" t="s">
        <v>8</v>
      </c>
      <c r="C95" s="29" t="s">
        <v>466</v>
      </c>
      <c r="D95" s="25" t="s">
        <v>510</v>
      </c>
      <c r="E95" s="100">
        <v>88</v>
      </c>
      <c r="F95" s="100">
        <v>46136</v>
      </c>
      <c r="G95" s="101">
        <v>26.46</v>
      </c>
      <c r="H95" s="27" t="s">
        <v>35</v>
      </c>
      <c r="I95" s="27" t="s">
        <v>489</v>
      </c>
      <c r="J95" s="7"/>
      <c r="K95" s="7" t="s">
        <v>171</v>
      </c>
      <c r="L95" s="7" t="s">
        <v>172</v>
      </c>
      <c r="M95" s="21" t="s">
        <v>511</v>
      </c>
      <c r="N95" s="7" t="s">
        <v>512</v>
      </c>
      <c r="O95" s="20">
        <v>4200</v>
      </c>
      <c r="P95" s="61">
        <v>111132</v>
      </c>
      <c r="Q95" s="20">
        <v>4074.3386243386244</v>
      </c>
      <c r="R95" s="30">
        <v>3325</v>
      </c>
      <c r="S95" s="32">
        <v>107807</v>
      </c>
      <c r="T95" s="65">
        <v>1</v>
      </c>
      <c r="U95" s="59" t="s">
        <v>569</v>
      </c>
      <c r="V95" s="147">
        <v>6451450280</v>
      </c>
      <c r="W95" s="62" t="s">
        <v>122</v>
      </c>
      <c r="X95" s="4"/>
      <c r="Y95" s="7">
        <v>10009331</v>
      </c>
      <c r="Z95" s="7"/>
      <c r="AA95" s="7"/>
      <c r="AB95" s="20">
        <f t="shared" si="143"/>
        <v>2949.6669176004234</v>
      </c>
      <c r="AC95" s="46">
        <f>IFERROR(INDEX('Costos Producción Febrero'!$G$34:$G$57,MATCH(Resumen!Y95,'Costos Producción Febrero'!$B$34:$B$57,0))*AB95*G95,0)</f>
        <v>44536.38597269162</v>
      </c>
      <c r="AD95" s="46">
        <f>IFERROR(INDEX('Costos Producción Febrero'!$H$34:$H$57,MATCH(Resumen!Y95,'Costos Producción Febrero'!$B$34:$B$57,0))*AB95*G95,0)</f>
        <v>17669.094761960961</v>
      </c>
      <c r="AE95" s="46">
        <f>IFERROR(INDEX('Costos Producción Febrero'!$I$34:$I$57,MATCH(Resumen!Y95,'Costos Producción Febrero'!$B$34:$B$57,0))*AB95*G95,0)</f>
        <v>809.23613642451278</v>
      </c>
      <c r="AF95" s="46">
        <f>IFERROR(INDEX('Costos Producción Febrero'!$J$34:$J$57,MATCH(Resumen!Y95,'Costos Producción Febrero'!$B$34:$B$57,0))*AB95*G95,0)</f>
        <v>15033.469768630115</v>
      </c>
      <c r="AG95" s="46">
        <f t="shared" si="102"/>
        <v>78048.186639707215</v>
      </c>
      <c r="AH95" s="46"/>
      <c r="AI95" s="45">
        <v>3052.6784577487369</v>
      </c>
      <c r="AJ95" s="46"/>
      <c r="AK95" s="45">
        <f t="shared" si="103"/>
        <v>33083.813360292785</v>
      </c>
      <c r="AL95" s="94">
        <f t="shared" si="104"/>
        <v>0.29769835295228003</v>
      </c>
      <c r="AM95" s="44">
        <f t="shared" si="105"/>
        <v>3325</v>
      </c>
      <c r="AN95" s="44">
        <f t="shared" si="106"/>
        <v>523.44217601047353</v>
      </c>
      <c r="AO95" s="44">
        <f t="shared" si="117"/>
        <v>1916.3146153846153</v>
      </c>
      <c r="AP95" s="44">
        <f t="shared" si="114"/>
        <v>5764.7567913950888</v>
      </c>
      <c r="AQ95" s="44">
        <f t="shared" si="118"/>
        <v>816.02900322731989</v>
      </c>
      <c r="AR95" s="44">
        <f t="shared" si="119"/>
        <v>3234.21</v>
      </c>
      <c r="AS95" s="45">
        <f t="shared" si="139"/>
        <v>29737.237565670377</v>
      </c>
      <c r="AT95" s="94">
        <f t="shared" si="109"/>
        <v>0.2675848321425906</v>
      </c>
      <c r="AU95" s="44">
        <f t="shared" si="120"/>
        <v>2779.848017401936</v>
      </c>
      <c r="AV95" s="45">
        <f t="shared" si="140"/>
        <v>26957.389548268442</v>
      </c>
      <c r="AW95" s="94">
        <f t="shared" si="111"/>
        <v>0.2425709026047263</v>
      </c>
      <c r="AX95" s="44">
        <f t="shared" si="121"/>
        <v>1548.448138248717</v>
      </c>
      <c r="AY95" s="45">
        <f t="shared" si="141"/>
        <v>31285.685703919095</v>
      </c>
      <c r="AZ95" s="94">
        <f t="shared" si="113"/>
        <v>0.28151824590504171</v>
      </c>
      <c r="BB95" s="10">
        <f t="shared" si="122"/>
        <v>4200</v>
      </c>
      <c r="BC95" s="10">
        <f t="shared" si="123"/>
        <v>-1683.1589558840369</v>
      </c>
      <c r="BD95" s="10">
        <f t="shared" si="124"/>
        <v>-667.76624194863803</v>
      </c>
      <c r="BE95" s="10">
        <f t="shared" si="125"/>
        <v>-30.583376282105547</v>
      </c>
      <c r="BF95" s="10">
        <f t="shared" si="126"/>
        <v>-568.15834348564306</v>
      </c>
      <c r="BG95" s="10">
        <f t="shared" si="127"/>
        <v>-2949.6669176004239</v>
      </c>
      <c r="BH95" s="10">
        <f t="shared" si="128"/>
        <v>1250.3330823995761</v>
      </c>
      <c r="BI95" s="10">
        <f t="shared" si="129"/>
        <v>-125.66137566137566</v>
      </c>
      <c r="BJ95" s="10">
        <f t="shared" si="130"/>
        <v>-72.42307692307692</v>
      </c>
      <c r="BK95" s="10">
        <f t="shared" si="131"/>
        <v>-217.86684774735784</v>
      </c>
      <c r="BL95" s="10">
        <f t="shared" si="132"/>
        <v>-30.840098383496592</v>
      </c>
      <c r="BM95" s="10">
        <f t="shared" si="133"/>
        <v>122.23015873015873</v>
      </c>
      <c r="BN95" s="10">
        <f t="shared" si="134"/>
        <v>1123.8562949988805</v>
      </c>
      <c r="BO95" s="10">
        <f t="shared" si="135"/>
        <v>-105.05850405903008</v>
      </c>
      <c r="BP95" s="10">
        <f t="shared" si="136"/>
        <v>1018.7977909398504</v>
      </c>
      <c r="BQ95" s="10">
        <f t="shared" si="137"/>
        <v>58.520337802294669</v>
      </c>
      <c r="BR95" s="10">
        <f t="shared" si="138"/>
        <v>1182.3766328011752</v>
      </c>
    </row>
    <row r="96" spans="2:70" hidden="1">
      <c r="B96" s="29" t="s">
        <v>8</v>
      </c>
      <c r="C96" s="29" t="s">
        <v>466</v>
      </c>
      <c r="D96" s="25" t="s">
        <v>513</v>
      </c>
      <c r="E96" s="100">
        <v>91</v>
      </c>
      <c r="F96" s="100">
        <v>46136</v>
      </c>
      <c r="G96" s="101">
        <v>54</v>
      </c>
      <c r="H96" s="192" t="s">
        <v>31</v>
      </c>
      <c r="I96" s="27" t="s">
        <v>107</v>
      </c>
      <c r="J96" s="7" t="s">
        <v>293</v>
      </c>
      <c r="K96" s="7" t="s">
        <v>171</v>
      </c>
      <c r="L96" s="7" t="s">
        <v>202</v>
      </c>
      <c r="M96" s="21" t="s">
        <v>58</v>
      </c>
      <c r="N96" s="7" t="s">
        <v>514</v>
      </c>
      <c r="O96" s="20">
        <v>2700</v>
      </c>
      <c r="P96" s="61">
        <v>145800</v>
      </c>
      <c r="Q96" s="20">
        <v>2576.8518518518517</v>
      </c>
      <c r="R96" s="30">
        <v>6650</v>
      </c>
      <c r="S96" s="32">
        <v>139150</v>
      </c>
      <c r="T96" s="65">
        <v>2</v>
      </c>
      <c r="U96" s="59" t="s">
        <v>569</v>
      </c>
      <c r="V96" s="147">
        <v>6450494060</v>
      </c>
      <c r="W96" s="62" t="s">
        <v>122</v>
      </c>
      <c r="X96" s="4"/>
      <c r="Y96" s="7">
        <v>10007162</v>
      </c>
      <c r="Z96" s="7"/>
      <c r="AA96" s="7"/>
      <c r="AB96" s="20">
        <f t="shared" si="143"/>
        <v>1939.5214199724567</v>
      </c>
      <c r="AC96" s="46">
        <f>IFERROR(INDEX('Costos Producción Febrero'!$G$34:$G$57,MATCH(Resumen!Y96,'Costos Producción Febrero'!$B$34:$B$57,0))*AB96*G96,0)</f>
        <v>64217.816443701828</v>
      </c>
      <c r="AD96" s="46">
        <f>IFERROR(INDEX('Costos Producción Febrero'!$H$34:$H$57,MATCH(Resumen!Y96,'Costos Producción Febrero'!$B$34:$B$57,0))*AB96*G96,0)</f>
        <v>18232.718737943713</v>
      </c>
      <c r="AE96" s="46">
        <f>IFERROR(INDEX('Costos Producción Febrero'!$I$34:$I$57,MATCH(Resumen!Y96,'Costos Producción Febrero'!$B$34:$B$57,0))*AB96*G96,0)</f>
        <v>970.94743232890846</v>
      </c>
      <c r="AF96" s="46">
        <f>IFERROR(INDEX('Costos Producción Febrero'!$J$34:$J$57,MATCH(Resumen!Y96,'Costos Producción Febrero'!$B$34:$B$57,0))*AB96*G96,0)</f>
        <v>21312.674064538205</v>
      </c>
      <c r="AG96" s="46">
        <f t="shared" si="102"/>
        <v>104734.15667851265</v>
      </c>
      <c r="AH96" s="46"/>
      <c r="AI96" s="45">
        <v>2042.5329601207702</v>
      </c>
      <c r="AJ96" s="46"/>
      <c r="AK96" s="45">
        <f t="shared" si="103"/>
        <v>41065.843321487351</v>
      </c>
      <c r="AL96" s="94">
        <f t="shared" si="104"/>
        <v>0.28165873334353464</v>
      </c>
      <c r="AM96" s="44">
        <f t="shared" si="105"/>
        <v>6650</v>
      </c>
      <c r="AN96" s="44">
        <f t="shared" si="106"/>
        <v>1068.2493387968848</v>
      </c>
      <c r="AO96" s="44">
        <f t="shared" si="117"/>
        <v>3910.8461538461538</v>
      </c>
      <c r="AP96" s="44">
        <f t="shared" si="114"/>
        <v>11629.095492643039</v>
      </c>
      <c r="AQ96" s="44">
        <f t="shared" si="118"/>
        <v>1665.365312708816</v>
      </c>
      <c r="AR96" s="44">
        <f t="shared" si="119"/>
        <v>4174.5</v>
      </c>
      <c r="AS96" s="45">
        <f t="shared" si="139"/>
        <v>31945.882516135498</v>
      </c>
      <c r="AT96" s="94">
        <f t="shared" si="109"/>
        <v>0.21910756183906377</v>
      </c>
      <c r="AU96" s="44">
        <f t="shared" si="120"/>
        <v>5673.1592191876243</v>
      </c>
      <c r="AV96" s="45">
        <f t="shared" si="140"/>
        <v>26272.723296947872</v>
      </c>
      <c r="AW96" s="94">
        <f t="shared" si="111"/>
        <v>0.18019700478016373</v>
      </c>
      <c r="AX96" s="44">
        <f t="shared" si="121"/>
        <v>3160.0982413239121</v>
      </c>
      <c r="AY96" s="45">
        <f t="shared" si="141"/>
        <v>35105.980757459409</v>
      </c>
      <c r="AZ96" s="94">
        <f t="shared" si="113"/>
        <v>0.24078176102509882</v>
      </c>
      <c r="BB96" s="10">
        <f t="shared" si="122"/>
        <v>2700</v>
      </c>
      <c r="BC96" s="10">
        <f t="shared" si="123"/>
        <v>-1189.2188230315153</v>
      </c>
      <c r="BD96" s="10">
        <f t="shared" si="124"/>
        <v>-337.64293959155026</v>
      </c>
      <c r="BE96" s="10">
        <f t="shared" si="125"/>
        <v>-17.980508006090897</v>
      </c>
      <c r="BF96" s="10">
        <f t="shared" si="126"/>
        <v>-394.67914934330008</v>
      </c>
      <c r="BG96" s="10">
        <f t="shared" si="127"/>
        <v>-1939.5214199724564</v>
      </c>
      <c r="BH96" s="10">
        <f t="shared" si="128"/>
        <v>760.47858002754356</v>
      </c>
      <c r="BI96" s="10">
        <f t="shared" si="129"/>
        <v>-123.14814814814815</v>
      </c>
      <c r="BJ96" s="10">
        <f t="shared" si="130"/>
        <v>-72.42307692307692</v>
      </c>
      <c r="BK96" s="10">
        <f t="shared" si="131"/>
        <v>-215.35362023413035</v>
      </c>
      <c r="BL96" s="10">
        <f t="shared" si="132"/>
        <v>-30.840098383496592</v>
      </c>
      <c r="BM96" s="10">
        <f t="shared" si="133"/>
        <v>77.305555555555557</v>
      </c>
      <c r="BN96" s="10">
        <f t="shared" si="134"/>
        <v>591.59041696547217</v>
      </c>
      <c r="BO96" s="10">
        <f t="shared" si="135"/>
        <v>-105.05850405903008</v>
      </c>
      <c r="BP96" s="10">
        <f t="shared" si="136"/>
        <v>486.53191290644207</v>
      </c>
      <c r="BQ96" s="10">
        <f t="shared" si="137"/>
        <v>58.520337802294669</v>
      </c>
      <c r="BR96" s="10">
        <f t="shared" si="138"/>
        <v>650.11075476776682</v>
      </c>
    </row>
    <row r="97" spans="2:70" hidden="1">
      <c r="B97" s="29" t="s">
        <v>8</v>
      </c>
      <c r="C97" s="29" t="s">
        <v>466</v>
      </c>
      <c r="D97" s="25" t="s">
        <v>515</v>
      </c>
      <c r="E97" s="100">
        <v>91</v>
      </c>
      <c r="F97" s="100">
        <v>46136</v>
      </c>
      <c r="G97" s="101">
        <v>26.1</v>
      </c>
      <c r="H97" s="102" t="s">
        <v>39</v>
      </c>
      <c r="I97" s="27" t="s">
        <v>170</v>
      </c>
      <c r="J97" s="7"/>
      <c r="K97" s="7" t="s">
        <v>171</v>
      </c>
      <c r="L97" s="7" t="s">
        <v>172</v>
      </c>
      <c r="M97" s="21" t="s">
        <v>55</v>
      </c>
      <c r="N97" s="7"/>
      <c r="O97" s="20">
        <v>2000</v>
      </c>
      <c r="P97" s="61">
        <v>52200</v>
      </c>
      <c r="Q97" s="20">
        <v>1880.2681992337164</v>
      </c>
      <c r="R97" s="30">
        <v>3125</v>
      </c>
      <c r="S97" s="32">
        <v>49075</v>
      </c>
      <c r="T97" s="65">
        <v>1</v>
      </c>
      <c r="U97" s="59" t="s">
        <v>569</v>
      </c>
      <c r="V97" s="147">
        <v>6450494050</v>
      </c>
      <c r="W97" s="62" t="s">
        <v>122</v>
      </c>
      <c r="X97" s="4"/>
      <c r="Y97" s="7"/>
      <c r="Z97" s="7"/>
      <c r="AA97" s="7"/>
      <c r="AB97" s="20">
        <f t="shared" si="142"/>
        <v>0</v>
      </c>
      <c r="AC97" s="46">
        <f>IFERROR(INDEX('Costos Producción Febrero'!$G$34:$G$57,MATCH(Resumen!Y97,'Costos Producción Febrero'!$B$34:$B$57,0))*AB97*G97,0)</f>
        <v>0</v>
      </c>
      <c r="AD97" s="46">
        <f>IFERROR(INDEX('Costos Producción Febrero'!$H$34:$H$57,MATCH(Resumen!Y97,'Costos Producción Febrero'!$B$34:$B$57,0))*AB97*G97,0)</f>
        <v>0</v>
      </c>
      <c r="AE97" s="46">
        <f>IFERROR(INDEX('Costos Producción Febrero'!$I$34:$I$57,MATCH(Resumen!Y97,'Costos Producción Febrero'!$B$34:$B$57,0))*AB97*G97,0)</f>
        <v>0</v>
      </c>
      <c r="AF97" s="46">
        <f>IFERROR(INDEX('Costos Producción Febrero'!$J$34:$J$57,MATCH(Resumen!Y97,'Costos Producción Febrero'!$B$34:$B$57,0))*AB97*G97,0)</f>
        <v>0</v>
      </c>
      <c r="AG97" s="46">
        <f t="shared" si="102"/>
        <v>0</v>
      </c>
      <c r="AH97" s="46"/>
      <c r="AI97" s="46">
        <v>0</v>
      </c>
      <c r="AJ97" s="46"/>
      <c r="AK97" s="45">
        <f t="shared" si="103"/>
        <v>52200</v>
      </c>
      <c r="AL97" s="94">
        <f t="shared" si="104"/>
        <v>1</v>
      </c>
      <c r="AM97" s="44">
        <f t="shared" si="105"/>
        <v>3125</v>
      </c>
      <c r="AN97" s="44">
        <f t="shared" si="106"/>
        <v>516.32051375182766</v>
      </c>
      <c r="AO97" s="44">
        <f t="shared" si="117"/>
        <v>1890.2423076923078</v>
      </c>
      <c r="AP97" s="44">
        <f t="shared" si="114"/>
        <v>5531.5628214441349</v>
      </c>
      <c r="AQ97" s="44">
        <f t="shared" si="118"/>
        <v>804.92656780926109</v>
      </c>
      <c r="AR97" s="44">
        <f t="shared" si="119"/>
        <v>1472.25</v>
      </c>
      <c r="AS97" s="45">
        <f t="shared" si="139"/>
        <v>47335.760610746598</v>
      </c>
      <c r="AT97" s="94">
        <f t="shared" si="109"/>
        <v>0.90681533737062447</v>
      </c>
      <c r="AU97" s="44">
        <f t="shared" si="120"/>
        <v>2742.0269559406852</v>
      </c>
      <c r="AV97" s="45">
        <f t="shared" si="140"/>
        <v>44593.73365480591</v>
      </c>
      <c r="AW97" s="94">
        <f t="shared" si="111"/>
        <v>0.85428608534110939</v>
      </c>
      <c r="AX97" s="44">
        <f t="shared" si="121"/>
        <v>1527.380816639891</v>
      </c>
      <c r="AY97" s="45">
        <f t="shared" si="141"/>
        <v>48863.141427386487</v>
      </c>
      <c r="AZ97" s="94">
        <f t="shared" si="113"/>
        <v>0.93607550627177183</v>
      </c>
      <c r="BB97" s="10">
        <f t="shared" si="122"/>
        <v>2000</v>
      </c>
      <c r="BC97" s="10">
        <f t="shared" si="123"/>
        <v>0</v>
      </c>
      <c r="BD97" s="10">
        <f t="shared" si="124"/>
        <v>0</v>
      </c>
      <c r="BE97" s="10">
        <f t="shared" si="125"/>
        <v>0</v>
      </c>
      <c r="BF97" s="10">
        <f t="shared" si="126"/>
        <v>0</v>
      </c>
      <c r="BG97" s="10">
        <f t="shared" si="127"/>
        <v>0</v>
      </c>
      <c r="BH97" s="10">
        <f t="shared" si="128"/>
        <v>2000</v>
      </c>
      <c r="BI97" s="10">
        <f t="shared" si="129"/>
        <v>-119.73180076628351</v>
      </c>
      <c r="BJ97" s="10">
        <f t="shared" si="130"/>
        <v>-72.42307692307692</v>
      </c>
      <c r="BK97" s="10">
        <f t="shared" si="131"/>
        <v>-211.93727285226569</v>
      </c>
      <c r="BL97" s="10">
        <f t="shared" si="132"/>
        <v>-30.840098383496592</v>
      </c>
      <c r="BM97" s="10">
        <f t="shared" si="133"/>
        <v>56.40804597701149</v>
      </c>
      <c r="BN97" s="10">
        <f t="shared" si="134"/>
        <v>1813.6306747412489</v>
      </c>
      <c r="BO97" s="10">
        <f t="shared" si="135"/>
        <v>-105.05850405903008</v>
      </c>
      <c r="BP97" s="10">
        <f t="shared" si="136"/>
        <v>1708.5721706822187</v>
      </c>
      <c r="BQ97" s="10">
        <f t="shared" si="137"/>
        <v>58.520337802294669</v>
      </c>
      <c r="BR97" s="10">
        <f t="shared" si="138"/>
        <v>1872.1510125435434</v>
      </c>
    </row>
    <row r="98" spans="2:70" hidden="1">
      <c r="B98" s="29" t="s">
        <v>8</v>
      </c>
      <c r="C98" s="29" t="s">
        <v>466</v>
      </c>
      <c r="D98" s="25" t="s">
        <v>516</v>
      </c>
      <c r="E98" s="100">
        <v>91</v>
      </c>
      <c r="F98" s="100">
        <v>46140</v>
      </c>
      <c r="G98" s="101">
        <v>26.25</v>
      </c>
      <c r="H98" s="193" t="s">
        <v>38</v>
      </c>
      <c r="I98" s="27" t="s">
        <v>174</v>
      </c>
      <c r="J98" s="7"/>
      <c r="K98" s="7" t="s">
        <v>171</v>
      </c>
      <c r="L98" s="7" t="s">
        <v>172</v>
      </c>
      <c r="M98" s="21" t="s">
        <v>55</v>
      </c>
      <c r="N98" s="7"/>
      <c r="O98" s="20">
        <v>2000</v>
      </c>
      <c r="P98" s="61">
        <v>52500</v>
      </c>
      <c r="Q98" s="20">
        <v>1880.952380952381</v>
      </c>
      <c r="R98" s="30">
        <v>3125</v>
      </c>
      <c r="S98" s="32">
        <v>49375</v>
      </c>
      <c r="T98" s="65">
        <v>1</v>
      </c>
      <c r="U98" s="59" t="s">
        <v>566</v>
      </c>
      <c r="V98" s="147">
        <v>6451132960</v>
      </c>
      <c r="W98" s="62" t="s">
        <v>122</v>
      </c>
      <c r="X98" s="4"/>
      <c r="Y98" s="7"/>
      <c r="Z98" s="7"/>
      <c r="AA98" s="7"/>
      <c r="AB98" s="20">
        <f t="shared" si="142"/>
        <v>0</v>
      </c>
      <c r="AC98" s="46">
        <f>IFERROR(INDEX('Costos Producción Febrero'!$G$34:$G$57,MATCH(Resumen!Y98,'Costos Producción Febrero'!$B$34:$B$57,0))*AB98*G98,0)</f>
        <v>0</v>
      </c>
      <c r="AD98" s="46">
        <f>IFERROR(INDEX('Costos Producción Febrero'!$H$34:$H$57,MATCH(Resumen!Y98,'Costos Producción Febrero'!$B$34:$B$57,0))*AB98*G98,0)</f>
        <v>0</v>
      </c>
      <c r="AE98" s="46">
        <f>IFERROR(INDEX('Costos Producción Febrero'!$I$34:$I$57,MATCH(Resumen!Y98,'Costos Producción Febrero'!$B$34:$B$57,0))*AB98*G98,0)</f>
        <v>0</v>
      </c>
      <c r="AF98" s="46">
        <f>IFERROR(INDEX('Costos Producción Febrero'!$J$34:$J$57,MATCH(Resumen!Y98,'Costos Producción Febrero'!$B$34:$B$57,0))*AB98*G98,0)</f>
        <v>0</v>
      </c>
      <c r="AG98" s="46">
        <f t="shared" si="102"/>
        <v>0</v>
      </c>
      <c r="AH98" s="46"/>
      <c r="AI98" s="46">
        <v>0</v>
      </c>
      <c r="AJ98" s="46"/>
      <c r="AK98" s="45">
        <f t="shared" si="103"/>
        <v>52500</v>
      </c>
      <c r="AL98" s="94">
        <f t="shared" si="104"/>
        <v>1</v>
      </c>
      <c r="AM98" s="44">
        <f t="shared" si="105"/>
        <v>3125</v>
      </c>
      <c r="AN98" s="44">
        <f t="shared" si="106"/>
        <v>519.28787302626347</v>
      </c>
      <c r="AO98" s="44">
        <f t="shared" si="117"/>
        <v>1901.1057692307691</v>
      </c>
      <c r="AP98" s="44">
        <f t="shared" si="114"/>
        <v>5545.3936422570332</v>
      </c>
      <c r="AQ98" s="44">
        <f t="shared" si="118"/>
        <v>809.55258256678553</v>
      </c>
      <c r="AR98" s="44">
        <f t="shared" si="119"/>
        <v>1481.25</v>
      </c>
      <c r="AS98" s="45">
        <f t="shared" si="139"/>
        <v>47626.30377517618</v>
      </c>
      <c r="AT98" s="94">
        <f t="shared" si="109"/>
        <v>0.90716769095573679</v>
      </c>
      <c r="AU98" s="44">
        <f t="shared" si="120"/>
        <v>2757.7857315495398</v>
      </c>
      <c r="AV98" s="45">
        <f t="shared" si="140"/>
        <v>44868.518043626638</v>
      </c>
      <c r="AW98" s="94">
        <f t="shared" si="111"/>
        <v>0.85463843892622171</v>
      </c>
      <c r="AX98" s="44">
        <f t="shared" si="121"/>
        <v>1536.1588673102351</v>
      </c>
      <c r="AY98" s="45">
        <f t="shared" si="141"/>
        <v>49162.462642486418</v>
      </c>
      <c r="AZ98" s="94">
        <f t="shared" si="113"/>
        <v>0.93642785985688415</v>
      </c>
      <c r="BB98" s="10">
        <f t="shared" si="122"/>
        <v>2000</v>
      </c>
      <c r="BC98" s="10">
        <f t="shared" si="123"/>
        <v>0</v>
      </c>
      <c r="BD98" s="10">
        <f t="shared" si="124"/>
        <v>0</v>
      </c>
      <c r="BE98" s="10">
        <f t="shared" si="125"/>
        <v>0</v>
      </c>
      <c r="BF98" s="10">
        <f t="shared" si="126"/>
        <v>0</v>
      </c>
      <c r="BG98" s="10">
        <f t="shared" si="127"/>
        <v>0</v>
      </c>
      <c r="BH98" s="10">
        <f t="shared" si="128"/>
        <v>2000</v>
      </c>
      <c r="BI98" s="10">
        <f t="shared" si="129"/>
        <v>-119.04761904761905</v>
      </c>
      <c r="BJ98" s="10">
        <f t="shared" si="130"/>
        <v>-72.42307692307692</v>
      </c>
      <c r="BK98" s="10">
        <f t="shared" si="131"/>
        <v>-211.25309113360126</v>
      </c>
      <c r="BL98" s="10">
        <f t="shared" si="132"/>
        <v>-30.840098383496592</v>
      </c>
      <c r="BM98" s="10">
        <f t="shared" si="133"/>
        <v>56.428571428571431</v>
      </c>
      <c r="BN98" s="10">
        <f t="shared" si="134"/>
        <v>1814.3353819114736</v>
      </c>
      <c r="BO98" s="10">
        <f t="shared" si="135"/>
        <v>-105.05850405903008</v>
      </c>
      <c r="BP98" s="10">
        <f t="shared" si="136"/>
        <v>1709.2768778524432</v>
      </c>
      <c r="BQ98" s="10">
        <f t="shared" si="137"/>
        <v>58.520337802294669</v>
      </c>
      <c r="BR98" s="10">
        <f t="shared" si="138"/>
        <v>1872.8557197137684</v>
      </c>
    </row>
    <row r="99" spans="2:70" hidden="1">
      <c r="B99" s="29" t="s">
        <v>8</v>
      </c>
      <c r="C99" s="29" t="s">
        <v>466</v>
      </c>
      <c r="D99" s="25" t="s">
        <v>517</v>
      </c>
      <c r="E99" s="100">
        <v>97</v>
      </c>
      <c r="F99" s="100">
        <v>46140</v>
      </c>
      <c r="G99" s="101">
        <v>54</v>
      </c>
      <c r="H99" s="192" t="s">
        <v>31</v>
      </c>
      <c r="I99" s="27" t="s">
        <v>107</v>
      </c>
      <c r="J99" s="7" t="s">
        <v>518</v>
      </c>
      <c r="K99" s="7" t="s">
        <v>171</v>
      </c>
      <c r="L99" s="7" t="s">
        <v>519</v>
      </c>
      <c r="M99" s="21" t="s">
        <v>511</v>
      </c>
      <c r="N99" s="7" t="s">
        <v>512</v>
      </c>
      <c r="O99" s="20">
        <v>2850</v>
      </c>
      <c r="P99" s="61">
        <v>153900</v>
      </c>
      <c r="Q99" s="20">
        <v>2726.8518518518517</v>
      </c>
      <c r="R99" s="30">
        <v>6650</v>
      </c>
      <c r="S99" s="32">
        <v>147250</v>
      </c>
      <c r="T99" s="65">
        <v>2</v>
      </c>
      <c r="U99" s="59" t="s">
        <v>569</v>
      </c>
      <c r="V99" s="147">
        <v>6451277930</v>
      </c>
      <c r="W99" s="62" t="s">
        <v>122</v>
      </c>
      <c r="X99" s="4"/>
      <c r="Y99" s="7">
        <v>10007162</v>
      </c>
      <c r="Z99" s="7"/>
      <c r="AA99" s="7"/>
      <c r="AB99" s="20">
        <f t="shared" ref="AB99:AB110" si="144">AI99-111688.22/2006.56-47.35</f>
        <v>1939.5214199724567</v>
      </c>
      <c r="AC99" s="46">
        <f>IFERROR(INDEX('Costos Producción Febrero'!$G$34:$G$57,MATCH(Resumen!Y99,'Costos Producción Febrero'!$B$34:$B$57,0))*AB99*G99,0)</f>
        <v>64217.816443701828</v>
      </c>
      <c r="AD99" s="46">
        <f>IFERROR(INDEX('Costos Producción Febrero'!$H$34:$H$57,MATCH(Resumen!Y99,'Costos Producción Febrero'!$B$34:$B$57,0))*AB99*G99,0)</f>
        <v>18232.718737943713</v>
      </c>
      <c r="AE99" s="46">
        <f>IFERROR(INDEX('Costos Producción Febrero'!$I$34:$I$57,MATCH(Resumen!Y99,'Costos Producción Febrero'!$B$34:$B$57,0))*AB99*G99,0)</f>
        <v>970.94743232890846</v>
      </c>
      <c r="AF99" s="46">
        <f>IFERROR(INDEX('Costos Producción Febrero'!$J$34:$J$57,MATCH(Resumen!Y99,'Costos Producción Febrero'!$B$34:$B$57,0))*AB99*G99,0)</f>
        <v>21312.674064538205</v>
      </c>
      <c r="AG99" s="46">
        <f t="shared" si="102"/>
        <v>104734.15667851265</v>
      </c>
      <c r="AH99" s="46"/>
      <c r="AI99" s="45">
        <v>2042.5329601207702</v>
      </c>
      <c r="AJ99" s="46"/>
      <c r="AK99" s="45">
        <f t="shared" si="103"/>
        <v>49165.843321487351</v>
      </c>
      <c r="AL99" s="94">
        <f t="shared" si="104"/>
        <v>0.31946616843071701</v>
      </c>
      <c r="AM99" s="44">
        <f t="shared" si="105"/>
        <v>6650</v>
      </c>
      <c r="AN99" s="44">
        <f t="shared" si="106"/>
        <v>1068.2493387968848</v>
      </c>
      <c r="AO99" s="44">
        <f t="shared" si="117"/>
        <v>3910.8461538461538</v>
      </c>
      <c r="AP99" s="44">
        <f t="shared" si="114"/>
        <v>11629.095492643039</v>
      </c>
      <c r="AQ99" s="44">
        <f t="shared" si="118"/>
        <v>1665.365312708816</v>
      </c>
      <c r="AR99" s="44">
        <f t="shared" si="119"/>
        <v>4417.5</v>
      </c>
      <c r="AS99" s="45">
        <f t="shared" si="139"/>
        <v>40288.882516135491</v>
      </c>
      <c r="AT99" s="94">
        <f t="shared" si="109"/>
        <v>0.26178611121595513</v>
      </c>
      <c r="AU99" s="44">
        <f t="shared" si="120"/>
        <v>5673.1592191876243</v>
      </c>
      <c r="AV99" s="45">
        <f t="shared" si="140"/>
        <v>34615.723296947865</v>
      </c>
      <c r="AW99" s="94">
        <f t="shared" si="111"/>
        <v>0.22492347821278663</v>
      </c>
      <c r="AX99" s="44">
        <f t="shared" si="121"/>
        <v>3160.0982413239121</v>
      </c>
      <c r="AY99" s="45">
        <f t="shared" si="141"/>
        <v>43448.980757459402</v>
      </c>
      <c r="AZ99" s="94">
        <f t="shared" si="113"/>
        <v>0.28231956307640937</v>
      </c>
      <c r="BB99" s="10">
        <f t="shared" si="122"/>
        <v>2850</v>
      </c>
      <c r="BC99" s="10">
        <f t="shared" si="123"/>
        <v>-1189.2188230315153</v>
      </c>
      <c r="BD99" s="10">
        <f t="shared" si="124"/>
        <v>-337.64293959155026</v>
      </c>
      <c r="BE99" s="10">
        <f t="shared" si="125"/>
        <v>-17.980508006090897</v>
      </c>
      <c r="BF99" s="10">
        <f t="shared" si="126"/>
        <v>-394.67914934330008</v>
      </c>
      <c r="BG99" s="10">
        <f t="shared" si="127"/>
        <v>-1939.5214199724564</v>
      </c>
      <c r="BH99" s="10">
        <f t="shared" si="128"/>
        <v>910.47858002754356</v>
      </c>
      <c r="BI99" s="10">
        <f t="shared" si="129"/>
        <v>-123.14814814814815</v>
      </c>
      <c r="BJ99" s="10">
        <f t="shared" si="130"/>
        <v>-72.42307692307692</v>
      </c>
      <c r="BK99" s="10">
        <f t="shared" si="131"/>
        <v>-215.35362023413035</v>
      </c>
      <c r="BL99" s="10">
        <f t="shared" si="132"/>
        <v>-30.840098383496592</v>
      </c>
      <c r="BM99" s="10">
        <f t="shared" si="133"/>
        <v>81.805555555555557</v>
      </c>
      <c r="BN99" s="10">
        <f t="shared" si="134"/>
        <v>746.09041696547206</v>
      </c>
      <c r="BO99" s="10">
        <f t="shared" si="135"/>
        <v>-105.05850405903008</v>
      </c>
      <c r="BP99" s="10">
        <f t="shared" si="136"/>
        <v>641.0319129064419</v>
      </c>
      <c r="BQ99" s="10">
        <f t="shared" si="137"/>
        <v>58.520337802294669</v>
      </c>
      <c r="BR99" s="10">
        <f t="shared" si="138"/>
        <v>804.61075476776671</v>
      </c>
    </row>
    <row r="100" spans="2:70" hidden="1">
      <c r="B100" s="29" t="s">
        <v>8</v>
      </c>
      <c r="C100" s="29" t="s">
        <v>466</v>
      </c>
      <c r="D100" s="25" t="s">
        <v>520</v>
      </c>
      <c r="E100" s="100">
        <v>98</v>
      </c>
      <c r="F100" s="100">
        <v>46140</v>
      </c>
      <c r="G100" s="101">
        <v>24</v>
      </c>
      <c r="H100" s="193" t="s">
        <v>33</v>
      </c>
      <c r="I100" s="27" t="s">
        <v>132</v>
      </c>
      <c r="J100" s="7" t="s">
        <v>521</v>
      </c>
      <c r="K100" s="7" t="s">
        <v>141</v>
      </c>
      <c r="L100" s="7" t="s">
        <v>522</v>
      </c>
      <c r="M100" s="21" t="s">
        <v>43</v>
      </c>
      <c r="N100" s="7" t="s">
        <v>129</v>
      </c>
      <c r="O100" s="20">
        <v>2300</v>
      </c>
      <c r="P100" s="61">
        <v>55200</v>
      </c>
      <c r="Q100" s="20">
        <v>2166.625</v>
      </c>
      <c r="R100" s="30">
        <v>3201</v>
      </c>
      <c r="S100" s="32">
        <v>51999</v>
      </c>
      <c r="T100" s="65">
        <v>1</v>
      </c>
      <c r="U100" s="59" t="s">
        <v>566</v>
      </c>
      <c r="V100" s="147" t="s">
        <v>570</v>
      </c>
      <c r="W100" s="62" t="s">
        <v>138</v>
      </c>
      <c r="X100" s="4"/>
      <c r="Y100" s="7">
        <v>10005721</v>
      </c>
      <c r="Z100" s="7"/>
      <c r="AA100" s="7"/>
      <c r="AB100" s="20">
        <f t="shared" si="144"/>
        <v>2033.6752269777967</v>
      </c>
      <c r="AC100" s="46">
        <f>IFERROR(INDEX('Costos Producción Febrero'!$G$34:$G$57,MATCH(Resumen!Y100,'Costos Producción Febrero'!$B$34:$B$57,0))*AB100*G100,0)</f>
        <v>29641.755819401897</v>
      </c>
      <c r="AD100" s="46">
        <f>IFERROR(INDEX('Costos Producción Febrero'!$H$34:$H$57,MATCH(Resumen!Y100,'Costos Producción Febrero'!$B$34:$B$57,0))*AB100*G100,0)</f>
        <v>8685.6498520591213</v>
      </c>
      <c r="AE100" s="46">
        <f>IFERROR(INDEX('Costos Producción Febrero'!$I$34:$I$57,MATCH(Resumen!Y100,'Costos Producción Febrero'!$B$34:$B$57,0))*AB100*G100,0)</f>
        <v>532.1024603903295</v>
      </c>
      <c r="AF100" s="46">
        <f>IFERROR(INDEX('Costos Producción Febrero'!$J$34:$J$57,MATCH(Resumen!Y100,'Costos Producción Febrero'!$B$34:$B$57,0))*AB100*G100,0)</f>
        <v>9948.6973156157728</v>
      </c>
      <c r="AG100" s="46">
        <f t="shared" ref="AG100:AG110" si="145">SUM(AC100:AF100)</f>
        <v>48808.205447467117</v>
      </c>
      <c r="AH100" s="46"/>
      <c r="AI100" s="45">
        <v>2136.6867671261102</v>
      </c>
      <c r="AJ100" s="46"/>
      <c r="AK100" s="45">
        <f t="shared" ref="AK100:AK147" si="146">P100-AG100</f>
        <v>6391.7945525328832</v>
      </c>
      <c r="AL100" s="94">
        <f t="shared" ref="AL100:AL147" si="147">AK100/P100</f>
        <v>0.11579337957487107</v>
      </c>
      <c r="AM100" s="44">
        <f t="shared" ref="AM100:AM110" si="148">R100</f>
        <v>3201</v>
      </c>
      <c r="AN100" s="44">
        <f t="shared" ref="AN100:AN110" si="149">118461.136538461/5988.21*G100</f>
        <v>474.77748390972658</v>
      </c>
      <c r="AO100" s="44">
        <f t="shared" si="117"/>
        <v>1738.1538461538462</v>
      </c>
      <c r="AP100" s="44">
        <f t="shared" si="114"/>
        <v>5413.9313300635731</v>
      </c>
      <c r="AQ100" s="44">
        <f t="shared" si="118"/>
        <v>740.16236120391818</v>
      </c>
      <c r="AR100" s="44">
        <f t="shared" si="119"/>
        <v>1559.97</v>
      </c>
      <c r="AS100" s="45">
        <f t="shared" si="139"/>
        <v>1797.670861265392</v>
      </c>
      <c r="AT100" s="94">
        <f t="shared" ref="AT100:AT110" si="150">AS100/P100</f>
        <v>3.256650110988029E-2</v>
      </c>
      <c r="AU100" s="44">
        <f t="shared" si="120"/>
        <v>2521.4040974167219</v>
      </c>
      <c r="AV100" s="45">
        <f t="shared" si="140"/>
        <v>-723.73323615132995</v>
      </c>
      <c r="AW100" s="94">
        <f t="shared" ref="AW100:AW147" si="151">AV100/P100</f>
        <v>-1.3111109350567571E-2</v>
      </c>
      <c r="AX100" s="44">
        <f t="shared" si="121"/>
        <v>1404.488107255072</v>
      </c>
      <c r="AY100" s="45">
        <f t="shared" si="141"/>
        <v>3202.158968520464</v>
      </c>
      <c r="AZ100" s="94">
        <f t="shared" ref="AZ100:AZ147" si="152">AY100/P100</f>
        <v>5.8010126241312757E-2</v>
      </c>
      <c r="BB100" s="10">
        <f t="shared" si="122"/>
        <v>2300</v>
      </c>
      <c r="BC100" s="10">
        <f t="shared" si="123"/>
        <v>-1235.0731591417457</v>
      </c>
      <c r="BD100" s="10">
        <f t="shared" si="124"/>
        <v>-361.90207716913005</v>
      </c>
      <c r="BE100" s="10">
        <f t="shared" si="125"/>
        <v>-22.170935849597061</v>
      </c>
      <c r="BF100" s="10">
        <f t="shared" si="126"/>
        <v>-414.52905481732387</v>
      </c>
      <c r="BG100" s="10">
        <f t="shared" si="127"/>
        <v>-2033.6752269777965</v>
      </c>
      <c r="BH100" s="10">
        <f t="shared" si="128"/>
        <v>266.32477302220349</v>
      </c>
      <c r="BI100" s="10">
        <f t="shared" si="129"/>
        <v>-133.375</v>
      </c>
      <c r="BJ100" s="10">
        <f t="shared" si="130"/>
        <v>-72.42307692307692</v>
      </c>
      <c r="BK100" s="10">
        <f t="shared" si="131"/>
        <v>-225.58047208598222</v>
      </c>
      <c r="BL100" s="10">
        <f t="shared" si="132"/>
        <v>-30.840098383496592</v>
      </c>
      <c r="BM100" s="10">
        <f t="shared" si="133"/>
        <v>64.998750000000001</v>
      </c>
      <c r="BN100" s="10">
        <f t="shared" si="134"/>
        <v>74.90295255272467</v>
      </c>
      <c r="BO100" s="10">
        <f t="shared" si="135"/>
        <v>-105.05850405903008</v>
      </c>
      <c r="BP100" s="10">
        <f t="shared" si="136"/>
        <v>-30.155551506305414</v>
      </c>
      <c r="BQ100" s="10">
        <f t="shared" si="137"/>
        <v>58.520337802294669</v>
      </c>
      <c r="BR100" s="10">
        <f t="shared" si="138"/>
        <v>133.42329035501933</v>
      </c>
    </row>
    <row r="101" spans="2:70" hidden="1">
      <c r="B101" s="29" t="s">
        <v>8</v>
      </c>
      <c r="C101" s="29" t="s">
        <v>466</v>
      </c>
      <c r="D101" s="25" t="s">
        <v>523</v>
      </c>
      <c r="E101" s="100">
        <v>98</v>
      </c>
      <c r="F101" s="100">
        <v>46140</v>
      </c>
      <c r="G101" s="101">
        <v>25.8</v>
      </c>
      <c r="H101" s="27" t="s">
        <v>36</v>
      </c>
      <c r="I101" s="27" t="s">
        <v>107</v>
      </c>
      <c r="J101" s="7" t="s">
        <v>524</v>
      </c>
      <c r="K101" s="7" t="s">
        <v>525</v>
      </c>
      <c r="L101" s="7" t="s">
        <v>526</v>
      </c>
      <c r="M101" s="21" t="s">
        <v>527</v>
      </c>
      <c r="N101" s="7" t="s">
        <v>528</v>
      </c>
      <c r="O101" s="20">
        <v>2920</v>
      </c>
      <c r="P101" s="61">
        <v>75336</v>
      </c>
      <c r="Q101" s="20">
        <v>2815.4651162790697</v>
      </c>
      <c r="R101" s="30">
        <v>2697</v>
      </c>
      <c r="S101" s="32">
        <v>72639</v>
      </c>
      <c r="T101" s="65">
        <v>1</v>
      </c>
      <c r="U101" s="59" t="s">
        <v>571</v>
      </c>
      <c r="V101" s="147">
        <v>35835231</v>
      </c>
      <c r="W101" s="62" t="s">
        <v>112</v>
      </c>
      <c r="X101" s="4"/>
      <c r="Y101" s="7">
        <v>10007567</v>
      </c>
      <c r="Z101" s="7"/>
      <c r="AA101" s="7"/>
      <c r="AB101" s="20">
        <f t="shared" si="144"/>
        <v>2001.4942427698361</v>
      </c>
      <c r="AC101" s="46">
        <f>IFERROR(INDEX('Costos Producción Febrero'!$G$34:$G$57,MATCH(Resumen!Y101,'Costos Producción Febrero'!$B$34:$B$57,0))*AB101*G101,0)</f>
        <v>31891.070367373428</v>
      </c>
      <c r="AD101" s="46">
        <f>IFERROR(INDEX('Costos Producción Febrero'!$H$34:$H$57,MATCH(Resumen!Y101,'Costos Producción Febrero'!$B$34:$B$57,0))*AB101*G101,0)</f>
        <v>8594.7791851500024</v>
      </c>
      <c r="AE101" s="46">
        <f>IFERROR(INDEX('Costos Producción Febrero'!$I$34:$I$57,MATCH(Resumen!Y101,'Costos Producción Febrero'!$B$34:$B$57,0))*AB101*G101,0)</f>
        <v>557.35434778213573</v>
      </c>
      <c r="AF101" s="46">
        <f>IFERROR(INDEX('Costos Producción Febrero'!$J$34:$J$57,MATCH(Resumen!Y101,'Costos Producción Febrero'!$B$34:$B$57,0))*AB101*G101,0)</f>
        <v>10595.3475631562</v>
      </c>
      <c r="AG101" s="46">
        <f t="shared" si="145"/>
        <v>51638.551463461772</v>
      </c>
      <c r="AH101" s="46"/>
      <c r="AI101" s="45">
        <v>2104.5057829181496</v>
      </c>
      <c r="AJ101" s="46"/>
      <c r="AK101" s="45">
        <f t="shared" si="146"/>
        <v>23697.448536538228</v>
      </c>
      <c r="AL101" s="94">
        <f t="shared" si="147"/>
        <v>0.31455676617471368</v>
      </c>
      <c r="AM101" s="44">
        <f t="shared" si="148"/>
        <v>2697</v>
      </c>
      <c r="AN101" s="44">
        <f t="shared" si="149"/>
        <v>510.3857952029561</v>
      </c>
      <c r="AO101" s="44">
        <f t="shared" si="117"/>
        <v>1868.5153846153846</v>
      </c>
      <c r="AP101" s="44">
        <f t="shared" si="114"/>
        <v>5075.901179818341</v>
      </c>
      <c r="AQ101" s="44">
        <f t="shared" si="118"/>
        <v>795.67453829421208</v>
      </c>
      <c r="AR101" s="44">
        <f t="shared" si="119"/>
        <v>2179.17</v>
      </c>
      <c r="AS101" s="45">
        <f t="shared" si="139"/>
        <v>20005.042818425674</v>
      </c>
      <c r="AT101" s="94">
        <f t="shared" si="150"/>
        <v>0.26554426593429004</v>
      </c>
      <c r="AU101" s="44">
        <f t="shared" si="120"/>
        <v>2710.5094047229763</v>
      </c>
      <c r="AV101" s="45">
        <f t="shared" si="140"/>
        <v>17294.533413702698</v>
      </c>
      <c r="AW101" s="94">
        <f t="shared" si="151"/>
        <v>0.22956532618804687</v>
      </c>
      <c r="AX101" s="44">
        <f t="shared" si="121"/>
        <v>1509.8247152992026</v>
      </c>
      <c r="AY101" s="45">
        <f t="shared" si="141"/>
        <v>21514.867533724879</v>
      </c>
      <c r="AZ101" s="94">
        <f t="shared" si="152"/>
        <v>0.28558547751041835</v>
      </c>
      <c r="BB101" s="10">
        <f t="shared" si="122"/>
        <v>2920</v>
      </c>
      <c r="BC101" s="10">
        <f t="shared" si="123"/>
        <v>-1236.0879987354042</v>
      </c>
      <c r="BD101" s="10">
        <f t="shared" si="124"/>
        <v>-333.13097616860472</v>
      </c>
      <c r="BE101" s="10">
        <f t="shared" si="125"/>
        <v>-21.602881696982003</v>
      </c>
      <c r="BF101" s="10">
        <f t="shared" si="126"/>
        <v>-410.67238616884492</v>
      </c>
      <c r="BG101" s="10">
        <f t="shared" si="127"/>
        <v>-2001.4942427698361</v>
      </c>
      <c r="BH101" s="10">
        <f t="shared" si="128"/>
        <v>918.50575723016379</v>
      </c>
      <c r="BI101" s="10">
        <f t="shared" si="129"/>
        <v>-104.53488372093022</v>
      </c>
      <c r="BJ101" s="10">
        <f t="shared" si="130"/>
        <v>-72.42307692307692</v>
      </c>
      <c r="BK101" s="10">
        <f t="shared" si="131"/>
        <v>-196.74035580691245</v>
      </c>
      <c r="BL101" s="10">
        <f t="shared" si="132"/>
        <v>-30.840098383496592</v>
      </c>
      <c r="BM101" s="10">
        <f t="shared" si="133"/>
        <v>84.463953488372098</v>
      </c>
      <c r="BN101" s="10">
        <f t="shared" si="134"/>
        <v>775.38925652812691</v>
      </c>
      <c r="BO101" s="10">
        <f t="shared" si="135"/>
        <v>-105.05850405903008</v>
      </c>
      <c r="BP101" s="10">
        <f t="shared" si="136"/>
        <v>670.33075246909686</v>
      </c>
      <c r="BQ101" s="10">
        <f t="shared" si="137"/>
        <v>58.520337802294669</v>
      </c>
      <c r="BR101" s="10">
        <f t="shared" si="138"/>
        <v>833.90959433042167</v>
      </c>
    </row>
    <row r="102" spans="2:70" hidden="1">
      <c r="B102" s="29" t="s">
        <v>8</v>
      </c>
      <c r="C102" s="29" t="s">
        <v>466</v>
      </c>
      <c r="D102" s="25" t="s">
        <v>529</v>
      </c>
      <c r="E102" s="100">
        <v>66</v>
      </c>
      <c r="F102" s="100">
        <v>46140</v>
      </c>
      <c r="G102" s="101">
        <v>24</v>
      </c>
      <c r="H102" s="193" t="s">
        <v>32</v>
      </c>
      <c r="I102" s="27" t="s">
        <v>155</v>
      </c>
      <c r="J102" s="7" t="s">
        <v>530</v>
      </c>
      <c r="K102" s="7" t="s">
        <v>141</v>
      </c>
      <c r="L102" s="7" t="s">
        <v>142</v>
      </c>
      <c r="M102" s="21" t="s">
        <v>43</v>
      </c>
      <c r="N102" s="7" t="s">
        <v>129</v>
      </c>
      <c r="O102" s="20">
        <v>2400</v>
      </c>
      <c r="P102" s="61">
        <v>57600</v>
      </c>
      <c r="Q102" s="20">
        <v>2262.4583333333335</v>
      </c>
      <c r="R102" s="30">
        <v>3301</v>
      </c>
      <c r="S102" s="32">
        <v>54299</v>
      </c>
      <c r="T102" s="65">
        <v>1</v>
      </c>
      <c r="U102" s="59" t="s">
        <v>566</v>
      </c>
      <c r="V102" s="147" t="s">
        <v>572</v>
      </c>
      <c r="W102" s="62" t="s">
        <v>122</v>
      </c>
      <c r="X102" s="4"/>
      <c r="Y102" s="7">
        <v>10006720</v>
      </c>
      <c r="Z102" s="7"/>
      <c r="AA102" s="7"/>
      <c r="AB102" s="20">
        <f t="shared" si="144"/>
        <v>1933.6326766546831</v>
      </c>
      <c r="AC102" s="46">
        <f>IFERROR(INDEX('Costos Producción Febrero'!$G$34:$G$57,MATCH(Resumen!Y102,'Costos Producción Febrero'!$B$34:$B$57,0))*AB102*G102,0)</f>
        <v>29779.166911395467</v>
      </c>
      <c r="AD102" s="46">
        <f>IFERROR(INDEX('Costos Producción Febrero'!$H$34:$H$57,MATCH(Resumen!Y102,'Costos Producción Febrero'!$B$34:$B$57,0))*AB102*G102,0)</f>
        <v>6263.6697104361883</v>
      </c>
      <c r="AE102" s="46">
        <f>IFERROR(INDEX('Costos Producción Febrero'!$I$34:$I$57,MATCH(Resumen!Y102,'Costos Producción Febrero'!$B$34:$B$57,0))*AB102*G102,0)</f>
        <v>433.62181394484048</v>
      </c>
      <c r="AF102" s="46">
        <f>IFERROR(INDEX('Costos Producción Febrero'!$J$34:$J$57,MATCH(Resumen!Y102,'Costos Producción Febrero'!$B$34:$B$57,0))*AB102*G102,0)</f>
        <v>9930.7258039358949</v>
      </c>
      <c r="AG102" s="46">
        <f t="shared" si="145"/>
        <v>46407.184239712384</v>
      </c>
      <c r="AH102" s="46"/>
      <c r="AI102" s="45">
        <v>2036.6442168029967</v>
      </c>
      <c r="AJ102" s="46"/>
      <c r="AK102" s="45">
        <f t="shared" si="146"/>
        <v>11192.815760287616</v>
      </c>
      <c r="AL102" s="94">
        <f t="shared" si="147"/>
        <v>0.1943197180605489</v>
      </c>
      <c r="AM102" s="44">
        <f t="shared" si="148"/>
        <v>3301</v>
      </c>
      <c r="AN102" s="44">
        <f t="shared" si="149"/>
        <v>474.77748390972658</v>
      </c>
      <c r="AO102" s="44">
        <f t="shared" si="117"/>
        <v>1738.1538461538462</v>
      </c>
      <c r="AP102" s="44">
        <f t="shared" si="114"/>
        <v>5513.9313300635731</v>
      </c>
      <c r="AQ102" s="44">
        <f t="shared" si="118"/>
        <v>740.16236120391818</v>
      </c>
      <c r="AR102" s="44">
        <f t="shared" si="119"/>
        <v>1628.97</v>
      </c>
      <c r="AS102" s="45">
        <f t="shared" si="139"/>
        <v>6567.692069020125</v>
      </c>
      <c r="AT102" s="94">
        <f t="shared" si="150"/>
        <v>0.11402243175382161</v>
      </c>
      <c r="AU102" s="44">
        <f t="shared" si="120"/>
        <v>2521.4040974167219</v>
      </c>
      <c r="AV102" s="45">
        <f t="shared" si="140"/>
        <v>4046.2879716034031</v>
      </c>
      <c r="AW102" s="94">
        <f t="shared" si="151"/>
        <v>7.0248055062559087E-2</v>
      </c>
      <c r="AX102" s="44">
        <f t="shared" si="121"/>
        <v>1404.488107255072</v>
      </c>
      <c r="AY102" s="45">
        <f t="shared" si="141"/>
        <v>7972.1801762751966</v>
      </c>
      <c r="AZ102" s="94">
        <f t="shared" si="152"/>
        <v>0.13840590583811105</v>
      </c>
      <c r="BB102" s="10">
        <f t="shared" si="122"/>
        <v>2400</v>
      </c>
      <c r="BC102" s="10">
        <f t="shared" si="123"/>
        <v>-1240.7986213081444</v>
      </c>
      <c r="BD102" s="10">
        <f t="shared" si="124"/>
        <v>-260.9862379348412</v>
      </c>
      <c r="BE102" s="10">
        <f t="shared" si="125"/>
        <v>-18.067575581035019</v>
      </c>
      <c r="BF102" s="10">
        <f t="shared" si="126"/>
        <v>-413.78024183066231</v>
      </c>
      <c r="BG102" s="10">
        <f t="shared" si="127"/>
        <v>-1933.6326766546827</v>
      </c>
      <c r="BH102" s="10">
        <f t="shared" si="128"/>
        <v>466.36732334531735</v>
      </c>
      <c r="BI102" s="10">
        <f t="shared" si="129"/>
        <v>-137.54166666666666</v>
      </c>
      <c r="BJ102" s="10">
        <f t="shared" si="130"/>
        <v>-72.42307692307692</v>
      </c>
      <c r="BK102" s="10">
        <f t="shared" si="131"/>
        <v>-229.74713875264888</v>
      </c>
      <c r="BL102" s="10">
        <f t="shared" si="132"/>
        <v>-30.840098383496592</v>
      </c>
      <c r="BM102" s="10">
        <f t="shared" si="133"/>
        <v>67.873750000000001</v>
      </c>
      <c r="BN102" s="10">
        <f t="shared" si="134"/>
        <v>273.65383620917186</v>
      </c>
      <c r="BO102" s="10">
        <f t="shared" si="135"/>
        <v>-105.05850405903008</v>
      </c>
      <c r="BP102" s="10">
        <f t="shared" si="136"/>
        <v>168.59533215014179</v>
      </c>
      <c r="BQ102" s="10">
        <f t="shared" si="137"/>
        <v>58.520337802294669</v>
      </c>
      <c r="BR102" s="10">
        <f t="shared" si="138"/>
        <v>332.1741740114665</v>
      </c>
    </row>
    <row r="103" spans="2:70" hidden="1">
      <c r="B103" s="29" t="s">
        <v>8</v>
      </c>
      <c r="C103" s="29" t="s">
        <v>466</v>
      </c>
      <c r="D103" s="25" t="s">
        <v>531</v>
      </c>
      <c r="E103" s="100">
        <v>101</v>
      </c>
      <c r="F103" s="100">
        <v>46140</v>
      </c>
      <c r="G103" s="101">
        <v>27</v>
      </c>
      <c r="H103" s="192" t="s">
        <v>31</v>
      </c>
      <c r="I103" s="27" t="s">
        <v>107</v>
      </c>
      <c r="J103" s="7" t="s">
        <v>532</v>
      </c>
      <c r="K103" s="7" t="s">
        <v>171</v>
      </c>
      <c r="L103" s="7" t="s">
        <v>519</v>
      </c>
      <c r="M103" s="21" t="s">
        <v>533</v>
      </c>
      <c r="N103" s="7" t="s">
        <v>534</v>
      </c>
      <c r="O103" s="20">
        <v>3000</v>
      </c>
      <c r="P103" s="61">
        <v>81000</v>
      </c>
      <c r="Q103" s="20">
        <v>2880.9259259259261</v>
      </c>
      <c r="R103" s="30">
        <v>3215</v>
      </c>
      <c r="S103" s="32">
        <v>77785</v>
      </c>
      <c r="T103" s="65">
        <v>1</v>
      </c>
      <c r="U103" s="59" t="s">
        <v>566</v>
      </c>
      <c r="V103" s="147">
        <v>6451442940</v>
      </c>
      <c r="W103" s="62" t="s">
        <v>122</v>
      </c>
      <c r="X103" s="4"/>
      <c r="Y103" s="7">
        <v>10007162</v>
      </c>
      <c r="Z103" s="7"/>
      <c r="AA103" s="7"/>
      <c r="AB103" s="20">
        <f t="shared" si="144"/>
        <v>1939.5214199724567</v>
      </c>
      <c r="AC103" s="46">
        <f>IFERROR(INDEX('Costos Producción Febrero'!$G$34:$G$57,MATCH(Resumen!Y103,'Costos Producción Febrero'!$B$34:$B$57,0))*AB103*G103,0)</f>
        <v>32108.908221850914</v>
      </c>
      <c r="AD103" s="46">
        <f>IFERROR(INDEX('Costos Producción Febrero'!$H$34:$H$57,MATCH(Resumen!Y103,'Costos Producción Febrero'!$B$34:$B$57,0))*AB103*G103,0)</f>
        <v>9116.3593689718564</v>
      </c>
      <c r="AE103" s="46">
        <f>IFERROR(INDEX('Costos Producción Febrero'!$I$34:$I$57,MATCH(Resumen!Y103,'Costos Producción Febrero'!$B$34:$B$57,0))*AB103*G103,0)</f>
        <v>485.47371616445423</v>
      </c>
      <c r="AF103" s="46">
        <f>IFERROR(INDEX('Costos Producción Febrero'!$J$34:$J$57,MATCH(Resumen!Y103,'Costos Producción Febrero'!$B$34:$B$57,0))*AB103*G103,0)</f>
        <v>10656.337032269103</v>
      </c>
      <c r="AG103" s="46">
        <f t="shared" si="145"/>
        <v>52367.078339256324</v>
      </c>
      <c r="AH103" s="46"/>
      <c r="AI103" s="45">
        <v>2042.5329601207702</v>
      </c>
      <c r="AJ103" s="46"/>
      <c r="AK103" s="45">
        <f t="shared" si="146"/>
        <v>28632.921660743676</v>
      </c>
      <c r="AL103" s="94">
        <f t="shared" si="147"/>
        <v>0.35349286000918118</v>
      </c>
      <c r="AM103" s="44">
        <f t="shared" si="148"/>
        <v>3215</v>
      </c>
      <c r="AN103" s="44">
        <f t="shared" si="149"/>
        <v>534.12466939844239</v>
      </c>
      <c r="AO103" s="44">
        <f t="shared" si="117"/>
        <v>1955.4230769230769</v>
      </c>
      <c r="AP103" s="44">
        <f t="shared" si="114"/>
        <v>5704.5477463215193</v>
      </c>
      <c r="AQ103" s="44">
        <f t="shared" si="118"/>
        <v>832.68265635440798</v>
      </c>
      <c r="AR103" s="44">
        <f t="shared" si="119"/>
        <v>2333.5499999999997</v>
      </c>
      <c r="AS103" s="45">
        <f t="shared" si="139"/>
        <v>24429.241258067745</v>
      </c>
      <c r="AT103" s="94">
        <f t="shared" si="150"/>
        <v>0.3015955710872561</v>
      </c>
      <c r="AU103" s="44">
        <f t="shared" si="120"/>
        <v>2836.5796095938122</v>
      </c>
      <c r="AV103" s="45">
        <f t="shared" si="140"/>
        <v>21592.661648473932</v>
      </c>
      <c r="AW103" s="94">
        <f t="shared" si="151"/>
        <v>0.26657606973424608</v>
      </c>
      <c r="AX103" s="44">
        <f t="shared" si="121"/>
        <v>1580.0491206619561</v>
      </c>
      <c r="AY103" s="45">
        <f t="shared" si="141"/>
        <v>26009.2903787297</v>
      </c>
      <c r="AZ103" s="94">
        <f t="shared" si="152"/>
        <v>0.32110235035468765</v>
      </c>
      <c r="BB103" s="10">
        <f t="shared" si="122"/>
        <v>3000</v>
      </c>
      <c r="BC103" s="10">
        <f t="shared" si="123"/>
        <v>-1189.2188230315153</v>
      </c>
      <c r="BD103" s="10">
        <f t="shared" si="124"/>
        <v>-337.64293959155026</v>
      </c>
      <c r="BE103" s="10">
        <f t="shared" si="125"/>
        <v>-17.980508006090897</v>
      </c>
      <c r="BF103" s="10">
        <f t="shared" si="126"/>
        <v>-394.67914934330008</v>
      </c>
      <c r="BG103" s="10">
        <f t="shared" si="127"/>
        <v>-1939.5214199724564</v>
      </c>
      <c r="BH103" s="10">
        <f t="shared" si="128"/>
        <v>1060.4785800275436</v>
      </c>
      <c r="BI103" s="10">
        <f t="shared" si="129"/>
        <v>-119.07407407407408</v>
      </c>
      <c r="BJ103" s="10">
        <f t="shared" si="130"/>
        <v>-72.42307692307692</v>
      </c>
      <c r="BK103" s="10">
        <f t="shared" si="131"/>
        <v>-211.27954616005627</v>
      </c>
      <c r="BL103" s="10">
        <f t="shared" si="132"/>
        <v>-30.840098383496592</v>
      </c>
      <c r="BM103" s="10">
        <f t="shared" si="133"/>
        <v>86.427777777777763</v>
      </c>
      <c r="BN103" s="10">
        <f t="shared" si="134"/>
        <v>904.78671326176834</v>
      </c>
      <c r="BO103" s="10">
        <f t="shared" si="135"/>
        <v>-105.05850405903008</v>
      </c>
      <c r="BP103" s="10">
        <f t="shared" si="136"/>
        <v>799.72820920273819</v>
      </c>
      <c r="BQ103" s="10">
        <f t="shared" si="137"/>
        <v>58.520337802294669</v>
      </c>
      <c r="BR103" s="10">
        <f t="shared" si="138"/>
        <v>963.30705106406299</v>
      </c>
    </row>
    <row r="104" spans="2:70" hidden="1">
      <c r="B104" s="29" t="s">
        <v>8</v>
      </c>
      <c r="C104" s="29" t="s">
        <v>466</v>
      </c>
      <c r="D104" s="25" t="s">
        <v>535</v>
      </c>
      <c r="E104" s="100">
        <v>101</v>
      </c>
      <c r="F104" s="100">
        <v>46140</v>
      </c>
      <c r="G104" s="101">
        <v>26</v>
      </c>
      <c r="H104" s="27" t="s">
        <v>36</v>
      </c>
      <c r="I104" s="27" t="s">
        <v>107</v>
      </c>
      <c r="J104" s="7" t="s">
        <v>524</v>
      </c>
      <c r="K104" s="7" t="s">
        <v>525</v>
      </c>
      <c r="L104" s="7" t="s">
        <v>526</v>
      </c>
      <c r="M104" s="21" t="s">
        <v>527</v>
      </c>
      <c r="N104" s="7" t="s">
        <v>528</v>
      </c>
      <c r="O104" s="20">
        <v>2920</v>
      </c>
      <c r="P104" s="61">
        <v>75920</v>
      </c>
      <c r="Q104" s="20">
        <v>2816.2692307692309</v>
      </c>
      <c r="R104" s="30">
        <v>2697</v>
      </c>
      <c r="S104" s="32">
        <v>73223</v>
      </c>
      <c r="T104" s="65">
        <v>1</v>
      </c>
      <c r="U104" s="59" t="s">
        <v>571</v>
      </c>
      <c r="V104" s="147">
        <v>13060709</v>
      </c>
      <c r="W104" s="62" t="s">
        <v>112</v>
      </c>
      <c r="X104" s="4"/>
      <c r="Y104" s="7">
        <v>10007567</v>
      </c>
      <c r="Z104" s="7"/>
      <c r="AA104" s="7"/>
      <c r="AB104" s="20">
        <f t="shared" si="144"/>
        <v>2001.4942427698361</v>
      </c>
      <c r="AC104" s="46">
        <f>IFERROR(INDEX('Costos Producción Febrero'!$G$34:$G$57,MATCH(Resumen!Y104,'Costos Producción Febrero'!$B$34:$B$57,0))*AB104*G104,0)</f>
        <v>32138.287967120508</v>
      </c>
      <c r="AD104" s="46">
        <f>IFERROR(INDEX('Costos Producción Febrero'!$H$34:$H$57,MATCH(Resumen!Y104,'Costos Producción Febrero'!$B$34:$B$57,0))*AB104*G104,0)</f>
        <v>8661.4053803837232</v>
      </c>
      <c r="AE104" s="46">
        <f>IFERROR(INDEX('Costos Producción Febrero'!$I$34:$I$57,MATCH(Resumen!Y104,'Costos Producción Febrero'!$B$34:$B$57,0))*AB104*G104,0)</f>
        <v>561.67492412153217</v>
      </c>
      <c r="AF104" s="46">
        <f>IFERROR(INDEX('Costos Producción Febrero'!$J$34:$J$57,MATCH(Resumen!Y104,'Costos Producción Febrero'!$B$34:$B$57,0))*AB104*G104,0)</f>
        <v>10677.482040389968</v>
      </c>
      <c r="AG104" s="46">
        <f t="shared" si="145"/>
        <v>52038.850312015726</v>
      </c>
      <c r="AH104" s="46"/>
      <c r="AI104" s="45">
        <v>2104.5057829181496</v>
      </c>
      <c r="AJ104" s="46"/>
      <c r="AK104" s="45">
        <f t="shared" si="146"/>
        <v>23881.149687984274</v>
      </c>
      <c r="AL104" s="94">
        <f t="shared" si="147"/>
        <v>0.31455676617471384</v>
      </c>
      <c r="AM104" s="44">
        <f t="shared" si="148"/>
        <v>2697</v>
      </c>
      <c r="AN104" s="44">
        <f t="shared" si="149"/>
        <v>514.34227423553716</v>
      </c>
      <c r="AO104" s="44">
        <f t="shared" si="117"/>
        <v>1883</v>
      </c>
      <c r="AP104" s="44">
        <f t="shared" si="114"/>
        <v>5094.3422742355369</v>
      </c>
      <c r="AQ104" s="44">
        <f t="shared" si="118"/>
        <v>801.84255797091134</v>
      </c>
      <c r="AR104" s="44">
        <f t="shared" si="119"/>
        <v>2196.69</v>
      </c>
      <c r="AS104" s="45">
        <f t="shared" si="139"/>
        <v>20181.654855777826</v>
      </c>
      <c r="AT104" s="94">
        <f t="shared" si="150"/>
        <v>0.26582790905924431</v>
      </c>
      <c r="AU104" s="44">
        <f t="shared" si="120"/>
        <v>2731.5211055347822</v>
      </c>
      <c r="AV104" s="45">
        <f t="shared" si="140"/>
        <v>17450.133750243043</v>
      </c>
      <c r="AW104" s="94">
        <f t="shared" si="151"/>
        <v>0.22984896931300111</v>
      </c>
      <c r="AX104" s="44">
        <f t="shared" si="121"/>
        <v>1521.5287828596613</v>
      </c>
      <c r="AY104" s="45">
        <f t="shared" si="141"/>
        <v>21703.183638637489</v>
      </c>
      <c r="AZ104" s="94">
        <f t="shared" si="152"/>
        <v>0.28586912063537262</v>
      </c>
      <c r="BB104" s="10">
        <f t="shared" si="122"/>
        <v>2920</v>
      </c>
      <c r="BC104" s="10">
        <f t="shared" si="123"/>
        <v>-1236.0879987354042</v>
      </c>
      <c r="BD104" s="10">
        <f t="shared" si="124"/>
        <v>-333.13097616860472</v>
      </c>
      <c r="BE104" s="10">
        <f t="shared" si="125"/>
        <v>-21.602881696982006</v>
      </c>
      <c r="BF104" s="10">
        <f t="shared" si="126"/>
        <v>-410.67238616884492</v>
      </c>
      <c r="BG104" s="10">
        <f t="shared" si="127"/>
        <v>-2001.4942427698356</v>
      </c>
      <c r="BH104" s="10">
        <f t="shared" si="128"/>
        <v>918.50575723016436</v>
      </c>
      <c r="BI104" s="10">
        <f t="shared" si="129"/>
        <v>-103.73076923076923</v>
      </c>
      <c r="BJ104" s="10">
        <f t="shared" si="130"/>
        <v>-72.42307692307692</v>
      </c>
      <c r="BK104" s="10">
        <f t="shared" si="131"/>
        <v>-195.93624131675142</v>
      </c>
      <c r="BL104" s="10">
        <f t="shared" si="132"/>
        <v>-30.840098383496588</v>
      </c>
      <c r="BM104" s="10">
        <f t="shared" si="133"/>
        <v>84.488076923076932</v>
      </c>
      <c r="BN104" s="10">
        <f t="shared" si="134"/>
        <v>776.21749445299326</v>
      </c>
      <c r="BO104" s="10">
        <f t="shared" si="135"/>
        <v>-105.05850405903008</v>
      </c>
      <c r="BP104" s="10">
        <f t="shared" si="136"/>
        <v>671.15899039396322</v>
      </c>
      <c r="BQ104" s="10">
        <f t="shared" si="137"/>
        <v>58.520337802294662</v>
      </c>
      <c r="BR104" s="10">
        <f t="shared" si="138"/>
        <v>834.73783225528803</v>
      </c>
    </row>
    <row r="105" spans="2:70" hidden="1">
      <c r="B105" s="29" t="s">
        <v>8</v>
      </c>
      <c r="C105" s="29" t="s">
        <v>466</v>
      </c>
      <c r="D105" s="25" t="s">
        <v>536</v>
      </c>
      <c r="E105" s="100">
        <v>104</v>
      </c>
      <c r="F105" s="100">
        <v>46140</v>
      </c>
      <c r="G105" s="101">
        <v>108</v>
      </c>
      <c r="H105" s="193" t="s">
        <v>32</v>
      </c>
      <c r="I105" s="27" t="s">
        <v>155</v>
      </c>
      <c r="J105" s="7" t="s">
        <v>537</v>
      </c>
      <c r="K105" s="7" t="s">
        <v>171</v>
      </c>
      <c r="L105" s="7" t="s">
        <v>519</v>
      </c>
      <c r="M105" s="21" t="s">
        <v>511</v>
      </c>
      <c r="N105" s="7" t="s">
        <v>512</v>
      </c>
      <c r="O105" s="20">
        <v>2350</v>
      </c>
      <c r="P105" s="61">
        <v>253800</v>
      </c>
      <c r="Q105" s="20">
        <v>2319.212962962963</v>
      </c>
      <c r="R105" s="30">
        <v>3325</v>
      </c>
      <c r="S105" s="32">
        <v>250475</v>
      </c>
      <c r="T105" s="65">
        <v>1</v>
      </c>
      <c r="U105" s="59" t="s">
        <v>566</v>
      </c>
      <c r="V105" s="147">
        <v>6451281130</v>
      </c>
      <c r="W105" s="62" t="s">
        <v>122</v>
      </c>
      <c r="X105" s="4"/>
      <c r="Y105" s="7">
        <v>10006720</v>
      </c>
      <c r="Z105" s="7"/>
      <c r="AA105" s="7"/>
      <c r="AB105" s="20">
        <f t="shared" si="144"/>
        <v>1933.6326766546831</v>
      </c>
      <c r="AC105" s="46">
        <f>IFERROR(INDEX('Costos Producción Febrero'!$G$34:$G$57,MATCH(Resumen!Y105,'Costos Producción Febrero'!$B$34:$B$57,0))*AB105*G105,0)</f>
        <v>134006.2511012796</v>
      </c>
      <c r="AD105" s="46">
        <f>IFERROR(INDEX('Costos Producción Febrero'!$H$34:$H$57,MATCH(Resumen!Y105,'Costos Producción Febrero'!$B$34:$B$57,0))*AB105*G105,0)</f>
        <v>28186.513696962851</v>
      </c>
      <c r="AE105" s="46">
        <f>IFERROR(INDEX('Costos Producción Febrero'!$I$34:$I$57,MATCH(Resumen!Y105,'Costos Producción Febrero'!$B$34:$B$57,0))*AB105*G105,0)</f>
        <v>1951.298162751782</v>
      </c>
      <c r="AF105" s="46">
        <f>IFERROR(INDEX('Costos Producción Febrero'!$J$34:$J$57,MATCH(Resumen!Y105,'Costos Producción Febrero'!$B$34:$B$57,0))*AB105*G105,0)</f>
        <v>44688.26611771153</v>
      </c>
      <c r="AG105" s="46">
        <f t="shared" si="145"/>
        <v>208832.32907870575</v>
      </c>
      <c r="AH105" s="46"/>
      <c r="AI105" s="45">
        <v>2036.6442168029967</v>
      </c>
      <c r="AJ105" s="46"/>
      <c r="AK105" s="45">
        <f t="shared" si="146"/>
        <v>44967.670921294251</v>
      </c>
      <c r="AL105" s="94">
        <f t="shared" si="147"/>
        <v>0.17717758440226261</v>
      </c>
      <c r="AM105" s="44">
        <f t="shared" si="148"/>
        <v>3325</v>
      </c>
      <c r="AN105" s="44">
        <f t="shared" si="149"/>
        <v>2136.4986775937696</v>
      </c>
      <c r="AO105" s="44">
        <f t="shared" si="117"/>
        <v>7821.6923076923076</v>
      </c>
      <c r="AP105" s="44">
        <f t="shared" si="114"/>
        <v>13283.190985286077</v>
      </c>
      <c r="AQ105" s="44">
        <f t="shared" si="118"/>
        <v>3330.7306254176319</v>
      </c>
      <c r="AR105" s="44">
        <f t="shared" si="119"/>
        <v>7514.25</v>
      </c>
      <c r="AS105" s="45">
        <f t="shared" si="139"/>
        <v>35867.999310590545</v>
      </c>
      <c r="AT105" s="94">
        <f t="shared" si="150"/>
        <v>0.14132387435220861</v>
      </c>
      <c r="AU105" s="44">
        <f t="shared" si="120"/>
        <v>11346.318438375249</v>
      </c>
      <c r="AV105" s="45">
        <f t="shared" si="140"/>
        <v>24521.680872215296</v>
      </c>
      <c r="AW105" s="94">
        <f t="shared" si="151"/>
        <v>9.6618127944110704E-2</v>
      </c>
      <c r="AX105" s="44">
        <f t="shared" si="121"/>
        <v>6320.1964826478243</v>
      </c>
      <c r="AY105" s="45">
        <f t="shared" si="141"/>
        <v>42188.195793238367</v>
      </c>
      <c r="AZ105" s="94">
        <f t="shared" si="152"/>
        <v>0.16622614575744038</v>
      </c>
      <c r="BB105" s="10">
        <f t="shared" si="122"/>
        <v>2350</v>
      </c>
      <c r="BC105" s="10">
        <f t="shared" si="123"/>
        <v>-1240.7986213081444</v>
      </c>
      <c r="BD105" s="10">
        <f t="shared" si="124"/>
        <v>-260.9862379348412</v>
      </c>
      <c r="BE105" s="10">
        <f t="shared" si="125"/>
        <v>-18.067575581035019</v>
      </c>
      <c r="BF105" s="10">
        <f t="shared" si="126"/>
        <v>-413.78024183066231</v>
      </c>
      <c r="BG105" s="10">
        <f t="shared" si="127"/>
        <v>-1933.6326766546829</v>
      </c>
      <c r="BH105" s="10">
        <f t="shared" si="128"/>
        <v>416.36732334531712</v>
      </c>
      <c r="BI105" s="10">
        <f t="shared" si="129"/>
        <v>-30.787037037037038</v>
      </c>
      <c r="BJ105" s="10">
        <f t="shared" si="130"/>
        <v>-72.42307692307692</v>
      </c>
      <c r="BK105" s="10">
        <f t="shared" si="131"/>
        <v>-122.99250912301923</v>
      </c>
      <c r="BL105" s="10">
        <f t="shared" si="132"/>
        <v>-30.840098383496592</v>
      </c>
      <c r="BM105" s="10">
        <f t="shared" si="133"/>
        <v>69.576388888888886</v>
      </c>
      <c r="BN105" s="10">
        <f t="shared" si="134"/>
        <v>332.11110472769025</v>
      </c>
      <c r="BO105" s="10">
        <f t="shared" si="135"/>
        <v>-105.05850405903008</v>
      </c>
      <c r="BP105" s="10">
        <f t="shared" si="136"/>
        <v>227.05260066866015</v>
      </c>
      <c r="BQ105" s="10">
        <f t="shared" si="137"/>
        <v>58.520337802294669</v>
      </c>
      <c r="BR105" s="10">
        <f t="shared" si="138"/>
        <v>390.63144252998489</v>
      </c>
    </row>
    <row r="106" spans="2:70" hidden="1">
      <c r="B106" s="29" t="s">
        <v>8</v>
      </c>
      <c r="C106" s="29" t="s">
        <v>466</v>
      </c>
      <c r="D106" s="25" t="s">
        <v>536</v>
      </c>
      <c r="E106" s="100">
        <v>104</v>
      </c>
      <c r="F106" s="100">
        <v>46140</v>
      </c>
      <c r="G106" s="101">
        <v>27</v>
      </c>
      <c r="H106" s="192" t="s">
        <v>31</v>
      </c>
      <c r="I106" s="27" t="s">
        <v>107</v>
      </c>
      <c r="J106" s="7" t="s">
        <v>518</v>
      </c>
      <c r="K106" s="7" t="s">
        <v>171</v>
      </c>
      <c r="L106" s="7" t="s">
        <v>519</v>
      </c>
      <c r="M106" s="21" t="s">
        <v>511</v>
      </c>
      <c r="N106" s="7" t="s">
        <v>512</v>
      </c>
      <c r="O106" s="20">
        <v>2850</v>
      </c>
      <c r="P106" s="61">
        <v>76950</v>
      </c>
      <c r="Q106" s="20">
        <v>2726.8518518518517</v>
      </c>
      <c r="R106" s="30">
        <v>3325</v>
      </c>
      <c r="S106" s="32">
        <v>73625</v>
      </c>
      <c r="T106" s="65">
        <v>1</v>
      </c>
      <c r="U106" s="59" t="s">
        <v>566</v>
      </c>
      <c r="V106" s="147">
        <v>6451281130</v>
      </c>
      <c r="W106" s="62" t="s">
        <v>122</v>
      </c>
      <c r="X106" s="4"/>
      <c r="Y106" s="7">
        <v>10007162</v>
      </c>
      <c r="Z106" s="7"/>
      <c r="AA106" s="7"/>
      <c r="AB106" s="20">
        <f t="shared" si="144"/>
        <v>1939.5214199724567</v>
      </c>
      <c r="AC106" s="46">
        <f>IFERROR(INDEX('Costos Producción Febrero'!$G$34:$G$57,MATCH(Resumen!Y106,'Costos Producción Febrero'!$B$34:$B$57,0))*AB106*G106,0)</f>
        <v>32108.908221850914</v>
      </c>
      <c r="AD106" s="46">
        <f>IFERROR(INDEX('Costos Producción Febrero'!$H$34:$H$57,MATCH(Resumen!Y106,'Costos Producción Febrero'!$B$34:$B$57,0))*AB106*G106,0)</f>
        <v>9116.3593689718564</v>
      </c>
      <c r="AE106" s="46">
        <f>IFERROR(INDEX('Costos Producción Febrero'!$I$34:$I$57,MATCH(Resumen!Y106,'Costos Producción Febrero'!$B$34:$B$57,0))*AB106*G106,0)</f>
        <v>485.47371616445423</v>
      </c>
      <c r="AF106" s="46">
        <f>IFERROR(INDEX('Costos Producción Febrero'!$J$34:$J$57,MATCH(Resumen!Y106,'Costos Producción Febrero'!$B$34:$B$57,0))*AB106*G106,0)</f>
        <v>10656.337032269103</v>
      </c>
      <c r="AG106" s="46">
        <f t="shared" si="145"/>
        <v>52367.078339256324</v>
      </c>
      <c r="AH106" s="46"/>
      <c r="AI106" s="45">
        <v>2042.5329601207702</v>
      </c>
      <c r="AJ106" s="46"/>
      <c r="AK106" s="45">
        <f t="shared" si="146"/>
        <v>24582.921660743676</v>
      </c>
      <c r="AL106" s="94">
        <f t="shared" si="147"/>
        <v>0.31946616843071701</v>
      </c>
      <c r="AM106" s="44">
        <f t="shared" si="148"/>
        <v>3325</v>
      </c>
      <c r="AN106" s="44">
        <f t="shared" si="149"/>
        <v>534.12466939844239</v>
      </c>
      <c r="AO106" s="44">
        <f t="shared" si="117"/>
        <v>1955.4230769230769</v>
      </c>
      <c r="AP106" s="44">
        <f t="shared" si="114"/>
        <v>5814.5477463215193</v>
      </c>
      <c r="AQ106" s="44">
        <f t="shared" si="118"/>
        <v>832.68265635440798</v>
      </c>
      <c r="AR106" s="44">
        <f t="shared" si="119"/>
        <v>2208.75</v>
      </c>
      <c r="AS106" s="45">
        <f t="shared" si="139"/>
        <v>20144.441258067745</v>
      </c>
      <c r="AT106" s="94">
        <f t="shared" si="150"/>
        <v>0.26178611121595513</v>
      </c>
      <c r="AU106" s="44">
        <f t="shared" si="120"/>
        <v>2836.5796095938122</v>
      </c>
      <c r="AV106" s="45">
        <f t="shared" si="140"/>
        <v>17307.861648473932</v>
      </c>
      <c r="AW106" s="94">
        <f t="shared" si="151"/>
        <v>0.22492347821278663</v>
      </c>
      <c r="AX106" s="44">
        <f t="shared" si="121"/>
        <v>1580.0491206619561</v>
      </c>
      <c r="AY106" s="45">
        <f t="shared" si="141"/>
        <v>21724.490378729701</v>
      </c>
      <c r="AZ106" s="94">
        <f t="shared" si="152"/>
        <v>0.28231956307640937</v>
      </c>
      <c r="BB106" s="10">
        <f t="shared" si="122"/>
        <v>2850</v>
      </c>
      <c r="BC106" s="10">
        <f t="shared" si="123"/>
        <v>-1189.2188230315153</v>
      </c>
      <c r="BD106" s="10">
        <f t="shared" si="124"/>
        <v>-337.64293959155026</v>
      </c>
      <c r="BE106" s="10">
        <f t="shared" si="125"/>
        <v>-17.980508006090897</v>
      </c>
      <c r="BF106" s="10">
        <f t="shared" si="126"/>
        <v>-394.67914934330008</v>
      </c>
      <c r="BG106" s="10">
        <f t="shared" si="127"/>
        <v>-1939.5214199724564</v>
      </c>
      <c r="BH106" s="10">
        <f t="shared" si="128"/>
        <v>910.47858002754356</v>
      </c>
      <c r="BI106" s="10">
        <f t="shared" si="129"/>
        <v>-123.14814814814815</v>
      </c>
      <c r="BJ106" s="10">
        <f t="shared" si="130"/>
        <v>-72.42307692307692</v>
      </c>
      <c r="BK106" s="10">
        <f t="shared" si="131"/>
        <v>-215.35362023413035</v>
      </c>
      <c r="BL106" s="10">
        <f t="shared" si="132"/>
        <v>-30.840098383496592</v>
      </c>
      <c r="BM106" s="10">
        <f t="shared" si="133"/>
        <v>81.805555555555557</v>
      </c>
      <c r="BN106" s="10">
        <f t="shared" si="134"/>
        <v>746.09041696547206</v>
      </c>
      <c r="BO106" s="10">
        <f t="shared" si="135"/>
        <v>-105.05850405903008</v>
      </c>
      <c r="BP106" s="10">
        <f t="shared" si="136"/>
        <v>641.0319129064419</v>
      </c>
      <c r="BQ106" s="10">
        <f t="shared" si="137"/>
        <v>58.520337802294669</v>
      </c>
      <c r="BR106" s="10">
        <f t="shared" si="138"/>
        <v>804.61075476776671</v>
      </c>
    </row>
    <row r="107" spans="2:70" hidden="1">
      <c r="B107" s="29" t="s">
        <v>8</v>
      </c>
      <c r="C107" s="29" t="s">
        <v>466</v>
      </c>
      <c r="D107" s="25" t="s">
        <v>538</v>
      </c>
      <c r="E107" s="100">
        <v>106</v>
      </c>
      <c r="F107" s="100">
        <v>46140</v>
      </c>
      <c r="G107" s="101">
        <v>70.900000000000006</v>
      </c>
      <c r="H107" s="193" t="s">
        <v>33</v>
      </c>
      <c r="I107" s="27" t="s">
        <v>132</v>
      </c>
      <c r="J107" s="7" t="s">
        <v>539</v>
      </c>
      <c r="K107" s="7" t="s">
        <v>141</v>
      </c>
      <c r="L107" s="7" t="s">
        <v>522</v>
      </c>
      <c r="M107" s="21" t="s">
        <v>43</v>
      </c>
      <c r="N107" s="7" t="s">
        <v>129</v>
      </c>
      <c r="O107" s="20">
        <v>2300</v>
      </c>
      <c r="P107" s="61">
        <v>163070</v>
      </c>
      <c r="Q107" s="20">
        <v>2164.5557122708037</v>
      </c>
      <c r="R107" s="30">
        <v>9603</v>
      </c>
      <c r="S107" s="32">
        <v>153467</v>
      </c>
      <c r="T107" s="65">
        <v>3</v>
      </c>
      <c r="U107" s="59" t="s">
        <v>566</v>
      </c>
      <c r="V107" s="147" t="s">
        <v>573</v>
      </c>
      <c r="W107" s="62" t="s">
        <v>122</v>
      </c>
      <c r="X107" s="4"/>
      <c r="Y107" s="7">
        <v>10005721</v>
      </c>
      <c r="Z107" s="7"/>
      <c r="AA107" s="7"/>
      <c r="AB107" s="20">
        <f t="shared" si="144"/>
        <v>2033.6752269777967</v>
      </c>
      <c r="AC107" s="46">
        <f>IFERROR(INDEX('Costos Producción Febrero'!$G$34:$G$57,MATCH(Resumen!Y107,'Costos Producción Febrero'!$B$34:$B$57,0))*AB107*G107,0)</f>
        <v>87566.686983149775</v>
      </c>
      <c r="AD107" s="46">
        <f>IFERROR(INDEX('Costos Producción Febrero'!$H$34:$H$57,MATCH(Resumen!Y107,'Costos Producción Febrero'!$B$34:$B$57,0))*AB107*G107,0)</f>
        <v>25658.857271291323</v>
      </c>
      <c r="AE107" s="46">
        <f>IFERROR(INDEX('Costos Producción Febrero'!$I$34:$I$57,MATCH(Resumen!Y107,'Costos Producción Febrero'!$B$34:$B$57,0))*AB107*G107,0)</f>
        <v>1571.9193517364317</v>
      </c>
      <c r="AF107" s="46">
        <f>IFERROR(INDEX('Costos Producción Febrero'!$J$34:$J$57,MATCH(Resumen!Y107,'Costos Producción Febrero'!$B$34:$B$57,0))*AB107*G107,0)</f>
        <v>29390.109986548265</v>
      </c>
      <c r="AG107" s="46">
        <f t="shared" si="145"/>
        <v>144187.57359272579</v>
      </c>
      <c r="AH107" s="46"/>
      <c r="AI107" s="45">
        <v>2136.6867671261102</v>
      </c>
      <c r="AJ107" s="46"/>
      <c r="AK107" s="45">
        <f t="shared" si="146"/>
        <v>18882.426407274208</v>
      </c>
      <c r="AL107" s="94">
        <f t="shared" si="147"/>
        <v>0.11579337957487096</v>
      </c>
      <c r="AM107" s="44">
        <f t="shared" si="148"/>
        <v>9603</v>
      </c>
      <c r="AN107" s="44">
        <f t="shared" si="149"/>
        <v>1402.571817049984</v>
      </c>
      <c r="AO107" s="44">
        <f t="shared" si="117"/>
        <v>5134.7961538461541</v>
      </c>
      <c r="AP107" s="44">
        <f t="shared" si="114"/>
        <v>16140.367970896139</v>
      </c>
      <c r="AQ107" s="44">
        <f t="shared" si="118"/>
        <v>2186.5629753899084</v>
      </c>
      <c r="AR107" s="44">
        <f t="shared" si="119"/>
        <v>4604.01</v>
      </c>
      <c r="AS107" s="45">
        <f t="shared" si="139"/>
        <v>5159.5054609881608</v>
      </c>
      <c r="AT107" s="94">
        <f t="shared" si="150"/>
        <v>3.1639820083327164E-2</v>
      </c>
      <c r="AU107" s="44">
        <f t="shared" si="120"/>
        <v>7448.6479377852338</v>
      </c>
      <c r="AV107" s="45">
        <f t="shared" si="140"/>
        <v>-2289.142476797073</v>
      </c>
      <c r="AW107" s="94">
        <f t="shared" si="151"/>
        <v>-1.4037790377120702E-2</v>
      </c>
      <c r="AX107" s="44">
        <f t="shared" si="121"/>
        <v>4149.091950182692</v>
      </c>
      <c r="AY107" s="45">
        <f t="shared" si="141"/>
        <v>9308.5974111708529</v>
      </c>
      <c r="AZ107" s="94">
        <f t="shared" si="152"/>
        <v>5.708344521475963E-2</v>
      </c>
      <c r="BB107" s="10">
        <f t="shared" si="122"/>
        <v>2300</v>
      </c>
      <c r="BC107" s="10">
        <f t="shared" si="123"/>
        <v>-1235.0731591417457</v>
      </c>
      <c r="BD107" s="10">
        <f t="shared" si="124"/>
        <v>-361.90207716913005</v>
      </c>
      <c r="BE107" s="10">
        <f t="shared" si="125"/>
        <v>-22.170935849597061</v>
      </c>
      <c r="BF107" s="10">
        <f t="shared" si="126"/>
        <v>-414.52905481732387</v>
      </c>
      <c r="BG107" s="10">
        <f t="shared" si="127"/>
        <v>-2033.6752269777967</v>
      </c>
      <c r="BH107" s="10">
        <f t="shared" si="128"/>
        <v>266.3247730222032</v>
      </c>
      <c r="BI107" s="10">
        <f t="shared" si="129"/>
        <v>-135.44428772919605</v>
      </c>
      <c r="BJ107" s="10">
        <f t="shared" si="130"/>
        <v>-72.42307692307692</v>
      </c>
      <c r="BK107" s="10">
        <f t="shared" si="131"/>
        <v>-227.64975981517824</v>
      </c>
      <c r="BL107" s="10">
        <f t="shared" si="132"/>
        <v>-30.840098383496588</v>
      </c>
      <c r="BM107" s="10">
        <f t="shared" si="133"/>
        <v>64.936671368124109</v>
      </c>
      <c r="BN107" s="10">
        <f t="shared" si="134"/>
        <v>72.771586191652474</v>
      </c>
      <c r="BO107" s="10">
        <f t="shared" si="135"/>
        <v>-105.05850405903008</v>
      </c>
      <c r="BP107" s="10">
        <f t="shared" si="136"/>
        <v>-32.28691786737761</v>
      </c>
      <c r="BQ107" s="10">
        <f t="shared" si="137"/>
        <v>58.520337802294662</v>
      </c>
      <c r="BR107" s="10">
        <f t="shared" si="138"/>
        <v>131.29192399394714</v>
      </c>
    </row>
    <row r="108" spans="2:70" hidden="1">
      <c r="B108" s="29" t="s">
        <v>8</v>
      </c>
      <c r="C108" s="29" t="s">
        <v>466</v>
      </c>
      <c r="D108" s="25" t="s">
        <v>540</v>
      </c>
      <c r="E108" s="100">
        <v>107</v>
      </c>
      <c r="F108" s="100">
        <v>46140</v>
      </c>
      <c r="G108" s="101">
        <v>24</v>
      </c>
      <c r="H108" s="193" t="s">
        <v>33</v>
      </c>
      <c r="I108" s="27" t="s">
        <v>132</v>
      </c>
      <c r="J108" s="7" t="s">
        <v>541</v>
      </c>
      <c r="K108" s="7" t="s">
        <v>141</v>
      </c>
      <c r="L108" s="7" t="s">
        <v>542</v>
      </c>
      <c r="M108" s="21" t="s">
        <v>43</v>
      </c>
      <c r="N108" s="7" t="s">
        <v>129</v>
      </c>
      <c r="O108" s="20">
        <v>2200</v>
      </c>
      <c r="P108" s="61">
        <v>52800</v>
      </c>
      <c r="Q108" s="20">
        <v>2062.4583333333335</v>
      </c>
      <c r="R108" s="30">
        <v>3301</v>
      </c>
      <c r="S108" s="32">
        <v>49499</v>
      </c>
      <c r="T108" s="65">
        <v>1</v>
      </c>
      <c r="U108" s="59" t="s">
        <v>566</v>
      </c>
      <c r="V108" s="147" t="s">
        <v>574</v>
      </c>
      <c r="W108" s="62" t="s">
        <v>122</v>
      </c>
      <c r="X108" s="4"/>
      <c r="Y108" s="7">
        <v>10005721</v>
      </c>
      <c r="Z108" s="7"/>
      <c r="AA108" s="7"/>
      <c r="AB108" s="20">
        <f t="shared" si="144"/>
        <v>2033.6752269777967</v>
      </c>
      <c r="AC108" s="46">
        <f>IFERROR(INDEX('Costos Producción Febrero'!$G$34:$G$57,MATCH(Resumen!Y108,'Costos Producción Febrero'!$B$34:$B$57,0))*AB108*G108,0)</f>
        <v>29641.755819401897</v>
      </c>
      <c r="AD108" s="46">
        <f>IFERROR(INDEX('Costos Producción Febrero'!$H$34:$H$57,MATCH(Resumen!Y108,'Costos Producción Febrero'!$B$34:$B$57,0))*AB108*G108,0)</f>
        <v>8685.6498520591213</v>
      </c>
      <c r="AE108" s="46">
        <f>IFERROR(INDEX('Costos Producción Febrero'!$I$34:$I$57,MATCH(Resumen!Y108,'Costos Producción Febrero'!$B$34:$B$57,0))*AB108*G108,0)</f>
        <v>532.1024603903295</v>
      </c>
      <c r="AF108" s="46">
        <f>IFERROR(INDEX('Costos Producción Febrero'!$J$34:$J$57,MATCH(Resumen!Y108,'Costos Producción Febrero'!$B$34:$B$57,0))*AB108*G108,0)</f>
        <v>9948.6973156157728</v>
      </c>
      <c r="AG108" s="46">
        <f t="shared" si="145"/>
        <v>48808.205447467117</v>
      </c>
      <c r="AH108" s="46"/>
      <c r="AI108" s="45">
        <v>2136.6867671261102</v>
      </c>
      <c r="AJ108" s="46"/>
      <c r="AK108" s="45">
        <f t="shared" si="146"/>
        <v>3991.7945525328832</v>
      </c>
      <c r="AL108" s="94">
        <f t="shared" si="147"/>
        <v>7.5602169555547036E-2</v>
      </c>
      <c r="AM108" s="44">
        <f t="shared" si="148"/>
        <v>3301</v>
      </c>
      <c r="AN108" s="44">
        <f t="shared" si="149"/>
        <v>474.77748390972658</v>
      </c>
      <c r="AO108" s="44">
        <f t="shared" si="117"/>
        <v>1738.1538461538462</v>
      </c>
      <c r="AP108" s="44">
        <f t="shared" si="114"/>
        <v>5513.9313300635731</v>
      </c>
      <c r="AQ108" s="44">
        <f t="shared" si="118"/>
        <v>740.16236120391818</v>
      </c>
      <c r="AR108" s="44">
        <f t="shared" si="119"/>
        <v>1484.97</v>
      </c>
      <c r="AS108" s="45">
        <f t="shared" si="139"/>
        <v>-777.32913873460825</v>
      </c>
      <c r="AT108" s="94">
        <f t="shared" si="150"/>
        <v>-1.472214277906455E-2</v>
      </c>
      <c r="AU108" s="44">
        <f t="shared" si="120"/>
        <v>2521.4040974167219</v>
      </c>
      <c r="AV108" s="45">
        <f t="shared" si="140"/>
        <v>-3298.7332361513299</v>
      </c>
      <c r="AW108" s="94">
        <f t="shared" si="151"/>
        <v>-6.2476008260441855E-2</v>
      </c>
      <c r="AX108" s="44">
        <f t="shared" si="121"/>
        <v>1404.488107255072</v>
      </c>
      <c r="AY108" s="45">
        <f t="shared" si="141"/>
        <v>627.15896852046376</v>
      </c>
      <c r="AZ108" s="94">
        <f t="shared" si="152"/>
        <v>1.1878010767433026E-2</v>
      </c>
      <c r="BB108" s="10">
        <f t="shared" si="122"/>
        <v>2200</v>
      </c>
      <c r="BC108" s="10">
        <f t="shared" si="123"/>
        <v>-1235.0731591417457</v>
      </c>
      <c r="BD108" s="10">
        <f t="shared" si="124"/>
        <v>-361.90207716913005</v>
      </c>
      <c r="BE108" s="10">
        <f t="shared" si="125"/>
        <v>-22.170935849597061</v>
      </c>
      <c r="BF108" s="10">
        <f t="shared" si="126"/>
        <v>-414.52905481732387</v>
      </c>
      <c r="BG108" s="10">
        <f t="shared" si="127"/>
        <v>-2033.6752269777965</v>
      </c>
      <c r="BH108" s="10">
        <f t="shared" si="128"/>
        <v>166.32477302220346</v>
      </c>
      <c r="BI108" s="10">
        <f t="shared" si="129"/>
        <v>-137.54166666666666</v>
      </c>
      <c r="BJ108" s="10">
        <f t="shared" si="130"/>
        <v>-72.42307692307692</v>
      </c>
      <c r="BK108" s="10">
        <f t="shared" si="131"/>
        <v>-229.74713875264888</v>
      </c>
      <c r="BL108" s="10">
        <f t="shared" si="132"/>
        <v>-30.840098383496592</v>
      </c>
      <c r="BM108" s="10">
        <f t="shared" si="133"/>
        <v>61.873750000000001</v>
      </c>
      <c r="BN108" s="10">
        <f t="shared" si="134"/>
        <v>-32.388714113942008</v>
      </c>
      <c r="BO108" s="10">
        <f t="shared" si="135"/>
        <v>-105.05850405903008</v>
      </c>
      <c r="BP108" s="10">
        <f t="shared" si="136"/>
        <v>-137.44721817297207</v>
      </c>
      <c r="BQ108" s="10">
        <f t="shared" si="137"/>
        <v>58.520337802294669</v>
      </c>
      <c r="BR108" s="10">
        <f t="shared" si="138"/>
        <v>26.131623688352658</v>
      </c>
    </row>
    <row r="109" spans="2:70" hidden="1">
      <c r="B109" s="29" t="s">
        <v>8</v>
      </c>
      <c r="C109" s="29" t="s">
        <v>466</v>
      </c>
      <c r="D109" s="25" t="s">
        <v>543</v>
      </c>
      <c r="E109" s="100">
        <v>108</v>
      </c>
      <c r="F109" s="100">
        <v>46139</v>
      </c>
      <c r="G109" s="101">
        <v>134.94</v>
      </c>
      <c r="H109" s="192" t="s">
        <v>31</v>
      </c>
      <c r="I109" s="27" t="s">
        <v>107</v>
      </c>
      <c r="J109" s="7" t="s">
        <v>544</v>
      </c>
      <c r="K109" s="7" t="s">
        <v>161</v>
      </c>
      <c r="L109" s="7" t="s">
        <v>147</v>
      </c>
      <c r="M109" s="21" t="s">
        <v>52</v>
      </c>
      <c r="N109" s="7" t="s">
        <v>148</v>
      </c>
      <c r="O109" s="20">
        <v>2400</v>
      </c>
      <c r="P109" s="61">
        <v>323856</v>
      </c>
      <c r="Q109" s="20">
        <v>2213.9172965762564</v>
      </c>
      <c r="R109" s="30">
        <v>25110</v>
      </c>
      <c r="S109" s="32">
        <v>298746</v>
      </c>
      <c r="T109" s="65">
        <v>5</v>
      </c>
      <c r="U109" s="59" t="s">
        <v>571</v>
      </c>
      <c r="V109" s="147">
        <v>23616054</v>
      </c>
      <c r="W109" s="62" t="s">
        <v>112</v>
      </c>
      <c r="X109" s="4"/>
      <c r="Y109" s="7">
        <v>10007162</v>
      </c>
      <c r="Z109" s="7"/>
      <c r="AA109" s="7"/>
      <c r="AB109" s="20">
        <f t="shared" si="144"/>
        <v>1939.5214199724567</v>
      </c>
      <c r="AC109" s="46">
        <f>IFERROR(INDEX('Costos Producción Febrero'!$G$34:$G$57,MATCH(Resumen!Y109,'Costos Producción Febrero'!$B$34:$B$57,0))*AB109*G109,0)</f>
        <v>160473.18797987266</v>
      </c>
      <c r="AD109" s="46">
        <f>IFERROR(INDEX('Costos Producción Febrero'!$H$34:$H$57,MATCH(Resumen!Y109,'Costos Producción Febrero'!$B$34:$B$57,0))*AB109*G109,0)</f>
        <v>45561.53826848379</v>
      </c>
      <c r="AE109" s="46">
        <f>IFERROR(INDEX('Costos Producción Febrero'!$I$34:$I$57,MATCH(Resumen!Y109,'Costos Producción Febrero'!$B$34:$B$57,0))*AB109*G109,0)</f>
        <v>2426.2897503419058</v>
      </c>
      <c r="AF109" s="46">
        <f>IFERROR(INDEX('Costos Producción Febrero'!$J$34:$J$57,MATCH(Resumen!Y109,'Costos Producción Febrero'!$B$34:$B$57,0))*AB109*G109,0)</f>
        <v>53258.004412384915</v>
      </c>
      <c r="AG109" s="46">
        <f t="shared" si="145"/>
        <v>261719.02041108327</v>
      </c>
      <c r="AH109" s="46"/>
      <c r="AI109" s="45">
        <v>2042.5329601207702</v>
      </c>
      <c r="AJ109" s="46"/>
      <c r="AK109" s="45">
        <f t="shared" si="146"/>
        <v>62136.979588916729</v>
      </c>
      <c r="AL109" s="94">
        <f t="shared" si="147"/>
        <v>0.19186607501147648</v>
      </c>
      <c r="AM109" s="44">
        <f t="shared" si="148"/>
        <v>25110</v>
      </c>
      <c r="AN109" s="44">
        <f t="shared" si="149"/>
        <v>2669.4364032824378</v>
      </c>
      <c r="AO109" s="44">
        <f t="shared" si="117"/>
        <v>9772.7699999999986</v>
      </c>
      <c r="AP109" s="44">
        <f t="shared" si="114"/>
        <v>37552.206403282435</v>
      </c>
      <c r="AQ109" s="44">
        <f t="shared" si="118"/>
        <v>4161.56287586903</v>
      </c>
      <c r="AR109" s="44">
        <f t="shared" si="119"/>
        <v>8962.3799999999992</v>
      </c>
      <c r="AS109" s="45">
        <f t="shared" si="139"/>
        <v>29385.590309765263</v>
      </c>
      <c r="AT109" s="94">
        <f t="shared" si="150"/>
        <v>9.073659376317024E-2</v>
      </c>
      <c r="AU109" s="44">
        <f t="shared" si="120"/>
        <v>14176.594537725519</v>
      </c>
      <c r="AV109" s="45">
        <f t="shared" si="140"/>
        <v>15208.995772039743</v>
      </c>
      <c r="AW109" s="94">
        <f t="shared" si="151"/>
        <v>4.6962217071907709E-2</v>
      </c>
      <c r="AX109" s="44">
        <f t="shared" si="121"/>
        <v>7896.7343830416421</v>
      </c>
      <c r="AY109" s="45">
        <f t="shared" si="141"/>
        <v>37282.324692806906</v>
      </c>
      <c r="AZ109" s="94">
        <f t="shared" si="152"/>
        <v>0.11512006784745969</v>
      </c>
      <c r="BB109" s="10">
        <f t="shared" si="122"/>
        <v>2400</v>
      </c>
      <c r="BC109" s="10">
        <f t="shared" si="123"/>
        <v>-1189.2188230315153</v>
      </c>
      <c r="BD109" s="10">
        <f t="shared" si="124"/>
        <v>-337.64293959155026</v>
      </c>
      <c r="BE109" s="10">
        <f t="shared" si="125"/>
        <v>-17.980508006090897</v>
      </c>
      <c r="BF109" s="10">
        <f t="shared" si="126"/>
        <v>-394.67914934330008</v>
      </c>
      <c r="BG109" s="10">
        <f t="shared" si="127"/>
        <v>-1939.5214199724564</v>
      </c>
      <c r="BH109" s="10">
        <f t="shared" si="128"/>
        <v>460.47858002754356</v>
      </c>
      <c r="BI109" s="10">
        <f t="shared" si="129"/>
        <v>-186.08270342374388</v>
      </c>
      <c r="BJ109" s="10">
        <f t="shared" si="130"/>
        <v>-72.42307692307692</v>
      </c>
      <c r="BK109" s="10">
        <f t="shared" si="131"/>
        <v>-278.28817550972605</v>
      </c>
      <c r="BL109" s="10">
        <f t="shared" si="132"/>
        <v>-30.840098383496592</v>
      </c>
      <c r="BM109" s="10">
        <f t="shared" si="133"/>
        <v>66.417518897287678</v>
      </c>
      <c r="BN109" s="10">
        <f t="shared" si="134"/>
        <v>217.7678250316086</v>
      </c>
      <c r="BO109" s="10">
        <f t="shared" si="135"/>
        <v>-105.05850405903008</v>
      </c>
      <c r="BP109" s="10">
        <f t="shared" si="136"/>
        <v>112.70932097257851</v>
      </c>
      <c r="BQ109" s="10">
        <f t="shared" si="137"/>
        <v>58.520337802294669</v>
      </c>
      <c r="BR109" s="10">
        <f t="shared" si="138"/>
        <v>276.28816283390324</v>
      </c>
    </row>
    <row r="110" spans="2:70" hidden="1">
      <c r="B110" s="29" t="s">
        <v>8</v>
      </c>
      <c r="C110" s="29" t="s">
        <v>466</v>
      </c>
      <c r="D110" s="25" t="s">
        <v>545</v>
      </c>
      <c r="E110" s="100">
        <v>108</v>
      </c>
      <c r="F110" s="100">
        <v>46139</v>
      </c>
      <c r="G110" s="101">
        <v>162</v>
      </c>
      <c r="H110" s="192" t="s">
        <v>31</v>
      </c>
      <c r="I110" s="27" t="s">
        <v>107</v>
      </c>
      <c r="J110" s="7" t="s">
        <v>544</v>
      </c>
      <c r="K110" s="7" t="s">
        <v>161</v>
      </c>
      <c r="L110" s="7" t="s">
        <v>147</v>
      </c>
      <c r="M110" s="21" t="s">
        <v>52</v>
      </c>
      <c r="N110" s="7" t="s">
        <v>148</v>
      </c>
      <c r="O110" s="20">
        <v>2400</v>
      </c>
      <c r="P110" s="61">
        <v>388800</v>
      </c>
      <c r="Q110" s="20">
        <v>2214.0432098765432</v>
      </c>
      <c r="R110" s="30">
        <v>30125</v>
      </c>
      <c r="S110" s="32">
        <v>358675</v>
      </c>
      <c r="T110" s="65">
        <v>6</v>
      </c>
      <c r="U110" s="59" t="s">
        <v>571</v>
      </c>
      <c r="V110" s="147">
        <v>16115713</v>
      </c>
      <c r="W110" s="62" t="s">
        <v>112</v>
      </c>
      <c r="X110" s="4"/>
      <c r="Y110" s="7">
        <v>10007162</v>
      </c>
      <c r="Z110" s="7"/>
      <c r="AA110" s="7"/>
      <c r="AB110" s="20">
        <f t="shared" si="144"/>
        <v>1939.5214199724567</v>
      </c>
      <c r="AC110" s="46">
        <f>IFERROR(INDEX('Costos Producción Febrero'!$G$34:$G$57,MATCH(Resumen!Y110,'Costos Producción Febrero'!$B$34:$B$57,0))*AB110*G110,0)</f>
        <v>192653.44933110548</v>
      </c>
      <c r="AD110" s="46">
        <f>IFERROR(INDEX('Costos Producción Febrero'!$H$34:$H$57,MATCH(Resumen!Y110,'Costos Producción Febrero'!$B$34:$B$57,0))*AB110*G110,0)</f>
        <v>54698.156213831142</v>
      </c>
      <c r="AE110" s="46">
        <f>IFERROR(INDEX('Costos Producción Febrero'!$I$34:$I$57,MATCH(Resumen!Y110,'Costos Producción Febrero'!$B$34:$B$57,0))*AB110*G110,0)</f>
        <v>2912.8422969867252</v>
      </c>
      <c r="AF110" s="46">
        <f>IFERROR(INDEX('Costos Producción Febrero'!$J$34:$J$57,MATCH(Resumen!Y110,'Costos Producción Febrero'!$B$34:$B$57,0))*AB110*G110,0)</f>
        <v>63938.022193614612</v>
      </c>
      <c r="AG110" s="46">
        <f t="shared" ref="AG110:AG147" si="153">SUM(AC110:AF110)</f>
        <v>314202.47003553796</v>
      </c>
      <c r="AH110" s="46"/>
      <c r="AI110" s="45">
        <v>2042.5329601207702</v>
      </c>
      <c r="AJ110" s="46"/>
      <c r="AK110" s="45">
        <f t="shared" si="146"/>
        <v>74597.529964462039</v>
      </c>
      <c r="AL110" s="94">
        <f t="shared" si="147"/>
        <v>0.19186607501147643</v>
      </c>
      <c r="AM110" s="44">
        <f t="shared" ref="AM110:AM147" si="154">R110</f>
        <v>30125</v>
      </c>
      <c r="AN110" s="44">
        <f t="shared" si="149"/>
        <v>3204.7480163906544</v>
      </c>
      <c r="AO110" s="44">
        <f t="shared" ref="AO110:AO147" si="155">1883/26*G110</f>
        <v>11732.538461538461</v>
      </c>
      <c r="AP110" s="44">
        <f t="shared" ref="AP110:AP147" si="156">SUM(AM110:AO110)</f>
        <v>45062.286477929112</v>
      </c>
      <c r="AQ110" s="44">
        <f t="shared" si="118"/>
        <v>4996.0959381264483</v>
      </c>
      <c r="AR110" s="44">
        <f t="shared" ref="AR110:AR147" si="157">S110*0.03</f>
        <v>10760.25</v>
      </c>
      <c r="AS110" s="45">
        <f t="shared" si="139"/>
        <v>35299.397548406479</v>
      </c>
      <c r="AT110" s="94">
        <f t="shared" si="150"/>
        <v>9.0790631554543408E-2</v>
      </c>
      <c r="AU110" s="44">
        <f t="shared" si="120"/>
        <v>17019.477657562875</v>
      </c>
      <c r="AV110" s="45">
        <f t="shared" si="140"/>
        <v>18279.919890843605</v>
      </c>
      <c r="AW110" s="94">
        <f t="shared" si="151"/>
        <v>4.7016254863280878E-2</v>
      </c>
      <c r="AX110" s="44">
        <f t="shared" si="121"/>
        <v>9480.2947239717359</v>
      </c>
      <c r="AY110" s="45">
        <f t="shared" si="141"/>
        <v>44779.692272378219</v>
      </c>
      <c r="AZ110" s="94">
        <f t="shared" si="152"/>
        <v>0.11517410563883287</v>
      </c>
      <c r="BB110" s="10">
        <f t="shared" si="122"/>
        <v>2400</v>
      </c>
      <c r="BC110" s="10">
        <f t="shared" si="123"/>
        <v>-1189.2188230315153</v>
      </c>
      <c r="BD110" s="10">
        <f t="shared" si="124"/>
        <v>-337.64293959155026</v>
      </c>
      <c r="BE110" s="10">
        <f t="shared" si="125"/>
        <v>-17.980508006090897</v>
      </c>
      <c r="BF110" s="10">
        <f t="shared" si="126"/>
        <v>-394.67914934330008</v>
      </c>
      <c r="BG110" s="10">
        <f t="shared" si="127"/>
        <v>-1939.5214199724564</v>
      </c>
      <c r="BH110" s="10">
        <f t="shared" si="128"/>
        <v>460.47858002754344</v>
      </c>
      <c r="BI110" s="10">
        <f t="shared" si="129"/>
        <v>-185.95679012345678</v>
      </c>
      <c r="BJ110" s="10">
        <f t="shared" si="130"/>
        <v>-72.42307692307692</v>
      </c>
      <c r="BK110" s="10">
        <f t="shared" si="131"/>
        <v>-278.16226220943895</v>
      </c>
      <c r="BL110" s="10">
        <f t="shared" si="132"/>
        <v>-30.840098383496596</v>
      </c>
      <c r="BM110" s="10">
        <f t="shared" si="133"/>
        <v>66.421296296296291</v>
      </c>
      <c r="BN110" s="10">
        <f t="shared" si="134"/>
        <v>217.89751573090419</v>
      </c>
      <c r="BO110" s="10">
        <f t="shared" si="135"/>
        <v>-105.05850405903008</v>
      </c>
      <c r="BP110" s="10">
        <f t="shared" si="136"/>
        <v>112.8390116718741</v>
      </c>
      <c r="BQ110" s="10">
        <f t="shared" si="137"/>
        <v>58.520337802294669</v>
      </c>
      <c r="BR110" s="10">
        <f t="shared" si="138"/>
        <v>276.41785353319887</v>
      </c>
    </row>
    <row r="111" spans="2:70">
      <c r="B111" s="7"/>
      <c r="C111" s="29" t="s">
        <v>709</v>
      </c>
      <c r="D111" s="25" t="s">
        <v>674</v>
      </c>
      <c r="E111" s="100">
        <v>87</v>
      </c>
      <c r="F111" s="100">
        <v>46154</v>
      </c>
      <c r="G111" s="101">
        <v>54</v>
      </c>
      <c r="H111" s="27" t="s">
        <v>33</v>
      </c>
      <c r="I111" s="27" t="s">
        <v>132</v>
      </c>
      <c r="J111" s="7" t="s">
        <v>507</v>
      </c>
      <c r="K111" s="7" t="s">
        <v>171</v>
      </c>
      <c r="L111" s="7" t="s">
        <v>172</v>
      </c>
      <c r="M111" s="21" t="s">
        <v>504</v>
      </c>
      <c r="N111" s="7" t="s">
        <v>505</v>
      </c>
      <c r="O111" s="20">
        <v>2100</v>
      </c>
      <c r="P111" s="61">
        <v>113400</v>
      </c>
      <c r="Q111" s="20">
        <v>1984.2592592592594</v>
      </c>
      <c r="R111" s="30">
        <v>6250</v>
      </c>
      <c r="S111" s="32">
        <v>107150</v>
      </c>
      <c r="T111" s="65">
        <v>2</v>
      </c>
      <c r="U111" s="59" t="s">
        <v>741</v>
      </c>
      <c r="V111" s="147">
        <v>6500110010</v>
      </c>
      <c r="W111" s="62"/>
      <c r="X111" s="4"/>
      <c r="Y111" s="7">
        <v>10005721</v>
      </c>
      <c r="Z111" s="7"/>
      <c r="AA111" s="7"/>
      <c r="AB111" s="20">
        <f t="shared" ref="AB111:AB125" si="158">AI111-47.35-5.32</f>
        <v>2084.0167833638698</v>
      </c>
      <c r="AC111" s="46">
        <f>IFERROR(INDEX('Costos Producción Febrero'!$G$34:$G$57,MATCH(Resumen!Y111,'Costos Producción Febrero'!$B$34:$B$57,0))*AB111*G111,0)</f>
        <v>68344.891328871803</v>
      </c>
      <c r="AD111" s="46">
        <f>IFERROR(INDEX('Costos Producción Febrero'!$H$34:$H$57,MATCH(Resumen!Y111,'Costos Producción Febrero'!$B$34:$B$57,0))*AB111*G111,0)</f>
        <v>20026.472077981987</v>
      </c>
      <c r="AE111" s="46">
        <f>IFERROR(INDEX('Costos Producción Febrero'!$I$34:$I$57,MATCH(Resumen!Y111,'Costos Producción Febrero'!$B$34:$B$57,0))*AB111*G111,0)</f>
        <v>1226.8667569077954</v>
      </c>
      <c r="AF111" s="46">
        <f>IFERROR(INDEX('Costos Producción Febrero'!$J$34:$J$57,MATCH(Resumen!Y111,'Costos Producción Febrero'!$B$34:$B$57,0))*AB111*G111,0)</f>
        <v>22938.676137887382</v>
      </c>
      <c r="AG111" s="46">
        <f t="shared" si="153"/>
        <v>112536.90630164897</v>
      </c>
      <c r="AH111" s="46"/>
      <c r="AI111" s="46">
        <v>2136.6867833638698</v>
      </c>
      <c r="AJ111" s="46"/>
      <c r="AK111" s="45">
        <f t="shared" si="146"/>
        <v>863.0936983510328</v>
      </c>
      <c r="AL111" s="94">
        <f t="shared" si="147"/>
        <v>7.6110555410143985E-3</v>
      </c>
      <c r="AM111" s="44">
        <f t="shared" si="154"/>
        <v>6250</v>
      </c>
      <c r="AN111" s="44">
        <v>0</v>
      </c>
      <c r="AO111" s="44">
        <f t="shared" si="155"/>
        <v>3910.8461538461538</v>
      </c>
      <c r="AP111" s="44">
        <f t="shared" si="156"/>
        <v>10160.846153846154</v>
      </c>
      <c r="AQ111" s="44">
        <f t="shared" ref="AQ111:AQ147" si="159">78579/1978.33*G111</f>
        <v>2144.8726956574487</v>
      </c>
      <c r="AR111" s="44">
        <f t="shared" si="157"/>
        <v>3214.5</v>
      </c>
      <c r="AS111" s="45">
        <f t="shared" ref="AS111:AS147" si="160">AK111-AP111-AQ111+AR111</f>
        <v>-8228.1251511525697</v>
      </c>
      <c r="AT111" s="94">
        <f t="shared" ref="AT111:AT147" si="161">AS111/P111</f>
        <v>-7.2558422849669929E-2</v>
      </c>
      <c r="AU111" s="44">
        <f t="shared" ref="AU111:AU147" si="162">154473/1978.33*G111</f>
        <v>4216.4563040544299</v>
      </c>
      <c r="AV111" s="45">
        <f t="shared" si="140"/>
        <v>-12444.581455207001</v>
      </c>
      <c r="AW111" s="94">
        <f t="shared" si="151"/>
        <v>-0.10974057720641094</v>
      </c>
      <c r="AX111" s="44">
        <f>123484.35/1978.33*G111</f>
        <v>3370.5978780082191</v>
      </c>
      <c r="AY111" s="45">
        <f t="shared" si="141"/>
        <v>-4857.5272731443511</v>
      </c>
      <c r="AZ111" s="94">
        <f t="shared" si="152"/>
        <v>-4.2835337505682108E-2</v>
      </c>
      <c r="BB111" s="10">
        <f t="shared" ref="BB111:BB147" si="163">P111/$G111</f>
        <v>2100</v>
      </c>
      <c r="BC111" s="10">
        <f t="shared" ref="BC111:BC147" si="164">-AC111/$G111</f>
        <v>-1265.6461357198482</v>
      </c>
      <c r="BD111" s="10">
        <f t="shared" ref="BD111:BD147" si="165">-AD111/$G111</f>
        <v>-370.86059403670345</v>
      </c>
      <c r="BE111" s="10">
        <f t="shared" ref="BE111:BE147" si="166">-AE111/$G111</f>
        <v>-22.719754757551769</v>
      </c>
      <c r="BF111" s="10">
        <f t="shared" ref="BF111:BF147" si="167">-AF111/$G111</f>
        <v>-424.79029884976632</v>
      </c>
      <c r="BG111" s="10">
        <f t="shared" ref="BG111:BG147" si="168">-AG111/$G111</f>
        <v>-2084.0167833638698</v>
      </c>
      <c r="BH111" s="10">
        <f t="shared" ref="BH111:BH147" si="169">AK111/$G111</f>
        <v>15.983216636130237</v>
      </c>
      <c r="BI111" s="10">
        <f t="shared" ref="BI111:BI147" si="170">-AM111/$G111</f>
        <v>-115.74074074074075</v>
      </c>
      <c r="BJ111" s="10">
        <f t="shared" ref="BJ111:BJ147" si="171">-AO111/$G111</f>
        <v>-72.42307692307692</v>
      </c>
      <c r="BK111" s="10">
        <f t="shared" ref="BK111:BK147" si="172">-AP111/$G111</f>
        <v>-188.16381766381767</v>
      </c>
      <c r="BL111" s="10">
        <f t="shared" ref="BL111:BL147" si="173">-AQ111/$G111</f>
        <v>-39.719864734397198</v>
      </c>
      <c r="BM111" s="10">
        <f t="shared" ref="BM111:BM147" si="174">AR111/$G111</f>
        <v>59.527777777777779</v>
      </c>
      <c r="BN111" s="10">
        <f t="shared" ref="BN111:BN147" si="175">AS111/$G111</f>
        <v>-152.37268798430685</v>
      </c>
      <c r="BO111" s="10">
        <f t="shared" ref="BO111:BO147" si="176">-AU111/$G111</f>
        <v>-78.082524149156114</v>
      </c>
      <c r="BP111" s="10">
        <f t="shared" ref="BP111:BP147" si="177">AV111/$G111</f>
        <v>-230.45521213346296</v>
      </c>
      <c r="BQ111" s="10">
        <f t="shared" ref="BQ111:BQ147" si="178">AX111/$G111</f>
        <v>62.41847922237443</v>
      </c>
      <c r="BR111" s="10">
        <f t="shared" ref="BR111:BR147" si="179">AY111/$G111</f>
        <v>-89.954208761932421</v>
      </c>
    </row>
    <row r="112" spans="2:70">
      <c r="B112" s="7"/>
      <c r="C112" s="29" t="s">
        <v>709</v>
      </c>
      <c r="D112" s="25" t="s">
        <v>675</v>
      </c>
      <c r="E112" s="100">
        <v>87</v>
      </c>
      <c r="F112" s="100">
        <v>46157</v>
      </c>
      <c r="G112" s="101">
        <v>26.8</v>
      </c>
      <c r="H112" s="27" t="s">
        <v>33</v>
      </c>
      <c r="I112" s="27" t="s">
        <v>132</v>
      </c>
      <c r="J112" s="7" t="s">
        <v>507</v>
      </c>
      <c r="K112" s="7" t="s">
        <v>171</v>
      </c>
      <c r="L112" s="7" t="s">
        <v>172</v>
      </c>
      <c r="M112" s="21" t="s">
        <v>504</v>
      </c>
      <c r="N112" s="7" t="s">
        <v>505</v>
      </c>
      <c r="O112" s="20">
        <v>2100</v>
      </c>
      <c r="P112" s="61">
        <v>56280</v>
      </c>
      <c r="Q112" s="20">
        <v>1991.7910447761194</v>
      </c>
      <c r="R112" s="30">
        <v>2900</v>
      </c>
      <c r="S112" s="32">
        <v>53380</v>
      </c>
      <c r="T112" s="65">
        <v>1</v>
      </c>
      <c r="U112" s="59" t="s">
        <v>742</v>
      </c>
      <c r="V112" s="147">
        <v>6500435850</v>
      </c>
      <c r="W112" s="62"/>
      <c r="X112" s="4"/>
      <c r="Y112" s="7">
        <v>10005721</v>
      </c>
      <c r="Z112" s="7"/>
      <c r="AA112" s="7"/>
      <c r="AB112" s="20">
        <f t="shared" si="158"/>
        <v>2084.0167833638698</v>
      </c>
      <c r="AC112" s="46">
        <f>IFERROR(INDEX('Costos Producción Febrero'!$G$34:$G$57,MATCH(Resumen!Y112,'Costos Producción Febrero'!$B$34:$B$57,0))*AB112*G112,0)</f>
        <v>33919.316437291935</v>
      </c>
      <c r="AD112" s="46">
        <f>IFERROR(INDEX('Costos Producción Febrero'!$H$34:$H$57,MATCH(Resumen!Y112,'Costos Producción Febrero'!$B$34:$B$57,0))*AB112*G112,0)</f>
        <v>9939.063920183653</v>
      </c>
      <c r="AE112" s="46">
        <f>IFERROR(INDEX('Costos Producción Febrero'!$I$34:$I$57,MATCH(Resumen!Y112,'Costos Producción Febrero'!$B$34:$B$57,0))*AB112*G112,0)</f>
        <v>608.88942750238743</v>
      </c>
      <c r="AF112" s="46">
        <f>IFERROR(INDEX('Costos Producción Febrero'!$J$34:$J$57,MATCH(Resumen!Y112,'Costos Producción Febrero'!$B$34:$B$57,0))*AB112*G112,0)</f>
        <v>11384.380009173738</v>
      </c>
      <c r="AG112" s="46">
        <f t="shared" si="153"/>
        <v>55851.649794151708</v>
      </c>
      <c r="AH112" s="46"/>
      <c r="AI112" s="46">
        <v>2136.6867833638698</v>
      </c>
      <c r="AJ112" s="46"/>
      <c r="AK112" s="45">
        <f t="shared" si="146"/>
        <v>428.35020584829181</v>
      </c>
      <c r="AL112" s="94">
        <f t="shared" si="147"/>
        <v>7.6110555410144245E-3</v>
      </c>
      <c r="AM112" s="44">
        <f t="shared" si="154"/>
        <v>2900</v>
      </c>
      <c r="AN112" s="44">
        <v>0</v>
      </c>
      <c r="AO112" s="44">
        <f t="shared" si="155"/>
        <v>1940.9384615384615</v>
      </c>
      <c r="AP112" s="44">
        <f t="shared" si="156"/>
        <v>4840.9384615384615</v>
      </c>
      <c r="AQ112" s="44">
        <f t="shared" si="159"/>
        <v>1064.4923748818449</v>
      </c>
      <c r="AR112" s="44">
        <f t="shared" si="157"/>
        <v>1601.3999999999999</v>
      </c>
      <c r="AS112" s="45">
        <f t="shared" si="160"/>
        <v>-3875.6806305720147</v>
      </c>
      <c r="AT112" s="94">
        <f t="shared" si="161"/>
        <v>-6.8864261381876596E-2</v>
      </c>
      <c r="AU112" s="44">
        <f t="shared" si="162"/>
        <v>2092.6116471973837</v>
      </c>
      <c r="AV112" s="45">
        <f t="shared" si="140"/>
        <v>-5968.2922777693984</v>
      </c>
      <c r="AW112" s="94">
        <f t="shared" si="151"/>
        <v>-0.1060464157386176</v>
      </c>
      <c r="AX112" s="44">
        <f t="shared" ref="AX112:AX147" si="180">123484.35/1978.33*G112</f>
        <v>1672.8152431596347</v>
      </c>
      <c r="AY112" s="45">
        <f t="shared" si="141"/>
        <v>-2202.8653874123802</v>
      </c>
      <c r="AZ112" s="94">
        <f t="shared" si="152"/>
        <v>-3.9141176037888775E-2</v>
      </c>
      <c r="BB112" s="10">
        <f t="shared" si="163"/>
        <v>2100</v>
      </c>
      <c r="BC112" s="10">
        <f t="shared" si="164"/>
        <v>-1265.6461357198482</v>
      </c>
      <c r="BD112" s="10">
        <f t="shared" si="165"/>
        <v>-370.86059403670345</v>
      </c>
      <c r="BE112" s="10">
        <f t="shared" si="166"/>
        <v>-22.719754757551769</v>
      </c>
      <c r="BF112" s="10">
        <f t="shared" si="167"/>
        <v>-424.79029884976632</v>
      </c>
      <c r="BG112" s="10">
        <f t="shared" si="168"/>
        <v>-2084.0167833638698</v>
      </c>
      <c r="BH112" s="10">
        <f t="shared" si="169"/>
        <v>15.98321663613029</v>
      </c>
      <c r="BI112" s="10">
        <f t="shared" si="170"/>
        <v>-108.20895522388059</v>
      </c>
      <c r="BJ112" s="10">
        <f t="shared" si="171"/>
        <v>-72.42307692307692</v>
      </c>
      <c r="BK112" s="10">
        <f t="shared" si="172"/>
        <v>-180.63203214695753</v>
      </c>
      <c r="BL112" s="10">
        <f t="shared" si="173"/>
        <v>-39.719864734397198</v>
      </c>
      <c r="BM112" s="10">
        <f t="shared" si="174"/>
        <v>59.753731343283576</v>
      </c>
      <c r="BN112" s="10">
        <f t="shared" si="175"/>
        <v>-144.61494890194083</v>
      </c>
      <c r="BO112" s="10">
        <f t="shared" si="176"/>
        <v>-78.0825241491561</v>
      </c>
      <c r="BP112" s="10">
        <f t="shared" si="177"/>
        <v>-222.69747305109695</v>
      </c>
      <c r="BQ112" s="10">
        <f t="shared" si="178"/>
        <v>62.41847922237443</v>
      </c>
      <c r="BR112" s="10">
        <f t="shared" si="179"/>
        <v>-82.19646967956642</v>
      </c>
    </row>
    <row r="113" spans="2:70">
      <c r="B113" s="7"/>
      <c r="C113" s="29" t="s">
        <v>709</v>
      </c>
      <c r="D113" s="25" t="s">
        <v>676</v>
      </c>
      <c r="E113" s="100">
        <v>87</v>
      </c>
      <c r="F113" s="100">
        <v>46164</v>
      </c>
      <c r="G113" s="101">
        <v>54</v>
      </c>
      <c r="H113" s="27" t="s">
        <v>32</v>
      </c>
      <c r="I113" s="27" t="s">
        <v>155</v>
      </c>
      <c r="J113" s="7" t="s">
        <v>712</v>
      </c>
      <c r="K113" s="7" t="s">
        <v>171</v>
      </c>
      <c r="L113" s="7" t="s">
        <v>172</v>
      </c>
      <c r="M113" s="21" t="s">
        <v>504</v>
      </c>
      <c r="N113" s="7" t="s">
        <v>505</v>
      </c>
      <c r="O113" s="20">
        <v>2100</v>
      </c>
      <c r="P113" s="61">
        <v>113400</v>
      </c>
      <c r="Q113" s="20">
        <v>2046.2962962962963</v>
      </c>
      <c r="R113" s="30">
        <v>2900</v>
      </c>
      <c r="S113" s="32">
        <v>110500</v>
      </c>
      <c r="T113" s="65">
        <v>2</v>
      </c>
      <c r="U113" s="59" t="s">
        <v>743</v>
      </c>
      <c r="V113" s="147">
        <v>6501056160</v>
      </c>
      <c r="W113" s="62"/>
      <c r="X113" s="4"/>
      <c r="Y113" s="7">
        <v>10006720</v>
      </c>
      <c r="Z113" s="7"/>
      <c r="AA113" s="7"/>
      <c r="AB113" s="20">
        <f t="shared" si="158"/>
        <v>1983.0685678837301</v>
      </c>
      <c r="AC113" s="46">
        <f>IFERROR(INDEX('Costos Producción Febrero'!$G$34:$G$57,MATCH(Resumen!Y113,'Costos Producción Febrero'!$B$34:$B$57,0))*AB113*G113,0)</f>
        <v>68716.149573619288</v>
      </c>
      <c r="AD113" s="46">
        <f>IFERROR(INDEX('Costos Producción Febrero'!$H$34:$H$57,MATCH(Resumen!Y113,'Costos Producción Febrero'!$B$34:$B$57,0))*AB113*G113,0)</f>
        <v>14453.569704711135</v>
      </c>
      <c r="AE113" s="46">
        <f>IFERROR(INDEX('Costos Producción Febrero'!$I$34:$I$57,MATCH(Resumen!Y113,'Costos Producción Febrero'!$B$34:$B$57,0))*AB113*G113,0)</f>
        <v>1000.5928478145422</v>
      </c>
      <c r="AF113" s="46">
        <f>IFERROR(INDEX('Costos Producción Febrero'!$J$34:$J$57,MATCH(Resumen!Y113,'Costos Producción Febrero'!$B$34:$B$57,0))*AB113*G113,0)</f>
        <v>22915.390539576449</v>
      </c>
      <c r="AG113" s="46">
        <f t="shared" si="153"/>
        <v>107085.7026657214</v>
      </c>
      <c r="AH113" s="46"/>
      <c r="AI113" s="46">
        <v>2035.73856788373</v>
      </c>
      <c r="AJ113" s="46"/>
      <c r="AK113" s="45">
        <f t="shared" si="146"/>
        <v>6314.297334278599</v>
      </c>
      <c r="AL113" s="94">
        <f t="shared" si="147"/>
        <v>5.5681634341081122E-2</v>
      </c>
      <c r="AM113" s="44">
        <f t="shared" si="154"/>
        <v>2900</v>
      </c>
      <c r="AN113" s="44">
        <v>0</v>
      </c>
      <c r="AO113" s="44">
        <f t="shared" si="155"/>
        <v>3910.8461538461538</v>
      </c>
      <c r="AP113" s="44">
        <f t="shared" si="156"/>
        <v>6810.8461538461543</v>
      </c>
      <c r="AQ113" s="44">
        <f t="shared" si="159"/>
        <v>2144.8726956574487</v>
      </c>
      <c r="AR113" s="44">
        <f t="shared" si="157"/>
        <v>3315</v>
      </c>
      <c r="AS113" s="45">
        <f t="shared" si="160"/>
        <v>673.57848477499601</v>
      </c>
      <c r="AT113" s="94">
        <f t="shared" si="161"/>
        <v>5.9398455447530508E-3</v>
      </c>
      <c r="AU113" s="44">
        <f t="shared" si="162"/>
        <v>4216.4563040544299</v>
      </c>
      <c r="AV113" s="45">
        <f t="shared" si="140"/>
        <v>-3542.8778192794339</v>
      </c>
      <c r="AW113" s="94">
        <f t="shared" si="151"/>
        <v>-3.1242308811987952E-2</v>
      </c>
      <c r="AX113" s="44">
        <f t="shared" si="180"/>
        <v>3370.5978780082191</v>
      </c>
      <c r="AY113" s="45">
        <f t="shared" si="141"/>
        <v>4044.1763627832152</v>
      </c>
      <c r="AZ113" s="94">
        <f t="shared" si="152"/>
        <v>3.5662930888740875E-2</v>
      </c>
      <c r="BB113" s="10">
        <f t="shared" si="163"/>
        <v>2100</v>
      </c>
      <c r="BC113" s="10">
        <f t="shared" si="164"/>
        <v>-1272.5212884003572</v>
      </c>
      <c r="BD113" s="10">
        <f t="shared" si="165"/>
        <v>-267.6586982353914</v>
      </c>
      <c r="BE113" s="10">
        <f t="shared" si="166"/>
        <v>-18.529497181750781</v>
      </c>
      <c r="BF113" s="10">
        <f t="shared" si="167"/>
        <v>-424.35908406623054</v>
      </c>
      <c r="BG113" s="10">
        <f t="shared" si="168"/>
        <v>-1983.0685678837297</v>
      </c>
      <c r="BH113" s="10">
        <f t="shared" si="169"/>
        <v>116.93143211627036</v>
      </c>
      <c r="BI113" s="10">
        <f t="shared" si="170"/>
        <v>-53.703703703703702</v>
      </c>
      <c r="BJ113" s="10">
        <f t="shared" si="171"/>
        <v>-72.42307692307692</v>
      </c>
      <c r="BK113" s="10">
        <f t="shared" si="172"/>
        <v>-126.12678062678063</v>
      </c>
      <c r="BL113" s="10">
        <f t="shared" si="173"/>
        <v>-39.719864734397198</v>
      </c>
      <c r="BM113" s="10">
        <f t="shared" si="174"/>
        <v>61.388888888888886</v>
      </c>
      <c r="BN113" s="10">
        <f t="shared" si="175"/>
        <v>12.473675643981407</v>
      </c>
      <c r="BO113" s="10">
        <f t="shared" si="176"/>
        <v>-78.082524149156114</v>
      </c>
      <c r="BP113" s="10">
        <f t="shared" si="177"/>
        <v>-65.608848505174706</v>
      </c>
      <c r="BQ113" s="10">
        <f t="shared" si="178"/>
        <v>62.41847922237443</v>
      </c>
      <c r="BR113" s="10">
        <f t="shared" si="179"/>
        <v>74.892154866355838</v>
      </c>
    </row>
    <row r="114" spans="2:70">
      <c r="B114" s="7"/>
      <c r="C114" s="29" t="s">
        <v>709</v>
      </c>
      <c r="D114" s="25" t="s">
        <v>677</v>
      </c>
      <c r="E114" s="100">
        <v>87</v>
      </c>
      <c r="F114" s="100">
        <v>46170</v>
      </c>
      <c r="G114" s="101">
        <v>27</v>
      </c>
      <c r="H114" s="27" t="s">
        <v>32</v>
      </c>
      <c r="I114" s="27" t="s">
        <v>155</v>
      </c>
      <c r="J114" s="7" t="s">
        <v>712</v>
      </c>
      <c r="K114" s="7" t="s">
        <v>171</v>
      </c>
      <c r="L114" s="7" t="s">
        <v>172</v>
      </c>
      <c r="M114" s="21" t="s">
        <v>504</v>
      </c>
      <c r="N114" s="7" t="s">
        <v>505</v>
      </c>
      <c r="O114" s="20">
        <v>2100</v>
      </c>
      <c r="P114" s="61">
        <v>56700</v>
      </c>
      <c r="Q114" s="20">
        <v>1992.5925925925926</v>
      </c>
      <c r="R114" s="30">
        <v>2900</v>
      </c>
      <c r="S114" s="32">
        <v>53800</v>
      </c>
      <c r="T114" s="65">
        <v>1</v>
      </c>
      <c r="U114" s="59" t="s">
        <v>744</v>
      </c>
      <c r="V114" s="147">
        <v>6501720390</v>
      </c>
      <c r="W114" s="62"/>
      <c r="X114" s="4"/>
      <c r="Y114" s="7">
        <v>10006720</v>
      </c>
      <c r="Z114" s="7"/>
      <c r="AA114" s="7"/>
      <c r="AB114" s="20">
        <f t="shared" si="158"/>
        <v>1983.0685678837301</v>
      </c>
      <c r="AC114" s="46">
        <f>IFERROR(INDEX('Costos Producción Febrero'!$G$34:$G$57,MATCH(Resumen!Y114,'Costos Producción Febrero'!$B$34:$B$57,0))*AB114*G114,0)</f>
        <v>34358.074786809644</v>
      </c>
      <c r="AD114" s="46">
        <f>IFERROR(INDEX('Costos Producción Febrero'!$H$34:$H$57,MATCH(Resumen!Y114,'Costos Producción Febrero'!$B$34:$B$57,0))*AB114*G114,0)</f>
        <v>7226.7848523555676</v>
      </c>
      <c r="AE114" s="46">
        <f>IFERROR(INDEX('Costos Producción Febrero'!$I$34:$I$57,MATCH(Resumen!Y114,'Costos Producción Febrero'!$B$34:$B$57,0))*AB114*G114,0)</f>
        <v>500.29642390727111</v>
      </c>
      <c r="AF114" s="46">
        <f>IFERROR(INDEX('Costos Producción Febrero'!$J$34:$J$57,MATCH(Resumen!Y114,'Costos Producción Febrero'!$B$34:$B$57,0))*AB114*G114,0)</f>
        <v>11457.695269788224</v>
      </c>
      <c r="AG114" s="46">
        <f t="shared" si="153"/>
        <v>53542.8513328607</v>
      </c>
      <c r="AH114" s="46"/>
      <c r="AI114" s="46">
        <v>2035.73856788373</v>
      </c>
      <c r="AJ114" s="46"/>
      <c r="AK114" s="45">
        <f t="shared" si="146"/>
        <v>3157.1486671392995</v>
      </c>
      <c r="AL114" s="94">
        <f t="shared" si="147"/>
        <v>5.5681634341081122E-2</v>
      </c>
      <c r="AM114" s="44">
        <f t="shared" si="154"/>
        <v>2900</v>
      </c>
      <c r="AN114" s="44">
        <v>0</v>
      </c>
      <c r="AO114" s="44">
        <f t="shared" si="155"/>
        <v>1955.4230769230769</v>
      </c>
      <c r="AP114" s="44">
        <f t="shared" si="156"/>
        <v>4855.4230769230771</v>
      </c>
      <c r="AQ114" s="44">
        <f t="shared" si="159"/>
        <v>1072.4363478287244</v>
      </c>
      <c r="AR114" s="44">
        <f t="shared" si="157"/>
        <v>1614</v>
      </c>
      <c r="AS114" s="45">
        <f t="shared" si="160"/>
        <v>-1156.7107576125018</v>
      </c>
      <c r="AT114" s="94">
        <f t="shared" si="161"/>
        <v>-2.0400542462301618E-2</v>
      </c>
      <c r="AU114" s="44">
        <f t="shared" si="162"/>
        <v>2108.2281520272149</v>
      </c>
      <c r="AV114" s="45">
        <f t="shared" si="140"/>
        <v>-3264.9389096397167</v>
      </c>
      <c r="AW114" s="94">
        <f t="shared" si="151"/>
        <v>-5.7582696819042621E-2</v>
      </c>
      <c r="AX114" s="44">
        <f t="shared" si="180"/>
        <v>1685.2989390041096</v>
      </c>
      <c r="AY114" s="45">
        <f t="shared" si="141"/>
        <v>528.5881813916078</v>
      </c>
      <c r="AZ114" s="94">
        <f t="shared" si="152"/>
        <v>9.3225428816862046E-3</v>
      </c>
      <c r="BB114" s="10">
        <f t="shared" si="163"/>
        <v>2100</v>
      </c>
      <c r="BC114" s="10">
        <f t="shared" si="164"/>
        <v>-1272.5212884003572</v>
      </c>
      <c r="BD114" s="10">
        <f t="shared" si="165"/>
        <v>-267.6586982353914</v>
      </c>
      <c r="BE114" s="10">
        <f t="shared" si="166"/>
        <v>-18.529497181750781</v>
      </c>
      <c r="BF114" s="10">
        <f t="shared" si="167"/>
        <v>-424.35908406623054</v>
      </c>
      <c r="BG114" s="10">
        <f t="shared" si="168"/>
        <v>-1983.0685678837297</v>
      </c>
      <c r="BH114" s="10">
        <f t="shared" si="169"/>
        <v>116.93143211627036</v>
      </c>
      <c r="BI114" s="10">
        <f t="shared" si="170"/>
        <v>-107.4074074074074</v>
      </c>
      <c r="BJ114" s="10">
        <f t="shared" si="171"/>
        <v>-72.42307692307692</v>
      </c>
      <c r="BK114" s="10">
        <f t="shared" si="172"/>
        <v>-179.83048433048432</v>
      </c>
      <c r="BL114" s="10">
        <f t="shared" si="173"/>
        <v>-39.719864734397198</v>
      </c>
      <c r="BM114" s="10">
        <f t="shared" si="174"/>
        <v>59.777777777777779</v>
      </c>
      <c r="BN114" s="10">
        <f t="shared" si="175"/>
        <v>-42.841139170833401</v>
      </c>
      <c r="BO114" s="10">
        <f t="shared" si="176"/>
        <v>-78.082524149156114</v>
      </c>
      <c r="BP114" s="10">
        <f t="shared" si="177"/>
        <v>-120.9236633199895</v>
      </c>
      <c r="BQ114" s="10">
        <f t="shared" si="178"/>
        <v>62.41847922237443</v>
      </c>
      <c r="BR114" s="10">
        <f t="shared" si="179"/>
        <v>19.577340051541029</v>
      </c>
    </row>
    <row r="115" spans="2:70">
      <c r="B115" s="7"/>
      <c r="C115" s="29" t="s">
        <v>709</v>
      </c>
      <c r="D115" s="25" t="s">
        <v>678</v>
      </c>
      <c r="E115" s="100">
        <v>88</v>
      </c>
      <c r="F115" s="100">
        <v>46150</v>
      </c>
      <c r="G115" s="101">
        <v>81</v>
      </c>
      <c r="H115" s="27" t="s">
        <v>498</v>
      </c>
      <c r="I115" s="27" t="s">
        <v>201</v>
      </c>
      <c r="J115" s="7"/>
      <c r="K115" s="7" t="s">
        <v>295</v>
      </c>
      <c r="L115" s="7" t="s">
        <v>172</v>
      </c>
      <c r="M115" s="21" t="s">
        <v>47</v>
      </c>
      <c r="N115" s="7" t="s">
        <v>191</v>
      </c>
      <c r="O115" s="20">
        <v>3900</v>
      </c>
      <c r="P115" s="61">
        <v>315900</v>
      </c>
      <c r="Q115" s="20">
        <v>3784.2592592592591</v>
      </c>
      <c r="R115" s="30">
        <v>9375</v>
      </c>
      <c r="S115" s="32">
        <v>306525</v>
      </c>
      <c r="T115" s="65">
        <v>3</v>
      </c>
      <c r="U115" s="59" t="s">
        <v>745</v>
      </c>
      <c r="V115" s="147">
        <v>6452208610</v>
      </c>
      <c r="W115" s="62"/>
      <c r="X115" s="4"/>
      <c r="Y115" s="7">
        <v>10009239</v>
      </c>
      <c r="Z115" s="7"/>
      <c r="AA115" s="7"/>
      <c r="AB115" s="20">
        <f t="shared" si="158"/>
        <v>3389.0116659973501</v>
      </c>
      <c r="AC115" s="46">
        <f>IFERROR(INDEX('Costos Producción Febrero'!$G$34:$G$57,MATCH(Resumen!Y115,'Costos Producción Febrero'!$B$34:$B$57,0))*AB115*G115,0)</f>
        <v>134992.38566075021</v>
      </c>
      <c r="AD115" s="46">
        <f>IFERROR(INDEX('Costos Producción Febrero'!$H$34:$H$57,MATCH(Resumen!Y115,'Costos Producción Febrero'!$B$34:$B$57,0))*AB115*G115,0)</f>
        <v>88007.588152497206</v>
      </c>
      <c r="AE115" s="46">
        <f>IFERROR(INDEX('Costos Producción Febrero'!$I$34:$I$57,MATCH(Resumen!Y115,'Costos Producción Febrero'!$B$34:$B$57,0))*AB115*G115,0)</f>
        <v>1611.7256771770219</v>
      </c>
      <c r="AF115" s="46">
        <f>IFERROR(INDEX('Costos Producción Febrero'!$J$34:$J$57,MATCH(Resumen!Y115,'Costos Producción Febrero'!$B$34:$B$57,0))*AB115*G115,0)</f>
        <v>49898.245455360942</v>
      </c>
      <c r="AG115" s="46">
        <f t="shared" si="153"/>
        <v>274509.94494578533</v>
      </c>
      <c r="AH115" s="46"/>
      <c r="AI115" s="46">
        <v>3441.6816659973501</v>
      </c>
      <c r="AJ115" s="46"/>
      <c r="AK115" s="45">
        <f t="shared" si="146"/>
        <v>41390.055054214667</v>
      </c>
      <c r="AL115" s="94">
        <f t="shared" si="147"/>
        <v>0.13102264974426928</v>
      </c>
      <c r="AM115" s="44">
        <f t="shared" si="154"/>
        <v>9375</v>
      </c>
      <c r="AN115" s="44">
        <v>0</v>
      </c>
      <c r="AO115" s="44">
        <f t="shared" si="155"/>
        <v>5866.2692307692305</v>
      </c>
      <c r="AP115" s="44">
        <f t="shared" si="156"/>
        <v>15241.26923076923</v>
      </c>
      <c r="AQ115" s="44">
        <f t="shared" si="159"/>
        <v>3217.3090434861729</v>
      </c>
      <c r="AR115" s="44">
        <f t="shared" si="157"/>
        <v>9195.75</v>
      </c>
      <c r="AS115" s="45">
        <f t="shared" si="160"/>
        <v>32127.226779959263</v>
      </c>
      <c r="AT115" s="94">
        <f t="shared" si="161"/>
        <v>0.10170062291851618</v>
      </c>
      <c r="AU115" s="44">
        <f t="shared" si="162"/>
        <v>6324.6844560816453</v>
      </c>
      <c r="AV115" s="45">
        <f t="shared" si="140"/>
        <v>25802.542323877617</v>
      </c>
      <c r="AW115" s="94">
        <f t="shared" si="151"/>
        <v>8.1679462880271031E-2</v>
      </c>
      <c r="AX115" s="44">
        <f t="shared" si="180"/>
        <v>5055.8968170123289</v>
      </c>
      <c r="AY115" s="45">
        <f t="shared" si="141"/>
        <v>37183.123596971593</v>
      </c>
      <c r="AZ115" s="94">
        <f t="shared" si="152"/>
        <v>0.11770536118066348</v>
      </c>
      <c r="BB115" s="10">
        <f t="shared" si="163"/>
        <v>3900</v>
      </c>
      <c r="BC115" s="10">
        <f t="shared" si="164"/>
        <v>-1666.5726624783977</v>
      </c>
      <c r="BD115" s="10">
        <f t="shared" si="165"/>
        <v>-1086.513433981447</v>
      </c>
      <c r="BE115" s="10">
        <f t="shared" si="166"/>
        <v>-19.897847866382985</v>
      </c>
      <c r="BF115" s="10">
        <f t="shared" si="167"/>
        <v>-616.02772167112278</v>
      </c>
      <c r="BG115" s="10">
        <f t="shared" si="168"/>
        <v>-3389.0116659973496</v>
      </c>
      <c r="BH115" s="10">
        <f t="shared" si="169"/>
        <v>510.98833400265022</v>
      </c>
      <c r="BI115" s="10">
        <f t="shared" si="170"/>
        <v>-115.74074074074075</v>
      </c>
      <c r="BJ115" s="10">
        <f t="shared" si="171"/>
        <v>-72.42307692307692</v>
      </c>
      <c r="BK115" s="10">
        <f t="shared" si="172"/>
        <v>-188.16381766381767</v>
      </c>
      <c r="BL115" s="10">
        <f t="shared" si="173"/>
        <v>-39.719864734397198</v>
      </c>
      <c r="BM115" s="10">
        <f t="shared" si="174"/>
        <v>113.52777777777777</v>
      </c>
      <c r="BN115" s="10">
        <f t="shared" si="175"/>
        <v>396.6324293822131</v>
      </c>
      <c r="BO115" s="10">
        <f t="shared" si="176"/>
        <v>-78.082524149156114</v>
      </c>
      <c r="BP115" s="10">
        <f t="shared" si="177"/>
        <v>318.54990523305702</v>
      </c>
      <c r="BQ115" s="10">
        <f t="shared" si="178"/>
        <v>62.41847922237443</v>
      </c>
      <c r="BR115" s="10">
        <f t="shared" si="179"/>
        <v>459.05090860458756</v>
      </c>
    </row>
    <row r="116" spans="2:70">
      <c r="B116" s="7"/>
      <c r="C116" s="29" t="s">
        <v>709</v>
      </c>
      <c r="D116" s="25" t="s">
        <v>678</v>
      </c>
      <c r="E116" s="100">
        <v>88</v>
      </c>
      <c r="F116" s="100">
        <v>46150</v>
      </c>
      <c r="G116" s="101">
        <v>27</v>
      </c>
      <c r="H116" s="27" t="s">
        <v>35</v>
      </c>
      <c r="I116" s="27" t="s">
        <v>489</v>
      </c>
      <c r="J116" s="7"/>
      <c r="K116" s="7" t="s">
        <v>295</v>
      </c>
      <c r="L116" s="7" t="s">
        <v>172</v>
      </c>
      <c r="M116" s="21" t="s">
        <v>47</v>
      </c>
      <c r="N116" s="7" t="s">
        <v>191</v>
      </c>
      <c r="O116" s="20">
        <v>3950</v>
      </c>
      <c r="P116" s="61">
        <v>106650</v>
      </c>
      <c r="Q116" s="20">
        <v>3834.2592592592591</v>
      </c>
      <c r="R116" s="30">
        <v>3125</v>
      </c>
      <c r="S116" s="32">
        <v>103525</v>
      </c>
      <c r="T116" s="65">
        <v>1</v>
      </c>
      <c r="U116" s="59" t="s">
        <v>745</v>
      </c>
      <c r="V116" s="147">
        <v>6452208610</v>
      </c>
      <c r="W116" s="62"/>
      <c r="X116" s="4"/>
      <c r="Y116" s="7">
        <v>10009331</v>
      </c>
      <c r="Z116" s="7"/>
      <c r="AA116" s="7"/>
      <c r="AB116" s="20">
        <f t="shared" si="158"/>
        <v>2967.4040355810298</v>
      </c>
      <c r="AC116" s="46">
        <f>IFERROR(INDEX('Costos Producción Febrero'!$G$34:$G$57,MATCH(Resumen!Y116,'Costos Producción Febrero'!$B$34:$B$57,0))*AB116*G116,0)</f>
        <v>45718.56622425036</v>
      </c>
      <c r="AD116" s="46">
        <f>IFERROR(INDEX('Costos Producción Febrero'!$H$34:$H$57,MATCH(Resumen!Y116,'Costos Producción Febrero'!$B$34:$B$57,0))*AB116*G116,0)</f>
        <v>18138.105761266521</v>
      </c>
      <c r="AE116" s="46">
        <f>IFERROR(INDEX('Costos Producción Febrero'!$I$34:$I$57,MATCH(Resumen!Y116,'Costos Producción Febrero'!$B$34:$B$57,0))*AB116*G116,0)</f>
        <v>830.71661712439152</v>
      </c>
      <c r="AF116" s="46">
        <f>IFERROR(INDEX('Costos Producción Febrero'!$J$34:$J$57,MATCH(Resumen!Y116,'Costos Producción Febrero'!$B$34:$B$57,0))*AB116*G116,0)</f>
        <v>15432.52035804654</v>
      </c>
      <c r="AG116" s="46">
        <f t="shared" si="153"/>
        <v>80119.908960687811</v>
      </c>
      <c r="AH116" s="46"/>
      <c r="AI116" s="46">
        <v>3020.0740355810299</v>
      </c>
      <c r="AJ116" s="46"/>
      <c r="AK116" s="45">
        <f t="shared" si="146"/>
        <v>26530.091039312189</v>
      </c>
      <c r="AL116" s="94">
        <f t="shared" si="147"/>
        <v>0.24875847200480253</v>
      </c>
      <c r="AM116" s="44">
        <f t="shared" si="154"/>
        <v>3125</v>
      </c>
      <c r="AN116" s="44">
        <v>0</v>
      </c>
      <c r="AO116" s="44">
        <f t="shared" si="155"/>
        <v>1955.4230769230769</v>
      </c>
      <c r="AP116" s="44">
        <f t="shared" si="156"/>
        <v>5080.4230769230771</v>
      </c>
      <c r="AQ116" s="44">
        <f t="shared" si="159"/>
        <v>1072.4363478287244</v>
      </c>
      <c r="AR116" s="44">
        <f t="shared" si="157"/>
        <v>3105.75</v>
      </c>
      <c r="AS116" s="45">
        <f t="shared" si="160"/>
        <v>23482.981614560387</v>
      </c>
      <c r="AT116" s="94">
        <f t="shared" si="161"/>
        <v>0.22018735691102098</v>
      </c>
      <c r="AU116" s="44">
        <f t="shared" si="162"/>
        <v>2108.2281520272149</v>
      </c>
      <c r="AV116" s="45">
        <f t="shared" si="140"/>
        <v>21374.753462533172</v>
      </c>
      <c r="AW116" s="94">
        <f t="shared" si="151"/>
        <v>0.20041962927832321</v>
      </c>
      <c r="AX116" s="44">
        <f t="shared" si="180"/>
        <v>1685.2989390041096</v>
      </c>
      <c r="AY116" s="45">
        <f t="shared" si="141"/>
        <v>25168.280553564498</v>
      </c>
      <c r="AZ116" s="94">
        <f t="shared" si="152"/>
        <v>0.2359895035495968</v>
      </c>
      <c r="BB116" s="10">
        <f t="shared" si="163"/>
        <v>3950</v>
      </c>
      <c r="BC116" s="10">
        <f t="shared" si="164"/>
        <v>-1693.2802305277912</v>
      </c>
      <c r="BD116" s="10">
        <f t="shared" si="165"/>
        <v>-671.78169486172294</v>
      </c>
      <c r="BE116" s="10">
        <f t="shared" si="166"/>
        <v>-30.767282115718203</v>
      </c>
      <c r="BF116" s="10">
        <f t="shared" si="167"/>
        <v>-571.57482807579777</v>
      </c>
      <c r="BG116" s="10">
        <f t="shared" si="168"/>
        <v>-2967.4040355810303</v>
      </c>
      <c r="BH116" s="10">
        <f t="shared" si="169"/>
        <v>982.59596441896997</v>
      </c>
      <c r="BI116" s="10">
        <f t="shared" si="170"/>
        <v>-115.74074074074075</v>
      </c>
      <c r="BJ116" s="10">
        <f t="shared" si="171"/>
        <v>-72.42307692307692</v>
      </c>
      <c r="BK116" s="10">
        <f t="shared" si="172"/>
        <v>-188.16381766381767</v>
      </c>
      <c r="BL116" s="10">
        <f t="shared" si="173"/>
        <v>-39.719864734397198</v>
      </c>
      <c r="BM116" s="10">
        <f t="shared" si="174"/>
        <v>115.02777777777777</v>
      </c>
      <c r="BN116" s="10">
        <f t="shared" si="175"/>
        <v>869.74005979853291</v>
      </c>
      <c r="BO116" s="10">
        <f t="shared" si="176"/>
        <v>-78.082524149156114</v>
      </c>
      <c r="BP116" s="10">
        <f t="shared" si="177"/>
        <v>791.65753564937677</v>
      </c>
      <c r="BQ116" s="10">
        <f t="shared" si="178"/>
        <v>62.41847922237443</v>
      </c>
      <c r="BR116" s="10">
        <f t="shared" si="179"/>
        <v>932.15853902090737</v>
      </c>
    </row>
    <row r="117" spans="2:70">
      <c r="B117" s="7"/>
      <c r="C117" s="29" t="s">
        <v>709</v>
      </c>
      <c r="D117" s="25" t="s">
        <v>679</v>
      </c>
      <c r="E117" s="100">
        <v>88</v>
      </c>
      <c r="F117" s="100">
        <v>46157</v>
      </c>
      <c r="G117" s="101">
        <v>26.28</v>
      </c>
      <c r="H117" s="27" t="s">
        <v>35</v>
      </c>
      <c r="I117" s="27" t="s">
        <v>489</v>
      </c>
      <c r="J117" s="7"/>
      <c r="K117" s="7" t="s">
        <v>295</v>
      </c>
      <c r="L117" s="7" t="s">
        <v>172</v>
      </c>
      <c r="M117" s="21" t="s">
        <v>47</v>
      </c>
      <c r="N117" s="7" t="s">
        <v>191</v>
      </c>
      <c r="O117" s="20">
        <v>3950</v>
      </c>
      <c r="P117" s="61">
        <v>103806</v>
      </c>
      <c r="Q117" s="20">
        <v>3839.6499238964989</v>
      </c>
      <c r="R117" s="30">
        <v>2900</v>
      </c>
      <c r="S117" s="32">
        <v>100906</v>
      </c>
      <c r="T117" s="65">
        <v>1</v>
      </c>
      <c r="U117" s="59" t="s">
        <v>742</v>
      </c>
      <c r="V117" s="147">
        <v>6500435810</v>
      </c>
      <c r="W117" s="62"/>
      <c r="X117" s="4"/>
      <c r="Y117" s="7">
        <v>10009331</v>
      </c>
      <c r="Z117" s="7"/>
      <c r="AA117" s="7"/>
      <c r="AB117" s="20">
        <f t="shared" si="158"/>
        <v>2967.4040355810298</v>
      </c>
      <c r="AC117" s="46">
        <f>IFERROR(INDEX('Costos Producción Febrero'!$G$34:$G$57,MATCH(Resumen!Y117,'Costos Producción Febrero'!$B$34:$B$57,0))*AB117*G117,0)</f>
        <v>44499.40445827035</v>
      </c>
      <c r="AD117" s="46">
        <f>IFERROR(INDEX('Costos Producción Febrero'!$H$34:$H$57,MATCH(Resumen!Y117,'Costos Producción Febrero'!$B$34:$B$57,0))*AB117*G117,0)</f>
        <v>17654.422940966084</v>
      </c>
      <c r="AE117" s="46">
        <f>IFERROR(INDEX('Costos Producción Febrero'!$I$34:$I$57,MATCH(Resumen!Y117,'Costos Producción Febrero'!$B$34:$B$57,0))*AB117*G117,0)</f>
        <v>808.56417400107455</v>
      </c>
      <c r="AF117" s="46">
        <f>IFERROR(INDEX('Costos Producción Febrero'!$J$34:$J$57,MATCH(Resumen!Y117,'Costos Producción Febrero'!$B$34:$B$57,0))*AB117*G117,0)</f>
        <v>15020.986481831966</v>
      </c>
      <c r="AG117" s="46">
        <f t="shared" si="153"/>
        <v>77983.378055069479</v>
      </c>
      <c r="AH117" s="46"/>
      <c r="AI117" s="46">
        <v>3020.0740355810299</v>
      </c>
      <c r="AJ117" s="46"/>
      <c r="AK117" s="45">
        <f t="shared" si="146"/>
        <v>25822.621944930521</v>
      </c>
      <c r="AL117" s="94">
        <f t="shared" si="147"/>
        <v>0.24875847200480242</v>
      </c>
      <c r="AM117" s="44">
        <f t="shared" si="154"/>
        <v>2900</v>
      </c>
      <c r="AN117" s="44">
        <v>0</v>
      </c>
      <c r="AO117" s="44">
        <f t="shared" si="155"/>
        <v>1903.2784615384614</v>
      </c>
      <c r="AP117" s="44">
        <f t="shared" si="156"/>
        <v>4803.2784615384617</v>
      </c>
      <c r="AQ117" s="44">
        <f t="shared" si="159"/>
        <v>1043.8380452199585</v>
      </c>
      <c r="AR117" s="44">
        <f t="shared" si="157"/>
        <v>3027.18</v>
      </c>
      <c r="AS117" s="45">
        <f t="shared" si="160"/>
        <v>23002.685438172099</v>
      </c>
      <c r="AT117" s="94">
        <f t="shared" si="161"/>
        <v>0.22159302389237712</v>
      </c>
      <c r="AU117" s="44">
        <f t="shared" si="162"/>
        <v>2052.0087346398227</v>
      </c>
      <c r="AV117" s="45">
        <f t="shared" si="140"/>
        <v>20950.676703532277</v>
      </c>
      <c r="AW117" s="94">
        <f t="shared" si="151"/>
        <v>0.20182529625967938</v>
      </c>
      <c r="AX117" s="44">
        <f t="shared" si="180"/>
        <v>1640.3576339640001</v>
      </c>
      <c r="AY117" s="45">
        <f t="shared" si="141"/>
        <v>24643.043072136097</v>
      </c>
      <c r="AZ117" s="94">
        <f t="shared" si="152"/>
        <v>0.23739517053095291</v>
      </c>
      <c r="BB117" s="10">
        <f t="shared" si="163"/>
        <v>3950</v>
      </c>
      <c r="BC117" s="10">
        <f t="shared" si="164"/>
        <v>-1693.280230527791</v>
      </c>
      <c r="BD117" s="10">
        <f t="shared" si="165"/>
        <v>-671.78169486172305</v>
      </c>
      <c r="BE117" s="10">
        <f t="shared" si="166"/>
        <v>-30.76728211571821</v>
      </c>
      <c r="BF117" s="10">
        <f t="shared" si="167"/>
        <v>-571.57482807579777</v>
      </c>
      <c r="BG117" s="10">
        <f t="shared" si="168"/>
        <v>-2967.4040355810303</v>
      </c>
      <c r="BH117" s="10">
        <f t="shared" si="169"/>
        <v>982.59596441896952</v>
      </c>
      <c r="BI117" s="10">
        <f t="shared" si="170"/>
        <v>-110.35007610350075</v>
      </c>
      <c r="BJ117" s="10">
        <f t="shared" si="171"/>
        <v>-72.42307692307692</v>
      </c>
      <c r="BK117" s="10">
        <f t="shared" si="172"/>
        <v>-182.77315302657769</v>
      </c>
      <c r="BL117" s="10">
        <f t="shared" si="173"/>
        <v>-39.719864734397206</v>
      </c>
      <c r="BM117" s="10">
        <f t="shared" si="174"/>
        <v>115.18949771689496</v>
      </c>
      <c r="BN117" s="10">
        <f t="shared" si="175"/>
        <v>875.29244437488956</v>
      </c>
      <c r="BO117" s="10">
        <f t="shared" si="176"/>
        <v>-78.082524149156114</v>
      </c>
      <c r="BP117" s="10">
        <f t="shared" si="177"/>
        <v>797.20992022573353</v>
      </c>
      <c r="BQ117" s="10">
        <f t="shared" si="178"/>
        <v>62.41847922237443</v>
      </c>
      <c r="BR117" s="10">
        <f t="shared" si="179"/>
        <v>937.7109235972639</v>
      </c>
    </row>
    <row r="118" spans="2:70">
      <c r="B118" s="7"/>
      <c r="C118" s="29" t="s">
        <v>709</v>
      </c>
      <c r="D118" s="25" t="s">
        <v>680</v>
      </c>
      <c r="E118" s="100">
        <v>88</v>
      </c>
      <c r="F118" s="100">
        <v>46164</v>
      </c>
      <c r="G118" s="101">
        <v>27</v>
      </c>
      <c r="H118" s="27" t="s">
        <v>35</v>
      </c>
      <c r="I118" s="27" t="s">
        <v>489</v>
      </c>
      <c r="J118" s="7"/>
      <c r="K118" s="7" t="s">
        <v>295</v>
      </c>
      <c r="L118" s="7" t="s">
        <v>172</v>
      </c>
      <c r="M118" s="21" t="s">
        <v>47</v>
      </c>
      <c r="N118" s="7" t="s">
        <v>191</v>
      </c>
      <c r="O118" s="20">
        <v>3950</v>
      </c>
      <c r="P118" s="61">
        <v>106650</v>
      </c>
      <c r="Q118" s="20">
        <v>3842.5925925925926</v>
      </c>
      <c r="R118" s="30">
        <v>2900</v>
      </c>
      <c r="S118" s="32">
        <v>103750</v>
      </c>
      <c r="T118" s="65">
        <v>1</v>
      </c>
      <c r="U118" s="59" t="s">
        <v>743</v>
      </c>
      <c r="V118" s="147">
        <v>6501056150</v>
      </c>
      <c r="W118" s="62"/>
      <c r="X118" s="4"/>
      <c r="Y118" s="7">
        <v>10009331</v>
      </c>
      <c r="Z118" s="7"/>
      <c r="AA118" s="7"/>
      <c r="AB118" s="20">
        <f t="shared" si="158"/>
        <v>2967.4040355810298</v>
      </c>
      <c r="AC118" s="46">
        <f>IFERROR(INDEX('Costos Producción Febrero'!$G$34:$G$57,MATCH(Resumen!Y118,'Costos Producción Febrero'!$B$34:$B$57,0))*AB118*G118,0)</f>
        <v>45718.56622425036</v>
      </c>
      <c r="AD118" s="46">
        <f>IFERROR(INDEX('Costos Producción Febrero'!$H$34:$H$57,MATCH(Resumen!Y118,'Costos Producción Febrero'!$B$34:$B$57,0))*AB118*G118,0)</f>
        <v>18138.105761266521</v>
      </c>
      <c r="AE118" s="46">
        <f>IFERROR(INDEX('Costos Producción Febrero'!$I$34:$I$57,MATCH(Resumen!Y118,'Costos Producción Febrero'!$B$34:$B$57,0))*AB118*G118,0)</f>
        <v>830.71661712439152</v>
      </c>
      <c r="AF118" s="46">
        <f>IFERROR(INDEX('Costos Producción Febrero'!$J$34:$J$57,MATCH(Resumen!Y118,'Costos Producción Febrero'!$B$34:$B$57,0))*AB118*G118,0)</f>
        <v>15432.52035804654</v>
      </c>
      <c r="AG118" s="46">
        <f t="shared" si="153"/>
        <v>80119.908960687811</v>
      </c>
      <c r="AH118" s="46"/>
      <c r="AI118" s="46">
        <v>3020.0740355810299</v>
      </c>
      <c r="AJ118" s="46"/>
      <c r="AK118" s="45">
        <f t="shared" si="146"/>
        <v>26530.091039312189</v>
      </c>
      <c r="AL118" s="94">
        <f t="shared" si="147"/>
        <v>0.24875847200480253</v>
      </c>
      <c r="AM118" s="44">
        <f t="shared" si="154"/>
        <v>2900</v>
      </c>
      <c r="AN118" s="44">
        <v>0</v>
      </c>
      <c r="AO118" s="44">
        <f t="shared" si="155"/>
        <v>1955.4230769230769</v>
      </c>
      <c r="AP118" s="44">
        <f t="shared" si="156"/>
        <v>4855.4230769230771</v>
      </c>
      <c r="AQ118" s="44">
        <f t="shared" si="159"/>
        <v>1072.4363478287244</v>
      </c>
      <c r="AR118" s="44">
        <f t="shared" si="157"/>
        <v>3112.5</v>
      </c>
      <c r="AS118" s="45">
        <f t="shared" si="160"/>
        <v>23714.731614560387</v>
      </c>
      <c r="AT118" s="94">
        <f t="shared" si="161"/>
        <v>0.2223603526916117</v>
      </c>
      <c r="AU118" s="44">
        <f t="shared" si="162"/>
        <v>2108.2281520272149</v>
      </c>
      <c r="AV118" s="45">
        <f t="shared" si="140"/>
        <v>21606.503462533172</v>
      </c>
      <c r="AW118" s="94">
        <f t="shared" si="151"/>
        <v>0.20259262505891393</v>
      </c>
      <c r="AX118" s="44">
        <f t="shared" si="180"/>
        <v>1685.2989390041096</v>
      </c>
      <c r="AY118" s="45">
        <f t="shared" si="141"/>
        <v>25400.030553564498</v>
      </c>
      <c r="AZ118" s="94">
        <f t="shared" si="152"/>
        <v>0.23816249933018752</v>
      </c>
      <c r="BB118" s="10">
        <f t="shared" si="163"/>
        <v>3950</v>
      </c>
      <c r="BC118" s="10">
        <f t="shared" si="164"/>
        <v>-1693.2802305277912</v>
      </c>
      <c r="BD118" s="10">
        <f t="shared" si="165"/>
        <v>-671.78169486172294</v>
      </c>
      <c r="BE118" s="10">
        <f t="shared" si="166"/>
        <v>-30.767282115718203</v>
      </c>
      <c r="BF118" s="10">
        <f t="shared" si="167"/>
        <v>-571.57482807579777</v>
      </c>
      <c r="BG118" s="10">
        <f t="shared" si="168"/>
        <v>-2967.4040355810303</v>
      </c>
      <c r="BH118" s="10">
        <f t="shared" si="169"/>
        <v>982.59596441896997</v>
      </c>
      <c r="BI118" s="10">
        <f t="shared" si="170"/>
        <v>-107.4074074074074</v>
      </c>
      <c r="BJ118" s="10">
        <f t="shared" si="171"/>
        <v>-72.42307692307692</v>
      </c>
      <c r="BK118" s="10">
        <f t="shared" si="172"/>
        <v>-179.83048433048432</v>
      </c>
      <c r="BL118" s="10">
        <f t="shared" si="173"/>
        <v>-39.719864734397198</v>
      </c>
      <c r="BM118" s="10">
        <f t="shared" si="174"/>
        <v>115.27777777777777</v>
      </c>
      <c r="BN118" s="10">
        <f t="shared" si="175"/>
        <v>878.32339313186617</v>
      </c>
      <c r="BO118" s="10">
        <f t="shared" si="176"/>
        <v>-78.082524149156114</v>
      </c>
      <c r="BP118" s="10">
        <f t="shared" si="177"/>
        <v>800.24086898271003</v>
      </c>
      <c r="BQ118" s="10">
        <f t="shared" si="178"/>
        <v>62.41847922237443</v>
      </c>
      <c r="BR118" s="10">
        <f t="shared" si="179"/>
        <v>940.74187235424063</v>
      </c>
    </row>
    <row r="119" spans="2:70">
      <c r="B119" s="7"/>
      <c r="C119" s="29" t="s">
        <v>709</v>
      </c>
      <c r="D119" s="25" t="s">
        <v>681</v>
      </c>
      <c r="E119" s="100">
        <v>88</v>
      </c>
      <c r="F119" s="100">
        <v>46170</v>
      </c>
      <c r="G119" s="101">
        <v>27</v>
      </c>
      <c r="H119" s="27" t="s">
        <v>35</v>
      </c>
      <c r="I119" s="27" t="s">
        <v>489</v>
      </c>
      <c r="J119" s="7"/>
      <c r="K119" s="7" t="s">
        <v>295</v>
      </c>
      <c r="L119" s="7" t="s">
        <v>172</v>
      </c>
      <c r="M119" s="21" t="s">
        <v>47</v>
      </c>
      <c r="N119" s="7" t="s">
        <v>191</v>
      </c>
      <c r="O119" s="20">
        <v>3950</v>
      </c>
      <c r="P119" s="61">
        <v>106650</v>
      </c>
      <c r="Q119" s="20">
        <v>3842.5925925925926</v>
      </c>
      <c r="R119" s="30">
        <v>2900</v>
      </c>
      <c r="S119" s="32">
        <v>103750</v>
      </c>
      <c r="T119" s="65">
        <v>1</v>
      </c>
      <c r="U119" s="59" t="s">
        <v>744</v>
      </c>
      <c r="V119" s="147">
        <v>6501717020</v>
      </c>
      <c r="W119" s="62"/>
      <c r="X119" s="4"/>
      <c r="Y119" s="7">
        <v>10009331</v>
      </c>
      <c r="Z119" s="7"/>
      <c r="AA119" s="7"/>
      <c r="AB119" s="20">
        <f t="shared" si="158"/>
        <v>2967.4040355810298</v>
      </c>
      <c r="AC119" s="46">
        <f>IFERROR(INDEX('Costos Producción Febrero'!$G$34:$G$57,MATCH(Resumen!Y119,'Costos Producción Febrero'!$B$34:$B$57,0))*AB119*G119,0)</f>
        <v>45718.56622425036</v>
      </c>
      <c r="AD119" s="46">
        <f>IFERROR(INDEX('Costos Producción Febrero'!$H$34:$H$57,MATCH(Resumen!Y119,'Costos Producción Febrero'!$B$34:$B$57,0))*AB119*G119,0)</f>
        <v>18138.105761266521</v>
      </c>
      <c r="AE119" s="46">
        <f>IFERROR(INDEX('Costos Producción Febrero'!$I$34:$I$57,MATCH(Resumen!Y119,'Costos Producción Febrero'!$B$34:$B$57,0))*AB119*G119,0)</f>
        <v>830.71661712439152</v>
      </c>
      <c r="AF119" s="46">
        <f>IFERROR(INDEX('Costos Producción Febrero'!$J$34:$J$57,MATCH(Resumen!Y119,'Costos Producción Febrero'!$B$34:$B$57,0))*AB119*G119,0)</f>
        <v>15432.52035804654</v>
      </c>
      <c r="AG119" s="46">
        <f t="shared" si="153"/>
        <v>80119.908960687811</v>
      </c>
      <c r="AH119" s="46"/>
      <c r="AI119" s="46">
        <v>3020.0740355810299</v>
      </c>
      <c r="AJ119" s="46"/>
      <c r="AK119" s="45">
        <f t="shared" si="146"/>
        <v>26530.091039312189</v>
      </c>
      <c r="AL119" s="94">
        <f t="shared" si="147"/>
        <v>0.24875847200480253</v>
      </c>
      <c r="AM119" s="44">
        <f t="shared" si="154"/>
        <v>2900</v>
      </c>
      <c r="AN119" s="44">
        <v>0</v>
      </c>
      <c r="AO119" s="44">
        <f t="shared" si="155"/>
        <v>1955.4230769230769</v>
      </c>
      <c r="AP119" s="44">
        <f t="shared" si="156"/>
        <v>4855.4230769230771</v>
      </c>
      <c r="AQ119" s="44">
        <f t="shared" si="159"/>
        <v>1072.4363478287244</v>
      </c>
      <c r="AR119" s="44">
        <f t="shared" si="157"/>
        <v>3112.5</v>
      </c>
      <c r="AS119" s="45">
        <f t="shared" si="160"/>
        <v>23714.731614560387</v>
      </c>
      <c r="AT119" s="94">
        <f t="shared" si="161"/>
        <v>0.2223603526916117</v>
      </c>
      <c r="AU119" s="44">
        <f t="shared" si="162"/>
        <v>2108.2281520272149</v>
      </c>
      <c r="AV119" s="45">
        <f t="shared" si="140"/>
        <v>21606.503462533172</v>
      </c>
      <c r="AW119" s="94">
        <f t="shared" si="151"/>
        <v>0.20259262505891393</v>
      </c>
      <c r="AX119" s="44">
        <f t="shared" si="180"/>
        <v>1685.2989390041096</v>
      </c>
      <c r="AY119" s="45">
        <f t="shared" si="141"/>
        <v>25400.030553564498</v>
      </c>
      <c r="AZ119" s="94">
        <f t="shared" si="152"/>
        <v>0.23816249933018752</v>
      </c>
      <c r="BB119" s="10">
        <f t="shared" si="163"/>
        <v>3950</v>
      </c>
      <c r="BC119" s="10">
        <f t="shared" si="164"/>
        <v>-1693.2802305277912</v>
      </c>
      <c r="BD119" s="10">
        <f t="shared" si="165"/>
        <v>-671.78169486172294</v>
      </c>
      <c r="BE119" s="10">
        <f t="shared" si="166"/>
        <v>-30.767282115718203</v>
      </c>
      <c r="BF119" s="10">
        <f t="shared" si="167"/>
        <v>-571.57482807579777</v>
      </c>
      <c r="BG119" s="10">
        <f t="shared" si="168"/>
        <v>-2967.4040355810303</v>
      </c>
      <c r="BH119" s="10">
        <f t="shared" si="169"/>
        <v>982.59596441896997</v>
      </c>
      <c r="BI119" s="10">
        <f t="shared" si="170"/>
        <v>-107.4074074074074</v>
      </c>
      <c r="BJ119" s="10">
        <f t="shared" si="171"/>
        <v>-72.42307692307692</v>
      </c>
      <c r="BK119" s="10">
        <f t="shared" si="172"/>
        <v>-179.83048433048432</v>
      </c>
      <c r="BL119" s="10">
        <f t="shared" si="173"/>
        <v>-39.719864734397198</v>
      </c>
      <c r="BM119" s="10">
        <f t="shared" si="174"/>
        <v>115.27777777777777</v>
      </c>
      <c r="BN119" s="10">
        <f t="shared" si="175"/>
        <v>878.32339313186617</v>
      </c>
      <c r="BO119" s="10">
        <f t="shared" si="176"/>
        <v>-78.082524149156114</v>
      </c>
      <c r="BP119" s="10">
        <f t="shared" si="177"/>
        <v>800.24086898271003</v>
      </c>
      <c r="BQ119" s="10">
        <f t="shared" si="178"/>
        <v>62.41847922237443</v>
      </c>
      <c r="BR119" s="10">
        <f t="shared" si="179"/>
        <v>940.74187235424063</v>
      </c>
    </row>
    <row r="120" spans="2:70">
      <c r="B120" s="7"/>
      <c r="C120" s="29" t="s">
        <v>709</v>
      </c>
      <c r="D120" s="25" t="s">
        <v>682</v>
      </c>
      <c r="E120" s="100">
        <v>88</v>
      </c>
      <c r="F120" s="100">
        <v>46154</v>
      </c>
      <c r="G120" s="101">
        <v>81</v>
      </c>
      <c r="H120" s="27" t="s">
        <v>498</v>
      </c>
      <c r="I120" s="27" t="s">
        <v>201</v>
      </c>
      <c r="J120" s="7"/>
      <c r="K120" s="7" t="s">
        <v>295</v>
      </c>
      <c r="L120" s="7" t="s">
        <v>172</v>
      </c>
      <c r="M120" s="21" t="s">
        <v>49</v>
      </c>
      <c r="N120" s="7" t="s">
        <v>191</v>
      </c>
      <c r="O120" s="20">
        <v>3700</v>
      </c>
      <c r="P120" s="61">
        <v>299700</v>
      </c>
      <c r="Q120" s="20">
        <v>3584.2592592592591</v>
      </c>
      <c r="R120" s="30">
        <v>9375</v>
      </c>
      <c r="S120" s="32">
        <v>290325</v>
      </c>
      <c r="T120" s="65">
        <v>3</v>
      </c>
      <c r="U120" s="59" t="s">
        <v>741</v>
      </c>
      <c r="V120" s="147">
        <v>6500110030</v>
      </c>
      <c r="W120" s="62"/>
      <c r="X120" s="4"/>
      <c r="Y120" s="7">
        <v>10009239</v>
      </c>
      <c r="Z120" s="7"/>
      <c r="AA120" s="7"/>
      <c r="AB120" s="20">
        <f t="shared" si="158"/>
        <v>3389.0116659973501</v>
      </c>
      <c r="AC120" s="46">
        <f>IFERROR(INDEX('Costos Producción Febrero'!$G$34:$G$57,MATCH(Resumen!Y120,'Costos Producción Febrero'!$B$34:$B$57,0))*AB120*G120,0)</f>
        <v>134992.38566075021</v>
      </c>
      <c r="AD120" s="46">
        <f>IFERROR(INDEX('Costos Producción Febrero'!$H$34:$H$57,MATCH(Resumen!Y120,'Costos Producción Febrero'!$B$34:$B$57,0))*AB120*G120,0)</f>
        <v>88007.588152497206</v>
      </c>
      <c r="AE120" s="46">
        <f>IFERROR(INDEX('Costos Producción Febrero'!$I$34:$I$57,MATCH(Resumen!Y120,'Costos Producción Febrero'!$B$34:$B$57,0))*AB120*G120,0)</f>
        <v>1611.7256771770219</v>
      </c>
      <c r="AF120" s="46">
        <f>IFERROR(INDEX('Costos Producción Febrero'!$J$34:$J$57,MATCH(Resumen!Y120,'Costos Producción Febrero'!$B$34:$B$57,0))*AB120*G120,0)</f>
        <v>49898.245455360942</v>
      </c>
      <c r="AG120" s="46">
        <f t="shared" si="153"/>
        <v>274509.94494578533</v>
      </c>
      <c r="AH120" s="46"/>
      <c r="AI120" s="46">
        <v>3441.6816659973501</v>
      </c>
      <c r="AJ120" s="46"/>
      <c r="AK120" s="45">
        <f t="shared" si="146"/>
        <v>25190.055054214667</v>
      </c>
      <c r="AL120" s="94">
        <f t="shared" si="147"/>
        <v>8.4050901081797358E-2</v>
      </c>
      <c r="AM120" s="44">
        <f t="shared" si="154"/>
        <v>9375</v>
      </c>
      <c r="AN120" s="44">
        <v>0</v>
      </c>
      <c r="AO120" s="44">
        <f t="shared" si="155"/>
        <v>5866.2692307692305</v>
      </c>
      <c r="AP120" s="44">
        <f t="shared" si="156"/>
        <v>15241.26923076923</v>
      </c>
      <c r="AQ120" s="44">
        <f t="shared" si="159"/>
        <v>3217.3090434861729</v>
      </c>
      <c r="AR120" s="44">
        <f t="shared" si="157"/>
        <v>8709.75</v>
      </c>
      <c r="AS120" s="45">
        <f t="shared" si="160"/>
        <v>15441.226779959263</v>
      </c>
      <c r="AT120" s="94">
        <f t="shared" si="161"/>
        <v>5.1522278211408951E-2</v>
      </c>
      <c r="AU120" s="44">
        <f t="shared" si="162"/>
        <v>6324.6844560816453</v>
      </c>
      <c r="AV120" s="45">
        <f t="shared" si="140"/>
        <v>9116.5423238776166</v>
      </c>
      <c r="AW120" s="94">
        <f t="shared" si="151"/>
        <v>3.0418893306231619E-2</v>
      </c>
      <c r="AX120" s="44">
        <f t="shared" si="180"/>
        <v>5055.8968170123289</v>
      </c>
      <c r="AY120" s="45">
        <f t="shared" si="141"/>
        <v>20497.123596971593</v>
      </c>
      <c r="AZ120" s="94">
        <f t="shared" si="152"/>
        <v>6.8392137460699345E-2</v>
      </c>
      <c r="BB120" s="10">
        <f t="shared" si="163"/>
        <v>3700</v>
      </c>
      <c r="BC120" s="10">
        <f t="shared" si="164"/>
        <v>-1666.5726624783977</v>
      </c>
      <c r="BD120" s="10">
        <f t="shared" si="165"/>
        <v>-1086.513433981447</v>
      </c>
      <c r="BE120" s="10">
        <f t="shared" si="166"/>
        <v>-19.897847866382985</v>
      </c>
      <c r="BF120" s="10">
        <f t="shared" si="167"/>
        <v>-616.02772167112278</v>
      </c>
      <c r="BG120" s="10">
        <f t="shared" si="168"/>
        <v>-3389.0116659973496</v>
      </c>
      <c r="BH120" s="10">
        <f t="shared" si="169"/>
        <v>310.98833400265022</v>
      </c>
      <c r="BI120" s="10">
        <f t="shared" si="170"/>
        <v>-115.74074074074075</v>
      </c>
      <c r="BJ120" s="10">
        <f t="shared" si="171"/>
        <v>-72.42307692307692</v>
      </c>
      <c r="BK120" s="10">
        <f t="shared" si="172"/>
        <v>-188.16381766381767</v>
      </c>
      <c r="BL120" s="10">
        <f t="shared" si="173"/>
        <v>-39.719864734397198</v>
      </c>
      <c r="BM120" s="10">
        <f t="shared" si="174"/>
        <v>107.52777777777777</v>
      </c>
      <c r="BN120" s="10">
        <f t="shared" si="175"/>
        <v>190.63242938221313</v>
      </c>
      <c r="BO120" s="10">
        <f t="shared" si="176"/>
        <v>-78.082524149156114</v>
      </c>
      <c r="BP120" s="10">
        <f t="shared" si="177"/>
        <v>112.54990523305699</v>
      </c>
      <c r="BQ120" s="10">
        <f t="shared" si="178"/>
        <v>62.41847922237443</v>
      </c>
      <c r="BR120" s="10">
        <f t="shared" si="179"/>
        <v>253.05090860458756</v>
      </c>
    </row>
    <row r="121" spans="2:70">
      <c r="B121" s="7"/>
      <c r="C121" s="29" t="s">
        <v>709</v>
      </c>
      <c r="D121" s="25" t="s">
        <v>683</v>
      </c>
      <c r="E121" s="100">
        <v>98</v>
      </c>
      <c r="F121" s="100">
        <v>46160</v>
      </c>
      <c r="G121" s="101">
        <v>26</v>
      </c>
      <c r="H121" s="27" t="s">
        <v>36</v>
      </c>
      <c r="I121" s="27" t="s">
        <v>107</v>
      </c>
      <c r="J121" s="7"/>
      <c r="K121" s="7" t="s">
        <v>108</v>
      </c>
      <c r="L121" s="7" t="s">
        <v>109</v>
      </c>
      <c r="M121" s="21" t="s">
        <v>56</v>
      </c>
      <c r="N121" s="7" t="s">
        <v>110</v>
      </c>
      <c r="O121" s="20">
        <v>3100</v>
      </c>
      <c r="P121" s="61">
        <v>80600</v>
      </c>
      <c r="Q121" s="20">
        <v>2888.0769230769229</v>
      </c>
      <c r="R121" s="30">
        <v>5510</v>
      </c>
      <c r="S121" s="32">
        <v>75090</v>
      </c>
      <c r="T121" s="65"/>
      <c r="U121" s="59"/>
      <c r="V121" s="147"/>
      <c r="W121" s="62"/>
      <c r="X121" s="4"/>
      <c r="Y121" s="7">
        <v>10007567</v>
      </c>
      <c r="Z121" s="7"/>
      <c r="AA121" s="7"/>
      <c r="AB121" s="20">
        <f t="shared" si="158"/>
        <v>1768.5702425897002</v>
      </c>
      <c r="AC121" s="46">
        <f>IFERROR(INDEX('Costos Producción Febrero'!$G$34:$G$57,MATCH(Resumen!Y121,'Costos Producción Febrero'!$B$34:$B$57,0))*AB121*G121,0)</f>
        <v>28398.192975948623</v>
      </c>
      <c r="AD121" s="46">
        <f>IFERROR(INDEX('Costos Producción Febrero'!$H$34:$H$57,MATCH(Resumen!Y121,'Costos Producción Febrero'!$B$34:$B$57,0))*AB121*G121,0)</f>
        <v>7653.4338632691833</v>
      </c>
      <c r="AE121" s="46">
        <f>IFERROR(INDEX('Costos Producción Febrero'!$I$34:$I$57,MATCH(Resumen!Y121,'Costos Producción Febrero'!$B$34:$B$57,0))*AB121*G121,0)</f>
        <v>496.30997460950596</v>
      </c>
      <c r="AF121" s="46">
        <f>IFERROR(INDEX('Costos Producción Febrero'!$J$34:$J$57,MATCH(Resumen!Y121,'Costos Producción Febrero'!$B$34:$B$57,0))*AB121*G121,0)</f>
        <v>9434.8894935048902</v>
      </c>
      <c r="AG121" s="46">
        <f t="shared" si="153"/>
        <v>45982.826307332194</v>
      </c>
      <c r="AH121" s="46"/>
      <c r="AI121" s="46">
        <v>1821.2402425897001</v>
      </c>
      <c r="AJ121" s="46"/>
      <c r="AK121" s="45">
        <f t="shared" si="146"/>
        <v>34617.173692667806</v>
      </c>
      <c r="AL121" s="94">
        <f t="shared" si="147"/>
        <v>0.42949347013235489</v>
      </c>
      <c r="AM121" s="44">
        <f t="shared" si="154"/>
        <v>5510</v>
      </c>
      <c r="AN121" s="44">
        <v>0</v>
      </c>
      <c r="AO121" s="44">
        <f t="shared" si="155"/>
        <v>1883</v>
      </c>
      <c r="AP121" s="44">
        <f t="shared" si="156"/>
        <v>7393</v>
      </c>
      <c r="AQ121" s="44">
        <f t="shared" si="159"/>
        <v>1032.7164830943273</v>
      </c>
      <c r="AR121" s="44">
        <f t="shared" si="157"/>
        <v>2252.6999999999998</v>
      </c>
      <c r="AS121" s="45">
        <f t="shared" si="160"/>
        <v>28444.157209573481</v>
      </c>
      <c r="AT121" s="94">
        <f t="shared" si="161"/>
        <v>0.35290517629743773</v>
      </c>
      <c r="AU121" s="44">
        <f t="shared" si="162"/>
        <v>2030.145627878059</v>
      </c>
      <c r="AV121" s="45">
        <f t="shared" si="140"/>
        <v>26414.01158169542</v>
      </c>
      <c r="AW121" s="94">
        <f t="shared" si="151"/>
        <v>0.32771726528158091</v>
      </c>
      <c r="AX121" s="44">
        <f t="shared" si="180"/>
        <v>1622.8804597817352</v>
      </c>
      <c r="AY121" s="45">
        <f t="shared" si="141"/>
        <v>30067.037669355217</v>
      </c>
      <c r="AZ121" s="94">
        <f t="shared" si="152"/>
        <v>0.37304016959497788</v>
      </c>
      <c r="BB121" s="10">
        <f t="shared" si="163"/>
        <v>3100</v>
      </c>
      <c r="BC121" s="10">
        <f t="shared" si="164"/>
        <v>-1092.2381913826393</v>
      </c>
      <c r="BD121" s="10">
        <f t="shared" si="165"/>
        <v>-294.3628408949686</v>
      </c>
      <c r="BE121" s="10">
        <f t="shared" si="166"/>
        <v>-19.08884517728869</v>
      </c>
      <c r="BF121" s="10">
        <f t="shared" si="167"/>
        <v>-362.88036513480347</v>
      </c>
      <c r="BG121" s="10">
        <f t="shared" si="168"/>
        <v>-1768.5702425896998</v>
      </c>
      <c r="BH121" s="10">
        <f t="shared" si="169"/>
        <v>1331.4297574103002</v>
      </c>
      <c r="BI121" s="10">
        <f t="shared" si="170"/>
        <v>-211.92307692307693</v>
      </c>
      <c r="BJ121" s="10">
        <f t="shared" si="171"/>
        <v>-72.42307692307692</v>
      </c>
      <c r="BK121" s="10">
        <f t="shared" si="172"/>
        <v>-284.34615384615387</v>
      </c>
      <c r="BL121" s="10">
        <f t="shared" si="173"/>
        <v>-39.719864734397206</v>
      </c>
      <c r="BM121" s="10">
        <f t="shared" si="174"/>
        <v>86.642307692307682</v>
      </c>
      <c r="BN121" s="10">
        <f t="shared" si="175"/>
        <v>1094.006046522057</v>
      </c>
      <c r="BO121" s="10">
        <f t="shared" si="176"/>
        <v>-78.082524149156114</v>
      </c>
      <c r="BP121" s="10">
        <f t="shared" si="177"/>
        <v>1015.9235223729008</v>
      </c>
      <c r="BQ121" s="10">
        <f t="shared" si="178"/>
        <v>62.41847922237443</v>
      </c>
      <c r="BR121" s="10">
        <f t="shared" si="179"/>
        <v>1156.4245257444313</v>
      </c>
    </row>
    <row r="122" spans="2:70">
      <c r="B122" s="7"/>
      <c r="C122" s="29" t="s">
        <v>709</v>
      </c>
      <c r="D122" s="25" t="s">
        <v>684</v>
      </c>
      <c r="E122" s="100">
        <v>104</v>
      </c>
      <c r="F122" s="100">
        <v>46154</v>
      </c>
      <c r="G122" s="101">
        <v>81</v>
      </c>
      <c r="H122" s="27" t="s">
        <v>31</v>
      </c>
      <c r="I122" s="27" t="s">
        <v>107</v>
      </c>
      <c r="J122" s="7" t="s">
        <v>518</v>
      </c>
      <c r="K122" s="7" t="s">
        <v>171</v>
      </c>
      <c r="L122" s="7" t="s">
        <v>519</v>
      </c>
      <c r="M122" s="21" t="s">
        <v>511</v>
      </c>
      <c r="N122" s="7" t="s">
        <v>512</v>
      </c>
      <c r="O122" s="20">
        <v>2850</v>
      </c>
      <c r="P122" s="61">
        <v>230850</v>
      </c>
      <c r="Q122" s="20">
        <v>2726.8518518518517</v>
      </c>
      <c r="R122" s="30">
        <v>9975</v>
      </c>
      <c r="S122" s="32">
        <v>220875</v>
      </c>
      <c r="T122" s="65">
        <v>3</v>
      </c>
      <c r="U122" s="59" t="s">
        <v>741</v>
      </c>
      <c r="V122" s="147">
        <v>6452208600</v>
      </c>
      <c r="W122" s="62"/>
      <c r="X122" s="4"/>
      <c r="Y122" s="7">
        <v>10007162</v>
      </c>
      <c r="Z122" s="7"/>
      <c r="AA122" s="7"/>
      <c r="AB122" s="20">
        <f t="shared" si="158"/>
        <v>1829.5095185638502</v>
      </c>
      <c r="AC122" s="46">
        <f>IFERROR(INDEX('Costos Producción Febrero'!$G$34:$G$57,MATCH(Resumen!Y122,'Costos Producción Febrero'!$B$34:$B$57,0))*AB122*G122,0)</f>
        <v>90862.96127124528</v>
      </c>
      <c r="AD122" s="46">
        <f>IFERROR(INDEX('Costos Producción Febrero'!$H$34:$H$57,MATCH(Resumen!Y122,'Costos Producción Febrero'!$B$34:$B$57,0))*AB122*G122,0)</f>
        <v>25797.8067193807</v>
      </c>
      <c r="AE122" s="46">
        <f>IFERROR(INDEX('Costos Producción Febrero'!$I$34:$I$57,MATCH(Resumen!Y122,'Costos Producción Febrero'!$B$34:$B$57,0))*AB122*G122,0)</f>
        <v>1373.8112540381953</v>
      </c>
      <c r="AF122" s="46">
        <f>IFERROR(INDEX('Costos Producción Febrero'!$J$34:$J$57,MATCH(Resumen!Y122,'Costos Producción Febrero'!$B$34:$B$57,0))*AB122*G122,0)</f>
        <v>30155.691759007699</v>
      </c>
      <c r="AG122" s="46">
        <f t="shared" si="153"/>
        <v>148190.27100367189</v>
      </c>
      <c r="AH122" s="46"/>
      <c r="AI122" s="46">
        <v>1882.17951856385</v>
      </c>
      <c r="AJ122" s="46"/>
      <c r="AK122" s="45">
        <f t="shared" si="146"/>
        <v>82659.728996328107</v>
      </c>
      <c r="AL122" s="94">
        <f t="shared" si="147"/>
        <v>0.35806683559163138</v>
      </c>
      <c r="AM122" s="44">
        <f t="shared" si="154"/>
        <v>9975</v>
      </c>
      <c r="AN122" s="44">
        <v>0</v>
      </c>
      <c r="AO122" s="44">
        <f t="shared" si="155"/>
        <v>5866.2692307692305</v>
      </c>
      <c r="AP122" s="44">
        <f t="shared" si="156"/>
        <v>15841.26923076923</v>
      </c>
      <c r="AQ122" s="44">
        <f t="shared" si="159"/>
        <v>3217.3090434861729</v>
      </c>
      <c r="AR122" s="44">
        <f t="shared" si="157"/>
        <v>6626.25</v>
      </c>
      <c r="AS122" s="45">
        <f t="shared" si="160"/>
        <v>70227.400722072693</v>
      </c>
      <c r="AT122" s="94">
        <f t="shared" si="161"/>
        <v>0.3042122621705553</v>
      </c>
      <c r="AU122" s="44">
        <f t="shared" si="162"/>
        <v>6324.6844560816453</v>
      </c>
      <c r="AV122" s="45">
        <f t="shared" si="140"/>
        <v>63902.716265991046</v>
      </c>
      <c r="AW122" s="94">
        <f t="shared" si="151"/>
        <v>0.27681488527611459</v>
      </c>
      <c r="AX122" s="44">
        <f t="shared" si="180"/>
        <v>5055.8968170123289</v>
      </c>
      <c r="AY122" s="45">
        <f t="shared" si="141"/>
        <v>75283.297539085019</v>
      </c>
      <c r="AZ122" s="94">
        <f t="shared" si="152"/>
        <v>0.32611348295033582</v>
      </c>
      <c r="BB122" s="10">
        <f t="shared" si="163"/>
        <v>2850</v>
      </c>
      <c r="BC122" s="10">
        <f t="shared" si="164"/>
        <v>-1121.764953965991</v>
      </c>
      <c r="BD122" s="10">
        <f t="shared" si="165"/>
        <v>-318.49144098000863</v>
      </c>
      <c r="BE122" s="10">
        <f t="shared" si="166"/>
        <v>-16.960632765903647</v>
      </c>
      <c r="BF122" s="10">
        <f t="shared" si="167"/>
        <v>-372.29249085194692</v>
      </c>
      <c r="BG122" s="10">
        <f t="shared" si="168"/>
        <v>-1829.5095185638506</v>
      </c>
      <c r="BH122" s="10">
        <f t="shared" si="169"/>
        <v>1020.4904814361495</v>
      </c>
      <c r="BI122" s="10">
        <f t="shared" si="170"/>
        <v>-123.14814814814815</v>
      </c>
      <c r="BJ122" s="10">
        <f t="shared" si="171"/>
        <v>-72.42307692307692</v>
      </c>
      <c r="BK122" s="10">
        <f t="shared" si="172"/>
        <v>-195.57122507122506</v>
      </c>
      <c r="BL122" s="10">
        <f t="shared" si="173"/>
        <v>-39.719864734397198</v>
      </c>
      <c r="BM122" s="10">
        <f t="shared" si="174"/>
        <v>81.805555555555557</v>
      </c>
      <c r="BN122" s="10">
        <f t="shared" si="175"/>
        <v>867.00494718608263</v>
      </c>
      <c r="BO122" s="10">
        <f t="shared" si="176"/>
        <v>-78.082524149156114</v>
      </c>
      <c r="BP122" s="10">
        <f t="shared" si="177"/>
        <v>788.92242303692649</v>
      </c>
      <c r="BQ122" s="10">
        <f t="shared" si="178"/>
        <v>62.41847922237443</v>
      </c>
      <c r="BR122" s="10">
        <f t="shared" si="179"/>
        <v>929.42342640845698</v>
      </c>
    </row>
    <row r="123" spans="2:70">
      <c r="B123" s="7"/>
      <c r="C123" s="29" t="s">
        <v>709</v>
      </c>
      <c r="D123" s="25" t="s">
        <v>685</v>
      </c>
      <c r="E123" s="100">
        <v>104</v>
      </c>
      <c r="F123" s="100">
        <v>46154</v>
      </c>
      <c r="G123" s="101">
        <v>27</v>
      </c>
      <c r="H123" s="27" t="s">
        <v>672</v>
      </c>
      <c r="I123" s="27" t="s">
        <v>710</v>
      </c>
      <c r="J123" s="7" t="s">
        <v>713</v>
      </c>
      <c r="K123" s="7" t="s">
        <v>171</v>
      </c>
      <c r="L123" s="7" t="s">
        <v>519</v>
      </c>
      <c r="M123" s="21" t="s">
        <v>714</v>
      </c>
      <c r="N123" s="7" t="s">
        <v>512</v>
      </c>
      <c r="O123" s="20">
        <v>2000</v>
      </c>
      <c r="P123" s="61">
        <v>54000</v>
      </c>
      <c r="Q123" s="20">
        <v>1888.851851851852</v>
      </c>
      <c r="R123" s="30">
        <v>3001</v>
      </c>
      <c r="S123" s="32">
        <v>50999</v>
      </c>
      <c r="T123" s="65">
        <v>1</v>
      </c>
      <c r="U123" s="59" t="s">
        <v>741</v>
      </c>
      <c r="V123" s="147" t="s">
        <v>746</v>
      </c>
      <c r="W123" s="62"/>
      <c r="X123" s="4"/>
      <c r="Y123" s="7">
        <v>10005721</v>
      </c>
      <c r="Z123" s="7"/>
      <c r="AA123" s="7"/>
      <c r="AB123" s="20">
        <f t="shared" si="158"/>
        <v>2084.0167833638698</v>
      </c>
      <c r="AC123" s="46">
        <f>IFERROR(INDEX('Costos Producción Febrero'!$G$34:$G$57,MATCH(Resumen!Y123,'Costos Producción Febrero'!$B$34:$B$57,0))*AB123*G123,0)</f>
        <v>34172.445664435902</v>
      </c>
      <c r="AD123" s="46">
        <f>IFERROR(INDEX('Costos Producción Febrero'!$H$34:$H$57,MATCH(Resumen!Y123,'Costos Producción Febrero'!$B$34:$B$57,0))*AB123*G123,0)</f>
        <v>10013.236038990994</v>
      </c>
      <c r="AE123" s="46">
        <f>IFERROR(INDEX('Costos Producción Febrero'!$I$34:$I$57,MATCH(Resumen!Y123,'Costos Producción Febrero'!$B$34:$B$57,0))*AB123*G123,0)</f>
        <v>613.43337845389772</v>
      </c>
      <c r="AF123" s="46">
        <f>IFERROR(INDEX('Costos Producción Febrero'!$J$34:$J$57,MATCH(Resumen!Y123,'Costos Producción Febrero'!$B$34:$B$57,0))*AB123*G123,0)</f>
        <v>11469.338068943691</v>
      </c>
      <c r="AG123" s="46">
        <f t="shared" si="153"/>
        <v>56268.453150824484</v>
      </c>
      <c r="AH123" s="46"/>
      <c r="AI123" s="46">
        <v>2136.6867833638698</v>
      </c>
      <c r="AJ123" s="46"/>
      <c r="AK123" s="45">
        <f t="shared" si="146"/>
        <v>-2268.4531508244836</v>
      </c>
      <c r="AL123" s="94">
        <f t="shared" si="147"/>
        <v>-4.2008391681934883E-2</v>
      </c>
      <c r="AM123" s="44">
        <f t="shared" si="154"/>
        <v>3001</v>
      </c>
      <c r="AN123" s="44">
        <v>0</v>
      </c>
      <c r="AO123" s="44">
        <f t="shared" si="155"/>
        <v>1955.4230769230769</v>
      </c>
      <c r="AP123" s="44">
        <f t="shared" si="156"/>
        <v>4956.4230769230771</v>
      </c>
      <c r="AQ123" s="44">
        <f t="shared" si="159"/>
        <v>1072.4363478287244</v>
      </c>
      <c r="AR123" s="44">
        <f t="shared" si="157"/>
        <v>1529.97</v>
      </c>
      <c r="AS123" s="45">
        <f t="shared" si="160"/>
        <v>-6767.3425755762846</v>
      </c>
      <c r="AT123" s="94">
        <f t="shared" si="161"/>
        <v>-0.12532115880696823</v>
      </c>
      <c r="AU123" s="44">
        <f t="shared" si="162"/>
        <v>2108.2281520272149</v>
      </c>
      <c r="AV123" s="45">
        <f t="shared" si="140"/>
        <v>-8875.5707276034991</v>
      </c>
      <c r="AW123" s="94">
        <f t="shared" si="151"/>
        <v>-0.16436242088154629</v>
      </c>
      <c r="AX123" s="44">
        <f t="shared" si="180"/>
        <v>1685.2989390041096</v>
      </c>
      <c r="AY123" s="45">
        <f t="shared" si="141"/>
        <v>-5082.0436365721753</v>
      </c>
      <c r="AZ123" s="94">
        <f t="shared" si="152"/>
        <v>-9.4111919195781019E-2</v>
      </c>
      <c r="BB123" s="10">
        <f t="shared" si="163"/>
        <v>2000</v>
      </c>
      <c r="BC123" s="10">
        <f t="shared" si="164"/>
        <v>-1265.6461357198482</v>
      </c>
      <c r="BD123" s="10">
        <f t="shared" si="165"/>
        <v>-370.86059403670345</v>
      </c>
      <c r="BE123" s="10">
        <f t="shared" si="166"/>
        <v>-22.719754757551769</v>
      </c>
      <c r="BF123" s="10">
        <f t="shared" si="167"/>
        <v>-424.79029884976632</v>
      </c>
      <c r="BG123" s="10">
        <f t="shared" si="168"/>
        <v>-2084.0167833638698</v>
      </c>
      <c r="BH123" s="10">
        <f t="shared" si="169"/>
        <v>-84.016783363869763</v>
      </c>
      <c r="BI123" s="10">
        <f t="shared" si="170"/>
        <v>-111.14814814814815</v>
      </c>
      <c r="BJ123" s="10">
        <f t="shared" si="171"/>
        <v>-72.42307692307692</v>
      </c>
      <c r="BK123" s="10">
        <f t="shared" si="172"/>
        <v>-183.57122507122509</v>
      </c>
      <c r="BL123" s="10">
        <f t="shared" si="173"/>
        <v>-39.719864734397198</v>
      </c>
      <c r="BM123" s="10">
        <f t="shared" si="174"/>
        <v>56.665555555555557</v>
      </c>
      <c r="BN123" s="10">
        <f t="shared" si="175"/>
        <v>-250.64231761393646</v>
      </c>
      <c r="BO123" s="10">
        <f t="shared" si="176"/>
        <v>-78.082524149156114</v>
      </c>
      <c r="BP123" s="10">
        <f t="shared" si="177"/>
        <v>-328.72484176309257</v>
      </c>
      <c r="BQ123" s="10">
        <f t="shared" si="178"/>
        <v>62.41847922237443</v>
      </c>
      <c r="BR123" s="10">
        <f t="shared" si="179"/>
        <v>-188.22383839156205</v>
      </c>
    </row>
    <row r="124" spans="2:70">
      <c r="B124" s="7"/>
      <c r="C124" s="29" t="s">
        <v>709</v>
      </c>
      <c r="D124" s="25" t="s">
        <v>686</v>
      </c>
      <c r="E124" s="100">
        <v>106</v>
      </c>
      <c r="F124" s="100">
        <v>46154</v>
      </c>
      <c r="G124" s="101">
        <v>11.5</v>
      </c>
      <c r="H124" s="27" t="s">
        <v>34</v>
      </c>
      <c r="I124" s="27" t="s">
        <v>116</v>
      </c>
      <c r="J124" s="7" t="s">
        <v>715</v>
      </c>
      <c r="K124" s="7" t="s">
        <v>118</v>
      </c>
      <c r="L124" s="7" t="s">
        <v>119</v>
      </c>
      <c r="M124" s="21" t="s">
        <v>50</v>
      </c>
      <c r="N124" s="7" t="s">
        <v>120</v>
      </c>
      <c r="O124" s="20">
        <v>1200</v>
      </c>
      <c r="P124" s="61">
        <v>13800</v>
      </c>
      <c r="Q124" s="20">
        <v>1047.7826086956522</v>
      </c>
      <c r="R124" s="30">
        <v>1750.5</v>
      </c>
      <c r="S124" s="32">
        <v>12049.5</v>
      </c>
      <c r="T124" s="65">
        <v>1</v>
      </c>
      <c r="U124" s="59" t="s">
        <v>741</v>
      </c>
      <c r="V124" s="147" t="s">
        <v>747</v>
      </c>
      <c r="W124" s="62"/>
      <c r="X124" s="4"/>
      <c r="Y124" s="7">
        <v>10005779</v>
      </c>
      <c r="Z124" s="7"/>
      <c r="AA124" s="7"/>
      <c r="AB124" s="20">
        <f t="shared" si="158"/>
        <v>1701.0234474995802</v>
      </c>
      <c r="AC124" s="46">
        <f>IFERROR(INDEX('Costos Producción Febrero'!$G$34:$G$57,MATCH(Resumen!Y124,'Costos Producción Febrero'!$B$34:$B$57,0))*AB124*G124,0)</f>
        <v>11357.578180556377</v>
      </c>
      <c r="AD124" s="46">
        <f>IFERROR(INDEX('Costos Producción Febrero'!$H$34:$H$57,MATCH(Resumen!Y124,'Costos Producción Febrero'!$B$34:$B$57,0))*AB124*G124,0)</f>
        <v>4322.24958912478</v>
      </c>
      <c r="AE124" s="46">
        <f>IFERROR(INDEX('Costos Producción Febrero'!$I$34:$I$57,MATCH(Resumen!Y124,'Costos Producción Febrero'!$B$34:$B$57,0))*AB124*G124,0)</f>
        <v>124.94697238821222</v>
      </c>
      <c r="AF124" s="46">
        <f>IFERROR(INDEX('Costos Producción Febrero'!$J$34:$J$57,MATCH(Resumen!Y124,'Costos Producción Febrero'!$B$34:$B$57,0))*AB124*G124,0)</f>
        <v>3756.9949041758045</v>
      </c>
      <c r="AG124" s="46">
        <f t="shared" si="153"/>
        <v>19561.769646245171</v>
      </c>
      <c r="AH124" s="46"/>
      <c r="AI124" s="46">
        <v>1753.6934474995801</v>
      </c>
      <c r="AJ124" s="46"/>
      <c r="AK124" s="45">
        <f t="shared" si="146"/>
        <v>-5761.7696462451713</v>
      </c>
      <c r="AL124" s="94">
        <f t="shared" si="147"/>
        <v>-0.41751953958298343</v>
      </c>
      <c r="AM124" s="44">
        <f t="shared" si="154"/>
        <v>1750.5</v>
      </c>
      <c r="AN124" s="44">
        <v>0</v>
      </c>
      <c r="AO124" s="44">
        <f t="shared" si="155"/>
        <v>832.86538461538453</v>
      </c>
      <c r="AP124" s="44">
        <f t="shared" si="156"/>
        <v>2583.3653846153848</v>
      </c>
      <c r="AQ124" s="44">
        <f t="shared" si="159"/>
        <v>456.7784444455678</v>
      </c>
      <c r="AR124" s="44">
        <f t="shared" si="157"/>
        <v>361.48500000000001</v>
      </c>
      <c r="AS124" s="45">
        <f t="shared" si="160"/>
        <v>-8440.4284753061238</v>
      </c>
      <c r="AT124" s="94">
        <f t="shared" si="161"/>
        <v>-0.61162525183377714</v>
      </c>
      <c r="AU124" s="44">
        <f t="shared" si="162"/>
        <v>897.9490277152953</v>
      </c>
      <c r="AV124" s="45">
        <f t="shared" si="140"/>
        <v>-9338.3775030214183</v>
      </c>
      <c r="AW124" s="94">
        <f t="shared" si="151"/>
        <v>-0.67669402195807382</v>
      </c>
      <c r="AX124" s="44">
        <f t="shared" si="180"/>
        <v>717.81251105730598</v>
      </c>
      <c r="AY124" s="45">
        <f t="shared" si="141"/>
        <v>-7722.6159642488183</v>
      </c>
      <c r="AZ124" s="94">
        <f t="shared" si="152"/>
        <v>-0.5596098524817984</v>
      </c>
      <c r="BB124" s="10">
        <f t="shared" si="163"/>
        <v>1200</v>
      </c>
      <c r="BC124" s="10">
        <f t="shared" si="164"/>
        <v>-987.61549396142402</v>
      </c>
      <c r="BD124" s="10">
        <f t="shared" si="165"/>
        <v>-375.84779035867649</v>
      </c>
      <c r="BE124" s="10">
        <f t="shared" si="166"/>
        <v>-10.864954120714106</v>
      </c>
      <c r="BF124" s="10">
        <f t="shared" si="167"/>
        <v>-326.69520905876561</v>
      </c>
      <c r="BG124" s="10">
        <f t="shared" si="168"/>
        <v>-1701.02344749958</v>
      </c>
      <c r="BH124" s="10">
        <f t="shared" si="169"/>
        <v>-501.02344749958013</v>
      </c>
      <c r="BI124" s="10">
        <f t="shared" si="170"/>
        <v>-152.21739130434781</v>
      </c>
      <c r="BJ124" s="10">
        <f t="shared" si="171"/>
        <v>-72.42307692307692</v>
      </c>
      <c r="BK124" s="10">
        <f t="shared" si="172"/>
        <v>-224.64046822742475</v>
      </c>
      <c r="BL124" s="10">
        <f t="shared" si="173"/>
        <v>-39.719864734397198</v>
      </c>
      <c r="BM124" s="10">
        <f t="shared" si="174"/>
        <v>31.433478260869567</v>
      </c>
      <c r="BN124" s="10">
        <f t="shared" si="175"/>
        <v>-733.95030220053252</v>
      </c>
      <c r="BO124" s="10">
        <f t="shared" si="176"/>
        <v>-78.082524149156114</v>
      </c>
      <c r="BP124" s="10">
        <f t="shared" si="177"/>
        <v>-812.03282634968855</v>
      </c>
      <c r="BQ124" s="10">
        <f t="shared" si="178"/>
        <v>62.418479222374437</v>
      </c>
      <c r="BR124" s="10">
        <f t="shared" si="179"/>
        <v>-671.53182297815806</v>
      </c>
    </row>
    <row r="125" spans="2:70">
      <c r="B125" s="7"/>
      <c r="C125" s="29" t="s">
        <v>709</v>
      </c>
      <c r="D125" s="25" t="s">
        <v>686</v>
      </c>
      <c r="E125" s="100">
        <v>106</v>
      </c>
      <c r="F125" s="100">
        <v>46154</v>
      </c>
      <c r="G125" s="101">
        <v>11</v>
      </c>
      <c r="H125" s="27" t="s">
        <v>34</v>
      </c>
      <c r="I125" s="27" t="s">
        <v>116</v>
      </c>
      <c r="J125" s="7" t="s">
        <v>299</v>
      </c>
      <c r="K125" s="7" t="s">
        <v>118</v>
      </c>
      <c r="L125" s="7" t="s">
        <v>119</v>
      </c>
      <c r="M125" s="21" t="s">
        <v>50</v>
      </c>
      <c r="N125" s="7" t="s">
        <v>120</v>
      </c>
      <c r="O125" s="20">
        <v>1300</v>
      </c>
      <c r="P125" s="61">
        <v>14300</v>
      </c>
      <c r="Q125" s="20">
        <v>1140.8636363636363</v>
      </c>
      <c r="R125" s="30">
        <v>1750.5</v>
      </c>
      <c r="S125" s="32">
        <v>12549.5</v>
      </c>
      <c r="T125" s="65"/>
      <c r="U125" s="59" t="s">
        <v>741</v>
      </c>
      <c r="V125" s="147" t="s">
        <v>747</v>
      </c>
      <c r="W125" s="62"/>
      <c r="X125" s="4"/>
      <c r="Y125" s="7">
        <v>10005779</v>
      </c>
      <c r="Z125" s="7"/>
      <c r="AA125" s="7"/>
      <c r="AB125" s="20">
        <f t="shared" si="158"/>
        <v>1701.0234474995802</v>
      </c>
      <c r="AC125" s="46">
        <f>IFERROR(INDEX('Costos Producción Febrero'!$G$34:$G$57,MATCH(Resumen!Y125,'Costos Producción Febrero'!$B$34:$B$57,0))*AB125*G125,0)</f>
        <v>10863.770433575664</v>
      </c>
      <c r="AD125" s="46">
        <f>IFERROR(INDEX('Costos Producción Febrero'!$H$34:$H$57,MATCH(Resumen!Y125,'Costos Producción Febrero'!$B$34:$B$57,0))*AB125*G125,0)</f>
        <v>4134.3256939454413</v>
      </c>
      <c r="AE125" s="46">
        <f>IFERROR(INDEX('Costos Producción Febrero'!$I$34:$I$57,MATCH(Resumen!Y125,'Costos Producción Febrero'!$B$34:$B$57,0))*AB125*G125,0)</f>
        <v>119.51449532785517</v>
      </c>
      <c r="AF125" s="46">
        <f>IFERROR(INDEX('Costos Producción Febrero'!$J$34:$J$57,MATCH(Resumen!Y125,'Costos Producción Febrero'!$B$34:$B$57,0))*AB125*G125,0)</f>
        <v>3593.6472996464217</v>
      </c>
      <c r="AG125" s="46">
        <f t="shared" si="153"/>
        <v>18711.257922495381</v>
      </c>
      <c r="AH125" s="46"/>
      <c r="AI125" s="46">
        <v>1753.6934474995801</v>
      </c>
      <c r="AJ125" s="46"/>
      <c r="AK125" s="45">
        <f t="shared" si="146"/>
        <v>-4411.2579224953806</v>
      </c>
      <c r="AL125" s="94">
        <f t="shared" si="147"/>
        <v>-0.30847957499967699</v>
      </c>
      <c r="AM125" s="44">
        <f t="shared" si="154"/>
        <v>1750.5</v>
      </c>
      <c r="AN125" s="44">
        <v>0</v>
      </c>
      <c r="AO125" s="44">
        <f t="shared" si="155"/>
        <v>796.65384615384608</v>
      </c>
      <c r="AP125" s="44">
        <f t="shared" si="156"/>
        <v>2547.1538461538462</v>
      </c>
      <c r="AQ125" s="44">
        <f t="shared" si="159"/>
        <v>436.91851207836919</v>
      </c>
      <c r="AR125" s="44">
        <f t="shared" si="157"/>
        <v>376.48500000000001</v>
      </c>
      <c r="AS125" s="45">
        <f t="shared" si="160"/>
        <v>-7018.8452807275962</v>
      </c>
      <c r="AT125" s="94">
        <f t="shared" si="161"/>
        <v>-0.49082834130962211</v>
      </c>
      <c r="AU125" s="44">
        <f t="shared" si="162"/>
        <v>858.90776564071723</v>
      </c>
      <c r="AV125" s="45">
        <f t="shared" si="140"/>
        <v>-7877.7530463683133</v>
      </c>
      <c r="AW125" s="94">
        <f t="shared" si="151"/>
        <v>-0.55089182142435755</v>
      </c>
      <c r="AX125" s="44">
        <f t="shared" si="180"/>
        <v>686.6032714461187</v>
      </c>
      <c r="AY125" s="45">
        <f t="shared" si="141"/>
        <v>-6332.2420092814773</v>
      </c>
      <c r="AZ125" s="94">
        <f t="shared" si="152"/>
        <v>-0.44281412652318025</v>
      </c>
      <c r="BB125" s="10">
        <f t="shared" si="163"/>
        <v>1300</v>
      </c>
      <c r="BC125" s="10">
        <f t="shared" si="164"/>
        <v>-987.61549396142402</v>
      </c>
      <c r="BD125" s="10">
        <f t="shared" si="165"/>
        <v>-375.84779035867649</v>
      </c>
      <c r="BE125" s="10">
        <f t="shared" si="166"/>
        <v>-10.864954120714106</v>
      </c>
      <c r="BF125" s="10">
        <f t="shared" si="167"/>
        <v>-326.69520905876561</v>
      </c>
      <c r="BG125" s="10">
        <f t="shared" si="168"/>
        <v>-1701.02344749958</v>
      </c>
      <c r="BH125" s="10">
        <f t="shared" si="169"/>
        <v>-401.02344749958007</v>
      </c>
      <c r="BI125" s="10">
        <f t="shared" si="170"/>
        <v>-159.13636363636363</v>
      </c>
      <c r="BJ125" s="10">
        <f t="shared" si="171"/>
        <v>-72.42307692307692</v>
      </c>
      <c r="BK125" s="10">
        <f t="shared" si="172"/>
        <v>-231.55944055944056</v>
      </c>
      <c r="BL125" s="10">
        <f t="shared" si="173"/>
        <v>-39.719864734397198</v>
      </c>
      <c r="BM125" s="10">
        <f t="shared" si="174"/>
        <v>34.225909090909092</v>
      </c>
      <c r="BN125" s="10">
        <f t="shared" si="175"/>
        <v>-638.07684370250877</v>
      </c>
      <c r="BO125" s="10">
        <f t="shared" si="176"/>
        <v>-78.082524149156114</v>
      </c>
      <c r="BP125" s="10">
        <f t="shared" si="177"/>
        <v>-716.1593678516648</v>
      </c>
      <c r="BQ125" s="10">
        <f t="shared" si="178"/>
        <v>62.41847922237443</v>
      </c>
      <c r="BR125" s="10">
        <f t="shared" si="179"/>
        <v>-575.65836448013431</v>
      </c>
    </row>
    <row r="126" spans="2:70">
      <c r="B126" s="7"/>
      <c r="C126" s="29" t="s">
        <v>709</v>
      </c>
      <c r="D126" s="25" t="s">
        <v>687</v>
      </c>
      <c r="E126" s="100">
        <v>107</v>
      </c>
      <c r="F126" s="100">
        <v>46154</v>
      </c>
      <c r="G126" s="101">
        <v>26.25</v>
      </c>
      <c r="H126" s="27" t="s">
        <v>39</v>
      </c>
      <c r="I126" s="27" t="s">
        <v>174</v>
      </c>
      <c r="J126" s="7"/>
      <c r="K126" s="7" t="s">
        <v>171</v>
      </c>
      <c r="L126" s="7" t="s">
        <v>172</v>
      </c>
      <c r="M126" s="21" t="s">
        <v>55</v>
      </c>
      <c r="N126" s="7"/>
      <c r="O126" s="20">
        <v>2050</v>
      </c>
      <c r="P126" s="61">
        <v>53812.5</v>
      </c>
      <c r="Q126" s="20">
        <v>1947.104761904762</v>
      </c>
      <c r="R126" s="30">
        <v>2701</v>
      </c>
      <c r="S126" s="32">
        <v>51111.5</v>
      </c>
      <c r="T126" s="65">
        <v>1</v>
      </c>
      <c r="U126" s="59" t="s">
        <v>741</v>
      </c>
      <c r="V126" s="147" t="s">
        <v>748</v>
      </c>
      <c r="W126" s="62"/>
      <c r="X126" s="4"/>
      <c r="Y126" s="7"/>
      <c r="Z126" s="7"/>
      <c r="AA126" s="7"/>
      <c r="AB126" s="20">
        <f t="shared" ref="AB111:AB147" si="181">AI126</f>
        <v>0</v>
      </c>
      <c r="AC126" s="46">
        <f>IFERROR(INDEX('Costos Producción Febrero'!$G$34:$G$57,MATCH(Resumen!Y126,'Costos Producción Febrero'!$B$34:$B$57,0))*AB126*G126,0)</f>
        <v>0</v>
      </c>
      <c r="AD126" s="46">
        <f>IFERROR(INDEX('Costos Producción Febrero'!$H$34:$H$57,MATCH(Resumen!Y126,'Costos Producción Febrero'!$B$34:$B$57,0))*AB126*G126,0)</f>
        <v>0</v>
      </c>
      <c r="AE126" s="46">
        <f>IFERROR(INDEX('Costos Producción Febrero'!$I$34:$I$57,MATCH(Resumen!Y126,'Costos Producción Febrero'!$B$34:$B$57,0))*AB126*G126,0)</f>
        <v>0</v>
      </c>
      <c r="AF126" s="46">
        <f>IFERROR(INDEX('Costos Producción Febrero'!$J$34:$J$57,MATCH(Resumen!Y126,'Costos Producción Febrero'!$B$34:$B$57,0))*AB126*G126,0)</f>
        <v>0</v>
      </c>
      <c r="AG126" s="46">
        <f t="shared" si="153"/>
        <v>0</v>
      </c>
      <c r="AH126" s="46"/>
      <c r="AI126" s="46"/>
      <c r="AJ126" s="46"/>
      <c r="AK126" s="45">
        <f t="shared" si="146"/>
        <v>53812.5</v>
      </c>
      <c r="AL126" s="94">
        <f t="shared" si="147"/>
        <v>1</v>
      </c>
      <c r="AM126" s="44">
        <f t="shared" si="154"/>
        <v>2701</v>
      </c>
      <c r="AN126" s="44">
        <v>0</v>
      </c>
      <c r="AO126" s="44">
        <f t="shared" si="155"/>
        <v>1901.1057692307691</v>
      </c>
      <c r="AP126" s="44">
        <f t="shared" si="156"/>
        <v>4602.1057692307695</v>
      </c>
      <c r="AQ126" s="44">
        <f t="shared" si="159"/>
        <v>1042.6464492779264</v>
      </c>
      <c r="AR126" s="44">
        <f t="shared" si="157"/>
        <v>1533.345</v>
      </c>
      <c r="AS126" s="45">
        <f t="shared" si="160"/>
        <v>49701.092781491308</v>
      </c>
      <c r="AT126" s="94">
        <f t="shared" si="161"/>
        <v>0.92359754297777108</v>
      </c>
      <c r="AU126" s="44">
        <f t="shared" si="162"/>
        <v>2049.666258915348</v>
      </c>
      <c r="AV126" s="45">
        <f t="shared" si="140"/>
        <v>47651.426522575959</v>
      </c>
      <c r="AW126" s="94">
        <f t="shared" si="151"/>
        <v>0.88550850680745108</v>
      </c>
      <c r="AX126" s="44">
        <f t="shared" si="180"/>
        <v>1638.4850795873288</v>
      </c>
      <c r="AY126" s="45">
        <f t="shared" si="141"/>
        <v>51339.577861078636</v>
      </c>
      <c r="AZ126" s="94">
        <f t="shared" si="152"/>
        <v>0.95404558162283182</v>
      </c>
      <c r="BB126" s="10">
        <f t="shared" si="163"/>
        <v>2050</v>
      </c>
      <c r="BC126" s="10">
        <f t="shared" si="164"/>
        <v>0</v>
      </c>
      <c r="BD126" s="10">
        <f t="shared" si="165"/>
        <v>0</v>
      </c>
      <c r="BE126" s="10">
        <f t="shared" si="166"/>
        <v>0</v>
      </c>
      <c r="BF126" s="10">
        <f t="shared" si="167"/>
        <v>0</v>
      </c>
      <c r="BG126" s="10">
        <f t="shared" si="168"/>
        <v>0</v>
      </c>
      <c r="BH126" s="10">
        <f t="shared" si="169"/>
        <v>2050</v>
      </c>
      <c r="BI126" s="10">
        <f t="shared" si="170"/>
        <v>-102.8952380952381</v>
      </c>
      <c r="BJ126" s="10">
        <f t="shared" si="171"/>
        <v>-72.42307692307692</v>
      </c>
      <c r="BK126" s="10">
        <f t="shared" si="172"/>
        <v>-175.31831501831502</v>
      </c>
      <c r="BL126" s="10">
        <f t="shared" si="173"/>
        <v>-39.719864734397198</v>
      </c>
      <c r="BM126" s="10">
        <f t="shared" si="174"/>
        <v>58.413142857142859</v>
      </c>
      <c r="BN126" s="10">
        <f t="shared" si="175"/>
        <v>1893.3749631044309</v>
      </c>
      <c r="BO126" s="10">
        <f t="shared" si="176"/>
        <v>-78.082524149156114</v>
      </c>
      <c r="BP126" s="10">
        <f t="shared" si="177"/>
        <v>1815.2924389552745</v>
      </c>
      <c r="BQ126" s="10">
        <f t="shared" si="178"/>
        <v>62.41847922237443</v>
      </c>
      <c r="BR126" s="10">
        <f t="shared" si="179"/>
        <v>1955.7934423268052</v>
      </c>
    </row>
    <row r="127" spans="2:70">
      <c r="B127" s="7"/>
      <c r="C127" s="29" t="s">
        <v>709</v>
      </c>
      <c r="D127" s="25" t="s">
        <v>688</v>
      </c>
      <c r="E127" s="100">
        <v>45764</v>
      </c>
      <c r="F127" s="100">
        <v>46160</v>
      </c>
      <c r="G127" s="101">
        <v>27</v>
      </c>
      <c r="H127" s="27" t="s">
        <v>468</v>
      </c>
      <c r="I127" s="27" t="s">
        <v>469</v>
      </c>
      <c r="J127" s="7"/>
      <c r="K127" s="7" t="s">
        <v>161</v>
      </c>
      <c r="L127" s="7" t="s">
        <v>147</v>
      </c>
      <c r="M127" s="21" t="s">
        <v>53</v>
      </c>
      <c r="N127" s="7" t="s">
        <v>148</v>
      </c>
      <c r="O127" s="20">
        <v>2350</v>
      </c>
      <c r="P127" s="61">
        <v>63450</v>
      </c>
      <c r="Q127" s="20">
        <v>2162.962962962963</v>
      </c>
      <c r="R127" s="30">
        <v>5050</v>
      </c>
      <c r="S127" s="32">
        <v>58400</v>
      </c>
      <c r="T127" s="65">
        <v>1</v>
      </c>
      <c r="U127" s="59" t="s">
        <v>749</v>
      </c>
      <c r="V127" s="147">
        <v>24658732</v>
      </c>
      <c r="W127" s="62"/>
      <c r="X127" s="4"/>
      <c r="Y127" s="7">
        <v>10007050</v>
      </c>
      <c r="Z127" s="7"/>
      <c r="AA127" s="7"/>
      <c r="AB127" s="20">
        <f t="shared" si="181"/>
        <v>0</v>
      </c>
      <c r="AC127" s="46">
        <f>IFERROR(INDEX('Costos Producción Febrero'!$G$34:$G$57,MATCH(Resumen!Y127,'Costos Producción Febrero'!$B$34:$B$57,0))*AB127*G127,0)</f>
        <v>0</v>
      </c>
      <c r="AD127" s="46">
        <f>IFERROR(INDEX('Costos Producción Febrero'!$H$34:$H$57,MATCH(Resumen!Y127,'Costos Producción Febrero'!$B$34:$B$57,0))*AB127*G127,0)</f>
        <v>0</v>
      </c>
      <c r="AE127" s="46">
        <f>IFERROR(INDEX('Costos Producción Febrero'!$I$34:$I$57,MATCH(Resumen!Y127,'Costos Producción Febrero'!$B$34:$B$57,0))*AB127*G127,0)</f>
        <v>0</v>
      </c>
      <c r="AF127" s="46">
        <f>IFERROR(INDEX('Costos Producción Febrero'!$J$34:$J$57,MATCH(Resumen!Y127,'Costos Producción Febrero'!$B$34:$B$57,0))*AB127*G127,0)</f>
        <v>0</v>
      </c>
      <c r="AG127" s="46">
        <f t="shared" si="153"/>
        <v>0</v>
      </c>
      <c r="AH127" s="46"/>
      <c r="AI127" s="46"/>
      <c r="AJ127" s="46"/>
      <c r="AK127" s="45">
        <f t="shared" si="146"/>
        <v>63450</v>
      </c>
      <c r="AL127" s="94">
        <f t="shared" si="147"/>
        <v>1</v>
      </c>
      <c r="AM127" s="44">
        <f t="shared" si="154"/>
        <v>5050</v>
      </c>
      <c r="AN127" s="44">
        <v>0</v>
      </c>
      <c r="AO127" s="44">
        <f t="shared" si="155"/>
        <v>1955.4230769230769</v>
      </c>
      <c r="AP127" s="44">
        <f t="shared" si="156"/>
        <v>7005.4230769230771</v>
      </c>
      <c r="AQ127" s="44">
        <f t="shared" si="159"/>
        <v>1072.4363478287244</v>
      </c>
      <c r="AR127" s="44">
        <f t="shared" si="157"/>
        <v>1752</v>
      </c>
      <c r="AS127" s="45">
        <f t="shared" si="160"/>
        <v>57124.140575248195</v>
      </c>
      <c r="AT127" s="94">
        <f t="shared" si="161"/>
        <v>0.9003016639125011</v>
      </c>
      <c r="AU127" s="44">
        <f t="shared" si="162"/>
        <v>2108.2281520272149</v>
      </c>
      <c r="AV127" s="45">
        <f t="shared" si="140"/>
        <v>55015.91242322098</v>
      </c>
      <c r="AW127" s="94">
        <f t="shared" si="151"/>
        <v>0.86707505789158357</v>
      </c>
      <c r="AX127" s="44">
        <f t="shared" si="180"/>
        <v>1685.2989390041096</v>
      </c>
      <c r="AY127" s="45">
        <f t="shared" si="141"/>
        <v>58809.439514252306</v>
      </c>
      <c r="AZ127" s="94">
        <f t="shared" si="152"/>
        <v>0.92686271890074556</v>
      </c>
      <c r="BB127" s="10">
        <f t="shared" si="163"/>
        <v>2350</v>
      </c>
      <c r="BC127" s="10">
        <f t="shared" si="164"/>
        <v>0</v>
      </c>
      <c r="BD127" s="10">
        <f t="shared" si="165"/>
        <v>0</v>
      </c>
      <c r="BE127" s="10">
        <f t="shared" si="166"/>
        <v>0</v>
      </c>
      <c r="BF127" s="10">
        <f t="shared" si="167"/>
        <v>0</v>
      </c>
      <c r="BG127" s="10">
        <f t="shared" si="168"/>
        <v>0</v>
      </c>
      <c r="BH127" s="10">
        <f t="shared" si="169"/>
        <v>2350</v>
      </c>
      <c r="BI127" s="10">
        <f t="shared" si="170"/>
        <v>-187.03703703703704</v>
      </c>
      <c r="BJ127" s="10">
        <f t="shared" si="171"/>
        <v>-72.42307692307692</v>
      </c>
      <c r="BK127" s="10">
        <f t="shared" si="172"/>
        <v>-259.46011396011397</v>
      </c>
      <c r="BL127" s="10">
        <f t="shared" si="173"/>
        <v>-39.719864734397198</v>
      </c>
      <c r="BM127" s="10">
        <f t="shared" si="174"/>
        <v>64.888888888888886</v>
      </c>
      <c r="BN127" s="10">
        <f t="shared" si="175"/>
        <v>2115.7089101943775</v>
      </c>
      <c r="BO127" s="10">
        <f t="shared" si="176"/>
        <v>-78.082524149156114</v>
      </c>
      <c r="BP127" s="10">
        <f t="shared" si="177"/>
        <v>2037.6263860452216</v>
      </c>
      <c r="BQ127" s="10">
        <f t="shared" si="178"/>
        <v>62.41847922237443</v>
      </c>
      <c r="BR127" s="10">
        <f t="shared" si="179"/>
        <v>2178.1273894167521</v>
      </c>
    </row>
    <row r="128" spans="2:70">
      <c r="B128" s="7"/>
      <c r="C128" s="29" t="s">
        <v>709</v>
      </c>
      <c r="D128" s="25" t="s">
        <v>689</v>
      </c>
      <c r="E128" s="100">
        <v>108</v>
      </c>
      <c r="F128" s="100">
        <v>46154</v>
      </c>
      <c r="G128" s="101">
        <v>22.5</v>
      </c>
      <c r="H128" s="27" t="s">
        <v>34</v>
      </c>
      <c r="I128" s="27" t="s">
        <v>116</v>
      </c>
      <c r="J128" s="7" t="s">
        <v>715</v>
      </c>
      <c r="K128" s="7" t="s">
        <v>118</v>
      </c>
      <c r="L128" s="7" t="s">
        <v>119</v>
      </c>
      <c r="M128" s="21" t="s">
        <v>50</v>
      </c>
      <c r="N128" s="7" t="s">
        <v>120</v>
      </c>
      <c r="O128" s="20">
        <v>1050</v>
      </c>
      <c r="P128" s="61">
        <v>23625</v>
      </c>
      <c r="Q128" s="20">
        <v>894.4</v>
      </c>
      <c r="R128" s="30">
        <v>3501</v>
      </c>
      <c r="S128" s="32">
        <v>20124</v>
      </c>
      <c r="T128" s="65">
        <v>1</v>
      </c>
      <c r="U128" s="59" t="s">
        <v>741</v>
      </c>
      <c r="V128" s="147" t="s">
        <v>750</v>
      </c>
      <c r="W128" s="62"/>
      <c r="X128" s="4"/>
      <c r="Y128" s="7">
        <v>10005779</v>
      </c>
      <c r="Z128" s="7"/>
      <c r="AA128" s="7"/>
      <c r="AB128" s="20">
        <f t="shared" ref="AB128:AB130" si="182">AI128-47.35-5.32</f>
        <v>1701.0234474995802</v>
      </c>
      <c r="AC128" s="46">
        <f>IFERROR(INDEX('Costos Producción Febrero'!$G$34:$G$57,MATCH(Resumen!Y128,'Costos Producción Febrero'!$B$34:$B$57,0))*AB128*G128,0)</f>
        <v>22221.348614132039</v>
      </c>
      <c r="AD128" s="46">
        <f>IFERROR(INDEX('Costos Producción Febrero'!$H$34:$H$57,MATCH(Resumen!Y128,'Costos Producción Febrero'!$B$34:$B$57,0))*AB128*G128,0)</f>
        <v>8456.5752830702204</v>
      </c>
      <c r="AE128" s="46">
        <f>IFERROR(INDEX('Costos Producción Febrero'!$I$34:$I$57,MATCH(Resumen!Y128,'Costos Producción Febrero'!$B$34:$B$57,0))*AB128*G128,0)</f>
        <v>244.4614677160674</v>
      </c>
      <c r="AF128" s="46">
        <f>IFERROR(INDEX('Costos Producción Febrero'!$J$34:$J$57,MATCH(Resumen!Y128,'Costos Producción Febrero'!$B$34:$B$57,0))*AB128*G128,0)</f>
        <v>7350.6422038222263</v>
      </c>
      <c r="AG128" s="46">
        <f t="shared" si="153"/>
        <v>38273.027568740552</v>
      </c>
      <c r="AH128" s="46"/>
      <c r="AI128" s="46">
        <v>1753.6934474995801</v>
      </c>
      <c r="AJ128" s="46"/>
      <c r="AK128" s="45">
        <f t="shared" si="146"/>
        <v>-14648.027568740552</v>
      </c>
      <c r="AL128" s="94">
        <f t="shared" si="147"/>
        <v>-0.620022330951981</v>
      </c>
      <c r="AM128" s="44">
        <f t="shared" si="154"/>
        <v>3501</v>
      </c>
      <c r="AN128" s="44">
        <v>0</v>
      </c>
      <c r="AO128" s="44">
        <f t="shared" si="155"/>
        <v>1629.5192307692307</v>
      </c>
      <c r="AP128" s="44">
        <f t="shared" si="156"/>
        <v>5130.5192307692305</v>
      </c>
      <c r="AQ128" s="44">
        <f t="shared" si="159"/>
        <v>893.69695652393693</v>
      </c>
      <c r="AR128" s="44">
        <f t="shared" si="157"/>
        <v>603.72</v>
      </c>
      <c r="AS128" s="45">
        <f t="shared" si="160"/>
        <v>-20068.523756033719</v>
      </c>
      <c r="AT128" s="94">
        <f t="shared" si="161"/>
        <v>-0.84946132300671828</v>
      </c>
      <c r="AU128" s="44">
        <f t="shared" si="162"/>
        <v>1756.8567933560125</v>
      </c>
      <c r="AV128" s="45">
        <f t="shared" si="140"/>
        <v>-21825.380549389731</v>
      </c>
      <c r="AW128" s="94">
        <f t="shared" si="151"/>
        <v>-0.92382563172020027</v>
      </c>
      <c r="AX128" s="44">
        <f t="shared" si="180"/>
        <v>1404.4157825034247</v>
      </c>
      <c r="AY128" s="45">
        <f t="shared" si="141"/>
        <v>-18664.107973530296</v>
      </c>
      <c r="AZ128" s="94">
        <f t="shared" si="152"/>
        <v>-0.79001515231874264</v>
      </c>
      <c r="BB128" s="10">
        <f t="shared" si="163"/>
        <v>1050</v>
      </c>
      <c r="BC128" s="10">
        <f t="shared" si="164"/>
        <v>-987.61549396142391</v>
      </c>
      <c r="BD128" s="10">
        <f t="shared" si="165"/>
        <v>-375.84779035867643</v>
      </c>
      <c r="BE128" s="10">
        <f t="shared" si="166"/>
        <v>-10.864954120714106</v>
      </c>
      <c r="BF128" s="10">
        <f t="shared" si="167"/>
        <v>-326.69520905876561</v>
      </c>
      <c r="BG128" s="10">
        <f t="shared" si="168"/>
        <v>-1701.02344749958</v>
      </c>
      <c r="BH128" s="10">
        <f t="shared" si="169"/>
        <v>-651.02344749958013</v>
      </c>
      <c r="BI128" s="10">
        <f t="shared" si="170"/>
        <v>-155.6</v>
      </c>
      <c r="BJ128" s="10">
        <f t="shared" si="171"/>
        <v>-72.42307692307692</v>
      </c>
      <c r="BK128" s="10">
        <f t="shared" si="172"/>
        <v>-228.0230769230769</v>
      </c>
      <c r="BL128" s="10">
        <f t="shared" si="173"/>
        <v>-39.719864734397198</v>
      </c>
      <c r="BM128" s="10">
        <f t="shared" si="174"/>
        <v>26.832000000000001</v>
      </c>
      <c r="BN128" s="10">
        <f t="shared" si="175"/>
        <v>-891.93438915705417</v>
      </c>
      <c r="BO128" s="10">
        <f t="shared" si="176"/>
        <v>-78.082524149156114</v>
      </c>
      <c r="BP128" s="10">
        <f t="shared" si="177"/>
        <v>-970.0169133062102</v>
      </c>
      <c r="BQ128" s="10">
        <f t="shared" si="178"/>
        <v>62.41847922237443</v>
      </c>
      <c r="BR128" s="10">
        <f t="shared" si="179"/>
        <v>-829.51590993467983</v>
      </c>
    </row>
    <row r="129" spans="2:70">
      <c r="B129" s="7"/>
      <c r="C129" s="29" t="s">
        <v>709</v>
      </c>
      <c r="D129" s="25" t="s">
        <v>690</v>
      </c>
      <c r="E129" s="100">
        <v>112</v>
      </c>
      <c r="F129" s="100">
        <v>46154</v>
      </c>
      <c r="G129" s="101">
        <v>112</v>
      </c>
      <c r="H129" s="27" t="s">
        <v>34</v>
      </c>
      <c r="I129" s="27" t="s">
        <v>116</v>
      </c>
      <c r="J129" s="7" t="s">
        <v>716</v>
      </c>
      <c r="K129" s="7" t="s">
        <v>118</v>
      </c>
      <c r="L129" s="7" t="s">
        <v>119</v>
      </c>
      <c r="M129" s="21" t="s">
        <v>43</v>
      </c>
      <c r="N129" s="7" t="s">
        <v>129</v>
      </c>
      <c r="O129" s="20">
        <v>1250</v>
      </c>
      <c r="P129" s="61">
        <v>140000</v>
      </c>
      <c r="Q129" s="20">
        <v>1093.7053571428571</v>
      </c>
      <c r="R129" s="30">
        <v>17505</v>
      </c>
      <c r="S129" s="32">
        <v>122495</v>
      </c>
      <c r="T129" s="65">
        <v>5</v>
      </c>
      <c r="U129" s="59" t="s">
        <v>741</v>
      </c>
      <c r="V129" s="147" t="s">
        <v>751</v>
      </c>
      <c r="W129" s="62"/>
      <c r="X129" s="4"/>
      <c r="Y129" s="7">
        <v>10005779</v>
      </c>
      <c r="Z129" s="7"/>
      <c r="AA129" s="7"/>
      <c r="AB129" s="20">
        <f t="shared" si="182"/>
        <v>1701.0234474995802</v>
      </c>
      <c r="AC129" s="46">
        <f>IFERROR(INDEX('Costos Producción Febrero'!$G$34:$G$57,MATCH(Resumen!Y129,'Costos Producción Febrero'!$B$34:$B$57,0))*AB129*G129,0)</f>
        <v>110612.93532367949</v>
      </c>
      <c r="AD129" s="46">
        <f>IFERROR(INDEX('Costos Producción Febrero'!$H$34:$H$57,MATCH(Resumen!Y129,'Costos Producción Febrero'!$B$34:$B$57,0))*AB129*G129,0)</f>
        <v>42094.95252017177</v>
      </c>
      <c r="AE129" s="46">
        <f>IFERROR(INDEX('Costos Producción Febrero'!$I$34:$I$57,MATCH(Resumen!Y129,'Costos Producción Febrero'!$B$34:$B$57,0))*AB129*G129,0)</f>
        <v>1216.87486151998</v>
      </c>
      <c r="AF129" s="46">
        <f>IFERROR(INDEX('Costos Producción Febrero'!$J$34:$J$57,MATCH(Resumen!Y129,'Costos Producción Febrero'!$B$34:$B$57,0))*AB129*G129,0)</f>
        <v>36589.863414581749</v>
      </c>
      <c r="AG129" s="46">
        <f t="shared" si="153"/>
        <v>190514.626119953</v>
      </c>
      <c r="AH129" s="46"/>
      <c r="AI129" s="46">
        <v>1753.6934474995801</v>
      </c>
      <c r="AJ129" s="46"/>
      <c r="AK129" s="45">
        <f t="shared" si="146"/>
        <v>-50514.626119952998</v>
      </c>
      <c r="AL129" s="94">
        <f t="shared" si="147"/>
        <v>-0.36081875799966429</v>
      </c>
      <c r="AM129" s="44">
        <f t="shared" si="154"/>
        <v>17505</v>
      </c>
      <c r="AN129" s="44">
        <v>0</v>
      </c>
      <c r="AO129" s="44">
        <f t="shared" si="155"/>
        <v>8111.3846153846152</v>
      </c>
      <c r="AP129" s="44">
        <f t="shared" si="156"/>
        <v>25616.384615384617</v>
      </c>
      <c r="AQ129" s="44">
        <f t="shared" si="159"/>
        <v>4448.6248502524859</v>
      </c>
      <c r="AR129" s="44">
        <f t="shared" si="157"/>
        <v>3674.85</v>
      </c>
      <c r="AS129" s="45">
        <f t="shared" si="160"/>
        <v>-76904.7855855901</v>
      </c>
      <c r="AT129" s="94">
        <f t="shared" si="161"/>
        <v>-0.54931989703992934</v>
      </c>
      <c r="AU129" s="44">
        <f t="shared" si="162"/>
        <v>8745.2427047054844</v>
      </c>
      <c r="AV129" s="45">
        <f t="shared" si="140"/>
        <v>-85650.028290295581</v>
      </c>
      <c r="AW129" s="94">
        <f t="shared" si="151"/>
        <v>-0.61178591635925417</v>
      </c>
      <c r="AX129" s="44">
        <f t="shared" si="180"/>
        <v>6990.8696729059357</v>
      </c>
      <c r="AY129" s="45">
        <f t="shared" si="141"/>
        <v>-69913.91591268417</v>
      </c>
      <c r="AZ129" s="94">
        <f t="shared" si="152"/>
        <v>-0.49938511366202976</v>
      </c>
      <c r="BB129" s="10">
        <f t="shared" si="163"/>
        <v>1250</v>
      </c>
      <c r="BC129" s="10">
        <f t="shared" si="164"/>
        <v>-987.61549396142402</v>
      </c>
      <c r="BD129" s="10">
        <f t="shared" si="165"/>
        <v>-375.84779035867649</v>
      </c>
      <c r="BE129" s="10">
        <f t="shared" si="166"/>
        <v>-10.864954120714106</v>
      </c>
      <c r="BF129" s="10">
        <f t="shared" si="167"/>
        <v>-326.69520905876561</v>
      </c>
      <c r="BG129" s="10">
        <f t="shared" si="168"/>
        <v>-1701.0234474995802</v>
      </c>
      <c r="BH129" s="10">
        <f t="shared" si="169"/>
        <v>-451.02344749958036</v>
      </c>
      <c r="BI129" s="10">
        <f t="shared" si="170"/>
        <v>-156.29464285714286</v>
      </c>
      <c r="BJ129" s="10">
        <f t="shared" si="171"/>
        <v>-72.42307692307692</v>
      </c>
      <c r="BK129" s="10">
        <f t="shared" si="172"/>
        <v>-228.7177197802198</v>
      </c>
      <c r="BL129" s="10">
        <f t="shared" si="173"/>
        <v>-39.719864734397198</v>
      </c>
      <c r="BM129" s="10">
        <f t="shared" si="174"/>
        <v>32.811160714285712</v>
      </c>
      <c r="BN129" s="10">
        <f t="shared" si="175"/>
        <v>-686.64987129991164</v>
      </c>
      <c r="BO129" s="10">
        <f t="shared" si="176"/>
        <v>-78.082524149156114</v>
      </c>
      <c r="BP129" s="10">
        <f t="shared" si="177"/>
        <v>-764.73239544906767</v>
      </c>
      <c r="BQ129" s="10">
        <f t="shared" si="178"/>
        <v>62.418479222374422</v>
      </c>
      <c r="BR129" s="10">
        <f t="shared" si="179"/>
        <v>-624.23139207753718</v>
      </c>
    </row>
    <row r="130" spans="2:70">
      <c r="B130" s="7"/>
      <c r="C130" s="29" t="s">
        <v>709</v>
      </c>
      <c r="D130" s="25" t="s">
        <v>691</v>
      </c>
      <c r="E130" s="100">
        <v>113</v>
      </c>
      <c r="F130" s="100">
        <v>46157</v>
      </c>
      <c r="G130" s="101">
        <v>48</v>
      </c>
      <c r="H130" s="27" t="s">
        <v>33</v>
      </c>
      <c r="I130" s="27" t="s">
        <v>132</v>
      </c>
      <c r="J130" s="7" t="s">
        <v>717</v>
      </c>
      <c r="K130" s="7" t="s">
        <v>141</v>
      </c>
      <c r="L130" s="7" t="s">
        <v>522</v>
      </c>
      <c r="M130" s="21" t="s">
        <v>43</v>
      </c>
      <c r="N130" s="7" t="s">
        <v>129</v>
      </c>
      <c r="O130" s="20">
        <v>2300</v>
      </c>
      <c r="P130" s="61">
        <v>110400</v>
      </c>
      <c r="Q130" s="20">
        <v>2166.625</v>
      </c>
      <c r="R130" s="30">
        <v>6402</v>
      </c>
      <c r="S130" s="32">
        <v>103998</v>
      </c>
      <c r="T130" s="65">
        <v>2</v>
      </c>
      <c r="U130" s="59" t="s">
        <v>752</v>
      </c>
      <c r="V130" s="147" t="s">
        <v>753</v>
      </c>
      <c r="W130" s="62"/>
      <c r="X130" s="4"/>
      <c r="Y130" s="7">
        <v>10005721</v>
      </c>
      <c r="Z130" s="7"/>
      <c r="AA130" s="7"/>
      <c r="AB130" s="20">
        <f t="shared" si="182"/>
        <v>2084.0167833638698</v>
      </c>
      <c r="AC130" s="46">
        <f>IFERROR(INDEX('Costos Producción Febrero'!$G$34:$G$57,MATCH(Resumen!Y130,'Costos Producción Febrero'!$B$34:$B$57,0))*AB130*G130,0)</f>
        <v>60751.014514552713</v>
      </c>
      <c r="AD130" s="46">
        <f>IFERROR(INDEX('Costos Producción Febrero'!$H$34:$H$57,MATCH(Resumen!Y130,'Costos Producción Febrero'!$B$34:$B$57,0))*AB130*G130,0)</f>
        <v>17801.308513761767</v>
      </c>
      <c r="AE130" s="46">
        <f>IFERROR(INDEX('Costos Producción Febrero'!$I$34:$I$57,MATCH(Resumen!Y130,'Costos Producción Febrero'!$B$34:$B$57,0))*AB130*G130,0)</f>
        <v>1090.5482283624849</v>
      </c>
      <c r="AF130" s="46">
        <f>IFERROR(INDEX('Costos Producción Febrero'!$J$34:$J$57,MATCH(Resumen!Y130,'Costos Producción Febrero'!$B$34:$B$57,0))*AB130*G130,0)</f>
        <v>20389.934344788784</v>
      </c>
      <c r="AG130" s="46">
        <f t="shared" si="153"/>
        <v>100032.80560146575</v>
      </c>
      <c r="AH130" s="46"/>
      <c r="AI130" s="46">
        <v>2136.6867833638698</v>
      </c>
      <c r="AJ130" s="46"/>
      <c r="AK130" s="45">
        <f t="shared" si="146"/>
        <v>10367.194398534251</v>
      </c>
      <c r="AL130" s="94">
        <f t="shared" si="147"/>
        <v>9.3905746363534881E-2</v>
      </c>
      <c r="AM130" s="44">
        <f t="shared" si="154"/>
        <v>6402</v>
      </c>
      <c r="AN130" s="44">
        <v>0</v>
      </c>
      <c r="AO130" s="44">
        <f t="shared" si="155"/>
        <v>3476.3076923076924</v>
      </c>
      <c r="AP130" s="44">
        <f t="shared" si="156"/>
        <v>9878.3076923076915</v>
      </c>
      <c r="AQ130" s="44">
        <f t="shared" si="159"/>
        <v>1906.5535072510656</v>
      </c>
      <c r="AR130" s="44">
        <f t="shared" si="157"/>
        <v>3119.94</v>
      </c>
      <c r="AS130" s="45">
        <f t="shared" si="160"/>
        <v>1702.2731989754943</v>
      </c>
      <c r="AT130" s="94">
        <f t="shared" si="161"/>
        <v>1.5419141295067884E-2</v>
      </c>
      <c r="AU130" s="44">
        <f t="shared" si="162"/>
        <v>3747.9611591594935</v>
      </c>
      <c r="AV130" s="45">
        <f t="shared" si="140"/>
        <v>-2045.6879601839992</v>
      </c>
      <c r="AW130" s="94">
        <f t="shared" si="151"/>
        <v>-1.8529782248043469E-2</v>
      </c>
      <c r="AX130" s="44">
        <f t="shared" si="180"/>
        <v>2996.0870026739726</v>
      </c>
      <c r="AY130" s="45">
        <f t="shared" si="141"/>
        <v>4698.3602016494669</v>
      </c>
      <c r="AZ130" s="94">
        <f t="shared" si="152"/>
        <v>4.2557610522187199E-2</v>
      </c>
      <c r="BB130" s="10">
        <f t="shared" si="163"/>
        <v>2300</v>
      </c>
      <c r="BC130" s="10">
        <f t="shared" si="164"/>
        <v>-1265.6461357198482</v>
      </c>
      <c r="BD130" s="10">
        <f t="shared" si="165"/>
        <v>-370.8605940367035</v>
      </c>
      <c r="BE130" s="10">
        <f t="shared" si="166"/>
        <v>-22.719754757551769</v>
      </c>
      <c r="BF130" s="10">
        <f t="shared" si="167"/>
        <v>-424.79029884976632</v>
      </c>
      <c r="BG130" s="10">
        <f t="shared" si="168"/>
        <v>-2084.0167833638698</v>
      </c>
      <c r="BH130" s="10">
        <f t="shared" si="169"/>
        <v>215.98321663613024</v>
      </c>
      <c r="BI130" s="10">
        <f t="shared" si="170"/>
        <v>-133.375</v>
      </c>
      <c r="BJ130" s="10">
        <f t="shared" si="171"/>
        <v>-72.42307692307692</v>
      </c>
      <c r="BK130" s="10">
        <f t="shared" si="172"/>
        <v>-205.79807692307691</v>
      </c>
      <c r="BL130" s="10">
        <f t="shared" si="173"/>
        <v>-39.719864734397198</v>
      </c>
      <c r="BM130" s="10">
        <f t="shared" si="174"/>
        <v>64.998750000000001</v>
      </c>
      <c r="BN130" s="10">
        <f t="shared" si="175"/>
        <v>35.464024978656134</v>
      </c>
      <c r="BO130" s="10">
        <f t="shared" si="176"/>
        <v>-78.082524149156114</v>
      </c>
      <c r="BP130" s="10">
        <f t="shared" si="177"/>
        <v>-42.61849917049998</v>
      </c>
      <c r="BQ130" s="10">
        <f t="shared" si="178"/>
        <v>62.41847922237443</v>
      </c>
      <c r="BR130" s="10">
        <f t="shared" si="179"/>
        <v>97.882504201030557</v>
      </c>
    </row>
    <row r="131" spans="2:70">
      <c r="B131" s="7"/>
      <c r="C131" s="29" t="s">
        <v>709</v>
      </c>
      <c r="D131" s="25" t="s">
        <v>692</v>
      </c>
      <c r="E131" s="100">
        <v>114</v>
      </c>
      <c r="F131" s="100">
        <v>46160</v>
      </c>
      <c r="G131" s="101">
        <v>26</v>
      </c>
      <c r="H131" s="27" t="s">
        <v>673</v>
      </c>
      <c r="I131" s="27" t="s">
        <v>711</v>
      </c>
      <c r="J131" s="7"/>
      <c r="K131" s="7" t="s">
        <v>161</v>
      </c>
      <c r="L131" s="7" t="s">
        <v>147</v>
      </c>
      <c r="M131" s="21" t="s">
        <v>44</v>
      </c>
      <c r="N131" s="7" t="s">
        <v>214</v>
      </c>
      <c r="O131" s="20">
        <v>1400</v>
      </c>
      <c r="P131" s="61">
        <v>36400</v>
      </c>
      <c r="Q131" s="20">
        <v>1205.7692307692307</v>
      </c>
      <c r="R131" s="30">
        <v>5050</v>
      </c>
      <c r="S131" s="32">
        <v>31350</v>
      </c>
      <c r="T131" s="65">
        <v>1</v>
      </c>
      <c r="U131" s="59" t="s">
        <v>749</v>
      </c>
      <c r="V131" s="147">
        <v>91002009</v>
      </c>
      <c r="W131" s="62"/>
      <c r="X131" s="4"/>
      <c r="Y131" s="7"/>
      <c r="Z131" s="7"/>
      <c r="AA131" s="7"/>
      <c r="AB131" s="20">
        <f t="shared" si="181"/>
        <v>0</v>
      </c>
      <c r="AC131" s="46">
        <f>IFERROR(INDEX('Costos Producción Febrero'!$G$34:$G$57,MATCH(Resumen!Y131,'Costos Producción Febrero'!$B$34:$B$57,0))*AB131*G131,0)</f>
        <v>0</v>
      </c>
      <c r="AD131" s="46">
        <f>IFERROR(INDEX('Costos Producción Febrero'!$H$34:$H$57,MATCH(Resumen!Y131,'Costos Producción Febrero'!$B$34:$B$57,0))*AB131*G131,0)</f>
        <v>0</v>
      </c>
      <c r="AE131" s="46">
        <f>IFERROR(INDEX('Costos Producción Febrero'!$I$34:$I$57,MATCH(Resumen!Y131,'Costos Producción Febrero'!$B$34:$B$57,0))*AB131*G131,0)</f>
        <v>0</v>
      </c>
      <c r="AF131" s="46">
        <f>IFERROR(INDEX('Costos Producción Febrero'!$J$34:$J$57,MATCH(Resumen!Y131,'Costos Producción Febrero'!$B$34:$B$57,0))*AB131*G131,0)</f>
        <v>0</v>
      </c>
      <c r="AG131" s="46">
        <f t="shared" si="153"/>
        <v>0</v>
      </c>
      <c r="AH131" s="46"/>
      <c r="AI131" s="46"/>
      <c r="AJ131" s="46"/>
      <c r="AK131" s="45">
        <f t="shared" si="146"/>
        <v>36400</v>
      </c>
      <c r="AL131" s="94">
        <f t="shared" si="147"/>
        <v>1</v>
      </c>
      <c r="AM131" s="44">
        <f t="shared" si="154"/>
        <v>5050</v>
      </c>
      <c r="AN131" s="44">
        <v>0</v>
      </c>
      <c r="AO131" s="44">
        <f t="shared" si="155"/>
        <v>1883</v>
      </c>
      <c r="AP131" s="44">
        <f t="shared" si="156"/>
        <v>6933</v>
      </c>
      <c r="AQ131" s="44">
        <f t="shared" si="159"/>
        <v>1032.7164830943273</v>
      </c>
      <c r="AR131" s="44">
        <f t="shared" si="157"/>
        <v>940.5</v>
      </c>
      <c r="AS131" s="45">
        <f t="shared" si="160"/>
        <v>29374.783516905674</v>
      </c>
      <c r="AT131" s="94">
        <f t="shared" si="161"/>
        <v>0.80699954716773825</v>
      </c>
      <c r="AU131" s="44">
        <f t="shared" si="162"/>
        <v>2030.145627878059</v>
      </c>
      <c r="AV131" s="45">
        <f t="shared" si="140"/>
        <v>27344.637889027614</v>
      </c>
      <c r="AW131" s="94">
        <f t="shared" si="151"/>
        <v>0.75122631563262676</v>
      </c>
      <c r="AX131" s="44">
        <f t="shared" si="180"/>
        <v>1622.8804597817352</v>
      </c>
      <c r="AY131" s="45">
        <f t="shared" si="141"/>
        <v>30997.66397668741</v>
      </c>
      <c r="AZ131" s="94">
        <f t="shared" si="152"/>
        <v>0.85158417518372009</v>
      </c>
      <c r="BB131" s="10">
        <f t="shared" si="163"/>
        <v>1400</v>
      </c>
      <c r="BC131" s="10">
        <f t="shared" si="164"/>
        <v>0</v>
      </c>
      <c r="BD131" s="10">
        <f t="shared" si="165"/>
        <v>0</v>
      </c>
      <c r="BE131" s="10">
        <f t="shared" si="166"/>
        <v>0</v>
      </c>
      <c r="BF131" s="10">
        <f t="shared" si="167"/>
        <v>0</v>
      </c>
      <c r="BG131" s="10">
        <f t="shared" si="168"/>
        <v>0</v>
      </c>
      <c r="BH131" s="10">
        <f t="shared" si="169"/>
        <v>1400</v>
      </c>
      <c r="BI131" s="10">
        <f t="shared" si="170"/>
        <v>-194.23076923076923</v>
      </c>
      <c r="BJ131" s="10">
        <f t="shared" si="171"/>
        <v>-72.42307692307692</v>
      </c>
      <c r="BK131" s="10">
        <f t="shared" si="172"/>
        <v>-266.65384615384613</v>
      </c>
      <c r="BL131" s="10">
        <f t="shared" si="173"/>
        <v>-39.719864734397206</v>
      </c>
      <c r="BM131" s="10">
        <f t="shared" si="174"/>
        <v>36.17307692307692</v>
      </c>
      <c r="BN131" s="10">
        <f t="shared" si="175"/>
        <v>1129.7993660348336</v>
      </c>
      <c r="BO131" s="10">
        <f t="shared" si="176"/>
        <v>-78.082524149156114</v>
      </c>
      <c r="BP131" s="10">
        <f t="shared" si="177"/>
        <v>1051.7168418856775</v>
      </c>
      <c r="BQ131" s="10">
        <f t="shared" si="178"/>
        <v>62.41847922237443</v>
      </c>
      <c r="BR131" s="10">
        <f t="shared" si="179"/>
        <v>1192.2178452572082</v>
      </c>
    </row>
    <row r="132" spans="2:70">
      <c r="B132" s="7"/>
      <c r="C132" s="29" t="s">
        <v>709</v>
      </c>
      <c r="D132" s="25" t="s">
        <v>693</v>
      </c>
      <c r="E132" s="100">
        <v>45771</v>
      </c>
      <c r="F132" s="100">
        <v>46157</v>
      </c>
      <c r="G132" s="101">
        <v>26</v>
      </c>
      <c r="H132" s="27" t="s">
        <v>34</v>
      </c>
      <c r="I132" s="27" t="s">
        <v>116</v>
      </c>
      <c r="J132" s="7" t="s">
        <v>718</v>
      </c>
      <c r="K132" s="7" t="s">
        <v>118</v>
      </c>
      <c r="L132" s="7" t="s">
        <v>119</v>
      </c>
      <c r="M132" s="21" t="s">
        <v>719</v>
      </c>
      <c r="N132" s="7" t="s">
        <v>720</v>
      </c>
      <c r="O132" s="20">
        <v>1300</v>
      </c>
      <c r="P132" s="61">
        <v>33800</v>
      </c>
      <c r="Q132" s="20">
        <v>1157.6923076923076</v>
      </c>
      <c r="R132" s="30">
        <v>3700</v>
      </c>
      <c r="S132" s="32">
        <v>30100</v>
      </c>
      <c r="T132" s="65">
        <v>1</v>
      </c>
      <c r="U132" s="59" t="s">
        <v>742</v>
      </c>
      <c r="V132" s="147">
        <v>6500435880</v>
      </c>
      <c r="W132" s="62"/>
      <c r="X132" s="4"/>
      <c r="Y132" s="7">
        <v>10005779</v>
      </c>
      <c r="Z132" s="7"/>
      <c r="AA132" s="7"/>
      <c r="AB132" s="20">
        <f t="shared" ref="AB132:AB136" si="183">AI132-47.35-5.32</f>
        <v>1701.0234474995802</v>
      </c>
      <c r="AC132" s="46">
        <f>IFERROR(INDEX('Costos Producción Febrero'!$G$34:$G$57,MATCH(Resumen!Y132,'Costos Producción Febrero'!$B$34:$B$57,0))*AB132*G132,0)</f>
        <v>25678.002842997026</v>
      </c>
      <c r="AD132" s="46">
        <f>IFERROR(INDEX('Costos Producción Febrero'!$H$34:$H$57,MATCH(Resumen!Y132,'Costos Producción Febrero'!$B$34:$B$57,0))*AB132*G132,0)</f>
        <v>9772.042549325588</v>
      </c>
      <c r="AE132" s="46">
        <f>IFERROR(INDEX('Costos Producción Febrero'!$I$34:$I$57,MATCH(Resumen!Y132,'Costos Producción Febrero'!$B$34:$B$57,0))*AB132*G132,0)</f>
        <v>282.48880713856676</v>
      </c>
      <c r="AF132" s="46">
        <f>IFERROR(INDEX('Costos Producción Febrero'!$J$34:$J$57,MATCH(Resumen!Y132,'Costos Producción Febrero'!$B$34:$B$57,0))*AB132*G132,0)</f>
        <v>8494.0754355279059</v>
      </c>
      <c r="AG132" s="46">
        <f t="shared" si="153"/>
        <v>44226.609634989087</v>
      </c>
      <c r="AH132" s="46"/>
      <c r="AI132" s="46">
        <v>1753.6934474995801</v>
      </c>
      <c r="AJ132" s="46"/>
      <c r="AK132" s="45">
        <f t="shared" si="146"/>
        <v>-10426.609634989087</v>
      </c>
      <c r="AL132" s="94">
        <f t="shared" si="147"/>
        <v>-0.3084795749996771</v>
      </c>
      <c r="AM132" s="44">
        <f t="shared" si="154"/>
        <v>3700</v>
      </c>
      <c r="AN132" s="44">
        <v>0</v>
      </c>
      <c r="AO132" s="44">
        <f t="shared" si="155"/>
        <v>1883</v>
      </c>
      <c r="AP132" s="44">
        <f t="shared" si="156"/>
        <v>5583</v>
      </c>
      <c r="AQ132" s="44">
        <f t="shared" si="159"/>
        <v>1032.7164830943273</v>
      </c>
      <c r="AR132" s="44">
        <f t="shared" si="157"/>
        <v>903</v>
      </c>
      <c r="AS132" s="45">
        <f t="shared" si="160"/>
        <v>-16139.326118083412</v>
      </c>
      <c r="AT132" s="94">
        <f t="shared" si="161"/>
        <v>-0.47749485556459798</v>
      </c>
      <c r="AU132" s="44">
        <f t="shared" si="162"/>
        <v>2030.145627878059</v>
      </c>
      <c r="AV132" s="45">
        <f t="shared" si="140"/>
        <v>-18169.471745961473</v>
      </c>
      <c r="AW132" s="94">
        <f t="shared" si="151"/>
        <v>-0.53755833567933353</v>
      </c>
      <c r="AX132" s="44">
        <f t="shared" si="180"/>
        <v>1622.8804597817352</v>
      </c>
      <c r="AY132" s="45">
        <f t="shared" si="141"/>
        <v>-14516.445658301676</v>
      </c>
      <c r="AZ132" s="94">
        <f t="shared" si="152"/>
        <v>-0.42948064077815612</v>
      </c>
      <c r="BB132" s="10">
        <f t="shared" si="163"/>
        <v>1300</v>
      </c>
      <c r="BC132" s="10">
        <f t="shared" si="164"/>
        <v>-987.61549396142414</v>
      </c>
      <c r="BD132" s="10">
        <f t="shared" si="165"/>
        <v>-375.84779035867643</v>
      </c>
      <c r="BE132" s="10">
        <f t="shared" si="166"/>
        <v>-10.864954120714106</v>
      </c>
      <c r="BF132" s="10">
        <f t="shared" si="167"/>
        <v>-326.69520905876561</v>
      </c>
      <c r="BG132" s="10">
        <f t="shared" si="168"/>
        <v>-1701.0234474995802</v>
      </c>
      <c r="BH132" s="10">
        <f t="shared" si="169"/>
        <v>-401.02344749958024</v>
      </c>
      <c r="BI132" s="10">
        <f t="shared" si="170"/>
        <v>-142.30769230769232</v>
      </c>
      <c r="BJ132" s="10">
        <f t="shared" si="171"/>
        <v>-72.42307692307692</v>
      </c>
      <c r="BK132" s="10">
        <f t="shared" si="172"/>
        <v>-214.73076923076923</v>
      </c>
      <c r="BL132" s="10">
        <f t="shared" si="173"/>
        <v>-39.719864734397206</v>
      </c>
      <c r="BM132" s="10">
        <f t="shared" si="174"/>
        <v>34.730769230769234</v>
      </c>
      <c r="BN132" s="10">
        <f t="shared" si="175"/>
        <v>-620.74331223397735</v>
      </c>
      <c r="BO132" s="10">
        <f t="shared" si="176"/>
        <v>-78.082524149156114</v>
      </c>
      <c r="BP132" s="10">
        <f t="shared" si="177"/>
        <v>-698.82583638313361</v>
      </c>
      <c r="BQ132" s="10">
        <f t="shared" si="178"/>
        <v>62.41847922237443</v>
      </c>
      <c r="BR132" s="10">
        <f t="shared" si="179"/>
        <v>-558.32483301160289</v>
      </c>
    </row>
    <row r="133" spans="2:70">
      <c r="B133" s="7"/>
      <c r="C133" s="29" t="s">
        <v>709</v>
      </c>
      <c r="D133" s="25" t="s">
        <v>694</v>
      </c>
      <c r="E133" s="100">
        <v>120</v>
      </c>
      <c r="F133" s="100">
        <v>46164</v>
      </c>
      <c r="G133" s="101">
        <v>54</v>
      </c>
      <c r="H133" s="27" t="s">
        <v>31</v>
      </c>
      <c r="I133" s="27" t="s">
        <v>107</v>
      </c>
      <c r="J133" s="7" t="s">
        <v>721</v>
      </c>
      <c r="K133" s="7" t="s">
        <v>171</v>
      </c>
      <c r="L133" s="7" t="s">
        <v>202</v>
      </c>
      <c r="M133" s="21" t="s">
        <v>722</v>
      </c>
      <c r="N133" s="7" t="s">
        <v>723</v>
      </c>
      <c r="O133" s="20">
        <v>3050</v>
      </c>
      <c r="P133" s="61">
        <v>164700</v>
      </c>
      <c r="Q133" s="20">
        <v>2931.4444444444443</v>
      </c>
      <c r="R133" s="30">
        <v>6402</v>
      </c>
      <c r="S133" s="32">
        <v>158298</v>
      </c>
      <c r="T133" s="65">
        <v>2</v>
      </c>
      <c r="U133" s="59" t="s">
        <v>743</v>
      </c>
      <c r="V133" s="147" t="s">
        <v>754</v>
      </c>
      <c r="W133" s="62"/>
      <c r="X133" s="4"/>
      <c r="Y133" s="7">
        <v>10007162</v>
      </c>
      <c r="Z133" s="7"/>
      <c r="AA133" s="7"/>
      <c r="AB133" s="20">
        <f t="shared" si="183"/>
        <v>1829.5095185638502</v>
      </c>
      <c r="AC133" s="46">
        <f>IFERROR(INDEX('Costos Producción Febrero'!$G$34:$G$57,MATCH(Resumen!Y133,'Costos Producción Febrero'!$B$34:$B$57,0))*AB133*G133,0)</f>
        <v>60575.307514163513</v>
      </c>
      <c r="AD133" s="46">
        <f>IFERROR(INDEX('Costos Producción Febrero'!$H$34:$H$57,MATCH(Resumen!Y133,'Costos Producción Febrero'!$B$34:$B$57,0))*AB133*G133,0)</f>
        <v>17198.537812920466</v>
      </c>
      <c r="AE133" s="46">
        <f>IFERROR(INDEX('Costos Producción Febrero'!$I$34:$I$57,MATCH(Resumen!Y133,'Costos Producción Febrero'!$B$34:$B$57,0))*AB133*G133,0)</f>
        <v>915.87416935879696</v>
      </c>
      <c r="AF133" s="46">
        <f>IFERROR(INDEX('Costos Producción Febrero'!$J$34:$J$57,MATCH(Resumen!Y133,'Costos Producción Febrero'!$B$34:$B$57,0))*AB133*G133,0)</f>
        <v>20103.794506005135</v>
      </c>
      <c r="AG133" s="46">
        <f t="shared" si="153"/>
        <v>98793.514002447919</v>
      </c>
      <c r="AH133" s="46"/>
      <c r="AI133" s="46">
        <v>1882.17951856385</v>
      </c>
      <c r="AJ133" s="46"/>
      <c r="AK133" s="45">
        <f t="shared" si="146"/>
        <v>65906.485997552081</v>
      </c>
      <c r="AL133" s="94">
        <f t="shared" si="147"/>
        <v>0.40016081358562283</v>
      </c>
      <c r="AM133" s="44">
        <f t="shared" si="154"/>
        <v>6402</v>
      </c>
      <c r="AN133" s="44">
        <v>0</v>
      </c>
      <c r="AO133" s="44">
        <f t="shared" si="155"/>
        <v>3910.8461538461538</v>
      </c>
      <c r="AP133" s="44">
        <f t="shared" si="156"/>
        <v>10312.846153846154</v>
      </c>
      <c r="AQ133" s="44">
        <f t="shared" si="159"/>
        <v>2144.8726956574487</v>
      </c>
      <c r="AR133" s="44">
        <f t="shared" si="157"/>
        <v>4748.9399999999996</v>
      </c>
      <c r="AS133" s="45">
        <f t="shared" si="160"/>
        <v>58197.707148048481</v>
      </c>
      <c r="AT133" s="94">
        <f t="shared" si="161"/>
        <v>0.35335584182178797</v>
      </c>
      <c r="AU133" s="44">
        <f t="shared" si="162"/>
        <v>4216.4563040544299</v>
      </c>
      <c r="AV133" s="45">
        <f t="shared" si="140"/>
        <v>53981.25084399405</v>
      </c>
      <c r="AW133" s="94">
        <f t="shared" si="151"/>
        <v>0.32775501423190073</v>
      </c>
      <c r="AX133" s="44">
        <f t="shared" si="180"/>
        <v>3370.5978780082191</v>
      </c>
      <c r="AY133" s="45">
        <f t="shared" si="141"/>
        <v>61568.305026056703</v>
      </c>
      <c r="AZ133" s="94">
        <f t="shared" si="152"/>
        <v>0.37382091697666486</v>
      </c>
      <c r="BB133" s="10">
        <f t="shared" si="163"/>
        <v>3050</v>
      </c>
      <c r="BC133" s="10">
        <f t="shared" si="164"/>
        <v>-1121.764953965991</v>
      </c>
      <c r="BD133" s="10">
        <f t="shared" si="165"/>
        <v>-318.49144098000863</v>
      </c>
      <c r="BE133" s="10">
        <f t="shared" si="166"/>
        <v>-16.960632765903647</v>
      </c>
      <c r="BF133" s="10">
        <f t="shared" si="167"/>
        <v>-372.29249085194692</v>
      </c>
      <c r="BG133" s="10">
        <f t="shared" si="168"/>
        <v>-1829.5095185638504</v>
      </c>
      <c r="BH133" s="10">
        <f t="shared" si="169"/>
        <v>1220.4904814361496</v>
      </c>
      <c r="BI133" s="10">
        <f t="shared" si="170"/>
        <v>-118.55555555555556</v>
      </c>
      <c r="BJ133" s="10">
        <f t="shared" si="171"/>
        <v>-72.42307692307692</v>
      </c>
      <c r="BK133" s="10">
        <f t="shared" si="172"/>
        <v>-190.97863247863248</v>
      </c>
      <c r="BL133" s="10">
        <f t="shared" si="173"/>
        <v>-39.719864734397198</v>
      </c>
      <c r="BM133" s="10">
        <f t="shared" si="174"/>
        <v>87.943333333333328</v>
      </c>
      <c r="BN133" s="10">
        <f t="shared" si="175"/>
        <v>1077.7353175564533</v>
      </c>
      <c r="BO133" s="10">
        <f t="shared" si="176"/>
        <v>-78.082524149156114</v>
      </c>
      <c r="BP133" s="10">
        <f t="shared" si="177"/>
        <v>999.65279340729728</v>
      </c>
      <c r="BQ133" s="10">
        <f t="shared" si="178"/>
        <v>62.41847922237443</v>
      </c>
      <c r="BR133" s="10">
        <f t="shared" si="179"/>
        <v>1140.1537967788279</v>
      </c>
    </row>
    <row r="134" spans="2:70">
      <c r="B134" s="7"/>
      <c r="C134" s="29" t="s">
        <v>709</v>
      </c>
      <c r="D134" s="25" t="s">
        <v>695</v>
      </c>
      <c r="E134" s="100">
        <v>120</v>
      </c>
      <c r="F134" s="100">
        <v>46170</v>
      </c>
      <c r="G134" s="101">
        <v>27</v>
      </c>
      <c r="H134" s="27" t="s">
        <v>31</v>
      </c>
      <c r="I134" s="27" t="s">
        <v>107</v>
      </c>
      <c r="J134" s="7" t="s">
        <v>724</v>
      </c>
      <c r="K134" s="7" t="s">
        <v>171</v>
      </c>
      <c r="L134" s="7" t="s">
        <v>244</v>
      </c>
      <c r="M134" s="21" t="s">
        <v>725</v>
      </c>
      <c r="N134" s="7" t="s">
        <v>726</v>
      </c>
      <c r="O134" s="20">
        <v>3100</v>
      </c>
      <c r="P134" s="61">
        <v>83700</v>
      </c>
      <c r="Q134" s="20">
        <v>2981.4814814814813</v>
      </c>
      <c r="R134" s="30">
        <v>3200</v>
      </c>
      <c r="S134" s="32">
        <v>80500</v>
      </c>
      <c r="T134" s="65">
        <v>1</v>
      </c>
      <c r="U134" s="59" t="s">
        <v>743</v>
      </c>
      <c r="V134" s="147">
        <v>6501720400</v>
      </c>
      <c r="W134" s="62"/>
      <c r="X134" s="4"/>
      <c r="Y134" s="7">
        <v>10007162</v>
      </c>
      <c r="Z134" s="7"/>
      <c r="AA134" s="7"/>
      <c r="AB134" s="20">
        <f t="shared" si="183"/>
        <v>1829.5095185638502</v>
      </c>
      <c r="AC134" s="46">
        <f>IFERROR(INDEX('Costos Producción Febrero'!$G$34:$G$57,MATCH(Resumen!Y134,'Costos Producción Febrero'!$B$34:$B$57,0))*AB134*G134,0)</f>
        <v>30287.653757081756</v>
      </c>
      <c r="AD134" s="46">
        <f>IFERROR(INDEX('Costos Producción Febrero'!$H$34:$H$57,MATCH(Resumen!Y134,'Costos Producción Febrero'!$B$34:$B$57,0))*AB134*G134,0)</f>
        <v>8599.2689064602328</v>
      </c>
      <c r="AE134" s="46">
        <f>IFERROR(INDEX('Costos Producción Febrero'!$I$34:$I$57,MATCH(Resumen!Y134,'Costos Producción Febrero'!$B$34:$B$57,0))*AB134*G134,0)</f>
        <v>457.93708467939848</v>
      </c>
      <c r="AF134" s="46">
        <f>IFERROR(INDEX('Costos Producción Febrero'!$J$34:$J$57,MATCH(Resumen!Y134,'Costos Producción Febrero'!$B$34:$B$57,0))*AB134*G134,0)</f>
        <v>10051.897253002568</v>
      </c>
      <c r="AG134" s="46">
        <f t="shared" si="153"/>
        <v>49396.757001223959</v>
      </c>
      <c r="AH134" s="46"/>
      <c r="AI134" s="46">
        <v>1882.17951856385</v>
      </c>
      <c r="AJ134" s="46"/>
      <c r="AK134" s="45">
        <f t="shared" si="146"/>
        <v>34303.242998776041</v>
      </c>
      <c r="AL134" s="94">
        <f t="shared" si="147"/>
        <v>0.40983563917295152</v>
      </c>
      <c r="AM134" s="44">
        <f t="shared" si="154"/>
        <v>3200</v>
      </c>
      <c r="AN134" s="44">
        <v>0</v>
      </c>
      <c r="AO134" s="44">
        <f t="shared" si="155"/>
        <v>1955.4230769230769</v>
      </c>
      <c r="AP134" s="44">
        <f t="shared" si="156"/>
        <v>5155.4230769230771</v>
      </c>
      <c r="AQ134" s="44">
        <f t="shared" si="159"/>
        <v>1072.4363478287244</v>
      </c>
      <c r="AR134" s="44">
        <f t="shared" si="157"/>
        <v>2415</v>
      </c>
      <c r="AS134" s="45">
        <f t="shared" si="160"/>
        <v>30490.383574024239</v>
      </c>
      <c r="AT134" s="94">
        <f t="shared" si="161"/>
        <v>0.36428176313051658</v>
      </c>
      <c r="AU134" s="44">
        <f t="shared" si="162"/>
        <v>2108.2281520272149</v>
      </c>
      <c r="AV134" s="45">
        <f t="shared" si="140"/>
        <v>28382.155421997024</v>
      </c>
      <c r="AW134" s="94">
        <f t="shared" si="151"/>
        <v>0.33909385211465981</v>
      </c>
      <c r="AX134" s="44">
        <f t="shared" si="180"/>
        <v>1685.2989390041096</v>
      </c>
      <c r="AY134" s="45">
        <f t="shared" si="141"/>
        <v>32175.682513028351</v>
      </c>
      <c r="AZ134" s="94">
        <f t="shared" si="152"/>
        <v>0.38441675642805678</v>
      </c>
      <c r="BB134" s="10">
        <f t="shared" si="163"/>
        <v>3100</v>
      </c>
      <c r="BC134" s="10">
        <f t="shared" si="164"/>
        <v>-1121.764953965991</v>
      </c>
      <c r="BD134" s="10">
        <f t="shared" si="165"/>
        <v>-318.49144098000863</v>
      </c>
      <c r="BE134" s="10">
        <f t="shared" si="166"/>
        <v>-16.960632765903647</v>
      </c>
      <c r="BF134" s="10">
        <f t="shared" si="167"/>
        <v>-372.29249085194692</v>
      </c>
      <c r="BG134" s="10">
        <f t="shared" si="168"/>
        <v>-1829.5095185638504</v>
      </c>
      <c r="BH134" s="10">
        <f t="shared" si="169"/>
        <v>1270.4904814361496</v>
      </c>
      <c r="BI134" s="10">
        <f t="shared" si="170"/>
        <v>-118.51851851851852</v>
      </c>
      <c r="BJ134" s="10">
        <f t="shared" si="171"/>
        <v>-72.42307692307692</v>
      </c>
      <c r="BK134" s="10">
        <f t="shared" si="172"/>
        <v>-190.94159544159544</v>
      </c>
      <c r="BL134" s="10">
        <f t="shared" si="173"/>
        <v>-39.719864734397198</v>
      </c>
      <c r="BM134" s="10">
        <f t="shared" si="174"/>
        <v>89.444444444444443</v>
      </c>
      <c r="BN134" s="10">
        <f t="shared" si="175"/>
        <v>1129.2734657046014</v>
      </c>
      <c r="BO134" s="10">
        <f t="shared" si="176"/>
        <v>-78.082524149156114</v>
      </c>
      <c r="BP134" s="10">
        <f t="shared" si="177"/>
        <v>1051.1909415554453</v>
      </c>
      <c r="BQ134" s="10">
        <f t="shared" si="178"/>
        <v>62.41847922237443</v>
      </c>
      <c r="BR134" s="10">
        <f t="shared" si="179"/>
        <v>1191.691944926976</v>
      </c>
    </row>
    <row r="135" spans="2:70">
      <c r="B135" s="7"/>
      <c r="C135" s="29" t="s">
        <v>709</v>
      </c>
      <c r="D135" s="25" t="s">
        <v>696</v>
      </c>
      <c r="E135" s="100">
        <v>122</v>
      </c>
      <c r="F135" s="100">
        <v>46164</v>
      </c>
      <c r="G135" s="101">
        <v>108</v>
      </c>
      <c r="H135" s="27" t="s">
        <v>498</v>
      </c>
      <c r="I135" s="27" t="s">
        <v>201</v>
      </c>
      <c r="J135" s="7"/>
      <c r="K135" s="7" t="s">
        <v>295</v>
      </c>
      <c r="L135" s="7" t="s">
        <v>172</v>
      </c>
      <c r="M135" s="21" t="s">
        <v>47</v>
      </c>
      <c r="N135" s="7" t="s">
        <v>191</v>
      </c>
      <c r="O135" s="20">
        <v>3900</v>
      </c>
      <c r="P135" s="61">
        <v>421200</v>
      </c>
      <c r="Q135" s="20">
        <v>3846.2962962962961</v>
      </c>
      <c r="R135" s="30">
        <v>5800</v>
      </c>
      <c r="S135" s="32">
        <v>415400</v>
      </c>
      <c r="T135" s="65">
        <v>2</v>
      </c>
      <c r="U135" s="59" t="s">
        <v>743</v>
      </c>
      <c r="V135" s="147">
        <v>6452679230</v>
      </c>
      <c r="W135" s="62"/>
      <c r="X135" s="4"/>
      <c r="Y135" s="7">
        <v>10009239</v>
      </c>
      <c r="Z135" s="7"/>
      <c r="AA135" s="7"/>
      <c r="AB135" s="20">
        <f t="shared" si="183"/>
        <v>3389.0116659973501</v>
      </c>
      <c r="AC135" s="46">
        <f>IFERROR(INDEX('Costos Producción Febrero'!$G$34:$G$57,MATCH(Resumen!Y135,'Costos Producción Febrero'!$B$34:$B$57,0))*AB135*G135,0)</f>
        <v>179989.84754766696</v>
      </c>
      <c r="AD135" s="46">
        <f>IFERROR(INDEX('Costos Producción Febrero'!$H$34:$H$57,MATCH(Resumen!Y135,'Costos Producción Febrero'!$B$34:$B$57,0))*AB135*G135,0)</f>
        <v>117343.45086999628</v>
      </c>
      <c r="AE135" s="46">
        <f>IFERROR(INDEX('Costos Producción Febrero'!$I$34:$I$57,MATCH(Resumen!Y135,'Costos Producción Febrero'!$B$34:$B$57,0))*AB135*G135,0)</f>
        <v>2148.9675695693622</v>
      </c>
      <c r="AF135" s="46">
        <f>IFERROR(INDEX('Costos Producción Febrero'!$J$34:$J$57,MATCH(Resumen!Y135,'Costos Producción Febrero'!$B$34:$B$57,0))*AB135*G135,0)</f>
        <v>66530.993940481261</v>
      </c>
      <c r="AG135" s="46">
        <f t="shared" si="153"/>
        <v>366013.25992771384</v>
      </c>
      <c r="AH135" s="46"/>
      <c r="AI135" s="46">
        <v>3441.6816659973501</v>
      </c>
      <c r="AJ135" s="46"/>
      <c r="AK135" s="45">
        <f t="shared" si="146"/>
        <v>55186.740072286164</v>
      </c>
      <c r="AL135" s="94">
        <f t="shared" si="147"/>
        <v>0.13102264974426914</v>
      </c>
      <c r="AM135" s="44">
        <f t="shared" si="154"/>
        <v>5800</v>
      </c>
      <c r="AN135" s="44">
        <v>0</v>
      </c>
      <c r="AO135" s="44">
        <f t="shared" si="155"/>
        <v>7821.6923076923076</v>
      </c>
      <c r="AP135" s="44">
        <f t="shared" si="156"/>
        <v>13621.692307692309</v>
      </c>
      <c r="AQ135" s="44">
        <f t="shared" si="159"/>
        <v>4289.7453913148975</v>
      </c>
      <c r="AR135" s="44">
        <f t="shared" si="157"/>
        <v>12462</v>
      </c>
      <c r="AS135" s="45">
        <f t="shared" si="160"/>
        <v>49737.302373278952</v>
      </c>
      <c r="AT135" s="94">
        <f t="shared" si="161"/>
        <v>0.11808476346932324</v>
      </c>
      <c r="AU135" s="44">
        <f t="shared" si="162"/>
        <v>8432.9126081088598</v>
      </c>
      <c r="AV135" s="45">
        <f t="shared" si="140"/>
        <v>41304.38976517009</v>
      </c>
      <c r="AW135" s="94">
        <f t="shared" si="151"/>
        <v>9.8063603431078089E-2</v>
      </c>
      <c r="AX135" s="44">
        <f t="shared" si="180"/>
        <v>6741.1957560164383</v>
      </c>
      <c r="AY135" s="45">
        <f t="shared" si="141"/>
        <v>56478.498129295389</v>
      </c>
      <c r="AZ135" s="94">
        <f t="shared" si="152"/>
        <v>0.13408950173147052</v>
      </c>
      <c r="BB135" s="10">
        <f t="shared" si="163"/>
        <v>3900</v>
      </c>
      <c r="BC135" s="10">
        <f t="shared" si="164"/>
        <v>-1666.5726624783977</v>
      </c>
      <c r="BD135" s="10">
        <f t="shared" si="165"/>
        <v>-1086.513433981447</v>
      </c>
      <c r="BE135" s="10">
        <f t="shared" si="166"/>
        <v>-19.897847866382985</v>
      </c>
      <c r="BF135" s="10">
        <f t="shared" si="167"/>
        <v>-616.02772167112278</v>
      </c>
      <c r="BG135" s="10">
        <f t="shared" si="168"/>
        <v>-3389.0116659973505</v>
      </c>
      <c r="BH135" s="10">
        <f t="shared" si="169"/>
        <v>510.98833400264965</v>
      </c>
      <c r="BI135" s="10">
        <f t="shared" si="170"/>
        <v>-53.703703703703702</v>
      </c>
      <c r="BJ135" s="10">
        <f t="shared" si="171"/>
        <v>-72.42307692307692</v>
      </c>
      <c r="BK135" s="10">
        <f t="shared" si="172"/>
        <v>-126.12678062678063</v>
      </c>
      <c r="BL135" s="10">
        <f t="shared" si="173"/>
        <v>-39.719864734397198</v>
      </c>
      <c r="BM135" s="10">
        <f t="shared" si="174"/>
        <v>115.38888888888889</v>
      </c>
      <c r="BN135" s="10">
        <f t="shared" si="175"/>
        <v>460.53057753036069</v>
      </c>
      <c r="BO135" s="10">
        <f t="shared" si="176"/>
        <v>-78.082524149156114</v>
      </c>
      <c r="BP135" s="10">
        <f t="shared" si="177"/>
        <v>382.44805338120455</v>
      </c>
      <c r="BQ135" s="10">
        <f t="shared" si="178"/>
        <v>62.41847922237443</v>
      </c>
      <c r="BR135" s="10">
        <f t="shared" si="179"/>
        <v>522.94905675273503</v>
      </c>
    </row>
    <row r="136" spans="2:70">
      <c r="B136" s="7"/>
      <c r="C136" s="29" t="s">
        <v>709</v>
      </c>
      <c r="D136" s="25" t="s">
        <v>697</v>
      </c>
      <c r="E136" s="100">
        <v>122</v>
      </c>
      <c r="F136" s="100">
        <v>46170</v>
      </c>
      <c r="G136" s="101">
        <v>27</v>
      </c>
      <c r="H136" s="27" t="s">
        <v>498</v>
      </c>
      <c r="I136" s="27" t="s">
        <v>201</v>
      </c>
      <c r="J136" s="7"/>
      <c r="K136" s="7" t="s">
        <v>295</v>
      </c>
      <c r="L136" s="7" t="s">
        <v>172</v>
      </c>
      <c r="M136" s="21" t="s">
        <v>47</v>
      </c>
      <c r="N136" s="7" t="s">
        <v>191</v>
      </c>
      <c r="O136" s="20">
        <v>3900</v>
      </c>
      <c r="P136" s="61">
        <v>105300</v>
      </c>
      <c r="Q136" s="20">
        <v>3792.5925925925926</v>
      </c>
      <c r="R136" s="30">
        <v>2900</v>
      </c>
      <c r="S136" s="32">
        <v>102400</v>
      </c>
      <c r="T136" s="65">
        <v>1</v>
      </c>
      <c r="U136" s="59" t="s">
        <v>744</v>
      </c>
      <c r="V136" s="147">
        <v>6502035370</v>
      </c>
      <c r="W136" s="62"/>
      <c r="X136" s="4"/>
      <c r="Y136" s="7">
        <v>10009239</v>
      </c>
      <c r="Z136" s="7"/>
      <c r="AA136" s="7"/>
      <c r="AB136" s="20">
        <f t="shared" si="183"/>
        <v>3389.0116659973501</v>
      </c>
      <c r="AC136" s="46">
        <f>IFERROR(INDEX('Costos Producción Febrero'!$G$34:$G$57,MATCH(Resumen!Y136,'Costos Producción Febrero'!$B$34:$B$57,0))*AB136*G136,0)</f>
        <v>44997.461886916739</v>
      </c>
      <c r="AD136" s="46">
        <f>IFERROR(INDEX('Costos Producción Febrero'!$H$34:$H$57,MATCH(Resumen!Y136,'Costos Producción Febrero'!$B$34:$B$57,0))*AB136*G136,0)</f>
        <v>29335.862717499069</v>
      </c>
      <c r="AE136" s="46">
        <f>IFERROR(INDEX('Costos Producción Febrero'!$I$34:$I$57,MATCH(Resumen!Y136,'Costos Producción Febrero'!$B$34:$B$57,0))*AB136*G136,0)</f>
        <v>537.24189239234056</v>
      </c>
      <c r="AF136" s="46">
        <f>IFERROR(INDEX('Costos Producción Febrero'!$J$34:$J$57,MATCH(Resumen!Y136,'Costos Producción Febrero'!$B$34:$B$57,0))*AB136*G136,0)</f>
        <v>16632.748485120315</v>
      </c>
      <c r="AG136" s="46">
        <f t="shared" si="153"/>
        <v>91503.314981928459</v>
      </c>
      <c r="AH136" s="46"/>
      <c r="AI136" s="46">
        <v>3441.6816659973501</v>
      </c>
      <c r="AJ136" s="46"/>
      <c r="AK136" s="45">
        <f t="shared" si="146"/>
        <v>13796.685018071541</v>
      </c>
      <c r="AL136" s="94">
        <f t="shared" si="147"/>
        <v>0.13102264974426914</v>
      </c>
      <c r="AM136" s="44">
        <f t="shared" si="154"/>
        <v>2900</v>
      </c>
      <c r="AN136" s="44">
        <v>0</v>
      </c>
      <c r="AO136" s="44">
        <f t="shared" si="155"/>
        <v>1955.4230769230769</v>
      </c>
      <c r="AP136" s="44">
        <f t="shared" si="156"/>
        <v>4855.4230769230771</v>
      </c>
      <c r="AQ136" s="44">
        <f t="shared" si="159"/>
        <v>1072.4363478287244</v>
      </c>
      <c r="AR136" s="44">
        <f t="shared" si="157"/>
        <v>3072</v>
      </c>
      <c r="AS136" s="45">
        <f t="shared" si="160"/>
        <v>10940.82559331974</v>
      </c>
      <c r="AT136" s="94">
        <f t="shared" si="161"/>
        <v>0.10390147761937074</v>
      </c>
      <c r="AU136" s="44">
        <f t="shared" si="162"/>
        <v>2108.2281520272149</v>
      </c>
      <c r="AV136" s="45">
        <f t="shared" si="140"/>
        <v>8832.5974412925243</v>
      </c>
      <c r="AW136" s="94">
        <f t="shared" si="151"/>
        <v>8.3880317581125588E-2</v>
      </c>
      <c r="AX136" s="44">
        <f t="shared" si="180"/>
        <v>1685.2989390041096</v>
      </c>
      <c r="AY136" s="45">
        <f t="shared" si="141"/>
        <v>12626.124532323849</v>
      </c>
      <c r="AZ136" s="94">
        <f t="shared" si="152"/>
        <v>0.11990621588151804</v>
      </c>
      <c r="BB136" s="10">
        <f t="shared" si="163"/>
        <v>3900</v>
      </c>
      <c r="BC136" s="10">
        <f t="shared" si="164"/>
        <v>-1666.5726624783977</v>
      </c>
      <c r="BD136" s="10">
        <f t="shared" si="165"/>
        <v>-1086.513433981447</v>
      </c>
      <c r="BE136" s="10">
        <f t="shared" si="166"/>
        <v>-19.897847866382985</v>
      </c>
      <c r="BF136" s="10">
        <f t="shared" si="167"/>
        <v>-616.02772167112278</v>
      </c>
      <c r="BG136" s="10">
        <f t="shared" si="168"/>
        <v>-3389.0116659973505</v>
      </c>
      <c r="BH136" s="10">
        <f t="shared" si="169"/>
        <v>510.98833400264965</v>
      </c>
      <c r="BI136" s="10">
        <f t="shared" si="170"/>
        <v>-107.4074074074074</v>
      </c>
      <c r="BJ136" s="10">
        <f t="shared" si="171"/>
        <v>-72.42307692307692</v>
      </c>
      <c r="BK136" s="10">
        <f t="shared" si="172"/>
        <v>-179.83048433048432</v>
      </c>
      <c r="BL136" s="10">
        <f t="shared" si="173"/>
        <v>-39.719864734397198</v>
      </c>
      <c r="BM136" s="10">
        <f t="shared" si="174"/>
        <v>113.77777777777777</v>
      </c>
      <c r="BN136" s="10">
        <f t="shared" si="175"/>
        <v>405.21576271554591</v>
      </c>
      <c r="BO136" s="10">
        <f t="shared" si="176"/>
        <v>-78.082524149156114</v>
      </c>
      <c r="BP136" s="10">
        <f t="shared" si="177"/>
        <v>327.13323856638976</v>
      </c>
      <c r="BQ136" s="10">
        <f t="shared" si="178"/>
        <v>62.41847922237443</v>
      </c>
      <c r="BR136" s="10">
        <f t="shared" si="179"/>
        <v>467.63424193792031</v>
      </c>
    </row>
    <row r="137" spans="2:70">
      <c r="B137" s="7"/>
      <c r="C137" s="29" t="s">
        <v>709</v>
      </c>
      <c r="D137" s="25" t="s">
        <v>698</v>
      </c>
      <c r="E137" s="100">
        <v>126</v>
      </c>
      <c r="F137" s="100">
        <v>46170</v>
      </c>
      <c r="G137" s="101">
        <v>27</v>
      </c>
      <c r="H137" s="27" t="s">
        <v>468</v>
      </c>
      <c r="I137" s="27" t="s">
        <v>469</v>
      </c>
      <c r="J137" s="7" t="s">
        <v>727</v>
      </c>
      <c r="K137" s="7" t="s">
        <v>171</v>
      </c>
      <c r="L137" s="7" t="s">
        <v>202</v>
      </c>
      <c r="M137" s="21" t="s">
        <v>728</v>
      </c>
      <c r="N137" s="7" t="s">
        <v>729</v>
      </c>
      <c r="O137" s="20">
        <v>2500</v>
      </c>
      <c r="P137" s="61">
        <v>67500</v>
      </c>
      <c r="Q137" s="20">
        <v>2381.4814814814813</v>
      </c>
      <c r="R137" s="30">
        <v>3200</v>
      </c>
      <c r="S137" s="32">
        <v>64300</v>
      </c>
      <c r="T137" s="65">
        <v>1</v>
      </c>
      <c r="U137" s="59" t="s">
        <v>744</v>
      </c>
      <c r="V137" s="147">
        <v>6502035350</v>
      </c>
      <c r="W137" s="62"/>
      <c r="X137" s="4"/>
      <c r="Y137" s="7">
        <v>10007050</v>
      </c>
      <c r="Z137" s="7"/>
      <c r="AA137" s="7"/>
      <c r="AB137" s="20">
        <f t="shared" si="181"/>
        <v>0</v>
      </c>
      <c r="AC137" s="46">
        <f>IFERROR(INDEX('Costos Producción Febrero'!$G$34:$G$57,MATCH(Resumen!Y137,'Costos Producción Febrero'!$B$34:$B$57,0))*AB137*G137,0)</f>
        <v>0</v>
      </c>
      <c r="AD137" s="46">
        <f>IFERROR(INDEX('Costos Producción Febrero'!$H$34:$H$57,MATCH(Resumen!Y137,'Costos Producción Febrero'!$B$34:$B$57,0))*AB137*G137,0)</f>
        <v>0</v>
      </c>
      <c r="AE137" s="46">
        <f>IFERROR(INDEX('Costos Producción Febrero'!$I$34:$I$57,MATCH(Resumen!Y137,'Costos Producción Febrero'!$B$34:$B$57,0))*AB137*G137,0)</f>
        <v>0</v>
      </c>
      <c r="AF137" s="46">
        <f>IFERROR(INDEX('Costos Producción Febrero'!$J$34:$J$57,MATCH(Resumen!Y137,'Costos Producción Febrero'!$B$34:$B$57,0))*AB137*G137,0)</f>
        <v>0</v>
      </c>
      <c r="AG137" s="46">
        <f t="shared" si="153"/>
        <v>0</v>
      </c>
      <c r="AH137" s="46"/>
      <c r="AI137" s="46"/>
      <c r="AJ137" s="46"/>
      <c r="AK137" s="45">
        <f t="shared" si="146"/>
        <v>67500</v>
      </c>
      <c r="AL137" s="94">
        <f t="shared" si="147"/>
        <v>1</v>
      </c>
      <c r="AM137" s="44">
        <f t="shared" si="154"/>
        <v>3200</v>
      </c>
      <c r="AN137" s="44">
        <v>0</v>
      </c>
      <c r="AO137" s="44">
        <f t="shared" si="155"/>
        <v>1955.4230769230769</v>
      </c>
      <c r="AP137" s="44">
        <f t="shared" si="156"/>
        <v>5155.4230769230771</v>
      </c>
      <c r="AQ137" s="44">
        <f t="shared" si="159"/>
        <v>1072.4363478287244</v>
      </c>
      <c r="AR137" s="44">
        <f t="shared" si="157"/>
        <v>1929</v>
      </c>
      <c r="AS137" s="45">
        <f t="shared" si="160"/>
        <v>63201.140575248195</v>
      </c>
      <c r="AT137" s="94">
        <f t="shared" si="161"/>
        <v>0.93631319370738064</v>
      </c>
      <c r="AU137" s="44">
        <f t="shared" si="162"/>
        <v>2108.2281520272149</v>
      </c>
      <c r="AV137" s="45">
        <f t="shared" si="140"/>
        <v>61092.91242322098</v>
      </c>
      <c r="AW137" s="94">
        <f t="shared" si="151"/>
        <v>0.90508018404771817</v>
      </c>
      <c r="AX137" s="44">
        <f t="shared" si="180"/>
        <v>1685.2989390041096</v>
      </c>
      <c r="AY137" s="45">
        <f t="shared" si="141"/>
        <v>64886.439514252306</v>
      </c>
      <c r="AZ137" s="94">
        <f t="shared" si="152"/>
        <v>0.96128058539633043</v>
      </c>
      <c r="BB137" s="10">
        <f t="shared" si="163"/>
        <v>2500</v>
      </c>
      <c r="BC137" s="10">
        <f t="shared" si="164"/>
        <v>0</v>
      </c>
      <c r="BD137" s="10">
        <f t="shared" si="165"/>
        <v>0</v>
      </c>
      <c r="BE137" s="10">
        <f t="shared" si="166"/>
        <v>0</v>
      </c>
      <c r="BF137" s="10">
        <f t="shared" si="167"/>
        <v>0</v>
      </c>
      <c r="BG137" s="10">
        <f t="shared" si="168"/>
        <v>0</v>
      </c>
      <c r="BH137" s="10">
        <f t="shared" si="169"/>
        <v>2500</v>
      </c>
      <c r="BI137" s="10">
        <f t="shared" si="170"/>
        <v>-118.51851851851852</v>
      </c>
      <c r="BJ137" s="10">
        <f t="shared" si="171"/>
        <v>-72.42307692307692</v>
      </c>
      <c r="BK137" s="10">
        <f t="shared" si="172"/>
        <v>-190.94159544159544</v>
      </c>
      <c r="BL137" s="10">
        <f t="shared" si="173"/>
        <v>-39.719864734397198</v>
      </c>
      <c r="BM137" s="10">
        <f t="shared" si="174"/>
        <v>71.444444444444443</v>
      </c>
      <c r="BN137" s="10">
        <f t="shared" si="175"/>
        <v>2340.7829842684519</v>
      </c>
      <c r="BO137" s="10">
        <f t="shared" si="176"/>
        <v>-78.082524149156114</v>
      </c>
      <c r="BP137" s="10">
        <f t="shared" si="177"/>
        <v>2262.7004601192957</v>
      </c>
      <c r="BQ137" s="10">
        <f t="shared" si="178"/>
        <v>62.41847922237443</v>
      </c>
      <c r="BR137" s="10">
        <f t="shared" si="179"/>
        <v>2403.201463490826</v>
      </c>
    </row>
    <row r="138" spans="2:70">
      <c r="B138" s="7"/>
      <c r="C138" s="29" t="s">
        <v>709</v>
      </c>
      <c r="D138" s="25" t="s">
        <v>699</v>
      </c>
      <c r="E138" s="100">
        <v>128</v>
      </c>
      <c r="F138" s="100">
        <v>46157</v>
      </c>
      <c r="G138" s="101">
        <v>81</v>
      </c>
      <c r="H138" s="27" t="s">
        <v>31</v>
      </c>
      <c r="I138" s="27" t="s">
        <v>107</v>
      </c>
      <c r="J138" s="7" t="s">
        <v>730</v>
      </c>
      <c r="K138" s="7" t="s">
        <v>171</v>
      </c>
      <c r="L138" s="7" t="s">
        <v>731</v>
      </c>
      <c r="M138" s="21" t="s">
        <v>45</v>
      </c>
      <c r="N138" s="7" t="s">
        <v>191</v>
      </c>
      <c r="O138" s="20">
        <v>2900</v>
      </c>
      <c r="P138" s="61">
        <v>234900</v>
      </c>
      <c r="Q138" s="20">
        <v>2792.5925925925926</v>
      </c>
      <c r="R138" s="30">
        <v>8700</v>
      </c>
      <c r="S138" s="32">
        <v>226200</v>
      </c>
      <c r="T138" s="65">
        <v>3</v>
      </c>
      <c r="U138" s="59" t="s">
        <v>752</v>
      </c>
      <c r="V138" s="147">
        <v>6500435910</v>
      </c>
      <c r="W138" s="62"/>
      <c r="X138" s="4"/>
      <c r="Y138" s="7">
        <v>10007162</v>
      </c>
      <c r="Z138" s="7"/>
      <c r="AA138" s="7"/>
      <c r="AB138" s="20">
        <f t="shared" ref="AB138:AB147" si="184">AI138-47.35-5.32</f>
        <v>1829.5095185638502</v>
      </c>
      <c r="AC138" s="46">
        <f>IFERROR(INDEX('Costos Producción Febrero'!$G$34:$G$57,MATCH(Resumen!Y138,'Costos Producción Febrero'!$B$34:$B$57,0))*AB138*G138,0)</f>
        <v>90862.96127124528</v>
      </c>
      <c r="AD138" s="46">
        <f>IFERROR(INDEX('Costos Producción Febrero'!$H$34:$H$57,MATCH(Resumen!Y138,'Costos Producción Febrero'!$B$34:$B$57,0))*AB138*G138,0)</f>
        <v>25797.8067193807</v>
      </c>
      <c r="AE138" s="46">
        <f>IFERROR(INDEX('Costos Producción Febrero'!$I$34:$I$57,MATCH(Resumen!Y138,'Costos Producción Febrero'!$B$34:$B$57,0))*AB138*G138,0)</f>
        <v>1373.8112540381953</v>
      </c>
      <c r="AF138" s="46">
        <f>IFERROR(INDEX('Costos Producción Febrero'!$J$34:$J$57,MATCH(Resumen!Y138,'Costos Producción Febrero'!$B$34:$B$57,0))*AB138*G138,0)</f>
        <v>30155.691759007699</v>
      </c>
      <c r="AG138" s="46">
        <f t="shared" si="153"/>
        <v>148190.27100367189</v>
      </c>
      <c r="AH138" s="46"/>
      <c r="AI138" s="46">
        <v>1882.17951856385</v>
      </c>
      <c r="AJ138" s="46"/>
      <c r="AK138" s="45">
        <f t="shared" si="146"/>
        <v>86709.728996328107</v>
      </c>
      <c r="AL138" s="94">
        <f t="shared" si="147"/>
        <v>0.36913464877108604</v>
      </c>
      <c r="AM138" s="44">
        <f t="shared" si="154"/>
        <v>8700</v>
      </c>
      <c r="AN138" s="44">
        <v>0</v>
      </c>
      <c r="AO138" s="44">
        <f t="shared" si="155"/>
        <v>5866.2692307692305</v>
      </c>
      <c r="AP138" s="44">
        <f t="shared" si="156"/>
        <v>14566.26923076923</v>
      </c>
      <c r="AQ138" s="44">
        <f t="shared" si="159"/>
        <v>3217.3090434861729</v>
      </c>
      <c r="AR138" s="44">
        <f t="shared" si="157"/>
        <v>6786</v>
      </c>
      <c r="AS138" s="45">
        <f t="shared" si="160"/>
        <v>75712.150722072707</v>
      </c>
      <c r="AT138" s="94">
        <f t="shared" si="161"/>
        <v>0.32231652074105027</v>
      </c>
      <c r="AU138" s="44">
        <f t="shared" si="162"/>
        <v>6324.6844560816453</v>
      </c>
      <c r="AV138" s="45">
        <f t="shared" ref="AV138:AV147" si="185">AS138-AU138</f>
        <v>69387.466265991068</v>
      </c>
      <c r="AW138" s="94">
        <f t="shared" si="151"/>
        <v>0.29539151241375505</v>
      </c>
      <c r="AX138" s="44">
        <f t="shared" si="180"/>
        <v>5055.8968170123289</v>
      </c>
      <c r="AY138" s="45">
        <f t="shared" ref="AY138:AY147" si="186">AS138+AX138</f>
        <v>80768.047539085033</v>
      </c>
      <c r="AZ138" s="94">
        <f t="shared" si="152"/>
        <v>0.34384013426600696</v>
      </c>
      <c r="BB138" s="10">
        <f t="shared" si="163"/>
        <v>2900</v>
      </c>
      <c r="BC138" s="10">
        <f t="shared" si="164"/>
        <v>-1121.764953965991</v>
      </c>
      <c r="BD138" s="10">
        <f t="shared" si="165"/>
        <v>-318.49144098000863</v>
      </c>
      <c r="BE138" s="10">
        <f t="shared" si="166"/>
        <v>-16.960632765903647</v>
      </c>
      <c r="BF138" s="10">
        <f t="shared" si="167"/>
        <v>-372.29249085194692</v>
      </c>
      <c r="BG138" s="10">
        <f t="shared" si="168"/>
        <v>-1829.5095185638506</v>
      </c>
      <c r="BH138" s="10">
        <f t="shared" si="169"/>
        <v>1070.4904814361494</v>
      </c>
      <c r="BI138" s="10">
        <f t="shared" si="170"/>
        <v>-107.4074074074074</v>
      </c>
      <c r="BJ138" s="10">
        <f t="shared" si="171"/>
        <v>-72.42307692307692</v>
      </c>
      <c r="BK138" s="10">
        <f t="shared" si="172"/>
        <v>-179.83048433048432</v>
      </c>
      <c r="BL138" s="10">
        <f t="shared" si="173"/>
        <v>-39.719864734397198</v>
      </c>
      <c r="BM138" s="10">
        <f t="shared" si="174"/>
        <v>83.777777777777771</v>
      </c>
      <c r="BN138" s="10">
        <f t="shared" si="175"/>
        <v>934.71791014904579</v>
      </c>
      <c r="BO138" s="10">
        <f t="shared" si="176"/>
        <v>-78.082524149156114</v>
      </c>
      <c r="BP138" s="10">
        <f t="shared" si="177"/>
        <v>856.63538599988976</v>
      </c>
      <c r="BQ138" s="10">
        <f t="shared" si="178"/>
        <v>62.41847922237443</v>
      </c>
      <c r="BR138" s="10">
        <f t="shared" si="179"/>
        <v>997.13638937142014</v>
      </c>
    </row>
    <row r="139" spans="2:70">
      <c r="B139" s="7"/>
      <c r="C139" s="29" t="s">
        <v>709</v>
      </c>
      <c r="D139" s="25" t="s">
        <v>700</v>
      </c>
      <c r="E139" s="100">
        <v>128</v>
      </c>
      <c r="F139" s="100">
        <v>46164</v>
      </c>
      <c r="G139" s="101">
        <v>54</v>
      </c>
      <c r="H139" s="27" t="s">
        <v>31</v>
      </c>
      <c r="I139" s="27" t="s">
        <v>107</v>
      </c>
      <c r="J139" s="7" t="s">
        <v>730</v>
      </c>
      <c r="K139" s="7" t="s">
        <v>171</v>
      </c>
      <c r="L139" s="7" t="s">
        <v>244</v>
      </c>
      <c r="M139" s="21" t="s">
        <v>45</v>
      </c>
      <c r="N139" s="7" t="s">
        <v>191</v>
      </c>
      <c r="O139" s="20">
        <v>2900</v>
      </c>
      <c r="P139" s="61">
        <v>156600</v>
      </c>
      <c r="Q139" s="20">
        <v>2788.8518518518517</v>
      </c>
      <c r="R139" s="30">
        <v>6002</v>
      </c>
      <c r="S139" s="32">
        <v>150598</v>
      </c>
      <c r="T139" s="65">
        <v>2</v>
      </c>
      <c r="U139" s="59" t="s">
        <v>743</v>
      </c>
      <c r="V139" s="147" t="s">
        <v>755</v>
      </c>
      <c r="W139" s="62"/>
      <c r="X139" s="4"/>
      <c r="Y139" s="7">
        <v>10007162</v>
      </c>
      <c r="Z139" s="7"/>
      <c r="AA139" s="7"/>
      <c r="AB139" s="20">
        <f t="shared" si="184"/>
        <v>1829.5095185638502</v>
      </c>
      <c r="AC139" s="46">
        <f>IFERROR(INDEX('Costos Producción Febrero'!$G$34:$G$57,MATCH(Resumen!Y139,'Costos Producción Febrero'!$B$34:$B$57,0))*AB139*G139,0)</f>
        <v>60575.307514163513</v>
      </c>
      <c r="AD139" s="46">
        <f>IFERROR(INDEX('Costos Producción Febrero'!$H$34:$H$57,MATCH(Resumen!Y139,'Costos Producción Febrero'!$B$34:$B$57,0))*AB139*G139,0)</f>
        <v>17198.537812920466</v>
      </c>
      <c r="AE139" s="46">
        <f>IFERROR(INDEX('Costos Producción Febrero'!$I$34:$I$57,MATCH(Resumen!Y139,'Costos Producción Febrero'!$B$34:$B$57,0))*AB139*G139,0)</f>
        <v>915.87416935879696</v>
      </c>
      <c r="AF139" s="46">
        <f>IFERROR(INDEX('Costos Producción Febrero'!$J$34:$J$57,MATCH(Resumen!Y139,'Costos Producción Febrero'!$B$34:$B$57,0))*AB139*G139,0)</f>
        <v>20103.794506005135</v>
      </c>
      <c r="AG139" s="46">
        <f t="shared" si="153"/>
        <v>98793.514002447919</v>
      </c>
      <c r="AH139" s="46"/>
      <c r="AI139" s="46">
        <v>1882.17951856385</v>
      </c>
      <c r="AJ139" s="46"/>
      <c r="AK139" s="45">
        <f t="shared" si="146"/>
        <v>57806.485997552081</v>
      </c>
      <c r="AL139" s="94">
        <f t="shared" si="147"/>
        <v>0.36913464877108609</v>
      </c>
      <c r="AM139" s="44">
        <f t="shared" si="154"/>
        <v>6002</v>
      </c>
      <c r="AN139" s="44">
        <v>0</v>
      </c>
      <c r="AO139" s="44">
        <f t="shared" si="155"/>
        <v>3910.8461538461538</v>
      </c>
      <c r="AP139" s="44">
        <f t="shared" si="156"/>
        <v>9912.8461538461543</v>
      </c>
      <c r="AQ139" s="44">
        <f t="shared" si="159"/>
        <v>2144.8726956574487</v>
      </c>
      <c r="AR139" s="44">
        <f t="shared" si="157"/>
        <v>4517.9399999999996</v>
      </c>
      <c r="AS139" s="45">
        <f t="shared" si="160"/>
        <v>50266.707148048481</v>
      </c>
      <c r="AT139" s="94">
        <f t="shared" si="161"/>
        <v>0.32098791282278721</v>
      </c>
      <c r="AU139" s="44">
        <f t="shared" si="162"/>
        <v>4216.4563040544299</v>
      </c>
      <c r="AV139" s="45">
        <f t="shared" si="185"/>
        <v>46050.25084399405</v>
      </c>
      <c r="AW139" s="94">
        <f t="shared" si="151"/>
        <v>0.29406290449549199</v>
      </c>
      <c r="AX139" s="44">
        <f t="shared" si="180"/>
        <v>3370.5978780082191</v>
      </c>
      <c r="AY139" s="45">
        <f t="shared" si="186"/>
        <v>53637.305026056703</v>
      </c>
      <c r="AZ139" s="94">
        <f t="shared" si="152"/>
        <v>0.34251152634774396</v>
      </c>
      <c r="BB139" s="10">
        <f t="shared" si="163"/>
        <v>2900</v>
      </c>
      <c r="BC139" s="10">
        <f t="shared" si="164"/>
        <v>-1121.764953965991</v>
      </c>
      <c r="BD139" s="10">
        <f t="shared" si="165"/>
        <v>-318.49144098000863</v>
      </c>
      <c r="BE139" s="10">
        <f t="shared" si="166"/>
        <v>-16.960632765903647</v>
      </c>
      <c r="BF139" s="10">
        <f t="shared" si="167"/>
        <v>-372.29249085194692</v>
      </c>
      <c r="BG139" s="10">
        <f t="shared" si="168"/>
        <v>-1829.5095185638504</v>
      </c>
      <c r="BH139" s="10">
        <f t="shared" si="169"/>
        <v>1070.4904814361496</v>
      </c>
      <c r="BI139" s="10">
        <f t="shared" si="170"/>
        <v>-111.14814814814815</v>
      </c>
      <c r="BJ139" s="10">
        <f t="shared" si="171"/>
        <v>-72.42307692307692</v>
      </c>
      <c r="BK139" s="10">
        <f t="shared" si="172"/>
        <v>-183.57122507122509</v>
      </c>
      <c r="BL139" s="10">
        <f t="shared" si="173"/>
        <v>-39.719864734397198</v>
      </c>
      <c r="BM139" s="10">
        <f t="shared" si="174"/>
        <v>83.665555555555542</v>
      </c>
      <c r="BN139" s="10">
        <f t="shared" si="175"/>
        <v>930.86494718608299</v>
      </c>
      <c r="BO139" s="10">
        <f t="shared" si="176"/>
        <v>-78.082524149156114</v>
      </c>
      <c r="BP139" s="10">
        <f t="shared" si="177"/>
        <v>852.78242303692684</v>
      </c>
      <c r="BQ139" s="10">
        <f t="shared" si="178"/>
        <v>62.41847922237443</v>
      </c>
      <c r="BR139" s="10">
        <f t="shared" si="179"/>
        <v>993.28342640845744</v>
      </c>
    </row>
    <row r="140" spans="2:70">
      <c r="B140" s="7"/>
      <c r="C140" s="29" t="s">
        <v>709</v>
      </c>
      <c r="D140" s="25" t="s">
        <v>701</v>
      </c>
      <c r="E140" s="100">
        <v>128</v>
      </c>
      <c r="F140" s="100">
        <v>46170</v>
      </c>
      <c r="G140" s="101">
        <v>81</v>
      </c>
      <c r="H140" s="27" t="s">
        <v>31</v>
      </c>
      <c r="I140" s="27" t="s">
        <v>107</v>
      </c>
      <c r="J140" s="7" t="s">
        <v>730</v>
      </c>
      <c r="K140" s="7" t="s">
        <v>171</v>
      </c>
      <c r="L140" s="7" t="s">
        <v>732</v>
      </c>
      <c r="M140" s="21" t="s">
        <v>45</v>
      </c>
      <c r="N140" s="7" t="s">
        <v>191</v>
      </c>
      <c r="O140" s="20">
        <v>2900</v>
      </c>
      <c r="P140" s="61">
        <v>234900</v>
      </c>
      <c r="Q140" s="20">
        <v>2828.3950617283949</v>
      </c>
      <c r="R140" s="30">
        <v>5800</v>
      </c>
      <c r="S140" s="32">
        <v>229100</v>
      </c>
      <c r="T140" s="65">
        <v>2</v>
      </c>
      <c r="U140" s="59" t="s">
        <v>744</v>
      </c>
      <c r="V140" s="147">
        <v>6502035420</v>
      </c>
      <c r="W140" s="62"/>
      <c r="X140" s="4"/>
      <c r="Y140" s="7">
        <v>10007162</v>
      </c>
      <c r="Z140" s="7"/>
      <c r="AA140" s="7"/>
      <c r="AB140" s="20">
        <f t="shared" si="184"/>
        <v>1829.5095185638502</v>
      </c>
      <c r="AC140" s="46">
        <f>IFERROR(INDEX('Costos Producción Febrero'!$G$34:$G$57,MATCH(Resumen!Y140,'Costos Producción Febrero'!$B$34:$B$57,0))*AB140*G140,0)</f>
        <v>90862.96127124528</v>
      </c>
      <c r="AD140" s="46">
        <f>IFERROR(INDEX('Costos Producción Febrero'!$H$34:$H$57,MATCH(Resumen!Y140,'Costos Producción Febrero'!$B$34:$B$57,0))*AB140*G140,0)</f>
        <v>25797.8067193807</v>
      </c>
      <c r="AE140" s="46">
        <f>IFERROR(INDEX('Costos Producción Febrero'!$I$34:$I$57,MATCH(Resumen!Y140,'Costos Producción Febrero'!$B$34:$B$57,0))*AB140*G140,0)</f>
        <v>1373.8112540381953</v>
      </c>
      <c r="AF140" s="46">
        <f>IFERROR(INDEX('Costos Producción Febrero'!$J$34:$J$57,MATCH(Resumen!Y140,'Costos Producción Febrero'!$B$34:$B$57,0))*AB140*G140,0)</f>
        <v>30155.691759007699</v>
      </c>
      <c r="AG140" s="46">
        <f t="shared" si="153"/>
        <v>148190.27100367189</v>
      </c>
      <c r="AH140" s="46"/>
      <c r="AI140" s="46">
        <v>1882.17951856385</v>
      </c>
      <c r="AJ140" s="46"/>
      <c r="AK140" s="45">
        <f t="shared" si="146"/>
        <v>86709.728996328107</v>
      </c>
      <c r="AL140" s="94">
        <f t="shared" si="147"/>
        <v>0.36913464877108604</v>
      </c>
      <c r="AM140" s="44">
        <f t="shared" si="154"/>
        <v>5800</v>
      </c>
      <c r="AN140" s="44">
        <v>0</v>
      </c>
      <c r="AO140" s="44">
        <f t="shared" si="155"/>
        <v>5866.2692307692305</v>
      </c>
      <c r="AP140" s="44">
        <f t="shared" si="156"/>
        <v>11666.26923076923</v>
      </c>
      <c r="AQ140" s="44">
        <f t="shared" si="159"/>
        <v>3217.3090434861729</v>
      </c>
      <c r="AR140" s="44">
        <f t="shared" si="157"/>
        <v>6873</v>
      </c>
      <c r="AS140" s="45">
        <f t="shared" si="160"/>
        <v>78699.150722072707</v>
      </c>
      <c r="AT140" s="94">
        <f t="shared" si="161"/>
        <v>0.3350325701237663</v>
      </c>
      <c r="AU140" s="44">
        <f t="shared" si="162"/>
        <v>6324.6844560816453</v>
      </c>
      <c r="AV140" s="45">
        <f t="shared" si="185"/>
        <v>72374.466265991068</v>
      </c>
      <c r="AW140" s="94">
        <f t="shared" si="151"/>
        <v>0.30810756179647114</v>
      </c>
      <c r="AX140" s="44">
        <f t="shared" si="180"/>
        <v>5055.8968170123289</v>
      </c>
      <c r="AY140" s="45">
        <f t="shared" si="186"/>
        <v>83755.047539085033</v>
      </c>
      <c r="AZ140" s="94">
        <f t="shared" si="152"/>
        <v>0.35655618364872299</v>
      </c>
      <c r="BB140" s="10">
        <f t="shared" si="163"/>
        <v>2900</v>
      </c>
      <c r="BC140" s="10">
        <f t="shared" si="164"/>
        <v>-1121.764953965991</v>
      </c>
      <c r="BD140" s="10">
        <f t="shared" si="165"/>
        <v>-318.49144098000863</v>
      </c>
      <c r="BE140" s="10">
        <f t="shared" si="166"/>
        <v>-16.960632765903647</v>
      </c>
      <c r="BF140" s="10">
        <f t="shared" si="167"/>
        <v>-372.29249085194692</v>
      </c>
      <c r="BG140" s="10">
        <f t="shared" si="168"/>
        <v>-1829.5095185638506</v>
      </c>
      <c r="BH140" s="10">
        <f t="shared" si="169"/>
        <v>1070.4904814361494</v>
      </c>
      <c r="BI140" s="10">
        <f t="shared" si="170"/>
        <v>-71.604938271604937</v>
      </c>
      <c r="BJ140" s="10">
        <f t="shared" si="171"/>
        <v>-72.42307692307692</v>
      </c>
      <c r="BK140" s="10">
        <f t="shared" si="172"/>
        <v>-144.02801519468187</v>
      </c>
      <c r="BL140" s="10">
        <f t="shared" si="173"/>
        <v>-39.719864734397198</v>
      </c>
      <c r="BM140" s="10">
        <f t="shared" si="174"/>
        <v>84.851851851851848</v>
      </c>
      <c r="BN140" s="10">
        <f t="shared" si="175"/>
        <v>971.59445335892235</v>
      </c>
      <c r="BO140" s="10">
        <f t="shared" si="176"/>
        <v>-78.082524149156114</v>
      </c>
      <c r="BP140" s="10">
        <f t="shared" si="177"/>
        <v>893.51192920976632</v>
      </c>
      <c r="BQ140" s="10">
        <f t="shared" si="178"/>
        <v>62.41847922237443</v>
      </c>
      <c r="BR140" s="10">
        <f t="shared" si="179"/>
        <v>1034.0129325812968</v>
      </c>
    </row>
    <row r="141" spans="2:70">
      <c r="B141" s="7"/>
      <c r="C141" s="29" t="s">
        <v>709</v>
      </c>
      <c r="D141" s="25" t="s">
        <v>702</v>
      </c>
      <c r="E141" s="100">
        <v>128</v>
      </c>
      <c r="F141" s="100">
        <v>46170</v>
      </c>
      <c r="G141" s="101">
        <v>216</v>
      </c>
      <c r="H141" s="27" t="s">
        <v>32</v>
      </c>
      <c r="I141" s="27" t="s">
        <v>155</v>
      </c>
      <c r="J141" s="7" t="s">
        <v>290</v>
      </c>
      <c r="K141" s="7" t="s">
        <v>171</v>
      </c>
      <c r="L141" s="7"/>
      <c r="M141" s="21" t="s">
        <v>45</v>
      </c>
      <c r="N141" s="7" t="s">
        <v>191</v>
      </c>
      <c r="O141" s="20">
        <v>1950</v>
      </c>
      <c r="P141" s="61">
        <v>421200</v>
      </c>
      <c r="Q141" s="20">
        <v>1842.5925925925926</v>
      </c>
      <c r="R141" s="30">
        <v>23200</v>
      </c>
      <c r="S141" s="32">
        <v>398000</v>
      </c>
      <c r="T141" s="65">
        <v>8</v>
      </c>
      <c r="U141" s="59" t="s">
        <v>744</v>
      </c>
      <c r="V141" s="147">
        <v>6452679320</v>
      </c>
      <c r="W141" s="62"/>
      <c r="X141" s="4"/>
      <c r="Y141" s="7">
        <v>10006720</v>
      </c>
      <c r="Z141" s="7"/>
      <c r="AA141" s="7"/>
      <c r="AB141" s="20">
        <f t="shared" si="184"/>
        <v>1983.0685678837301</v>
      </c>
      <c r="AC141" s="46">
        <f>IFERROR(INDEX('Costos Producción Febrero'!$G$34:$G$57,MATCH(Resumen!Y141,'Costos Producción Febrero'!$B$34:$B$57,0))*AB141*G141,0)</f>
        <v>274864.59829447715</v>
      </c>
      <c r="AD141" s="46">
        <f>IFERROR(INDEX('Costos Producción Febrero'!$H$34:$H$57,MATCH(Resumen!Y141,'Costos Producción Febrero'!$B$34:$B$57,0))*AB141*G141,0)</f>
        <v>57814.278818844541</v>
      </c>
      <c r="AE141" s="46">
        <f>IFERROR(INDEX('Costos Producción Febrero'!$I$34:$I$57,MATCH(Resumen!Y141,'Costos Producción Febrero'!$B$34:$B$57,0))*AB141*G141,0)</f>
        <v>4002.3713912581688</v>
      </c>
      <c r="AF141" s="46">
        <f>IFERROR(INDEX('Costos Producción Febrero'!$J$34:$J$57,MATCH(Resumen!Y141,'Costos Producción Febrero'!$B$34:$B$57,0))*AB141*G141,0)</f>
        <v>91661.562158305795</v>
      </c>
      <c r="AG141" s="46">
        <f t="shared" si="153"/>
        <v>428342.8106628856</v>
      </c>
      <c r="AH141" s="46"/>
      <c r="AI141" s="46">
        <v>2035.73856788373</v>
      </c>
      <c r="AJ141" s="46"/>
      <c r="AK141" s="45">
        <f t="shared" si="146"/>
        <v>-7142.810662885604</v>
      </c>
      <c r="AL141" s="94">
        <f t="shared" si="147"/>
        <v>-1.6958239940374178E-2</v>
      </c>
      <c r="AM141" s="44">
        <f t="shared" si="154"/>
        <v>23200</v>
      </c>
      <c r="AN141" s="44">
        <v>0</v>
      </c>
      <c r="AO141" s="44">
        <f t="shared" si="155"/>
        <v>15643.384615384615</v>
      </c>
      <c r="AP141" s="44">
        <f t="shared" si="156"/>
        <v>38843.384615384617</v>
      </c>
      <c r="AQ141" s="44">
        <f t="shared" si="159"/>
        <v>8579.4907826297949</v>
      </c>
      <c r="AR141" s="44">
        <f t="shared" si="157"/>
        <v>11940</v>
      </c>
      <c r="AS141" s="45">
        <f t="shared" si="160"/>
        <v>-42625.686060900014</v>
      </c>
      <c r="AT141" s="94">
        <f t="shared" si="161"/>
        <v>-0.10120058419017097</v>
      </c>
      <c r="AU141" s="44">
        <f t="shared" si="162"/>
        <v>16865.82521621772</v>
      </c>
      <c r="AV141" s="45">
        <f t="shared" si="185"/>
        <v>-59491.511277117737</v>
      </c>
      <c r="AW141" s="94">
        <f t="shared" si="151"/>
        <v>-0.14124290426666131</v>
      </c>
      <c r="AX141" s="44">
        <f t="shared" si="180"/>
        <v>13482.391512032877</v>
      </c>
      <c r="AY141" s="45">
        <f t="shared" si="186"/>
        <v>-29143.294548867139</v>
      </c>
      <c r="AZ141" s="94">
        <f t="shared" si="152"/>
        <v>-6.9191107665876397E-2</v>
      </c>
      <c r="BB141" s="10">
        <f t="shared" si="163"/>
        <v>1950</v>
      </c>
      <c r="BC141" s="10">
        <f t="shared" si="164"/>
        <v>-1272.5212884003572</v>
      </c>
      <c r="BD141" s="10">
        <f t="shared" si="165"/>
        <v>-267.6586982353914</v>
      </c>
      <c r="BE141" s="10">
        <f t="shared" si="166"/>
        <v>-18.529497181750781</v>
      </c>
      <c r="BF141" s="10">
        <f t="shared" si="167"/>
        <v>-424.35908406623054</v>
      </c>
      <c r="BG141" s="10">
        <f t="shared" si="168"/>
        <v>-1983.0685678837297</v>
      </c>
      <c r="BH141" s="10">
        <f t="shared" si="169"/>
        <v>-33.068567883729649</v>
      </c>
      <c r="BI141" s="10">
        <f t="shared" si="170"/>
        <v>-107.4074074074074</v>
      </c>
      <c r="BJ141" s="10">
        <f t="shared" si="171"/>
        <v>-72.42307692307692</v>
      </c>
      <c r="BK141" s="10">
        <f t="shared" si="172"/>
        <v>-179.83048433048432</v>
      </c>
      <c r="BL141" s="10">
        <f t="shared" si="173"/>
        <v>-39.719864734397198</v>
      </c>
      <c r="BM141" s="10">
        <f t="shared" si="174"/>
        <v>55.277777777777779</v>
      </c>
      <c r="BN141" s="10">
        <f t="shared" si="175"/>
        <v>-197.3411391708334</v>
      </c>
      <c r="BO141" s="10">
        <f t="shared" si="176"/>
        <v>-78.082524149156114</v>
      </c>
      <c r="BP141" s="10">
        <f t="shared" si="177"/>
        <v>-275.42366331998954</v>
      </c>
      <c r="BQ141" s="10">
        <f t="shared" si="178"/>
        <v>62.41847922237443</v>
      </c>
      <c r="BR141" s="10">
        <f t="shared" si="179"/>
        <v>-134.92265994845897</v>
      </c>
    </row>
    <row r="142" spans="2:70">
      <c r="B142" s="7"/>
      <c r="C142" s="29" t="s">
        <v>709</v>
      </c>
      <c r="D142" s="25" t="s">
        <v>703</v>
      </c>
      <c r="E142" s="100">
        <v>129</v>
      </c>
      <c r="F142" s="100">
        <v>46164</v>
      </c>
      <c r="G142" s="101">
        <v>81</v>
      </c>
      <c r="H142" s="27" t="s">
        <v>33</v>
      </c>
      <c r="I142" s="27" t="s">
        <v>132</v>
      </c>
      <c r="J142" s="7" t="s">
        <v>733</v>
      </c>
      <c r="K142" s="7" t="s">
        <v>295</v>
      </c>
      <c r="L142" s="7" t="s">
        <v>734</v>
      </c>
      <c r="M142" s="21" t="s">
        <v>735</v>
      </c>
      <c r="N142" s="7" t="s">
        <v>736</v>
      </c>
      <c r="O142" s="20">
        <v>2150</v>
      </c>
      <c r="P142" s="61">
        <v>174150</v>
      </c>
      <c r="Q142" s="20">
        <v>2042.5555555555557</v>
      </c>
      <c r="R142" s="30">
        <v>8703</v>
      </c>
      <c r="S142" s="32">
        <v>165447</v>
      </c>
      <c r="T142" s="65">
        <v>3</v>
      </c>
      <c r="U142" s="59" t="s">
        <v>743</v>
      </c>
      <c r="V142" s="147" t="s">
        <v>756</v>
      </c>
      <c r="W142" s="62"/>
      <c r="X142" s="4"/>
      <c r="Y142" s="7">
        <v>10005721</v>
      </c>
      <c r="Z142" s="7"/>
      <c r="AA142" s="7"/>
      <c r="AB142" s="20">
        <f t="shared" si="184"/>
        <v>2084.0167833638698</v>
      </c>
      <c r="AC142" s="46">
        <f>IFERROR(INDEX('Costos Producción Febrero'!$G$34:$G$57,MATCH(Resumen!Y142,'Costos Producción Febrero'!$B$34:$B$57,0))*AB142*G142,0)</f>
        <v>102517.3369933077</v>
      </c>
      <c r="AD142" s="46">
        <f>IFERROR(INDEX('Costos Producción Febrero'!$H$34:$H$57,MATCH(Resumen!Y142,'Costos Producción Febrero'!$B$34:$B$57,0))*AB142*G142,0)</f>
        <v>30039.708116972979</v>
      </c>
      <c r="AE142" s="46">
        <f>IFERROR(INDEX('Costos Producción Febrero'!$I$34:$I$57,MATCH(Resumen!Y142,'Costos Producción Febrero'!$B$34:$B$57,0))*AB142*G142,0)</f>
        <v>1840.3001353616933</v>
      </c>
      <c r="AF142" s="46">
        <f>IFERROR(INDEX('Costos Producción Febrero'!$J$34:$J$57,MATCH(Resumen!Y142,'Costos Producción Febrero'!$B$34:$B$57,0))*AB142*G142,0)</f>
        <v>34408.014206831074</v>
      </c>
      <c r="AG142" s="46">
        <f t="shared" si="153"/>
        <v>168805.35945247347</v>
      </c>
      <c r="AH142" s="46"/>
      <c r="AI142" s="46">
        <v>2136.6867833638698</v>
      </c>
      <c r="AJ142" s="46"/>
      <c r="AK142" s="45">
        <f t="shared" si="146"/>
        <v>5344.6405475265346</v>
      </c>
      <c r="AL142" s="94">
        <f t="shared" si="147"/>
        <v>3.0689868202851189E-2</v>
      </c>
      <c r="AM142" s="44">
        <f t="shared" si="154"/>
        <v>8703</v>
      </c>
      <c r="AN142" s="44">
        <v>0</v>
      </c>
      <c r="AO142" s="44">
        <f t="shared" si="155"/>
        <v>5866.2692307692305</v>
      </c>
      <c r="AP142" s="44">
        <f t="shared" si="156"/>
        <v>14569.26923076923</v>
      </c>
      <c r="AQ142" s="44">
        <f t="shared" si="159"/>
        <v>3217.3090434861729</v>
      </c>
      <c r="AR142" s="44">
        <f t="shared" si="157"/>
        <v>4963.41</v>
      </c>
      <c r="AS142" s="45">
        <f t="shared" si="160"/>
        <v>-7478.5277267288693</v>
      </c>
      <c r="AT142" s="94">
        <f t="shared" si="161"/>
        <v>-4.2943024557731087E-2</v>
      </c>
      <c r="AU142" s="44">
        <f t="shared" si="162"/>
        <v>6324.6844560816453</v>
      </c>
      <c r="AV142" s="45">
        <f t="shared" si="185"/>
        <v>-13803.212182810516</v>
      </c>
      <c r="AW142" s="94">
        <f t="shared" si="151"/>
        <v>-7.9260477650361844E-2</v>
      </c>
      <c r="AX142" s="44">
        <f t="shared" si="180"/>
        <v>5055.8968170123289</v>
      </c>
      <c r="AY142" s="45">
        <f t="shared" si="186"/>
        <v>-2422.6309097165404</v>
      </c>
      <c r="AZ142" s="94">
        <f t="shared" si="152"/>
        <v>-1.3911173756626703E-2</v>
      </c>
      <c r="BB142" s="10">
        <f t="shared" si="163"/>
        <v>2150</v>
      </c>
      <c r="BC142" s="10">
        <f t="shared" si="164"/>
        <v>-1265.6461357198482</v>
      </c>
      <c r="BD142" s="10">
        <f t="shared" si="165"/>
        <v>-370.86059403670345</v>
      </c>
      <c r="BE142" s="10">
        <f t="shared" si="166"/>
        <v>-22.719754757551769</v>
      </c>
      <c r="BF142" s="10">
        <f t="shared" si="167"/>
        <v>-424.79029884976637</v>
      </c>
      <c r="BG142" s="10">
        <f t="shared" si="168"/>
        <v>-2084.0167833638698</v>
      </c>
      <c r="BH142" s="10">
        <f t="shared" si="169"/>
        <v>65.983216636130052</v>
      </c>
      <c r="BI142" s="10">
        <f t="shared" si="170"/>
        <v>-107.44444444444444</v>
      </c>
      <c r="BJ142" s="10">
        <f t="shared" si="171"/>
        <v>-72.42307692307692</v>
      </c>
      <c r="BK142" s="10">
        <f t="shared" si="172"/>
        <v>-179.86752136752136</v>
      </c>
      <c r="BL142" s="10">
        <f t="shared" si="173"/>
        <v>-39.719864734397198</v>
      </c>
      <c r="BM142" s="10">
        <f t="shared" si="174"/>
        <v>61.276666666666664</v>
      </c>
      <c r="BN142" s="10">
        <f t="shared" si="175"/>
        <v>-92.327502799121845</v>
      </c>
      <c r="BO142" s="10">
        <f t="shared" si="176"/>
        <v>-78.082524149156114</v>
      </c>
      <c r="BP142" s="10">
        <f t="shared" si="177"/>
        <v>-170.41002694827796</v>
      </c>
      <c r="BQ142" s="10">
        <f t="shared" si="178"/>
        <v>62.41847922237443</v>
      </c>
      <c r="BR142" s="10">
        <f t="shared" si="179"/>
        <v>-29.909023576747412</v>
      </c>
    </row>
    <row r="143" spans="2:70">
      <c r="B143" s="7"/>
      <c r="C143" s="29" t="s">
        <v>709</v>
      </c>
      <c r="D143" s="25" t="s">
        <v>704</v>
      </c>
      <c r="E143" s="100">
        <v>130</v>
      </c>
      <c r="F143" s="100">
        <v>46164</v>
      </c>
      <c r="G143" s="101">
        <v>54</v>
      </c>
      <c r="H143" s="27" t="s">
        <v>33</v>
      </c>
      <c r="I143" s="27" t="s">
        <v>132</v>
      </c>
      <c r="J143" s="7" t="s">
        <v>737</v>
      </c>
      <c r="K143" s="7" t="s">
        <v>295</v>
      </c>
      <c r="L143" s="7" t="s">
        <v>734</v>
      </c>
      <c r="M143" s="21" t="s">
        <v>738</v>
      </c>
      <c r="N143" s="7" t="s">
        <v>736</v>
      </c>
      <c r="O143" s="20">
        <v>2030</v>
      </c>
      <c r="P143" s="61">
        <v>109620</v>
      </c>
      <c r="Q143" s="20">
        <v>1922.5555555555557</v>
      </c>
      <c r="R143" s="30">
        <v>5802</v>
      </c>
      <c r="S143" s="32">
        <v>103818</v>
      </c>
      <c r="T143" s="65">
        <v>2</v>
      </c>
      <c r="U143" s="59" t="s">
        <v>743</v>
      </c>
      <c r="V143" s="147" t="s">
        <v>757</v>
      </c>
      <c r="W143" s="62"/>
      <c r="X143" s="4"/>
      <c r="Y143" s="7">
        <v>10005721</v>
      </c>
      <c r="Z143" s="7"/>
      <c r="AA143" s="7"/>
      <c r="AB143" s="20">
        <f t="shared" si="184"/>
        <v>2084.0167833638698</v>
      </c>
      <c r="AC143" s="46">
        <f>IFERROR(INDEX('Costos Producción Febrero'!$G$34:$G$57,MATCH(Resumen!Y143,'Costos Producción Febrero'!$B$34:$B$57,0))*AB143*G143,0)</f>
        <v>68344.891328871803</v>
      </c>
      <c r="AD143" s="46">
        <f>IFERROR(INDEX('Costos Producción Febrero'!$H$34:$H$57,MATCH(Resumen!Y143,'Costos Producción Febrero'!$B$34:$B$57,0))*AB143*G143,0)</f>
        <v>20026.472077981987</v>
      </c>
      <c r="AE143" s="46">
        <f>IFERROR(INDEX('Costos Producción Febrero'!$I$34:$I$57,MATCH(Resumen!Y143,'Costos Producción Febrero'!$B$34:$B$57,0))*AB143*G143,0)</f>
        <v>1226.8667569077954</v>
      </c>
      <c r="AF143" s="46">
        <f>IFERROR(INDEX('Costos Producción Febrero'!$J$34:$J$57,MATCH(Resumen!Y143,'Costos Producción Febrero'!$B$34:$B$57,0))*AB143*G143,0)</f>
        <v>22938.676137887382</v>
      </c>
      <c r="AG143" s="46">
        <f t="shared" si="153"/>
        <v>112536.90630164897</v>
      </c>
      <c r="AH143" s="46"/>
      <c r="AI143" s="46">
        <v>2136.6867833638698</v>
      </c>
      <c r="AJ143" s="46"/>
      <c r="AK143" s="45">
        <f t="shared" si="146"/>
        <v>-2916.9063016489672</v>
      </c>
      <c r="AL143" s="94">
        <f t="shared" si="147"/>
        <v>-2.6609252888605793E-2</v>
      </c>
      <c r="AM143" s="44">
        <f t="shared" si="154"/>
        <v>5802</v>
      </c>
      <c r="AN143" s="44">
        <v>0</v>
      </c>
      <c r="AO143" s="44">
        <f t="shared" si="155"/>
        <v>3910.8461538461538</v>
      </c>
      <c r="AP143" s="44">
        <f t="shared" si="156"/>
        <v>9712.8461538461543</v>
      </c>
      <c r="AQ143" s="44">
        <f t="shared" si="159"/>
        <v>2144.8726956574487</v>
      </c>
      <c r="AR143" s="44">
        <f t="shared" si="157"/>
        <v>3114.54</v>
      </c>
      <c r="AS143" s="45">
        <f t="shared" si="160"/>
        <v>-11660.085151152569</v>
      </c>
      <c r="AT143" s="94">
        <f t="shared" si="161"/>
        <v>-0.10636822797986288</v>
      </c>
      <c r="AU143" s="44">
        <f t="shared" si="162"/>
        <v>4216.4563040544299</v>
      </c>
      <c r="AV143" s="45">
        <f t="shared" si="185"/>
        <v>-15876.541455207</v>
      </c>
      <c r="AW143" s="94">
        <f t="shared" si="151"/>
        <v>-0.14483252559028462</v>
      </c>
      <c r="AX143" s="44">
        <f t="shared" si="180"/>
        <v>3370.5978780082191</v>
      </c>
      <c r="AY143" s="45">
        <f t="shared" si="186"/>
        <v>-8289.4872731443502</v>
      </c>
      <c r="AZ143" s="94">
        <f t="shared" si="152"/>
        <v>-7.5620208658496169E-2</v>
      </c>
      <c r="BB143" s="10">
        <f t="shared" si="163"/>
        <v>2030</v>
      </c>
      <c r="BC143" s="10">
        <f t="shared" si="164"/>
        <v>-1265.6461357198482</v>
      </c>
      <c r="BD143" s="10">
        <f t="shared" si="165"/>
        <v>-370.86059403670345</v>
      </c>
      <c r="BE143" s="10">
        <f t="shared" si="166"/>
        <v>-22.719754757551769</v>
      </c>
      <c r="BF143" s="10">
        <f t="shared" si="167"/>
        <v>-424.79029884976632</v>
      </c>
      <c r="BG143" s="10">
        <f t="shared" si="168"/>
        <v>-2084.0167833638698</v>
      </c>
      <c r="BH143" s="10">
        <f t="shared" si="169"/>
        <v>-54.016783363869763</v>
      </c>
      <c r="BI143" s="10">
        <f t="shared" si="170"/>
        <v>-107.44444444444444</v>
      </c>
      <c r="BJ143" s="10">
        <f t="shared" si="171"/>
        <v>-72.42307692307692</v>
      </c>
      <c r="BK143" s="10">
        <f t="shared" si="172"/>
        <v>-179.86752136752136</v>
      </c>
      <c r="BL143" s="10">
        <f t="shared" si="173"/>
        <v>-39.719864734397198</v>
      </c>
      <c r="BM143" s="10">
        <f t="shared" si="174"/>
        <v>57.676666666666669</v>
      </c>
      <c r="BN143" s="10">
        <f t="shared" si="175"/>
        <v>-215.92750279912164</v>
      </c>
      <c r="BO143" s="10">
        <f t="shared" si="176"/>
        <v>-78.082524149156114</v>
      </c>
      <c r="BP143" s="10">
        <f t="shared" si="177"/>
        <v>-294.01002694827775</v>
      </c>
      <c r="BQ143" s="10">
        <f t="shared" si="178"/>
        <v>62.41847922237443</v>
      </c>
      <c r="BR143" s="10">
        <f t="shared" si="179"/>
        <v>-153.50902357674724</v>
      </c>
    </row>
    <row r="144" spans="2:70">
      <c r="B144" s="7"/>
      <c r="C144" s="29" t="s">
        <v>709</v>
      </c>
      <c r="D144" s="25" t="s">
        <v>705</v>
      </c>
      <c r="E144" s="100">
        <v>46153</v>
      </c>
      <c r="F144" s="100">
        <v>46171</v>
      </c>
      <c r="G144" s="101">
        <v>24</v>
      </c>
      <c r="H144" s="27" t="s">
        <v>37</v>
      </c>
      <c r="I144" s="27" t="s">
        <v>126</v>
      </c>
      <c r="J144" s="7"/>
      <c r="K144" s="7" t="s">
        <v>127</v>
      </c>
      <c r="L144" s="7" t="s">
        <v>119</v>
      </c>
      <c r="M144" s="21" t="s">
        <v>43</v>
      </c>
      <c r="N144" s="7" t="s">
        <v>129</v>
      </c>
      <c r="O144" s="20">
        <v>1800</v>
      </c>
      <c r="P144" s="61">
        <v>43200</v>
      </c>
      <c r="Q144" s="20">
        <v>1654.125</v>
      </c>
      <c r="R144" s="30">
        <v>3501</v>
      </c>
      <c r="S144" s="32">
        <v>39699</v>
      </c>
      <c r="T144" s="65">
        <v>1</v>
      </c>
      <c r="U144" s="59" t="s">
        <v>758</v>
      </c>
      <c r="V144" s="147" t="s">
        <v>759</v>
      </c>
      <c r="W144" s="62"/>
      <c r="X144" s="4"/>
      <c r="Y144" s="7">
        <v>10007969</v>
      </c>
      <c r="Z144" s="7"/>
      <c r="AA144" s="7"/>
      <c r="AB144" s="20">
        <f t="shared" si="184"/>
        <v>1442.0093794440902</v>
      </c>
      <c r="AC144" s="46">
        <f>IFERROR(INDEX('Costos Producción Febrero'!$G$34:$G$57,MATCH(Resumen!Y144,'Costos Producción Febrero'!$B$34:$B$57,0))*AB144*G144,0)</f>
        <v>29316.514407803013</v>
      </c>
      <c r="AD144" s="46">
        <f>IFERROR(INDEX('Costos Producción Febrero'!$H$34:$H$57,MATCH(Resumen!Y144,'Costos Producción Febrero'!$B$34:$B$57,0))*AB144*G144,0)</f>
        <v>5887.3209212315051</v>
      </c>
      <c r="AE144" s="46">
        <f>IFERROR(INDEX('Costos Producción Febrero'!$I$34:$I$57,MATCH(Resumen!Y144,'Costos Producción Febrero'!$B$34:$B$57,0))*AB144*G144,0)</f>
        <v>453.0221271983682</v>
      </c>
      <c r="AF144" s="46">
        <f>IFERROR(INDEX('Costos Producción Febrero'!$J$34:$J$57,MATCH(Resumen!Y144,'Costos Producción Febrero'!$B$34:$B$57,0))*AB144*G144,0)</f>
        <v>-1048.6323495747224</v>
      </c>
      <c r="AG144" s="46">
        <f t="shared" si="153"/>
        <v>34608.225106658167</v>
      </c>
      <c r="AH144" s="46"/>
      <c r="AI144" s="46">
        <v>1494.67937944409</v>
      </c>
      <c r="AJ144" s="46"/>
      <c r="AK144" s="45">
        <f t="shared" si="146"/>
        <v>8591.7748933418334</v>
      </c>
      <c r="AL144" s="94">
        <f t="shared" si="147"/>
        <v>0.1988836780866165</v>
      </c>
      <c r="AM144" s="44">
        <f t="shared" si="154"/>
        <v>3501</v>
      </c>
      <c r="AN144" s="44">
        <v>0</v>
      </c>
      <c r="AO144" s="44">
        <f t="shared" si="155"/>
        <v>1738.1538461538462</v>
      </c>
      <c r="AP144" s="44">
        <f t="shared" si="156"/>
        <v>5239.1538461538457</v>
      </c>
      <c r="AQ144" s="44">
        <f t="shared" si="159"/>
        <v>953.27675362553282</v>
      </c>
      <c r="AR144" s="44">
        <f t="shared" si="157"/>
        <v>1190.97</v>
      </c>
      <c r="AS144" s="45">
        <f t="shared" si="160"/>
        <v>3590.3142935624546</v>
      </c>
      <c r="AT144" s="94">
        <f t="shared" si="161"/>
        <v>8.3109127165797561E-2</v>
      </c>
      <c r="AU144" s="44">
        <f t="shared" si="162"/>
        <v>1873.9805795797467</v>
      </c>
      <c r="AV144" s="45">
        <f t="shared" si="185"/>
        <v>1716.3337139827079</v>
      </c>
      <c r="AW144" s="94">
        <f t="shared" si="151"/>
        <v>3.9729947082933051E-2</v>
      </c>
      <c r="AX144" s="44">
        <f t="shared" si="180"/>
        <v>1498.0435013369863</v>
      </c>
      <c r="AY144" s="45">
        <f t="shared" si="186"/>
        <v>5088.3577948994407</v>
      </c>
      <c r="AZ144" s="94">
        <f t="shared" si="152"/>
        <v>0.11778606006711669</v>
      </c>
      <c r="BB144" s="10">
        <f t="shared" si="163"/>
        <v>1800</v>
      </c>
      <c r="BC144" s="10">
        <f t="shared" si="164"/>
        <v>-1221.5214336584588</v>
      </c>
      <c r="BD144" s="10">
        <f t="shared" si="165"/>
        <v>-245.30503838464605</v>
      </c>
      <c r="BE144" s="10">
        <f t="shared" si="166"/>
        <v>-18.875921966598675</v>
      </c>
      <c r="BF144" s="10">
        <f t="shared" si="167"/>
        <v>43.693014565613431</v>
      </c>
      <c r="BG144" s="10">
        <f t="shared" si="168"/>
        <v>-1442.0093794440902</v>
      </c>
      <c r="BH144" s="10">
        <f t="shared" si="169"/>
        <v>357.99062055590974</v>
      </c>
      <c r="BI144" s="10">
        <f t="shared" si="170"/>
        <v>-145.875</v>
      </c>
      <c r="BJ144" s="10">
        <f t="shared" si="171"/>
        <v>-72.42307692307692</v>
      </c>
      <c r="BK144" s="10">
        <f t="shared" si="172"/>
        <v>-218.29807692307691</v>
      </c>
      <c r="BL144" s="10">
        <f t="shared" si="173"/>
        <v>-39.719864734397198</v>
      </c>
      <c r="BM144" s="10">
        <f t="shared" si="174"/>
        <v>49.623750000000001</v>
      </c>
      <c r="BN144" s="10">
        <f t="shared" si="175"/>
        <v>149.59642889843562</v>
      </c>
      <c r="BO144" s="10">
        <f t="shared" si="176"/>
        <v>-78.082524149156114</v>
      </c>
      <c r="BP144" s="10">
        <f t="shared" si="177"/>
        <v>71.51390474927949</v>
      </c>
      <c r="BQ144" s="10">
        <f t="shared" si="178"/>
        <v>62.41847922237443</v>
      </c>
      <c r="BR144" s="10">
        <f t="shared" si="179"/>
        <v>212.01490812081002</v>
      </c>
    </row>
    <row r="145" spans="2:70">
      <c r="B145" s="7"/>
      <c r="C145" s="29" t="s">
        <v>709</v>
      </c>
      <c r="D145" s="25" t="s">
        <v>706</v>
      </c>
      <c r="E145" s="100">
        <v>46153</v>
      </c>
      <c r="F145" s="100">
        <v>46164</v>
      </c>
      <c r="G145" s="101">
        <v>216</v>
      </c>
      <c r="H145" s="27" t="s">
        <v>33</v>
      </c>
      <c r="I145" s="27" t="s">
        <v>132</v>
      </c>
      <c r="J145" s="7" t="s">
        <v>733</v>
      </c>
      <c r="K145" s="7" t="s">
        <v>171</v>
      </c>
      <c r="L145" s="7" t="s">
        <v>202</v>
      </c>
      <c r="M145" s="21" t="s">
        <v>739</v>
      </c>
      <c r="N145" s="7" t="s">
        <v>740</v>
      </c>
      <c r="O145" s="20">
        <v>2020</v>
      </c>
      <c r="P145" s="61">
        <v>436320</v>
      </c>
      <c r="Q145" s="20">
        <v>1912.5925925925926</v>
      </c>
      <c r="R145" s="30">
        <v>23200</v>
      </c>
      <c r="S145" s="32">
        <v>413120</v>
      </c>
      <c r="T145" s="65">
        <v>8</v>
      </c>
      <c r="U145" s="59" t="s">
        <v>743</v>
      </c>
      <c r="V145" s="147">
        <v>6452679310</v>
      </c>
      <c r="W145" s="62"/>
      <c r="X145" s="4"/>
      <c r="Y145" s="7">
        <v>10005721</v>
      </c>
      <c r="Z145" s="7"/>
      <c r="AA145" s="7"/>
      <c r="AB145" s="20">
        <f t="shared" si="184"/>
        <v>2084.0167833638698</v>
      </c>
      <c r="AC145" s="46">
        <f>IFERROR(INDEX('Costos Producción Febrero'!$G$34:$G$57,MATCH(Resumen!Y145,'Costos Producción Febrero'!$B$34:$B$57,0))*AB145*G145,0)</f>
        <v>273379.56531548721</v>
      </c>
      <c r="AD145" s="46">
        <f>IFERROR(INDEX('Costos Producción Febrero'!$H$34:$H$57,MATCH(Resumen!Y145,'Costos Producción Febrero'!$B$34:$B$57,0))*AB145*G145,0)</f>
        <v>80105.888311927949</v>
      </c>
      <c r="AE145" s="46">
        <f>IFERROR(INDEX('Costos Producción Febrero'!$I$34:$I$57,MATCH(Resumen!Y145,'Costos Producción Febrero'!$B$34:$B$57,0))*AB145*G145,0)</f>
        <v>4907.4670276311817</v>
      </c>
      <c r="AF145" s="46">
        <f>IFERROR(INDEX('Costos Producción Febrero'!$J$34:$J$57,MATCH(Resumen!Y145,'Costos Producción Febrero'!$B$34:$B$57,0))*AB145*G145,0)</f>
        <v>91754.704551549527</v>
      </c>
      <c r="AG145" s="46">
        <f t="shared" si="153"/>
        <v>450147.62520659587</v>
      </c>
      <c r="AH145" s="46"/>
      <c r="AI145" s="46">
        <v>2136.6867833638698</v>
      </c>
      <c r="AJ145" s="46"/>
      <c r="AK145" s="45">
        <f t="shared" si="146"/>
        <v>-13827.625206595869</v>
      </c>
      <c r="AL145" s="94">
        <f t="shared" si="147"/>
        <v>-3.1691476912806812E-2</v>
      </c>
      <c r="AM145" s="44">
        <f t="shared" si="154"/>
        <v>23200</v>
      </c>
      <c r="AN145" s="44">
        <v>0</v>
      </c>
      <c r="AO145" s="44">
        <f t="shared" si="155"/>
        <v>15643.384615384615</v>
      </c>
      <c r="AP145" s="44">
        <f t="shared" si="156"/>
        <v>38843.384615384617</v>
      </c>
      <c r="AQ145" s="44">
        <f t="shared" si="159"/>
        <v>8579.4907826297949</v>
      </c>
      <c r="AR145" s="44">
        <f t="shared" si="157"/>
        <v>12393.6</v>
      </c>
      <c r="AS145" s="45">
        <f t="shared" si="160"/>
        <v>-48856.90060461028</v>
      </c>
      <c r="AT145" s="94">
        <f t="shared" si="161"/>
        <v>-0.11197492804503639</v>
      </c>
      <c r="AU145" s="44">
        <f t="shared" si="162"/>
        <v>16865.82521621772</v>
      </c>
      <c r="AV145" s="45">
        <f t="shared" si="185"/>
        <v>-65722.725820827996</v>
      </c>
      <c r="AW145" s="94">
        <f t="shared" si="151"/>
        <v>-0.15062964297036119</v>
      </c>
      <c r="AX145" s="44">
        <f t="shared" si="180"/>
        <v>13482.391512032877</v>
      </c>
      <c r="AY145" s="45">
        <f t="shared" si="186"/>
        <v>-35374.509092577406</v>
      </c>
      <c r="AZ145" s="94">
        <f t="shared" si="152"/>
        <v>-8.1074690806237179E-2</v>
      </c>
      <c r="BB145" s="10">
        <f t="shared" si="163"/>
        <v>2020</v>
      </c>
      <c r="BC145" s="10">
        <f t="shared" si="164"/>
        <v>-1265.6461357198482</v>
      </c>
      <c r="BD145" s="10">
        <f t="shared" si="165"/>
        <v>-370.86059403670345</v>
      </c>
      <c r="BE145" s="10">
        <f t="shared" si="166"/>
        <v>-22.719754757551769</v>
      </c>
      <c r="BF145" s="10">
        <f t="shared" si="167"/>
        <v>-424.79029884976632</v>
      </c>
      <c r="BG145" s="10">
        <f t="shared" si="168"/>
        <v>-2084.0167833638698</v>
      </c>
      <c r="BH145" s="10">
        <f t="shared" si="169"/>
        <v>-64.016783363869763</v>
      </c>
      <c r="BI145" s="10">
        <f t="shared" si="170"/>
        <v>-107.4074074074074</v>
      </c>
      <c r="BJ145" s="10">
        <f t="shared" si="171"/>
        <v>-72.42307692307692</v>
      </c>
      <c r="BK145" s="10">
        <f t="shared" si="172"/>
        <v>-179.83048433048432</v>
      </c>
      <c r="BL145" s="10">
        <f t="shared" si="173"/>
        <v>-39.719864734397198</v>
      </c>
      <c r="BM145" s="10">
        <f t="shared" si="174"/>
        <v>57.37777777777778</v>
      </c>
      <c r="BN145" s="10">
        <f t="shared" si="175"/>
        <v>-226.18935465097351</v>
      </c>
      <c r="BO145" s="10">
        <f t="shared" si="176"/>
        <v>-78.082524149156114</v>
      </c>
      <c r="BP145" s="10">
        <f t="shared" si="177"/>
        <v>-304.27187880012963</v>
      </c>
      <c r="BQ145" s="10">
        <f t="shared" si="178"/>
        <v>62.41847922237443</v>
      </c>
      <c r="BR145" s="10">
        <f t="shared" si="179"/>
        <v>-163.77087542859911</v>
      </c>
    </row>
    <row r="146" spans="2:70">
      <c r="B146" s="7"/>
      <c r="C146" s="29" t="s">
        <v>709</v>
      </c>
      <c r="D146" s="25" t="s">
        <v>707</v>
      </c>
      <c r="E146" s="100">
        <v>46153</v>
      </c>
      <c r="F146" s="100">
        <v>46170</v>
      </c>
      <c r="G146" s="101">
        <v>27</v>
      </c>
      <c r="H146" s="27" t="s">
        <v>33</v>
      </c>
      <c r="I146" s="27" t="s">
        <v>132</v>
      </c>
      <c r="J146" s="7" t="s">
        <v>733</v>
      </c>
      <c r="K146" s="7" t="s">
        <v>171</v>
      </c>
      <c r="L146" s="7" t="s">
        <v>202</v>
      </c>
      <c r="M146" s="21" t="s">
        <v>739</v>
      </c>
      <c r="N146" s="7" t="s">
        <v>740</v>
      </c>
      <c r="O146" s="20">
        <v>2020</v>
      </c>
      <c r="P146" s="61">
        <v>54540</v>
      </c>
      <c r="Q146" s="20">
        <v>1912.5925925925926</v>
      </c>
      <c r="R146" s="30">
        <v>2900</v>
      </c>
      <c r="S146" s="32">
        <v>51640</v>
      </c>
      <c r="T146" s="65">
        <v>1</v>
      </c>
      <c r="U146" s="59" t="s">
        <v>744</v>
      </c>
      <c r="V146" s="147">
        <v>6502206550</v>
      </c>
      <c r="W146" s="62"/>
      <c r="X146" s="4"/>
      <c r="Y146" s="7">
        <v>10005721</v>
      </c>
      <c r="Z146" s="7"/>
      <c r="AA146" s="7"/>
      <c r="AB146" s="20">
        <f t="shared" si="184"/>
        <v>2084.0167833638698</v>
      </c>
      <c r="AC146" s="46">
        <f>IFERROR(INDEX('Costos Producción Febrero'!$G$34:$G$57,MATCH(Resumen!Y146,'Costos Producción Febrero'!$B$34:$B$57,0))*AB146*G146,0)</f>
        <v>34172.445664435902</v>
      </c>
      <c r="AD146" s="46">
        <f>IFERROR(INDEX('Costos Producción Febrero'!$H$34:$H$57,MATCH(Resumen!Y146,'Costos Producción Febrero'!$B$34:$B$57,0))*AB146*G146,0)</f>
        <v>10013.236038990994</v>
      </c>
      <c r="AE146" s="46">
        <f>IFERROR(INDEX('Costos Producción Febrero'!$I$34:$I$57,MATCH(Resumen!Y146,'Costos Producción Febrero'!$B$34:$B$57,0))*AB146*G146,0)</f>
        <v>613.43337845389772</v>
      </c>
      <c r="AF146" s="46">
        <f>IFERROR(INDEX('Costos Producción Febrero'!$J$34:$J$57,MATCH(Resumen!Y146,'Costos Producción Febrero'!$B$34:$B$57,0))*AB146*G146,0)</f>
        <v>11469.338068943691</v>
      </c>
      <c r="AG146" s="46">
        <f t="shared" si="153"/>
        <v>56268.453150824484</v>
      </c>
      <c r="AH146" s="46"/>
      <c r="AI146" s="46">
        <v>2136.6867833638698</v>
      </c>
      <c r="AJ146" s="46"/>
      <c r="AK146" s="45">
        <f t="shared" si="146"/>
        <v>-1728.4531508244836</v>
      </c>
      <c r="AL146" s="94">
        <f t="shared" si="147"/>
        <v>-3.1691476912806812E-2</v>
      </c>
      <c r="AM146" s="44">
        <f t="shared" si="154"/>
        <v>2900</v>
      </c>
      <c r="AN146" s="44">
        <v>0</v>
      </c>
      <c r="AO146" s="44">
        <f t="shared" si="155"/>
        <v>1955.4230769230769</v>
      </c>
      <c r="AP146" s="44">
        <f t="shared" si="156"/>
        <v>4855.4230769230771</v>
      </c>
      <c r="AQ146" s="44">
        <f t="shared" si="159"/>
        <v>1072.4363478287244</v>
      </c>
      <c r="AR146" s="44">
        <f t="shared" si="157"/>
        <v>1549.2</v>
      </c>
      <c r="AS146" s="45">
        <f t="shared" si="160"/>
        <v>-6107.1125755762851</v>
      </c>
      <c r="AT146" s="94">
        <f t="shared" si="161"/>
        <v>-0.11197492804503639</v>
      </c>
      <c r="AU146" s="44">
        <f t="shared" si="162"/>
        <v>2108.2281520272149</v>
      </c>
      <c r="AV146" s="45">
        <f t="shared" si="185"/>
        <v>-8215.3407276034995</v>
      </c>
      <c r="AW146" s="94">
        <f t="shared" si="151"/>
        <v>-0.15062964297036119</v>
      </c>
      <c r="AX146" s="44">
        <f t="shared" si="180"/>
        <v>1685.2989390041096</v>
      </c>
      <c r="AY146" s="45">
        <f t="shared" si="186"/>
        <v>-4421.8136365721757</v>
      </c>
      <c r="AZ146" s="94">
        <f t="shared" si="152"/>
        <v>-8.1074690806237179E-2</v>
      </c>
      <c r="BB146" s="10">
        <f t="shared" si="163"/>
        <v>2020</v>
      </c>
      <c r="BC146" s="10">
        <f t="shared" si="164"/>
        <v>-1265.6461357198482</v>
      </c>
      <c r="BD146" s="10">
        <f t="shared" si="165"/>
        <v>-370.86059403670345</v>
      </c>
      <c r="BE146" s="10">
        <f t="shared" si="166"/>
        <v>-22.719754757551769</v>
      </c>
      <c r="BF146" s="10">
        <f t="shared" si="167"/>
        <v>-424.79029884976632</v>
      </c>
      <c r="BG146" s="10">
        <f t="shared" si="168"/>
        <v>-2084.0167833638698</v>
      </c>
      <c r="BH146" s="10">
        <f t="shared" si="169"/>
        <v>-64.016783363869763</v>
      </c>
      <c r="BI146" s="10">
        <f t="shared" si="170"/>
        <v>-107.4074074074074</v>
      </c>
      <c r="BJ146" s="10">
        <f t="shared" si="171"/>
        <v>-72.42307692307692</v>
      </c>
      <c r="BK146" s="10">
        <f t="shared" si="172"/>
        <v>-179.83048433048432</v>
      </c>
      <c r="BL146" s="10">
        <f t="shared" si="173"/>
        <v>-39.719864734397198</v>
      </c>
      <c r="BM146" s="10">
        <f t="shared" si="174"/>
        <v>57.37777777777778</v>
      </c>
      <c r="BN146" s="10">
        <f t="shared" si="175"/>
        <v>-226.18935465097351</v>
      </c>
      <c r="BO146" s="10">
        <f t="shared" si="176"/>
        <v>-78.082524149156114</v>
      </c>
      <c r="BP146" s="10">
        <f t="shared" si="177"/>
        <v>-304.27187880012963</v>
      </c>
      <c r="BQ146" s="10">
        <f t="shared" si="178"/>
        <v>62.41847922237443</v>
      </c>
      <c r="BR146" s="10">
        <f t="shared" si="179"/>
        <v>-163.77087542859911</v>
      </c>
    </row>
    <row r="147" spans="2:70">
      <c r="B147" s="7"/>
      <c r="C147" s="29" t="s">
        <v>709</v>
      </c>
      <c r="D147" s="25" t="s">
        <v>708</v>
      </c>
      <c r="E147" s="100">
        <v>133</v>
      </c>
      <c r="F147" s="100">
        <v>46167</v>
      </c>
      <c r="G147" s="101">
        <v>26</v>
      </c>
      <c r="H147" s="27" t="s">
        <v>36</v>
      </c>
      <c r="I147" s="27" t="s">
        <v>107</v>
      </c>
      <c r="J147" s="7"/>
      <c r="K147" s="7" t="s">
        <v>161</v>
      </c>
      <c r="L147" s="7" t="s">
        <v>147</v>
      </c>
      <c r="M147" s="21" t="s">
        <v>53</v>
      </c>
      <c r="N147" s="7" t="s">
        <v>148</v>
      </c>
      <c r="O147" s="20">
        <v>2850</v>
      </c>
      <c r="P147" s="61">
        <v>74100</v>
      </c>
      <c r="Q147" s="20">
        <v>2651.9230769230771</v>
      </c>
      <c r="R147" s="30">
        <v>5150</v>
      </c>
      <c r="S147" s="32">
        <v>68950</v>
      </c>
      <c r="T147" s="65">
        <v>1</v>
      </c>
      <c r="U147" s="59" t="s">
        <v>760</v>
      </c>
      <c r="V147" s="147">
        <v>15593336</v>
      </c>
      <c r="W147" s="62"/>
      <c r="X147" s="4"/>
      <c r="Y147" s="7">
        <v>10007567</v>
      </c>
      <c r="Z147" s="7"/>
      <c r="AA147" s="7"/>
      <c r="AB147" s="20">
        <f t="shared" si="184"/>
        <v>1768.5702425897002</v>
      </c>
      <c r="AC147" s="46">
        <f>IFERROR(INDEX('Costos Producción Febrero'!$G$34:$G$57,MATCH(Resumen!Y147,'Costos Producción Febrero'!$B$34:$B$57,0))*AB147*G147,0)</f>
        <v>28398.192975948623</v>
      </c>
      <c r="AD147" s="46">
        <f>IFERROR(INDEX('Costos Producción Febrero'!$H$34:$H$57,MATCH(Resumen!Y147,'Costos Producción Febrero'!$B$34:$B$57,0))*AB147*G147,0)</f>
        <v>7653.4338632691833</v>
      </c>
      <c r="AE147" s="46">
        <f>IFERROR(INDEX('Costos Producción Febrero'!$I$34:$I$57,MATCH(Resumen!Y147,'Costos Producción Febrero'!$B$34:$B$57,0))*AB147*G147,0)</f>
        <v>496.30997460950596</v>
      </c>
      <c r="AF147" s="46">
        <f>IFERROR(INDEX('Costos Producción Febrero'!$J$34:$J$57,MATCH(Resumen!Y147,'Costos Producción Febrero'!$B$34:$B$57,0))*AB147*G147,0)</f>
        <v>9434.8894935048902</v>
      </c>
      <c r="AG147" s="46">
        <f t="shared" si="153"/>
        <v>45982.826307332194</v>
      </c>
      <c r="AH147" s="46"/>
      <c r="AI147" s="46">
        <v>1821.2402425897001</v>
      </c>
      <c r="AJ147" s="46"/>
      <c r="AK147" s="45">
        <f t="shared" si="146"/>
        <v>28117.173692667806</v>
      </c>
      <c r="AL147" s="94">
        <f t="shared" si="147"/>
        <v>0.37944903768782462</v>
      </c>
      <c r="AM147" s="44">
        <f t="shared" si="154"/>
        <v>5150</v>
      </c>
      <c r="AN147" s="44">
        <v>0</v>
      </c>
      <c r="AO147" s="44">
        <f t="shared" si="155"/>
        <v>1883</v>
      </c>
      <c r="AP147" s="44">
        <f t="shared" si="156"/>
        <v>7033</v>
      </c>
      <c r="AQ147" s="44">
        <f t="shared" si="159"/>
        <v>1032.7164830943273</v>
      </c>
      <c r="AR147" s="44">
        <f t="shared" si="157"/>
        <v>2068.5</v>
      </c>
      <c r="AS147" s="45">
        <f t="shared" si="160"/>
        <v>22119.95720957348</v>
      </c>
      <c r="AT147" s="94">
        <f t="shared" si="161"/>
        <v>0.29851494209950713</v>
      </c>
      <c r="AU147" s="44">
        <f t="shared" si="162"/>
        <v>2030.145627878059</v>
      </c>
      <c r="AV147" s="45">
        <f t="shared" si="185"/>
        <v>20089.81158169542</v>
      </c>
      <c r="AW147" s="94">
        <f t="shared" si="151"/>
        <v>0.27111756520506641</v>
      </c>
      <c r="AX147" s="44">
        <f t="shared" si="180"/>
        <v>1622.8804597817352</v>
      </c>
      <c r="AY147" s="45">
        <f t="shared" si="186"/>
        <v>23742.837669355216</v>
      </c>
      <c r="AZ147" s="94">
        <f t="shared" si="152"/>
        <v>0.32041616287928765</v>
      </c>
      <c r="BB147" s="10">
        <f t="shared" si="163"/>
        <v>2850</v>
      </c>
      <c r="BC147" s="10">
        <f t="shared" si="164"/>
        <v>-1092.2381913826393</v>
      </c>
      <c r="BD147" s="10">
        <f t="shared" si="165"/>
        <v>-294.3628408949686</v>
      </c>
      <c r="BE147" s="10">
        <f t="shared" si="166"/>
        <v>-19.08884517728869</v>
      </c>
      <c r="BF147" s="10">
        <f t="shared" si="167"/>
        <v>-362.88036513480347</v>
      </c>
      <c r="BG147" s="10">
        <f t="shared" si="168"/>
        <v>-1768.5702425896998</v>
      </c>
      <c r="BH147" s="10">
        <f t="shared" si="169"/>
        <v>1081.4297574103002</v>
      </c>
      <c r="BI147" s="10">
        <f t="shared" si="170"/>
        <v>-198.07692307692307</v>
      </c>
      <c r="BJ147" s="10">
        <f t="shared" si="171"/>
        <v>-72.42307692307692</v>
      </c>
      <c r="BK147" s="10">
        <f t="shared" si="172"/>
        <v>-270.5</v>
      </c>
      <c r="BL147" s="10">
        <f t="shared" si="173"/>
        <v>-39.719864734397206</v>
      </c>
      <c r="BM147" s="10">
        <f t="shared" si="174"/>
        <v>79.557692307692307</v>
      </c>
      <c r="BN147" s="10">
        <f t="shared" si="175"/>
        <v>850.76758498359538</v>
      </c>
      <c r="BO147" s="10">
        <f t="shared" si="176"/>
        <v>-78.082524149156114</v>
      </c>
      <c r="BP147" s="10">
        <f t="shared" si="177"/>
        <v>772.68506083443924</v>
      </c>
      <c r="BQ147" s="10">
        <f t="shared" si="178"/>
        <v>62.41847922237443</v>
      </c>
      <c r="BR147" s="10">
        <f t="shared" si="179"/>
        <v>913.18606420596984</v>
      </c>
    </row>
    <row r="148" spans="2:70">
      <c r="C148" s="138"/>
      <c r="D148" s="139"/>
      <c r="E148" s="140"/>
      <c r="F148" s="172"/>
      <c r="G148" s="173"/>
      <c r="H148" s="174"/>
      <c r="I148" s="174"/>
      <c r="J148" s="121"/>
      <c r="K148" s="121"/>
      <c r="L148" s="121"/>
      <c r="M148" s="175"/>
      <c r="N148" s="121"/>
      <c r="O148" s="176"/>
      <c r="P148" s="177"/>
      <c r="Q148" s="176"/>
      <c r="R148" s="178"/>
      <c r="S148" s="179"/>
      <c r="T148" s="180"/>
      <c r="U148" s="181"/>
      <c r="V148" s="182"/>
      <c r="W148" s="183"/>
      <c r="X148" s="184"/>
      <c r="Z148" s="121"/>
      <c r="AB148" s="185"/>
      <c r="AC148" s="186"/>
      <c r="AD148" s="186"/>
      <c r="AE148" s="186"/>
      <c r="AF148" s="186"/>
      <c r="AG148" s="186"/>
      <c r="AH148" s="186"/>
      <c r="AI148" s="186"/>
      <c r="AJ148" s="186"/>
      <c r="AK148" s="187"/>
      <c r="AL148" s="188"/>
      <c r="AM148" s="189"/>
      <c r="AN148" s="189"/>
      <c r="AO148" s="189"/>
      <c r="AP148" s="189"/>
      <c r="AQ148" s="189"/>
      <c r="AR148" s="189"/>
      <c r="AS148" s="190"/>
      <c r="AT148" s="188"/>
      <c r="AU148" s="189"/>
      <c r="AV148" s="190"/>
      <c r="AW148" s="188"/>
      <c r="AX148" s="189"/>
      <c r="AY148" s="190"/>
      <c r="AZ148" s="188"/>
      <c r="BB148" s="141"/>
      <c r="BC148" s="141"/>
      <c r="BD148" s="141"/>
      <c r="BE148" s="141"/>
      <c r="BF148" s="141"/>
      <c r="BG148" s="141"/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41"/>
      <c r="BR148" s="141"/>
    </row>
    <row r="149" spans="2:70">
      <c r="F149" s="50" t="s">
        <v>11</v>
      </c>
      <c r="G149" s="50">
        <f>SUBTOTAL(9,G4:G147)</f>
        <v>1978.33</v>
      </c>
      <c r="H149" s="96"/>
      <c r="I149" s="96"/>
      <c r="J149" s="96"/>
      <c r="K149" s="96"/>
      <c r="L149" s="96"/>
      <c r="M149" s="96"/>
      <c r="N149" s="96"/>
      <c r="O149" s="107" t="s">
        <v>11</v>
      </c>
      <c r="P149" s="50">
        <f t="shared" ref="P149:S149" si="187">SUBTOTAL(9,P4:P147)</f>
        <v>5016103.5</v>
      </c>
      <c r="Q149" s="50">
        <f t="shared" si="187"/>
        <v>89345.311340376924</v>
      </c>
      <c r="R149" s="50">
        <f t="shared" si="187"/>
        <v>225881</v>
      </c>
      <c r="S149" s="120">
        <f t="shared" si="187"/>
        <v>4790222.5</v>
      </c>
      <c r="T149" s="51"/>
      <c r="U149" s="51"/>
      <c r="V149" s="51"/>
      <c r="W149" s="51"/>
      <c r="X149" s="51"/>
      <c r="Y149" s="51"/>
      <c r="Z149" s="51"/>
      <c r="AA149" s="51"/>
      <c r="AB149" s="50">
        <f>AG149/G149</f>
        <v>2100.6176219287627</v>
      </c>
      <c r="AC149" s="120">
        <f t="shared" ref="AC149:AG149" si="188">SUBTOTAL(9,AC4:AC147)</f>
        <v>2421041.602143052</v>
      </c>
      <c r="AD149" s="50">
        <f t="shared" si="188"/>
        <v>882587.34756380983</v>
      </c>
      <c r="AE149" s="50">
        <f t="shared" si="188"/>
        <v>36686.488460270753</v>
      </c>
      <c r="AF149" s="50">
        <f t="shared" si="188"/>
        <v>815399.421823196</v>
      </c>
      <c r="AG149" s="50">
        <f t="shared" si="188"/>
        <v>4155714.8599903286</v>
      </c>
      <c r="AH149" s="50"/>
      <c r="AI149" s="50"/>
      <c r="AJ149" s="50"/>
      <c r="AK149" s="50">
        <f t="shared" ref="AK149" si="189">SUBTOTAL(9,AK4:AK147)</f>
        <v>860388.64000967157</v>
      </c>
      <c r="AL149" s="108">
        <f>AK149/$P149</f>
        <v>0.17152529647956258</v>
      </c>
      <c r="AM149" s="50">
        <f t="shared" ref="AM149:AP149" si="190">SUBTOTAL(9,AM4:AM147)</f>
        <v>225881</v>
      </c>
      <c r="AN149" s="50">
        <f t="shared" si="190"/>
        <v>0</v>
      </c>
      <c r="AO149" s="50">
        <f t="shared" si="190"/>
        <v>143276.74576923077</v>
      </c>
      <c r="AP149" s="50">
        <f t="shared" ref="AP149:AY149" si="191">SUBTOTAL(9,AP4:AP147)</f>
        <v>369157.74576923071</v>
      </c>
      <c r="AQ149" s="50">
        <f t="shared" si="191"/>
        <v>78579.000000000015</v>
      </c>
      <c r="AR149" s="50">
        <f t="shared" si="191"/>
        <v>143706.67500000002</v>
      </c>
      <c r="AS149" s="50">
        <f t="shared" si="191"/>
        <v>556358.56924044061</v>
      </c>
      <c r="AT149" s="108">
        <f>AS149/$P149</f>
        <v>0.11091449154516859</v>
      </c>
      <c r="AU149" s="50">
        <f t="shared" si="191"/>
        <v>154472.99999999997</v>
      </c>
      <c r="AV149" s="50">
        <f t="shared" si="191"/>
        <v>401885.56924044067</v>
      </c>
      <c r="AW149" s="108">
        <f>AV149/$P149</f>
        <v>8.0119074345344085E-2</v>
      </c>
      <c r="AX149" s="50">
        <f t="shared" si="191"/>
        <v>123484.35</v>
      </c>
      <c r="AY149" s="50">
        <f t="shared" si="191"/>
        <v>679842.91924044071</v>
      </c>
      <c r="AZ149" s="108">
        <f>AY149/$P149</f>
        <v>0.13553207569190723</v>
      </c>
      <c r="BA149" s="50"/>
      <c r="BB149" s="50">
        <f>P149/$G149</f>
        <v>2535.5241542108747</v>
      </c>
      <c r="BC149" s="50">
        <f>-AC149/$G149</f>
        <v>-1223.7804623814288</v>
      </c>
      <c r="BD149" s="50">
        <f>-AD149/$G149</f>
        <v>-446.12746486370315</v>
      </c>
      <c r="BE149" s="50">
        <f>-AE149/$G149</f>
        <v>-18.544170315503862</v>
      </c>
      <c r="BF149" s="50">
        <f t="shared" ref="BF149" si="192">-AF149/$G149</f>
        <v>-412.16552436812668</v>
      </c>
      <c r="BG149" s="50">
        <f t="shared" ref="BG149" si="193">-AG149/$G149</f>
        <v>-2100.6176219287627</v>
      </c>
      <c r="BH149" s="50">
        <f t="shared" ref="BH149" si="194">AK149/$G149</f>
        <v>434.90653228211249</v>
      </c>
      <c r="BI149" s="50">
        <f t="shared" ref="BI149" si="195">-AM149/$G149</f>
        <v>-114.17761445259386</v>
      </c>
      <c r="BJ149" s="50">
        <f t="shared" ref="BJ149" si="196">-AO149/$G149</f>
        <v>-72.42307692307692</v>
      </c>
      <c r="BK149" s="50">
        <f t="shared" ref="BK149" si="197">-AP149/$G149</f>
        <v>-186.60069137567075</v>
      </c>
      <c r="BL149" s="50">
        <f t="shared" ref="BL149" si="198">-AQ149/$G149</f>
        <v>-39.719864734397206</v>
      </c>
      <c r="BM149" s="50">
        <f t="shared" ref="BM149" si="199">AR149/$G149</f>
        <v>72.64039619274844</v>
      </c>
      <c r="BN149" s="50">
        <f t="shared" ref="BN149" si="200">AS149/$G149</f>
        <v>281.22637236479284</v>
      </c>
      <c r="BO149" s="50">
        <f t="shared" ref="BO149" si="201">-AU149/$G149</f>
        <v>-78.0825241491561</v>
      </c>
      <c r="BP149" s="50">
        <f t="shared" ref="BP149" si="202">AV149/$G149</f>
        <v>203.14384821563678</v>
      </c>
      <c r="BQ149" s="50">
        <f t="shared" ref="BQ149" si="203">AX149/$G149</f>
        <v>62.41847922237443</v>
      </c>
      <c r="BR149" s="50">
        <f t="shared" ref="BR149" si="204">AY149/$G149</f>
        <v>343.64485158716735</v>
      </c>
    </row>
    <row r="150" spans="2:70">
      <c r="P150" s="56">
        <v>12150150.620000001</v>
      </c>
      <c r="Y150" s="49"/>
      <c r="AG150" s="56"/>
    </row>
    <row r="151" spans="2:70">
      <c r="AF151" s="114">
        <v>377245.89317473356</v>
      </c>
      <c r="AG151" s="58"/>
    </row>
    <row r="152" spans="2:70">
      <c r="P152" s="220">
        <v>-236059.99</v>
      </c>
      <c r="AB152">
        <v>9964.2541747368523</v>
      </c>
      <c r="AD152" s="110"/>
      <c r="AF152">
        <v>7966.54</v>
      </c>
      <c r="AG152">
        <f>51*AB153</f>
        <v>95476.08</v>
      </c>
      <c r="AJ152" s="110"/>
      <c r="AN152">
        <v>5988.2099999999991</v>
      </c>
      <c r="AP152">
        <f>AP149/G149</f>
        <v>186.60069137567075</v>
      </c>
      <c r="AX152" s="58"/>
    </row>
    <row r="153" spans="2:70">
      <c r="AB153" s="114">
        <v>1872.08</v>
      </c>
      <c r="AC153">
        <f>241000/AB153</f>
        <v>128.73381479423958</v>
      </c>
      <c r="AF153" s="112">
        <f>AF151/AF152</f>
        <v>47.353793889785727</v>
      </c>
      <c r="AG153" s="112">
        <f>AG152+AG149</f>
        <v>4251190.9399903286</v>
      </c>
      <c r="AI153" s="110"/>
      <c r="AJ153" s="110"/>
    </row>
    <row r="154" spans="2:70">
      <c r="AB154" s="121">
        <f>AB152/AB153</f>
        <v>5.3225578900137025</v>
      </c>
      <c r="AG154" s="122"/>
    </row>
    <row r="155" spans="2:70">
      <c r="AF155" s="263">
        <v>15231</v>
      </c>
      <c r="AG155" s="110"/>
    </row>
    <row r="156" spans="2:70">
      <c r="P156" s="114">
        <v>589800</v>
      </c>
      <c r="T156">
        <v>312060.49</v>
      </c>
      <c r="AH156" s="112"/>
      <c r="AI156" s="112"/>
      <c r="AJ156" s="112"/>
    </row>
    <row r="157" spans="2:70">
      <c r="P157" s="114">
        <v>-574200</v>
      </c>
      <c r="AG157" s="112"/>
    </row>
    <row r="158" spans="2:70">
      <c r="F158" s="225" t="s">
        <v>590</v>
      </c>
      <c r="G158" s="112">
        <v>1995.8</v>
      </c>
      <c r="P158" s="114">
        <f>P156+P157</f>
        <v>15600</v>
      </c>
      <c r="AB158" s="123"/>
      <c r="AG158" s="112"/>
    </row>
    <row r="159" spans="2:70">
      <c r="F159" s="225" t="s">
        <v>591</v>
      </c>
      <c r="G159" s="224">
        <v>0.35</v>
      </c>
      <c r="AB159" s="123"/>
      <c r="AG159" s="112"/>
    </row>
    <row r="160" spans="2:70">
      <c r="F160" s="225" t="s">
        <v>592</v>
      </c>
      <c r="G160" s="112">
        <f>G158*G159</f>
        <v>698.53</v>
      </c>
      <c r="R160" s="1"/>
      <c r="AG160" s="112"/>
    </row>
    <row r="161" spans="6:33">
      <c r="F161" s="225" t="s">
        <v>593</v>
      </c>
      <c r="G161" s="224">
        <v>0.25</v>
      </c>
      <c r="R161" s="1"/>
      <c r="AB161" s="121"/>
      <c r="AG161" s="122"/>
    </row>
    <row r="162" spans="6:33">
      <c r="AG162" s="110"/>
    </row>
    <row r="163" spans="6:33">
      <c r="F163" s="225" t="s">
        <v>594</v>
      </c>
      <c r="G163" s="112">
        <v>2110.1099999999997</v>
      </c>
    </row>
    <row r="164" spans="6:33">
      <c r="F164" s="225" t="s">
        <v>591</v>
      </c>
      <c r="G164" s="224">
        <v>0.35</v>
      </c>
      <c r="AB164" s="124"/>
      <c r="AG164" s="124"/>
    </row>
    <row r="165" spans="6:33">
      <c r="F165" s="225" t="s">
        <v>595</v>
      </c>
      <c r="G165" s="112">
        <f>G163*G164</f>
        <v>738.53849999999989</v>
      </c>
      <c r="AG165" s="110"/>
    </row>
    <row r="166" spans="6:33">
      <c r="F166" s="225" t="s">
        <v>593</v>
      </c>
      <c r="G166" s="224">
        <v>7.0000000000000007E-2</v>
      </c>
    </row>
  </sheetData>
  <autoFilter ref="C3:BR147" xr:uid="{FF29DF5D-4B52-4DC0-B796-EF7D4CAE41BF}">
    <filterColumn colId="0">
      <filters>
        <filter val="MAYO"/>
      </filters>
    </filterColumn>
  </autoFilter>
  <mergeCells count="1">
    <mergeCell ref="BB2:BR2"/>
  </mergeCells>
  <phoneticPr fontId="3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8D88-4969-4CEA-BD9F-3F5263A6244F}">
  <dimension ref="A2:R58"/>
  <sheetViews>
    <sheetView zoomScale="80" zoomScaleNormal="80" workbookViewId="0">
      <selection activeCell="G35" sqref="G35"/>
    </sheetView>
  </sheetViews>
  <sheetFormatPr baseColWidth="10" defaultRowHeight="14.4"/>
  <cols>
    <col min="1" max="1" width="18" bestFit="1" customWidth="1"/>
    <col min="4" max="4" width="39.6640625" bestFit="1" customWidth="1"/>
    <col min="5" max="5" width="11.6640625" bestFit="1" customWidth="1"/>
    <col min="6" max="6" width="13.44140625" bestFit="1" customWidth="1"/>
    <col min="7" max="7" width="15.44140625" bestFit="1" customWidth="1"/>
    <col min="8" max="8" width="12.44140625" bestFit="1" customWidth="1"/>
    <col min="9" max="9" width="11.109375" bestFit="1" customWidth="1"/>
    <col min="10" max="10" width="15" bestFit="1" customWidth="1"/>
    <col min="11" max="11" width="12.109375" customWidth="1"/>
    <col min="12" max="12" width="11.109375" bestFit="1" customWidth="1"/>
    <col min="13" max="13" width="18.5546875" bestFit="1" customWidth="1"/>
  </cols>
  <sheetData>
    <row r="2" spans="1:18">
      <c r="C2" s="53" t="s">
        <v>589</v>
      </c>
    </row>
    <row r="4" spans="1:18">
      <c r="C4" s="202" t="s">
        <v>300</v>
      </c>
      <c r="D4" s="202" t="s">
        <v>301</v>
      </c>
      <c r="E4" s="203" t="s">
        <v>577</v>
      </c>
      <c r="F4" s="203" t="s">
        <v>578</v>
      </c>
      <c r="G4" s="202" t="s">
        <v>579</v>
      </c>
      <c r="H4" s="202" t="s">
        <v>580</v>
      </c>
      <c r="I4" s="202" t="s">
        <v>581</v>
      </c>
      <c r="J4" s="202" t="s">
        <v>89</v>
      </c>
      <c r="K4" s="202" t="s">
        <v>11</v>
      </c>
      <c r="O4" s="202" t="s">
        <v>89</v>
      </c>
      <c r="P4" s="202" t="s">
        <v>584</v>
      </c>
      <c r="Q4" s="202" t="s">
        <v>582</v>
      </c>
      <c r="R4" s="202" t="s">
        <v>583</v>
      </c>
    </row>
    <row r="5" spans="1:18">
      <c r="A5" t="b">
        <f>B5=Resumen!Y45</f>
        <v>1</v>
      </c>
      <c r="B5">
        <f>INDEX('Costos Producción Marzo'!$A$5:$A$37,MATCH(D5,'Costos Producción Marzo'!$C$5:$C$37,0))</f>
        <v>10006720</v>
      </c>
      <c r="C5" s="7" t="s">
        <v>587</v>
      </c>
      <c r="D5" s="7" t="s">
        <v>329</v>
      </c>
      <c r="E5" s="10">
        <v>542.34</v>
      </c>
      <c r="F5" s="10">
        <v>1594.5633182136667</v>
      </c>
      <c r="G5" s="10">
        <v>554933.23</v>
      </c>
      <c r="H5" s="10">
        <v>116723.15999999999</v>
      </c>
      <c r="I5" s="10">
        <v>8080.52</v>
      </c>
      <c r="J5" s="10">
        <f>SUM(O5:R5)</f>
        <v>185058.56</v>
      </c>
      <c r="K5" s="204">
        <f>SUM(G5:J5)</f>
        <v>864795.47</v>
      </c>
      <c r="O5" s="7">
        <v>117460</v>
      </c>
      <c r="P5" s="7">
        <v>69186.31</v>
      </c>
      <c r="Q5" s="7">
        <v>-2811.73</v>
      </c>
      <c r="R5" s="7">
        <v>1223.98</v>
      </c>
    </row>
    <row r="6" spans="1:18">
      <c r="B6">
        <f>INDEX('Costos Producción Marzo'!$A$5:$A$37,MATCH(D6,'Costos Producción Marzo'!$C$5:$C$37,0))</f>
        <v>10009178</v>
      </c>
      <c r="C6" s="7" t="s">
        <v>587</v>
      </c>
      <c r="D6" s="7" t="s">
        <v>442</v>
      </c>
      <c r="E6" s="10">
        <v>8.2200000000000006</v>
      </c>
      <c r="F6" s="10">
        <v>1571.4975669099754</v>
      </c>
      <c r="G6" s="10">
        <v>8381.4</v>
      </c>
      <c r="H6" s="10">
        <v>1617.02</v>
      </c>
      <c r="I6" s="10">
        <v>133.13999999999999</v>
      </c>
      <c r="J6" s="10">
        <f t="shared" ref="J6:J29" si="0">SUM(O6:R6)</f>
        <v>2786.15</v>
      </c>
      <c r="K6" s="204">
        <f t="shared" ref="K6:K29" si="1">SUM(G6:J6)</f>
        <v>12917.71</v>
      </c>
      <c r="O6" s="7">
        <v>1780.31</v>
      </c>
      <c r="P6" s="7">
        <v>1048.6300000000001</v>
      </c>
      <c r="Q6" s="7">
        <v>-42.79</v>
      </c>
      <c r="R6" s="7">
        <v>0</v>
      </c>
    </row>
    <row r="7" spans="1:18">
      <c r="B7" t="e">
        <f>INDEX('Costos Producción Marzo'!$A$5:$A$37,MATCH(D7,'Costos Producción Marzo'!$C$5:$C$37,0))</f>
        <v>#N/A</v>
      </c>
      <c r="C7" s="7" t="s">
        <v>587</v>
      </c>
      <c r="D7" s="7" t="s">
        <v>453</v>
      </c>
      <c r="E7" s="10">
        <v>0.36</v>
      </c>
      <c r="F7" s="10">
        <v>1804</v>
      </c>
      <c r="G7" s="10">
        <v>370.25</v>
      </c>
      <c r="H7" s="10">
        <v>151.19999999999999</v>
      </c>
      <c r="I7" s="10">
        <v>5.92</v>
      </c>
      <c r="J7" s="10">
        <f t="shared" si="0"/>
        <v>122.07000000000001</v>
      </c>
      <c r="K7" s="204">
        <f t="shared" si="1"/>
        <v>649.44000000000005</v>
      </c>
      <c r="O7" s="7">
        <v>77.97</v>
      </c>
      <c r="P7" s="7">
        <v>45.93</v>
      </c>
      <c r="Q7" s="7">
        <v>-1.83</v>
      </c>
      <c r="R7" s="7">
        <v>0</v>
      </c>
    </row>
    <row r="8" spans="1:18">
      <c r="A8" t="b">
        <f>B8=Resumen!Y50</f>
        <v>1</v>
      </c>
      <c r="B8">
        <f>INDEX('Costos Producción Marzo'!$A$5:$A$37,MATCH(D8,'Costos Producción Marzo'!$C$5:$C$37,0))</f>
        <v>10009331</v>
      </c>
      <c r="C8" s="7" t="s">
        <v>587</v>
      </c>
      <c r="D8" s="7" t="s">
        <v>406</v>
      </c>
      <c r="E8" s="10">
        <v>40.518000000000001</v>
      </c>
      <c r="F8" s="10">
        <v>1762.2155585172025</v>
      </c>
      <c r="G8" s="10">
        <v>40743.58</v>
      </c>
      <c r="H8" s="10">
        <v>16164.36</v>
      </c>
      <c r="I8" s="10">
        <v>740.31999999999982</v>
      </c>
      <c r="J8" s="10">
        <f t="shared" si="0"/>
        <v>13753.19</v>
      </c>
      <c r="K8" s="204">
        <f t="shared" si="1"/>
        <v>71401.45</v>
      </c>
      <c r="O8" s="7">
        <v>8775.39</v>
      </c>
      <c r="P8" s="7">
        <v>5168.88</v>
      </c>
      <c r="Q8" s="7">
        <v>-191.08000000000004</v>
      </c>
      <c r="R8" s="7">
        <v>0</v>
      </c>
    </row>
    <row r="9" spans="1:18">
      <c r="B9">
        <f>INDEX('Costos Producción Marzo'!$A$5:$A$37,MATCH(D9,'Costos Producción Marzo'!$C$5:$C$37,0))</f>
        <v>10009334</v>
      </c>
      <c r="C9" s="7" t="s">
        <v>587</v>
      </c>
      <c r="D9" s="7" t="s">
        <v>455</v>
      </c>
      <c r="E9" s="10">
        <v>2.5739999999999998</v>
      </c>
      <c r="F9" s="10">
        <v>1791.3791763791767</v>
      </c>
      <c r="G9" s="10">
        <v>2610.9700000000003</v>
      </c>
      <c r="H9" s="10">
        <v>1081.08</v>
      </c>
      <c r="I9" s="10">
        <v>45.940000000000005</v>
      </c>
      <c r="J9" s="10">
        <f t="shared" si="0"/>
        <v>873.02</v>
      </c>
      <c r="K9" s="204">
        <f t="shared" si="1"/>
        <v>4611.01</v>
      </c>
      <c r="O9" s="7">
        <v>557.48</v>
      </c>
      <c r="P9" s="7">
        <v>328.37</v>
      </c>
      <c r="Q9" s="7">
        <v>-12.83</v>
      </c>
      <c r="R9" s="7">
        <v>0</v>
      </c>
    </row>
    <row r="10" spans="1:18">
      <c r="A10" t="b">
        <f>B10=Resumen!Y43</f>
        <v>1</v>
      </c>
      <c r="B10">
        <f>INDEX('Costos Producción Marzo'!$A$5:$A$37,MATCH(D10,'Costos Producción Marzo'!$C$5:$C$37,0))</f>
        <v>10007969</v>
      </c>
      <c r="C10" s="7" t="s">
        <v>587</v>
      </c>
      <c r="D10" s="7" t="s">
        <v>439</v>
      </c>
      <c r="E10" s="10">
        <v>52.86</v>
      </c>
      <c r="F10" s="10">
        <v>1205.0788876276961</v>
      </c>
      <c r="G10" s="10">
        <v>53960.46</v>
      </c>
      <c r="H10" s="10">
        <v>10836.300000000001</v>
      </c>
      <c r="I10" s="10">
        <v>833.84</v>
      </c>
      <c r="J10" s="10">
        <f t="shared" si="0"/>
        <v>-1930.1300000000003</v>
      </c>
      <c r="K10" s="204">
        <f t="shared" si="1"/>
        <v>63700.470000000008</v>
      </c>
      <c r="O10" s="7">
        <v>0</v>
      </c>
      <c r="P10" s="7">
        <v>0</v>
      </c>
      <c r="Q10" s="7">
        <v>-1930.1300000000003</v>
      </c>
      <c r="R10" s="7">
        <v>0</v>
      </c>
    </row>
    <row r="11" spans="1:18">
      <c r="A11" t="b">
        <f>B11=Resumen!Y52</f>
        <v>1</v>
      </c>
      <c r="B11">
        <f>INDEX('Costos Producción Marzo'!$A$5:$A$37,MATCH(D11,'Costos Producción Marzo'!$C$5:$C$37,0))</f>
        <v>10005721</v>
      </c>
      <c r="C11" s="7" t="s">
        <v>587</v>
      </c>
      <c r="D11" s="7" t="s">
        <v>430</v>
      </c>
      <c r="E11" s="10">
        <v>659.62</v>
      </c>
      <c r="F11" s="10">
        <v>1672.2065734817018</v>
      </c>
      <c r="G11" s="10">
        <v>669876.63000000012</v>
      </c>
      <c r="H11" s="10">
        <v>196287.76</v>
      </c>
      <c r="I11" s="10">
        <v>12025.03</v>
      </c>
      <c r="J11" s="10">
        <f t="shared" si="0"/>
        <v>224831.48</v>
      </c>
      <c r="K11" s="204">
        <f t="shared" si="1"/>
        <v>1103020.9000000001</v>
      </c>
      <c r="O11" s="7">
        <v>142860.52000000002</v>
      </c>
      <c r="P11" s="7">
        <v>84147.72</v>
      </c>
      <c r="Q11" s="7">
        <v>-3416.29</v>
      </c>
      <c r="R11" s="7">
        <v>1239.53</v>
      </c>
    </row>
    <row r="12" spans="1:18">
      <c r="B12">
        <f>INDEX('Costos Producción Marzo'!$A$5:$A$37,MATCH(D12,'Costos Producción Marzo'!$C$5:$C$37,0))</f>
        <v>10004435</v>
      </c>
      <c r="C12" s="7" t="s">
        <v>587</v>
      </c>
      <c r="D12" s="7" t="s">
        <v>429</v>
      </c>
      <c r="E12" s="10">
        <v>154.19999999999999</v>
      </c>
      <c r="F12" s="10">
        <v>1710.3250972762648</v>
      </c>
      <c r="G12" s="10">
        <v>157649.82000000004</v>
      </c>
      <c r="H12" s="10">
        <v>51614.64</v>
      </c>
      <c r="I12" s="10">
        <v>2180.8400000000006</v>
      </c>
      <c r="J12" s="10">
        <f t="shared" si="0"/>
        <v>52286.83</v>
      </c>
      <c r="K12" s="204">
        <f t="shared" si="1"/>
        <v>263732.13</v>
      </c>
      <c r="O12" s="7">
        <v>33396.65</v>
      </c>
      <c r="P12" s="7">
        <v>19671.289999999997</v>
      </c>
      <c r="Q12" s="7">
        <v>-781.11</v>
      </c>
      <c r="R12" s="7">
        <v>0</v>
      </c>
    </row>
    <row r="13" spans="1:18">
      <c r="B13">
        <f>INDEX('Costos Producción Marzo'!$A$5:$A$37,MATCH(D13,'Costos Producción Marzo'!$C$5:$C$37,0))</f>
        <v>10009251</v>
      </c>
      <c r="C13" s="7" t="s">
        <v>587</v>
      </c>
      <c r="D13" s="7" t="s">
        <v>463</v>
      </c>
      <c r="E13" s="10">
        <v>2.63</v>
      </c>
      <c r="F13" s="10">
        <v>1621.6311787072245</v>
      </c>
      <c r="G13" s="10">
        <v>2551.33</v>
      </c>
      <c r="H13" s="10">
        <v>789</v>
      </c>
      <c r="I13" s="10">
        <v>29.76</v>
      </c>
      <c r="J13" s="10">
        <f t="shared" si="0"/>
        <v>894.8</v>
      </c>
      <c r="K13" s="204">
        <f t="shared" si="1"/>
        <v>4264.8900000000003</v>
      </c>
      <c r="O13" s="7">
        <v>569.61</v>
      </c>
      <c r="P13" s="7">
        <v>335.51</v>
      </c>
      <c r="Q13" s="7">
        <v>-10.32</v>
      </c>
      <c r="R13" s="7">
        <v>0</v>
      </c>
    </row>
    <row r="14" spans="1:18">
      <c r="B14" t="e">
        <f>B7</f>
        <v>#N/A</v>
      </c>
      <c r="C14" s="7" t="s">
        <v>587</v>
      </c>
      <c r="D14" s="7" t="s">
        <v>449</v>
      </c>
      <c r="E14" s="10">
        <v>5.76</v>
      </c>
      <c r="F14" s="10">
        <v>2069.0486111111113</v>
      </c>
      <c r="G14" s="10">
        <v>5859.2000000000007</v>
      </c>
      <c r="H14" s="10">
        <v>4021.3399999999997</v>
      </c>
      <c r="I14" s="10">
        <v>83.100000000000009</v>
      </c>
      <c r="J14" s="10">
        <f t="shared" si="0"/>
        <v>1954.08</v>
      </c>
      <c r="K14" s="204">
        <f t="shared" si="1"/>
        <v>11917.720000000001</v>
      </c>
      <c r="O14" s="7">
        <v>1247.51</v>
      </c>
      <c r="P14" s="7">
        <v>734.81</v>
      </c>
      <c r="Q14" s="7">
        <v>-28.240000000000002</v>
      </c>
      <c r="R14" s="7">
        <v>0</v>
      </c>
    </row>
    <row r="15" spans="1:18">
      <c r="A15" t="b">
        <f>B15=Resumen!Y67</f>
        <v>1</v>
      </c>
      <c r="B15">
        <f>INDEX('Costos Producción Marzo'!$A$5:$A$37,MATCH(D15,'Costos Producción Marzo'!$C$5:$C$37,0))</f>
        <v>10009239</v>
      </c>
      <c r="C15" s="7" t="s">
        <v>587</v>
      </c>
      <c r="D15" s="7" t="s">
        <v>392</v>
      </c>
      <c r="E15" s="10">
        <v>220.08</v>
      </c>
      <c r="F15" s="10">
        <v>2067.1870683387856</v>
      </c>
      <c r="G15" s="10">
        <v>223723.46999999997</v>
      </c>
      <c r="H15" s="10">
        <v>145855.36000000002</v>
      </c>
      <c r="I15" s="10">
        <v>2671.12</v>
      </c>
      <c r="J15" s="10">
        <f t="shared" si="0"/>
        <v>82696.579999999987</v>
      </c>
      <c r="K15" s="204">
        <f t="shared" si="1"/>
        <v>454946.52999999991</v>
      </c>
      <c r="O15" s="7">
        <v>47145.130000000005</v>
      </c>
      <c r="P15" s="7">
        <v>27769.43</v>
      </c>
      <c r="Q15" s="7">
        <v>-1082.3799999999999</v>
      </c>
      <c r="R15" s="7">
        <v>8864.4</v>
      </c>
    </row>
    <row r="16" spans="1:18">
      <c r="B16">
        <f>INDEX('Costos Producción Marzo'!$A$5:$A$37,MATCH(D16,'Costos Producción Marzo'!$C$5:$C$37,0))</f>
        <v>10009207</v>
      </c>
      <c r="C16" s="7" t="s">
        <v>587</v>
      </c>
      <c r="D16" s="7" t="s">
        <v>446</v>
      </c>
      <c r="E16" s="10">
        <v>10.5</v>
      </c>
      <c r="F16" s="10">
        <v>1216.0695238095238</v>
      </c>
      <c r="G16" s="10">
        <v>10773.890000000001</v>
      </c>
      <c r="H16" s="10">
        <v>1889.9999999999998</v>
      </c>
      <c r="I16" s="10">
        <v>158.78000000000003</v>
      </c>
      <c r="J16" s="10">
        <f t="shared" si="0"/>
        <v>-53.940000000000012</v>
      </c>
      <c r="K16" s="204">
        <f t="shared" si="1"/>
        <v>12768.730000000001</v>
      </c>
      <c r="O16" s="7">
        <v>0</v>
      </c>
      <c r="P16" s="7">
        <v>0</v>
      </c>
      <c r="Q16" s="7">
        <v>-53.940000000000012</v>
      </c>
      <c r="R16" s="7">
        <v>0</v>
      </c>
    </row>
    <row r="17" spans="1:18">
      <c r="B17">
        <f>INDEX('Costos Producción Marzo'!$A$5:$A$37,MATCH(D17,'Costos Producción Marzo'!$C$5:$C$37,0))</f>
        <v>10005776</v>
      </c>
      <c r="C17" s="7" t="s">
        <v>587</v>
      </c>
      <c r="D17" s="7" t="s">
        <v>431</v>
      </c>
      <c r="E17" s="10">
        <v>3</v>
      </c>
      <c r="F17" s="10">
        <v>1747.6000000000004</v>
      </c>
      <c r="G17" s="10">
        <v>3027.93</v>
      </c>
      <c r="H17" s="10">
        <v>1170</v>
      </c>
      <c r="I17" s="10">
        <v>27.72</v>
      </c>
      <c r="J17" s="10">
        <f t="shared" si="0"/>
        <v>1017.15</v>
      </c>
      <c r="K17" s="204">
        <f t="shared" si="1"/>
        <v>5242.8</v>
      </c>
      <c r="O17" s="7">
        <v>649.75</v>
      </c>
      <c r="P17" s="7">
        <v>382.71999999999997</v>
      </c>
      <c r="Q17" s="7">
        <v>-15.319999999999999</v>
      </c>
      <c r="R17" s="7">
        <v>0</v>
      </c>
    </row>
    <row r="18" spans="1:18">
      <c r="A18" t="b">
        <f>Resumen!Y61=B18</f>
        <v>1</v>
      </c>
      <c r="B18">
        <f>INDEX('Costos Producción Marzo'!$A$5:$A$37,MATCH(D18,'Costos Producción Marzo'!$C$5:$C$37,0))</f>
        <v>10005779</v>
      </c>
      <c r="C18" s="7" t="s">
        <v>587</v>
      </c>
      <c r="D18" s="7" t="s">
        <v>355</v>
      </c>
      <c r="E18" s="10">
        <v>142.12</v>
      </c>
      <c r="F18" s="10">
        <v>1765.0739515902051</v>
      </c>
      <c r="G18" s="10">
        <v>145645.04</v>
      </c>
      <c r="H18" s="10">
        <v>55426.799999999996</v>
      </c>
      <c r="I18" s="10">
        <v>1602.27</v>
      </c>
      <c r="J18" s="10">
        <f t="shared" si="0"/>
        <v>48178.2</v>
      </c>
      <c r="K18" s="204">
        <f t="shared" si="1"/>
        <v>250852.31</v>
      </c>
      <c r="O18" s="7">
        <v>30780.369999999995</v>
      </c>
      <c r="P18" s="7">
        <v>18130.25</v>
      </c>
      <c r="Q18" s="7">
        <v>-732.42000000000019</v>
      </c>
      <c r="R18" s="7">
        <v>0</v>
      </c>
    </row>
    <row r="19" spans="1:18">
      <c r="B19">
        <f>INDEX('Costos Producción Marzo'!$A$5:$A$37,MATCH(D19,'Costos Producción Marzo'!$C$5:$C$37,0))</f>
        <v>10005781</v>
      </c>
      <c r="C19" s="7" t="s">
        <v>587</v>
      </c>
      <c r="D19" s="7" t="s">
        <v>366</v>
      </c>
      <c r="E19" s="10">
        <v>39.1</v>
      </c>
      <c r="F19" s="10">
        <v>1766.4485933503836</v>
      </c>
      <c r="G19" s="10">
        <v>39977.200000000004</v>
      </c>
      <c r="H19" s="10">
        <v>15249</v>
      </c>
      <c r="I19" s="10">
        <v>586.07999999999993</v>
      </c>
      <c r="J19" s="10">
        <f t="shared" si="0"/>
        <v>13255.86</v>
      </c>
      <c r="K19" s="204">
        <f t="shared" si="1"/>
        <v>69068.140000000014</v>
      </c>
      <c r="O19" s="7">
        <v>8468.2800000000007</v>
      </c>
      <c r="P19" s="7">
        <v>4987.99</v>
      </c>
      <c r="Q19" s="7">
        <v>-200.41</v>
      </c>
      <c r="R19" s="7">
        <v>0</v>
      </c>
    </row>
    <row r="20" spans="1:18">
      <c r="B20">
        <f>INDEX('Costos Producción Marzo'!$A$5:$A$37,MATCH(D20,'Costos Producción Marzo'!$C$5:$C$37,0))</f>
        <v>10007050</v>
      </c>
      <c r="C20" s="7" t="s">
        <v>587</v>
      </c>
      <c r="D20" s="7" t="s">
        <v>435</v>
      </c>
      <c r="E20" s="10">
        <v>0.5</v>
      </c>
      <c r="F20" s="10">
        <v>1172.6999999999998</v>
      </c>
      <c r="G20" s="10">
        <v>490.39</v>
      </c>
      <c r="H20" s="10">
        <v>90</v>
      </c>
      <c r="I20" s="10">
        <v>8.5499999999999989</v>
      </c>
      <c r="J20" s="10">
        <f t="shared" si="0"/>
        <v>-2.59</v>
      </c>
      <c r="K20" s="204">
        <f t="shared" si="1"/>
        <v>586.34999999999991</v>
      </c>
      <c r="O20" s="7">
        <v>0</v>
      </c>
      <c r="P20" s="7">
        <v>0</v>
      </c>
      <c r="Q20" s="7">
        <v>-2.59</v>
      </c>
      <c r="R20" s="7">
        <v>0</v>
      </c>
    </row>
    <row r="21" spans="1:18">
      <c r="B21">
        <f>INDEX('Costos Producción Marzo'!$A$5:$A$37,MATCH(D21,'Costos Producción Marzo'!$C$5:$C$37,0))</f>
        <v>10007050</v>
      </c>
      <c r="C21" s="7" t="s">
        <v>587</v>
      </c>
      <c r="D21" s="7" t="s">
        <v>457</v>
      </c>
      <c r="E21" s="10">
        <v>26.774999999999999</v>
      </c>
      <c r="F21" s="10">
        <v>1286.3458450046687</v>
      </c>
      <c r="G21" s="10">
        <v>27240.84</v>
      </c>
      <c r="H21" s="10">
        <v>5619.0199999999995</v>
      </c>
      <c r="I21" s="10">
        <v>466.11999999999989</v>
      </c>
      <c r="J21" s="10">
        <f t="shared" si="0"/>
        <v>1115.93</v>
      </c>
      <c r="K21" s="204">
        <f t="shared" si="1"/>
        <v>34441.910000000003</v>
      </c>
      <c r="O21" s="7">
        <v>0</v>
      </c>
      <c r="P21" s="7">
        <v>0</v>
      </c>
      <c r="Q21" s="7">
        <v>-132.07</v>
      </c>
      <c r="R21" s="7">
        <v>1248</v>
      </c>
    </row>
    <row r="22" spans="1:18">
      <c r="B22">
        <f>INDEX('Costos Producción Marzo'!$A$5:$A$37,MATCH(D22,'Costos Producción Marzo'!$C$5:$C$37,0))</f>
        <v>10007050</v>
      </c>
      <c r="C22" s="7" t="s">
        <v>587</v>
      </c>
      <c r="D22" s="7" t="s">
        <v>410</v>
      </c>
      <c r="E22" s="10">
        <v>25.545000000000002</v>
      </c>
      <c r="F22" s="10">
        <v>1270.5233900959092</v>
      </c>
      <c r="G22" s="10">
        <v>25988.75</v>
      </c>
      <c r="H22" s="10">
        <v>4747.26</v>
      </c>
      <c r="I22" s="10">
        <v>469.08000000000004</v>
      </c>
      <c r="J22" s="10">
        <f t="shared" si="0"/>
        <v>1250.4299999999998</v>
      </c>
      <c r="K22" s="204">
        <f t="shared" si="1"/>
        <v>32455.520000000004</v>
      </c>
      <c r="O22" s="7">
        <v>0</v>
      </c>
      <c r="P22" s="7">
        <v>0</v>
      </c>
      <c r="Q22" s="7">
        <v>-122.37</v>
      </c>
      <c r="R22" s="7">
        <v>1372.8</v>
      </c>
    </row>
    <row r="23" spans="1:18">
      <c r="B23">
        <f>INDEX('Costos Producción Marzo'!$A$5:$A$37,MATCH(D23,'Costos Producción Marzo'!$C$5:$C$37,0))</f>
        <v>10007050</v>
      </c>
      <c r="C23" s="7" t="s">
        <v>587</v>
      </c>
      <c r="D23" s="7" t="s">
        <v>434</v>
      </c>
      <c r="E23" s="10">
        <v>15.32</v>
      </c>
      <c r="F23" s="10">
        <v>1300.3054830287206</v>
      </c>
      <c r="G23" s="10">
        <v>14365.230000000001</v>
      </c>
      <c r="H23" s="10">
        <v>3407.7000000000007</v>
      </c>
      <c r="I23" s="10">
        <v>230.34</v>
      </c>
      <c r="J23" s="10">
        <f t="shared" si="0"/>
        <v>1917.4099999999999</v>
      </c>
      <c r="K23" s="204">
        <f t="shared" si="1"/>
        <v>19920.68</v>
      </c>
      <c r="O23" s="7">
        <v>0</v>
      </c>
      <c r="P23" s="7">
        <v>0</v>
      </c>
      <c r="Q23" s="7">
        <v>-66.189999999999984</v>
      </c>
      <c r="R23" s="7">
        <v>1983.6</v>
      </c>
    </row>
    <row r="24" spans="1:18">
      <c r="B24">
        <f>INDEX('Costos Producción Marzo'!$A$5:$A$37,MATCH(D24,'Costos Producción Marzo'!$C$5:$C$37,0))</f>
        <v>10007161</v>
      </c>
      <c r="C24" s="7" t="s">
        <v>587</v>
      </c>
      <c r="D24" s="7" t="s">
        <v>438</v>
      </c>
      <c r="E24" s="10">
        <v>3.22</v>
      </c>
      <c r="F24" s="10">
        <v>1648.4627329192549</v>
      </c>
      <c r="G24" s="10">
        <v>3247.62</v>
      </c>
      <c r="H24" s="10">
        <v>933.80000000000007</v>
      </c>
      <c r="I24" s="10">
        <v>35.200000000000003</v>
      </c>
      <c r="J24" s="10">
        <f t="shared" si="0"/>
        <v>1091.4299999999998</v>
      </c>
      <c r="K24" s="204">
        <f t="shared" si="1"/>
        <v>5308.0499999999993</v>
      </c>
      <c r="O24" s="7">
        <v>697.38999999999987</v>
      </c>
      <c r="P24" s="7">
        <v>410.77000000000004</v>
      </c>
      <c r="Q24" s="7">
        <v>-16.73</v>
      </c>
      <c r="R24" s="7">
        <v>0</v>
      </c>
    </row>
    <row r="25" spans="1:18">
      <c r="A25" t="b">
        <f>B25=Resumen!Y48</f>
        <v>1</v>
      </c>
      <c r="B25">
        <f>INDEX('Costos Producción Marzo'!$A$5:$A$37,MATCH(D25,'Costos Producción Marzo'!$C$5:$C$37,0))</f>
        <v>10007162</v>
      </c>
      <c r="C25" s="7" t="s">
        <v>587</v>
      </c>
      <c r="D25" s="7" t="s">
        <v>378</v>
      </c>
      <c r="E25" s="10">
        <v>319.66000000000003</v>
      </c>
      <c r="F25" s="10">
        <v>1665.8462115998248</v>
      </c>
      <c r="G25" s="10">
        <v>326505.41999999993</v>
      </c>
      <c r="H25" s="10">
        <v>92701.4</v>
      </c>
      <c r="I25" s="10">
        <v>4936.63</v>
      </c>
      <c r="J25" s="10">
        <f t="shared" si="0"/>
        <v>108360.95</v>
      </c>
      <c r="K25" s="204">
        <f t="shared" si="1"/>
        <v>532504.39999999991</v>
      </c>
      <c r="O25" s="7">
        <v>69231.97</v>
      </c>
      <c r="P25" s="7">
        <v>40779.03</v>
      </c>
      <c r="Q25" s="7">
        <v>-1650.0499999999997</v>
      </c>
      <c r="R25" s="7">
        <v>0</v>
      </c>
    </row>
    <row r="26" spans="1:18">
      <c r="B26">
        <f>INDEX('Costos Producción Marzo'!$A$5:$A$37,MATCH(D26,'Costos Producción Marzo'!$C$5:$C$37,0))</f>
        <v>10007162</v>
      </c>
      <c r="C26" s="7" t="s">
        <v>587</v>
      </c>
      <c r="D26" s="7" t="s">
        <v>458</v>
      </c>
      <c r="E26" s="10">
        <v>45.42</v>
      </c>
      <c r="F26" s="10">
        <v>1674.28225451343</v>
      </c>
      <c r="G26" s="10">
        <v>46863.23</v>
      </c>
      <c r="H26" s="10">
        <v>13171.8</v>
      </c>
      <c r="I26" s="10">
        <v>612.62</v>
      </c>
      <c r="J26" s="10">
        <f t="shared" si="0"/>
        <v>15398.25</v>
      </c>
      <c r="K26" s="204">
        <f t="shared" si="1"/>
        <v>76045.899999999994</v>
      </c>
      <c r="O26" s="7">
        <v>9837.07</v>
      </c>
      <c r="P26" s="7">
        <v>5794.2300000000005</v>
      </c>
      <c r="Q26" s="7">
        <v>-233.04999999999998</v>
      </c>
      <c r="R26" s="7">
        <v>0</v>
      </c>
    </row>
    <row r="27" spans="1:18">
      <c r="A27" t="b">
        <f>B27=Resumen!Y71</f>
        <v>1</v>
      </c>
      <c r="B27">
        <f>INDEX('Costos Producción Marzo'!$A$5:$A$37,MATCH(D27,'Costos Producción Marzo'!$C$5:$C$37,0))</f>
        <v>10007567</v>
      </c>
      <c r="C27" s="7" t="s">
        <v>587</v>
      </c>
      <c r="D27" s="7" t="s">
        <v>373</v>
      </c>
      <c r="E27" s="10">
        <v>76.98</v>
      </c>
      <c r="F27" s="10">
        <v>1652.2357755261105</v>
      </c>
      <c r="G27" s="10">
        <v>78549.78</v>
      </c>
      <c r="H27" s="10">
        <v>21169.5</v>
      </c>
      <c r="I27" s="10">
        <v>1372.8</v>
      </c>
      <c r="J27" s="10">
        <f t="shared" si="0"/>
        <v>26097.03</v>
      </c>
      <c r="K27" s="204">
        <f t="shared" si="1"/>
        <v>127189.11</v>
      </c>
      <c r="O27" s="7">
        <v>16672.34</v>
      </c>
      <c r="P27" s="7">
        <v>9820.33</v>
      </c>
      <c r="Q27" s="7">
        <v>-395.64000000000004</v>
      </c>
      <c r="R27" s="7">
        <v>0</v>
      </c>
    </row>
    <row r="28" spans="1:18">
      <c r="B28">
        <f>INDEX('Costos Producción Marzo'!$A$5:$A$37,MATCH(D28,'Costos Producción Marzo'!$C$5:$C$37,0))</f>
        <v>10009386</v>
      </c>
      <c r="C28" s="7" t="s">
        <v>587</v>
      </c>
      <c r="D28" s="7" t="s">
        <v>456</v>
      </c>
      <c r="E28" s="10">
        <v>10.24</v>
      </c>
      <c r="F28" s="10">
        <v>1219.5097656250002</v>
      </c>
      <c r="G28" s="10">
        <v>10544.550000000001</v>
      </c>
      <c r="H28" s="10">
        <v>1843.2</v>
      </c>
      <c r="I28" s="10">
        <v>152.35</v>
      </c>
      <c r="J28" s="10">
        <f t="shared" si="0"/>
        <v>-52.319999999999993</v>
      </c>
      <c r="K28" s="204">
        <f t="shared" si="1"/>
        <v>12487.780000000002</v>
      </c>
      <c r="O28" s="7">
        <v>0</v>
      </c>
      <c r="P28" s="7">
        <v>0</v>
      </c>
      <c r="Q28" s="7">
        <v>-52.319999999999993</v>
      </c>
      <c r="R28" s="7">
        <v>0</v>
      </c>
    </row>
    <row r="29" spans="1:18">
      <c r="C29" s="217" t="s">
        <v>588</v>
      </c>
      <c r="D29" s="217">
        <v>0</v>
      </c>
      <c r="E29" s="90">
        <v>2407.5419999999999</v>
      </c>
      <c r="F29" s="90">
        <v>1675.9123620688654</v>
      </c>
      <c r="G29" s="90">
        <v>2453880.2099999995</v>
      </c>
      <c r="H29" s="90">
        <v>762560.70000000019</v>
      </c>
      <c r="I29" s="90">
        <v>37488.07</v>
      </c>
      <c r="J29" s="90">
        <f t="shared" si="0"/>
        <v>780900.42000000016</v>
      </c>
      <c r="K29" s="52">
        <f t="shared" si="1"/>
        <v>4034829.3999999994</v>
      </c>
      <c r="O29" s="7">
        <v>490207.74000000005</v>
      </c>
      <c r="P29" s="7">
        <v>288742.2</v>
      </c>
      <c r="Q29" s="7">
        <v>-13981.829999999998</v>
      </c>
      <c r="R29" s="7">
        <v>15932.31</v>
      </c>
    </row>
    <row r="31" spans="1:18">
      <c r="C31" s="205" t="s">
        <v>586</v>
      </c>
    </row>
    <row r="33" spans="2:11">
      <c r="C33" s="202" t="s">
        <v>300</v>
      </c>
      <c r="D33" s="202" t="s">
        <v>301</v>
      </c>
      <c r="E33" s="203" t="s">
        <v>577</v>
      </c>
      <c r="F33" s="203" t="s">
        <v>578</v>
      </c>
      <c r="G33" s="202" t="s">
        <v>579</v>
      </c>
      <c r="H33" s="202" t="s">
        <v>580</v>
      </c>
      <c r="I33" s="202" t="s">
        <v>581</v>
      </c>
      <c r="J33" s="202" t="s">
        <v>89</v>
      </c>
      <c r="K33" s="202" t="s">
        <v>11</v>
      </c>
    </row>
    <row r="34" spans="2:11">
      <c r="B34">
        <f>B5</f>
        <v>10006720</v>
      </c>
      <c r="C34" s="7" t="s">
        <v>587</v>
      </c>
      <c r="D34" s="7" t="s">
        <v>329</v>
      </c>
      <c r="E34" s="10"/>
      <c r="F34" s="10"/>
      <c r="G34" s="207">
        <f t="shared" ref="G34:K43" si="2">G5/$K5</f>
        <v>0.64169303523294352</v>
      </c>
      <c r="H34" s="207">
        <f t="shared" si="2"/>
        <v>0.13497198360671339</v>
      </c>
      <c r="I34" s="207">
        <f t="shared" si="2"/>
        <v>9.3438509801629759E-3</v>
      </c>
      <c r="J34" s="207">
        <f t="shared" si="2"/>
        <v>0.21399113018018007</v>
      </c>
      <c r="K34" s="207">
        <f t="shared" si="2"/>
        <v>1</v>
      </c>
    </row>
    <row r="35" spans="2:11">
      <c r="B35">
        <f t="shared" ref="B35:B57" si="3">B6</f>
        <v>10009178</v>
      </c>
      <c r="C35" s="7" t="s">
        <v>587</v>
      </c>
      <c r="D35" s="7" t="s">
        <v>442</v>
      </c>
      <c r="E35" s="10"/>
      <c r="F35" s="10"/>
      <c r="G35" s="207">
        <f t="shared" si="2"/>
        <v>0.64883017191127534</v>
      </c>
      <c r="H35" s="207">
        <f t="shared" si="2"/>
        <v>0.12517853396615963</v>
      </c>
      <c r="I35" s="207">
        <f t="shared" si="2"/>
        <v>1.0306780381352422E-2</v>
      </c>
      <c r="J35" s="207">
        <f t="shared" si="2"/>
        <v>0.21568451374121267</v>
      </c>
      <c r="K35" s="207">
        <f t="shared" si="2"/>
        <v>1</v>
      </c>
    </row>
    <row r="36" spans="2:11">
      <c r="B36" t="e">
        <f t="shared" si="3"/>
        <v>#N/A</v>
      </c>
      <c r="C36" s="7" t="s">
        <v>587</v>
      </c>
      <c r="D36" s="7" t="s">
        <v>453</v>
      </c>
      <c r="E36" s="10"/>
      <c r="F36" s="10"/>
      <c r="G36" s="207">
        <f t="shared" si="2"/>
        <v>0.57010655333826066</v>
      </c>
      <c r="H36" s="207">
        <f t="shared" si="2"/>
        <v>0.23281596452328157</v>
      </c>
      <c r="I36" s="207">
        <f t="shared" si="2"/>
        <v>9.1155457009115537E-3</v>
      </c>
      <c r="J36" s="207">
        <f t="shared" si="2"/>
        <v>0.18796193643754619</v>
      </c>
      <c r="K36" s="207">
        <f t="shared" si="2"/>
        <v>1</v>
      </c>
    </row>
    <row r="37" spans="2:11">
      <c r="B37">
        <f t="shared" si="3"/>
        <v>10009331</v>
      </c>
      <c r="C37" s="7" t="s">
        <v>587</v>
      </c>
      <c r="D37" s="7" t="s">
        <v>406</v>
      </c>
      <c r="E37" s="10"/>
      <c r="F37" s="10"/>
      <c r="G37" s="207">
        <f t="shared" si="2"/>
        <v>0.57062678699102054</v>
      </c>
      <c r="H37" s="207">
        <f t="shared" si="2"/>
        <v>0.22638699914357482</v>
      </c>
      <c r="I37" s="207">
        <f t="shared" si="2"/>
        <v>1.0368416887892331E-2</v>
      </c>
      <c r="J37" s="207">
        <f t="shared" si="2"/>
        <v>0.19261779697751238</v>
      </c>
      <c r="K37" s="207">
        <f t="shared" si="2"/>
        <v>1</v>
      </c>
    </row>
    <row r="38" spans="2:11">
      <c r="B38">
        <f t="shared" si="3"/>
        <v>10009334</v>
      </c>
      <c r="C38" s="7" t="s">
        <v>587</v>
      </c>
      <c r="D38" s="7" t="s">
        <v>455</v>
      </c>
      <c r="E38" s="10"/>
      <c r="F38" s="10"/>
      <c r="G38" s="207">
        <f t="shared" si="2"/>
        <v>0.56624687432905163</v>
      </c>
      <c r="H38" s="207">
        <f t="shared" si="2"/>
        <v>0.23445622542566594</v>
      </c>
      <c r="I38" s="207">
        <f t="shared" si="2"/>
        <v>9.9631100344609973E-3</v>
      </c>
      <c r="J38" s="207">
        <f t="shared" si="2"/>
        <v>0.18933379021082147</v>
      </c>
      <c r="K38" s="207">
        <f t="shared" si="2"/>
        <v>1</v>
      </c>
    </row>
    <row r="39" spans="2:11">
      <c r="B39">
        <f t="shared" si="3"/>
        <v>10007969</v>
      </c>
      <c r="C39" s="7" t="s">
        <v>587</v>
      </c>
      <c r="D39" s="7" t="s">
        <v>439</v>
      </c>
      <c r="E39" s="10"/>
      <c r="F39" s="10"/>
      <c r="G39" s="207">
        <f t="shared" si="2"/>
        <v>0.84709673256727924</v>
      </c>
      <c r="H39" s="207">
        <f t="shared" si="2"/>
        <v>0.17011334453262275</v>
      </c>
      <c r="I39" s="207">
        <f t="shared" si="2"/>
        <v>1.3090013307594118E-2</v>
      </c>
      <c r="J39" s="207">
        <f t="shared" si="2"/>
        <v>-3.0300090407496209E-2</v>
      </c>
      <c r="K39" s="207">
        <f t="shared" si="2"/>
        <v>1</v>
      </c>
    </row>
    <row r="40" spans="2:11">
      <c r="B40">
        <f t="shared" si="3"/>
        <v>10005721</v>
      </c>
      <c r="C40" s="7" t="s">
        <v>587</v>
      </c>
      <c r="D40" s="7" t="s">
        <v>430</v>
      </c>
      <c r="E40" s="10"/>
      <c r="F40" s="10"/>
      <c r="G40" s="207">
        <f t="shared" si="2"/>
        <v>0.60731091314770191</v>
      </c>
      <c r="H40" s="207">
        <f t="shared" si="2"/>
        <v>0.17795470602596922</v>
      </c>
      <c r="I40" s="207">
        <f t="shared" si="2"/>
        <v>1.0901905847840235E-2</v>
      </c>
      <c r="J40" s="207">
        <f t="shared" si="2"/>
        <v>0.20383247497848861</v>
      </c>
      <c r="K40" s="207">
        <f t="shared" si="2"/>
        <v>1</v>
      </c>
    </row>
    <row r="41" spans="2:11">
      <c r="B41">
        <f t="shared" si="3"/>
        <v>10004435</v>
      </c>
      <c r="C41" s="7" t="s">
        <v>587</v>
      </c>
      <c r="D41" s="7" t="s">
        <v>429</v>
      </c>
      <c r="E41" s="10"/>
      <c r="F41" s="10"/>
      <c r="G41" s="207">
        <f t="shared" si="2"/>
        <v>0.59776493671817699</v>
      </c>
      <c r="H41" s="207">
        <f t="shared" si="2"/>
        <v>0.19570857748731638</v>
      </c>
      <c r="I41" s="207">
        <f t="shared" si="2"/>
        <v>8.2691479418908892E-3</v>
      </c>
      <c r="J41" s="207">
        <f t="shared" si="2"/>
        <v>0.19825733785261584</v>
      </c>
      <c r="K41" s="207">
        <f t="shared" si="2"/>
        <v>1</v>
      </c>
    </row>
    <row r="42" spans="2:11">
      <c r="B42">
        <f t="shared" si="3"/>
        <v>10009251</v>
      </c>
      <c r="C42" s="7" t="s">
        <v>587</v>
      </c>
      <c r="D42" s="7" t="s">
        <v>463</v>
      </c>
      <c r="E42" s="10"/>
      <c r="F42" s="10"/>
      <c r="G42" s="207">
        <f t="shared" si="2"/>
        <v>0.59821707007683667</v>
      </c>
      <c r="H42" s="207">
        <f t="shared" si="2"/>
        <v>0.1849989097022432</v>
      </c>
      <c r="I42" s="207">
        <f t="shared" si="2"/>
        <v>6.9779056435218725E-3</v>
      </c>
      <c r="J42" s="207">
        <f t="shared" si="2"/>
        <v>0.20980611457739823</v>
      </c>
      <c r="K42" s="207">
        <f t="shared" si="2"/>
        <v>1</v>
      </c>
    </row>
    <row r="43" spans="2:11">
      <c r="B43" t="e">
        <f t="shared" si="3"/>
        <v>#N/A</v>
      </c>
      <c r="C43" s="7" t="s">
        <v>587</v>
      </c>
      <c r="D43" s="7" t="s">
        <v>449</v>
      </c>
      <c r="E43" s="10"/>
      <c r="F43" s="10"/>
      <c r="G43" s="207">
        <f t="shared" si="2"/>
        <v>0.49163766223740785</v>
      </c>
      <c r="H43" s="207">
        <f t="shared" si="2"/>
        <v>0.33742527933195271</v>
      </c>
      <c r="I43" s="207">
        <f t="shared" si="2"/>
        <v>6.9728102355148466E-3</v>
      </c>
      <c r="J43" s="207">
        <f t="shared" si="2"/>
        <v>0.16396424819512456</v>
      </c>
      <c r="K43" s="207">
        <f t="shared" si="2"/>
        <v>1</v>
      </c>
    </row>
    <row r="44" spans="2:11">
      <c r="B44">
        <f t="shared" si="3"/>
        <v>10009239</v>
      </c>
      <c r="C44" s="7" t="s">
        <v>587</v>
      </c>
      <c r="D44" s="7" t="s">
        <v>392</v>
      </c>
      <c r="E44" s="10"/>
      <c r="F44" s="10"/>
      <c r="G44" s="207">
        <f t="shared" ref="G44:K53" si="4">G15/$K15</f>
        <v>0.49175772370436593</v>
      </c>
      <c r="H44" s="207">
        <f t="shared" si="4"/>
        <v>0.32059890642533317</v>
      </c>
      <c r="I44" s="207">
        <f t="shared" si="4"/>
        <v>5.8712833791698567E-3</v>
      </c>
      <c r="J44" s="207">
        <f t="shared" si="4"/>
        <v>0.18177208649113116</v>
      </c>
      <c r="K44" s="207">
        <f t="shared" si="4"/>
        <v>1</v>
      </c>
    </row>
    <row r="45" spans="2:11">
      <c r="B45">
        <f t="shared" si="3"/>
        <v>10009207</v>
      </c>
      <c r="C45" s="7" t="s">
        <v>587</v>
      </c>
      <c r="D45" s="7" t="s">
        <v>446</v>
      </c>
      <c r="E45" s="10"/>
      <c r="F45" s="10"/>
      <c r="G45" s="207">
        <f t="shared" si="4"/>
        <v>0.84377146356763755</v>
      </c>
      <c r="H45" s="207">
        <f t="shared" si="4"/>
        <v>0.1480178529892949</v>
      </c>
      <c r="I45" s="207">
        <f t="shared" si="4"/>
        <v>1.2435065977587435E-2</v>
      </c>
      <c r="J45" s="207">
        <f t="shared" si="4"/>
        <v>-4.2243825345198785E-3</v>
      </c>
      <c r="K45" s="207">
        <f t="shared" si="4"/>
        <v>1</v>
      </c>
    </row>
    <row r="46" spans="2:11">
      <c r="B46">
        <f t="shared" si="3"/>
        <v>10005776</v>
      </c>
      <c r="C46" s="7" t="s">
        <v>587</v>
      </c>
      <c r="D46" s="7" t="s">
        <v>431</v>
      </c>
      <c r="E46" s="10"/>
      <c r="F46" s="10"/>
      <c r="G46" s="207">
        <f t="shared" si="4"/>
        <v>0.5775406271457999</v>
      </c>
      <c r="H46" s="207">
        <f t="shared" si="4"/>
        <v>0.22316319523918515</v>
      </c>
      <c r="I46" s="207">
        <f t="shared" si="4"/>
        <v>5.2872510872053096E-3</v>
      </c>
      <c r="J46" s="207">
        <f t="shared" si="4"/>
        <v>0.19400892652780954</v>
      </c>
      <c r="K46" s="207">
        <f t="shared" si="4"/>
        <v>1</v>
      </c>
    </row>
    <row r="47" spans="2:11">
      <c r="B47">
        <f t="shared" si="3"/>
        <v>10005779</v>
      </c>
      <c r="C47" s="7" t="s">
        <v>587</v>
      </c>
      <c r="D47" s="7" t="s">
        <v>355</v>
      </c>
      <c r="E47" s="10"/>
      <c r="F47" s="10"/>
      <c r="G47" s="207">
        <f t="shared" si="4"/>
        <v>0.58060075268989952</v>
      </c>
      <c r="H47" s="207">
        <f t="shared" si="4"/>
        <v>0.22095391507457116</v>
      </c>
      <c r="I47" s="207">
        <f t="shared" si="4"/>
        <v>6.3873041472091684E-3</v>
      </c>
      <c r="J47" s="207">
        <f t="shared" si="4"/>
        <v>0.19205802808832018</v>
      </c>
      <c r="K47" s="207">
        <f t="shared" si="4"/>
        <v>1</v>
      </c>
    </row>
    <row r="48" spans="2:11">
      <c r="B48">
        <f t="shared" si="3"/>
        <v>10005781</v>
      </c>
      <c r="C48" s="7" t="s">
        <v>587</v>
      </c>
      <c r="D48" s="7" t="s">
        <v>366</v>
      </c>
      <c r="E48" s="10"/>
      <c r="F48" s="10"/>
      <c r="G48" s="207">
        <f t="shared" si="4"/>
        <v>0.57880811615891203</v>
      </c>
      <c r="H48" s="207">
        <f t="shared" si="4"/>
        <v>0.22078196980547032</v>
      </c>
      <c r="I48" s="207">
        <f t="shared" si="4"/>
        <v>8.4855332719253745E-3</v>
      </c>
      <c r="J48" s="207">
        <f t="shared" si="4"/>
        <v>0.19192438076369217</v>
      </c>
      <c r="K48" s="207">
        <f t="shared" si="4"/>
        <v>1</v>
      </c>
    </row>
    <row r="49" spans="2:11">
      <c r="B49">
        <f t="shared" si="3"/>
        <v>10007050</v>
      </c>
      <c r="C49" s="7" t="s">
        <v>587</v>
      </c>
      <c r="D49" s="7" t="s">
        <v>435</v>
      </c>
      <c r="E49" s="10"/>
      <c r="F49" s="10"/>
      <c r="G49" s="207">
        <f t="shared" si="4"/>
        <v>0.83634348085614407</v>
      </c>
      <c r="H49" s="207">
        <f t="shared" si="4"/>
        <v>0.15349194167306218</v>
      </c>
      <c r="I49" s="207">
        <f t="shared" si="4"/>
        <v>1.4581734458940907E-2</v>
      </c>
      <c r="J49" s="207">
        <f t="shared" si="4"/>
        <v>-4.4171569881470115E-3</v>
      </c>
      <c r="K49" s="207">
        <f t="shared" si="4"/>
        <v>1</v>
      </c>
    </row>
    <row r="50" spans="2:11">
      <c r="B50">
        <f t="shared" si="3"/>
        <v>10007050</v>
      </c>
      <c r="C50" s="7" t="s">
        <v>587</v>
      </c>
      <c r="D50" s="7" t="s">
        <v>457</v>
      </c>
      <c r="E50" s="10"/>
      <c r="F50" s="10"/>
      <c r="G50" s="207">
        <f t="shared" si="4"/>
        <v>0.79092129327322436</v>
      </c>
      <c r="H50" s="207">
        <f t="shared" si="4"/>
        <v>0.16314484301248097</v>
      </c>
      <c r="I50" s="207">
        <f t="shared" si="4"/>
        <v>1.3533511933571624E-2</v>
      </c>
      <c r="J50" s="207">
        <f t="shared" si="4"/>
        <v>3.2400351780722959E-2</v>
      </c>
      <c r="K50" s="207">
        <f t="shared" si="4"/>
        <v>1</v>
      </c>
    </row>
    <row r="51" spans="2:11">
      <c r="B51">
        <f t="shared" si="3"/>
        <v>10007050</v>
      </c>
      <c r="C51" s="7" t="s">
        <v>587</v>
      </c>
      <c r="D51" s="7" t="s">
        <v>410</v>
      </c>
      <c r="E51" s="10"/>
      <c r="F51" s="10"/>
      <c r="G51" s="207">
        <f t="shared" si="4"/>
        <v>0.80074976460090597</v>
      </c>
      <c r="H51" s="207">
        <f t="shared" si="4"/>
        <v>0.14626972545810388</v>
      </c>
      <c r="I51" s="207">
        <f t="shared" si="4"/>
        <v>1.4453011382963513E-2</v>
      </c>
      <c r="J51" s="207">
        <f t="shared" si="4"/>
        <v>3.8527498558026486E-2</v>
      </c>
      <c r="K51" s="207">
        <f t="shared" si="4"/>
        <v>1</v>
      </c>
    </row>
    <row r="52" spans="2:11">
      <c r="B52">
        <f t="shared" si="3"/>
        <v>10007050</v>
      </c>
      <c r="C52" s="7" t="s">
        <v>587</v>
      </c>
      <c r="D52" s="7" t="s">
        <v>434</v>
      </c>
      <c r="E52" s="10"/>
      <c r="F52" s="10"/>
      <c r="G52" s="207">
        <f t="shared" si="4"/>
        <v>0.72112146774106112</v>
      </c>
      <c r="H52" s="207">
        <f t="shared" si="4"/>
        <v>0.17106343759349585</v>
      </c>
      <c r="I52" s="207">
        <f t="shared" si="4"/>
        <v>1.1562858296001944E-2</v>
      </c>
      <c r="J52" s="207">
        <f t="shared" si="4"/>
        <v>9.6252236369441191E-2</v>
      </c>
      <c r="K52" s="207">
        <f t="shared" si="4"/>
        <v>1</v>
      </c>
    </row>
    <row r="53" spans="2:11">
      <c r="B53">
        <f t="shared" si="3"/>
        <v>10007161</v>
      </c>
      <c r="C53" s="7" t="s">
        <v>587</v>
      </c>
      <c r="D53" s="7" t="s">
        <v>438</v>
      </c>
      <c r="E53" s="10"/>
      <c r="F53" s="10"/>
      <c r="G53" s="207">
        <f t="shared" si="4"/>
        <v>0.61182920281459297</v>
      </c>
      <c r="H53" s="207">
        <f t="shared" si="4"/>
        <v>0.17592147775548464</v>
      </c>
      <c r="I53" s="207">
        <f t="shared" si="4"/>
        <v>6.6314371567713203E-3</v>
      </c>
      <c r="J53" s="207">
        <f t="shared" si="4"/>
        <v>0.20561788227315114</v>
      </c>
      <c r="K53" s="207">
        <f t="shared" si="4"/>
        <v>1</v>
      </c>
    </row>
    <row r="54" spans="2:11">
      <c r="B54">
        <f t="shared" si="3"/>
        <v>10007162</v>
      </c>
      <c r="C54" s="7" t="s">
        <v>587</v>
      </c>
      <c r="D54" s="7" t="s">
        <v>378</v>
      </c>
      <c r="E54" s="10"/>
      <c r="F54" s="10"/>
      <c r="G54" s="207">
        <f t="shared" ref="G54:K58" si="5">G25/$K25</f>
        <v>0.6131506519007166</v>
      </c>
      <c r="H54" s="207">
        <f t="shared" si="5"/>
        <v>0.17408569769564347</v>
      </c>
      <c r="I54" s="207">
        <f t="shared" si="5"/>
        <v>9.2705900646079184E-3</v>
      </c>
      <c r="J54" s="207">
        <f t="shared" si="5"/>
        <v>0.20349306033903197</v>
      </c>
      <c r="K54" s="207">
        <f t="shared" si="5"/>
        <v>1</v>
      </c>
    </row>
    <row r="55" spans="2:11">
      <c r="B55">
        <f t="shared" si="3"/>
        <v>10007162</v>
      </c>
      <c r="C55" s="7" t="s">
        <v>587</v>
      </c>
      <c r="D55" s="7" t="s">
        <v>458</v>
      </c>
      <c r="E55" s="10"/>
      <c r="F55" s="10"/>
      <c r="G55" s="207">
        <f t="shared" si="5"/>
        <v>0.61624926524638413</v>
      </c>
      <c r="H55" s="207">
        <f t="shared" si="5"/>
        <v>0.17320854904735167</v>
      </c>
      <c r="I55" s="207">
        <f t="shared" si="5"/>
        <v>8.055924119512033E-3</v>
      </c>
      <c r="J55" s="207">
        <f t="shared" si="5"/>
        <v>0.20248626158675223</v>
      </c>
      <c r="K55" s="207">
        <f t="shared" si="5"/>
        <v>1</v>
      </c>
    </row>
    <row r="56" spans="2:11">
      <c r="B56">
        <f t="shared" si="3"/>
        <v>10007567</v>
      </c>
      <c r="C56" s="7" t="s">
        <v>587</v>
      </c>
      <c r="D56" s="7" t="s">
        <v>373</v>
      </c>
      <c r="E56" s="10"/>
      <c r="F56" s="10"/>
      <c r="G56" s="207">
        <f t="shared" si="5"/>
        <v>0.61758259020760498</v>
      </c>
      <c r="H56" s="207">
        <f t="shared" si="5"/>
        <v>0.16644113635200372</v>
      </c>
      <c r="I56" s="207">
        <f t="shared" si="5"/>
        <v>1.0793376885804139E-2</v>
      </c>
      <c r="J56" s="207">
        <f t="shared" si="5"/>
        <v>0.2051828965545871</v>
      </c>
      <c r="K56" s="207">
        <f t="shared" si="5"/>
        <v>1</v>
      </c>
    </row>
    <row r="57" spans="2:11">
      <c r="B57">
        <f t="shared" si="3"/>
        <v>10009386</v>
      </c>
      <c r="C57" s="7" t="s">
        <v>587</v>
      </c>
      <c r="D57" s="7" t="s">
        <v>456</v>
      </c>
      <c r="E57" s="10"/>
      <c r="F57" s="10"/>
      <c r="G57" s="207">
        <f t="shared" si="5"/>
        <v>0.84438947515090745</v>
      </c>
      <c r="H57" s="207">
        <f t="shared" si="5"/>
        <v>0.14760029404746078</v>
      </c>
      <c r="I57" s="207">
        <f t="shared" si="5"/>
        <v>1.2199926648291367E-2</v>
      </c>
      <c r="J57" s="207">
        <f t="shared" si="5"/>
        <v>-4.1896958466596931E-3</v>
      </c>
      <c r="K57" s="207">
        <f t="shared" si="5"/>
        <v>1</v>
      </c>
    </row>
    <row r="58" spans="2:11">
      <c r="C58" s="217" t="s">
        <v>588</v>
      </c>
      <c r="D58" s="217">
        <v>0</v>
      </c>
      <c r="E58" s="90"/>
      <c r="F58" s="90"/>
      <c r="G58" s="209">
        <f t="shared" si="5"/>
        <v>0.60817446457587521</v>
      </c>
      <c r="H58" s="209">
        <f t="shared" si="5"/>
        <v>0.18899453344917144</v>
      </c>
      <c r="I58" s="209">
        <f t="shared" si="5"/>
        <v>9.2911164967718358E-3</v>
      </c>
      <c r="J58" s="209">
        <f t="shared" si="5"/>
        <v>0.19353988547818163</v>
      </c>
      <c r="K58" s="209">
        <f t="shared" si="5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7928-4094-463D-B00F-0ACD53E22781}">
  <dimension ref="A2:Q176"/>
  <sheetViews>
    <sheetView zoomScale="80" zoomScaleNormal="80" workbookViewId="0">
      <selection activeCell="F22" sqref="F22"/>
    </sheetView>
  </sheetViews>
  <sheetFormatPr baseColWidth="10" defaultRowHeight="14.4"/>
  <cols>
    <col min="3" max="3" width="37.6640625" bestFit="1" customWidth="1"/>
    <col min="5" max="5" width="13.33203125" customWidth="1"/>
    <col min="6" max="10" width="18" customWidth="1"/>
    <col min="11" max="11" width="11.21875" customWidth="1"/>
    <col min="12" max="12" width="31.77734375" customWidth="1"/>
    <col min="13" max="13" width="18" customWidth="1"/>
    <col min="14" max="14" width="14.77734375" bestFit="1" customWidth="1"/>
  </cols>
  <sheetData>
    <row r="2" spans="1:15">
      <c r="B2" s="53" t="s">
        <v>585</v>
      </c>
    </row>
    <row r="4" spans="1:15">
      <c r="B4" s="202" t="s">
        <v>300</v>
      </c>
      <c r="C4" s="202" t="s">
        <v>301</v>
      </c>
      <c r="D4" s="203" t="s">
        <v>577</v>
      </c>
      <c r="E4" s="203" t="s">
        <v>578</v>
      </c>
      <c r="F4" s="202" t="s">
        <v>579</v>
      </c>
      <c r="G4" s="202" t="s">
        <v>580</v>
      </c>
      <c r="H4" s="202" t="s">
        <v>581</v>
      </c>
      <c r="I4" s="202" t="s">
        <v>89</v>
      </c>
      <c r="J4" s="202" t="s">
        <v>11</v>
      </c>
      <c r="L4" s="202" t="s">
        <v>89</v>
      </c>
      <c r="M4" s="202" t="s">
        <v>584</v>
      </c>
      <c r="N4" s="202" t="s">
        <v>582</v>
      </c>
      <c r="O4" s="202" t="s">
        <v>583</v>
      </c>
    </row>
    <row r="5" spans="1:15">
      <c r="A5" s="211">
        <v>10006668</v>
      </c>
      <c r="B5" s="197" t="s">
        <v>575</v>
      </c>
      <c r="C5" s="198" t="s">
        <v>432</v>
      </c>
      <c r="D5" s="194">
        <v>0.44</v>
      </c>
      <c r="E5" s="194">
        <f t="shared" ref="E5:E38" si="0">J5/D5</f>
        <v>1979.4772727272723</v>
      </c>
      <c r="F5" s="194">
        <v>618.67999999999995</v>
      </c>
      <c r="G5" s="194">
        <v>96.8</v>
      </c>
      <c r="H5" s="194">
        <v>6.16</v>
      </c>
      <c r="I5" s="204">
        <f>SUM(L5:O5)</f>
        <v>149.32999999999998</v>
      </c>
      <c r="J5" s="204">
        <f>SUM(F5:I5)</f>
        <v>870.9699999999998</v>
      </c>
      <c r="L5" s="194">
        <v>94.88</v>
      </c>
      <c r="M5" s="194">
        <v>56.129999999999995</v>
      </c>
      <c r="N5" s="194">
        <v>-1.68</v>
      </c>
      <c r="O5" s="194">
        <v>0</v>
      </c>
    </row>
    <row r="6" spans="1:15">
      <c r="A6" s="211">
        <v>10006719</v>
      </c>
      <c r="B6" s="197" t="s">
        <v>575</v>
      </c>
      <c r="C6" s="198" t="s">
        <v>433</v>
      </c>
      <c r="D6" s="194">
        <v>0.02</v>
      </c>
      <c r="E6" s="194">
        <f t="shared" si="0"/>
        <v>1602.5000000000002</v>
      </c>
      <c r="F6" s="194">
        <v>20.62</v>
      </c>
      <c r="G6" s="194">
        <v>4.4000000000000004</v>
      </c>
      <c r="H6" s="194">
        <v>0.25</v>
      </c>
      <c r="I6" s="204">
        <f t="shared" ref="I6:I38" si="1">SUM(L6:O6)</f>
        <v>6.7799999999999994</v>
      </c>
      <c r="J6" s="204">
        <f t="shared" ref="J6:J38" si="2">SUM(F6:I6)</f>
        <v>32.050000000000004</v>
      </c>
      <c r="L6" s="194">
        <v>4.3099999999999996</v>
      </c>
      <c r="M6" s="194">
        <v>2.5500000000000003</v>
      </c>
      <c r="N6" s="194">
        <v>-0.08</v>
      </c>
      <c r="O6" s="194">
        <v>0</v>
      </c>
    </row>
    <row r="7" spans="1:15">
      <c r="A7" s="211">
        <v>10006720</v>
      </c>
      <c r="B7" s="197" t="s">
        <v>575</v>
      </c>
      <c r="C7" s="198" t="s">
        <v>329</v>
      </c>
      <c r="D7" s="194">
        <v>368.72</v>
      </c>
      <c r="E7" s="194">
        <f t="shared" si="0"/>
        <v>1949.1981178129743</v>
      </c>
      <c r="F7" s="194">
        <v>507282.52999999997</v>
      </c>
      <c r="G7" s="194">
        <v>80527.87999999999</v>
      </c>
      <c r="H7" s="194">
        <v>6413.5100000000011</v>
      </c>
      <c r="I7" s="204">
        <f t="shared" si="1"/>
        <v>124484.40999999999</v>
      </c>
      <c r="J7" s="204">
        <f t="shared" si="2"/>
        <v>718708.33</v>
      </c>
      <c r="L7" s="194">
        <v>79504.14</v>
      </c>
      <c r="M7" s="194">
        <v>47037.599999999999</v>
      </c>
      <c r="N7" s="194">
        <v>-2057.3300000000004</v>
      </c>
      <c r="O7" s="194">
        <v>0</v>
      </c>
    </row>
    <row r="8" spans="1:15">
      <c r="A8" s="211">
        <v>10009178</v>
      </c>
      <c r="B8" s="197" t="s">
        <v>575</v>
      </c>
      <c r="C8" s="198" t="s">
        <v>442</v>
      </c>
      <c r="D8" s="194">
        <v>23.82</v>
      </c>
      <c r="E8" s="194">
        <f t="shared" si="0"/>
        <v>2048.6595298068851</v>
      </c>
      <c r="F8" s="194">
        <v>35226.9</v>
      </c>
      <c r="G8" s="194">
        <v>5127.18</v>
      </c>
      <c r="H8" s="194">
        <v>404.94</v>
      </c>
      <c r="I8" s="204">
        <f t="shared" si="1"/>
        <v>8040.0499999999984</v>
      </c>
      <c r="J8" s="204">
        <f t="shared" si="2"/>
        <v>48799.07</v>
      </c>
      <c r="L8" s="194">
        <v>5136.1299999999992</v>
      </c>
      <c r="M8" s="194">
        <v>3038.72</v>
      </c>
      <c r="N8" s="194">
        <v>-134.80000000000001</v>
      </c>
      <c r="O8" s="194">
        <v>0</v>
      </c>
    </row>
    <row r="9" spans="1:15">
      <c r="A9" s="211">
        <v>10009331</v>
      </c>
      <c r="B9" s="197" t="s">
        <v>575</v>
      </c>
      <c r="C9" s="198" t="s">
        <v>406</v>
      </c>
      <c r="D9" s="194">
        <v>10.512</v>
      </c>
      <c r="E9" s="194">
        <f t="shared" si="0"/>
        <v>2445.4442541856924</v>
      </c>
      <c r="F9" s="194">
        <v>17532.91</v>
      </c>
      <c r="G9" s="194">
        <v>4415.04</v>
      </c>
      <c r="H9" s="194">
        <v>192.07</v>
      </c>
      <c r="I9" s="204">
        <f t="shared" si="1"/>
        <v>3566.4900000000002</v>
      </c>
      <c r="J9" s="204">
        <f t="shared" si="2"/>
        <v>25706.510000000002</v>
      </c>
      <c r="L9" s="194">
        <v>2266.6200000000003</v>
      </c>
      <c r="M9" s="194">
        <v>1341.02</v>
      </c>
      <c r="N9" s="194">
        <v>-41.15</v>
      </c>
      <c r="O9" s="194">
        <v>0</v>
      </c>
    </row>
    <row r="10" spans="1:15">
      <c r="A10" s="211">
        <v>10009334</v>
      </c>
      <c r="B10" s="197" t="s">
        <v>575</v>
      </c>
      <c r="C10" s="198" t="s">
        <v>455</v>
      </c>
      <c r="D10" s="194">
        <v>1.044</v>
      </c>
      <c r="E10" s="194">
        <f t="shared" si="0"/>
        <v>2442.5766283524904</v>
      </c>
      <c r="F10" s="194">
        <v>1738.71</v>
      </c>
      <c r="G10" s="194">
        <v>438.48</v>
      </c>
      <c r="H10" s="194">
        <v>18.63</v>
      </c>
      <c r="I10" s="204">
        <f t="shared" si="1"/>
        <v>354.23</v>
      </c>
      <c r="J10" s="204">
        <f t="shared" si="2"/>
        <v>2550.0500000000002</v>
      </c>
      <c r="L10" s="194">
        <v>225.12</v>
      </c>
      <c r="M10" s="194">
        <v>133.18</v>
      </c>
      <c r="N10" s="194">
        <v>-4.07</v>
      </c>
      <c r="O10" s="194">
        <v>0</v>
      </c>
    </row>
    <row r="11" spans="1:15">
      <c r="A11" s="212">
        <v>10007969</v>
      </c>
      <c r="B11" s="197" t="s">
        <v>575</v>
      </c>
      <c r="C11" s="198" t="s">
        <v>439</v>
      </c>
      <c r="D11" s="194">
        <v>35.78</v>
      </c>
      <c r="E11" s="194">
        <f t="shared" si="0"/>
        <v>1595.4396310788147</v>
      </c>
      <c r="F11" s="194">
        <v>49333.219999999994</v>
      </c>
      <c r="G11" s="194">
        <v>7334.9</v>
      </c>
      <c r="H11" s="194">
        <v>611.95000000000005</v>
      </c>
      <c r="I11" s="204">
        <f t="shared" si="1"/>
        <v>-195.24</v>
      </c>
      <c r="J11" s="204">
        <f t="shared" si="2"/>
        <v>57084.829999999994</v>
      </c>
      <c r="L11" s="194">
        <v>0</v>
      </c>
      <c r="M11" s="194">
        <v>0</v>
      </c>
      <c r="N11" s="194">
        <v>-195.24</v>
      </c>
      <c r="O11" s="194">
        <v>0</v>
      </c>
    </row>
    <row r="12" spans="1:15">
      <c r="A12" s="213">
        <v>10005721</v>
      </c>
      <c r="B12" s="197" t="s">
        <v>575</v>
      </c>
      <c r="C12" s="198" t="s">
        <v>430</v>
      </c>
      <c r="D12" s="194">
        <v>289.76</v>
      </c>
      <c r="E12" s="194">
        <f t="shared" si="0"/>
        <v>2095.2688776918831</v>
      </c>
      <c r="F12" s="194">
        <v>406441.41000000003</v>
      </c>
      <c r="G12" s="194">
        <v>97069.6</v>
      </c>
      <c r="H12" s="194">
        <v>5733.5300000000007</v>
      </c>
      <c r="I12" s="204">
        <f t="shared" si="1"/>
        <v>97880.569999999992</v>
      </c>
      <c r="J12" s="204">
        <f t="shared" si="2"/>
        <v>607125.11</v>
      </c>
      <c r="K12" s="231">
        <f>I12/D12</f>
        <v>337.79876449475427</v>
      </c>
      <c r="L12" s="194">
        <v>62478.66</v>
      </c>
      <c r="M12" s="194">
        <v>36964.68</v>
      </c>
      <c r="N12" s="194">
        <v>-1562.77</v>
      </c>
      <c r="O12" s="194">
        <v>0</v>
      </c>
    </row>
    <row r="13" spans="1:15">
      <c r="A13" s="213">
        <v>10004435</v>
      </c>
      <c r="B13" s="197" t="s">
        <v>575</v>
      </c>
      <c r="C13" s="198" t="s">
        <v>429</v>
      </c>
      <c r="D13" s="194">
        <v>37.619999999999997</v>
      </c>
      <c r="E13" s="194">
        <f t="shared" si="0"/>
        <v>2146.0717703349283</v>
      </c>
      <c r="F13" s="194">
        <v>54930.670000000006</v>
      </c>
      <c r="G13" s="194">
        <v>12481.8</v>
      </c>
      <c r="H13" s="194">
        <v>604.32000000000016</v>
      </c>
      <c r="I13" s="204">
        <f t="shared" si="1"/>
        <v>12718.43</v>
      </c>
      <c r="J13" s="204">
        <f t="shared" si="2"/>
        <v>80735.22</v>
      </c>
      <c r="K13" s="231">
        <f>I13/D13</f>
        <v>338.07628920786817</v>
      </c>
      <c r="L13" s="194">
        <v>8111.7199999999993</v>
      </c>
      <c r="M13" s="194">
        <v>4799.1900000000005</v>
      </c>
      <c r="N13" s="194">
        <v>-192.48</v>
      </c>
      <c r="O13" s="194">
        <v>0</v>
      </c>
    </row>
    <row r="14" spans="1:15">
      <c r="A14" s="214">
        <v>10009251</v>
      </c>
      <c r="B14" s="197" t="s">
        <v>575</v>
      </c>
      <c r="C14" s="198" t="s">
        <v>463</v>
      </c>
      <c r="D14" s="194">
        <v>5.7</v>
      </c>
      <c r="E14" s="194">
        <f t="shared" si="0"/>
        <v>2298.9122807017543</v>
      </c>
      <c r="F14" s="194">
        <v>8415.4699999999993</v>
      </c>
      <c r="G14" s="194">
        <v>2718.9</v>
      </c>
      <c r="H14" s="194">
        <v>64.239999999999995</v>
      </c>
      <c r="I14" s="204">
        <f t="shared" si="1"/>
        <v>1905.1899999999998</v>
      </c>
      <c r="J14" s="204">
        <f t="shared" si="2"/>
        <v>13103.8</v>
      </c>
      <c r="K14" s="231"/>
      <c r="L14" s="194">
        <v>1229.05</v>
      </c>
      <c r="M14" s="194">
        <v>727.15</v>
      </c>
      <c r="N14" s="194">
        <v>-51.01</v>
      </c>
      <c r="O14" s="194">
        <v>0</v>
      </c>
    </row>
    <row r="15" spans="1:15">
      <c r="A15" s="214">
        <v>10009239</v>
      </c>
      <c r="B15" s="197" t="s">
        <v>575</v>
      </c>
      <c r="C15" s="198" t="s">
        <v>449</v>
      </c>
      <c r="D15" s="194">
        <v>9.08</v>
      </c>
      <c r="E15" s="194">
        <f t="shared" si="0"/>
        <v>2289.2599118942735</v>
      </c>
      <c r="F15" s="194">
        <v>11571.81</v>
      </c>
      <c r="G15" s="194">
        <v>5992.7999999999993</v>
      </c>
      <c r="H15" s="194">
        <v>155.31</v>
      </c>
      <c r="I15" s="204">
        <f t="shared" si="1"/>
        <v>3066.56</v>
      </c>
      <c r="J15" s="204">
        <f t="shared" si="2"/>
        <v>20786.480000000003</v>
      </c>
      <c r="L15" s="194">
        <v>1957.87</v>
      </c>
      <c r="M15" s="194">
        <v>1158.3399999999999</v>
      </c>
      <c r="N15" s="194">
        <v>-49.65</v>
      </c>
      <c r="O15" s="194">
        <v>0</v>
      </c>
    </row>
    <row r="16" spans="1:15">
      <c r="A16" s="214">
        <v>10009239</v>
      </c>
      <c r="B16" s="197" t="s">
        <v>575</v>
      </c>
      <c r="C16" s="198" t="s">
        <v>392</v>
      </c>
      <c r="D16" s="194">
        <v>201.74</v>
      </c>
      <c r="E16" s="194">
        <f t="shared" si="0"/>
        <v>2397.7444730841671</v>
      </c>
      <c r="F16" s="194">
        <v>277953.56999999995</v>
      </c>
      <c r="G16" s="194">
        <v>134154.48000000001</v>
      </c>
      <c r="H16" s="194">
        <v>3492.79</v>
      </c>
      <c r="I16" s="204">
        <f t="shared" si="1"/>
        <v>68120.13</v>
      </c>
      <c r="J16" s="204">
        <f t="shared" si="2"/>
        <v>483720.96999999991</v>
      </c>
      <c r="L16" s="194">
        <v>43499.590000000004</v>
      </c>
      <c r="M16" s="194">
        <v>25735.98</v>
      </c>
      <c r="N16" s="194">
        <v>-1115.44</v>
      </c>
      <c r="O16" s="194">
        <v>0</v>
      </c>
    </row>
    <row r="17" spans="1:15">
      <c r="A17" s="214">
        <v>10009251</v>
      </c>
      <c r="B17" s="197" t="s">
        <v>575</v>
      </c>
      <c r="C17" s="198" t="s">
        <v>452</v>
      </c>
      <c r="D17" s="194">
        <v>3.46</v>
      </c>
      <c r="E17" s="194">
        <f t="shared" si="0"/>
        <v>1961.9479768786127</v>
      </c>
      <c r="F17" s="194">
        <v>4370.47</v>
      </c>
      <c r="G17" s="194">
        <v>1176.4000000000001</v>
      </c>
      <c r="H17" s="194">
        <v>58.82</v>
      </c>
      <c r="I17" s="204">
        <f t="shared" si="1"/>
        <v>1182.6500000000001</v>
      </c>
      <c r="J17" s="204">
        <f t="shared" si="2"/>
        <v>6788.34</v>
      </c>
      <c r="L17" s="194">
        <v>746.06000000000006</v>
      </c>
      <c r="M17" s="194">
        <v>441.39</v>
      </c>
      <c r="N17" s="194">
        <v>-4.8</v>
      </c>
      <c r="O17" s="194">
        <v>0</v>
      </c>
    </row>
    <row r="18" spans="1:15">
      <c r="A18" s="212">
        <v>10009207</v>
      </c>
      <c r="B18" s="197" t="s">
        <v>575</v>
      </c>
      <c r="C18" s="198" t="s">
        <v>446</v>
      </c>
      <c r="D18" s="194">
        <v>8</v>
      </c>
      <c r="E18" s="194">
        <f t="shared" si="0"/>
        <v>1570.13375</v>
      </c>
      <c r="F18" s="194">
        <v>11028.3</v>
      </c>
      <c r="G18" s="194">
        <v>1440</v>
      </c>
      <c r="H18" s="194">
        <v>136.82</v>
      </c>
      <c r="I18" s="204">
        <f t="shared" si="1"/>
        <v>-44.05</v>
      </c>
      <c r="J18" s="204">
        <f t="shared" si="2"/>
        <v>12561.07</v>
      </c>
      <c r="L18" s="194">
        <v>0</v>
      </c>
      <c r="M18" s="194">
        <v>0</v>
      </c>
      <c r="N18" s="194">
        <v>-44.05</v>
      </c>
      <c r="O18" s="194">
        <v>0</v>
      </c>
    </row>
    <row r="19" spans="1:15">
      <c r="A19" s="210">
        <v>10009183</v>
      </c>
      <c r="B19" s="197" t="s">
        <v>575</v>
      </c>
      <c r="C19" s="198" t="s">
        <v>451</v>
      </c>
      <c r="D19" s="194">
        <v>0.32</v>
      </c>
      <c r="E19" s="194">
        <f t="shared" si="0"/>
        <v>2134.75</v>
      </c>
      <c r="F19" s="194">
        <v>443.39</v>
      </c>
      <c r="G19" s="194">
        <v>124.8</v>
      </c>
      <c r="H19" s="194">
        <v>6.33</v>
      </c>
      <c r="I19" s="204">
        <f t="shared" si="1"/>
        <v>108.6</v>
      </c>
      <c r="J19" s="204">
        <f t="shared" si="2"/>
        <v>683.12</v>
      </c>
      <c r="L19" s="194">
        <v>69</v>
      </c>
      <c r="M19" s="194">
        <v>40.82</v>
      </c>
      <c r="N19" s="194">
        <v>-1.22</v>
      </c>
      <c r="O19" s="194">
        <v>0</v>
      </c>
    </row>
    <row r="20" spans="1:15">
      <c r="A20" s="210">
        <v>10005776</v>
      </c>
      <c r="B20" s="197" t="s">
        <v>575</v>
      </c>
      <c r="C20" s="198" t="s">
        <v>431</v>
      </c>
      <c r="D20" s="194">
        <v>3.88</v>
      </c>
      <c r="E20" s="194">
        <f t="shared" si="0"/>
        <v>2065.25</v>
      </c>
      <c r="F20" s="194">
        <v>5134.3</v>
      </c>
      <c r="G20" s="194">
        <v>1513.2</v>
      </c>
      <c r="H20" s="194">
        <v>54.320000000000007</v>
      </c>
      <c r="I20" s="204">
        <f t="shared" si="1"/>
        <v>1311.3500000000001</v>
      </c>
      <c r="J20" s="204">
        <f t="shared" si="2"/>
        <v>8013.17</v>
      </c>
      <c r="L20" s="194">
        <v>836.62000000000012</v>
      </c>
      <c r="M20" s="194">
        <v>494.97999999999996</v>
      </c>
      <c r="N20" s="194">
        <v>-20.25</v>
      </c>
      <c r="O20" s="194">
        <v>0</v>
      </c>
    </row>
    <row r="21" spans="1:15">
      <c r="A21" s="210">
        <v>10005779</v>
      </c>
      <c r="B21" s="197" t="s">
        <v>575</v>
      </c>
      <c r="C21" s="198" t="s">
        <v>355</v>
      </c>
      <c r="D21" s="194">
        <v>88.54</v>
      </c>
      <c r="E21" s="194">
        <f t="shared" si="0"/>
        <v>2100.2380844815898</v>
      </c>
      <c r="F21" s="194">
        <v>120593.32999999999</v>
      </c>
      <c r="G21" s="194">
        <v>34351.460000000006</v>
      </c>
      <c r="H21" s="194">
        <v>1110.4599999999998</v>
      </c>
      <c r="I21" s="204">
        <f t="shared" si="1"/>
        <v>29899.83</v>
      </c>
      <c r="J21" s="204">
        <f t="shared" si="2"/>
        <v>185955.07999999996</v>
      </c>
      <c r="L21" s="194">
        <v>19091.18</v>
      </c>
      <c r="M21" s="194">
        <v>11295.039999999999</v>
      </c>
      <c r="N21" s="194">
        <v>-486.38999999999993</v>
      </c>
      <c r="O21" s="194">
        <v>0</v>
      </c>
    </row>
    <row r="22" spans="1:15">
      <c r="A22" s="210">
        <v>10005781</v>
      </c>
      <c r="B22" s="197" t="s">
        <v>575</v>
      </c>
      <c r="C22" s="198" t="s">
        <v>366</v>
      </c>
      <c r="D22" s="194">
        <v>37.42</v>
      </c>
      <c r="E22" s="194">
        <f t="shared" si="0"/>
        <v>2215.6985569214326</v>
      </c>
      <c r="F22" s="194">
        <v>55056.280000000006</v>
      </c>
      <c r="G22" s="194">
        <v>14593.8</v>
      </c>
      <c r="H22" s="194">
        <v>627.81999999999994</v>
      </c>
      <c r="I22" s="204">
        <f t="shared" si="1"/>
        <v>12633.54</v>
      </c>
      <c r="J22" s="204">
        <f t="shared" si="2"/>
        <v>82911.44</v>
      </c>
      <c r="L22" s="194">
        <v>8068.6100000000006</v>
      </c>
      <c r="M22" s="194">
        <v>4773.68</v>
      </c>
      <c r="N22" s="194">
        <v>-208.74999999999997</v>
      </c>
      <c r="O22" s="194">
        <v>0</v>
      </c>
    </row>
    <row r="23" spans="1:15">
      <c r="A23" s="214">
        <v>10007050</v>
      </c>
      <c r="B23" s="197" t="s">
        <v>575</v>
      </c>
      <c r="C23" s="198" t="s">
        <v>435</v>
      </c>
      <c r="D23" s="194">
        <v>4.92</v>
      </c>
      <c r="E23" s="194">
        <f t="shared" si="0"/>
        <v>1616.8353658536585</v>
      </c>
      <c r="F23" s="194">
        <v>7020.6399999999994</v>
      </c>
      <c r="G23" s="194">
        <v>885.6</v>
      </c>
      <c r="H23" s="194">
        <v>84.15</v>
      </c>
      <c r="I23" s="204">
        <f t="shared" si="1"/>
        <v>-35.56</v>
      </c>
      <c r="J23" s="204">
        <f t="shared" si="2"/>
        <v>7954.829999999999</v>
      </c>
      <c r="L23" s="194">
        <v>0</v>
      </c>
      <c r="M23" s="194">
        <v>0</v>
      </c>
      <c r="N23" s="194">
        <v>-35.56</v>
      </c>
      <c r="O23" s="194">
        <v>0</v>
      </c>
    </row>
    <row r="24" spans="1:15">
      <c r="A24" s="214">
        <v>10007050</v>
      </c>
      <c r="B24" s="197" t="s">
        <v>575</v>
      </c>
      <c r="C24" s="198" t="s">
        <v>437</v>
      </c>
      <c r="D24" s="194">
        <v>2.38</v>
      </c>
      <c r="E24" s="194">
        <f t="shared" si="0"/>
        <v>1462.0672268907565</v>
      </c>
      <c r="F24" s="194">
        <v>3370.83</v>
      </c>
      <c r="G24" s="194">
        <v>428.4</v>
      </c>
      <c r="H24" s="194">
        <v>40.71</v>
      </c>
      <c r="I24" s="204">
        <f t="shared" si="1"/>
        <v>-360.21999999999997</v>
      </c>
      <c r="J24" s="204">
        <f t="shared" si="2"/>
        <v>3479.7200000000003</v>
      </c>
      <c r="L24" s="194">
        <v>0</v>
      </c>
      <c r="M24" s="194">
        <v>0</v>
      </c>
      <c r="N24" s="194">
        <v>-360.21999999999997</v>
      </c>
      <c r="O24" s="194">
        <v>0</v>
      </c>
    </row>
    <row r="25" spans="1:15">
      <c r="A25" s="214">
        <v>10007050</v>
      </c>
      <c r="B25" s="197" t="s">
        <v>575</v>
      </c>
      <c r="C25" s="198" t="s">
        <v>436</v>
      </c>
      <c r="D25" s="194">
        <v>2.2000000000000002</v>
      </c>
      <c r="E25" s="194">
        <f t="shared" si="0"/>
        <v>1560.2954545454547</v>
      </c>
      <c r="F25" s="194">
        <v>3010.51</v>
      </c>
      <c r="G25" s="194">
        <v>396</v>
      </c>
      <c r="H25" s="194">
        <v>37.629999999999995</v>
      </c>
      <c r="I25" s="204">
        <f t="shared" si="1"/>
        <v>-11.49</v>
      </c>
      <c r="J25" s="204">
        <f t="shared" si="2"/>
        <v>3432.6500000000005</v>
      </c>
      <c r="L25" s="194">
        <v>0</v>
      </c>
      <c r="M25" s="194">
        <v>0</v>
      </c>
      <c r="N25" s="194">
        <v>-11.49</v>
      </c>
      <c r="O25" s="194">
        <v>0</v>
      </c>
    </row>
    <row r="26" spans="1:15">
      <c r="A26" s="214">
        <v>10007050</v>
      </c>
      <c r="B26" s="197" t="s">
        <v>575</v>
      </c>
      <c r="C26" s="198" t="s">
        <v>457</v>
      </c>
      <c r="D26" s="194">
        <v>26.07</v>
      </c>
      <c r="E26" s="194">
        <f t="shared" si="0"/>
        <v>1597.2178749520522</v>
      </c>
      <c r="F26" s="194">
        <v>36206.54</v>
      </c>
      <c r="G26" s="194">
        <v>5000.8599999999997</v>
      </c>
      <c r="H26" s="194">
        <v>571.59</v>
      </c>
      <c r="I26" s="204">
        <f t="shared" si="1"/>
        <v>-139.52000000000001</v>
      </c>
      <c r="J26" s="204">
        <f t="shared" si="2"/>
        <v>41639.47</v>
      </c>
      <c r="L26" s="194">
        <v>0</v>
      </c>
      <c r="M26" s="194">
        <v>0</v>
      </c>
      <c r="N26" s="194">
        <v>-139.52000000000001</v>
      </c>
      <c r="O26" s="194">
        <v>0</v>
      </c>
    </row>
    <row r="27" spans="1:15">
      <c r="A27" s="214">
        <v>10007050</v>
      </c>
      <c r="B27" s="197" t="s">
        <v>575</v>
      </c>
      <c r="C27" s="198" t="s">
        <v>410</v>
      </c>
      <c r="D27" s="194">
        <v>24.215</v>
      </c>
      <c r="E27" s="194">
        <f t="shared" si="0"/>
        <v>1579.1199669626264</v>
      </c>
      <c r="F27" s="194">
        <v>33480.78</v>
      </c>
      <c r="G27" s="194">
        <v>4355.5200000000004</v>
      </c>
      <c r="H27" s="194">
        <v>531.07000000000005</v>
      </c>
      <c r="I27" s="204">
        <f t="shared" si="1"/>
        <v>-128.97999999999999</v>
      </c>
      <c r="J27" s="204">
        <f t="shared" si="2"/>
        <v>38238.39</v>
      </c>
      <c r="L27" s="194">
        <v>0</v>
      </c>
      <c r="M27" s="194">
        <v>0</v>
      </c>
      <c r="N27" s="194">
        <v>-128.97999999999999</v>
      </c>
      <c r="O27" s="194">
        <v>0</v>
      </c>
    </row>
    <row r="28" spans="1:15">
      <c r="A28" s="214">
        <v>10007050</v>
      </c>
      <c r="B28" s="197" t="s">
        <v>575</v>
      </c>
      <c r="C28" s="198" t="s">
        <v>434</v>
      </c>
      <c r="D28" s="194">
        <v>22.56</v>
      </c>
      <c r="E28" s="194">
        <f t="shared" si="0"/>
        <v>1587.2584219858154</v>
      </c>
      <c r="F28" s="194">
        <v>31025.649999999998</v>
      </c>
      <c r="G28" s="194">
        <v>4491.8999999999996</v>
      </c>
      <c r="H28" s="194">
        <v>410.14000000000004</v>
      </c>
      <c r="I28" s="204">
        <f t="shared" si="1"/>
        <v>-119.13999999999999</v>
      </c>
      <c r="J28" s="204">
        <f t="shared" si="2"/>
        <v>35808.549999999996</v>
      </c>
      <c r="L28" s="194">
        <v>0</v>
      </c>
      <c r="M28" s="194">
        <v>0</v>
      </c>
      <c r="N28" s="194">
        <v>-119.13999999999999</v>
      </c>
      <c r="O28" s="194">
        <v>0</v>
      </c>
    </row>
    <row r="29" spans="1:15">
      <c r="A29" s="215">
        <v>10007161</v>
      </c>
      <c r="B29" s="197" t="s">
        <v>575</v>
      </c>
      <c r="C29" s="198" t="s">
        <v>438</v>
      </c>
      <c r="D29" s="194">
        <v>4.84</v>
      </c>
      <c r="E29" s="194">
        <f t="shared" si="0"/>
        <v>1973.6880165289251</v>
      </c>
      <c r="F29" s="194">
        <v>6453.1899999999987</v>
      </c>
      <c r="G29" s="194">
        <v>1403.6</v>
      </c>
      <c r="H29" s="194">
        <v>60.730000000000011</v>
      </c>
      <c r="I29" s="204">
        <f t="shared" si="1"/>
        <v>1635.13</v>
      </c>
      <c r="J29" s="204">
        <f t="shared" si="2"/>
        <v>9552.6499999999978</v>
      </c>
      <c r="L29" s="194">
        <v>1043.6100000000001</v>
      </c>
      <c r="M29" s="194">
        <v>617.43999999999994</v>
      </c>
      <c r="N29" s="194">
        <v>-25.92</v>
      </c>
      <c r="O29" s="194">
        <v>0</v>
      </c>
    </row>
    <row r="30" spans="1:15">
      <c r="A30" s="215">
        <v>10007162</v>
      </c>
      <c r="B30" s="197" t="s">
        <v>575</v>
      </c>
      <c r="C30" s="198" t="s">
        <v>378</v>
      </c>
      <c r="D30" s="194">
        <v>206.82</v>
      </c>
      <c r="E30" s="194">
        <f t="shared" si="0"/>
        <v>2018.1792863359442</v>
      </c>
      <c r="F30" s="194">
        <v>283979.31</v>
      </c>
      <c r="G30" s="194">
        <v>59977.799999999988</v>
      </c>
      <c r="H30" s="194">
        <v>3595.6499999999992</v>
      </c>
      <c r="I30" s="204">
        <f t="shared" si="1"/>
        <v>69847.079999999987</v>
      </c>
      <c r="J30" s="204">
        <f t="shared" si="2"/>
        <v>417399.83999999997</v>
      </c>
      <c r="L30" s="194">
        <v>44594.959999999992</v>
      </c>
      <c r="M30" s="194">
        <v>26384.03</v>
      </c>
      <c r="N30" s="194">
        <v>-1131.9100000000001</v>
      </c>
      <c r="O30" s="194">
        <v>0</v>
      </c>
    </row>
    <row r="31" spans="1:15">
      <c r="A31" s="215">
        <v>10007162</v>
      </c>
      <c r="B31" s="197" t="s">
        <v>575</v>
      </c>
      <c r="C31" s="198" t="s">
        <v>458</v>
      </c>
      <c r="D31" s="194">
        <v>48.58</v>
      </c>
      <c r="E31" s="194">
        <f t="shared" si="0"/>
        <v>2122.737340469329</v>
      </c>
      <c r="F31" s="194">
        <v>71848.23000000001</v>
      </c>
      <c r="G31" s="194">
        <v>14088.2</v>
      </c>
      <c r="H31" s="194">
        <v>780.37000000000012</v>
      </c>
      <c r="I31" s="204">
        <f t="shared" si="1"/>
        <v>16405.78</v>
      </c>
      <c r="J31" s="204">
        <f t="shared" si="2"/>
        <v>103122.58</v>
      </c>
      <c r="L31" s="194">
        <v>10474.959999999999</v>
      </c>
      <c r="M31" s="194">
        <v>6197.35</v>
      </c>
      <c r="N31" s="194">
        <v>-266.53000000000003</v>
      </c>
      <c r="O31" s="194">
        <v>0</v>
      </c>
    </row>
    <row r="32" spans="1:15">
      <c r="A32" s="215">
        <v>10009186</v>
      </c>
      <c r="B32" s="197" t="s">
        <v>575</v>
      </c>
      <c r="C32" s="198" t="s">
        <v>444</v>
      </c>
      <c r="D32" s="194">
        <v>0.54</v>
      </c>
      <c r="E32" s="194">
        <f t="shared" si="0"/>
        <v>2058.9074074074074</v>
      </c>
      <c r="F32" s="194">
        <v>763.04</v>
      </c>
      <c r="G32" s="194">
        <v>156.6</v>
      </c>
      <c r="H32" s="194">
        <v>8.9</v>
      </c>
      <c r="I32" s="204">
        <f t="shared" si="1"/>
        <v>183.26999999999998</v>
      </c>
      <c r="J32" s="204">
        <f t="shared" si="2"/>
        <v>1111.81</v>
      </c>
      <c r="L32" s="194">
        <v>116.44</v>
      </c>
      <c r="M32" s="194">
        <v>68.89</v>
      </c>
      <c r="N32" s="194">
        <v>-2.06</v>
      </c>
      <c r="O32" s="194">
        <v>0</v>
      </c>
    </row>
    <row r="33" spans="1:15">
      <c r="A33" s="215">
        <v>10009777</v>
      </c>
      <c r="B33" s="197" t="s">
        <v>575</v>
      </c>
      <c r="C33" s="198" t="s">
        <v>465</v>
      </c>
      <c r="D33" s="194">
        <v>0.22</v>
      </c>
      <c r="E33" s="194">
        <f t="shared" si="0"/>
        <v>2189.363636363636</v>
      </c>
      <c r="F33" s="194">
        <v>350.9</v>
      </c>
      <c r="G33" s="194">
        <v>52.8</v>
      </c>
      <c r="H33" s="194">
        <v>3.74</v>
      </c>
      <c r="I33" s="204">
        <f t="shared" si="1"/>
        <v>74.219999999999985</v>
      </c>
      <c r="J33" s="204">
        <f t="shared" si="2"/>
        <v>481.65999999999997</v>
      </c>
      <c r="L33" s="194">
        <v>47.44</v>
      </c>
      <c r="M33" s="194">
        <v>28.07</v>
      </c>
      <c r="N33" s="194">
        <v>-1.29</v>
      </c>
      <c r="O33" s="194">
        <v>0</v>
      </c>
    </row>
    <row r="34" spans="1:15">
      <c r="A34" s="215">
        <v>10007567</v>
      </c>
      <c r="B34" s="197" t="s">
        <v>575</v>
      </c>
      <c r="C34" s="198" t="s">
        <v>373</v>
      </c>
      <c r="D34" s="194">
        <v>53.98</v>
      </c>
      <c r="E34" s="194">
        <f t="shared" si="0"/>
        <v>2019.4979622082253</v>
      </c>
      <c r="F34" s="194">
        <v>74868.42</v>
      </c>
      <c r="G34" s="194">
        <v>14844.5</v>
      </c>
      <c r="H34" s="194">
        <v>1068.0999999999999</v>
      </c>
      <c r="I34" s="204">
        <f t="shared" si="1"/>
        <v>18231.48</v>
      </c>
      <c r="J34" s="204">
        <f t="shared" si="2"/>
        <v>109012.5</v>
      </c>
      <c r="L34" s="194">
        <v>11639.27</v>
      </c>
      <c r="M34" s="194">
        <v>6886.2300000000005</v>
      </c>
      <c r="N34" s="194">
        <v>-294.02</v>
      </c>
      <c r="O34" s="194">
        <v>0</v>
      </c>
    </row>
    <row r="35" spans="1:15">
      <c r="A35" s="210">
        <v>10009176</v>
      </c>
      <c r="B35" s="197" t="s">
        <v>575</v>
      </c>
      <c r="C35" s="198" t="s">
        <v>440</v>
      </c>
      <c r="D35" s="194">
        <v>0.02</v>
      </c>
      <c r="E35" s="194">
        <f t="shared" si="0"/>
        <v>1637.5</v>
      </c>
      <c r="F35" s="194">
        <v>20.62</v>
      </c>
      <c r="G35" s="194">
        <v>5.0999999999999996</v>
      </c>
      <c r="H35" s="194">
        <v>0.25</v>
      </c>
      <c r="I35" s="204">
        <f t="shared" si="1"/>
        <v>6.7799999999999994</v>
      </c>
      <c r="J35" s="204">
        <f t="shared" si="2"/>
        <v>32.75</v>
      </c>
      <c r="L35" s="194">
        <v>4.3099999999999996</v>
      </c>
      <c r="M35" s="194">
        <v>2.5500000000000003</v>
      </c>
      <c r="N35" s="194">
        <v>-0.08</v>
      </c>
      <c r="O35" s="194">
        <v>0</v>
      </c>
    </row>
    <row r="36" spans="1:15">
      <c r="A36" s="210">
        <v>10009177</v>
      </c>
      <c r="B36" s="197" t="s">
        <v>575</v>
      </c>
      <c r="C36" s="198" t="s">
        <v>441</v>
      </c>
      <c r="D36" s="194">
        <v>2.06</v>
      </c>
      <c r="E36" s="194">
        <f t="shared" si="0"/>
        <v>2018.509708737864</v>
      </c>
      <c r="F36" s="194">
        <v>2907.81</v>
      </c>
      <c r="G36" s="194">
        <v>525.29999999999995</v>
      </c>
      <c r="H36" s="194">
        <v>25.840000000000003</v>
      </c>
      <c r="I36" s="204">
        <f t="shared" si="1"/>
        <v>699.18000000000006</v>
      </c>
      <c r="J36" s="204">
        <f t="shared" si="2"/>
        <v>4158.13</v>
      </c>
      <c r="L36" s="194">
        <v>444.18999999999994</v>
      </c>
      <c r="M36" s="194">
        <v>262.79000000000002</v>
      </c>
      <c r="N36" s="194">
        <v>-7.8</v>
      </c>
      <c r="O36" s="194">
        <v>0</v>
      </c>
    </row>
    <row r="37" spans="1:15">
      <c r="A37" s="216">
        <v>10009386</v>
      </c>
      <c r="B37" s="197" t="s">
        <v>575</v>
      </c>
      <c r="C37" s="198" t="s">
        <v>456</v>
      </c>
      <c r="D37" s="194">
        <v>8.8800000000000008</v>
      </c>
      <c r="E37" s="194">
        <f t="shared" si="0"/>
        <v>1608.7060810810806</v>
      </c>
      <c r="F37" s="194">
        <v>12582.949999999999</v>
      </c>
      <c r="G37" s="194">
        <v>1598.4</v>
      </c>
      <c r="H37" s="194">
        <v>151.88</v>
      </c>
      <c r="I37" s="204">
        <f t="shared" si="1"/>
        <v>-47.92</v>
      </c>
      <c r="J37" s="204">
        <f t="shared" si="2"/>
        <v>14285.309999999998</v>
      </c>
      <c r="L37" s="194">
        <v>0</v>
      </c>
      <c r="M37" s="194">
        <v>0</v>
      </c>
      <c r="N37" s="194">
        <v>-47.92</v>
      </c>
      <c r="O37" s="194">
        <v>0</v>
      </c>
    </row>
    <row r="38" spans="1:15">
      <c r="B38" s="199" t="s">
        <v>576</v>
      </c>
      <c r="C38" s="200">
        <v>0</v>
      </c>
      <c r="D38" s="201">
        <v>1534.1410000000001</v>
      </c>
      <c r="E38" s="201">
        <f t="shared" si="0"/>
        <v>2050.5588795293261</v>
      </c>
      <c r="F38" s="201">
        <v>2135581.9900000002</v>
      </c>
      <c r="G38" s="201">
        <v>511772.49999999994</v>
      </c>
      <c r="H38" s="201">
        <v>27063.02</v>
      </c>
      <c r="I38" s="201">
        <f t="shared" si="1"/>
        <v>471428.94000000006</v>
      </c>
      <c r="J38" s="52">
        <f t="shared" si="2"/>
        <v>3145846.45</v>
      </c>
      <c r="L38" s="201">
        <v>301684.74</v>
      </c>
      <c r="M38" s="201">
        <v>178487.80000000002</v>
      </c>
      <c r="N38" s="201">
        <v>-8743.6000000000022</v>
      </c>
      <c r="O38" s="201">
        <v>0</v>
      </c>
    </row>
    <row r="40" spans="1:15">
      <c r="B40" s="205" t="s">
        <v>586</v>
      </c>
    </row>
    <row r="42" spans="1:15">
      <c r="B42" s="202" t="s">
        <v>300</v>
      </c>
      <c r="C42" s="202" t="s">
        <v>301</v>
      </c>
      <c r="D42" s="203" t="s">
        <v>577</v>
      </c>
      <c r="E42" s="203" t="s">
        <v>578</v>
      </c>
      <c r="F42" s="202" t="s">
        <v>579</v>
      </c>
      <c r="G42" s="202" t="s">
        <v>580</v>
      </c>
      <c r="H42" s="202" t="s">
        <v>581</v>
      </c>
      <c r="I42" s="202" t="s">
        <v>89</v>
      </c>
      <c r="J42" s="202" t="s">
        <v>11</v>
      </c>
    </row>
    <row r="43" spans="1:15">
      <c r="A43" s="211">
        <f t="shared" ref="A43:A75" si="3">A5</f>
        <v>10006668</v>
      </c>
      <c r="B43" s="197" t="s">
        <v>575</v>
      </c>
      <c r="C43" s="198" t="s">
        <v>432</v>
      </c>
      <c r="D43" s="194"/>
      <c r="E43" s="194"/>
      <c r="F43" s="206">
        <f t="shared" ref="F43:J52" si="4">F5/$J5</f>
        <v>0.71033445468845091</v>
      </c>
      <c r="G43" s="206">
        <f t="shared" si="4"/>
        <v>0.11114045259882661</v>
      </c>
      <c r="H43" s="206">
        <f t="shared" si="4"/>
        <v>7.0725742562889674E-3</v>
      </c>
      <c r="I43" s="207">
        <f t="shared" si="4"/>
        <v>0.17145251845643364</v>
      </c>
      <c r="J43" s="207">
        <f t="shared" si="4"/>
        <v>1</v>
      </c>
    </row>
    <row r="44" spans="1:15">
      <c r="A44" s="211">
        <f t="shared" si="3"/>
        <v>10006719</v>
      </c>
      <c r="B44" s="197" t="s">
        <v>575</v>
      </c>
      <c r="C44" s="198" t="s">
        <v>433</v>
      </c>
      <c r="D44" s="194"/>
      <c r="E44" s="194"/>
      <c r="F44" s="206">
        <f t="shared" si="4"/>
        <v>0.64336973478939152</v>
      </c>
      <c r="G44" s="206">
        <f t="shared" si="4"/>
        <v>0.13728549141965679</v>
      </c>
      <c r="H44" s="206">
        <f t="shared" si="4"/>
        <v>7.8003120124804978E-3</v>
      </c>
      <c r="I44" s="207">
        <f t="shared" si="4"/>
        <v>0.21154446177847108</v>
      </c>
      <c r="J44" s="207">
        <f t="shared" si="4"/>
        <v>1</v>
      </c>
    </row>
    <row r="45" spans="1:15">
      <c r="A45" s="211">
        <f t="shared" si="3"/>
        <v>10006720</v>
      </c>
      <c r="B45" s="197" t="s">
        <v>575</v>
      </c>
      <c r="C45" s="198" t="s">
        <v>329</v>
      </c>
      <c r="D45" s="194"/>
      <c r="E45" s="194"/>
      <c r="F45" s="206">
        <f t="shared" si="4"/>
        <v>0.70582531024789985</v>
      </c>
      <c r="G45" s="206">
        <f t="shared" si="4"/>
        <v>0.11204528546371516</v>
      </c>
      <c r="H45" s="206">
        <f t="shared" si="4"/>
        <v>8.9236617029330965E-3</v>
      </c>
      <c r="I45" s="207">
        <f t="shared" si="4"/>
        <v>0.17320574258545188</v>
      </c>
      <c r="J45" s="207">
        <f t="shared" si="4"/>
        <v>1</v>
      </c>
    </row>
    <row r="46" spans="1:15">
      <c r="A46" s="211">
        <f t="shared" si="3"/>
        <v>10009178</v>
      </c>
      <c r="B46" s="197" t="s">
        <v>575</v>
      </c>
      <c r="C46" s="198" t="s">
        <v>442</v>
      </c>
      <c r="D46" s="194"/>
      <c r="E46" s="194"/>
      <c r="F46" s="206">
        <f t="shared" si="4"/>
        <v>0.72187646198995192</v>
      </c>
      <c r="G46" s="206">
        <f t="shared" si="4"/>
        <v>0.10506716623902874</v>
      </c>
      <c r="H46" s="206">
        <f t="shared" si="4"/>
        <v>8.2981089598633748E-3</v>
      </c>
      <c r="I46" s="207">
        <f t="shared" si="4"/>
        <v>0.16475826281115599</v>
      </c>
      <c r="J46" s="207">
        <f t="shared" si="4"/>
        <v>1</v>
      </c>
    </row>
    <row r="47" spans="1:15">
      <c r="A47" s="211">
        <f t="shared" si="3"/>
        <v>10009331</v>
      </c>
      <c r="B47" s="197" t="s">
        <v>575</v>
      </c>
      <c r="C47" s="198" t="s">
        <v>406</v>
      </c>
      <c r="D47" s="194"/>
      <c r="E47" s="194"/>
      <c r="F47" s="206">
        <f t="shared" si="4"/>
        <v>0.68204163069977208</v>
      </c>
      <c r="G47" s="206">
        <f t="shared" si="4"/>
        <v>0.17174793466713295</v>
      </c>
      <c r="H47" s="206">
        <f t="shared" si="4"/>
        <v>7.471648232296021E-3</v>
      </c>
      <c r="I47" s="207">
        <f t="shared" si="4"/>
        <v>0.13873878640079887</v>
      </c>
      <c r="J47" s="207">
        <f t="shared" si="4"/>
        <v>1</v>
      </c>
    </row>
    <row r="48" spans="1:15">
      <c r="A48" s="211">
        <f t="shared" si="3"/>
        <v>10009334</v>
      </c>
      <c r="B48" s="197" t="s">
        <v>575</v>
      </c>
      <c r="C48" s="198" t="s">
        <v>455</v>
      </c>
      <c r="D48" s="194"/>
      <c r="E48" s="194"/>
      <c r="F48" s="206">
        <f t="shared" si="4"/>
        <v>0.68183368953549928</v>
      </c>
      <c r="G48" s="206">
        <f t="shared" si="4"/>
        <v>0.17194956961628202</v>
      </c>
      <c r="H48" s="206">
        <f t="shared" si="4"/>
        <v>7.3057391031548392E-3</v>
      </c>
      <c r="I48" s="207">
        <f t="shared" si="4"/>
        <v>0.13891100174506382</v>
      </c>
      <c r="J48" s="207">
        <f t="shared" si="4"/>
        <v>1</v>
      </c>
    </row>
    <row r="49" spans="1:10">
      <c r="A49" s="212">
        <f t="shared" si="3"/>
        <v>10007969</v>
      </c>
      <c r="B49" s="197" t="s">
        <v>575</v>
      </c>
      <c r="C49" s="198" t="s">
        <v>439</v>
      </c>
      <c r="D49" s="194"/>
      <c r="E49" s="194"/>
      <c r="F49" s="206">
        <f t="shared" si="4"/>
        <v>0.86420893256579723</v>
      </c>
      <c r="G49" s="206">
        <f t="shared" si="4"/>
        <v>0.12849122963140996</v>
      </c>
      <c r="H49" s="206">
        <f t="shared" si="4"/>
        <v>1.0720010903071798E-2</v>
      </c>
      <c r="I49" s="207">
        <f t="shared" si="4"/>
        <v>-3.4201731002790063E-3</v>
      </c>
      <c r="J49" s="207">
        <f t="shared" si="4"/>
        <v>1</v>
      </c>
    </row>
    <row r="50" spans="1:10">
      <c r="A50" s="213">
        <f t="shared" si="3"/>
        <v>10005721</v>
      </c>
      <c r="B50" s="197" t="s">
        <v>575</v>
      </c>
      <c r="C50" s="198" t="s">
        <v>430</v>
      </c>
      <c r="D50" s="194"/>
      <c r="E50" s="194"/>
      <c r="F50" s="206">
        <f t="shared" si="4"/>
        <v>0.66945247907799443</v>
      </c>
      <c r="G50" s="206">
        <f t="shared" si="4"/>
        <v>0.15988401468026914</v>
      </c>
      <c r="H50" s="206">
        <f t="shared" si="4"/>
        <v>9.4437372224647417E-3</v>
      </c>
      <c r="I50" s="207">
        <f t="shared" si="4"/>
        <v>0.16121976901927182</v>
      </c>
      <c r="J50" s="207">
        <f t="shared" si="4"/>
        <v>1</v>
      </c>
    </row>
    <row r="51" spans="1:10">
      <c r="A51" s="213">
        <f t="shared" si="3"/>
        <v>10004435</v>
      </c>
      <c r="B51" s="197" t="s">
        <v>575</v>
      </c>
      <c r="C51" s="198" t="s">
        <v>429</v>
      </c>
      <c r="D51" s="194"/>
      <c r="E51" s="194"/>
      <c r="F51" s="206">
        <f t="shared" si="4"/>
        <v>0.68038050803602201</v>
      </c>
      <c r="G51" s="206">
        <f t="shared" si="4"/>
        <v>0.15460167198404859</v>
      </c>
      <c r="H51" s="206">
        <f t="shared" si="4"/>
        <v>7.4852090574596833E-3</v>
      </c>
      <c r="I51" s="207">
        <f t="shared" si="4"/>
        <v>0.15753261092246978</v>
      </c>
      <c r="J51" s="207">
        <f t="shared" si="4"/>
        <v>1</v>
      </c>
    </row>
    <row r="52" spans="1:10">
      <c r="A52" s="214">
        <f t="shared" si="3"/>
        <v>10009251</v>
      </c>
      <c r="B52" s="197" t="s">
        <v>575</v>
      </c>
      <c r="C52" s="198" t="s">
        <v>463</v>
      </c>
      <c r="D52" s="194"/>
      <c r="E52" s="194"/>
      <c r="F52" s="206">
        <f t="shared" si="4"/>
        <v>0.64221599841267418</v>
      </c>
      <c r="G52" s="206">
        <f t="shared" si="4"/>
        <v>0.20748943054686428</v>
      </c>
      <c r="H52" s="206">
        <f t="shared" si="4"/>
        <v>4.9023947251942181E-3</v>
      </c>
      <c r="I52" s="207">
        <f t="shared" si="4"/>
        <v>0.14539217631526732</v>
      </c>
      <c r="J52" s="207">
        <f t="shared" si="4"/>
        <v>1</v>
      </c>
    </row>
    <row r="53" spans="1:10">
      <c r="A53" s="214">
        <f t="shared" si="3"/>
        <v>10009239</v>
      </c>
      <c r="B53" s="197" t="s">
        <v>575</v>
      </c>
      <c r="C53" s="198" t="s">
        <v>449</v>
      </c>
      <c r="D53" s="194"/>
      <c r="E53" s="194"/>
      <c r="F53" s="206">
        <f t="shared" ref="F53:J62" si="5">F15/$J15</f>
        <v>0.55669887349854319</v>
      </c>
      <c r="G53" s="206">
        <f t="shared" si="5"/>
        <v>0.28830278142330967</v>
      </c>
      <c r="H53" s="206">
        <f t="shared" si="5"/>
        <v>7.4716835173632085E-3</v>
      </c>
      <c r="I53" s="207">
        <f t="shared" si="5"/>
        <v>0.14752666156078373</v>
      </c>
      <c r="J53" s="207">
        <f t="shared" si="5"/>
        <v>1</v>
      </c>
    </row>
    <row r="54" spans="1:10">
      <c r="A54" s="214">
        <f t="shared" si="3"/>
        <v>10009239</v>
      </c>
      <c r="B54" s="197" t="s">
        <v>575</v>
      </c>
      <c r="C54" s="198" t="s">
        <v>392</v>
      </c>
      <c r="D54" s="194"/>
      <c r="E54" s="194"/>
      <c r="F54" s="206">
        <f t="shared" si="5"/>
        <v>0.57461550612535983</v>
      </c>
      <c r="G54" s="206">
        <f t="shared" si="5"/>
        <v>0.27733856566110837</v>
      </c>
      <c r="H54" s="206">
        <f t="shared" si="5"/>
        <v>7.220671040992911E-3</v>
      </c>
      <c r="I54" s="207">
        <f t="shared" si="5"/>
        <v>0.14082525717253899</v>
      </c>
      <c r="J54" s="207">
        <f t="shared" si="5"/>
        <v>1</v>
      </c>
    </row>
    <row r="55" spans="1:10">
      <c r="A55" s="214">
        <f t="shared" si="3"/>
        <v>10009251</v>
      </c>
      <c r="B55" s="197" t="s">
        <v>575</v>
      </c>
      <c r="C55" s="198" t="s">
        <v>452</v>
      </c>
      <c r="D55" s="194"/>
      <c r="E55" s="194"/>
      <c r="F55" s="206">
        <f t="shared" si="5"/>
        <v>0.64382013864950782</v>
      </c>
      <c r="G55" s="206">
        <f t="shared" si="5"/>
        <v>0.17329715364875656</v>
      </c>
      <c r="H55" s="206">
        <f t="shared" si="5"/>
        <v>8.6648576824378265E-3</v>
      </c>
      <c r="I55" s="207">
        <f t="shared" si="5"/>
        <v>0.17421785001929779</v>
      </c>
      <c r="J55" s="207">
        <f t="shared" si="5"/>
        <v>1</v>
      </c>
    </row>
    <row r="56" spans="1:10">
      <c r="A56" s="212">
        <f t="shared" si="3"/>
        <v>10009207</v>
      </c>
      <c r="B56" s="197" t="s">
        <v>575</v>
      </c>
      <c r="C56" s="198" t="s">
        <v>446</v>
      </c>
      <c r="D56" s="194"/>
      <c r="E56" s="194"/>
      <c r="F56" s="206">
        <f t="shared" si="5"/>
        <v>0.87797456745325031</v>
      </c>
      <c r="G56" s="206">
        <f t="shared" si="5"/>
        <v>0.11463991523015157</v>
      </c>
      <c r="H56" s="206">
        <f t="shared" si="5"/>
        <v>1.0892384167909263E-2</v>
      </c>
      <c r="I56" s="207">
        <f t="shared" si="5"/>
        <v>-3.5068668513112337E-3</v>
      </c>
      <c r="J56" s="207">
        <f t="shared" si="5"/>
        <v>1</v>
      </c>
    </row>
    <row r="57" spans="1:10">
      <c r="A57" s="210">
        <f t="shared" si="3"/>
        <v>10009183</v>
      </c>
      <c r="B57" s="197" t="s">
        <v>575</v>
      </c>
      <c r="C57" s="198" t="s">
        <v>451</v>
      </c>
      <c r="D57" s="194"/>
      <c r="E57" s="194"/>
      <c r="F57" s="206">
        <f t="shared" si="5"/>
        <v>0.64906604988874572</v>
      </c>
      <c r="G57" s="206">
        <f t="shared" si="5"/>
        <v>0.18269118163719406</v>
      </c>
      <c r="H57" s="206">
        <f t="shared" si="5"/>
        <v>9.2663075301557558E-3</v>
      </c>
      <c r="I57" s="207">
        <f t="shared" si="5"/>
        <v>0.15897646094390444</v>
      </c>
      <c r="J57" s="207">
        <f t="shared" si="5"/>
        <v>1</v>
      </c>
    </row>
    <row r="58" spans="1:10">
      <c r="A58" s="210">
        <f t="shared" si="3"/>
        <v>10005776</v>
      </c>
      <c r="B58" s="197" t="s">
        <v>575</v>
      </c>
      <c r="C58" s="198" t="s">
        <v>431</v>
      </c>
      <c r="D58" s="194"/>
      <c r="E58" s="194"/>
      <c r="F58" s="206">
        <f t="shared" si="5"/>
        <v>0.64073269380282716</v>
      </c>
      <c r="G58" s="206">
        <f t="shared" si="5"/>
        <v>0.18883912359278537</v>
      </c>
      <c r="H58" s="206">
        <f t="shared" si="5"/>
        <v>6.7788403340999885E-3</v>
      </c>
      <c r="I58" s="207">
        <f t="shared" si="5"/>
        <v>0.16364934227028755</v>
      </c>
      <c r="J58" s="207">
        <f t="shared" si="5"/>
        <v>1</v>
      </c>
    </row>
    <row r="59" spans="1:10">
      <c r="A59" s="210">
        <f t="shared" si="3"/>
        <v>10005779</v>
      </c>
      <c r="B59" s="197" t="s">
        <v>575</v>
      </c>
      <c r="C59" s="198" t="s">
        <v>355</v>
      </c>
      <c r="D59" s="194"/>
      <c r="E59" s="194"/>
      <c r="F59" s="206">
        <f t="shared" si="5"/>
        <v>0.64850785469264949</v>
      </c>
      <c r="G59" s="206">
        <f t="shared" si="5"/>
        <v>0.18472988207689736</v>
      </c>
      <c r="H59" s="206">
        <f t="shared" si="5"/>
        <v>5.9716572410928488E-3</v>
      </c>
      <c r="I59" s="207">
        <f t="shared" si="5"/>
        <v>0.16079060598936049</v>
      </c>
      <c r="J59" s="207">
        <f t="shared" si="5"/>
        <v>1</v>
      </c>
    </row>
    <row r="60" spans="1:10">
      <c r="A60" s="210">
        <f t="shared" si="3"/>
        <v>10005781</v>
      </c>
      <c r="B60" s="197" t="s">
        <v>575</v>
      </c>
      <c r="C60" s="198" t="s">
        <v>366</v>
      </c>
      <c r="D60" s="194"/>
      <c r="E60" s="194"/>
      <c r="F60" s="206">
        <f t="shared" si="5"/>
        <v>0.66403719438475561</v>
      </c>
      <c r="G60" s="206">
        <f t="shared" si="5"/>
        <v>0.17601672338581983</v>
      </c>
      <c r="H60" s="206">
        <f t="shared" si="5"/>
        <v>7.5721758058960248E-3</v>
      </c>
      <c r="I60" s="207">
        <f t="shared" si="5"/>
        <v>0.15237390642352852</v>
      </c>
      <c r="J60" s="207">
        <f t="shared" si="5"/>
        <v>1</v>
      </c>
    </row>
    <row r="61" spans="1:10">
      <c r="A61" s="214">
        <f t="shared" si="3"/>
        <v>10007050</v>
      </c>
      <c r="B61" s="197" t="s">
        <v>575</v>
      </c>
      <c r="C61" s="198" t="s">
        <v>435</v>
      </c>
      <c r="D61" s="194"/>
      <c r="E61" s="194"/>
      <c r="F61" s="206">
        <f t="shared" si="5"/>
        <v>0.88256317231166481</v>
      </c>
      <c r="G61" s="206">
        <f t="shared" si="5"/>
        <v>0.11132858904590043</v>
      </c>
      <c r="H61" s="206">
        <f t="shared" si="5"/>
        <v>1.0578478735560662E-2</v>
      </c>
      <c r="I61" s="207">
        <f t="shared" si="5"/>
        <v>-4.4702400931258121E-3</v>
      </c>
      <c r="J61" s="207">
        <f t="shared" si="5"/>
        <v>1</v>
      </c>
    </row>
    <row r="62" spans="1:10">
      <c r="A62" s="214">
        <f t="shared" si="3"/>
        <v>10007050</v>
      </c>
      <c r="B62" s="197" t="s">
        <v>575</v>
      </c>
      <c r="C62" s="198" t="s">
        <v>437</v>
      </c>
      <c r="D62" s="194"/>
      <c r="E62" s="194"/>
      <c r="F62" s="206">
        <f t="shared" si="5"/>
        <v>0.96870725230765686</v>
      </c>
      <c r="G62" s="206">
        <f t="shared" si="5"/>
        <v>0.1231133539480188</v>
      </c>
      <c r="H62" s="206">
        <f t="shared" si="5"/>
        <v>1.1699217178393664E-2</v>
      </c>
      <c r="I62" s="207">
        <f t="shared" si="5"/>
        <v>-0.10351982343406939</v>
      </c>
      <c r="J62" s="207">
        <f t="shared" si="5"/>
        <v>1</v>
      </c>
    </row>
    <row r="63" spans="1:10">
      <c r="A63" s="214">
        <f t="shared" si="3"/>
        <v>10007050</v>
      </c>
      <c r="B63" s="197" t="s">
        <v>575</v>
      </c>
      <c r="C63" s="198" t="s">
        <v>436</v>
      </c>
      <c r="D63" s="194"/>
      <c r="E63" s="194"/>
      <c r="F63" s="206">
        <f t="shared" ref="F63:J72" si="6">F25/$J25</f>
        <v>0.87702212576289451</v>
      </c>
      <c r="G63" s="206">
        <f t="shared" si="6"/>
        <v>0.11536276637583207</v>
      </c>
      <c r="H63" s="206">
        <f t="shared" si="6"/>
        <v>1.0962376006875151E-2</v>
      </c>
      <c r="I63" s="207">
        <f t="shared" si="6"/>
        <v>-3.3472681456017941E-3</v>
      </c>
      <c r="J63" s="207">
        <f t="shared" si="6"/>
        <v>1</v>
      </c>
    </row>
    <row r="64" spans="1:10">
      <c r="A64" s="214">
        <f t="shared" si="3"/>
        <v>10007050</v>
      </c>
      <c r="B64" s="197" t="s">
        <v>575</v>
      </c>
      <c r="C64" s="198" t="s">
        <v>457</v>
      </c>
      <c r="D64" s="194"/>
      <c r="E64" s="194"/>
      <c r="F64" s="206">
        <f t="shared" si="6"/>
        <v>0.86952451604211101</v>
      </c>
      <c r="G64" s="206">
        <f t="shared" si="6"/>
        <v>0.12009903103954012</v>
      </c>
      <c r="H64" s="206">
        <f t="shared" si="6"/>
        <v>1.3727119965744041E-2</v>
      </c>
      <c r="I64" s="207">
        <f t="shared" si="6"/>
        <v>-3.3506670473951758E-3</v>
      </c>
      <c r="J64" s="207">
        <f t="shared" si="6"/>
        <v>1</v>
      </c>
    </row>
    <row r="65" spans="1:10">
      <c r="A65" s="214">
        <f t="shared" si="3"/>
        <v>10007050</v>
      </c>
      <c r="B65" s="197" t="s">
        <v>575</v>
      </c>
      <c r="C65" s="198" t="s">
        <v>410</v>
      </c>
      <c r="D65" s="194"/>
      <c r="E65" s="194"/>
      <c r="F65" s="206">
        <f t="shared" si="6"/>
        <v>0.87558027416949302</v>
      </c>
      <c r="G65" s="206">
        <f t="shared" si="6"/>
        <v>0.11390437725019281</v>
      </c>
      <c r="H65" s="206">
        <f t="shared" si="6"/>
        <v>1.3888398543976357E-2</v>
      </c>
      <c r="I65" s="207">
        <f t="shared" si="6"/>
        <v>-3.373049963662173E-3</v>
      </c>
      <c r="J65" s="207">
        <f t="shared" si="6"/>
        <v>1</v>
      </c>
    </row>
    <row r="66" spans="1:10">
      <c r="A66" s="214">
        <f t="shared" si="3"/>
        <v>10007050</v>
      </c>
      <c r="B66" s="197" t="s">
        <v>575</v>
      </c>
      <c r="C66" s="198" t="s">
        <v>434</v>
      </c>
      <c r="D66" s="194"/>
      <c r="E66" s="194"/>
      <c r="F66" s="206">
        <f t="shared" si="6"/>
        <v>0.86643134111825248</v>
      </c>
      <c r="G66" s="206">
        <f t="shared" si="6"/>
        <v>0.12544210809988118</v>
      </c>
      <c r="H66" s="206">
        <f t="shared" si="6"/>
        <v>1.1453689132902619E-2</v>
      </c>
      <c r="I66" s="207">
        <f t="shared" si="6"/>
        <v>-3.327138351036275E-3</v>
      </c>
      <c r="J66" s="207">
        <f t="shared" si="6"/>
        <v>1</v>
      </c>
    </row>
    <row r="67" spans="1:10">
      <c r="A67" s="215">
        <f t="shared" si="3"/>
        <v>10007161</v>
      </c>
      <c r="B67" s="197" t="s">
        <v>575</v>
      </c>
      <c r="C67" s="198" t="s">
        <v>438</v>
      </c>
      <c r="D67" s="194"/>
      <c r="E67" s="194"/>
      <c r="F67" s="206">
        <f t="shared" si="6"/>
        <v>0.67553924827142209</v>
      </c>
      <c r="G67" s="206">
        <f t="shared" si="6"/>
        <v>0.14693304999136367</v>
      </c>
      <c r="H67" s="206">
        <f t="shared" si="6"/>
        <v>6.35739820887398E-3</v>
      </c>
      <c r="I67" s="207">
        <f t="shared" si="6"/>
        <v>0.17117030352834037</v>
      </c>
      <c r="J67" s="207">
        <f t="shared" si="6"/>
        <v>1</v>
      </c>
    </row>
    <row r="68" spans="1:10">
      <c r="A68" s="215">
        <f t="shared" si="3"/>
        <v>10007162</v>
      </c>
      <c r="B68" s="197" t="s">
        <v>575</v>
      </c>
      <c r="C68" s="198" t="s">
        <v>378</v>
      </c>
      <c r="D68" s="194"/>
      <c r="E68" s="194"/>
      <c r="F68" s="206">
        <f t="shared" si="6"/>
        <v>0.68035318365239439</v>
      </c>
      <c r="G68" s="206">
        <f t="shared" si="6"/>
        <v>0.1436938739602775</v>
      </c>
      <c r="H68" s="206">
        <f t="shared" si="6"/>
        <v>8.6144019604799064E-3</v>
      </c>
      <c r="I68" s="207">
        <f t="shared" si="6"/>
        <v>0.16733854042684826</v>
      </c>
      <c r="J68" s="207">
        <f t="shared" si="6"/>
        <v>1</v>
      </c>
    </row>
    <row r="69" spans="1:10">
      <c r="A69" s="215">
        <f t="shared" si="3"/>
        <v>10007162</v>
      </c>
      <c r="B69" s="197" t="s">
        <v>575</v>
      </c>
      <c r="C69" s="198" t="s">
        <v>458</v>
      </c>
      <c r="D69" s="194"/>
      <c r="E69" s="194"/>
      <c r="F69" s="206">
        <f t="shared" si="6"/>
        <v>0.69672645893847895</v>
      </c>
      <c r="G69" s="206">
        <f t="shared" si="6"/>
        <v>0.13661605440825861</v>
      </c>
      <c r="H69" s="206">
        <f t="shared" si="6"/>
        <v>7.5674018241203827E-3</v>
      </c>
      <c r="I69" s="207">
        <f t="shared" si="6"/>
        <v>0.15909008482914216</v>
      </c>
      <c r="J69" s="207">
        <f t="shared" si="6"/>
        <v>1</v>
      </c>
    </row>
    <row r="70" spans="1:10">
      <c r="A70" s="215">
        <f t="shared" si="3"/>
        <v>10009186</v>
      </c>
      <c r="B70" s="197" t="s">
        <v>575</v>
      </c>
      <c r="C70" s="198" t="s">
        <v>444</v>
      </c>
      <c r="D70" s="194"/>
      <c r="E70" s="194"/>
      <c r="F70" s="206">
        <f t="shared" si="6"/>
        <v>0.68630431458612529</v>
      </c>
      <c r="G70" s="206">
        <f t="shared" si="6"/>
        <v>0.14085140446659053</v>
      </c>
      <c r="H70" s="206">
        <f t="shared" si="6"/>
        <v>8.0049648770923101E-3</v>
      </c>
      <c r="I70" s="207">
        <f t="shared" si="6"/>
        <v>0.16483931607019184</v>
      </c>
      <c r="J70" s="207">
        <f t="shared" si="6"/>
        <v>1</v>
      </c>
    </row>
    <row r="71" spans="1:10">
      <c r="A71" s="215">
        <f t="shared" si="3"/>
        <v>10009777</v>
      </c>
      <c r="B71" s="197" t="s">
        <v>575</v>
      </c>
      <c r="C71" s="198" t="s">
        <v>465</v>
      </c>
      <c r="D71" s="194"/>
      <c r="E71" s="194"/>
      <c r="F71" s="206">
        <f t="shared" si="6"/>
        <v>0.7285221940788108</v>
      </c>
      <c r="G71" s="206">
        <f t="shared" si="6"/>
        <v>0.109620894406843</v>
      </c>
      <c r="H71" s="206">
        <f t="shared" si="6"/>
        <v>7.7648133538180467E-3</v>
      </c>
      <c r="I71" s="207">
        <f t="shared" si="6"/>
        <v>0.15409209816052816</v>
      </c>
      <c r="J71" s="207">
        <f t="shared" si="6"/>
        <v>1</v>
      </c>
    </row>
    <row r="72" spans="1:10">
      <c r="A72" s="215">
        <f t="shared" si="3"/>
        <v>10007567</v>
      </c>
      <c r="B72" s="197" t="s">
        <v>575</v>
      </c>
      <c r="C72" s="198" t="s">
        <v>373</v>
      </c>
      <c r="D72" s="194"/>
      <c r="E72" s="194"/>
      <c r="F72" s="206">
        <f t="shared" si="6"/>
        <v>0.68678747850017197</v>
      </c>
      <c r="G72" s="206">
        <f t="shared" si="6"/>
        <v>0.13617245728700836</v>
      </c>
      <c r="H72" s="206">
        <f t="shared" si="6"/>
        <v>9.7979589496617354E-3</v>
      </c>
      <c r="I72" s="207">
        <f t="shared" si="6"/>
        <v>0.16724210526315789</v>
      </c>
      <c r="J72" s="207">
        <f t="shared" si="6"/>
        <v>1</v>
      </c>
    </row>
    <row r="73" spans="1:10">
      <c r="A73" s="210">
        <f t="shared" si="3"/>
        <v>10009176</v>
      </c>
      <c r="B73" s="197" t="s">
        <v>575</v>
      </c>
      <c r="C73" s="198" t="s">
        <v>440</v>
      </c>
      <c r="D73" s="194"/>
      <c r="E73" s="194"/>
      <c r="F73" s="206">
        <f t="shared" ref="F73:J76" si="7">F35/$J35</f>
        <v>0.62961832061068701</v>
      </c>
      <c r="G73" s="206">
        <f t="shared" si="7"/>
        <v>0.15572519083969463</v>
      </c>
      <c r="H73" s="206">
        <f t="shared" si="7"/>
        <v>7.6335877862595417E-3</v>
      </c>
      <c r="I73" s="207">
        <f t="shared" si="7"/>
        <v>0.20702290076335875</v>
      </c>
      <c r="J73" s="207">
        <f t="shared" si="7"/>
        <v>1</v>
      </c>
    </row>
    <row r="74" spans="1:10">
      <c r="A74" s="210">
        <f t="shared" si="3"/>
        <v>10009177</v>
      </c>
      <c r="B74" s="197" t="s">
        <v>575</v>
      </c>
      <c r="C74" s="198" t="s">
        <v>441</v>
      </c>
      <c r="D74" s="194"/>
      <c r="E74" s="194"/>
      <c r="F74" s="206">
        <f t="shared" si="7"/>
        <v>0.69930714046939368</v>
      </c>
      <c r="G74" s="206">
        <f t="shared" si="7"/>
        <v>0.126330826597533</v>
      </c>
      <c r="H74" s="206">
        <f t="shared" si="7"/>
        <v>6.2143319232443438E-3</v>
      </c>
      <c r="I74" s="207">
        <f t="shared" si="7"/>
        <v>0.16814770100982895</v>
      </c>
      <c r="J74" s="207">
        <f t="shared" si="7"/>
        <v>1</v>
      </c>
    </row>
    <row r="75" spans="1:10">
      <c r="A75" s="216">
        <f t="shared" si="3"/>
        <v>10009386</v>
      </c>
      <c r="B75" s="197" t="s">
        <v>575</v>
      </c>
      <c r="C75" s="198" t="s">
        <v>456</v>
      </c>
      <c r="D75" s="194"/>
      <c r="E75" s="194"/>
      <c r="F75" s="206">
        <f t="shared" si="7"/>
        <v>0.88083142752939914</v>
      </c>
      <c r="G75" s="206">
        <f t="shared" si="7"/>
        <v>0.11189116652001255</v>
      </c>
      <c r="H75" s="206">
        <f t="shared" si="7"/>
        <v>1.0631900882794984E-2</v>
      </c>
      <c r="I75" s="207">
        <f t="shared" si="7"/>
        <v>-3.3544949322065823E-3</v>
      </c>
      <c r="J75" s="207">
        <f t="shared" si="7"/>
        <v>1</v>
      </c>
    </row>
    <row r="76" spans="1:10">
      <c r="B76" s="199" t="s">
        <v>576</v>
      </c>
      <c r="C76" s="200">
        <v>0</v>
      </c>
      <c r="D76" s="201"/>
      <c r="E76" s="201"/>
      <c r="F76" s="208">
        <f t="shared" si="7"/>
        <v>0.67885766961067029</v>
      </c>
      <c r="G76" s="208">
        <f t="shared" si="7"/>
        <v>0.16268197069822016</v>
      </c>
      <c r="H76" s="208">
        <f t="shared" si="7"/>
        <v>8.60277843503773E-3</v>
      </c>
      <c r="I76" s="208">
        <f t="shared" si="7"/>
        <v>0.14985758125607179</v>
      </c>
      <c r="J76" s="209">
        <f t="shared" si="7"/>
        <v>1</v>
      </c>
    </row>
    <row r="81" spans="1:17">
      <c r="B81" s="53" t="s">
        <v>659</v>
      </c>
    </row>
    <row r="83" spans="1:17">
      <c r="B83" s="202" t="s">
        <v>300</v>
      </c>
      <c r="C83" s="202" t="s">
        <v>301</v>
      </c>
      <c r="D83" s="203" t="s">
        <v>577</v>
      </c>
      <c r="E83" s="203" t="s">
        <v>578</v>
      </c>
      <c r="F83" s="202" t="s">
        <v>579</v>
      </c>
      <c r="G83" s="202" t="s">
        <v>580</v>
      </c>
      <c r="H83" s="202" t="s">
        <v>581</v>
      </c>
      <c r="I83" s="202" t="s">
        <v>89</v>
      </c>
      <c r="J83" s="202" t="s">
        <v>11</v>
      </c>
      <c r="Q83" s="255" t="s">
        <v>320</v>
      </c>
    </row>
    <row r="84" spans="1:17">
      <c r="A84" s="211">
        <v>10006668</v>
      </c>
      <c r="B84" s="197">
        <v>4</v>
      </c>
      <c r="C84" s="198" t="s">
        <v>432</v>
      </c>
      <c r="D84" s="194">
        <f t="shared" ref="D84:D90" si="8">-Q84/1000</f>
        <v>53.86</v>
      </c>
      <c r="E84" s="194">
        <f t="shared" ref="E84:E126" si="9">IFERROR(J84/D84,0)</f>
        <v>2010.3607500928335</v>
      </c>
      <c r="F84" s="194">
        <v>78674.550000000017</v>
      </c>
      <c r="G84" s="194">
        <v>11334.399999999998</v>
      </c>
      <c r="H84" s="194">
        <v>807.66000000000008</v>
      </c>
      <c r="I84" s="204">
        <v>17461.419999999998</v>
      </c>
      <c r="J84" s="204">
        <f>SUM(F84:I84)</f>
        <v>108278.03000000001</v>
      </c>
      <c r="L84" s="211">
        <v>10006668</v>
      </c>
      <c r="M84" s="198" t="s">
        <v>432</v>
      </c>
      <c r="P84" s="251" t="s">
        <v>432</v>
      </c>
      <c r="Q84" s="252">
        <v>-53860</v>
      </c>
    </row>
    <row r="85" spans="1:17">
      <c r="A85" s="211">
        <v>10006719</v>
      </c>
      <c r="B85" s="197">
        <v>4</v>
      </c>
      <c r="C85" s="198" t="s">
        <v>433</v>
      </c>
      <c r="D85" s="194">
        <f t="shared" si="8"/>
        <v>261.62</v>
      </c>
      <c r="E85" s="194">
        <f t="shared" si="9"/>
        <v>2036.6442168029971</v>
      </c>
      <c r="F85" s="194">
        <v>391339.73000000016</v>
      </c>
      <c r="G85" s="194">
        <v>53223.5</v>
      </c>
      <c r="H85" s="194">
        <v>3542.849999999999</v>
      </c>
      <c r="I85" s="204">
        <v>84720.779999999984</v>
      </c>
      <c r="J85" s="204">
        <f t="shared" ref="J85:J125" si="10">SUM(F85:I85)</f>
        <v>532826.8600000001</v>
      </c>
      <c r="L85" s="211">
        <v>10006719</v>
      </c>
      <c r="M85" s="198" t="s">
        <v>433</v>
      </c>
      <c r="P85" s="251" t="s">
        <v>433</v>
      </c>
      <c r="Q85" s="252">
        <v>-261620</v>
      </c>
    </row>
    <row r="86" spans="1:17">
      <c r="A86" s="211">
        <v>10006720</v>
      </c>
      <c r="B86" s="197">
        <v>4</v>
      </c>
      <c r="C86" s="198" t="s">
        <v>661</v>
      </c>
      <c r="D86" s="194">
        <f t="shared" si="8"/>
        <v>11.84</v>
      </c>
      <c r="E86" s="194">
        <f t="shared" si="9"/>
        <v>2008.0422297297298</v>
      </c>
      <c r="F86" s="194">
        <v>17114.400000000001</v>
      </c>
      <c r="G86" s="194">
        <v>2618.0000000000005</v>
      </c>
      <c r="H86" s="194">
        <v>204.97999999999996</v>
      </c>
      <c r="I86" s="204">
        <v>3837.84</v>
      </c>
      <c r="J86" s="204">
        <f t="shared" si="10"/>
        <v>23775.22</v>
      </c>
      <c r="L86" s="211">
        <v>10006720</v>
      </c>
      <c r="M86" s="198" t="s">
        <v>329</v>
      </c>
      <c r="P86" s="251" t="s">
        <v>661</v>
      </c>
      <c r="Q86" s="252">
        <v>-11840</v>
      </c>
    </row>
    <row r="87" spans="1:17">
      <c r="A87" s="211">
        <v>10009178</v>
      </c>
      <c r="B87" s="197">
        <v>4</v>
      </c>
      <c r="C87" s="198" t="s">
        <v>329</v>
      </c>
      <c r="D87" s="194">
        <f t="shared" si="8"/>
        <v>0.08</v>
      </c>
      <c r="E87" s="194">
        <f t="shared" si="9"/>
        <v>8663.125</v>
      </c>
      <c r="F87" s="194">
        <v>137.6</v>
      </c>
      <c r="G87" s="194">
        <v>528</v>
      </c>
      <c r="H87" s="194">
        <v>1.57</v>
      </c>
      <c r="I87" s="204">
        <v>25.880000000000003</v>
      </c>
      <c r="J87" s="204">
        <f t="shared" si="10"/>
        <v>693.05000000000007</v>
      </c>
      <c r="L87" s="211">
        <v>10009178</v>
      </c>
      <c r="M87" s="198" t="s">
        <v>442</v>
      </c>
      <c r="P87" s="251" t="s">
        <v>329</v>
      </c>
      <c r="Q87" s="252">
        <v>-80</v>
      </c>
    </row>
    <row r="88" spans="1:17">
      <c r="A88" s="211">
        <v>10009331</v>
      </c>
      <c r="B88" s="197">
        <v>4</v>
      </c>
      <c r="C88" s="198" t="s">
        <v>442</v>
      </c>
      <c r="D88" s="194">
        <f t="shared" si="8"/>
        <v>16.34</v>
      </c>
      <c r="E88" s="194">
        <f t="shared" si="9"/>
        <v>2078.6866585067319</v>
      </c>
      <c r="F88" s="194">
        <v>24117.599999999999</v>
      </c>
      <c r="G88" s="194">
        <v>4257</v>
      </c>
      <c r="H88" s="194">
        <v>294.12000000000006</v>
      </c>
      <c r="I88" s="204">
        <v>5297.02</v>
      </c>
      <c r="J88" s="204">
        <f t="shared" si="10"/>
        <v>33965.74</v>
      </c>
      <c r="L88" s="211">
        <v>10009331</v>
      </c>
      <c r="M88" s="198" t="s">
        <v>406</v>
      </c>
      <c r="P88" s="251" t="s">
        <v>442</v>
      </c>
      <c r="Q88" s="252">
        <v>-16340</v>
      </c>
    </row>
    <row r="89" spans="1:17">
      <c r="A89" s="211">
        <v>10009334</v>
      </c>
      <c r="B89" s="197">
        <v>4</v>
      </c>
      <c r="C89" s="198" t="s">
        <v>406</v>
      </c>
      <c r="D89" s="194">
        <f t="shared" si="8"/>
        <v>95.201999999999998</v>
      </c>
      <c r="E89" s="194">
        <f t="shared" si="9"/>
        <v>3052.6784577487369</v>
      </c>
      <c r="F89" s="194">
        <v>97349.930000000008</v>
      </c>
      <c r="G89" s="194">
        <v>43230.380000000005</v>
      </c>
      <c r="H89" s="194">
        <v>1264.3499999999999</v>
      </c>
      <c r="I89" s="204">
        <v>148776.43453459526</v>
      </c>
      <c r="J89" s="204">
        <f t="shared" si="10"/>
        <v>290621.09453459526</v>
      </c>
      <c r="L89" s="211">
        <v>10009334</v>
      </c>
      <c r="M89" s="198" t="s">
        <v>455</v>
      </c>
      <c r="P89" s="251" t="s">
        <v>406</v>
      </c>
      <c r="Q89" s="252">
        <v>-95202</v>
      </c>
    </row>
    <row r="90" spans="1:17">
      <c r="A90" s="211">
        <v>10009334</v>
      </c>
      <c r="B90" s="197">
        <v>4</v>
      </c>
      <c r="C90" s="198" t="s">
        <v>455</v>
      </c>
      <c r="D90" s="194">
        <f t="shared" si="8"/>
        <v>7.56</v>
      </c>
      <c r="E90" s="194">
        <f t="shared" si="9"/>
        <v>3076.9466762103984</v>
      </c>
      <c r="F90" s="194">
        <v>7089.65</v>
      </c>
      <c r="G90" s="194">
        <v>3031.6400000000003</v>
      </c>
      <c r="H90" s="194">
        <v>88.05</v>
      </c>
      <c r="I90" s="204">
        <v>13052.376872150608</v>
      </c>
      <c r="J90" s="204">
        <f t="shared" si="10"/>
        <v>23261.71687215061</v>
      </c>
      <c r="L90" s="212">
        <v>10007969</v>
      </c>
      <c r="M90" s="198" t="s">
        <v>439</v>
      </c>
      <c r="P90" s="251" t="s">
        <v>455</v>
      </c>
      <c r="Q90" s="252">
        <v>-7560</v>
      </c>
    </row>
    <row r="91" spans="1:17">
      <c r="A91" s="212">
        <v>10007969</v>
      </c>
      <c r="B91" s="197">
        <v>4</v>
      </c>
      <c r="C91" s="198" t="s">
        <v>439</v>
      </c>
      <c r="D91" s="194"/>
      <c r="E91" s="194">
        <f t="shared" si="9"/>
        <v>0</v>
      </c>
      <c r="F91" s="194">
        <v>7126.13</v>
      </c>
      <c r="G91" s="194">
        <v>1087</v>
      </c>
      <c r="H91" s="194">
        <v>85.470000000000027</v>
      </c>
      <c r="I91" s="204">
        <v>-27.759999999999998</v>
      </c>
      <c r="J91" s="204">
        <f t="shared" si="10"/>
        <v>8270.84</v>
      </c>
      <c r="L91" s="213">
        <v>10005721</v>
      </c>
      <c r="M91" s="198" t="s">
        <v>430</v>
      </c>
      <c r="P91" s="251" t="s">
        <v>662</v>
      </c>
      <c r="Q91" s="252">
        <v>-1060</v>
      </c>
    </row>
    <row r="92" spans="1:17">
      <c r="A92" s="213">
        <v>10005721</v>
      </c>
      <c r="B92" s="197">
        <v>4</v>
      </c>
      <c r="C92" s="198" t="s">
        <v>662</v>
      </c>
      <c r="D92" s="194">
        <f t="shared" ref="D92:D102" si="11">-Q91/1000</f>
        <v>1.06</v>
      </c>
      <c r="E92" s="194">
        <f t="shared" si="9"/>
        <v>2049.4905660377358</v>
      </c>
      <c r="F92" s="194">
        <v>1453.9099999999999</v>
      </c>
      <c r="G92" s="194">
        <v>355.1</v>
      </c>
      <c r="H92" s="194">
        <v>19.190000000000001</v>
      </c>
      <c r="I92" s="204">
        <v>344.26000000000005</v>
      </c>
      <c r="J92" s="204">
        <f t="shared" si="10"/>
        <v>2172.46</v>
      </c>
      <c r="L92" s="213">
        <v>10004435</v>
      </c>
      <c r="M92" s="198" t="s">
        <v>429</v>
      </c>
      <c r="P92" s="251" t="s">
        <v>663</v>
      </c>
      <c r="Q92" s="252">
        <v>-11420</v>
      </c>
    </row>
    <row r="93" spans="1:17">
      <c r="A93" s="213">
        <v>10005721</v>
      </c>
      <c r="B93" s="197">
        <v>4</v>
      </c>
      <c r="C93" s="198" t="s">
        <v>663</v>
      </c>
      <c r="D93" s="194">
        <f t="shared" si="11"/>
        <v>11.42</v>
      </c>
      <c r="E93" s="194">
        <f t="shared" si="9"/>
        <v>2165.5691768826623</v>
      </c>
      <c r="F93" s="194">
        <v>16993.43</v>
      </c>
      <c r="G93" s="194">
        <v>3825.7000000000003</v>
      </c>
      <c r="H93" s="194">
        <v>207.61</v>
      </c>
      <c r="I93" s="204">
        <v>3704.0599999999995</v>
      </c>
      <c r="J93" s="204">
        <f t="shared" si="10"/>
        <v>24730.800000000003</v>
      </c>
      <c r="L93" s="214">
        <v>10009251</v>
      </c>
      <c r="M93" s="198" t="s">
        <v>463</v>
      </c>
      <c r="P93" s="251" t="s">
        <v>664</v>
      </c>
      <c r="Q93" s="252">
        <v>-4340</v>
      </c>
    </row>
    <row r="94" spans="1:17">
      <c r="A94" s="213">
        <v>10005721</v>
      </c>
      <c r="B94" s="197">
        <v>4</v>
      </c>
      <c r="C94" s="198" t="s">
        <v>664</v>
      </c>
      <c r="D94" s="194">
        <f t="shared" si="11"/>
        <v>4.34</v>
      </c>
      <c r="E94" s="194">
        <f t="shared" si="9"/>
        <v>2062.2557603686637</v>
      </c>
      <c r="F94" s="194">
        <v>6009.41</v>
      </c>
      <c r="G94" s="194">
        <v>1453.8999999999999</v>
      </c>
      <c r="H94" s="194">
        <v>75.849999999999994</v>
      </c>
      <c r="I94" s="204">
        <v>1411.03</v>
      </c>
      <c r="J94" s="204">
        <f t="shared" si="10"/>
        <v>8950.19</v>
      </c>
      <c r="L94" s="214">
        <v>10009239</v>
      </c>
      <c r="M94" s="198" t="s">
        <v>449</v>
      </c>
      <c r="P94" s="251" t="s">
        <v>427</v>
      </c>
      <c r="Q94" s="252">
        <v>-920</v>
      </c>
    </row>
    <row r="95" spans="1:17">
      <c r="A95" s="213">
        <v>10005721</v>
      </c>
      <c r="B95" s="197">
        <v>4</v>
      </c>
      <c r="C95" s="198" t="s">
        <v>427</v>
      </c>
      <c r="D95" s="194">
        <f t="shared" si="11"/>
        <v>0.92</v>
      </c>
      <c r="E95" s="194">
        <f t="shared" si="9"/>
        <v>2216.54347826087</v>
      </c>
      <c r="F95" s="194">
        <v>1420.6100000000001</v>
      </c>
      <c r="G95" s="194">
        <v>308.2</v>
      </c>
      <c r="H95" s="194">
        <v>12.460000000000004</v>
      </c>
      <c r="I95" s="204">
        <v>297.95000000000005</v>
      </c>
      <c r="J95" s="204">
        <f t="shared" si="10"/>
        <v>2039.2200000000003</v>
      </c>
      <c r="L95" s="214">
        <v>10009239</v>
      </c>
      <c r="M95" s="198" t="s">
        <v>392</v>
      </c>
      <c r="P95" s="251" t="s">
        <v>665</v>
      </c>
      <c r="Q95" s="252">
        <v>-388880</v>
      </c>
    </row>
    <row r="96" spans="1:17">
      <c r="A96" s="213">
        <v>10005721</v>
      </c>
      <c r="B96" s="197">
        <v>4</v>
      </c>
      <c r="C96" s="198" t="s">
        <v>665</v>
      </c>
      <c r="D96" s="194">
        <f t="shared" si="11"/>
        <v>388.88</v>
      </c>
      <c r="E96" s="194">
        <f t="shared" si="9"/>
        <v>2136.6867671261057</v>
      </c>
      <c r="F96" s="194">
        <v>568494.85</v>
      </c>
      <c r="G96" s="194">
        <v>130291.19999999998</v>
      </c>
      <c r="H96" s="194">
        <v>6089.12</v>
      </c>
      <c r="I96" s="204">
        <v>126039.57999999999</v>
      </c>
      <c r="J96" s="204">
        <f t="shared" si="10"/>
        <v>830914.74999999988</v>
      </c>
      <c r="L96" s="214">
        <v>10009251</v>
      </c>
      <c r="M96" s="198" t="s">
        <v>452</v>
      </c>
      <c r="P96" s="251" t="s">
        <v>666</v>
      </c>
      <c r="Q96" s="252">
        <v>-50400</v>
      </c>
    </row>
    <row r="97" spans="1:17">
      <c r="A97" s="213">
        <v>10005721</v>
      </c>
      <c r="B97" s="197">
        <v>4</v>
      </c>
      <c r="C97" s="198" t="s">
        <v>666</v>
      </c>
      <c r="D97" s="194">
        <f t="shared" si="11"/>
        <v>50.4</v>
      </c>
      <c r="E97" s="194">
        <f t="shared" si="9"/>
        <v>2051.4220238095236</v>
      </c>
      <c r="F97" s="194">
        <v>69236.179999999993</v>
      </c>
      <c r="G97" s="194">
        <v>16884</v>
      </c>
      <c r="H97" s="194">
        <v>907.19999999999993</v>
      </c>
      <c r="I97" s="204">
        <v>16364.289999999999</v>
      </c>
      <c r="J97" s="204">
        <f t="shared" si="10"/>
        <v>103391.66999999998</v>
      </c>
      <c r="L97" s="212">
        <v>10009207</v>
      </c>
      <c r="M97" s="198" t="s">
        <v>446</v>
      </c>
      <c r="P97" s="251" t="s">
        <v>428</v>
      </c>
      <c r="Q97" s="252">
        <v>-22620</v>
      </c>
    </row>
    <row r="98" spans="1:17">
      <c r="A98" s="213">
        <v>10005721</v>
      </c>
      <c r="B98" s="197">
        <v>4</v>
      </c>
      <c r="C98" s="198" t="s">
        <v>428</v>
      </c>
      <c r="D98" s="194">
        <f t="shared" si="11"/>
        <v>22.62</v>
      </c>
      <c r="E98" s="194">
        <f t="shared" si="9"/>
        <v>2240.0923961096373</v>
      </c>
      <c r="F98" s="194">
        <v>34978.589999999997</v>
      </c>
      <c r="G98" s="194">
        <v>7925.46</v>
      </c>
      <c r="H98" s="194">
        <v>443.16000000000008</v>
      </c>
      <c r="I98" s="204">
        <v>7323.6800000000012</v>
      </c>
      <c r="J98" s="204">
        <f t="shared" si="10"/>
        <v>50670.89</v>
      </c>
      <c r="L98" s="210">
        <v>10009183</v>
      </c>
      <c r="M98" s="198" t="s">
        <v>451</v>
      </c>
      <c r="P98" s="251" t="s">
        <v>430</v>
      </c>
      <c r="Q98" s="252">
        <v>-184360</v>
      </c>
    </row>
    <row r="99" spans="1:17">
      <c r="A99" s="213">
        <v>10005721</v>
      </c>
      <c r="B99" s="197">
        <v>4</v>
      </c>
      <c r="C99" s="198" t="s">
        <v>430</v>
      </c>
      <c r="D99" s="194">
        <f t="shared" si="11"/>
        <v>184.36</v>
      </c>
      <c r="E99" s="194">
        <f t="shared" si="9"/>
        <v>2170.5107940985026</v>
      </c>
      <c r="F99" s="194">
        <v>274811.27</v>
      </c>
      <c r="G99" s="194">
        <v>61760.6</v>
      </c>
      <c r="H99" s="194">
        <v>3835.2600000000007</v>
      </c>
      <c r="I99" s="204">
        <v>59748.24</v>
      </c>
      <c r="J99" s="204">
        <f t="shared" si="10"/>
        <v>400155.37</v>
      </c>
      <c r="L99" s="210">
        <v>10005776</v>
      </c>
      <c r="M99" s="198" t="s">
        <v>431</v>
      </c>
      <c r="P99" s="251" t="s">
        <v>429</v>
      </c>
      <c r="Q99" s="252">
        <v>-12380</v>
      </c>
    </row>
    <row r="100" spans="1:17">
      <c r="A100" s="213">
        <v>10005721</v>
      </c>
      <c r="B100" s="197">
        <v>4</v>
      </c>
      <c r="C100" s="198" t="s">
        <v>429</v>
      </c>
      <c r="D100" s="194">
        <f t="shared" si="11"/>
        <v>12.38</v>
      </c>
      <c r="E100" s="194">
        <f t="shared" si="9"/>
        <v>2223.1970920840063</v>
      </c>
      <c r="F100" s="194">
        <v>19094.129999999997</v>
      </c>
      <c r="G100" s="194">
        <v>4207.78</v>
      </c>
      <c r="H100" s="194">
        <v>211.26999999999995</v>
      </c>
      <c r="I100" s="204">
        <v>4010.0000000000005</v>
      </c>
      <c r="J100" s="204">
        <f t="shared" si="10"/>
        <v>27523.179999999997</v>
      </c>
      <c r="L100" s="210">
        <v>10005779</v>
      </c>
      <c r="M100" s="198" t="s">
        <v>355</v>
      </c>
      <c r="P100" s="251" t="s">
        <v>449</v>
      </c>
      <c r="Q100" s="252">
        <v>-3000</v>
      </c>
    </row>
    <row r="101" spans="1:17">
      <c r="A101" s="214">
        <v>10009239</v>
      </c>
      <c r="B101" s="197">
        <v>4</v>
      </c>
      <c r="C101" s="198" t="s">
        <v>449</v>
      </c>
      <c r="D101" s="194">
        <f t="shared" si="11"/>
        <v>3</v>
      </c>
      <c r="E101" s="194">
        <f t="shared" si="9"/>
        <v>3130.7145482202618</v>
      </c>
      <c r="F101" s="194">
        <v>4315.67</v>
      </c>
      <c r="G101" s="194">
        <v>1689.6</v>
      </c>
      <c r="H101" s="194">
        <v>46.06</v>
      </c>
      <c r="I101" s="204">
        <v>3340.8136446607855</v>
      </c>
      <c r="J101" s="204">
        <f t="shared" si="10"/>
        <v>9392.1436446607859</v>
      </c>
      <c r="L101" s="210">
        <v>10005781</v>
      </c>
      <c r="M101" s="198" t="s">
        <v>366</v>
      </c>
      <c r="P101" s="251" t="s">
        <v>392</v>
      </c>
      <c r="Q101" s="252">
        <v>-179420</v>
      </c>
    </row>
    <row r="102" spans="1:17">
      <c r="A102" s="214">
        <v>10009239</v>
      </c>
      <c r="B102" s="197">
        <v>4</v>
      </c>
      <c r="C102" s="198" t="s">
        <v>392</v>
      </c>
      <c r="D102" s="194">
        <f t="shared" si="11"/>
        <v>179.42</v>
      </c>
      <c r="E102" s="194">
        <f t="shared" si="9"/>
        <v>2532.505330260502</v>
      </c>
      <c r="F102" s="194">
        <v>260247.46000000002</v>
      </c>
      <c r="G102" s="194">
        <v>116344.80000000002</v>
      </c>
      <c r="H102" s="194">
        <v>3287.99</v>
      </c>
      <c r="I102" s="204">
        <v>74501.856355339231</v>
      </c>
      <c r="J102" s="204">
        <f t="shared" si="10"/>
        <v>454382.10635533923</v>
      </c>
      <c r="L102" s="214">
        <v>10007050</v>
      </c>
      <c r="M102" s="198" t="s">
        <v>435</v>
      </c>
      <c r="P102" s="251" t="s">
        <v>667</v>
      </c>
      <c r="Q102" s="252">
        <v>-1000</v>
      </c>
    </row>
    <row r="103" spans="1:17">
      <c r="A103" s="212">
        <v>10009207</v>
      </c>
      <c r="B103" s="197">
        <v>4</v>
      </c>
      <c r="C103" s="198" t="s">
        <v>446</v>
      </c>
      <c r="D103" s="194"/>
      <c r="E103" s="194">
        <f t="shared" si="9"/>
        <v>0</v>
      </c>
      <c r="F103" s="194">
        <v>18940.899999999998</v>
      </c>
      <c r="G103" s="194">
        <v>2264.4</v>
      </c>
      <c r="H103" s="194">
        <v>225.39000000000007</v>
      </c>
      <c r="I103" s="204">
        <v>-77.90000000000002</v>
      </c>
      <c r="J103" s="204">
        <f t="shared" si="10"/>
        <v>21352.789999999997</v>
      </c>
      <c r="L103" s="214">
        <v>10007050</v>
      </c>
      <c r="M103" s="198" t="s">
        <v>437</v>
      </c>
      <c r="P103" s="251" t="s">
        <v>451</v>
      </c>
      <c r="Q103" s="252">
        <v>-64020</v>
      </c>
    </row>
    <row r="104" spans="1:17">
      <c r="A104" s="210">
        <v>10009183</v>
      </c>
      <c r="B104" s="197">
        <v>4</v>
      </c>
      <c r="C104" s="198" t="s">
        <v>667</v>
      </c>
      <c r="D104" s="194">
        <f t="shared" ref="D104:D109" si="12">-Q102/1000</f>
        <v>1</v>
      </c>
      <c r="E104" s="194">
        <f t="shared" si="9"/>
        <v>2121.33</v>
      </c>
      <c r="F104" s="194">
        <v>1385.53</v>
      </c>
      <c r="G104" s="194">
        <v>390</v>
      </c>
      <c r="H104" s="194">
        <v>20.800000000000004</v>
      </c>
      <c r="I104" s="204">
        <v>324.99999999999994</v>
      </c>
      <c r="J104" s="204">
        <f t="shared" si="10"/>
        <v>2121.33</v>
      </c>
      <c r="L104" s="214">
        <v>10007050</v>
      </c>
      <c r="M104" s="198" t="s">
        <v>436</v>
      </c>
      <c r="P104" s="251" t="s">
        <v>443</v>
      </c>
      <c r="Q104" s="252">
        <v>-54200</v>
      </c>
    </row>
    <row r="105" spans="1:17">
      <c r="A105" s="210">
        <v>10005776</v>
      </c>
      <c r="B105" s="197">
        <v>4</v>
      </c>
      <c r="C105" s="198" t="s">
        <v>451</v>
      </c>
      <c r="D105" s="194">
        <f t="shared" si="12"/>
        <v>64.02</v>
      </c>
      <c r="E105" s="194">
        <f t="shared" si="9"/>
        <v>2194.8481724461108</v>
      </c>
      <c r="F105" s="194">
        <v>93448.180000000008</v>
      </c>
      <c r="G105" s="194">
        <v>24967.800000000003</v>
      </c>
      <c r="H105" s="194">
        <v>1330.81</v>
      </c>
      <c r="I105" s="204">
        <v>20767.39</v>
      </c>
      <c r="J105" s="204">
        <f t="shared" si="10"/>
        <v>140514.18</v>
      </c>
      <c r="L105" s="214">
        <v>10007050</v>
      </c>
      <c r="M105" s="198" t="s">
        <v>457</v>
      </c>
      <c r="P105" s="251" t="s">
        <v>431</v>
      </c>
      <c r="Q105" s="252">
        <v>-27100</v>
      </c>
    </row>
    <row r="106" spans="1:17">
      <c r="A106" s="210">
        <v>10005779</v>
      </c>
      <c r="B106" s="197">
        <v>4</v>
      </c>
      <c r="C106" s="198" t="s">
        <v>443</v>
      </c>
      <c r="D106" s="194">
        <f t="shared" si="12"/>
        <v>54.2</v>
      </c>
      <c r="E106" s="194">
        <f t="shared" si="9"/>
        <v>2238.6992968518875</v>
      </c>
      <c r="F106" s="194">
        <v>81399.420000000013</v>
      </c>
      <c r="G106" s="194">
        <v>21052.199999999997</v>
      </c>
      <c r="H106" s="194">
        <v>943.32000000000016</v>
      </c>
      <c r="I106" s="204">
        <v>17942.561889372279</v>
      </c>
      <c r="J106" s="204">
        <f t="shared" si="10"/>
        <v>121337.5018893723</v>
      </c>
      <c r="L106" s="214">
        <v>10007050</v>
      </c>
      <c r="M106" s="198" t="s">
        <v>410</v>
      </c>
      <c r="P106" s="251" t="s">
        <v>355</v>
      </c>
      <c r="Q106" s="252">
        <v>-12760</v>
      </c>
    </row>
    <row r="107" spans="1:17">
      <c r="A107" s="210">
        <v>10005781</v>
      </c>
      <c r="B107" s="197">
        <v>4</v>
      </c>
      <c r="C107" s="198" t="s">
        <v>431</v>
      </c>
      <c r="D107" s="194">
        <f t="shared" si="12"/>
        <v>27.1</v>
      </c>
      <c r="E107" s="194">
        <f t="shared" si="9"/>
        <v>2209.6531365313649</v>
      </c>
      <c r="F107" s="194">
        <v>40129.069999999992</v>
      </c>
      <c r="G107" s="194">
        <v>10569</v>
      </c>
      <c r="H107" s="194">
        <v>406.40000000000003</v>
      </c>
      <c r="I107" s="204">
        <v>8777.1299999999956</v>
      </c>
      <c r="J107" s="204">
        <f t="shared" si="10"/>
        <v>59881.599999999991</v>
      </c>
      <c r="L107" s="214">
        <v>10007050</v>
      </c>
      <c r="M107" s="198" t="s">
        <v>434</v>
      </c>
      <c r="P107" s="251" t="s">
        <v>366</v>
      </c>
      <c r="Q107" s="252">
        <v>-14960</v>
      </c>
    </row>
    <row r="108" spans="1:17">
      <c r="A108" s="210">
        <v>10005781</v>
      </c>
      <c r="B108" s="197">
        <v>4</v>
      </c>
      <c r="C108" s="198" t="s">
        <v>355</v>
      </c>
      <c r="D108" s="194">
        <f t="shared" si="12"/>
        <v>12.76</v>
      </c>
      <c r="E108" s="194">
        <f t="shared" si="9"/>
        <v>2238.470219435736</v>
      </c>
      <c r="F108" s="194">
        <v>19277.12</v>
      </c>
      <c r="G108" s="194">
        <v>4976.3999999999996</v>
      </c>
      <c r="H108" s="194">
        <v>172.78</v>
      </c>
      <c r="I108" s="204">
        <v>4136.579999999999</v>
      </c>
      <c r="J108" s="204">
        <f t="shared" si="10"/>
        <v>28562.879999999994</v>
      </c>
      <c r="L108" s="215">
        <v>10007161</v>
      </c>
      <c r="M108" s="198" t="s">
        <v>438</v>
      </c>
      <c r="P108" s="251" t="s">
        <v>445</v>
      </c>
      <c r="Q108" s="252">
        <v>-1620</v>
      </c>
    </row>
    <row r="109" spans="1:17">
      <c r="A109" s="210">
        <v>10005781</v>
      </c>
      <c r="B109" s="197">
        <v>4</v>
      </c>
      <c r="C109" s="198" t="s">
        <v>366</v>
      </c>
      <c r="D109" s="194">
        <f t="shared" si="12"/>
        <v>14.96</v>
      </c>
      <c r="E109" s="194">
        <f t="shared" si="9"/>
        <v>2254.5735294117649</v>
      </c>
      <c r="F109" s="194">
        <v>22743.58</v>
      </c>
      <c r="G109" s="194">
        <v>5842.2</v>
      </c>
      <c r="H109" s="194">
        <v>293.06999999999994</v>
      </c>
      <c r="I109" s="204">
        <v>4849.5700000000006</v>
      </c>
      <c r="J109" s="204">
        <f t="shared" si="10"/>
        <v>33728.420000000006</v>
      </c>
      <c r="L109" s="215">
        <v>10007162</v>
      </c>
      <c r="M109" s="198" t="s">
        <v>378</v>
      </c>
      <c r="P109" s="251" t="s">
        <v>438</v>
      </c>
      <c r="Q109" s="252">
        <v>-16440</v>
      </c>
    </row>
    <row r="110" spans="1:17">
      <c r="A110" s="214">
        <v>10007050</v>
      </c>
      <c r="B110" s="197">
        <v>4</v>
      </c>
      <c r="C110" s="198" t="s">
        <v>457</v>
      </c>
      <c r="D110" s="194"/>
      <c r="E110" s="194">
        <f t="shared" si="9"/>
        <v>0</v>
      </c>
      <c r="F110" s="194">
        <v>42797.929999999993</v>
      </c>
      <c r="G110" s="194">
        <v>5019.3</v>
      </c>
      <c r="H110" s="194">
        <v>648.56000000000029</v>
      </c>
      <c r="I110" s="204">
        <v>3299.9900000000002</v>
      </c>
      <c r="J110" s="204">
        <f t="shared" si="10"/>
        <v>51765.779999999992</v>
      </c>
      <c r="L110" s="215">
        <v>10007162</v>
      </c>
      <c r="M110" s="198" t="s">
        <v>458</v>
      </c>
      <c r="P110" s="251" t="s">
        <v>378</v>
      </c>
      <c r="Q110" s="252">
        <v>-32380</v>
      </c>
    </row>
    <row r="111" spans="1:17">
      <c r="A111" s="214">
        <v>10007050</v>
      </c>
      <c r="B111" s="197">
        <v>4</v>
      </c>
      <c r="C111" s="198" t="s">
        <v>410</v>
      </c>
      <c r="D111" s="194"/>
      <c r="E111" s="194">
        <f t="shared" si="9"/>
        <v>0</v>
      </c>
      <c r="F111" s="194">
        <v>40818.739999999991</v>
      </c>
      <c r="G111" s="194">
        <v>4808.7000000000007</v>
      </c>
      <c r="H111" s="194">
        <v>621.3399999999998</v>
      </c>
      <c r="I111" s="204">
        <v>3260.08</v>
      </c>
      <c r="J111" s="204">
        <f t="shared" si="10"/>
        <v>49508.859999999986</v>
      </c>
      <c r="L111" s="215">
        <v>10009186</v>
      </c>
      <c r="M111" s="198" t="s">
        <v>444</v>
      </c>
      <c r="P111" s="251" t="s">
        <v>458</v>
      </c>
      <c r="Q111" s="252">
        <v>-18620</v>
      </c>
    </row>
    <row r="112" spans="1:17">
      <c r="A112" s="214">
        <v>10007050</v>
      </c>
      <c r="B112" s="197">
        <v>4</v>
      </c>
      <c r="C112" s="198" t="s">
        <v>434</v>
      </c>
      <c r="D112" s="194"/>
      <c r="E112" s="194">
        <f t="shared" si="9"/>
        <v>0</v>
      </c>
      <c r="F112" s="194">
        <v>25089.980000000003</v>
      </c>
      <c r="G112" s="194">
        <v>2991.6</v>
      </c>
      <c r="H112" s="194">
        <v>325.59000000000003</v>
      </c>
      <c r="I112" s="204">
        <v>7800.1239999999989</v>
      </c>
      <c r="J112" s="204">
        <f t="shared" si="10"/>
        <v>36207.294000000002</v>
      </c>
      <c r="L112" s="215">
        <v>10009777</v>
      </c>
      <c r="M112" s="198" t="s">
        <v>465</v>
      </c>
      <c r="P112" s="251" t="s">
        <v>444</v>
      </c>
      <c r="Q112" s="252">
        <v>-16920</v>
      </c>
    </row>
    <row r="113" spans="1:17">
      <c r="A113" s="214">
        <v>10007050</v>
      </c>
      <c r="B113" s="197">
        <v>4</v>
      </c>
      <c r="C113" s="198" t="s">
        <v>445</v>
      </c>
      <c r="D113" s="194">
        <f t="shared" ref="D113:D124" si="13">-Q108/1000</f>
        <v>1.62</v>
      </c>
      <c r="E113" s="194">
        <f t="shared" si="9"/>
        <v>2038.7469135802467</v>
      </c>
      <c r="F113" s="194">
        <v>2282.7999999999997</v>
      </c>
      <c r="G113" s="194">
        <v>469.8</v>
      </c>
      <c r="H113" s="194">
        <v>24.299999999999997</v>
      </c>
      <c r="I113" s="204">
        <v>525.87</v>
      </c>
      <c r="J113" s="204">
        <f t="shared" si="10"/>
        <v>3302.77</v>
      </c>
      <c r="L113" s="215">
        <v>10007567</v>
      </c>
      <c r="M113" s="198" t="s">
        <v>373</v>
      </c>
      <c r="P113" s="251" t="s">
        <v>465</v>
      </c>
      <c r="Q113" s="252">
        <v>-158980</v>
      </c>
    </row>
    <row r="114" spans="1:17">
      <c r="A114" s="214">
        <v>10007050</v>
      </c>
      <c r="B114" s="197">
        <v>4</v>
      </c>
      <c r="C114" s="198" t="s">
        <v>438</v>
      </c>
      <c r="D114" s="194">
        <f t="shared" si="13"/>
        <v>16.440000000000001</v>
      </c>
      <c r="E114" s="194">
        <f t="shared" si="9"/>
        <v>2059.8795620437954</v>
      </c>
      <c r="F114" s="194">
        <v>23537.840000000004</v>
      </c>
      <c r="G114" s="194">
        <v>4767.6000000000004</v>
      </c>
      <c r="H114" s="194">
        <v>222.62</v>
      </c>
      <c r="I114" s="204">
        <v>5336.3599999999988</v>
      </c>
      <c r="J114" s="204">
        <f t="shared" si="10"/>
        <v>33864.42</v>
      </c>
      <c r="L114" s="210">
        <v>10009176</v>
      </c>
      <c r="M114" s="198" t="s">
        <v>440</v>
      </c>
      <c r="P114" s="251" t="s">
        <v>668</v>
      </c>
      <c r="Q114" s="252">
        <v>-103840</v>
      </c>
    </row>
    <row r="115" spans="1:17">
      <c r="A115" s="214">
        <v>10007050</v>
      </c>
      <c r="B115" s="197">
        <v>4</v>
      </c>
      <c r="C115" s="198" t="s">
        <v>378</v>
      </c>
      <c r="D115" s="194">
        <f t="shared" si="13"/>
        <v>32.380000000000003</v>
      </c>
      <c r="E115" s="194">
        <f t="shared" si="9"/>
        <v>2143.823965410747</v>
      </c>
      <c r="F115" s="194">
        <v>48896.26999999999</v>
      </c>
      <c r="G115" s="194">
        <v>9390.2000000000007</v>
      </c>
      <c r="H115" s="194">
        <v>634.35</v>
      </c>
      <c r="I115" s="204">
        <v>10496.199999999997</v>
      </c>
      <c r="J115" s="204">
        <f t="shared" si="10"/>
        <v>69417.01999999999</v>
      </c>
      <c r="L115" s="210">
        <v>10009177</v>
      </c>
      <c r="M115" s="198" t="s">
        <v>441</v>
      </c>
      <c r="P115" s="251" t="s">
        <v>669</v>
      </c>
      <c r="Q115" s="252">
        <v>-25640</v>
      </c>
    </row>
    <row r="116" spans="1:17">
      <c r="A116" s="215">
        <v>10007161</v>
      </c>
      <c r="B116" s="197">
        <v>4</v>
      </c>
      <c r="C116" s="198" t="s">
        <v>458</v>
      </c>
      <c r="D116" s="194">
        <f t="shared" si="13"/>
        <v>18.62</v>
      </c>
      <c r="E116" s="194">
        <f t="shared" si="9"/>
        <v>2144.4709989258868</v>
      </c>
      <c r="F116" s="194">
        <v>28176.54</v>
      </c>
      <c r="G116" s="194">
        <v>5399.8</v>
      </c>
      <c r="H116" s="194">
        <v>317.73</v>
      </c>
      <c r="I116" s="204">
        <v>6035.9800000000005</v>
      </c>
      <c r="J116" s="204">
        <f t="shared" si="10"/>
        <v>39930.05000000001</v>
      </c>
      <c r="L116" s="216">
        <v>10009386</v>
      </c>
      <c r="M116" s="198" t="s">
        <v>456</v>
      </c>
      <c r="P116" s="251" t="s">
        <v>373</v>
      </c>
      <c r="Q116" s="252">
        <v>-44960</v>
      </c>
    </row>
    <row r="117" spans="1:17">
      <c r="A117" s="215">
        <v>10007162</v>
      </c>
      <c r="B117" s="197">
        <v>4</v>
      </c>
      <c r="C117" s="198" t="s">
        <v>444</v>
      </c>
      <c r="D117" s="194">
        <f t="shared" si="13"/>
        <v>16.920000000000002</v>
      </c>
      <c r="E117" s="194">
        <f t="shared" si="9"/>
        <v>2025.7222222222222</v>
      </c>
      <c r="F117" s="194">
        <v>24863.3</v>
      </c>
      <c r="G117" s="194">
        <v>3637.8</v>
      </c>
      <c r="H117" s="194">
        <v>287.63</v>
      </c>
      <c r="I117" s="204">
        <v>5486.4899999999989</v>
      </c>
      <c r="J117" s="204">
        <f t="shared" si="10"/>
        <v>34275.22</v>
      </c>
      <c r="P117" s="251" t="s">
        <v>440</v>
      </c>
      <c r="Q117" s="252">
        <v>-400</v>
      </c>
    </row>
    <row r="118" spans="1:17">
      <c r="A118" s="215">
        <v>10007162</v>
      </c>
      <c r="B118" s="197">
        <v>4</v>
      </c>
      <c r="C118" s="198" t="s">
        <v>465</v>
      </c>
      <c r="D118" s="194">
        <f t="shared" si="13"/>
        <v>158.97999999999999</v>
      </c>
      <c r="E118" s="194">
        <f t="shared" si="9"/>
        <v>2042.5329601207702</v>
      </c>
      <c r="F118" s="194">
        <v>236165.45</v>
      </c>
      <c r="G118" s="194">
        <v>34180.700000000004</v>
      </c>
      <c r="H118" s="194">
        <v>2861.64</v>
      </c>
      <c r="I118" s="204">
        <v>51514.1</v>
      </c>
      <c r="J118" s="204">
        <f t="shared" si="10"/>
        <v>324721.89</v>
      </c>
      <c r="P118" s="251" t="s">
        <v>670</v>
      </c>
      <c r="Q118" s="252">
        <v>-4040</v>
      </c>
    </row>
    <row r="119" spans="1:17">
      <c r="A119" s="215">
        <v>10009186</v>
      </c>
      <c r="B119" s="197">
        <v>4</v>
      </c>
      <c r="C119" s="198" t="s">
        <v>668</v>
      </c>
      <c r="D119" s="194">
        <f t="shared" si="13"/>
        <v>103.84</v>
      </c>
      <c r="E119" s="194">
        <f t="shared" si="9"/>
        <v>2063.8656587057012</v>
      </c>
      <c r="F119" s="194">
        <v>156892.44</v>
      </c>
      <c r="G119" s="194">
        <v>22325.599999999999</v>
      </c>
      <c r="H119" s="194">
        <v>1481.33</v>
      </c>
      <c r="I119" s="204">
        <v>33612.44000000001</v>
      </c>
      <c r="J119" s="204">
        <f t="shared" si="10"/>
        <v>214311.81</v>
      </c>
      <c r="P119" s="251" t="s">
        <v>441</v>
      </c>
      <c r="Q119" s="252">
        <v>-21220</v>
      </c>
    </row>
    <row r="120" spans="1:17">
      <c r="A120" s="215">
        <v>10009777</v>
      </c>
      <c r="B120" s="197">
        <v>4</v>
      </c>
      <c r="C120" s="198" t="s">
        <v>669</v>
      </c>
      <c r="D120" s="194">
        <f t="shared" si="13"/>
        <v>25.64</v>
      </c>
      <c r="E120" s="194">
        <f t="shared" si="9"/>
        <v>2131.7336193447741</v>
      </c>
      <c r="F120" s="194">
        <v>38861.110000000008</v>
      </c>
      <c r="G120" s="194">
        <v>7051</v>
      </c>
      <c r="H120" s="194">
        <v>447.28</v>
      </c>
      <c r="I120" s="204">
        <v>8298.260000000002</v>
      </c>
      <c r="J120" s="204">
        <f t="shared" si="10"/>
        <v>54657.650000000009</v>
      </c>
      <c r="P120" s="253" t="s">
        <v>9</v>
      </c>
      <c r="Q120" s="254">
        <v>-1924402</v>
      </c>
    </row>
    <row r="121" spans="1:17">
      <c r="A121" s="215">
        <v>10007567</v>
      </c>
      <c r="B121" s="197">
        <v>4</v>
      </c>
      <c r="C121" s="198" t="s">
        <v>373</v>
      </c>
      <c r="D121" s="194">
        <f t="shared" si="13"/>
        <v>44.96</v>
      </c>
      <c r="E121" s="194">
        <f t="shared" si="9"/>
        <v>2104.5057829181496</v>
      </c>
      <c r="F121" s="194">
        <v>66746.850000000006</v>
      </c>
      <c r="G121" s="194">
        <v>12364</v>
      </c>
      <c r="H121" s="194">
        <v>934.86999999999989</v>
      </c>
      <c r="I121" s="204">
        <v>14572.860000000004</v>
      </c>
      <c r="J121" s="204">
        <f t="shared" si="10"/>
        <v>94618.58</v>
      </c>
    </row>
    <row r="122" spans="1:17">
      <c r="A122" s="210">
        <v>10009176</v>
      </c>
      <c r="B122" s="197">
        <v>4</v>
      </c>
      <c r="C122" s="198" t="s">
        <v>440</v>
      </c>
      <c r="D122" s="194">
        <f t="shared" si="13"/>
        <v>0.4</v>
      </c>
      <c r="E122" s="194">
        <f t="shared" si="9"/>
        <v>2317.7249999999995</v>
      </c>
      <c r="F122" s="194">
        <v>682.03</v>
      </c>
      <c r="G122" s="194">
        <v>110</v>
      </c>
      <c r="H122" s="194">
        <v>5.42</v>
      </c>
      <c r="I122" s="204">
        <v>129.64000000000001</v>
      </c>
      <c r="J122" s="204">
        <f t="shared" si="10"/>
        <v>927.08999999999992</v>
      </c>
    </row>
    <row r="123" spans="1:17">
      <c r="A123" s="210">
        <v>10009177</v>
      </c>
      <c r="B123" s="197">
        <v>4</v>
      </c>
      <c r="C123" s="198" t="s">
        <v>670</v>
      </c>
      <c r="D123" s="194">
        <f t="shared" si="13"/>
        <v>4.04</v>
      </c>
      <c r="E123" s="194">
        <f t="shared" si="9"/>
        <v>2184.0272277227723</v>
      </c>
      <c r="F123" s="194">
        <v>6495.01</v>
      </c>
      <c r="G123" s="194">
        <v>951.5</v>
      </c>
      <c r="H123" s="194">
        <v>68.940000000000012</v>
      </c>
      <c r="I123" s="204">
        <v>1308.0200000000002</v>
      </c>
      <c r="J123" s="204">
        <f t="shared" si="10"/>
        <v>8823.4699999999993</v>
      </c>
    </row>
    <row r="124" spans="1:17">
      <c r="A124" s="210">
        <v>10009177</v>
      </c>
      <c r="B124" s="197">
        <v>4</v>
      </c>
      <c r="C124" s="198" t="s">
        <v>441</v>
      </c>
      <c r="D124" s="194">
        <f t="shared" si="13"/>
        <v>21.22</v>
      </c>
      <c r="E124" s="194">
        <f t="shared" si="9"/>
        <v>2060.6781338360038</v>
      </c>
      <c r="F124" s="194">
        <v>31531.73</v>
      </c>
      <c r="G124" s="194">
        <v>5032.5</v>
      </c>
      <c r="H124" s="194">
        <v>287.34999999999997</v>
      </c>
      <c r="I124" s="204">
        <v>6876.0099999999984</v>
      </c>
      <c r="J124" s="204">
        <f t="shared" si="10"/>
        <v>43727.59</v>
      </c>
    </row>
    <row r="125" spans="1:17">
      <c r="A125" s="216">
        <v>10009386</v>
      </c>
      <c r="B125" s="197">
        <v>4</v>
      </c>
      <c r="C125" s="198" t="s">
        <v>456</v>
      </c>
      <c r="D125" s="194"/>
      <c r="E125" s="194">
        <f t="shared" si="9"/>
        <v>0</v>
      </c>
      <c r="F125" s="194">
        <v>2402.83</v>
      </c>
      <c r="G125" s="194">
        <v>284.39999999999998</v>
      </c>
      <c r="H125" s="194">
        <v>28.75</v>
      </c>
      <c r="I125" s="204">
        <v>-9.5599999999999987</v>
      </c>
      <c r="J125" s="204">
        <f t="shared" si="10"/>
        <v>2706.42</v>
      </c>
    </row>
    <row r="126" spans="1:17">
      <c r="B126" s="199" t="s">
        <v>660</v>
      </c>
      <c r="C126" s="200"/>
      <c r="D126" s="201">
        <f t="shared" ref="D126:J126" si="14">SUM(D84:D125)</f>
        <v>1924.4020000000003</v>
      </c>
      <c r="E126" s="201">
        <f t="shared" si="9"/>
        <v>2289.6878860529746</v>
      </c>
      <c r="F126" s="201">
        <f t="shared" si="14"/>
        <v>2933569.7499999995</v>
      </c>
      <c r="G126" s="201">
        <f t="shared" si="14"/>
        <v>653202.76</v>
      </c>
      <c r="H126" s="201">
        <f t="shared" si="14"/>
        <v>34014.49</v>
      </c>
      <c r="I126" s="201">
        <f t="shared" si="14"/>
        <v>785492.9472961179</v>
      </c>
      <c r="J126" s="52">
        <f t="shared" si="14"/>
        <v>4406279.9472961174</v>
      </c>
    </row>
    <row r="131" spans="1:10">
      <c r="B131" s="205" t="s">
        <v>586</v>
      </c>
    </row>
    <row r="133" spans="1:10">
      <c r="B133" s="202" t="s">
        <v>300</v>
      </c>
      <c r="C133" s="202" t="s">
        <v>301</v>
      </c>
      <c r="D133" s="203" t="s">
        <v>577</v>
      </c>
      <c r="E133" s="203" t="s">
        <v>578</v>
      </c>
      <c r="F133" s="202" t="s">
        <v>579</v>
      </c>
      <c r="G133" s="202" t="s">
        <v>580</v>
      </c>
      <c r="H133" s="202" t="s">
        <v>581</v>
      </c>
      <c r="I133" s="202" t="s">
        <v>89</v>
      </c>
      <c r="J133" s="202" t="s">
        <v>11</v>
      </c>
    </row>
    <row r="134" spans="1:10">
      <c r="A134" s="211">
        <v>10006668</v>
      </c>
      <c r="B134" s="197">
        <v>4</v>
      </c>
      <c r="C134" s="198" t="s">
        <v>432</v>
      </c>
      <c r="D134" s="194">
        <f t="shared" ref="D134:D140" si="15">-Q134/1000</f>
        <v>0</v>
      </c>
      <c r="E134" s="194">
        <f t="shared" ref="E134:E176" si="16">IFERROR(J134/D134,0)</f>
        <v>0</v>
      </c>
      <c r="F134" s="206">
        <f t="shared" ref="F134:J143" si="17">F84/$J84</f>
        <v>0.72659753783847014</v>
      </c>
      <c r="G134" s="206">
        <f t="shared" si="17"/>
        <v>0.10467866842424078</v>
      </c>
      <c r="H134" s="206">
        <f t="shared" si="17"/>
        <v>7.4591309058725944E-3</v>
      </c>
      <c r="I134" s="207">
        <f t="shared" si="17"/>
        <v>0.16126466283141647</v>
      </c>
      <c r="J134" s="207">
        <f t="shared" si="17"/>
        <v>1</v>
      </c>
    </row>
    <row r="135" spans="1:10">
      <c r="A135" s="211">
        <v>10006719</v>
      </c>
      <c r="B135" s="197">
        <v>4</v>
      </c>
      <c r="C135" s="198" t="s">
        <v>433</v>
      </c>
      <c r="D135" s="194">
        <f t="shared" si="15"/>
        <v>0</v>
      </c>
      <c r="E135" s="194">
        <f t="shared" si="16"/>
        <v>0</v>
      </c>
      <c r="F135" s="206">
        <f t="shared" si="17"/>
        <v>0.73445946399924378</v>
      </c>
      <c r="G135" s="206">
        <f t="shared" si="17"/>
        <v>9.988892076499295E-2</v>
      </c>
      <c r="H135" s="206">
        <f t="shared" si="17"/>
        <v>6.6491580398180348E-3</v>
      </c>
      <c r="I135" s="207">
        <f t="shared" si="17"/>
        <v>0.15900245719594536</v>
      </c>
      <c r="J135" s="207">
        <f t="shared" si="17"/>
        <v>1</v>
      </c>
    </row>
    <row r="136" spans="1:10">
      <c r="A136" s="211">
        <v>10006720</v>
      </c>
      <c r="B136" s="197">
        <v>4</v>
      </c>
      <c r="C136" s="198" t="s">
        <v>661</v>
      </c>
      <c r="D136" s="194">
        <f t="shared" si="15"/>
        <v>0</v>
      </c>
      <c r="E136" s="194">
        <f t="shared" si="16"/>
        <v>0</v>
      </c>
      <c r="F136" s="206">
        <f t="shared" si="17"/>
        <v>0.719841919443858</v>
      </c>
      <c r="G136" s="206">
        <f t="shared" si="17"/>
        <v>0.11011464878137828</v>
      </c>
      <c r="H136" s="206">
        <f t="shared" si="17"/>
        <v>8.6215816299491637E-3</v>
      </c>
      <c r="I136" s="207">
        <f t="shared" si="17"/>
        <v>0.16142185014481464</v>
      </c>
      <c r="J136" s="207">
        <f t="shared" si="17"/>
        <v>1</v>
      </c>
    </row>
    <row r="137" spans="1:10">
      <c r="A137" s="211">
        <v>10009178</v>
      </c>
      <c r="B137" s="197">
        <v>4</v>
      </c>
      <c r="C137" s="198" t="s">
        <v>329</v>
      </c>
      <c r="D137" s="194">
        <f t="shared" si="15"/>
        <v>0</v>
      </c>
      <c r="E137" s="194">
        <f t="shared" si="16"/>
        <v>0</v>
      </c>
      <c r="F137" s="206">
        <f t="shared" si="17"/>
        <v>0.19854267368876702</v>
      </c>
      <c r="G137" s="206">
        <f t="shared" si="17"/>
        <v>0.7618497943871293</v>
      </c>
      <c r="H137" s="206">
        <f t="shared" si="17"/>
        <v>2.2653488204314263E-3</v>
      </c>
      <c r="I137" s="207">
        <f t="shared" si="17"/>
        <v>3.7342183103672176E-2</v>
      </c>
      <c r="J137" s="207">
        <f t="shared" si="17"/>
        <v>1</v>
      </c>
    </row>
    <row r="138" spans="1:10">
      <c r="A138" s="211">
        <v>10009331</v>
      </c>
      <c r="B138" s="197">
        <v>4</v>
      </c>
      <c r="C138" s="198" t="s">
        <v>442</v>
      </c>
      <c r="D138" s="194">
        <f t="shared" si="15"/>
        <v>0</v>
      </c>
      <c r="E138" s="194">
        <f t="shared" si="16"/>
        <v>0</v>
      </c>
      <c r="F138" s="206">
        <f t="shared" si="17"/>
        <v>0.71005666297863668</v>
      </c>
      <c r="G138" s="206">
        <f t="shared" si="17"/>
        <v>0.12533217294838858</v>
      </c>
      <c r="H138" s="206">
        <f t="shared" si="17"/>
        <v>8.6593137673432134E-3</v>
      </c>
      <c r="I138" s="207">
        <f t="shared" si="17"/>
        <v>0.15595185030563152</v>
      </c>
      <c r="J138" s="207">
        <f t="shared" si="17"/>
        <v>1</v>
      </c>
    </row>
    <row r="139" spans="1:10">
      <c r="A139" s="211">
        <v>10009334</v>
      </c>
      <c r="B139" s="197">
        <v>4</v>
      </c>
      <c r="C139" s="198" t="s">
        <v>406</v>
      </c>
      <c r="D139" s="194">
        <f t="shared" si="15"/>
        <v>0</v>
      </c>
      <c r="E139" s="194">
        <f t="shared" si="16"/>
        <v>0</v>
      </c>
      <c r="F139" s="206">
        <f t="shared" si="17"/>
        <v>0.33497200248281206</v>
      </c>
      <c r="G139" s="206">
        <f t="shared" si="17"/>
        <v>0.14875169357279364</v>
      </c>
      <c r="H139" s="206">
        <f t="shared" si="17"/>
        <v>4.3505100757560214E-3</v>
      </c>
      <c r="I139" s="207">
        <f t="shared" si="17"/>
        <v>0.51192579386863835</v>
      </c>
      <c r="J139" s="207">
        <f t="shared" si="17"/>
        <v>1</v>
      </c>
    </row>
    <row r="140" spans="1:10">
      <c r="A140" s="211">
        <v>10009334</v>
      </c>
      <c r="B140" s="197">
        <v>4</v>
      </c>
      <c r="C140" s="198" t="s">
        <v>455</v>
      </c>
      <c r="D140" s="194">
        <f t="shared" si="15"/>
        <v>0</v>
      </c>
      <c r="E140" s="194">
        <f t="shared" si="16"/>
        <v>0</v>
      </c>
      <c r="F140" s="206">
        <f t="shared" si="17"/>
        <v>0.30477758967515722</v>
      </c>
      <c r="G140" s="206">
        <f t="shared" si="17"/>
        <v>0.13032743957216417</v>
      </c>
      <c r="H140" s="206">
        <f t="shared" si="17"/>
        <v>3.7851892224436455E-3</v>
      </c>
      <c r="I140" s="207">
        <f t="shared" si="17"/>
        <v>0.56110978153023494</v>
      </c>
      <c r="J140" s="207">
        <f t="shared" si="17"/>
        <v>1</v>
      </c>
    </row>
    <row r="141" spans="1:10">
      <c r="A141" s="212">
        <v>10007969</v>
      </c>
      <c r="B141" s="197">
        <v>4</v>
      </c>
      <c r="C141" s="198" t="s">
        <v>439</v>
      </c>
      <c r="D141" s="194"/>
      <c r="E141" s="194">
        <f t="shared" si="16"/>
        <v>0</v>
      </c>
      <c r="F141" s="206">
        <f t="shared" si="17"/>
        <v>0.86159688737782381</v>
      </c>
      <c r="G141" s="206">
        <f t="shared" si="17"/>
        <v>0.13142558676023233</v>
      </c>
      <c r="H141" s="206">
        <f t="shared" si="17"/>
        <v>1.0333895952527195E-2</v>
      </c>
      <c r="I141" s="207">
        <f t="shared" si="17"/>
        <v>-3.3563700905833022E-3</v>
      </c>
      <c r="J141" s="207">
        <f t="shared" si="17"/>
        <v>1</v>
      </c>
    </row>
    <row r="142" spans="1:10">
      <c r="A142" s="213">
        <v>10005721</v>
      </c>
      <c r="B142" s="197">
        <v>4</v>
      </c>
      <c r="C142" s="198" t="s">
        <v>662</v>
      </c>
      <c r="D142" s="194">
        <f t="shared" ref="D142:D152" si="18">-Q141/1000</f>
        <v>0</v>
      </c>
      <c r="E142" s="194">
        <f t="shared" si="16"/>
        <v>0</v>
      </c>
      <c r="F142" s="206">
        <f t="shared" si="17"/>
        <v>0.66924592397558524</v>
      </c>
      <c r="G142" s="206">
        <f t="shared" si="17"/>
        <v>0.16345525349143369</v>
      </c>
      <c r="H142" s="206">
        <f t="shared" si="17"/>
        <v>8.8333041805142565E-3</v>
      </c>
      <c r="I142" s="207">
        <f t="shared" si="17"/>
        <v>0.15846551835246681</v>
      </c>
      <c r="J142" s="207">
        <f t="shared" si="17"/>
        <v>1</v>
      </c>
    </row>
    <row r="143" spans="1:10">
      <c r="A143" s="213">
        <v>10005721</v>
      </c>
      <c r="B143" s="197">
        <v>4</v>
      </c>
      <c r="C143" s="198" t="s">
        <v>663</v>
      </c>
      <c r="D143" s="194">
        <f t="shared" si="18"/>
        <v>0</v>
      </c>
      <c r="E143" s="194">
        <f t="shared" si="16"/>
        <v>0</v>
      </c>
      <c r="F143" s="206">
        <f t="shared" si="17"/>
        <v>0.68713628350073586</v>
      </c>
      <c r="G143" s="206">
        <f t="shared" si="17"/>
        <v>0.15469374221618387</v>
      </c>
      <c r="H143" s="206">
        <f t="shared" si="17"/>
        <v>8.3947951542206467E-3</v>
      </c>
      <c r="I143" s="207">
        <f t="shared" si="17"/>
        <v>0.14977517912885951</v>
      </c>
      <c r="J143" s="207">
        <f t="shared" si="17"/>
        <v>1</v>
      </c>
    </row>
    <row r="144" spans="1:10">
      <c r="A144" s="213">
        <v>10005721</v>
      </c>
      <c r="B144" s="197">
        <v>4</v>
      </c>
      <c r="C144" s="198" t="s">
        <v>664</v>
      </c>
      <c r="D144" s="194">
        <f t="shared" si="18"/>
        <v>0</v>
      </c>
      <c r="E144" s="194">
        <f t="shared" si="16"/>
        <v>0</v>
      </c>
      <c r="F144" s="206">
        <f t="shared" ref="F144:J153" si="19">F94/$J94</f>
        <v>0.67142820431745021</v>
      </c>
      <c r="G144" s="206">
        <f t="shared" si="19"/>
        <v>0.16244347885352153</v>
      </c>
      <c r="H144" s="206">
        <f t="shared" si="19"/>
        <v>8.4746804257786693E-3</v>
      </c>
      <c r="I144" s="207">
        <f t="shared" si="19"/>
        <v>0.15765363640324953</v>
      </c>
      <c r="J144" s="207">
        <f t="shared" si="19"/>
        <v>1</v>
      </c>
    </row>
    <row r="145" spans="1:10">
      <c r="A145" s="213">
        <v>10005721</v>
      </c>
      <c r="B145" s="197">
        <v>4</v>
      </c>
      <c r="C145" s="198" t="s">
        <v>427</v>
      </c>
      <c r="D145" s="194">
        <f t="shared" si="18"/>
        <v>0</v>
      </c>
      <c r="E145" s="194">
        <f t="shared" si="16"/>
        <v>0</v>
      </c>
      <c r="F145" s="206">
        <f t="shared" si="19"/>
        <v>0.69664381479193027</v>
      </c>
      <c r="G145" s="206">
        <f t="shared" si="19"/>
        <v>0.15113621875030647</v>
      </c>
      <c r="H145" s="206">
        <f t="shared" si="19"/>
        <v>6.1101793823128466E-3</v>
      </c>
      <c r="I145" s="207">
        <f t="shared" si="19"/>
        <v>0.14610978707545041</v>
      </c>
      <c r="J145" s="207">
        <f t="shared" si="19"/>
        <v>1</v>
      </c>
    </row>
    <row r="146" spans="1:10">
      <c r="A146" s="213">
        <v>10005721</v>
      </c>
      <c r="B146" s="197">
        <v>4</v>
      </c>
      <c r="C146" s="198" t="s">
        <v>665</v>
      </c>
      <c r="D146" s="194">
        <f t="shared" si="18"/>
        <v>0</v>
      </c>
      <c r="E146" s="194">
        <f t="shared" si="16"/>
        <v>0</v>
      </c>
      <c r="F146" s="206">
        <f t="shared" si="19"/>
        <v>0.68417951420407452</v>
      </c>
      <c r="G146" s="206">
        <f t="shared" si="19"/>
        <v>0.15680453379844322</v>
      </c>
      <c r="H146" s="206">
        <f t="shared" si="19"/>
        <v>7.3282126716368926E-3</v>
      </c>
      <c r="I146" s="207">
        <f t="shared" si="19"/>
        <v>0.15168773932584539</v>
      </c>
      <c r="J146" s="207">
        <f t="shared" si="19"/>
        <v>1</v>
      </c>
    </row>
    <row r="147" spans="1:10">
      <c r="A147" s="213">
        <v>10005721</v>
      </c>
      <c r="B147" s="197">
        <v>4</v>
      </c>
      <c r="C147" s="198" t="s">
        <v>666</v>
      </c>
      <c r="D147" s="194">
        <f t="shared" si="18"/>
        <v>0</v>
      </c>
      <c r="E147" s="194">
        <f t="shared" si="16"/>
        <v>0</v>
      </c>
      <c r="F147" s="206">
        <f t="shared" si="19"/>
        <v>0.66964949884260505</v>
      </c>
      <c r="G147" s="206">
        <f t="shared" si="19"/>
        <v>0.16330135686946542</v>
      </c>
      <c r="H147" s="206">
        <f t="shared" si="19"/>
        <v>8.7744012646279925E-3</v>
      </c>
      <c r="I147" s="207">
        <f t="shared" si="19"/>
        <v>0.15827474302330161</v>
      </c>
      <c r="J147" s="207">
        <f t="shared" si="19"/>
        <v>1</v>
      </c>
    </row>
    <row r="148" spans="1:10">
      <c r="A148" s="213">
        <v>10005721</v>
      </c>
      <c r="B148" s="197">
        <v>4</v>
      </c>
      <c r="C148" s="198" t="s">
        <v>428</v>
      </c>
      <c r="D148" s="194">
        <f t="shared" si="18"/>
        <v>0</v>
      </c>
      <c r="E148" s="194">
        <f t="shared" si="16"/>
        <v>0</v>
      </c>
      <c r="F148" s="206">
        <f t="shared" si="19"/>
        <v>0.69030936697579215</v>
      </c>
      <c r="G148" s="206">
        <f t="shared" si="19"/>
        <v>0.15641051499194114</v>
      </c>
      <c r="H148" s="206">
        <f t="shared" si="19"/>
        <v>8.7458499347455726E-3</v>
      </c>
      <c r="I148" s="207">
        <f t="shared" si="19"/>
        <v>0.1445342680975211</v>
      </c>
      <c r="J148" s="207">
        <f t="shared" si="19"/>
        <v>1</v>
      </c>
    </row>
    <row r="149" spans="1:10">
      <c r="A149" s="213">
        <v>10005721</v>
      </c>
      <c r="B149" s="197">
        <v>4</v>
      </c>
      <c r="C149" s="198" t="s">
        <v>430</v>
      </c>
      <c r="D149" s="194">
        <f t="shared" si="18"/>
        <v>0</v>
      </c>
      <c r="E149" s="194">
        <f t="shared" si="16"/>
        <v>0</v>
      </c>
      <c r="F149" s="206">
        <f t="shared" si="19"/>
        <v>0.68676141969555482</v>
      </c>
      <c r="G149" s="206">
        <f t="shared" si="19"/>
        <v>0.1543415498834865</v>
      </c>
      <c r="H149" s="206">
        <f t="shared" si="19"/>
        <v>9.5844271688769311E-3</v>
      </c>
      <c r="I149" s="207">
        <f t="shared" si="19"/>
        <v>0.14931260325208182</v>
      </c>
      <c r="J149" s="207">
        <f t="shared" si="19"/>
        <v>1</v>
      </c>
    </row>
    <row r="150" spans="1:10">
      <c r="A150" s="213">
        <v>10005721</v>
      </c>
      <c r="B150" s="197">
        <v>4</v>
      </c>
      <c r="C150" s="198" t="s">
        <v>429</v>
      </c>
      <c r="D150" s="194">
        <f t="shared" si="18"/>
        <v>0</v>
      </c>
      <c r="E150" s="194">
        <f t="shared" si="16"/>
        <v>0</v>
      </c>
      <c r="F150" s="206">
        <f t="shared" si="19"/>
        <v>0.69374723414954231</v>
      </c>
      <c r="G150" s="206">
        <f t="shared" si="19"/>
        <v>0.15288131676644923</v>
      </c>
      <c r="H150" s="206">
        <f t="shared" si="19"/>
        <v>7.676075220959205E-3</v>
      </c>
      <c r="I150" s="207">
        <f t="shared" si="19"/>
        <v>0.14569537386304929</v>
      </c>
      <c r="J150" s="207">
        <f t="shared" si="19"/>
        <v>1</v>
      </c>
    </row>
    <row r="151" spans="1:10">
      <c r="A151" s="214">
        <v>10009239</v>
      </c>
      <c r="B151" s="197">
        <v>4</v>
      </c>
      <c r="C151" s="198" t="s">
        <v>449</v>
      </c>
      <c r="D151" s="194">
        <f t="shared" si="18"/>
        <v>0</v>
      </c>
      <c r="E151" s="194">
        <f t="shared" si="16"/>
        <v>0</v>
      </c>
      <c r="F151" s="206">
        <f t="shared" si="19"/>
        <v>0.45949787005795611</v>
      </c>
      <c r="G151" s="206">
        <f t="shared" si="19"/>
        <v>0.17989503396921511</v>
      </c>
      <c r="H151" s="206">
        <f t="shared" si="19"/>
        <v>4.9040987598378601E-3</v>
      </c>
      <c r="I151" s="207">
        <f t="shared" si="19"/>
        <v>0.35570299721299087</v>
      </c>
      <c r="J151" s="207">
        <f t="shared" si="19"/>
        <v>1</v>
      </c>
    </row>
    <row r="152" spans="1:10">
      <c r="A152" s="214">
        <v>10009239</v>
      </c>
      <c r="B152" s="197">
        <v>4</v>
      </c>
      <c r="C152" s="198" t="s">
        <v>392</v>
      </c>
      <c r="D152" s="194">
        <f t="shared" si="18"/>
        <v>0</v>
      </c>
      <c r="E152" s="194">
        <f t="shared" si="16"/>
        <v>0</v>
      </c>
      <c r="F152" s="206">
        <f t="shared" si="19"/>
        <v>0.57275023897283361</v>
      </c>
      <c r="G152" s="206">
        <f t="shared" si="19"/>
        <v>0.25605057587592411</v>
      </c>
      <c r="H152" s="206">
        <f t="shared" si="19"/>
        <v>7.2361784366321456E-3</v>
      </c>
      <c r="I152" s="207">
        <f t="shared" si="19"/>
        <v>0.16396300671461023</v>
      </c>
      <c r="J152" s="207">
        <f t="shared" si="19"/>
        <v>1</v>
      </c>
    </row>
    <row r="153" spans="1:10">
      <c r="A153" s="212">
        <v>10009207</v>
      </c>
      <c r="B153" s="197">
        <v>4</v>
      </c>
      <c r="C153" s="198" t="s">
        <v>446</v>
      </c>
      <c r="D153" s="194"/>
      <c r="E153" s="194">
        <f t="shared" si="16"/>
        <v>0</v>
      </c>
      <c r="F153" s="206">
        <f t="shared" si="19"/>
        <v>0.88704567412502067</v>
      </c>
      <c r="G153" s="206">
        <f t="shared" si="19"/>
        <v>0.10604703179303503</v>
      </c>
      <c r="H153" s="206">
        <f t="shared" si="19"/>
        <v>1.0555529277438691E-2</v>
      </c>
      <c r="I153" s="207">
        <f t="shared" si="19"/>
        <v>-3.6482351954943608E-3</v>
      </c>
      <c r="J153" s="207">
        <f t="shared" si="19"/>
        <v>1</v>
      </c>
    </row>
    <row r="154" spans="1:10">
      <c r="A154" s="210">
        <v>10009183</v>
      </c>
      <c r="B154" s="197">
        <v>4</v>
      </c>
      <c r="C154" s="198" t="s">
        <v>667</v>
      </c>
      <c r="D154" s="194">
        <f t="shared" ref="D154:D159" si="20">-Q152/1000</f>
        <v>0</v>
      </c>
      <c r="E154" s="194">
        <f t="shared" si="16"/>
        <v>0</v>
      </c>
      <c r="F154" s="206">
        <f t="shared" ref="F154:J163" si="21">F104/$J104</f>
        <v>0.6531421325300637</v>
      </c>
      <c r="G154" s="206">
        <f t="shared" si="21"/>
        <v>0.18384692622081431</v>
      </c>
      <c r="H154" s="206">
        <f t="shared" si="21"/>
        <v>9.8051693984434318E-3</v>
      </c>
      <c r="I154" s="207">
        <f t="shared" si="21"/>
        <v>0.15320577185067857</v>
      </c>
      <c r="J154" s="207">
        <f t="shared" si="21"/>
        <v>1</v>
      </c>
    </row>
    <row r="155" spans="1:10">
      <c r="A155" s="210">
        <v>10005776</v>
      </c>
      <c r="B155" s="197">
        <v>4</v>
      </c>
      <c r="C155" s="198" t="s">
        <v>451</v>
      </c>
      <c r="D155" s="194">
        <f t="shared" si="20"/>
        <v>0</v>
      </c>
      <c r="E155" s="194">
        <f t="shared" si="16"/>
        <v>0</v>
      </c>
      <c r="F155" s="206">
        <f t="shared" si="21"/>
        <v>0.66504448163167595</v>
      </c>
      <c r="G155" s="206">
        <f t="shared" si="21"/>
        <v>0.17768882827341698</v>
      </c>
      <c r="H155" s="206">
        <f t="shared" si="21"/>
        <v>9.4710014320262912E-3</v>
      </c>
      <c r="I155" s="207">
        <f t="shared" si="21"/>
        <v>0.14779568866288087</v>
      </c>
      <c r="J155" s="207">
        <f t="shared" si="21"/>
        <v>1</v>
      </c>
    </row>
    <row r="156" spans="1:10">
      <c r="A156" s="210">
        <v>10005779</v>
      </c>
      <c r="B156" s="197">
        <v>4</v>
      </c>
      <c r="C156" s="198" t="s">
        <v>443</v>
      </c>
      <c r="D156" s="194">
        <f t="shared" si="20"/>
        <v>0</v>
      </c>
      <c r="E156" s="194">
        <f t="shared" si="16"/>
        <v>0</v>
      </c>
      <c r="F156" s="206">
        <f t="shared" si="21"/>
        <v>0.67085129273730015</v>
      </c>
      <c r="G156" s="206">
        <f t="shared" si="21"/>
        <v>0.17350118201043924</v>
      </c>
      <c r="H156" s="206">
        <f t="shared" si="21"/>
        <v>7.7743482873090502E-3</v>
      </c>
      <c r="I156" s="207">
        <f t="shared" si="21"/>
        <v>0.14787317696495142</v>
      </c>
      <c r="J156" s="207">
        <f t="shared" si="21"/>
        <v>1</v>
      </c>
    </row>
    <row r="157" spans="1:10">
      <c r="A157" s="210">
        <v>10005781</v>
      </c>
      <c r="B157" s="197">
        <v>4</v>
      </c>
      <c r="C157" s="198" t="s">
        <v>431</v>
      </c>
      <c r="D157" s="194">
        <f t="shared" si="20"/>
        <v>0</v>
      </c>
      <c r="E157" s="194">
        <f t="shared" si="16"/>
        <v>0</v>
      </c>
      <c r="F157" s="206">
        <f t="shared" si="21"/>
        <v>0.67014024341366962</v>
      </c>
      <c r="G157" s="206">
        <f t="shared" si="21"/>
        <v>0.17649828995885217</v>
      </c>
      <c r="H157" s="206">
        <f t="shared" si="21"/>
        <v>6.7867258055896986E-3</v>
      </c>
      <c r="I157" s="207">
        <f t="shared" si="21"/>
        <v>0.14657474082188848</v>
      </c>
      <c r="J157" s="207">
        <f t="shared" si="21"/>
        <v>1</v>
      </c>
    </row>
    <row r="158" spans="1:10">
      <c r="A158" s="210">
        <v>10005781</v>
      </c>
      <c r="B158" s="197">
        <v>4</v>
      </c>
      <c r="C158" s="198" t="s">
        <v>355</v>
      </c>
      <c r="D158" s="194">
        <f t="shared" si="20"/>
        <v>0</v>
      </c>
      <c r="E158" s="194">
        <f t="shared" si="16"/>
        <v>0</v>
      </c>
      <c r="F158" s="206">
        <f t="shared" si="21"/>
        <v>0.6749011304182212</v>
      </c>
      <c r="G158" s="206">
        <f t="shared" si="21"/>
        <v>0.17422612845763455</v>
      </c>
      <c r="H158" s="206">
        <f t="shared" si="21"/>
        <v>6.0491098936801902E-3</v>
      </c>
      <c r="I158" s="207">
        <f t="shared" si="21"/>
        <v>0.14482363123046416</v>
      </c>
      <c r="J158" s="207">
        <f t="shared" si="21"/>
        <v>1</v>
      </c>
    </row>
    <row r="159" spans="1:10">
      <c r="A159" s="210">
        <v>10005781</v>
      </c>
      <c r="B159" s="197">
        <v>4</v>
      </c>
      <c r="C159" s="198" t="s">
        <v>366</v>
      </c>
      <c r="D159" s="194">
        <f t="shared" si="20"/>
        <v>0</v>
      </c>
      <c r="E159" s="194">
        <f t="shared" si="16"/>
        <v>0</v>
      </c>
      <c r="F159" s="206">
        <f t="shared" si="21"/>
        <v>0.67431501386664416</v>
      </c>
      <c r="G159" s="206">
        <f t="shared" si="21"/>
        <v>0.17321297588206025</v>
      </c>
      <c r="H159" s="206">
        <f t="shared" si="21"/>
        <v>8.6891114377726526E-3</v>
      </c>
      <c r="I159" s="207">
        <f t="shared" si="21"/>
        <v>0.14378289881352282</v>
      </c>
      <c r="J159" s="207">
        <f t="shared" si="21"/>
        <v>1</v>
      </c>
    </row>
    <row r="160" spans="1:10">
      <c r="A160" s="214">
        <v>10007050</v>
      </c>
      <c r="B160" s="197">
        <v>4</v>
      </c>
      <c r="C160" s="198" t="s">
        <v>457</v>
      </c>
      <c r="D160" s="194"/>
      <c r="E160" s="194">
        <f t="shared" si="16"/>
        <v>0</v>
      </c>
      <c r="F160" s="206">
        <f t="shared" si="21"/>
        <v>0.82676103789028199</v>
      </c>
      <c r="G160" s="206">
        <f t="shared" si="21"/>
        <v>9.6961738043935611E-2</v>
      </c>
      <c r="H160" s="206">
        <f t="shared" si="21"/>
        <v>1.2528740028644413E-2</v>
      </c>
      <c r="I160" s="207">
        <f t="shared" si="21"/>
        <v>6.3748484037138065E-2</v>
      </c>
      <c r="J160" s="207">
        <f t="shared" si="21"/>
        <v>1</v>
      </c>
    </row>
    <row r="161" spans="1:10">
      <c r="A161" s="214">
        <v>10007050</v>
      </c>
      <c r="B161" s="197">
        <v>4</v>
      </c>
      <c r="C161" s="198" t="s">
        <v>410</v>
      </c>
      <c r="D161" s="194"/>
      <c r="E161" s="194">
        <f t="shared" si="16"/>
        <v>0</v>
      </c>
      <c r="F161" s="206">
        <f t="shared" si="21"/>
        <v>0.82447343768367931</v>
      </c>
      <c r="G161" s="206">
        <f t="shared" si="21"/>
        <v>9.7128069602087433E-2</v>
      </c>
      <c r="H161" s="206">
        <f t="shared" si="21"/>
        <v>1.2550076895327422E-2</v>
      </c>
      <c r="I161" s="207">
        <f t="shared" si="21"/>
        <v>6.5848415818905964E-2</v>
      </c>
      <c r="J161" s="207">
        <f t="shared" si="21"/>
        <v>1</v>
      </c>
    </row>
    <row r="162" spans="1:10">
      <c r="A162" s="214">
        <v>10007050</v>
      </c>
      <c r="B162" s="197">
        <v>4</v>
      </c>
      <c r="C162" s="198" t="s">
        <v>434</v>
      </c>
      <c r="D162" s="194"/>
      <c r="E162" s="194">
        <f t="shared" si="16"/>
        <v>0</v>
      </c>
      <c r="F162" s="206">
        <f t="shared" si="21"/>
        <v>0.69295374572869217</v>
      </c>
      <c r="G162" s="206">
        <f t="shared" si="21"/>
        <v>8.2624235879102143E-2</v>
      </c>
      <c r="H162" s="206">
        <f t="shared" si="21"/>
        <v>8.9923870035689499E-3</v>
      </c>
      <c r="I162" s="207">
        <f t="shared" si="21"/>
        <v>0.21542963138863674</v>
      </c>
      <c r="J162" s="207">
        <f t="shared" si="21"/>
        <v>1</v>
      </c>
    </row>
    <row r="163" spans="1:10">
      <c r="A163" s="214">
        <v>10007050</v>
      </c>
      <c r="B163" s="197">
        <v>4</v>
      </c>
      <c r="C163" s="198" t="s">
        <v>445</v>
      </c>
      <c r="D163" s="194">
        <f t="shared" ref="D163:D174" si="22">-Q158/1000</f>
        <v>0</v>
      </c>
      <c r="E163" s="194">
        <f t="shared" si="16"/>
        <v>0</v>
      </c>
      <c r="F163" s="206">
        <f t="shared" si="21"/>
        <v>0.69117740563224195</v>
      </c>
      <c r="G163" s="206">
        <f t="shared" si="21"/>
        <v>0.14224423741283831</v>
      </c>
      <c r="H163" s="206">
        <f t="shared" si="21"/>
        <v>7.3574605558364634E-3</v>
      </c>
      <c r="I163" s="207">
        <f t="shared" si="21"/>
        <v>0.15922089639908318</v>
      </c>
      <c r="J163" s="207">
        <f t="shared" si="21"/>
        <v>1</v>
      </c>
    </row>
    <row r="164" spans="1:10">
      <c r="A164" s="214">
        <v>10007050</v>
      </c>
      <c r="B164" s="197">
        <v>4</v>
      </c>
      <c r="C164" s="198" t="s">
        <v>438</v>
      </c>
      <c r="D164" s="194">
        <f t="shared" si="22"/>
        <v>0</v>
      </c>
      <c r="E164" s="194">
        <f t="shared" si="16"/>
        <v>0</v>
      </c>
      <c r="F164" s="206">
        <f t="shared" ref="F164:J173" si="23">F114/$J114</f>
        <v>0.695061069996179</v>
      </c>
      <c r="G164" s="206">
        <f t="shared" si="23"/>
        <v>0.14078493002390122</v>
      </c>
      <c r="H164" s="206">
        <f t="shared" si="23"/>
        <v>6.5738612974915863E-3</v>
      </c>
      <c r="I164" s="207">
        <f t="shared" si="23"/>
        <v>0.15758013868242832</v>
      </c>
      <c r="J164" s="207">
        <f t="shared" si="23"/>
        <v>1</v>
      </c>
    </row>
    <row r="165" spans="1:10">
      <c r="A165" s="214">
        <v>10007050</v>
      </c>
      <c r="B165" s="197">
        <v>4</v>
      </c>
      <c r="C165" s="198" t="s">
        <v>378</v>
      </c>
      <c r="D165" s="194">
        <f t="shared" si="22"/>
        <v>0</v>
      </c>
      <c r="E165" s="194">
        <f t="shared" si="16"/>
        <v>0</v>
      </c>
      <c r="F165" s="206">
        <f t="shared" si="23"/>
        <v>0.70438445787502835</v>
      </c>
      <c r="G165" s="206">
        <f t="shared" si="23"/>
        <v>0.13527230065479623</v>
      </c>
      <c r="H165" s="206">
        <f t="shared" si="23"/>
        <v>9.1382488041117319E-3</v>
      </c>
      <c r="I165" s="207">
        <f t="shared" si="23"/>
        <v>0.15120499266606371</v>
      </c>
      <c r="J165" s="207">
        <f t="shared" si="23"/>
        <v>1</v>
      </c>
    </row>
    <row r="166" spans="1:10">
      <c r="A166" s="215">
        <v>10007161</v>
      </c>
      <c r="B166" s="197">
        <v>4</v>
      </c>
      <c r="C166" s="198" t="s">
        <v>458</v>
      </c>
      <c r="D166" s="194">
        <f t="shared" si="22"/>
        <v>0</v>
      </c>
      <c r="E166" s="194">
        <f t="shared" si="16"/>
        <v>0</v>
      </c>
      <c r="F166" s="206">
        <f t="shared" si="23"/>
        <v>0.70564750106749163</v>
      </c>
      <c r="G166" s="206">
        <f t="shared" si="23"/>
        <v>0.13523148606124957</v>
      </c>
      <c r="H166" s="206">
        <f t="shared" si="23"/>
        <v>7.9571650924554291E-3</v>
      </c>
      <c r="I166" s="207">
        <f t="shared" si="23"/>
        <v>0.15116384777880315</v>
      </c>
      <c r="J166" s="207">
        <f t="shared" si="23"/>
        <v>1</v>
      </c>
    </row>
    <row r="167" spans="1:10">
      <c r="A167" s="215">
        <v>10007162</v>
      </c>
      <c r="B167" s="197">
        <v>4</v>
      </c>
      <c r="C167" s="198" t="s">
        <v>444</v>
      </c>
      <c r="D167" s="194">
        <f t="shared" si="22"/>
        <v>0</v>
      </c>
      <c r="E167" s="194">
        <f t="shared" si="16"/>
        <v>0</v>
      </c>
      <c r="F167" s="206">
        <f t="shared" si="23"/>
        <v>0.72540161667817149</v>
      </c>
      <c r="G167" s="206">
        <f t="shared" si="23"/>
        <v>0.10613498615034418</v>
      </c>
      <c r="H167" s="206">
        <f t="shared" si="23"/>
        <v>8.3917769163844892E-3</v>
      </c>
      <c r="I167" s="207">
        <f t="shared" si="23"/>
        <v>0.16007162025509972</v>
      </c>
      <c r="J167" s="207">
        <f t="shared" si="23"/>
        <v>1</v>
      </c>
    </row>
    <row r="168" spans="1:10">
      <c r="A168" s="215">
        <v>10007162</v>
      </c>
      <c r="B168" s="197">
        <v>4</v>
      </c>
      <c r="C168" s="198" t="s">
        <v>465</v>
      </c>
      <c r="D168" s="194">
        <f t="shared" si="22"/>
        <v>0</v>
      </c>
      <c r="E168" s="194">
        <f t="shared" si="16"/>
        <v>0</v>
      </c>
      <c r="F168" s="206">
        <f t="shared" si="23"/>
        <v>0.72728527787270514</v>
      </c>
      <c r="G168" s="206">
        <f t="shared" si="23"/>
        <v>0.10526145927519701</v>
      </c>
      <c r="H168" s="206">
        <f t="shared" si="23"/>
        <v>8.812587288156027E-3</v>
      </c>
      <c r="I168" s="207">
        <f t="shared" si="23"/>
        <v>0.15864067556394179</v>
      </c>
      <c r="J168" s="207">
        <f t="shared" si="23"/>
        <v>1</v>
      </c>
    </row>
    <row r="169" spans="1:10">
      <c r="A169" s="215">
        <v>10009186</v>
      </c>
      <c r="B169" s="197">
        <v>4</v>
      </c>
      <c r="C169" s="198" t="s">
        <v>668</v>
      </c>
      <c r="D169" s="194">
        <f t="shared" si="22"/>
        <v>0</v>
      </c>
      <c r="E169" s="194">
        <f t="shared" si="16"/>
        <v>0</v>
      </c>
      <c r="F169" s="206">
        <f t="shared" si="23"/>
        <v>0.73207556783734884</v>
      </c>
      <c r="G169" s="206">
        <f t="shared" si="23"/>
        <v>0.10417344709094659</v>
      </c>
      <c r="H169" s="206">
        <f t="shared" si="23"/>
        <v>6.9120315861267746E-3</v>
      </c>
      <c r="I169" s="207">
        <f t="shared" si="23"/>
        <v>0.15683895348557791</v>
      </c>
      <c r="J169" s="207">
        <f t="shared" si="23"/>
        <v>1</v>
      </c>
    </row>
    <row r="170" spans="1:10">
      <c r="A170" s="215">
        <v>10009777</v>
      </c>
      <c r="B170" s="197">
        <v>4</v>
      </c>
      <c r="C170" s="198" t="s">
        <v>669</v>
      </c>
      <c r="D170" s="194">
        <f t="shared" si="22"/>
        <v>0</v>
      </c>
      <c r="E170" s="194">
        <f t="shared" si="16"/>
        <v>0</v>
      </c>
      <c r="F170" s="206">
        <f t="shared" si="23"/>
        <v>0.71099123361505667</v>
      </c>
      <c r="G170" s="206">
        <f t="shared" si="23"/>
        <v>0.12900298494355317</v>
      </c>
      <c r="H170" s="206">
        <f t="shared" si="23"/>
        <v>8.1833009651896826E-3</v>
      </c>
      <c r="I170" s="207">
        <f t="shared" si="23"/>
        <v>0.15182248047620051</v>
      </c>
      <c r="J170" s="207">
        <f t="shared" si="23"/>
        <v>1</v>
      </c>
    </row>
    <row r="171" spans="1:10">
      <c r="A171" s="215">
        <v>10007567</v>
      </c>
      <c r="B171" s="197">
        <v>4</v>
      </c>
      <c r="C171" s="198" t="s">
        <v>373</v>
      </c>
      <c r="D171" s="194">
        <f t="shared" si="22"/>
        <v>0</v>
      </c>
      <c r="E171" s="194">
        <f t="shared" si="16"/>
        <v>0</v>
      </c>
      <c r="F171" s="206">
        <f t="shared" si="23"/>
        <v>0.70543068813757304</v>
      </c>
      <c r="G171" s="206">
        <f t="shared" si="23"/>
        <v>0.13067200966237286</v>
      </c>
      <c r="H171" s="206">
        <f t="shared" si="23"/>
        <v>9.8804061527873258E-3</v>
      </c>
      <c r="I171" s="207">
        <f t="shared" si="23"/>
        <v>0.15401689604726687</v>
      </c>
      <c r="J171" s="207">
        <f t="shared" si="23"/>
        <v>1</v>
      </c>
    </row>
    <row r="172" spans="1:10">
      <c r="A172" s="210">
        <v>10009176</v>
      </c>
      <c r="B172" s="197">
        <v>4</v>
      </c>
      <c r="C172" s="198" t="s">
        <v>440</v>
      </c>
      <c r="D172" s="194">
        <f t="shared" si="22"/>
        <v>0</v>
      </c>
      <c r="E172" s="194">
        <f t="shared" si="16"/>
        <v>0</v>
      </c>
      <c r="F172" s="206">
        <f t="shared" si="23"/>
        <v>0.73566751879537051</v>
      </c>
      <c r="G172" s="206">
        <f t="shared" si="23"/>
        <v>0.11865083217379112</v>
      </c>
      <c r="H172" s="206">
        <f t="shared" si="23"/>
        <v>5.8462500943813446E-3</v>
      </c>
      <c r="I172" s="207">
        <f t="shared" si="23"/>
        <v>0.13983539893645711</v>
      </c>
      <c r="J172" s="207">
        <f t="shared" si="23"/>
        <v>1</v>
      </c>
    </row>
    <row r="173" spans="1:10">
      <c r="A173" s="210">
        <v>10009177</v>
      </c>
      <c r="B173" s="197">
        <v>4</v>
      </c>
      <c r="C173" s="198" t="s">
        <v>670</v>
      </c>
      <c r="D173" s="194">
        <f t="shared" si="22"/>
        <v>0</v>
      </c>
      <c r="E173" s="194">
        <f t="shared" si="16"/>
        <v>0</v>
      </c>
      <c r="F173" s="206">
        <f t="shared" si="23"/>
        <v>0.73610608978100456</v>
      </c>
      <c r="G173" s="206">
        <f t="shared" si="23"/>
        <v>0.10783739277177801</v>
      </c>
      <c r="H173" s="206">
        <f t="shared" si="23"/>
        <v>7.8132526092342374E-3</v>
      </c>
      <c r="I173" s="207">
        <f t="shared" si="23"/>
        <v>0.14824326483798328</v>
      </c>
      <c r="J173" s="207">
        <f t="shared" si="23"/>
        <v>1</v>
      </c>
    </row>
    <row r="174" spans="1:10">
      <c r="A174" s="210">
        <v>10009177</v>
      </c>
      <c r="B174" s="197">
        <v>4</v>
      </c>
      <c r="C174" s="198" t="s">
        <v>441</v>
      </c>
      <c r="D174" s="194">
        <f t="shared" si="22"/>
        <v>0</v>
      </c>
      <c r="E174" s="194">
        <f t="shared" si="16"/>
        <v>0</v>
      </c>
      <c r="F174" s="206">
        <f t="shared" ref="F174:J176" si="24">F124/$J124</f>
        <v>0.72109462241115974</v>
      </c>
      <c r="G174" s="206">
        <f t="shared" si="24"/>
        <v>0.11508752254583435</v>
      </c>
      <c r="H174" s="206">
        <f t="shared" si="24"/>
        <v>6.5713660414397409E-3</v>
      </c>
      <c r="I174" s="207">
        <f t="shared" si="24"/>
        <v>0.15724648900156626</v>
      </c>
      <c r="J174" s="207">
        <f t="shared" si="24"/>
        <v>1</v>
      </c>
    </row>
    <row r="175" spans="1:10">
      <c r="A175" s="216">
        <v>10009386</v>
      </c>
      <c r="B175" s="197">
        <v>4</v>
      </c>
      <c r="C175" s="198" t="s">
        <v>456</v>
      </c>
      <c r="D175" s="194"/>
      <c r="E175" s="194">
        <f t="shared" si="16"/>
        <v>0</v>
      </c>
      <c r="F175" s="206">
        <f t="shared" si="24"/>
        <v>0.88782598414141189</v>
      </c>
      <c r="G175" s="206">
        <f t="shared" si="24"/>
        <v>0.10508346819784067</v>
      </c>
      <c r="H175" s="206">
        <f t="shared" si="24"/>
        <v>1.062288927808692E-2</v>
      </c>
      <c r="I175" s="207">
        <f t="shared" si="24"/>
        <v>-3.5323416173395107E-3</v>
      </c>
      <c r="J175" s="207">
        <f t="shared" si="24"/>
        <v>1</v>
      </c>
    </row>
    <row r="176" spans="1:10">
      <c r="B176" s="199" t="s">
        <v>660</v>
      </c>
      <c r="C176" s="200"/>
      <c r="D176" s="201">
        <f t="shared" ref="D176" si="25">SUM(D134:D175)</f>
        <v>0</v>
      </c>
      <c r="E176" s="201">
        <f t="shared" si="16"/>
        <v>0</v>
      </c>
      <c r="F176" s="208">
        <f t="shared" si="24"/>
        <v>0.66577017009556183</v>
      </c>
      <c r="G176" s="208">
        <f t="shared" si="24"/>
        <v>0.14824359046928764</v>
      </c>
      <c r="H176" s="208">
        <f t="shared" si="24"/>
        <v>7.7195481010853039E-3</v>
      </c>
      <c r="I176" s="208">
        <f t="shared" si="24"/>
        <v>0.17826669133406517</v>
      </c>
      <c r="J176" s="209">
        <f t="shared" si="24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54B3-988E-444C-9265-C841DB136EFE}">
  <dimension ref="A4:AC206"/>
  <sheetViews>
    <sheetView topLeftCell="C1" zoomScale="80" zoomScaleNormal="80" workbookViewId="0">
      <pane ySplit="4" topLeftCell="A5" activePane="bottomLeft" state="frozen"/>
      <selection activeCell="B1" sqref="B1"/>
      <selection pane="bottomLeft" activeCell="L9" sqref="L9"/>
    </sheetView>
  </sheetViews>
  <sheetFormatPr baseColWidth="10" defaultColWidth="11.44140625" defaultRowHeight="14.4" outlineLevelCol="1"/>
  <cols>
    <col min="3" max="3" width="29.44140625" bestFit="1" customWidth="1"/>
    <col min="4" max="4" width="44.88671875" customWidth="1"/>
    <col min="5" max="5" width="21.88671875" customWidth="1" outlineLevel="1"/>
    <col min="6" max="6" width="16.33203125" customWidth="1" outlineLevel="1"/>
    <col min="7" max="7" width="11.44140625" customWidth="1" outlineLevel="1"/>
    <col min="8" max="8" width="18.109375" customWidth="1" outlineLevel="1"/>
    <col min="9" max="9" width="15" customWidth="1" outlineLevel="1"/>
    <col min="10" max="10" width="11.6640625" customWidth="1" outlineLevel="1"/>
    <col min="11" max="11" width="18.33203125" customWidth="1" outlineLevel="1"/>
    <col min="12" max="12" width="11.6640625" customWidth="1" outlineLevel="1"/>
    <col min="13" max="13" width="15.109375" customWidth="1" outlineLevel="1"/>
    <col min="14" max="14" width="12.109375" customWidth="1" outlineLevel="1"/>
    <col min="15" max="16" width="14.33203125" customWidth="1" outlineLevel="1"/>
    <col min="17" max="17" width="13.88671875" customWidth="1" outlineLevel="1"/>
    <col min="18" max="18" width="15.33203125" customWidth="1" outlineLevel="1"/>
    <col min="19" max="19" width="14.88671875" customWidth="1" outlineLevel="1"/>
    <col min="20" max="20" width="12.33203125" customWidth="1" outlineLevel="1"/>
    <col min="21" max="23" width="12.109375" customWidth="1" outlineLevel="1"/>
    <col min="24" max="25" width="11.6640625" bestFit="1" customWidth="1"/>
  </cols>
  <sheetData>
    <row r="4" spans="1:29" ht="41.4">
      <c r="A4" s="5" t="s">
        <v>300</v>
      </c>
      <c r="B4" s="5" t="s">
        <v>82</v>
      </c>
      <c r="C4" s="42" t="s">
        <v>84</v>
      </c>
      <c r="D4" s="5" t="s">
        <v>301</v>
      </c>
      <c r="E4" s="6" t="s">
        <v>83</v>
      </c>
      <c r="F4" s="6" t="s">
        <v>302</v>
      </c>
      <c r="G4" s="6" t="s">
        <v>303</v>
      </c>
      <c r="H4" s="6" t="s">
        <v>304</v>
      </c>
      <c r="I4" s="6" t="s">
        <v>305</v>
      </c>
      <c r="J4" s="6" t="s">
        <v>306</v>
      </c>
      <c r="K4" s="6" t="s">
        <v>307</v>
      </c>
      <c r="L4" s="168" t="s">
        <v>308</v>
      </c>
      <c r="M4" s="6" t="s">
        <v>309</v>
      </c>
      <c r="N4" s="6" t="s">
        <v>310</v>
      </c>
      <c r="O4" s="6" t="s">
        <v>311</v>
      </c>
      <c r="P4" s="6" t="s">
        <v>89</v>
      </c>
      <c r="Q4" s="2" t="s">
        <v>312</v>
      </c>
      <c r="R4" s="2" t="s">
        <v>313</v>
      </c>
      <c r="S4" s="2" t="s">
        <v>314</v>
      </c>
      <c r="T4" s="2" t="s">
        <v>315</v>
      </c>
      <c r="U4" s="2" t="s">
        <v>316</v>
      </c>
      <c r="V4" s="2" t="s">
        <v>317</v>
      </c>
      <c r="W4" s="42" t="s">
        <v>11</v>
      </c>
      <c r="X4" s="42" t="s">
        <v>309</v>
      </c>
      <c r="Y4" s="42" t="s">
        <v>310</v>
      </c>
      <c r="Z4" s="42" t="s">
        <v>311</v>
      </c>
      <c r="AA4" s="42" t="s">
        <v>89</v>
      </c>
    </row>
    <row r="5" spans="1:29">
      <c r="A5" s="7" t="s">
        <v>6</v>
      </c>
      <c r="B5" s="7">
        <v>10009178</v>
      </c>
      <c r="C5" s="7" t="str">
        <f t="shared" ref="C5:C36" si="0">A5&amp;B5&amp;E5</f>
        <v>ENERO10009178Inventario inicial</v>
      </c>
      <c r="D5" s="7" t="s">
        <v>318</v>
      </c>
      <c r="E5" s="3" t="s">
        <v>319</v>
      </c>
      <c r="F5" s="8">
        <v>11760</v>
      </c>
      <c r="G5" s="2" t="s">
        <v>320</v>
      </c>
      <c r="H5" s="11">
        <v>24460.799999999999</v>
      </c>
      <c r="I5" s="11">
        <v>-2861.14</v>
      </c>
      <c r="J5" s="11">
        <v>0</v>
      </c>
      <c r="K5" s="11">
        <v>21599.66</v>
      </c>
      <c r="L5" s="16">
        <v>1.84</v>
      </c>
      <c r="M5" s="11">
        <v>15386.06</v>
      </c>
      <c r="N5" s="11">
        <v>192.1</v>
      </c>
      <c r="O5" s="11">
        <v>2941.72</v>
      </c>
      <c r="P5" s="11">
        <f t="shared" ref="P5:P36" si="1">SUM(Q5:V5)</f>
        <v>3079.7799999999975</v>
      </c>
      <c r="Q5" s="11">
        <v>119.29</v>
      </c>
      <c r="R5" s="11">
        <v>316.64999999999998</v>
      </c>
      <c r="S5" s="11">
        <v>1240.72</v>
      </c>
      <c r="T5" s="11">
        <v>0.08</v>
      </c>
      <c r="U5" s="11">
        <v>7.0000000000000007E-2</v>
      </c>
      <c r="V5" s="11">
        <v>1402.9699999999975</v>
      </c>
      <c r="W5" s="55">
        <f>SUM(M5:P5)</f>
        <v>21599.66</v>
      </c>
      <c r="X5" s="74">
        <f t="shared" ref="X5:AA5" si="2">M5/$W5</f>
        <v>0.71232880517563701</v>
      </c>
      <c r="Y5" s="74">
        <f t="shared" si="2"/>
        <v>8.8936585112913812E-3</v>
      </c>
      <c r="Z5" s="74">
        <f t="shared" si="2"/>
        <v>0.13619288451762665</v>
      </c>
      <c r="AA5" s="74">
        <f t="shared" si="2"/>
        <v>0.1425846517954448</v>
      </c>
    </row>
    <row r="6" spans="1:29">
      <c r="A6" s="7" t="s">
        <v>6</v>
      </c>
      <c r="B6" s="7">
        <v>10009178</v>
      </c>
      <c r="C6" s="7" t="str">
        <f t="shared" si="0"/>
        <v>ENERO10009178Revalorización</v>
      </c>
      <c r="D6" s="7" t="s">
        <v>318</v>
      </c>
      <c r="E6" s="3" t="s">
        <v>321</v>
      </c>
      <c r="F6" s="8">
        <v>0</v>
      </c>
      <c r="G6" s="2" t="s">
        <v>320</v>
      </c>
      <c r="H6" s="11">
        <v>-352.8</v>
      </c>
      <c r="I6" s="11">
        <v>352.8</v>
      </c>
      <c r="J6" s="11">
        <v>0</v>
      </c>
      <c r="K6" s="11">
        <v>0</v>
      </c>
      <c r="L6" s="16">
        <v>0</v>
      </c>
      <c r="M6" s="11">
        <v>0</v>
      </c>
      <c r="N6" s="11">
        <v>0</v>
      </c>
      <c r="O6" s="11">
        <v>0</v>
      </c>
      <c r="P6" s="11">
        <f t="shared" si="1"/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55">
        <f t="shared" ref="W6:W69" si="3">SUM(M6:P6)</f>
        <v>0</v>
      </c>
      <c r="X6" s="74" t="e">
        <f t="shared" ref="X6:X69" si="4">M6/$W6</f>
        <v>#DIV/0!</v>
      </c>
      <c r="Y6" s="74" t="e">
        <f t="shared" ref="Y6:Y69" si="5">N6/$W6</f>
        <v>#DIV/0!</v>
      </c>
      <c r="Z6" s="74" t="e">
        <f t="shared" ref="Z6:Z69" si="6">O6/$W6</f>
        <v>#DIV/0!</v>
      </c>
      <c r="AA6" s="74" t="e">
        <f t="shared" ref="AA6:AA69" si="7">P6/$W6</f>
        <v>#DIV/0!</v>
      </c>
    </row>
    <row r="7" spans="1:29">
      <c r="A7" s="7" t="s">
        <v>6</v>
      </c>
      <c r="B7" s="7">
        <v>10009178</v>
      </c>
      <c r="C7" s="7" t="str">
        <f t="shared" si="0"/>
        <v>ENERO10009178Entradas</v>
      </c>
      <c r="D7" s="7" t="s">
        <v>318</v>
      </c>
      <c r="E7" s="3" t="s">
        <v>164</v>
      </c>
      <c r="F7" s="8">
        <v>4920</v>
      </c>
      <c r="G7" s="2" t="s">
        <v>320</v>
      </c>
      <c r="H7" s="11">
        <v>10086</v>
      </c>
      <c r="I7" s="11">
        <v>-1629.21</v>
      </c>
      <c r="J7" s="11">
        <v>0</v>
      </c>
      <c r="K7" s="11">
        <v>8456.7900000000009</v>
      </c>
      <c r="L7" s="16">
        <v>1.72</v>
      </c>
      <c r="M7" s="11">
        <v>5674.08</v>
      </c>
      <c r="N7" s="11">
        <v>83.7</v>
      </c>
      <c r="O7" s="11">
        <v>1150.54</v>
      </c>
      <c r="P7" s="11">
        <f t="shared" si="1"/>
        <v>1548.4700000000007</v>
      </c>
      <c r="Q7" s="11">
        <v>11.05</v>
      </c>
      <c r="R7" s="11">
        <v>84.57</v>
      </c>
      <c r="S7" s="11">
        <v>772.75</v>
      </c>
      <c r="T7" s="11">
        <v>0.02</v>
      </c>
      <c r="U7" s="11">
        <v>0</v>
      </c>
      <c r="V7" s="11">
        <v>680.08000000000084</v>
      </c>
      <c r="W7" s="55">
        <f t="shared" si="3"/>
        <v>8456.7900000000009</v>
      </c>
      <c r="X7" s="74">
        <f t="shared" si="4"/>
        <v>0.67094961563430089</v>
      </c>
      <c r="Y7" s="74">
        <f t="shared" si="5"/>
        <v>9.8973724072609105E-3</v>
      </c>
      <c r="Z7" s="74">
        <f t="shared" si="6"/>
        <v>0.13604925746057309</v>
      </c>
      <c r="AA7" s="74">
        <f t="shared" si="7"/>
        <v>0.18310375449786509</v>
      </c>
    </row>
    <row r="8" spans="1:29">
      <c r="A8" s="7" t="s">
        <v>6</v>
      </c>
      <c r="B8" s="7">
        <v>10009178</v>
      </c>
      <c r="C8" s="7" t="str">
        <f t="shared" si="0"/>
        <v>ENERO10009178Inventario acumulado</v>
      </c>
      <c r="D8" s="7" t="s">
        <v>318</v>
      </c>
      <c r="E8" s="3" t="s">
        <v>322</v>
      </c>
      <c r="F8" s="8">
        <v>16680</v>
      </c>
      <c r="G8" s="2" t="s">
        <v>320</v>
      </c>
      <c r="H8" s="11">
        <v>34194</v>
      </c>
      <c r="I8" s="11">
        <v>-4137.55</v>
      </c>
      <c r="J8" s="11">
        <v>0</v>
      </c>
      <c r="K8" s="11">
        <v>30056.45</v>
      </c>
      <c r="L8" s="16">
        <v>1.8</v>
      </c>
      <c r="M8" s="11">
        <v>21060.14</v>
      </c>
      <c r="N8" s="11">
        <v>275.8</v>
      </c>
      <c r="O8" s="11">
        <v>4092.26</v>
      </c>
      <c r="P8" s="11">
        <f t="shared" si="1"/>
        <v>4628.2500000000036</v>
      </c>
      <c r="Q8" s="11">
        <v>130.34</v>
      </c>
      <c r="R8" s="11">
        <v>401.22</v>
      </c>
      <c r="S8" s="11">
        <v>2013.47</v>
      </c>
      <c r="T8" s="11">
        <v>0.1</v>
      </c>
      <c r="U8" s="11">
        <v>7.0000000000000007E-2</v>
      </c>
      <c r="V8" s="11">
        <v>2083.0500000000029</v>
      </c>
      <c r="W8" s="55">
        <f t="shared" si="3"/>
        <v>30056.45</v>
      </c>
      <c r="X8" s="74">
        <f t="shared" si="4"/>
        <v>0.70068620878380505</v>
      </c>
      <c r="Y8" s="74">
        <f t="shared" si="5"/>
        <v>9.1760670338646121E-3</v>
      </c>
      <c r="Z8" s="74">
        <f t="shared" si="6"/>
        <v>0.13615247309645684</v>
      </c>
      <c r="AA8" s="74">
        <f t="shared" si="7"/>
        <v>0.15398525108587352</v>
      </c>
    </row>
    <row r="9" spans="1:29" ht="15" thickBot="1">
      <c r="A9" s="7" t="s">
        <v>6</v>
      </c>
      <c r="B9" s="7">
        <v>10009178</v>
      </c>
      <c r="C9" s="7" t="str">
        <f t="shared" si="0"/>
        <v>ENERO10009178Inventario final</v>
      </c>
      <c r="D9" s="7" t="s">
        <v>318</v>
      </c>
      <c r="E9" s="3" t="s">
        <v>218</v>
      </c>
      <c r="F9" s="8">
        <v>16680</v>
      </c>
      <c r="G9" s="2" t="s">
        <v>320</v>
      </c>
      <c r="H9" s="11">
        <v>34194</v>
      </c>
      <c r="I9" s="11">
        <v>-4137.55</v>
      </c>
      <c r="J9" s="11">
        <v>0</v>
      </c>
      <c r="K9" s="11">
        <v>30056.45</v>
      </c>
      <c r="L9" s="16">
        <v>1.8</v>
      </c>
      <c r="M9" s="11">
        <v>21060.14</v>
      </c>
      <c r="N9" s="11">
        <v>275.8</v>
      </c>
      <c r="O9" s="11">
        <v>4092.26</v>
      </c>
      <c r="P9" s="11">
        <f t="shared" si="1"/>
        <v>4628.2500000000036</v>
      </c>
      <c r="Q9" s="11">
        <v>130.34</v>
      </c>
      <c r="R9" s="11">
        <v>401.22</v>
      </c>
      <c r="S9" s="11">
        <v>2013.47</v>
      </c>
      <c r="T9" s="11">
        <v>0.1</v>
      </c>
      <c r="U9" s="11">
        <v>7.0000000000000007E-2</v>
      </c>
      <c r="V9" s="11">
        <v>2083.0500000000029</v>
      </c>
      <c r="W9" s="55">
        <f t="shared" si="3"/>
        <v>30056.45</v>
      </c>
      <c r="X9" s="74">
        <f t="shared" si="4"/>
        <v>0.70068620878380505</v>
      </c>
      <c r="Y9" s="74">
        <f t="shared" si="5"/>
        <v>9.1760670338646121E-3</v>
      </c>
      <c r="Z9" s="74">
        <f t="shared" si="6"/>
        <v>0.13615247309645684</v>
      </c>
      <c r="AA9" s="74">
        <f t="shared" si="7"/>
        <v>0.15398525108587352</v>
      </c>
    </row>
    <row r="10" spans="1:29" ht="15" thickBot="1">
      <c r="A10" s="7" t="s">
        <v>7</v>
      </c>
      <c r="B10" s="7">
        <v>10009178</v>
      </c>
      <c r="C10" s="7" t="str">
        <f>A10&amp;B10&amp;E10</f>
        <v>FEBRERO10009178Inventario inicial</v>
      </c>
      <c r="D10" s="7" t="s">
        <v>318</v>
      </c>
      <c r="E10" s="3" t="s">
        <v>319</v>
      </c>
      <c r="F10" s="8">
        <v>16680</v>
      </c>
      <c r="G10" s="2" t="s">
        <v>320</v>
      </c>
      <c r="H10" s="11">
        <v>34194</v>
      </c>
      <c r="I10" s="11" t="s">
        <v>323</v>
      </c>
      <c r="J10" s="11">
        <v>0</v>
      </c>
      <c r="K10" s="11">
        <v>30056.45</v>
      </c>
      <c r="L10" s="16">
        <v>1.8</v>
      </c>
      <c r="M10" s="11">
        <v>21060.14</v>
      </c>
      <c r="N10" s="11">
        <v>275.8</v>
      </c>
      <c r="O10" s="11">
        <v>4092.26</v>
      </c>
      <c r="P10" s="11">
        <f t="shared" si="1"/>
        <v>4628.2500000000045</v>
      </c>
      <c r="Q10" s="11">
        <v>130.34</v>
      </c>
      <c r="R10" s="11">
        <v>401.22</v>
      </c>
      <c r="S10" s="11">
        <v>2013.47</v>
      </c>
      <c r="T10" s="11">
        <v>0.1</v>
      </c>
      <c r="U10" s="11">
        <v>1944.83</v>
      </c>
      <c r="V10" s="11">
        <v>138.29000000000451</v>
      </c>
      <c r="W10" s="55">
        <f t="shared" si="3"/>
        <v>30056.45</v>
      </c>
      <c r="X10" s="74">
        <f t="shared" si="4"/>
        <v>0.70068620878380505</v>
      </c>
      <c r="Y10" s="74">
        <f t="shared" si="5"/>
        <v>9.1760670338646121E-3</v>
      </c>
      <c r="Z10" s="74">
        <f t="shared" si="6"/>
        <v>0.13615247309645684</v>
      </c>
      <c r="AA10" s="74">
        <f t="shared" si="7"/>
        <v>0.15398525108587358</v>
      </c>
      <c r="AB10" s="54"/>
      <c r="AC10" s="54"/>
    </row>
    <row r="11" spans="1:29" ht="15" thickBot="1">
      <c r="A11" s="7" t="s">
        <v>7</v>
      </c>
      <c r="B11" s="7">
        <v>10009178</v>
      </c>
      <c r="C11" s="7" t="str">
        <f t="shared" si="0"/>
        <v>FEBRERO10009178Revalorización</v>
      </c>
      <c r="D11" s="7" t="s">
        <v>318</v>
      </c>
      <c r="E11" s="3" t="s">
        <v>321</v>
      </c>
      <c r="F11" s="8">
        <v>0</v>
      </c>
      <c r="G11" s="2" t="s">
        <v>320</v>
      </c>
      <c r="H11" s="11" t="s">
        <v>324</v>
      </c>
      <c r="I11" s="11">
        <v>3502.8</v>
      </c>
      <c r="J11" s="11">
        <v>0</v>
      </c>
      <c r="K11" s="11">
        <v>0</v>
      </c>
      <c r="L11" s="16">
        <v>0</v>
      </c>
      <c r="M11" s="11">
        <v>0</v>
      </c>
      <c r="N11" s="11">
        <v>0</v>
      </c>
      <c r="O11" s="11">
        <v>0</v>
      </c>
      <c r="P11" s="11">
        <f t="shared" si="1"/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55">
        <f t="shared" si="3"/>
        <v>0</v>
      </c>
      <c r="X11" s="74" t="e">
        <f t="shared" si="4"/>
        <v>#DIV/0!</v>
      </c>
      <c r="Y11" s="74" t="e">
        <f t="shared" si="5"/>
        <v>#DIV/0!</v>
      </c>
      <c r="Z11" s="74" t="e">
        <f t="shared" si="6"/>
        <v>#DIV/0!</v>
      </c>
      <c r="AA11" s="74" t="e">
        <f t="shared" si="7"/>
        <v>#DIV/0!</v>
      </c>
      <c r="AB11" s="54"/>
      <c r="AC11" s="54"/>
    </row>
    <row r="12" spans="1:29" ht="15" thickBot="1">
      <c r="A12" s="7" t="s">
        <v>7</v>
      </c>
      <c r="B12" s="7">
        <v>10009178</v>
      </c>
      <c r="C12" s="7" t="str">
        <f t="shared" si="0"/>
        <v>FEBRERO10009178Entradas</v>
      </c>
      <c r="D12" s="7" t="s">
        <v>318</v>
      </c>
      <c r="E12" s="3" t="s">
        <v>164</v>
      </c>
      <c r="F12" s="8">
        <v>8220</v>
      </c>
      <c r="G12" s="2" t="s">
        <v>320</v>
      </c>
      <c r="H12" s="11">
        <v>15124.8</v>
      </c>
      <c r="I12" s="11" t="s">
        <v>325</v>
      </c>
      <c r="J12" s="11">
        <v>0</v>
      </c>
      <c r="K12" s="11">
        <v>12924.45</v>
      </c>
      <c r="L12" s="16">
        <v>1.57</v>
      </c>
      <c r="M12" s="11">
        <v>8381.4</v>
      </c>
      <c r="N12" s="11">
        <v>139.88</v>
      </c>
      <c r="O12" s="11">
        <v>1759.88</v>
      </c>
      <c r="P12" s="11">
        <f t="shared" si="1"/>
        <v>2643.2900000000004</v>
      </c>
      <c r="Q12" s="11">
        <v>57.66</v>
      </c>
      <c r="R12" s="11">
        <v>141.81</v>
      </c>
      <c r="S12" s="11">
        <v>1295.3399999999999</v>
      </c>
      <c r="T12" s="11" t="s">
        <v>326</v>
      </c>
      <c r="U12" s="11">
        <v>1048.6300000000001</v>
      </c>
      <c r="V12" s="11">
        <v>99.850000000000364</v>
      </c>
      <c r="W12" s="55">
        <f t="shared" si="3"/>
        <v>12924.45</v>
      </c>
      <c r="X12" s="74">
        <f t="shared" si="4"/>
        <v>0.64849181203068595</v>
      </c>
      <c r="Y12" s="74">
        <f t="shared" si="5"/>
        <v>1.0822897686168462E-2</v>
      </c>
      <c r="Z12" s="74">
        <f t="shared" si="6"/>
        <v>0.13616672276189704</v>
      </c>
      <c r="AA12" s="74">
        <f t="shared" si="7"/>
        <v>0.2045185675212485</v>
      </c>
      <c r="AB12" s="54"/>
      <c r="AC12" s="54"/>
    </row>
    <row r="13" spans="1:29" ht="15" thickBot="1">
      <c r="A13" s="7" t="s">
        <v>7</v>
      </c>
      <c r="B13" s="7">
        <v>10009178</v>
      </c>
      <c r="C13" s="7" t="str">
        <f t="shared" si="0"/>
        <v>FEBRERO10009178Inventario acumulado</v>
      </c>
      <c r="D13" s="7" t="s">
        <v>318</v>
      </c>
      <c r="E13" s="3" t="s">
        <v>322</v>
      </c>
      <c r="F13" s="8">
        <v>24900</v>
      </c>
      <c r="G13" s="2" t="s">
        <v>320</v>
      </c>
      <c r="H13" s="11">
        <v>45816</v>
      </c>
      <c r="I13" s="11" t="s">
        <v>327</v>
      </c>
      <c r="J13" s="11">
        <v>0</v>
      </c>
      <c r="K13" s="11">
        <v>42980.9</v>
      </c>
      <c r="L13" s="16">
        <v>1.73</v>
      </c>
      <c r="M13" s="11">
        <v>29441.54</v>
      </c>
      <c r="N13" s="11">
        <v>415.68</v>
      </c>
      <c r="O13" s="11">
        <v>5852.14</v>
      </c>
      <c r="P13" s="11">
        <f t="shared" si="1"/>
        <v>7271.5399999999981</v>
      </c>
      <c r="Q13" s="11">
        <v>188</v>
      </c>
      <c r="R13" s="11">
        <v>543.03</v>
      </c>
      <c r="S13" s="11">
        <v>3308.81</v>
      </c>
      <c r="T13" s="11" t="s">
        <v>328</v>
      </c>
      <c r="U13" s="11">
        <v>2993.46</v>
      </c>
      <c r="V13" s="11">
        <v>238.23999999999796</v>
      </c>
      <c r="W13" s="55">
        <f t="shared" si="3"/>
        <v>42980.9</v>
      </c>
      <c r="X13" s="74">
        <f t="shared" si="4"/>
        <v>0.68499124029510783</v>
      </c>
      <c r="Y13" s="74">
        <f t="shared" si="5"/>
        <v>9.6712725885218787E-3</v>
      </c>
      <c r="Z13" s="74">
        <f t="shared" si="6"/>
        <v>0.1361567580018101</v>
      </c>
      <c r="AA13" s="74">
        <f t="shared" si="7"/>
        <v>0.16918072911456014</v>
      </c>
      <c r="AB13" s="54"/>
      <c r="AC13" s="54"/>
    </row>
    <row r="14" spans="1:29" ht="15" thickBot="1">
      <c r="A14" s="7" t="s">
        <v>7</v>
      </c>
      <c r="B14" s="7">
        <v>10009178</v>
      </c>
      <c r="C14" s="7" t="str">
        <f t="shared" si="0"/>
        <v>FEBRERO10009178Inventario final</v>
      </c>
      <c r="D14" s="7" t="s">
        <v>318</v>
      </c>
      <c r="E14" s="3" t="s">
        <v>218</v>
      </c>
      <c r="F14" s="8">
        <v>24900</v>
      </c>
      <c r="G14" s="2" t="s">
        <v>320</v>
      </c>
      <c r="H14" s="11">
        <v>45816</v>
      </c>
      <c r="I14" s="11" t="s">
        <v>327</v>
      </c>
      <c r="J14" s="11">
        <v>0</v>
      </c>
      <c r="K14" s="11">
        <v>42980.9</v>
      </c>
      <c r="L14" s="16">
        <v>1.73</v>
      </c>
      <c r="M14" s="11">
        <v>29441.54</v>
      </c>
      <c r="N14" s="11">
        <v>415.68</v>
      </c>
      <c r="O14" s="11">
        <v>5852.14</v>
      </c>
      <c r="P14" s="11">
        <f t="shared" si="1"/>
        <v>7271.5399999999981</v>
      </c>
      <c r="Q14" s="11">
        <v>188</v>
      </c>
      <c r="R14" s="11">
        <v>543.03</v>
      </c>
      <c r="S14" s="11">
        <v>3308.81</v>
      </c>
      <c r="T14" s="11" t="s">
        <v>328</v>
      </c>
      <c r="U14" s="11">
        <v>2993.46</v>
      </c>
      <c r="V14" s="11">
        <v>238.23999999999796</v>
      </c>
      <c r="W14" s="55">
        <f t="shared" si="3"/>
        <v>42980.9</v>
      </c>
      <c r="X14" s="74">
        <f t="shared" si="4"/>
        <v>0.68499124029510783</v>
      </c>
      <c r="Y14" s="74">
        <f t="shared" si="5"/>
        <v>9.6712725885218787E-3</v>
      </c>
      <c r="Z14" s="74">
        <f t="shared" si="6"/>
        <v>0.1361567580018101</v>
      </c>
      <c r="AA14" s="74">
        <f t="shared" si="7"/>
        <v>0.16918072911456014</v>
      </c>
      <c r="AB14" s="54"/>
      <c r="AC14" s="54"/>
    </row>
    <row r="15" spans="1:29">
      <c r="A15" s="7" t="s">
        <v>6</v>
      </c>
      <c r="B15" s="7">
        <v>10006720</v>
      </c>
      <c r="C15" s="7" t="str">
        <f t="shared" si="0"/>
        <v>ENERO10006720Inventario inicial</v>
      </c>
      <c r="D15" s="7" t="s">
        <v>329</v>
      </c>
      <c r="E15" s="3" t="s">
        <v>319</v>
      </c>
      <c r="F15" s="9">
        <v>80180</v>
      </c>
      <c r="G15" s="3" t="s">
        <v>320</v>
      </c>
      <c r="H15" s="12">
        <v>138711.4</v>
      </c>
      <c r="I15" s="12">
        <v>2617.91</v>
      </c>
      <c r="J15" s="13"/>
      <c r="K15" s="12">
        <v>141329.31</v>
      </c>
      <c r="L15" s="17">
        <v>1.76</v>
      </c>
      <c r="M15" s="12">
        <v>96628.24</v>
      </c>
      <c r="N15" s="12">
        <v>1272.01</v>
      </c>
      <c r="O15" s="12">
        <v>21487.27</v>
      </c>
      <c r="P15" s="12">
        <f t="shared" si="1"/>
        <v>21941.789999999986</v>
      </c>
      <c r="Q15" s="12">
        <v>716.19</v>
      </c>
      <c r="R15" s="12">
        <v>2221.84</v>
      </c>
      <c r="S15" s="12">
        <v>8915.09</v>
      </c>
      <c r="T15" s="12">
        <v>9554.3700000000008</v>
      </c>
      <c r="U15" s="11">
        <v>17.13</v>
      </c>
      <c r="V15" s="11">
        <v>517.1699999999837</v>
      </c>
      <c r="W15" s="55">
        <f t="shared" si="3"/>
        <v>141329.31</v>
      </c>
      <c r="X15" s="74">
        <f t="shared" si="4"/>
        <v>0.68370984051362038</v>
      </c>
      <c r="Y15" s="74">
        <f t="shared" si="5"/>
        <v>9.0003269668549289E-3</v>
      </c>
      <c r="Z15" s="74">
        <f t="shared" si="6"/>
        <v>0.15203689878624613</v>
      </c>
      <c r="AA15" s="74">
        <f t="shared" si="7"/>
        <v>0.15525293373327859</v>
      </c>
    </row>
    <row r="16" spans="1:29">
      <c r="A16" s="7" t="s">
        <v>6</v>
      </c>
      <c r="B16" s="7">
        <v>10006720</v>
      </c>
      <c r="C16" s="7" t="str">
        <f t="shared" si="0"/>
        <v>ENERO10006720Revalorización</v>
      </c>
      <c r="D16" s="7" t="s">
        <v>329</v>
      </c>
      <c r="E16" s="3" t="s">
        <v>321</v>
      </c>
      <c r="F16" s="9">
        <v>0</v>
      </c>
      <c r="G16" s="3" t="s">
        <v>320</v>
      </c>
      <c r="H16" s="12">
        <v>4009</v>
      </c>
      <c r="I16" s="12">
        <v>-4009</v>
      </c>
      <c r="J16" s="13"/>
      <c r="K16" s="12">
        <v>0</v>
      </c>
      <c r="L16" s="17">
        <v>0</v>
      </c>
      <c r="M16" s="12">
        <v>0</v>
      </c>
      <c r="N16" s="12">
        <v>0</v>
      </c>
      <c r="O16" s="12">
        <v>0</v>
      </c>
      <c r="P16" s="12">
        <f t="shared" si="1"/>
        <v>0</v>
      </c>
      <c r="Q16" s="12">
        <v>0</v>
      </c>
      <c r="R16" s="12">
        <v>0</v>
      </c>
      <c r="S16" s="12">
        <v>0</v>
      </c>
      <c r="T16" s="12">
        <v>0</v>
      </c>
      <c r="U16" s="11">
        <v>0</v>
      </c>
      <c r="V16" s="11">
        <v>0</v>
      </c>
      <c r="W16" s="55">
        <f t="shared" si="3"/>
        <v>0</v>
      </c>
      <c r="X16" s="74" t="e">
        <f t="shared" si="4"/>
        <v>#DIV/0!</v>
      </c>
      <c r="Y16" s="74" t="e">
        <f t="shared" si="5"/>
        <v>#DIV/0!</v>
      </c>
      <c r="Z16" s="74" t="e">
        <f t="shared" si="6"/>
        <v>#DIV/0!</v>
      </c>
      <c r="AA16" s="74" t="e">
        <f t="shared" si="7"/>
        <v>#DIV/0!</v>
      </c>
    </row>
    <row r="17" spans="1:27">
      <c r="A17" s="7" t="s">
        <v>6</v>
      </c>
      <c r="B17" s="7">
        <v>10006720</v>
      </c>
      <c r="C17" s="7" t="str">
        <f t="shared" si="0"/>
        <v>ENERO10006720Entradas</v>
      </c>
      <c r="D17" s="7" t="s">
        <v>329</v>
      </c>
      <c r="E17" s="3" t="s">
        <v>164</v>
      </c>
      <c r="F17" s="9">
        <v>276180</v>
      </c>
      <c r="G17" s="3" t="s">
        <v>320</v>
      </c>
      <c r="H17" s="12">
        <v>491600.4</v>
      </c>
      <c r="I17" s="12">
        <v>-18595.02</v>
      </c>
      <c r="J17" s="13"/>
      <c r="K17" s="12">
        <v>473005.38</v>
      </c>
      <c r="L17" s="17">
        <v>1.71</v>
      </c>
      <c r="M17" s="12">
        <v>308981.27</v>
      </c>
      <c r="N17" s="12">
        <v>4610.57</v>
      </c>
      <c r="O17" s="12">
        <v>72365.759999999995</v>
      </c>
      <c r="P17" s="12">
        <f t="shared" si="1"/>
        <v>87047.77999999997</v>
      </c>
      <c r="Q17" s="12">
        <v>620.30999999999995</v>
      </c>
      <c r="R17" s="12">
        <v>4747.8100000000004</v>
      </c>
      <c r="S17" s="12">
        <v>43377.94</v>
      </c>
      <c r="T17" s="12">
        <v>35110.76</v>
      </c>
      <c r="U17" s="11">
        <v>0</v>
      </c>
      <c r="V17" s="11">
        <v>3190.9599999999627</v>
      </c>
      <c r="W17" s="55">
        <f t="shared" si="3"/>
        <v>473005.38</v>
      </c>
      <c r="X17" s="74">
        <f t="shared" si="4"/>
        <v>0.65322992732133411</v>
      </c>
      <c r="Y17" s="74">
        <f t="shared" si="5"/>
        <v>9.7473944165286236E-3</v>
      </c>
      <c r="Z17" s="74">
        <f t="shared" si="6"/>
        <v>0.15299140994971347</v>
      </c>
      <c r="AA17" s="74">
        <f t="shared" si="7"/>
        <v>0.18403126831242378</v>
      </c>
    </row>
    <row r="18" spans="1:27">
      <c r="A18" s="7" t="s">
        <v>6</v>
      </c>
      <c r="B18" s="7">
        <v>10006720</v>
      </c>
      <c r="C18" s="7" t="str">
        <f t="shared" si="0"/>
        <v>ENERO10006720Inv. acumulado</v>
      </c>
      <c r="D18" s="7" t="s">
        <v>329</v>
      </c>
      <c r="E18" s="3" t="s">
        <v>330</v>
      </c>
      <c r="F18" s="9">
        <v>356360</v>
      </c>
      <c r="G18" s="3" t="s">
        <v>320</v>
      </c>
      <c r="H18" s="12">
        <v>634320.80000000005</v>
      </c>
      <c r="I18" s="12">
        <v>-19986.11</v>
      </c>
      <c r="J18" s="13"/>
      <c r="K18" s="12">
        <v>614334.68999999994</v>
      </c>
      <c r="L18" s="17">
        <v>1.72</v>
      </c>
      <c r="M18" s="12">
        <v>405609.51</v>
      </c>
      <c r="N18" s="12">
        <v>5882.58</v>
      </c>
      <c r="O18" s="12">
        <v>93853.03</v>
      </c>
      <c r="P18" s="12">
        <f t="shared" si="1"/>
        <v>108989.56999999989</v>
      </c>
      <c r="Q18" s="12">
        <v>1336.5</v>
      </c>
      <c r="R18" s="12">
        <v>6969.65</v>
      </c>
      <c r="S18" s="12">
        <v>52293.03</v>
      </c>
      <c r="T18" s="12">
        <v>44665.13</v>
      </c>
      <c r="U18" s="11">
        <v>17.13</v>
      </c>
      <c r="V18" s="11">
        <v>3708.1299999998882</v>
      </c>
      <c r="W18" s="55">
        <f t="shared" si="3"/>
        <v>614334.68999999994</v>
      </c>
      <c r="X18" s="74">
        <f t="shared" si="4"/>
        <v>0.66024191145709199</v>
      </c>
      <c r="Y18" s="74">
        <f t="shared" si="5"/>
        <v>9.5755295863237024E-3</v>
      </c>
      <c r="Z18" s="74">
        <f t="shared" si="6"/>
        <v>0.15277182214795654</v>
      </c>
      <c r="AA18" s="74">
        <f t="shared" si="7"/>
        <v>0.17741073680862773</v>
      </c>
    </row>
    <row r="19" spans="1:27">
      <c r="A19" s="7" t="s">
        <v>6</v>
      </c>
      <c r="B19" s="7">
        <v>10006720</v>
      </c>
      <c r="C19" s="7" t="str">
        <f t="shared" si="0"/>
        <v>ENERO10006720Compensación</v>
      </c>
      <c r="D19" s="7" t="s">
        <v>329</v>
      </c>
      <c r="E19" s="3" t="s">
        <v>114</v>
      </c>
      <c r="F19" s="9">
        <v>69700</v>
      </c>
      <c r="G19" s="3" t="s">
        <v>320</v>
      </c>
      <c r="H19" s="12">
        <v>124066</v>
      </c>
      <c r="I19" s="12">
        <v>-3909.06</v>
      </c>
      <c r="J19" s="13"/>
      <c r="K19" s="12">
        <v>120156.94</v>
      </c>
      <c r="L19" s="17">
        <v>1.72</v>
      </c>
      <c r="M19" s="12">
        <v>79332.649999999994</v>
      </c>
      <c r="N19" s="12">
        <v>1150.57</v>
      </c>
      <c r="O19" s="12">
        <v>18356.59</v>
      </c>
      <c r="P19" s="12">
        <f t="shared" si="1"/>
        <v>21317.130000000005</v>
      </c>
      <c r="Q19" s="12">
        <v>261.39999999999998</v>
      </c>
      <c r="R19" s="12">
        <v>1363.19</v>
      </c>
      <c r="S19" s="12">
        <v>10227.93</v>
      </c>
      <c r="T19" s="12">
        <v>8735.99</v>
      </c>
      <c r="U19" s="11">
        <v>3.35</v>
      </c>
      <c r="V19" s="11">
        <v>725.27000000000407</v>
      </c>
      <c r="W19" s="55">
        <f t="shared" si="3"/>
        <v>120156.94</v>
      </c>
      <c r="X19" s="74">
        <f t="shared" si="4"/>
        <v>0.66024193026220535</v>
      </c>
      <c r="Y19" s="74">
        <f t="shared" si="5"/>
        <v>9.5755600966535917E-3</v>
      </c>
      <c r="Z19" s="74">
        <f t="shared" si="6"/>
        <v>0.15277178330273725</v>
      </c>
      <c r="AA19" s="74">
        <f t="shared" si="7"/>
        <v>0.1774107263384038</v>
      </c>
    </row>
    <row r="20" spans="1:27">
      <c r="A20" s="7" t="s">
        <v>6</v>
      </c>
      <c r="B20" s="7">
        <v>10006720</v>
      </c>
      <c r="C20" s="7" t="str">
        <f t="shared" si="0"/>
        <v>ENERO10006720Inventario final</v>
      </c>
      <c r="D20" s="7" t="s">
        <v>329</v>
      </c>
      <c r="E20" s="3" t="s">
        <v>218</v>
      </c>
      <c r="F20" s="9">
        <v>286660</v>
      </c>
      <c r="G20" s="3" t="s">
        <v>320</v>
      </c>
      <c r="H20" s="12">
        <v>510254.8</v>
      </c>
      <c r="I20" s="12">
        <v>-16077.05</v>
      </c>
      <c r="J20" s="13"/>
      <c r="K20" s="12">
        <v>494177.75</v>
      </c>
      <c r="L20" s="17">
        <v>1.72</v>
      </c>
      <c r="M20" s="12">
        <v>326276.86</v>
      </c>
      <c r="N20" s="12">
        <v>4732.01</v>
      </c>
      <c r="O20" s="12">
        <v>75496.44</v>
      </c>
      <c r="P20" s="12">
        <f t="shared" si="1"/>
        <v>87672.439999999973</v>
      </c>
      <c r="Q20" s="12">
        <v>1075.0999999999999</v>
      </c>
      <c r="R20" s="12">
        <v>5606.46</v>
      </c>
      <c r="S20" s="12">
        <v>42065.1</v>
      </c>
      <c r="T20" s="12">
        <v>35929.14</v>
      </c>
      <c r="U20" s="11">
        <v>13.78</v>
      </c>
      <c r="V20" s="11">
        <v>2982.859999999986</v>
      </c>
      <c r="W20" s="55">
        <f t="shared" si="3"/>
        <v>494177.75</v>
      </c>
      <c r="X20" s="74">
        <f t="shared" si="4"/>
        <v>0.66024190688471907</v>
      </c>
      <c r="Y20" s="74">
        <f t="shared" si="5"/>
        <v>9.575522167883925E-3</v>
      </c>
      <c r="Z20" s="74">
        <f t="shared" si="6"/>
        <v>0.15277183159298452</v>
      </c>
      <c r="AA20" s="74">
        <f t="shared" si="7"/>
        <v>0.1774107393544124</v>
      </c>
    </row>
    <row r="21" spans="1:27">
      <c r="A21" s="7" t="s">
        <v>7</v>
      </c>
      <c r="B21" s="7">
        <v>10006720</v>
      </c>
      <c r="C21" s="7" t="str">
        <f t="shared" si="0"/>
        <v>FEBRERO10006720Inventario inicial</v>
      </c>
      <c r="D21" s="7" t="s">
        <v>329</v>
      </c>
      <c r="E21" s="3" t="s">
        <v>319</v>
      </c>
      <c r="F21" s="8">
        <v>286660</v>
      </c>
      <c r="G21" s="2" t="s">
        <v>320</v>
      </c>
      <c r="H21" s="11">
        <v>510254.8</v>
      </c>
      <c r="I21" s="11" t="s">
        <v>331</v>
      </c>
      <c r="J21" s="11">
        <v>0</v>
      </c>
      <c r="K21" s="11">
        <v>494177.75</v>
      </c>
      <c r="L21" s="16">
        <v>1.72</v>
      </c>
      <c r="M21" s="11">
        <v>326276.86</v>
      </c>
      <c r="N21" s="11">
        <v>4732.01</v>
      </c>
      <c r="O21" s="11">
        <v>75496.44</v>
      </c>
      <c r="P21" s="11">
        <f t="shared" si="1"/>
        <v>87672.44</v>
      </c>
      <c r="Q21" s="11">
        <v>1075.0999999999999</v>
      </c>
      <c r="R21" s="11">
        <v>5606.46</v>
      </c>
      <c r="S21" s="11">
        <v>42065.1</v>
      </c>
      <c r="T21" s="11">
        <v>0.13</v>
      </c>
      <c r="U21" s="11">
        <v>35929.14</v>
      </c>
      <c r="V21" s="11">
        <v>2996.5100000000093</v>
      </c>
      <c r="W21" s="55">
        <f t="shared" si="3"/>
        <v>494177.75</v>
      </c>
      <c r="X21" s="74">
        <f t="shared" si="4"/>
        <v>0.66024190688471907</v>
      </c>
      <c r="Y21" s="74">
        <f t="shared" si="5"/>
        <v>9.575522167883925E-3</v>
      </c>
      <c r="Z21" s="74">
        <f t="shared" si="6"/>
        <v>0.15277183159298452</v>
      </c>
      <c r="AA21" s="74">
        <f t="shared" si="7"/>
        <v>0.17741073935441246</v>
      </c>
    </row>
    <row r="22" spans="1:27">
      <c r="A22" s="7" t="s">
        <v>7</v>
      </c>
      <c r="B22" s="7">
        <v>10006720</v>
      </c>
      <c r="C22" s="7" t="str">
        <f t="shared" si="0"/>
        <v>FEBRERO10006720Revalorización</v>
      </c>
      <c r="D22" s="7" t="s">
        <v>329</v>
      </c>
      <c r="E22" s="3" t="s">
        <v>321</v>
      </c>
      <c r="F22" s="8">
        <v>0</v>
      </c>
      <c r="G22" s="2" t="s">
        <v>320</v>
      </c>
      <c r="H22" s="11" t="s">
        <v>332</v>
      </c>
      <c r="I22" s="11">
        <v>5733.2</v>
      </c>
      <c r="J22" s="11">
        <v>0</v>
      </c>
      <c r="K22" s="11">
        <v>0</v>
      </c>
      <c r="L22" s="16">
        <v>0</v>
      </c>
      <c r="M22" s="11">
        <v>0</v>
      </c>
      <c r="N22" s="11">
        <v>0</v>
      </c>
      <c r="O22" s="11">
        <v>0</v>
      </c>
      <c r="P22" s="11">
        <f t="shared" si="1"/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55">
        <f t="shared" si="3"/>
        <v>0</v>
      </c>
      <c r="X22" s="74" t="e">
        <f t="shared" si="4"/>
        <v>#DIV/0!</v>
      </c>
      <c r="Y22" s="74" t="e">
        <f t="shared" si="5"/>
        <v>#DIV/0!</v>
      </c>
      <c r="Z22" s="74" t="e">
        <f t="shared" si="6"/>
        <v>#DIV/0!</v>
      </c>
      <c r="AA22" s="74" t="e">
        <f t="shared" si="7"/>
        <v>#DIV/0!</v>
      </c>
    </row>
    <row r="23" spans="1:27">
      <c r="A23" s="7" t="s">
        <v>7</v>
      </c>
      <c r="B23" s="7">
        <v>10006720</v>
      </c>
      <c r="C23" s="7" t="str">
        <f t="shared" si="0"/>
        <v>FEBRERO10006720Entradas</v>
      </c>
      <c r="D23" s="7" t="s">
        <v>329</v>
      </c>
      <c r="E23" s="3" t="s">
        <v>164</v>
      </c>
      <c r="F23" s="8">
        <v>542340</v>
      </c>
      <c r="G23" s="2" t="s">
        <v>320</v>
      </c>
      <c r="H23" s="11">
        <v>954518.4</v>
      </c>
      <c r="I23" s="11" t="s">
        <v>333</v>
      </c>
      <c r="J23" s="11">
        <v>0</v>
      </c>
      <c r="K23" s="11">
        <v>865190.07</v>
      </c>
      <c r="L23" s="16">
        <v>1.6</v>
      </c>
      <c r="M23" s="11">
        <v>554933.23</v>
      </c>
      <c r="N23" s="11">
        <v>8475.11</v>
      </c>
      <c r="O23" s="11">
        <v>126141.04</v>
      </c>
      <c r="P23" s="11">
        <f t="shared" si="1"/>
        <v>175640.68999999994</v>
      </c>
      <c r="Q23" s="11">
        <v>3804.51</v>
      </c>
      <c r="R23" s="11">
        <v>9355.3700000000008</v>
      </c>
      <c r="S23" s="11">
        <v>85463.56</v>
      </c>
      <c r="T23" s="11" t="s">
        <v>334</v>
      </c>
      <c r="U23" s="11">
        <v>69186.31</v>
      </c>
      <c r="V23" s="11">
        <v>7830.9399999999441</v>
      </c>
      <c r="W23" s="55">
        <f t="shared" si="3"/>
        <v>865190.07</v>
      </c>
      <c r="X23" s="74">
        <f t="shared" si="4"/>
        <v>0.64140036882300322</v>
      </c>
      <c r="Y23" s="74">
        <f t="shared" si="5"/>
        <v>9.7956625877594749E-3</v>
      </c>
      <c r="Z23" s="74">
        <f t="shared" si="6"/>
        <v>0.14579575560778224</v>
      </c>
      <c r="AA23" s="74">
        <f t="shared" si="7"/>
        <v>0.20300821298145499</v>
      </c>
    </row>
    <row r="24" spans="1:27">
      <c r="A24" s="7" t="s">
        <v>7</v>
      </c>
      <c r="B24" s="7">
        <v>10006720</v>
      </c>
      <c r="C24" s="7" t="str">
        <f t="shared" si="0"/>
        <v>FEBRERO10006720Inventario acumulado</v>
      </c>
      <c r="D24" s="7" t="s">
        <v>329</v>
      </c>
      <c r="E24" s="3" t="s">
        <v>322</v>
      </c>
      <c r="F24" s="8">
        <v>829000</v>
      </c>
      <c r="G24" s="2" t="s">
        <v>320</v>
      </c>
      <c r="H24" s="11">
        <v>1459040</v>
      </c>
      <c r="I24" s="11" t="s">
        <v>335</v>
      </c>
      <c r="J24" s="11">
        <v>0</v>
      </c>
      <c r="K24" s="11">
        <v>1359367.82</v>
      </c>
      <c r="L24" s="16">
        <v>1.64</v>
      </c>
      <c r="M24" s="11">
        <v>881210.09</v>
      </c>
      <c r="N24" s="11">
        <v>13207.12</v>
      </c>
      <c r="O24" s="11">
        <v>201637.48</v>
      </c>
      <c r="P24" s="11">
        <f t="shared" si="1"/>
        <v>263313.13000000006</v>
      </c>
      <c r="Q24" s="11">
        <v>4879.6099999999997</v>
      </c>
      <c r="R24" s="11">
        <v>14961.83</v>
      </c>
      <c r="S24" s="11">
        <v>127528.66</v>
      </c>
      <c r="T24" s="11" t="s">
        <v>328</v>
      </c>
      <c r="U24" s="11">
        <v>105115.45</v>
      </c>
      <c r="V24" s="11">
        <v>10827.580000000075</v>
      </c>
      <c r="W24" s="55">
        <f t="shared" si="3"/>
        <v>1359367.82</v>
      </c>
      <c r="X24" s="74">
        <f t="shared" si="4"/>
        <v>0.6482499269403037</v>
      </c>
      <c r="Y24" s="74">
        <f t="shared" si="5"/>
        <v>9.7156338451501664E-3</v>
      </c>
      <c r="Z24" s="74">
        <f t="shared" si="6"/>
        <v>0.14833180323483014</v>
      </c>
      <c r="AA24" s="74">
        <f t="shared" si="7"/>
        <v>0.19370263597971596</v>
      </c>
    </row>
    <row r="25" spans="1:27">
      <c r="A25" s="7" t="s">
        <v>7</v>
      </c>
      <c r="B25" s="7">
        <v>10006720</v>
      </c>
      <c r="C25" s="7" t="str">
        <f t="shared" si="0"/>
        <v>FEBRERO10006720Compensación</v>
      </c>
      <c r="D25" s="7" t="s">
        <v>329</v>
      </c>
      <c r="E25" s="3" t="s">
        <v>114</v>
      </c>
      <c r="F25" s="8">
        <v>459300</v>
      </c>
      <c r="G25" s="2" t="s">
        <v>320</v>
      </c>
      <c r="H25" s="11">
        <v>808368</v>
      </c>
      <c r="I25" s="11" t="s">
        <v>336</v>
      </c>
      <c r="J25" s="11">
        <v>0</v>
      </c>
      <c r="K25" s="11">
        <v>753145.52</v>
      </c>
      <c r="L25" s="16">
        <v>1.64</v>
      </c>
      <c r="M25" s="11">
        <v>488226.53</v>
      </c>
      <c r="N25" s="11">
        <v>7317.29</v>
      </c>
      <c r="O25" s="11">
        <v>111715.43</v>
      </c>
      <c r="P25" s="11">
        <f t="shared" si="1"/>
        <v>145886.27000000005</v>
      </c>
      <c r="Q25" s="11">
        <v>2703.51</v>
      </c>
      <c r="R25" s="11">
        <v>8289.4599999999991</v>
      </c>
      <c r="S25" s="11">
        <v>70656.11</v>
      </c>
      <c r="T25" s="11" t="s">
        <v>337</v>
      </c>
      <c r="U25" s="11">
        <v>58238.27</v>
      </c>
      <c r="V25" s="11">
        <v>5998.9200000000419</v>
      </c>
      <c r="W25" s="55">
        <f t="shared" si="3"/>
        <v>753145.52</v>
      </c>
      <c r="X25" s="74">
        <f t="shared" si="4"/>
        <v>0.64824992917703339</v>
      </c>
      <c r="Y25" s="74">
        <f t="shared" si="5"/>
        <v>9.7156390175433816E-3</v>
      </c>
      <c r="Z25" s="74">
        <f t="shared" si="6"/>
        <v>0.14833179914553563</v>
      </c>
      <c r="AA25" s="74">
        <f t="shared" si="7"/>
        <v>0.19370263265988763</v>
      </c>
    </row>
    <row r="26" spans="1:27">
      <c r="A26" s="7" t="s">
        <v>7</v>
      </c>
      <c r="B26" s="7">
        <v>10006720</v>
      </c>
      <c r="C26" s="7" t="str">
        <f t="shared" si="0"/>
        <v>FEBRERO10006720Inventario final</v>
      </c>
      <c r="D26" s="7" t="s">
        <v>329</v>
      </c>
      <c r="E26" s="3" t="s">
        <v>218</v>
      </c>
      <c r="F26" s="8">
        <v>369700</v>
      </c>
      <c r="G26" s="2" t="s">
        <v>320</v>
      </c>
      <c r="H26" s="11">
        <v>650672</v>
      </c>
      <c r="I26" s="11" t="s">
        <v>338</v>
      </c>
      <c r="J26" s="11">
        <v>0</v>
      </c>
      <c r="K26" s="11">
        <v>606222.30000000005</v>
      </c>
      <c r="L26" s="16">
        <v>1.64</v>
      </c>
      <c r="M26" s="11">
        <v>392983.56</v>
      </c>
      <c r="N26" s="11">
        <v>5889.83</v>
      </c>
      <c r="O26" s="11">
        <v>89922.05</v>
      </c>
      <c r="P26" s="11">
        <f t="shared" si="1"/>
        <v>117426.86000000004</v>
      </c>
      <c r="Q26" s="11">
        <v>2176.1</v>
      </c>
      <c r="R26" s="11">
        <v>6672.37</v>
      </c>
      <c r="S26" s="11">
        <v>56872.55</v>
      </c>
      <c r="T26" s="11" t="s">
        <v>337</v>
      </c>
      <c r="U26" s="11">
        <v>46877.18</v>
      </c>
      <c r="V26" s="11">
        <v>4828.6600000000326</v>
      </c>
      <c r="W26" s="55">
        <f t="shared" si="3"/>
        <v>606222.30000000005</v>
      </c>
      <c r="X26" s="74">
        <f t="shared" si="4"/>
        <v>0.6482499241614833</v>
      </c>
      <c r="Y26" s="74">
        <f t="shared" si="5"/>
        <v>9.7156274191826982E-3</v>
      </c>
      <c r="Z26" s="74">
        <f t="shared" si="6"/>
        <v>0.14833180831520054</v>
      </c>
      <c r="AA26" s="74">
        <f t="shared" si="7"/>
        <v>0.19370264010413349</v>
      </c>
    </row>
    <row r="27" spans="1:27">
      <c r="A27" s="7" t="s">
        <v>6</v>
      </c>
      <c r="B27" s="7">
        <v>10006722</v>
      </c>
      <c r="C27" s="7" t="str">
        <f t="shared" si="0"/>
        <v>ENERO10006722Inventario inicial</v>
      </c>
      <c r="D27" s="7" t="s">
        <v>339</v>
      </c>
      <c r="E27" s="3" t="s">
        <v>319</v>
      </c>
      <c r="F27" s="8">
        <v>120</v>
      </c>
      <c r="G27" s="2" t="s">
        <v>320</v>
      </c>
      <c r="H27" s="11">
        <v>224.4</v>
      </c>
      <c r="I27" s="11">
        <v>-0.37</v>
      </c>
      <c r="J27" s="11"/>
      <c r="K27" s="11">
        <v>224.03</v>
      </c>
      <c r="L27" s="16">
        <v>1.87</v>
      </c>
      <c r="M27" s="11">
        <v>184.53</v>
      </c>
      <c r="N27" s="11">
        <v>2.57</v>
      </c>
      <c r="O27" s="11">
        <v>24.03</v>
      </c>
      <c r="P27" s="11">
        <f t="shared" si="1"/>
        <v>12.900000000000006</v>
      </c>
      <c r="Q27" s="11">
        <v>0.61</v>
      </c>
      <c r="R27" s="11">
        <v>2.37</v>
      </c>
      <c r="S27" s="11">
        <v>4.28</v>
      </c>
      <c r="T27" s="11">
        <v>-0.06</v>
      </c>
      <c r="U27" s="11">
        <v>0.02</v>
      </c>
      <c r="V27" s="11">
        <v>5.6800000000000068</v>
      </c>
      <c r="W27" s="55">
        <f t="shared" si="3"/>
        <v>224.03</v>
      </c>
      <c r="X27" s="74">
        <f t="shared" si="4"/>
        <v>0.82368432799178681</v>
      </c>
      <c r="Y27" s="74">
        <f t="shared" si="5"/>
        <v>1.1471677900281212E-2</v>
      </c>
      <c r="Z27" s="74">
        <f t="shared" si="6"/>
        <v>0.10726242021157881</v>
      </c>
      <c r="AA27" s="74">
        <f t="shared" si="7"/>
        <v>5.758157389635319E-2</v>
      </c>
    </row>
    <row r="28" spans="1:27">
      <c r="A28" s="7" t="s">
        <v>6</v>
      </c>
      <c r="B28" s="7">
        <v>10006722</v>
      </c>
      <c r="C28" s="7" t="str">
        <f t="shared" si="0"/>
        <v>ENERO10006722Revalorización</v>
      </c>
      <c r="D28" s="7" t="s">
        <v>339</v>
      </c>
      <c r="E28" s="3" t="s">
        <v>321</v>
      </c>
      <c r="F28" s="8">
        <v>0</v>
      </c>
      <c r="G28" s="2" t="s">
        <v>320</v>
      </c>
      <c r="H28" s="11">
        <v>0</v>
      </c>
      <c r="I28" s="11">
        <v>0</v>
      </c>
      <c r="J28" s="11"/>
      <c r="K28" s="11">
        <v>0</v>
      </c>
      <c r="L28" s="16">
        <v>0</v>
      </c>
      <c r="M28" s="11">
        <v>0</v>
      </c>
      <c r="N28" s="11">
        <v>0</v>
      </c>
      <c r="O28" s="11">
        <v>0</v>
      </c>
      <c r="P28" s="11">
        <f t="shared" si="1"/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55">
        <f t="shared" si="3"/>
        <v>0</v>
      </c>
      <c r="X28" s="74" t="e">
        <f t="shared" si="4"/>
        <v>#DIV/0!</v>
      </c>
      <c r="Y28" s="74" t="e">
        <f t="shared" si="5"/>
        <v>#DIV/0!</v>
      </c>
      <c r="Z28" s="74" t="e">
        <f t="shared" si="6"/>
        <v>#DIV/0!</v>
      </c>
      <c r="AA28" s="74" t="e">
        <f t="shared" si="7"/>
        <v>#DIV/0!</v>
      </c>
    </row>
    <row r="29" spans="1:27">
      <c r="A29" s="7" t="s">
        <v>6</v>
      </c>
      <c r="B29" s="7">
        <v>10006722</v>
      </c>
      <c r="C29" s="7" t="str">
        <f t="shared" si="0"/>
        <v>ENERO10006722Inv. acumulado</v>
      </c>
      <c r="D29" s="7" t="s">
        <v>339</v>
      </c>
      <c r="E29" s="3" t="s">
        <v>330</v>
      </c>
      <c r="F29" s="8">
        <v>120</v>
      </c>
      <c r="G29" s="2" t="s">
        <v>320</v>
      </c>
      <c r="H29" s="11">
        <v>224.4</v>
      </c>
      <c r="I29" s="11">
        <v>-0.37</v>
      </c>
      <c r="J29" s="11"/>
      <c r="K29" s="11">
        <v>224.03</v>
      </c>
      <c r="L29" s="16">
        <v>1.87</v>
      </c>
      <c r="M29" s="11">
        <v>184.53</v>
      </c>
      <c r="N29" s="11">
        <v>2.57</v>
      </c>
      <c r="O29" s="11">
        <v>24.03</v>
      </c>
      <c r="P29" s="11">
        <f t="shared" si="1"/>
        <v>12.900000000000006</v>
      </c>
      <c r="Q29" s="11">
        <v>0.61</v>
      </c>
      <c r="R29" s="11">
        <v>2.37</v>
      </c>
      <c r="S29" s="11">
        <v>4.28</v>
      </c>
      <c r="T29" s="11">
        <v>-0.06</v>
      </c>
      <c r="U29" s="11">
        <v>0.02</v>
      </c>
      <c r="V29" s="11">
        <v>5.6800000000000068</v>
      </c>
      <c r="W29" s="55">
        <f t="shared" si="3"/>
        <v>224.03</v>
      </c>
      <c r="X29" s="74">
        <f t="shared" si="4"/>
        <v>0.82368432799178681</v>
      </c>
      <c r="Y29" s="74">
        <f t="shared" si="5"/>
        <v>1.1471677900281212E-2</v>
      </c>
      <c r="Z29" s="74">
        <f t="shared" si="6"/>
        <v>0.10726242021157881</v>
      </c>
      <c r="AA29" s="74">
        <f t="shared" si="7"/>
        <v>5.758157389635319E-2</v>
      </c>
    </row>
    <row r="30" spans="1:27">
      <c r="A30" s="7" t="s">
        <v>6</v>
      </c>
      <c r="B30" s="7">
        <v>10006722</v>
      </c>
      <c r="C30" s="7" t="str">
        <f t="shared" si="0"/>
        <v>ENERO10006722Inventario final</v>
      </c>
      <c r="D30" s="7" t="s">
        <v>339</v>
      </c>
      <c r="E30" s="3" t="s">
        <v>218</v>
      </c>
      <c r="F30" s="8">
        <v>120</v>
      </c>
      <c r="G30" s="2" t="s">
        <v>320</v>
      </c>
      <c r="H30" s="11">
        <v>224.4</v>
      </c>
      <c r="I30" s="11">
        <v>-0.37</v>
      </c>
      <c r="J30" s="11"/>
      <c r="K30" s="11">
        <v>224.03</v>
      </c>
      <c r="L30" s="16">
        <v>1.87</v>
      </c>
      <c r="M30" s="11">
        <v>184.53</v>
      </c>
      <c r="N30" s="11">
        <v>2.57</v>
      </c>
      <c r="O30" s="11">
        <v>24.03</v>
      </c>
      <c r="P30" s="11">
        <f t="shared" si="1"/>
        <v>12.900000000000006</v>
      </c>
      <c r="Q30" s="11">
        <v>0.61</v>
      </c>
      <c r="R30" s="11">
        <v>2.37</v>
      </c>
      <c r="S30" s="11">
        <v>4.28</v>
      </c>
      <c r="T30" s="11">
        <v>-0.06</v>
      </c>
      <c r="U30" s="11">
        <v>0.02</v>
      </c>
      <c r="V30" s="11">
        <v>5.6800000000000068</v>
      </c>
      <c r="W30" s="55">
        <f t="shared" si="3"/>
        <v>224.03</v>
      </c>
      <c r="X30" s="74">
        <f t="shared" si="4"/>
        <v>0.82368432799178681</v>
      </c>
      <c r="Y30" s="74">
        <f t="shared" si="5"/>
        <v>1.1471677900281212E-2</v>
      </c>
      <c r="Z30" s="74">
        <f t="shared" si="6"/>
        <v>0.10726242021157881</v>
      </c>
      <c r="AA30" s="74">
        <f t="shared" si="7"/>
        <v>5.758157389635319E-2</v>
      </c>
    </row>
    <row r="31" spans="1:27">
      <c r="A31" s="7" t="s">
        <v>7</v>
      </c>
      <c r="B31" s="7">
        <v>10006722</v>
      </c>
      <c r="C31" s="7" t="str">
        <f t="shared" si="0"/>
        <v>FEBRERO10006722Inventario inicial</v>
      </c>
      <c r="D31" s="7" t="s">
        <v>339</v>
      </c>
      <c r="E31" s="3" t="s">
        <v>319</v>
      </c>
      <c r="F31" s="8">
        <v>120</v>
      </c>
      <c r="G31" s="2" t="s">
        <v>320</v>
      </c>
      <c r="H31" s="11">
        <v>224.4</v>
      </c>
      <c r="I31" s="11" t="s">
        <v>340</v>
      </c>
      <c r="J31" s="11">
        <v>0</v>
      </c>
      <c r="K31" s="11">
        <v>224.03</v>
      </c>
      <c r="L31" s="16">
        <v>1.87</v>
      </c>
      <c r="M31" s="11">
        <v>184.53</v>
      </c>
      <c r="N31" s="11">
        <v>2.57</v>
      </c>
      <c r="O31" s="11">
        <v>24.03</v>
      </c>
      <c r="P31" s="11">
        <f t="shared" si="1"/>
        <v>12.900000000000018</v>
      </c>
      <c r="Q31" s="11">
        <v>0.61</v>
      </c>
      <c r="R31" s="11">
        <v>2.37</v>
      </c>
      <c r="S31" s="11">
        <v>4.28</v>
      </c>
      <c r="T31" s="11" t="s">
        <v>341</v>
      </c>
      <c r="U31" s="11">
        <v>3.41</v>
      </c>
      <c r="V31" s="11">
        <v>2.2300000000000182</v>
      </c>
      <c r="W31" s="55">
        <f t="shared" si="3"/>
        <v>224.03</v>
      </c>
      <c r="X31" s="74">
        <f t="shared" si="4"/>
        <v>0.82368432799178681</v>
      </c>
      <c r="Y31" s="74">
        <f t="shared" si="5"/>
        <v>1.1471677900281212E-2</v>
      </c>
      <c r="Z31" s="74">
        <f t="shared" si="6"/>
        <v>0.10726242021157881</v>
      </c>
      <c r="AA31" s="74">
        <f t="shared" si="7"/>
        <v>5.7581573896353246E-2</v>
      </c>
    </row>
    <row r="32" spans="1:27">
      <c r="A32" s="7" t="s">
        <v>7</v>
      </c>
      <c r="B32" s="7">
        <v>10006722</v>
      </c>
      <c r="C32" s="7" t="str">
        <f t="shared" si="0"/>
        <v>FEBRERO10006722Revalorización</v>
      </c>
      <c r="D32" s="7" t="s">
        <v>339</v>
      </c>
      <c r="E32" s="3" t="s">
        <v>321</v>
      </c>
      <c r="F32" s="8">
        <v>0</v>
      </c>
      <c r="G32" s="2" t="s">
        <v>320</v>
      </c>
      <c r="H32" s="11">
        <v>0</v>
      </c>
      <c r="I32" s="11">
        <v>0</v>
      </c>
      <c r="J32" s="11">
        <v>0</v>
      </c>
      <c r="K32" s="11">
        <v>0</v>
      </c>
      <c r="L32" s="16">
        <v>0</v>
      </c>
      <c r="M32" s="11">
        <v>0</v>
      </c>
      <c r="N32" s="11">
        <v>0</v>
      </c>
      <c r="O32" s="11">
        <v>0</v>
      </c>
      <c r="P32" s="11">
        <f t="shared" si="1"/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55">
        <f t="shared" si="3"/>
        <v>0</v>
      </c>
      <c r="X32" s="74" t="e">
        <f t="shared" si="4"/>
        <v>#DIV/0!</v>
      </c>
      <c r="Y32" s="74" t="e">
        <f t="shared" si="5"/>
        <v>#DIV/0!</v>
      </c>
      <c r="Z32" s="74" t="e">
        <f t="shared" si="6"/>
        <v>#DIV/0!</v>
      </c>
      <c r="AA32" s="74" t="e">
        <f t="shared" si="7"/>
        <v>#DIV/0!</v>
      </c>
    </row>
    <row r="33" spans="1:27">
      <c r="A33" s="7" t="s">
        <v>7</v>
      </c>
      <c r="B33" s="7">
        <v>10006722</v>
      </c>
      <c r="C33" s="7" t="str">
        <f t="shared" si="0"/>
        <v>FEBRERO10006722Inventario acumulado</v>
      </c>
      <c r="D33" s="7" t="s">
        <v>339</v>
      </c>
      <c r="E33" s="3" t="s">
        <v>322</v>
      </c>
      <c r="F33" s="8">
        <v>120</v>
      </c>
      <c r="G33" s="2" t="s">
        <v>320</v>
      </c>
      <c r="H33" s="11">
        <v>224.4</v>
      </c>
      <c r="I33" s="11" t="s">
        <v>340</v>
      </c>
      <c r="J33" s="11">
        <v>0</v>
      </c>
      <c r="K33" s="11">
        <v>224.03</v>
      </c>
      <c r="L33" s="16">
        <v>1.87</v>
      </c>
      <c r="M33" s="11">
        <v>184.53</v>
      </c>
      <c r="N33" s="11">
        <v>2.57</v>
      </c>
      <c r="O33" s="11">
        <v>24.03</v>
      </c>
      <c r="P33" s="11">
        <f t="shared" si="1"/>
        <v>12.900000000000018</v>
      </c>
      <c r="Q33" s="11">
        <v>0.61</v>
      </c>
      <c r="R33" s="11">
        <v>2.37</v>
      </c>
      <c r="S33" s="11">
        <v>4.28</v>
      </c>
      <c r="T33" s="11" t="s">
        <v>341</v>
      </c>
      <c r="U33" s="11">
        <v>3.41</v>
      </c>
      <c r="V33" s="11">
        <v>2.2300000000000182</v>
      </c>
      <c r="W33" s="55">
        <f t="shared" si="3"/>
        <v>224.03</v>
      </c>
      <c r="X33" s="74">
        <f t="shared" si="4"/>
        <v>0.82368432799178681</v>
      </c>
      <c r="Y33" s="74">
        <f t="shared" si="5"/>
        <v>1.1471677900281212E-2</v>
      </c>
      <c r="Z33" s="74">
        <f t="shared" si="6"/>
        <v>0.10726242021157881</v>
      </c>
      <c r="AA33" s="74">
        <f t="shared" si="7"/>
        <v>5.7581573896353246E-2</v>
      </c>
    </row>
    <row r="34" spans="1:27">
      <c r="A34" s="7" t="s">
        <v>7</v>
      </c>
      <c r="B34" s="7">
        <v>10006722</v>
      </c>
      <c r="C34" s="7" t="str">
        <f t="shared" si="0"/>
        <v>FEBRERO10006722Inventario final</v>
      </c>
      <c r="D34" s="7" t="s">
        <v>339</v>
      </c>
      <c r="E34" s="3" t="s">
        <v>218</v>
      </c>
      <c r="F34" s="8">
        <v>120</v>
      </c>
      <c r="G34" s="2" t="s">
        <v>320</v>
      </c>
      <c r="H34" s="11">
        <v>224.4</v>
      </c>
      <c r="I34" s="11" t="s">
        <v>340</v>
      </c>
      <c r="J34" s="11">
        <v>0</v>
      </c>
      <c r="K34" s="11">
        <v>224.03</v>
      </c>
      <c r="L34" s="16">
        <v>1.87</v>
      </c>
      <c r="M34" s="11">
        <v>184.53</v>
      </c>
      <c r="N34" s="11">
        <v>2.57</v>
      </c>
      <c r="O34" s="11">
        <v>24.03</v>
      </c>
      <c r="P34" s="11">
        <f t="shared" si="1"/>
        <v>12.900000000000018</v>
      </c>
      <c r="Q34" s="11">
        <v>0.61</v>
      </c>
      <c r="R34" s="11">
        <v>2.37</v>
      </c>
      <c r="S34" s="11">
        <v>4.28</v>
      </c>
      <c r="T34" s="11" t="s">
        <v>341</v>
      </c>
      <c r="U34" s="11">
        <v>3.41</v>
      </c>
      <c r="V34" s="11">
        <v>2.2300000000000182</v>
      </c>
      <c r="W34" s="55">
        <f t="shared" si="3"/>
        <v>224.03</v>
      </c>
      <c r="X34" s="74">
        <f t="shared" si="4"/>
        <v>0.82368432799178681</v>
      </c>
      <c r="Y34" s="74">
        <f t="shared" si="5"/>
        <v>1.1471677900281212E-2</v>
      </c>
      <c r="Z34" s="74">
        <f t="shared" si="6"/>
        <v>0.10726242021157881</v>
      </c>
      <c r="AA34" s="74">
        <f t="shared" si="7"/>
        <v>5.7581573896353246E-2</v>
      </c>
    </row>
    <row r="35" spans="1:27">
      <c r="A35" s="7" t="s">
        <v>6</v>
      </c>
      <c r="B35" s="7">
        <v>10007969</v>
      </c>
      <c r="C35" s="7" t="str">
        <f t="shared" si="0"/>
        <v>ENERO10007969Inventario inicial</v>
      </c>
      <c r="D35" s="4" t="s">
        <v>37</v>
      </c>
      <c r="E35" s="3" t="s">
        <v>319</v>
      </c>
      <c r="F35" s="8">
        <v>33140</v>
      </c>
      <c r="G35" s="2" t="s">
        <v>320</v>
      </c>
      <c r="H35" s="11">
        <v>66611.399999999994</v>
      </c>
      <c r="I35" s="11">
        <v>-3356.06</v>
      </c>
      <c r="J35" s="11"/>
      <c r="K35" s="11">
        <v>63255.34</v>
      </c>
      <c r="L35" s="16">
        <v>1.91</v>
      </c>
      <c r="M35" s="11">
        <v>45896.74</v>
      </c>
      <c r="N35" s="11">
        <v>553.85</v>
      </c>
      <c r="O35" s="11">
        <v>7946.71</v>
      </c>
      <c r="P35" s="11">
        <f t="shared" si="1"/>
        <v>8858.0399999999972</v>
      </c>
      <c r="Q35" s="11">
        <v>164.9</v>
      </c>
      <c r="R35" s="11">
        <v>915.37</v>
      </c>
      <c r="S35" s="11">
        <v>3681.16</v>
      </c>
      <c r="T35" s="11">
        <v>3942.02</v>
      </c>
      <c r="U35" s="11"/>
      <c r="V35" s="11">
        <v>154.58999999999651</v>
      </c>
      <c r="W35" s="55">
        <f t="shared" si="3"/>
        <v>63255.34</v>
      </c>
      <c r="X35" s="74">
        <f t="shared" si="4"/>
        <v>0.72557889974190326</v>
      </c>
      <c r="Y35" s="74">
        <f t="shared" si="5"/>
        <v>8.7557825157528208E-3</v>
      </c>
      <c r="Z35" s="74">
        <f t="shared" si="6"/>
        <v>0.12562907732374848</v>
      </c>
      <c r="AA35" s="74">
        <f t="shared" si="7"/>
        <v>0.14003624041859544</v>
      </c>
    </row>
    <row r="36" spans="1:27">
      <c r="A36" s="7" t="s">
        <v>6</v>
      </c>
      <c r="B36" s="7">
        <v>10007969</v>
      </c>
      <c r="C36" s="7" t="str">
        <f t="shared" si="0"/>
        <v>ENERO10007969Revalorización</v>
      </c>
      <c r="D36" s="4" t="s">
        <v>37</v>
      </c>
      <c r="E36" s="3" t="s">
        <v>321</v>
      </c>
      <c r="F36" s="9">
        <v>0</v>
      </c>
      <c r="G36" s="3" t="s">
        <v>320</v>
      </c>
      <c r="H36" s="12">
        <v>1325.6</v>
      </c>
      <c r="I36" s="12">
        <v>-1325.6</v>
      </c>
      <c r="J36" s="13"/>
      <c r="K36" s="12">
        <v>0</v>
      </c>
      <c r="L36" s="17">
        <v>0</v>
      </c>
      <c r="M36" s="12">
        <v>0</v>
      </c>
      <c r="N36" s="12">
        <v>0</v>
      </c>
      <c r="O36" s="12">
        <v>0</v>
      </c>
      <c r="P36" s="12">
        <f t="shared" si="1"/>
        <v>0</v>
      </c>
      <c r="Q36" s="12">
        <v>0</v>
      </c>
      <c r="R36" s="12">
        <v>0</v>
      </c>
      <c r="S36" s="12">
        <v>0</v>
      </c>
      <c r="T36" s="14">
        <v>0</v>
      </c>
      <c r="U36" s="11"/>
      <c r="V36" s="11">
        <v>0</v>
      </c>
      <c r="W36" s="55">
        <f t="shared" si="3"/>
        <v>0</v>
      </c>
      <c r="X36" s="74" t="e">
        <f t="shared" si="4"/>
        <v>#DIV/0!</v>
      </c>
      <c r="Y36" s="74" t="e">
        <f t="shared" si="5"/>
        <v>#DIV/0!</v>
      </c>
      <c r="Z36" s="74" t="e">
        <f t="shared" si="6"/>
        <v>#DIV/0!</v>
      </c>
      <c r="AA36" s="74" t="e">
        <f t="shared" si="7"/>
        <v>#DIV/0!</v>
      </c>
    </row>
    <row r="37" spans="1:27">
      <c r="A37" s="7" t="s">
        <v>6</v>
      </c>
      <c r="B37" s="7">
        <v>10007969</v>
      </c>
      <c r="C37" s="7" t="str">
        <f t="shared" ref="C37:C68" si="8">A37&amp;B37&amp;E37</f>
        <v>ENERO10007969Entradas</v>
      </c>
      <c r="D37" s="4" t="s">
        <v>37</v>
      </c>
      <c r="E37" s="3" t="s">
        <v>164</v>
      </c>
      <c r="F37" s="9">
        <v>31840</v>
      </c>
      <c r="G37" s="3" t="s">
        <v>320</v>
      </c>
      <c r="H37" s="12">
        <v>65272</v>
      </c>
      <c r="I37" s="12">
        <v>-21679.65</v>
      </c>
      <c r="J37" s="13"/>
      <c r="K37" s="12">
        <v>43592.35</v>
      </c>
      <c r="L37" s="17">
        <v>1.37</v>
      </c>
      <c r="M37" s="12">
        <v>36713.730000000003</v>
      </c>
      <c r="N37" s="12">
        <v>541.57000000000005</v>
      </c>
      <c r="O37" s="12">
        <v>6527.17</v>
      </c>
      <c r="P37" s="12">
        <f t="shared" ref="P37:P68" si="9">SUM(Q37:V37)</f>
        <v>-190.12000000000262</v>
      </c>
      <c r="Q37" s="12">
        <v>0</v>
      </c>
      <c r="R37" s="12">
        <v>0</v>
      </c>
      <c r="S37" s="12">
        <v>0</v>
      </c>
      <c r="T37" s="14">
        <v>0</v>
      </c>
      <c r="U37" s="11"/>
      <c r="V37" s="11">
        <v>-190.12000000000262</v>
      </c>
      <c r="W37" s="55">
        <f t="shared" si="3"/>
        <v>43592.35</v>
      </c>
      <c r="X37" s="74">
        <f t="shared" si="4"/>
        <v>0.84220579987084898</v>
      </c>
      <c r="Y37" s="74">
        <f t="shared" si="5"/>
        <v>1.2423510088352659E-2</v>
      </c>
      <c r="Z37" s="74">
        <f t="shared" si="6"/>
        <v>0.14973200573036324</v>
      </c>
      <c r="AA37" s="74">
        <f t="shared" si="7"/>
        <v>-4.3613156895648576E-3</v>
      </c>
    </row>
    <row r="38" spans="1:27">
      <c r="A38" s="7" t="s">
        <v>6</v>
      </c>
      <c r="B38" s="7">
        <v>10007969</v>
      </c>
      <c r="C38" s="7" t="str">
        <f t="shared" si="8"/>
        <v>ENERO10007969Inv. acumulado</v>
      </c>
      <c r="D38" s="4" t="s">
        <v>37</v>
      </c>
      <c r="E38" s="3" t="s">
        <v>330</v>
      </c>
      <c r="F38" s="9">
        <v>64980</v>
      </c>
      <c r="G38" s="3" t="s">
        <v>320</v>
      </c>
      <c r="H38" s="12">
        <v>133209</v>
      </c>
      <c r="I38" s="12">
        <v>-26361.31</v>
      </c>
      <c r="J38" s="13"/>
      <c r="K38" s="12">
        <v>106847.69</v>
      </c>
      <c r="L38" s="17">
        <v>1.64</v>
      </c>
      <c r="M38" s="12">
        <v>82610.47</v>
      </c>
      <c r="N38" s="12">
        <v>1095.42</v>
      </c>
      <c r="O38" s="12">
        <v>14473.88</v>
      </c>
      <c r="P38" s="12">
        <f t="shared" si="9"/>
        <v>8667.9200000000019</v>
      </c>
      <c r="Q38" s="12">
        <v>164.9</v>
      </c>
      <c r="R38" s="12">
        <v>915.37</v>
      </c>
      <c r="S38" s="12">
        <v>3681.16</v>
      </c>
      <c r="T38" s="14">
        <v>3942.02</v>
      </c>
      <c r="U38" s="11"/>
      <c r="V38" s="11">
        <v>-35.529999999998836</v>
      </c>
      <c r="W38" s="55">
        <f t="shared" si="3"/>
        <v>106847.69</v>
      </c>
      <c r="X38" s="74">
        <f t="shared" si="4"/>
        <v>0.77316102949909349</v>
      </c>
      <c r="Y38" s="74">
        <f t="shared" si="5"/>
        <v>1.0252163617201271E-2</v>
      </c>
      <c r="Z38" s="74">
        <f t="shared" si="6"/>
        <v>0.13546273204409004</v>
      </c>
      <c r="AA38" s="74">
        <f t="shared" si="7"/>
        <v>8.1124074839615173E-2</v>
      </c>
    </row>
    <row r="39" spans="1:27">
      <c r="A39" s="7" t="s">
        <v>6</v>
      </c>
      <c r="B39" s="7">
        <v>10007969</v>
      </c>
      <c r="C39" s="7" t="str">
        <f t="shared" si="8"/>
        <v>ENERO10007969Compensación</v>
      </c>
      <c r="D39" s="4" t="s">
        <v>37</v>
      </c>
      <c r="E39" s="3" t="s">
        <v>114</v>
      </c>
      <c r="F39" s="9">
        <v>24020</v>
      </c>
      <c r="G39" s="3" t="s">
        <v>320</v>
      </c>
      <c r="H39" s="12">
        <v>49241</v>
      </c>
      <c r="I39" s="12">
        <v>-9744.52</v>
      </c>
      <c r="J39" s="13"/>
      <c r="K39" s="12">
        <v>39496.480000000003</v>
      </c>
      <c r="L39" s="17">
        <v>1.64</v>
      </c>
      <c r="M39" s="12">
        <v>30537.14</v>
      </c>
      <c r="N39" s="12">
        <v>404.93</v>
      </c>
      <c r="O39" s="12">
        <v>5350.3</v>
      </c>
      <c r="P39" s="12">
        <f t="shared" si="9"/>
        <v>3204.1100000000024</v>
      </c>
      <c r="Q39" s="12">
        <v>60.95</v>
      </c>
      <c r="R39" s="12">
        <v>338.37</v>
      </c>
      <c r="S39" s="12">
        <v>1360.75</v>
      </c>
      <c r="T39" s="14">
        <v>1457.17</v>
      </c>
      <c r="U39" s="11"/>
      <c r="V39" s="11">
        <v>-13.129999999997381</v>
      </c>
      <c r="W39" s="55">
        <f t="shared" si="3"/>
        <v>39496.480000000003</v>
      </c>
      <c r="X39" s="74">
        <f t="shared" si="4"/>
        <v>0.77316105131393975</v>
      </c>
      <c r="Y39" s="74">
        <f t="shared" si="5"/>
        <v>1.0252306028284039E-2</v>
      </c>
      <c r="Z39" s="74">
        <f t="shared" si="6"/>
        <v>0.13546270452455508</v>
      </c>
      <c r="AA39" s="74">
        <f t="shared" si="7"/>
        <v>8.1123938133221038E-2</v>
      </c>
    </row>
    <row r="40" spans="1:27">
      <c r="A40" s="7" t="s">
        <v>6</v>
      </c>
      <c r="B40" s="7">
        <v>10007969</v>
      </c>
      <c r="C40" s="7" t="str">
        <f t="shared" si="8"/>
        <v>ENERO10007969Inventario final</v>
      </c>
      <c r="D40" s="4" t="s">
        <v>37</v>
      </c>
      <c r="E40" s="3" t="s">
        <v>218</v>
      </c>
      <c r="F40" s="9">
        <v>40960</v>
      </c>
      <c r="G40" s="3" t="s">
        <v>320</v>
      </c>
      <c r="H40" s="12">
        <v>83968</v>
      </c>
      <c r="I40" s="12">
        <v>-16616.79</v>
      </c>
      <c r="J40" s="13"/>
      <c r="K40" s="12">
        <v>67351.210000000006</v>
      </c>
      <c r="L40" s="17">
        <v>1.64</v>
      </c>
      <c r="M40" s="12">
        <v>52073.33</v>
      </c>
      <c r="N40" s="12">
        <v>690.49</v>
      </c>
      <c r="O40" s="12">
        <v>9123.58</v>
      </c>
      <c r="P40" s="12">
        <f t="shared" si="9"/>
        <v>5463.8100000000049</v>
      </c>
      <c r="Q40" s="12">
        <v>103.95</v>
      </c>
      <c r="R40" s="12">
        <v>577</v>
      </c>
      <c r="S40" s="12">
        <v>2320.41</v>
      </c>
      <c r="T40" s="14">
        <v>2484.85</v>
      </c>
      <c r="U40" s="11"/>
      <c r="V40" s="11">
        <v>-22.399999999994179</v>
      </c>
      <c r="W40" s="55">
        <f t="shared" si="3"/>
        <v>67351.210000000006</v>
      </c>
      <c r="X40" s="74">
        <f t="shared" si="4"/>
        <v>0.7731610167063071</v>
      </c>
      <c r="Y40" s="74">
        <f t="shared" si="5"/>
        <v>1.0252080103683362E-2</v>
      </c>
      <c r="Z40" s="74">
        <f t="shared" si="6"/>
        <v>0.1354627481822524</v>
      </c>
      <c r="AA40" s="74">
        <f t="shared" si="7"/>
        <v>8.1124155007757159E-2</v>
      </c>
    </row>
    <row r="41" spans="1:27">
      <c r="A41" s="7" t="s">
        <v>7</v>
      </c>
      <c r="B41" s="7">
        <v>10007969</v>
      </c>
      <c r="C41" s="7" t="str">
        <f t="shared" si="8"/>
        <v>FEBRERO10007969Inventario inicial</v>
      </c>
      <c r="D41" s="4" t="s">
        <v>37</v>
      </c>
      <c r="E41" s="3" t="s">
        <v>319</v>
      </c>
      <c r="F41" s="8">
        <v>40960</v>
      </c>
      <c r="G41" s="2" t="s">
        <v>320</v>
      </c>
      <c r="H41" s="11">
        <v>83968</v>
      </c>
      <c r="I41" s="11" t="s">
        <v>342</v>
      </c>
      <c r="J41" s="11"/>
      <c r="K41" s="11">
        <v>67351.210000000006</v>
      </c>
      <c r="L41" s="16">
        <v>1.64</v>
      </c>
      <c r="M41" s="11">
        <v>52073.33</v>
      </c>
      <c r="N41" s="11">
        <v>690.49</v>
      </c>
      <c r="O41" s="11">
        <v>9123.58</v>
      </c>
      <c r="P41" s="11">
        <f t="shared" si="9"/>
        <v>5463.8100000000104</v>
      </c>
      <c r="Q41" s="11">
        <v>103.95</v>
      </c>
      <c r="R41" s="11">
        <v>577</v>
      </c>
      <c r="S41" s="11">
        <v>2320.41</v>
      </c>
      <c r="T41" s="11">
        <v>0.01</v>
      </c>
      <c r="U41" s="11">
        <v>2484.85</v>
      </c>
      <c r="V41" s="11">
        <v>-22.409999999988941</v>
      </c>
      <c r="W41" s="55">
        <f t="shared" si="3"/>
        <v>67351.210000000006</v>
      </c>
      <c r="X41" s="74">
        <f t="shared" si="4"/>
        <v>0.7731610167063071</v>
      </c>
      <c r="Y41" s="74">
        <f t="shared" si="5"/>
        <v>1.0252080103683362E-2</v>
      </c>
      <c r="Z41" s="74">
        <f t="shared" si="6"/>
        <v>0.1354627481822524</v>
      </c>
      <c r="AA41" s="74">
        <f t="shared" si="7"/>
        <v>8.1124155007757243E-2</v>
      </c>
    </row>
    <row r="42" spans="1:27">
      <c r="A42" s="7" t="s">
        <v>7</v>
      </c>
      <c r="B42" s="7">
        <v>10007969</v>
      </c>
      <c r="C42" s="7" t="str">
        <f t="shared" si="8"/>
        <v>FEBRERO10007969Revalorización</v>
      </c>
      <c r="D42" s="4" t="s">
        <v>37</v>
      </c>
      <c r="E42" s="3" t="s">
        <v>321</v>
      </c>
      <c r="F42" s="8">
        <v>0</v>
      </c>
      <c r="G42" s="2" t="s">
        <v>320</v>
      </c>
      <c r="H42" s="11" t="s">
        <v>343</v>
      </c>
      <c r="I42" s="11">
        <v>5734.4</v>
      </c>
      <c r="J42" s="11"/>
      <c r="K42" s="11">
        <v>0</v>
      </c>
      <c r="L42" s="16">
        <v>0</v>
      </c>
      <c r="M42" s="11">
        <v>0</v>
      </c>
      <c r="N42" s="11">
        <v>0</v>
      </c>
      <c r="O42" s="11">
        <v>0</v>
      </c>
      <c r="P42" s="11">
        <f t="shared" si="9"/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55">
        <f t="shared" si="3"/>
        <v>0</v>
      </c>
      <c r="X42" s="74" t="e">
        <f t="shared" si="4"/>
        <v>#DIV/0!</v>
      </c>
      <c r="Y42" s="74" t="e">
        <f t="shared" si="5"/>
        <v>#DIV/0!</v>
      </c>
      <c r="Z42" s="74" t="e">
        <f t="shared" si="6"/>
        <v>#DIV/0!</v>
      </c>
      <c r="AA42" s="74" t="e">
        <f t="shared" si="7"/>
        <v>#DIV/0!</v>
      </c>
    </row>
    <row r="43" spans="1:27">
      <c r="A43" s="7" t="s">
        <v>7</v>
      </c>
      <c r="B43" s="7">
        <v>10007969</v>
      </c>
      <c r="C43" s="7" t="str">
        <f t="shared" si="8"/>
        <v>FEBRERO10007969Entradas</v>
      </c>
      <c r="D43" s="4" t="s">
        <v>37</v>
      </c>
      <c r="E43" s="3" t="s">
        <v>164</v>
      </c>
      <c r="F43" s="8">
        <v>52860</v>
      </c>
      <c r="G43" s="2" t="s">
        <v>320</v>
      </c>
      <c r="H43" s="11">
        <v>100962.6</v>
      </c>
      <c r="I43" s="11" t="s">
        <v>344</v>
      </c>
      <c r="J43" s="11"/>
      <c r="K43" s="11">
        <v>63741.34</v>
      </c>
      <c r="L43" s="16">
        <v>1.21</v>
      </c>
      <c r="M43" s="11">
        <v>53960.46</v>
      </c>
      <c r="N43" s="11">
        <v>874.71</v>
      </c>
      <c r="O43" s="11">
        <v>10836.3</v>
      </c>
      <c r="P43" s="11">
        <f t="shared" si="9"/>
        <v>-1930.1300000000047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-1930.1300000000047</v>
      </c>
      <c r="W43" s="55">
        <f t="shared" si="3"/>
        <v>63741.34</v>
      </c>
      <c r="X43" s="74">
        <f t="shared" si="4"/>
        <v>0.84655358673036996</v>
      </c>
      <c r="Y43" s="74">
        <f t="shared" si="5"/>
        <v>1.372280532539793E-2</v>
      </c>
      <c r="Z43" s="74">
        <f t="shared" si="6"/>
        <v>0.17000427038402394</v>
      </c>
      <c r="AA43" s="74">
        <f t="shared" si="7"/>
        <v>-3.0280662439791897E-2</v>
      </c>
    </row>
    <row r="44" spans="1:27">
      <c r="A44" s="7" t="s">
        <v>7</v>
      </c>
      <c r="B44" s="7">
        <v>10007969</v>
      </c>
      <c r="C44" s="7" t="str">
        <f t="shared" si="8"/>
        <v>FEBRERO10007969Inventario acumulado</v>
      </c>
      <c r="D44" s="4" t="s">
        <v>37</v>
      </c>
      <c r="E44" s="3" t="s">
        <v>322</v>
      </c>
      <c r="F44" s="8">
        <v>93820</v>
      </c>
      <c r="G44" s="2" t="s">
        <v>320</v>
      </c>
      <c r="H44" s="11">
        <v>179196.2</v>
      </c>
      <c r="I44" s="11" t="s">
        <v>345</v>
      </c>
      <c r="J44" s="11"/>
      <c r="K44" s="11">
        <v>131092.54999999999</v>
      </c>
      <c r="L44" s="16">
        <v>1.4</v>
      </c>
      <c r="M44" s="11">
        <v>106033.79</v>
      </c>
      <c r="N44" s="11">
        <v>1565.2</v>
      </c>
      <c r="O44" s="11">
        <v>19959.88</v>
      </c>
      <c r="P44" s="11">
        <f t="shared" si="9"/>
        <v>3533.6799999999912</v>
      </c>
      <c r="Q44" s="11">
        <v>103.95</v>
      </c>
      <c r="R44" s="11">
        <v>577</v>
      </c>
      <c r="S44" s="11">
        <v>2320.41</v>
      </c>
      <c r="T44" s="11">
        <v>0.01</v>
      </c>
      <c r="U44" s="11">
        <v>2484.85</v>
      </c>
      <c r="V44" s="11">
        <v>-1952.5400000000081</v>
      </c>
      <c r="W44" s="55">
        <f t="shared" si="3"/>
        <v>131092.54999999999</v>
      </c>
      <c r="X44" s="74">
        <f t="shared" si="4"/>
        <v>0.80884680326990366</v>
      </c>
      <c r="Y44" s="74">
        <f t="shared" si="5"/>
        <v>1.193965637253986E-2</v>
      </c>
      <c r="Z44" s="74">
        <f t="shared" si="6"/>
        <v>0.15225792770069696</v>
      </c>
      <c r="AA44" s="74">
        <f t="shared" si="7"/>
        <v>2.6955612656859536E-2</v>
      </c>
    </row>
    <row r="45" spans="1:27">
      <c r="A45" s="7" t="s">
        <v>7</v>
      </c>
      <c r="B45" s="7">
        <v>10007969</v>
      </c>
      <c r="C45" s="7" t="str">
        <f t="shared" si="8"/>
        <v>FEBRERO10007969Compensación</v>
      </c>
      <c r="D45" s="4" t="s">
        <v>37</v>
      </c>
      <c r="E45" s="3" t="s">
        <v>114</v>
      </c>
      <c r="F45" s="8">
        <v>33140</v>
      </c>
      <c r="G45" s="2" t="s">
        <v>320</v>
      </c>
      <c r="H45" s="11">
        <v>63297.4</v>
      </c>
      <c r="I45" s="11" t="s">
        <v>346</v>
      </c>
      <c r="J45" s="11"/>
      <c r="K45" s="11">
        <v>46305.77</v>
      </c>
      <c r="L45" s="16">
        <v>1.4</v>
      </c>
      <c r="M45" s="11">
        <v>37454.269999999997</v>
      </c>
      <c r="N45" s="11">
        <v>552.88</v>
      </c>
      <c r="O45" s="11">
        <v>7050.42</v>
      </c>
      <c r="P45" s="11">
        <f t="shared" si="9"/>
        <v>1248.200000000005</v>
      </c>
      <c r="Q45" s="11">
        <v>36.72</v>
      </c>
      <c r="R45" s="11">
        <v>203.81</v>
      </c>
      <c r="S45" s="11">
        <v>819.64</v>
      </c>
      <c r="T45" s="11">
        <v>0</v>
      </c>
      <c r="U45" s="11">
        <v>877.72</v>
      </c>
      <c r="V45" s="11">
        <v>-689.68999999999505</v>
      </c>
      <c r="W45" s="55">
        <f t="shared" si="3"/>
        <v>46305.77</v>
      </c>
      <c r="X45" s="74">
        <f t="shared" si="4"/>
        <v>0.80884671607879532</v>
      </c>
      <c r="Y45" s="74">
        <f t="shared" si="5"/>
        <v>1.1939764742061303E-2</v>
      </c>
      <c r="Z45" s="74">
        <f t="shared" si="6"/>
        <v>0.15225791515830533</v>
      </c>
      <c r="AA45" s="74">
        <f t="shared" si="7"/>
        <v>2.6955604020838117E-2</v>
      </c>
    </row>
    <row r="46" spans="1:27">
      <c r="A46" s="7" t="s">
        <v>7</v>
      </c>
      <c r="B46" s="7">
        <v>10007969</v>
      </c>
      <c r="C46" s="7" t="str">
        <f t="shared" si="8"/>
        <v>FEBRERO10007969Inventario final</v>
      </c>
      <c r="D46" s="4" t="s">
        <v>37</v>
      </c>
      <c r="E46" s="3" t="s">
        <v>218</v>
      </c>
      <c r="F46" s="8">
        <v>60680</v>
      </c>
      <c r="G46" s="2" t="s">
        <v>320</v>
      </c>
      <c r="H46" s="11">
        <v>115898.8</v>
      </c>
      <c r="I46" s="11" t="s">
        <v>347</v>
      </c>
      <c r="J46" s="11"/>
      <c r="K46" s="11">
        <v>84786.78</v>
      </c>
      <c r="L46" s="16">
        <v>1.4</v>
      </c>
      <c r="M46" s="11">
        <v>68579.520000000004</v>
      </c>
      <c r="N46" s="11">
        <v>1012.32</v>
      </c>
      <c r="O46" s="11">
        <v>12909.46</v>
      </c>
      <c r="P46" s="11">
        <f t="shared" si="9"/>
        <v>2285.4799999999796</v>
      </c>
      <c r="Q46" s="11">
        <v>67.23</v>
      </c>
      <c r="R46" s="11">
        <v>373.19</v>
      </c>
      <c r="S46" s="11">
        <v>1500.77</v>
      </c>
      <c r="T46" s="11">
        <v>0.01</v>
      </c>
      <c r="U46" s="11">
        <v>1607.13</v>
      </c>
      <c r="V46" s="11">
        <v>-1262.8500000000204</v>
      </c>
      <c r="W46" s="55">
        <f t="shared" si="3"/>
        <v>84786.78</v>
      </c>
      <c r="X46" s="74">
        <f t="shared" si="4"/>
        <v>0.8088468508887825</v>
      </c>
      <c r="Y46" s="74">
        <f t="shared" si="5"/>
        <v>1.1939597187203006E-2</v>
      </c>
      <c r="Z46" s="74">
        <f t="shared" si="6"/>
        <v>0.15225793455064573</v>
      </c>
      <c r="AA46" s="74">
        <f t="shared" si="7"/>
        <v>2.695561737336858E-2</v>
      </c>
    </row>
    <row r="47" spans="1:27">
      <c r="A47" s="7" t="s">
        <v>6</v>
      </c>
      <c r="B47" s="7">
        <v>10005721</v>
      </c>
      <c r="C47" s="7" t="str">
        <f t="shared" si="8"/>
        <v>ENERO10005721Inventario inicial</v>
      </c>
      <c r="D47" s="7" t="s">
        <v>348</v>
      </c>
      <c r="E47" s="3" t="s">
        <v>319</v>
      </c>
      <c r="F47" s="8">
        <v>130100</v>
      </c>
      <c r="G47" s="2" t="s">
        <v>320</v>
      </c>
      <c r="H47" s="11">
        <v>291424</v>
      </c>
      <c r="I47" s="11">
        <v>-57699.72</v>
      </c>
      <c r="J47" s="11"/>
      <c r="K47" s="11">
        <v>233724.28</v>
      </c>
      <c r="L47" s="16">
        <v>1.8</v>
      </c>
      <c r="M47" s="11">
        <v>143788.37</v>
      </c>
      <c r="N47" s="11">
        <v>1889.83</v>
      </c>
      <c r="O47" s="11">
        <v>52372.25</v>
      </c>
      <c r="P47" s="11">
        <f t="shared" si="9"/>
        <v>35673.830000000024</v>
      </c>
      <c r="Q47" s="11">
        <v>302.23</v>
      </c>
      <c r="R47" s="11">
        <v>3651.9</v>
      </c>
      <c r="S47" s="11">
        <v>15184.88</v>
      </c>
      <c r="T47" s="11">
        <v>15872.2</v>
      </c>
      <c r="U47" s="11"/>
      <c r="V47" s="11">
        <v>662.62000000002445</v>
      </c>
      <c r="W47" s="55">
        <f t="shared" si="3"/>
        <v>233724.28</v>
      </c>
      <c r="X47" s="74">
        <f t="shared" si="4"/>
        <v>0.61520510406535422</v>
      </c>
      <c r="Y47" s="74">
        <f t="shared" si="5"/>
        <v>8.0857239136644249E-3</v>
      </c>
      <c r="Z47" s="74">
        <f t="shared" si="6"/>
        <v>0.22407706208357986</v>
      </c>
      <c r="AA47" s="74">
        <f t="shared" si="7"/>
        <v>0.15263210993740156</v>
      </c>
    </row>
    <row r="48" spans="1:27">
      <c r="A48" s="7" t="s">
        <v>6</v>
      </c>
      <c r="B48" s="7">
        <v>10005721</v>
      </c>
      <c r="C48" s="7" t="str">
        <f t="shared" si="8"/>
        <v>ENERO10005721Revalorización</v>
      </c>
      <c r="D48" s="7" t="s">
        <v>348</v>
      </c>
      <c r="E48" s="3" t="s">
        <v>321</v>
      </c>
      <c r="F48" s="8">
        <v>0</v>
      </c>
      <c r="G48" s="2" t="s">
        <v>320</v>
      </c>
      <c r="H48" s="11">
        <v>0</v>
      </c>
      <c r="I48" s="11">
        <v>0</v>
      </c>
      <c r="J48" s="11"/>
      <c r="K48" s="11">
        <v>0</v>
      </c>
      <c r="L48" s="16">
        <v>0</v>
      </c>
      <c r="M48" s="11">
        <v>0</v>
      </c>
      <c r="N48" s="11">
        <v>0</v>
      </c>
      <c r="O48" s="11">
        <v>0</v>
      </c>
      <c r="P48" s="11">
        <f t="shared" si="9"/>
        <v>0</v>
      </c>
      <c r="Q48" s="11">
        <v>0</v>
      </c>
      <c r="R48" s="11">
        <v>0</v>
      </c>
      <c r="S48" s="11">
        <v>0</v>
      </c>
      <c r="T48" s="11">
        <v>0</v>
      </c>
      <c r="U48" s="11"/>
      <c r="V48" s="11">
        <v>0</v>
      </c>
      <c r="W48" s="55">
        <f t="shared" si="3"/>
        <v>0</v>
      </c>
      <c r="X48" s="74" t="e">
        <f t="shared" si="4"/>
        <v>#DIV/0!</v>
      </c>
      <c r="Y48" s="74" t="e">
        <f t="shared" si="5"/>
        <v>#DIV/0!</v>
      </c>
      <c r="Z48" s="74" t="e">
        <f t="shared" si="6"/>
        <v>#DIV/0!</v>
      </c>
      <c r="AA48" s="74" t="e">
        <f t="shared" si="7"/>
        <v>#DIV/0!</v>
      </c>
    </row>
    <row r="49" spans="1:27">
      <c r="A49" s="7" t="s">
        <v>6</v>
      </c>
      <c r="B49" s="7">
        <v>10005721</v>
      </c>
      <c r="C49" s="7" t="str">
        <f t="shared" si="8"/>
        <v>ENERO10005721Entradas</v>
      </c>
      <c r="D49" s="7" t="s">
        <v>348</v>
      </c>
      <c r="E49" s="3" t="s">
        <v>164</v>
      </c>
      <c r="F49" s="8">
        <v>375660</v>
      </c>
      <c r="G49" s="2" t="s">
        <v>320</v>
      </c>
      <c r="H49" s="11">
        <v>841478.4</v>
      </c>
      <c r="I49" s="11">
        <v>-133757.06</v>
      </c>
      <c r="J49" s="11"/>
      <c r="K49" s="11">
        <v>707721.34</v>
      </c>
      <c r="L49" s="16">
        <v>1.88</v>
      </c>
      <c r="M49" s="11">
        <v>427211.12</v>
      </c>
      <c r="N49" s="11">
        <v>7123.62</v>
      </c>
      <c r="O49" s="11">
        <v>154762.57</v>
      </c>
      <c r="P49" s="11">
        <f t="shared" si="9"/>
        <v>118624.0299999999</v>
      </c>
      <c r="Q49" s="11">
        <v>843.73</v>
      </c>
      <c r="R49" s="11">
        <v>6457.97</v>
      </c>
      <c r="S49" s="11">
        <v>59002.66</v>
      </c>
      <c r="T49" s="11">
        <v>47757.66</v>
      </c>
      <c r="U49" s="11"/>
      <c r="V49" s="11">
        <v>4562.0099999998929</v>
      </c>
      <c r="W49" s="55">
        <f t="shared" si="3"/>
        <v>707721.34</v>
      </c>
      <c r="X49" s="74">
        <f t="shared" si="4"/>
        <v>0.60364312315352819</v>
      </c>
      <c r="Y49" s="74">
        <f t="shared" si="5"/>
        <v>1.0065571853464246E-2</v>
      </c>
      <c r="Z49" s="74">
        <f t="shared" si="6"/>
        <v>0.21867726922011424</v>
      </c>
      <c r="AA49" s="74">
        <f t="shared" si="7"/>
        <v>0.16761403577289319</v>
      </c>
    </row>
    <row r="50" spans="1:27">
      <c r="A50" s="7" t="s">
        <v>6</v>
      </c>
      <c r="B50" s="7">
        <v>10005721</v>
      </c>
      <c r="C50" s="7" t="str">
        <f t="shared" si="8"/>
        <v>ENERO10005721Inv. acumulado</v>
      </c>
      <c r="D50" s="7" t="s">
        <v>348</v>
      </c>
      <c r="E50" s="3" t="s">
        <v>330</v>
      </c>
      <c r="F50" s="8">
        <v>505760</v>
      </c>
      <c r="G50" s="2" t="s">
        <v>320</v>
      </c>
      <c r="H50" s="11">
        <v>1132902.3999999999</v>
      </c>
      <c r="I50" s="11">
        <v>-191456.78</v>
      </c>
      <c r="J50" s="11"/>
      <c r="K50" s="11">
        <v>941445.62</v>
      </c>
      <c r="L50" s="16">
        <v>1.86</v>
      </c>
      <c r="M50" s="11">
        <v>570999.49</v>
      </c>
      <c r="N50" s="11">
        <v>9013.4500000000007</v>
      </c>
      <c r="O50" s="11">
        <v>207134.82</v>
      </c>
      <c r="P50" s="11">
        <f t="shared" si="9"/>
        <v>154297.85999999999</v>
      </c>
      <c r="Q50" s="11">
        <v>1145.96</v>
      </c>
      <c r="R50" s="11">
        <v>10109.870000000001</v>
      </c>
      <c r="S50" s="11">
        <v>74187.539999999994</v>
      </c>
      <c r="T50" s="11">
        <v>63629.86</v>
      </c>
      <c r="U50" s="11"/>
      <c r="V50" s="11">
        <v>5224.6300000000047</v>
      </c>
      <c r="W50" s="55">
        <f t="shared" si="3"/>
        <v>941445.62</v>
      </c>
      <c r="X50" s="74">
        <f t="shared" si="4"/>
        <v>0.60651351269763198</v>
      </c>
      <c r="Y50" s="74">
        <f t="shared" si="5"/>
        <v>9.574052721175761E-3</v>
      </c>
      <c r="Z50" s="74">
        <f t="shared" si="6"/>
        <v>0.22001782747685417</v>
      </c>
      <c r="AA50" s="74">
        <f t="shared" si="7"/>
        <v>0.16389460710433809</v>
      </c>
    </row>
    <row r="51" spans="1:27">
      <c r="A51" s="7" t="s">
        <v>6</v>
      </c>
      <c r="B51" s="7">
        <v>10005721</v>
      </c>
      <c r="C51" s="7" t="str">
        <f t="shared" si="8"/>
        <v>ENERO10005721Compensación</v>
      </c>
      <c r="D51" s="7" t="s">
        <v>348</v>
      </c>
      <c r="E51" s="3" t="s">
        <v>114</v>
      </c>
      <c r="F51" s="9">
        <v>135000</v>
      </c>
      <c r="G51" s="3" t="s">
        <v>320</v>
      </c>
      <c r="H51" s="12">
        <v>302400</v>
      </c>
      <c r="I51" s="12">
        <v>-51104.61</v>
      </c>
      <c r="J51" s="13"/>
      <c r="K51" s="12">
        <v>251295.39</v>
      </c>
      <c r="L51" s="17">
        <v>1.86</v>
      </c>
      <c r="M51" s="12">
        <v>152414.04999999999</v>
      </c>
      <c r="N51" s="12">
        <v>2405.92</v>
      </c>
      <c r="O51" s="12">
        <v>55289.46</v>
      </c>
      <c r="P51" s="12">
        <f t="shared" si="9"/>
        <v>41185.960000000021</v>
      </c>
      <c r="Q51" s="12">
        <v>305.89</v>
      </c>
      <c r="R51" s="12">
        <v>2698.58</v>
      </c>
      <c r="S51" s="12">
        <v>19802.509999999998</v>
      </c>
      <c r="T51" s="12">
        <v>16984.400000000001</v>
      </c>
      <c r="U51" s="14"/>
      <c r="V51" s="11">
        <v>1394.5800000000163</v>
      </c>
      <c r="W51" s="55">
        <f t="shared" si="3"/>
        <v>251295.39</v>
      </c>
      <c r="X51" s="74">
        <f t="shared" si="4"/>
        <v>0.60651351383724139</v>
      </c>
      <c r="Y51" s="74">
        <f t="shared" si="5"/>
        <v>9.5740713747275667E-3</v>
      </c>
      <c r="Z51" s="74">
        <f t="shared" si="6"/>
        <v>0.22001780454468342</v>
      </c>
      <c r="AA51" s="74">
        <f t="shared" si="7"/>
        <v>0.16389461024334756</v>
      </c>
    </row>
    <row r="52" spans="1:27">
      <c r="A52" s="7" t="s">
        <v>6</v>
      </c>
      <c r="B52" s="7">
        <v>10005721</v>
      </c>
      <c r="C52" s="7" t="str">
        <f t="shared" si="8"/>
        <v>ENERO10005721Inventario final</v>
      </c>
      <c r="D52" s="7" t="s">
        <v>348</v>
      </c>
      <c r="E52" s="3" t="s">
        <v>218</v>
      </c>
      <c r="F52" s="9">
        <v>370760</v>
      </c>
      <c r="G52" s="3" t="s">
        <v>320</v>
      </c>
      <c r="H52" s="12">
        <v>830502.40000000002</v>
      </c>
      <c r="I52" s="12">
        <v>-140352.17000000001</v>
      </c>
      <c r="J52" s="13"/>
      <c r="K52" s="12">
        <v>690150.23</v>
      </c>
      <c r="L52" s="17">
        <v>1.86</v>
      </c>
      <c r="M52" s="12">
        <v>418585.44</v>
      </c>
      <c r="N52" s="12">
        <v>6607.53</v>
      </c>
      <c r="O52" s="12">
        <v>151845.35999999999</v>
      </c>
      <c r="P52" s="12">
        <f t="shared" si="9"/>
        <v>113111.89999999994</v>
      </c>
      <c r="Q52" s="12">
        <v>840.07</v>
      </c>
      <c r="R52" s="12">
        <v>7411.29</v>
      </c>
      <c r="S52" s="12">
        <v>54385.03</v>
      </c>
      <c r="T52" s="12">
        <v>46645.46</v>
      </c>
      <c r="U52" s="14"/>
      <c r="V52" s="11">
        <v>3830.0499999999302</v>
      </c>
      <c r="W52" s="55">
        <f t="shared" si="3"/>
        <v>690150.23</v>
      </c>
      <c r="X52" s="74">
        <f t="shared" si="4"/>
        <v>0.6065135122826808</v>
      </c>
      <c r="Y52" s="74">
        <f t="shared" si="5"/>
        <v>9.5740459291015524E-3</v>
      </c>
      <c r="Z52" s="74">
        <f t="shared" si="6"/>
        <v>0.22001783582684598</v>
      </c>
      <c r="AA52" s="74">
        <f t="shared" si="7"/>
        <v>0.16389460596137154</v>
      </c>
    </row>
    <row r="53" spans="1:27">
      <c r="A53" s="7" t="s">
        <v>7</v>
      </c>
      <c r="B53" s="7">
        <v>10005721</v>
      </c>
      <c r="C53" s="7" t="str">
        <f t="shared" si="8"/>
        <v>FEBRERO10005721Inventario inicial</v>
      </c>
      <c r="D53" s="7" t="s">
        <v>348</v>
      </c>
      <c r="E53" s="3" t="s">
        <v>319</v>
      </c>
      <c r="F53" s="9">
        <v>370760</v>
      </c>
      <c r="G53" s="3" t="s">
        <v>320</v>
      </c>
      <c r="H53" s="12">
        <v>830502.40000000002</v>
      </c>
      <c r="I53" s="12" t="s">
        <v>349</v>
      </c>
      <c r="J53" s="13"/>
      <c r="K53" s="12">
        <v>690150.23</v>
      </c>
      <c r="L53" s="17">
        <v>1.86</v>
      </c>
      <c r="M53" s="12">
        <v>418585.44</v>
      </c>
      <c r="N53" s="12">
        <v>6607.53</v>
      </c>
      <c r="O53" s="12">
        <v>151845.35999999999</v>
      </c>
      <c r="P53" s="12">
        <f t="shared" si="9"/>
        <v>113111.89999999994</v>
      </c>
      <c r="Q53" s="12">
        <v>840.07</v>
      </c>
      <c r="R53" s="12">
        <v>7411.29</v>
      </c>
      <c r="S53" s="12">
        <v>54385.03</v>
      </c>
      <c r="T53" s="12">
        <v>0</v>
      </c>
      <c r="U53" s="14">
        <v>46645.46</v>
      </c>
      <c r="V53" s="11">
        <v>3830.0499999999302</v>
      </c>
      <c r="W53" s="55">
        <f t="shared" si="3"/>
        <v>690150.23</v>
      </c>
      <c r="X53" s="74">
        <f t="shared" si="4"/>
        <v>0.6065135122826808</v>
      </c>
      <c r="Y53" s="74">
        <f t="shared" si="5"/>
        <v>9.5740459291015524E-3</v>
      </c>
      <c r="Z53" s="74">
        <f t="shared" si="6"/>
        <v>0.22001783582684598</v>
      </c>
      <c r="AA53" s="74">
        <f t="shared" si="7"/>
        <v>0.16389460596137154</v>
      </c>
    </row>
    <row r="54" spans="1:27">
      <c r="A54" s="7" t="s">
        <v>7</v>
      </c>
      <c r="B54" s="7">
        <v>10005721</v>
      </c>
      <c r="C54" s="7" t="str">
        <f t="shared" si="8"/>
        <v>FEBRERO10005721Revalorización</v>
      </c>
      <c r="D54" s="7" t="s">
        <v>348</v>
      </c>
      <c r="E54" s="3" t="s">
        <v>321</v>
      </c>
      <c r="F54" s="9">
        <v>0</v>
      </c>
      <c r="G54" s="3" t="s">
        <v>320</v>
      </c>
      <c r="H54" s="12" t="s">
        <v>350</v>
      </c>
      <c r="I54" s="12">
        <v>163134.39999999999</v>
      </c>
      <c r="J54" s="13"/>
      <c r="K54" s="12">
        <v>0</v>
      </c>
      <c r="L54" s="17">
        <v>0</v>
      </c>
      <c r="M54" s="12">
        <v>0</v>
      </c>
      <c r="N54" s="12">
        <v>0</v>
      </c>
      <c r="O54" s="12">
        <v>0</v>
      </c>
      <c r="P54" s="12">
        <f t="shared" si="9"/>
        <v>0</v>
      </c>
      <c r="Q54" s="12">
        <v>0</v>
      </c>
      <c r="R54" s="12">
        <v>0</v>
      </c>
      <c r="S54" s="12">
        <v>0</v>
      </c>
      <c r="T54" s="12">
        <v>0</v>
      </c>
      <c r="U54" s="14">
        <v>0</v>
      </c>
      <c r="V54" s="11">
        <v>0</v>
      </c>
      <c r="W54" s="55">
        <f t="shared" si="3"/>
        <v>0</v>
      </c>
      <c r="X54" s="74" t="e">
        <f t="shared" si="4"/>
        <v>#DIV/0!</v>
      </c>
      <c r="Y54" s="74" t="e">
        <f t="shared" si="5"/>
        <v>#DIV/0!</v>
      </c>
      <c r="Z54" s="74" t="e">
        <f t="shared" si="6"/>
        <v>#DIV/0!</v>
      </c>
      <c r="AA54" s="74" t="e">
        <f t="shared" si="7"/>
        <v>#DIV/0!</v>
      </c>
    </row>
    <row r="55" spans="1:27">
      <c r="A55" s="7" t="s">
        <v>7</v>
      </c>
      <c r="B55" s="7">
        <v>10005721</v>
      </c>
      <c r="C55" s="7" t="str">
        <f t="shared" si="8"/>
        <v>FEBRERO10005721Entradas</v>
      </c>
      <c r="D55" s="7" t="s">
        <v>348</v>
      </c>
      <c r="E55" s="3" t="s">
        <v>164</v>
      </c>
      <c r="F55" s="9">
        <v>659620</v>
      </c>
      <c r="G55" s="3" t="s">
        <v>320</v>
      </c>
      <c r="H55" s="12">
        <v>1187316</v>
      </c>
      <c r="I55" s="12" t="s">
        <v>351</v>
      </c>
      <c r="J55" s="13"/>
      <c r="K55" s="12">
        <v>1103517.46</v>
      </c>
      <c r="L55" s="17">
        <v>1.67</v>
      </c>
      <c r="M55" s="12">
        <v>669876.63</v>
      </c>
      <c r="N55" s="12">
        <v>12521.6</v>
      </c>
      <c r="O55" s="12">
        <v>207741.78</v>
      </c>
      <c r="P55" s="12">
        <f t="shared" si="9"/>
        <v>213377.45000000007</v>
      </c>
      <c r="Q55" s="12">
        <v>4627.24</v>
      </c>
      <c r="R55" s="12">
        <v>11378.45</v>
      </c>
      <c r="S55" s="12">
        <v>103944.9</v>
      </c>
      <c r="T55" s="12">
        <v>0.28999999999999998</v>
      </c>
      <c r="U55" s="14">
        <v>84147.72</v>
      </c>
      <c r="V55" s="11">
        <v>9278.8500000000931</v>
      </c>
      <c r="W55" s="55">
        <f t="shared" si="3"/>
        <v>1103517.46</v>
      </c>
      <c r="X55" s="74">
        <f t="shared" si="4"/>
        <v>0.60703763581592995</v>
      </c>
      <c r="Y55" s="74">
        <f t="shared" si="5"/>
        <v>1.1346988565092572E-2</v>
      </c>
      <c r="Z55" s="74">
        <f t="shared" si="6"/>
        <v>0.18825418494058083</v>
      </c>
      <c r="AA55" s="74">
        <f t="shared" si="7"/>
        <v>0.19336119067839677</v>
      </c>
    </row>
    <row r="56" spans="1:27">
      <c r="A56" s="7" t="s">
        <v>7</v>
      </c>
      <c r="B56" s="7">
        <v>10005721</v>
      </c>
      <c r="C56" s="7" t="str">
        <f t="shared" si="8"/>
        <v>FEBRERO10005721Inventario acumulado</v>
      </c>
      <c r="D56" s="7" t="s">
        <v>348</v>
      </c>
      <c r="E56" s="3" t="s">
        <v>322</v>
      </c>
      <c r="F56" s="9">
        <v>1030380</v>
      </c>
      <c r="G56" s="3" t="s">
        <v>320</v>
      </c>
      <c r="H56" s="12">
        <v>1854684</v>
      </c>
      <c r="I56" s="12" t="s">
        <v>352</v>
      </c>
      <c r="J56" s="13"/>
      <c r="K56" s="12">
        <v>1793667.69</v>
      </c>
      <c r="L56" s="17">
        <v>1.74</v>
      </c>
      <c r="M56" s="12">
        <v>1088462.07</v>
      </c>
      <c r="N56" s="12">
        <v>19129.13</v>
      </c>
      <c r="O56" s="12">
        <v>359587.14</v>
      </c>
      <c r="P56" s="12">
        <f t="shared" si="9"/>
        <v>326489.35000000009</v>
      </c>
      <c r="Q56" s="12">
        <v>5467.31</v>
      </c>
      <c r="R56" s="12">
        <v>18789.740000000002</v>
      </c>
      <c r="S56" s="12">
        <v>158329.93</v>
      </c>
      <c r="T56" s="12">
        <v>0.28999999999999998</v>
      </c>
      <c r="U56" s="14">
        <v>130793.18</v>
      </c>
      <c r="V56" s="11">
        <v>13108.90000000014</v>
      </c>
      <c r="W56" s="55">
        <f t="shared" si="3"/>
        <v>1793667.69</v>
      </c>
      <c r="X56" s="74">
        <f t="shared" si="4"/>
        <v>0.60683596859572142</v>
      </c>
      <c r="Y56" s="74">
        <f t="shared" si="5"/>
        <v>1.0664812722361075E-2</v>
      </c>
      <c r="Z56" s="74">
        <f t="shared" si="6"/>
        <v>0.20047589751700329</v>
      </c>
      <c r="AA56" s="74">
        <f t="shared" si="7"/>
        <v>0.1820233211649144</v>
      </c>
    </row>
    <row r="57" spans="1:27">
      <c r="A57" s="7" t="s">
        <v>7</v>
      </c>
      <c r="B57" s="7">
        <v>10005721</v>
      </c>
      <c r="C57" s="7" t="str">
        <f t="shared" si="8"/>
        <v>FEBRERO10005721Compensación</v>
      </c>
      <c r="D57" s="7" t="s">
        <v>348</v>
      </c>
      <c r="E57" s="3" t="s">
        <v>114</v>
      </c>
      <c r="F57" s="8">
        <v>698300</v>
      </c>
      <c r="G57" s="2" t="s">
        <v>320</v>
      </c>
      <c r="H57" s="11">
        <v>1256940</v>
      </c>
      <c r="I57" s="11" t="s">
        <v>353</v>
      </c>
      <c r="J57" s="11"/>
      <c r="K57" s="11">
        <v>1215588.57</v>
      </c>
      <c r="L57" s="16">
        <v>1.74</v>
      </c>
      <c r="M57" s="11">
        <v>737662.87</v>
      </c>
      <c r="N57" s="11">
        <v>12964.02</v>
      </c>
      <c r="O57" s="11">
        <v>243696.21</v>
      </c>
      <c r="P57" s="11">
        <f t="shared" si="9"/>
        <v>221265.47000000006</v>
      </c>
      <c r="Q57" s="11">
        <v>3705.26</v>
      </c>
      <c r="R57" s="11">
        <v>12734.01</v>
      </c>
      <c r="S57" s="11">
        <v>107301.96</v>
      </c>
      <c r="T57" s="11">
        <v>0.2</v>
      </c>
      <c r="U57" s="11">
        <v>88639.99</v>
      </c>
      <c r="V57" s="11">
        <v>8884.0500000000466</v>
      </c>
      <c r="W57" s="55">
        <f t="shared" si="3"/>
        <v>1215588.57</v>
      </c>
      <c r="X57" s="74">
        <f t="shared" si="4"/>
        <v>0.60683597082522744</v>
      </c>
      <c r="Y57" s="74">
        <f t="shared" si="5"/>
        <v>1.0664809064468251E-2</v>
      </c>
      <c r="Z57" s="74">
        <f t="shared" si="6"/>
        <v>0.20047589786073752</v>
      </c>
      <c r="AA57" s="74">
        <f t="shared" si="7"/>
        <v>0.18202332224956677</v>
      </c>
    </row>
    <row r="58" spans="1:27">
      <c r="A58" s="7" t="s">
        <v>7</v>
      </c>
      <c r="B58" s="7">
        <v>10005721</v>
      </c>
      <c r="C58" s="7" t="str">
        <f t="shared" si="8"/>
        <v>FEBRERO10005721Inventario final</v>
      </c>
      <c r="D58" s="7" t="s">
        <v>348</v>
      </c>
      <c r="E58" s="3" t="s">
        <v>218</v>
      </c>
      <c r="F58" s="8">
        <v>332080</v>
      </c>
      <c r="G58" s="2" t="s">
        <v>320</v>
      </c>
      <c r="H58" s="11">
        <v>597744</v>
      </c>
      <c r="I58" s="11" t="s">
        <v>354</v>
      </c>
      <c r="J58" s="11"/>
      <c r="K58" s="11">
        <v>578079.12</v>
      </c>
      <c r="L58" s="16">
        <v>1.74</v>
      </c>
      <c r="M58" s="11">
        <v>350799.2</v>
      </c>
      <c r="N58" s="11">
        <v>6165.11</v>
      </c>
      <c r="O58" s="11">
        <v>115890.93</v>
      </c>
      <c r="P58" s="11">
        <f t="shared" si="9"/>
        <v>105223.87999999998</v>
      </c>
      <c r="Q58" s="11">
        <v>1762.05</v>
      </c>
      <c r="R58" s="11">
        <v>6055.73</v>
      </c>
      <c r="S58" s="11">
        <v>51027.97</v>
      </c>
      <c r="T58" s="11">
        <v>0.09</v>
      </c>
      <c r="U58" s="11">
        <v>42153.19</v>
      </c>
      <c r="V58" s="11">
        <v>4224.8499999999767</v>
      </c>
      <c r="W58" s="55">
        <f t="shared" si="3"/>
        <v>578079.12</v>
      </c>
      <c r="X58" s="74">
        <f t="shared" si="4"/>
        <v>0.60683596390750116</v>
      </c>
      <c r="Y58" s="74">
        <f t="shared" si="5"/>
        <v>1.0664820414202124E-2</v>
      </c>
      <c r="Z58" s="74">
        <f t="shared" si="6"/>
        <v>0.20047589679419661</v>
      </c>
      <c r="AA58" s="74">
        <f t="shared" si="7"/>
        <v>0.18202331888410012</v>
      </c>
    </row>
    <row r="59" spans="1:27">
      <c r="A59" s="7" t="s">
        <v>6</v>
      </c>
      <c r="B59" s="7">
        <v>10005779</v>
      </c>
      <c r="C59" s="7" t="str">
        <f t="shared" si="8"/>
        <v>ENERO10005779Inventario inicial</v>
      </c>
      <c r="D59" s="7" t="s">
        <v>355</v>
      </c>
      <c r="E59" s="3" t="s">
        <v>319</v>
      </c>
      <c r="F59" s="8">
        <v>96140</v>
      </c>
      <c r="G59" s="2" t="s">
        <v>320</v>
      </c>
      <c r="H59" s="11">
        <v>204778.2</v>
      </c>
      <c r="I59" s="11">
        <v>-14558.56</v>
      </c>
      <c r="J59" s="11"/>
      <c r="K59" s="11">
        <v>190219.64</v>
      </c>
      <c r="L59" s="16">
        <v>1.98</v>
      </c>
      <c r="M59" s="11">
        <v>122437</v>
      </c>
      <c r="N59" s="11">
        <v>1608.88</v>
      </c>
      <c r="O59" s="11">
        <v>40184.82</v>
      </c>
      <c r="P59" s="11">
        <f t="shared" si="9"/>
        <v>25988.94000000001</v>
      </c>
      <c r="Q59" s="11">
        <v>756.12</v>
      </c>
      <c r="R59" s="11">
        <v>2669.29</v>
      </c>
      <c r="S59" s="11">
        <v>10708.82</v>
      </c>
      <c r="T59" s="11">
        <v>11526.48</v>
      </c>
      <c r="U59" s="11"/>
      <c r="V59" s="11">
        <v>328.23000000001048</v>
      </c>
      <c r="W59" s="55">
        <f t="shared" si="3"/>
        <v>190219.64</v>
      </c>
      <c r="X59" s="74">
        <f t="shared" si="4"/>
        <v>0.64366119082130524</v>
      </c>
      <c r="Y59" s="74">
        <f t="shared" si="5"/>
        <v>8.4580120117985717E-3</v>
      </c>
      <c r="Z59" s="74">
        <f t="shared" si="6"/>
        <v>0.2112548420341874</v>
      </c>
      <c r="AA59" s="74">
        <f t="shared" si="7"/>
        <v>0.13662595513270873</v>
      </c>
    </row>
    <row r="60" spans="1:27">
      <c r="A60" s="7" t="s">
        <v>6</v>
      </c>
      <c r="B60" s="7">
        <v>10005779</v>
      </c>
      <c r="C60" s="7" t="str">
        <f t="shared" si="8"/>
        <v>ENERO10005779Revalorización</v>
      </c>
      <c r="D60" s="7" t="s">
        <v>355</v>
      </c>
      <c r="E60" s="3" t="s">
        <v>321</v>
      </c>
      <c r="F60" s="8">
        <v>0</v>
      </c>
      <c r="G60" s="2" t="s">
        <v>320</v>
      </c>
      <c r="H60" s="11">
        <v>-1922.8</v>
      </c>
      <c r="I60" s="11">
        <v>1922.8</v>
      </c>
      <c r="J60" s="11"/>
      <c r="K60" s="11">
        <v>0</v>
      </c>
      <c r="L60" s="16">
        <v>0</v>
      </c>
      <c r="M60" s="11">
        <v>0</v>
      </c>
      <c r="N60" s="11">
        <v>0</v>
      </c>
      <c r="O60" s="11">
        <v>0</v>
      </c>
      <c r="P60" s="11">
        <f t="shared" si="9"/>
        <v>0</v>
      </c>
      <c r="Q60" s="11">
        <v>0</v>
      </c>
      <c r="R60" s="11">
        <v>0</v>
      </c>
      <c r="S60" s="11">
        <v>0</v>
      </c>
      <c r="T60" s="11">
        <v>0</v>
      </c>
      <c r="U60" s="11"/>
      <c r="V60" s="11">
        <v>0</v>
      </c>
      <c r="W60" s="55">
        <f t="shared" si="3"/>
        <v>0</v>
      </c>
      <c r="X60" s="74" t="e">
        <f t="shared" si="4"/>
        <v>#DIV/0!</v>
      </c>
      <c r="Y60" s="74" t="e">
        <f t="shared" si="5"/>
        <v>#DIV/0!</v>
      </c>
      <c r="Z60" s="74" t="e">
        <f t="shared" si="6"/>
        <v>#DIV/0!</v>
      </c>
      <c r="AA60" s="74" t="e">
        <f t="shared" si="7"/>
        <v>#DIV/0!</v>
      </c>
    </row>
    <row r="61" spans="1:27">
      <c r="A61" s="7" t="s">
        <v>6</v>
      </c>
      <c r="B61" s="7">
        <v>10005779</v>
      </c>
      <c r="C61" s="7" t="str">
        <f t="shared" si="8"/>
        <v>ENERO10005779Entradas</v>
      </c>
      <c r="D61" s="7" t="s">
        <v>355</v>
      </c>
      <c r="E61" s="3" t="s">
        <v>164</v>
      </c>
      <c r="F61" s="8">
        <v>84920</v>
      </c>
      <c r="G61" s="2" t="s">
        <v>320</v>
      </c>
      <c r="H61" s="11">
        <v>179181.2</v>
      </c>
      <c r="I61" s="11">
        <v>-19111.95</v>
      </c>
      <c r="J61" s="11"/>
      <c r="K61" s="11">
        <v>160069.25</v>
      </c>
      <c r="L61" s="16">
        <v>1.88</v>
      </c>
      <c r="M61" s="11">
        <v>98016.61</v>
      </c>
      <c r="N61" s="11">
        <v>1066.0999999999999</v>
      </c>
      <c r="O61" s="11">
        <v>34253.93</v>
      </c>
      <c r="P61" s="11">
        <f t="shared" si="9"/>
        <v>26732.60999999999</v>
      </c>
      <c r="Q61" s="11">
        <v>190.73</v>
      </c>
      <c r="R61" s="11">
        <v>1459.86</v>
      </c>
      <c r="S61" s="11">
        <v>13337.87</v>
      </c>
      <c r="T61" s="11">
        <v>10795.88</v>
      </c>
      <c r="U61" s="11"/>
      <c r="V61" s="11">
        <v>948.26999999998952</v>
      </c>
      <c r="W61" s="55">
        <f t="shared" si="3"/>
        <v>160069.25</v>
      </c>
      <c r="X61" s="74">
        <f t="shared" si="4"/>
        <v>0.61233878461978175</v>
      </c>
      <c r="Y61" s="74">
        <f t="shared" si="5"/>
        <v>6.660242363851895E-3</v>
      </c>
      <c r="Z61" s="74">
        <f t="shared" si="6"/>
        <v>0.21399444303012602</v>
      </c>
      <c r="AA61" s="74">
        <f t="shared" si="7"/>
        <v>0.16700652998624027</v>
      </c>
    </row>
    <row r="62" spans="1:27">
      <c r="A62" s="7" t="s">
        <v>6</v>
      </c>
      <c r="B62" s="7">
        <v>10005779</v>
      </c>
      <c r="C62" s="7" t="str">
        <f t="shared" si="8"/>
        <v>ENERO10005779Inv. acumulado</v>
      </c>
      <c r="D62" s="7" t="s">
        <v>355</v>
      </c>
      <c r="E62" s="3" t="s">
        <v>330</v>
      </c>
      <c r="F62" s="8">
        <v>181060</v>
      </c>
      <c r="G62" s="2" t="s">
        <v>320</v>
      </c>
      <c r="H62" s="11">
        <v>382036.6</v>
      </c>
      <c r="I62" s="11">
        <v>-31747.71</v>
      </c>
      <c r="J62" s="11"/>
      <c r="K62" s="11">
        <v>350288.89</v>
      </c>
      <c r="L62" s="16">
        <v>1.93</v>
      </c>
      <c r="M62" s="11">
        <v>220453.61</v>
      </c>
      <c r="N62" s="11">
        <v>2674.98</v>
      </c>
      <c r="O62" s="11">
        <v>74438.75</v>
      </c>
      <c r="P62" s="11">
        <f t="shared" si="9"/>
        <v>52721.550000000061</v>
      </c>
      <c r="Q62" s="11">
        <v>946.85</v>
      </c>
      <c r="R62" s="11">
        <v>4129.1499999999996</v>
      </c>
      <c r="S62" s="11">
        <v>24046.69</v>
      </c>
      <c r="T62" s="11">
        <v>22322.36</v>
      </c>
      <c r="U62" s="11"/>
      <c r="V62" s="11">
        <v>1276.5000000000582</v>
      </c>
      <c r="W62" s="55">
        <f t="shared" si="3"/>
        <v>350288.89</v>
      </c>
      <c r="X62" s="74">
        <f t="shared" si="4"/>
        <v>0.62934799330917968</v>
      </c>
      <c r="Y62" s="74">
        <f t="shared" si="5"/>
        <v>7.6364968355119682E-3</v>
      </c>
      <c r="Z62" s="74">
        <f t="shared" si="6"/>
        <v>0.21250673979411677</v>
      </c>
      <c r="AA62" s="74">
        <f t="shared" si="7"/>
        <v>0.15050877006119165</v>
      </c>
    </row>
    <row r="63" spans="1:27">
      <c r="A63" s="7" t="s">
        <v>6</v>
      </c>
      <c r="B63" s="7">
        <v>10005779</v>
      </c>
      <c r="C63" s="7" t="str">
        <f t="shared" si="8"/>
        <v>ENERO10005779Compensación</v>
      </c>
      <c r="D63" s="7" t="s">
        <v>355</v>
      </c>
      <c r="E63" s="3" t="s">
        <v>114</v>
      </c>
      <c r="F63" s="9">
        <v>3060</v>
      </c>
      <c r="G63" s="3" t="s">
        <v>320</v>
      </c>
      <c r="H63" s="12">
        <v>6456.6</v>
      </c>
      <c r="I63" s="12">
        <v>-536.54999999999995</v>
      </c>
      <c r="J63" s="13"/>
      <c r="K63" s="12">
        <v>5920.05</v>
      </c>
      <c r="L63" s="17">
        <v>1.93</v>
      </c>
      <c r="M63" s="12">
        <v>3725.77</v>
      </c>
      <c r="N63" s="12">
        <v>45.21</v>
      </c>
      <c r="O63" s="12">
        <v>1258.05</v>
      </c>
      <c r="P63" s="12">
        <f t="shared" si="9"/>
        <v>891.02000000000089</v>
      </c>
      <c r="Q63" s="12">
        <v>16</v>
      </c>
      <c r="R63" s="12">
        <v>69.790000000000006</v>
      </c>
      <c r="S63" s="12">
        <v>406.4</v>
      </c>
      <c r="T63" s="14">
        <v>377.25</v>
      </c>
      <c r="U63" s="13"/>
      <c r="V63" s="11">
        <v>21.580000000000837</v>
      </c>
      <c r="W63" s="55">
        <f t="shared" si="3"/>
        <v>5920.0500000000011</v>
      </c>
      <c r="X63" s="74">
        <f t="shared" si="4"/>
        <v>0.62934772510367298</v>
      </c>
      <c r="Y63" s="74">
        <f t="shared" si="5"/>
        <v>7.636759824663642E-3</v>
      </c>
      <c r="Z63" s="74">
        <f t="shared" si="6"/>
        <v>0.21250665112625733</v>
      </c>
      <c r="AA63" s="74">
        <f t="shared" si="7"/>
        <v>0.150508863945406</v>
      </c>
    </row>
    <row r="64" spans="1:27">
      <c r="A64" s="7" t="s">
        <v>6</v>
      </c>
      <c r="B64" s="7">
        <v>10005779</v>
      </c>
      <c r="C64" s="7" t="str">
        <f t="shared" si="8"/>
        <v>ENERO10005779Inventario final</v>
      </c>
      <c r="D64" s="7" t="s">
        <v>355</v>
      </c>
      <c r="E64" s="3" t="s">
        <v>218</v>
      </c>
      <c r="F64" s="9">
        <v>178000</v>
      </c>
      <c r="G64" s="3" t="s">
        <v>320</v>
      </c>
      <c r="H64" s="12">
        <v>375580</v>
      </c>
      <c r="I64" s="12">
        <v>-31211.16</v>
      </c>
      <c r="J64" s="13"/>
      <c r="K64" s="12">
        <v>344368.84</v>
      </c>
      <c r="L64" s="17">
        <v>1.93</v>
      </c>
      <c r="M64" s="12">
        <v>216727.84</v>
      </c>
      <c r="N64" s="12">
        <v>2629.77</v>
      </c>
      <c r="O64" s="12">
        <v>73180.7</v>
      </c>
      <c r="P64" s="12">
        <f t="shared" si="9"/>
        <v>51830.530000000042</v>
      </c>
      <c r="Q64" s="12">
        <v>930.85</v>
      </c>
      <c r="R64" s="12">
        <v>4059.36</v>
      </c>
      <c r="S64" s="12">
        <v>23640.29</v>
      </c>
      <c r="T64" s="14">
        <v>21945.11</v>
      </c>
      <c r="U64" s="13"/>
      <c r="V64" s="11">
        <v>1254.9200000000419</v>
      </c>
      <c r="W64" s="55">
        <f t="shared" si="3"/>
        <v>344368.84</v>
      </c>
      <c r="X64" s="74">
        <f t="shared" si="4"/>
        <v>0.6293479979199047</v>
      </c>
      <c r="Y64" s="74">
        <f t="shared" si="5"/>
        <v>7.6364923144614351E-3</v>
      </c>
      <c r="Z64" s="74">
        <f t="shared" si="6"/>
        <v>0.2125067413184073</v>
      </c>
      <c r="AA64" s="74">
        <f t="shared" si="7"/>
        <v>0.15050876844722663</v>
      </c>
    </row>
    <row r="65" spans="1:27">
      <c r="A65" s="7" t="s">
        <v>7</v>
      </c>
      <c r="B65" s="7">
        <v>10005779</v>
      </c>
      <c r="C65" s="7" t="str">
        <f t="shared" si="8"/>
        <v>FEBRERO10005779Inventario inicial</v>
      </c>
      <c r="D65" s="7" t="s">
        <v>355</v>
      </c>
      <c r="E65" s="3" t="s">
        <v>319</v>
      </c>
      <c r="F65" s="8">
        <v>178000</v>
      </c>
      <c r="G65" s="2" t="s">
        <v>320</v>
      </c>
      <c r="H65" s="11">
        <v>375580</v>
      </c>
      <c r="I65" s="11" t="s">
        <v>356</v>
      </c>
      <c r="J65" s="11"/>
      <c r="K65" s="11">
        <v>344368.84</v>
      </c>
      <c r="L65" s="16">
        <v>1.93</v>
      </c>
      <c r="M65" s="11">
        <v>216727.84</v>
      </c>
      <c r="N65" s="11">
        <v>2629.77</v>
      </c>
      <c r="O65" s="11">
        <v>73180.7</v>
      </c>
      <c r="P65" s="11">
        <f t="shared" si="9"/>
        <v>51830.530000000042</v>
      </c>
      <c r="Q65" s="11">
        <v>930.85</v>
      </c>
      <c r="R65" s="11">
        <v>4059.36</v>
      </c>
      <c r="S65" s="11">
        <v>23640.29</v>
      </c>
      <c r="T65" s="11" t="s">
        <v>337</v>
      </c>
      <c r="U65" s="11">
        <v>21945.11</v>
      </c>
      <c r="V65" s="11">
        <v>1254.9200000000419</v>
      </c>
      <c r="W65" s="55">
        <f t="shared" si="3"/>
        <v>344368.84</v>
      </c>
      <c r="X65" s="74">
        <f t="shared" si="4"/>
        <v>0.6293479979199047</v>
      </c>
      <c r="Y65" s="74">
        <f t="shared" si="5"/>
        <v>7.6364923144614351E-3</v>
      </c>
      <c r="Z65" s="74">
        <f t="shared" si="6"/>
        <v>0.2125067413184073</v>
      </c>
      <c r="AA65" s="74">
        <f t="shared" si="7"/>
        <v>0.15050876844722663</v>
      </c>
    </row>
    <row r="66" spans="1:27">
      <c r="A66" s="7" t="s">
        <v>7</v>
      </c>
      <c r="B66" s="7">
        <v>10005779</v>
      </c>
      <c r="C66" s="7" t="str">
        <f t="shared" si="8"/>
        <v>FEBRERO10005779Revalorización</v>
      </c>
      <c r="D66" s="7" t="s">
        <v>355</v>
      </c>
      <c r="E66" s="3" t="s">
        <v>321</v>
      </c>
      <c r="F66" s="8">
        <v>0</v>
      </c>
      <c r="G66" s="2" t="s">
        <v>320</v>
      </c>
      <c r="H66" s="11" t="s">
        <v>357</v>
      </c>
      <c r="I66" s="11">
        <v>23140</v>
      </c>
      <c r="J66" s="11"/>
      <c r="K66" s="11">
        <v>0</v>
      </c>
      <c r="L66" s="16">
        <v>0</v>
      </c>
      <c r="M66" s="11">
        <v>0</v>
      </c>
      <c r="N66" s="11">
        <v>0</v>
      </c>
      <c r="O66" s="11">
        <v>0</v>
      </c>
      <c r="P66" s="11">
        <f t="shared" si="9"/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55">
        <f t="shared" si="3"/>
        <v>0</v>
      </c>
      <c r="X66" s="74" t="e">
        <f t="shared" si="4"/>
        <v>#DIV/0!</v>
      </c>
      <c r="Y66" s="74" t="e">
        <f t="shared" si="5"/>
        <v>#DIV/0!</v>
      </c>
      <c r="Z66" s="74" t="e">
        <f t="shared" si="6"/>
        <v>#DIV/0!</v>
      </c>
      <c r="AA66" s="74" t="e">
        <f t="shared" si="7"/>
        <v>#DIV/0!</v>
      </c>
    </row>
    <row r="67" spans="1:27">
      <c r="A67" s="7" t="s">
        <v>7</v>
      </c>
      <c r="B67" s="7">
        <v>10005779</v>
      </c>
      <c r="C67" s="7" t="str">
        <f t="shared" si="8"/>
        <v>FEBRERO10005779Entradas</v>
      </c>
      <c r="D67" s="7" t="s">
        <v>355</v>
      </c>
      <c r="E67" s="3" t="s">
        <v>164</v>
      </c>
      <c r="F67" s="8">
        <v>142120</v>
      </c>
      <c r="G67" s="2" t="s">
        <v>320</v>
      </c>
      <c r="H67" s="11">
        <v>281397.59999999998</v>
      </c>
      <c r="I67" s="11" t="s">
        <v>358</v>
      </c>
      <c r="J67" s="11"/>
      <c r="K67" s="11">
        <v>250962.96</v>
      </c>
      <c r="L67" s="16">
        <v>1.77</v>
      </c>
      <c r="M67" s="11">
        <v>145645.04</v>
      </c>
      <c r="N67" s="11">
        <v>1712.92</v>
      </c>
      <c r="O67" s="11">
        <v>57894.879999999997</v>
      </c>
      <c r="P67" s="11">
        <f t="shared" si="9"/>
        <v>45710.119999999966</v>
      </c>
      <c r="Q67" s="11">
        <v>996.97</v>
      </c>
      <c r="R67" s="11">
        <v>2451.58</v>
      </c>
      <c r="S67" s="11">
        <v>22395.7</v>
      </c>
      <c r="T67" s="11" t="s">
        <v>359</v>
      </c>
      <c r="U67" s="11">
        <v>18130.25</v>
      </c>
      <c r="V67" s="11">
        <v>1735.6199999999662</v>
      </c>
      <c r="W67" s="55">
        <f t="shared" si="3"/>
        <v>250962.96</v>
      </c>
      <c r="X67" s="74">
        <f t="shared" si="4"/>
        <v>0.58034476482107167</v>
      </c>
      <c r="Y67" s="74">
        <f t="shared" si="5"/>
        <v>6.8253896909727238E-3</v>
      </c>
      <c r="Z67" s="74">
        <f t="shared" si="6"/>
        <v>0.23069093542728378</v>
      </c>
      <c r="AA67" s="74">
        <f t="shared" si="7"/>
        <v>0.18213891006067176</v>
      </c>
    </row>
    <row r="68" spans="1:27">
      <c r="A68" s="7" t="s">
        <v>7</v>
      </c>
      <c r="B68" s="7">
        <v>10005779</v>
      </c>
      <c r="C68" s="7" t="str">
        <f t="shared" si="8"/>
        <v>FEBRERO10005779Inventario acumulado</v>
      </c>
      <c r="D68" s="7" t="s">
        <v>355</v>
      </c>
      <c r="E68" s="3" t="s">
        <v>322</v>
      </c>
      <c r="F68" s="8">
        <v>320120</v>
      </c>
      <c r="G68" s="2" t="s">
        <v>320</v>
      </c>
      <c r="H68" s="11">
        <v>633837.6</v>
      </c>
      <c r="I68" s="11" t="s">
        <v>360</v>
      </c>
      <c r="J68" s="11"/>
      <c r="K68" s="11">
        <v>595331.80000000005</v>
      </c>
      <c r="L68" s="16">
        <v>1.86</v>
      </c>
      <c r="M68" s="11">
        <v>362372.88</v>
      </c>
      <c r="N68" s="11">
        <v>4342.6899999999996</v>
      </c>
      <c r="O68" s="11">
        <v>131075.57999999999</v>
      </c>
      <c r="P68" s="11">
        <f t="shared" si="9"/>
        <v>97540.650000000038</v>
      </c>
      <c r="Q68" s="11">
        <v>1927.82</v>
      </c>
      <c r="R68" s="11">
        <v>6510.94</v>
      </c>
      <c r="S68" s="11">
        <v>46035.99</v>
      </c>
      <c r="T68" s="11" t="s">
        <v>361</v>
      </c>
      <c r="U68" s="11">
        <v>40075.360000000001</v>
      </c>
      <c r="V68" s="11">
        <v>2990.5400000000373</v>
      </c>
      <c r="W68" s="55">
        <f t="shared" si="3"/>
        <v>595331.80000000005</v>
      </c>
      <c r="X68" s="74">
        <f t="shared" si="4"/>
        <v>0.60869061588848428</v>
      </c>
      <c r="Y68" s="74">
        <f t="shared" si="5"/>
        <v>7.2945708594770167E-3</v>
      </c>
      <c r="Z68" s="74">
        <f t="shared" si="6"/>
        <v>0.22017231399364182</v>
      </c>
      <c r="AA68" s="74">
        <f t="shared" si="7"/>
        <v>0.16384249925839681</v>
      </c>
    </row>
    <row r="69" spans="1:27">
      <c r="A69" s="7" t="s">
        <v>7</v>
      </c>
      <c r="B69" s="7">
        <v>10005779</v>
      </c>
      <c r="C69" s="7" t="str">
        <f t="shared" ref="C69:C100" si="10">A69&amp;B69&amp;E69</f>
        <v>FEBRERO10005779Compensación</v>
      </c>
      <c r="D69" s="7" t="s">
        <v>355</v>
      </c>
      <c r="E69" s="3" t="s">
        <v>114</v>
      </c>
      <c r="F69" s="8">
        <v>82460</v>
      </c>
      <c r="G69" s="2" t="s">
        <v>320</v>
      </c>
      <c r="H69" s="11">
        <v>163270.79999999999</v>
      </c>
      <c r="I69" s="11" t="s">
        <v>362</v>
      </c>
      <c r="J69" s="11"/>
      <c r="K69" s="11">
        <v>153352.06</v>
      </c>
      <c r="L69" s="16">
        <v>1.86</v>
      </c>
      <c r="M69" s="11">
        <v>93343.96</v>
      </c>
      <c r="N69" s="11">
        <v>1118.6300000000001</v>
      </c>
      <c r="O69" s="11">
        <v>33763.879999999997</v>
      </c>
      <c r="P69" s="11">
        <f t="shared" ref="P69:P100" si="11">SUM(Q69:V69)</f>
        <v>25125.589999999997</v>
      </c>
      <c r="Q69" s="11">
        <v>496.59</v>
      </c>
      <c r="R69" s="11">
        <v>1677.16</v>
      </c>
      <c r="S69" s="11">
        <v>11858.45</v>
      </c>
      <c r="T69" s="11" t="s">
        <v>363</v>
      </c>
      <c r="U69" s="11">
        <v>10323.049999999999</v>
      </c>
      <c r="V69" s="11">
        <v>770.33999999999651</v>
      </c>
      <c r="W69" s="55">
        <f t="shared" si="3"/>
        <v>153352.06</v>
      </c>
      <c r="X69" s="74">
        <f t="shared" si="4"/>
        <v>0.6086906168720525</v>
      </c>
      <c r="Y69" s="74">
        <f t="shared" si="5"/>
        <v>7.2945221603152909E-3</v>
      </c>
      <c r="Z69" s="74">
        <f t="shared" si="6"/>
        <v>0.22017232764920144</v>
      </c>
      <c r="AA69" s="74">
        <f t="shared" si="7"/>
        <v>0.16384253331843079</v>
      </c>
    </row>
    <row r="70" spans="1:27">
      <c r="A70" s="7" t="s">
        <v>7</v>
      </c>
      <c r="B70" s="7">
        <v>10005779</v>
      </c>
      <c r="C70" s="7" t="str">
        <f t="shared" si="10"/>
        <v>FEBRERO10005779Inventario final</v>
      </c>
      <c r="D70" s="7" t="s">
        <v>355</v>
      </c>
      <c r="E70" s="3" t="s">
        <v>218</v>
      </c>
      <c r="F70" s="8">
        <v>237660</v>
      </c>
      <c r="G70" s="2" t="s">
        <v>320</v>
      </c>
      <c r="H70" s="11">
        <v>470566.8</v>
      </c>
      <c r="I70" s="11" t="s">
        <v>364</v>
      </c>
      <c r="J70" s="11"/>
      <c r="K70" s="11">
        <v>441979.74</v>
      </c>
      <c r="L70" s="16">
        <v>1.86</v>
      </c>
      <c r="M70" s="11">
        <v>269028.92</v>
      </c>
      <c r="N70" s="11">
        <v>3224.06</v>
      </c>
      <c r="O70" s="11">
        <v>97311.7</v>
      </c>
      <c r="P70" s="11">
        <f t="shared" si="11"/>
        <v>72415.060000000012</v>
      </c>
      <c r="Q70" s="11">
        <v>1431.23</v>
      </c>
      <c r="R70" s="11">
        <v>4833.78</v>
      </c>
      <c r="S70" s="11">
        <v>34177.54</v>
      </c>
      <c r="T70" s="11" t="s">
        <v>365</v>
      </c>
      <c r="U70" s="11">
        <v>29752.31</v>
      </c>
      <c r="V70" s="11">
        <v>2220.2000000000116</v>
      </c>
      <c r="W70" s="55">
        <f t="shared" ref="W70:W133" si="12">SUM(M70:P70)</f>
        <v>441979.74</v>
      </c>
      <c r="X70" s="74">
        <f t="shared" ref="X70:X133" si="13">M70/$W70</f>
        <v>0.60869061554721937</v>
      </c>
      <c r="Y70" s="74">
        <f t="shared" ref="Y70:Y133" si="14">N70/$W70</f>
        <v>7.2945877564433159E-3</v>
      </c>
      <c r="Z70" s="74">
        <f t="shared" ref="Z70:Z133" si="15">O70/$W70</f>
        <v>0.22017230925562334</v>
      </c>
      <c r="AA70" s="74">
        <f t="shared" ref="AA70:AA133" si="16">P70/$W70</f>
        <v>0.16384248744071395</v>
      </c>
    </row>
    <row r="71" spans="1:27">
      <c r="A71" s="7" t="s">
        <v>6</v>
      </c>
      <c r="B71" s="7">
        <v>10005781</v>
      </c>
      <c r="C71" s="7" t="str">
        <f t="shared" si="10"/>
        <v>ENERO10005781Inventario inicial</v>
      </c>
      <c r="D71" s="7" t="s">
        <v>366</v>
      </c>
      <c r="E71" s="3" t="s">
        <v>319</v>
      </c>
      <c r="F71" s="8">
        <v>17040</v>
      </c>
      <c r="G71" s="2" t="s">
        <v>320</v>
      </c>
      <c r="H71" s="11">
        <v>35443.199999999997</v>
      </c>
      <c r="I71" s="11">
        <v>770.38</v>
      </c>
      <c r="J71" s="11"/>
      <c r="K71" s="11">
        <v>36213.58</v>
      </c>
      <c r="L71" s="16">
        <v>2.13</v>
      </c>
      <c r="M71" s="11">
        <v>24064.33</v>
      </c>
      <c r="N71" s="11">
        <v>281.54000000000002</v>
      </c>
      <c r="O71" s="11">
        <v>7119.73</v>
      </c>
      <c r="P71" s="11">
        <f t="shared" si="11"/>
        <v>4747.9800000000014</v>
      </c>
      <c r="Q71" s="11">
        <v>198.98</v>
      </c>
      <c r="R71" s="11">
        <v>475.98</v>
      </c>
      <c r="S71" s="11">
        <v>1900.36</v>
      </c>
      <c r="T71" s="11">
        <v>2060.33</v>
      </c>
      <c r="U71" s="11"/>
      <c r="V71" s="11">
        <v>112.33000000000175</v>
      </c>
      <c r="W71" s="55">
        <f t="shared" si="12"/>
        <v>36213.58</v>
      </c>
      <c r="X71" s="74">
        <f t="shared" si="13"/>
        <v>0.66451121374909639</v>
      </c>
      <c r="Y71" s="74">
        <f t="shared" si="14"/>
        <v>7.7744315806390863E-3</v>
      </c>
      <c r="Z71" s="74">
        <f t="shared" si="15"/>
        <v>0.19660387070264798</v>
      </c>
      <c r="AA71" s="74">
        <f t="shared" si="16"/>
        <v>0.1311104839676166</v>
      </c>
    </row>
    <row r="72" spans="1:27">
      <c r="A72" s="7" t="s">
        <v>6</v>
      </c>
      <c r="B72" s="7">
        <v>10005781</v>
      </c>
      <c r="C72" s="7" t="str">
        <f t="shared" si="10"/>
        <v>ENERO10005781Revalorización</v>
      </c>
      <c r="D72" s="7" t="s">
        <v>366</v>
      </c>
      <c r="E72" s="3" t="s">
        <v>321</v>
      </c>
      <c r="F72" s="8">
        <v>0</v>
      </c>
      <c r="G72" s="2" t="s">
        <v>320</v>
      </c>
      <c r="H72" s="11">
        <v>-170.4</v>
      </c>
      <c r="I72" s="11">
        <v>170.4</v>
      </c>
      <c r="J72" s="11"/>
      <c r="K72" s="11">
        <v>0</v>
      </c>
      <c r="L72" s="16">
        <v>0</v>
      </c>
      <c r="M72" s="11">
        <v>0</v>
      </c>
      <c r="N72" s="11">
        <v>0</v>
      </c>
      <c r="O72" s="11">
        <v>0</v>
      </c>
      <c r="P72" s="11">
        <f t="shared" si="11"/>
        <v>0</v>
      </c>
      <c r="Q72" s="11">
        <v>0</v>
      </c>
      <c r="R72" s="11">
        <v>0</v>
      </c>
      <c r="S72" s="11">
        <v>0</v>
      </c>
      <c r="T72" s="11">
        <v>0</v>
      </c>
      <c r="U72" s="11"/>
      <c r="V72" s="11">
        <v>0</v>
      </c>
      <c r="W72" s="55">
        <f t="shared" si="12"/>
        <v>0</v>
      </c>
      <c r="X72" s="74" t="e">
        <f t="shared" si="13"/>
        <v>#DIV/0!</v>
      </c>
      <c r="Y72" s="74" t="e">
        <f t="shared" si="14"/>
        <v>#DIV/0!</v>
      </c>
      <c r="Z72" s="74" t="e">
        <f t="shared" si="15"/>
        <v>#DIV/0!</v>
      </c>
      <c r="AA72" s="74" t="e">
        <f t="shared" si="16"/>
        <v>#DIV/0!</v>
      </c>
    </row>
    <row r="73" spans="1:27">
      <c r="A73" s="7" t="s">
        <v>6</v>
      </c>
      <c r="B73" s="7">
        <v>10005781</v>
      </c>
      <c r="C73" s="7" t="str">
        <f t="shared" si="10"/>
        <v>ENERO10005781Entradas</v>
      </c>
      <c r="D73" s="7" t="s">
        <v>366</v>
      </c>
      <c r="E73" s="3" t="s">
        <v>164</v>
      </c>
      <c r="F73" s="8">
        <v>28720</v>
      </c>
      <c r="G73" s="2" t="s">
        <v>320</v>
      </c>
      <c r="H73" s="11">
        <v>59450.400000000001</v>
      </c>
      <c r="I73" s="11">
        <v>-5173.8</v>
      </c>
      <c r="J73" s="11"/>
      <c r="K73" s="11">
        <v>54276.6</v>
      </c>
      <c r="L73" s="16">
        <v>1.89</v>
      </c>
      <c r="M73" s="11">
        <v>33170.14</v>
      </c>
      <c r="N73" s="11">
        <v>479.43</v>
      </c>
      <c r="O73" s="11">
        <v>11584.68</v>
      </c>
      <c r="P73" s="11">
        <f t="shared" si="11"/>
        <v>9042.3499999999985</v>
      </c>
      <c r="Q73" s="11">
        <v>64.510000000000005</v>
      </c>
      <c r="R73" s="11">
        <v>493.73</v>
      </c>
      <c r="S73" s="11">
        <v>4510.88</v>
      </c>
      <c r="T73" s="11">
        <v>3651.17</v>
      </c>
      <c r="U73" s="11"/>
      <c r="V73" s="11">
        <v>322.05999999999767</v>
      </c>
      <c r="W73" s="55">
        <f t="shared" si="12"/>
        <v>54276.6</v>
      </c>
      <c r="X73" s="74">
        <f t="shared" si="13"/>
        <v>0.61113150049929432</v>
      </c>
      <c r="Y73" s="74">
        <f t="shared" si="14"/>
        <v>8.833088292192216E-3</v>
      </c>
      <c r="Z73" s="74">
        <f t="shared" si="15"/>
        <v>0.21343783508915445</v>
      </c>
      <c r="AA73" s="74">
        <f t="shared" si="16"/>
        <v>0.16659757611935896</v>
      </c>
    </row>
    <row r="74" spans="1:27">
      <c r="A74" s="7" t="s">
        <v>6</v>
      </c>
      <c r="B74" s="7">
        <v>10005781</v>
      </c>
      <c r="C74" s="7" t="str">
        <f t="shared" si="10"/>
        <v>ENERO10005781Inv. acumulado</v>
      </c>
      <c r="D74" s="7" t="s">
        <v>366</v>
      </c>
      <c r="E74" s="3" t="s">
        <v>330</v>
      </c>
      <c r="F74" s="8">
        <v>45760</v>
      </c>
      <c r="G74" s="2" t="s">
        <v>320</v>
      </c>
      <c r="H74" s="11">
        <v>94723.199999999997</v>
      </c>
      <c r="I74" s="11">
        <v>-4233.0200000000004</v>
      </c>
      <c r="J74" s="11"/>
      <c r="K74" s="11">
        <v>90490.18</v>
      </c>
      <c r="L74" s="16">
        <v>1.98</v>
      </c>
      <c r="M74" s="11">
        <v>57234.47</v>
      </c>
      <c r="N74" s="11">
        <v>760.97</v>
      </c>
      <c r="O74" s="11">
        <v>18704.41</v>
      </c>
      <c r="P74" s="11">
        <f t="shared" si="11"/>
        <v>13790.329999999984</v>
      </c>
      <c r="Q74" s="11">
        <v>263.49</v>
      </c>
      <c r="R74" s="11">
        <v>969.71</v>
      </c>
      <c r="S74" s="11">
        <v>6411.24</v>
      </c>
      <c r="T74" s="11">
        <v>5711.5</v>
      </c>
      <c r="U74" s="11"/>
      <c r="V74" s="11">
        <v>434.38999999998487</v>
      </c>
      <c r="W74" s="55">
        <f t="shared" si="12"/>
        <v>90490.18</v>
      </c>
      <c r="X74" s="74">
        <f t="shared" si="13"/>
        <v>0.63249371368252338</v>
      </c>
      <c r="Y74" s="74">
        <f t="shared" si="14"/>
        <v>8.4094207791386884E-3</v>
      </c>
      <c r="Z74" s="74">
        <f t="shared" si="15"/>
        <v>0.20670099230656852</v>
      </c>
      <c r="AA74" s="74">
        <f t="shared" si="16"/>
        <v>0.15239587323176929</v>
      </c>
    </row>
    <row r="75" spans="1:27">
      <c r="A75" s="7" t="s">
        <v>6</v>
      </c>
      <c r="B75" s="7">
        <v>10005781</v>
      </c>
      <c r="C75" s="7" t="str">
        <f t="shared" si="10"/>
        <v>ENERO10005781Compensación</v>
      </c>
      <c r="D75" s="7" t="s">
        <v>366</v>
      </c>
      <c r="E75" s="3" t="s">
        <v>114</v>
      </c>
      <c r="F75" s="9">
        <v>17040</v>
      </c>
      <c r="G75" s="3" t="s">
        <v>320</v>
      </c>
      <c r="H75" s="12">
        <v>35272.800000000003</v>
      </c>
      <c r="I75" s="12">
        <v>-1576.28</v>
      </c>
      <c r="J75" s="13"/>
      <c r="K75" s="12">
        <v>33696.519999999997</v>
      </c>
      <c r="L75" s="17">
        <v>1.98</v>
      </c>
      <c r="M75" s="12">
        <v>21312.84</v>
      </c>
      <c r="N75" s="12">
        <v>283.36</v>
      </c>
      <c r="O75" s="12">
        <v>6965.11</v>
      </c>
      <c r="P75" s="12">
        <f t="shared" si="11"/>
        <v>5135.2099999999946</v>
      </c>
      <c r="Q75" s="12">
        <v>98.12</v>
      </c>
      <c r="R75" s="12">
        <v>361.09</v>
      </c>
      <c r="S75" s="12">
        <v>2387.41</v>
      </c>
      <c r="T75" s="12">
        <v>2126.83</v>
      </c>
      <c r="U75" s="14"/>
      <c r="V75" s="11">
        <v>161.75999999999476</v>
      </c>
      <c r="W75" s="55">
        <f t="shared" si="12"/>
        <v>33696.519999999997</v>
      </c>
      <c r="X75" s="74">
        <f t="shared" si="13"/>
        <v>0.63249380054676274</v>
      </c>
      <c r="Y75" s="74">
        <f t="shared" si="14"/>
        <v>8.4091769713905192E-3</v>
      </c>
      <c r="Z75" s="74">
        <f t="shared" si="15"/>
        <v>0.20670116676736947</v>
      </c>
      <c r="AA75" s="74">
        <f t="shared" si="16"/>
        <v>0.1523958557144772</v>
      </c>
    </row>
    <row r="76" spans="1:27">
      <c r="A76" s="7" t="s">
        <v>6</v>
      </c>
      <c r="B76" s="7">
        <v>10005781</v>
      </c>
      <c r="C76" s="7" t="str">
        <f t="shared" si="10"/>
        <v>ENERO10005781Inventario final</v>
      </c>
      <c r="D76" s="7" t="s">
        <v>366</v>
      </c>
      <c r="E76" s="3" t="s">
        <v>218</v>
      </c>
      <c r="F76" s="9">
        <v>28720</v>
      </c>
      <c r="G76" s="3" t="s">
        <v>320</v>
      </c>
      <c r="H76" s="12">
        <v>59450.400000000001</v>
      </c>
      <c r="I76" s="12">
        <v>2656.74</v>
      </c>
      <c r="J76" s="13"/>
      <c r="K76" s="12">
        <v>56793.66</v>
      </c>
      <c r="L76" s="17">
        <v>1.98</v>
      </c>
      <c r="M76" s="12">
        <v>35921.629999999997</v>
      </c>
      <c r="N76" s="12">
        <v>477.61</v>
      </c>
      <c r="O76" s="12">
        <v>11739.3</v>
      </c>
      <c r="P76" s="12">
        <f t="shared" si="11"/>
        <v>8655.1200000000117</v>
      </c>
      <c r="Q76" s="12">
        <v>165.37</v>
      </c>
      <c r="R76" s="12">
        <v>608.62</v>
      </c>
      <c r="S76" s="12">
        <v>4023.83</v>
      </c>
      <c r="T76" s="12">
        <v>3584.67</v>
      </c>
      <c r="U76" s="14"/>
      <c r="V76" s="11">
        <v>272.63000000001193</v>
      </c>
      <c r="W76" s="55">
        <f t="shared" si="12"/>
        <v>56793.66</v>
      </c>
      <c r="X76" s="74">
        <f t="shared" si="13"/>
        <v>0.63249366214468294</v>
      </c>
      <c r="Y76" s="74">
        <f t="shared" si="14"/>
        <v>8.4095654338882195E-3</v>
      </c>
      <c r="Z76" s="74">
        <f t="shared" si="15"/>
        <v>0.20670088879639029</v>
      </c>
      <c r="AA76" s="74">
        <f t="shared" si="16"/>
        <v>0.15239588362503861</v>
      </c>
    </row>
    <row r="77" spans="1:27">
      <c r="A77" s="7" t="s">
        <v>7</v>
      </c>
      <c r="B77" s="7">
        <v>10005781</v>
      </c>
      <c r="C77" s="7" t="str">
        <f t="shared" si="10"/>
        <v>FEBRERO10005781Inventario inicial</v>
      </c>
      <c r="D77" s="7" t="s">
        <v>366</v>
      </c>
      <c r="E77" s="3" t="s">
        <v>319</v>
      </c>
      <c r="F77" s="9">
        <v>28720</v>
      </c>
      <c r="G77" s="3" t="s">
        <v>320</v>
      </c>
      <c r="H77" s="12">
        <v>59450.400000000001</v>
      </c>
      <c r="I77" s="12" t="s">
        <v>367</v>
      </c>
      <c r="J77" s="13"/>
      <c r="K77" s="12">
        <v>56793.66</v>
      </c>
      <c r="L77" s="17">
        <v>1.98</v>
      </c>
      <c r="M77" s="12">
        <v>35921.629999999997</v>
      </c>
      <c r="N77" s="12">
        <v>477.61</v>
      </c>
      <c r="O77" s="12">
        <v>11739.3</v>
      </c>
      <c r="P77" s="12">
        <f t="shared" si="11"/>
        <v>8655.1200000000117</v>
      </c>
      <c r="Q77" s="12">
        <v>165.37</v>
      </c>
      <c r="R77" s="12">
        <v>608.62</v>
      </c>
      <c r="S77" s="12">
        <v>4023.83</v>
      </c>
      <c r="T77" s="12" t="s">
        <v>368</v>
      </c>
      <c r="U77" s="14">
        <v>3584.67</v>
      </c>
      <c r="V77" s="11">
        <v>272.63000000001193</v>
      </c>
      <c r="W77" s="55">
        <f t="shared" si="12"/>
        <v>56793.66</v>
      </c>
      <c r="X77" s="74">
        <f t="shared" si="13"/>
        <v>0.63249366214468294</v>
      </c>
      <c r="Y77" s="74">
        <f t="shared" si="14"/>
        <v>8.4095654338882195E-3</v>
      </c>
      <c r="Z77" s="74">
        <f t="shared" si="15"/>
        <v>0.20670088879639029</v>
      </c>
      <c r="AA77" s="74">
        <f t="shared" si="16"/>
        <v>0.15239588362503861</v>
      </c>
    </row>
    <row r="78" spans="1:27">
      <c r="A78" s="7" t="s">
        <v>7</v>
      </c>
      <c r="B78" s="7">
        <v>10005781</v>
      </c>
      <c r="C78" s="7" t="str">
        <f t="shared" si="10"/>
        <v>FEBRERO10005781Revalorización</v>
      </c>
      <c r="D78" s="7" t="s">
        <v>366</v>
      </c>
      <c r="E78" s="3" t="s">
        <v>321</v>
      </c>
      <c r="F78" s="9">
        <v>0</v>
      </c>
      <c r="G78" s="3" t="s">
        <v>320</v>
      </c>
      <c r="H78" s="12">
        <v>1723.2</v>
      </c>
      <c r="I78" s="12" t="s">
        <v>369</v>
      </c>
      <c r="J78" s="13"/>
      <c r="K78" s="12">
        <v>0</v>
      </c>
      <c r="L78" s="17">
        <v>0</v>
      </c>
      <c r="M78" s="12">
        <v>0</v>
      </c>
      <c r="N78" s="12">
        <v>0</v>
      </c>
      <c r="O78" s="12">
        <v>0</v>
      </c>
      <c r="P78" s="12">
        <f t="shared" si="11"/>
        <v>0</v>
      </c>
      <c r="Q78" s="12">
        <v>0</v>
      </c>
      <c r="R78" s="12">
        <v>0</v>
      </c>
      <c r="S78" s="12">
        <v>0</v>
      </c>
      <c r="T78" s="12">
        <v>0</v>
      </c>
      <c r="U78" s="14">
        <v>0</v>
      </c>
      <c r="V78" s="11">
        <v>0</v>
      </c>
      <c r="W78" s="55">
        <f t="shared" si="12"/>
        <v>0</v>
      </c>
      <c r="X78" s="74" t="e">
        <f t="shared" si="13"/>
        <v>#DIV/0!</v>
      </c>
      <c r="Y78" s="74" t="e">
        <f t="shared" si="14"/>
        <v>#DIV/0!</v>
      </c>
      <c r="Z78" s="74" t="e">
        <f t="shared" si="15"/>
        <v>#DIV/0!</v>
      </c>
      <c r="AA78" s="74" t="e">
        <f t="shared" si="16"/>
        <v>#DIV/0!</v>
      </c>
    </row>
    <row r="79" spans="1:27">
      <c r="A79" s="7" t="s">
        <v>7</v>
      </c>
      <c r="B79" s="7">
        <v>10005781</v>
      </c>
      <c r="C79" s="7" t="str">
        <f t="shared" si="10"/>
        <v>FEBRERO10005781Entradas</v>
      </c>
      <c r="D79" s="7" t="s">
        <v>366</v>
      </c>
      <c r="E79" s="3" t="s">
        <v>164</v>
      </c>
      <c r="F79" s="9">
        <v>39100</v>
      </c>
      <c r="G79" s="3" t="s">
        <v>320</v>
      </c>
      <c r="H79" s="12">
        <v>83283</v>
      </c>
      <c r="I79" s="12" t="s">
        <v>370</v>
      </c>
      <c r="J79" s="13"/>
      <c r="K79" s="12">
        <v>69096.94</v>
      </c>
      <c r="L79" s="17">
        <v>1.77</v>
      </c>
      <c r="M79" s="12">
        <v>39977.199999999997</v>
      </c>
      <c r="N79" s="12">
        <v>614.88</v>
      </c>
      <c r="O79" s="12">
        <v>15927.99</v>
      </c>
      <c r="P79" s="12">
        <f t="shared" si="11"/>
        <v>12576.87000000001</v>
      </c>
      <c r="Q79" s="12">
        <v>274.29000000000002</v>
      </c>
      <c r="R79" s="12">
        <v>674.48</v>
      </c>
      <c r="S79" s="12">
        <v>6161.49</v>
      </c>
      <c r="T79" s="12" t="s">
        <v>328</v>
      </c>
      <c r="U79" s="14">
        <v>4987.99</v>
      </c>
      <c r="V79" s="11">
        <v>478.6200000000099</v>
      </c>
      <c r="W79" s="55">
        <f t="shared" si="12"/>
        <v>69096.94</v>
      </c>
      <c r="X79" s="74">
        <f t="shared" si="13"/>
        <v>0.57856686562386117</v>
      </c>
      <c r="Y79" s="74">
        <f t="shared" si="14"/>
        <v>8.8988021756100915E-3</v>
      </c>
      <c r="Z79" s="74">
        <f t="shared" si="15"/>
        <v>0.23051657569785289</v>
      </c>
      <c r="AA79" s="74">
        <f t="shared" si="16"/>
        <v>0.18201775650267593</v>
      </c>
    </row>
    <row r="80" spans="1:27">
      <c r="A80" s="7" t="s">
        <v>7</v>
      </c>
      <c r="B80" s="7">
        <v>10005781</v>
      </c>
      <c r="C80" s="7" t="str">
        <f t="shared" si="10"/>
        <v>FEBRERO10005781Inventario acumulado</v>
      </c>
      <c r="D80" s="7" t="s">
        <v>366</v>
      </c>
      <c r="E80" s="3" t="s">
        <v>322</v>
      </c>
      <c r="F80" s="9">
        <v>67820</v>
      </c>
      <c r="G80" s="3" t="s">
        <v>320</v>
      </c>
      <c r="H80" s="12">
        <v>144456.6</v>
      </c>
      <c r="I80" s="12" t="s">
        <v>371</v>
      </c>
      <c r="J80" s="13"/>
      <c r="K80" s="12">
        <v>125890.6</v>
      </c>
      <c r="L80" s="17">
        <v>1.86</v>
      </c>
      <c r="M80" s="12">
        <v>75898.83</v>
      </c>
      <c r="N80" s="12">
        <v>1092.49</v>
      </c>
      <c r="O80" s="12">
        <v>27667.29</v>
      </c>
      <c r="P80" s="12">
        <f t="shared" si="11"/>
        <v>21231.989999999998</v>
      </c>
      <c r="Q80" s="12">
        <v>439.66</v>
      </c>
      <c r="R80" s="12">
        <v>1283.0999999999999</v>
      </c>
      <c r="S80" s="12">
        <v>10185.32</v>
      </c>
      <c r="T80" s="11" t="s">
        <v>372</v>
      </c>
      <c r="U80" s="11">
        <v>8572.66</v>
      </c>
      <c r="V80" s="11">
        <v>751.25</v>
      </c>
      <c r="W80" s="55">
        <f t="shared" si="12"/>
        <v>125890.6</v>
      </c>
      <c r="X80" s="74">
        <f t="shared" si="13"/>
        <v>0.6028951327581249</v>
      </c>
      <c r="Y80" s="74">
        <f t="shared" si="14"/>
        <v>8.6780903419318035E-3</v>
      </c>
      <c r="Z80" s="74">
        <f t="shared" si="15"/>
        <v>0.21977248499887997</v>
      </c>
      <c r="AA80" s="74">
        <f t="shared" si="16"/>
        <v>0.16865429190106329</v>
      </c>
    </row>
    <row r="81" spans="1:27">
      <c r="A81" s="7" t="s">
        <v>7</v>
      </c>
      <c r="B81" s="7">
        <v>10005781</v>
      </c>
      <c r="C81" s="7" t="str">
        <f t="shared" si="10"/>
        <v>FEBRERO10005781Inventario final</v>
      </c>
      <c r="D81" s="7" t="s">
        <v>366</v>
      </c>
      <c r="E81" s="3" t="s">
        <v>218</v>
      </c>
      <c r="F81" s="8">
        <v>67820</v>
      </c>
      <c r="G81" s="2" t="s">
        <v>320</v>
      </c>
      <c r="H81" s="11">
        <v>144456.6</v>
      </c>
      <c r="I81" s="11" t="s">
        <v>371</v>
      </c>
      <c r="J81" s="11"/>
      <c r="K81" s="11">
        <v>125890.6</v>
      </c>
      <c r="L81" s="16">
        <v>1.86</v>
      </c>
      <c r="M81" s="11">
        <v>75898.83</v>
      </c>
      <c r="N81" s="11">
        <v>1092.49</v>
      </c>
      <c r="O81" s="11">
        <v>27667.29</v>
      </c>
      <c r="P81" s="11">
        <f t="shared" si="11"/>
        <v>21231.989999999998</v>
      </c>
      <c r="Q81" s="11">
        <v>439.66</v>
      </c>
      <c r="R81" s="11">
        <v>1283.0999999999999</v>
      </c>
      <c r="S81" s="11">
        <v>10185.32</v>
      </c>
      <c r="T81" s="11" t="s">
        <v>372</v>
      </c>
      <c r="U81" s="11">
        <v>8572.66</v>
      </c>
      <c r="V81" s="11">
        <v>751.25</v>
      </c>
      <c r="W81" s="55">
        <f t="shared" si="12"/>
        <v>125890.6</v>
      </c>
      <c r="X81" s="74">
        <f t="shared" si="13"/>
        <v>0.6028951327581249</v>
      </c>
      <c r="Y81" s="74">
        <f t="shared" si="14"/>
        <v>8.6780903419318035E-3</v>
      </c>
      <c r="Z81" s="74">
        <f t="shared" si="15"/>
        <v>0.21977248499887997</v>
      </c>
      <c r="AA81" s="74">
        <f t="shared" si="16"/>
        <v>0.16865429190106329</v>
      </c>
    </row>
    <row r="82" spans="1:27">
      <c r="A82" s="7" t="s">
        <v>6</v>
      </c>
      <c r="B82" s="7">
        <v>10007567</v>
      </c>
      <c r="C82" s="7" t="str">
        <f t="shared" si="10"/>
        <v>ENERO10007567Inventario inicial</v>
      </c>
      <c r="D82" s="7" t="s">
        <v>373</v>
      </c>
      <c r="E82" s="3" t="s">
        <v>319</v>
      </c>
      <c r="F82" s="8">
        <v>30440</v>
      </c>
      <c r="G82" s="2" t="s">
        <v>320</v>
      </c>
      <c r="H82" s="11">
        <v>56618.400000000001</v>
      </c>
      <c r="I82" s="11">
        <v>1543.11</v>
      </c>
      <c r="J82" s="11"/>
      <c r="K82" s="11">
        <v>58161.51</v>
      </c>
      <c r="L82" s="16">
        <v>1.91</v>
      </c>
      <c r="M82" s="11">
        <v>39830.400000000001</v>
      </c>
      <c r="N82" s="11">
        <v>493.59</v>
      </c>
      <c r="O82" s="11">
        <v>9574.4</v>
      </c>
      <c r="P82" s="11">
        <f t="shared" si="11"/>
        <v>8263.1200000000063</v>
      </c>
      <c r="Q82" s="11">
        <v>211.68</v>
      </c>
      <c r="R82" s="11">
        <v>844.83</v>
      </c>
      <c r="S82" s="11">
        <v>3417.18</v>
      </c>
      <c r="T82" s="11">
        <v>3648.08</v>
      </c>
      <c r="U82" s="11"/>
      <c r="V82" s="11">
        <v>141.35000000000582</v>
      </c>
      <c r="W82" s="55">
        <f t="shared" si="12"/>
        <v>58161.510000000009</v>
      </c>
      <c r="X82" s="74">
        <f t="shared" si="13"/>
        <v>0.68482403568958228</v>
      </c>
      <c r="Y82" s="74">
        <f t="shared" si="14"/>
        <v>8.4865403253801333E-3</v>
      </c>
      <c r="Z82" s="74">
        <f t="shared" si="15"/>
        <v>0.16461745920970755</v>
      </c>
      <c r="AA82" s="74">
        <f t="shared" si="16"/>
        <v>0.14207196477533002</v>
      </c>
    </row>
    <row r="83" spans="1:27">
      <c r="A83" s="7" t="s">
        <v>6</v>
      </c>
      <c r="B83" s="7">
        <v>10007567</v>
      </c>
      <c r="C83" s="7" t="str">
        <f t="shared" si="10"/>
        <v>ENERO10007567Revalorización</v>
      </c>
      <c r="D83" s="7" t="s">
        <v>373</v>
      </c>
      <c r="E83" s="3" t="s">
        <v>321</v>
      </c>
      <c r="F83" s="8">
        <v>0</v>
      </c>
      <c r="G83" s="2" t="s">
        <v>320</v>
      </c>
      <c r="H83" s="11">
        <v>913.2</v>
      </c>
      <c r="I83" s="11">
        <v>-913.2</v>
      </c>
      <c r="J83" s="11"/>
      <c r="K83" s="11">
        <v>0</v>
      </c>
      <c r="L83" s="16">
        <v>0</v>
      </c>
      <c r="M83" s="11">
        <v>0</v>
      </c>
      <c r="N83" s="11">
        <v>0</v>
      </c>
      <c r="O83" s="11">
        <v>0</v>
      </c>
      <c r="P83" s="11">
        <f t="shared" si="11"/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>
        <v>0</v>
      </c>
      <c r="W83" s="55">
        <f t="shared" si="12"/>
        <v>0</v>
      </c>
      <c r="X83" s="74" t="e">
        <f t="shared" si="13"/>
        <v>#DIV/0!</v>
      </c>
      <c r="Y83" s="74" t="e">
        <f t="shared" si="14"/>
        <v>#DIV/0!</v>
      </c>
      <c r="Z83" s="74" t="e">
        <f t="shared" si="15"/>
        <v>#DIV/0!</v>
      </c>
      <c r="AA83" s="74" t="e">
        <f t="shared" si="16"/>
        <v>#DIV/0!</v>
      </c>
    </row>
    <row r="84" spans="1:27">
      <c r="A84" s="7" t="s">
        <v>6</v>
      </c>
      <c r="B84" s="7">
        <v>10007567</v>
      </c>
      <c r="C84" s="7" t="str">
        <f t="shared" si="10"/>
        <v>ENERO10007567Entradas</v>
      </c>
      <c r="D84" s="7" t="s">
        <v>373</v>
      </c>
      <c r="E84" s="3" t="s">
        <v>164</v>
      </c>
      <c r="F84" s="8">
        <v>46420</v>
      </c>
      <c r="G84" s="2" t="s">
        <v>320</v>
      </c>
      <c r="H84" s="11">
        <v>87733.8</v>
      </c>
      <c r="I84" s="11">
        <v>-5253.54</v>
      </c>
      <c r="J84" s="11"/>
      <c r="K84" s="11">
        <v>82480.259999999995</v>
      </c>
      <c r="L84" s="16">
        <v>1.78</v>
      </c>
      <c r="M84" s="11">
        <v>53587.96</v>
      </c>
      <c r="N84" s="11">
        <v>884.42</v>
      </c>
      <c r="O84" s="11">
        <v>13386</v>
      </c>
      <c r="P84" s="11">
        <f t="shared" si="11"/>
        <v>14621.879999999986</v>
      </c>
      <c r="Q84" s="11">
        <v>104.26</v>
      </c>
      <c r="R84" s="11">
        <v>798.01</v>
      </c>
      <c r="S84" s="11">
        <v>7290.91</v>
      </c>
      <c r="T84" s="11">
        <v>5901.37</v>
      </c>
      <c r="U84" s="11"/>
      <c r="V84" s="11">
        <v>527.32999999998719</v>
      </c>
      <c r="W84" s="55">
        <f t="shared" si="12"/>
        <v>82480.259999999995</v>
      </c>
      <c r="X84" s="74">
        <f t="shared" si="13"/>
        <v>0.64970648734618441</v>
      </c>
      <c r="Y84" s="74">
        <f t="shared" si="14"/>
        <v>1.0722808099780481E-2</v>
      </c>
      <c r="Z84" s="74">
        <f t="shared" si="15"/>
        <v>0.16229337783367803</v>
      </c>
      <c r="AA84" s="74">
        <f t="shared" si="16"/>
        <v>0.17727732672035693</v>
      </c>
    </row>
    <row r="85" spans="1:27">
      <c r="A85" s="7" t="s">
        <v>6</v>
      </c>
      <c r="B85" s="7">
        <v>10007567</v>
      </c>
      <c r="C85" s="7" t="str">
        <f t="shared" si="10"/>
        <v>ENERO10007567Inv. acumulado</v>
      </c>
      <c r="D85" s="7" t="s">
        <v>373</v>
      </c>
      <c r="E85" s="3" t="s">
        <v>330</v>
      </c>
      <c r="F85" s="8">
        <v>76860</v>
      </c>
      <c r="G85" s="2" t="s">
        <v>320</v>
      </c>
      <c r="H85" s="11">
        <v>145265.4</v>
      </c>
      <c r="I85" s="11">
        <v>-4623.63</v>
      </c>
      <c r="J85" s="11"/>
      <c r="K85" s="11">
        <v>140641.76999999999</v>
      </c>
      <c r="L85" s="16">
        <v>1.83</v>
      </c>
      <c r="M85" s="11">
        <v>93418.36</v>
      </c>
      <c r="N85" s="11">
        <v>1378.01</v>
      </c>
      <c r="O85" s="11">
        <v>22960.400000000001</v>
      </c>
      <c r="P85" s="11">
        <f t="shared" si="11"/>
        <v>22884.999999999993</v>
      </c>
      <c r="Q85" s="11">
        <v>315.94</v>
      </c>
      <c r="R85" s="11">
        <v>1642.84</v>
      </c>
      <c r="S85" s="11">
        <v>10708.09</v>
      </c>
      <c r="T85" s="11">
        <v>9549.4500000000007</v>
      </c>
      <c r="U85" s="11"/>
      <c r="V85" s="11">
        <v>668.67999999999302</v>
      </c>
      <c r="W85" s="55">
        <f t="shared" si="12"/>
        <v>140641.76999999999</v>
      </c>
      <c r="X85" s="74">
        <f t="shared" si="13"/>
        <v>0.66422912624037656</v>
      </c>
      <c r="Y85" s="74">
        <f t="shared" si="14"/>
        <v>9.7980137764193398E-3</v>
      </c>
      <c r="Z85" s="74">
        <f t="shared" si="15"/>
        <v>0.16325448691380948</v>
      </c>
      <c r="AA85" s="74">
        <f t="shared" si="16"/>
        <v>0.16271837306939463</v>
      </c>
    </row>
    <row r="86" spans="1:27">
      <c r="A86" s="7" t="s">
        <v>6</v>
      </c>
      <c r="B86" s="7">
        <v>10007567</v>
      </c>
      <c r="C86" s="7" t="str">
        <f t="shared" si="10"/>
        <v>ENERO10007567Compensación</v>
      </c>
      <c r="D86" s="7" t="s">
        <v>373</v>
      </c>
      <c r="E86" s="3" t="s">
        <v>114</v>
      </c>
      <c r="F86" s="8">
        <v>48960</v>
      </c>
      <c r="G86" s="2" t="s">
        <v>320</v>
      </c>
      <c r="H86" s="11">
        <v>92534.399999999994</v>
      </c>
      <c r="I86" s="11">
        <v>-2945.26</v>
      </c>
      <c r="J86" s="11"/>
      <c r="K86" s="11">
        <v>89589.14</v>
      </c>
      <c r="L86" s="16">
        <v>1.83</v>
      </c>
      <c r="M86" s="11">
        <v>59507.71</v>
      </c>
      <c r="N86" s="11">
        <v>877.8</v>
      </c>
      <c r="O86" s="11">
        <v>14625.83</v>
      </c>
      <c r="P86" s="11">
        <f t="shared" si="11"/>
        <v>14577.800000000007</v>
      </c>
      <c r="Q86" s="11">
        <v>201.25</v>
      </c>
      <c r="R86" s="11">
        <v>1046.5</v>
      </c>
      <c r="S86" s="11">
        <v>6821.07</v>
      </c>
      <c r="T86" s="11">
        <v>6083.02</v>
      </c>
      <c r="U86" s="11"/>
      <c r="V86" s="11">
        <v>425.9600000000064</v>
      </c>
      <c r="W86" s="55">
        <f t="shared" si="12"/>
        <v>89589.14</v>
      </c>
      <c r="X86" s="74">
        <f t="shared" si="13"/>
        <v>0.66422905722724879</v>
      </c>
      <c r="Y86" s="74">
        <f t="shared" si="14"/>
        <v>9.7980625776740351E-3</v>
      </c>
      <c r="Z86" s="74">
        <f t="shared" si="15"/>
        <v>0.16325449714105972</v>
      </c>
      <c r="AA86" s="74">
        <f t="shared" si="16"/>
        <v>0.16271838305401756</v>
      </c>
    </row>
    <row r="87" spans="1:27">
      <c r="A87" s="7" t="s">
        <v>6</v>
      </c>
      <c r="B87" s="7">
        <v>10007567</v>
      </c>
      <c r="C87" s="7" t="str">
        <f t="shared" si="10"/>
        <v>ENERO10007567Inventario final</v>
      </c>
      <c r="D87" s="7" t="s">
        <v>373</v>
      </c>
      <c r="E87" s="3" t="s">
        <v>218</v>
      </c>
      <c r="F87" s="9">
        <v>27900</v>
      </c>
      <c r="G87" s="3" t="s">
        <v>320</v>
      </c>
      <c r="H87" s="12">
        <v>52731</v>
      </c>
      <c r="I87" s="12">
        <v>-1678.37</v>
      </c>
      <c r="J87" s="15"/>
      <c r="K87" s="12">
        <v>51052.63</v>
      </c>
      <c r="L87" s="17">
        <v>1.83</v>
      </c>
      <c r="M87" s="12">
        <v>33910.65</v>
      </c>
      <c r="N87" s="12">
        <v>500.21</v>
      </c>
      <c r="O87" s="12">
        <v>8334.57</v>
      </c>
      <c r="P87" s="12">
        <f t="shared" si="11"/>
        <v>8307.1999999999935</v>
      </c>
      <c r="Q87" s="12">
        <v>114.69</v>
      </c>
      <c r="R87" s="12">
        <v>596.34</v>
      </c>
      <c r="S87" s="12">
        <v>3887.02</v>
      </c>
      <c r="T87" s="11">
        <v>3466.43</v>
      </c>
      <c r="U87" s="11"/>
      <c r="V87" s="11">
        <v>242.71999999999389</v>
      </c>
      <c r="W87" s="55">
        <f t="shared" si="12"/>
        <v>51052.62999999999</v>
      </c>
      <c r="X87" s="74">
        <f t="shared" si="13"/>
        <v>0.66422924734729649</v>
      </c>
      <c r="Y87" s="74">
        <f t="shared" si="14"/>
        <v>9.797928138080253E-3</v>
      </c>
      <c r="Z87" s="74">
        <f t="shared" si="15"/>
        <v>0.16325446896663309</v>
      </c>
      <c r="AA87" s="74">
        <f t="shared" si="16"/>
        <v>0.16271835554799027</v>
      </c>
    </row>
    <row r="88" spans="1:27">
      <c r="A88" s="7" t="s">
        <v>7</v>
      </c>
      <c r="B88" s="7">
        <v>10007567</v>
      </c>
      <c r="C88" s="7" t="str">
        <f t="shared" si="10"/>
        <v>FEBRERO10007567Inventario inicial</v>
      </c>
      <c r="D88" s="7" t="s">
        <v>373</v>
      </c>
      <c r="E88" s="3" t="s">
        <v>319</v>
      </c>
      <c r="F88" s="8">
        <v>27900</v>
      </c>
      <c r="G88" s="2" t="s">
        <v>320</v>
      </c>
      <c r="H88" s="11">
        <v>52731</v>
      </c>
      <c r="I88" s="11" t="s">
        <v>374</v>
      </c>
      <c r="J88" s="11"/>
      <c r="K88" s="11">
        <v>51052.63</v>
      </c>
      <c r="L88" s="16">
        <v>1.83</v>
      </c>
      <c r="M88" s="11">
        <v>33910.65</v>
      </c>
      <c r="N88" s="11">
        <v>500.21</v>
      </c>
      <c r="O88" s="11">
        <v>8334.57</v>
      </c>
      <c r="P88" s="11">
        <f t="shared" si="11"/>
        <v>8307.1999999999935</v>
      </c>
      <c r="Q88" s="11">
        <v>114.69</v>
      </c>
      <c r="R88" s="11">
        <v>596.34</v>
      </c>
      <c r="S88" s="11">
        <v>3887.02</v>
      </c>
      <c r="T88" s="11">
        <v>0</v>
      </c>
      <c r="U88" s="11">
        <v>3466.43</v>
      </c>
      <c r="V88" s="11">
        <v>242.71999999999389</v>
      </c>
      <c r="W88" s="55">
        <f t="shared" si="12"/>
        <v>51052.62999999999</v>
      </c>
      <c r="X88" s="74">
        <f t="shared" si="13"/>
        <v>0.66422924734729649</v>
      </c>
      <c r="Y88" s="74">
        <f t="shared" si="14"/>
        <v>9.797928138080253E-3</v>
      </c>
      <c r="Z88" s="74">
        <f t="shared" si="15"/>
        <v>0.16325446896663309</v>
      </c>
      <c r="AA88" s="74">
        <f t="shared" si="16"/>
        <v>0.16271835554799027</v>
      </c>
    </row>
    <row r="89" spans="1:27">
      <c r="A89" s="7" t="s">
        <v>7</v>
      </c>
      <c r="B89" s="7">
        <v>10007567</v>
      </c>
      <c r="C89" s="7" t="str">
        <f t="shared" si="10"/>
        <v>FEBRERO10007567Revalorización</v>
      </c>
      <c r="D89" s="7" t="s">
        <v>373</v>
      </c>
      <c r="E89" s="3" t="s">
        <v>321</v>
      </c>
      <c r="F89" s="8">
        <v>0</v>
      </c>
      <c r="G89" s="2" t="s">
        <v>320</v>
      </c>
      <c r="H89" s="11">
        <v>558</v>
      </c>
      <c r="I89" s="11" t="s">
        <v>375</v>
      </c>
      <c r="J89" s="11"/>
      <c r="K89" s="11">
        <v>0</v>
      </c>
      <c r="L89" s="16">
        <v>0</v>
      </c>
      <c r="M89" s="11">
        <v>0</v>
      </c>
      <c r="N89" s="11">
        <v>0</v>
      </c>
      <c r="O89" s="11">
        <v>0</v>
      </c>
      <c r="P89" s="11">
        <f t="shared" si="11"/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55">
        <f t="shared" si="12"/>
        <v>0</v>
      </c>
      <c r="X89" s="74" t="e">
        <f t="shared" si="13"/>
        <v>#DIV/0!</v>
      </c>
      <c r="Y89" s="74" t="e">
        <f t="shared" si="14"/>
        <v>#DIV/0!</v>
      </c>
      <c r="Z89" s="74" t="e">
        <f t="shared" si="15"/>
        <v>#DIV/0!</v>
      </c>
      <c r="AA89" s="74" t="e">
        <f t="shared" si="16"/>
        <v>#DIV/0!</v>
      </c>
    </row>
    <row r="90" spans="1:27">
      <c r="A90" s="7" t="s">
        <v>7</v>
      </c>
      <c r="B90" s="7">
        <v>10007567</v>
      </c>
      <c r="C90" s="7" t="str">
        <f t="shared" si="10"/>
        <v>FEBRERO10007567Entradas</v>
      </c>
      <c r="D90" s="7" t="s">
        <v>373</v>
      </c>
      <c r="E90" s="3" t="s">
        <v>164</v>
      </c>
      <c r="F90" s="8">
        <v>76980</v>
      </c>
      <c r="G90" s="2" t="s">
        <v>320</v>
      </c>
      <c r="H90" s="11">
        <v>147031.79999999999</v>
      </c>
      <c r="I90" s="11" t="s">
        <v>376</v>
      </c>
      <c r="J90" s="11"/>
      <c r="K90" s="11">
        <v>127244.34</v>
      </c>
      <c r="L90" s="16">
        <v>1.65</v>
      </c>
      <c r="M90" s="11">
        <v>78549.78</v>
      </c>
      <c r="N90" s="11">
        <v>1428.03</v>
      </c>
      <c r="O90" s="11">
        <v>22506.400000000001</v>
      </c>
      <c r="P90" s="11">
        <f t="shared" si="11"/>
        <v>24760.129999999997</v>
      </c>
      <c r="Q90" s="11">
        <v>540.02</v>
      </c>
      <c r="R90" s="11">
        <v>1327.92</v>
      </c>
      <c r="S90" s="11">
        <v>12130.74</v>
      </c>
      <c r="T90" s="11" t="s">
        <v>334</v>
      </c>
      <c r="U90" s="11">
        <v>9820.33</v>
      </c>
      <c r="V90" s="11">
        <v>941.11999999999534</v>
      </c>
      <c r="W90" s="55">
        <f t="shared" si="12"/>
        <v>127244.34</v>
      </c>
      <c r="X90" s="74">
        <f t="shared" si="13"/>
        <v>0.61731453045377105</v>
      </c>
      <c r="Y90" s="74">
        <f t="shared" si="14"/>
        <v>1.1222738866027362E-2</v>
      </c>
      <c r="Z90" s="74">
        <f t="shared" si="15"/>
        <v>0.17687545080590619</v>
      </c>
      <c r="AA90" s="74">
        <f t="shared" si="16"/>
        <v>0.19458727987429539</v>
      </c>
    </row>
    <row r="91" spans="1:27">
      <c r="A91" s="7" t="s">
        <v>7</v>
      </c>
      <c r="B91" s="7">
        <v>10007567</v>
      </c>
      <c r="C91" s="7" t="str">
        <f t="shared" si="10"/>
        <v>FEBRERO10007567Inventario acumulado</v>
      </c>
      <c r="D91" s="7" t="s">
        <v>373</v>
      </c>
      <c r="E91" s="3" t="s">
        <v>322</v>
      </c>
      <c r="F91" s="8">
        <v>104880</v>
      </c>
      <c r="G91" s="2" t="s">
        <v>320</v>
      </c>
      <c r="H91" s="11">
        <v>200320.8</v>
      </c>
      <c r="I91" s="11" t="s">
        <v>377</v>
      </c>
      <c r="J91" s="11"/>
      <c r="K91" s="11">
        <v>178296.97</v>
      </c>
      <c r="L91" s="16">
        <v>1.7</v>
      </c>
      <c r="M91" s="11">
        <v>112460.43</v>
      </c>
      <c r="N91" s="11">
        <v>1928.24</v>
      </c>
      <c r="O91" s="11">
        <v>30840.97</v>
      </c>
      <c r="P91" s="11">
        <f t="shared" si="11"/>
        <v>33067.329999999994</v>
      </c>
      <c r="Q91" s="11">
        <v>654.71</v>
      </c>
      <c r="R91" s="11">
        <v>1924.26</v>
      </c>
      <c r="S91" s="11">
        <v>16017.76</v>
      </c>
      <c r="T91" s="11" t="s">
        <v>334</v>
      </c>
      <c r="U91" s="11">
        <v>13286.76</v>
      </c>
      <c r="V91" s="11">
        <v>1183.8399999999965</v>
      </c>
      <c r="W91" s="55">
        <f t="shared" si="12"/>
        <v>178296.97</v>
      </c>
      <c r="X91" s="74">
        <f t="shared" si="13"/>
        <v>0.63074784725730337</v>
      </c>
      <c r="Y91" s="74">
        <f t="shared" si="14"/>
        <v>1.0814765949191396E-2</v>
      </c>
      <c r="Z91" s="74">
        <f t="shared" si="15"/>
        <v>0.17297528948472876</v>
      </c>
      <c r="AA91" s="74">
        <f t="shared" si="16"/>
        <v>0.18546209730877644</v>
      </c>
    </row>
    <row r="92" spans="1:27">
      <c r="A92" s="7" t="s">
        <v>7</v>
      </c>
      <c r="B92" s="7">
        <v>10007567</v>
      </c>
      <c r="C92" s="7" t="str">
        <f t="shared" si="10"/>
        <v>FEBRERO10007567Inventario final</v>
      </c>
      <c r="D92" s="7" t="s">
        <v>373</v>
      </c>
      <c r="E92" s="3" t="s">
        <v>218</v>
      </c>
      <c r="F92" s="8">
        <v>104880</v>
      </c>
      <c r="G92" s="2" t="s">
        <v>320</v>
      </c>
      <c r="H92" s="11">
        <v>200320.8</v>
      </c>
      <c r="I92" s="11" t="s">
        <v>377</v>
      </c>
      <c r="J92" s="11"/>
      <c r="K92" s="11">
        <v>178296.97</v>
      </c>
      <c r="L92" s="16">
        <v>1.7</v>
      </c>
      <c r="M92" s="11">
        <v>112460.43</v>
      </c>
      <c r="N92" s="11">
        <v>1928.24</v>
      </c>
      <c r="O92" s="11">
        <v>30840.97</v>
      </c>
      <c r="P92" s="11">
        <f t="shared" si="11"/>
        <v>33067.329999999994</v>
      </c>
      <c r="Q92" s="11">
        <v>654.71</v>
      </c>
      <c r="R92" s="11">
        <v>1924.26</v>
      </c>
      <c r="S92" s="11">
        <v>16017.76</v>
      </c>
      <c r="T92" s="11" t="s">
        <v>334</v>
      </c>
      <c r="U92" s="11">
        <v>13286.76</v>
      </c>
      <c r="V92" s="11">
        <v>1183.8399999999965</v>
      </c>
      <c r="W92" s="55">
        <f t="shared" si="12"/>
        <v>178296.97</v>
      </c>
      <c r="X92" s="74">
        <f t="shared" si="13"/>
        <v>0.63074784725730337</v>
      </c>
      <c r="Y92" s="74">
        <f t="shared" si="14"/>
        <v>1.0814765949191396E-2</v>
      </c>
      <c r="Z92" s="74">
        <f t="shared" si="15"/>
        <v>0.17297528948472876</v>
      </c>
      <c r="AA92" s="74">
        <f t="shared" si="16"/>
        <v>0.18546209730877644</v>
      </c>
    </row>
    <row r="93" spans="1:27">
      <c r="A93" s="7" t="s">
        <v>6</v>
      </c>
      <c r="B93" s="7">
        <v>10007162</v>
      </c>
      <c r="C93" s="7" t="str">
        <f t="shared" si="10"/>
        <v>ENERO10007162Inventario inicial</v>
      </c>
      <c r="D93" s="7" t="s">
        <v>378</v>
      </c>
      <c r="E93" s="3" t="s">
        <v>319</v>
      </c>
      <c r="F93" s="8">
        <v>49100</v>
      </c>
      <c r="G93" s="2" t="s">
        <v>320</v>
      </c>
      <c r="H93" s="11">
        <v>100164</v>
      </c>
      <c r="I93" s="11">
        <v>-9203.33</v>
      </c>
      <c r="J93" s="11"/>
      <c r="K93" s="11">
        <v>90960.67</v>
      </c>
      <c r="L93" s="16">
        <v>1.85</v>
      </c>
      <c r="M93" s="11">
        <v>61487.46</v>
      </c>
      <c r="N93" s="11">
        <v>598.21</v>
      </c>
      <c r="O93" s="11">
        <v>15812.84</v>
      </c>
      <c r="P93" s="11">
        <f t="shared" si="11"/>
        <v>13062.160000000007</v>
      </c>
      <c r="Q93" s="11">
        <v>1343.31</v>
      </c>
      <c r="R93" s="11">
        <v>5334.03</v>
      </c>
      <c r="S93" s="11">
        <v>5713.89</v>
      </c>
      <c r="T93" s="11"/>
      <c r="U93" s="11"/>
      <c r="V93" s="11">
        <v>670.93000000000757</v>
      </c>
      <c r="W93" s="55">
        <f t="shared" si="12"/>
        <v>90960.67</v>
      </c>
      <c r="X93" s="74">
        <f t="shared" si="13"/>
        <v>0.67597853006139907</v>
      </c>
      <c r="Y93" s="74">
        <f t="shared" si="14"/>
        <v>6.5765786465732945E-3</v>
      </c>
      <c r="Z93" s="74">
        <f t="shared" si="15"/>
        <v>0.17384260692011175</v>
      </c>
      <c r="AA93" s="74">
        <f t="shared" si="16"/>
        <v>0.14360228437191599</v>
      </c>
    </row>
    <row r="94" spans="1:27">
      <c r="A94" s="7" t="s">
        <v>6</v>
      </c>
      <c r="B94" s="7">
        <v>10007162</v>
      </c>
      <c r="C94" s="7" t="str">
        <f t="shared" si="10"/>
        <v>ENERO10007162Revalorización</v>
      </c>
      <c r="D94" s="7" t="s">
        <v>378</v>
      </c>
      <c r="E94" s="3" t="s">
        <v>321</v>
      </c>
      <c r="F94" s="8">
        <v>0</v>
      </c>
      <c r="G94" s="2" t="s">
        <v>320</v>
      </c>
      <c r="H94" s="11">
        <v>0</v>
      </c>
      <c r="I94" s="11">
        <v>0</v>
      </c>
      <c r="J94" s="11"/>
      <c r="K94" s="11">
        <v>0</v>
      </c>
      <c r="L94" s="16">
        <v>0</v>
      </c>
      <c r="M94" s="11">
        <v>0</v>
      </c>
      <c r="N94" s="11">
        <v>0</v>
      </c>
      <c r="O94" s="11">
        <v>0</v>
      </c>
      <c r="P94" s="11">
        <f t="shared" si="11"/>
        <v>0</v>
      </c>
      <c r="Q94" s="11">
        <v>0</v>
      </c>
      <c r="R94" s="11">
        <v>0</v>
      </c>
      <c r="S94" s="11">
        <v>0</v>
      </c>
      <c r="T94" s="11"/>
      <c r="U94" s="11"/>
      <c r="V94" s="11">
        <v>0</v>
      </c>
      <c r="W94" s="55">
        <f t="shared" si="12"/>
        <v>0</v>
      </c>
      <c r="X94" s="74" t="e">
        <f t="shared" si="13"/>
        <v>#DIV/0!</v>
      </c>
      <c r="Y94" s="74" t="e">
        <f t="shared" si="14"/>
        <v>#DIV/0!</v>
      </c>
      <c r="Z94" s="74" t="e">
        <f t="shared" si="15"/>
        <v>#DIV/0!</v>
      </c>
      <c r="AA94" s="74" t="e">
        <f t="shared" si="16"/>
        <v>#DIV/0!</v>
      </c>
    </row>
    <row r="95" spans="1:27">
      <c r="A95" s="7" t="s">
        <v>6</v>
      </c>
      <c r="B95" s="7">
        <v>10007162</v>
      </c>
      <c r="C95" s="7" t="str">
        <f t="shared" si="10"/>
        <v>ENERO10007162Entradas</v>
      </c>
      <c r="D95" s="7" t="s">
        <v>378</v>
      </c>
      <c r="E95" s="3" t="s">
        <v>164</v>
      </c>
      <c r="F95" s="8">
        <v>197540</v>
      </c>
      <c r="G95" s="2" t="s">
        <v>320</v>
      </c>
      <c r="H95" s="11">
        <v>402981.6</v>
      </c>
      <c r="I95" s="11">
        <v>-52003.55</v>
      </c>
      <c r="J95" s="11"/>
      <c r="K95" s="11">
        <v>350978.05</v>
      </c>
      <c r="L95" s="16">
        <v>1.78</v>
      </c>
      <c r="M95" s="11">
        <v>225580.01</v>
      </c>
      <c r="N95" s="11">
        <v>3261.02</v>
      </c>
      <c r="O95" s="11">
        <v>59927.12</v>
      </c>
      <c r="P95" s="11">
        <f t="shared" si="11"/>
        <v>62209.899999999994</v>
      </c>
      <c r="Q95" s="11">
        <v>3395.91</v>
      </c>
      <c r="R95" s="11">
        <v>31026.42</v>
      </c>
      <c r="S95" s="11">
        <v>25113.26</v>
      </c>
      <c r="T95" s="11"/>
      <c r="U95" s="11"/>
      <c r="V95" s="11">
        <v>2674.3099999999977</v>
      </c>
      <c r="W95" s="55">
        <f t="shared" si="12"/>
        <v>350978.05000000005</v>
      </c>
      <c r="X95" s="74">
        <f t="shared" si="13"/>
        <v>0.64271828394966579</v>
      </c>
      <c r="Y95" s="74">
        <f t="shared" si="14"/>
        <v>9.2912363038087416E-3</v>
      </c>
      <c r="Z95" s="74">
        <f t="shared" si="15"/>
        <v>0.17074321314395585</v>
      </c>
      <c r="AA95" s="74">
        <f t="shared" si="16"/>
        <v>0.17724726660256956</v>
      </c>
    </row>
    <row r="96" spans="1:27">
      <c r="A96" s="7" t="s">
        <v>6</v>
      </c>
      <c r="B96" s="7">
        <v>10007162</v>
      </c>
      <c r="C96" s="7" t="str">
        <f t="shared" si="10"/>
        <v>ENERO10007162Inv. acumulado</v>
      </c>
      <c r="D96" s="7" t="s">
        <v>378</v>
      </c>
      <c r="E96" s="3" t="s">
        <v>330</v>
      </c>
      <c r="F96" s="8">
        <v>246640</v>
      </c>
      <c r="G96" s="2" t="s">
        <v>320</v>
      </c>
      <c r="H96" s="11">
        <v>503145.6</v>
      </c>
      <c r="I96" s="11">
        <v>-61206.879999999997</v>
      </c>
      <c r="J96" s="11"/>
      <c r="K96" s="11">
        <v>441938.72</v>
      </c>
      <c r="L96" s="16">
        <v>1.79</v>
      </c>
      <c r="M96" s="11">
        <v>287067.46999999997</v>
      </c>
      <c r="N96" s="11">
        <v>3859.23</v>
      </c>
      <c r="O96" s="11">
        <v>75739.960000000006</v>
      </c>
      <c r="P96" s="11">
        <f t="shared" si="11"/>
        <v>75272.06</v>
      </c>
      <c r="Q96" s="11">
        <v>4739.22</v>
      </c>
      <c r="R96" s="11">
        <v>36360.449999999997</v>
      </c>
      <c r="S96" s="11">
        <v>30827.15</v>
      </c>
      <c r="T96" s="11"/>
      <c r="U96" s="11"/>
      <c r="V96" s="11">
        <v>3345.2399999999907</v>
      </c>
      <c r="W96" s="55">
        <f t="shared" si="12"/>
        <v>441938.72</v>
      </c>
      <c r="X96" s="74">
        <f t="shared" si="13"/>
        <v>0.64956397122207343</v>
      </c>
      <c r="Y96" s="74">
        <f t="shared" si="14"/>
        <v>8.7325002887278132E-3</v>
      </c>
      <c r="Z96" s="74">
        <f t="shared" si="15"/>
        <v>0.17138113628061377</v>
      </c>
      <c r="AA96" s="74">
        <f t="shared" si="16"/>
        <v>0.17032239220858494</v>
      </c>
    </row>
    <row r="97" spans="1:27">
      <c r="A97" s="7" t="s">
        <v>6</v>
      </c>
      <c r="B97" s="7">
        <v>10007162</v>
      </c>
      <c r="C97" s="7" t="str">
        <f t="shared" si="10"/>
        <v>ENERO10007162Compensación</v>
      </c>
      <c r="D97" s="7" t="s">
        <v>378</v>
      </c>
      <c r="E97" s="3" t="s">
        <v>114</v>
      </c>
      <c r="F97" s="8">
        <v>43400</v>
      </c>
      <c r="G97" s="2" t="s">
        <v>320</v>
      </c>
      <c r="H97" s="11">
        <v>88536</v>
      </c>
      <c r="I97" s="11">
        <v>-10770.27</v>
      </c>
      <c r="J97" s="11"/>
      <c r="K97" s="11">
        <v>77765.73</v>
      </c>
      <c r="L97" s="16">
        <v>1.79</v>
      </c>
      <c r="M97" s="11">
        <v>50513.82</v>
      </c>
      <c r="N97" s="11">
        <v>679.09</v>
      </c>
      <c r="O97" s="11">
        <v>13327.58</v>
      </c>
      <c r="P97" s="11">
        <f t="shared" si="11"/>
        <v>13245.239999999994</v>
      </c>
      <c r="Q97" s="11">
        <v>833.94</v>
      </c>
      <c r="R97" s="11">
        <v>6398.16</v>
      </c>
      <c r="S97" s="11">
        <v>5424.49</v>
      </c>
      <c r="T97" s="11"/>
      <c r="U97" s="11"/>
      <c r="V97" s="11">
        <v>588.64999999999418</v>
      </c>
      <c r="W97" s="55">
        <f t="shared" si="12"/>
        <v>77765.73</v>
      </c>
      <c r="X97" s="74">
        <f t="shared" si="13"/>
        <v>0.64956401746630554</v>
      </c>
      <c r="Y97" s="74">
        <f t="shared" si="14"/>
        <v>8.7325098086265002E-3</v>
      </c>
      <c r="Z97" s="74">
        <f t="shared" si="15"/>
        <v>0.17138114693966097</v>
      </c>
      <c r="AA97" s="74">
        <f t="shared" si="16"/>
        <v>0.17032232578540696</v>
      </c>
    </row>
    <row r="98" spans="1:27">
      <c r="A98" s="7" t="s">
        <v>6</v>
      </c>
      <c r="B98" s="7">
        <v>10007162</v>
      </c>
      <c r="C98" s="7" t="str">
        <f t="shared" si="10"/>
        <v>ENERO10007162Inventario final</v>
      </c>
      <c r="D98" s="7" t="s">
        <v>378</v>
      </c>
      <c r="E98" s="3" t="s">
        <v>218</v>
      </c>
      <c r="F98" s="9">
        <v>203240</v>
      </c>
      <c r="G98" s="3" t="s">
        <v>320</v>
      </c>
      <c r="H98" s="12">
        <v>414609.6</v>
      </c>
      <c r="I98" s="12">
        <v>-50436.61</v>
      </c>
      <c r="J98" s="13"/>
      <c r="K98" s="12">
        <v>364172.99</v>
      </c>
      <c r="L98" s="17">
        <v>1.79</v>
      </c>
      <c r="M98" s="12">
        <v>236553.65</v>
      </c>
      <c r="N98" s="12">
        <v>3180.14</v>
      </c>
      <c r="O98" s="12">
        <v>62412.38</v>
      </c>
      <c r="P98" s="12">
        <f t="shared" si="11"/>
        <v>62026.820000000022</v>
      </c>
      <c r="Q98" s="12">
        <v>3905.28</v>
      </c>
      <c r="R98" s="12">
        <v>29962.29</v>
      </c>
      <c r="S98" s="12">
        <v>25402.66</v>
      </c>
      <c r="T98" s="11"/>
      <c r="U98" s="11"/>
      <c r="V98" s="11">
        <v>2756.5900000000256</v>
      </c>
      <c r="W98" s="55">
        <f t="shared" si="12"/>
        <v>364172.99</v>
      </c>
      <c r="X98" s="74">
        <f t="shared" si="13"/>
        <v>0.64956396134705108</v>
      </c>
      <c r="Y98" s="74">
        <f t="shared" si="14"/>
        <v>8.7324982558426422E-3</v>
      </c>
      <c r="Z98" s="74">
        <f t="shared" si="15"/>
        <v>0.17138113400447408</v>
      </c>
      <c r="AA98" s="74">
        <f t="shared" si="16"/>
        <v>0.17032240639263233</v>
      </c>
    </row>
    <row r="99" spans="1:27">
      <c r="A99" s="7" t="s">
        <v>7</v>
      </c>
      <c r="B99" s="7">
        <v>10007162</v>
      </c>
      <c r="C99" s="7" t="str">
        <f t="shared" si="10"/>
        <v>FEBRERO10007162Inventario inicial</v>
      </c>
      <c r="D99" s="7" t="s">
        <v>378</v>
      </c>
      <c r="E99" s="3" t="s">
        <v>319</v>
      </c>
      <c r="F99" s="9">
        <v>203240</v>
      </c>
      <c r="G99" s="3" t="s">
        <v>320</v>
      </c>
      <c r="H99" s="12">
        <v>414609.6</v>
      </c>
      <c r="I99" s="12" t="s">
        <v>379</v>
      </c>
      <c r="J99" s="13"/>
      <c r="K99" s="12">
        <v>364172.99</v>
      </c>
      <c r="L99" s="17">
        <v>1.79</v>
      </c>
      <c r="M99" s="12">
        <v>236553.65</v>
      </c>
      <c r="N99" s="12">
        <v>3180.14</v>
      </c>
      <c r="O99" s="12">
        <v>62412.38</v>
      </c>
      <c r="P99" s="12">
        <f t="shared" si="11"/>
        <v>62026.820000000007</v>
      </c>
      <c r="Q99" s="12">
        <v>688.64</v>
      </c>
      <c r="R99" s="12">
        <v>3905.28</v>
      </c>
      <c r="S99" s="12">
        <v>29962.29</v>
      </c>
      <c r="T99" s="11">
        <v>0.01</v>
      </c>
      <c r="U99" s="11">
        <v>25402.66</v>
      </c>
      <c r="V99" s="11">
        <v>2067.9400000000023</v>
      </c>
      <c r="W99" s="55">
        <f t="shared" si="12"/>
        <v>364172.99</v>
      </c>
      <c r="X99" s="74">
        <f t="shared" si="13"/>
        <v>0.64956396134705108</v>
      </c>
      <c r="Y99" s="74">
        <f t="shared" si="14"/>
        <v>8.7324982558426422E-3</v>
      </c>
      <c r="Z99" s="74">
        <f t="shared" si="15"/>
        <v>0.17138113400447408</v>
      </c>
      <c r="AA99" s="74">
        <f t="shared" si="16"/>
        <v>0.17032240639263227</v>
      </c>
    </row>
    <row r="100" spans="1:27">
      <c r="A100" s="7" t="s">
        <v>7</v>
      </c>
      <c r="B100" s="7">
        <v>10007162</v>
      </c>
      <c r="C100" s="7" t="str">
        <f t="shared" si="10"/>
        <v>FEBRERO10007162Revalorización</v>
      </c>
      <c r="D100" s="7" t="s">
        <v>378</v>
      </c>
      <c r="E100" s="3" t="s">
        <v>321</v>
      </c>
      <c r="F100" s="9">
        <v>0</v>
      </c>
      <c r="G100" s="3" t="s">
        <v>320</v>
      </c>
      <c r="H100" s="12" t="s">
        <v>380</v>
      </c>
      <c r="I100" s="12">
        <v>38615.599999999999</v>
      </c>
      <c r="J100" s="13"/>
      <c r="K100" s="12">
        <v>0</v>
      </c>
      <c r="L100" s="17">
        <v>0</v>
      </c>
      <c r="M100" s="12">
        <v>0</v>
      </c>
      <c r="N100" s="12">
        <v>0</v>
      </c>
      <c r="O100" s="12">
        <v>0</v>
      </c>
      <c r="P100" s="12">
        <f t="shared" si="11"/>
        <v>0</v>
      </c>
      <c r="Q100" s="12">
        <v>0</v>
      </c>
      <c r="R100" s="12">
        <v>0</v>
      </c>
      <c r="S100" s="12">
        <v>0</v>
      </c>
      <c r="T100" s="11">
        <v>0</v>
      </c>
      <c r="U100" s="11">
        <v>0</v>
      </c>
      <c r="V100" s="11">
        <v>0</v>
      </c>
      <c r="W100" s="55">
        <f t="shared" si="12"/>
        <v>0</v>
      </c>
      <c r="X100" s="74" t="e">
        <f t="shared" si="13"/>
        <v>#DIV/0!</v>
      </c>
      <c r="Y100" s="74" t="e">
        <f t="shared" si="14"/>
        <v>#DIV/0!</v>
      </c>
      <c r="Z100" s="74" t="e">
        <f t="shared" si="15"/>
        <v>#DIV/0!</v>
      </c>
      <c r="AA100" s="74" t="e">
        <f t="shared" si="16"/>
        <v>#DIV/0!</v>
      </c>
    </row>
    <row r="101" spans="1:27">
      <c r="A101" s="7" t="s">
        <v>7</v>
      </c>
      <c r="B101" s="7">
        <v>10007162</v>
      </c>
      <c r="C101" s="7" t="str">
        <f t="shared" ref="C101:C132" si="17">A101&amp;B101&amp;E101</f>
        <v>FEBRERO10007162Entradas</v>
      </c>
      <c r="D101" s="7" t="s">
        <v>378</v>
      </c>
      <c r="E101" s="3" t="s">
        <v>164</v>
      </c>
      <c r="F101" s="9">
        <v>319660</v>
      </c>
      <c r="G101" s="3" t="s">
        <v>320</v>
      </c>
      <c r="H101" s="12">
        <v>591371</v>
      </c>
      <c r="I101" s="12" t="s">
        <v>381</v>
      </c>
      <c r="J101" s="13"/>
      <c r="K101" s="12">
        <v>532752.57999999996</v>
      </c>
      <c r="L101" s="17">
        <v>1.67</v>
      </c>
      <c r="M101" s="12">
        <v>326505.42</v>
      </c>
      <c r="N101" s="12">
        <v>5184.8100000000004</v>
      </c>
      <c r="O101" s="12">
        <v>98252.02</v>
      </c>
      <c r="P101" s="12">
        <f t="shared" ref="P101:P132" si="18">SUM(Q101:V101)</f>
        <v>102810.32999999999</v>
      </c>
      <c r="Q101" s="12">
        <v>2242.41</v>
      </c>
      <c r="R101" s="12">
        <v>5514.14</v>
      </c>
      <c r="S101" s="12">
        <v>50372.98</v>
      </c>
      <c r="T101" s="11">
        <v>0.28000000000000003</v>
      </c>
      <c r="U101" s="11">
        <v>40779.03</v>
      </c>
      <c r="V101" s="11">
        <v>3901.4899999999907</v>
      </c>
      <c r="W101" s="55">
        <f t="shared" si="12"/>
        <v>532752.57999999996</v>
      </c>
      <c r="X101" s="74">
        <f t="shared" si="13"/>
        <v>0.61286501887987099</v>
      </c>
      <c r="Y101" s="74">
        <f t="shared" si="14"/>
        <v>9.7321161729521811E-3</v>
      </c>
      <c r="Z101" s="74">
        <f t="shared" si="15"/>
        <v>0.18442335840025403</v>
      </c>
      <c r="AA101" s="74">
        <f t="shared" si="16"/>
        <v>0.19297950654692278</v>
      </c>
    </row>
    <row r="102" spans="1:27">
      <c r="A102" s="7" t="s">
        <v>7</v>
      </c>
      <c r="B102" s="7">
        <v>10007162</v>
      </c>
      <c r="C102" s="7" t="str">
        <f t="shared" si="17"/>
        <v>FEBRERO10007162Inventario acumulado</v>
      </c>
      <c r="D102" s="7" t="s">
        <v>378</v>
      </c>
      <c r="E102" s="3" t="s">
        <v>322</v>
      </c>
      <c r="F102" s="9">
        <v>522900</v>
      </c>
      <c r="G102" s="3" t="s">
        <v>320</v>
      </c>
      <c r="H102" s="12">
        <v>967365</v>
      </c>
      <c r="I102" s="12" t="s">
        <v>382</v>
      </c>
      <c r="J102" s="13"/>
      <c r="K102" s="12">
        <v>896925.57</v>
      </c>
      <c r="L102" s="17">
        <v>1.72</v>
      </c>
      <c r="M102" s="12">
        <v>563059.06999999995</v>
      </c>
      <c r="N102" s="12">
        <v>8364.9500000000007</v>
      </c>
      <c r="O102" s="12">
        <v>160664.4</v>
      </c>
      <c r="P102" s="12">
        <f t="shared" si="18"/>
        <v>164837.15000000005</v>
      </c>
      <c r="Q102" s="12">
        <v>2931.05</v>
      </c>
      <c r="R102" s="12">
        <v>9419.42</v>
      </c>
      <c r="S102" s="12">
        <v>80335.27</v>
      </c>
      <c r="T102" s="11">
        <v>0.28999999999999998</v>
      </c>
      <c r="U102" s="11">
        <v>66181.69</v>
      </c>
      <c r="V102" s="11">
        <v>5969.4300000000512</v>
      </c>
      <c r="W102" s="55">
        <f t="shared" si="12"/>
        <v>896925.57</v>
      </c>
      <c r="X102" s="74">
        <f t="shared" si="13"/>
        <v>0.62776565729974676</v>
      </c>
      <c r="Y102" s="74">
        <f t="shared" si="14"/>
        <v>9.3262476617764403E-3</v>
      </c>
      <c r="Z102" s="74">
        <f t="shared" si="15"/>
        <v>0.17912790690090372</v>
      </c>
      <c r="AA102" s="74">
        <f t="shared" si="16"/>
        <v>0.18378018813757319</v>
      </c>
    </row>
    <row r="103" spans="1:27">
      <c r="A103" s="7" t="s">
        <v>7</v>
      </c>
      <c r="B103" s="7">
        <v>10007162</v>
      </c>
      <c r="C103" s="7" t="str">
        <f t="shared" si="17"/>
        <v>FEBRERO10007162Compensación</v>
      </c>
      <c r="D103" s="7" t="s">
        <v>378</v>
      </c>
      <c r="E103" s="3" t="s">
        <v>114</v>
      </c>
      <c r="F103" s="9">
        <v>208000</v>
      </c>
      <c r="G103" s="3" t="s">
        <v>320</v>
      </c>
      <c r="H103" s="12">
        <v>384800</v>
      </c>
      <c r="I103" s="12" t="s">
        <v>383</v>
      </c>
      <c r="J103" s="13"/>
      <c r="K103" s="12">
        <v>356780.49</v>
      </c>
      <c r="L103" s="17">
        <v>1.72</v>
      </c>
      <c r="M103" s="12">
        <v>223974.54</v>
      </c>
      <c r="N103" s="12">
        <v>3327.42</v>
      </c>
      <c r="O103" s="12">
        <v>63909.34</v>
      </c>
      <c r="P103" s="12">
        <f t="shared" si="18"/>
        <v>65569.189999999915</v>
      </c>
      <c r="Q103" s="12">
        <v>1165.92</v>
      </c>
      <c r="R103" s="12">
        <v>3746.87</v>
      </c>
      <c r="S103" s="12">
        <v>31955.9</v>
      </c>
      <c r="T103" s="11">
        <v>0.11</v>
      </c>
      <c r="U103" s="11">
        <v>26325.86</v>
      </c>
      <c r="V103" s="11">
        <v>2374.5299999999115</v>
      </c>
      <c r="W103" s="55">
        <f t="shared" si="12"/>
        <v>356780.49</v>
      </c>
      <c r="X103" s="74">
        <f t="shared" si="13"/>
        <v>0.62776566061670025</v>
      </c>
      <c r="Y103" s="74">
        <f t="shared" si="14"/>
        <v>9.3262386628820432E-3</v>
      </c>
      <c r="Z103" s="74">
        <f t="shared" si="15"/>
        <v>0.17912790018310698</v>
      </c>
      <c r="AA103" s="74">
        <f t="shared" si="16"/>
        <v>0.18378020053731053</v>
      </c>
    </row>
    <row r="104" spans="1:27">
      <c r="A104" s="7" t="s">
        <v>7</v>
      </c>
      <c r="B104" s="7">
        <v>10007162</v>
      </c>
      <c r="C104" s="7" t="str">
        <f t="shared" si="17"/>
        <v>FEBRERO10007162Inventario final</v>
      </c>
      <c r="D104" s="7" t="s">
        <v>378</v>
      </c>
      <c r="E104" s="3" t="s">
        <v>218</v>
      </c>
      <c r="F104" s="8">
        <v>314900</v>
      </c>
      <c r="G104" s="2" t="s">
        <v>320</v>
      </c>
      <c r="H104" s="11">
        <v>582565</v>
      </c>
      <c r="I104" s="11" t="s">
        <v>384</v>
      </c>
      <c r="J104" s="11"/>
      <c r="K104" s="11">
        <v>540145.07999999996</v>
      </c>
      <c r="L104" s="16">
        <v>1.72</v>
      </c>
      <c r="M104" s="11">
        <v>339084.53</v>
      </c>
      <c r="N104" s="11">
        <v>5037.53</v>
      </c>
      <c r="O104" s="11">
        <v>96755.06</v>
      </c>
      <c r="P104" s="11">
        <f t="shared" si="18"/>
        <v>99267.959999999905</v>
      </c>
      <c r="Q104" s="11">
        <v>1765.13</v>
      </c>
      <c r="R104" s="11">
        <v>5672.55</v>
      </c>
      <c r="S104" s="11">
        <v>48379.37</v>
      </c>
      <c r="T104" s="11">
        <v>0.18</v>
      </c>
      <c r="U104" s="11">
        <v>39855.83</v>
      </c>
      <c r="V104" s="11">
        <v>3594.8999999999069</v>
      </c>
      <c r="W104" s="55">
        <f t="shared" si="12"/>
        <v>540145.07999999996</v>
      </c>
      <c r="X104" s="74">
        <f t="shared" si="13"/>
        <v>0.627765655108809</v>
      </c>
      <c r="Y104" s="74">
        <f t="shared" si="14"/>
        <v>9.3262536057905042E-3</v>
      </c>
      <c r="Z104" s="74">
        <f t="shared" si="15"/>
        <v>0.17912791133819086</v>
      </c>
      <c r="AA104" s="74">
        <f t="shared" si="16"/>
        <v>0.18378017994720958</v>
      </c>
    </row>
    <row r="105" spans="1:27">
      <c r="A105" s="7" t="s">
        <v>6</v>
      </c>
      <c r="B105" s="7">
        <v>10009639</v>
      </c>
      <c r="C105" s="7" t="str">
        <f t="shared" si="17"/>
        <v>ENERO10009639Inventario inicial</v>
      </c>
      <c r="D105" s="7" t="s">
        <v>385</v>
      </c>
      <c r="E105" s="3" t="s">
        <v>319</v>
      </c>
      <c r="F105" s="8">
        <v>3860</v>
      </c>
      <c r="G105" s="2" t="s">
        <v>320</v>
      </c>
      <c r="H105" s="11">
        <v>7604.2</v>
      </c>
      <c r="I105" s="11">
        <v>513.41</v>
      </c>
      <c r="J105" s="11"/>
      <c r="K105" s="11">
        <v>8117.61</v>
      </c>
      <c r="L105" s="16">
        <v>2.1</v>
      </c>
      <c r="M105" s="11">
        <v>5762.32</v>
      </c>
      <c r="N105" s="11">
        <v>39.83</v>
      </c>
      <c r="O105" s="11">
        <v>1239.72</v>
      </c>
      <c r="P105" s="11">
        <f t="shared" si="18"/>
        <v>1075.7400000000002</v>
      </c>
      <c r="Q105" s="11">
        <v>35.979999999999997</v>
      </c>
      <c r="R105" s="11">
        <v>108.33</v>
      </c>
      <c r="S105" s="11">
        <v>438.49</v>
      </c>
      <c r="T105" s="11">
        <v>470.8</v>
      </c>
      <c r="U105" s="11"/>
      <c r="V105" s="11">
        <v>22.140000000000327</v>
      </c>
      <c r="W105" s="55">
        <f t="shared" si="12"/>
        <v>8117.6100000000006</v>
      </c>
      <c r="X105" s="74">
        <f t="shared" si="13"/>
        <v>0.70985425513174438</v>
      </c>
      <c r="Y105" s="74">
        <f t="shared" si="14"/>
        <v>4.9066166026699972E-3</v>
      </c>
      <c r="Z105" s="74">
        <f t="shared" si="15"/>
        <v>0.15271982763399572</v>
      </c>
      <c r="AA105" s="74">
        <f t="shared" si="16"/>
        <v>0.13251930063158987</v>
      </c>
    </row>
    <row r="106" spans="1:27">
      <c r="A106" s="7" t="s">
        <v>6</v>
      </c>
      <c r="B106" s="7">
        <v>10009639</v>
      </c>
      <c r="C106" s="7" t="str">
        <f t="shared" si="17"/>
        <v>ENERO10009639Revalorización</v>
      </c>
      <c r="D106" s="7" t="s">
        <v>385</v>
      </c>
      <c r="E106" s="3" t="s">
        <v>321</v>
      </c>
      <c r="F106" s="8">
        <v>0</v>
      </c>
      <c r="G106" s="2" t="s">
        <v>320</v>
      </c>
      <c r="H106" s="11">
        <v>308.8</v>
      </c>
      <c r="I106" s="11">
        <v>-308.8</v>
      </c>
      <c r="J106" s="11"/>
      <c r="K106" s="11">
        <v>0</v>
      </c>
      <c r="L106" s="16">
        <v>0</v>
      </c>
      <c r="M106" s="11">
        <v>0</v>
      </c>
      <c r="N106" s="11">
        <v>0</v>
      </c>
      <c r="O106" s="11">
        <v>0</v>
      </c>
      <c r="P106" s="11">
        <f t="shared" si="18"/>
        <v>0</v>
      </c>
      <c r="Q106" s="11">
        <v>0</v>
      </c>
      <c r="R106" s="11">
        <v>0</v>
      </c>
      <c r="S106" s="11">
        <v>0</v>
      </c>
      <c r="T106" s="11">
        <v>0</v>
      </c>
      <c r="U106" s="11"/>
      <c r="V106" s="11">
        <v>0</v>
      </c>
      <c r="W106" s="55">
        <f t="shared" si="12"/>
        <v>0</v>
      </c>
      <c r="X106" s="74" t="e">
        <f t="shared" si="13"/>
        <v>#DIV/0!</v>
      </c>
      <c r="Y106" s="74" t="e">
        <f t="shared" si="14"/>
        <v>#DIV/0!</v>
      </c>
      <c r="Z106" s="74" t="e">
        <f t="shared" si="15"/>
        <v>#DIV/0!</v>
      </c>
      <c r="AA106" s="74" t="e">
        <f t="shared" si="16"/>
        <v>#DIV/0!</v>
      </c>
    </row>
    <row r="107" spans="1:27">
      <c r="A107" s="7" t="s">
        <v>6</v>
      </c>
      <c r="B107" s="7">
        <v>10009639</v>
      </c>
      <c r="C107" s="7" t="str">
        <f t="shared" si="17"/>
        <v>ENERO10009639Entradas</v>
      </c>
      <c r="D107" s="7" t="s">
        <v>385</v>
      </c>
      <c r="E107" s="3" t="s">
        <v>164</v>
      </c>
      <c r="F107" s="8">
        <v>26860</v>
      </c>
      <c r="G107" s="2" t="s">
        <v>320</v>
      </c>
      <c r="H107" s="11">
        <v>55063</v>
      </c>
      <c r="I107" s="11">
        <v>-5635.69</v>
      </c>
      <c r="J107" s="11"/>
      <c r="K107" s="11">
        <v>49427.31</v>
      </c>
      <c r="L107" s="16">
        <v>1.84</v>
      </c>
      <c r="M107" s="11">
        <v>30972.47</v>
      </c>
      <c r="N107" s="11">
        <v>431.84</v>
      </c>
      <c r="O107" s="11">
        <v>8205.1</v>
      </c>
      <c r="P107" s="11">
        <f t="shared" si="18"/>
        <v>9817.8999999999942</v>
      </c>
      <c r="Q107" s="11">
        <v>69.849999999999994</v>
      </c>
      <c r="R107" s="11">
        <v>534.64</v>
      </c>
      <c r="S107" s="11">
        <v>4884.6899999999996</v>
      </c>
      <c r="T107" s="11">
        <v>3953.75</v>
      </c>
      <c r="U107" s="11"/>
      <c r="V107" s="11">
        <v>374.96999999999389</v>
      </c>
      <c r="W107" s="55">
        <f t="shared" si="12"/>
        <v>49427.31</v>
      </c>
      <c r="X107" s="74">
        <f t="shared" si="13"/>
        <v>0.62662665639704052</v>
      </c>
      <c r="Y107" s="74">
        <f t="shared" si="14"/>
        <v>8.7368703657957521E-3</v>
      </c>
      <c r="Z107" s="74">
        <f t="shared" si="15"/>
        <v>0.16600336939234606</v>
      </c>
      <c r="AA107" s="74">
        <f t="shared" si="16"/>
        <v>0.19863310384481767</v>
      </c>
    </row>
    <row r="108" spans="1:27">
      <c r="A108" s="7" t="s">
        <v>6</v>
      </c>
      <c r="B108" s="7">
        <v>10009639</v>
      </c>
      <c r="C108" s="7" t="str">
        <f t="shared" si="17"/>
        <v>ENERO10009639Inv. acumulado</v>
      </c>
      <c r="D108" s="7" t="s">
        <v>385</v>
      </c>
      <c r="E108" s="3" t="s">
        <v>330</v>
      </c>
      <c r="F108" s="8">
        <v>30720</v>
      </c>
      <c r="G108" s="2" t="s">
        <v>320</v>
      </c>
      <c r="H108" s="11">
        <v>62976</v>
      </c>
      <c r="I108" s="11">
        <v>-5431.08</v>
      </c>
      <c r="J108" s="11"/>
      <c r="K108" s="11">
        <v>57544.92</v>
      </c>
      <c r="L108" s="16">
        <v>1.87</v>
      </c>
      <c r="M108" s="11">
        <v>36734.79</v>
      </c>
      <c r="N108" s="11">
        <v>471.67</v>
      </c>
      <c r="O108" s="11">
        <v>9444.82</v>
      </c>
      <c r="P108" s="11">
        <f t="shared" si="18"/>
        <v>10893.640000000001</v>
      </c>
      <c r="Q108" s="11">
        <v>105.83</v>
      </c>
      <c r="R108" s="11">
        <v>642.97</v>
      </c>
      <c r="S108" s="11">
        <v>5323.18</v>
      </c>
      <c r="T108" s="11">
        <v>4424.55</v>
      </c>
      <c r="U108" s="11"/>
      <c r="V108" s="11">
        <v>397.11000000000058</v>
      </c>
      <c r="W108" s="55">
        <f t="shared" si="12"/>
        <v>57544.92</v>
      </c>
      <c r="X108" s="74">
        <f t="shared" si="13"/>
        <v>0.63836720947739611</v>
      </c>
      <c r="Y108" s="74">
        <f t="shared" si="14"/>
        <v>8.1965532318056932E-3</v>
      </c>
      <c r="Z108" s="74">
        <f t="shared" si="15"/>
        <v>0.16412951829631531</v>
      </c>
      <c r="AA108" s="74">
        <f t="shared" si="16"/>
        <v>0.18930671899448295</v>
      </c>
    </row>
    <row r="109" spans="1:27">
      <c r="A109" s="7" t="s">
        <v>6</v>
      </c>
      <c r="B109" s="7">
        <v>10009639</v>
      </c>
      <c r="C109" s="7" t="str">
        <f t="shared" si="17"/>
        <v>ENERO10009639Compensación</v>
      </c>
      <c r="D109" s="7" t="s">
        <v>385</v>
      </c>
      <c r="E109" s="3" t="s">
        <v>114</v>
      </c>
      <c r="F109" s="8">
        <v>2340</v>
      </c>
      <c r="G109" s="2" t="s">
        <v>320</v>
      </c>
      <c r="H109" s="11">
        <v>4797</v>
      </c>
      <c r="I109" s="11">
        <v>-413.7</v>
      </c>
      <c r="J109" s="11"/>
      <c r="K109" s="11">
        <v>4383.3</v>
      </c>
      <c r="L109" s="16">
        <v>1.87</v>
      </c>
      <c r="M109" s="11">
        <v>2798.16</v>
      </c>
      <c r="N109" s="11">
        <v>35.93</v>
      </c>
      <c r="O109" s="11">
        <v>719.43</v>
      </c>
      <c r="P109" s="11">
        <f t="shared" si="18"/>
        <v>829.78000000000065</v>
      </c>
      <c r="Q109" s="11">
        <v>8.06</v>
      </c>
      <c r="R109" s="11">
        <v>48.97</v>
      </c>
      <c r="S109" s="11">
        <v>405.48</v>
      </c>
      <c r="T109" s="11">
        <v>337.03</v>
      </c>
      <c r="U109" s="11"/>
      <c r="V109" s="11">
        <v>30.240000000000691</v>
      </c>
      <c r="W109" s="55">
        <f t="shared" si="12"/>
        <v>4383.3</v>
      </c>
      <c r="X109" s="74">
        <f t="shared" si="13"/>
        <v>0.63836835261104641</v>
      </c>
      <c r="Y109" s="74">
        <f t="shared" si="14"/>
        <v>8.1970205096616698E-3</v>
      </c>
      <c r="Z109" s="74">
        <f t="shared" si="15"/>
        <v>0.16412976524536307</v>
      </c>
      <c r="AA109" s="74">
        <f t="shared" si="16"/>
        <v>0.18930486163392893</v>
      </c>
    </row>
    <row r="110" spans="1:27">
      <c r="A110" s="7" t="s">
        <v>6</v>
      </c>
      <c r="B110" s="7">
        <v>10009639</v>
      </c>
      <c r="C110" s="7" t="str">
        <f t="shared" si="17"/>
        <v>ENERO10009639Inventario final</v>
      </c>
      <c r="D110" s="7" t="s">
        <v>385</v>
      </c>
      <c r="E110" s="3" t="s">
        <v>218</v>
      </c>
      <c r="F110" s="9">
        <v>28380</v>
      </c>
      <c r="G110" s="3" t="s">
        <v>320</v>
      </c>
      <c r="H110" s="12">
        <v>58179</v>
      </c>
      <c r="I110" s="12">
        <v>-5017.38</v>
      </c>
      <c r="J110" s="15"/>
      <c r="K110" s="12">
        <v>53161.62</v>
      </c>
      <c r="L110" s="17">
        <v>1.87</v>
      </c>
      <c r="M110" s="12">
        <v>33936.629999999997</v>
      </c>
      <c r="N110" s="12">
        <v>435.74</v>
      </c>
      <c r="O110" s="12">
        <v>8725.39</v>
      </c>
      <c r="P110" s="12">
        <f t="shared" si="18"/>
        <v>10063.86000000001</v>
      </c>
      <c r="Q110" s="12">
        <v>97.77</v>
      </c>
      <c r="R110" s="12">
        <v>594</v>
      </c>
      <c r="S110" s="12">
        <v>4917.7</v>
      </c>
      <c r="T110" s="11">
        <v>4087.52</v>
      </c>
      <c r="U110" s="11"/>
      <c r="V110" s="11">
        <v>366.8700000000099</v>
      </c>
      <c r="W110" s="55">
        <f t="shared" si="12"/>
        <v>53161.62</v>
      </c>
      <c r="X110" s="74">
        <f t="shared" si="13"/>
        <v>0.63836711522335088</v>
      </c>
      <c r="Y110" s="74">
        <f t="shared" si="14"/>
        <v>8.1965147036527474E-3</v>
      </c>
      <c r="Z110" s="74">
        <f t="shared" si="15"/>
        <v>0.16412949793478826</v>
      </c>
      <c r="AA110" s="74">
        <f t="shared" si="16"/>
        <v>0.18930687213820815</v>
      </c>
    </row>
    <row r="111" spans="1:27">
      <c r="A111" s="7" t="s">
        <v>7</v>
      </c>
      <c r="B111" s="7">
        <v>10009639</v>
      </c>
      <c r="C111" s="7" t="str">
        <f t="shared" si="17"/>
        <v>FEBRERO10009639Inventario inicial</v>
      </c>
      <c r="D111" s="7" t="s">
        <v>385</v>
      </c>
      <c r="E111" s="3" t="s">
        <v>319</v>
      </c>
      <c r="F111" s="8">
        <v>28380</v>
      </c>
      <c r="G111" s="2" t="s">
        <v>320</v>
      </c>
      <c r="H111" s="11">
        <v>58179</v>
      </c>
      <c r="I111" s="11" t="s">
        <v>386</v>
      </c>
      <c r="J111" s="11"/>
      <c r="K111" s="11">
        <v>53161.62</v>
      </c>
      <c r="L111" s="16">
        <v>1.87</v>
      </c>
      <c r="M111" s="11">
        <v>33936.629999999997</v>
      </c>
      <c r="N111" s="11">
        <v>435.74</v>
      </c>
      <c r="O111" s="11">
        <v>8725.39</v>
      </c>
      <c r="P111" s="11">
        <f t="shared" si="18"/>
        <v>10063.860000000008</v>
      </c>
      <c r="Q111" s="11">
        <v>97.77</v>
      </c>
      <c r="R111" s="11">
        <v>594</v>
      </c>
      <c r="S111" s="11">
        <v>4917.7</v>
      </c>
      <c r="T111" s="11">
        <v>0.01</v>
      </c>
      <c r="U111" s="11">
        <v>4087.52</v>
      </c>
      <c r="V111" s="11">
        <v>366.86000000000786</v>
      </c>
      <c r="W111" s="55">
        <f t="shared" si="12"/>
        <v>53161.62</v>
      </c>
      <c r="X111" s="74">
        <f t="shared" si="13"/>
        <v>0.63836711522335088</v>
      </c>
      <c r="Y111" s="74">
        <f t="shared" si="14"/>
        <v>8.1965147036527474E-3</v>
      </c>
      <c r="Z111" s="74">
        <f t="shared" si="15"/>
        <v>0.16412949793478826</v>
      </c>
      <c r="AA111" s="74">
        <f t="shared" si="16"/>
        <v>0.18930687213820813</v>
      </c>
    </row>
    <row r="112" spans="1:27">
      <c r="A112" s="7" t="s">
        <v>7</v>
      </c>
      <c r="B112" s="7">
        <v>10009639</v>
      </c>
      <c r="C112" s="7" t="str">
        <f t="shared" si="17"/>
        <v>FEBRERO10009639Revalorización</v>
      </c>
      <c r="D112" s="7" t="s">
        <v>385</v>
      </c>
      <c r="E112" s="3" t="s">
        <v>321</v>
      </c>
      <c r="F112" s="8">
        <v>0</v>
      </c>
      <c r="G112" s="2" t="s">
        <v>320</v>
      </c>
      <c r="H112" s="11">
        <v>1419</v>
      </c>
      <c r="I112" s="11" t="s">
        <v>387</v>
      </c>
      <c r="J112" s="11"/>
      <c r="K112" s="11">
        <v>0</v>
      </c>
      <c r="L112" s="16">
        <v>0</v>
      </c>
      <c r="M112" s="11">
        <v>0</v>
      </c>
      <c r="N112" s="11">
        <v>0</v>
      </c>
      <c r="O112" s="11">
        <v>0</v>
      </c>
      <c r="P112" s="11">
        <f t="shared" si="18"/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55">
        <f t="shared" si="12"/>
        <v>0</v>
      </c>
      <c r="X112" s="74" t="e">
        <f t="shared" si="13"/>
        <v>#DIV/0!</v>
      </c>
      <c r="Y112" s="74" t="e">
        <f t="shared" si="14"/>
        <v>#DIV/0!</v>
      </c>
      <c r="Z112" s="74" t="e">
        <f t="shared" si="15"/>
        <v>#DIV/0!</v>
      </c>
      <c r="AA112" s="74" t="e">
        <f t="shared" si="16"/>
        <v>#DIV/0!</v>
      </c>
    </row>
    <row r="113" spans="1:27">
      <c r="A113" s="7" t="s">
        <v>7</v>
      </c>
      <c r="B113" s="7">
        <v>10009639</v>
      </c>
      <c r="C113" s="7" t="str">
        <f t="shared" si="17"/>
        <v>FEBRERO10009639Entradas</v>
      </c>
      <c r="D113" s="7" t="s">
        <v>385</v>
      </c>
      <c r="E113" s="3" t="s">
        <v>164</v>
      </c>
      <c r="F113" s="8">
        <v>45420</v>
      </c>
      <c r="G113" s="2" t="s">
        <v>320</v>
      </c>
      <c r="H113" s="11">
        <v>95382</v>
      </c>
      <c r="I113" s="11" t="s">
        <v>388</v>
      </c>
      <c r="J113" s="11"/>
      <c r="K113" s="11">
        <v>76075.97</v>
      </c>
      <c r="L113" s="16">
        <v>1.67</v>
      </c>
      <c r="M113" s="11">
        <v>46863.23</v>
      </c>
      <c r="N113" s="11">
        <v>642.69000000000005</v>
      </c>
      <c r="O113" s="11">
        <v>13960.46</v>
      </c>
      <c r="P113" s="11">
        <f t="shared" si="18"/>
        <v>14609.589999999995</v>
      </c>
      <c r="Q113" s="11">
        <v>318.62</v>
      </c>
      <c r="R113" s="11">
        <v>783.5</v>
      </c>
      <c r="S113" s="11">
        <v>7157.42</v>
      </c>
      <c r="T113" s="11">
        <v>0.06</v>
      </c>
      <c r="U113" s="11">
        <v>5794.23</v>
      </c>
      <c r="V113" s="11">
        <v>555.75999999999476</v>
      </c>
      <c r="W113" s="55">
        <f t="shared" si="12"/>
        <v>76075.97</v>
      </c>
      <c r="X113" s="74">
        <f t="shared" si="13"/>
        <v>0.61600568484371609</v>
      </c>
      <c r="Y113" s="74">
        <f t="shared" si="14"/>
        <v>8.4480027004585033E-3</v>
      </c>
      <c r="Z113" s="74">
        <f t="shared" si="15"/>
        <v>0.18350682876603477</v>
      </c>
      <c r="AA113" s="74">
        <f t="shared" si="16"/>
        <v>0.19203948368979054</v>
      </c>
    </row>
    <row r="114" spans="1:27">
      <c r="A114" s="7" t="s">
        <v>7</v>
      </c>
      <c r="B114" s="7">
        <v>10009639</v>
      </c>
      <c r="C114" s="7" t="str">
        <f t="shared" si="17"/>
        <v>FEBRERO10009639Inventario acumulado</v>
      </c>
      <c r="D114" s="7" t="s">
        <v>385</v>
      </c>
      <c r="E114" s="3" t="s">
        <v>322</v>
      </c>
      <c r="F114" s="8">
        <v>73800</v>
      </c>
      <c r="G114" s="2" t="s">
        <v>320</v>
      </c>
      <c r="H114" s="11">
        <v>154980</v>
      </c>
      <c r="I114" s="11" t="s">
        <v>389</v>
      </c>
      <c r="J114" s="11"/>
      <c r="K114" s="11">
        <v>129237.59</v>
      </c>
      <c r="L114" s="16">
        <v>1.75</v>
      </c>
      <c r="M114" s="11">
        <v>80799.86</v>
      </c>
      <c r="N114" s="11">
        <v>1078.43</v>
      </c>
      <c r="O114" s="11">
        <v>22685.85</v>
      </c>
      <c r="P114" s="11">
        <f t="shared" si="18"/>
        <v>24673.450000000012</v>
      </c>
      <c r="Q114" s="11">
        <v>416.39</v>
      </c>
      <c r="R114" s="11">
        <v>1377.5</v>
      </c>
      <c r="S114" s="11">
        <v>12075.12</v>
      </c>
      <c r="T114" s="11">
        <v>7.0000000000000007E-2</v>
      </c>
      <c r="U114" s="11">
        <v>9881.75</v>
      </c>
      <c r="V114" s="11">
        <v>922.6200000000099</v>
      </c>
      <c r="W114" s="55">
        <f t="shared" si="12"/>
        <v>129237.59</v>
      </c>
      <c r="X114" s="74">
        <f t="shared" si="13"/>
        <v>0.62520401378577239</v>
      </c>
      <c r="Y114" s="74">
        <f t="shared" si="14"/>
        <v>8.3445536240655694E-3</v>
      </c>
      <c r="Z114" s="74">
        <f t="shared" si="15"/>
        <v>0.17553600310869305</v>
      </c>
      <c r="AA114" s="74">
        <f t="shared" si="16"/>
        <v>0.19091542948146906</v>
      </c>
    </row>
    <row r="115" spans="1:27">
      <c r="A115" s="7" t="s">
        <v>7</v>
      </c>
      <c r="B115" s="7">
        <v>10009639</v>
      </c>
      <c r="C115" s="7" t="str">
        <f t="shared" si="17"/>
        <v>FEBRERO10009639Compensación</v>
      </c>
      <c r="D115" s="7" t="s">
        <v>385</v>
      </c>
      <c r="E115" s="3" t="s">
        <v>114</v>
      </c>
      <c r="F115" s="8">
        <v>26820</v>
      </c>
      <c r="G115" s="2" t="s">
        <v>320</v>
      </c>
      <c r="H115" s="11">
        <v>56322</v>
      </c>
      <c r="I115" s="11" t="s">
        <v>390</v>
      </c>
      <c r="J115" s="11"/>
      <c r="K115" s="11">
        <v>46966.83</v>
      </c>
      <c r="L115" s="16">
        <v>1.75</v>
      </c>
      <c r="M115" s="11">
        <v>29363.85</v>
      </c>
      <c r="N115" s="11">
        <v>391.92</v>
      </c>
      <c r="O115" s="11">
        <v>8244.3700000000008</v>
      </c>
      <c r="P115" s="11">
        <f t="shared" si="18"/>
        <v>8966.69</v>
      </c>
      <c r="Q115" s="11">
        <v>151.32</v>
      </c>
      <c r="R115" s="11">
        <v>500.6</v>
      </c>
      <c r="S115" s="11">
        <v>4388.28</v>
      </c>
      <c r="T115" s="11">
        <v>0.03</v>
      </c>
      <c r="U115" s="11">
        <v>3591.17</v>
      </c>
      <c r="V115" s="11">
        <v>335.29000000000087</v>
      </c>
      <c r="W115" s="55">
        <f t="shared" si="12"/>
        <v>46966.83</v>
      </c>
      <c r="X115" s="74">
        <f t="shared" si="13"/>
        <v>0.62520400035514423</v>
      </c>
      <c r="Y115" s="74">
        <f t="shared" si="14"/>
        <v>8.3446125701904933E-3</v>
      </c>
      <c r="Z115" s="74">
        <f t="shared" si="15"/>
        <v>0.17553601126582313</v>
      </c>
      <c r="AA115" s="74">
        <f t="shared" si="16"/>
        <v>0.1909153758088421</v>
      </c>
    </row>
    <row r="116" spans="1:27">
      <c r="A116" s="7" t="s">
        <v>7</v>
      </c>
      <c r="B116" s="7">
        <v>10009639</v>
      </c>
      <c r="C116" s="7" t="str">
        <f t="shared" si="17"/>
        <v>FEBRERO10009639Inventario final</v>
      </c>
      <c r="D116" s="7" t="s">
        <v>385</v>
      </c>
      <c r="E116" s="3" t="s">
        <v>218</v>
      </c>
      <c r="F116" s="8">
        <v>46980</v>
      </c>
      <c r="G116" s="2" t="s">
        <v>320</v>
      </c>
      <c r="H116" s="11">
        <v>98658</v>
      </c>
      <c r="I116" s="11" t="s">
        <v>391</v>
      </c>
      <c r="J116" s="11"/>
      <c r="K116" s="11">
        <v>82270.759999999995</v>
      </c>
      <c r="L116" s="16">
        <v>1.75</v>
      </c>
      <c r="M116" s="11">
        <v>51436.01</v>
      </c>
      <c r="N116" s="11">
        <v>686.51</v>
      </c>
      <c r="O116" s="11">
        <v>14441.48</v>
      </c>
      <c r="P116" s="11">
        <f t="shared" si="18"/>
        <v>15706.760000000002</v>
      </c>
      <c r="Q116" s="11">
        <v>265.07</v>
      </c>
      <c r="R116" s="11">
        <v>876.9</v>
      </c>
      <c r="S116" s="11">
        <v>7686.84</v>
      </c>
      <c r="T116" s="11">
        <v>0.04</v>
      </c>
      <c r="U116" s="11">
        <v>6290.58</v>
      </c>
      <c r="V116" s="11">
        <v>587.33000000000175</v>
      </c>
      <c r="W116" s="55">
        <f t="shared" si="12"/>
        <v>82270.760000000009</v>
      </c>
      <c r="X116" s="74">
        <f t="shared" si="13"/>
        <v>0.62520402145306542</v>
      </c>
      <c r="Y116" s="74">
        <f t="shared" si="14"/>
        <v>8.3445199728311732E-3</v>
      </c>
      <c r="Z116" s="74">
        <f t="shared" si="15"/>
        <v>0.17553599845194087</v>
      </c>
      <c r="AA116" s="74">
        <f t="shared" si="16"/>
        <v>0.19091546012216248</v>
      </c>
    </row>
    <row r="117" spans="1:27">
      <c r="A117" s="7" t="s">
        <v>6</v>
      </c>
      <c r="B117" s="7">
        <v>10009239</v>
      </c>
      <c r="C117" s="7" t="str">
        <f t="shared" si="17"/>
        <v>ENERO10009239Inventario inicial</v>
      </c>
      <c r="D117" s="7" t="s">
        <v>392</v>
      </c>
      <c r="E117" s="3" t="s">
        <v>319</v>
      </c>
      <c r="F117" s="8">
        <v>420</v>
      </c>
      <c r="G117" s="2" t="s">
        <v>320</v>
      </c>
      <c r="H117" s="11">
        <v>1054.2</v>
      </c>
      <c r="I117" s="11">
        <v>1049.78</v>
      </c>
      <c r="J117" s="11"/>
      <c r="K117" s="11">
        <v>2103.98</v>
      </c>
      <c r="L117" s="16">
        <v>5.01</v>
      </c>
      <c r="M117" s="11">
        <v>1391.81</v>
      </c>
      <c r="N117" s="11">
        <v>13.45</v>
      </c>
      <c r="O117" s="11">
        <v>517.6</v>
      </c>
      <c r="P117" s="11">
        <f t="shared" si="18"/>
        <v>181.11999999999983</v>
      </c>
      <c r="Q117" s="11">
        <v>19.48</v>
      </c>
      <c r="R117" s="11">
        <v>70.41</v>
      </c>
      <c r="S117" s="11">
        <v>77.03</v>
      </c>
      <c r="T117" s="11"/>
      <c r="U117" s="11"/>
      <c r="V117" s="11">
        <v>14.199999999999818</v>
      </c>
      <c r="W117" s="55">
        <f t="shared" si="12"/>
        <v>2103.98</v>
      </c>
      <c r="X117" s="74">
        <f t="shared" si="13"/>
        <v>0.6615129421382332</v>
      </c>
      <c r="Y117" s="74">
        <f t="shared" si="14"/>
        <v>6.3926463179307782E-3</v>
      </c>
      <c r="Z117" s="74">
        <f t="shared" si="15"/>
        <v>0.24600994306029525</v>
      </c>
      <c r="AA117" s="74">
        <f t="shared" si="16"/>
        <v>8.6084468483540635E-2</v>
      </c>
    </row>
    <row r="118" spans="1:27">
      <c r="A118" s="7" t="s">
        <v>6</v>
      </c>
      <c r="B118" s="7">
        <v>10009239</v>
      </c>
      <c r="C118" s="7" t="str">
        <f t="shared" si="17"/>
        <v>ENERO10009239Revalorización</v>
      </c>
      <c r="D118" s="7" t="s">
        <v>392</v>
      </c>
      <c r="E118" s="3" t="s">
        <v>321</v>
      </c>
      <c r="F118" s="8">
        <v>0</v>
      </c>
      <c r="G118" s="2" t="s">
        <v>320</v>
      </c>
      <c r="H118" s="11">
        <v>2335.1999999999998</v>
      </c>
      <c r="I118" s="11">
        <v>-2335.1999999999998</v>
      </c>
      <c r="J118" s="11"/>
      <c r="K118" s="11">
        <v>0</v>
      </c>
      <c r="L118" s="16">
        <v>0</v>
      </c>
      <c r="M118" s="11">
        <v>0</v>
      </c>
      <c r="N118" s="11">
        <v>0</v>
      </c>
      <c r="O118" s="11">
        <v>0</v>
      </c>
      <c r="P118" s="11">
        <f t="shared" si="18"/>
        <v>0</v>
      </c>
      <c r="Q118" s="11">
        <v>0</v>
      </c>
      <c r="R118" s="11">
        <v>0</v>
      </c>
      <c r="S118" s="11">
        <v>0</v>
      </c>
      <c r="T118" s="11"/>
      <c r="U118" s="11"/>
      <c r="V118" s="11">
        <v>0</v>
      </c>
      <c r="W118" s="55">
        <f t="shared" si="12"/>
        <v>0</v>
      </c>
      <c r="X118" s="74" t="e">
        <f t="shared" si="13"/>
        <v>#DIV/0!</v>
      </c>
      <c r="Y118" s="74" t="e">
        <f t="shared" si="14"/>
        <v>#DIV/0!</v>
      </c>
      <c r="Z118" s="74" t="e">
        <f t="shared" si="15"/>
        <v>#DIV/0!</v>
      </c>
      <c r="AA118" s="74" t="e">
        <f t="shared" si="16"/>
        <v>#DIV/0!</v>
      </c>
    </row>
    <row r="119" spans="1:27">
      <c r="A119" s="7" t="s">
        <v>6</v>
      </c>
      <c r="B119" s="7">
        <v>10009239</v>
      </c>
      <c r="C119" s="7" t="str">
        <f t="shared" si="17"/>
        <v>ENERO10009239Entradas</v>
      </c>
      <c r="D119" s="7" t="s">
        <v>392</v>
      </c>
      <c r="E119" s="3" t="s">
        <v>164</v>
      </c>
      <c r="F119" s="8">
        <v>102060</v>
      </c>
      <c r="G119" s="2" t="s">
        <v>320</v>
      </c>
      <c r="H119" s="11">
        <v>823624.2</v>
      </c>
      <c r="I119" s="11">
        <v>-598995.24</v>
      </c>
      <c r="J119" s="11"/>
      <c r="K119" s="11">
        <v>224628.96</v>
      </c>
      <c r="L119" s="16">
        <v>2.2000000000000002</v>
      </c>
      <c r="M119" s="11">
        <v>116155.77</v>
      </c>
      <c r="N119" s="11">
        <v>1473.55</v>
      </c>
      <c r="O119" s="11">
        <v>74847.429999999993</v>
      </c>
      <c r="P119" s="11">
        <f t="shared" si="18"/>
        <v>32152.209999999985</v>
      </c>
      <c r="Q119" s="11">
        <v>1754.52</v>
      </c>
      <c r="R119" s="11">
        <v>16029.94</v>
      </c>
      <c r="S119" s="11">
        <v>12974.89</v>
      </c>
      <c r="T119" s="11"/>
      <c r="U119" s="11"/>
      <c r="V119" s="11">
        <v>1392.859999999986</v>
      </c>
      <c r="W119" s="55">
        <f t="shared" si="12"/>
        <v>224628.96</v>
      </c>
      <c r="X119" s="74">
        <f t="shared" si="13"/>
        <v>0.51710060002948866</v>
      </c>
      <c r="Y119" s="74">
        <f t="shared" si="14"/>
        <v>6.5599288711482261E-3</v>
      </c>
      <c r="Z119" s="74">
        <f t="shared" si="15"/>
        <v>0.33320472124342293</v>
      </c>
      <c r="AA119" s="74">
        <f t="shared" si="16"/>
        <v>0.14313474985594016</v>
      </c>
    </row>
    <row r="120" spans="1:27">
      <c r="A120" s="7" t="s">
        <v>6</v>
      </c>
      <c r="B120" s="7">
        <v>10009239</v>
      </c>
      <c r="C120" s="7" t="str">
        <f t="shared" si="17"/>
        <v>ENERO10009239Inv. acumulado</v>
      </c>
      <c r="D120" s="7" t="s">
        <v>392</v>
      </c>
      <c r="E120" s="3" t="s">
        <v>330</v>
      </c>
      <c r="F120" s="8">
        <v>102480</v>
      </c>
      <c r="G120" s="2" t="s">
        <v>320</v>
      </c>
      <c r="H120" s="11">
        <v>827013.6</v>
      </c>
      <c r="I120" s="11">
        <v>-600280.66</v>
      </c>
      <c r="J120" s="11"/>
      <c r="K120" s="11">
        <v>226732.94</v>
      </c>
      <c r="L120" s="16">
        <v>2.21</v>
      </c>
      <c r="M120" s="11">
        <v>117547.58</v>
      </c>
      <c r="N120" s="11">
        <v>1487</v>
      </c>
      <c r="O120" s="11">
        <v>75365.03</v>
      </c>
      <c r="P120" s="11">
        <f t="shared" si="18"/>
        <v>32333.330000000024</v>
      </c>
      <c r="Q120" s="11">
        <v>1774</v>
      </c>
      <c r="R120" s="11">
        <v>16100.35</v>
      </c>
      <c r="S120" s="11">
        <v>13051.92</v>
      </c>
      <c r="T120" s="11"/>
      <c r="U120" s="11"/>
      <c r="V120" s="11">
        <v>1407.0600000000268</v>
      </c>
      <c r="W120" s="55">
        <f t="shared" si="12"/>
        <v>226732.94</v>
      </c>
      <c r="X120" s="74">
        <f t="shared" si="13"/>
        <v>0.51844068179947744</v>
      </c>
      <c r="Y120" s="74">
        <f t="shared" si="14"/>
        <v>6.5583765640757803E-3</v>
      </c>
      <c r="Z120" s="74">
        <f t="shared" si="15"/>
        <v>0.33239559280623271</v>
      </c>
      <c r="AA120" s="74">
        <f t="shared" si="16"/>
        <v>0.1426053488302142</v>
      </c>
    </row>
    <row r="121" spans="1:27">
      <c r="A121" s="7" t="s">
        <v>6</v>
      </c>
      <c r="B121" s="7">
        <v>10009239</v>
      </c>
      <c r="C121" s="7" t="str">
        <f t="shared" si="17"/>
        <v>ENERO10009239Inventario final</v>
      </c>
      <c r="D121" s="7" t="s">
        <v>392</v>
      </c>
      <c r="E121" s="3" t="s">
        <v>218</v>
      </c>
      <c r="F121" s="9">
        <v>102480</v>
      </c>
      <c r="G121" s="3" t="s">
        <v>320</v>
      </c>
      <c r="H121" s="12">
        <v>827013.6</v>
      </c>
      <c r="I121" s="12">
        <v>-600280.66</v>
      </c>
      <c r="J121" s="13"/>
      <c r="K121" s="12">
        <v>226732.94</v>
      </c>
      <c r="L121" s="17">
        <v>2.21</v>
      </c>
      <c r="M121" s="12">
        <v>117547.58</v>
      </c>
      <c r="N121" s="12">
        <v>1487</v>
      </c>
      <c r="O121" s="12">
        <v>75365.03</v>
      </c>
      <c r="P121" s="12">
        <f t="shared" si="18"/>
        <v>32333.330000000024</v>
      </c>
      <c r="Q121" s="12">
        <v>1774</v>
      </c>
      <c r="R121" s="12">
        <v>16100.35</v>
      </c>
      <c r="S121" s="12">
        <v>13051.92</v>
      </c>
      <c r="T121" s="11"/>
      <c r="U121" s="11"/>
      <c r="V121" s="11">
        <v>1407.0600000000268</v>
      </c>
      <c r="W121" s="55">
        <f t="shared" si="12"/>
        <v>226732.94</v>
      </c>
      <c r="X121" s="74">
        <f t="shared" si="13"/>
        <v>0.51844068179947744</v>
      </c>
      <c r="Y121" s="74">
        <f t="shared" si="14"/>
        <v>6.5583765640757803E-3</v>
      </c>
      <c r="Z121" s="74">
        <f t="shared" si="15"/>
        <v>0.33239559280623271</v>
      </c>
      <c r="AA121" s="74">
        <f t="shared" si="16"/>
        <v>0.1426053488302142</v>
      </c>
    </row>
    <row r="122" spans="1:27">
      <c r="A122" s="7" t="s">
        <v>7</v>
      </c>
      <c r="B122" s="7">
        <v>10009239</v>
      </c>
      <c r="C122" s="7" t="str">
        <f t="shared" si="17"/>
        <v>FEBRERO10009239Inventario inicial</v>
      </c>
      <c r="D122" s="7" t="s">
        <v>392</v>
      </c>
      <c r="E122" s="3" t="s">
        <v>319</v>
      </c>
      <c r="F122" s="9">
        <v>102480</v>
      </c>
      <c r="G122" s="3" t="s">
        <v>320</v>
      </c>
      <c r="H122" s="12">
        <v>827013.6</v>
      </c>
      <c r="I122" s="12" t="s">
        <v>393</v>
      </c>
      <c r="J122" s="13"/>
      <c r="K122" s="12">
        <v>226732.94</v>
      </c>
      <c r="L122" s="17">
        <v>2.21</v>
      </c>
      <c r="M122" s="12">
        <v>117547.58</v>
      </c>
      <c r="N122" s="12">
        <v>1487</v>
      </c>
      <c r="O122" s="12">
        <v>75365.03</v>
      </c>
      <c r="P122" s="12">
        <f t="shared" si="18"/>
        <v>32333.330000000009</v>
      </c>
      <c r="Q122" s="12">
        <v>237.66</v>
      </c>
      <c r="R122" s="12">
        <v>1774</v>
      </c>
      <c r="S122" s="12">
        <v>16100.35</v>
      </c>
      <c r="T122" s="11">
        <v>0.02</v>
      </c>
      <c r="U122" s="11">
        <v>13051.92</v>
      </c>
      <c r="V122" s="11">
        <v>1169.3800000000047</v>
      </c>
      <c r="W122" s="55">
        <f t="shared" si="12"/>
        <v>226732.94</v>
      </c>
      <c r="X122" s="74">
        <f t="shared" si="13"/>
        <v>0.51844068179947744</v>
      </c>
      <c r="Y122" s="74">
        <f t="shared" si="14"/>
        <v>6.5583765640757803E-3</v>
      </c>
      <c r="Z122" s="74">
        <f t="shared" si="15"/>
        <v>0.33239559280623271</v>
      </c>
      <c r="AA122" s="74">
        <f t="shared" si="16"/>
        <v>0.14260534883021411</v>
      </c>
    </row>
    <row r="123" spans="1:27">
      <c r="A123" s="7" t="s">
        <v>7</v>
      </c>
      <c r="B123" s="7">
        <v>10009239</v>
      </c>
      <c r="C123" s="7" t="str">
        <f t="shared" si="17"/>
        <v>FEBRERO10009239Revalorización</v>
      </c>
      <c r="D123" s="7" t="s">
        <v>392</v>
      </c>
      <c r="E123" s="3" t="s">
        <v>321</v>
      </c>
      <c r="F123" s="9">
        <v>0</v>
      </c>
      <c r="G123" s="3" t="s">
        <v>320</v>
      </c>
      <c r="H123" s="12" t="s">
        <v>394</v>
      </c>
      <c r="I123" s="12">
        <v>313588.8</v>
      </c>
      <c r="J123" s="13"/>
      <c r="K123" s="12">
        <v>0</v>
      </c>
      <c r="L123" s="17">
        <v>0</v>
      </c>
      <c r="M123" s="12">
        <v>0</v>
      </c>
      <c r="N123" s="12">
        <v>0</v>
      </c>
      <c r="O123" s="12">
        <v>0</v>
      </c>
      <c r="P123" s="12">
        <f t="shared" si="18"/>
        <v>0</v>
      </c>
      <c r="Q123" s="12">
        <v>0</v>
      </c>
      <c r="R123" s="12">
        <v>0</v>
      </c>
      <c r="S123" s="12">
        <v>0</v>
      </c>
      <c r="T123" s="11">
        <v>0</v>
      </c>
      <c r="U123" s="11">
        <v>0</v>
      </c>
      <c r="V123" s="11">
        <v>0</v>
      </c>
      <c r="W123" s="55">
        <f t="shared" si="12"/>
        <v>0</v>
      </c>
      <c r="X123" s="74" t="e">
        <f t="shared" si="13"/>
        <v>#DIV/0!</v>
      </c>
      <c r="Y123" s="74" t="e">
        <f t="shared" si="14"/>
        <v>#DIV/0!</v>
      </c>
      <c r="Z123" s="74" t="e">
        <f t="shared" si="15"/>
        <v>#DIV/0!</v>
      </c>
      <c r="AA123" s="74" t="e">
        <f t="shared" si="16"/>
        <v>#DIV/0!</v>
      </c>
    </row>
    <row r="124" spans="1:27">
      <c r="A124" s="7" t="s">
        <v>7</v>
      </c>
      <c r="B124" s="7">
        <v>10009239</v>
      </c>
      <c r="C124" s="7" t="str">
        <f t="shared" si="17"/>
        <v>FEBRERO10009239Entradas</v>
      </c>
      <c r="D124" s="7" t="s">
        <v>392</v>
      </c>
      <c r="E124" s="3" t="s">
        <v>164</v>
      </c>
      <c r="F124" s="9">
        <v>220080</v>
      </c>
      <c r="G124" s="3" t="s">
        <v>320</v>
      </c>
      <c r="H124" s="12">
        <v>1102600.8</v>
      </c>
      <c r="I124" s="12" t="s">
        <v>395</v>
      </c>
      <c r="J124" s="13"/>
      <c r="K124" s="12">
        <v>455396.99</v>
      </c>
      <c r="L124" s="17">
        <v>2.0699999999999998</v>
      </c>
      <c r="M124" s="12">
        <v>229451.58</v>
      </c>
      <c r="N124" s="12">
        <v>2876.11</v>
      </c>
      <c r="O124" s="12">
        <v>151319.39000000001</v>
      </c>
      <c r="P124" s="12">
        <f t="shared" si="18"/>
        <v>71749.910000000062</v>
      </c>
      <c r="Q124" s="12">
        <v>1551.56</v>
      </c>
      <c r="R124" s="12">
        <v>3846.94</v>
      </c>
      <c r="S124" s="12">
        <v>35142.76</v>
      </c>
      <c r="T124" s="11" t="s">
        <v>365</v>
      </c>
      <c r="U124" s="11">
        <v>28449.46</v>
      </c>
      <c r="V124" s="11">
        <v>2759.1900000000605</v>
      </c>
      <c r="W124" s="55">
        <f t="shared" si="12"/>
        <v>455396.99</v>
      </c>
      <c r="X124" s="74">
        <f t="shared" si="13"/>
        <v>0.50384957529034169</v>
      </c>
      <c r="Y124" s="74">
        <f t="shared" si="14"/>
        <v>6.3156104742809133E-3</v>
      </c>
      <c r="Z124" s="74">
        <f t="shared" si="15"/>
        <v>0.33228017163661977</v>
      </c>
      <c r="AA124" s="74">
        <f t="shared" si="16"/>
        <v>0.15755464259875776</v>
      </c>
    </row>
    <row r="125" spans="1:27">
      <c r="A125" s="7" t="s">
        <v>7</v>
      </c>
      <c r="B125" s="7">
        <v>10009239</v>
      </c>
      <c r="C125" s="7" t="str">
        <f t="shared" si="17"/>
        <v>FEBRERO10009239Inventario acumulado</v>
      </c>
      <c r="D125" s="7" t="s">
        <v>392</v>
      </c>
      <c r="E125" s="3" t="s">
        <v>322</v>
      </c>
      <c r="F125" s="9">
        <v>322560</v>
      </c>
      <c r="G125" s="3" t="s">
        <v>320</v>
      </c>
      <c r="H125" s="12">
        <v>1616025.6000000001</v>
      </c>
      <c r="I125" s="12" t="s">
        <v>396</v>
      </c>
      <c r="J125" s="13"/>
      <c r="K125" s="12">
        <v>682129.93</v>
      </c>
      <c r="L125" s="17">
        <v>2.11</v>
      </c>
      <c r="M125" s="12">
        <v>346999.16</v>
      </c>
      <c r="N125" s="12">
        <v>4363.1099999999997</v>
      </c>
      <c r="O125" s="12">
        <v>226684.42</v>
      </c>
      <c r="P125" s="12">
        <f t="shared" si="18"/>
        <v>104083.24000000008</v>
      </c>
      <c r="Q125" s="12">
        <v>1789.22</v>
      </c>
      <c r="R125" s="12">
        <v>5620.94</v>
      </c>
      <c r="S125" s="12">
        <v>51243.11</v>
      </c>
      <c r="T125" s="11" t="s">
        <v>397</v>
      </c>
      <c r="U125" s="11">
        <v>41501.379999999997</v>
      </c>
      <c r="V125" s="11">
        <v>3928.5900000000838</v>
      </c>
      <c r="W125" s="55">
        <f t="shared" si="12"/>
        <v>682129.93</v>
      </c>
      <c r="X125" s="74">
        <f t="shared" si="13"/>
        <v>0.50869950831801203</v>
      </c>
      <c r="Y125" s="74">
        <f t="shared" si="14"/>
        <v>6.3963034139258475E-3</v>
      </c>
      <c r="Z125" s="74">
        <f t="shared" si="15"/>
        <v>0.33231853644070419</v>
      </c>
      <c r="AA125" s="74">
        <f t="shared" si="16"/>
        <v>0.15258565182735798</v>
      </c>
    </row>
    <row r="126" spans="1:27">
      <c r="A126" s="7" t="s">
        <v>7</v>
      </c>
      <c r="B126" s="7">
        <v>10009239</v>
      </c>
      <c r="C126" s="7" t="str">
        <f t="shared" si="17"/>
        <v>FEBRERO10009239Compensación</v>
      </c>
      <c r="D126" s="7" t="s">
        <v>392</v>
      </c>
      <c r="E126" s="3" t="s">
        <v>114</v>
      </c>
      <c r="F126" s="9">
        <v>27000</v>
      </c>
      <c r="G126" s="3" t="s">
        <v>320</v>
      </c>
      <c r="H126" s="12">
        <v>135270</v>
      </c>
      <c r="I126" s="12" t="s">
        <v>398</v>
      </c>
      <c r="J126" s="13"/>
      <c r="K126" s="12">
        <v>57097.93</v>
      </c>
      <c r="L126" s="17">
        <v>2.11</v>
      </c>
      <c r="M126" s="12">
        <v>29045.69</v>
      </c>
      <c r="N126" s="12">
        <v>365.21</v>
      </c>
      <c r="O126" s="12">
        <v>18974.7</v>
      </c>
      <c r="P126" s="12">
        <f t="shared" si="18"/>
        <v>8712.3300000000036</v>
      </c>
      <c r="Q126" s="12">
        <v>149.77000000000001</v>
      </c>
      <c r="R126" s="12">
        <v>470.5</v>
      </c>
      <c r="S126" s="12">
        <v>4289.33</v>
      </c>
      <c r="T126" s="11" t="s">
        <v>337</v>
      </c>
      <c r="U126" s="11">
        <v>3473.89</v>
      </c>
      <c r="V126" s="11">
        <v>328.84000000000378</v>
      </c>
      <c r="W126" s="55">
        <f t="shared" si="12"/>
        <v>57097.93</v>
      </c>
      <c r="X126" s="74">
        <f t="shared" si="13"/>
        <v>0.50869952728584034</v>
      </c>
      <c r="Y126" s="74">
        <f t="shared" si="14"/>
        <v>6.3962038553761931E-3</v>
      </c>
      <c r="Z126" s="74">
        <f t="shared" si="15"/>
        <v>0.33231852713399596</v>
      </c>
      <c r="AA126" s="74">
        <f t="shared" si="16"/>
        <v>0.15258574172478764</v>
      </c>
    </row>
    <row r="127" spans="1:27">
      <c r="A127" s="7" t="s">
        <v>7</v>
      </c>
      <c r="B127" s="7">
        <v>10009239</v>
      </c>
      <c r="C127" s="7" t="str">
        <f t="shared" si="17"/>
        <v>FEBRERO10009239Inventario final</v>
      </c>
      <c r="D127" s="7" t="s">
        <v>392</v>
      </c>
      <c r="E127" s="3" t="s">
        <v>218</v>
      </c>
      <c r="F127" s="8">
        <v>295560</v>
      </c>
      <c r="G127" s="2" t="s">
        <v>320</v>
      </c>
      <c r="H127" s="11">
        <v>1480755.6</v>
      </c>
      <c r="I127" s="11" t="s">
        <v>399</v>
      </c>
      <c r="J127" s="11"/>
      <c r="K127" s="11">
        <v>625032</v>
      </c>
      <c r="L127" s="16">
        <v>2.11</v>
      </c>
      <c r="M127" s="11">
        <v>317953.46999999997</v>
      </c>
      <c r="N127" s="11">
        <v>3997.9</v>
      </c>
      <c r="O127" s="11">
        <v>207709.72</v>
      </c>
      <c r="P127" s="11">
        <f t="shared" si="18"/>
        <v>95370.91</v>
      </c>
      <c r="Q127" s="11">
        <v>1639.45</v>
      </c>
      <c r="R127" s="11">
        <v>5150.4399999999996</v>
      </c>
      <c r="S127" s="11">
        <v>46953.78</v>
      </c>
      <c r="T127" s="11" t="s">
        <v>400</v>
      </c>
      <c r="U127" s="11">
        <v>38027.49</v>
      </c>
      <c r="V127" s="11">
        <v>3599.75</v>
      </c>
      <c r="W127" s="55">
        <f t="shared" si="12"/>
        <v>625032</v>
      </c>
      <c r="X127" s="74">
        <f t="shared" si="13"/>
        <v>0.50869950658526275</v>
      </c>
      <c r="Y127" s="74">
        <f t="shared" si="14"/>
        <v>6.3963125087995497E-3</v>
      </c>
      <c r="Z127" s="74">
        <f t="shared" si="15"/>
        <v>0.33231853729089073</v>
      </c>
      <c r="AA127" s="74">
        <f t="shared" si="16"/>
        <v>0.15258564361504692</v>
      </c>
    </row>
    <row r="128" spans="1:27">
      <c r="A128" s="7" t="s">
        <v>6</v>
      </c>
      <c r="B128" s="7">
        <v>10007050</v>
      </c>
      <c r="C128" s="7" t="str">
        <f t="shared" si="17"/>
        <v>ENERO10007050Inventario inicial</v>
      </c>
      <c r="D128" s="7" t="s">
        <v>401</v>
      </c>
      <c r="E128" s="3" t="s">
        <v>319</v>
      </c>
      <c r="F128" s="8">
        <v>0</v>
      </c>
      <c r="G128" s="2" t="s">
        <v>320</v>
      </c>
      <c r="H128" s="11">
        <v>0</v>
      </c>
      <c r="I128" s="11">
        <v>0</v>
      </c>
      <c r="J128" s="11"/>
      <c r="K128" s="11">
        <v>0</v>
      </c>
      <c r="L128" s="16">
        <v>0</v>
      </c>
      <c r="M128" s="11">
        <v>0</v>
      </c>
      <c r="N128" s="11">
        <v>0</v>
      </c>
      <c r="O128" s="11">
        <v>0</v>
      </c>
      <c r="P128" s="11">
        <f t="shared" si="18"/>
        <v>0</v>
      </c>
      <c r="Q128" s="11"/>
      <c r="R128" s="11"/>
      <c r="S128" s="11"/>
      <c r="T128" s="11"/>
      <c r="U128" s="11"/>
      <c r="V128" s="11">
        <v>0</v>
      </c>
      <c r="W128" s="55">
        <f t="shared" si="12"/>
        <v>0</v>
      </c>
      <c r="X128" s="74" t="e">
        <f t="shared" si="13"/>
        <v>#DIV/0!</v>
      </c>
      <c r="Y128" s="74" t="e">
        <f t="shared" si="14"/>
        <v>#DIV/0!</v>
      </c>
      <c r="Z128" s="74" t="e">
        <f t="shared" si="15"/>
        <v>#DIV/0!</v>
      </c>
      <c r="AA128" s="74" t="e">
        <f t="shared" si="16"/>
        <v>#DIV/0!</v>
      </c>
    </row>
    <row r="129" spans="1:27">
      <c r="A129" s="7" t="s">
        <v>6</v>
      </c>
      <c r="B129" s="7">
        <v>10007050</v>
      </c>
      <c r="C129" s="7" t="str">
        <f t="shared" si="17"/>
        <v>ENERO10007050Revalorización</v>
      </c>
      <c r="D129" s="7" t="s">
        <v>401</v>
      </c>
      <c r="E129" s="3" t="s">
        <v>321</v>
      </c>
      <c r="F129" s="8">
        <v>0</v>
      </c>
      <c r="G129" s="2" t="s">
        <v>320</v>
      </c>
      <c r="H129" s="11">
        <v>0</v>
      </c>
      <c r="I129" s="11">
        <v>0</v>
      </c>
      <c r="J129" s="11"/>
      <c r="K129" s="11">
        <v>0</v>
      </c>
      <c r="L129" s="16">
        <v>0</v>
      </c>
      <c r="M129" s="11">
        <v>0</v>
      </c>
      <c r="N129" s="11">
        <v>0</v>
      </c>
      <c r="O129" s="11">
        <v>0</v>
      </c>
      <c r="P129" s="11">
        <f t="shared" si="18"/>
        <v>0</v>
      </c>
      <c r="Q129" s="11"/>
      <c r="R129" s="11"/>
      <c r="S129" s="11"/>
      <c r="T129" s="11"/>
      <c r="U129" s="11"/>
      <c r="V129" s="11">
        <v>0</v>
      </c>
      <c r="W129" s="55">
        <f t="shared" si="12"/>
        <v>0</v>
      </c>
      <c r="X129" s="74" t="e">
        <f t="shared" si="13"/>
        <v>#DIV/0!</v>
      </c>
      <c r="Y129" s="74" t="e">
        <f t="shared" si="14"/>
        <v>#DIV/0!</v>
      </c>
      <c r="Z129" s="74" t="e">
        <f t="shared" si="15"/>
        <v>#DIV/0!</v>
      </c>
      <c r="AA129" s="74" t="e">
        <f t="shared" si="16"/>
        <v>#DIV/0!</v>
      </c>
    </row>
    <row r="130" spans="1:27">
      <c r="A130" s="7" t="s">
        <v>6</v>
      </c>
      <c r="B130" s="7">
        <v>10007050</v>
      </c>
      <c r="C130" s="7" t="str">
        <f t="shared" si="17"/>
        <v>ENERO10007050Entradas</v>
      </c>
      <c r="D130" s="7" t="s">
        <v>401</v>
      </c>
      <c r="E130" s="3" t="s">
        <v>164</v>
      </c>
      <c r="F130" s="8">
        <v>11740</v>
      </c>
      <c r="G130" s="2" t="s">
        <v>320</v>
      </c>
      <c r="H130" s="11">
        <v>29702.2</v>
      </c>
      <c r="I130" s="11">
        <v>-13761.55</v>
      </c>
      <c r="J130" s="11"/>
      <c r="K130" s="11">
        <v>15940.65</v>
      </c>
      <c r="L130" s="16">
        <v>1.36</v>
      </c>
      <c r="M130" s="11">
        <v>13172.77</v>
      </c>
      <c r="N130" s="11">
        <v>184.66</v>
      </c>
      <c r="O130" s="11">
        <v>2641.53</v>
      </c>
      <c r="P130" s="11">
        <f t="shared" si="18"/>
        <v>-58.31000000000131</v>
      </c>
      <c r="Q130" s="11"/>
      <c r="R130" s="11"/>
      <c r="S130" s="11"/>
      <c r="T130" s="11"/>
      <c r="U130" s="11"/>
      <c r="V130" s="11">
        <v>-58.31000000000131</v>
      </c>
      <c r="W130" s="55">
        <f t="shared" si="12"/>
        <v>15940.65</v>
      </c>
      <c r="X130" s="74">
        <f t="shared" si="13"/>
        <v>0.82636341679918957</v>
      </c>
      <c r="Y130" s="74">
        <f t="shared" si="14"/>
        <v>1.158422021686694E-2</v>
      </c>
      <c r="Z130" s="74">
        <f t="shared" si="15"/>
        <v>0.1657103066687996</v>
      </c>
      <c r="AA130" s="74">
        <f t="shared" si="16"/>
        <v>-3.6579436848560949E-3</v>
      </c>
    </row>
    <row r="131" spans="1:27">
      <c r="A131" s="7" t="s">
        <v>6</v>
      </c>
      <c r="B131" s="7">
        <v>10007050</v>
      </c>
      <c r="C131" s="7" t="str">
        <f t="shared" si="17"/>
        <v>ENERO10007050Inv. acumulado</v>
      </c>
      <c r="D131" s="7" t="s">
        <v>401</v>
      </c>
      <c r="E131" s="3" t="s">
        <v>330</v>
      </c>
      <c r="F131" s="8">
        <v>11740</v>
      </c>
      <c r="G131" s="2" t="s">
        <v>320</v>
      </c>
      <c r="H131" s="11">
        <v>29702.2</v>
      </c>
      <c r="I131" s="11">
        <v>-13761.55</v>
      </c>
      <c r="J131" s="11"/>
      <c r="K131" s="11">
        <v>15940.65</v>
      </c>
      <c r="L131" s="16">
        <v>1.36</v>
      </c>
      <c r="M131" s="11">
        <v>13172.77</v>
      </c>
      <c r="N131" s="11">
        <v>184.66</v>
      </c>
      <c r="O131" s="11">
        <v>2641.53</v>
      </c>
      <c r="P131" s="11">
        <f t="shared" si="18"/>
        <v>-58.31000000000131</v>
      </c>
      <c r="Q131" s="11"/>
      <c r="R131" s="11"/>
      <c r="S131" s="11"/>
      <c r="T131" s="11"/>
      <c r="U131" s="11"/>
      <c r="V131" s="11">
        <v>-58.31000000000131</v>
      </c>
      <c r="W131" s="55">
        <f t="shared" si="12"/>
        <v>15940.65</v>
      </c>
      <c r="X131" s="74">
        <f t="shared" si="13"/>
        <v>0.82636341679918957</v>
      </c>
      <c r="Y131" s="74">
        <f t="shared" si="14"/>
        <v>1.158422021686694E-2</v>
      </c>
      <c r="Z131" s="74">
        <f t="shared" si="15"/>
        <v>0.1657103066687996</v>
      </c>
      <c r="AA131" s="74">
        <f t="shared" si="16"/>
        <v>-3.6579436848560949E-3</v>
      </c>
    </row>
    <row r="132" spans="1:27">
      <c r="A132" s="7" t="s">
        <v>6</v>
      </c>
      <c r="B132" s="7">
        <v>10007050</v>
      </c>
      <c r="C132" s="7" t="str">
        <f t="shared" si="17"/>
        <v>ENERO10007050Inventario final</v>
      </c>
      <c r="D132" s="7" t="s">
        <v>401</v>
      </c>
      <c r="E132" s="3" t="s">
        <v>218</v>
      </c>
      <c r="F132" s="8">
        <v>11740</v>
      </c>
      <c r="G132" s="2" t="s">
        <v>320</v>
      </c>
      <c r="H132" s="11">
        <v>29702.2</v>
      </c>
      <c r="I132" s="11">
        <v>-13761.55</v>
      </c>
      <c r="J132" s="11"/>
      <c r="K132" s="11">
        <v>15940.65</v>
      </c>
      <c r="L132" s="16">
        <v>1.36</v>
      </c>
      <c r="M132" s="11">
        <v>13172.77</v>
      </c>
      <c r="N132" s="11">
        <v>184.66</v>
      </c>
      <c r="O132" s="11">
        <v>2641.53</v>
      </c>
      <c r="P132" s="11">
        <f t="shared" si="18"/>
        <v>-58.31000000000131</v>
      </c>
      <c r="Q132" s="11"/>
      <c r="R132" s="11"/>
      <c r="S132" s="11"/>
      <c r="T132" s="11"/>
      <c r="U132" s="11"/>
      <c r="V132" s="11">
        <v>-58.31000000000131</v>
      </c>
      <c r="W132" s="55">
        <f t="shared" si="12"/>
        <v>15940.65</v>
      </c>
      <c r="X132" s="74">
        <f t="shared" si="13"/>
        <v>0.82636341679918957</v>
      </c>
      <c r="Y132" s="74">
        <f t="shared" si="14"/>
        <v>1.158422021686694E-2</v>
      </c>
      <c r="Z132" s="74">
        <f t="shared" si="15"/>
        <v>0.1657103066687996</v>
      </c>
      <c r="AA132" s="74">
        <f t="shared" si="16"/>
        <v>-3.6579436848560949E-3</v>
      </c>
    </row>
    <row r="133" spans="1:27">
      <c r="A133" s="7" t="s">
        <v>7</v>
      </c>
      <c r="B133" s="7">
        <v>10007050</v>
      </c>
      <c r="C133" s="7" t="str">
        <f t="shared" ref="C133:C196" si="19">A133&amp;B133&amp;E133</f>
        <v>FEBRERO10007050Inventario inicial</v>
      </c>
      <c r="D133" s="7" t="s">
        <v>401</v>
      </c>
      <c r="E133" s="3" t="s">
        <v>319</v>
      </c>
      <c r="F133" s="8">
        <v>11740</v>
      </c>
      <c r="G133" s="2" t="s">
        <v>320</v>
      </c>
      <c r="H133" s="11">
        <v>29702.2</v>
      </c>
      <c r="I133" s="11" t="s">
        <v>402</v>
      </c>
      <c r="J133" s="11"/>
      <c r="K133" s="11">
        <v>15940.65</v>
      </c>
      <c r="L133" s="16">
        <v>1.36</v>
      </c>
      <c r="M133" s="11">
        <v>13172.77</v>
      </c>
      <c r="N133" s="11">
        <v>184.66</v>
      </c>
      <c r="O133" s="11">
        <v>2641.53</v>
      </c>
      <c r="P133" s="11">
        <f t="shared" ref="P133:P158" si="20">SUM(Q133:V133)</f>
        <v>-58.31000000000131</v>
      </c>
      <c r="Q133" s="11">
        <v>0</v>
      </c>
      <c r="R133" s="11">
        <v>0</v>
      </c>
      <c r="S133" s="11">
        <v>0</v>
      </c>
      <c r="T133" s="11" t="s">
        <v>368</v>
      </c>
      <c r="U133" s="11">
        <v>0</v>
      </c>
      <c r="V133" s="11">
        <v>-58.31000000000131</v>
      </c>
      <c r="W133" s="55">
        <f t="shared" si="12"/>
        <v>15940.65</v>
      </c>
      <c r="X133" s="74">
        <f t="shared" si="13"/>
        <v>0.82636341679918957</v>
      </c>
      <c r="Y133" s="74">
        <f t="shared" si="14"/>
        <v>1.158422021686694E-2</v>
      </c>
      <c r="Z133" s="74">
        <f t="shared" si="15"/>
        <v>0.1657103066687996</v>
      </c>
      <c r="AA133" s="74">
        <f t="shared" si="16"/>
        <v>-3.6579436848560949E-3</v>
      </c>
    </row>
    <row r="134" spans="1:27">
      <c r="A134" s="7" t="s">
        <v>7</v>
      </c>
      <c r="B134" s="7">
        <v>10007050</v>
      </c>
      <c r="C134" s="7" t="str">
        <f t="shared" si="19"/>
        <v>FEBRERO10007050Revalorización</v>
      </c>
      <c r="D134" s="7" t="s">
        <v>401</v>
      </c>
      <c r="E134" s="3" t="s">
        <v>321</v>
      </c>
      <c r="F134" s="8">
        <v>0</v>
      </c>
      <c r="G134" s="2" t="s">
        <v>320</v>
      </c>
      <c r="H134" s="11" t="s">
        <v>403</v>
      </c>
      <c r="I134" s="11">
        <v>2700.2</v>
      </c>
      <c r="J134" s="11"/>
      <c r="K134" s="11">
        <v>0</v>
      </c>
      <c r="L134" s="16">
        <v>0</v>
      </c>
      <c r="M134" s="11">
        <v>0</v>
      </c>
      <c r="N134" s="11">
        <v>0</v>
      </c>
      <c r="O134" s="11">
        <v>0</v>
      </c>
      <c r="P134" s="11">
        <f t="shared" si="20"/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55">
        <f t="shared" ref="W134:W158" si="21">SUM(M134:P134)</f>
        <v>0</v>
      </c>
      <c r="X134" s="74" t="e">
        <f t="shared" ref="X134:X158" si="22">M134/$W134</f>
        <v>#DIV/0!</v>
      </c>
      <c r="Y134" s="74" t="e">
        <f t="shared" ref="Y134:Y158" si="23">N134/$W134</f>
        <v>#DIV/0!</v>
      </c>
      <c r="Z134" s="74" t="e">
        <f t="shared" ref="Z134:Z158" si="24">O134/$W134</f>
        <v>#DIV/0!</v>
      </c>
      <c r="AA134" s="74" t="e">
        <f t="shared" ref="AA134:AA158" si="25">P134/$W134</f>
        <v>#DIV/0!</v>
      </c>
    </row>
    <row r="135" spans="1:27">
      <c r="A135" s="18" t="s">
        <v>7</v>
      </c>
      <c r="B135" s="18">
        <v>10007050</v>
      </c>
      <c r="C135" s="18" t="str">
        <f t="shared" si="19"/>
        <v>FEBRERO10007050Entradas</v>
      </c>
      <c r="D135" s="18" t="s">
        <v>401</v>
      </c>
      <c r="E135" s="3" t="s">
        <v>164</v>
      </c>
      <c r="F135" s="8">
        <v>15320</v>
      </c>
      <c r="G135" s="2" t="s">
        <v>320</v>
      </c>
      <c r="H135" s="11">
        <v>35236</v>
      </c>
      <c r="I135" s="11" t="s">
        <v>404</v>
      </c>
      <c r="J135" s="11"/>
      <c r="K135" s="11">
        <v>19496.29</v>
      </c>
      <c r="L135" s="16">
        <v>1.27</v>
      </c>
      <c r="M135" s="11">
        <v>15644.46</v>
      </c>
      <c r="N135" s="11">
        <v>260.14</v>
      </c>
      <c r="O135" s="11">
        <v>3617.28</v>
      </c>
      <c r="P135" s="11">
        <f t="shared" si="20"/>
        <v>-25.589999999997815</v>
      </c>
      <c r="Q135" s="11">
        <v>0.39</v>
      </c>
      <c r="R135" s="11">
        <v>4.7699999999999996</v>
      </c>
      <c r="S135" s="11">
        <v>19.87</v>
      </c>
      <c r="T135" s="11">
        <v>0.02</v>
      </c>
      <c r="U135" s="11">
        <v>20.76</v>
      </c>
      <c r="V135" s="11">
        <v>-71.399999999997817</v>
      </c>
      <c r="W135" s="55">
        <f t="shared" si="21"/>
        <v>19496.29</v>
      </c>
      <c r="X135" s="74">
        <f t="shared" si="22"/>
        <v>0.80243266795887824</v>
      </c>
      <c r="Y135" s="74">
        <f t="shared" si="23"/>
        <v>1.3343051421578156E-2</v>
      </c>
      <c r="Z135" s="74">
        <f t="shared" si="24"/>
        <v>0.1855368380343132</v>
      </c>
      <c r="AA135" s="74">
        <f t="shared" si="25"/>
        <v>-1.3125574147695696E-3</v>
      </c>
    </row>
    <row r="136" spans="1:27">
      <c r="A136" s="7" t="s">
        <v>7</v>
      </c>
      <c r="B136" s="7">
        <v>10007050</v>
      </c>
      <c r="C136" s="7" t="str">
        <f t="shared" si="19"/>
        <v>FEBRERO10007050Inventario acumulado</v>
      </c>
      <c r="D136" s="7" t="s">
        <v>401</v>
      </c>
      <c r="E136" s="3" t="s">
        <v>322</v>
      </c>
      <c r="F136" s="8">
        <v>27060</v>
      </c>
      <c r="G136" s="2" t="s">
        <v>320</v>
      </c>
      <c r="H136" s="11">
        <v>62238</v>
      </c>
      <c r="I136" s="11" t="s">
        <v>405</v>
      </c>
      <c r="J136" s="11"/>
      <c r="K136" s="11">
        <v>35436.94</v>
      </c>
      <c r="L136" s="16">
        <v>1.31</v>
      </c>
      <c r="M136" s="11">
        <v>28817.23</v>
      </c>
      <c r="N136" s="11">
        <v>444.8</v>
      </c>
      <c r="O136" s="11">
        <v>6258.81</v>
      </c>
      <c r="P136" s="11">
        <f t="shared" si="20"/>
        <v>-83.899999999995046</v>
      </c>
      <c r="Q136" s="11">
        <v>0.39</v>
      </c>
      <c r="R136" s="11">
        <v>4.7699999999999996</v>
      </c>
      <c r="S136" s="11">
        <v>19.87</v>
      </c>
      <c r="T136" s="11" t="s">
        <v>337</v>
      </c>
      <c r="U136" s="11">
        <v>20.76</v>
      </c>
      <c r="V136" s="11">
        <v>-129.68999999999505</v>
      </c>
      <c r="W136" s="55">
        <f t="shared" si="21"/>
        <v>35436.94</v>
      </c>
      <c r="X136" s="74">
        <f t="shared" si="22"/>
        <v>0.81319747133922959</v>
      </c>
      <c r="Y136" s="74">
        <f t="shared" si="23"/>
        <v>1.2551873835607701E-2</v>
      </c>
      <c r="Z136" s="74">
        <f t="shared" si="24"/>
        <v>0.17661824073974786</v>
      </c>
      <c r="AA136" s="74">
        <f t="shared" si="25"/>
        <v>-2.3675859145850359E-3</v>
      </c>
    </row>
    <row r="137" spans="1:27">
      <c r="A137" s="7" t="s">
        <v>7</v>
      </c>
      <c r="B137" s="7">
        <v>10007050</v>
      </c>
      <c r="C137" s="7" t="str">
        <f t="shared" si="19"/>
        <v>FEBRERO10007050Inventario final</v>
      </c>
      <c r="D137" s="7" t="s">
        <v>401</v>
      </c>
      <c r="E137" s="3" t="s">
        <v>218</v>
      </c>
      <c r="F137" s="8">
        <v>27060</v>
      </c>
      <c r="G137" s="2" t="s">
        <v>320</v>
      </c>
      <c r="H137" s="11">
        <v>62238</v>
      </c>
      <c r="I137" s="11" t="s">
        <v>405</v>
      </c>
      <c r="J137" s="11"/>
      <c r="K137" s="11">
        <v>35436.94</v>
      </c>
      <c r="L137" s="16">
        <v>1.31</v>
      </c>
      <c r="M137" s="11">
        <v>28817.23</v>
      </c>
      <c r="N137" s="11">
        <v>444.8</v>
      </c>
      <c r="O137" s="11">
        <v>6258.81</v>
      </c>
      <c r="P137" s="11">
        <f t="shared" si="20"/>
        <v>-83.899999999995046</v>
      </c>
      <c r="Q137" s="11">
        <v>0.39</v>
      </c>
      <c r="R137" s="11">
        <v>4.7699999999999996</v>
      </c>
      <c r="S137" s="11">
        <v>19.87</v>
      </c>
      <c r="T137" s="11" t="s">
        <v>337</v>
      </c>
      <c r="U137" s="11">
        <v>20.76</v>
      </c>
      <c r="V137" s="11">
        <v>-129.68999999999505</v>
      </c>
      <c r="W137" s="55">
        <f t="shared" si="21"/>
        <v>35436.94</v>
      </c>
      <c r="X137" s="74">
        <f t="shared" si="22"/>
        <v>0.81319747133922959</v>
      </c>
      <c r="Y137" s="74">
        <f t="shared" si="23"/>
        <v>1.2551873835607701E-2</v>
      </c>
      <c r="Z137" s="74">
        <f t="shared" si="24"/>
        <v>0.17661824073974786</v>
      </c>
      <c r="AA137" s="74">
        <f t="shared" si="25"/>
        <v>-2.3675859145850359E-3</v>
      </c>
    </row>
    <row r="138" spans="1:27">
      <c r="A138" s="7" t="s">
        <v>6</v>
      </c>
      <c r="B138" s="7">
        <v>10009331</v>
      </c>
      <c r="C138" s="7" t="str">
        <f t="shared" si="19"/>
        <v>ENERO10009331Inventario inicial</v>
      </c>
      <c r="D138" s="7" t="s">
        <v>406</v>
      </c>
      <c r="E138" s="3" t="s">
        <v>319</v>
      </c>
      <c r="F138" s="8">
        <v>0</v>
      </c>
      <c r="G138" s="2" t="s">
        <v>320</v>
      </c>
      <c r="H138" s="11">
        <v>0</v>
      </c>
      <c r="I138" s="11">
        <v>0</v>
      </c>
      <c r="J138" s="11"/>
      <c r="K138" s="11">
        <v>0</v>
      </c>
      <c r="L138" s="16">
        <v>0</v>
      </c>
      <c r="M138" s="11">
        <v>0</v>
      </c>
      <c r="N138" s="11">
        <v>0</v>
      </c>
      <c r="O138" s="11">
        <v>0</v>
      </c>
      <c r="P138" s="11">
        <f t="shared" si="20"/>
        <v>0</v>
      </c>
      <c r="Q138" s="11">
        <v>0</v>
      </c>
      <c r="R138" s="11">
        <v>0</v>
      </c>
      <c r="S138" s="11">
        <v>0</v>
      </c>
      <c r="T138" s="11">
        <v>0</v>
      </c>
      <c r="U138" s="11"/>
      <c r="V138" s="11">
        <v>0</v>
      </c>
      <c r="W138" s="55">
        <f t="shared" si="21"/>
        <v>0</v>
      </c>
      <c r="X138" s="74" t="e">
        <f t="shared" si="22"/>
        <v>#DIV/0!</v>
      </c>
      <c r="Y138" s="74" t="e">
        <f t="shared" si="23"/>
        <v>#DIV/0!</v>
      </c>
      <c r="Z138" s="74" t="e">
        <f t="shared" si="24"/>
        <v>#DIV/0!</v>
      </c>
      <c r="AA138" s="74" t="e">
        <f t="shared" si="25"/>
        <v>#DIV/0!</v>
      </c>
    </row>
    <row r="139" spans="1:27">
      <c r="A139" s="7" t="s">
        <v>6</v>
      </c>
      <c r="B139" s="7">
        <v>10009331</v>
      </c>
      <c r="C139" s="7" t="str">
        <f t="shared" si="19"/>
        <v>ENERO10009331Revalorización</v>
      </c>
      <c r="D139" s="7" t="s">
        <v>406</v>
      </c>
      <c r="E139" s="3" t="s">
        <v>321</v>
      </c>
      <c r="F139" s="8">
        <v>0</v>
      </c>
      <c r="G139" s="2" t="s">
        <v>320</v>
      </c>
      <c r="H139" s="11">
        <v>0</v>
      </c>
      <c r="I139" s="11">
        <v>0</v>
      </c>
      <c r="J139" s="11"/>
      <c r="K139" s="11">
        <v>0</v>
      </c>
      <c r="L139" s="16">
        <v>0</v>
      </c>
      <c r="M139" s="11">
        <v>0</v>
      </c>
      <c r="N139" s="11">
        <v>0</v>
      </c>
      <c r="O139" s="11">
        <v>0</v>
      </c>
      <c r="P139" s="11">
        <f t="shared" si="20"/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>
        <v>0</v>
      </c>
      <c r="W139" s="55">
        <f t="shared" si="21"/>
        <v>0</v>
      </c>
      <c r="X139" s="74" t="e">
        <f t="shared" si="22"/>
        <v>#DIV/0!</v>
      </c>
      <c r="Y139" s="74" t="e">
        <f t="shared" si="23"/>
        <v>#DIV/0!</v>
      </c>
      <c r="Z139" s="74" t="e">
        <f t="shared" si="24"/>
        <v>#DIV/0!</v>
      </c>
      <c r="AA139" s="74" t="e">
        <f t="shared" si="25"/>
        <v>#DIV/0!</v>
      </c>
    </row>
    <row r="140" spans="1:27">
      <c r="A140" s="7" t="s">
        <v>6</v>
      </c>
      <c r="B140" s="7">
        <v>10009331</v>
      </c>
      <c r="C140" s="7" t="str">
        <f t="shared" si="19"/>
        <v>ENERO10009331Entradas</v>
      </c>
      <c r="D140" s="7" t="s">
        <v>406</v>
      </c>
      <c r="E140" s="3" t="s">
        <v>164</v>
      </c>
      <c r="F140" s="8">
        <v>16650</v>
      </c>
      <c r="G140" s="2" t="s">
        <v>320</v>
      </c>
      <c r="H140" s="11">
        <v>70096.5</v>
      </c>
      <c r="I140" s="11">
        <v>-37945.18</v>
      </c>
      <c r="J140" s="11"/>
      <c r="K140" s="11">
        <v>32151.32</v>
      </c>
      <c r="L140" s="16">
        <v>1.93</v>
      </c>
      <c r="M140" s="11">
        <v>19396.48</v>
      </c>
      <c r="N140" s="11">
        <v>304.44</v>
      </c>
      <c r="O140" s="11">
        <v>7215.56</v>
      </c>
      <c r="P140" s="11">
        <f t="shared" si="20"/>
        <v>5234.84</v>
      </c>
      <c r="Q140" s="11">
        <v>286.23</v>
      </c>
      <c r="R140" s="11">
        <v>2615.12</v>
      </c>
      <c r="S140" s="11">
        <v>2116.71</v>
      </c>
      <c r="T140" s="11">
        <v>37.4</v>
      </c>
      <c r="U140" s="11"/>
      <c r="V140" s="11">
        <v>179.38000000000102</v>
      </c>
      <c r="W140" s="55">
        <f t="shared" si="21"/>
        <v>32151.32</v>
      </c>
      <c r="X140" s="74">
        <f t="shared" si="22"/>
        <v>0.60328720562639415</v>
      </c>
      <c r="Y140" s="74">
        <f t="shared" si="23"/>
        <v>9.4689735911309397E-3</v>
      </c>
      <c r="Z140" s="74">
        <f t="shared" si="24"/>
        <v>0.22442500027992632</v>
      </c>
      <c r="AA140" s="74">
        <f t="shared" si="25"/>
        <v>0.16281882050254859</v>
      </c>
    </row>
    <row r="141" spans="1:27">
      <c r="A141" s="7" t="s">
        <v>6</v>
      </c>
      <c r="B141" s="7">
        <v>10009331</v>
      </c>
      <c r="C141" s="7" t="str">
        <f t="shared" si="19"/>
        <v>ENERO10009331Inv. acumulado</v>
      </c>
      <c r="D141" s="7" t="s">
        <v>406</v>
      </c>
      <c r="E141" s="3" t="s">
        <v>330</v>
      </c>
      <c r="F141" s="8">
        <v>16650</v>
      </c>
      <c r="G141" s="2" t="s">
        <v>320</v>
      </c>
      <c r="H141" s="11">
        <v>70096.5</v>
      </c>
      <c r="I141" s="11">
        <v>-37945.18</v>
      </c>
      <c r="J141" s="11"/>
      <c r="K141" s="11">
        <v>32151.32</v>
      </c>
      <c r="L141" s="16">
        <v>1.93</v>
      </c>
      <c r="M141" s="11">
        <v>19396.48</v>
      </c>
      <c r="N141" s="11">
        <v>304.44</v>
      </c>
      <c r="O141" s="11">
        <v>7215.56</v>
      </c>
      <c r="P141" s="11">
        <f t="shared" si="20"/>
        <v>5234.84</v>
      </c>
      <c r="Q141" s="11">
        <v>286.23</v>
      </c>
      <c r="R141" s="11">
        <v>2615.12</v>
      </c>
      <c r="S141" s="11">
        <v>2116.71</v>
      </c>
      <c r="T141" s="11">
        <v>37.4</v>
      </c>
      <c r="U141" s="11"/>
      <c r="V141" s="11">
        <v>179.38000000000102</v>
      </c>
      <c r="W141" s="55">
        <f t="shared" si="21"/>
        <v>32151.32</v>
      </c>
      <c r="X141" s="74">
        <f t="shared" si="22"/>
        <v>0.60328720562639415</v>
      </c>
      <c r="Y141" s="74">
        <f t="shared" si="23"/>
        <v>9.4689735911309397E-3</v>
      </c>
      <c r="Z141" s="74">
        <f t="shared" si="24"/>
        <v>0.22442500027992632</v>
      </c>
      <c r="AA141" s="74">
        <f t="shared" si="25"/>
        <v>0.16281882050254859</v>
      </c>
    </row>
    <row r="142" spans="1:27">
      <c r="A142" s="7" t="s">
        <v>6</v>
      </c>
      <c r="B142" s="7">
        <v>10009331</v>
      </c>
      <c r="C142" s="7" t="str">
        <f t="shared" si="19"/>
        <v>ENERO10009331Inventario final</v>
      </c>
      <c r="D142" s="7" t="s">
        <v>406</v>
      </c>
      <c r="E142" s="3" t="s">
        <v>218</v>
      </c>
      <c r="F142" s="8">
        <v>16650</v>
      </c>
      <c r="G142" s="2" t="s">
        <v>320</v>
      </c>
      <c r="H142" s="11">
        <v>70096.5</v>
      </c>
      <c r="I142" s="11">
        <v>-37945.18</v>
      </c>
      <c r="J142" s="11"/>
      <c r="K142" s="11">
        <v>32151.32</v>
      </c>
      <c r="L142" s="16">
        <v>1.93</v>
      </c>
      <c r="M142" s="11">
        <v>19396.48</v>
      </c>
      <c r="N142" s="11">
        <v>304.44</v>
      </c>
      <c r="O142" s="11">
        <v>7215.56</v>
      </c>
      <c r="P142" s="11">
        <f t="shared" si="20"/>
        <v>5234.84</v>
      </c>
      <c r="Q142" s="11">
        <v>286.23</v>
      </c>
      <c r="R142" s="11">
        <v>2615.12</v>
      </c>
      <c r="S142" s="11">
        <v>2116.71</v>
      </c>
      <c r="T142" s="11">
        <v>37.4</v>
      </c>
      <c r="U142" s="11"/>
      <c r="V142" s="11">
        <v>179.38000000000102</v>
      </c>
      <c r="W142" s="55">
        <f t="shared" si="21"/>
        <v>32151.32</v>
      </c>
      <c r="X142" s="74">
        <f t="shared" si="22"/>
        <v>0.60328720562639415</v>
      </c>
      <c r="Y142" s="74">
        <f t="shared" si="23"/>
        <v>9.4689735911309397E-3</v>
      </c>
      <c r="Z142" s="74">
        <f t="shared" si="24"/>
        <v>0.22442500027992632</v>
      </c>
      <c r="AA142" s="74">
        <f t="shared" si="25"/>
        <v>0.16281882050254859</v>
      </c>
    </row>
    <row r="143" spans="1:27">
      <c r="A143" s="7" t="s">
        <v>7</v>
      </c>
      <c r="B143" s="7">
        <v>10009331</v>
      </c>
      <c r="C143" s="7" t="str">
        <f t="shared" si="19"/>
        <v>FEBRERO10009331Inventario inicial</v>
      </c>
      <c r="D143" s="7" t="s">
        <v>406</v>
      </c>
      <c r="E143" s="3" t="s">
        <v>319</v>
      </c>
      <c r="F143" s="9">
        <v>16650</v>
      </c>
      <c r="G143" s="3" t="s">
        <v>320</v>
      </c>
      <c r="H143" s="12">
        <v>70096.5</v>
      </c>
      <c r="I143" s="12" t="s">
        <v>407</v>
      </c>
      <c r="J143" s="13"/>
      <c r="K143" s="12">
        <v>32151.32</v>
      </c>
      <c r="L143" s="17">
        <v>1.93</v>
      </c>
      <c r="M143" s="12">
        <v>19396.48</v>
      </c>
      <c r="N143" s="12">
        <v>304.44</v>
      </c>
      <c r="O143" s="12">
        <v>7215.56</v>
      </c>
      <c r="P143" s="12">
        <f t="shared" si="20"/>
        <v>5234.8400000000011</v>
      </c>
      <c r="Q143" s="12">
        <v>37.4</v>
      </c>
      <c r="R143" s="12">
        <v>286.23</v>
      </c>
      <c r="S143" s="12">
        <v>2615.12</v>
      </c>
      <c r="T143" s="11">
        <v>0</v>
      </c>
      <c r="U143" s="11">
        <v>2116.71</v>
      </c>
      <c r="V143" s="11">
        <v>179.38000000000102</v>
      </c>
      <c r="W143" s="55">
        <f t="shared" si="21"/>
        <v>32151.32</v>
      </c>
      <c r="X143" s="74">
        <f t="shared" si="22"/>
        <v>0.60328720562639415</v>
      </c>
      <c r="Y143" s="74">
        <f t="shared" si="23"/>
        <v>9.4689735911309397E-3</v>
      </c>
      <c r="Z143" s="74">
        <f t="shared" si="24"/>
        <v>0.22442500027992632</v>
      </c>
      <c r="AA143" s="74">
        <f t="shared" si="25"/>
        <v>0.16281882050254862</v>
      </c>
    </row>
    <row r="144" spans="1:27">
      <c r="A144" s="7" t="s">
        <v>7</v>
      </c>
      <c r="B144" s="7">
        <v>10009331</v>
      </c>
      <c r="C144" s="7" t="str">
        <f t="shared" si="19"/>
        <v>FEBRERO10009331Revalorización</v>
      </c>
      <c r="D144" s="7" t="s">
        <v>406</v>
      </c>
      <c r="E144" s="3" t="s">
        <v>321</v>
      </c>
      <c r="F144" s="9">
        <v>0</v>
      </c>
      <c r="G144" s="3" t="s">
        <v>320</v>
      </c>
      <c r="H144" s="12">
        <v>0</v>
      </c>
      <c r="I144" s="12">
        <v>0</v>
      </c>
      <c r="J144" s="13"/>
      <c r="K144" s="12">
        <v>0</v>
      </c>
      <c r="L144" s="17">
        <v>0</v>
      </c>
      <c r="M144" s="12">
        <v>0</v>
      </c>
      <c r="N144" s="12">
        <v>0</v>
      </c>
      <c r="O144" s="12">
        <v>0</v>
      </c>
      <c r="P144" s="12">
        <f t="shared" si="20"/>
        <v>0</v>
      </c>
      <c r="Q144" s="12">
        <v>0</v>
      </c>
      <c r="R144" s="12">
        <v>0</v>
      </c>
      <c r="S144" s="12">
        <v>0</v>
      </c>
      <c r="T144" s="11">
        <v>0</v>
      </c>
      <c r="U144" s="11">
        <v>0</v>
      </c>
      <c r="V144" s="11">
        <v>0</v>
      </c>
      <c r="W144" s="55">
        <f t="shared" si="21"/>
        <v>0</v>
      </c>
      <c r="X144" s="74" t="e">
        <f t="shared" si="22"/>
        <v>#DIV/0!</v>
      </c>
      <c r="Y144" s="74" t="e">
        <f t="shared" si="23"/>
        <v>#DIV/0!</v>
      </c>
      <c r="Z144" s="74" t="e">
        <f t="shared" si="24"/>
        <v>#DIV/0!</v>
      </c>
      <c r="AA144" s="74" t="e">
        <f t="shared" si="25"/>
        <v>#DIV/0!</v>
      </c>
    </row>
    <row r="145" spans="1:27">
      <c r="A145" s="7" t="s">
        <v>7</v>
      </c>
      <c r="B145" s="7">
        <v>10009331</v>
      </c>
      <c r="C145" s="7" t="str">
        <f t="shared" si="19"/>
        <v>FEBRERO10009331Entradas</v>
      </c>
      <c r="D145" s="7" t="s">
        <v>406</v>
      </c>
      <c r="E145" s="3" t="s">
        <v>164</v>
      </c>
      <c r="F145" s="9">
        <v>40518</v>
      </c>
      <c r="G145" s="3" t="s">
        <v>320</v>
      </c>
      <c r="H145" s="12">
        <v>170580.78</v>
      </c>
      <c r="I145" s="12" t="s">
        <v>408</v>
      </c>
      <c r="J145" s="13"/>
      <c r="K145" s="12">
        <v>71441.59</v>
      </c>
      <c r="L145" s="17">
        <v>1.76</v>
      </c>
      <c r="M145" s="12">
        <v>40743.58</v>
      </c>
      <c r="N145" s="12">
        <v>780.46</v>
      </c>
      <c r="O145" s="12">
        <v>16867.82</v>
      </c>
      <c r="P145" s="12">
        <f t="shared" si="20"/>
        <v>13049.729999999996</v>
      </c>
      <c r="Q145" s="12">
        <v>284.23</v>
      </c>
      <c r="R145" s="12">
        <v>698.94</v>
      </c>
      <c r="S145" s="12">
        <v>6384.95</v>
      </c>
      <c r="T145" s="11">
        <v>0.14000000000000001</v>
      </c>
      <c r="U145" s="11">
        <v>5168.88</v>
      </c>
      <c r="V145" s="11">
        <v>512.58999999999651</v>
      </c>
      <c r="W145" s="55">
        <f t="shared" si="21"/>
        <v>71441.59</v>
      </c>
      <c r="X145" s="74">
        <f t="shared" si="22"/>
        <v>0.57030617599636291</v>
      </c>
      <c r="Y145" s="74">
        <f t="shared" si="23"/>
        <v>1.0924448909941676E-2</v>
      </c>
      <c r="Z145" s="74">
        <f t="shared" si="24"/>
        <v>0.23610644723892624</v>
      </c>
      <c r="AA145" s="74">
        <f t="shared" si="25"/>
        <v>0.18266292785476915</v>
      </c>
    </row>
    <row r="146" spans="1:27">
      <c r="A146" s="7" t="s">
        <v>7</v>
      </c>
      <c r="B146" s="7">
        <v>10009331</v>
      </c>
      <c r="C146" s="7" t="str">
        <f t="shared" si="19"/>
        <v>FEBRERO10009331Inventario acumulado</v>
      </c>
      <c r="D146" s="7" t="s">
        <v>406</v>
      </c>
      <c r="E146" s="3" t="s">
        <v>322</v>
      </c>
      <c r="F146" s="9">
        <v>57168</v>
      </c>
      <c r="G146" s="3" t="s">
        <v>320</v>
      </c>
      <c r="H146" s="12">
        <v>240677.28</v>
      </c>
      <c r="I146" s="12" t="s">
        <v>409</v>
      </c>
      <c r="J146" s="13"/>
      <c r="K146" s="12">
        <v>103592.91</v>
      </c>
      <c r="L146" s="17">
        <v>1.81</v>
      </c>
      <c r="M146" s="12">
        <v>60140.06</v>
      </c>
      <c r="N146" s="12">
        <v>1084.9000000000001</v>
      </c>
      <c r="O146" s="12">
        <v>24083.38</v>
      </c>
      <c r="P146" s="12">
        <f t="shared" si="20"/>
        <v>18284.57</v>
      </c>
      <c r="Q146" s="12">
        <v>321.63</v>
      </c>
      <c r="R146" s="12">
        <v>985.17</v>
      </c>
      <c r="S146" s="12">
        <v>9000.07</v>
      </c>
      <c r="T146" s="11">
        <v>0.14000000000000001</v>
      </c>
      <c r="U146" s="11">
        <v>7285.59</v>
      </c>
      <c r="V146" s="11">
        <v>691.97000000000116</v>
      </c>
      <c r="W146" s="55">
        <f t="shared" si="21"/>
        <v>103592.91</v>
      </c>
      <c r="X146" s="74">
        <f t="shared" si="22"/>
        <v>0.58054223981158548</v>
      </c>
      <c r="Y146" s="74">
        <f t="shared" si="23"/>
        <v>1.0472724436450333E-2</v>
      </c>
      <c r="Z146" s="74">
        <f t="shared" si="24"/>
        <v>0.23248096805080579</v>
      </c>
      <c r="AA146" s="74">
        <f t="shared" si="25"/>
        <v>0.17650406770115831</v>
      </c>
    </row>
    <row r="147" spans="1:27">
      <c r="A147" s="7" t="s">
        <v>7</v>
      </c>
      <c r="B147" s="7">
        <v>10009331</v>
      </c>
      <c r="C147" s="7" t="str">
        <f t="shared" si="19"/>
        <v>FEBRERO10009331Inventario final</v>
      </c>
      <c r="D147" s="7" t="s">
        <v>406</v>
      </c>
      <c r="E147" s="3" t="s">
        <v>218</v>
      </c>
      <c r="F147" s="9">
        <v>57168</v>
      </c>
      <c r="G147" s="3" t="s">
        <v>320</v>
      </c>
      <c r="H147" s="12">
        <v>240677.28</v>
      </c>
      <c r="I147" s="12" t="s">
        <v>409</v>
      </c>
      <c r="J147" s="13"/>
      <c r="K147" s="12">
        <v>103592.91</v>
      </c>
      <c r="L147" s="17">
        <v>1.81</v>
      </c>
      <c r="M147" s="12">
        <v>60140.06</v>
      </c>
      <c r="N147" s="12">
        <v>1084.9000000000001</v>
      </c>
      <c r="O147" s="12">
        <v>24083.38</v>
      </c>
      <c r="P147" s="12">
        <f t="shared" si="20"/>
        <v>18284.57</v>
      </c>
      <c r="Q147" s="12">
        <v>321.63</v>
      </c>
      <c r="R147" s="12">
        <v>985.17</v>
      </c>
      <c r="S147" s="12">
        <v>9000.07</v>
      </c>
      <c r="T147" s="11">
        <v>0.14000000000000001</v>
      </c>
      <c r="U147" s="11">
        <v>7285.59</v>
      </c>
      <c r="V147" s="11">
        <v>691.97000000000116</v>
      </c>
      <c r="W147" s="55">
        <f t="shared" si="21"/>
        <v>103592.91</v>
      </c>
      <c r="X147" s="74">
        <f t="shared" si="22"/>
        <v>0.58054223981158548</v>
      </c>
      <c r="Y147" s="74">
        <f t="shared" si="23"/>
        <v>1.0472724436450333E-2</v>
      </c>
      <c r="Z147" s="74">
        <f t="shared" si="24"/>
        <v>0.23248096805080579</v>
      </c>
      <c r="AA147" s="74">
        <f t="shared" si="25"/>
        <v>0.17650406770115831</v>
      </c>
    </row>
    <row r="148" spans="1:27">
      <c r="A148" s="7" t="s">
        <v>6</v>
      </c>
      <c r="B148" s="7">
        <v>10009332</v>
      </c>
      <c r="C148" s="7" t="str">
        <f t="shared" si="19"/>
        <v>ENERO10009332Inventario inicial</v>
      </c>
      <c r="D148" s="7" t="s">
        <v>410</v>
      </c>
      <c r="E148" s="3" t="s">
        <v>319</v>
      </c>
      <c r="F148" s="9">
        <v>5565</v>
      </c>
      <c r="G148" s="3" t="s">
        <v>320</v>
      </c>
      <c r="H148" s="12">
        <v>13133.4</v>
      </c>
      <c r="I148" s="12">
        <v>4147.6400000000003</v>
      </c>
      <c r="J148" s="13"/>
      <c r="K148" s="12">
        <v>17281.04</v>
      </c>
      <c r="L148" s="17">
        <v>3.11</v>
      </c>
      <c r="M148" s="12">
        <v>12999.14</v>
      </c>
      <c r="N148" s="12">
        <v>176.7</v>
      </c>
      <c r="O148" s="12">
        <v>2229.9699999999998</v>
      </c>
      <c r="P148" s="12">
        <f t="shared" si="20"/>
        <v>1875.2300000000025</v>
      </c>
      <c r="Q148" s="12">
        <v>212.58</v>
      </c>
      <c r="R148" s="12">
        <v>705.93</v>
      </c>
      <c r="S148" s="12">
        <v>781.44</v>
      </c>
      <c r="T148" s="11"/>
      <c r="U148" s="11"/>
      <c r="V148" s="11">
        <v>175.28000000000247</v>
      </c>
      <c r="W148" s="55">
        <f t="shared" si="21"/>
        <v>17281.04</v>
      </c>
      <c r="X148" s="74">
        <f t="shared" si="22"/>
        <v>0.75221977380990956</v>
      </c>
      <c r="Y148" s="74">
        <f t="shared" si="23"/>
        <v>1.0225079046168517E-2</v>
      </c>
      <c r="Z148" s="74">
        <f t="shared" si="24"/>
        <v>0.12904142343284894</v>
      </c>
      <c r="AA148" s="74">
        <f t="shared" si="25"/>
        <v>0.10851372371107308</v>
      </c>
    </row>
    <row r="149" spans="1:27">
      <c r="A149" s="7" t="s">
        <v>6</v>
      </c>
      <c r="B149" s="7">
        <v>10009332</v>
      </c>
      <c r="C149" s="7" t="str">
        <f t="shared" si="19"/>
        <v>ENERO10009332Revalorización</v>
      </c>
      <c r="D149" s="7" t="s">
        <v>410</v>
      </c>
      <c r="E149" s="3" t="s">
        <v>321</v>
      </c>
      <c r="F149" s="8">
        <v>0</v>
      </c>
      <c r="G149" s="2" t="s">
        <v>320</v>
      </c>
      <c r="H149" s="11">
        <v>6678</v>
      </c>
      <c r="I149" s="11">
        <v>-6678</v>
      </c>
      <c r="J149" s="11"/>
      <c r="K149" s="11">
        <v>0</v>
      </c>
      <c r="L149" s="16">
        <v>0</v>
      </c>
      <c r="M149" s="11">
        <v>0</v>
      </c>
      <c r="N149" s="11">
        <v>0</v>
      </c>
      <c r="O149" s="11">
        <v>0</v>
      </c>
      <c r="P149" s="11">
        <f t="shared" si="20"/>
        <v>0</v>
      </c>
      <c r="Q149" s="11">
        <v>0</v>
      </c>
      <c r="R149" s="11">
        <v>0</v>
      </c>
      <c r="S149" s="11">
        <v>0</v>
      </c>
      <c r="T149" s="11"/>
      <c r="U149" s="11"/>
      <c r="V149" s="11">
        <v>0</v>
      </c>
      <c r="W149" s="55">
        <f t="shared" si="21"/>
        <v>0</v>
      </c>
      <c r="X149" s="74" t="e">
        <f t="shared" si="22"/>
        <v>#DIV/0!</v>
      </c>
      <c r="Y149" s="74" t="e">
        <f t="shared" si="23"/>
        <v>#DIV/0!</v>
      </c>
      <c r="Z149" s="74" t="e">
        <f t="shared" si="24"/>
        <v>#DIV/0!</v>
      </c>
      <c r="AA149" s="74" t="e">
        <f t="shared" si="25"/>
        <v>#DIV/0!</v>
      </c>
    </row>
    <row r="150" spans="1:27">
      <c r="A150" s="7" t="s">
        <v>6</v>
      </c>
      <c r="B150" s="7">
        <v>10009332</v>
      </c>
      <c r="C150" s="7" t="str">
        <f t="shared" si="19"/>
        <v>ENERO10009332Entradas</v>
      </c>
      <c r="D150" s="7" t="s">
        <v>410</v>
      </c>
      <c r="E150" s="3" t="s">
        <v>164</v>
      </c>
      <c r="F150" s="8">
        <v>10665</v>
      </c>
      <c r="G150" s="2" t="s">
        <v>320</v>
      </c>
      <c r="H150" s="11">
        <v>37967.4</v>
      </c>
      <c r="I150" s="11">
        <v>-23813.05</v>
      </c>
      <c r="J150" s="11"/>
      <c r="K150" s="11">
        <v>14154.35</v>
      </c>
      <c r="L150" s="16">
        <v>1.33</v>
      </c>
      <c r="M150" s="11">
        <v>12058.71</v>
      </c>
      <c r="N150" s="11">
        <v>234</v>
      </c>
      <c r="O150" s="11">
        <v>1919.7</v>
      </c>
      <c r="P150" s="11">
        <f t="shared" si="20"/>
        <v>-58.059999999999491</v>
      </c>
      <c r="Q150" s="11">
        <v>0</v>
      </c>
      <c r="R150" s="11">
        <v>0</v>
      </c>
      <c r="S150" s="11">
        <v>0</v>
      </c>
      <c r="T150" s="11"/>
      <c r="U150" s="11"/>
      <c r="V150" s="11">
        <v>-58.059999999999491</v>
      </c>
      <c r="W150" s="55">
        <f t="shared" si="21"/>
        <v>14154.35</v>
      </c>
      <c r="X150" s="74">
        <f t="shared" si="22"/>
        <v>0.85194374874155288</v>
      </c>
      <c r="Y150" s="74">
        <f t="shared" si="23"/>
        <v>1.6532020191672523E-2</v>
      </c>
      <c r="Z150" s="74">
        <f t="shared" si="24"/>
        <v>0.1356261502647596</v>
      </c>
      <c r="AA150" s="74">
        <f t="shared" si="25"/>
        <v>-4.1019191979850354E-3</v>
      </c>
    </row>
    <row r="151" spans="1:27">
      <c r="A151" s="7" t="s">
        <v>6</v>
      </c>
      <c r="B151" s="7">
        <v>10009332</v>
      </c>
      <c r="C151" s="7" t="str">
        <f t="shared" si="19"/>
        <v>ENERO10009332Inv. acumulado</v>
      </c>
      <c r="D151" s="7" t="s">
        <v>410</v>
      </c>
      <c r="E151" s="3" t="s">
        <v>330</v>
      </c>
      <c r="F151" s="8">
        <v>16230</v>
      </c>
      <c r="G151" s="2" t="s">
        <v>320</v>
      </c>
      <c r="H151" s="11">
        <v>57778.8</v>
      </c>
      <c r="I151" s="11">
        <v>-26343.41</v>
      </c>
      <c r="J151" s="11"/>
      <c r="K151" s="11">
        <v>31435.39</v>
      </c>
      <c r="L151" s="16">
        <v>1.94</v>
      </c>
      <c r="M151" s="11">
        <v>25057.85</v>
      </c>
      <c r="N151" s="11">
        <v>410.7</v>
      </c>
      <c r="O151" s="11">
        <v>4149.67</v>
      </c>
      <c r="P151" s="11">
        <f t="shared" si="20"/>
        <v>1817.1699999999976</v>
      </c>
      <c r="Q151" s="11">
        <v>212.58</v>
      </c>
      <c r="R151" s="11">
        <v>705.93</v>
      </c>
      <c r="S151" s="11">
        <v>781.44</v>
      </c>
      <c r="T151" s="11"/>
      <c r="U151" s="11"/>
      <c r="V151" s="11">
        <v>117.21999999999753</v>
      </c>
      <c r="W151" s="55">
        <f t="shared" si="21"/>
        <v>31435.39</v>
      </c>
      <c r="X151" s="74">
        <f t="shared" si="22"/>
        <v>0.79712228796906925</v>
      </c>
      <c r="Y151" s="74">
        <f t="shared" si="23"/>
        <v>1.3064892784851723E-2</v>
      </c>
      <c r="Z151" s="74">
        <f t="shared" si="24"/>
        <v>0.13200631517534855</v>
      </c>
      <c r="AA151" s="74">
        <f t="shared" si="25"/>
        <v>5.7806504070730395E-2</v>
      </c>
    </row>
    <row r="152" spans="1:27">
      <c r="A152" s="7" t="s">
        <v>6</v>
      </c>
      <c r="B152" s="7">
        <v>10009332</v>
      </c>
      <c r="C152" s="7" t="str">
        <f t="shared" si="19"/>
        <v>ENERO10009332Inventario final</v>
      </c>
      <c r="D152" s="7" t="s">
        <v>410</v>
      </c>
      <c r="E152" s="3" t="s">
        <v>218</v>
      </c>
      <c r="F152" s="8">
        <v>16230</v>
      </c>
      <c r="G152" s="2" t="s">
        <v>320</v>
      </c>
      <c r="H152" s="11">
        <v>57778.8</v>
      </c>
      <c r="I152" s="11">
        <v>-26343.41</v>
      </c>
      <c r="J152" s="11"/>
      <c r="K152" s="11">
        <v>31435.39</v>
      </c>
      <c r="L152" s="16">
        <v>1.94</v>
      </c>
      <c r="M152" s="11">
        <v>25057.85</v>
      </c>
      <c r="N152" s="11">
        <v>410.7</v>
      </c>
      <c r="O152" s="11">
        <v>4149.67</v>
      </c>
      <c r="P152" s="11">
        <f t="shared" si="20"/>
        <v>1817.1699999999976</v>
      </c>
      <c r="Q152" s="11">
        <v>212.58</v>
      </c>
      <c r="R152" s="11">
        <v>705.93</v>
      </c>
      <c r="S152" s="11">
        <v>781.44</v>
      </c>
      <c r="T152" s="11"/>
      <c r="U152" s="11"/>
      <c r="V152" s="11">
        <v>117.21999999999753</v>
      </c>
      <c r="W152" s="55">
        <f t="shared" si="21"/>
        <v>31435.39</v>
      </c>
      <c r="X152" s="74">
        <f t="shared" si="22"/>
        <v>0.79712228796906925</v>
      </c>
      <c r="Y152" s="74">
        <f t="shared" si="23"/>
        <v>1.3064892784851723E-2</v>
      </c>
      <c r="Z152" s="74">
        <f t="shared" si="24"/>
        <v>0.13200631517534855</v>
      </c>
      <c r="AA152" s="74">
        <f t="shared" si="25"/>
        <v>5.7806504070730395E-2</v>
      </c>
    </row>
    <row r="153" spans="1:27">
      <c r="A153" s="7" t="s">
        <v>7</v>
      </c>
      <c r="B153" s="7">
        <v>10009332</v>
      </c>
      <c r="C153" s="7" t="str">
        <f t="shared" si="19"/>
        <v>FEBRERO10009332Inventario inicial</v>
      </c>
      <c r="D153" s="7" t="s">
        <v>410</v>
      </c>
      <c r="E153" s="3" t="s">
        <v>319</v>
      </c>
      <c r="F153" s="8">
        <v>16230</v>
      </c>
      <c r="G153" s="2" t="s">
        <v>320</v>
      </c>
      <c r="H153" s="11">
        <v>57778.8</v>
      </c>
      <c r="I153" s="11" t="s">
        <v>411</v>
      </c>
      <c r="J153" s="11"/>
      <c r="K153" s="11">
        <v>31435.39</v>
      </c>
      <c r="L153" s="16">
        <v>1.94</v>
      </c>
      <c r="M153" s="11">
        <v>25057.85</v>
      </c>
      <c r="N153" s="11">
        <v>410.7</v>
      </c>
      <c r="O153" s="11">
        <v>4149.67</v>
      </c>
      <c r="P153" s="11">
        <f t="shared" si="20"/>
        <v>1817.1699999999983</v>
      </c>
      <c r="Q153" s="11">
        <v>70.180000000000007</v>
      </c>
      <c r="R153" s="11">
        <v>212.58</v>
      </c>
      <c r="S153" s="11">
        <v>705.93</v>
      </c>
      <c r="T153" s="11">
        <v>0.03</v>
      </c>
      <c r="U153" s="11">
        <v>781.44</v>
      </c>
      <c r="V153" s="11">
        <v>47.009999999998399</v>
      </c>
      <c r="W153" s="55">
        <f t="shared" si="21"/>
        <v>31435.39</v>
      </c>
      <c r="X153" s="74">
        <f t="shared" si="22"/>
        <v>0.79712228796906925</v>
      </c>
      <c r="Y153" s="74">
        <f t="shared" si="23"/>
        <v>1.3064892784851723E-2</v>
      </c>
      <c r="Z153" s="74">
        <f t="shared" si="24"/>
        <v>0.13200631517534855</v>
      </c>
      <c r="AA153" s="74">
        <f t="shared" si="25"/>
        <v>5.7806504070730416E-2</v>
      </c>
    </row>
    <row r="154" spans="1:27">
      <c r="A154" s="7" t="s">
        <v>7</v>
      </c>
      <c r="B154" s="7">
        <v>10009332</v>
      </c>
      <c r="C154" s="7" t="str">
        <f t="shared" si="19"/>
        <v>FEBRERO10009332Revalorización</v>
      </c>
      <c r="D154" s="7" t="s">
        <v>410</v>
      </c>
      <c r="E154" s="3" t="s">
        <v>321</v>
      </c>
      <c r="F154" s="8">
        <v>0</v>
      </c>
      <c r="G154" s="2" t="s">
        <v>320</v>
      </c>
      <c r="H154" s="11" t="s">
        <v>412</v>
      </c>
      <c r="I154" s="11">
        <v>7303.5</v>
      </c>
      <c r="J154" s="11"/>
      <c r="K154" s="11">
        <v>0</v>
      </c>
      <c r="L154" s="16">
        <v>0</v>
      </c>
      <c r="M154" s="11">
        <v>0</v>
      </c>
      <c r="N154" s="11">
        <v>0</v>
      </c>
      <c r="O154" s="11">
        <v>0</v>
      </c>
      <c r="P154" s="11">
        <f t="shared" si="20"/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55">
        <f t="shared" si="21"/>
        <v>0</v>
      </c>
      <c r="X154" s="74" t="e">
        <f t="shared" si="22"/>
        <v>#DIV/0!</v>
      </c>
      <c r="Y154" s="74" t="e">
        <f t="shared" si="23"/>
        <v>#DIV/0!</v>
      </c>
      <c r="Z154" s="74" t="e">
        <f t="shared" si="24"/>
        <v>#DIV/0!</v>
      </c>
      <c r="AA154" s="74" t="e">
        <f t="shared" si="25"/>
        <v>#DIV/0!</v>
      </c>
    </row>
    <row r="155" spans="1:27">
      <c r="A155" s="7" t="s">
        <v>7</v>
      </c>
      <c r="B155" s="7">
        <v>10009332</v>
      </c>
      <c r="C155" s="7" t="str">
        <f t="shared" si="19"/>
        <v>FEBRERO10009332Entradas</v>
      </c>
      <c r="D155" s="7" t="s">
        <v>410</v>
      </c>
      <c r="E155" s="3" t="s">
        <v>164</v>
      </c>
      <c r="F155" s="8">
        <v>25545</v>
      </c>
      <c r="G155" s="2" t="s">
        <v>320</v>
      </c>
      <c r="H155" s="11">
        <v>79444.95</v>
      </c>
      <c r="I155" s="11" t="s">
        <v>413</v>
      </c>
      <c r="J155" s="11"/>
      <c r="K155" s="11">
        <v>32476.45</v>
      </c>
      <c r="L155" s="16">
        <v>1.27</v>
      </c>
      <c r="M155" s="11">
        <v>26932.76</v>
      </c>
      <c r="N155" s="11">
        <v>497.82</v>
      </c>
      <c r="O155" s="11">
        <v>4928.4399999999996</v>
      </c>
      <c r="P155" s="11">
        <f t="shared" si="20"/>
        <v>117.43000000000262</v>
      </c>
      <c r="Q155" s="11">
        <v>2.04</v>
      </c>
      <c r="R155" s="11">
        <v>24.7</v>
      </c>
      <c r="S155" s="11">
        <v>102.71</v>
      </c>
      <c r="T155" s="11">
        <v>0</v>
      </c>
      <c r="U155" s="11">
        <v>107.36</v>
      </c>
      <c r="V155" s="11">
        <v>-119.37999999999738</v>
      </c>
      <c r="W155" s="55">
        <f t="shared" si="21"/>
        <v>32476.45</v>
      </c>
      <c r="X155" s="74">
        <f t="shared" si="22"/>
        <v>0.82930123212358486</v>
      </c>
      <c r="Y155" s="74">
        <f t="shared" si="23"/>
        <v>1.5328645834135195E-2</v>
      </c>
      <c r="Z155" s="74">
        <f t="shared" si="24"/>
        <v>0.15175427117187992</v>
      </c>
      <c r="AA155" s="74">
        <f t="shared" si="25"/>
        <v>3.6158508704000167E-3</v>
      </c>
    </row>
    <row r="156" spans="1:27">
      <c r="A156" s="7" t="s">
        <v>7</v>
      </c>
      <c r="B156" s="7">
        <v>10009332</v>
      </c>
      <c r="C156" s="7" t="str">
        <f t="shared" si="19"/>
        <v>FEBRERO10009332Inventario acumulado</v>
      </c>
      <c r="D156" s="7" t="s">
        <v>410</v>
      </c>
      <c r="E156" s="3" t="s">
        <v>322</v>
      </c>
      <c r="F156" s="8">
        <v>41775</v>
      </c>
      <c r="G156" s="2" t="s">
        <v>320</v>
      </c>
      <c r="H156" s="11">
        <v>129920.25</v>
      </c>
      <c r="I156" s="11" t="s">
        <v>414</v>
      </c>
      <c r="J156" s="11"/>
      <c r="K156" s="11">
        <v>63911.839999999997</v>
      </c>
      <c r="L156" s="16">
        <v>1.53</v>
      </c>
      <c r="M156" s="11">
        <v>51990.61</v>
      </c>
      <c r="N156" s="11">
        <v>908.52</v>
      </c>
      <c r="O156" s="11">
        <v>9078.11</v>
      </c>
      <c r="P156" s="11">
        <f t="shared" si="20"/>
        <v>1934.5999999999972</v>
      </c>
      <c r="Q156" s="11">
        <v>72.22</v>
      </c>
      <c r="R156" s="11">
        <v>237.28</v>
      </c>
      <c r="S156" s="11">
        <v>808.64</v>
      </c>
      <c r="T156" s="11">
        <v>0.03</v>
      </c>
      <c r="U156" s="11">
        <v>888.8</v>
      </c>
      <c r="V156" s="11">
        <v>-72.370000000002619</v>
      </c>
      <c r="W156" s="55">
        <f t="shared" si="21"/>
        <v>63911.839999999997</v>
      </c>
      <c r="X156" s="74">
        <f t="shared" si="22"/>
        <v>0.81347384146662027</v>
      </c>
      <c r="Y156" s="74">
        <f t="shared" si="23"/>
        <v>1.4215206446880579E-2</v>
      </c>
      <c r="Z156" s="74">
        <f t="shared" si="24"/>
        <v>0.14204113040713584</v>
      </c>
      <c r="AA156" s="74">
        <f t="shared" si="25"/>
        <v>3.026982167936328E-2</v>
      </c>
    </row>
    <row r="157" spans="1:27">
      <c r="A157" s="7" t="s">
        <v>7</v>
      </c>
      <c r="B157" s="7">
        <v>10009332</v>
      </c>
      <c r="C157" s="7" t="str">
        <f t="shared" si="19"/>
        <v>FEBRERO10009332Compensación</v>
      </c>
      <c r="D157" s="7" t="s">
        <v>410</v>
      </c>
      <c r="E157" s="3" t="s">
        <v>114</v>
      </c>
      <c r="F157" s="8">
        <v>26625</v>
      </c>
      <c r="G157" s="2" t="s">
        <v>320</v>
      </c>
      <c r="H157" s="11">
        <v>82803.75</v>
      </c>
      <c r="I157" s="11" t="s">
        <v>415</v>
      </c>
      <c r="J157" s="11"/>
      <c r="K157" s="11">
        <v>40733.760000000002</v>
      </c>
      <c r="L157" s="16">
        <v>1.53</v>
      </c>
      <c r="M157" s="11">
        <v>33135.85</v>
      </c>
      <c r="N157" s="11">
        <v>579.04</v>
      </c>
      <c r="O157" s="11">
        <v>5785.86</v>
      </c>
      <c r="P157" s="11">
        <f t="shared" si="20"/>
        <v>1233.0100000000048</v>
      </c>
      <c r="Q157" s="11">
        <v>46.03</v>
      </c>
      <c r="R157" s="11">
        <v>151.22999999999999</v>
      </c>
      <c r="S157" s="11">
        <v>515.38</v>
      </c>
      <c r="T157" s="11">
        <v>0.02</v>
      </c>
      <c r="U157" s="11">
        <v>566.47</v>
      </c>
      <c r="V157" s="11">
        <v>-46.119999999995343</v>
      </c>
      <c r="W157" s="55">
        <f t="shared" si="21"/>
        <v>40733.760000000002</v>
      </c>
      <c r="X157" s="74">
        <f t="shared" si="22"/>
        <v>0.8134738850525951</v>
      </c>
      <c r="Y157" s="74">
        <f t="shared" si="23"/>
        <v>1.4215235716025232E-2</v>
      </c>
      <c r="Z157" s="74">
        <f t="shared" si="24"/>
        <v>0.14204090169922931</v>
      </c>
      <c r="AA157" s="74">
        <f t="shared" si="25"/>
        <v>3.0269977532150352E-2</v>
      </c>
    </row>
    <row r="158" spans="1:27">
      <c r="A158" s="7" t="s">
        <v>7</v>
      </c>
      <c r="B158" s="7">
        <v>10009332</v>
      </c>
      <c r="C158" s="7" t="str">
        <f t="shared" si="19"/>
        <v>FEBRERO10009332Inventario final</v>
      </c>
      <c r="D158" s="7" t="s">
        <v>410</v>
      </c>
      <c r="E158" s="3" t="s">
        <v>218</v>
      </c>
      <c r="F158" s="8">
        <v>15150</v>
      </c>
      <c r="G158" s="2" t="s">
        <v>320</v>
      </c>
      <c r="H158" s="11">
        <v>47116.5</v>
      </c>
      <c r="I158" s="11" t="s">
        <v>416</v>
      </c>
      <c r="J158" s="11"/>
      <c r="K158" s="11">
        <v>23178.080000000002</v>
      </c>
      <c r="L158" s="16">
        <v>1.53</v>
      </c>
      <c r="M158" s="11">
        <v>18854.759999999998</v>
      </c>
      <c r="N158" s="11">
        <v>329.48</v>
      </c>
      <c r="O158" s="11">
        <v>3292.25</v>
      </c>
      <c r="P158" s="11">
        <f t="shared" si="20"/>
        <v>701.59000000000356</v>
      </c>
      <c r="Q158" s="11">
        <v>26.19</v>
      </c>
      <c r="R158" s="11">
        <v>86.05</v>
      </c>
      <c r="S158" s="11">
        <v>293.26</v>
      </c>
      <c r="T158" s="11">
        <v>0.01</v>
      </c>
      <c r="U158" s="11">
        <v>322.33</v>
      </c>
      <c r="V158" s="11">
        <v>-26.249999999996362</v>
      </c>
      <c r="W158" s="55">
        <f t="shared" si="21"/>
        <v>23178.080000000002</v>
      </c>
      <c r="X158" s="74">
        <f t="shared" si="22"/>
        <v>0.81347376486749534</v>
      </c>
      <c r="Y158" s="74">
        <f t="shared" si="23"/>
        <v>1.4215155008525295E-2</v>
      </c>
      <c r="Z158" s="74">
        <f t="shared" si="24"/>
        <v>0.14204153234435293</v>
      </c>
      <c r="AA158" s="74">
        <f t="shared" si="25"/>
        <v>3.026954777962642E-2</v>
      </c>
    </row>
    <row r="159" spans="1:27">
      <c r="A159" s="167" t="s">
        <v>8</v>
      </c>
      <c r="B159" s="7">
        <v>10004433</v>
      </c>
      <c r="C159" s="7" t="str">
        <f t="shared" si="19"/>
        <v>MARZO10004433Inventario final</v>
      </c>
      <c r="D159" s="166" t="s">
        <v>427</v>
      </c>
      <c r="E159" s="3" t="s">
        <v>218</v>
      </c>
      <c r="F159" s="8">
        <v>900</v>
      </c>
      <c r="G159" s="2" t="s">
        <v>320</v>
      </c>
      <c r="H159" s="11"/>
      <c r="I159" s="11"/>
      <c r="J159" s="11"/>
      <c r="K159" s="11"/>
      <c r="L159" s="169">
        <v>2.1392666666666664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55"/>
      <c r="W159" s="55"/>
    </row>
    <row r="160" spans="1:27">
      <c r="A160" s="167" t="s">
        <v>8</v>
      </c>
      <c r="B160" s="7">
        <v>10004434</v>
      </c>
      <c r="C160" s="7" t="str">
        <f t="shared" si="19"/>
        <v>MARZO10004434Inventario final</v>
      </c>
      <c r="D160" s="166" t="s">
        <v>428</v>
      </c>
      <c r="E160" s="3" t="s">
        <v>218</v>
      </c>
      <c r="F160" s="8">
        <v>3360</v>
      </c>
      <c r="G160" s="2" t="s">
        <v>320</v>
      </c>
      <c r="H160" s="11"/>
      <c r="I160" s="11"/>
      <c r="J160" s="11"/>
      <c r="K160" s="11"/>
      <c r="L160" s="169">
        <v>1.8835357142857143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55"/>
      <c r="W160" s="55"/>
    </row>
    <row r="161" spans="1:23">
      <c r="A161" s="167" t="s">
        <v>8</v>
      </c>
      <c r="B161" s="7">
        <v>10004435</v>
      </c>
      <c r="C161" s="7" t="str">
        <f t="shared" si="19"/>
        <v>MARZO10004435Inventario final</v>
      </c>
      <c r="D161" s="166" t="s">
        <v>429</v>
      </c>
      <c r="E161" s="3" t="s">
        <v>218</v>
      </c>
      <c r="F161" s="8">
        <v>270240</v>
      </c>
      <c r="G161" s="2" t="s">
        <v>320</v>
      </c>
      <c r="H161" s="11"/>
      <c r="I161" s="11"/>
      <c r="J161" s="11"/>
      <c r="K161" s="11"/>
      <c r="L161" s="169">
        <v>1.8470895500296032</v>
      </c>
      <c r="M161" s="11"/>
      <c r="N161" s="11"/>
      <c r="O161" s="11"/>
      <c r="P161" s="11"/>
      <c r="Q161" s="11"/>
      <c r="R161" s="11"/>
      <c r="S161" s="11"/>
      <c r="T161" s="11"/>
      <c r="U161" s="11"/>
      <c r="V161" s="55"/>
      <c r="W161" s="55"/>
    </row>
    <row r="162" spans="1:23">
      <c r="A162" s="167" t="s">
        <v>8</v>
      </c>
      <c r="B162" s="7">
        <v>10005721</v>
      </c>
      <c r="C162" s="7" t="str">
        <f t="shared" si="19"/>
        <v>MARZO10005721Inventario final</v>
      </c>
      <c r="D162" s="166" t="s">
        <v>430</v>
      </c>
      <c r="E162" s="3" t="s">
        <v>218</v>
      </c>
      <c r="F162" s="8">
        <v>1190280</v>
      </c>
      <c r="G162" s="2" t="s">
        <v>320</v>
      </c>
      <c r="H162" s="11"/>
      <c r="I162" s="11"/>
      <c r="J162" s="11"/>
      <c r="K162" s="11"/>
      <c r="L162" s="169">
        <v>1.8460127953086667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55"/>
      <c r="W162" s="55"/>
    </row>
    <row r="163" spans="1:23">
      <c r="A163" s="167" t="s">
        <v>8</v>
      </c>
      <c r="B163" s="7">
        <v>10005776</v>
      </c>
      <c r="C163" s="7" t="str">
        <f t="shared" si="19"/>
        <v>MARZO10005776Inventario final</v>
      </c>
      <c r="D163" s="166" t="s">
        <v>431</v>
      </c>
      <c r="E163" s="3" t="s">
        <v>218</v>
      </c>
      <c r="F163" s="8">
        <v>19920</v>
      </c>
      <c r="G163" s="2" t="s">
        <v>320</v>
      </c>
      <c r="H163" s="11"/>
      <c r="I163" s="11"/>
      <c r="J163" s="11"/>
      <c r="K163" s="11"/>
      <c r="L163" s="169">
        <v>1.9555903614457832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55"/>
      <c r="W163" s="55"/>
    </row>
    <row r="164" spans="1:23">
      <c r="A164" s="167" t="s">
        <v>8</v>
      </c>
      <c r="B164" s="7">
        <v>10005779</v>
      </c>
      <c r="C164" s="7" t="str">
        <f t="shared" si="19"/>
        <v>MARZO10005779Inventario final</v>
      </c>
      <c r="D164" s="166" t="s">
        <v>355</v>
      </c>
      <c r="E164" s="3" t="s">
        <v>218</v>
      </c>
      <c r="F164" s="8">
        <v>494900</v>
      </c>
      <c r="G164" s="2" t="s">
        <v>320</v>
      </c>
      <c r="H164" s="11"/>
      <c r="I164" s="11"/>
      <c r="J164" s="11"/>
      <c r="K164" s="11"/>
      <c r="L164" s="169">
        <v>1.8971217215599112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55"/>
      <c r="W164" s="55"/>
    </row>
    <row r="165" spans="1:23">
      <c r="A165" s="167" t="s">
        <v>8</v>
      </c>
      <c r="B165" s="7">
        <v>10005781</v>
      </c>
      <c r="C165" s="7" t="str">
        <f t="shared" si="19"/>
        <v>MARZO10005781Inventario final</v>
      </c>
      <c r="D165" s="166" t="s">
        <v>366</v>
      </c>
      <c r="E165" s="3" t="s">
        <v>218</v>
      </c>
      <c r="F165" s="9">
        <v>153680</v>
      </c>
      <c r="G165" s="2" t="s">
        <v>320</v>
      </c>
      <c r="H165" s="12"/>
      <c r="I165" s="12"/>
      <c r="J165" s="13"/>
      <c r="K165" s="12"/>
      <c r="L165" s="170">
        <v>1.9264264055179592</v>
      </c>
      <c r="M165" s="12"/>
      <c r="N165" s="12"/>
      <c r="O165" s="12"/>
      <c r="P165" s="12"/>
      <c r="Q165" s="12"/>
      <c r="R165" s="12"/>
      <c r="S165" s="12"/>
      <c r="T165" s="12"/>
      <c r="U165" s="14"/>
      <c r="V165" s="57"/>
      <c r="W165" s="57"/>
    </row>
    <row r="166" spans="1:23">
      <c r="A166" s="167" t="s">
        <v>8</v>
      </c>
      <c r="B166" s="7">
        <v>10006668</v>
      </c>
      <c r="C166" s="7" t="str">
        <f t="shared" si="19"/>
        <v>MARZO10006668Inventario final</v>
      </c>
      <c r="D166" s="166" t="s">
        <v>432</v>
      </c>
      <c r="E166" s="3" t="s">
        <v>218</v>
      </c>
      <c r="F166" s="9">
        <v>980</v>
      </c>
      <c r="G166" s="2" t="s">
        <v>320</v>
      </c>
      <c r="H166" s="12"/>
      <c r="I166" s="12"/>
      <c r="J166" s="13"/>
      <c r="K166" s="12"/>
      <c r="L166" s="170">
        <v>1.8625510204081634</v>
      </c>
      <c r="M166" s="12"/>
      <c r="N166" s="12"/>
      <c r="O166" s="12"/>
      <c r="P166" s="12"/>
      <c r="Q166" s="12"/>
      <c r="R166" s="12"/>
      <c r="S166" s="12"/>
      <c r="T166" s="12"/>
      <c r="U166" s="14"/>
      <c r="V166" s="57"/>
      <c r="W166" s="57"/>
    </row>
    <row r="167" spans="1:23">
      <c r="A167" s="167" t="s">
        <v>8</v>
      </c>
      <c r="B167" s="7">
        <v>10006719</v>
      </c>
      <c r="C167" s="7" t="str">
        <f t="shared" si="19"/>
        <v>MARZO10006719Inventario final</v>
      </c>
      <c r="D167" s="166" t="s">
        <v>433</v>
      </c>
      <c r="E167" s="3" t="s">
        <v>218</v>
      </c>
      <c r="F167" s="9">
        <v>2000</v>
      </c>
      <c r="G167" s="2" t="s">
        <v>320</v>
      </c>
      <c r="H167" s="12"/>
      <c r="I167" s="12"/>
      <c r="J167" s="13"/>
      <c r="K167" s="12"/>
      <c r="L167" s="170">
        <v>1.68899</v>
      </c>
      <c r="M167" s="12"/>
      <c r="N167" s="12"/>
      <c r="O167" s="12"/>
      <c r="P167" s="12"/>
      <c r="Q167" s="12"/>
      <c r="R167" s="12"/>
      <c r="S167" s="12"/>
      <c r="T167" s="12"/>
      <c r="U167" s="14"/>
      <c r="V167" s="57"/>
      <c r="W167" s="57"/>
    </row>
    <row r="168" spans="1:23">
      <c r="A168" s="167" t="s">
        <v>8</v>
      </c>
      <c r="B168" s="7">
        <v>10006720</v>
      </c>
      <c r="C168" s="7" t="str">
        <f t="shared" si="19"/>
        <v>MARZO10006720Inventario final</v>
      </c>
      <c r="D168" s="166" t="s">
        <v>329</v>
      </c>
      <c r="E168" s="3" t="s">
        <v>218</v>
      </c>
      <c r="F168" s="9">
        <v>932660</v>
      </c>
      <c r="G168" s="2" t="s">
        <v>320</v>
      </c>
      <c r="H168" s="12"/>
      <c r="I168" s="12"/>
      <c r="J168" s="13"/>
      <c r="K168" s="12"/>
      <c r="L168" s="170">
        <v>1.7114050243389873</v>
      </c>
      <c r="M168" s="12"/>
      <c r="N168" s="12"/>
      <c r="O168" s="12"/>
      <c r="P168" s="12"/>
      <c r="Q168" s="12"/>
      <c r="R168" s="12"/>
      <c r="S168" s="12"/>
      <c r="T168" s="12"/>
      <c r="U168" s="14"/>
      <c r="V168" s="57"/>
      <c r="W168" s="57"/>
    </row>
    <row r="169" spans="1:23">
      <c r="A169" s="167" t="s">
        <v>8</v>
      </c>
      <c r="B169" s="7">
        <v>10006722</v>
      </c>
      <c r="C169" s="7" t="str">
        <f t="shared" si="19"/>
        <v>MARZO10006722Inventario final</v>
      </c>
      <c r="D169" s="166" t="s">
        <v>339</v>
      </c>
      <c r="E169" s="3" t="s">
        <v>218</v>
      </c>
      <c r="F169" s="9">
        <v>360</v>
      </c>
      <c r="G169" s="2" t="s">
        <v>320</v>
      </c>
      <c r="H169" s="12"/>
      <c r="I169" s="12"/>
      <c r="J169" s="13"/>
      <c r="K169" s="12"/>
      <c r="L169" s="170">
        <v>1.8669166666666668</v>
      </c>
      <c r="M169" s="12"/>
      <c r="N169" s="12"/>
      <c r="O169" s="12"/>
      <c r="P169" s="12"/>
      <c r="Q169" s="12"/>
      <c r="R169" s="12"/>
      <c r="S169" s="12"/>
      <c r="T169" s="12"/>
      <c r="U169" s="14"/>
      <c r="V169" s="57"/>
      <c r="W169" s="57"/>
    </row>
    <row r="170" spans="1:23">
      <c r="A170" s="167" t="s">
        <v>8</v>
      </c>
      <c r="B170" s="7">
        <v>10007050</v>
      </c>
      <c r="C170" s="7" t="str">
        <f t="shared" si="19"/>
        <v>MARZO10007050Inventario final</v>
      </c>
      <c r="D170" s="166" t="s">
        <v>434</v>
      </c>
      <c r="E170" s="3" t="s">
        <v>218</v>
      </c>
      <c r="F170" s="9">
        <v>88420</v>
      </c>
      <c r="G170" s="2" t="s">
        <v>320</v>
      </c>
      <c r="H170" s="12"/>
      <c r="I170" s="12"/>
      <c r="J170" s="13"/>
      <c r="K170" s="12"/>
      <c r="L170" s="170">
        <v>1.386825152680389</v>
      </c>
      <c r="M170" s="12"/>
      <c r="N170" s="12"/>
      <c r="O170" s="12"/>
      <c r="P170" s="12"/>
      <c r="Q170" s="12"/>
      <c r="R170" s="12"/>
      <c r="S170" s="12"/>
      <c r="T170" s="12"/>
      <c r="U170" s="14"/>
      <c r="V170" s="57"/>
      <c r="W170" s="57"/>
    </row>
    <row r="171" spans="1:23">
      <c r="A171" s="167" t="s">
        <v>8</v>
      </c>
      <c r="B171" s="7">
        <v>10007051</v>
      </c>
      <c r="C171" s="7" t="str">
        <f t="shared" si="19"/>
        <v>MARZO10007051Inventario final</v>
      </c>
      <c r="D171" s="166" t="s">
        <v>435</v>
      </c>
      <c r="E171" s="3" t="s">
        <v>218</v>
      </c>
      <c r="F171" s="8">
        <v>6160</v>
      </c>
      <c r="G171" s="2" t="s">
        <v>320</v>
      </c>
      <c r="H171" s="11"/>
      <c r="I171" s="11"/>
      <c r="J171" s="11"/>
      <c r="K171" s="11"/>
      <c r="L171" s="169">
        <v>1.579564935064935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55"/>
      <c r="W171" s="55"/>
    </row>
    <row r="172" spans="1:23">
      <c r="A172" s="167" t="s">
        <v>8</v>
      </c>
      <c r="B172" s="7">
        <v>10007151</v>
      </c>
      <c r="C172" s="7" t="str">
        <f t="shared" si="19"/>
        <v>MARZO10007151Inventario final</v>
      </c>
      <c r="D172" s="166" t="s">
        <v>436</v>
      </c>
      <c r="E172" s="3" t="s">
        <v>218</v>
      </c>
      <c r="F172" s="8">
        <v>3080</v>
      </c>
      <c r="G172" s="2" t="s">
        <v>320</v>
      </c>
      <c r="H172" s="11"/>
      <c r="I172" s="11"/>
      <c r="J172" s="11"/>
      <c r="K172" s="11"/>
      <c r="L172" s="169">
        <v>1.5597045454545455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55"/>
      <c r="W172" s="55"/>
    </row>
    <row r="173" spans="1:23">
      <c r="A173" s="167" t="s">
        <v>8</v>
      </c>
      <c r="B173" s="7">
        <v>10007152</v>
      </c>
      <c r="C173" s="7" t="str">
        <f t="shared" si="19"/>
        <v>MARZO10007152Inventario final</v>
      </c>
      <c r="D173" s="166" t="s">
        <v>437</v>
      </c>
      <c r="E173" s="3" t="s">
        <v>218</v>
      </c>
      <c r="F173" s="8">
        <v>3180</v>
      </c>
      <c r="G173" s="2" t="s">
        <v>320</v>
      </c>
      <c r="H173" s="11"/>
      <c r="I173" s="11"/>
      <c r="J173" s="11"/>
      <c r="K173" s="11"/>
      <c r="L173" s="169">
        <v>1.4868616352201256</v>
      </c>
      <c r="M173" s="11"/>
      <c r="N173" s="11"/>
      <c r="O173" s="11"/>
      <c r="P173" s="11"/>
      <c r="Q173" s="11"/>
      <c r="R173" s="11"/>
      <c r="S173" s="11"/>
      <c r="T173" s="11"/>
      <c r="U173" s="11"/>
      <c r="V173" s="55"/>
      <c r="W173" s="55"/>
    </row>
    <row r="174" spans="1:23">
      <c r="A174" s="167" t="s">
        <v>8</v>
      </c>
      <c r="B174" s="7">
        <v>10007161</v>
      </c>
      <c r="C174" s="7" t="str">
        <f t="shared" si="19"/>
        <v>MARZO10007161Inventario final</v>
      </c>
      <c r="D174" s="166" t="s">
        <v>438</v>
      </c>
      <c r="E174" s="3" t="s">
        <v>218</v>
      </c>
      <c r="F174" s="8">
        <v>20340</v>
      </c>
      <c r="G174" s="2" t="s">
        <v>320</v>
      </c>
      <c r="H174" s="11"/>
      <c r="I174" s="11"/>
      <c r="J174" s="11"/>
      <c r="K174" s="11"/>
      <c r="L174" s="169">
        <v>1.8840594886922319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55"/>
      <c r="W174" s="55"/>
    </row>
    <row r="175" spans="1:23">
      <c r="A175" s="167" t="s">
        <v>8</v>
      </c>
      <c r="B175" s="7">
        <v>10007162</v>
      </c>
      <c r="C175" s="7" t="str">
        <f t="shared" si="19"/>
        <v>MARZO10007162Inventario final</v>
      </c>
      <c r="D175" s="166" t="s">
        <v>378</v>
      </c>
      <c r="E175" s="3" t="s">
        <v>218</v>
      </c>
      <c r="F175" s="8">
        <v>785840</v>
      </c>
      <c r="G175" s="2" t="s">
        <v>320</v>
      </c>
      <c r="H175" s="11"/>
      <c r="I175" s="11"/>
      <c r="J175" s="11"/>
      <c r="K175" s="11"/>
      <c r="L175" s="169">
        <v>1.7759905324239029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55"/>
      <c r="W175" s="55"/>
    </row>
    <row r="176" spans="1:23">
      <c r="A176" s="167" t="s">
        <v>8</v>
      </c>
      <c r="B176" s="7">
        <v>10007567</v>
      </c>
      <c r="C176" s="7" t="str">
        <f t="shared" si="19"/>
        <v>MARZO10007567Inventario final</v>
      </c>
      <c r="D176" s="166" t="s">
        <v>373</v>
      </c>
      <c r="E176" s="3" t="s">
        <v>218</v>
      </c>
      <c r="F176" s="8">
        <v>240640</v>
      </c>
      <c r="G176" s="2" t="s">
        <v>320</v>
      </c>
      <c r="H176" s="11"/>
      <c r="I176" s="11"/>
      <c r="J176" s="11"/>
      <c r="K176" s="11"/>
      <c r="L176" s="169">
        <v>1.7637217004654255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55"/>
      <c r="W176" s="55"/>
    </row>
    <row r="177" spans="1:12">
      <c r="A177" s="167" t="s">
        <v>8</v>
      </c>
      <c r="B177" s="7">
        <v>10007969</v>
      </c>
      <c r="C177" s="7" t="str">
        <f t="shared" si="19"/>
        <v>MARZO10007969Inventario final</v>
      </c>
      <c r="D177" s="166" t="s">
        <v>439</v>
      </c>
      <c r="E177" s="3" t="s">
        <v>218</v>
      </c>
      <c r="F177">
        <v>150020</v>
      </c>
      <c r="G177" s="2" t="s">
        <v>320</v>
      </c>
      <c r="L177" s="112">
        <v>1.4884309425409947</v>
      </c>
    </row>
    <row r="178" spans="1:12">
      <c r="A178" s="167" t="s">
        <v>8</v>
      </c>
      <c r="B178" s="7">
        <v>10009176</v>
      </c>
      <c r="C178" s="7" t="str">
        <f t="shared" si="19"/>
        <v>MARZO10009176Inventario final</v>
      </c>
      <c r="D178" s="166" t="s">
        <v>440</v>
      </c>
      <c r="E178" s="3" t="s">
        <v>218</v>
      </c>
      <c r="F178">
        <v>20</v>
      </c>
      <c r="G178" s="2" t="s">
        <v>320</v>
      </c>
      <c r="L178" s="112">
        <v>1.6375</v>
      </c>
    </row>
    <row r="179" spans="1:12">
      <c r="A179" s="167" t="s">
        <v>8</v>
      </c>
      <c r="B179" s="7">
        <v>10009177</v>
      </c>
      <c r="C179" s="7" t="str">
        <f t="shared" si="19"/>
        <v>MARZO10009177Inventario final</v>
      </c>
      <c r="D179" s="166" t="s">
        <v>441</v>
      </c>
      <c r="E179" s="3" t="s">
        <v>218</v>
      </c>
      <c r="F179">
        <v>2060</v>
      </c>
      <c r="G179" s="2" t="s">
        <v>320</v>
      </c>
      <c r="L179" s="112">
        <v>2.0185097087378643</v>
      </c>
    </row>
    <row r="180" spans="1:12">
      <c r="A180" s="167" t="s">
        <v>8</v>
      </c>
      <c r="B180" s="7">
        <v>10009178</v>
      </c>
      <c r="C180" s="7" t="str">
        <f t="shared" si="19"/>
        <v>MARZO10009178Inventario final</v>
      </c>
      <c r="D180" s="166" t="s">
        <v>442</v>
      </c>
      <c r="E180" s="3" t="s">
        <v>218</v>
      </c>
      <c r="F180">
        <v>70400</v>
      </c>
      <c r="G180" s="2" t="s">
        <v>320</v>
      </c>
      <c r="L180" s="112">
        <v>1.808653409090909</v>
      </c>
    </row>
    <row r="181" spans="1:12">
      <c r="A181" s="167" t="s">
        <v>8</v>
      </c>
      <c r="B181" s="7">
        <v>10009184</v>
      </c>
      <c r="C181" s="7" t="str">
        <f t="shared" si="19"/>
        <v>MARZO10009184Inventario final</v>
      </c>
      <c r="D181" s="166" t="s">
        <v>443</v>
      </c>
      <c r="E181" s="3" t="s">
        <v>218</v>
      </c>
      <c r="F181">
        <v>2820</v>
      </c>
      <c r="G181" s="2" t="s">
        <v>320</v>
      </c>
      <c r="L181" s="112">
        <v>2.0620425531914894</v>
      </c>
    </row>
    <row r="182" spans="1:12">
      <c r="A182" s="167" t="s">
        <v>8</v>
      </c>
      <c r="B182" s="7">
        <v>10009186</v>
      </c>
      <c r="C182" s="7" t="str">
        <f t="shared" si="19"/>
        <v>MARZO10009186Inventario final</v>
      </c>
      <c r="D182" s="166" t="s">
        <v>444</v>
      </c>
      <c r="E182" s="3" t="s">
        <v>218</v>
      </c>
      <c r="F182">
        <v>1140</v>
      </c>
      <c r="G182" s="2" t="s">
        <v>320</v>
      </c>
      <c r="L182" s="112">
        <v>1.9312456140350875</v>
      </c>
    </row>
    <row r="183" spans="1:12">
      <c r="A183" s="167" t="s">
        <v>8</v>
      </c>
      <c r="B183" s="7">
        <v>10009187</v>
      </c>
      <c r="C183" s="7" t="str">
        <f t="shared" si="19"/>
        <v>MARZO10009187Inventario final</v>
      </c>
      <c r="D183" s="166" t="s">
        <v>445</v>
      </c>
      <c r="E183" s="3" t="s">
        <v>218</v>
      </c>
      <c r="F183">
        <v>420</v>
      </c>
      <c r="G183" s="2" t="s">
        <v>320</v>
      </c>
      <c r="L183" s="112">
        <v>1.8391428571428572</v>
      </c>
    </row>
    <row r="184" spans="1:12">
      <c r="A184" s="167" t="s">
        <v>8</v>
      </c>
      <c r="B184" s="7">
        <v>10009207</v>
      </c>
      <c r="C184" s="7" t="str">
        <f t="shared" si="19"/>
        <v>MARZO10009207Inventario final</v>
      </c>
      <c r="D184" s="166" t="s">
        <v>446</v>
      </c>
      <c r="E184" s="3" t="s">
        <v>218</v>
      </c>
      <c r="F184">
        <v>66020</v>
      </c>
      <c r="G184" s="2" t="s">
        <v>320</v>
      </c>
      <c r="L184" s="112">
        <v>1.6168274765222661</v>
      </c>
    </row>
    <row r="185" spans="1:12">
      <c r="A185" s="167" t="s">
        <v>8</v>
      </c>
      <c r="B185" s="7">
        <v>10009224</v>
      </c>
      <c r="C185" s="7" t="str">
        <f t="shared" si="19"/>
        <v>MARZO10009224Inventario final</v>
      </c>
      <c r="D185" s="166" t="s">
        <v>447</v>
      </c>
      <c r="E185" s="3" t="s">
        <v>218</v>
      </c>
      <c r="F185">
        <v>3360</v>
      </c>
      <c r="G185" s="2" t="s">
        <v>320</v>
      </c>
      <c r="L185" s="112">
        <v>3.6412946428571429</v>
      </c>
    </row>
    <row r="186" spans="1:12">
      <c r="A186" s="167" t="s">
        <v>8</v>
      </c>
      <c r="B186" s="7">
        <v>10009239</v>
      </c>
      <c r="C186" s="7" t="str">
        <f t="shared" si="19"/>
        <v>MARZO10009239Inventario final</v>
      </c>
      <c r="D186" s="166" t="s">
        <v>392</v>
      </c>
      <c r="E186" s="3" t="s">
        <v>218</v>
      </c>
      <c r="F186">
        <v>595340</v>
      </c>
      <c r="G186" s="2" t="s">
        <v>320</v>
      </c>
      <c r="L186" s="112">
        <v>2.1697107535189972</v>
      </c>
    </row>
    <row r="187" spans="1:12">
      <c r="A187" s="167" t="s">
        <v>8</v>
      </c>
      <c r="B187" s="7">
        <v>10009241</v>
      </c>
      <c r="C187" s="7" t="str">
        <f t="shared" si="19"/>
        <v>MARZO10009241Inventario final</v>
      </c>
      <c r="D187" s="166" t="s">
        <v>448</v>
      </c>
      <c r="E187" s="3" t="s">
        <v>218</v>
      </c>
      <c r="F187">
        <v>780</v>
      </c>
      <c r="G187" s="2" t="s">
        <v>320</v>
      </c>
      <c r="L187" s="112">
        <v>1.9563846153846154</v>
      </c>
    </row>
    <row r="188" spans="1:12">
      <c r="A188" s="167" t="s">
        <v>8</v>
      </c>
      <c r="B188" s="7">
        <v>10009251</v>
      </c>
      <c r="C188" s="7" t="str">
        <f t="shared" si="19"/>
        <v>MARZO10009251Inventario final</v>
      </c>
      <c r="D188" s="166" t="s">
        <v>449</v>
      </c>
      <c r="E188" s="3" t="s">
        <v>218</v>
      </c>
      <c r="F188">
        <v>88940</v>
      </c>
      <c r="G188" s="2" t="s">
        <v>320</v>
      </c>
      <c r="L188" s="112">
        <v>3.117035079829098</v>
      </c>
    </row>
    <row r="189" spans="1:12">
      <c r="A189" s="167" t="s">
        <v>8</v>
      </c>
      <c r="B189" s="7">
        <v>10009265</v>
      </c>
      <c r="C189" s="7" t="str">
        <f t="shared" si="19"/>
        <v>MARZO10009265Inventario final</v>
      </c>
      <c r="D189" s="166" t="s">
        <v>450</v>
      </c>
      <c r="E189" s="3" t="s">
        <v>218</v>
      </c>
      <c r="F189">
        <v>2040</v>
      </c>
      <c r="G189" s="2" t="s">
        <v>320</v>
      </c>
      <c r="L189" s="112">
        <v>1.4564117647058823</v>
      </c>
    </row>
    <row r="190" spans="1:12">
      <c r="A190" s="167" t="s">
        <v>8</v>
      </c>
      <c r="B190" s="7">
        <v>10009271</v>
      </c>
      <c r="C190" s="7" t="str">
        <f t="shared" si="19"/>
        <v>MARZO10009271Inventario final</v>
      </c>
      <c r="D190" s="166" t="s">
        <v>451</v>
      </c>
      <c r="E190" s="3" t="s">
        <v>218</v>
      </c>
      <c r="F190">
        <v>1040</v>
      </c>
      <c r="G190" s="2" t="s">
        <v>320</v>
      </c>
      <c r="L190" s="112">
        <v>1.7992403846153846</v>
      </c>
    </row>
    <row r="191" spans="1:12">
      <c r="A191" s="167" t="s">
        <v>8</v>
      </c>
      <c r="B191" s="7">
        <v>10009298</v>
      </c>
      <c r="C191" s="7" t="str">
        <f t="shared" si="19"/>
        <v>MARZO10009298Inventario final</v>
      </c>
      <c r="D191" s="166" t="s">
        <v>452</v>
      </c>
      <c r="E191" s="3" t="s">
        <v>218</v>
      </c>
      <c r="F191">
        <v>3460</v>
      </c>
      <c r="G191" s="2" t="s">
        <v>320</v>
      </c>
      <c r="L191" s="112">
        <v>1.9627138728323699</v>
      </c>
    </row>
    <row r="192" spans="1:12">
      <c r="A192" s="167" t="s">
        <v>8</v>
      </c>
      <c r="B192" s="7">
        <v>10009328</v>
      </c>
      <c r="C192" s="7" t="str">
        <f t="shared" si="19"/>
        <v>MARZO10009328Inventario final</v>
      </c>
      <c r="D192" s="166" t="s">
        <v>453</v>
      </c>
      <c r="E192" s="3" t="s">
        <v>218</v>
      </c>
      <c r="F192">
        <v>360</v>
      </c>
      <c r="G192" s="2" t="s">
        <v>320</v>
      </c>
      <c r="L192" s="112">
        <v>1.8048888888888888</v>
      </c>
    </row>
    <row r="193" spans="1:12">
      <c r="A193" s="167" t="s">
        <v>8</v>
      </c>
      <c r="B193" s="7">
        <v>10009329</v>
      </c>
      <c r="C193" s="7" t="str">
        <f t="shared" si="19"/>
        <v>MARZO10009329Inventario final</v>
      </c>
      <c r="D193" s="166" t="s">
        <v>454</v>
      </c>
      <c r="E193" s="3" t="s">
        <v>218</v>
      </c>
      <c r="F193">
        <v>0</v>
      </c>
      <c r="G193" s="2" t="s">
        <v>320</v>
      </c>
      <c r="L193" s="112">
        <f>L192</f>
        <v>1.8048888888888888</v>
      </c>
    </row>
    <row r="194" spans="1:12">
      <c r="A194" s="167" t="s">
        <v>8</v>
      </c>
      <c r="B194" s="7">
        <v>10009331</v>
      </c>
      <c r="C194" s="7" t="str">
        <f t="shared" si="19"/>
        <v>MARZO10009331Inventario final</v>
      </c>
      <c r="D194" s="166" t="s">
        <v>406</v>
      </c>
      <c r="E194" s="3" t="s">
        <v>218</v>
      </c>
      <c r="F194">
        <v>88956</v>
      </c>
      <c r="G194" s="2" t="s">
        <v>320</v>
      </c>
      <c r="L194" s="112">
        <v>1.8511023427312379</v>
      </c>
    </row>
    <row r="195" spans="1:12">
      <c r="A195" s="167" t="s">
        <v>8</v>
      </c>
      <c r="B195" s="7">
        <v>10009332</v>
      </c>
      <c r="C195" s="7" t="str">
        <f t="shared" si="19"/>
        <v>MARZO10009332Inventario final</v>
      </c>
      <c r="D195" s="166" t="s">
        <v>410</v>
      </c>
      <c r="E195" s="3" t="s">
        <v>218</v>
      </c>
      <c r="F195">
        <v>70745</v>
      </c>
      <c r="G195" s="2" t="s">
        <v>320</v>
      </c>
      <c r="L195" s="112">
        <v>1.640464909180861</v>
      </c>
    </row>
    <row r="196" spans="1:12">
      <c r="A196" s="167" t="s">
        <v>8</v>
      </c>
      <c r="B196" s="7">
        <v>10009334</v>
      </c>
      <c r="C196" s="7" t="str">
        <f t="shared" si="19"/>
        <v>MARZO10009334Inventario final</v>
      </c>
      <c r="D196" s="166" t="s">
        <v>455</v>
      </c>
      <c r="E196" s="3" t="s">
        <v>218</v>
      </c>
      <c r="F196">
        <v>11754</v>
      </c>
      <c r="G196" s="2" t="s">
        <v>320</v>
      </c>
      <c r="L196" s="112">
        <v>1.9154466564573762</v>
      </c>
    </row>
    <row r="197" spans="1:12">
      <c r="A197" s="167" t="s">
        <v>8</v>
      </c>
      <c r="B197" s="7">
        <v>10009336</v>
      </c>
      <c r="C197" s="7" t="str">
        <f t="shared" ref="C197:C206" si="26">A197&amp;B197&amp;E197</f>
        <v>MARZO10009336Inventario final</v>
      </c>
      <c r="D197" s="166" t="s">
        <v>456</v>
      </c>
      <c r="E197" s="3" t="s">
        <v>218</v>
      </c>
      <c r="F197">
        <v>81140</v>
      </c>
      <c r="G197" s="2" t="s">
        <v>320</v>
      </c>
      <c r="L197" s="112">
        <v>1.6055295785062853</v>
      </c>
    </row>
    <row r="198" spans="1:12">
      <c r="A198" s="167" t="s">
        <v>8</v>
      </c>
      <c r="B198" s="7">
        <v>10009337</v>
      </c>
      <c r="C198" s="7" t="str">
        <f t="shared" si="26"/>
        <v>MARZO10009337Inventario final</v>
      </c>
      <c r="D198" s="166" t="s">
        <v>457</v>
      </c>
      <c r="E198" s="3" t="s">
        <v>218</v>
      </c>
      <c r="F198">
        <v>62130</v>
      </c>
      <c r="G198" s="2" t="s">
        <v>320</v>
      </c>
      <c r="L198" s="112">
        <v>1.6298829872847256</v>
      </c>
    </row>
    <row r="199" spans="1:12">
      <c r="A199" s="167" t="s">
        <v>8</v>
      </c>
      <c r="B199" s="7">
        <v>10009639</v>
      </c>
      <c r="C199" s="7" t="str">
        <f t="shared" si="26"/>
        <v>MARZO10009639Inventario final</v>
      </c>
      <c r="D199" s="166" t="s">
        <v>458</v>
      </c>
      <c r="E199" s="3" t="s">
        <v>218</v>
      </c>
      <c r="F199">
        <v>119920</v>
      </c>
      <c r="G199" s="2" t="s">
        <v>320</v>
      </c>
      <c r="L199" s="112">
        <v>1.8503950133422282</v>
      </c>
    </row>
    <row r="200" spans="1:12">
      <c r="A200" s="167" t="s">
        <v>8</v>
      </c>
      <c r="B200" s="7">
        <v>10009640</v>
      </c>
      <c r="C200" s="7" t="str">
        <f t="shared" si="26"/>
        <v>MARZO10009640Inventario final</v>
      </c>
      <c r="D200" s="166" t="s">
        <v>459</v>
      </c>
      <c r="E200" s="3" t="s">
        <v>218</v>
      </c>
      <c r="F200">
        <v>0</v>
      </c>
      <c r="G200" s="2" t="s">
        <v>320</v>
      </c>
      <c r="L200" s="112">
        <f>L191</f>
        <v>1.9627138728323699</v>
      </c>
    </row>
    <row r="201" spans="1:12">
      <c r="A201" s="167" t="s">
        <v>8</v>
      </c>
      <c r="B201" s="7">
        <v>10009641</v>
      </c>
      <c r="C201" s="7" t="str">
        <f t="shared" si="26"/>
        <v>MARZO10009641Inventario final</v>
      </c>
      <c r="D201" s="166" t="s">
        <v>460</v>
      </c>
      <c r="E201" s="3" t="s">
        <v>218</v>
      </c>
      <c r="F201">
        <v>198.54000000000002</v>
      </c>
      <c r="G201" s="2" t="s">
        <v>320</v>
      </c>
      <c r="L201" s="112">
        <v>14.619069205197945</v>
      </c>
    </row>
    <row r="202" spans="1:12">
      <c r="A202" s="167" t="s">
        <v>8</v>
      </c>
      <c r="B202" s="7">
        <v>10009642</v>
      </c>
      <c r="C202" s="7" t="str">
        <f t="shared" si="26"/>
        <v>MARZO10009642Inventario final</v>
      </c>
      <c r="D202" s="166" t="s">
        <v>461</v>
      </c>
      <c r="E202" s="3" t="s">
        <v>218</v>
      </c>
      <c r="F202">
        <v>80.34</v>
      </c>
      <c r="G202" s="2" t="s">
        <v>320</v>
      </c>
      <c r="L202" s="112">
        <v>48.443988050784164</v>
      </c>
    </row>
    <row r="203" spans="1:12">
      <c r="A203" s="167" t="s">
        <v>8</v>
      </c>
      <c r="B203" s="7">
        <v>10009643</v>
      </c>
      <c r="C203" s="7" t="str">
        <f t="shared" si="26"/>
        <v>MARZO10009643Inventario final</v>
      </c>
      <c r="D203" s="166" t="s">
        <v>462</v>
      </c>
      <c r="E203" s="3" t="s">
        <v>218</v>
      </c>
      <c r="F203">
        <v>71.550000000000011</v>
      </c>
      <c r="G203" s="2" t="s">
        <v>320</v>
      </c>
      <c r="L203" s="112">
        <v>12.634381551362681</v>
      </c>
    </row>
    <row r="204" spans="1:12">
      <c r="A204" s="167" t="s">
        <v>8</v>
      </c>
      <c r="B204" s="7">
        <v>10009650</v>
      </c>
      <c r="C204" s="7" t="str">
        <f t="shared" si="26"/>
        <v>MARZO10009650Inventario final</v>
      </c>
      <c r="D204" s="166" t="s">
        <v>463</v>
      </c>
      <c r="E204" s="3" t="s">
        <v>218</v>
      </c>
      <c r="F204">
        <v>8410</v>
      </c>
      <c r="G204" s="2" t="s">
        <v>320</v>
      </c>
      <c r="L204" s="112">
        <v>2.1419262782401902</v>
      </c>
    </row>
    <row r="205" spans="1:12">
      <c r="A205" s="167" t="s">
        <v>8</v>
      </c>
      <c r="B205" s="7">
        <v>10009658</v>
      </c>
      <c r="C205" s="7" t="str">
        <f t="shared" si="26"/>
        <v>MARZO10009658Inventario final</v>
      </c>
      <c r="D205" s="166" t="s">
        <v>464</v>
      </c>
      <c r="E205" s="3" t="s">
        <v>218</v>
      </c>
      <c r="F205">
        <v>5880</v>
      </c>
      <c r="G205" s="2" t="s">
        <v>320</v>
      </c>
      <c r="L205" s="112">
        <v>1.8495051020408164</v>
      </c>
    </row>
    <row r="206" spans="1:12">
      <c r="A206" s="167" t="s">
        <v>8</v>
      </c>
      <c r="B206" s="7">
        <v>10009777</v>
      </c>
      <c r="C206" s="7" t="str">
        <f t="shared" si="26"/>
        <v>MARZO10009777Inventario final</v>
      </c>
      <c r="D206" s="166" t="s">
        <v>465</v>
      </c>
      <c r="E206" s="3" t="s">
        <v>218</v>
      </c>
      <c r="F206">
        <v>220</v>
      </c>
      <c r="G206" s="2" t="s">
        <v>320</v>
      </c>
      <c r="L206" s="112">
        <v>2.1901363636363635</v>
      </c>
    </row>
  </sheetData>
  <autoFilter ref="A4:U206" xr:uid="{3CE754B3-988E-444C-9265-C841DB136EFE}"/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Gráficos</vt:lpstr>
      <vt:lpstr>TD</vt:lpstr>
      <vt:lpstr>Resumen</vt:lpstr>
      <vt:lpstr>Costos Producción Febrero</vt:lpstr>
      <vt:lpstr>Costos Producción Marzo</vt:lpstr>
      <vt:lpstr>Detalle Costos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Sebastian Martinez Montalvo (PFRO)</dc:creator>
  <cp:keywords/>
  <dc:description/>
  <cp:lastModifiedBy>Rodrigo Sebastian Martinez Montalvo (PFRO)</cp:lastModifiedBy>
  <cp:revision/>
  <cp:lastPrinted>2026-03-23T20:23:38Z</cp:lastPrinted>
  <dcterms:created xsi:type="dcterms:W3CDTF">2026-03-06T02:31:08Z</dcterms:created>
  <dcterms:modified xsi:type="dcterms:W3CDTF">2026-06-16T05:51:59Z</dcterms:modified>
  <cp:category/>
  <cp:contentStatus/>
</cp:coreProperties>
</file>