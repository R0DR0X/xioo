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wnloads\"/>
    </mc:Choice>
  </mc:AlternateContent>
  <xr:revisionPtr revIDLastSave="0" documentId="13_ncr:1_{95F46093-6DDF-4CB1-8AFD-45A8B0EB922B}" xr6:coauthVersionLast="47" xr6:coauthVersionMax="47" xr10:uidLastSave="{00000000-0000-0000-0000-000000000000}"/>
  <bookViews>
    <workbookView xWindow="-108" yWindow="-108" windowWidth="23256" windowHeight="13896" xr2:uid="{2EB5C4B9-C483-4113-BF9E-E074F5A5048B}"/>
  </bookViews>
  <sheets>
    <sheet name="RESUMEN AL 20-7-2026" sheetId="3" r:id="rId1"/>
    <sheet name="TD" sheetId="2" r:id="rId2"/>
    <sheet name="Stock Libre" sheetId="1" r:id="rId3"/>
  </sheets>
  <externalReferences>
    <externalReference r:id="rId4"/>
    <externalReference r:id="rId5"/>
    <externalReference r:id="rId6"/>
    <externalReference r:id="rId7"/>
    <externalReference r:id="rId8"/>
  </externalReferences>
  <calcPr calcId="191029"/>
  <pivotCaches>
    <pivotCache cacheId="13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H58" i="1"/>
  <c r="I57" i="1"/>
  <c r="I58" i="1" l="1"/>
  <c r="J56" i="1" s="1"/>
  <c r="J57" i="1" l="1"/>
  <c r="H59" i="1" s="1"/>
  <c r="BT8" i="3" l="1"/>
  <c r="BY18" i="3"/>
  <c r="BT7" i="3"/>
  <c r="BU7" i="3"/>
  <c r="BU8" i="3"/>
  <c r="BT9" i="3"/>
  <c r="BU9" i="3"/>
  <c r="BT10" i="3"/>
  <c r="BU10" i="3"/>
  <c r="BT11" i="3"/>
  <c r="BU11" i="3"/>
  <c r="BT12" i="3"/>
  <c r="BU12" i="3"/>
  <c r="BT13" i="3"/>
  <c r="BU13" i="3"/>
  <c r="BT14" i="3"/>
  <c r="BU14" i="3"/>
  <c r="BT15" i="3"/>
  <c r="BU15" i="3"/>
  <c r="BT16" i="3"/>
  <c r="BU16" i="3"/>
  <c r="BT17" i="3"/>
  <c r="BU17" i="3"/>
  <c r="AZ17" i="3" a="1"/>
  <c r="AZ17" i="3" s="1"/>
  <c r="AY17" i="3" a="1"/>
  <c r="AY17" i="3" s="1"/>
  <c r="AZ16" i="3" a="1"/>
  <c r="AZ16" i="3" s="1"/>
  <c r="BA16" i="3" s="1"/>
  <c r="AY16" i="3"/>
  <c r="AY16" i="3" a="1"/>
  <c r="AZ15" i="3" a="1"/>
  <c r="AZ15" i="3" s="1"/>
  <c r="AY15" i="3" a="1"/>
  <c r="AY15" i="3" s="1"/>
  <c r="AZ14" i="3" a="1"/>
  <c r="AZ14" i="3" s="1"/>
  <c r="AY14" i="3" a="1"/>
  <c r="AY14" i="3" s="1"/>
  <c r="AZ13" i="3"/>
  <c r="AZ13" i="3" a="1"/>
  <c r="AY13" i="3" a="1"/>
  <c r="AY13" i="3" s="1"/>
  <c r="BA13" i="3" s="1"/>
  <c r="AZ12" i="3"/>
  <c r="BA12" i="3" s="1"/>
  <c r="AZ12" i="3" a="1"/>
  <c r="AY12" i="3" a="1"/>
  <c r="AY12" i="3" s="1"/>
  <c r="AZ11" i="3" a="1"/>
  <c r="AZ11" i="3" s="1"/>
  <c r="BA11" i="3" s="1"/>
  <c r="AY11" i="3"/>
  <c r="AY11" i="3" a="1"/>
  <c r="AZ10" i="3"/>
  <c r="AZ10" i="3" a="1"/>
  <c r="AY10" i="3" a="1"/>
  <c r="AY10" i="3" s="1"/>
  <c r="AZ9" i="3" a="1"/>
  <c r="AZ9" i="3" s="1"/>
  <c r="AY9" i="3" a="1"/>
  <c r="AY9" i="3" s="1"/>
  <c r="BA8" i="3"/>
  <c r="AZ8" i="3"/>
  <c r="AZ8" i="3" a="1"/>
  <c r="AY8" i="3"/>
  <c r="AY8" i="3" a="1"/>
  <c r="AZ7" i="3" a="1"/>
  <c r="AZ7" i="3" s="1"/>
  <c r="AY7" i="3" a="1"/>
  <c r="AY7" i="3" s="1"/>
  <c r="AW17" i="3" a="1"/>
  <c r="AW17" i="3" s="1"/>
  <c r="AV17" i="3" a="1"/>
  <c r="AV17" i="3" s="1"/>
  <c r="AW16" i="3" a="1"/>
  <c r="AW16" i="3" s="1"/>
  <c r="AX16" i="3" s="1"/>
  <c r="AV16" i="3"/>
  <c r="AV16" i="3" a="1"/>
  <c r="AW15" i="3" a="1"/>
  <c r="AW15" i="3" s="1"/>
  <c r="AV15" i="3" a="1"/>
  <c r="AV15" i="3" s="1"/>
  <c r="AW14" i="3" a="1"/>
  <c r="AW14" i="3" s="1"/>
  <c r="AV14" i="3" a="1"/>
  <c r="AV14" i="3" s="1"/>
  <c r="AW13" i="3"/>
  <c r="AW13" i="3" a="1"/>
  <c r="AV13" i="3" a="1"/>
  <c r="AV13" i="3" s="1"/>
  <c r="AX13" i="3" s="1"/>
  <c r="AW12" i="3" a="1"/>
  <c r="AW12" i="3" s="1"/>
  <c r="AV12" i="3" a="1"/>
  <c r="AV12" i="3" s="1"/>
  <c r="AW11" i="3" a="1"/>
  <c r="AW11" i="3" s="1"/>
  <c r="AV11" i="3" a="1"/>
  <c r="AV11" i="3" s="1"/>
  <c r="AW10" i="3" a="1"/>
  <c r="AW10" i="3" s="1"/>
  <c r="AV10" i="3" a="1"/>
  <c r="AV10" i="3" s="1"/>
  <c r="AW9" i="3" a="1"/>
  <c r="AW9" i="3" s="1"/>
  <c r="AV9" i="3" a="1"/>
  <c r="AV9" i="3" s="1"/>
  <c r="AW8" i="3"/>
  <c r="AW8" i="3" a="1"/>
  <c r="AV8" i="3" a="1"/>
  <c r="AV8" i="3" s="1"/>
  <c r="AW7" i="3" a="1"/>
  <c r="AW7" i="3" s="1"/>
  <c r="AV7" i="3" a="1"/>
  <c r="AV7" i="3" s="1"/>
  <c r="AT17" i="3" a="1"/>
  <c r="AT17" i="3" s="1"/>
  <c r="AS17" i="3" a="1"/>
  <c r="AS17" i="3" s="1"/>
  <c r="AT16" i="3" a="1"/>
  <c r="AT16" i="3" s="1"/>
  <c r="AU16" i="3" s="1"/>
  <c r="AS16" i="3"/>
  <c r="AS16" i="3" a="1"/>
  <c r="AT15" i="3" a="1"/>
  <c r="AT15" i="3" s="1"/>
  <c r="AS15" i="3" a="1"/>
  <c r="AS15" i="3" s="1"/>
  <c r="AT14" i="3" a="1"/>
  <c r="AT14" i="3" s="1"/>
  <c r="AS14" i="3" a="1"/>
  <c r="AS14" i="3" s="1"/>
  <c r="AT13" i="3"/>
  <c r="AT13" i="3" a="1"/>
  <c r="AS13" i="3" a="1"/>
  <c r="AS13" i="3" s="1"/>
  <c r="AU13" i="3" s="1"/>
  <c r="AT12" i="3" a="1"/>
  <c r="AT12" i="3" s="1"/>
  <c r="AS12" i="3" a="1"/>
  <c r="AS12" i="3" s="1"/>
  <c r="AT11" i="3" a="1"/>
  <c r="AT11" i="3" s="1"/>
  <c r="AS11" i="3" a="1"/>
  <c r="AS11" i="3" s="1"/>
  <c r="AT10" i="3" a="1"/>
  <c r="AT10" i="3" s="1"/>
  <c r="AS10" i="3" a="1"/>
  <c r="AS10" i="3" s="1"/>
  <c r="AT9" i="3" a="1"/>
  <c r="AT9" i="3" s="1"/>
  <c r="AS9" i="3" a="1"/>
  <c r="AS9" i="3" s="1"/>
  <c r="AT8" i="3"/>
  <c r="AT8" i="3" a="1"/>
  <c r="AS8" i="3" a="1"/>
  <c r="AS8" i="3" s="1"/>
  <c r="AT7" i="3" a="1"/>
  <c r="AT7" i="3" s="1"/>
  <c r="AS7" i="3" a="1"/>
  <c r="AS7" i="3" s="1"/>
  <c r="AQ17" i="3" a="1"/>
  <c r="AQ17" i="3" s="1"/>
  <c r="AP17" i="3" a="1"/>
  <c r="AP17" i="3" s="1"/>
  <c r="AQ16" i="3" a="1"/>
  <c r="AQ16" i="3" s="1"/>
  <c r="AR16" i="3" s="1"/>
  <c r="AP16" i="3"/>
  <c r="AP16" i="3" a="1"/>
  <c r="AQ15" i="3" a="1"/>
  <c r="AQ15" i="3" s="1"/>
  <c r="AP15" i="3" a="1"/>
  <c r="AP15" i="3" s="1"/>
  <c r="AQ14" i="3" a="1"/>
  <c r="AQ14" i="3" s="1"/>
  <c r="AP14" i="3" a="1"/>
  <c r="AP14" i="3" s="1"/>
  <c r="AQ13" i="3" a="1"/>
  <c r="AQ13" i="3" s="1"/>
  <c r="AP13" i="3" a="1"/>
  <c r="AP13" i="3" s="1"/>
  <c r="AQ12" i="3" a="1"/>
  <c r="AQ12" i="3" s="1"/>
  <c r="AR12" i="3" s="1"/>
  <c r="AP12" i="3" a="1"/>
  <c r="AP12" i="3" s="1"/>
  <c r="AQ11" i="3" a="1"/>
  <c r="AQ11" i="3" s="1"/>
  <c r="AP11" i="3" a="1"/>
  <c r="AP11" i="3" s="1"/>
  <c r="AQ10" i="3" a="1"/>
  <c r="AQ10" i="3" s="1"/>
  <c r="AP10" i="3" a="1"/>
  <c r="AP10" i="3" s="1"/>
  <c r="AQ9" i="3" a="1"/>
  <c r="AQ9" i="3" s="1"/>
  <c r="AP9" i="3" a="1"/>
  <c r="AP9" i="3" s="1"/>
  <c r="AQ8" i="3"/>
  <c r="AQ8" i="3" a="1"/>
  <c r="AP8" i="3" a="1"/>
  <c r="AP8" i="3" s="1"/>
  <c r="AQ7" i="3" a="1"/>
  <c r="AQ7" i="3" s="1"/>
  <c r="AP7" i="3" a="1"/>
  <c r="AP7" i="3" s="1"/>
  <c r="AP18" i="3" s="1"/>
  <c r="AN17" i="3" a="1"/>
  <c r="AN17" i="3" s="1"/>
  <c r="AO17" i="3" s="1"/>
  <c r="AM17" i="3" a="1"/>
  <c r="AM17" i="3" s="1"/>
  <c r="AN16" i="3" a="1"/>
  <c r="AN16" i="3" s="1"/>
  <c r="AO16" i="3" s="1"/>
  <c r="AM16" i="3"/>
  <c r="AM16" i="3" a="1"/>
  <c r="AN15" i="3" a="1"/>
  <c r="AN15" i="3" s="1"/>
  <c r="AM15" i="3" a="1"/>
  <c r="AM15" i="3" s="1"/>
  <c r="AN14" i="3" a="1"/>
  <c r="AN14" i="3" s="1"/>
  <c r="AM14" i="3" a="1"/>
  <c r="AM14" i="3" s="1"/>
  <c r="AN13" i="3" a="1"/>
  <c r="AN13" i="3" s="1"/>
  <c r="AM13" i="3" a="1"/>
  <c r="AM13" i="3" s="1"/>
  <c r="AN12" i="3" a="1"/>
  <c r="AN12" i="3" s="1"/>
  <c r="AO12" i="3" s="1"/>
  <c r="AM12" i="3" a="1"/>
  <c r="AM12" i="3" s="1"/>
  <c r="AN11" i="3" a="1"/>
  <c r="AN11" i="3" s="1"/>
  <c r="AM11" i="3" a="1"/>
  <c r="AM11" i="3" s="1"/>
  <c r="AN10" i="3" a="1"/>
  <c r="AN10" i="3" s="1"/>
  <c r="AM10" i="3" a="1"/>
  <c r="AM10" i="3" s="1"/>
  <c r="AN9" i="3" a="1"/>
  <c r="AN9" i="3" s="1"/>
  <c r="AM9" i="3" a="1"/>
  <c r="AM9" i="3" s="1"/>
  <c r="AN8" i="3"/>
  <c r="AN8" i="3" a="1"/>
  <c r="AM8" i="3" a="1"/>
  <c r="AM8" i="3" s="1"/>
  <c r="AN7" i="3" a="1"/>
  <c r="AN7" i="3" s="1"/>
  <c r="AM7" i="3" a="1"/>
  <c r="AM7" i="3" s="1"/>
  <c r="AM18" i="3" s="1"/>
  <c r="AK17" i="3" a="1"/>
  <c r="AK17" i="3" s="1"/>
  <c r="AL17" i="3" s="1"/>
  <c r="AJ17" i="3" a="1"/>
  <c r="AJ17" i="3" s="1"/>
  <c r="AK16" i="3" a="1"/>
  <c r="AK16" i="3" s="1"/>
  <c r="AL16" i="3" s="1"/>
  <c r="AJ16" i="3"/>
  <c r="AJ16" i="3" a="1"/>
  <c r="AK15" i="3" a="1"/>
  <c r="AK15" i="3" s="1"/>
  <c r="AJ15" i="3" a="1"/>
  <c r="AJ15" i="3" s="1"/>
  <c r="AK14" i="3" a="1"/>
  <c r="AK14" i="3" s="1"/>
  <c r="AJ14" i="3" a="1"/>
  <c r="AJ14" i="3" s="1"/>
  <c r="AK13" i="3"/>
  <c r="AK13" i="3" a="1"/>
  <c r="AJ13" i="3" a="1"/>
  <c r="AJ13" i="3" s="1"/>
  <c r="AL13" i="3" s="1"/>
  <c r="AK12" i="3" a="1"/>
  <c r="AK12" i="3" s="1"/>
  <c r="AL12" i="3" s="1"/>
  <c r="AJ12" i="3" a="1"/>
  <c r="AJ12" i="3" s="1"/>
  <c r="AK11" i="3" a="1"/>
  <c r="AK11" i="3" s="1"/>
  <c r="AJ11" i="3" a="1"/>
  <c r="AJ11" i="3" s="1"/>
  <c r="AK10" i="3" a="1"/>
  <c r="AK10" i="3" s="1"/>
  <c r="AJ10" i="3" a="1"/>
  <c r="AJ10" i="3" s="1"/>
  <c r="AK9" i="3" a="1"/>
  <c r="AK9" i="3" s="1"/>
  <c r="AJ9" i="3" a="1"/>
  <c r="AJ9" i="3" s="1"/>
  <c r="AK8" i="3"/>
  <c r="AK8" i="3" a="1"/>
  <c r="AJ8" i="3" a="1"/>
  <c r="AJ8" i="3" s="1"/>
  <c r="AK7" i="3" a="1"/>
  <c r="AK7" i="3" s="1"/>
  <c r="AJ7" i="3" a="1"/>
  <c r="AJ7" i="3" s="1"/>
  <c r="AH17" i="3" a="1"/>
  <c r="AH17" i="3" s="1"/>
  <c r="AI17" i="3" s="1"/>
  <c r="AG17" i="3" a="1"/>
  <c r="AG17" i="3" s="1"/>
  <c r="AH16" i="3" a="1"/>
  <c r="AH16" i="3" s="1"/>
  <c r="AG16" i="3" a="1"/>
  <c r="AG16" i="3" s="1"/>
  <c r="AH15" i="3"/>
  <c r="AH15" i="3" a="1"/>
  <c r="AG15" i="3" a="1"/>
  <c r="AG15" i="3" s="1"/>
  <c r="AH14" i="3" a="1"/>
  <c r="AH14" i="3" s="1"/>
  <c r="AG14" i="3" a="1"/>
  <c r="AG14" i="3" s="1"/>
  <c r="AH13" i="3"/>
  <c r="AI13" i="3" s="1"/>
  <c r="AH13" i="3" a="1"/>
  <c r="AG13" i="3"/>
  <c r="AG13" i="3" a="1"/>
  <c r="AH12" i="3" a="1"/>
  <c r="AH12" i="3" s="1"/>
  <c r="AG12" i="3" a="1"/>
  <c r="AG12" i="3" s="1"/>
  <c r="AH11" i="3" a="1"/>
  <c r="AH11" i="3" s="1"/>
  <c r="AI11" i="3" s="1"/>
  <c r="AG11" i="3"/>
  <c r="AG11" i="3" a="1"/>
  <c r="AH10" i="3" a="1"/>
  <c r="AH10" i="3" s="1"/>
  <c r="AG10" i="3" a="1"/>
  <c r="AG10" i="3" s="1"/>
  <c r="AH9" i="3" a="1"/>
  <c r="AH9" i="3" s="1"/>
  <c r="AG9" i="3" a="1"/>
  <c r="AG9" i="3" s="1"/>
  <c r="AH8" i="3" a="1"/>
  <c r="AH8" i="3" s="1"/>
  <c r="AG8" i="3" a="1"/>
  <c r="AG8" i="3" s="1"/>
  <c r="AH7" i="3" a="1"/>
  <c r="AH7" i="3" s="1"/>
  <c r="AG7" i="3" a="1"/>
  <c r="AG7" i="3" s="1"/>
  <c r="AE17" i="3" a="1"/>
  <c r="AE17" i="3" s="1"/>
  <c r="AD17" i="3" a="1"/>
  <c r="AD17" i="3" s="1"/>
  <c r="AE16" i="3" a="1"/>
  <c r="AE16" i="3" s="1"/>
  <c r="AF16" i="3" s="1"/>
  <c r="AD16" i="3"/>
  <c r="AD16" i="3" a="1"/>
  <c r="AE15" i="3" a="1"/>
  <c r="AE15" i="3" s="1"/>
  <c r="AD15" i="3" a="1"/>
  <c r="AD15" i="3" s="1"/>
  <c r="AE14" i="3" a="1"/>
  <c r="AE14" i="3" s="1"/>
  <c r="AD14" i="3" a="1"/>
  <c r="AD14" i="3" s="1"/>
  <c r="AE13" i="3" a="1"/>
  <c r="AE13" i="3" s="1"/>
  <c r="AD13" i="3" a="1"/>
  <c r="AD13" i="3" s="1"/>
  <c r="AE12" i="3" a="1"/>
  <c r="AE12" i="3" s="1"/>
  <c r="AF12" i="3" s="1"/>
  <c r="AD12" i="3" a="1"/>
  <c r="AD12" i="3" s="1"/>
  <c r="AE11" i="3" a="1"/>
  <c r="AE11" i="3" s="1"/>
  <c r="AD11" i="3" a="1"/>
  <c r="AD11" i="3" s="1"/>
  <c r="AE10" i="3" a="1"/>
  <c r="AE10" i="3" s="1"/>
  <c r="AD10" i="3" a="1"/>
  <c r="AD10" i="3" s="1"/>
  <c r="AE9" i="3" a="1"/>
  <c r="AE9" i="3" s="1"/>
  <c r="AD9" i="3" a="1"/>
  <c r="AD9" i="3" s="1"/>
  <c r="AE8" i="3"/>
  <c r="AE8" i="3" a="1"/>
  <c r="AD8" i="3" a="1"/>
  <c r="AD8" i="3" s="1"/>
  <c r="AE7" i="3" a="1"/>
  <c r="AE7" i="3" s="1"/>
  <c r="AD7" i="3" a="1"/>
  <c r="AD7" i="3" s="1"/>
  <c r="AD18" i="3" s="1"/>
  <c r="AB17" i="3" a="1"/>
  <c r="AB17" i="3" s="1"/>
  <c r="AC17" i="3" s="1"/>
  <c r="AA17" i="3" a="1"/>
  <c r="AA17" i="3" s="1"/>
  <c r="AB16" i="3" a="1"/>
  <c r="AB16" i="3" s="1"/>
  <c r="AC16" i="3" s="1"/>
  <c r="AA16" i="3"/>
  <c r="AA16" i="3" a="1"/>
  <c r="AB15" i="3" a="1"/>
  <c r="AB15" i="3" s="1"/>
  <c r="AA15" i="3" a="1"/>
  <c r="AA15" i="3" s="1"/>
  <c r="AB14" i="3" a="1"/>
  <c r="AB14" i="3" s="1"/>
  <c r="AA14" i="3" a="1"/>
  <c r="AA14" i="3" s="1"/>
  <c r="AB13" i="3" a="1"/>
  <c r="AB13" i="3" s="1"/>
  <c r="AA13" i="3" a="1"/>
  <c r="AA13" i="3" s="1"/>
  <c r="AB12" i="3" a="1"/>
  <c r="AB12" i="3" s="1"/>
  <c r="AC12" i="3" s="1"/>
  <c r="AA12" i="3" a="1"/>
  <c r="AA12" i="3" s="1"/>
  <c r="AB11" i="3" a="1"/>
  <c r="AB11" i="3" s="1"/>
  <c r="AA11" i="3" a="1"/>
  <c r="AA11" i="3" s="1"/>
  <c r="AB10" i="3" a="1"/>
  <c r="AB10" i="3" s="1"/>
  <c r="AC10" i="3" s="1"/>
  <c r="AA10" i="3" a="1"/>
  <c r="AA10" i="3" s="1"/>
  <c r="AB9" i="3" a="1"/>
  <c r="AB9" i="3" s="1"/>
  <c r="AA9" i="3" a="1"/>
  <c r="AA9" i="3" s="1"/>
  <c r="AB8" i="3" a="1"/>
  <c r="AB8" i="3" s="1"/>
  <c r="AA8" i="3" a="1"/>
  <c r="AA8" i="3" s="1"/>
  <c r="AB7" i="3" a="1"/>
  <c r="AB7" i="3" s="1"/>
  <c r="AA7" i="3" a="1"/>
  <c r="AA7" i="3" s="1"/>
  <c r="AA18" i="3" s="1"/>
  <c r="Y7" i="3" a="1"/>
  <c r="Y7" i="3" s="1"/>
  <c r="Y8" i="3" a="1"/>
  <c r="Y8" i="3" s="1"/>
  <c r="Y9" i="3" a="1"/>
  <c r="Y9" i="3"/>
  <c r="Y10" i="3" a="1"/>
  <c r="Y10" i="3" s="1"/>
  <c r="Y11" i="3" a="1"/>
  <c r="Y11" i="3" s="1"/>
  <c r="Y12" i="3" a="1"/>
  <c r="Y12" i="3" s="1"/>
  <c r="Y13" i="3" a="1"/>
  <c r="Y13" i="3" s="1"/>
  <c r="Y14" i="3" a="1"/>
  <c r="Y14" i="3" s="1"/>
  <c r="Y15" i="3" a="1"/>
  <c r="Y15" i="3" s="1"/>
  <c r="Y16" i="3" a="1"/>
  <c r="Y16" i="3" s="1"/>
  <c r="Y17" i="3" a="1"/>
  <c r="Y17" i="3" s="1"/>
  <c r="X7" i="3" a="1"/>
  <c r="X7" i="3" s="1"/>
  <c r="X8" i="3" a="1"/>
  <c r="X8" i="3" s="1"/>
  <c r="X9" i="3" a="1"/>
  <c r="X9" i="3" s="1"/>
  <c r="X10" i="3" a="1"/>
  <c r="X10" i="3" s="1"/>
  <c r="X11" i="3" a="1"/>
  <c r="X11" i="3" s="1"/>
  <c r="X12" i="3" a="1"/>
  <c r="X12" i="3" s="1"/>
  <c r="X13" i="3" a="1"/>
  <c r="X13" i="3" s="1"/>
  <c r="X14" i="3" a="1"/>
  <c r="X14" i="3" s="1"/>
  <c r="X15" i="3" a="1"/>
  <c r="X15" i="3" s="1"/>
  <c r="X16" i="3" a="1"/>
  <c r="X16" i="3" s="1"/>
  <c r="X17" i="3" a="1"/>
  <c r="X17" i="3" s="1"/>
  <c r="R24" i="3"/>
  <c r="G24" i="3"/>
  <c r="G23" i="3"/>
  <c r="F7" i="3"/>
  <c r="BW7" i="3" s="1"/>
  <c r="G7" i="3"/>
  <c r="H7" i="3"/>
  <c r="I7" i="3"/>
  <c r="J7" i="3"/>
  <c r="F8" i="3"/>
  <c r="G8" i="3"/>
  <c r="H8" i="3"/>
  <c r="I8" i="3"/>
  <c r="J8" i="3"/>
  <c r="F9" i="3"/>
  <c r="G9" i="3"/>
  <c r="H9" i="3"/>
  <c r="I9" i="3"/>
  <c r="J9" i="3"/>
  <c r="F10" i="3"/>
  <c r="G10" i="3"/>
  <c r="H10" i="3"/>
  <c r="I10" i="3"/>
  <c r="J10" i="3"/>
  <c r="F11" i="3"/>
  <c r="G11" i="3"/>
  <c r="H11" i="3"/>
  <c r="I11" i="3"/>
  <c r="J11" i="3"/>
  <c r="F12" i="3"/>
  <c r="G12" i="3"/>
  <c r="H12" i="3"/>
  <c r="I12" i="3"/>
  <c r="J12" i="3"/>
  <c r="F13" i="3"/>
  <c r="G13" i="3"/>
  <c r="H13" i="3"/>
  <c r="I13" i="3"/>
  <c r="J13" i="3"/>
  <c r="F14" i="3"/>
  <c r="G14" i="3"/>
  <c r="H14" i="3"/>
  <c r="I14" i="3"/>
  <c r="J14" i="3"/>
  <c r="F15" i="3"/>
  <c r="G15" i="3"/>
  <c r="H15" i="3"/>
  <c r="I15" i="3"/>
  <c r="J15" i="3"/>
  <c r="F16" i="3"/>
  <c r="G16" i="3"/>
  <c r="H16" i="3"/>
  <c r="I16" i="3"/>
  <c r="J16" i="3"/>
  <c r="F17" i="3"/>
  <c r="G17" i="3"/>
  <c r="H17" i="3"/>
  <c r="I17" i="3"/>
  <c r="J17" i="3"/>
  <c r="D7" i="3"/>
  <c r="D8" i="3"/>
  <c r="R8" i="3" s="1"/>
  <c r="D9" i="3"/>
  <c r="R9" i="3" s="1"/>
  <c r="D10" i="3"/>
  <c r="R10" i="3" s="1"/>
  <c r="D11" i="3"/>
  <c r="D12" i="3"/>
  <c r="R12" i="3" s="1"/>
  <c r="D13" i="3"/>
  <c r="R13" i="3" s="1"/>
  <c r="D14" i="3"/>
  <c r="R14" i="3" s="1"/>
  <c r="D15" i="3"/>
  <c r="R15" i="3" s="1"/>
  <c r="D16" i="3"/>
  <c r="D17" i="3"/>
  <c r="R17" i="3" s="1"/>
  <c r="L27" i="3"/>
  <c r="K25" i="3"/>
  <c r="R23" i="3"/>
  <c r="K18" i="3"/>
  <c r="BR17" i="3" a="1"/>
  <c r="BR17" i="3" s="1"/>
  <c r="BQ17" i="3" a="1"/>
  <c r="BQ17" i="3" s="1"/>
  <c r="BO17" i="3" a="1"/>
  <c r="BO17" i="3" s="1"/>
  <c r="BN17" i="3" a="1"/>
  <c r="BN17" i="3" s="1"/>
  <c r="BL17" i="3" a="1"/>
  <c r="BL17" i="3" s="1"/>
  <c r="BK17" i="3" a="1"/>
  <c r="BK17" i="3" s="1"/>
  <c r="BI17" i="3" a="1"/>
  <c r="BI17" i="3" s="1"/>
  <c r="BH17" i="3" a="1"/>
  <c r="BH17" i="3" s="1"/>
  <c r="BF17" i="3" a="1"/>
  <c r="BF17" i="3" s="1"/>
  <c r="BE17" i="3" a="1"/>
  <c r="BE17" i="3" s="1"/>
  <c r="BC17" i="3" a="1"/>
  <c r="BC17" i="3" s="1"/>
  <c r="BB17" i="3" a="1"/>
  <c r="BB17" i="3" s="1"/>
  <c r="BR16" i="3" a="1"/>
  <c r="BR16" i="3" s="1"/>
  <c r="BQ16" i="3" a="1"/>
  <c r="BQ16" i="3" s="1"/>
  <c r="BO16" i="3" a="1"/>
  <c r="BO16" i="3" s="1"/>
  <c r="BN16" i="3" a="1"/>
  <c r="BN16" i="3" s="1"/>
  <c r="BL16" i="3" a="1"/>
  <c r="BL16" i="3" s="1"/>
  <c r="BK16" i="3" a="1"/>
  <c r="BK16" i="3" s="1"/>
  <c r="BI16" i="3" a="1"/>
  <c r="BI16" i="3" s="1"/>
  <c r="BH16" i="3" a="1"/>
  <c r="BH16" i="3" s="1"/>
  <c r="BF16" i="3" a="1"/>
  <c r="BF16" i="3" s="1"/>
  <c r="BE16" i="3" a="1"/>
  <c r="BE16" i="3" s="1"/>
  <c r="BC16" i="3" a="1"/>
  <c r="BC16" i="3" s="1"/>
  <c r="BB16" i="3" a="1"/>
  <c r="BB16" i="3" s="1"/>
  <c r="BR15" i="3" a="1"/>
  <c r="BR15" i="3" s="1"/>
  <c r="BQ15" i="3" a="1"/>
  <c r="BQ15" i="3" s="1"/>
  <c r="BO15" i="3" a="1"/>
  <c r="BO15" i="3" s="1"/>
  <c r="BN15" i="3" a="1"/>
  <c r="BN15" i="3" s="1"/>
  <c r="BL15" i="3" a="1"/>
  <c r="BL15" i="3" s="1"/>
  <c r="BK15" i="3" a="1"/>
  <c r="BK15" i="3" s="1"/>
  <c r="BI15" i="3" a="1"/>
  <c r="BI15" i="3" s="1"/>
  <c r="BH15" i="3" a="1"/>
  <c r="BH15" i="3" s="1"/>
  <c r="BF15" i="3" a="1"/>
  <c r="BF15" i="3" s="1"/>
  <c r="BE15" i="3" a="1"/>
  <c r="BE15" i="3" s="1"/>
  <c r="BC15" i="3" a="1"/>
  <c r="BC15" i="3" s="1"/>
  <c r="BB15" i="3" a="1"/>
  <c r="BB15" i="3" s="1"/>
  <c r="BR14" i="3" a="1"/>
  <c r="BR14" i="3" s="1"/>
  <c r="BQ14" i="3" a="1"/>
  <c r="BQ14" i="3" s="1"/>
  <c r="BO14" i="3" a="1"/>
  <c r="BO14" i="3" s="1"/>
  <c r="BN14" i="3" a="1"/>
  <c r="BN14" i="3" s="1"/>
  <c r="BL14" i="3" a="1"/>
  <c r="BL14" i="3" s="1"/>
  <c r="BK14" i="3" a="1"/>
  <c r="BK14" i="3" s="1"/>
  <c r="BI14" i="3" a="1"/>
  <c r="BI14" i="3" s="1"/>
  <c r="BH14" i="3" a="1"/>
  <c r="BH14" i="3" s="1"/>
  <c r="BF14" i="3" a="1"/>
  <c r="BF14" i="3" s="1"/>
  <c r="BE14" i="3" a="1"/>
  <c r="BE14" i="3" s="1"/>
  <c r="BC14" i="3" a="1"/>
  <c r="BC14" i="3" s="1"/>
  <c r="BB14" i="3" a="1"/>
  <c r="BB14" i="3" s="1"/>
  <c r="BR13" i="3" a="1"/>
  <c r="BR13" i="3" s="1"/>
  <c r="BQ13" i="3" a="1"/>
  <c r="BQ13" i="3" s="1"/>
  <c r="BO13" i="3" a="1"/>
  <c r="BO13" i="3" s="1"/>
  <c r="BN13" i="3" a="1"/>
  <c r="BN13" i="3" s="1"/>
  <c r="BL13" i="3" a="1"/>
  <c r="BL13" i="3" s="1"/>
  <c r="BK13" i="3" a="1"/>
  <c r="BK13" i="3" s="1"/>
  <c r="BI13" i="3" a="1"/>
  <c r="BI13" i="3" s="1"/>
  <c r="BH13" i="3" a="1"/>
  <c r="BH13" i="3" s="1"/>
  <c r="BF13" i="3" a="1"/>
  <c r="BF13" i="3" s="1"/>
  <c r="BE13" i="3" a="1"/>
  <c r="BE13" i="3" s="1"/>
  <c r="BC13" i="3" a="1"/>
  <c r="BC13" i="3" s="1"/>
  <c r="BB13" i="3" a="1"/>
  <c r="BB13" i="3" s="1"/>
  <c r="BR12" i="3" a="1"/>
  <c r="BR12" i="3" s="1"/>
  <c r="BQ12" i="3" a="1"/>
  <c r="BQ12" i="3" s="1"/>
  <c r="BO12" i="3" a="1"/>
  <c r="BO12" i="3" s="1"/>
  <c r="BN12" i="3" a="1"/>
  <c r="BN12" i="3" s="1"/>
  <c r="BP12" i="3" s="1"/>
  <c r="BL12" i="3" a="1"/>
  <c r="BL12" i="3" s="1"/>
  <c r="BK12" i="3" a="1"/>
  <c r="BK12" i="3" s="1"/>
  <c r="BI12" i="3" a="1"/>
  <c r="BI12" i="3" s="1"/>
  <c r="BH12" i="3" a="1"/>
  <c r="BH12" i="3" s="1"/>
  <c r="BF12" i="3" a="1"/>
  <c r="BF12" i="3" s="1"/>
  <c r="BE12" i="3" a="1"/>
  <c r="BE12" i="3" s="1"/>
  <c r="BC12" i="3" a="1"/>
  <c r="BC12" i="3" s="1"/>
  <c r="BB12" i="3" a="1"/>
  <c r="BB12" i="3" s="1"/>
  <c r="BR11" i="3" a="1"/>
  <c r="BR11" i="3" s="1"/>
  <c r="BQ11" i="3" a="1"/>
  <c r="BQ11" i="3" s="1"/>
  <c r="BO11" i="3" a="1"/>
  <c r="BO11" i="3" s="1"/>
  <c r="BN11" i="3" a="1"/>
  <c r="BN11" i="3" s="1"/>
  <c r="BL11" i="3" a="1"/>
  <c r="BL11" i="3" s="1"/>
  <c r="BK11" i="3" a="1"/>
  <c r="BK11" i="3" s="1"/>
  <c r="BI11" i="3" a="1"/>
  <c r="BI11" i="3" s="1"/>
  <c r="BH11" i="3" a="1"/>
  <c r="BH11" i="3" s="1"/>
  <c r="BF11" i="3" a="1"/>
  <c r="BF11" i="3" s="1"/>
  <c r="BE11" i="3" a="1"/>
  <c r="BE11" i="3" s="1"/>
  <c r="BC11" i="3" a="1"/>
  <c r="BC11" i="3" s="1"/>
  <c r="BB11" i="3" a="1"/>
  <c r="BB11" i="3" s="1"/>
  <c r="R11" i="3"/>
  <c r="BR10" i="3" a="1"/>
  <c r="BR10" i="3" s="1"/>
  <c r="BQ10" i="3" a="1"/>
  <c r="BQ10" i="3" s="1"/>
  <c r="BO10" i="3" a="1"/>
  <c r="BO10" i="3" s="1"/>
  <c r="BN10" i="3" a="1"/>
  <c r="BN10" i="3" s="1"/>
  <c r="BL10" i="3" a="1"/>
  <c r="BL10" i="3" s="1"/>
  <c r="BK10" i="3" a="1"/>
  <c r="BK10" i="3" s="1"/>
  <c r="BI10" i="3" a="1"/>
  <c r="BI10" i="3" s="1"/>
  <c r="BH10" i="3" a="1"/>
  <c r="BH10" i="3" s="1"/>
  <c r="BF10" i="3" a="1"/>
  <c r="BF10" i="3" s="1"/>
  <c r="BE10" i="3" a="1"/>
  <c r="BE10" i="3" s="1"/>
  <c r="BC10" i="3" a="1"/>
  <c r="BC10" i="3" s="1"/>
  <c r="BB10" i="3" a="1"/>
  <c r="BB10" i="3" s="1"/>
  <c r="BR9" i="3" a="1"/>
  <c r="BR9" i="3" s="1"/>
  <c r="BQ9" i="3" a="1"/>
  <c r="BQ9" i="3" s="1"/>
  <c r="BO9" i="3" a="1"/>
  <c r="BO9" i="3" s="1"/>
  <c r="BN9" i="3" a="1"/>
  <c r="BN9" i="3" s="1"/>
  <c r="BL9" i="3" a="1"/>
  <c r="BL9" i="3" s="1"/>
  <c r="BK9" i="3" a="1"/>
  <c r="BK9" i="3" s="1"/>
  <c r="BI9" i="3" a="1"/>
  <c r="BI9" i="3" s="1"/>
  <c r="BH9" i="3" a="1"/>
  <c r="BH9" i="3" s="1"/>
  <c r="BF9" i="3" a="1"/>
  <c r="BF9" i="3" s="1"/>
  <c r="BE9" i="3" a="1"/>
  <c r="BE9" i="3" s="1"/>
  <c r="BC9" i="3" a="1"/>
  <c r="BC9" i="3" s="1"/>
  <c r="BB9" i="3" a="1"/>
  <c r="BB9" i="3" s="1"/>
  <c r="BR8" i="3" a="1"/>
  <c r="BR8" i="3" s="1"/>
  <c r="BQ8" i="3" a="1"/>
  <c r="BQ8" i="3" s="1"/>
  <c r="BO8" i="3" a="1"/>
  <c r="BO8" i="3" s="1"/>
  <c r="BN8" i="3" a="1"/>
  <c r="BN8" i="3" s="1"/>
  <c r="BL8" i="3" a="1"/>
  <c r="BL8" i="3" s="1"/>
  <c r="BK8" i="3" a="1"/>
  <c r="BK8" i="3" s="1"/>
  <c r="BI8" i="3" a="1"/>
  <c r="BI8" i="3" s="1"/>
  <c r="BH8" i="3" a="1"/>
  <c r="BH8" i="3" s="1"/>
  <c r="BF8" i="3" a="1"/>
  <c r="BF8" i="3" s="1"/>
  <c r="BE8" i="3" a="1"/>
  <c r="BE8" i="3" s="1"/>
  <c r="BC8" i="3" a="1"/>
  <c r="BC8" i="3" s="1"/>
  <c r="BB8" i="3" a="1"/>
  <c r="BB8" i="3" s="1"/>
  <c r="BR7" i="3" a="1"/>
  <c r="BR7" i="3" s="1"/>
  <c r="BQ7" i="3" a="1"/>
  <c r="BQ7" i="3" s="1"/>
  <c r="BO7" i="3" a="1"/>
  <c r="BO7" i="3" s="1"/>
  <c r="BN7" i="3" a="1"/>
  <c r="BN7" i="3" s="1"/>
  <c r="BL7" i="3" a="1"/>
  <c r="BL7" i="3" s="1"/>
  <c r="BK7" i="3" a="1"/>
  <c r="BK7" i="3" s="1"/>
  <c r="BI7" i="3" a="1"/>
  <c r="BI7" i="3" s="1"/>
  <c r="BH7" i="3" a="1"/>
  <c r="BH7" i="3" s="1"/>
  <c r="BF7" i="3" a="1"/>
  <c r="BF7" i="3" s="1"/>
  <c r="BE7" i="3" a="1"/>
  <c r="BE7" i="3" s="1"/>
  <c r="BC7" i="3" a="1"/>
  <c r="BC7" i="3" s="1"/>
  <c r="BB7" i="3" a="1"/>
  <c r="BB7" i="3" s="1"/>
  <c r="B14" i="2"/>
  <c r="B13" i="2"/>
  <c r="B12" i="2"/>
  <c r="B11" i="2"/>
  <c r="B10" i="2"/>
  <c r="B9" i="2"/>
  <c r="B8" i="2"/>
  <c r="B7" i="2"/>
  <c r="B6" i="2"/>
  <c r="B5" i="2"/>
  <c r="B4" i="2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L26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H2" i="1"/>
  <c r="L2" i="1" s="1"/>
  <c r="R52" i="1"/>
  <c r="Q52" i="1"/>
  <c r="H51" i="1"/>
  <c r="L51" i="1" s="1"/>
  <c r="H50" i="1"/>
  <c r="L50" i="1" s="1"/>
  <c r="H49" i="1"/>
  <c r="L49" i="1" s="1"/>
  <c r="H48" i="1"/>
  <c r="L48" i="1" s="1"/>
  <c r="H47" i="1"/>
  <c r="L47" i="1" s="1"/>
  <c r="H46" i="1"/>
  <c r="L46" i="1" s="1"/>
  <c r="H45" i="1"/>
  <c r="L45" i="1" s="1"/>
  <c r="H44" i="1"/>
  <c r="L44" i="1" s="1"/>
  <c r="H43" i="1"/>
  <c r="L43" i="1" s="1"/>
  <c r="H42" i="1"/>
  <c r="L42" i="1" s="1"/>
  <c r="H41" i="1"/>
  <c r="L41" i="1" s="1"/>
  <c r="H40" i="1"/>
  <c r="L40" i="1" s="1"/>
  <c r="H39" i="1"/>
  <c r="L39" i="1" s="1"/>
  <c r="H38" i="1"/>
  <c r="L38" i="1" s="1"/>
  <c r="H37" i="1"/>
  <c r="L37" i="1" s="1"/>
  <c r="H36" i="1"/>
  <c r="L36" i="1" s="1"/>
  <c r="H35" i="1"/>
  <c r="L35" i="1" s="1"/>
  <c r="H34" i="1"/>
  <c r="L34" i="1" s="1"/>
  <c r="H33" i="1"/>
  <c r="L33" i="1" s="1"/>
  <c r="H32" i="1"/>
  <c r="L32" i="1" s="1"/>
  <c r="H31" i="1"/>
  <c r="L31" i="1" s="1"/>
  <c r="H30" i="1"/>
  <c r="L30" i="1" s="1"/>
  <c r="H29" i="1"/>
  <c r="L29" i="1" s="1"/>
  <c r="H28" i="1"/>
  <c r="L28" i="1" s="1"/>
  <c r="H27" i="1"/>
  <c r="L27" i="1" s="1"/>
  <c r="H26" i="1"/>
  <c r="H25" i="1"/>
  <c r="L25" i="1" s="1"/>
  <c r="H24" i="1"/>
  <c r="L24" i="1" s="1"/>
  <c r="H23" i="1"/>
  <c r="L23" i="1" s="1"/>
  <c r="H22" i="1"/>
  <c r="L22" i="1" s="1"/>
  <c r="H21" i="1"/>
  <c r="L21" i="1" s="1"/>
  <c r="H20" i="1"/>
  <c r="L20" i="1" s="1"/>
  <c r="H19" i="1"/>
  <c r="L19" i="1" s="1"/>
  <c r="H18" i="1"/>
  <c r="L18" i="1" s="1"/>
  <c r="H17" i="1"/>
  <c r="L17" i="1" s="1"/>
  <c r="H16" i="1"/>
  <c r="L16" i="1" s="1"/>
  <c r="H15" i="1"/>
  <c r="L15" i="1" s="1"/>
  <c r="H14" i="1"/>
  <c r="L14" i="1" s="1"/>
  <c r="H13" i="1"/>
  <c r="L13" i="1" s="1"/>
  <c r="H12" i="1"/>
  <c r="L12" i="1" s="1"/>
  <c r="H11" i="1"/>
  <c r="L11" i="1" s="1"/>
  <c r="H10" i="1"/>
  <c r="L10" i="1" s="1"/>
  <c r="H9" i="1"/>
  <c r="L9" i="1" s="1"/>
  <c r="H8" i="1"/>
  <c r="L8" i="1" s="1"/>
  <c r="H7" i="1"/>
  <c r="L7" i="1" s="1"/>
  <c r="H6" i="1"/>
  <c r="L6" i="1" s="1"/>
  <c r="H5" i="1"/>
  <c r="L5" i="1" s="1"/>
  <c r="H4" i="1"/>
  <c r="L4" i="1" s="1"/>
  <c r="H3" i="1"/>
  <c r="L3" i="1" s="1"/>
  <c r="M14" i="3" l="1"/>
  <c r="N14" i="3" s="1"/>
  <c r="E12" i="3"/>
  <c r="BA9" i="3"/>
  <c r="AY18" i="3"/>
  <c r="BA15" i="3"/>
  <c r="BA10" i="3"/>
  <c r="AZ18" i="3"/>
  <c r="BA18" i="3" s="1"/>
  <c r="BA7" i="3"/>
  <c r="BA17" i="3"/>
  <c r="BA14" i="3"/>
  <c r="AX9" i="3"/>
  <c r="AX10" i="3"/>
  <c r="AX11" i="3"/>
  <c r="AX14" i="3"/>
  <c r="AW18" i="3"/>
  <c r="AX7" i="3"/>
  <c r="AX8" i="3"/>
  <c r="AX15" i="3"/>
  <c r="AV18" i="3"/>
  <c r="AX12" i="3"/>
  <c r="AX17" i="3"/>
  <c r="AU8" i="3"/>
  <c r="AU11" i="3"/>
  <c r="AT18" i="3"/>
  <c r="AU7" i="3"/>
  <c r="AU9" i="3"/>
  <c r="AU15" i="3"/>
  <c r="AU14" i="3"/>
  <c r="AU10" i="3"/>
  <c r="AS18" i="3"/>
  <c r="AU12" i="3"/>
  <c r="AU17" i="3"/>
  <c r="AR13" i="3"/>
  <c r="AR14" i="3"/>
  <c r="AR9" i="3"/>
  <c r="AR10" i="3"/>
  <c r="AR11" i="3"/>
  <c r="AQ18" i="3"/>
  <c r="AR18" i="3" s="1"/>
  <c r="AR7" i="3"/>
  <c r="AR8" i="3"/>
  <c r="AR15" i="3"/>
  <c r="AR17" i="3"/>
  <c r="AN18" i="3"/>
  <c r="AO18" i="3" s="1"/>
  <c r="AO7" i="3"/>
  <c r="AO13" i="3"/>
  <c r="AO10" i="3"/>
  <c r="AO8" i="3"/>
  <c r="AO9" i="3"/>
  <c r="AO14" i="3"/>
  <c r="AO15" i="3"/>
  <c r="AO11" i="3"/>
  <c r="AL7" i="3"/>
  <c r="AK18" i="3"/>
  <c r="AL14" i="3"/>
  <c r="AL9" i="3"/>
  <c r="AL8" i="3"/>
  <c r="AL15" i="3"/>
  <c r="AL10" i="3"/>
  <c r="AL11" i="3"/>
  <c r="AJ18" i="3"/>
  <c r="AI9" i="3"/>
  <c r="AI14" i="3"/>
  <c r="AI15" i="3"/>
  <c r="AI8" i="3"/>
  <c r="AI16" i="3"/>
  <c r="AG18" i="3"/>
  <c r="AI12" i="3"/>
  <c r="AI10" i="3"/>
  <c r="AH18" i="3"/>
  <c r="AI18" i="3" s="1"/>
  <c r="AI7" i="3"/>
  <c r="AE18" i="3"/>
  <c r="AF18" i="3" s="1"/>
  <c r="AF7" i="3"/>
  <c r="AF13" i="3"/>
  <c r="AF14" i="3"/>
  <c r="AF9" i="3"/>
  <c r="AF11" i="3"/>
  <c r="AF8" i="3"/>
  <c r="AF15" i="3"/>
  <c r="AF10" i="3"/>
  <c r="AF17" i="3"/>
  <c r="AC13" i="3"/>
  <c r="AC14" i="3"/>
  <c r="AC9" i="3"/>
  <c r="AC15" i="3"/>
  <c r="AB18" i="3"/>
  <c r="AC18" i="3" s="1"/>
  <c r="AC7" i="3"/>
  <c r="AC8" i="3"/>
  <c r="AC11" i="3"/>
  <c r="BM12" i="3"/>
  <c r="BG17" i="3"/>
  <c r="BD14" i="3"/>
  <c r="K27" i="3"/>
  <c r="BP16" i="3"/>
  <c r="BP14" i="3"/>
  <c r="J18" i="3"/>
  <c r="BJ15" i="3"/>
  <c r="BP8" i="3"/>
  <c r="Z17" i="3"/>
  <c r="M15" i="3"/>
  <c r="N15" i="3" s="1"/>
  <c r="BJ11" i="3"/>
  <c r="BP13" i="3"/>
  <c r="O15" i="3"/>
  <c r="P15" i="3" s="1"/>
  <c r="BD16" i="3"/>
  <c r="BD10" i="3"/>
  <c r="BM7" i="3"/>
  <c r="BD12" i="3"/>
  <c r="BD13" i="3"/>
  <c r="BS9" i="3"/>
  <c r="BJ14" i="3"/>
  <c r="BJ12" i="3"/>
  <c r="BS11" i="3"/>
  <c r="BK18" i="3"/>
  <c r="BG16" i="3"/>
  <c r="I18" i="3"/>
  <c r="BS8" i="3"/>
  <c r="BD9" i="3"/>
  <c r="BH18" i="3"/>
  <c r="BP11" i="3"/>
  <c r="BG9" i="3"/>
  <c r="BP17" i="3"/>
  <c r="O7" i="3"/>
  <c r="P7" i="3" s="1"/>
  <c r="BG10" i="3"/>
  <c r="BS10" i="3"/>
  <c r="BS14" i="3"/>
  <c r="BM15" i="3"/>
  <c r="BM16" i="3"/>
  <c r="M16" i="3"/>
  <c r="N16" i="3" s="1"/>
  <c r="O14" i="3"/>
  <c r="P14" i="3" s="1"/>
  <c r="BN18" i="3"/>
  <c r="BJ10" i="3"/>
  <c r="BM11" i="3"/>
  <c r="BS13" i="3"/>
  <c r="O12" i="3"/>
  <c r="P12" i="3" s="1"/>
  <c r="BJ16" i="3"/>
  <c r="BM8" i="3"/>
  <c r="O16" i="3"/>
  <c r="P16" i="3" s="1"/>
  <c r="BX10" i="3"/>
  <c r="CJ10" i="3" s="1"/>
  <c r="Z13" i="3"/>
  <c r="Z12" i="3"/>
  <c r="Z7" i="3"/>
  <c r="Z11" i="3"/>
  <c r="G25" i="3"/>
  <c r="M7" i="3"/>
  <c r="N7" i="3" s="1"/>
  <c r="U15" i="3"/>
  <c r="V15" i="3" s="1"/>
  <c r="R16" i="3"/>
  <c r="E16" i="3"/>
  <c r="E17" i="3"/>
  <c r="BX11" i="3"/>
  <c r="CJ11" i="3" s="1"/>
  <c r="BX9" i="3"/>
  <c r="CJ9" i="3" s="1"/>
  <c r="BB18" i="3"/>
  <c r="BD15" i="3"/>
  <c r="Z16" i="3"/>
  <c r="BF18" i="3"/>
  <c r="BG7" i="3"/>
  <c r="BI18" i="3"/>
  <c r="BJ7" i="3"/>
  <c r="BS12" i="3"/>
  <c r="BX8" i="3"/>
  <c r="CJ8" i="3" s="1"/>
  <c r="BG8" i="3"/>
  <c r="G18" i="3"/>
  <c r="G27" i="3" s="1"/>
  <c r="BE18" i="3"/>
  <c r="BO18" i="3"/>
  <c r="BP7" i="3"/>
  <c r="BM9" i="3"/>
  <c r="BL18" i="3"/>
  <c r="BX12" i="3"/>
  <c r="CJ12" i="3" s="1"/>
  <c r="M13" i="3"/>
  <c r="N13" i="3" s="1"/>
  <c r="E13" i="3"/>
  <c r="E15" i="3"/>
  <c r="Z15" i="3"/>
  <c r="BS15" i="3"/>
  <c r="BP15" i="3"/>
  <c r="O8" i="3"/>
  <c r="P8" i="3" s="1"/>
  <c r="E8" i="3"/>
  <c r="BG12" i="3"/>
  <c r="O17" i="3"/>
  <c r="P17" i="3" s="1"/>
  <c r="M17" i="3"/>
  <c r="N17" i="3" s="1"/>
  <c r="Z8" i="3"/>
  <c r="BJ13" i="3"/>
  <c r="F18" i="3"/>
  <c r="BQ18" i="3"/>
  <c r="BJ8" i="3"/>
  <c r="E10" i="3"/>
  <c r="Z10" i="3"/>
  <c r="R25" i="3"/>
  <c r="BP9" i="3"/>
  <c r="BC18" i="3"/>
  <c r="BR18" i="3"/>
  <c r="BS7" i="3"/>
  <c r="M8" i="3"/>
  <c r="BG11" i="3"/>
  <c r="BM13" i="3"/>
  <c r="BG13" i="3"/>
  <c r="D18" i="3"/>
  <c r="R7" i="3"/>
  <c r="BP10" i="3"/>
  <c r="Z14" i="3"/>
  <c r="H18" i="3"/>
  <c r="X18" i="3"/>
  <c r="Y18" i="3"/>
  <c r="BD7" i="3"/>
  <c r="BJ9" i="3"/>
  <c r="BS16" i="3"/>
  <c r="BD17" i="3"/>
  <c r="E9" i="3"/>
  <c r="E7" i="3"/>
  <c r="E23" i="3" s="1"/>
  <c r="F23" i="3" s="1"/>
  <c r="BD11" i="3"/>
  <c r="O11" i="3"/>
  <c r="P11" i="3" s="1"/>
  <c r="M11" i="3"/>
  <c r="N11" i="3" s="1"/>
  <c r="E11" i="3"/>
  <c r="BM14" i="3"/>
  <c r="BJ17" i="3"/>
  <c r="BX13" i="3"/>
  <c r="CJ13" i="3" s="1"/>
  <c r="BM10" i="3"/>
  <c r="E14" i="3"/>
  <c r="O13" i="3"/>
  <c r="P13" i="3" s="1"/>
  <c r="BS17" i="3"/>
  <c r="D25" i="3"/>
  <c r="BD8" i="3"/>
  <c r="Z9" i="3"/>
  <c r="BG14" i="3"/>
  <c r="BG15" i="3"/>
  <c r="O9" i="3"/>
  <c r="P9" i="3" s="1"/>
  <c r="M9" i="3"/>
  <c r="N9" i="3" s="1"/>
  <c r="O10" i="3"/>
  <c r="P10" i="3" s="1"/>
  <c r="M10" i="3"/>
  <c r="N10" i="3" s="1"/>
  <c r="M12" i="3"/>
  <c r="N12" i="3" s="1"/>
  <c r="BM17" i="3"/>
  <c r="M52" i="1"/>
  <c r="K52" i="1"/>
  <c r="N2" i="1" s="1"/>
  <c r="U14" i="3" l="1"/>
  <c r="V14" i="3" s="1"/>
  <c r="S14" i="3"/>
  <c r="T14" i="3" s="1"/>
  <c r="AX18" i="3"/>
  <c r="AU18" i="3"/>
  <c r="AL18" i="3"/>
  <c r="BD18" i="3"/>
  <c r="U16" i="3"/>
  <c r="V16" i="3" s="1"/>
  <c r="U11" i="3"/>
  <c r="V11" i="3" s="1"/>
  <c r="S15" i="3"/>
  <c r="T15" i="3" s="1"/>
  <c r="S16" i="3"/>
  <c r="T16" i="3" s="1"/>
  <c r="H23" i="3"/>
  <c r="M18" i="3"/>
  <c r="N18" i="3" s="1"/>
  <c r="E24" i="3"/>
  <c r="F24" i="3" s="1"/>
  <c r="F25" i="3" s="1"/>
  <c r="E25" i="3" s="1"/>
  <c r="BP18" i="3"/>
  <c r="BW10" i="3"/>
  <c r="CI10" i="3" s="1"/>
  <c r="I23" i="3"/>
  <c r="D27" i="3"/>
  <c r="BJ18" i="3"/>
  <c r="BM18" i="3"/>
  <c r="BW11" i="3"/>
  <c r="CI11" i="3" s="1"/>
  <c r="BW12" i="3"/>
  <c r="CI12" i="3" s="1"/>
  <c r="BW9" i="3"/>
  <c r="CI9" i="3" s="1"/>
  <c r="Z18" i="3"/>
  <c r="Q25" i="3"/>
  <c r="S11" i="3"/>
  <c r="T11" i="3" s="1"/>
  <c r="J24" i="3"/>
  <c r="I24" i="3"/>
  <c r="BT18" i="3"/>
  <c r="BX7" i="3"/>
  <c r="BV15" i="3"/>
  <c r="CH15" i="3" s="1"/>
  <c r="CB15" i="3"/>
  <c r="CN15" i="3" s="1"/>
  <c r="BV12" i="3"/>
  <c r="CH12" i="3" s="1"/>
  <c r="CB12" i="3"/>
  <c r="CN12" i="3" s="1"/>
  <c r="BW17" i="3"/>
  <c r="CI17" i="3" s="1"/>
  <c r="BX17" i="3"/>
  <c r="CJ17" i="3" s="1"/>
  <c r="CB9" i="3"/>
  <c r="CN9" i="3" s="1"/>
  <c r="BV9" i="3"/>
  <c r="CH9" i="3" s="1"/>
  <c r="CB8" i="3"/>
  <c r="CN8" i="3" s="1"/>
  <c r="BV8" i="3"/>
  <c r="CH8" i="3" s="1"/>
  <c r="BW16" i="3"/>
  <c r="CI16" i="3" s="1"/>
  <c r="BX16" i="3"/>
  <c r="CJ16" i="3" s="1"/>
  <c r="BU18" i="3"/>
  <c r="O18" i="3"/>
  <c r="U9" i="3"/>
  <c r="V9" i="3" s="1"/>
  <c r="E18" i="3"/>
  <c r="H24" i="3"/>
  <c r="BW15" i="3"/>
  <c r="CI15" i="3" s="1"/>
  <c r="BX15" i="3"/>
  <c r="CJ15" i="3" s="1"/>
  <c r="BV17" i="3"/>
  <c r="CH17" i="3" s="1"/>
  <c r="CB17" i="3"/>
  <c r="CN17" i="3" s="1"/>
  <c r="BV13" i="3"/>
  <c r="CH13" i="3" s="1"/>
  <c r="CB13" i="3"/>
  <c r="CN13" i="3" s="1"/>
  <c r="BW13" i="3"/>
  <c r="CI13" i="3" s="1"/>
  <c r="BV7" i="3"/>
  <c r="CH7" i="3" s="1"/>
  <c r="U12" i="3"/>
  <c r="V12" i="3" s="1"/>
  <c r="N8" i="3"/>
  <c r="U8" i="3"/>
  <c r="V8" i="3" s="1"/>
  <c r="R18" i="3"/>
  <c r="U7" i="3"/>
  <c r="S7" i="3"/>
  <c r="BV14" i="3"/>
  <c r="CH14" i="3" s="1"/>
  <c r="CB14" i="3"/>
  <c r="CN14" i="3" s="1"/>
  <c r="S13" i="3"/>
  <c r="T13" i="3" s="1"/>
  <c r="S8" i="3"/>
  <c r="T8" i="3" s="1"/>
  <c r="BG18" i="3"/>
  <c r="S17" i="3"/>
  <c r="T17" i="3" s="1"/>
  <c r="CB7" i="3"/>
  <c r="S12" i="3"/>
  <c r="T12" i="3" s="1"/>
  <c r="U17" i="3"/>
  <c r="V17" i="3" s="1"/>
  <c r="CB10" i="3"/>
  <c r="CN10" i="3" s="1"/>
  <c r="BV10" i="3"/>
  <c r="CH10" i="3" s="1"/>
  <c r="BW8" i="3"/>
  <c r="CI8" i="3" s="1"/>
  <c r="BX14" i="3"/>
  <c r="CJ14" i="3" s="1"/>
  <c r="BW14" i="3"/>
  <c r="CI14" i="3" s="1"/>
  <c r="BS18" i="3"/>
  <c r="U10" i="3"/>
  <c r="V10" i="3" s="1"/>
  <c r="CB11" i="3"/>
  <c r="CN11" i="3" s="1"/>
  <c r="BV11" i="3"/>
  <c r="CH11" i="3" s="1"/>
  <c r="S9" i="3"/>
  <c r="T9" i="3" s="1"/>
  <c r="U13" i="3"/>
  <c r="V13" i="3" s="1"/>
  <c r="J23" i="3"/>
  <c r="BV16" i="3"/>
  <c r="CH16" i="3" s="1"/>
  <c r="CB16" i="3"/>
  <c r="CN16" i="3" s="1"/>
  <c r="S10" i="3"/>
  <c r="T10" i="3" s="1"/>
  <c r="O51" i="1"/>
  <c r="O47" i="1"/>
  <c r="O43" i="1"/>
  <c r="O39" i="1"/>
  <c r="O35" i="1"/>
  <c r="O31" i="1"/>
  <c r="O27" i="1"/>
  <c r="O23" i="1"/>
  <c r="O19" i="1"/>
  <c r="O15" i="1"/>
  <c r="O11" i="1"/>
  <c r="O7" i="1"/>
  <c r="O3" i="1"/>
  <c r="N51" i="1"/>
  <c r="S51" i="1" s="1"/>
  <c r="N47" i="1"/>
  <c r="N43" i="1"/>
  <c r="N39" i="1"/>
  <c r="N35" i="1"/>
  <c r="N31" i="1"/>
  <c r="S31" i="1" s="1"/>
  <c r="N27" i="1"/>
  <c r="N23" i="1"/>
  <c r="S23" i="1" s="1"/>
  <c r="N19" i="1"/>
  <c r="N15" i="1"/>
  <c r="S15" i="1" s="1"/>
  <c r="N11" i="1"/>
  <c r="N7" i="1"/>
  <c r="S7" i="1" s="1"/>
  <c r="N3" i="1"/>
  <c r="S3" i="1" s="1"/>
  <c r="P48" i="1"/>
  <c r="P44" i="1"/>
  <c r="P40" i="1"/>
  <c r="P36" i="1"/>
  <c r="P32" i="1"/>
  <c r="P28" i="1"/>
  <c r="P24" i="1"/>
  <c r="P20" i="1"/>
  <c r="P16" i="1"/>
  <c r="P12" i="1"/>
  <c r="N46" i="1"/>
  <c r="S46" i="1" s="1"/>
  <c r="O41" i="1"/>
  <c r="N36" i="1"/>
  <c r="P31" i="1"/>
  <c r="O26" i="1"/>
  <c r="P21" i="1"/>
  <c r="O16" i="1"/>
  <c r="N13" i="1"/>
  <c r="N8" i="1"/>
  <c r="N5" i="1"/>
  <c r="S5" i="1" s="1"/>
  <c r="P49" i="1"/>
  <c r="O44" i="1"/>
  <c r="N41" i="1"/>
  <c r="P34" i="1"/>
  <c r="N26" i="1"/>
  <c r="O21" i="1"/>
  <c r="N16" i="1"/>
  <c r="P11" i="1"/>
  <c r="O49" i="1"/>
  <c r="N44" i="1"/>
  <c r="O34" i="1"/>
  <c r="P29" i="1"/>
  <c r="O24" i="1"/>
  <c r="N21" i="1"/>
  <c r="N49" i="1"/>
  <c r="S49" i="1" s="1"/>
  <c r="P42" i="1"/>
  <c r="N34" i="1"/>
  <c r="N24" i="1"/>
  <c r="P19" i="1"/>
  <c r="O14" i="1"/>
  <c r="P9" i="1"/>
  <c r="P37" i="1"/>
  <c r="N29" i="1"/>
  <c r="S29" i="1" s="1"/>
  <c r="P22" i="1"/>
  <c r="N14" i="1"/>
  <c r="S14" i="1" s="1"/>
  <c r="P50" i="1"/>
  <c r="O37" i="1"/>
  <c r="N32" i="1"/>
  <c r="S32" i="1" s="1"/>
  <c r="P39" i="1"/>
  <c r="P14" i="1"/>
  <c r="P6" i="1"/>
  <c r="P3" i="1"/>
  <c r="O29" i="1"/>
  <c r="O6" i="1"/>
  <c r="P47" i="1"/>
  <c r="O42" i="1"/>
  <c r="O32" i="1"/>
  <c r="O9" i="1"/>
  <c r="N6" i="1"/>
  <c r="S6" i="1" s="1"/>
  <c r="N42" i="1"/>
  <c r="S42" i="1" s="1"/>
  <c r="N37" i="1"/>
  <c r="P27" i="1"/>
  <c r="P25" i="1"/>
  <c r="P23" i="1"/>
  <c r="O18" i="1"/>
  <c r="O4" i="1"/>
  <c r="O25" i="1"/>
  <c r="O20" i="1"/>
  <c r="N18" i="1"/>
  <c r="S18" i="1" s="1"/>
  <c r="N25" i="1"/>
  <c r="S25" i="1" s="1"/>
  <c r="N20" i="1"/>
  <c r="S20" i="1" s="1"/>
  <c r="O13" i="1"/>
  <c r="P8" i="1"/>
  <c r="P46" i="1"/>
  <c r="P10" i="1"/>
  <c r="P41" i="1"/>
  <c r="O36" i="1"/>
  <c r="N22" i="1"/>
  <c r="P17" i="1"/>
  <c r="O10" i="1"/>
  <c r="O48" i="1"/>
  <c r="P26" i="1"/>
  <c r="O17" i="1"/>
  <c r="N10" i="1"/>
  <c r="S10" i="1" s="1"/>
  <c r="P51" i="1"/>
  <c r="O38" i="1"/>
  <c r="P33" i="1"/>
  <c r="O28" i="1"/>
  <c r="P5" i="1"/>
  <c r="N28" i="1"/>
  <c r="S28" i="1" s="1"/>
  <c r="O5" i="1"/>
  <c r="P45" i="1"/>
  <c r="N40" i="1"/>
  <c r="S40" i="1" s="1"/>
  <c r="P35" i="1"/>
  <c r="P30" i="1"/>
  <c r="O50" i="1"/>
  <c r="O30" i="1"/>
  <c r="N30" i="1"/>
  <c r="P18" i="1"/>
  <c r="P4" i="1"/>
  <c r="P13" i="1"/>
  <c r="N4" i="1"/>
  <c r="S4" i="1" s="1"/>
  <c r="O22" i="1"/>
  <c r="P15" i="1"/>
  <c r="O8" i="1"/>
  <c r="O46" i="1"/>
  <c r="O12" i="1"/>
  <c r="P38" i="1"/>
  <c r="N12" i="1"/>
  <c r="N48" i="1"/>
  <c r="N17" i="1"/>
  <c r="P43" i="1"/>
  <c r="O40" i="1"/>
  <c r="N38" i="1"/>
  <c r="S38" i="1" s="1"/>
  <c r="O33" i="1"/>
  <c r="N33" i="1"/>
  <c r="P7" i="1"/>
  <c r="O45" i="1"/>
  <c r="N9" i="1"/>
  <c r="S9" i="1" s="1"/>
  <c r="P2" i="1"/>
  <c r="N50" i="1"/>
  <c r="N45" i="1"/>
  <c r="O2" i="1"/>
  <c r="S2" i="1" s="1"/>
  <c r="L52" i="1"/>
  <c r="O23" i="3" l="1"/>
  <c r="P23" i="3" s="1"/>
  <c r="I25" i="3"/>
  <c r="I27" i="3" s="1"/>
  <c r="S33" i="1"/>
  <c r="T33" i="1" s="1"/>
  <c r="S21" i="1"/>
  <c r="T21" i="1" s="1"/>
  <c r="S11" i="1"/>
  <c r="T11" i="1" s="1"/>
  <c r="S8" i="1"/>
  <c r="T8" i="1" s="1"/>
  <c r="S44" i="1"/>
  <c r="T44" i="1" s="1"/>
  <c r="S35" i="1"/>
  <c r="T35" i="1" s="1"/>
  <c r="S41" i="1"/>
  <c r="T41" i="1" s="1"/>
  <c r="S19" i="1"/>
  <c r="T19" i="1" s="1"/>
  <c r="S22" i="1"/>
  <c r="T22" i="1" s="1"/>
  <c r="S13" i="1"/>
  <c r="T13" i="1" s="1"/>
  <c r="S17" i="1"/>
  <c r="T17" i="1" s="1"/>
  <c r="S39" i="1"/>
  <c r="T39" i="1" s="1"/>
  <c r="S45" i="1"/>
  <c r="T45" i="1" s="1"/>
  <c r="S48" i="1"/>
  <c r="T48" i="1" s="1"/>
  <c r="S30" i="1"/>
  <c r="T30" i="1" s="1"/>
  <c r="S24" i="1"/>
  <c r="T24" i="1" s="1"/>
  <c r="S43" i="1"/>
  <c r="T43" i="1" s="1"/>
  <c r="S27" i="1"/>
  <c r="T27" i="1" s="1"/>
  <c r="S16" i="1"/>
  <c r="S50" i="1"/>
  <c r="T50" i="1" s="1"/>
  <c r="S12" i="1"/>
  <c r="T12" i="1" s="1"/>
  <c r="S37" i="1"/>
  <c r="T37" i="1" s="1"/>
  <c r="S34" i="1"/>
  <c r="S26" i="1"/>
  <c r="T26" i="1" s="1"/>
  <c r="S36" i="1"/>
  <c r="T36" i="1" s="1"/>
  <c r="S47" i="1"/>
  <c r="T47" i="1" s="1"/>
  <c r="O24" i="3"/>
  <c r="P24" i="3" s="1"/>
  <c r="M24" i="3"/>
  <c r="U24" i="3" s="1"/>
  <c r="V24" i="3" s="1"/>
  <c r="J25" i="3"/>
  <c r="J27" i="3" s="1"/>
  <c r="H25" i="3"/>
  <c r="H27" i="3" s="1"/>
  <c r="F27" i="3"/>
  <c r="CN7" i="3"/>
  <c r="CB18" i="3"/>
  <c r="E27" i="3"/>
  <c r="P18" i="3"/>
  <c r="N19" i="3" s="1"/>
  <c r="BW18" i="3"/>
  <c r="CI7" i="3"/>
  <c r="S18" i="3"/>
  <c r="T7" i="3"/>
  <c r="V7" i="3"/>
  <c r="U18" i="3"/>
  <c r="BU22" i="3"/>
  <c r="BV18" i="3"/>
  <c r="CH18" i="3" s="1"/>
  <c r="CJ7" i="3"/>
  <c r="BX18" i="3"/>
  <c r="M23" i="3"/>
  <c r="Q18" i="3"/>
  <c r="R27" i="3"/>
  <c r="Q27" i="3" s="1"/>
  <c r="T15" i="1"/>
  <c r="T31" i="1"/>
  <c r="T20" i="1"/>
  <c r="T3" i="1"/>
  <c r="T51" i="1"/>
  <c r="T10" i="1"/>
  <c r="T34" i="1"/>
  <c r="T9" i="1"/>
  <c r="T42" i="1"/>
  <c r="T32" i="1"/>
  <c r="T25" i="1"/>
  <c r="T7" i="1"/>
  <c r="O52" i="1"/>
  <c r="BZ18" i="3" s="1"/>
  <c r="T16" i="1"/>
  <c r="P52" i="1"/>
  <c r="CA18" i="3" s="1"/>
  <c r="T6" i="1"/>
  <c r="T49" i="1"/>
  <c r="T46" i="1"/>
  <c r="T40" i="1"/>
  <c r="T18" i="1"/>
  <c r="T14" i="1"/>
  <c r="T5" i="1"/>
  <c r="T38" i="1"/>
  <c r="T4" i="1"/>
  <c r="T28" i="1"/>
  <c r="N52" i="1"/>
  <c r="T29" i="1"/>
  <c r="T23" i="1"/>
  <c r="N24" i="3" l="1"/>
  <c r="S24" i="3"/>
  <c r="T24" i="3" s="1"/>
  <c r="BZ12" i="3"/>
  <c r="CL12" i="3" s="1"/>
  <c r="BZ11" i="3"/>
  <c r="CL11" i="3" s="1"/>
  <c r="BZ10" i="3"/>
  <c r="CL10" i="3" s="1"/>
  <c r="BZ9" i="3"/>
  <c r="CL9" i="3" s="1"/>
  <c r="BZ8" i="3"/>
  <c r="CL8" i="3" s="1"/>
  <c r="BZ17" i="3"/>
  <c r="CL17" i="3" s="1"/>
  <c r="BZ15" i="3"/>
  <c r="CL15" i="3" s="1"/>
  <c r="BZ14" i="3"/>
  <c r="CL14" i="3" s="1"/>
  <c r="BZ13" i="3"/>
  <c r="CL13" i="3" s="1"/>
  <c r="BZ16" i="3"/>
  <c r="CL16" i="3" s="1"/>
  <c r="BZ7" i="3"/>
  <c r="CL7" i="3" s="1"/>
  <c r="CL18" i="3"/>
  <c r="T18" i="3"/>
  <c r="N23" i="3"/>
  <c r="M25" i="3"/>
  <c r="U23" i="3"/>
  <c r="S23" i="3"/>
  <c r="CA11" i="3"/>
  <c r="CM11" i="3" s="1"/>
  <c r="CA10" i="3"/>
  <c r="CM10" i="3" s="1"/>
  <c r="CA9" i="3"/>
  <c r="CM9" i="3" s="1"/>
  <c r="CA8" i="3"/>
  <c r="CM8" i="3" s="1"/>
  <c r="CA7" i="3"/>
  <c r="CM7" i="3" s="1"/>
  <c r="CA12" i="3"/>
  <c r="CM12" i="3" s="1"/>
  <c r="CM18" i="3"/>
  <c r="CA17" i="3"/>
  <c r="CM17" i="3" s="1"/>
  <c r="CA15" i="3"/>
  <c r="CM15" i="3" s="1"/>
  <c r="CA14" i="3"/>
  <c r="CM14" i="3" s="1"/>
  <c r="CA16" i="3"/>
  <c r="CM16" i="3" s="1"/>
  <c r="CA13" i="3"/>
  <c r="CM13" i="3" s="1"/>
  <c r="V18" i="3"/>
  <c r="O25" i="3"/>
  <c r="CI22" i="3"/>
  <c r="BY13" i="3"/>
  <c r="BY12" i="3"/>
  <c r="BY11" i="3"/>
  <c r="BY10" i="3"/>
  <c r="BY9" i="3"/>
  <c r="BY17" i="3"/>
  <c r="BY8" i="3"/>
  <c r="CK18" i="3"/>
  <c r="BY7" i="3"/>
  <c r="BY15" i="3"/>
  <c r="BY14" i="3"/>
  <c r="BY16" i="3"/>
  <c r="CN18" i="3"/>
  <c r="CJ18" i="3"/>
  <c r="CI18" i="3"/>
  <c r="S52" i="1"/>
  <c r="T52" i="1" s="1"/>
  <c r="T2" i="1"/>
  <c r="CK17" i="3" l="1"/>
  <c r="CE17" i="3"/>
  <c r="CC17" i="3"/>
  <c r="V23" i="3"/>
  <c r="U25" i="3"/>
  <c r="CK11" i="3"/>
  <c r="CC11" i="3"/>
  <c r="CE11" i="3"/>
  <c r="N25" i="3"/>
  <c r="M27" i="3"/>
  <c r="CK12" i="3"/>
  <c r="CE12" i="3"/>
  <c r="CC12" i="3"/>
  <c r="CK16" i="3"/>
  <c r="CE16" i="3"/>
  <c r="CC16" i="3"/>
  <c r="CK13" i="3"/>
  <c r="CE13" i="3"/>
  <c r="CC13" i="3"/>
  <c r="CK14" i="3"/>
  <c r="CE14" i="3"/>
  <c r="CC14" i="3"/>
  <c r="S25" i="3"/>
  <c r="T23" i="3"/>
  <c r="CK8" i="3"/>
  <c r="CE8" i="3"/>
  <c r="CC8" i="3"/>
  <c r="CK9" i="3"/>
  <c r="CE9" i="3"/>
  <c r="CC9" i="3"/>
  <c r="CK10" i="3"/>
  <c r="CE10" i="3"/>
  <c r="CC10" i="3"/>
  <c r="CK15" i="3"/>
  <c r="CC15" i="3"/>
  <c r="CE15" i="3"/>
  <c r="CK7" i="3"/>
  <c r="CI20" i="3" s="1"/>
  <c r="CE7" i="3"/>
  <c r="CC7" i="3"/>
  <c r="P25" i="3"/>
  <c r="O27" i="3"/>
  <c r="P27" i="3" s="1"/>
  <c r="CF15" i="3" l="1"/>
  <c r="CP15" i="3"/>
  <c r="CP12" i="3"/>
  <c r="CF12" i="3"/>
  <c r="CD15" i="3"/>
  <c r="CO15" i="3"/>
  <c r="T25" i="3"/>
  <c r="S27" i="3"/>
  <c r="T27" i="3" s="1"/>
  <c r="CD14" i="3"/>
  <c r="CO14" i="3"/>
  <c r="BU24" i="3"/>
  <c r="BU25" i="3" s="1"/>
  <c r="N27" i="3"/>
  <c r="CO10" i="3"/>
  <c r="CD10" i="3"/>
  <c r="CF14" i="3"/>
  <c r="CP14" i="3"/>
  <c r="CP10" i="3"/>
  <c r="CF10" i="3"/>
  <c r="CP11" i="3"/>
  <c r="CF11" i="3"/>
  <c r="CO13" i="3"/>
  <c r="CD13" i="3"/>
  <c r="CD11" i="3"/>
  <c r="CO11" i="3"/>
  <c r="CO9" i="3"/>
  <c r="CD9" i="3"/>
  <c r="CF13" i="3"/>
  <c r="CP13" i="3"/>
  <c r="CP9" i="3"/>
  <c r="CF9" i="3"/>
  <c r="V25" i="3"/>
  <c r="U27" i="3"/>
  <c r="V27" i="3" s="1"/>
  <c r="CD16" i="3"/>
  <c r="CO16" i="3"/>
  <c r="CD7" i="3"/>
  <c r="CC18" i="3"/>
  <c r="CO7" i="3"/>
  <c r="CD8" i="3"/>
  <c r="CO8" i="3"/>
  <c r="CF16" i="3"/>
  <c r="CP16" i="3"/>
  <c r="CD17" i="3"/>
  <c r="CO17" i="3"/>
  <c r="CP7" i="3"/>
  <c r="CE18" i="3"/>
  <c r="CF7" i="3"/>
  <c r="CP8" i="3"/>
  <c r="CQ8" i="3" s="1"/>
  <c r="CF8" i="3"/>
  <c r="CF17" i="3"/>
  <c r="CP17" i="3"/>
  <c r="CO12" i="3"/>
  <c r="CD12" i="3"/>
  <c r="CQ9" i="3" l="1"/>
  <c r="CQ10" i="3"/>
  <c r="CQ7" i="3"/>
  <c r="CD18" i="3"/>
  <c r="CO18" i="3"/>
  <c r="CQ14" i="3"/>
  <c r="CF18" i="3"/>
  <c r="CP18" i="3"/>
  <c r="CQ11" i="3"/>
  <c r="CQ16" i="3"/>
  <c r="CQ13" i="3"/>
  <c r="CQ12" i="3"/>
  <c r="CQ17" i="3"/>
  <c r="CQ15" i="3"/>
  <c r="CQ18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<sst xmlns="http://schemas.openxmlformats.org/spreadsheetml/2006/main" count="231" uniqueCount="127">
  <si>
    <t>PRODUCTO</t>
  </si>
  <si>
    <t>POTA ALAS FR C/P C/C (B) S/COD BL10 S20</t>
  </si>
  <si>
    <t>POTA ALAS FR C/P C/C &lt;0.5 BL10 S20</t>
  </si>
  <si>
    <t>POTA ALAS FR C/P C/C 0.5-1 BL10 S20</t>
  </si>
  <si>
    <t>POTA ALAS FR C/P C/C 0.3 - 0.5 BL10 S20</t>
  </si>
  <si>
    <t xml:space="preserve">POTA ALAS FR C/P C/C 1-2 BL10 S20  </t>
  </si>
  <si>
    <t>POTA ALAS FR C/P C/C 1-2 BL10 S20  ENTERA</t>
  </si>
  <si>
    <t>POTA ALAS FR C/P C/C 2up</t>
  </si>
  <si>
    <t>POTA LABIOS FR S/COD BL10 S20</t>
  </si>
  <si>
    <t>POTA CONOS</t>
  </si>
  <si>
    <t xml:space="preserve">POTA FILETE C/M C/T FR 0.5-1.0 BL10 S20  </t>
  </si>
  <si>
    <t xml:space="preserve">POTA FILETE C/M C/T FR 1-2 BL10 S20  </t>
  </si>
  <si>
    <t>POTA FILETE C/M C/T FR 1.0 - 3.0 BL10 S20</t>
  </si>
  <si>
    <t>POTA FILETE C/M C/T FR 2-4  S20</t>
  </si>
  <si>
    <t xml:space="preserve">POTA FILETE C/M C/T FR &lt;0.5 Kg AA BL10 S20  </t>
  </si>
  <si>
    <t xml:space="preserve">POTA FILETE C/M C/T FR 2-4  (AA) BL10 S20  </t>
  </si>
  <si>
    <t xml:space="preserve">POTA FILETE C/M C/T FR 0.5-1.0 AA BL10 S20  </t>
  </si>
  <si>
    <t>POTA FILETE C/M C/T FR 1.0 - 3.0 AA BL10 S20</t>
  </si>
  <si>
    <t>POTA FILETE C/M C/T FR 1-2 AA BL10 S20  JAPON</t>
  </si>
  <si>
    <t xml:space="preserve">POTA FILETE C/M C/T FR 0.5-1.0 AAA  BL10 S20  </t>
  </si>
  <si>
    <t>POTA FILETE C/M C/T FR 1-2 AA BL10 S20  50% ROSADO</t>
  </si>
  <si>
    <t xml:space="preserve">POTA FILETE C/M C/T FR 2-4 AAA BL10 S20  </t>
  </si>
  <si>
    <t xml:space="preserve">POTA FILETE SM ST 1-2 CM/ESP </t>
  </si>
  <si>
    <t>POTA NUCAS FR ABIERTAS 0.1 - 0.3 BL10 S2</t>
  </si>
  <si>
    <t>POTA NUCAS FR CERRADA 0.1 - 0.3 BL10 S2</t>
  </si>
  <si>
    <t>POTA NUCAS FR CERRADA &lt;0.1 BL10 S2</t>
  </si>
  <si>
    <t>POTA NUCAS FR ABIERTAS 0.5-1 BL10 S20</t>
  </si>
  <si>
    <t>POTA NUCAS FR ABIERTAS 0.3-0.5 BL10 S20</t>
  </si>
  <si>
    <t>POTA NUCAS FR ABIERTAS 1-2 BL10 S20</t>
  </si>
  <si>
    <t>POTA REJOS OR FR LIMPIOS S/COD BL10 S20</t>
  </si>
  <si>
    <t>POTA REJOS OR FR LIMPIOS &lt;60 cm BL10 S20</t>
  </si>
  <si>
    <t>POTA REJOS FR C/U C/V S/OR &lt;0.1 BL10</t>
  </si>
  <si>
    <t>POTA REJOS FR C/U C/V S/OR 0.1-0.3 BL10</t>
  </si>
  <si>
    <t>POTA REJOS FR  C/U C/V S/OR 0.3-0.5BL10</t>
  </si>
  <si>
    <t>POTA REJOS FR  C/U C/V S/OR 0.5-1.0 BL10</t>
  </si>
  <si>
    <t>POTA REJOS FR C/B S/U S/V S/OR 0.3-0.5 BL10</t>
  </si>
  <si>
    <t>POTA REJOS FR C/B S/U S/V S/OR 0.5-1 BL1 0</t>
  </si>
  <si>
    <t>POTA REJOS FR C/B C/U C/V S/OR 1.0  up BL 10S20</t>
  </si>
  <si>
    <t>POTA REJOS FR C/B S/U S/V S/OR 2-UP BL10</t>
  </si>
  <si>
    <t xml:space="preserve">POTA REJOS FR C/B S/U S/V S/OR 1-2 BL10  </t>
  </si>
  <si>
    <t>VENTOSAS DE REJOS</t>
  </si>
  <si>
    <t xml:space="preserve">POTA FILETE PRE COCIDO S/M S/T C/P S/COD  </t>
  </si>
  <si>
    <t>POTA FILETE PRE COCIDO S/M S/T C/P 0.6-1.0</t>
  </si>
  <si>
    <t>POTA ALAS PRE COC S/COD BL10 S20</t>
  </si>
  <si>
    <t>POTA ALAS PRE COC 0.3up BL9 S18</t>
  </si>
  <si>
    <t>POTA ALAS PRE COC B BL9 S18</t>
  </si>
  <si>
    <t>POTA RECORTES PRE COC BL10 S20</t>
  </si>
  <si>
    <t>POTA RECORTES LAM PRE COC (M) BL7.5 S15</t>
  </si>
  <si>
    <t>POTA RECORTES LAM PRE COC (T) BL7.5 S15</t>
  </si>
  <si>
    <t>FILETE CM CT PARA REPROCESO</t>
  </si>
  <si>
    <t>ALAS FR PARA REPROCESO</t>
  </si>
  <si>
    <t>TOTAL LIBRE</t>
  </si>
  <si>
    <t>TOTAL STOCK</t>
  </si>
  <si>
    <t>POR EMBARCAR</t>
  </si>
  <si>
    <t>STOCK LIBRE</t>
  </si>
  <si>
    <t>CÓDIGO</t>
  </si>
  <si>
    <t>CU X TM</t>
  </si>
  <si>
    <t>% MP</t>
  </si>
  <si>
    <t>incremento MP</t>
  </si>
  <si>
    <t>TM en Stock</t>
  </si>
  <si>
    <t>Costo Ventas</t>
  </si>
  <si>
    <t>Gasto Ventas</t>
  </si>
  <si>
    <t>Gasto ADM</t>
  </si>
  <si>
    <t>Gasto Fin</t>
  </si>
  <si>
    <t>Depreciación</t>
  </si>
  <si>
    <t>Utilidad Neta</t>
  </si>
  <si>
    <t>Margen Neto</t>
  </si>
  <si>
    <t>Venta Equilibrio</t>
  </si>
  <si>
    <t>Precio Equilibrio x TM</t>
  </si>
  <si>
    <t>totales</t>
  </si>
  <si>
    <t>Etiquetas de fila</t>
  </si>
  <si>
    <t>Total general</t>
  </si>
  <si>
    <t>Suma de TM en Stock</t>
  </si>
  <si>
    <t>Suma de Costo Ventas</t>
  </si>
  <si>
    <t>Suma de Gasto Ventas</t>
  </si>
  <si>
    <t>Suma de Gasto ADM</t>
  </si>
  <si>
    <t>Suma de Gasto Fin</t>
  </si>
  <si>
    <t>Suma de Depreciación</t>
  </si>
  <si>
    <t>POTA FILETE CONGELADO</t>
  </si>
  <si>
    <t>POTA NUCAS CONGELADAS</t>
  </si>
  <si>
    <t>POTA ALAS CONGELADAS</t>
  </si>
  <si>
    <t>POTA RECORTES COCIDOS</t>
  </si>
  <si>
    <t>POTA REJOS CONGELADOS</t>
  </si>
  <si>
    <t>POTA REPRODUCTORES</t>
  </si>
  <si>
    <t>POTA FILETE DARUMA</t>
  </si>
  <si>
    <t>POTA ALAS COCIDAS</t>
  </si>
  <si>
    <t>VENTOSAS</t>
  </si>
  <si>
    <t>PERU FROST</t>
  </si>
  <si>
    <t>RENTABILIDAD DEL INVENTARIO</t>
  </si>
  <si>
    <t>TBN</t>
  </si>
  <si>
    <t>TOTAL PROYECTADO JULIO 2026</t>
  </si>
  <si>
    <t>UNITARIOS POR TM</t>
  </si>
  <si>
    <t>Código</t>
  </si>
  <si>
    <t>Producto</t>
  </si>
  <si>
    <t>TM en 
Stock Libre</t>
  </si>
  <si>
    <t>CU</t>
  </si>
  <si>
    <t>Venta Equilibrio 
a Utd Neta</t>
  </si>
  <si>
    <t>Precio Equilibrio 
x TM a Utd Neta</t>
  </si>
  <si>
    <t>Venta Equilibro 
a EBITDA</t>
  </si>
  <si>
    <t>Precio Equilibrio 
x TM a EBITDA</t>
  </si>
  <si>
    <t>Precio Mercado</t>
  </si>
  <si>
    <t>Venta total</t>
  </si>
  <si>
    <t>Utilidad</t>
  </si>
  <si>
    <t>Mg Neto</t>
  </si>
  <si>
    <t>EBITDA</t>
  </si>
  <si>
    <t>Mg EBITDA</t>
  </si>
  <si>
    <t>TM</t>
  </si>
  <si>
    <t>Venta</t>
  </si>
  <si>
    <t>Precio x TM</t>
  </si>
  <si>
    <t>Gasto Adm</t>
  </si>
  <si>
    <t>Drawback</t>
  </si>
  <si>
    <t>Utilidad 
Neta</t>
  </si>
  <si>
    <t>Mg Neto %</t>
  </si>
  <si>
    <t>MG 
EBITDA</t>
  </si>
  <si>
    <t>OTROS</t>
  </si>
  <si>
    <t>TOTAL</t>
  </si>
  <si>
    <t>flete x tm</t>
  </si>
  <si>
    <t>TM en Almacén de Yantai</t>
  </si>
  <si>
    <t>Venta Julio</t>
  </si>
  <si>
    <t>Cobranza</t>
  </si>
  <si>
    <t>Inventario</t>
  </si>
  <si>
    <t>AVANCE COMERCIAL AL 20-7-2026</t>
  </si>
  <si>
    <t>COSTO ABRIL</t>
  </si>
  <si>
    <t>JUNIO</t>
  </si>
  <si>
    <t>JULIO</t>
  </si>
  <si>
    <t>PROM JUN Y JUL</t>
  </si>
  <si>
    <t>TASA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</si>
</sst>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5" formatCode="_-* #,##0_-;\-* #,##0_-;_-* &quot;-&quot;??_-;_-@_-"/>
    <numFmt numFmtId="166" formatCode="0.000"/>
    <numFmt numFmtId="168" formatCode="0.0%"/>
    <numFmt numFmtId="169" formatCode="_-* #,##0.0000_-;\-* #,##0.000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Cambria"/>
      <family val="1"/>
    </font>
    <font>
      <b/>
      <sz val="11"/>
      <color rgb="FFFF0000"/>
      <name val="Cambria"/>
      <family val="1"/>
    </font>
    <font>
      <sz val="11"/>
      <color theme="1"/>
      <name val="Cambria"/>
      <family val="1"/>
    </font>
    <font>
      <sz val="1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9">
    <xf numFmtId="0" fontId="0" fillId="0" borderId="0" xfId="0"/>
    <xf numFmtId="0" fontId="6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9" borderId="2" xfId="0" applyFont="1" applyFill="1" applyBorder="1" applyAlignment="1">
      <alignment horizontal="center" vertical="center"/>
    </xf>
    <xf numFmtId="0" fontId="0" fillId="10" borderId="2" xfId="0" applyFont="1" applyFill="1" applyBorder="1" applyAlignment="1">
      <alignment horizontal="center" vertical="center"/>
    </xf>
    <xf numFmtId="0" fontId="0" fillId="0" borderId="0" xfId="0" applyFo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65" fontId="0" fillId="2" borderId="2" xfId="1" applyNumberFormat="1" applyFont="1" applyFill="1" applyBorder="1" applyAlignment="1">
      <alignment horizontal="center" vertical="center"/>
    </xf>
    <xf numFmtId="165" fontId="0" fillId="9" borderId="2" xfId="1" applyNumberFormat="1" applyFont="1" applyFill="1" applyBorder="1" applyAlignment="1">
      <alignment horizontal="center" vertical="center"/>
    </xf>
    <xf numFmtId="165" fontId="0" fillId="10" borderId="2" xfId="1" applyNumberFormat="1" applyFont="1" applyFill="1" applyBorder="1" applyAlignment="1">
      <alignment horizontal="center" vertical="center"/>
    </xf>
    <xf numFmtId="165" fontId="1" fillId="10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9" fontId="9" fillId="0" borderId="5" xfId="0" applyNumberFormat="1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top"/>
    </xf>
    <xf numFmtId="166" fontId="6" fillId="0" borderId="0" xfId="0" applyNumberFormat="1" applyFont="1"/>
    <xf numFmtId="9" fontId="11" fillId="0" borderId="0" xfId="2" applyFon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8" xfId="1" applyNumberFormat="1" applyFont="1" applyBorder="1"/>
    <xf numFmtId="165" fontId="11" fillId="0" borderId="0" xfId="1" applyNumberFormat="1" applyFont="1" applyBorder="1"/>
    <xf numFmtId="165" fontId="11" fillId="0" borderId="0" xfId="1" applyNumberFormat="1" applyFont="1"/>
    <xf numFmtId="165" fontId="11" fillId="0" borderId="0" xfId="1" applyNumberFormat="1" applyFont="1" applyAlignment="1">
      <alignment horizontal="center"/>
    </xf>
    <xf numFmtId="165" fontId="11" fillId="2" borderId="9" xfId="1" applyNumberFormat="1" applyFont="1" applyFill="1" applyBorder="1"/>
    <xf numFmtId="0" fontId="0" fillId="13" borderId="7" xfId="0" applyFill="1" applyBorder="1" applyAlignment="1">
      <alignment horizontal="center" vertical="top"/>
    </xf>
    <xf numFmtId="0" fontId="0" fillId="3" borderId="7" xfId="0" applyFill="1" applyBorder="1" applyAlignment="1">
      <alignment horizontal="center" vertical="top"/>
    </xf>
    <xf numFmtId="0" fontId="0" fillId="8" borderId="7" xfId="0" applyFill="1" applyBorder="1" applyAlignment="1">
      <alignment horizontal="center" vertical="top"/>
    </xf>
    <xf numFmtId="0" fontId="0" fillId="4" borderId="7" xfId="0" applyFill="1" applyBorder="1" applyAlignment="1">
      <alignment horizontal="center" vertical="top"/>
    </xf>
    <xf numFmtId="0" fontId="0" fillId="2" borderId="7" xfId="0" applyFill="1" applyBorder="1" applyAlignment="1">
      <alignment horizontal="center" vertical="top"/>
    </xf>
    <xf numFmtId="0" fontId="0" fillId="14" borderId="7" xfId="0" applyFill="1" applyBorder="1" applyAlignment="1">
      <alignment horizontal="center" vertical="top"/>
    </xf>
    <xf numFmtId="0" fontId="0" fillId="0" borderId="10" xfId="0" applyBorder="1" applyAlignment="1">
      <alignment horizontal="center"/>
    </xf>
    <xf numFmtId="165" fontId="9" fillId="0" borderId="4" xfId="1" applyNumberFormat="1" applyFont="1" applyBorder="1"/>
    <xf numFmtId="165" fontId="9" fillId="0" borderId="5" xfId="1" applyNumberFormat="1" applyFont="1" applyBorder="1"/>
    <xf numFmtId="165" fontId="9" fillId="0" borderId="5" xfId="1" applyNumberFormat="1" applyFont="1" applyBorder="1" applyAlignment="1">
      <alignment horizontal="center"/>
    </xf>
    <xf numFmtId="165" fontId="9" fillId="2" borderId="6" xfId="1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" fillId="0" borderId="0" xfId="0" applyFont="1"/>
    <xf numFmtId="0" fontId="0" fillId="0" borderId="11" xfId="0" applyBorder="1"/>
    <xf numFmtId="0" fontId="0" fillId="0" borderId="11" xfId="0" applyBorder="1" applyAlignment="1">
      <alignment vertical="top"/>
    </xf>
    <xf numFmtId="0" fontId="5" fillId="0" borderId="0" xfId="0" applyFont="1"/>
    <xf numFmtId="0" fontId="4" fillId="0" borderId="0" xfId="0" applyFont="1"/>
    <xf numFmtId="168" fontId="0" fillId="0" borderId="0" xfId="2" applyNumberFormat="1" applyFont="1"/>
    <xf numFmtId="43" fontId="0" fillId="0" borderId="0" xfId="0" applyNumberFormat="1"/>
    <xf numFmtId="0" fontId="3" fillId="16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6" fontId="4" fillId="0" borderId="2" xfId="0" applyNumberFormat="1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6" fontId="4" fillId="0" borderId="10" xfId="0" applyNumberFormat="1" applyFont="1" applyBorder="1" applyAlignment="1">
      <alignment horizontal="center"/>
    </xf>
    <xf numFmtId="16" fontId="4" fillId="0" borderId="7" xfId="0" applyNumberFormat="1" applyFont="1" applyBorder="1" applyAlignment="1">
      <alignment horizontal="center"/>
    </xf>
    <xf numFmtId="16" fontId="4" fillId="17" borderId="3" xfId="0" applyNumberFormat="1" applyFont="1" applyFill="1" applyBorder="1" applyAlignment="1">
      <alignment horizontal="center"/>
    </xf>
    <xf numFmtId="16" fontId="4" fillId="17" borderId="0" xfId="0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15" borderId="1" xfId="0" applyFont="1" applyFill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" fontId="0" fillId="11" borderId="3" xfId="0" applyNumberFormat="1" applyFill="1" applyBorder="1" applyAlignment="1">
      <alignment horizontal="center"/>
    </xf>
    <xf numFmtId="165" fontId="0" fillId="11" borderId="16" xfId="1" applyNumberFormat="1" applyFont="1" applyFill="1" applyBorder="1" applyAlignment="1">
      <alignment horizontal="center"/>
    </xf>
    <xf numFmtId="165" fontId="0" fillId="0" borderId="0" xfId="1" applyNumberFormat="1" applyFont="1"/>
    <xf numFmtId="165" fontId="0" fillId="0" borderId="0" xfId="1" applyNumberFormat="1" applyFont="1" applyBorder="1"/>
    <xf numFmtId="9" fontId="0" fillId="0" borderId="0" xfId="0" applyNumberFormat="1"/>
    <xf numFmtId="165" fontId="12" fillId="2" borderId="9" xfId="0" applyNumberFormat="1" applyFont="1" applyFill="1" applyBorder="1"/>
    <xf numFmtId="165" fontId="12" fillId="2" borderId="9" xfId="1" applyNumberFormat="1" applyFont="1" applyFill="1" applyBorder="1"/>
    <xf numFmtId="165" fontId="12" fillId="0" borderId="9" xfId="1" applyNumberFormat="1" applyFont="1" applyFill="1" applyBorder="1"/>
    <xf numFmtId="9" fontId="12" fillId="0" borderId="9" xfId="2" applyFont="1" applyFill="1" applyBorder="1" applyAlignment="1">
      <alignment horizontal="center"/>
    </xf>
    <xf numFmtId="165" fontId="0" fillId="0" borderId="3" xfId="1" applyNumberFormat="1" applyFont="1" applyBorder="1"/>
    <xf numFmtId="165" fontId="0" fillId="0" borderId="13" xfId="1" applyNumberFormat="1" applyFont="1" applyBorder="1"/>
    <xf numFmtId="165" fontId="0" fillId="2" borderId="2" xfId="0" applyNumberFormat="1" applyFill="1" applyBorder="1"/>
    <xf numFmtId="165" fontId="0" fillId="2" borderId="2" xfId="1" applyNumberFormat="1" applyFont="1" applyFill="1" applyBorder="1"/>
    <xf numFmtId="165" fontId="0" fillId="0" borderId="11" xfId="1" applyNumberFormat="1" applyFont="1" applyBorder="1"/>
    <xf numFmtId="165" fontId="0" fillId="17" borderId="3" xfId="1" applyNumberFormat="1" applyFont="1" applyFill="1" applyBorder="1"/>
    <xf numFmtId="165" fontId="0" fillId="17" borderId="11" xfId="1" applyNumberFormat="1" applyFont="1" applyFill="1" applyBorder="1"/>
    <xf numFmtId="165" fontId="0" fillId="17" borderId="0" xfId="1" applyNumberFormat="1" applyFont="1" applyFill="1" applyBorder="1"/>
    <xf numFmtId="9" fontId="0" fillId="17" borderId="3" xfId="2" applyFont="1" applyFill="1" applyBorder="1" applyAlignment="1">
      <alignment horizontal="center"/>
    </xf>
    <xf numFmtId="165" fontId="0" fillId="17" borderId="11" xfId="2" applyNumberFormat="1" applyFont="1" applyFill="1" applyBorder="1" applyAlignment="1">
      <alignment horizontal="center"/>
    </xf>
    <xf numFmtId="9" fontId="0" fillId="17" borderId="11" xfId="2" applyFont="1" applyFill="1" applyBorder="1" applyAlignment="1">
      <alignment horizontal="center"/>
    </xf>
    <xf numFmtId="165" fontId="12" fillId="8" borderId="9" xfId="1" applyNumberFormat="1" applyFont="1" applyFill="1" applyBorder="1"/>
    <xf numFmtId="9" fontId="12" fillId="8" borderId="9" xfId="2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1" fontId="4" fillId="11" borderId="18" xfId="0" applyNumberFormat="1" applyFont="1" applyFill="1" applyBorder="1" applyAlignment="1">
      <alignment horizontal="center"/>
    </xf>
    <xf numFmtId="165" fontId="4" fillId="11" borderId="19" xfId="1" applyNumberFormat="1" applyFont="1" applyFill="1" applyBorder="1" applyAlignment="1">
      <alignment horizontal="center"/>
    </xf>
    <xf numFmtId="165" fontId="4" fillId="0" borderId="5" xfId="1" applyNumberFormat="1" applyFont="1" applyBorder="1"/>
    <xf numFmtId="9" fontId="4" fillId="0" borderId="5" xfId="2" applyFont="1" applyBorder="1"/>
    <xf numFmtId="165" fontId="7" fillId="2" borderId="6" xfId="1" applyNumberFormat="1" applyFont="1" applyFill="1" applyBorder="1"/>
    <xf numFmtId="165" fontId="7" fillId="0" borderId="6" xfId="1" applyNumberFormat="1" applyFont="1" applyFill="1" applyBorder="1"/>
    <xf numFmtId="165" fontId="7" fillId="0" borderId="12" xfId="1" applyNumberFormat="1" applyFont="1" applyFill="1" applyBorder="1"/>
    <xf numFmtId="9" fontId="7" fillId="0" borderId="6" xfId="2" applyFont="1" applyFill="1" applyBorder="1" applyAlignment="1">
      <alignment horizontal="center"/>
    </xf>
    <xf numFmtId="165" fontId="4" fillId="0" borderId="1" xfId="0" applyNumberFormat="1" applyFont="1" applyBorder="1"/>
    <xf numFmtId="165" fontId="4" fillId="0" borderId="2" xfId="1" applyNumberFormat="1" applyFont="1" applyBorder="1"/>
    <xf numFmtId="165" fontId="4" fillId="17" borderId="2" xfId="0" applyNumberFormat="1" applyFont="1" applyFill="1" applyBorder="1"/>
    <xf numFmtId="165" fontId="4" fillId="17" borderId="10" xfId="1" applyNumberFormat="1" applyFont="1" applyFill="1" applyBorder="1"/>
    <xf numFmtId="165" fontId="4" fillId="17" borderId="2" xfId="1" applyNumberFormat="1" applyFont="1" applyFill="1" applyBorder="1"/>
    <xf numFmtId="9" fontId="4" fillId="17" borderId="1" xfId="2" applyFont="1" applyFill="1" applyBorder="1" applyAlignment="1">
      <alignment horizontal="center"/>
    </xf>
    <xf numFmtId="9" fontId="4" fillId="17" borderId="2" xfId="2" applyFont="1" applyFill="1" applyBorder="1" applyAlignment="1">
      <alignment horizontal="center"/>
    </xf>
    <xf numFmtId="165" fontId="4" fillId="2" borderId="2" xfId="0" applyNumberFormat="1" applyFont="1" applyFill="1" applyBorder="1"/>
    <xf numFmtId="165" fontId="4" fillId="2" borderId="2" xfId="1" applyNumberFormat="1" applyFont="1" applyFill="1" applyBorder="1"/>
    <xf numFmtId="0" fontId="4" fillId="0" borderId="0" xfId="0" applyFont="1" applyAlignment="1">
      <alignment vertical="top"/>
    </xf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165" fontId="1" fillId="0" borderId="0" xfId="1" applyNumberFormat="1" applyFont="1"/>
    <xf numFmtId="169" fontId="0" fillId="0" borderId="0" xfId="1" applyNumberFormat="1" applyFont="1" applyFill="1" applyBorder="1"/>
    <xf numFmtId="4" fontId="0" fillId="0" borderId="0" xfId="0" applyNumberFormat="1"/>
    <xf numFmtId="9" fontId="0" fillId="0" borderId="0" xfId="2" applyFont="1"/>
    <xf numFmtId="0" fontId="4" fillId="11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3" fontId="0" fillId="0" borderId="0" xfId="0" applyNumberFormat="1"/>
    <xf numFmtId="0" fontId="4" fillId="0" borderId="2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5" fontId="4" fillId="0" borderId="5" xfId="0" applyNumberFormat="1" applyFont="1" applyBorder="1"/>
    <xf numFmtId="3" fontId="4" fillId="0" borderId="0" xfId="0" applyNumberFormat="1" applyFont="1"/>
    <xf numFmtId="1" fontId="4" fillId="0" borderId="5" xfId="0" applyNumberFormat="1" applyFont="1" applyBorder="1" applyAlignment="1">
      <alignment horizontal="center"/>
    </xf>
    <xf numFmtId="43" fontId="4" fillId="0" borderId="0" xfId="1" applyFont="1"/>
    <xf numFmtId="0" fontId="4" fillId="0" borderId="0" xfId="0" applyFont="1" applyAlignment="1">
      <alignment horizontal="right"/>
    </xf>
    <xf numFmtId="165" fontId="4" fillId="0" borderId="0" xfId="1" applyNumberFormat="1" applyFont="1"/>
    <xf numFmtId="43" fontId="0" fillId="0" borderId="0" xfId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Ajuste%20Stock%20Abril%202026%20v2.xlsx" TargetMode="External"/><Relationship Id="rId2" Type="http://schemas.openxmlformats.org/officeDocument/2006/relationships/externalLinkPath" Target="file:///C:\Users\rodrigom\Documents\Ajuste%20Stock%20Abril%202026%20v2.xlsx" TargetMode="External"/><Relationship Id="rId1" Type="http://schemas.openxmlformats.org/officeDocument/2006/relationships/externalLinkPath" Target="/Users/rodrigom/Documents/Ajuste%20Stock%20Abril%202026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RESUMEN%20VENTAS%20EXPORTACION%202025%20al%2022-6-2026.xlsx" TargetMode="External"/><Relationship Id="rId2" Type="http://schemas.openxmlformats.org/officeDocument/2006/relationships/externalLinkPath" Target="file:///C:\Users\rodrigom\Documents\RESUMEN%20VENTAS%20EXPORTACION%202025%20al%2022-6-2026.xlsx" TargetMode="External"/><Relationship Id="rId1" Type="http://schemas.openxmlformats.org/officeDocument/2006/relationships/externalLinkPath" Target="/Users/rodrigom/Documents/RESUMEN%20VENTAS%20EXPORTACION%202025%20al%2022-6-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Inventario%20PT%20y%20Avance%20Comercial%20al%2022-6-2026.xlsx" TargetMode="External"/><Relationship Id="rId2" Type="http://schemas.openxmlformats.org/officeDocument/2006/relationships/externalLinkPath" Target="file:///C:\Users\rodrigom\Documents\Inventario%20PT%20y%20Avance%20Comercial%20al%2022-6-2026.xlsx" TargetMode="External"/><Relationship Id="rId1" Type="http://schemas.openxmlformats.org/officeDocument/2006/relationships/externalLinkPath" Target="/Users/rodrigom/Documents/Inventario%20PT%20y%20Avance%20Comercial%20al%2022-6-20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Inventario%20PT%20y%20Avance%20Comercial%20al%2015-6-2026.xlsx" TargetMode="External"/><Relationship Id="rId2" Type="http://schemas.openxmlformats.org/officeDocument/2006/relationships/externalLinkPath" Target="file:///C:\Users\rodrigom\Documents\Inventario%20PT%20y%20Avance%20Comercial%20al%2015-6-2026.xlsx" TargetMode="External"/><Relationship Id="rId1" Type="http://schemas.openxmlformats.org/officeDocument/2006/relationships/externalLinkPath" Target="/Users/rodrigom/Documents/Inventario%20PT%20y%20Avance%20Comercial%20al%2015-6-202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RESUMEN%20VENTAS%20EXPORTACION%202025%20al%2020-7-2026.xlsx" TargetMode="External"/><Relationship Id="rId2" Type="http://schemas.openxmlformats.org/officeDocument/2006/relationships/externalLinkPath" Target="file:///C:\Users\rodrigom\Documents\RESUMEN%20VENTAS%20EXPORTACION%202025%20al%2020-7-2026.xlsx" TargetMode="External"/><Relationship Id="rId1" Type="http://schemas.openxmlformats.org/officeDocument/2006/relationships/externalLinkPath" Target="/Users/rodrigom/Documents/RESUMEN%20VENTAS%20EXPORTACION%202025%20al%2020-7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en"/>
      <sheetName val="Hoja1"/>
      <sheetName val="TD"/>
      <sheetName val="Data"/>
      <sheetName val="Cálculo"/>
    </sheetNames>
    <sheetDataSet>
      <sheetData sheetId="0">
        <row r="3">
          <cell r="K3">
            <v>2126.230658279324</v>
          </cell>
        </row>
        <row r="4">
          <cell r="K4">
            <v>2094.6361169260049</v>
          </cell>
        </row>
        <row r="5">
          <cell r="K5">
            <v>1946.6202776142766</v>
          </cell>
        </row>
        <row r="6">
          <cell r="K6">
            <v>2025.3424461865532</v>
          </cell>
        </row>
        <row r="7">
          <cell r="K7">
            <v>2107.1511928863524</v>
          </cell>
        </row>
        <row r="8">
          <cell r="C8">
            <v>10005721</v>
          </cell>
          <cell r="K8">
            <v>2136.6867833638648</v>
          </cell>
        </row>
        <row r="9">
          <cell r="K9">
            <v>1974.7197869741549</v>
          </cell>
        </row>
        <row r="10">
          <cell r="K10">
            <v>1840.5564205679732</v>
          </cell>
        </row>
        <row r="11">
          <cell r="C11">
            <v>10005779</v>
          </cell>
          <cell r="K11">
            <v>1753.693447499579</v>
          </cell>
        </row>
        <row r="12">
          <cell r="K12">
            <v>1782.56409434187</v>
          </cell>
        </row>
        <row r="13">
          <cell r="K13">
            <v>1915.8869184440748</v>
          </cell>
        </row>
        <row r="14">
          <cell r="C14">
            <v>10006719</v>
          </cell>
          <cell r="K14">
            <v>2035.7385678837293</v>
          </cell>
        </row>
        <row r="15">
          <cell r="C15">
            <v>10006720</v>
          </cell>
          <cell r="K15">
            <v>1529.2757311252617</v>
          </cell>
        </row>
        <row r="16">
          <cell r="K16">
            <v>1866.9166666666667</v>
          </cell>
        </row>
        <row r="17">
          <cell r="K17">
            <v>1532.4894209058921</v>
          </cell>
        </row>
        <row r="18">
          <cell r="K18">
            <v>1275.0995057916339</v>
          </cell>
        </row>
        <row r="19">
          <cell r="K19" t="str">
            <v xml:space="preserve"> </v>
          </cell>
        </row>
        <row r="20">
          <cell r="K20" t="str">
            <v xml:space="preserve"> </v>
          </cell>
        </row>
        <row r="21">
          <cell r="K21">
            <v>1931.1280065442866</v>
          </cell>
        </row>
        <row r="22">
          <cell r="K22">
            <v>1772.129900364884</v>
          </cell>
        </row>
        <row r="23">
          <cell r="C23">
            <v>10007162</v>
          </cell>
          <cell r="K23">
            <v>1882.1795185638512</v>
          </cell>
        </row>
        <row r="24">
          <cell r="C24">
            <v>10007969</v>
          </cell>
          <cell r="K24">
            <v>1494.6793794440853</v>
          </cell>
        </row>
        <row r="25">
          <cell r="K25">
            <v>1490.7915816326529</v>
          </cell>
        </row>
        <row r="26">
          <cell r="K26">
            <v>1367.0473271804969</v>
          </cell>
        </row>
        <row r="27">
          <cell r="K27">
            <v>1758.082720775697</v>
          </cell>
        </row>
        <row r="28">
          <cell r="K28">
            <v>1838.9357175572518</v>
          </cell>
        </row>
        <row r="29">
          <cell r="C29">
            <v>10005781</v>
          </cell>
          <cell r="K29">
            <v>1856.345845872738</v>
          </cell>
        </row>
        <row r="30">
          <cell r="K30">
            <v>1788.7115084478587</v>
          </cell>
        </row>
        <row r="31">
          <cell r="K31">
            <v>2014.3039236706686</v>
          </cell>
        </row>
        <row r="32">
          <cell r="C32">
            <v>10009207</v>
          </cell>
          <cell r="K32">
            <v>1545.5756063338247</v>
          </cell>
        </row>
        <row r="33">
          <cell r="K33">
            <v>3641.2946428571427</v>
          </cell>
        </row>
        <row r="34">
          <cell r="C34">
            <v>10009239</v>
          </cell>
          <cell r="K34">
            <v>3441.681665997347</v>
          </cell>
        </row>
        <row r="35">
          <cell r="K35">
            <v>1956.3846153846155</v>
          </cell>
        </row>
        <row r="36">
          <cell r="K36">
            <v>3381.3205833671382</v>
          </cell>
        </row>
        <row r="37">
          <cell r="K37" t="str">
            <v xml:space="preserve"> </v>
          </cell>
        </row>
        <row r="38">
          <cell r="K38" t="str">
            <v xml:space="preserve"> </v>
          </cell>
        </row>
        <row r="39">
          <cell r="K39">
            <v>1836.2230548455041</v>
          </cell>
        </row>
        <row r="40">
          <cell r="K40" t="str">
            <v xml:space="preserve"> </v>
          </cell>
        </row>
        <row r="41">
          <cell r="K41" t="str">
            <v xml:space="preserve"> </v>
          </cell>
        </row>
        <row r="42">
          <cell r="K42" t="str">
            <v xml:space="preserve"> </v>
          </cell>
        </row>
        <row r="43">
          <cell r="C43">
            <v>10009334</v>
          </cell>
          <cell r="K43">
            <v>3020.0740355810349</v>
          </cell>
        </row>
        <row r="44">
          <cell r="K44">
            <v>1504.539234144622</v>
          </cell>
        </row>
        <row r="45">
          <cell r="K45">
            <v>2737.6348452189836</v>
          </cell>
        </row>
        <row r="46">
          <cell r="C46">
            <v>10009386</v>
          </cell>
          <cell r="K46">
            <v>1883.7262986780906</v>
          </cell>
        </row>
        <row r="47">
          <cell r="C47">
            <v>10007050</v>
          </cell>
          <cell r="K47">
            <v>1570.5963362842754</v>
          </cell>
        </row>
        <row r="48">
          <cell r="K48">
            <v>1878.1655309723285</v>
          </cell>
        </row>
        <row r="49">
          <cell r="K49" t="str">
            <v xml:space="preserve"> </v>
          </cell>
        </row>
        <row r="50">
          <cell r="K50">
            <v>14619.069205197944</v>
          </cell>
        </row>
        <row r="51">
          <cell r="K51">
            <v>48443.988050784159</v>
          </cell>
        </row>
        <row r="52">
          <cell r="K52">
            <v>12634.381551362681</v>
          </cell>
        </row>
        <row r="53">
          <cell r="K53" t="str">
            <v xml:space="preserve"> </v>
          </cell>
        </row>
        <row r="54">
          <cell r="K54" t="str">
            <v xml:space="preserve"> </v>
          </cell>
        </row>
        <row r="55">
          <cell r="K55">
            <v>1849.5051020408164</v>
          </cell>
        </row>
        <row r="56">
          <cell r="K56">
            <v>1784.0206279313234</v>
          </cell>
        </row>
        <row r="57">
          <cell r="K57" t="str">
            <v xml:space="preserve"> </v>
          </cell>
        </row>
        <row r="58">
          <cell r="K58">
            <v>2043.3632080577509</v>
          </cell>
        </row>
        <row r="59">
          <cell r="K59">
            <v>2049.9114940184209</v>
          </cell>
        </row>
        <row r="60">
          <cell r="C60">
            <v>10007567</v>
          </cell>
          <cell r="K60">
            <v>1821.2402425897037</v>
          </cell>
        </row>
        <row r="61">
          <cell r="K61">
            <v>1783.7983912750385</v>
          </cell>
        </row>
        <row r="62">
          <cell r="K62">
            <v>1333.2441756981573</v>
          </cell>
        </row>
        <row r="63">
          <cell r="K63">
            <v>1945.1482959840719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etalle1"/>
      <sheetName val="FLETES"/>
      <sheetName val="Hoja1"/>
      <sheetName val="Hoja2"/>
      <sheetName val="2026"/>
      <sheetName val="PROGRAMACION"/>
      <sheetName val="2025 TOTAS FP"/>
      <sheetName val="EECC GLOBAL"/>
      <sheetName val="FP CHINA"/>
      <sheetName val="Tabla"/>
      <sheetName val="VARIOS CHINA"/>
    </sheetNames>
    <sheetDataSet>
      <sheetData sheetId="0"/>
      <sheetData sheetId="1"/>
      <sheetData sheetId="2"/>
      <sheetData sheetId="3">
        <row r="6">
          <cell r="F6">
            <v>46174</v>
          </cell>
          <cell r="I6">
            <v>26</v>
          </cell>
          <cell r="J6">
            <v>36400</v>
          </cell>
          <cell r="K6" t="str">
            <v>OTROS</v>
          </cell>
        </row>
        <row r="7">
          <cell r="F7">
            <v>46182</v>
          </cell>
          <cell r="I7">
            <v>26.28</v>
          </cell>
          <cell r="J7">
            <v>113004</v>
          </cell>
          <cell r="K7" t="str">
            <v>POTA ALAS COCIDAS</v>
          </cell>
        </row>
        <row r="8">
          <cell r="F8">
            <v>46182</v>
          </cell>
          <cell r="I8">
            <v>22.5</v>
          </cell>
          <cell r="J8">
            <v>29250</v>
          </cell>
          <cell r="K8" t="str">
            <v>POTA NUCAS CONGELADAS</v>
          </cell>
        </row>
        <row r="9">
          <cell r="F9">
            <v>46185</v>
          </cell>
          <cell r="I9">
            <v>69</v>
          </cell>
          <cell r="J9">
            <v>144900</v>
          </cell>
          <cell r="K9" t="str">
            <v>POTA ALAS CONGELADAS</v>
          </cell>
        </row>
        <row r="10">
          <cell r="F10">
            <v>46185</v>
          </cell>
          <cell r="I10">
            <v>108</v>
          </cell>
          <cell r="J10">
            <v>421200</v>
          </cell>
          <cell r="K10" t="str">
            <v>POTA FILETE DARUMA</v>
          </cell>
        </row>
        <row r="11">
          <cell r="F11">
            <v>46185</v>
          </cell>
          <cell r="I11">
            <v>27</v>
          </cell>
          <cell r="J11">
            <v>82350</v>
          </cell>
          <cell r="K11" t="str">
            <v>POTA REJOS CONGELADOS</v>
          </cell>
        </row>
        <row r="12">
          <cell r="F12">
            <v>46188</v>
          </cell>
          <cell r="I12">
            <v>26</v>
          </cell>
          <cell r="J12">
            <v>67600</v>
          </cell>
          <cell r="K12" t="str">
            <v>POTA REJOS CONGELADOS</v>
          </cell>
        </row>
        <row r="13">
          <cell r="F13">
            <v>46192</v>
          </cell>
          <cell r="I13">
            <v>54</v>
          </cell>
          <cell r="J13">
            <v>232200</v>
          </cell>
          <cell r="K13" t="str">
            <v>POTA ALAS COCIDAS</v>
          </cell>
        </row>
        <row r="14">
          <cell r="F14">
            <v>46192</v>
          </cell>
          <cell r="I14">
            <v>27</v>
          </cell>
          <cell r="J14">
            <v>59400</v>
          </cell>
          <cell r="K14" t="str">
            <v>POTA ALAS CONGELADAS</v>
          </cell>
        </row>
        <row r="15">
          <cell r="F15">
            <v>46192</v>
          </cell>
          <cell r="I15">
            <v>27</v>
          </cell>
          <cell r="J15">
            <v>46710</v>
          </cell>
          <cell r="K15" t="str">
            <v>POTA CONOS</v>
          </cell>
        </row>
        <row r="16">
          <cell r="F16">
            <v>46192</v>
          </cell>
          <cell r="I16">
            <v>54</v>
          </cell>
          <cell r="J16">
            <v>109080</v>
          </cell>
          <cell r="K16" t="str">
            <v>POTA FILETE CONGELADO</v>
          </cell>
        </row>
        <row r="17">
          <cell r="F17">
            <v>46195</v>
          </cell>
          <cell r="I17">
            <v>48</v>
          </cell>
          <cell r="J17">
            <v>81600</v>
          </cell>
          <cell r="K17" t="str">
            <v>POTA FILETE CONGELADO</v>
          </cell>
        </row>
        <row r="18">
          <cell r="F18">
            <v>46195</v>
          </cell>
          <cell r="I18">
            <v>52</v>
          </cell>
          <cell r="J18">
            <v>135200</v>
          </cell>
          <cell r="K18" t="str">
            <v>POTA REJOS CONGELADOS</v>
          </cell>
        </row>
        <row r="19">
          <cell r="F19">
            <v>46195</v>
          </cell>
          <cell r="I19">
            <v>27</v>
          </cell>
          <cell r="J19">
            <v>73710</v>
          </cell>
          <cell r="K19" t="str">
            <v>POTA REPRODUCTORES</v>
          </cell>
        </row>
        <row r="20">
          <cell r="F20">
            <v>46196</v>
          </cell>
          <cell r="I20">
            <v>27</v>
          </cell>
          <cell r="J20">
            <v>116100</v>
          </cell>
          <cell r="K20" t="str">
            <v>POTA ALAS COCIDAS</v>
          </cell>
        </row>
        <row r="21">
          <cell r="F21">
            <v>46196</v>
          </cell>
          <cell r="I21">
            <v>27</v>
          </cell>
          <cell r="J21">
            <v>54540</v>
          </cell>
          <cell r="K21" t="str">
            <v>POTA FILETE CONGELADO</v>
          </cell>
        </row>
        <row r="22">
          <cell r="F22">
            <v>46199</v>
          </cell>
          <cell r="I22">
            <v>54</v>
          </cell>
          <cell r="J22">
            <v>213300</v>
          </cell>
          <cell r="K22" t="str">
            <v>POTA ALAS COCIDAS</v>
          </cell>
        </row>
        <row r="23">
          <cell r="F23">
            <v>46199</v>
          </cell>
          <cell r="I23">
            <v>162</v>
          </cell>
          <cell r="J23">
            <v>638550</v>
          </cell>
          <cell r="K23" t="str">
            <v>POTA FILETE DARUMA</v>
          </cell>
        </row>
        <row r="24">
          <cell r="F24">
            <v>46199</v>
          </cell>
          <cell r="I24">
            <v>26</v>
          </cell>
          <cell r="J24">
            <v>35100</v>
          </cell>
          <cell r="K24" t="str">
            <v>POTA NUCAS CONGELADAS</v>
          </cell>
        </row>
        <row r="25">
          <cell r="F25">
            <v>46203</v>
          </cell>
          <cell r="I25">
            <v>54</v>
          </cell>
          <cell r="J25">
            <v>213300</v>
          </cell>
          <cell r="K25" t="str">
            <v>POTA FILETE DARUMA</v>
          </cell>
        </row>
        <row r="26">
          <cell r="F26">
            <v>46203</v>
          </cell>
          <cell r="I26">
            <v>162</v>
          </cell>
          <cell r="J26">
            <v>437400</v>
          </cell>
          <cell r="K26" t="str">
            <v>POTA REJOS CONGELADOS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EN AL 22-6-2026"/>
      <sheetName val="TD"/>
      <sheetName val="Stock Libre"/>
    </sheetNames>
    <sheetDataSet>
      <sheetData sheetId="0"/>
      <sheetData sheetId="1"/>
      <sheetData sheetId="2">
        <row r="36">
          <cell r="H36">
            <v>3.2548777446902504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EN AL 15-6-2026"/>
      <sheetName val="TD"/>
      <sheetName val="Stock Libre"/>
    </sheetNames>
    <sheetDataSet>
      <sheetData sheetId="0"/>
      <sheetData sheetId="1"/>
      <sheetData sheetId="2">
        <row r="47">
          <cell r="H47">
            <v>2.8244285114873775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etalle1"/>
      <sheetName val="FLETES"/>
      <sheetName val="Hoja1"/>
      <sheetName val="OPERADORES LOGISTICOS"/>
      <sheetName val="Hoja2"/>
      <sheetName val="Hoja3"/>
      <sheetName val="2026"/>
      <sheetName val="PROGRAMACION"/>
      <sheetName val="2025 TOTAS FP"/>
      <sheetName val="FP CHINA"/>
      <sheetName val="Tabla"/>
      <sheetName val="Hoja5"/>
      <sheetName val="Hoja4"/>
      <sheetName val="VARIOS CHINA"/>
    </sheetNames>
    <sheetDataSet>
      <sheetData sheetId="0"/>
      <sheetData sheetId="1"/>
      <sheetData sheetId="2"/>
      <sheetData sheetId="3"/>
      <sheetData sheetId="4"/>
      <sheetData sheetId="5">
        <row r="6">
          <cell r="F6">
            <v>46206</v>
          </cell>
          <cell r="I6">
            <v>27</v>
          </cell>
          <cell r="J6">
            <v>68850</v>
          </cell>
          <cell r="K6" t="str">
            <v>POTA RECORTES COCIDOS</v>
          </cell>
        </row>
        <row r="7">
          <cell r="F7">
            <v>46209</v>
          </cell>
          <cell r="I7">
            <v>26</v>
          </cell>
          <cell r="J7">
            <v>74100</v>
          </cell>
          <cell r="K7" t="str">
            <v>POTA REPRODUCTORES</v>
          </cell>
        </row>
        <row r="8">
          <cell r="F8">
            <v>46215</v>
          </cell>
          <cell r="I8">
            <v>54</v>
          </cell>
          <cell r="J8">
            <v>94500</v>
          </cell>
          <cell r="K8" t="str">
            <v>POTA ALAS CONGELADAS</v>
          </cell>
        </row>
        <row r="9">
          <cell r="F9">
            <v>46215</v>
          </cell>
          <cell r="I9">
            <v>54</v>
          </cell>
          <cell r="J9">
            <v>86400</v>
          </cell>
          <cell r="K9" t="str">
            <v>POTA CONOS</v>
          </cell>
        </row>
        <row r="10">
          <cell r="F10">
            <v>46215</v>
          </cell>
          <cell r="I10">
            <v>108</v>
          </cell>
          <cell r="J10">
            <v>275400</v>
          </cell>
          <cell r="K10" t="str">
            <v>POTA REJOS CONGELADOS</v>
          </cell>
        </row>
        <row r="11">
          <cell r="F11">
            <v>46215</v>
          </cell>
          <cell r="I11">
            <v>54</v>
          </cell>
          <cell r="J11">
            <v>86400</v>
          </cell>
          <cell r="K11" t="str">
            <v>OTROS</v>
          </cell>
        </row>
        <row r="12">
          <cell r="F12">
            <v>46216</v>
          </cell>
          <cell r="I12">
            <v>26</v>
          </cell>
          <cell r="J12">
            <v>70980</v>
          </cell>
          <cell r="K12" t="str">
            <v>POTA REPRODUCTORES</v>
          </cell>
        </row>
        <row r="13">
          <cell r="F13">
            <v>46222</v>
          </cell>
          <cell r="I13">
            <v>54</v>
          </cell>
          <cell r="J13">
            <v>86400</v>
          </cell>
          <cell r="K13" t="str">
            <v>OTROS</v>
          </cell>
        </row>
        <row r="14">
          <cell r="F14">
            <v>46222</v>
          </cell>
          <cell r="I14">
            <v>78</v>
          </cell>
          <cell r="J14">
            <v>103740</v>
          </cell>
          <cell r="K14" t="str">
            <v>POTA NUCAS CONGELADAS</v>
          </cell>
        </row>
        <row r="15">
          <cell r="F15">
            <v>46224</v>
          </cell>
          <cell r="I15">
            <v>24</v>
          </cell>
          <cell r="J15">
            <v>48000</v>
          </cell>
          <cell r="K15" t="str">
            <v>POTA FILETE CONGELADO</v>
          </cell>
        </row>
        <row r="16">
          <cell r="F16">
            <v>46225</v>
          </cell>
          <cell r="I16">
            <v>52</v>
          </cell>
          <cell r="J16">
            <v>67600</v>
          </cell>
          <cell r="K16" t="str">
            <v>POTA NUCAS CONGELADAS</v>
          </cell>
        </row>
        <row r="17">
          <cell r="F17">
            <v>46225</v>
          </cell>
          <cell r="I17">
            <v>27</v>
          </cell>
          <cell r="J17">
            <v>72360</v>
          </cell>
          <cell r="K17" t="str">
            <v>POTA REPRODUCTORES</v>
          </cell>
        </row>
        <row r="18">
          <cell r="F18">
            <v>46229</v>
          </cell>
          <cell r="I18">
            <v>27</v>
          </cell>
          <cell r="J18">
            <v>81000</v>
          </cell>
          <cell r="K18" t="str">
            <v>POTA REJOS CONGELADOS</v>
          </cell>
        </row>
        <row r="19">
          <cell r="F19">
            <v>46229</v>
          </cell>
          <cell r="I19">
            <v>27</v>
          </cell>
          <cell r="J19">
            <v>43200</v>
          </cell>
          <cell r="K19" t="str">
            <v>OTROS</v>
          </cell>
        </row>
        <row r="20">
          <cell r="F20">
            <v>46232</v>
          </cell>
          <cell r="I20">
            <v>26</v>
          </cell>
          <cell r="J20">
            <v>34580</v>
          </cell>
          <cell r="K20" t="str">
            <v>POTA NUCAS CONGELADAS</v>
          </cell>
        </row>
        <row r="21">
          <cell r="F21" t="str">
            <v>TBN</v>
          </cell>
          <cell r="I21">
            <v>27</v>
          </cell>
          <cell r="J21">
            <v>43200</v>
          </cell>
          <cell r="K21" t="str">
            <v>OTROS</v>
          </cell>
        </row>
        <row r="22">
          <cell r="F22" t="str">
            <v>TBN</v>
          </cell>
          <cell r="I22">
            <v>27</v>
          </cell>
          <cell r="J22">
            <v>48600</v>
          </cell>
          <cell r="K22" t="str">
            <v>POTA ALAS CONGELADAS</v>
          </cell>
        </row>
        <row r="23">
          <cell r="F23" t="str">
            <v>TBN</v>
          </cell>
          <cell r="I23">
            <v>27</v>
          </cell>
          <cell r="J23">
            <v>43200</v>
          </cell>
          <cell r="K23" t="str">
            <v>POTA CONOS</v>
          </cell>
        </row>
        <row r="24">
          <cell r="F24" t="str">
            <v>TBN</v>
          </cell>
          <cell r="I24">
            <v>108</v>
          </cell>
          <cell r="J24">
            <v>293910</v>
          </cell>
          <cell r="K24" t="str">
            <v>POTA REJOS CONGELADOS</v>
          </cell>
        </row>
        <row r="25">
          <cell r="F25" t="str">
            <v>TBN</v>
          </cell>
          <cell r="I25">
            <v>27</v>
          </cell>
          <cell r="J25">
            <v>43200</v>
          </cell>
          <cell r="K25" t="str">
            <v>OTROS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223.906668981479" createdVersion="8" refreshedVersion="8" minRefreshableVersion="3" recordCount="50" xr:uid="{0B73E612-A54C-4540-946A-2BC333A564B4}">
  <cacheSource type="worksheet">
    <worksheetSource ref="G1:P51" sheet="Stock Libre"/>
  </cacheSource>
  <cacheFields count="10">
    <cacheField name="CÓDIGO" numFmtId="0">
      <sharedItems containsSemiMixedTypes="0" containsString="0" containsNumber="1" containsInteger="1" minValue="10005721" maxValue="10009386" count="11">
        <n v="10006719"/>
        <n v="10009207"/>
        <n v="10007969"/>
        <n v="10005721"/>
        <n v="10005779"/>
        <n v="10007567"/>
        <n v="10007162"/>
        <n v="10009386"/>
        <n v="10009239"/>
        <n v="10009334"/>
        <n v="10007050"/>
      </sharedItems>
    </cacheField>
    <cacheField name="CU X TM" numFmtId="166">
      <sharedItems containsSemiMixedTypes="0" containsString="0" containsNumber="1" minValue="1.3336378445402104" maxValue="3.1915558235537271"/>
    </cacheField>
    <cacheField name="% MP" numFmtId="9">
      <sharedItems containsSemiMixedTypes="0" containsString="0" containsNumber="1" minValue="0.56000000000000005" maxValue="0.71"/>
    </cacheField>
    <cacheField name="incremento MP" numFmtId="9">
      <sharedItems containsSemiMixedTypes="0" containsString="0" containsNumber="1" minValue="-0.10285453744589619" maxValue="-0.10285453744589619"/>
    </cacheField>
    <cacheField name="TM en Stock" numFmtId="165">
      <sharedItems containsSemiMixedTypes="0" containsString="0" containsNumber="1" minValue="0" maxValue="519.7940000000001"/>
    </cacheField>
    <cacheField name="Costo Ventas" numFmtId="165">
      <sharedItems containsSemiMixedTypes="0" containsString="0" containsNumber="1" minValue="0" maxValue="953918.28405480215"/>
    </cacheField>
    <cacheField name="Gasto Ventas" numFmtId="165">
      <sharedItems containsSemiMixedTypes="0" containsString="0" containsNumber="1" minValue="0" maxValue="108033.98496000002"/>
    </cacheField>
    <cacheField name="Gasto ADM" numFmtId="165">
      <sharedItems containsSemiMixedTypes="0" containsString="0" containsNumber="1" minValue="0" maxValue="23448.727396418017"/>
    </cacheField>
    <cacheField name="Gasto Fin" numFmtId="165">
      <sharedItems containsSemiMixedTypes="0" containsString="0" containsNumber="1" minValue="0" maxValue="46096.225036038639"/>
    </cacheField>
    <cacheField name="Depreciación" numFmtId="165">
      <sharedItems containsSemiMixedTypes="0" containsString="0" containsNumber="1" minValue="0" maxValue="36848.9146066235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.8351852542638083"/>
    <n v="0.71"/>
    <n v="-0.10285453744589619"/>
    <n v="14.4"/>
    <n v="26426.667661398842"/>
    <n v="2992.8960000000002"/>
    <n v="649.60671825457655"/>
    <n v="1277.0167422458826"/>
    <n v="1020.8358894780988"/>
  </r>
  <r>
    <x v="0"/>
    <n v="1.8351852542638083"/>
    <n v="0.71"/>
    <n v="-0.10285453744589619"/>
    <n v="2.52"/>
    <n v="4624.6668407447969"/>
    <n v="523.7568"/>
    <n v="113.6811756945509"/>
    <n v="223.47792989302945"/>
    <n v="178.64628065866728"/>
  </r>
  <r>
    <x v="0"/>
    <n v="1.8351852542638083"/>
    <n v="0.71"/>
    <n v="-0.10285453744589619"/>
    <n v="2.98"/>
    <n v="5468.8520577061481"/>
    <n v="619.36320000000001"/>
    <n v="134.43250141657211"/>
    <n v="264.27152027032849"/>
    <n v="211.25631601699544"/>
  </r>
  <r>
    <x v="0"/>
    <n v="1.8351852542638083"/>
    <n v="0.71"/>
    <n v="-0.10285453744589619"/>
    <n v="0"/>
    <n v="0"/>
    <n v="0"/>
    <n v="0"/>
    <n v="0"/>
    <n v="0"/>
  </r>
  <r>
    <x v="0"/>
    <n v="1.8351852542638083"/>
    <n v="0.71"/>
    <n v="-0.10285453744589619"/>
    <n v="0"/>
    <n v="0"/>
    <n v="0"/>
    <n v="0"/>
    <n v="0"/>
    <n v="0"/>
  </r>
  <r>
    <x v="0"/>
    <n v="1.8351852542638083"/>
    <n v="0.71"/>
    <n v="-0.10285453744589619"/>
    <n v="0"/>
    <n v="0"/>
    <n v="0"/>
    <n v="0"/>
    <n v="0"/>
    <n v="0"/>
  </r>
  <r>
    <x v="0"/>
    <n v="1.8351852542638083"/>
    <n v="0.71"/>
    <n v="-0.10285453744589619"/>
    <n v="0"/>
    <n v="0"/>
    <n v="0"/>
    <n v="0"/>
    <n v="0"/>
    <n v="0"/>
  </r>
  <r>
    <x v="1"/>
    <n v="1.3808172868390651"/>
    <n v="0.71"/>
    <n v="-0.10285453744589619"/>
    <n v="26.12"/>
    <n v="36066.947532236387"/>
    <n v="5428.7808000000005"/>
    <n v="1178.3144083895515"/>
    <n v="2316.3664796848925"/>
    <n v="1851.6828773033292"/>
  </r>
  <r>
    <x v="2"/>
    <n v="1.3336378445402104"/>
    <n v="0.71"/>
    <n v="-0.10285453744589619"/>
    <n v="4.0199999999999996"/>
    <n v="5361.2241350516451"/>
    <n v="835.51679999999988"/>
    <n v="181.34854217940261"/>
    <n v="356.50050721030885"/>
    <n v="284.98335247930254"/>
  </r>
  <r>
    <x v="3"/>
    <n v="1.9375522697481991"/>
    <n v="0.67"/>
    <n v="-0.10285453744589619"/>
    <n v="0"/>
    <n v="0"/>
    <n v="0"/>
    <n v="0"/>
    <n v="0"/>
    <n v="0"/>
  </r>
  <r>
    <x v="3"/>
    <n v="1.9375522697481991"/>
    <n v="0.67"/>
    <n v="-0.10285453744589619"/>
    <n v="1.76"/>
    <n v="3410.0919947568304"/>
    <n v="365.79840000000002"/>
    <n v="79.396376675559353"/>
    <n v="156.07982405227455"/>
    <n v="124.76883093621207"/>
  </r>
  <r>
    <x v="3"/>
    <n v="1.9375522697481991"/>
    <n v="0.67"/>
    <n v="-0.10285453744589619"/>
    <n v="0"/>
    <n v="0"/>
    <n v="0"/>
    <n v="0"/>
    <n v="0"/>
    <n v="0"/>
  </r>
  <r>
    <x v="3"/>
    <n v="1.9375522697481991"/>
    <n v="0.67"/>
    <n v="-0.10285453744589619"/>
    <n v="19.86"/>
    <n v="38479.788077199228"/>
    <n v="4127.7024000000001"/>
    <n v="895.91593225943689"/>
    <n v="1761.2189236807797"/>
    <n v="1407.9028309052112"/>
  </r>
  <r>
    <x v="3"/>
    <n v="1.9375522697481991"/>
    <n v="0.67"/>
    <n v="-0.10285453744589619"/>
    <n v="1.08"/>
    <n v="2092.5564513280551"/>
    <n v="224.46720000000002"/>
    <n v="48.720503869093243"/>
    <n v="95.776255668441195"/>
    <n v="76.562691710857408"/>
  </r>
  <r>
    <x v="3"/>
    <n v="1.9375522697481991"/>
    <n v="0.67"/>
    <n v="-0.10285453744589619"/>
    <n v="3.08"/>
    <n v="5967.6609908244527"/>
    <n v="640.1472"/>
    <n v="138.94365918222888"/>
    <n v="273.13969209148047"/>
    <n v="218.34545413837114"/>
  </r>
  <r>
    <x v="3"/>
    <n v="1.9375522697481991"/>
    <n v="0.67"/>
    <n v="-0.10285453744589619"/>
    <n v="0"/>
    <n v="0"/>
    <n v="0"/>
    <n v="0"/>
    <n v="0"/>
    <n v="0"/>
  </r>
  <r>
    <x v="3"/>
    <n v="1.9375522697481991"/>
    <n v="0.67"/>
    <n v="-0.10285453744589619"/>
    <n v="5.3"/>
    <n v="10269.027029665456"/>
    <n v="1101.5519999999999"/>
    <n v="239.09136157980942"/>
    <n v="470.013106521054"/>
    <n v="375.72432043291133"/>
  </r>
  <r>
    <x v="3"/>
    <n v="1.9375522697481991"/>
    <n v="0.67"/>
    <n v="-0.10285453744589619"/>
    <n v="12.88"/>
    <n v="24955.673234356804"/>
    <n v="2676.9792000000002"/>
    <n v="581.03712021659351"/>
    <n v="1142.2205305643729"/>
    <n v="913.08099003318841"/>
  </r>
  <r>
    <x v="3"/>
    <n v="1.9375522697481991"/>
    <n v="0.67"/>
    <n v="-0.10285453744589619"/>
    <n v="0"/>
    <n v="0"/>
    <n v="0"/>
    <n v="0"/>
    <n v="0"/>
    <n v="0"/>
  </r>
  <r>
    <x v="3"/>
    <n v="1.9375522697481991"/>
    <n v="0.67"/>
    <n v="-0.10285453744589619"/>
    <n v="2.72"/>
    <n v="5270.1421737151013"/>
    <n v="565.3248000000001"/>
    <n v="122.70349122586447"/>
    <n v="241.2142735353334"/>
    <n v="192.82455690141867"/>
  </r>
  <r>
    <x v="3"/>
    <n v="1.9375522697481991"/>
    <n v="0.67"/>
    <n v="-0.10285453744589619"/>
    <n v="0"/>
    <n v="0"/>
    <n v="0"/>
    <n v="0"/>
    <n v="0"/>
    <n v="0"/>
  </r>
  <r>
    <x v="3"/>
    <n v="1.9375522697481991"/>
    <n v="0.67"/>
    <n v="-0.10285453744589619"/>
    <n v="3.2"/>
    <n v="6200.1672631942374"/>
    <n v="665.08800000000008"/>
    <n v="144.35704850101703"/>
    <n v="283.78149827686281"/>
    <n v="226.85241988402197"/>
  </r>
  <r>
    <x v="4"/>
    <n v="1.5845594840626747"/>
    <n v="0.65"/>
    <n v="-0.10285453744589619"/>
    <n v="130.26"/>
    <n v="206404.71839400398"/>
    <n v="27073.238399999998"/>
    <n v="5876.2341055445231"/>
    <n v="11551.680614232546"/>
    <n v="9234.311316903968"/>
  </r>
  <r>
    <x v="4"/>
    <n v="1.5845594840626747"/>
    <n v="0.65"/>
    <n v="-0.10285453744589619"/>
    <n v="40.1"/>
    <n v="63540.835310913259"/>
    <n v="8334.384"/>
    <n v="1808.9742640283696"/>
    <n v="3556.136900281937"/>
    <n v="2842.7443866716503"/>
  </r>
  <r>
    <x v="4"/>
    <n v="1.5845594840626747"/>
    <n v="0.65"/>
    <n v="-0.10285453744589619"/>
    <n v="1.04"/>
    <n v="1647.9418634251817"/>
    <n v="216.15360000000001"/>
    <n v="46.916040762830534"/>
    <n v="92.228986939980416"/>
    <n v="73.72703646230714"/>
  </r>
  <r>
    <x v="4"/>
    <n v="1.5845594840626747"/>
    <n v="0.65"/>
    <n v="-0.10285453744589619"/>
    <n v="47.12"/>
    <n v="74664.44288903322"/>
    <n v="9793.4207999999999"/>
    <n v="2125.6575391774754"/>
    <n v="4178.6825621268044"/>
    <n v="3340.4018827922232"/>
  </r>
  <r>
    <x v="4"/>
    <n v="1.5845594840626747"/>
    <n v="0.65"/>
    <n v="-0.10285453744589619"/>
    <n v="156.62"/>
    <n v="248173.70639389611"/>
    <n v="32551.900800000003"/>
    <n v="7065.3752925716517"/>
    <n v="13889.330706288203"/>
    <n v="11103.0081256986"/>
  </r>
  <r>
    <x v="4"/>
    <n v="1.5845594840626747"/>
    <n v="0.65"/>
    <n v="-0.10285453744589619"/>
    <n v="4.88"/>
    <n v="7732.6502822258517"/>
    <n v="1014.2592"/>
    <n v="220.14449896405094"/>
    <n v="432.76678487221574"/>
    <n v="345.94994032313349"/>
  </r>
  <r>
    <x v="5"/>
    <n v="1.6419707231337011"/>
    <n v="0.68"/>
    <n v="-0.10285453744589619"/>
    <n v="73.84"/>
    <n v="121243.1181961925"/>
    <n v="15346.905600000002"/>
    <n v="3331.0388941609676"/>
    <n v="6548.2580727386094"/>
    <n v="5234.6195888238062"/>
  </r>
  <r>
    <x v="5"/>
    <n v="1.6419707231337011"/>
    <n v="0.68"/>
    <n v="-0.10285453744589619"/>
    <n v="34.700000000000003"/>
    <n v="56976.384092739427"/>
    <n v="7212.0480000000007"/>
    <n v="1565.3717446829035"/>
    <n v="3077.2556219397311"/>
    <n v="2459.9309281173632"/>
  </r>
  <r>
    <x v="6"/>
    <n v="1.6986478399988745"/>
    <n v="0.68"/>
    <n v="-0.10285453744589619"/>
    <n v="0"/>
    <n v="0"/>
    <n v="0"/>
    <n v="0"/>
    <n v="0"/>
    <n v="0"/>
  </r>
  <r>
    <x v="6"/>
    <n v="1.6986478399988745"/>
    <n v="0.68"/>
    <n v="-0.10285453744589619"/>
    <n v="0"/>
    <n v="0"/>
    <n v="0"/>
    <n v="0"/>
    <n v="0"/>
    <n v="0"/>
  </r>
  <r>
    <x v="6"/>
    <n v="1.6986478399988745"/>
    <n v="0.68"/>
    <n v="-0.10285453744589619"/>
    <n v="0"/>
    <n v="0"/>
    <n v="0"/>
    <n v="0"/>
    <n v="0"/>
    <n v="0"/>
  </r>
  <r>
    <x v="6"/>
    <n v="1.6986478399988745"/>
    <n v="0.68"/>
    <n v="-0.10285453744589619"/>
    <n v="0"/>
    <n v="0"/>
    <n v="0"/>
    <n v="0"/>
    <n v="0"/>
    <n v="0"/>
  </r>
  <r>
    <x v="6"/>
    <n v="1.6986478399988745"/>
    <n v="0.68"/>
    <n v="-0.10285453744589619"/>
    <n v="0.34"/>
    <n v="577.54026559961733"/>
    <n v="70.665600000000012"/>
    <n v="15.337936403233059"/>
    <n v="30.151784191916676"/>
    <n v="24.103069612677334"/>
  </r>
  <r>
    <x v="6"/>
    <n v="1.6986478399988745"/>
    <n v="0.68"/>
    <n v="-0.10285453744589619"/>
    <n v="3.7"/>
    <n v="6284.9970079958357"/>
    <n v="769.00800000000004"/>
    <n v="166.91283732930094"/>
    <n v="328.12235738262262"/>
    <n v="262.2981104909004"/>
  </r>
  <r>
    <x v="6"/>
    <n v="1.6986478399988745"/>
    <n v="0.68"/>
    <n v="-0.10285453744589619"/>
    <n v="2.68"/>
    <n v="4552.3762111969845"/>
    <n v="557.01120000000003"/>
    <n v="120.89902811960175"/>
    <n v="237.6670048068726"/>
    <n v="189.98890165286838"/>
  </r>
  <r>
    <x v="6"/>
    <n v="1.6986478399988745"/>
    <n v="0.68"/>
    <n v="-0.10285453744589619"/>
    <n v="32.299999999999997"/>
    <n v="54866.325231963645"/>
    <n v="6713.232"/>
    <n v="1457.1039583071404"/>
    <n v="2864.4194982320837"/>
    <n v="2289.7916132043465"/>
  </r>
  <r>
    <x v="6"/>
    <n v="1.6986478399988745"/>
    <n v="0.68"/>
    <n v="-0.10285453744589619"/>
    <n v="131.97999999999999"/>
    <n v="224187.54192305144"/>
    <n v="27430.723199999997"/>
    <n v="5953.8260191138197"/>
    <n v="11704.213169556358"/>
    <n v="9356.2444925916298"/>
  </r>
  <r>
    <x v="7"/>
    <n v="1.7000864366329511"/>
    <n v="0.68"/>
    <n v="-0.10285453744589619"/>
    <n v="20.7"/>
    <n v="35191.789238302088"/>
    <n v="4302.2879999999996"/>
    <n v="933.80965749095378"/>
    <n v="1835.7115669784562"/>
    <n v="1467.451591124767"/>
  </r>
  <r>
    <x v="8"/>
    <n v="3.1915558235537271"/>
    <n v="0.56000000000000005"/>
    <n v="-0.10285453744589619"/>
    <n v="0"/>
    <n v="0"/>
    <n v="0"/>
    <n v="0"/>
    <n v="0"/>
    <n v="0"/>
  </r>
  <r>
    <x v="8"/>
    <n v="3.1915558235537271"/>
    <n v="0.56000000000000005"/>
    <n v="-0.10285453744589619"/>
    <n v="2.8"/>
    <n v="8936.356305950434"/>
    <n v="581.952"/>
    <n v="126.31241743838989"/>
    <n v="248.30881099225493"/>
    <n v="198.49586739851918"/>
  </r>
  <r>
    <x v="9"/>
    <n v="2.7569567793532417"/>
    <n v="0.68"/>
    <n v="-0.10285453744589619"/>
    <n v="0"/>
    <n v="0"/>
    <n v="0"/>
    <n v="0"/>
    <n v="0"/>
    <n v="0"/>
  </r>
  <r>
    <x v="9"/>
    <n v="2.7569567793532417"/>
    <n v="0.68"/>
    <n v="-0.10285453744589619"/>
    <n v="6.9560000000000004"/>
    <n v="19177.39135718115"/>
    <n v="1445.73504"/>
    <n v="313.79613417908575"/>
    <n v="616.87003187933055"/>
    <n v="493.12044772289272"/>
  </r>
  <r>
    <x v="9"/>
    <n v="2.7569567793532417"/>
    <n v="0.68"/>
    <n v="-0.10285453744589619"/>
    <n v="7.67"/>
    <n v="21145.858497639361"/>
    <n v="1594.1328000000001"/>
    <n v="346.00580062587517"/>
    <n v="680.18877868235552"/>
    <n v="543.73689390951506"/>
  </r>
  <r>
    <x v="10"/>
    <n v="1.4088571237000131"/>
    <n v="0.68"/>
    <n v="-0.10285453744589619"/>
    <n v="8.98"/>
    <n v="12651.536970826119"/>
    <n v="1866.4032000000002"/>
    <n v="405.10196735597901"/>
    <n v="796.36182953944626"/>
    <n v="636.60460329953662"/>
  </r>
  <r>
    <x v="10"/>
    <n v="1.4088571237000131"/>
    <n v="0.68"/>
    <n v="-0.10285453744589619"/>
    <n v="0"/>
    <n v="0"/>
    <n v="0"/>
    <n v="0"/>
    <n v="0"/>
    <n v="0"/>
  </r>
  <r>
    <x v="10"/>
    <n v="1.4088571237000131"/>
    <n v="0.68"/>
    <n v="-0.10285453744589619"/>
    <n v="2.7149999999999999"/>
    <n v="3825.0470908455354"/>
    <n v="564.28559999999993"/>
    <n v="122.47793333758162"/>
    <n v="240.77086494427576"/>
    <n v="192.47009999534987"/>
  </r>
  <r>
    <x v="3"/>
    <n v="1.9375522697481991"/>
    <n v="0.67"/>
    <n v="-0.10285453744589619"/>
    <n v="412.78600000000006"/>
    <n v="799794.45122028014"/>
    <n v="85793.442240000019"/>
    <n v="18621.427694544007"/>
    <n v="36606.571733660341"/>
    <n v="29262.969685701843"/>
  </r>
  <r>
    <x v="0"/>
    <n v="1.8351852542638083"/>
    <n v="0.71"/>
    <n v="-0.10285453744589619"/>
    <n v="519.7940000000001"/>
    <n v="953918.28405480215"/>
    <n v="108033.98496000002"/>
    <n v="23448.727396418017"/>
    <n v="46096.225036038639"/>
    <n v="36848.9146066235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F5210-FF4D-4B39-A5BF-C5778925D77F}" name="TablaDinámica4" cacheId="1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K15" firstHeaderRow="0" firstDataRow="1" firstDataCol="1"/>
  <pivotFields count="10">
    <pivotField axis="axisRow" showAll="0">
      <items count="12">
        <item x="3"/>
        <item x="4"/>
        <item x="0"/>
        <item x="10"/>
        <item x="6"/>
        <item x="5"/>
        <item x="2"/>
        <item x="8"/>
        <item x="9"/>
        <item x="7"/>
        <item x="1"/>
        <item t="default"/>
      </items>
    </pivotField>
    <pivotField numFmtId="166" showAll="0"/>
    <pivotField numFmtId="9" showAll="0"/>
    <pivotField numFmtId="9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TM en Stock" fld="4" baseField="0" baseItem="0" numFmtId="165"/>
    <dataField name="Suma de Costo Ventas" fld="5" baseField="0" baseItem="0" numFmtId="165"/>
    <dataField name="Suma de Gasto Ventas" fld="6" baseField="0" baseItem="0" numFmtId="165"/>
    <dataField name="Suma de Gasto ADM" fld="7" baseField="0" baseItem="0" numFmtId="165"/>
    <dataField name="Suma de Gasto Fin" fld="8" baseField="0" baseItem="0" numFmtId="165"/>
    <dataField name="Suma de Depreciación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82E6-2A6C-4008-B74A-C2B45030A2B9}">
  <dimension ref="B2:CU37"/>
  <sheetViews>
    <sheetView showGridLines="0" tabSelected="1" zoomScale="70" zoomScaleNormal="70" workbookViewId="0">
      <pane xSplit="4" ySplit="6" topLeftCell="AX7" activePane="bottomRight" state="frozen"/>
      <selection pane="topRight" activeCell="E1" sqref="E1"/>
      <selection pane="bottomLeft" activeCell="A7" sqref="A7"/>
      <selection pane="bottomRight" activeCell="BX29" sqref="BX29"/>
    </sheetView>
  </sheetViews>
  <sheetFormatPr baseColWidth="10" defaultRowHeight="14.4" outlineLevelCol="2" x14ac:dyDescent="0.3"/>
  <cols>
    <col min="1" max="1" width="7.77734375" customWidth="1"/>
    <col min="2" max="2" width="14.33203125" hidden="1" customWidth="1" outlineLevel="1"/>
    <col min="3" max="3" width="34.109375" customWidth="1" collapsed="1"/>
    <col min="4" max="5" width="12.88671875" customWidth="1" outlineLevel="1"/>
    <col min="6" max="7" width="13.5546875" customWidth="1" outlineLevel="2"/>
    <col min="8" max="8" width="11.77734375" customWidth="1" outlineLevel="2"/>
    <col min="9" max="9" width="10.5546875" customWidth="1" outlineLevel="2"/>
    <col min="10" max="10" width="14.109375" customWidth="1" outlineLevel="2"/>
    <col min="11" max="11" width="13.77734375" customWidth="1" outlineLevel="2"/>
    <col min="12" max="12" width="13.44140625" customWidth="1" outlineLevel="2"/>
    <col min="13" max="13" width="17.33203125" customWidth="1" outlineLevel="2"/>
    <col min="14" max="16" width="16" customWidth="1" outlineLevel="2"/>
    <col min="17" max="22" width="17.5546875" customWidth="1" outlineLevel="2"/>
    <col min="23" max="23" width="9.6640625" customWidth="1" outlineLevel="1"/>
    <col min="24" max="25" width="11.5546875" customWidth="1" outlineLevel="1"/>
    <col min="26" max="53" width="12.6640625" customWidth="1" outlineLevel="1"/>
    <col min="54" max="68" width="12.6640625" hidden="1" customWidth="1" outlineLevel="1"/>
    <col min="69" max="70" width="11.5546875" hidden="1" customWidth="1" outlineLevel="1"/>
    <col min="71" max="71" width="12.6640625" hidden="1" customWidth="1" outlineLevel="1"/>
    <col min="73" max="73" width="13.77734375" bestFit="1" customWidth="1"/>
    <col min="74" max="74" width="14.88671875" bestFit="1" customWidth="1"/>
    <col min="75" max="80" width="12.6640625" customWidth="1" outlineLevel="1"/>
    <col min="81" max="81" width="12" bestFit="1" customWidth="1"/>
    <col min="86" max="86" width="14.77734375" customWidth="1"/>
    <col min="87" max="87" width="12.6640625" bestFit="1" customWidth="1"/>
    <col min="88" max="88" width="12.44140625" bestFit="1" customWidth="1"/>
    <col min="91" max="91" width="12.6640625" bestFit="1" customWidth="1"/>
    <col min="94" max="94" width="12.6640625" bestFit="1" customWidth="1"/>
  </cols>
  <sheetData>
    <row r="2" spans="2:99" ht="15.6" x14ac:dyDescent="0.3">
      <c r="C2" s="53" t="s">
        <v>87</v>
      </c>
    </row>
    <row r="3" spans="2:99" x14ac:dyDescent="0.3">
      <c r="C3" s="54" t="s">
        <v>121</v>
      </c>
      <c r="G3" s="49"/>
      <c r="M3" s="55"/>
      <c r="N3" s="49"/>
      <c r="O3" s="49"/>
      <c r="P3" s="49"/>
    </row>
    <row r="4" spans="2:99" ht="15" thickBot="1" x14ac:dyDescent="0.35">
      <c r="C4" s="54"/>
      <c r="G4" s="56"/>
      <c r="M4" s="56"/>
      <c r="BT4" s="57"/>
      <c r="BU4" s="57"/>
      <c r="BV4" s="57"/>
      <c r="BW4" s="57"/>
      <c r="BX4" s="57"/>
      <c r="BY4" s="57"/>
      <c r="BZ4" s="57"/>
      <c r="CA4" s="57"/>
      <c r="CB4" s="57"/>
      <c r="CC4" s="57"/>
      <c r="CD4" s="57"/>
      <c r="CE4" s="58"/>
      <c r="CF4" s="58"/>
    </row>
    <row r="5" spans="2:99" ht="15" thickBot="1" x14ac:dyDescent="0.35">
      <c r="F5" s="59" t="s">
        <v>88</v>
      </c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1"/>
      <c r="X5" s="62">
        <v>46206</v>
      </c>
      <c r="Y5" s="62"/>
      <c r="Z5" s="62"/>
      <c r="AA5" s="63">
        <v>46209</v>
      </c>
      <c r="AB5" s="64"/>
      <c r="AC5" s="65"/>
      <c r="AD5" s="63">
        <v>46215</v>
      </c>
      <c r="AE5" s="64"/>
      <c r="AF5" s="65"/>
      <c r="AG5" s="63">
        <v>46216</v>
      </c>
      <c r="AH5" s="64"/>
      <c r="AI5" s="65"/>
      <c r="AJ5" s="63">
        <v>46222</v>
      </c>
      <c r="AK5" s="64"/>
      <c r="AL5" s="65"/>
      <c r="AM5" s="63">
        <v>46224</v>
      </c>
      <c r="AN5" s="64"/>
      <c r="AO5" s="65"/>
      <c r="AP5" s="63">
        <v>46225</v>
      </c>
      <c r="AQ5" s="64"/>
      <c r="AR5" s="65"/>
      <c r="AS5" s="63">
        <v>46229</v>
      </c>
      <c r="AT5" s="64"/>
      <c r="AU5" s="65"/>
      <c r="AV5" s="63">
        <v>46232</v>
      </c>
      <c r="AW5" s="64"/>
      <c r="AX5" s="65"/>
      <c r="AY5" s="63" t="s">
        <v>89</v>
      </c>
      <c r="AZ5" s="64"/>
      <c r="BA5" s="65"/>
      <c r="BB5" s="63"/>
      <c r="BC5" s="64"/>
      <c r="BD5" s="65"/>
      <c r="BE5" s="63"/>
      <c r="BF5" s="64"/>
      <c r="BG5" s="65"/>
      <c r="BH5" s="63"/>
      <c r="BI5" s="64"/>
      <c r="BJ5" s="65"/>
      <c r="BK5" s="63"/>
      <c r="BL5" s="64"/>
      <c r="BM5" s="65"/>
      <c r="BN5" s="63"/>
      <c r="BO5" s="64"/>
      <c r="BP5" s="65"/>
      <c r="BQ5" s="63"/>
      <c r="BR5" s="64"/>
      <c r="BS5" s="65"/>
      <c r="BT5" s="66" t="s">
        <v>90</v>
      </c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H5" s="68" t="s">
        <v>91</v>
      </c>
      <c r="CI5" s="69"/>
      <c r="CJ5" s="69"/>
      <c r="CK5" s="69"/>
      <c r="CL5" s="69"/>
      <c r="CM5" s="69"/>
      <c r="CN5" s="69"/>
      <c r="CO5" s="69"/>
      <c r="CP5" s="70"/>
    </row>
    <row r="6" spans="2:99" s="80" customFormat="1" ht="29.4" thickBot="1" x14ac:dyDescent="0.35">
      <c r="B6" s="71" t="s">
        <v>92</v>
      </c>
      <c r="C6" s="72" t="s">
        <v>93</v>
      </c>
      <c r="D6" s="73" t="s">
        <v>94</v>
      </c>
      <c r="E6" s="74" t="s">
        <v>95</v>
      </c>
      <c r="F6" s="75" t="s">
        <v>60</v>
      </c>
      <c r="G6" s="76" t="s">
        <v>61</v>
      </c>
      <c r="H6" s="76" t="s">
        <v>62</v>
      </c>
      <c r="I6" s="76" t="s">
        <v>63</v>
      </c>
      <c r="J6" s="76" t="s">
        <v>64</v>
      </c>
      <c r="K6" s="76" t="s">
        <v>65</v>
      </c>
      <c r="L6" s="77" t="s">
        <v>66</v>
      </c>
      <c r="M6" s="78" t="s">
        <v>96</v>
      </c>
      <c r="N6" s="78" t="s">
        <v>97</v>
      </c>
      <c r="O6" s="78" t="s">
        <v>98</v>
      </c>
      <c r="P6" s="78" t="s">
        <v>99</v>
      </c>
      <c r="Q6" s="79" t="s">
        <v>100</v>
      </c>
      <c r="R6" s="79" t="s">
        <v>101</v>
      </c>
      <c r="S6" s="79" t="s">
        <v>102</v>
      </c>
      <c r="T6" s="79" t="s">
        <v>103</v>
      </c>
      <c r="U6" s="79" t="s">
        <v>104</v>
      </c>
      <c r="V6" s="79" t="s">
        <v>105</v>
      </c>
      <c r="X6" s="8" t="s">
        <v>106</v>
      </c>
      <c r="Y6" s="21" t="s">
        <v>107</v>
      </c>
      <c r="Z6" s="81" t="s">
        <v>108</v>
      </c>
      <c r="AA6" s="8" t="s">
        <v>106</v>
      </c>
      <c r="AB6" s="21" t="s">
        <v>107</v>
      </c>
      <c r="AC6" s="81" t="s">
        <v>108</v>
      </c>
      <c r="AD6" s="8" t="s">
        <v>106</v>
      </c>
      <c r="AE6" s="21" t="s">
        <v>107</v>
      </c>
      <c r="AF6" s="81" t="s">
        <v>108</v>
      </c>
      <c r="AG6" s="8" t="s">
        <v>106</v>
      </c>
      <c r="AH6" s="21" t="s">
        <v>107</v>
      </c>
      <c r="AI6" s="81" t="s">
        <v>108</v>
      </c>
      <c r="AJ6" s="8" t="s">
        <v>106</v>
      </c>
      <c r="AK6" s="21" t="s">
        <v>107</v>
      </c>
      <c r="AL6" s="81" t="s">
        <v>108</v>
      </c>
      <c r="AM6" s="8" t="s">
        <v>106</v>
      </c>
      <c r="AN6" s="21" t="s">
        <v>107</v>
      </c>
      <c r="AO6" s="81" t="s">
        <v>108</v>
      </c>
      <c r="AP6" s="8" t="s">
        <v>106</v>
      </c>
      <c r="AQ6" s="21" t="s">
        <v>107</v>
      </c>
      <c r="AR6" s="81" t="s">
        <v>108</v>
      </c>
      <c r="AS6" s="8" t="s">
        <v>106</v>
      </c>
      <c r="AT6" s="21" t="s">
        <v>107</v>
      </c>
      <c r="AU6" s="81" t="s">
        <v>108</v>
      </c>
      <c r="AV6" s="8" t="s">
        <v>106</v>
      </c>
      <c r="AW6" s="21" t="s">
        <v>107</v>
      </c>
      <c r="AX6" s="81" t="s">
        <v>108</v>
      </c>
      <c r="AY6" s="8" t="s">
        <v>106</v>
      </c>
      <c r="AZ6" s="21" t="s">
        <v>107</v>
      </c>
      <c r="BA6" s="81" t="s">
        <v>108</v>
      </c>
      <c r="BB6" s="8" t="s">
        <v>106</v>
      </c>
      <c r="BC6" s="21" t="s">
        <v>107</v>
      </c>
      <c r="BD6" s="81" t="s">
        <v>108</v>
      </c>
      <c r="BE6" s="8" t="s">
        <v>106</v>
      </c>
      <c r="BF6" s="21" t="s">
        <v>107</v>
      </c>
      <c r="BG6" s="81" t="s">
        <v>108</v>
      </c>
      <c r="BH6" s="8" t="s">
        <v>106</v>
      </c>
      <c r="BI6" s="21" t="s">
        <v>107</v>
      </c>
      <c r="BJ6" s="81" t="s">
        <v>108</v>
      </c>
      <c r="BK6" s="8" t="s">
        <v>106</v>
      </c>
      <c r="BL6" s="21" t="s">
        <v>107</v>
      </c>
      <c r="BM6" s="81" t="s">
        <v>108</v>
      </c>
      <c r="BN6" s="8" t="s">
        <v>106</v>
      </c>
      <c r="BO6" s="21" t="s">
        <v>107</v>
      </c>
      <c r="BP6" s="81" t="s">
        <v>108</v>
      </c>
      <c r="BQ6" s="8" t="s">
        <v>106</v>
      </c>
      <c r="BR6" s="21" t="s">
        <v>107</v>
      </c>
      <c r="BS6" s="81" t="s">
        <v>108</v>
      </c>
      <c r="BT6" s="82" t="s">
        <v>106</v>
      </c>
      <c r="BU6" s="83" t="s">
        <v>107</v>
      </c>
      <c r="BV6" s="83" t="s">
        <v>108</v>
      </c>
      <c r="BW6" s="83" t="s">
        <v>60</v>
      </c>
      <c r="BX6" s="83" t="s">
        <v>61</v>
      </c>
      <c r="BY6" s="83" t="s">
        <v>109</v>
      </c>
      <c r="BZ6" s="84" t="s">
        <v>63</v>
      </c>
      <c r="CA6" s="83" t="s">
        <v>64</v>
      </c>
      <c r="CB6" s="83" t="s">
        <v>110</v>
      </c>
      <c r="CC6" s="84" t="s">
        <v>111</v>
      </c>
      <c r="CD6" s="83" t="s">
        <v>112</v>
      </c>
      <c r="CE6" s="83" t="s">
        <v>104</v>
      </c>
      <c r="CF6" s="84" t="s">
        <v>113</v>
      </c>
      <c r="CH6" s="85" t="s">
        <v>108</v>
      </c>
      <c r="CI6" s="85" t="s">
        <v>60</v>
      </c>
      <c r="CJ6" s="85" t="s">
        <v>61</v>
      </c>
      <c r="CK6" s="85" t="s">
        <v>109</v>
      </c>
      <c r="CL6" s="86" t="s">
        <v>63</v>
      </c>
      <c r="CM6" s="85" t="s">
        <v>64</v>
      </c>
      <c r="CN6" s="85" t="s">
        <v>110</v>
      </c>
      <c r="CO6" s="86" t="s">
        <v>111</v>
      </c>
      <c r="CP6" s="86" t="s">
        <v>104</v>
      </c>
    </row>
    <row r="7" spans="2:99" x14ac:dyDescent="0.3">
      <c r="B7" s="48">
        <v>10005721</v>
      </c>
      <c r="C7" s="51" t="s">
        <v>78</v>
      </c>
      <c r="D7" s="87">
        <f>TD!F4</f>
        <v>462.66600000000005</v>
      </c>
      <c r="E7" s="88">
        <f t="shared" ref="E7:E18" si="0">IFERROR(F7/D7,0)</f>
        <v>1937.5522697481988</v>
      </c>
      <c r="F7" s="89">
        <f>TD!G4</f>
        <v>896439.55843532027</v>
      </c>
      <c r="G7" s="49">
        <f>TD!H4</f>
        <v>96160.501440000022</v>
      </c>
      <c r="H7" s="49">
        <f>TD!I4</f>
        <v>20871.593188053608</v>
      </c>
      <c r="I7" s="49">
        <f>TD!J4</f>
        <v>41030.015838050938</v>
      </c>
      <c r="J7" s="49">
        <f>TD!K4</f>
        <v>32799.031780644036</v>
      </c>
      <c r="K7" s="90">
        <v>0</v>
      </c>
      <c r="L7" s="91">
        <v>0</v>
      </c>
      <c r="M7" s="92">
        <f t="shared" ref="M7:M17" si="1">F7+G7+H7+I7</f>
        <v>1054501.6689014249</v>
      </c>
      <c r="N7" s="93">
        <f>IFERROR(M7/D7,0)</f>
        <v>2279.1855656162861</v>
      </c>
      <c r="O7" s="93">
        <f t="shared" ref="O7:O17" si="2">F7+G7+H7-J7</f>
        <v>980672.62128272979</v>
      </c>
      <c r="P7" s="93">
        <f t="shared" ref="P7:P18" si="3">IFERROR(O7/D7,0)</f>
        <v>2119.6124661910098</v>
      </c>
      <c r="Q7" s="94">
        <v>1400</v>
      </c>
      <c r="R7" s="94">
        <f>Q7*D7</f>
        <v>647732.4</v>
      </c>
      <c r="S7" s="94">
        <f t="shared" ref="S7:S17" si="4">R7-M7+(Q7-$BY$19)*D7*0.03</f>
        <v>-388922.07990647457</v>
      </c>
      <c r="T7" s="95">
        <f t="shared" ref="T7:T17" si="5">IFERROR(S7/R7,0)</f>
        <v>-0.60043635289276032</v>
      </c>
      <c r="U7" s="94">
        <f t="shared" ref="U7:U17" si="6">R7-(M7-J7-I7)+(Q7-$BY$19)*D7*0.03</f>
        <v>-315093.0322877795</v>
      </c>
      <c r="V7" s="95">
        <f t="shared" ref="V7:V18" si="7">IFERROR(U7/R7,0)</f>
        <v>-0.48645556758899122</v>
      </c>
      <c r="X7" s="96" cm="1">
        <f t="array" ref="X7">SUM([5]Hoja3!$I$6:$I$25*([5]Hoja3!$F$6:$F$25=X$5)*([5]Hoja3!$K$6:$K$25=$C7))</f>
        <v>0</v>
      </c>
      <c r="Y7" s="96" cm="1">
        <f t="array" ref="Y7">SUM([5]Hoja3!$J$6:$J$25*([5]Hoja3!$F$6:$F$25=X$5)*([5]Hoja3!$K$6:$K$25=$C7))</f>
        <v>0</v>
      </c>
      <c r="Z7" s="97">
        <f>IFERROR(Y7/X7,0)</f>
        <v>0</v>
      </c>
      <c r="AA7" s="96" cm="1">
        <f t="array" ref="AA7">SUM([5]Hoja3!$I$6:$I$25*([5]Hoja3!$F$6:$F$25=AA$5)*([5]Hoja3!$K$6:$K$25=$C7))</f>
        <v>0</v>
      </c>
      <c r="AB7" s="96" cm="1">
        <f t="array" ref="AB7">SUM([5]Hoja3!$J$6:$J$25*([5]Hoja3!$F$6:$F$25=AA$5)*([5]Hoja3!$K$6:$K$25=$C7))</f>
        <v>0</v>
      </c>
      <c r="AC7" s="97">
        <f>IFERROR(AB7/AA7,0)</f>
        <v>0</v>
      </c>
      <c r="AD7" s="96" cm="1">
        <f t="array" ref="AD7">SUM([5]Hoja3!$I$6:$I$25*([5]Hoja3!$F$6:$F$25=AD$5)*([5]Hoja3!$K$6:$K$25=$C7))</f>
        <v>0</v>
      </c>
      <c r="AE7" s="96" cm="1">
        <f t="array" ref="AE7">SUM([5]Hoja3!$J$6:$J$25*([5]Hoja3!$F$6:$F$25=AD$5)*([5]Hoja3!$K$6:$K$25=$C7))</f>
        <v>0</v>
      </c>
      <c r="AF7" s="97">
        <f>IFERROR(AE7/AD7,0)</f>
        <v>0</v>
      </c>
      <c r="AG7" s="96" cm="1">
        <f t="array" ref="AG7">SUM([5]Hoja3!$I$6:$I$25*([5]Hoja3!$F$6:$F$25=AG$5)*([5]Hoja3!$K$6:$K$25=$C7))</f>
        <v>0</v>
      </c>
      <c r="AH7" s="96" cm="1">
        <f t="array" ref="AH7">SUM([5]Hoja3!$J$6:$J$25*([5]Hoja3!$F$6:$F$25=AG$5)*([5]Hoja3!$K$6:$K$25=$C7))</f>
        <v>0</v>
      </c>
      <c r="AI7" s="97">
        <f>IFERROR(AH7/AG7,0)</f>
        <v>0</v>
      </c>
      <c r="AJ7" s="96" cm="1">
        <f t="array" ref="AJ7">SUM([5]Hoja3!$I$6:$I$25*([5]Hoja3!$F$6:$F$25=AJ$5)*([5]Hoja3!$K$6:$K$25=$C7))</f>
        <v>0</v>
      </c>
      <c r="AK7" s="96" cm="1">
        <f t="array" ref="AK7">SUM([5]Hoja3!$J$6:$J$25*([5]Hoja3!$F$6:$F$25=AJ$5)*([5]Hoja3!$K$6:$K$25=$C7))</f>
        <v>0</v>
      </c>
      <c r="AL7" s="97">
        <f>IFERROR(AK7/AJ7,0)</f>
        <v>0</v>
      </c>
      <c r="AM7" s="96" cm="1">
        <f t="array" ref="AM7">SUM([5]Hoja3!$I$6:$I$25*([5]Hoja3!$F$6:$F$25=AM$5)*([5]Hoja3!$K$6:$K$25=$C7))</f>
        <v>24</v>
      </c>
      <c r="AN7" s="96" cm="1">
        <f t="array" ref="AN7">SUM([5]Hoja3!$J$6:$J$25*([5]Hoja3!$F$6:$F$25=AM$5)*([5]Hoja3!$K$6:$K$25=$C7))</f>
        <v>48000</v>
      </c>
      <c r="AO7" s="97">
        <f>IFERROR(AN7/AM7,0)</f>
        <v>2000</v>
      </c>
      <c r="AP7" s="96" cm="1">
        <f t="array" ref="AP7">SUM([5]Hoja3!$I$6:$I$25*([5]Hoja3!$F$6:$F$25=AP$5)*([5]Hoja3!$K$6:$K$25=$C7))</f>
        <v>0</v>
      </c>
      <c r="AQ7" s="96" cm="1">
        <f t="array" ref="AQ7">SUM([5]Hoja3!$J$6:$J$25*([5]Hoja3!$F$6:$F$25=AP$5)*([5]Hoja3!$K$6:$K$25=$C7))</f>
        <v>0</v>
      </c>
      <c r="AR7" s="97">
        <f>IFERROR(AQ7/AP7,0)</f>
        <v>0</v>
      </c>
      <c r="AS7" s="96" cm="1">
        <f t="array" ref="AS7">SUM([5]Hoja3!$I$6:$I$25*([5]Hoja3!$F$6:$F$25=AS$5)*([5]Hoja3!$K$6:$K$25=$C7))</f>
        <v>0</v>
      </c>
      <c r="AT7" s="96" cm="1">
        <f t="array" ref="AT7">SUM([5]Hoja3!$J$6:$J$25*([5]Hoja3!$F$6:$F$25=AS$5)*([5]Hoja3!$K$6:$K$25=$C7))</f>
        <v>0</v>
      </c>
      <c r="AU7" s="97">
        <f>IFERROR(AT7/AS7,0)</f>
        <v>0</v>
      </c>
      <c r="AV7" s="96" cm="1">
        <f t="array" ref="AV7">SUM([5]Hoja3!$I$6:$I$25*([5]Hoja3!$F$6:$F$25=AV$5)*([5]Hoja3!$K$6:$K$25=$C7))</f>
        <v>0</v>
      </c>
      <c r="AW7" s="96" cm="1">
        <f t="array" ref="AW7">SUM([5]Hoja3!$J$6:$J$25*([5]Hoja3!$F$6:$F$25=AV$5)*([5]Hoja3!$K$6:$K$25=$C7))</f>
        <v>0</v>
      </c>
      <c r="AX7" s="97">
        <f>IFERROR(AW7/AV7,0)</f>
        <v>0</v>
      </c>
      <c r="AY7" s="96" cm="1">
        <f t="array" ref="AY7">SUM([5]Hoja3!$I$6:$I$25*([5]Hoja3!$F$6:$F$25=AY$5)*([5]Hoja3!$K$6:$K$25=$C7))</f>
        <v>0</v>
      </c>
      <c r="AZ7" s="96" cm="1">
        <f t="array" ref="AZ7">SUM([5]Hoja3!$J$6:$J$25*([5]Hoja3!$F$6:$F$25=AY$5)*([5]Hoja3!$K$6:$K$25=$C7))</f>
        <v>0</v>
      </c>
      <c r="BA7" s="97">
        <f>IFERROR(AZ7/AY7,0)</f>
        <v>0</v>
      </c>
      <c r="BB7" s="96" cm="1">
        <f t="array" ref="BB7">SUM([2]Hoja2!$I$6:$I$26*([2]Hoja2!$F$6:$F$26=BB$5)*([2]Hoja2!$K$6:$K$26=$C7))</f>
        <v>0</v>
      </c>
      <c r="BC7" s="96" cm="1">
        <f t="array" ref="BC7">SUM([2]Hoja2!$J$6:$J$26*([2]Hoja2!$F$6:$F$26=BB$5)*([2]Hoja2!$K$6:$K$26=$C7))</f>
        <v>0</v>
      </c>
      <c r="BD7" s="97">
        <f>IFERROR(BC7/BB7,0)</f>
        <v>0</v>
      </c>
      <c r="BE7" s="96" cm="1">
        <f t="array" ref="BE7">SUM([2]Hoja2!$I$6:$I$26*([2]Hoja2!$F$6:$F$26=BE$5)*([2]Hoja2!$K$6:$K$26=$C7))</f>
        <v>0</v>
      </c>
      <c r="BF7" s="96" cm="1">
        <f t="array" ref="BF7">SUM([2]Hoja2!$J$6:$J$26*([2]Hoja2!$F$6:$F$26=BE$5)*([2]Hoja2!$K$6:$K$26=$C7))</f>
        <v>0</v>
      </c>
      <c r="BG7" s="97">
        <f>IFERROR(BF7/BE7,0)</f>
        <v>0</v>
      </c>
      <c r="BH7" s="96" cm="1">
        <f t="array" ref="BH7">SUM([2]Hoja2!$I$6:$I$26*([2]Hoja2!$F$6:$F$26=BH$5)*([2]Hoja2!$K$6:$K$26=$C7))</f>
        <v>0</v>
      </c>
      <c r="BI7" s="96" cm="1">
        <f t="array" ref="BI7">SUM([2]Hoja2!$J$6:$J$26*([2]Hoja2!$F$6:$F$26=BH$5)*([2]Hoja2!$K$6:$K$26=$C7))</f>
        <v>0</v>
      </c>
      <c r="BJ7" s="97">
        <f>IFERROR(BI7/BH7,0)</f>
        <v>0</v>
      </c>
      <c r="BK7" s="96" cm="1">
        <f t="array" ref="BK7">SUM([2]Hoja2!$I$6:$I$26*([2]Hoja2!$F$6:$F$26=BK$5)*([2]Hoja2!$K$6:$K$26=$C7))</f>
        <v>0</v>
      </c>
      <c r="BL7" s="96" cm="1">
        <f t="array" ref="BL7">SUM([2]Hoja2!$J$6:$J$26*([2]Hoja2!$F$6:$F$26=BK$5)*([2]Hoja2!$K$6:$K$26=$C7))</f>
        <v>0</v>
      </c>
      <c r="BM7" s="97">
        <f>IFERROR(BL7/BK7,0)</f>
        <v>0</v>
      </c>
      <c r="BN7" s="96" cm="1">
        <f t="array" ref="BN7">SUM([2]Hoja2!$I$6:$I$26*([2]Hoja2!$F$6:$F$26=BN$5)*([2]Hoja2!$K$6:$K$26=$C7))</f>
        <v>0</v>
      </c>
      <c r="BO7" s="96" cm="1">
        <f t="array" ref="BO7">SUM([2]Hoja2!$J$6:$J$26*([2]Hoja2!$F$6:$F$26=BN$5)*([2]Hoja2!$K$6:$K$26=$C7))</f>
        <v>0</v>
      </c>
      <c r="BP7" s="97">
        <f>IFERROR(BO7/BN7,0)</f>
        <v>0</v>
      </c>
      <c r="BQ7" s="96" cm="1">
        <f t="array" ref="BQ7">SUM([2]Hoja2!$I$6:$I$26*([2]Hoja2!$F$6:$F$26=BQ$5)*([2]Hoja2!$K$6:$K$26=$C7))</f>
        <v>0</v>
      </c>
      <c r="BR7" s="96" cm="1">
        <f t="array" ref="BR7">SUM([2]Hoja2!$J$6:$J$26*([2]Hoja2!$F$6:$F$26=BQ$5)*([2]Hoja2!$K$6:$K$26=$C7))</f>
        <v>0</v>
      </c>
      <c r="BS7" s="97">
        <f>IFERROR(BR7/BQ7,0)</f>
        <v>0</v>
      </c>
      <c r="BT7" s="101">
        <f t="shared" ref="BT7:BT17" si="8">X7+AA7+AD7+AG7+AJ7+AM7+AP7+AY7+AS7+AV7</f>
        <v>24</v>
      </c>
      <c r="BU7" s="102">
        <f t="shared" ref="BU7:BU17" si="9">Y7+AB7+AE7+AH7+AK7+AN7+AQ7+AZ7+AT7+AW7</f>
        <v>48000</v>
      </c>
      <c r="BV7" s="103">
        <f>IFERROR(BU7/BT7,0)</f>
        <v>2000</v>
      </c>
      <c r="BW7" s="102">
        <f>-IFERROR(F7/D7*BT7,0)</f>
        <v>-46501.254473956767</v>
      </c>
      <c r="BX7" s="103">
        <f t="shared" ref="BX7:BX17" si="10">-207.84*BT7</f>
        <v>-4988.16</v>
      </c>
      <c r="BY7" s="102">
        <f t="shared" ref="BY7:BY17" si="11">$BY$18/$BT$18*$BT7</f>
        <v>-2143.0636363636368</v>
      </c>
      <c r="BZ7" s="103">
        <f t="shared" ref="BZ7:BZ17" si="12">$BZ$18/$BT$18*$BT7</f>
        <v>-4212.8999999999996</v>
      </c>
      <c r="CA7" s="102">
        <f t="shared" ref="CA7:CA17" si="13">$CA$18/$BT$18*$BT7</f>
        <v>-3367.755000000001</v>
      </c>
      <c r="CB7" s="103">
        <f t="shared" ref="CB7:CB17" si="14">(BU7-BT7*$BY$19)*0.03</f>
        <v>1357.7921175941324</v>
      </c>
      <c r="CC7" s="102">
        <f>BU7+SUM(BW7:BZ7,CB7)</f>
        <v>-8487.5859927262791</v>
      </c>
      <c r="CD7" s="104">
        <f>IFERROR(CC7/BU7,0)</f>
        <v>-0.17682470818179749</v>
      </c>
      <c r="CE7" s="105">
        <f t="shared" ref="CE7:CE17" si="15">BU7+BW7+BX7+BY7+CB7-CA7</f>
        <v>-906.93099272627114</v>
      </c>
      <c r="CF7" s="106">
        <f t="shared" ref="CF7:CF20" si="16">IFERROR(CE7/BU7,0)</f>
        <v>-1.8894395681797314E-2</v>
      </c>
      <c r="CH7" s="98">
        <f t="shared" ref="CH7:CH18" si="17">BV7</f>
        <v>2000</v>
      </c>
      <c r="CI7" s="99">
        <f t="shared" ref="CI7:CO18" si="18">IFERROR(BW7/$BT7,0)</f>
        <v>-1937.5522697481986</v>
      </c>
      <c r="CJ7" s="99">
        <f t="shared" si="18"/>
        <v>-207.84</v>
      </c>
      <c r="CK7" s="99">
        <f t="shared" si="18"/>
        <v>-89.294318181818198</v>
      </c>
      <c r="CL7" s="99">
        <f t="shared" si="18"/>
        <v>-175.53749999999999</v>
      </c>
      <c r="CM7" s="99">
        <f t="shared" si="18"/>
        <v>-140.32312500000003</v>
      </c>
      <c r="CN7" s="99">
        <f t="shared" si="18"/>
        <v>56.574671566422182</v>
      </c>
      <c r="CO7" s="99">
        <f t="shared" si="18"/>
        <v>-353.64941636359498</v>
      </c>
      <c r="CP7" s="99">
        <f t="shared" ref="CP7:CP18" si="19">IFERROR(CE7/$BT7,0)</f>
        <v>-37.788791363594633</v>
      </c>
      <c r="CQ7" s="49">
        <f t="shared" ref="CQ7:CQ18" si="20">CP7-CO7</f>
        <v>315.86062500000037</v>
      </c>
      <c r="CR7" s="56"/>
      <c r="CT7" s="49"/>
      <c r="CU7" s="56"/>
    </row>
    <row r="8" spans="2:99" x14ac:dyDescent="0.3">
      <c r="B8" s="48">
        <v>10005779</v>
      </c>
      <c r="C8" s="52" t="s">
        <v>79</v>
      </c>
      <c r="D8" s="87">
        <f>TD!F5</f>
        <v>380.02</v>
      </c>
      <c r="E8" s="88">
        <f t="shared" si="0"/>
        <v>1584.5594840626745</v>
      </c>
      <c r="F8" s="49">
        <f>TD!G5</f>
        <v>602164.29513349757</v>
      </c>
      <c r="G8" s="49">
        <f>TD!H5</f>
        <v>78983.356800000009</v>
      </c>
      <c r="H8" s="49">
        <f>TD!I5</f>
        <v>17143.301741048901</v>
      </c>
      <c r="I8" s="49">
        <f>TD!J5</f>
        <v>33700.826554741681</v>
      </c>
      <c r="J8" s="49">
        <f>TD!K5</f>
        <v>26940.14268885188</v>
      </c>
      <c r="K8" s="90">
        <v>0</v>
      </c>
      <c r="L8" s="91">
        <v>0</v>
      </c>
      <c r="M8" s="92">
        <f t="shared" si="1"/>
        <v>731991.78022928815</v>
      </c>
      <c r="N8" s="93">
        <f>IFERROR(M8/D8,0)</f>
        <v>1926.1927799307621</v>
      </c>
      <c r="O8" s="93">
        <f t="shared" si="2"/>
        <v>671350.81098569452</v>
      </c>
      <c r="P8" s="93">
        <f t="shared" si="3"/>
        <v>1766.6196805054853</v>
      </c>
      <c r="Q8" s="94">
        <v>1350</v>
      </c>
      <c r="R8" s="94">
        <f t="shared" ref="R8:R14" si="21">Q8*D8</f>
        <v>513027</v>
      </c>
      <c r="S8" s="94">
        <f t="shared" si="4"/>
        <v>-204875.6635406164</v>
      </c>
      <c r="T8" s="95">
        <f t="shared" si="5"/>
        <v>-0.39934674693654798</v>
      </c>
      <c r="U8" s="94">
        <f t="shared" si="6"/>
        <v>-144234.69429702277</v>
      </c>
      <c r="V8" s="95">
        <f t="shared" si="7"/>
        <v>-0.28114445106597269</v>
      </c>
      <c r="X8" s="96" cm="1">
        <f t="array" ref="X8">SUM([5]Hoja3!$I$6:$I$25*([5]Hoja3!$F$6:$F$25=X$5)*([5]Hoja3!$K$6:$K$25=$C8))</f>
        <v>0</v>
      </c>
      <c r="Y8" s="96" cm="1">
        <f t="array" ref="Y8">SUM([5]Hoja3!$J$6:$J$25*([5]Hoja3!$F$6:$F$25=X$5)*([5]Hoja3!$K$6:$K$25=$C8))</f>
        <v>0</v>
      </c>
      <c r="Z8" s="100">
        <f t="shared" ref="Z8:Z18" si="22">IFERROR(Y8/X8,0)</f>
        <v>0</v>
      </c>
      <c r="AA8" s="96" cm="1">
        <f t="array" ref="AA8">SUM([5]Hoja3!$I$6:$I$25*([5]Hoja3!$F$6:$F$25=AA$5)*([5]Hoja3!$K$6:$K$25=$C8))</f>
        <v>0</v>
      </c>
      <c r="AB8" s="96" cm="1">
        <f t="array" ref="AB8">SUM([5]Hoja3!$J$6:$J$25*([5]Hoja3!$F$6:$F$25=AA$5)*([5]Hoja3!$K$6:$K$25=$C8))</f>
        <v>0</v>
      </c>
      <c r="AC8" s="100">
        <f t="shared" ref="AC8:AC18" si="23">IFERROR(AB8/AA8,0)</f>
        <v>0</v>
      </c>
      <c r="AD8" s="96" cm="1">
        <f t="array" ref="AD8">SUM([5]Hoja3!$I$6:$I$25*([5]Hoja3!$F$6:$F$25=AD$5)*([5]Hoja3!$K$6:$K$25=$C8))</f>
        <v>0</v>
      </c>
      <c r="AE8" s="96" cm="1">
        <f t="array" ref="AE8">SUM([5]Hoja3!$J$6:$J$25*([5]Hoja3!$F$6:$F$25=AD$5)*([5]Hoja3!$K$6:$K$25=$C8))</f>
        <v>0</v>
      </c>
      <c r="AF8" s="100">
        <f t="shared" ref="AF8:AF18" si="24">IFERROR(AE8/AD8,0)</f>
        <v>0</v>
      </c>
      <c r="AG8" s="96" cm="1">
        <f t="array" ref="AG8">SUM([5]Hoja3!$I$6:$I$25*([5]Hoja3!$F$6:$F$25=AG$5)*([5]Hoja3!$K$6:$K$25=$C8))</f>
        <v>0</v>
      </c>
      <c r="AH8" s="96" cm="1">
        <f t="array" ref="AH8">SUM([5]Hoja3!$J$6:$J$25*([5]Hoja3!$F$6:$F$25=AG$5)*([5]Hoja3!$K$6:$K$25=$C8))</f>
        <v>0</v>
      </c>
      <c r="AI8" s="100">
        <f t="shared" ref="AI8:AI18" si="25">IFERROR(AH8/AG8,0)</f>
        <v>0</v>
      </c>
      <c r="AJ8" s="96" cm="1">
        <f t="array" ref="AJ8">SUM([5]Hoja3!$I$6:$I$25*([5]Hoja3!$F$6:$F$25=AJ$5)*([5]Hoja3!$K$6:$K$25=$C8))</f>
        <v>78</v>
      </c>
      <c r="AK8" s="96" cm="1">
        <f t="array" ref="AK8">SUM([5]Hoja3!$J$6:$J$25*([5]Hoja3!$F$6:$F$25=AJ$5)*([5]Hoja3!$K$6:$K$25=$C8))</f>
        <v>103740</v>
      </c>
      <c r="AL8" s="100">
        <f t="shared" ref="AL8:AL18" si="26">IFERROR(AK8/AJ8,0)</f>
        <v>1330</v>
      </c>
      <c r="AM8" s="96" cm="1">
        <f t="array" ref="AM8">SUM([5]Hoja3!$I$6:$I$25*([5]Hoja3!$F$6:$F$25=AM$5)*([5]Hoja3!$K$6:$K$25=$C8))</f>
        <v>0</v>
      </c>
      <c r="AN8" s="96" cm="1">
        <f t="array" ref="AN8">SUM([5]Hoja3!$J$6:$J$25*([5]Hoja3!$F$6:$F$25=AM$5)*([5]Hoja3!$K$6:$K$25=$C8))</f>
        <v>0</v>
      </c>
      <c r="AO8" s="100">
        <f t="shared" ref="AO8:AO18" si="27">IFERROR(AN8/AM8,0)</f>
        <v>0</v>
      </c>
      <c r="AP8" s="96" cm="1">
        <f t="array" ref="AP8">SUM([5]Hoja3!$I$6:$I$25*([5]Hoja3!$F$6:$F$25=AP$5)*([5]Hoja3!$K$6:$K$25=$C8))</f>
        <v>52</v>
      </c>
      <c r="AQ8" s="96" cm="1">
        <f t="array" ref="AQ8">SUM([5]Hoja3!$J$6:$J$25*([5]Hoja3!$F$6:$F$25=AP$5)*([5]Hoja3!$K$6:$K$25=$C8))</f>
        <v>67600</v>
      </c>
      <c r="AR8" s="100">
        <f t="shared" ref="AR8:AR18" si="28">IFERROR(AQ8/AP8,0)</f>
        <v>1300</v>
      </c>
      <c r="AS8" s="96" cm="1">
        <f t="array" ref="AS8">SUM([5]Hoja3!$I$6:$I$25*([5]Hoja3!$F$6:$F$25=AS$5)*([5]Hoja3!$K$6:$K$25=$C8))</f>
        <v>0</v>
      </c>
      <c r="AT8" s="96" cm="1">
        <f t="array" ref="AT8">SUM([5]Hoja3!$J$6:$J$25*([5]Hoja3!$F$6:$F$25=AS$5)*([5]Hoja3!$K$6:$K$25=$C8))</f>
        <v>0</v>
      </c>
      <c r="AU8" s="100">
        <f t="shared" ref="AU8:AU18" si="29">IFERROR(AT8/AS8,0)</f>
        <v>0</v>
      </c>
      <c r="AV8" s="96" cm="1">
        <f t="array" ref="AV8">SUM([5]Hoja3!$I$6:$I$25*([5]Hoja3!$F$6:$F$25=AV$5)*([5]Hoja3!$K$6:$K$25=$C8))</f>
        <v>26</v>
      </c>
      <c r="AW8" s="96" cm="1">
        <f t="array" ref="AW8">SUM([5]Hoja3!$J$6:$J$25*([5]Hoja3!$F$6:$F$25=AV$5)*([5]Hoja3!$K$6:$K$25=$C8))</f>
        <v>34580</v>
      </c>
      <c r="AX8" s="100">
        <f t="shared" ref="AX8:AX18" si="30">IFERROR(AW8/AV8,0)</f>
        <v>1330</v>
      </c>
      <c r="AY8" s="96" cm="1">
        <f t="array" ref="AY8">SUM([5]Hoja3!$I$6:$I$25*([5]Hoja3!$F$6:$F$25=AY$5)*([5]Hoja3!$K$6:$K$25=$C8))</f>
        <v>0</v>
      </c>
      <c r="AZ8" s="96" cm="1">
        <f t="array" ref="AZ8">SUM([5]Hoja3!$J$6:$J$25*([5]Hoja3!$F$6:$F$25=AY$5)*([5]Hoja3!$K$6:$K$25=$C8))</f>
        <v>0</v>
      </c>
      <c r="BA8" s="100">
        <f t="shared" ref="BA8:BA18" si="31">IFERROR(AZ8/AY8,0)</f>
        <v>0</v>
      </c>
      <c r="BB8" s="96" cm="1">
        <f t="array" ref="BB8">SUM([2]Hoja2!$I$6:$I$26*([2]Hoja2!$F$6:$F$26=BB$5)*([2]Hoja2!$K$6:$K$26=$C8))</f>
        <v>0</v>
      </c>
      <c r="BC8" s="96" cm="1">
        <f t="array" ref="BC8">SUM([2]Hoja2!$J$6:$J$26*([2]Hoja2!$F$6:$F$26=BB$5)*([2]Hoja2!$K$6:$K$26=$C8))</f>
        <v>0</v>
      </c>
      <c r="BD8" s="100">
        <f t="shared" ref="BD8:BD18" si="32">IFERROR(BC8/BB8,0)</f>
        <v>0</v>
      </c>
      <c r="BE8" s="96" cm="1">
        <f t="array" ref="BE8">SUM([2]Hoja2!$I$6:$I$26*([2]Hoja2!$F$6:$F$26=BE$5)*([2]Hoja2!$K$6:$K$26=$C8))</f>
        <v>0</v>
      </c>
      <c r="BF8" s="96" cm="1">
        <f t="array" ref="BF8">SUM([2]Hoja2!$J$6:$J$26*([2]Hoja2!$F$6:$F$26=BE$5)*([2]Hoja2!$K$6:$K$26=$C8))</f>
        <v>0</v>
      </c>
      <c r="BG8" s="100">
        <f t="shared" ref="BG8:BG18" si="33">IFERROR(BF8/BE8,0)</f>
        <v>0</v>
      </c>
      <c r="BH8" s="96" cm="1">
        <f t="array" ref="BH8">SUM([2]Hoja2!$I$6:$I$26*([2]Hoja2!$F$6:$F$26=BH$5)*([2]Hoja2!$K$6:$K$26=$C8))</f>
        <v>0</v>
      </c>
      <c r="BI8" s="96" cm="1">
        <f t="array" ref="BI8">SUM([2]Hoja2!$J$6:$J$26*([2]Hoja2!$F$6:$F$26=BH$5)*([2]Hoja2!$K$6:$K$26=$C8))</f>
        <v>0</v>
      </c>
      <c r="BJ8" s="100">
        <f t="shared" ref="BJ8:BJ18" si="34">IFERROR(BI8/BH8,0)</f>
        <v>0</v>
      </c>
      <c r="BK8" s="96" cm="1">
        <f t="array" ref="BK8">SUM([2]Hoja2!$I$6:$I$26*([2]Hoja2!$F$6:$F$26=BK$5)*([2]Hoja2!$K$6:$K$26=$C8))</f>
        <v>0</v>
      </c>
      <c r="BL8" s="96" cm="1">
        <f t="array" ref="BL8">SUM([2]Hoja2!$J$6:$J$26*([2]Hoja2!$F$6:$F$26=BK$5)*([2]Hoja2!$K$6:$K$26=$C8))</f>
        <v>0</v>
      </c>
      <c r="BM8" s="100">
        <f t="shared" ref="BM8:BM18" si="35">IFERROR(BL8/BK8,0)</f>
        <v>0</v>
      </c>
      <c r="BN8" s="96" cm="1">
        <f t="array" ref="BN8">SUM([2]Hoja2!$I$6:$I$26*([2]Hoja2!$F$6:$F$26=BN$5)*([2]Hoja2!$K$6:$K$26=$C8))</f>
        <v>0</v>
      </c>
      <c r="BO8" s="96" cm="1">
        <f t="array" ref="BO8">SUM([2]Hoja2!$J$6:$J$26*([2]Hoja2!$F$6:$F$26=BN$5)*([2]Hoja2!$K$6:$K$26=$C8))</f>
        <v>0</v>
      </c>
      <c r="BP8" s="100">
        <f t="shared" ref="BP8:BP18" si="36">IFERROR(BO8/BN8,0)</f>
        <v>0</v>
      </c>
      <c r="BQ8" s="96" cm="1">
        <f t="array" ref="BQ8">SUM([2]Hoja2!$I$6:$I$26*([2]Hoja2!$F$6:$F$26=BQ$5)*([2]Hoja2!$K$6:$K$26=$C8))</f>
        <v>0</v>
      </c>
      <c r="BR8" s="96" cm="1">
        <f t="array" ref="BR8">SUM([2]Hoja2!$J$6:$J$26*([2]Hoja2!$F$6:$F$26=BQ$5)*([2]Hoja2!$K$6:$K$26=$C8))</f>
        <v>0</v>
      </c>
      <c r="BS8" s="100">
        <f t="shared" ref="BS8:BS18" si="37">IFERROR(BR8/BQ8,0)</f>
        <v>0</v>
      </c>
      <c r="BT8" s="101">
        <f t="shared" si="8"/>
        <v>156</v>
      </c>
      <c r="BU8" s="102">
        <f t="shared" si="9"/>
        <v>205920</v>
      </c>
      <c r="BV8" s="103">
        <f t="shared" ref="BV8:BV16" si="38">IFERROR(BU8/BT8,0)</f>
        <v>1320</v>
      </c>
      <c r="BW8" s="102">
        <f t="shared" ref="BW7:BW13" si="39">-IFERROR(F8/D8*BT8,0)</f>
        <v>-247191.27951377723</v>
      </c>
      <c r="BX8" s="103">
        <f t="shared" si="10"/>
        <v>-32423.040000000001</v>
      </c>
      <c r="BY8" s="102">
        <f t="shared" si="11"/>
        <v>-13929.913636363639</v>
      </c>
      <c r="BZ8" s="103">
        <f t="shared" si="12"/>
        <v>-27383.85</v>
      </c>
      <c r="CA8" s="102">
        <f t="shared" si="13"/>
        <v>-21890.407500000005</v>
      </c>
      <c r="CB8" s="103">
        <f t="shared" si="14"/>
        <v>5643.2487643618606</v>
      </c>
      <c r="CC8" s="102">
        <f t="shared" ref="CC8:CC16" si="40">BU8+SUM(BW8:BZ8,CB8)</f>
        <v>-109364.83438577899</v>
      </c>
      <c r="CD8" s="104">
        <f t="shared" ref="CD8:CD20" si="41">IFERROR(CC8/BU8,0)</f>
        <v>-0.53110350808944728</v>
      </c>
      <c r="CE8" s="105">
        <f t="shared" si="15"/>
        <v>-60090.57688577901</v>
      </c>
      <c r="CF8" s="106">
        <f t="shared" si="16"/>
        <v>-0.29181515581672013</v>
      </c>
      <c r="CH8" s="98">
        <f t="shared" si="17"/>
        <v>1320</v>
      </c>
      <c r="CI8" s="99">
        <f t="shared" si="18"/>
        <v>-1584.5594840626745</v>
      </c>
      <c r="CJ8" s="99">
        <f t="shared" si="18"/>
        <v>-207.84</v>
      </c>
      <c r="CK8" s="99">
        <f t="shared" si="18"/>
        <v>-89.294318181818198</v>
      </c>
      <c r="CL8" s="99">
        <f t="shared" si="18"/>
        <v>-175.53749999999999</v>
      </c>
      <c r="CM8" s="99">
        <f t="shared" si="18"/>
        <v>-140.32312500000003</v>
      </c>
      <c r="CN8" s="99">
        <f t="shared" si="18"/>
        <v>36.174671566422184</v>
      </c>
      <c r="CO8" s="99">
        <f t="shared" si="18"/>
        <v>-701.05663067807041</v>
      </c>
      <c r="CP8" s="99">
        <f t="shared" si="19"/>
        <v>-385.19600567807055</v>
      </c>
      <c r="CQ8" s="49">
        <f t="shared" si="20"/>
        <v>315.86062499999986</v>
      </c>
    </row>
    <row r="9" spans="2:99" x14ac:dyDescent="0.3">
      <c r="B9" s="48">
        <v>10006719</v>
      </c>
      <c r="C9" s="52" t="s">
        <v>80</v>
      </c>
      <c r="D9" s="87">
        <f>TD!F6</f>
        <v>539.69400000000007</v>
      </c>
      <c r="E9" s="88">
        <f t="shared" si="0"/>
        <v>1835.1852542638082</v>
      </c>
      <c r="F9" s="49">
        <f>TD!G6</f>
        <v>990438.47061465192</v>
      </c>
      <c r="G9" s="49">
        <f>TD!H6</f>
        <v>112170.00096000002</v>
      </c>
      <c r="H9" s="49">
        <f>TD!I6</f>
        <v>24346.447791783718</v>
      </c>
      <c r="I9" s="49">
        <f>TD!J6</f>
        <v>47860.991228447878</v>
      </c>
      <c r="J9" s="49">
        <f>TD!K6</f>
        <v>38259.653092777306</v>
      </c>
      <c r="K9" s="90">
        <v>0</v>
      </c>
      <c r="L9" s="91">
        <v>0</v>
      </c>
      <c r="M9" s="92">
        <f t="shared" si="1"/>
        <v>1174815.9105948834</v>
      </c>
      <c r="N9" s="93">
        <f t="shared" ref="N9:N14" si="42">IFERROR(M9/D9,0)</f>
        <v>2176.8185501318953</v>
      </c>
      <c r="O9" s="93">
        <f t="shared" si="2"/>
        <v>1088695.2662736583</v>
      </c>
      <c r="P9" s="93">
        <f t="shared" si="3"/>
        <v>2017.2454507066191</v>
      </c>
      <c r="Q9" s="94">
        <v>1500</v>
      </c>
      <c r="R9" s="94">
        <f t="shared" si="21"/>
        <v>809541.00000000012</v>
      </c>
      <c r="S9" s="94">
        <f t="shared" si="4"/>
        <v>-342837.30979851459</v>
      </c>
      <c r="T9" s="95">
        <f t="shared" si="5"/>
        <v>-0.42349591904364886</v>
      </c>
      <c r="U9" s="94">
        <f t="shared" si="6"/>
        <v>-256716.66547728947</v>
      </c>
      <c r="V9" s="95">
        <f t="shared" si="7"/>
        <v>-0.31711385276013127</v>
      </c>
      <c r="X9" s="96" cm="1">
        <f t="array" ref="X9">SUM([5]Hoja3!$I$6:$I$25*([5]Hoja3!$F$6:$F$25=X$5)*([5]Hoja3!$K$6:$K$25=$C9))</f>
        <v>0</v>
      </c>
      <c r="Y9" s="96" cm="1">
        <f t="array" ref="Y9">SUM([5]Hoja3!$J$6:$J$25*([5]Hoja3!$F$6:$F$25=X$5)*([5]Hoja3!$K$6:$K$25=$C9))</f>
        <v>0</v>
      </c>
      <c r="Z9" s="100">
        <f t="shared" si="22"/>
        <v>0</v>
      </c>
      <c r="AA9" s="96" cm="1">
        <f t="array" ref="AA9">SUM([5]Hoja3!$I$6:$I$25*([5]Hoja3!$F$6:$F$25=AA$5)*([5]Hoja3!$K$6:$K$25=$C9))</f>
        <v>0</v>
      </c>
      <c r="AB9" s="96" cm="1">
        <f t="array" ref="AB9">SUM([5]Hoja3!$J$6:$J$25*([5]Hoja3!$F$6:$F$25=AA$5)*([5]Hoja3!$K$6:$K$25=$C9))</f>
        <v>0</v>
      </c>
      <c r="AC9" s="100">
        <f t="shared" si="23"/>
        <v>0</v>
      </c>
      <c r="AD9" s="96" cm="1">
        <f t="array" ref="AD9">SUM([5]Hoja3!$I$6:$I$25*([5]Hoja3!$F$6:$F$25=AD$5)*([5]Hoja3!$K$6:$K$25=$C9))</f>
        <v>54</v>
      </c>
      <c r="AE9" s="96" cm="1">
        <f t="array" ref="AE9">SUM([5]Hoja3!$J$6:$J$25*([5]Hoja3!$F$6:$F$25=AD$5)*([5]Hoja3!$K$6:$K$25=$C9))</f>
        <v>94500</v>
      </c>
      <c r="AF9" s="100">
        <f t="shared" si="24"/>
        <v>1750</v>
      </c>
      <c r="AG9" s="96" cm="1">
        <f t="array" ref="AG9">SUM([5]Hoja3!$I$6:$I$25*([5]Hoja3!$F$6:$F$25=AG$5)*([5]Hoja3!$K$6:$K$25=$C9))</f>
        <v>0</v>
      </c>
      <c r="AH9" s="96" cm="1">
        <f t="array" ref="AH9">SUM([5]Hoja3!$J$6:$J$25*([5]Hoja3!$F$6:$F$25=AG$5)*([5]Hoja3!$K$6:$K$25=$C9))</f>
        <v>0</v>
      </c>
      <c r="AI9" s="100">
        <f t="shared" si="25"/>
        <v>0</v>
      </c>
      <c r="AJ9" s="96" cm="1">
        <f t="array" ref="AJ9">SUM([5]Hoja3!$I$6:$I$25*([5]Hoja3!$F$6:$F$25=AJ$5)*([5]Hoja3!$K$6:$K$25=$C9))</f>
        <v>0</v>
      </c>
      <c r="AK9" s="96" cm="1">
        <f t="array" ref="AK9">SUM([5]Hoja3!$J$6:$J$25*([5]Hoja3!$F$6:$F$25=AJ$5)*([5]Hoja3!$K$6:$K$25=$C9))</f>
        <v>0</v>
      </c>
      <c r="AL9" s="100">
        <f t="shared" si="26"/>
        <v>0</v>
      </c>
      <c r="AM9" s="96" cm="1">
        <f t="array" ref="AM9">SUM([5]Hoja3!$I$6:$I$25*([5]Hoja3!$F$6:$F$25=AM$5)*([5]Hoja3!$K$6:$K$25=$C9))</f>
        <v>0</v>
      </c>
      <c r="AN9" s="96" cm="1">
        <f t="array" ref="AN9">SUM([5]Hoja3!$J$6:$J$25*([5]Hoja3!$F$6:$F$25=AM$5)*([5]Hoja3!$K$6:$K$25=$C9))</f>
        <v>0</v>
      </c>
      <c r="AO9" s="100">
        <f t="shared" si="27"/>
        <v>0</v>
      </c>
      <c r="AP9" s="96" cm="1">
        <f t="array" ref="AP9">SUM([5]Hoja3!$I$6:$I$25*([5]Hoja3!$F$6:$F$25=AP$5)*([5]Hoja3!$K$6:$K$25=$C9))</f>
        <v>0</v>
      </c>
      <c r="AQ9" s="96" cm="1">
        <f t="array" ref="AQ9">SUM([5]Hoja3!$J$6:$J$25*([5]Hoja3!$F$6:$F$25=AP$5)*([5]Hoja3!$K$6:$K$25=$C9))</f>
        <v>0</v>
      </c>
      <c r="AR9" s="100">
        <f t="shared" si="28"/>
        <v>0</v>
      </c>
      <c r="AS9" s="96" cm="1">
        <f t="array" ref="AS9">SUM([5]Hoja3!$I$6:$I$25*([5]Hoja3!$F$6:$F$25=AS$5)*([5]Hoja3!$K$6:$K$25=$C9))</f>
        <v>0</v>
      </c>
      <c r="AT9" s="96" cm="1">
        <f t="array" ref="AT9">SUM([5]Hoja3!$J$6:$J$25*([5]Hoja3!$F$6:$F$25=AS$5)*([5]Hoja3!$K$6:$K$25=$C9))</f>
        <v>0</v>
      </c>
      <c r="AU9" s="100">
        <f t="shared" si="29"/>
        <v>0</v>
      </c>
      <c r="AV9" s="96" cm="1">
        <f t="array" ref="AV9">SUM([5]Hoja3!$I$6:$I$25*([5]Hoja3!$F$6:$F$25=AV$5)*([5]Hoja3!$K$6:$K$25=$C9))</f>
        <v>0</v>
      </c>
      <c r="AW9" s="96" cm="1">
        <f t="array" ref="AW9">SUM([5]Hoja3!$J$6:$J$25*([5]Hoja3!$F$6:$F$25=AV$5)*([5]Hoja3!$K$6:$K$25=$C9))</f>
        <v>0</v>
      </c>
      <c r="AX9" s="100">
        <f t="shared" si="30"/>
        <v>0</v>
      </c>
      <c r="AY9" s="96" cm="1">
        <f t="array" ref="AY9">SUM([5]Hoja3!$I$6:$I$25*([5]Hoja3!$F$6:$F$25=AY$5)*([5]Hoja3!$K$6:$K$25=$C9))</f>
        <v>27</v>
      </c>
      <c r="AZ9" s="96" cm="1">
        <f t="array" ref="AZ9">SUM([5]Hoja3!$J$6:$J$25*([5]Hoja3!$F$6:$F$25=AY$5)*([5]Hoja3!$K$6:$K$25=$C9))</f>
        <v>48600</v>
      </c>
      <c r="BA9" s="100">
        <f t="shared" si="31"/>
        <v>1800</v>
      </c>
      <c r="BB9" s="96" cm="1">
        <f t="array" ref="BB9">SUM([2]Hoja2!$I$6:$I$26*([2]Hoja2!$F$6:$F$26=BB$5)*([2]Hoja2!$K$6:$K$26=$C9))</f>
        <v>0</v>
      </c>
      <c r="BC9" s="96" cm="1">
        <f t="array" ref="BC9">SUM([2]Hoja2!$J$6:$J$26*([2]Hoja2!$F$6:$F$26=BB$5)*([2]Hoja2!$K$6:$K$26=$C9))</f>
        <v>0</v>
      </c>
      <c r="BD9" s="100">
        <f t="shared" si="32"/>
        <v>0</v>
      </c>
      <c r="BE9" s="96" cm="1">
        <f t="array" ref="BE9">SUM([2]Hoja2!$I$6:$I$26*([2]Hoja2!$F$6:$F$26=BE$5)*([2]Hoja2!$K$6:$K$26=$C9))</f>
        <v>0</v>
      </c>
      <c r="BF9" s="96" cm="1">
        <f t="array" ref="BF9">SUM([2]Hoja2!$J$6:$J$26*([2]Hoja2!$F$6:$F$26=BE$5)*([2]Hoja2!$K$6:$K$26=$C9))</f>
        <v>0</v>
      </c>
      <c r="BG9" s="100">
        <f t="shared" si="33"/>
        <v>0</v>
      </c>
      <c r="BH9" s="96" cm="1">
        <f t="array" ref="BH9">SUM([2]Hoja2!$I$6:$I$26*([2]Hoja2!$F$6:$F$26=BH$5)*([2]Hoja2!$K$6:$K$26=$C9))</f>
        <v>0</v>
      </c>
      <c r="BI9" s="96" cm="1">
        <f t="array" ref="BI9">SUM([2]Hoja2!$J$6:$J$26*([2]Hoja2!$F$6:$F$26=BH$5)*([2]Hoja2!$K$6:$K$26=$C9))</f>
        <v>0</v>
      </c>
      <c r="BJ9" s="100">
        <f t="shared" si="34"/>
        <v>0</v>
      </c>
      <c r="BK9" s="96" cm="1">
        <f t="array" ref="BK9">SUM([2]Hoja2!$I$6:$I$26*([2]Hoja2!$F$6:$F$26=BK$5)*([2]Hoja2!$K$6:$K$26=$C9))</f>
        <v>0</v>
      </c>
      <c r="BL9" s="96" cm="1">
        <f t="array" ref="BL9">SUM([2]Hoja2!$J$6:$J$26*([2]Hoja2!$F$6:$F$26=BK$5)*([2]Hoja2!$K$6:$K$26=$C9))</f>
        <v>0</v>
      </c>
      <c r="BM9" s="100">
        <f t="shared" si="35"/>
        <v>0</v>
      </c>
      <c r="BN9" s="96" cm="1">
        <f t="array" ref="BN9">SUM([2]Hoja2!$I$6:$I$26*([2]Hoja2!$F$6:$F$26=BN$5)*([2]Hoja2!$K$6:$K$26=$C9))</f>
        <v>0</v>
      </c>
      <c r="BO9" s="96" cm="1">
        <f t="array" ref="BO9">SUM([2]Hoja2!$J$6:$J$26*([2]Hoja2!$F$6:$F$26=BN$5)*([2]Hoja2!$K$6:$K$26=$C9))</f>
        <v>0</v>
      </c>
      <c r="BP9" s="100">
        <f t="shared" si="36"/>
        <v>0</v>
      </c>
      <c r="BQ9" s="96" cm="1">
        <f t="array" ref="BQ9">SUM([2]Hoja2!$I$6:$I$26*([2]Hoja2!$F$6:$F$26=BQ$5)*([2]Hoja2!$K$6:$K$26=$C9))</f>
        <v>0</v>
      </c>
      <c r="BR9" s="96" cm="1">
        <f t="array" ref="BR9">SUM([2]Hoja2!$J$6:$J$26*([2]Hoja2!$F$6:$F$26=BQ$5)*([2]Hoja2!$K$6:$K$26=$C9))</f>
        <v>0</v>
      </c>
      <c r="BS9" s="100">
        <f t="shared" si="37"/>
        <v>0</v>
      </c>
      <c r="BT9" s="101">
        <f t="shared" si="8"/>
        <v>81</v>
      </c>
      <c r="BU9" s="102">
        <f t="shared" si="9"/>
        <v>143100</v>
      </c>
      <c r="BV9" s="103">
        <f t="shared" si="38"/>
        <v>1766.6666666666667</v>
      </c>
      <c r="BW9" s="102">
        <f t="shared" si="39"/>
        <v>-148650.00559536848</v>
      </c>
      <c r="BX9" s="103">
        <f t="shared" si="10"/>
        <v>-16835.04</v>
      </c>
      <c r="BY9" s="102">
        <f t="shared" si="11"/>
        <v>-7232.8397727272741</v>
      </c>
      <c r="BZ9" s="103">
        <f t="shared" si="12"/>
        <v>-14218.5375</v>
      </c>
      <c r="CA9" s="102">
        <f t="shared" si="13"/>
        <v>-11366.173125000003</v>
      </c>
      <c r="CB9" s="103">
        <f t="shared" si="14"/>
        <v>4015.5483968801964</v>
      </c>
      <c r="CC9" s="102">
        <f t="shared" si="40"/>
        <v>-39820.874471215589</v>
      </c>
      <c r="CD9" s="104">
        <f t="shared" si="41"/>
        <v>-0.27827305710143668</v>
      </c>
      <c r="CE9" s="105">
        <f t="shared" si="15"/>
        <v>-14236.163846215555</v>
      </c>
      <c r="CF9" s="106">
        <f t="shared" si="16"/>
        <v>-9.9484024082568526E-2</v>
      </c>
      <c r="CH9" s="98">
        <f t="shared" si="17"/>
        <v>1766.6666666666667</v>
      </c>
      <c r="CI9" s="99">
        <f t="shared" si="18"/>
        <v>-1835.1852542638085</v>
      </c>
      <c r="CJ9" s="99">
        <f t="shared" si="18"/>
        <v>-207.84</v>
      </c>
      <c r="CK9" s="99">
        <f t="shared" si="18"/>
        <v>-89.294318181818198</v>
      </c>
      <c r="CL9" s="99">
        <f t="shared" si="18"/>
        <v>-175.53749999999999</v>
      </c>
      <c r="CM9" s="99">
        <f t="shared" si="18"/>
        <v>-140.32312500000003</v>
      </c>
      <c r="CN9" s="99">
        <f t="shared" si="18"/>
        <v>49.574671566422175</v>
      </c>
      <c r="CO9" s="99">
        <f t="shared" si="18"/>
        <v>-491.61573421253814</v>
      </c>
      <c r="CP9" s="99">
        <f t="shared" si="19"/>
        <v>-175.75510921253772</v>
      </c>
      <c r="CQ9" s="49">
        <f t="shared" si="20"/>
        <v>315.86062500000043</v>
      </c>
    </row>
    <row r="10" spans="2:99" x14ac:dyDescent="0.3">
      <c r="B10" s="48">
        <v>10007050</v>
      </c>
      <c r="C10" s="52" t="s">
        <v>81</v>
      </c>
      <c r="D10" s="87">
        <f>TD!F7</f>
        <v>11.695</v>
      </c>
      <c r="E10" s="88">
        <f t="shared" si="0"/>
        <v>1408.8571237000131</v>
      </c>
      <c r="F10" s="49">
        <f>TD!G7</f>
        <v>16476.584061671652</v>
      </c>
      <c r="G10" s="49">
        <f>TD!H7</f>
        <v>2430.6887999999999</v>
      </c>
      <c r="H10" s="49">
        <f>TD!I7</f>
        <v>527.5799006935606</v>
      </c>
      <c r="I10" s="49">
        <f>TD!J7</f>
        <v>1037.1326944837219</v>
      </c>
      <c r="J10" s="49">
        <f>TD!K7</f>
        <v>829.07470329488649</v>
      </c>
      <c r="K10" s="90">
        <v>0</v>
      </c>
      <c r="L10" s="91">
        <v>0</v>
      </c>
      <c r="M10" s="92">
        <f t="shared" si="1"/>
        <v>20471.985456848932</v>
      </c>
      <c r="N10" s="93">
        <f t="shared" si="42"/>
        <v>1750.4904195681002</v>
      </c>
      <c r="O10" s="93">
        <f t="shared" si="2"/>
        <v>18605.778059070326</v>
      </c>
      <c r="P10" s="93">
        <f t="shared" si="3"/>
        <v>1590.9173201428239</v>
      </c>
      <c r="Q10" s="94">
        <v>1700</v>
      </c>
      <c r="R10" s="94">
        <f t="shared" si="21"/>
        <v>19881.5</v>
      </c>
      <c r="S10" s="94">
        <f t="shared" si="4"/>
        <v>-34.09967287962445</v>
      </c>
      <c r="T10" s="95">
        <f t="shared" si="5"/>
        <v>-1.715145883340012E-3</v>
      </c>
      <c r="U10" s="94">
        <f t="shared" si="6"/>
        <v>1832.1077248989814</v>
      </c>
      <c r="V10" s="95">
        <f t="shared" si="7"/>
        <v>9.2151383190351904E-2</v>
      </c>
      <c r="X10" s="96" cm="1">
        <f t="array" ref="X10">SUM([5]Hoja3!$I$6:$I$25*([5]Hoja3!$F$6:$F$25=X$5)*([5]Hoja3!$K$6:$K$25=$C10))</f>
        <v>27</v>
      </c>
      <c r="Y10" s="96" cm="1">
        <f t="array" ref="Y10">SUM([5]Hoja3!$J$6:$J$25*([5]Hoja3!$F$6:$F$25=X$5)*([5]Hoja3!$K$6:$K$25=$C10))</f>
        <v>68850</v>
      </c>
      <c r="Z10" s="100">
        <f t="shared" si="22"/>
        <v>2550</v>
      </c>
      <c r="AA10" s="96" cm="1">
        <f t="array" ref="AA10">SUM([5]Hoja3!$I$6:$I$25*([5]Hoja3!$F$6:$F$25=AA$5)*([5]Hoja3!$K$6:$K$25=$C10))</f>
        <v>0</v>
      </c>
      <c r="AB10" s="96" cm="1">
        <f t="array" ref="AB10">SUM([5]Hoja3!$J$6:$J$25*([5]Hoja3!$F$6:$F$25=AA$5)*([5]Hoja3!$K$6:$K$25=$C10))</f>
        <v>0</v>
      </c>
      <c r="AC10" s="100">
        <f t="shared" si="23"/>
        <v>0</v>
      </c>
      <c r="AD10" s="96" cm="1">
        <f t="array" ref="AD10">SUM([5]Hoja3!$I$6:$I$25*([5]Hoja3!$F$6:$F$25=AD$5)*([5]Hoja3!$K$6:$K$25=$C10))</f>
        <v>0</v>
      </c>
      <c r="AE10" s="96" cm="1">
        <f t="array" ref="AE10">SUM([5]Hoja3!$J$6:$J$25*([5]Hoja3!$F$6:$F$25=AD$5)*([5]Hoja3!$K$6:$K$25=$C10))</f>
        <v>0</v>
      </c>
      <c r="AF10" s="100">
        <f t="shared" si="24"/>
        <v>0</v>
      </c>
      <c r="AG10" s="96" cm="1">
        <f t="array" ref="AG10">SUM([5]Hoja3!$I$6:$I$25*([5]Hoja3!$F$6:$F$25=AG$5)*([5]Hoja3!$K$6:$K$25=$C10))</f>
        <v>0</v>
      </c>
      <c r="AH10" s="96" cm="1">
        <f t="array" ref="AH10">SUM([5]Hoja3!$J$6:$J$25*([5]Hoja3!$F$6:$F$25=AG$5)*([5]Hoja3!$K$6:$K$25=$C10))</f>
        <v>0</v>
      </c>
      <c r="AI10" s="100">
        <f t="shared" si="25"/>
        <v>0</v>
      </c>
      <c r="AJ10" s="96" cm="1">
        <f t="array" ref="AJ10">SUM([5]Hoja3!$I$6:$I$25*([5]Hoja3!$F$6:$F$25=AJ$5)*([5]Hoja3!$K$6:$K$25=$C10))</f>
        <v>0</v>
      </c>
      <c r="AK10" s="96" cm="1">
        <f t="array" ref="AK10">SUM([5]Hoja3!$J$6:$J$25*([5]Hoja3!$F$6:$F$25=AJ$5)*([5]Hoja3!$K$6:$K$25=$C10))</f>
        <v>0</v>
      </c>
      <c r="AL10" s="100">
        <f t="shared" si="26"/>
        <v>0</v>
      </c>
      <c r="AM10" s="96" cm="1">
        <f t="array" ref="AM10">SUM([5]Hoja3!$I$6:$I$25*([5]Hoja3!$F$6:$F$25=AM$5)*([5]Hoja3!$K$6:$K$25=$C10))</f>
        <v>0</v>
      </c>
      <c r="AN10" s="96" cm="1">
        <f t="array" ref="AN10">SUM([5]Hoja3!$J$6:$J$25*([5]Hoja3!$F$6:$F$25=AM$5)*([5]Hoja3!$K$6:$K$25=$C10))</f>
        <v>0</v>
      </c>
      <c r="AO10" s="100">
        <f t="shared" si="27"/>
        <v>0</v>
      </c>
      <c r="AP10" s="96" cm="1">
        <f t="array" ref="AP10">SUM([5]Hoja3!$I$6:$I$25*([5]Hoja3!$F$6:$F$25=AP$5)*([5]Hoja3!$K$6:$K$25=$C10))</f>
        <v>0</v>
      </c>
      <c r="AQ10" s="96" cm="1">
        <f t="array" ref="AQ10">SUM([5]Hoja3!$J$6:$J$25*([5]Hoja3!$F$6:$F$25=AP$5)*([5]Hoja3!$K$6:$K$25=$C10))</f>
        <v>0</v>
      </c>
      <c r="AR10" s="100">
        <f t="shared" si="28"/>
        <v>0</v>
      </c>
      <c r="AS10" s="96" cm="1">
        <f t="array" ref="AS10">SUM([5]Hoja3!$I$6:$I$25*([5]Hoja3!$F$6:$F$25=AS$5)*([5]Hoja3!$K$6:$K$25=$C10))</f>
        <v>0</v>
      </c>
      <c r="AT10" s="96" cm="1">
        <f t="array" ref="AT10">SUM([5]Hoja3!$J$6:$J$25*([5]Hoja3!$F$6:$F$25=AS$5)*([5]Hoja3!$K$6:$K$25=$C10))</f>
        <v>0</v>
      </c>
      <c r="AU10" s="100">
        <f t="shared" si="29"/>
        <v>0</v>
      </c>
      <c r="AV10" s="96" cm="1">
        <f t="array" ref="AV10">SUM([5]Hoja3!$I$6:$I$25*([5]Hoja3!$F$6:$F$25=AV$5)*([5]Hoja3!$K$6:$K$25=$C10))</f>
        <v>0</v>
      </c>
      <c r="AW10" s="96" cm="1">
        <f t="array" ref="AW10">SUM([5]Hoja3!$J$6:$J$25*([5]Hoja3!$F$6:$F$25=AV$5)*([5]Hoja3!$K$6:$K$25=$C10))</f>
        <v>0</v>
      </c>
      <c r="AX10" s="100">
        <f t="shared" si="30"/>
        <v>0</v>
      </c>
      <c r="AY10" s="96" cm="1">
        <f t="array" ref="AY10">SUM([5]Hoja3!$I$6:$I$25*([5]Hoja3!$F$6:$F$25=AY$5)*([5]Hoja3!$K$6:$K$25=$C10))</f>
        <v>0</v>
      </c>
      <c r="AZ10" s="96" cm="1">
        <f t="array" ref="AZ10">SUM([5]Hoja3!$J$6:$J$25*([5]Hoja3!$F$6:$F$25=AY$5)*([5]Hoja3!$K$6:$K$25=$C10))</f>
        <v>0</v>
      </c>
      <c r="BA10" s="100">
        <f t="shared" si="31"/>
        <v>0</v>
      </c>
      <c r="BB10" s="96" cm="1">
        <f t="array" ref="BB10">SUM([2]Hoja2!$I$6:$I$26*([2]Hoja2!$F$6:$F$26=BB$5)*([2]Hoja2!$K$6:$K$26=$C10))</f>
        <v>0</v>
      </c>
      <c r="BC10" s="96" cm="1">
        <f t="array" ref="BC10">SUM([2]Hoja2!$J$6:$J$26*([2]Hoja2!$F$6:$F$26=BB$5)*([2]Hoja2!$K$6:$K$26=$C10))</f>
        <v>0</v>
      </c>
      <c r="BD10" s="100">
        <f t="shared" si="32"/>
        <v>0</v>
      </c>
      <c r="BE10" s="96" cm="1">
        <f t="array" ref="BE10">SUM([2]Hoja2!$I$6:$I$26*([2]Hoja2!$F$6:$F$26=BE$5)*([2]Hoja2!$K$6:$K$26=$C10))</f>
        <v>0</v>
      </c>
      <c r="BF10" s="96" cm="1">
        <f t="array" ref="BF10">SUM([2]Hoja2!$J$6:$J$26*([2]Hoja2!$F$6:$F$26=BE$5)*([2]Hoja2!$K$6:$K$26=$C10))</f>
        <v>0</v>
      </c>
      <c r="BG10" s="100">
        <f t="shared" si="33"/>
        <v>0</v>
      </c>
      <c r="BH10" s="96" cm="1">
        <f t="array" ref="BH10">SUM([2]Hoja2!$I$6:$I$26*([2]Hoja2!$F$6:$F$26=BH$5)*([2]Hoja2!$K$6:$K$26=$C10))</f>
        <v>0</v>
      </c>
      <c r="BI10" s="96" cm="1">
        <f t="array" ref="BI10">SUM([2]Hoja2!$J$6:$J$26*([2]Hoja2!$F$6:$F$26=BH$5)*([2]Hoja2!$K$6:$K$26=$C10))</f>
        <v>0</v>
      </c>
      <c r="BJ10" s="100">
        <f t="shared" si="34"/>
        <v>0</v>
      </c>
      <c r="BK10" s="96" cm="1">
        <f t="array" ref="BK10">SUM([2]Hoja2!$I$6:$I$26*([2]Hoja2!$F$6:$F$26=BK$5)*([2]Hoja2!$K$6:$K$26=$C10))</f>
        <v>0</v>
      </c>
      <c r="BL10" s="96" cm="1">
        <f t="array" ref="BL10">SUM([2]Hoja2!$J$6:$J$26*([2]Hoja2!$F$6:$F$26=BK$5)*([2]Hoja2!$K$6:$K$26=$C10))</f>
        <v>0</v>
      </c>
      <c r="BM10" s="100">
        <f t="shared" si="35"/>
        <v>0</v>
      </c>
      <c r="BN10" s="96" cm="1">
        <f t="array" ref="BN10">SUM([2]Hoja2!$I$6:$I$26*([2]Hoja2!$F$6:$F$26=BN$5)*([2]Hoja2!$K$6:$K$26=$C10))</f>
        <v>0</v>
      </c>
      <c r="BO10" s="96" cm="1">
        <f t="array" ref="BO10">SUM([2]Hoja2!$J$6:$J$26*([2]Hoja2!$F$6:$F$26=BN$5)*([2]Hoja2!$K$6:$K$26=$C10))</f>
        <v>0</v>
      </c>
      <c r="BP10" s="100">
        <f t="shared" si="36"/>
        <v>0</v>
      </c>
      <c r="BQ10" s="96" cm="1">
        <f t="array" ref="BQ10">SUM([2]Hoja2!$I$6:$I$26*([2]Hoja2!$F$6:$F$26=BQ$5)*([2]Hoja2!$K$6:$K$26=$C10))</f>
        <v>0</v>
      </c>
      <c r="BR10" s="96" cm="1">
        <f t="array" ref="BR10">SUM([2]Hoja2!$J$6:$J$26*([2]Hoja2!$F$6:$F$26=BQ$5)*([2]Hoja2!$K$6:$K$26=$C10))</f>
        <v>0</v>
      </c>
      <c r="BS10" s="100">
        <f t="shared" si="37"/>
        <v>0</v>
      </c>
      <c r="BT10" s="101">
        <f t="shared" si="8"/>
        <v>27</v>
      </c>
      <c r="BU10" s="102">
        <f t="shared" si="9"/>
        <v>68850</v>
      </c>
      <c r="BV10" s="103">
        <f t="shared" si="38"/>
        <v>2550</v>
      </c>
      <c r="BW10" s="102">
        <f>-IFERROR(F10/D10*BT10,0)</f>
        <v>-38039.142339900354</v>
      </c>
      <c r="BX10" s="103">
        <f t="shared" si="10"/>
        <v>-5611.68</v>
      </c>
      <c r="BY10" s="102">
        <f t="shared" si="11"/>
        <v>-2410.9465909090914</v>
      </c>
      <c r="BZ10" s="103">
        <f t="shared" si="12"/>
        <v>-4739.5124999999998</v>
      </c>
      <c r="CA10" s="102">
        <f t="shared" si="13"/>
        <v>-3788.7243750000007</v>
      </c>
      <c r="CB10" s="103">
        <f t="shared" si="14"/>
        <v>1973.0161322933989</v>
      </c>
      <c r="CC10" s="102">
        <f t="shared" si="40"/>
        <v>20021.734701483954</v>
      </c>
      <c r="CD10" s="104">
        <f t="shared" si="41"/>
        <v>0.29080224693513368</v>
      </c>
      <c r="CE10" s="105">
        <f t="shared" si="15"/>
        <v>28549.971576483957</v>
      </c>
      <c r="CF10" s="106">
        <f t="shared" si="16"/>
        <v>0.41466915869983961</v>
      </c>
      <c r="CH10" s="98">
        <f t="shared" si="17"/>
        <v>2550</v>
      </c>
      <c r="CI10" s="99">
        <f t="shared" si="18"/>
        <v>-1408.8571237000131</v>
      </c>
      <c r="CJ10" s="99">
        <f t="shared" si="18"/>
        <v>-207.84</v>
      </c>
      <c r="CK10" s="99">
        <f t="shared" si="18"/>
        <v>-89.294318181818198</v>
      </c>
      <c r="CL10" s="99">
        <f t="shared" si="18"/>
        <v>-175.53749999999999</v>
      </c>
      <c r="CM10" s="99">
        <f t="shared" si="18"/>
        <v>-140.32312500000003</v>
      </c>
      <c r="CN10" s="99">
        <f t="shared" si="18"/>
        <v>73.074671566422182</v>
      </c>
      <c r="CO10" s="99">
        <f t="shared" si="18"/>
        <v>741.54572968459092</v>
      </c>
      <c r="CP10" s="99">
        <f t="shared" si="19"/>
        <v>1057.406354684591</v>
      </c>
      <c r="CQ10" s="49">
        <f t="shared" si="20"/>
        <v>315.86062500000003</v>
      </c>
    </row>
    <row r="11" spans="2:99" x14ac:dyDescent="0.3">
      <c r="B11" s="48">
        <v>10007162</v>
      </c>
      <c r="C11" s="52" t="s">
        <v>82</v>
      </c>
      <c r="D11" s="87">
        <f>TD!F8</f>
        <v>171</v>
      </c>
      <c r="E11" s="88">
        <f t="shared" si="0"/>
        <v>1698.6478399988744</v>
      </c>
      <c r="F11" s="49">
        <f>TD!G8</f>
        <v>290468.78063980752</v>
      </c>
      <c r="G11" s="49">
        <f>TD!H8</f>
        <v>35540.639999999999</v>
      </c>
      <c r="H11" s="49">
        <f>TD!I8</f>
        <v>7714.0797792730955</v>
      </c>
      <c r="I11" s="49">
        <f>TD!J8</f>
        <v>15164.573814169853</v>
      </c>
      <c r="J11" s="49">
        <f>TD!K8</f>
        <v>12122.426187552423</v>
      </c>
      <c r="K11" s="90">
        <v>0</v>
      </c>
      <c r="L11" s="91">
        <v>0</v>
      </c>
      <c r="M11" s="92">
        <f t="shared" si="1"/>
        <v>348888.07423325046</v>
      </c>
      <c r="N11" s="93">
        <f t="shared" si="42"/>
        <v>2040.2811358669617</v>
      </c>
      <c r="O11" s="93">
        <f t="shared" si="2"/>
        <v>321601.07423152821</v>
      </c>
      <c r="P11" s="93">
        <f t="shared" si="3"/>
        <v>1880.7080364416854</v>
      </c>
      <c r="Q11" s="107">
        <v>2700</v>
      </c>
      <c r="R11" s="107">
        <f t="shared" si="21"/>
        <v>461700</v>
      </c>
      <c r="S11" s="107">
        <f t="shared" si="4"/>
        <v>126077.19460460774</v>
      </c>
      <c r="T11" s="108">
        <f t="shared" si="5"/>
        <v>0.27307167988868908</v>
      </c>
      <c r="U11" s="107">
        <f t="shared" si="6"/>
        <v>153364.19460632998</v>
      </c>
      <c r="V11" s="108">
        <f t="shared" si="7"/>
        <v>0.33217282782397656</v>
      </c>
      <c r="X11" s="96" cm="1">
        <f t="array" ref="X11">SUM([5]Hoja3!$I$6:$I$25*([5]Hoja3!$F$6:$F$25=X$5)*([5]Hoja3!$K$6:$K$25=$C11))</f>
        <v>0</v>
      </c>
      <c r="Y11" s="96" cm="1">
        <f t="array" ref="Y11">SUM([5]Hoja3!$J$6:$J$25*([5]Hoja3!$F$6:$F$25=X$5)*([5]Hoja3!$K$6:$K$25=$C11))</f>
        <v>0</v>
      </c>
      <c r="Z11" s="100">
        <f t="shared" si="22"/>
        <v>0</v>
      </c>
      <c r="AA11" s="96" cm="1">
        <f t="array" ref="AA11">SUM([5]Hoja3!$I$6:$I$25*([5]Hoja3!$F$6:$F$25=AA$5)*([5]Hoja3!$K$6:$K$25=$C11))</f>
        <v>0</v>
      </c>
      <c r="AB11" s="96" cm="1">
        <f t="array" ref="AB11">SUM([5]Hoja3!$J$6:$J$25*([5]Hoja3!$F$6:$F$25=AA$5)*([5]Hoja3!$K$6:$K$25=$C11))</f>
        <v>0</v>
      </c>
      <c r="AC11" s="100">
        <f t="shared" si="23"/>
        <v>0</v>
      </c>
      <c r="AD11" s="96" cm="1">
        <f t="array" ref="AD11">SUM([5]Hoja3!$I$6:$I$25*([5]Hoja3!$F$6:$F$25=AD$5)*([5]Hoja3!$K$6:$K$25=$C11))</f>
        <v>108</v>
      </c>
      <c r="AE11" s="96" cm="1">
        <f t="array" ref="AE11">SUM([5]Hoja3!$J$6:$J$25*([5]Hoja3!$F$6:$F$25=AD$5)*([5]Hoja3!$K$6:$K$25=$C11))</f>
        <v>275400</v>
      </c>
      <c r="AF11" s="100">
        <f t="shared" si="24"/>
        <v>2550</v>
      </c>
      <c r="AG11" s="96" cm="1">
        <f t="array" ref="AG11">SUM([5]Hoja3!$I$6:$I$25*([5]Hoja3!$F$6:$F$25=AG$5)*([5]Hoja3!$K$6:$K$25=$C11))</f>
        <v>0</v>
      </c>
      <c r="AH11" s="96" cm="1">
        <f t="array" ref="AH11">SUM([5]Hoja3!$J$6:$J$25*([5]Hoja3!$F$6:$F$25=AG$5)*([5]Hoja3!$K$6:$K$25=$C11))</f>
        <v>0</v>
      </c>
      <c r="AI11" s="100">
        <f t="shared" si="25"/>
        <v>0</v>
      </c>
      <c r="AJ11" s="96" cm="1">
        <f t="array" ref="AJ11">SUM([5]Hoja3!$I$6:$I$25*([5]Hoja3!$F$6:$F$25=AJ$5)*([5]Hoja3!$K$6:$K$25=$C11))</f>
        <v>0</v>
      </c>
      <c r="AK11" s="96" cm="1">
        <f t="array" ref="AK11">SUM([5]Hoja3!$J$6:$J$25*([5]Hoja3!$F$6:$F$25=AJ$5)*([5]Hoja3!$K$6:$K$25=$C11))</f>
        <v>0</v>
      </c>
      <c r="AL11" s="100">
        <f t="shared" si="26"/>
        <v>0</v>
      </c>
      <c r="AM11" s="96" cm="1">
        <f t="array" ref="AM11">SUM([5]Hoja3!$I$6:$I$25*([5]Hoja3!$F$6:$F$25=AM$5)*([5]Hoja3!$K$6:$K$25=$C11))</f>
        <v>0</v>
      </c>
      <c r="AN11" s="96" cm="1">
        <f t="array" ref="AN11">SUM([5]Hoja3!$J$6:$J$25*([5]Hoja3!$F$6:$F$25=AM$5)*([5]Hoja3!$K$6:$K$25=$C11))</f>
        <v>0</v>
      </c>
      <c r="AO11" s="100">
        <f t="shared" si="27"/>
        <v>0</v>
      </c>
      <c r="AP11" s="96" cm="1">
        <f t="array" ref="AP11">SUM([5]Hoja3!$I$6:$I$25*([5]Hoja3!$F$6:$F$25=AP$5)*([5]Hoja3!$K$6:$K$25=$C11))</f>
        <v>0</v>
      </c>
      <c r="AQ11" s="96" cm="1">
        <f t="array" ref="AQ11">SUM([5]Hoja3!$J$6:$J$25*([5]Hoja3!$F$6:$F$25=AP$5)*([5]Hoja3!$K$6:$K$25=$C11))</f>
        <v>0</v>
      </c>
      <c r="AR11" s="100">
        <f t="shared" si="28"/>
        <v>0</v>
      </c>
      <c r="AS11" s="96" cm="1">
        <f t="array" ref="AS11">SUM([5]Hoja3!$I$6:$I$25*([5]Hoja3!$F$6:$F$25=AS$5)*([5]Hoja3!$K$6:$K$25=$C11))</f>
        <v>27</v>
      </c>
      <c r="AT11" s="96" cm="1">
        <f t="array" ref="AT11">SUM([5]Hoja3!$J$6:$J$25*([5]Hoja3!$F$6:$F$25=AS$5)*([5]Hoja3!$K$6:$K$25=$C11))</f>
        <v>81000</v>
      </c>
      <c r="AU11" s="100">
        <f t="shared" si="29"/>
        <v>3000</v>
      </c>
      <c r="AV11" s="96" cm="1">
        <f t="array" ref="AV11">SUM([5]Hoja3!$I$6:$I$25*([5]Hoja3!$F$6:$F$25=AV$5)*([5]Hoja3!$K$6:$K$25=$C11))</f>
        <v>0</v>
      </c>
      <c r="AW11" s="96" cm="1">
        <f t="array" ref="AW11">SUM([5]Hoja3!$J$6:$J$25*([5]Hoja3!$F$6:$F$25=AV$5)*([5]Hoja3!$K$6:$K$25=$C11))</f>
        <v>0</v>
      </c>
      <c r="AX11" s="100">
        <f t="shared" si="30"/>
        <v>0</v>
      </c>
      <c r="AY11" s="96" cm="1">
        <f t="array" ref="AY11">SUM([5]Hoja3!$I$6:$I$25*([5]Hoja3!$F$6:$F$25=AY$5)*([5]Hoja3!$K$6:$K$25=$C11))</f>
        <v>108</v>
      </c>
      <c r="AZ11" s="96" cm="1">
        <f t="array" ref="AZ11">SUM([5]Hoja3!$J$6:$J$25*([5]Hoja3!$F$6:$F$25=AY$5)*([5]Hoja3!$K$6:$K$25=$C11))</f>
        <v>293910</v>
      </c>
      <c r="BA11" s="100">
        <f t="shared" si="31"/>
        <v>2721.3888888888887</v>
      </c>
      <c r="BB11" s="96" cm="1">
        <f t="array" ref="BB11">SUM([2]Hoja2!$I$6:$I$26*([2]Hoja2!$F$6:$F$26=BB$5)*([2]Hoja2!$K$6:$K$26=$C11))</f>
        <v>0</v>
      </c>
      <c r="BC11" s="96" cm="1">
        <f t="array" ref="BC11">SUM([2]Hoja2!$J$6:$J$26*([2]Hoja2!$F$6:$F$26=BB$5)*([2]Hoja2!$K$6:$K$26=$C11))</f>
        <v>0</v>
      </c>
      <c r="BD11" s="100">
        <f t="shared" si="32"/>
        <v>0</v>
      </c>
      <c r="BE11" s="96" cm="1">
        <f t="array" ref="BE11">SUM([2]Hoja2!$I$6:$I$26*([2]Hoja2!$F$6:$F$26=BE$5)*([2]Hoja2!$K$6:$K$26=$C11))</f>
        <v>0</v>
      </c>
      <c r="BF11" s="96" cm="1">
        <f t="array" ref="BF11">SUM([2]Hoja2!$J$6:$J$26*([2]Hoja2!$F$6:$F$26=BE$5)*([2]Hoja2!$K$6:$K$26=$C11))</f>
        <v>0</v>
      </c>
      <c r="BG11" s="100">
        <f t="shared" si="33"/>
        <v>0</v>
      </c>
      <c r="BH11" s="96" cm="1">
        <f t="array" ref="BH11">SUM([2]Hoja2!$I$6:$I$26*([2]Hoja2!$F$6:$F$26=BH$5)*([2]Hoja2!$K$6:$K$26=$C11))</f>
        <v>0</v>
      </c>
      <c r="BI11" s="96" cm="1">
        <f t="array" ref="BI11">SUM([2]Hoja2!$J$6:$J$26*([2]Hoja2!$F$6:$F$26=BH$5)*([2]Hoja2!$K$6:$K$26=$C11))</f>
        <v>0</v>
      </c>
      <c r="BJ11" s="100">
        <f t="shared" si="34"/>
        <v>0</v>
      </c>
      <c r="BK11" s="96" cm="1">
        <f t="array" ref="BK11">SUM([2]Hoja2!$I$6:$I$26*([2]Hoja2!$F$6:$F$26=BK$5)*([2]Hoja2!$K$6:$K$26=$C11))</f>
        <v>0</v>
      </c>
      <c r="BL11" s="96" cm="1">
        <f t="array" ref="BL11">SUM([2]Hoja2!$J$6:$J$26*([2]Hoja2!$F$6:$F$26=BK$5)*([2]Hoja2!$K$6:$K$26=$C11))</f>
        <v>0</v>
      </c>
      <c r="BM11" s="100">
        <f t="shared" si="35"/>
        <v>0</v>
      </c>
      <c r="BN11" s="96" cm="1">
        <f t="array" ref="BN11">SUM([2]Hoja2!$I$6:$I$26*([2]Hoja2!$F$6:$F$26=BN$5)*([2]Hoja2!$K$6:$K$26=$C11))</f>
        <v>0</v>
      </c>
      <c r="BO11" s="96" cm="1">
        <f t="array" ref="BO11">SUM([2]Hoja2!$J$6:$J$26*([2]Hoja2!$F$6:$F$26=BN$5)*([2]Hoja2!$K$6:$K$26=$C11))</f>
        <v>0</v>
      </c>
      <c r="BP11" s="100">
        <f t="shared" si="36"/>
        <v>0</v>
      </c>
      <c r="BQ11" s="96" cm="1">
        <f t="array" ref="BQ11">SUM([2]Hoja2!$I$6:$I$26*([2]Hoja2!$F$6:$F$26=BQ$5)*([2]Hoja2!$K$6:$K$26=$C11))</f>
        <v>0</v>
      </c>
      <c r="BR11" s="96" cm="1">
        <f t="array" ref="BR11">SUM([2]Hoja2!$J$6:$J$26*([2]Hoja2!$F$6:$F$26=BQ$5)*([2]Hoja2!$K$6:$K$26=$C11))</f>
        <v>0</v>
      </c>
      <c r="BS11" s="100">
        <f t="shared" si="37"/>
        <v>0</v>
      </c>
      <c r="BT11" s="101">
        <f t="shared" si="8"/>
        <v>243</v>
      </c>
      <c r="BU11" s="102">
        <f t="shared" si="9"/>
        <v>650310</v>
      </c>
      <c r="BV11" s="103">
        <f t="shared" si="38"/>
        <v>2676.1728395061727</v>
      </c>
      <c r="BW11" s="102">
        <f>-IFERROR(F11/D11*BT11,0)</f>
        <v>-412771.42511972645</v>
      </c>
      <c r="BX11" s="103">
        <f t="shared" si="10"/>
        <v>-50505.120000000003</v>
      </c>
      <c r="BY11" s="102">
        <f t="shared" si="11"/>
        <v>-21698.519318181821</v>
      </c>
      <c r="BZ11" s="103">
        <f t="shared" si="12"/>
        <v>-42655.612499999996</v>
      </c>
      <c r="CA11" s="102">
        <f t="shared" si="13"/>
        <v>-34098.519375000011</v>
      </c>
      <c r="CB11" s="103">
        <f t="shared" si="14"/>
        <v>18676.945190640592</v>
      </c>
      <c r="CC11" s="102">
        <f t="shared" si="40"/>
        <v>141356.26825273229</v>
      </c>
      <c r="CD11" s="104">
        <f t="shared" si="41"/>
        <v>0.21736751434351662</v>
      </c>
      <c r="CE11" s="105">
        <f t="shared" si="15"/>
        <v>218110.40012773234</v>
      </c>
      <c r="CF11" s="106">
        <f t="shared" si="16"/>
        <v>0.33539450435597229</v>
      </c>
      <c r="CH11" s="98">
        <f t="shared" si="17"/>
        <v>2676.1728395061727</v>
      </c>
      <c r="CI11" s="99">
        <f t="shared" si="18"/>
        <v>-1698.6478399988744</v>
      </c>
      <c r="CJ11" s="99">
        <f t="shared" si="18"/>
        <v>-207.84</v>
      </c>
      <c r="CK11" s="99">
        <f t="shared" si="18"/>
        <v>-89.294318181818198</v>
      </c>
      <c r="CL11" s="99">
        <f t="shared" si="18"/>
        <v>-175.53749999999999</v>
      </c>
      <c r="CM11" s="99">
        <f t="shared" si="18"/>
        <v>-140.32312500000003</v>
      </c>
      <c r="CN11" s="99">
        <f t="shared" si="18"/>
        <v>76.859856751607381</v>
      </c>
      <c r="CO11" s="99">
        <f t="shared" si="18"/>
        <v>581.71303807708762</v>
      </c>
      <c r="CP11" s="99">
        <f t="shared" si="19"/>
        <v>897.57366307708787</v>
      </c>
      <c r="CQ11" s="49">
        <f t="shared" si="20"/>
        <v>315.86062500000025</v>
      </c>
    </row>
    <row r="12" spans="2:99" x14ac:dyDescent="0.3">
      <c r="B12" s="48">
        <v>10007567</v>
      </c>
      <c r="C12" s="52" t="s">
        <v>83</v>
      </c>
      <c r="D12" s="87">
        <f>TD!F9</f>
        <v>108.54</v>
      </c>
      <c r="E12" s="88">
        <f t="shared" si="0"/>
        <v>1641.9707231337011</v>
      </c>
      <c r="F12" s="49">
        <f>TD!G9</f>
        <v>178219.50228893192</v>
      </c>
      <c r="G12" s="49">
        <f>TD!H9</f>
        <v>22558.953600000001</v>
      </c>
      <c r="H12" s="49">
        <f>TD!I9</f>
        <v>4896.4106388438713</v>
      </c>
      <c r="I12" s="49">
        <f>TD!J9</f>
        <v>9625.5136946783405</v>
      </c>
      <c r="J12" s="49">
        <f>TD!K9</f>
        <v>7694.5505169411699</v>
      </c>
      <c r="K12" s="90">
        <v>0</v>
      </c>
      <c r="L12" s="91">
        <v>0</v>
      </c>
      <c r="M12" s="92">
        <f t="shared" si="1"/>
        <v>215300.38022245414</v>
      </c>
      <c r="N12" s="93">
        <f t="shared" si="42"/>
        <v>1983.6040190017886</v>
      </c>
      <c r="O12" s="93">
        <f t="shared" si="2"/>
        <v>197980.31601083462</v>
      </c>
      <c r="P12" s="93">
        <f t="shared" si="3"/>
        <v>1824.0309195765119</v>
      </c>
      <c r="Q12" s="107">
        <v>2730</v>
      </c>
      <c r="R12" s="107">
        <f t="shared" si="21"/>
        <v>296314.2</v>
      </c>
      <c r="S12" s="107">
        <f t="shared" si="4"/>
        <v>89531.460629365334</v>
      </c>
      <c r="T12" s="108">
        <f t="shared" si="5"/>
        <v>0.30215042218484744</v>
      </c>
      <c r="U12" s="107">
        <f t="shared" si="6"/>
        <v>106851.52484098486</v>
      </c>
      <c r="V12" s="108">
        <f t="shared" si="7"/>
        <v>0.36060210695601108</v>
      </c>
      <c r="X12" s="96" cm="1">
        <f t="array" ref="X12">SUM([5]Hoja3!$I$6:$I$25*([5]Hoja3!$F$6:$F$25=X$5)*([5]Hoja3!$K$6:$K$25=$C12))</f>
        <v>0</v>
      </c>
      <c r="Y12" s="96" cm="1">
        <f t="array" ref="Y12">SUM([5]Hoja3!$J$6:$J$25*([5]Hoja3!$F$6:$F$25=X$5)*([5]Hoja3!$K$6:$K$25=$C12))</f>
        <v>0</v>
      </c>
      <c r="Z12" s="100">
        <f t="shared" si="22"/>
        <v>0</v>
      </c>
      <c r="AA12" s="96" cm="1">
        <f t="array" ref="AA12">SUM([5]Hoja3!$I$6:$I$25*([5]Hoja3!$F$6:$F$25=AA$5)*([5]Hoja3!$K$6:$K$25=$C12))</f>
        <v>26</v>
      </c>
      <c r="AB12" s="96" cm="1">
        <f t="array" ref="AB12">SUM([5]Hoja3!$J$6:$J$25*([5]Hoja3!$F$6:$F$25=AA$5)*([5]Hoja3!$K$6:$K$25=$C12))</f>
        <v>74100</v>
      </c>
      <c r="AC12" s="100">
        <f t="shared" si="23"/>
        <v>2850</v>
      </c>
      <c r="AD12" s="96" cm="1">
        <f t="array" ref="AD12">SUM([5]Hoja3!$I$6:$I$25*([5]Hoja3!$F$6:$F$25=AD$5)*([5]Hoja3!$K$6:$K$25=$C12))</f>
        <v>0</v>
      </c>
      <c r="AE12" s="96" cm="1">
        <f t="array" ref="AE12">SUM([5]Hoja3!$J$6:$J$25*([5]Hoja3!$F$6:$F$25=AD$5)*([5]Hoja3!$K$6:$K$25=$C12))</f>
        <v>0</v>
      </c>
      <c r="AF12" s="100">
        <f t="shared" si="24"/>
        <v>0</v>
      </c>
      <c r="AG12" s="96" cm="1">
        <f t="array" ref="AG12">SUM([5]Hoja3!$I$6:$I$25*([5]Hoja3!$F$6:$F$25=AG$5)*([5]Hoja3!$K$6:$K$25=$C12))</f>
        <v>26</v>
      </c>
      <c r="AH12" s="96" cm="1">
        <f t="array" ref="AH12">SUM([5]Hoja3!$J$6:$J$25*([5]Hoja3!$F$6:$F$25=AG$5)*([5]Hoja3!$K$6:$K$25=$C12))</f>
        <v>70980</v>
      </c>
      <c r="AI12" s="100">
        <f t="shared" si="25"/>
        <v>2730</v>
      </c>
      <c r="AJ12" s="96" cm="1">
        <f t="array" ref="AJ12">SUM([5]Hoja3!$I$6:$I$25*([5]Hoja3!$F$6:$F$25=AJ$5)*([5]Hoja3!$K$6:$K$25=$C12))</f>
        <v>0</v>
      </c>
      <c r="AK12" s="96" cm="1">
        <f t="array" ref="AK12">SUM([5]Hoja3!$J$6:$J$25*([5]Hoja3!$F$6:$F$25=AJ$5)*([5]Hoja3!$K$6:$K$25=$C12))</f>
        <v>0</v>
      </c>
      <c r="AL12" s="100">
        <f t="shared" si="26"/>
        <v>0</v>
      </c>
      <c r="AM12" s="96" cm="1">
        <f t="array" ref="AM12">SUM([5]Hoja3!$I$6:$I$25*([5]Hoja3!$F$6:$F$25=AM$5)*([5]Hoja3!$K$6:$K$25=$C12))</f>
        <v>0</v>
      </c>
      <c r="AN12" s="96" cm="1">
        <f t="array" ref="AN12">SUM([5]Hoja3!$J$6:$J$25*([5]Hoja3!$F$6:$F$25=AM$5)*([5]Hoja3!$K$6:$K$25=$C12))</f>
        <v>0</v>
      </c>
      <c r="AO12" s="100">
        <f t="shared" si="27"/>
        <v>0</v>
      </c>
      <c r="AP12" s="96" cm="1">
        <f t="array" ref="AP12">SUM([5]Hoja3!$I$6:$I$25*([5]Hoja3!$F$6:$F$25=AP$5)*([5]Hoja3!$K$6:$K$25=$C12))</f>
        <v>27</v>
      </c>
      <c r="AQ12" s="96" cm="1">
        <f t="array" ref="AQ12">SUM([5]Hoja3!$J$6:$J$25*([5]Hoja3!$F$6:$F$25=AP$5)*([5]Hoja3!$K$6:$K$25=$C12))</f>
        <v>72360</v>
      </c>
      <c r="AR12" s="100">
        <f t="shared" si="28"/>
        <v>2680</v>
      </c>
      <c r="AS12" s="96" cm="1">
        <f t="array" ref="AS12">SUM([5]Hoja3!$I$6:$I$25*([5]Hoja3!$F$6:$F$25=AS$5)*([5]Hoja3!$K$6:$K$25=$C12))</f>
        <v>0</v>
      </c>
      <c r="AT12" s="96" cm="1">
        <f t="array" ref="AT12">SUM([5]Hoja3!$J$6:$J$25*([5]Hoja3!$F$6:$F$25=AS$5)*([5]Hoja3!$K$6:$K$25=$C12))</f>
        <v>0</v>
      </c>
      <c r="AU12" s="100">
        <f t="shared" si="29"/>
        <v>0</v>
      </c>
      <c r="AV12" s="96" cm="1">
        <f t="array" ref="AV12">SUM([5]Hoja3!$I$6:$I$25*([5]Hoja3!$F$6:$F$25=AV$5)*([5]Hoja3!$K$6:$K$25=$C12))</f>
        <v>0</v>
      </c>
      <c r="AW12" s="96" cm="1">
        <f t="array" ref="AW12">SUM([5]Hoja3!$J$6:$J$25*([5]Hoja3!$F$6:$F$25=AV$5)*([5]Hoja3!$K$6:$K$25=$C12))</f>
        <v>0</v>
      </c>
      <c r="AX12" s="100">
        <f t="shared" si="30"/>
        <v>0</v>
      </c>
      <c r="AY12" s="96" cm="1">
        <f t="array" ref="AY12">SUM([5]Hoja3!$I$6:$I$25*([5]Hoja3!$F$6:$F$25=AY$5)*([5]Hoja3!$K$6:$K$25=$C12))</f>
        <v>0</v>
      </c>
      <c r="AZ12" s="96" cm="1">
        <f t="array" ref="AZ12">SUM([5]Hoja3!$J$6:$J$25*([5]Hoja3!$F$6:$F$25=AY$5)*([5]Hoja3!$K$6:$K$25=$C12))</f>
        <v>0</v>
      </c>
      <c r="BA12" s="100">
        <f t="shared" si="31"/>
        <v>0</v>
      </c>
      <c r="BB12" s="96" cm="1">
        <f t="array" ref="BB12">SUM([2]Hoja2!$I$6:$I$26*([2]Hoja2!$F$6:$F$26=BB$5)*([2]Hoja2!$K$6:$K$26=$C12))</f>
        <v>0</v>
      </c>
      <c r="BC12" s="96" cm="1">
        <f t="array" ref="BC12">SUM([2]Hoja2!$J$6:$J$26*([2]Hoja2!$F$6:$F$26=BB$5)*([2]Hoja2!$K$6:$K$26=$C12))</f>
        <v>0</v>
      </c>
      <c r="BD12" s="100">
        <f t="shared" si="32"/>
        <v>0</v>
      </c>
      <c r="BE12" s="96" cm="1">
        <f t="array" ref="BE12">SUM([2]Hoja2!$I$6:$I$26*([2]Hoja2!$F$6:$F$26=BE$5)*([2]Hoja2!$K$6:$K$26=$C12))</f>
        <v>0</v>
      </c>
      <c r="BF12" s="96" cm="1">
        <f t="array" ref="BF12">SUM([2]Hoja2!$J$6:$J$26*([2]Hoja2!$F$6:$F$26=BE$5)*([2]Hoja2!$K$6:$K$26=$C12))</f>
        <v>0</v>
      </c>
      <c r="BG12" s="100">
        <f t="shared" si="33"/>
        <v>0</v>
      </c>
      <c r="BH12" s="96" cm="1">
        <f t="array" ref="BH12">SUM([2]Hoja2!$I$6:$I$26*([2]Hoja2!$F$6:$F$26=BH$5)*([2]Hoja2!$K$6:$K$26=$C12))</f>
        <v>0</v>
      </c>
      <c r="BI12" s="96" cm="1">
        <f t="array" ref="BI12">SUM([2]Hoja2!$J$6:$J$26*([2]Hoja2!$F$6:$F$26=BH$5)*([2]Hoja2!$K$6:$K$26=$C12))</f>
        <v>0</v>
      </c>
      <c r="BJ12" s="100">
        <f t="shared" si="34"/>
        <v>0</v>
      </c>
      <c r="BK12" s="96" cm="1">
        <f t="array" ref="BK12">SUM([2]Hoja2!$I$6:$I$26*([2]Hoja2!$F$6:$F$26=BK$5)*([2]Hoja2!$K$6:$K$26=$C12))</f>
        <v>0</v>
      </c>
      <c r="BL12" s="96" cm="1">
        <f t="array" ref="BL12">SUM([2]Hoja2!$J$6:$J$26*([2]Hoja2!$F$6:$F$26=BK$5)*([2]Hoja2!$K$6:$K$26=$C12))</f>
        <v>0</v>
      </c>
      <c r="BM12" s="100">
        <f t="shared" si="35"/>
        <v>0</v>
      </c>
      <c r="BN12" s="96" cm="1">
        <f t="array" ref="BN12">SUM([2]Hoja2!$I$6:$I$26*([2]Hoja2!$F$6:$F$26=BN$5)*([2]Hoja2!$K$6:$K$26=$C12))</f>
        <v>0</v>
      </c>
      <c r="BO12" s="96" cm="1">
        <f t="array" ref="BO12">SUM([2]Hoja2!$J$6:$J$26*([2]Hoja2!$F$6:$F$26=BN$5)*([2]Hoja2!$K$6:$K$26=$C12))</f>
        <v>0</v>
      </c>
      <c r="BP12" s="100">
        <f t="shared" si="36"/>
        <v>0</v>
      </c>
      <c r="BQ12" s="96" cm="1">
        <f t="array" ref="BQ12">SUM([2]Hoja2!$I$6:$I$26*([2]Hoja2!$F$6:$F$26=BQ$5)*([2]Hoja2!$K$6:$K$26=$C12))</f>
        <v>0</v>
      </c>
      <c r="BR12" s="96" cm="1">
        <f t="array" ref="BR12">SUM([2]Hoja2!$J$6:$J$26*([2]Hoja2!$F$6:$F$26=BQ$5)*([2]Hoja2!$K$6:$K$26=$C12))</f>
        <v>0</v>
      </c>
      <c r="BS12" s="100">
        <f t="shared" si="37"/>
        <v>0</v>
      </c>
      <c r="BT12" s="101">
        <f t="shared" si="8"/>
        <v>79</v>
      </c>
      <c r="BU12" s="102">
        <f t="shared" si="9"/>
        <v>217440</v>
      </c>
      <c r="BV12" s="103">
        <f t="shared" si="38"/>
        <v>2752.4050632911394</v>
      </c>
      <c r="BW12" s="102">
        <f t="shared" ref="BW12:BW18" si="43">-IFERROR(F12/D12*BT12,0)</f>
        <v>-129715.68712756239</v>
      </c>
      <c r="BX12" s="103">
        <f>-207.84*BT12</f>
        <v>-16419.36</v>
      </c>
      <c r="BY12" s="102">
        <f t="shared" si="11"/>
        <v>-7054.2511363636377</v>
      </c>
      <c r="BZ12" s="103">
        <f t="shared" si="12"/>
        <v>-13867.4625</v>
      </c>
      <c r="CA12" s="102">
        <f t="shared" si="13"/>
        <v>-11085.526875000003</v>
      </c>
      <c r="CB12" s="103">
        <f t="shared" si="14"/>
        <v>6252.5990537473517</v>
      </c>
      <c r="CC12" s="102">
        <f t="shared" si="40"/>
        <v>56635.838289821317</v>
      </c>
      <c r="CD12" s="104">
        <f t="shared" si="41"/>
        <v>0.26046651163457191</v>
      </c>
      <c r="CE12" s="105">
        <f t="shared" si="15"/>
        <v>81588.827664821321</v>
      </c>
      <c r="CF12" s="106">
        <f t="shared" si="16"/>
        <v>0.37522455695741963</v>
      </c>
      <c r="CH12" s="98">
        <f t="shared" si="17"/>
        <v>2752.4050632911394</v>
      </c>
      <c r="CI12" s="99">
        <f t="shared" si="18"/>
        <v>-1641.9707231337011</v>
      </c>
      <c r="CJ12" s="99">
        <f t="shared" si="18"/>
        <v>-207.84</v>
      </c>
      <c r="CK12" s="99">
        <f t="shared" si="18"/>
        <v>-89.294318181818198</v>
      </c>
      <c r="CL12" s="99">
        <f t="shared" si="18"/>
        <v>-175.53749999999999</v>
      </c>
      <c r="CM12" s="99">
        <f t="shared" si="18"/>
        <v>-140.32312500000003</v>
      </c>
      <c r="CN12" s="99">
        <f t="shared" si="18"/>
        <v>79.146823465156345</v>
      </c>
      <c r="CO12" s="99">
        <f t="shared" si="18"/>
        <v>716.90934544077618</v>
      </c>
      <c r="CP12" s="99">
        <f t="shared" si="19"/>
        <v>1032.7699704407762</v>
      </c>
      <c r="CQ12" s="49">
        <f t="shared" si="20"/>
        <v>315.86062500000003</v>
      </c>
    </row>
    <row r="13" spans="2:99" x14ac:dyDescent="0.3">
      <c r="B13" s="48">
        <v>10007969</v>
      </c>
      <c r="C13" s="52" t="s">
        <v>9</v>
      </c>
      <c r="D13" s="87">
        <f>TD!F10</f>
        <v>4.0199999999999996</v>
      </c>
      <c r="E13" s="88">
        <f t="shared" si="0"/>
        <v>1333.6378445402104</v>
      </c>
      <c r="F13" s="49">
        <f>TD!G10</f>
        <v>5361.2241350516451</v>
      </c>
      <c r="G13" s="49">
        <f>TD!H10</f>
        <v>835.51679999999988</v>
      </c>
      <c r="H13" s="49">
        <f>TD!I10</f>
        <v>181.34854217940261</v>
      </c>
      <c r="I13" s="49">
        <f>TD!J10</f>
        <v>356.50050721030885</v>
      </c>
      <c r="J13" s="49">
        <f>TD!K10</f>
        <v>284.98335247930254</v>
      </c>
      <c r="K13" s="90">
        <v>0</v>
      </c>
      <c r="L13" s="91">
        <v>0</v>
      </c>
      <c r="M13" s="92">
        <f t="shared" si="1"/>
        <v>6734.5899844413561</v>
      </c>
      <c r="N13" s="93">
        <f t="shared" si="42"/>
        <v>1675.2711404082977</v>
      </c>
      <c r="O13" s="93">
        <f t="shared" si="2"/>
        <v>6093.1061247517446</v>
      </c>
      <c r="P13" s="93">
        <f t="shared" si="3"/>
        <v>1515.6980409830212</v>
      </c>
      <c r="Q13" s="94">
        <v>1600</v>
      </c>
      <c r="R13" s="94">
        <f t="shared" si="21"/>
        <v>6431.9999999999991</v>
      </c>
      <c r="S13" s="94">
        <f t="shared" si="4"/>
        <v>-123.39980474433989</v>
      </c>
      <c r="T13" s="95">
        <f t="shared" si="5"/>
        <v>-1.9185293026172247E-2</v>
      </c>
      <c r="U13" s="94">
        <f t="shared" si="6"/>
        <v>518.08405494527165</v>
      </c>
      <c r="V13" s="95">
        <f t="shared" si="7"/>
        <v>8.0547894114625582E-2</v>
      </c>
      <c r="X13" s="96" cm="1">
        <f t="array" ref="X13">SUM([5]Hoja3!$I$6:$I$25*([5]Hoja3!$F$6:$F$25=X$5)*([5]Hoja3!$K$6:$K$25=$C13))</f>
        <v>0</v>
      </c>
      <c r="Y13" s="96" cm="1">
        <f t="array" ref="Y13">SUM([5]Hoja3!$J$6:$J$25*([5]Hoja3!$F$6:$F$25=X$5)*([5]Hoja3!$K$6:$K$25=$C13))</f>
        <v>0</v>
      </c>
      <c r="Z13" s="100">
        <f t="shared" si="22"/>
        <v>0</v>
      </c>
      <c r="AA13" s="96" cm="1">
        <f t="array" ref="AA13">SUM([5]Hoja3!$I$6:$I$25*([5]Hoja3!$F$6:$F$25=AA$5)*([5]Hoja3!$K$6:$K$25=$C13))</f>
        <v>0</v>
      </c>
      <c r="AB13" s="96" cm="1">
        <f t="array" ref="AB13">SUM([5]Hoja3!$J$6:$J$25*([5]Hoja3!$F$6:$F$25=AA$5)*([5]Hoja3!$K$6:$K$25=$C13))</f>
        <v>0</v>
      </c>
      <c r="AC13" s="100">
        <f t="shared" si="23"/>
        <v>0</v>
      </c>
      <c r="AD13" s="96" cm="1">
        <f t="array" ref="AD13">SUM([5]Hoja3!$I$6:$I$25*([5]Hoja3!$F$6:$F$25=AD$5)*([5]Hoja3!$K$6:$K$25=$C13))</f>
        <v>54</v>
      </c>
      <c r="AE13" s="96" cm="1">
        <f t="array" ref="AE13">SUM([5]Hoja3!$J$6:$J$25*([5]Hoja3!$F$6:$F$25=AD$5)*([5]Hoja3!$K$6:$K$25=$C13))</f>
        <v>86400</v>
      </c>
      <c r="AF13" s="100">
        <f t="shared" si="24"/>
        <v>1600</v>
      </c>
      <c r="AG13" s="96" cm="1">
        <f t="array" ref="AG13">SUM([5]Hoja3!$I$6:$I$25*([5]Hoja3!$F$6:$F$25=AG$5)*([5]Hoja3!$K$6:$K$25=$C13))</f>
        <v>0</v>
      </c>
      <c r="AH13" s="96" cm="1">
        <f t="array" ref="AH13">SUM([5]Hoja3!$J$6:$J$25*([5]Hoja3!$F$6:$F$25=AG$5)*([5]Hoja3!$K$6:$K$25=$C13))</f>
        <v>0</v>
      </c>
      <c r="AI13" s="100">
        <f t="shared" si="25"/>
        <v>0</v>
      </c>
      <c r="AJ13" s="96" cm="1">
        <f t="array" ref="AJ13">SUM([5]Hoja3!$I$6:$I$25*([5]Hoja3!$F$6:$F$25=AJ$5)*([5]Hoja3!$K$6:$K$25=$C13))</f>
        <v>0</v>
      </c>
      <c r="AK13" s="96" cm="1">
        <f t="array" ref="AK13">SUM([5]Hoja3!$J$6:$J$25*([5]Hoja3!$F$6:$F$25=AJ$5)*([5]Hoja3!$K$6:$K$25=$C13))</f>
        <v>0</v>
      </c>
      <c r="AL13" s="100">
        <f t="shared" si="26"/>
        <v>0</v>
      </c>
      <c r="AM13" s="96" cm="1">
        <f t="array" ref="AM13">SUM([5]Hoja3!$I$6:$I$25*([5]Hoja3!$F$6:$F$25=AM$5)*([5]Hoja3!$K$6:$K$25=$C13))</f>
        <v>0</v>
      </c>
      <c r="AN13" s="96" cm="1">
        <f t="array" ref="AN13">SUM([5]Hoja3!$J$6:$J$25*([5]Hoja3!$F$6:$F$25=AM$5)*([5]Hoja3!$K$6:$K$25=$C13))</f>
        <v>0</v>
      </c>
      <c r="AO13" s="100">
        <f t="shared" si="27"/>
        <v>0</v>
      </c>
      <c r="AP13" s="96" cm="1">
        <f t="array" ref="AP13">SUM([5]Hoja3!$I$6:$I$25*([5]Hoja3!$F$6:$F$25=AP$5)*([5]Hoja3!$K$6:$K$25=$C13))</f>
        <v>0</v>
      </c>
      <c r="AQ13" s="96" cm="1">
        <f t="array" ref="AQ13">SUM([5]Hoja3!$J$6:$J$25*([5]Hoja3!$F$6:$F$25=AP$5)*([5]Hoja3!$K$6:$K$25=$C13))</f>
        <v>0</v>
      </c>
      <c r="AR13" s="100">
        <f t="shared" si="28"/>
        <v>0</v>
      </c>
      <c r="AS13" s="96" cm="1">
        <f t="array" ref="AS13">SUM([5]Hoja3!$I$6:$I$25*([5]Hoja3!$F$6:$F$25=AS$5)*([5]Hoja3!$K$6:$K$25=$C13))</f>
        <v>0</v>
      </c>
      <c r="AT13" s="96" cm="1">
        <f t="array" ref="AT13">SUM([5]Hoja3!$J$6:$J$25*([5]Hoja3!$F$6:$F$25=AS$5)*([5]Hoja3!$K$6:$K$25=$C13))</f>
        <v>0</v>
      </c>
      <c r="AU13" s="100">
        <f t="shared" si="29"/>
        <v>0</v>
      </c>
      <c r="AV13" s="96" cm="1">
        <f t="array" ref="AV13">SUM([5]Hoja3!$I$6:$I$25*([5]Hoja3!$F$6:$F$25=AV$5)*([5]Hoja3!$K$6:$K$25=$C13))</f>
        <v>0</v>
      </c>
      <c r="AW13" s="96" cm="1">
        <f t="array" ref="AW13">SUM([5]Hoja3!$J$6:$J$25*([5]Hoja3!$F$6:$F$25=AV$5)*([5]Hoja3!$K$6:$K$25=$C13))</f>
        <v>0</v>
      </c>
      <c r="AX13" s="100">
        <f t="shared" si="30"/>
        <v>0</v>
      </c>
      <c r="AY13" s="96" cm="1">
        <f t="array" ref="AY13">SUM([5]Hoja3!$I$6:$I$25*([5]Hoja3!$F$6:$F$25=AY$5)*([5]Hoja3!$K$6:$K$25=$C13))</f>
        <v>27</v>
      </c>
      <c r="AZ13" s="96" cm="1">
        <f t="array" ref="AZ13">SUM([5]Hoja3!$J$6:$J$25*([5]Hoja3!$F$6:$F$25=AY$5)*([5]Hoja3!$K$6:$K$25=$C13))</f>
        <v>43200</v>
      </c>
      <c r="BA13" s="100">
        <f t="shared" si="31"/>
        <v>1600</v>
      </c>
      <c r="BB13" s="96" cm="1">
        <f t="array" ref="BB13">SUM([2]Hoja2!$I$6:$I$26*([2]Hoja2!$F$6:$F$26=BB$5)*([2]Hoja2!$K$6:$K$26=$C13))</f>
        <v>0</v>
      </c>
      <c r="BC13" s="96" cm="1">
        <f t="array" ref="BC13">SUM([2]Hoja2!$J$6:$J$26*([2]Hoja2!$F$6:$F$26=BB$5)*([2]Hoja2!$K$6:$K$26=$C13))</f>
        <v>0</v>
      </c>
      <c r="BD13" s="100">
        <f t="shared" si="32"/>
        <v>0</v>
      </c>
      <c r="BE13" s="96" cm="1">
        <f t="array" ref="BE13">SUM([2]Hoja2!$I$6:$I$26*([2]Hoja2!$F$6:$F$26=BE$5)*([2]Hoja2!$K$6:$K$26=$C13))</f>
        <v>0</v>
      </c>
      <c r="BF13" s="96" cm="1">
        <f t="array" ref="BF13">SUM([2]Hoja2!$J$6:$J$26*([2]Hoja2!$F$6:$F$26=BE$5)*([2]Hoja2!$K$6:$K$26=$C13))</f>
        <v>0</v>
      </c>
      <c r="BG13" s="100">
        <f t="shared" si="33"/>
        <v>0</v>
      </c>
      <c r="BH13" s="96" cm="1">
        <f t="array" ref="BH13">SUM([2]Hoja2!$I$6:$I$26*([2]Hoja2!$F$6:$F$26=BH$5)*([2]Hoja2!$K$6:$K$26=$C13))</f>
        <v>0</v>
      </c>
      <c r="BI13" s="96" cm="1">
        <f t="array" ref="BI13">SUM([2]Hoja2!$J$6:$J$26*([2]Hoja2!$F$6:$F$26=BH$5)*([2]Hoja2!$K$6:$K$26=$C13))</f>
        <v>0</v>
      </c>
      <c r="BJ13" s="100">
        <f t="shared" si="34"/>
        <v>0</v>
      </c>
      <c r="BK13" s="96" cm="1">
        <f t="array" ref="BK13">SUM([2]Hoja2!$I$6:$I$26*([2]Hoja2!$F$6:$F$26=BK$5)*([2]Hoja2!$K$6:$K$26=$C13))</f>
        <v>0</v>
      </c>
      <c r="BL13" s="96" cm="1">
        <f t="array" ref="BL13">SUM([2]Hoja2!$J$6:$J$26*([2]Hoja2!$F$6:$F$26=BK$5)*([2]Hoja2!$K$6:$K$26=$C13))</f>
        <v>0</v>
      </c>
      <c r="BM13" s="100">
        <f t="shared" si="35"/>
        <v>0</v>
      </c>
      <c r="BN13" s="96" cm="1">
        <f t="array" ref="BN13">SUM([2]Hoja2!$I$6:$I$26*([2]Hoja2!$F$6:$F$26=BN$5)*([2]Hoja2!$K$6:$K$26=$C13))</f>
        <v>0</v>
      </c>
      <c r="BO13" s="96" cm="1">
        <f t="array" ref="BO13">SUM([2]Hoja2!$J$6:$J$26*([2]Hoja2!$F$6:$F$26=BN$5)*([2]Hoja2!$K$6:$K$26=$C13))</f>
        <v>0</v>
      </c>
      <c r="BP13" s="100">
        <f t="shared" si="36"/>
        <v>0</v>
      </c>
      <c r="BQ13" s="96" cm="1">
        <f t="array" ref="BQ13">SUM([2]Hoja2!$I$6:$I$26*([2]Hoja2!$F$6:$F$26=BQ$5)*([2]Hoja2!$K$6:$K$26=$C13))</f>
        <v>0</v>
      </c>
      <c r="BR13" s="96" cm="1">
        <f t="array" ref="BR13">SUM([2]Hoja2!$J$6:$J$26*([2]Hoja2!$F$6:$F$26=BQ$5)*([2]Hoja2!$K$6:$K$26=$C13))</f>
        <v>0</v>
      </c>
      <c r="BS13" s="100">
        <f t="shared" si="37"/>
        <v>0</v>
      </c>
      <c r="BT13" s="101">
        <f t="shared" si="8"/>
        <v>81</v>
      </c>
      <c r="BU13" s="102">
        <f t="shared" si="9"/>
        <v>129600</v>
      </c>
      <c r="BV13" s="103">
        <f t="shared" si="38"/>
        <v>1600</v>
      </c>
      <c r="BW13" s="102">
        <f t="shared" si="43"/>
        <v>-108024.66540775704</v>
      </c>
      <c r="BX13" s="103">
        <f t="shared" ref="BX13:BX23" si="44">-207.84*BT13</f>
        <v>-16835.04</v>
      </c>
      <c r="BY13" s="102">
        <f>$BY$18/$BT$18*$BT13</f>
        <v>-7232.8397727272741</v>
      </c>
      <c r="BZ13" s="103">
        <f t="shared" si="12"/>
        <v>-14218.5375</v>
      </c>
      <c r="CA13" s="102">
        <f t="shared" si="13"/>
        <v>-11366.173125000003</v>
      </c>
      <c r="CB13" s="103">
        <f t="shared" si="14"/>
        <v>3610.5483968801968</v>
      </c>
      <c r="CC13" s="102">
        <f t="shared" si="40"/>
        <v>-13100.534283604153</v>
      </c>
      <c r="CD13" s="104">
        <f t="shared" si="41"/>
        <v>-0.10108436947225427</v>
      </c>
      <c r="CE13" s="105">
        <f t="shared" si="15"/>
        <v>12484.176341395883</v>
      </c>
      <c r="CF13" s="106">
        <f t="shared" si="16"/>
        <v>9.6328521152746011E-2</v>
      </c>
      <c r="CH13" s="98">
        <f t="shared" si="17"/>
        <v>1600</v>
      </c>
      <c r="CI13" s="99">
        <f t="shared" si="18"/>
        <v>-1333.6378445402104</v>
      </c>
      <c r="CJ13" s="99">
        <f t="shared" si="18"/>
        <v>-207.84</v>
      </c>
      <c r="CK13" s="99">
        <f t="shared" si="18"/>
        <v>-89.294318181818198</v>
      </c>
      <c r="CL13" s="99">
        <f t="shared" si="18"/>
        <v>-175.53749999999999</v>
      </c>
      <c r="CM13" s="99">
        <f t="shared" si="18"/>
        <v>-140.32312500000003</v>
      </c>
      <c r="CN13" s="99">
        <f t="shared" si="18"/>
        <v>44.574671566422182</v>
      </c>
      <c r="CO13" s="99">
        <f t="shared" si="18"/>
        <v>-161.73499115560682</v>
      </c>
      <c r="CP13" s="99">
        <f t="shared" si="19"/>
        <v>154.12563384439363</v>
      </c>
      <c r="CQ13" s="49">
        <f t="shared" si="20"/>
        <v>315.86062500000048</v>
      </c>
    </row>
    <row r="14" spans="2:99" x14ac:dyDescent="0.3">
      <c r="B14" s="48">
        <v>10009239</v>
      </c>
      <c r="C14" s="52" t="s">
        <v>84</v>
      </c>
      <c r="D14" s="87">
        <f>TD!F11</f>
        <v>2.8</v>
      </c>
      <c r="E14" s="88">
        <f t="shared" si="0"/>
        <v>3191.5558235537264</v>
      </c>
      <c r="F14" s="49">
        <f>TD!G11</f>
        <v>8936.356305950434</v>
      </c>
      <c r="G14" s="49">
        <f>TD!H11</f>
        <v>581.952</v>
      </c>
      <c r="H14" s="49">
        <f>TD!I11</f>
        <v>126.31241743838989</v>
      </c>
      <c r="I14" s="49">
        <f>TD!J11</f>
        <v>248.30881099225493</v>
      </c>
      <c r="J14" s="49">
        <f>TD!K11</f>
        <v>198.49586739851918</v>
      </c>
      <c r="K14" s="90">
        <v>0</v>
      </c>
      <c r="L14" s="91">
        <v>0</v>
      </c>
      <c r="M14" s="92">
        <f t="shared" si="1"/>
        <v>9892.9295343810791</v>
      </c>
      <c r="N14" s="93">
        <f t="shared" si="42"/>
        <v>3533.1891194218142</v>
      </c>
      <c r="O14" s="93">
        <f t="shared" si="2"/>
        <v>9446.1248559903052</v>
      </c>
      <c r="P14" s="93">
        <f t="shared" si="3"/>
        <v>3373.6160199965379</v>
      </c>
      <c r="Q14" s="107">
        <v>3400</v>
      </c>
      <c r="R14" s="107">
        <f t="shared" si="21"/>
        <v>9520</v>
      </c>
      <c r="S14" s="107">
        <f t="shared" si="4"/>
        <v>-96.920453995096977</v>
      </c>
      <c r="T14" s="108">
        <f t="shared" si="5"/>
        <v>-1.018071995746817E-2</v>
      </c>
      <c r="U14" s="107">
        <f t="shared" si="6"/>
        <v>349.88422439567694</v>
      </c>
      <c r="V14" s="108">
        <f t="shared" si="7"/>
        <v>3.6752544579377829E-2</v>
      </c>
      <c r="X14" s="96" cm="1">
        <f t="array" ref="X14">SUM([5]Hoja3!$I$6:$I$25*([5]Hoja3!$F$6:$F$25=X$5)*([5]Hoja3!$K$6:$K$25=$C14))</f>
        <v>0</v>
      </c>
      <c r="Y14" s="96" cm="1">
        <f t="array" ref="Y14">SUM([5]Hoja3!$J$6:$J$25*([5]Hoja3!$F$6:$F$25=X$5)*([5]Hoja3!$K$6:$K$25=$C14))</f>
        <v>0</v>
      </c>
      <c r="Z14" s="100">
        <f t="shared" si="22"/>
        <v>0</v>
      </c>
      <c r="AA14" s="96" cm="1">
        <f t="array" ref="AA14">SUM([5]Hoja3!$I$6:$I$25*([5]Hoja3!$F$6:$F$25=AA$5)*([5]Hoja3!$K$6:$K$25=$C14))</f>
        <v>0</v>
      </c>
      <c r="AB14" s="96" cm="1">
        <f t="array" ref="AB14">SUM([5]Hoja3!$J$6:$J$25*([5]Hoja3!$F$6:$F$25=AA$5)*([5]Hoja3!$K$6:$K$25=$C14))</f>
        <v>0</v>
      </c>
      <c r="AC14" s="100">
        <f t="shared" si="23"/>
        <v>0</v>
      </c>
      <c r="AD14" s="96" cm="1">
        <f t="array" ref="AD14">SUM([5]Hoja3!$I$6:$I$25*([5]Hoja3!$F$6:$F$25=AD$5)*([5]Hoja3!$K$6:$K$25=$C14))</f>
        <v>0</v>
      </c>
      <c r="AE14" s="96" cm="1">
        <f t="array" ref="AE14">SUM([5]Hoja3!$J$6:$J$25*([5]Hoja3!$F$6:$F$25=AD$5)*([5]Hoja3!$K$6:$K$25=$C14))</f>
        <v>0</v>
      </c>
      <c r="AF14" s="100">
        <f t="shared" si="24"/>
        <v>0</v>
      </c>
      <c r="AG14" s="96" cm="1">
        <f t="array" ref="AG14">SUM([5]Hoja3!$I$6:$I$25*([5]Hoja3!$F$6:$F$25=AG$5)*([5]Hoja3!$K$6:$K$25=$C14))</f>
        <v>0</v>
      </c>
      <c r="AH14" s="96" cm="1">
        <f t="array" ref="AH14">SUM([5]Hoja3!$J$6:$J$25*([5]Hoja3!$F$6:$F$25=AG$5)*([5]Hoja3!$K$6:$K$25=$C14))</f>
        <v>0</v>
      </c>
      <c r="AI14" s="100">
        <f t="shared" si="25"/>
        <v>0</v>
      </c>
      <c r="AJ14" s="96" cm="1">
        <f t="array" ref="AJ14">SUM([5]Hoja3!$I$6:$I$25*([5]Hoja3!$F$6:$F$25=AJ$5)*([5]Hoja3!$K$6:$K$25=$C14))</f>
        <v>0</v>
      </c>
      <c r="AK14" s="96" cm="1">
        <f t="array" ref="AK14">SUM([5]Hoja3!$J$6:$J$25*([5]Hoja3!$F$6:$F$25=AJ$5)*([5]Hoja3!$K$6:$K$25=$C14))</f>
        <v>0</v>
      </c>
      <c r="AL14" s="100">
        <f t="shared" si="26"/>
        <v>0</v>
      </c>
      <c r="AM14" s="96" cm="1">
        <f t="array" ref="AM14">SUM([5]Hoja3!$I$6:$I$25*([5]Hoja3!$F$6:$F$25=AM$5)*([5]Hoja3!$K$6:$K$25=$C14))</f>
        <v>0</v>
      </c>
      <c r="AN14" s="96" cm="1">
        <f t="array" ref="AN14">SUM([5]Hoja3!$J$6:$J$25*([5]Hoja3!$F$6:$F$25=AM$5)*([5]Hoja3!$K$6:$K$25=$C14))</f>
        <v>0</v>
      </c>
      <c r="AO14" s="100">
        <f t="shared" si="27"/>
        <v>0</v>
      </c>
      <c r="AP14" s="96" cm="1">
        <f t="array" ref="AP14">SUM([5]Hoja3!$I$6:$I$25*([5]Hoja3!$F$6:$F$25=AP$5)*([5]Hoja3!$K$6:$K$25=$C14))</f>
        <v>0</v>
      </c>
      <c r="AQ14" s="96" cm="1">
        <f t="array" ref="AQ14">SUM([5]Hoja3!$J$6:$J$25*([5]Hoja3!$F$6:$F$25=AP$5)*([5]Hoja3!$K$6:$K$25=$C14))</f>
        <v>0</v>
      </c>
      <c r="AR14" s="100">
        <f t="shared" si="28"/>
        <v>0</v>
      </c>
      <c r="AS14" s="96" cm="1">
        <f t="array" ref="AS14">SUM([5]Hoja3!$I$6:$I$25*([5]Hoja3!$F$6:$F$25=AS$5)*([5]Hoja3!$K$6:$K$25=$C14))</f>
        <v>0</v>
      </c>
      <c r="AT14" s="96" cm="1">
        <f t="array" ref="AT14">SUM([5]Hoja3!$J$6:$J$25*([5]Hoja3!$F$6:$F$25=AS$5)*([5]Hoja3!$K$6:$K$25=$C14))</f>
        <v>0</v>
      </c>
      <c r="AU14" s="100">
        <f t="shared" si="29"/>
        <v>0</v>
      </c>
      <c r="AV14" s="96" cm="1">
        <f t="array" ref="AV14">SUM([5]Hoja3!$I$6:$I$25*([5]Hoja3!$F$6:$F$25=AV$5)*([5]Hoja3!$K$6:$K$25=$C14))</f>
        <v>0</v>
      </c>
      <c r="AW14" s="96" cm="1">
        <f t="array" ref="AW14">SUM([5]Hoja3!$J$6:$J$25*([5]Hoja3!$F$6:$F$25=AV$5)*([5]Hoja3!$K$6:$K$25=$C14))</f>
        <v>0</v>
      </c>
      <c r="AX14" s="100">
        <f t="shared" si="30"/>
        <v>0</v>
      </c>
      <c r="AY14" s="96" cm="1">
        <f t="array" ref="AY14">SUM([5]Hoja3!$I$6:$I$25*([5]Hoja3!$F$6:$F$25=AY$5)*([5]Hoja3!$K$6:$K$25=$C14))</f>
        <v>0</v>
      </c>
      <c r="AZ14" s="96" cm="1">
        <f t="array" ref="AZ14">SUM([5]Hoja3!$J$6:$J$25*([5]Hoja3!$F$6:$F$25=AY$5)*([5]Hoja3!$K$6:$K$25=$C14))</f>
        <v>0</v>
      </c>
      <c r="BA14" s="100">
        <f t="shared" si="31"/>
        <v>0</v>
      </c>
      <c r="BB14" s="96" cm="1">
        <f t="array" ref="BB14">SUM([2]Hoja2!$I$6:$I$26*([2]Hoja2!$F$6:$F$26=BB$5)*([2]Hoja2!$K$6:$K$26=$C14))</f>
        <v>0</v>
      </c>
      <c r="BC14" s="96" cm="1">
        <f t="array" ref="BC14">SUM([2]Hoja2!$J$6:$J$26*([2]Hoja2!$F$6:$F$26=BB$5)*([2]Hoja2!$K$6:$K$26=$C14))</f>
        <v>0</v>
      </c>
      <c r="BD14" s="100">
        <f t="shared" si="32"/>
        <v>0</v>
      </c>
      <c r="BE14" s="96" cm="1">
        <f t="array" ref="BE14">SUM([2]Hoja2!$I$6:$I$26*([2]Hoja2!$F$6:$F$26=BE$5)*([2]Hoja2!$K$6:$K$26=$C14))</f>
        <v>0</v>
      </c>
      <c r="BF14" s="96" cm="1">
        <f t="array" ref="BF14">SUM([2]Hoja2!$J$6:$J$26*([2]Hoja2!$F$6:$F$26=BE$5)*([2]Hoja2!$K$6:$K$26=$C14))</f>
        <v>0</v>
      </c>
      <c r="BG14" s="100">
        <f t="shared" si="33"/>
        <v>0</v>
      </c>
      <c r="BH14" s="96" cm="1">
        <f t="array" ref="BH14">SUM([2]Hoja2!$I$6:$I$26*([2]Hoja2!$F$6:$F$26=BH$5)*([2]Hoja2!$K$6:$K$26=$C14))</f>
        <v>0</v>
      </c>
      <c r="BI14" s="96" cm="1">
        <f t="array" ref="BI14">SUM([2]Hoja2!$J$6:$J$26*([2]Hoja2!$F$6:$F$26=BH$5)*([2]Hoja2!$K$6:$K$26=$C14))</f>
        <v>0</v>
      </c>
      <c r="BJ14" s="100">
        <f t="shared" si="34"/>
        <v>0</v>
      </c>
      <c r="BK14" s="96" cm="1">
        <f t="array" ref="BK14">SUM([2]Hoja2!$I$6:$I$26*([2]Hoja2!$F$6:$F$26=BK$5)*([2]Hoja2!$K$6:$K$26=$C14))</f>
        <v>0</v>
      </c>
      <c r="BL14" s="96" cm="1">
        <f t="array" ref="BL14">SUM([2]Hoja2!$J$6:$J$26*([2]Hoja2!$F$6:$F$26=BK$5)*([2]Hoja2!$K$6:$K$26=$C14))</f>
        <v>0</v>
      </c>
      <c r="BM14" s="100">
        <f t="shared" si="35"/>
        <v>0</v>
      </c>
      <c r="BN14" s="96" cm="1">
        <f t="array" ref="BN14">SUM([2]Hoja2!$I$6:$I$26*([2]Hoja2!$F$6:$F$26=BN$5)*([2]Hoja2!$K$6:$K$26=$C14))</f>
        <v>0</v>
      </c>
      <c r="BO14" s="96" cm="1">
        <f t="array" ref="BO14">SUM([2]Hoja2!$J$6:$J$26*([2]Hoja2!$F$6:$F$26=BN$5)*([2]Hoja2!$K$6:$K$26=$C14))</f>
        <v>0</v>
      </c>
      <c r="BP14" s="100">
        <f t="shared" si="36"/>
        <v>0</v>
      </c>
      <c r="BQ14" s="96" cm="1">
        <f t="array" ref="BQ14">SUM([2]Hoja2!$I$6:$I$26*([2]Hoja2!$F$6:$F$26=BQ$5)*([2]Hoja2!$K$6:$K$26=$C14))</f>
        <v>0</v>
      </c>
      <c r="BR14" s="96" cm="1">
        <f t="array" ref="BR14">SUM([2]Hoja2!$J$6:$J$26*([2]Hoja2!$F$6:$F$26=BQ$5)*([2]Hoja2!$K$6:$K$26=$C14))</f>
        <v>0</v>
      </c>
      <c r="BS14" s="100">
        <f t="shared" si="37"/>
        <v>0</v>
      </c>
      <c r="BT14" s="101">
        <f t="shared" si="8"/>
        <v>0</v>
      </c>
      <c r="BU14" s="102">
        <f t="shared" si="9"/>
        <v>0</v>
      </c>
      <c r="BV14" s="103">
        <f t="shared" si="38"/>
        <v>0</v>
      </c>
      <c r="BW14" s="102">
        <f>-BT14*'[3]Stock Libre'!H36*1000</f>
        <v>0</v>
      </c>
      <c r="BX14" s="103">
        <f t="shared" si="44"/>
        <v>0</v>
      </c>
      <c r="BY14" s="102">
        <f t="shared" ref="BY14:BY24" si="45">$BY$18/$BT$18*$BT14</f>
        <v>0</v>
      </c>
      <c r="BZ14" s="103">
        <f>$BZ$18/$BT$18*$BT14</f>
        <v>0</v>
      </c>
      <c r="CA14" s="102">
        <f t="shared" si="13"/>
        <v>0</v>
      </c>
      <c r="CB14" s="103">
        <f t="shared" si="14"/>
        <v>0</v>
      </c>
      <c r="CC14" s="102">
        <f t="shared" si="40"/>
        <v>0</v>
      </c>
      <c r="CD14" s="104">
        <f t="shared" si="41"/>
        <v>0</v>
      </c>
      <c r="CE14" s="105">
        <f t="shared" si="15"/>
        <v>0</v>
      </c>
      <c r="CF14" s="106">
        <f t="shared" si="16"/>
        <v>0</v>
      </c>
      <c r="CH14" s="98">
        <f t="shared" si="17"/>
        <v>0</v>
      </c>
      <c r="CI14" s="99">
        <f t="shared" si="18"/>
        <v>0</v>
      </c>
      <c r="CJ14" s="99">
        <f t="shared" si="18"/>
        <v>0</v>
      </c>
      <c r="CK14" s="99">
        <f t="shared" si="18"/>
        <v>0</v>
      </c>
      <c r="CL14" s="99">
        <f t="shared" si="18"/>
        <v>0</v>
      </c>
      <c r="CM14" s="99">
        <f t="shared" si="18"/>
        <v>0</v>
      </c>
      <c r="CN14" s="99">
        <f t="shared" si="18"/>
        <v>0</v>
      </c>
      <c r="CO14" s="99">
        <f t="shared" si="18"/>
        <v>0</v>
      </c>
      <c r="CP14" s="99">
        <f t="shared" si="19"/>
        <v>0</v>
      </c>
      <c r="CQ14" s="49">
        <f t="shared" si="20"/>
        <v>0</v>
      </c>
    </row>
    <row r="15" spans="2:99" x14ac:dyDescent="0.3">
      <c r="B15" s="48">
        <v>10009334</v>
      </c>
      <c r="C15" s="52" t="s">
        <v>85</v>
      </c>
      <c r="D15" s="87">
        <f>TD!F12</f>
        <v>14.626000000000001</v>
      </c>
      <c r="E15" s="88">
        <f t="shared" si="0"/>
        <v>2756.9567793532415</v>
      </c>
      <c r="F15" s="49">
        <f>TD!G12</f>
        <v>40323.249854820511</v>
      </c>
      <c r="G15" s="49">
        <f>TD!H12</f>
        <v>3039.8678399999999</v>
      </c>
      <c r="H15" s="49">
        <f>TD!I12</f>
        <v>659.80193480496087</v>
      </c>
      <c r="I15" s="49">
        <f>TD!J12</f>
        <v>1297.0588105616862</v>
      </c>
      <c r="J15" s="49">
        <f>TD!K12</f>
        <v>1036.8573416324077</v>
      </c>
      <c r="K15" s="90">
        <v>0</v>
      </c>
      <c r="L15" s="91">
        <v>0</v>
      </c>
      <c r="M15" s="92">
        <f t="shared" si="1"/>
        <v>45319.978440187158</v>
      </c>
      <c r="N15" s="93">
        <f>IFERROR(M15/D15,0)</f>
        <v>3098.5900752213288</v>
      </c>
      <c r="O15" s="93">
        <f t="shared" si="2"/>
        <v>42986.062287993067</v>
      </c>
      <c r="P15" s="93">
        <f t="shared" si="3"/>
        <v>2939.0169757960525</v>
      </c>
      <c r="Q15" s="107">
        <v>3500</v>
      </c>
      <c r="R15" s="107">
        <f>Q15*D15</f>
        <v>51191.000000000007</v>
      </c>
      <c r="S15" s="107">
        <f t="shared" si="4"/>
        <v>7356.6527061433399</v>
      </c>
      <c r="T15" s="108">
        <f t="shared" si="5"/>
        <v>0.14370988467002674</v>
      </c>
      <c r="U15" s="107">
        <f t="shared" si="6"/>
        <v>9690.5688583374322</v>
      </c>
      <c r="V15" s="108">
        <f t="shared" si="7"/>
        <v>0.18930219879153426</v>
      </c>
      <c r="X15" s="96" cm="1">
        <f t="array" ref="X15">SUM([5]Hoja3!$I$6:$I$25*([5]Hoja3!$F$6:$F$25=X$5)*([5]Hoja3!$K$6:$K$25=$C15))</f>
        <v>0</v>
      </c>
      <c r="Y15" s="96" cm="1">
        <f t="array" ref="Y15">SUM([5]Hoja3!$J$6:$J$25*([5]Hoja3!$F$6:$F$25=X$5)*([5]Hoja3!$K$6:$K$25=$C15))</f>
        <v>0</v>
      </c>
      <c r="Z15" s="100">
        <f t="shared" si="22"/>
        <v>0</v>
      </c>
      <c r="AA15" s="96" cm="1">
        <f t="array" ref="AA15">SUM([5]Hoja3!$I$6:$I$25*([5]Hoja3!$F$6:$F$25=AA$5)*([5]Hoja3!$K$6:$K$25=$C15))</f>
        <v>0</v>
      </c>
      <c r="AB15" s="96" cm="1">
        <f t="array" ref="AB15">SUM([5]Hoja3!$J$6:$J$25*([5]Hoja3!$F$6:$F$25=AA$5)*([5]Hoja3!$K$6:$K$25=$C15))</f>
        <v>0</v>
      </c>
      <c r="AC15" s="100">
        <f t="shared" si="23"/>
        <v>0</v>
      </c>
      <c r="AD15" s="96" cm="1">
        <f t="array" ref="AD15">SUM([5]Hoja3!$I$6:$I$25*([5]Hoja3!$F$6:$F$25=AD$5)*([5]Hoja3!$K$6:$K$25=$C15))</f>
        <v>0</v>
      </c>
      <c r="AE15" s="96" cm="1">
        <f t="array" ref="AE15">SUM([5]Hoja3!$J$6:$J$25*([5]Hoja3!$F$6:$F$25=AD$5)*([5]Hoja3!$K$6:$K$25=$C15))</f>
        <v>0</v>
      </c>
      <c r="AF15" s="100">
        <f t="shared" si="24"/>
        <v>0</v>
      </c>
      <c r="AG15" s="96" cm="1">
        <f t="array" ref="AG15">SUM([5]Hoja3!$I$6:$I$25*([5]Hoja3!$F$6:$F$25=AG$5)*([5]Hoja3!$K$6:$K$25=$C15))</f>
        <v>0</v>
      </c>
      <c r="AH15" s="96" cm="1">
        <f t="array" ref="AH15">SUM([5]Hoja3!$J$6:$J$25*([5]Hoja3!$F$6:$F$25=AG$5)*([5]Hoja3!$K$6:$K$25=$C15))</f>
        <v>0</v>
      </c>
      <c r="AI15" s="100">
        <f t="shared" si="25"/>
        <v>0</v>
      </c>
      <c r="AJ15" s="96" cm="1">
        <f t="array" ref="AJ15">SUM([5]Hoja3!$I$6:$I$25*([5]Hoja3!$F$6:$F$25=AJ$5)*([5]Hoja3!$K$6:$K$25=$C15))</f>
        <v>0</v>
      </c>
      <c r="AK15" s="96" cm="1">
        <f t="array" ref="AK15">SUM([5]Hoja3!$J$6:$J$25*([5]Hoja3!$F$6:$F$25=AJ$5)*([5]Hoja3!$K$6:$K$25=$C15))</f>
        <v>0</v>
      </c>
      <c r="AL15" s="100">
        <f t="shared" si="26"/>
        <v>0</v>
      </c>
      <c r="AM15" s="96" cm="1">
        <f t="array" ref="AM15">SUM([5]Hoja3!$I$6:$I$25*([5]Hoja3!$F$6:$F$25=AM$5)*([5]Hoja3!$K$6:$K$25=$C15))</f>
        <v>0</v>
      </c>
      <c r="AN15" s="96" cm="1">
        <f t="array" ref="AN15">SUM([5]Hoja3!$J$6:$J$25*([5]Hoja3!$F$6:$F$25=AM$5)*([5]Hoja3!$K$6:$K$25=$C15))</f>
        <v>0</v>
      </c>
      <c r="AO15" s="100">
        <f t="shared" si="27"/>
        <v>0</v>
      </c>
      <c r="AP15" s="96" cm="1">
        <f t="array" ref="AP15">SUM([5]Hoja3!$I$6:$I$25*([5]Hoja3!$F$6:$F$25=AP$5)*([5]Hoja3!$K$6:$K$25=$C15))</f>
        <v>0</v>
      </c>
      <c r="AQ15" s="96" cm="1">
        <f t="array" ref="AQ15">SUM([5]Hoja3!$J$6:$J$25*([5]Hoja3!$F$6:$F$25=AP$5)*([5]Hoja3!$K$6:$K$25=$C15))</f>
        <v>0</v>
      </c>
      <c r="AR15" s="100">
        <f t="shared" si="28"/>
        <v>0</v>
      </c>
      <c r="AS15" s="96" cm="1">
        <f t="array" ref="AS15">SUM([5]Hoja3!$I$6:$I$25*([5]Hoja3!$F$6:$F$25=AS$5)*([5]Hoja3!$K$6:$K$25=$C15))</f>
        <v>0</v>
      </c>
      <c r="AT15" s="96" cm="1">
        <f t="array" ref="AT15">SUM([5]Hoja3!$J$6:$J$25*([5]Hoja3!$F$6:$F$25=AS$5)*([5]Hoja3!$K$6:$K$25=$C15))</f>
        <v>0</v>
      </c>
      <c r="AU15" s="100">
        <f t="shared" si="29"/>
        <v>0</v>
      </c>
      <c r="AV15" s="96" cm="1">
        <f t="array" ref="AV15">SUM([5]Hoja3!$I$6:$I$25*([5]Hoja3!$F$6:$F$25=AV$5)*([5]Hoja3!$K$6:$K$25=$C15))</f>
        <v>0</v>
      </c>
      <c r="AW15" s="96" cm="1">
        <f t="array" ref="AW15">SUM([5]Hoja3!$J$6:$J$25*([5]Hoja3!$F$6:$F$25=AV$5)*([5]Hoja3!$K$6:$K$25=$C15))</f>
        <v>0</v>
      </c>
      <c r="AX15" s="100">
        <f t="shared" si="30"/>
        <v>0</v>
      </c>
      <c r="AY15" s="96" cm="1">
        <f t="array" ref="AY15">SUM([5]Hoja3!$I$6:$I$25*([5]Hoja3!$F$6:$F$25=AY$5)*([5]Hoja3!$K$6:$K$25=$C15))</f>
        <v>0</v>
      </c>
      <c r="AZ15" s="96" cm="1">
        <f t="array" ref="AZ15">SUM([5]Hoja3!$J$6:$J$25*([5]Hoja3!$F$6:$F$25=AY$5)*([5]Hoja3!$K$6:$K$25=$C15))</f>
        <v>0</v>
      </c>
      <c r="BA15" s="100">
        <f t="shared" si="31"/>
        <v>0</v>
      </c>
      <c r="BB15" s="96" cm="1">
        <f t="array" ref="BB15">SUM([2]Hoja2!$I$6:$I$26*([2]Hoja2!$F$6:$F$26=BB$5)*([2]Hoja2!$K$6:$K$26=$C15))</f>
        <v>0</v>
      </c>
      <c r="BC15" s="96" cm="1">
        <f t="array" ref="BC15">SUM([2]Hoja2!$J$6:$J$26*([2]Hoja2!$F$6:$F$26=BB$5)*([2]Hoja2!$K$6:$K$26=$C15))</f>
        <v>0</v>
      </c>
      <c r="BD15" s="100">
        <f t="shared" si="32"/>
        <v>0</v>
      </c>
      <c r="BE15" s="96" cm="1">
        <f t="array" ref="BE15">SUM([2]Hoja2!$I$6:$I$26*([2]Hoja2!$F$6:$F$26=BE$5)*([2]Hoja2!$K$6:$K$26=$C15))</f>
        <v>0</v>
      </c>
      <c r="BF15" s="96" cm="1">
        <f t="array" ref="BF15">SUM([2]Hoja2!$J$6:$J$26*([2]Hoja2!$F$6:$F$26=BE$5)*([2]Hoja2!$K$6:$K$26=$C15))</f>
        <v>0</v>
      </c>
      <c r="BG15" s="100">
        <f t="shared" si="33"/>
        <v>0</v>
      </c>
      <c r="BH15" s="96" cm="1">
        <f t="array" ref="BH15">SUM([2]Hoja2!$I$6:$I$26*([2]Hoja2!$F$6:$F$26=BH$5)*([2]Hoja2!$K$6:$K$26=$C15))</f>
        <v>0</v>
      </c>
      <c r="BI15" s="96" cm="1">
        <f t="array" ref="BI15">SUM([2]Hoja2!$J$6:$J$26*([2]Hoja2!$F$6:$F$26=BH$5)*([2]Hoja2!$K$6:$K$26=$C15))</f>
        <v>0</v>
      </c>
      <c r="BJ15" s="100">
        <f t="shared" si="34"/>
        <v>0</v>
      </c>
      <c r="BK15" s="96" cm="1">
        <f t="array" ref="BK15">SUM([2]Hoja2!$I$6:$I$26*([2]Hoja2!$F$6:$F$26=BK$5)*([2]Hoja2!$K$6:$K$26=$C15))</f>
        <v>0</v>
      </c>
      <c r="BL15" s="96" cm="1">
        <f t="array" ref="BL15">SUM([2]Hoja2!$J$6:$J$26*([2]Hoja2!$F$6:$F$26=BK$5)*([2]Hoja2!$K$6:$K$26=$C15))</f>
        <v>0</v>
      </c>
      <c r="BM15" s="100">
        <f t="shared" si="35"/>
        <v>0</v>
      </c>
      <c r="BN15" s="96" cm="1">
        <f t="array" ref="BN15">SUM([2]Hoja2!$I$6:$I$26*([2]Hoja2!$F$6:$F$26=BN$5)*([2]Hoja2!$K$6:$K$26=$C15))</f>
        <v>0</v>
      </c>
      <c r="BO15" s="96" cm="1">
        <f t="array" ref="BO15">SUM([2]Hoja2!$J$6:$J$26*([2]Hoja2!$F$6:$F$26=BN$5)*([2]Hoja2!$K$6:$K$26=$C15))</f>
        <v>0</v>
      </c>
      <c r="BP15" s="100">
        <f t="shared" si="36"/>
        <v>0</v>
      </c>
      <c r="BQ15" s="96" cm="1">
        <f t="array" ref="BQ15">SUM([2]Hoja2!$I$6:$I$26*([2]Hoja2!$F$6:$F$26=BQ$5)*([2]Hoja2!$K$6:$K$26=$C15))</f>
        <v>0</v>
      </c>
      <c r="BR15" s="96" cm="1">
        <f t="array" ref="BR15">SUM([2]Hoja2!$J$6:$J$26*([2]Hoja2!$F$6:$F$26=BQ$5)*([2]Hoja2!$K$6:$K$26=$C15))</f>
        <v>0</v>
      </c>
      <c r="BS15" s="100">
        <f t="shared" si="37"/>
        <v>0</v>
      </c>
      <c r="BT15" s="101">
        <f t="shared" si="8"/>
        <v>0</v>
      </c>
      <c r="BU15" s="102">
        <f t="shared" si="9"/>
        <v>0</v>
      </c>
      <c r="BV15" s="103">
        <f t="shared" si="38"/>
        <v>0</v>
      </c>
      <c r="BW15" s="102">
        <f>-BT15*'[4]Stock Libre'!H47*1000</f>
        <v>0</v>
      </c>
      <c r="BX15" s="103">
        <f t="shared" si="44"/>
        <v>0</v>
      </c>
      <c r="BY15" s="102">
        <f t="shared" si="45"/>
        <v>0</v>
      </c>
      <c r="BZ15" s="103">
        <f t="shared" ref="BZ15:BZ25" si="46">$BZ$18/$BT$18*$BT15</f>
        <v>0</v>
      </c>
      <c r="CA15" s="102">
        <f t="shared" si="13"/>
        <v>0</v>
      </c>
      <c r="CB15" s="103">
        <f t="shared" si="14"/>
        <v>0</v>
      </c>
      <c r="CC15" s="102">
        <f t="shared" si="40"/>
        <v>0</v>
      </c>
      <c r="CD15" s="104">
        <f t="shared" si="41"/>
        <v>0</v>
      </c>
      <c r="CE15" s="105">
        <f t="shared" si="15"/>
        <v>0</v>
      </c>
      <c r="CF15" s="106">
        <f t="shared" si="16"/>
        <v>0</v>
      </c>
      <c r="CH15" s="98">
        <f t="shared" si="17"/>
        <v>0</v>
      </c>
      <c r="CI15" s="99">
        <f t="shared" si="18"/>
        <v>0</v>
      </c>
      <c r="CJ15" s="99">
        <f t="shared" si="18"/>
        <v>0</v>
      </c>
      <c r="CK15" s="99">
        <f t="shared" si="18"/>
        <v>0</v>
      </c>
      <c r="CL15" s="99">
        <f t="shared" si="18"/>
        <v>0</v>
      </c>
      <c r="CM15" s="99">
        <f t="shared" si="18"/>
        <v>0</v>
      </c>
      <c r="CN15" s="99">
        <f t="shared" si="18"/>
        <v>0</v>
      </c>
      <c r="CO15" s="99">
        <f t="shared" si="18"/>
        <v>0</v>
      </c>
      <c r="CP15" s="99">
        <f t="shared" si="19"/>
        <v>0</v>
      </c>
      <c r="CQ15" s="49">
        <f t="shared" si="20"/>
        <v>0</v>
      </c>
    </row>
    <row r="16" spans="2:99" x14ac:dyDescent="0.3">
      <c r="B16" s="48">
        <v>10009386</v>
      </c>
      <c r="C16" s="52" t="s">
        <v>86</v>
      </c>
      <c r="D16" s="87">
        <f>TD!F13</f>
        <v>20.7</v>
      </c>
      <c r="E16" s="88">
        <f t="shared" si="0"/>
        <v>1700.0864366329511</v>
      </c>
      <c r="F16" s="49">
        <f>TD!G13</f>
        <v>35191.789238302088</v>
      </c>
      <c r="G16" s="49">
        <f>TD!H13</f>
        <v>4302.2879999999996</v>
      </c>
      <c r="H16" s="49">
        <f>TD!I13</f>
        <v>933.80965749095378</v>
      </c>
      <c r="I16" s="49">
        <f>TD!J13</f>
        <v>1835.7115669784562</v>
      </c>
      <c r="J16" s="49">
        <f>TD!K13</f>
        <v>1467.451591124767</v>
      </c>
      <c r="K16" s="90">
        <v>0</v>
      </c>
      <c r="L16" s="91">
        <v>0</v>
      </c>
      <c r="M16" s="92">
        <f t="shared" si="1"/>
        <v>42263.598462771493</v>
      </c>
      <c r="N16" s="93">
        <f t="shared" ref="N16:N18" si="47">IFERROR(M16/D16,0)</f>
        <v>2041.7197325010384</v>
      </c>
      <c r="O16" s="93">
        <f t="shared" si="2"/>
        <v>38960.435304668274</v>
      </c>
      <c r="P16" s="93">
        <f t="shared" si="3"/>
        <v>1882.1466330757621</v>
      </c>
      <c r="Q16" s="107">
        <v>2000</v>
      </c>
      <c r="R16" s="107">
        <f t="shared" ref="R16:R17" si="48">Q16*D16</f>
        <v>41400</v>
      </c>
      <c r="S16" s="107">
        <f t="shared" si="4"/>
        <v>307.49723865344572</v>
      </c>
      <c r="T16" s="108">
        <f t="shared" si="5"/>
        <v>7.4274695326919252E-3</v>
      </c>
      <c r="U16" s="107">
        <f t="shared" si="6"/>
        <v>3610.6603967566652</v>
      </c>
      <c r="V16" s="108">
        <f t="shared" si="7"/>
        <v>8.7214019245330079E-2</v>
      </c>
      <c r="X16" s="96" cm="1">
        <f t="array" ref="X16">SUM([5]Hoja3!$I$6:$I$25*([5]Hoja3!$F$6:$F$25=X$5)*([5]Hoja3!$K$6:$K$25=$C16))</f>
        <v>0</v>
      </c>
      <c r="Y16" s="96" cm="1">
        <f t="array" ref="Y16">SUM([5]Hoja3!$J$6:$J$25*([5]Hoja3!$F$6:$F$25=X$5)*([5]Hoja3!$K$6:$K$25=$C16))</f>
        <v>0</v>
      </c>
      <c r="Z16" s="100">
        <f t="shared" si="22"/>
        <v>0</v>
      </c>
      <c r="AA16" s="96" cm="1">
        <f t="array" ref="AA16">SUM([5]Hoja3!$I$6:$I$25*([5]Hoja3!$F$6:$F$25=AA$5)*([5]Hoja3!$K$6:$K$25=$C16))</f>
        <v>0</v>
      </c>
      <c r="AB16" s="96" cm="1">
        <f t="array" ref="AB16">SUM([5]Hoja3!$J$6:$J$25*([5]Hoja3!$F$6:$F$25=AA$5)*([5]Hoja3!$K$6:$K$25=$C16))</f>
        <v>0</v>
      </c>
      <c r="AC16" s="100">
        <f t="shared" si="23"/>
        <v>0</v>
      </c>
      <c r="AD16" s="96" cm="1">
        <f t="array" ref="AD16">SUM([5]Hoja3!$I$6:$I$25*([5]Hoja3!$F$6:$F$25=AD$5)*([5]Hoja3!$K$6:$K$25=$C16))</f>
        <v>0</v>
      </c>
      <c r="AE16" s="96" cm="1">
        <f t="array" ref="AE16">SUM([5]Hoja3!$J$6:$J$25*([5]Hoja3!$F$6:$F$25=AD$5)*([5]Hoja3!$K$6:$K$25=$C16))</f>
        <v>0</v>
      </c>
      <c r="AF16" s="100">
        <f t="shared" si="24"/>
        <v>0</v>
      </c>
      <c r="AG16" s="96" cm="1">
        <f t="array" ref="AG16">SUM([5]Hoja3!$I$6:$I$25*([5]Hoja3!$F$6:$F$25=AG$5)*([5]Hoja3!$K$6:$K$25=$C16))</f>
        <v>0</v>
      </c>
      <c r="AH16" s="96" cm="1">
        <f t="array" ref="AH16">SUM([5]Hoja3!$J$6:$J$25*([5]Hoja3!$F$6:$F$25=AG$5)*([5]Hoja3!$K$6:$K$25=$C16))</f>
        <v>0</v>
      </c>
      <c r="AI16" s="100">
        <f t="shared" si="25"/>
        <v>0</v>
      </c>
      <c r="AJ16" s="96" cm="1">
        <f t="array" ref="AJ16">SUM([5]Hoja3!$I$6:$I$25*([5]Hoja3!$F$6:$F$25=AJ$5)*([5]Hoja3!$K$6:$K$25=$C16))</f>
        <v>0</v>
      </c>
      <c r="AK16" s="96" cm="1">
        <f t="array" ref="AK16">SUM([5]Hoja3!$J$6:$J$25*([5]Hoja3!$F$6:$F$25=AJ$5)*([5]Hoja3!$K$6:$K$25=$C16))</f>
        <v>0</v>
      </c>
      <c r="AL16" s="100">
        <f t="shared" si="26"/>
        <v>0</v>
      </c>
      <c r="AM16" s="96" cm="1">
        <f t="array" ref="AM16">SUM([5]Hoja3!$I$6:$I$25*([5]Hoja3!$F$6:$F$25=AM$5)*([5]Hoja3!$K$6:$K$25=$C16))</f>
        <v>0</v>
      </c>
      <c r="AN16" s="96" cm="1">
        <f t="array" ref="AN16">SUM([5]Hoja3!$J$6:$J$25*([5]Hoja3!$F$6:$F$25=AM$5)*([5]Hoja3!$K$6:$K$25=$C16))</f>
        <v>0</v>
      </c>
      <c r="AO16" s="100">
        <f t="shared" si="27"/>
        <v>0</v>
      </c>
      <c r="AP16" s="96" cm="1">
        <f t="array" ref="AP16">SUM([5]Hoja3!$I$6:$I$25*([5]Hoja3!$F$6:$F$25=AP$5)*([5]Hoja3!$K$6:$K$25=$C16))</f>
        <v>0</v>
      </c>
      <c r="AQ16" s="96" cm="1">
        <f t="array" ref="AQ16">SUM([5]Hoja3!$J$6:$J$25*([5]Hoja3!$F$6:$F$25=AP$5)*([5]Hoja3!$K$6:$K$25=$C16))</f>
        <v>0</v>
      </c>
      <c r="AR16" s="100">
        <f t="shared" si="28"/>
        <v>0</v>
      </c>
      <c r="AS16" s="96" cm="1">
        <f t="array" ref="AS16">SUM([5]Hoja3!$I$6:$I$25*([5]Hoja3!$F$6:$F$25=AS$5)*([5]Hoja3!$K$6:$K$25=$C16))</f>
        <v>0</v>
      </c>
      <c r="AT16" s="96" cm="1">
        <f t="array" ref="AT16">SUM([5]Hoja3!$J$6:$J$25*([5]Hoja3!$F$6:$F$25=AS$5)*([5]Hoja3!$K$6:$K$25=$C16))</f>
        <v>0</v>
      </c>
      <c r="AU16" s="100">
        <f t="shared" si="29"/>
        <v>0</v>
      </c>
      <c r="AV16" s="96" cm="1">
        <f t="array" ref="AV16">SUM([5]Hoja3!$I$6:$I$25*([5]Hoja3!$F$6:$F$25=AV$5)*([5]Hoja3!$K$6:$K$25=$C16))</f>
        <v>0</v>
      </c>
      <c r="AW16" s="96" cm="1">
        <f t="array" ref="AW16">SUM([5]Hoja3!$J$6:$J$25*([5]Hoja3!$F$6:$F$25=AV$5)*([5]Hoja3!$K$6:$K$25=$C16))</f>
        <v>0</v>
      </c>
      <c r="AX16" s="100">
        <f t="shared" si="30"/>
        <v>0</v>
      </c>
      <c r="AY16" s="96" cm="1">
        <f t="array" ref="AY16">SUM([5]Hoja3!$I$6:$I$25*([5]Hoja3!$F$6:$F$25=AY$5)*([5]Hoja3!$K$6:$K$25=$C16))</f>
        <v>0</v>
      </c>
      <c r="AZ16" s="96" cm="1">
        <f t="array" ref="AZ16">SUM([5]Hoja3!$J$6:$J$25*([5]Hoja3!$F$6:$F$25=AY$5)*([5]Hoja3!$K$6:$K$25=$C16))</f>
        <v>0</v>
      </c>
      <c r="BA16" s="100">
        <f t="shared" si="31"/>
        <v>0</v>
      </c>
      <c r="BB16" s="96" cm="1">
        <f t="array" ref="BB16">SUM([2]Hoja2!$I$6:$I$26*([2]Hoja2!$F$6:$F$26=BB$5)*([2]Hoja2!$K$6:$K$26=$C16))</f>
        <v>0</v>
      </c>
      <c r="BC16" s="96" cm="1">
        <f t="array" ref="BC16">SUM([2]Hoja2!$J$6:$J$26*([2]Hoja2!$F$6:$F$26=BB$5)*([2]Hoja2!$K$6:$K$26=$C16))</f>
        <v>0</v>
      </c>
      <c r="BD16" s="100">
        <f t="shared" si="32"/>
        <v>0</v>
      </c>
      <c r="BE16" s="96" cm="1">
        <f t="array" ref="BE16">SUM([2]Hoja2!$I$6:$I$26*([2]Hoja2!$F$6:$F$26=BE$5)*([2]Hoja2!$K$6:$K$26=$C16))</f>
        <v>0</v>
      </c>
      <c r="BF16" s="96" cm="1">
        <f t="array" ref="BF16">SUM([2]Hoja2!$J$6:$J$26*([2]Hoja2!$F$6:$F$26=BE$5)*([2]Hoja2!$K$6:$K$26=$C16))</f>
        <v>0</v>
      </c>
      <c r="BG16" s="100">
        <f t="shared" si="33"/>
        <v>0</v>
      </c>
      <c r="BH16" s="96" cm="1">
        <f t="array" ref="BH16">SUM([2]Hoja2!$I$6:$I$26*([2]Hoja2!$F$6:$F$26=BH$5)*([2]Hoja2!$K$6:$K$26=$C16))</f>
        <v>0</v>
      </c>
      <c r="BI16" s="96" cm="1">
        <f t="array" ref="BI16">SUM([2]Hoja2!$J$6:$J$26*([2]Hoja2!$F$6:$F$26=BH$5)*([2]Hoja2!$K$6:$K$26=$C16))</f>
        <v>0</v>
      </c>
      <c r="BJ16" s="100">
        <f t="shared" si="34"/>
        <v>0</v>
      </c>
      <c r="BK16" s="96" cm="1">
        <f t="array" ref="BK16">SUM([2]Hoja2!$I$6:$I$26*([2]Hoja2!$F$6:$F$26=BK$5)*([2]Hoja2!$K$6:$K$26=$C16))</f>
        <v>0</v>
      </c>
      <c r="BL16" s="96" cm="1">
        <f t="array" ref="BL16">SUM([2]Hoja2!$J$6:$J$26*([2]Hoja2!$F$6:$F$26=BK$5)*([2]Hoja2!$K$6:$K$26=$C16))</f>
        <v>0</v>
      </c>
      <c r="BM16" s="100">
        <f t="shared" si="35"/>
        <v>0</v>
      </c>
      <c r="BN16" s="96" cm="1">
        <f t="array" ref="BN16">SUM([2]Hoja2!$I$6:$I$26*([2]Hoja2!$F$6:$F$26=BN$5)*([2]Hoja2!$K$6:$K$26=$C16))</f>
        <v>0</v>
      </c>
      <c r="BO16" s="96" cm="1">
        <f t="array" ref="BO16">SUM([2]Hoja2!$J$6:$J$26*([2]Hoja2!$F$6:$F$26=BN$5)*([2]Hoja2!$K$6:$K$26=$C16))</f>
        <v>0</v>
      </c>
      <c r="BP16" s="100">
        <f t="shared" si="36"/>
        <v>0</v>
      </c>
      <c r="BQ16" s="96" cm="1">
        <f t="array" ref="BQ16">SUM([2]Hoja2!$I$6:$I$26*([2]Hoja2!$F$6:$F$26=BQ$5)*([2]Hoja2!$K$6:$K$26=$C16))</f>
        <v>0</v>
      </c>
      <c r="BR16" s="96" cm="1">
        <f t="array" ref="BR16">SUM([2]Hoja2!$J$6:$J$26*([2]Hoja2!$F$6:$F$26=BQ$5)*([2]Hoja2!$K$6:$K$26=$C16))</f>
        <v>0</v>
      </c>
      <c r="BS16" s="100">
        <f t="shared" si="37"/>
        <v>0</v>
      </c>
      <c r="BT16" s="101">
        <f t="shared" si="8"/>
        <v>0</v>
      </c>
      <c r="BU16" s="102">
        <f t="shared" si="9"/>
        <v>0</v>
      </c>
      <c r="BV16" s="103">
        <f t="shared" si="38"/>
        <v>0</v>
      </c>
      <c r="BW16" s="102">
        <f>-IFERROR(F16/D16*BT16,0)</f>
        <v>0</v>
      </c>
      <c r="BX16" s="103">
        <f t="shared" si="44"/>
        <v>0</v>
      </c>
      <c r="BY16" s="102">
        <f t="shared" si="45"/>
        <v>0</v>
      </c>
      <c r="BZ16" s="103">
        <f t="shared" si="46"/>
        <v>0</v>
      </c>
      <c r="CA16" s="102">
        <f t="shared" si="13"/>
        <v>0</v>
      </c>
      <c r="CB16" s="103">
        <f t="shared" si="14"/>
        <v>0</v>
      </c>
      <c r="CC16" s="102">
        <f t="shared" si="40"/>
        <v>0</v>
      </c>
      <c r="CD16" s="104">
        <f t="shared" si="41"/>
        <v>0</v>
      </c>
      <c r="CE16" s="105">
        <f t="shared" si="15"/>
        <v>0</v>
      </c>
      <c r="CF16" s="106">
        <f t="shared" si="16"/>
        <v>0</v>
      </c>
      <c r="CH16" s="98">
        <f t="shared" si="17"/>
        <v>0</v>
      </c>
      <c r="CI16" s="99">
        <f t="shared" si="18"/>
        <v>0</v>
      </c>
      <c r="CJ16" s="99">
        <f t="shared" si="18"/>
        <v>0</v>
      </c>
      <c r="CK16" s="99">
        <f t="shared" si="18"/>
        <v>0</v>
      </c>
      <c r="CL16" s="99">
        <f t="shared" si="18"/>
        <v>0</v>
      </c>
      <c r="CM16" s="99">
        <f t="shared" si="18"/>
        <v>0</v>
      </c>
      <c r="CN16" s="99">
        <f t="shared" si="18"/>
        <v>0</v>
      </c>
      <c r="CO16" s="99">
        <f t="shared" si="18"/>
        <v>0</v>
      </c>
      <c r="CP16" s="99">
        <f t="shared" si="19"/>
        <v>0</v>
      </c>
      <c r="CQ16" s="49">
        <f t="shared" si="20"/>
        <v>0</v>
      </c>
    </row>
    <row r="17" spans="2:95" ht="15" thickBot="1" x14ac:dyDescent="0.35">
      <c r="B17" s="48">
        <v>10009386</v>
      </c>
      <c r="C17" s="52" t="s">
        <v>114</v>
      </c>
      <c r="D17" s="87">
        <f>TD!F14</f>
        <v>26.12</v>
      </c>
      <c r="E17" s="88">
        <f t="shared" si="0"/>
        <v>1380.8172868390652</v>
      </c>
      <c r="F17" s="49">
        <f>TD!G14</f>
        <v>36066.947532236387</v>
      </c>
      <c r="G17" s="49">
        <f>TD!H14</f>
        <v>5428.7808000000005</v>
      </c>
      <c r="H17" s="49">
        <f>TD!I14</f>
        <v>1178.3144083895515</v>
      </c>
      <c r="I17" s="49">
        <f>TD!J14</f>
        <v>2316.3664796848925</v>
      </c>
      <c r="J17" s="49">
        <f>TD!K14</f>
        <v>1851.6828773033292</v>
      </c>
      <c r="K17" s="90">
        <v>0</v>
      </c>
      <c r="L17" s="91">
        <v>0</v>
      </c>
      <c r="M17" s="92">
        <f t="shared" si="1"/>
        <v>44990.40922031083</v>
      </c>
      <c r="N17" s="93">
        <f t="shared" si="47"/>
        <v>1722.4505827071528</v>
      </c>
      <c r="O17" s="93">
        <f t="shared" si="2"/>
        <v>40822.359863322614</v>
      </c>
      <c r="P17" s="93">
        <f t="shared" si="3"/>
        <v>1562.8774832818765</v>
      </c>
      <c r="Q17" s="107">
        <v>1700</v>
      </c>
      <c r="R17" s="107">
        <f t="shared" si="48"/>
        <v>44404</v>
      </c>
      <c r="S17" s="107">
        <f t="shared" si="4"/>
        <v>656.2412010041171</v>
      </c>
      <c r="T17" s="108">
        <f t="shared" si="5"/>
        <v>1.4778875799570244E-2</v>
      </c>
      <c r="U17" s="107">
        <f t="shared" si="6"/>
        <v>4824.2905579923336</v>
      </c>
      <c r="V17" s="108">
        <f t="shared" si="7"/>
        <v>0.10864540487326217</v>
      </c>
      <c r="X17" s="96" cm="1">
        <f t="array" ref="X17">SUM([5]Hoja3!$I$6:$I$25*([5]Hoja3!$F$6:$F$25=X$5)*([5]Hoja3!$K$6:$K$25=$C17))</f>
        <v>0</v>
      </c>
      <c r="Y17" s="96" cm="1">
        <f t="array" ref="Y17">SUM([5]Hoja3!$J$6:$J$25*([5]Hoja3!$F$6:$F$25=X$5)*([5]Hoja3!$K$6:$K$25=$C17))</f>
        <v>0</v>
      </c>
      <c r="Z17" s="100">
        <f t="shared" si="22"/>
        <v>0</v>
      </c>
      <c r="AA17" s="96" cm="1">
        <f t="array" ref="AA17">SUM([5]Hoja3!$I$6:$I$25*([5]Hoja3!$F$6:$F$25=AA$5)*([5]Hoja3!$K$6:$K$25=$C17))</f>
        <v>0</v>
      </c>
      <c r="AB17" s="96" cm="1">
        <f t="array" ref="AB17">SUM([5]Hoja3!$J$6:$J$25*([5]Hoja3!$F$6:$F$25=AA$5)*([5]Hoja3!$K$6:$K$25=$C17))</f>
        <v>0</v>
      </c>
      <c r="AC17" s="100">
        <f t="shared" si="23"/>
        <v>0</v>
      </c>
      <c r="AD17" s="96" cm="1">
        <f t="array" ref="AD17">SUM([5]Hoja3!$I$6:$I$25*([5]Hoja3!$F$6:$F$25=AD$5)*([5]Hoja3!$K$6:$K$25=$C17))</f>
        <v>54</v>
      </c>
      <c r="AE17" s="96" cm="1">
        <f t="array" ref="AE17">SUM([5]Hoja3!$J$6:$J$25*([5]Hoja3!$F$6:$F$25=AD$5)*([5]Hoja3!$K$6:$K$25=$C17))</f>
        <v>86400</v>
      </c>
      <c r="AF17" s="100">
        <f t="shared" si="24"/>
        <v>1600</v>
      </c>
      <c r="AG17" s="96" cm="1">
        <f t="array" ref="AG17">SUM([5]Hoja3!$I$6:$I$25*([5]Hoja3!$F$6:$F$25=AG$5)*([5]Hoja3!$K$6:$K$25=$C17))</f>
        <v>0</v>
      </c>
      <c r="AH17" s="96" cm="1">
        <f t="array" ref="AH17">SUM([5]Hoja3!$J$6:$J$25*([5]Hoja3!$F$6:$F$25=AG$5)*([5]Hoja3!$K$6:$K$25=$C17))</f>
        <v>0</v>
      </c>
      <c r="AI17" s="100">
        <f t="shared" si="25"/>
        <v>0</v>
      </c>
      <c r="AJ17" s="96" cm="1">
        <f t="array" ref="AJ17">SUM([5]Hoja3!$I$6:$I$25*([5]Hoja3!$F$6:$F$25=AJ$5)*([5]Hoja3!$K$6:$K$25=$C17))</f>
        <v>54</v>
      </c>
      <c r="AK17" s="96" cm="1">
        <f t="array" ref="AK17">SUM([5]Hoja3!$J$6:$J$25*([5]Hoja3!$F$6:$F$25=AJ$5)*([5]Hoja3!$K$6:$K$25=$C17))</f>
        <v>86400</v>
      </c>
      <c r="AL17" s="100">
        <f t="shared" si="26"/>
        <v>1600</v>
      </c>
      <c r="AM17" s="96" cm="1">
        <f t="array" ref="AM17">SUM([5]Hoja3!$I$6:$I$25*([5]Hoja3!$F$6:$F$25=AM$5)*([5]Hoja3!$K$6:$K$25=$C17))</f>
        <v>0</v>
      </c>
      <c r="AN17" s="96" cm="1">
        <f t="array" ref="AN17">SUM([5]Hoja3!$J$6:$J$25*([5]Hoja3!$F$6:$F$25=AM$5)*([5]Hoja3!$K$6:$K$25=$C17))</f>
        <v>0</v>
      </c>
      <c r="AO17" s="100">
        <f t="shared" si="27"/>
        <v>0</v>
      </c>
      <c r="AP17" s="96" cm="1">
        <f t="array" ref="AP17">SUM([5]Hoja3!$I$6:$I$25*([5]Hoja3!$F$6:$F$25=AP$5)*([5]Hoja3!$K$6:$K$25=$C17))</f>
        <v>0</v>
      </c>
      <c r="AQ17" s="96" cm="1">
        <f t="array" ref="AQ17">SUM([5]Hoja3!$J$6:$J$25*([5]Hoja3!$F$6:$F$25=AP$5)*([5]Hoja3!$K$6:$K$25=$C17))</f>
        <v>0</v>
      </c>
      <c r="AR17" s="100">
        <f t="shared" si="28"/>
        <v>0</v>
      </c>
      <c r="AS17" s="96" cm="1">
        <f t="array" ref="AS17">SUM([5]Hoja3!$I$6:$I$25*([5]Hoja3!$F$6:$F$25=AS$5)*([5]Hoja3!$K$6:$K$25=$C17))</f>
        <v>27</v>
      </c>
      <c r="AT17" s="96" cm="1">
        <f t="array" ref="AT17">SUM([5]Hoja3!$J$6:$J$25*([5]Hoja3!$F$6:$F$25=AS$5)*([5]Hoja3!$K$6:$K$25=$C17))</f>
        <v>43200</v>
      </c>
      <c r="AU17" s="100">
        <f t="shared" si="29"/>
        <v>1600</v>
      </c>
      <c r="AV17" s="96" cm="1">
        <f t="array" ref="AV17">SUM([5]Hoja3!$I$6:$I$25*([5]Hoja3!$F$6:$F$25=AV$5)*([5]Hoja3!$K$6:$K$25=$C17))</f>
        <v>0</v>
      </c>
      <c r="AW17" s="96" cm="1">
        <f t="array" ref="AW17">SUM([5]Hoja3!$J$6:$J$25*([5]Hoja3!$F$6:$F$25=AV$5)*([5]Hoja3!$K$6:$K$25=$C17))</f>
        <v>0</v>
      </c>
      <c r="AX17" s="100">
        <f t="shared" si="30"/>
        <v>0</v>
      </c>
      <c r="AY17" s="96" cm="1">
        <f t="array" ref="AY17">SUM([5]Hoja3!$I$6:$I$25*([5]Hoja3!$F$6:$F$25=AY$5)*([5]Hoja3!$K$6:$K$25=$C17))</f>
        <v>54</v>
      </c>
      <c r="AZ17" s="96" cm="1">
        <f t="array" ref="AZ17">SUM([5]Hoja3!$J$6:$J$25*([5]Hoja3!$F$6:$F$25=AY$5)*([5]Hoja3!$K$6:$K$25=$C17))</f>
        <v>86400</v>
      </c>
      <c r="BA17" s="100">
        <f t="shared" si="31"/>
        <v>1600</v>
      </c>
      <c r="BB17" s="96" cm="1">
        <f t="array" ref="BB17">SUM([2]Hoja2!$I$6:$I$26*([2]Hoja2!$F$6:$F$26=BB$5)*([2]Hoja2!$K$6:$K$26=$C17))</f>
        <v>0</v>
      </c>
      <c r="BC17" s="96" cm="1">
        <f t="array" ref="BC17">SUM([2]Hoja2!$J$6:$J$26*([2]Hoja2!$F$6:$F$26=BB$5)*([2]Hoja2!$K$6:$K$26=$C17))</f>
        <v>0</v>
      </c>
      <c r="BD17" s="100">
        <f t="shared" si="32"/>
        <v>0</v>
      </c>
      <c r="BE17" s="96" cm="1">
        <f t="array" ref="BE17">SUM([2]Hoja2!$I$6:$I$26*([2]Hoja2!$F$6:$F$26=BE$5)*([2]Hoja2!$K$6:$K$26=$C17))</f>
        <v>0</v>
      </c>
      <c r="BF17" s="96" cm="1">
        <f t="array" ref="BF17">SUM([2]Hoja2!$J$6:$J$26*([2]Hoja2!$F$6:$F$26=BE$5)*([2]Hoja2!$K$6:$K$26=$C17))</f>
        <v>0</v>
      </c>
      <c r="BG17" s="100">
        <f t="shared" si="33"/>
        <v>0</v>
      </c>
      <c r="BH17" s="96" cm="1">
        <f t="array" ref="BH17">SUM([2]Hoja2!$I$6:$I$26*([2]Hoja2!$F$6:$F$26=BH$5)*([2]Hoja2!$K$6:$K$26=$C17))</f>
        <v>0</v>
      </c>
      <c r="BI17" s="96" cm="1">
        <f t="array" ref="BI17">SUM([2]Hoja2!$J$6:$J$26*([2]Hoja2!$F$6:$F$26=BH$5)*([2]Hoja2!$K$6:$K$26=$C17))</f>
        <v>0</v>
      </c>
      <c r="BJ17" s="100">
        <f t="shared" si="34"/>
        <v>0</v>
      </c>
      <c r="BK17" s="96" cm="1">
        <f t="array" ref="BK17">SUM([2]Hoja2!$I$6:$I$26*([2]Hoja2!$F$6:$F$26=BK$5)*([2]Hoja2!$K$6:$K$26=$C17))</f>
        <v>0</v>
      </c>
      <c r="BL17" s="96" cm="1">
        <f t="array" ref="BL17">SUM([2]Hoja2!$J$6:$J$26*([2]Hoja2!$F$6:$F$26=BK$5)*([2]Hoja2!$K$6:$K$26=$C17))</f>
        <v>0</v>
      </c>
      <c r="BM17" s="100">
        <f t="shared" si="35"/>
        <v>0</v>
      </c>
      <c r="BN17" s="96" cm="1">
        <f t="array" ref="BN17">SUM([2]Hoja2!$I$6:$I$26*([2]Hoja2!$F$6:$F$26=BN$5)*([2]Hoja2!$K$6:$K$26=$C17))</f>
        <v>0</v>
      </c>
      <c r="BO17" s="96" cm="1">
        <f t="array" ref="BO17">SUM([2]Hoja2!$J$6:$J$26*([2]Hoja2!$F$6:$F$26=BN$5)*([2]Hoja2!$K$6:$K$26=$C17))</f>
        <v>0</v>
      </c>
      <c r="BP17" s="100">
        <f t="shared" si="36"/>
        <v>0</v>
      </c>
      <c r="BQ17" s="96" cm="1">
        <f t="array" ref="BQ17">SUM([2]Hoja2!$I$6:$I$26*([2]Hoja2!$F$6:$F$26=BQ$5)*([2]Hoja2!$K$6:$K$26=$C17))</f>
        <v>0</v>
      </c>
      <c r="BR17" s="96" cm="1">
        <f t="array" ref="BR17">SUM([2]Hoja2!$J$6:$J$26*([2]Hoja2!$F$6:$F$26=BQ$5)*([2]Hoja2!$K$6:$K$26=$C17))</f>
        <v>0</v>
      </c>
      <c r="BS17" s="100">
        <f t="shared" si="37"/>
        <v>0</v>
      </c>
      <c r="BT17" s="101">
        <f t="shared" si="8"/>
        <v>189</v>
      </c>
      <c r="BU17" s="102">
        <f t="shared" si="9"/>
        <v>302400</v>
      </c>
      <c r="BV17" s="103">
        <f>IFERROR(BU17/BT17,0)</f>
        <v>1600</v>
      </c>
      <c r="BW17" s="102">
        <f>-IFERROR(F17/D17*BT17,0)</f>
        <v>-260974.46721258332</v>
      </c>
      <c r="BX17" s="103">
        <f t="shared" si="44"/>
        <v>-39281.760000000002</v>
      </c>
      <c r="BY17" s="102">
        <f t="shared" si="45"/>
        <v>-16876.62613636364</v>
      </c>
      <c r="BZ17" s="103">
        <f t="shared" si="46"/>
        <v>-33176.587500000001</v>
      </c>
      <c r="CA17" s="102">
        <f t="shared" si="13"/>
        <v>-26521.070625000008</v>
      </c>
      <c r="CB17" s="103">
        <f t="shared" si="14"/>
        <v>8424.6129260537928</v>
      </c>
      <c r="CC17" s="102">
        <f>BU17+SUM(BW17:BZ17,CB17)</f>
        <v>-39484.827922893164</v>
      </c>
      <c r="CD17" s="104">
        <f t="shared" si="41"/>
        <v>-0.13057152090903823</v>
      </c>
      <c r="CE17" s="105">
        <f t="shared" si="15"/>
        <v>20212.830202106841</v>
      </c>
      <c r="CF17" s="106">
        <f t="shared" si="16"/>
        <v>6.6841369715961774E-2</v>
      </c>
      <c r="CH17" s="98">
        <f t="shared" si="17"/>
        <v>1600</v>
      </c>
      <c r="CI17" s="99">
        <f t="shared" si="18"/>
        <v>-1380.8172868390652</v>
      </c>
      <c r="CJ17" s="99">
        <f t="shared" si="18"/>
        <v>-207.84</v>
      </c>
      <c r="CK17" s="99">
        <f t="shared" si="18"/>
        <v>-89.294318181818198</v>
      </c>
      <c r="CL17" s="99">
        <f t="shared" si="18"/>
        <v>-175.53749999999999</v>
      </c>
      <c r="CM17" s="99">
        <f t="shared" si="18"/>
        <v>-140.32312500000003</v>
      </c>
      <c r="CN17" s="99">
        <f t="shared" si="18"/>
        <v>44.574671566422182</v>
      </c>
      <c r="CO17" s="99">
        <f t="shared" si="18"/>
        <v>-208.91443345446118</v>
      </c>
      <c r="CP17" s="99">
        <f t="shared" si="19"/>
        <v>106.94619154553884</v>
      </c>
      <c r="CQ17" s="49">
        <f t="shared" si="20"/>
        <v>315.86062500000003</v>
      </c>
    </row>
    <row r="18" spans="2:95" ht="15" thickBot="1" x14ac:dyDescent="0.35">
      <c r="C18" s="109" t="s">
        <v>115</v>
      </c>
      <c r="D18" s="110">
        <f>SUM(D7:D17)</f>
        <v>1741.8809999999999</v>
      </c>
      <c r="E18" s="111">
        <f t="shared" si="0"/>
        <v>1779.735101445071</v>
      </c>
      <c r="F18" s="112">
        <f t="shared" ref="F18:K18" si="49">SUM(F7:F17)</f>
        <v>3100086.7582402416</v>
      </c>
      <c r="G18" s="112">
        <f t="shared" si="49"/>
        <v>362032.54704000009</v>
      </c>
      <c r="H18" s="112">
        <f t="shared" si="49"/>
        <v>78579</v>
      </c>
      <c r="I18" s="112">
        <f t="shared" si="49"/>
        <v>154473.00000000003</v>
      </c>
      <c r="J18" s="112">
        <f t="shared" si="49"/>
        <v>123484.35000000003</v>
      </c>
      <c r="K18" s="112">
        <f t="shared" si="49"/>
        <v>0</v>
      </c>
      <c r="L18" s="113">
        <v>0</v>
      </c>
      <c r="M18" s="114">
        <f>SUM(M7:M17)</f>
        <v>3695171.3052802416</v>
      </c>
      <c r="N18" s="114">
        <f t="shared" si="47"/>
        <v>2121.3683973131588</v>
      </c>
      <c r="O18" s="114">
        <f>SUM(O7:O17)</f>
        <v>3417213.9552802425</v>
      </c>
      <c r="P18" s="114">
        <f t="shared" si="3"/>
        <v>1961.7952978878825</v>
      </c>
      <c r="Q18" s="115">
        <f>R18/D18</f>
        <v>1665.5231327513191</v>
      </c>
      <c r="R18" s="116">
        <f>SUM(R7:R17)</f>
        <v>2901143.1</v>
      </c>
      <c r="S18" s="115">
        <f>SUM(S7:S17)</f>
        <v>-712960.42679745064</v>
      </c>
      <c r="T18" s="117">
        <f t="shared" ref="T18" si="50">S18/R18</f>
        <v>-0.24575155455015321</v>
      </c>
      <c r="U18" s="115">
        <f>SUM(U7:U17)</f>
        <v>-435003.07679745054</v>
      </c>
      <c r="V18" s="117">
        <f t="shared" si="7"/>
        <v>-0.14994195798113183</v>
      </c>
      <c r="X18" s="118">
        <f>SUM(X7:X17)</f>
        <v>27</v>
      </c>
      <c r="Y18" s="118">
        <f>SUM(Y7:Y17)</f>
        <v>68850</v>
      </c>
      <c r="Z18" s="119">
        <f t="shared" si="22"/>
        <v>2550</v>
      </c>
      <c r="AA18" s="118">
        <f>SUM(AA7:AA17)</f>
        <v>26</v>
      </c>
      <c r="AB18" s="118">
        <f>SUM(AB7:AB17)</f>
        <v>74100</v>
      </c>
      <c r="AC18" s="119">
        <f t="shared" si="23"/>
        <v>2850</v>
      </c>
      <c r="AD18" s="118">
        <f>SUM(AD7:AD17)</f>
        <v>270</v>
      </c>
      <c r="AE18" s="118">
        <f>SUM(AE7:AE17)</f>
        <v>542700</v>
      </c>
      <c r="AF18" s="119">
        <f t="shared" si="24"/>
        <v>2010</v>
      </c>
      <c r="AG18" s="118">
        <f>SUM(AG7:AG17)</f>
        <v>26</v>
      </c>
      <c r="AH18" s="118">
        <f>SUM(AH7:AH17)</f>
        <v>70980</v>
      </c>
      <c r="AI18" s="119">
        <f t="shared" si="25"/>
        <v>2730</v>
      </c>
      <c r="AJ18" s="118">
        <f>SUM(AJ7:AJ17)</f>
        <v>132</v>
      </c>
      <c r="AK18" s="118">
        <f>SUM(AK7:AK17)</f>
        <v>190140</v>
      </c>
      <c r="AL18" s="119">
        <f t="shared" si="26"/>
        <v>1440.4545454545455</v>
      </c>
      <c r="AM18" s="118">
        <f>SUM(AM7:AM17)</f>
        <v>24</v>
      </c>
      <c r="AN18" s="118">
        <f>SUM(AN7:AN17)</f>
        <v>48000</v>
      </c>
      <c r="AO18" s="119">
        <f t="shared" si="27"/>
        <v>2000</v>
      </c>
      <c r="AP18" s="118">
        <f>SUM(AP7:AP17)</f>
        <v>79</v>
      </c>
      <c r="AQ18" s="118">
        <f>SUM(AQ7:AQ17)</f>
        <v>139960</v>
      </c>
      <c r="AR18" s="119">
        <f t="shared" si="28"/>
        <v>1771.6455696202531</v>
      </c>
      <c r="AS18" s="118">
        <f>SUM(AS7:AS17)</f>
        <v>54</v>
      </c>
      <c r="AT18" s="118">
        <f>SUM(AT7:AT17)</f>
        <v>124200</v>
      </c>
      <c r="AU18" s="119">
        <f t="shared" si="29"/>
        <v>2300</v>
      </c>
      <c r="AV18" s="118">
        <f>SUM(AV7:AV17)</f>
        <v>26</v>
      </c>
      <c r="AW18" s="118">
        <f>SUM(AW7:AW17)</f>
        <v>34580</v>
      </c>
      <c r="AX18" s="119">
        <f t="shared" si="30"/>
        <v>1330</v>
      </c>
      <c r="AY18" s="118">
        <f>SUM(AY7:AY17)</f>
        <v>216</v>
      </c>
      <c r="AZ18" s="118">
        <f>SUM(AZ7:AZ17)</f>
        <v>472110</v>
      </c>
      <c r="BA18" s="119">
        <f t="shared" si="31"/>
        <v>2185.6944444444443</v>
      </c>
      <c r="BB18" s="118">
        <f>SUM(BB7:BB17)</f>
        <v>0</v>
      </c>
      <c r="BC18" s="118">
        <f>SUM(BC7:BC17)</f>
        <v>0</v>
      </c>
      <c r="BD18" s="119">
        <f t="shared" si="32"/>
        <v>0</v>
      </c>
      <c r="BE18" s="118">
        <f>SUM(BE7:BE17)</f>
        <v>0</v>
      </c>
      <c r="BF18" s="118">
        <f>SUM(BF7:BF17)</f>
        <v>0</v>
      </c>
      <c r="BG18" s="119">
        <f t="shared" si="33"/>
        <v>0</v>
      </c>
      <c r="BH18" s="118">
        <f>SUM(BH7:BH17)</f>
        <v>0</v>
      </c>
      <c r="BI18" s="118">
        <f>SUM(BI7:BI17)</f>
        <v>0</v>
      </c>
      <c r="BJ18" s="119">
        <f t="shared" si="34"/>
        <v>0</v>
      </c>
      <c r="BK18" s="118">
        <f>SUM(BK7:BK17)</f>
        <v>0</v>
      </c>
      <c r="BL18" s="118">
        <f>SUM(BL7:BL17)</f>
        <v>0</v>
      </c>
      <c r="BM18" s="119">
        <f t="shared" si="35"/>
        <v>0</v>
      </c>
      <c r="BN18" s="118">
        <f>SUM(BN7:BN17)</f>
        <v>0</v>
      </c>
      <c r="BO18" s="118">
        <f>SUM(BO7:BO17)</f>
        <v>0</v>
      </c>
      <c r="BP18" s="119">
        <f t="shared" si="36"/>
        <v>0</v>
      </c>
      <c r="BQ18" s="118">
        <f>SUM(BQ7:BQ17)</f>
        <v>0</v>
      </c>
      <c r="BR18" s="118">
        <f>SUM(BR7:BR17)</f>
        <v>0</v>
      </c>
      <c r="BS18" s="119">
        <f t="shared" si="37"/>
        <v>0</v>
      </c>
      <c r="BT18" s="120">
        <f>SUM(BT7:BT17)</f>
        <v>880</v>
      </c>
      <c r="BU18" s="120">
        <f>SUM(BU7:BU17)</f>
        <v>1765620</v>
      </c>
      <c r="BV18" s="121">
        <f t="shared" ref="BV18:BV20" si="51">IFERROR(BU18/BT18,0)</f>
        <v>2006.3863636363637</v>
      </c>
      <c r="BW18" s="122">
        <f>SUM(BW7:BW17)</f>
        <v>-1391867.9267906321</v>
      </c>
      <c r="BX18" s="121">
        <f>SUM(BX7:BX17)</f>
        <v>-182899.20000000001</v>
      </c>
      <c r="BY18" s="122">
        <f>-'Stock Libre'!N54</f>
        <v>-78579.000000000015</v>
      </c>
      <c r="BZ18" s="121">
        <f>-'Stock Libre'!O52</f>
        <v>-154473</v>
      </c>
      <c r="CA18" s="122">
        <f>-'Stock Libre'!P52</f>
        <v>-123484.35000000002</v>
      </c>
      <c r="CB18" s="121">
        <f>SUM(CB7:CB17)</f>
        <v>49954.310978451518</v>
      </c>
      <c r="CC18" s="120">
        <f>SUM(CC7:CC17)</f>
        <v>7755.1841878193954</v>
      </c>
      <c r="CD18" s="123">
        <f t="shared" si="41"/>
        <v>4.3923291465997188E-3</v>
      </c>
      <c r="CE18" s="120">
        <f>SUM(CE7:CE17)</f>
        <v>285712.53418781952</v>
      </c>
      <c r="CF18" s="124">
        <f t="shared" si="16"/>
        <v>0.16181994664073782</v>
      </c>
      <c r="CH18" s="125">
        <f t="shared" si="17"/>
        <v>2006.3863636363637</v>
      </c>
      <c r="CI18" s="126">
        <f t="shared" si="18"/>
        <v>-1581.6680986257184</v>
      </c>
      <c r="CJ18" s="126">
        <f t="shared" si="18"/>
        <v>-207.84</v>
      </c>
      <c r="CK18" s="126">
        <f t="shared" si="18"/>
        <v>-89.294318181818198</v>
      </c>
      <c r="CL18" s="126">
        <f t="shared" si="18"/>
        <v>-175.53749999999999</v>
      </c>
      <c r="CM18" s="126">
        <f t="shared" si="18"/>
        <v>-140.32312500000003</v>
      </c>
      <c r="CN18" s="126">
        <f t="shared" si="18"/>
        <v>56.766262475513088</v>
      </c>
      <c r="CO18" s="126">
        <f t="shared" si="18"/>
        <v>8.8127093043402223</v>
      </c>
      <c r="CP18" s="126">
        <f t="shared" si="19"/>
        <v>324.67333430434036</v>
      </c>
      <c r="CQ18" s="49">
        <f t="shared" si="20"/>
        <v>315.86062500000014</v>
      </c>
    </row>
    <row r="19" spans="2:95" x14ac:dyDescent="0.3">
      <c r="I19" s="56"/>
      <c r="J19" s="56"/>
      <c r="N19" s="49">
        <f>N18-P18</f>
        <v>159.57309942527627</v>
      </c>
      <c r="O19" s="49"/>
      <c r="BX19" s="56" t="s">
        <v>116</v>
      </c>
      <c r="BY19">
        <v>114.17761445259386</v>
      </c>
    </row>
    <row r="20" spans="2:95" x14ac:dyDescent="0.3">
      <c r="C20" s="127" t="s">
        <v>117</v>
      </c>
      <c r="L20" s="128"/>
      <c r="M20" s="49"/>
      <c r="N20" s="129"/>
      <c r="O20" s="129"/>
      <c r="P20" s="129"/>
      <c r="Q20" s="129"/>
      <c r="R20" s="130"/>
      <c r="S20" s="129"/>
      <c r="T20" s="129"/>
      <c r="U20" s="129"/>
      <c r="V20" s="129"/>
      <c r="W20" s="49"/>
      <c r="X20" s="49"/>
      <c r="Y20" s="131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  <c r="BC20" s="132"/>
      <c r="BD20" s="132"/>
      <c r="BE20" s="132"/>
      <c r="BF20" s="132"/>
      <c r="BG20" s="132"/>
      <c r="BH20" s="132"/>
      <c r="BI20" s="132"/>
      <c r="BJ20" s="132"/>
      <c r="BK20" s="132"/>
      <c r="BL20" s="132"/>
      <c r="BM20" s="132"/>
      <c r="BN20" s="132"/>
      <c r="BO20" s="132"/>
      <c r="BP20" s="132"/>
      <c r="BQ20" s="132"/>
      <c r="BR20" s="132"/>
      <c r="BS20" s="132"/>
      <c r="BT20" s="132"/>
      <c r="BU20" s="132"/>
      <c r="BV20" s="132"/>
      <c r="BW20" s="132"/>
      <c r="BX20" s="132"/>
      <c r="BY20" s="132"/>
      <c r="BZ20" s="132"/>
      <c r="CA20" s="132"/>
      <c r="CB20" s="132"/>
      <c r="CC20" s="132"/>
      <c r="CD20" s="132"/>
      <c r="CE20" s="132"/>
      <c r="CF20" s="132"/>
      <c r="CI20" s="49">
        <f>SUM(CI7:CL7)</f>
        <v>-2410.2240879300166</v>
      </c>
    </row>
    <row r="21" spans="2:95" ht="15" thickBot="1" x14ac:dyDescent="0.35">
      <c r="C21" s="127"/>
      <c r="L21" s="128"/>
      <c r="M21" s="49"/>
      <c r="N21" s="129"/>
      <c r="O21" s="129"/>
      <c r="P21" s="129"/>
      <c r="Q21" s="129"/>
      <c r="R21" s="130"/>
      <c r="S21" s="129"/>
      <c r="T21" s="129"/>
      <c r="U21" s="129"/>
      <c r="V21" s="129"/>
      <c r="W21" s="49"/>
      <c r="X21" s="49"/>
      <c r="Y21" s="131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2"/>
      <c r="BD21" s="132"/>
      <c r="BE21" s="132"/>
      <c r="BF21" s="132"/>
      <c r="BG21" s="132"/>
      <c r="BH21" s="132"/>
      <c r="BI21" s="132"/>
      <c r="BJ21" s="132"/>
      <c r="BK21" s="132"/>
      <c r="BL21" s="132"/>
      <c r="BM21" s="132"/>
      <c r="BN21" s="132"/>
      <c r="BO21" s="132"/>
      <c r="BP21" s="132"/>
      <c r="BW21" s="56"/>
      <c r="BX21" s="133"/>
      <c r="CC21" s="134"/>
      <c r="CI21" s="49"/>
    </row>
    <row r="22" spans="2:95" ht="29.4" thickBot="1" x14ac:dyDescent="0.35">
      <c r="C22" s="21" t="s">
        <v>93</v>
      </c>
      <c r="D22" s="135" t="s">
        <v>94</v>
      </c>
      <c r="E22" s="136" t="s">
        <v>95</v>
      </c>
      <c r="F22" s="21" t="s">
        <v>60</v>
      </c>
      <c r="G22" s="21" t="s">
        <v>61</v>
      </c>
      <c r="H22" s="21" t="s">
        <v>62</v>
      </c>
      <c r="I22" s="21" t="s">
        <v>63</v>
      </c>
      <c r="J22" s="21" t="s">
        <v>64</v>
      </c>
      <c r="K22" s="21" t="s">
        <v>65</v>
      </c>
      <c r="L22" s="137" t="s">
        <v>66</v>
      </c>
      <c r="M22" s="138" t="s">
        <v>96</v>
      </c>
      <c r="N22" s="138" t="s">
        <v>97</v>
      </c>
      <c r="O22" s="138" t="s">
        <v>98</v>
      </c>
      <c r="P22" s="138" t="s">
        <v>99</v>
      </c>
      <c r="Q22" s="79" t="s">
        <v>100</v>
      </c>
      <c r="R22" s="79" t="s">
        <v>101</v>
      </c>
      <c r="S22" s="79" t="s">
        <v>102</v>
      </c>
      <c r="T22" s="79" t="s">
        <v>103</v>
      </c>
      <c r="U22" s="79" t="s">
        <v>104</v>
      </c>
      <c r="V22" s="79" t="s">
        <v>105</v>
      </c>
      <c r="W22" s="49"/>
      <c r="X22" s="49"/>
      <c r="Y22" s="131"/>
      <c r="BT22" s="56" t="s">
        <v>118</v>
      </c>
      <c r="BU22" s="139">
        <f>BU18-BU14-BU7</f>
        <v>1717620</v>
      </c>
      <c r="CB22" s="139"/>
      <c r="CI22" s="56">
        <f>CI7/0.5</f>
        <v>-3875.1045394963971</v>
      </c>
    </row>
    <row r="23" spans="2:95" x14ac:dyDescent="0.3">
      <c r="C23" s="52" t="s">
        <v>78</v>
      </c>
      <c r="D23" s="87">
        <v>540</v>
      </c>
      <c r="E23" s="88">
        <f>E7</f>
        <v>1937.5522697481988</v>
      </c>
      <c r="F23" s="49">
        <f>E23*D23</f>
        <v>1046278.2256640274</v>
      </c>
      <c r="G23" s="49">
        <f>D23*207.84</f>
        <v>112233.60000000001</v>
      </c>
      <c r="H23" s="49">
        <f>H$18/$D$18*$D23</f>
        <v>24360.251934546621</v>
      </c>
      <c r="I23" s="49">
        <f t="shared" ref="H23:J24" si="52">I$18/$D$18*$D23</f>
        <v>47888.127834220606</v>
      </c>
      <c r="J23" s="49">
        <f t="shared" si="52"/>
        <v>38281.345855428714</v>
      </c>
      <c r="K23" s="90">
        <v>0</v>
      </c>
      <c r="L23" s="91">
        <v>0</v>
      </c>
      <c r="M23" s="92">
        <f t="shared" ref="M23:M24" si="53">F23+G23+H23+I23</f>
        <v>1230760.2054327945</v>
      </c>
      <c r="N23" s="93">
        <f>IFERROR(M23/D23,0)</f>
        <v>2279.1855656162861</v>
      </c>
      <c r="O23" s="93">
        <f>F23+G23+H23-J23</f>
        <v>1144590.7317431453</v>
      </c>
      <c r="P23" s="93">
        <f>IFERROR(O23/D23,0)</f>
        <v>2119.6124661910098</v>
      </c>
      <c r="Q23" s="94">
        <v>1400</v>
      </c>
      <c r="R23" s="94">
        <f>Q23*D23</f>
        <v>756000</v>
      </c>
      <c r="S23" s="94">
        <f>R23-M23+(Q23-$BY$19)*D23*0.03</f>
        <v>-453929.88278692652</v>
      </c>
      <c r="T23" s="95">
        <f t="shared" ref="T23" si="54">IFERROR(S23/R23,0)</f>
        <v>-0.60043635289275998</v>
      </c>
      <c r="U23" s="94">
        <f>R23-(M23-J23-I23)+(Q23-$BY$19)*D23*0.03</f>
        <v>-367760.40909727727</v>
      </c>
      <c r="V23" s="95">
        <f t="shared" ref="V23:V27" si="55">IFERROR(U23/R23,0)</f>
        <v>-0.48645556758899111</v>
      </c>
      <c r="W23" s="49"/>
      <c r="X23" s="49"/>
      <c r="Y23" s="89"/>
      <c r="BT23" t="s">
        <v>119</v>
      </c>
      <c r="BU23" s="89">
        <v>3849628.96</v>
      </c>
      <c r="BV23" s="56"/>
      <c r="BX23" s="56"/>
      <c r="BZ23" s="49"/>
      <c r="CB23" s="56"/>
    </row>
    <row r="24" spans="2:95" ht="15" thickBot="1" x14ac:dyDescent="0.35">
      <c r="C24" s="52" t="s">
        <v>84</v>
      </c>
      <c r="D24" s="87">
        <v>162</v>
      </c>
      <c r="E24" s="88">
        <f>E14</f>
        <v>3191.5558235537264</v>
      </c>
      <c r="F24" s="49">
        <f>E24*D24</f>
        <v>517032.04341570369</v>
      </c>
      <c r="G24" s="49">
        <f>D24*207.84</f>
        <v>33670.080000000002</v>
      </c>
      <c r="H24" s="49">
        <f t="shared" si="52"/>
        <v>7308.0755803639868</v>
      </c>
      <c r="I24" s="49">
        <f t="shared" si="52"/>
        <v>14366.43835026618</v>
      </c>
      <c r="J24" s="49">
        <f t="shared" si="52"/>
        <v>11484.403756628613</v>
      </c>
      <c r="K24" s="90">
        <v>0</v>
      </c>
      <c r="L24" s="91">
        <v>0</v>
      </c>
      <c r="M24" s="92">
        <f t="shared" si="53"/>
        <v>572376.63734633382</v>
      </c>
      <c r="N24" s="93">
        <f t="shared" ref="N24:N27" si="56">IFERROR(M24/D24,0)</f>
        <v>3533.1891194218138</v>
      </c>
      <c r="O24" s="93">
        <f t="shared" ref="O24" si="57">F24+G24+H24-J24</f>
        <v>546525.795239439</v>
      </c>
      <c r="P24" s="93">
        <f t="shared" ref="P24:P27" si="58">IFERROR(O24/D24,0)</f>
        <v>3373.616019996537</v>
      </c>
      <c r="Q24" s="107">
        <v>3500</v>
      </c>
      <c r="R24" s="107">
        <f>Q24*D24</f>
        <v>567000</v>
      </c>
      <c r="S24" s="107">
        <f>R24-M24+(Q24-$BY$19)*D24*0.03</f>
        <v>11078.459447426569</v>
      </c>
      <c r="T24" s="108">
        <f>IFERROR(S24/R24,0)</f>
        <v>1.9538729184173844E-2</v>
      </c>
      <c r="U24" s="107">
        <f>R24-(M24-J24-I24)+(Q24-$BY$19)*D24*0.03</f>
        <v>36929.301554321391</v>
      </c>
      <c r="V24" s="108">
        <f t="shared" si="55"/>
        <v>6.5131043305681466E-2</v>
      </c>
      <c r="W24" s="49"/>
      <c r="X24" s="49"/>
      <c r="Y24" s="89"/>
      <c r="BT24" t="s">
        <v>120</v>
      </c>
      <c r="BU24" s="49">
        <f>M27</f>
        <v>5498308.14805937</v>
      </c>
      <c r="BX24" s="56"/>
      <c r="BZ24" s="56"/>
    </row>
    <row r="25" spans="2:95" ht="15" thickBot="1" x14ac:dyDescent="0.35">
      <c r="C25" s="140" t="s">
        <v>115</v>
      </c>
      <c r="D25" s="141">
        <f>SUM(D23:D24)</f>
        <v>702</v>
      </c>
      <c r="E25" s="142">
        <f>F25/D25</f>
        <v>2226.9377052417822</v>
      </c>
      <c r="F25" s="112">
        <f t="shared" ref="F25:K25" si="59">SUM(F23:F24)</f>
        <v>1563310.2690797311</v>
      </c>
      <c r="G25" s="112">
        <f t="shared" si="59"/>
        <v>145903.67999999999</v>
      </c>
      <c r="H25" s="112">
        <f t="shared" si="59"/>
        <v>31668.327514910608</v>
      </c>
      <c r="I25" s="112">
        <f t="shared" si="59"/>
        <v>62254.566184486786</v>
      </c>
      <c r="J25" s="112">
        <f t="shared" si="59"/>
        <v>49765.749612057327</v>
      </c>
      <c r="K25" s="112">
        <f t="shared" si="59"/>
        <v>0</v>
      </c>
      <c r="L25" s="113">
        <v>0</v>
      </c>
      <c r="M25" s="114">
        <f>SUM(M23:M24)</f>
        <v>1803136.8427791283</v>
      </c>
      <c r="N25" s="114">
        <f t="shared" si="56"/>
        <v>2568.5710011098695</v>
      </c>
      <c r="O25" s="114">
        <f>SUM(O23:O24)</f>
        <v>1691116.5269825843</v>
      </c>
      <c r="P25" s="114">
        <f t="shared" si="58"/>
        <v>2408.9979016845928</v>
      </c>
      <c r="Q25" s="115">
        <f>R25/D25</f>
        <v>1884.6153846153845</v>
      </c>
      <c r="R25" s="116">
        <f>SUM(R23:R24)</f>
        <v>1323000</v>
      </c>
      <c r="S25" s="116">
        <f>SUM(S23:S24)</f>
        <v>-442851.42333949998</v>
      </c>
      <c r="T25" s="117">
        <f t="shared" ref="T25:T27" si="60">S25/R25</f>
        <v>-0.33473274628835975</v>
      </c>
      <c r="U25" s="116">
        <f>SUM(U23:U24)</f>
        <v>-330831.1075429559</v>
      </c>
      <c r="V25" s="117">
        <f t="shared" si="55"/>
        <v>-0.2500613057769886</v>
      </c>
      <c r="W25" s="49"/>
      <c r="X25" s="49"/>
      <c r="Y25" s="89"/>
      <c r="BU25" s="143">
        <f>SUM(BU22:BU24)</f>
        <v>11065557.108059369</v>
      </c>
      <c r="BV25" s="49"/>
    </row>
    <row r="26" spans="2:95" ht="15" thickBot="1" x14ac:dyDescent="0.35">
      <c r="G26" s="49"/>
      <c r="J26" s="56"/>
      <c r="L26" s="128"/>
      <c r="N26" s="129"/>
      <c r="O26" s="129"/>
      <c r="P26" s="129"/>
      <c r="Q26" s="129"/>
      <c r="R26" s="129"/>
      <c r="S26" s="129"/>
      <c r="T26" s="129"/>
      <c r="U26" s="129"/>
      <c r="V26" s="129"/>
      <c r="W26" s="49"/>
      <c r="X26" s="49"/>
      <c r="Y26" s="89"/>
      <c r="BV26" s="89"/>
    </row>
    <row r="27" spans="2:95" ht="15" thickBot="1" x14ac:dyDescent="0.35">
      <c r="C27" s="140" t="s">
        <v>115</v>
      </c>
      <c r="D27" s="144">
        <f>D18+D25</f>
        <v>2443.8809999999999</v>
      </c>
      <c r="E27" s="142">
        <f>F27/D27</f>
        <v>1908.1931678833678</v>
      </c>
      <c r="F27" s="112">
        <f t="shared" ref="F27:M27" si="61">F18+F25</f>
        <v>4663397.0273199724</v>
      </c>
      <c r="G27" s="112">
        <f t="shared" si="61"/>
        <v>507936.22704000009</v>
      </c>
      <c r="H27" s="112">
        <f t="shared" si="61"/>
        <v>110247.3275149106</v>
      </c>
      <c r="I27" s="112">
        <f t="shared" si="61"/>
        <v>216727.56618448682</v>
      </c>
      <c r="J27" s="112">
        <f t="shared" si="61"/>
        <v>173250.09961205735</v>
      </c>
      <c r="K27" s="112">
        <f t="shared" si="61"/>
        <v>0</v>
      </c>
      <c r="L27" s="113">
        <f t="shared" si="61"/>
        <v>0</v>
      </c>
      <c r="M27" s="114">
        <f t="shared" si="61"/>
        <v>5498308.14805937</v>
      </c>
      <c r="N27" s="114">
        <f t="shared" si="56"/>
        <v>2249.8264637514553</v>
      </c>
      <c r="O27" s="114">
        <f>O18+O25</f>
        <v>5108330.4822628265</v>
      </c>
      <c r="P27" s="114">
        <f t="shared" si="58"/>
        <v>2090.2533643261791</v>
      </c>
      <c r="Q27" s="115">
        <f>R27/D27</f>
        <v>1728.4569502361203</v>
      </c>
      <c r="R27" s="116">
        <f>R18+R25</f>
        <v>4224143.0999999996</v>
      </c>
      <c r="S27" s="116">
        <f>S18+S25</f>
        <v>-1155811.8501369506</v>
      </c>
      <c r="T27" s="117">
        <f t="shared" si="60"/>
        <v>-0.27362042970015638</v>
      </c>
      <c r="U27" s="116">
        <f>U18+U25</f>
        <v>-765834.18434040644</v>
      </c>
      <c r="V27" s="117">
        <f t="shared" si="55"/>
        <v>-0.1812992993396475</v>
      </c>
      <c r="X27" s="49"/>
      <c r="Y27" s="89"/>
      <c r="BU27" s="54"/>
      <c r="BV27" s="145"/>
    </row>
    <row r="28" spans="2:95" x14ac:dyDescent="0.3">
      <c r="L28" s="128"/>
      <c r="N28" s="129"/>
      <c r="O28" s="129"/>
      <c r="P28" s="129"/>
      <c r="Q28" s="129"/>
      <c r="R28" s="129"/>
      <c r="S28" s="129"/>
      <c r="T28" s="129"/>
      <c r="U28" s="129"/>
      <c r="V28" s="129"/>
      <c r="W28" s="49"/>
      <c r="X28" s="49"/>
      <c r="Y28" s="89"/>
      <c r="BU28" s="89"/>
    </row>
    <row r="29" spans="2:95" x14ac:dyDescent="0.3">
      <c r="L29" s="128"/>
      <c r="N29" s="129"/>
      <c r="O29" s="129"/>
      <c r="P29" s="129"/>
      <c r="Q29" s="129"/>
      <c r="R29" s="129"/>
      <c r="S29" s="129"/>
      <c r="T29" s="129"/>
      <c r="U29" s="129"/>
      <c r="V29" s="129"/>
      <c r="W29" s="49"/>
      <c r="X29" s="49"/>
      <c r="Y29" s="89"/>
    </row>
    <row r="30" spans="2:95" x14ac:dyDescent="0.3">
      <c r="L30" s="128"/>
      <c r="N30" s="129"/>
      <c r="O30" s="129"/>
      <c r="P30" s="129"/>
      <c r="Q30" s="129"/>
      <c r="R30" s="129"/>
      <c r="S30" s="129"/>
      <c r="T30" s="129"/>
      <c r="U30" s="129"/>
      <c r="V30" s="129"/>
      <c r="W30" s="49"/>
      <c r="X30" s="49"/>
      <c r="Y30" s="89"/>
    </row>
    <row r="31" spans="2:95" x14ac:dyDescent="0.3">
      <c r="L31" s="128"/>
      <c r="N31" s="129"/>
      <c r="O31" s="129"/>
      <c r="P31" s="129"/>
      <c r="Q31" s="129"/>
      <c r="R31" s="129"/>
      <c r="S31" s="129"/>
      <c r="T31" s="129"/>
      <c r="U31" s="129"/>
      <c r="V31" s="129"/>
      <c r="W31" s="49"/>
      <c r="X31" s="49"/>
      <c r="Y31" s="89"/>
    </row>
    <row r="32" spans="2:95" x14ac:dyDescent="0.3">
      <c r="L32" s="128"/>
      <c r="N32" s="129"/>
      <c r="O32" s="129"/>
      <c r="P32" s="129"/>
      <c r="Q32" s="129"/>
      <c r="R32" s="129"/>
      <c r="S32" s="129"/>
      <c r="T32" s="129"/>
      <c r="U32" s="129"/>
      <c r="V32" s="129"/>
      <c r="W32" s="49"/>
      <c r="X32" s="49"/>
      <c r="Y32" s="89"/>
    </row>
    <row r="33" spans="12:25" x14ac:dyDescent="0.3">
      <c r="L33" s="146"/>
      <c r="M33" s="54"/>
      <c r="N33" s="147"/>
      <c r="O33" s="147"/>
      <c r="P33" s="147"/>
      <c r="Q33" s="147"/>
      <c r="R33" s="147"/>
      <c r="S33" s="147"/>
      <c r="T33" s="147"/>
      <c r="U33" s="147"/>
      <c r="V33" s="147"/>
      <c r="Y33" s="147"/>
    </row>
    <row r="35" spans="12:25" x14ac:dyDescent="0.3">
      <c r="N35" s="49"/>
      <c r="O35" s="49"/>
      <c r="P35" s="49"/>
      <c r="Q35" s="49"/>
      <c r="R35" s="49"/>
      <c r="S35" s="49"/>
      <c r="T35" s="49"/>
      <c r="U35" s="49"/>
      <c r="V35" s="49"/>
    </row>
    <row r="36" spans="12:25" x14ac:dyDescent="0.3">
      <c r="N36" s="49"/>
      <c r="O36" s="49"/>
      <c r="P36" s="49"/>
      <c r="Q36" s="49"/>
      <c r="R36" s="49"/>
      <c r="S36" s="49"/>
      <c r="T36" s="49"/>
      <c r="U36" s="49"/>
      <c r="V36" s="49"/>
    </row>
    <row r="37" spans="12:25" x14ac:dyDescent="0.3">
      <c r="N37" s="134"/>
      <c r="O37" s="134"/>
      <c r="P37" s="134"/>
      <c r="Q37" s="134"/>
      <c r="R37" s="134"/>
      <c r="S37" s="134"/>
      <c r="T37" s="134"/>
      <c r="U37" s="134"/>
      <c r="V37" s="134"/>
    </row>
  </sheetData>
  <mergeCells count="20">
    <mergeCell ref="BT5:CF5"/>
    <mergeCell ref="CH5:CP5"/>
    <mergeCell ref="AV5:AX5"/>
    <mergeCell ref="AS5:AU5"/>
    <mergeCell ref="BB5:BD5"/>
    <mergeCell ref="BE5:BG5"/>
    <mergeCell ref="BH5:BJ5"/>
    <mergeCell ref="BK5:BM5"/>
    <mergeCell ref="BN5:BP5"/>
    <mergeCell ref="BQ5:BS5"/>
    <mergeCell ref="BT4:CD4"/>
    <mergeCell ref="F5:V5"/>
    <mergeCell ref="X5:Z5"/>
    <mergeCell ref="AA5:AC5"/>
    <mergeCell ref="AD5:AF5"/>
    <mergeCell ref="AG5:AI5"/>
    <mergeCell ref="AJ5:AL5"/>
    <mergeCell ref="AM5:AO5"/>
    <mergeCell ref="AP5:AR5"/>
    <mergeCell ref="AY5:B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C547-7208-4BEC-8F05-833C76D8CCBE}">
  <dimension ref="B3:K15"/>
  <sheetViews>
    <sheetView showGridLines="0" zoomScale="90" zoomScaleNormal="90" workbookViewId="0">
      <selection activeCell="G13" sqref="G13"/>
    </sheetView>
  </sheetViews>
  <sheetFormatPr baseColWidth="10" defaultRowHeight="14.4" x14ac:dyDescent="0.3"/>
  <cols>
    <col min="4" max="4" width="25" bestFit="1" customWidth="1"/>
    <col min="5" max="5" width="17.44140625" bestFit="1" customWidth="1"/>
    <col min="6" max="6" width="19.33203125" bestFit="1" customWidth="1"/>
    <col min="7" max="7" width="20.5546875" bestFit="1" customWidth="1"/>
    <col min="8" max="8" width="20.44140625" bestFit="1" customWidth="1"/>
    <col min="9" max="9" width="18.5546875" bestFit="1" customWidth="1"/>
    <col min="10" max="10" width="17" bestFit="1" customWidth="1"/>
    <col min="11" max="11" width="20.77734375" bestFit="1" customWidth="1"/>
  </cols>
  <sheetData>
    <row r="3" spans="2:11" x14ac:dyDescent="0.3">
      <c r="E3" s="47" t="s">
        <v>70</v>
      </c>
      <c r="F3" t="s">
        <v>72</v>
      </c>
      <c r="G3" t="s">
        <v>73</v>
      </c>
      <c r="H3" t="s">
        <v>74</v>
      </c>
      <c r="I3" t="s">
        <v>75</v>
      </c>
      <c r="J3" t="s">
        <v>76</v>
      </c>
      <c r="K3" t="s">
        <v>77</v>
      </c>
    </row>
    <row r="4" spans="2:11" x14ac:dyDescent="0.3">
      <c r="B4" s="50" t="b">
        <f t="shared" ref="B4:B14" si="0">C4=E4</f>
        <v>1</v>
      </c>
      <c r="C4" s="48">
        <v>10005721</v>
      </c>
      <c r="D4" s="51" t="s">
        <v>78</v>
      </c>
      <c r="E4" s="48">
        <v>10005721</v>
      </c>
      <c r="F4" s="49">
        <v>462.66600000000005</v>
      </c>
      <c r="G4" s="49">
        <v>896439.55843532027</v>
      </c>
      <c r="H4" s="49">
        <v>96160.501440000022</v>
      </c>
      <c r="I4" s="49">
        <v>20871.593188053608</v>
      </c>
      <c r="J4" s="49">
        <v>41030.015838050938</v>
      </c>
      <c r="K4" s="49">
        <v>32799.031780644036</v>
      </c>
    </row>
    <row r="5" spans="2:11" x14ac:dyDescent="0.3">
      <c r="B5" s="50" t="b">
        <f t="shared" si="0"/>
        <v>1</v>
      </c>
      <c r="C5" s="48">
        <v>10005779</v>
      </c>
      <c r="D5" s="52" t="s">
        <v>79</v>
      </c>
      <c r="E5" s="48">
        <v>10005779</v>
      </c>
      <c r="F5" s="49">
        <v>380.02</v>
      </c>
      <c r="G5" s="49">
        <v>602164.29513349757</v>
      </c>
      <c r="H5" s="49">
        <v>78983.356800000009</v>
      </c>
      <c r="I5" s="49">
        <v>17143.301741048901</v>
      </c>
      <c r="J5" s="49">
        <v>33700.826554741681</v>
      </c>
      <c r="K5" s="49">
        <v>26940.14268885188</v>
      </c>
    </row>
    <row r="6" spans="2:11" x14ac:dyDescent="0.3">
      <c r="B6" s="50" t="b">
        <f t="shared" si="0"/>
        <v>1</v>
      </c>
      <c r="C6" s="48">
        <v>10006719</v>
      </c>
      <c r="D6" s="52" t="s">
        <v>80</v>
      </c>
      <c r="E6" s="48">
        <v>10006719</v>
      </c>
      <c r="F6" s="49">
        <v>539.69400000000007</v>
      </c>
      <c r="G6" s="49">
        <v>990438.47061465192</v>
      </c>
      <c r="H6" s="49">
        <v>112170.00096000002</v>
      </c>
      <c r="I6" s="49">
        <v>24346.447791783718</v>
      </c>
      <c r="J6" s="49">
        <v>47860.991228447878</v>
      </c>
      <c r="K6" s="49">
        <v>38259.653092777306</v>
      </c>
    </row>
    <row r="7" spans="2:11" x14ac:dyDescent="0.3">
      <c r="B7" s="50" t="b">
        <f t="shared" si="0"/>
        <v>1</v>
      </c>
      <c r="C7" s="48">
        <v>10007050</v>
      </c>
      <c r="D7" s="52" t="s">
        <v>81</v>
      </c>
      <c r="E7" s="48">
        <v>10007050</v>
      </c>
      <c r="F7" s="49">
        <v>11.695</v>
      </c>
      <c r="G7" s="49">
        <v>16476.584061671652</v>
      </c>
      <c r="H7" s="49">
        <v>2430.6887999999999</v>
      </c>
      <c r="I7" s="49">
        <v>527.5799006935606</v>
      </c>
      <c r="J7" s="49">
        <v>1037.1326944837219</v>
      </c>
      <c r="K7" s="49">
        <v>829.07470329488649</v>
      </c>
    </row>
    <row r="8" spans="2:11" x14ac:dyDescent="0.3">
      <c r="B8" s="50" t="b">
        <f t="shared" si="0"/>
        <v>1</v>
      </c>
      <c r="C8" s="48">
        <v>10007162</v>
      </c>
      <c r="D8" s="52" t="s">
        <v>82</v>
      </c>
      <c r="E8" s="48">
        <v>10007162</v>
      </c>
      <c r="F8" s="49">
        <v>171</v>
      </c>
      <c r="G8" s="49">
        <v>290468.78063980752</v>
      </c>
      <c r="H8" s="49">
        <v>35540.639999999999</v>
      </c>
      <c r="I8" s="49">
        <v>7714.0797792730955</v>
      </c>
      <c r="J8" s="49">
        <v>15164.573814169853</v>
      </c>
      <c r="K8" s="49">
        <v>12122.426187552423</v>
      </c>
    </row>
    <row r="9" spans="2:11" x14ac:dyDescent="0.3">
      <c r="B9" s="50" t="b">
        <f t="shared" si="0"/>
        <v>1</v>
      </c>
      <c r="C9" s="48">
        <v>10007567</v>
      </c>
      <c r="D9" s="52" t="s">
        <v>83</v>
      </c>
      <c r="E9" s="48">
        <v>10007567</v>
      </c>
      <c r="F9" s="49">
        <v>108.54</v>
      </c>
      <c r="G9" s="49">
        <v>178219.50228893192</v>
      </c>
      <c r="H9" s="49">
        <v>22558.953600000001</v>
      </c>
      <c r="I9" s="49">
        <v>4896.4106388438713</v>
      </c>
      <c r="J9" s="49">
        <v>9625.5136946783405</v>
      </c>
      <c r="K9" s="49">
        <v>7694.5505169411699</v>
      </c>
    </row>
    <row r="10" spans="2:11" x14ac:dyDescent="0.3">
      <c r="B10" s="50" t="b">
        <f t="shared" si="0"/>
        <v>1</v>
      </c>
      <c r="C10" s="48">
        <v>10007969</v>
      </c>
      <c r="D10" s="52" t="s">
        <v>9</v>
      </c>
      <c r="E10" s="48">
        <v>10007969</v>
      </c>
      <c r="F10" s="49">
        <v>4.0199999999999996</v>
      </c>
      <c r="G10" s="49">
        <v>5361.2241350516451</v>
      </c>
      <c r="H10" s="49">
        <v>835.51679999999988</v>
      </c>
      <c r="I10" s="49">
        <v>181.34854217940261</v>
      </c>
      <c r="J10" s="49">
        <v>356.50050721030885</v>
      </c>
      <c r="K10" s="49">
        <v>284.98335247930254</v>
      </c>
    </row>
    <row r="11" spans="2:11" x14ac:dyDescent="0.3">
      <c r="B11" s="50" t="b">
        <f t="shared" si="0"/>
        <v>1</v>
      </c>
      <c r="C11" s="48">
        <v>10009239</v>
      </c>
      <c r="D11" s="52" t="s">
        <v>84</v>
      </c>
      <c r="E11" s="48">
        <v>10009239</v>
      </c>
      <c r="F11" s="49">
        <v>2.8</v>
      </c>
      <c r="G11" s="49">
        <v>8936.356305950434</v>
      </c>
      <c r="H11" s="49">
        <v>581.952</v>
      </c>
      <c r="I11" s="49">
        <v>126.31241743838989</v>
      </c>
      <c r="J11" s="49">
        <v>248.30881099225493</v>
      </c>
      <c r="K11" s="49">
        <v>198.49586739851918</v>
      </c>
    </row>
    <row r="12" spans="2:11" x14ac:dyDescent="0.3">
      <c r="B12" s="50" t="b">
        <f t="shared" si="0"/>
        <v>1</v>
      </c>
      <c r="C12" s="48">
        <v>10009334</v>
      </c>
      <c r="D12" s="52" t="s">
        <v>85</v>
      </c>
      <c r="E12" s="48">
        <v>10009334</v>
      </c>
      <c r="F12" s="49">
        <v>14.626000000000001</v>
      </c>
      <c r="G12" s="49">
        <v>40323.249854820511</v>
      </c>
      <c r="H12" s="49">
        <v>3039.8678399999999</v>
      </c>
      <c r="I12" s="49">
        <v>659.80193480496087</v>
      </c>
      <c r="J12" s="49">
        <v>1297.0588105616862</v>
      </c>
      <c r="K12" s="49">
        <v>1036.8573416324077</v>
      </c>
    </row>
    <row r="13" spans="2:11" x14ac:dyDescent="0.3">
      <c r="B13" s="50" t="b">
        <f t="shared" si="0"/>
        <v>1</v>
      </c>
      <c r="C13" s="48">
        <v>10009386</v>
      </c>
      <c r="D13" s="52" t="s">
        <v>86</v>
      </c>
      <c r="E13" s="48">
        <v>10009386</v>
      </c>
      <c r="F13" s="49">
        <v>20.7</v>
      </c>
      <c r="G13" s="49">
        <v>35191.789238302088</v>
      </c>
      <c r="H13" s="49">
        <v>4302.2879999999996</v>
      </c>
      <c r="I13" s="49">
        <v>933.80965749095378</v>
      </c>
      <c r="J13" s="49">
        <v>1835.7115669784562</v>
      </c>
      <c r="K13" s="49">
        <v>1467.451591124767</v>
      </c>
    </row>
    <row r="14" spans="2:11" x14ac:dyDescent="0.3">
      <c r="B14" s="50" t="b">
        <f t="shared" si="0"/>
        <v>0</v>
      </c>
      <c r="E14" s="48">
        <v>10009207</v>
      </c>
      <c r="F14" s="49">
        <v>26.12</v>
      </c>
      <c r="G14" s="49">
        <v>36066.947532236387</v>
      </c>
      <c r="H14" s="49">
        <v>5428.7808000000005</v>
      </c>
      <c r="I14" s="49">
        <v>1178.3144083895515</v>
      </c>
      <c r="J14" s="49">
        <v>2316.3664796848925</v>
      </c>
      <c r="K14" s="49">
        <v>1851.6828773033292</v>
      </c>
    </row>
    <row r="15" spans="2:11" x14ac:dyDescent="0.3">
      <c r="E15" s="48" t="s">
        <v>71</v>
      </c>
      <c r="F15" s="49">
        <v>1741.8809999999999</v>
      </c>
      <c r="G15" s="49">
        <v>3100086.7582402416</v>
      </c>
      <c r="H15" s="49">
        <v>362032.54704000009</v>
      </c>
      <c r="I15" s="49">
        <v>78579</v>
      </c>
      <c r="J15" s="49">
        <v>154473.00000000003</v>
      </c>
      <c r="K15" s="49">
        <v>123484.35000000003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3EBDA-4BB7-441D-B811-9860125D0EF0}">
  <dimension ref="B1:T59"/>
  <sheetViews>
    <sheetView topLeftCell="A2" zoomScale="80" zoomScaleNormal="80" workbookViewId="0">
      <selection activeCell="J2" sqref="J2:J51"/>
    </sheetView>
  </sheetViews>
  <sheetFormatPr baseColWidth="10" defaultRowHeight="14.4" x14ac:dyDescent="0.3"/>
  <cols>
    <col min="1" max="1" width="11.5546875" style="6"/>
    <col min="2" max="2" width="48.5546875" style="6" bestFit="1" customWidth="1"/>
    <col min="3" max="3" width="13.77734375" style="6" bestFit="1" customWidth="1"/>
    <col min="4" max="4" width="19.5546875" style="6" bestFit="1" customWidth="1"/>
    <col min="5" max="5" width="13.77734375" style="6" bestFit="1" customWidth="1"/>
    <col min="6" max="9" width="11.5546875" style="6"/>
    <col min="10" max="10" width="16" style="6" bestFit="1" customWidth="1"/>
    <col min="11" max="11" width="12.88671875" style="6" bestFit="1" customWidth="1"/>
    <col min="12" max="13" width="13.5546875" style="6" bestFit="1" customWidth="1"/>
    <col min="14" max="14" width="11.77734375" style="6" bestFit="1" customWidth="1"/>
    <col min="15" max="15" width="11.5546875" style="6"/>
    <col min="16" max="16" width="14.109375" style="6" bestFit="1" customWidth="1"/>
    <col min="17" max="17" width="13.77734375" style="6" bestFit="1" customWidth="1"/>
    <col min="18" max="18" width="11.5546875" style="6"/>
    <col min="19" max="19" width="17.33203125" style="6" bestFit="1" customWidth="1"/>
    <col min="20" max="20" width="23.33203125" style="6" bestFit="1" customWidth="1"/>
    <col min="21" max="16384" width="11.5546875" style="6"/>
  </cols>
  <sheetData>
    <row r="1" spans="2:20" ht="15" thickBot="1" x14ac:dyDescent="0.35">
      <c r="B1" s="2" t="s">
        <v>0</v>
      </c>
      <c r="C1" s="3" t="s">
        <v>52</v>
      </c>
      <c r="D1" s="4" t="s">
        <v>53</v>
      </c>
      <c r="E1" s="5" t="s">
        <v>54</v>
      </c>
      <c r="G1" s="22" t="s">
        <v>55</v>
      </c>
      <c r="H1" s="22" t="s">
        <v>56</v>
      </c>
      <c r="I1" s="22" t="s">
        <v>57</v>
      </c>
      <c r="J1" s="22" t="s">
        <v>58</v>
      </c>
      <c r="K1" s="23" t="s">
        <v>59</v>
      </c>
      <c r="L1" s="24" t="s">
        <v>60</v>
      </c>
      <c r="M1" s="24" t="s">
        <v>61</v>
      </c>
      <c r="N1" s="24" t="s">
        <v>62</v>
      </c>
      <c r="O1" s="24" t="s">
        <v>63</v>
      </c>
      <c r="P1" s="24" t="s">
        <v>64</v>
      </c>
      <c r="Q1" s="24" t="s">
        <v>65</v>
      </c>
      <c r="R1" s="25" t="s">
        <v>66</v>
      </c>
      <c r="S1" s="26" t="s">
        <v>67</v>
      </c>
      <c r="T1" s="26" t="s">
        <v>68</v>
      </c>
    </row>
    <row r="2" spans="2:20" ht="15.6" x14ac:dyDescent="0.3">
      <c r="B2" s="7" t="s">
        <v>1</v>
      </c>
      <c r="C2" s="17">
        <v>14400</v>
      </c>
      <c r="D2" s="18"/>
      <c r="E2" s="19">
        <v>14400</v>
      </c>
      <c r="G2" s="27">
        <v>10006719</v>
      </c>
      <c r="H2" s="28">
        <f>IFERROR(INDEX([1]Resumen!$K$3:$K$63,MATCH(G2,[1]Resumen!$C$3:$C$63,0)),0)*(1+I2*J2)/1000-51.89/1000</f>
        <v>1.8351852542638083</v>
      </c>
      <c r="I2" s="29">
        <v>0.71</v>
      </c>
      <c r="J2" s="30">
        <f t="shared" ref="J2:J33" si="0">$H$59</f>
        <v>-0.10285453744589619</v>
      </c>
      <c r="K2" s="31">
        <f t="shared" ref="K2:K33" si="1">IF(E2&lt;0,0,E2)/1000</f>
        <v>14.4</v>
      </c>
      <c r="L2" s="32">
        <f t="shared" ref="L2:L33" si="2">IFERROR(H2*K2,0)*1000</f>
        <v>26426.667661398842</v>
      </c>
      <c r="M2" s="33">
        <f t="shared" ref="M2:M33" si="3">207.84*K2</f>
        <v>2992.8960000000002</v>
      </c>
      <c r="N2" s="32">
        <f>$N$54/$K$52*K2</f>
        <v>649.60671825457655</v>
      </c>
      <c r="O2" s="32">
        <f>$O$54/$K$52*K2</f>
        <v>1277.0167422458826</v>
      </c>
      <c r="P2" s="32">
        <f>$P$54/$K$52*K2</f>
        <v>1020.8358894780988</v>
      </c>
      <c r="Q2" s="32">
        <v>0</v>
      </c>
      <c r="R2" s="34">
        <v>0</v>
      </c>
      <c r="S2" s="35">
        <f t="shared" ref="S2:S33" si="4">L2+M2+N2+O2</f>
        <v>31346.187121899304</v>
      </c>
      <c r="T2" s="35">
        <f t="shared" ref="T2:T10" si="5">IFERROR(S2/K2,0)</f>
        <v>2176.8185501318962</v>
      </c>
    </row>
    <row r="3" spans="2:20" ht="15.6" x14ac:dyDescent="0.3">
      <c r="B3" s="8" t="s">
        <v>2</v>
      </c>
      <c r="C3" s="17">
        <v>2520</v>
      </c>
      <c r="D3" s="18">
        <v>0</v>
      </c>
      <c r="E3" s="19">
        <v>2520</v>
      </c>
      <c r="G3" s="27">
        <v>10006719</v>
      </c>
      <c r="H3" s="28">
        <f>IFERROR(INDEX([1]Resumen!$K$3:$K$63,MATCH(G3,[1]Resumen!$C$3:$C$63,0)),0)*(1+I3*J3)/1000-51.89/1000</f>
        <v>1.8351852542638083</v>
      </c>
      <c r="I3" s="29">
        <v>0.71</v>
      </c>
      <c r="J3" s="30">
        <f t="shared" si="0"/>
        <v>-0.10285453744589619</v>
      </c>
      <c r="K3" s="31">
        <f t="shared" si="1"/>
        <v>2.52</v>
      </c>
      <c r="L3" s="32">
        <f t="shared" si="2"/>
        <v>4624.6668407447969</v>
      </c>
      <c r="M3" s="33">
        <f t="shared" si="3"/>
        <v>523.7568</v>
      </c>
      <c r="N3" s="32">
        <f>$N$54/$K$52*K3</f>
        <v>113.6811756945509</v>
      </c>
      <c r="O3" s="32">
        <f>$O$54/$K$52*K3</f>
        <v>223.47792989302945</v>
      </c>
      <c r="P3" s="32">
        <f>$P$54/$K$52*K3</f>
        <v>178.64628065866728</v>
      </c>
      <c r="Q3" s="32">
        <v>0</v>
      </c>
      <c r="R3" s="34">
        <v>0</v>
      </c>
      <c r="S3" s="35">
        <f t="shared" si="4"/>
        <v>5485.5827463323776</v>
      </c>
      <c r="T3" s="35">
        <f t="shared" si="5"/>
        <v>2176.8185501318958</v>
      </c>
    </row>
    <row r="4" spans="2:20" ht="15.6" x14ac:dyDescent="0.3">
      <c r="B4" s="8" t="s">
        <v>3</v>
      </c>
      <c r="C4" s="17">
        <v>29980</v>
      </c>
      <c r="D4" s="18">
        <v>27000</v>
      </c>
      <c r="E4" s="19">
        <v>2980</v>
      </c>
      <c r="G4" s="27">
        <v>10006719</v>
      </c>
      <c r="H4" s="28">
        <f>IFERROR(INDEX([1]Resumen!$K$3:$K$63,MATCH(G4,[1]Resumen!$C$3:$C$63,0)),0)*(1+I4*J4)/1000-51.89/1000</f>
        <v>1.8351852542638083</v>
      </c>
      <c r="I4" s="29">
        <v>0.71</v>
      </c>
      <c r="J4" s="30">
        <f t="shared" si="0"/>
        <v>-0.10285453744589619</v>
      </c>
      <c r="K4" s="31">
        <f t="shared" si="1"/>
        <v>2.98</v>
      </c>
      <c r="L4" s="32">
        <f t="shared" si="2"/>
        <v>5468.8520577061481</v>
      </c>
      <c r="M4" s="33">
        <f t="shared" si="3"/>
        <v>619.36320000000001</v>
      </c>
      <c r="N4" s="32">
        <f>$N$54/$K$52*K4</f>
        <v>134.43250141657211</v>
      </c>
      <c r="O4" s="32">
        <f>$O$54/$K$52*K4</f>
        <v>264.27152027032849</v>
      </c>
      <c r="P4" s="32">
        <f>$P$54/$K$52*K4</f>
        <v>211.25631601699544</v>
      </c>
      <c r="Q4" s="32">
        <v>0</v>
      </c>
      <c r="R4" s="34">
        <v>0</v>
      </c>
      <c r="S4" s="35">
        <f t="shared" si="4"/>
        <v>6486.9192793930488</v>
      </c>
      <c r="T4" s="35">
        <f t="shared" si="5"/>
        <v>2176.8185501318958</v>
      </c>
    </row>
    <row r="5" spans="2:20" ht="15.6" x14ac:dyDescent="0.3">
      <c r="B5" s="8" t="s">
        <v>4</v>
      </c>
      <c r="C5" s="17">
        <v>0</v>
      </c>
      <c r="D5" s="18"/>
      <c r="E5" s="19">
        <v>0</v>
      </c>
      <c r="G5" s="27">
        <v>10006719</v>
      </c>
      <c r="H5" s="28">
        <f>IFERROR(INDEX([1]Resumen!$K$3:$K$63,MATCH(G5,[1]Resumen!$C$3:$C$63,0)),0)*(1+I5*J5)/1000-51.89/1000</f>
        <v>1.8351852542638083</v>
      </c>
      <c r="I5" s="29">
        <v>0.71</v>
      </c>
      <c r="J5" s="30">
        <f t="shared" si="0"/>
        <v>-0.10285453744589619</v>
      </c>
      <c r="K5" s="31">
        <f t="shared" si="1"/>
        <v>0</v>
      </c>
      <c r="L5" s="32">
        <f t="shared" si="2"/>
        <v>0</v>
      </c>
      <c r="M5" s="33">
        <f t="shared" si="3"/>
        <v>0</v>
      </c>
      <c r="N5" s="32">
        <f>$N$54/$K$52*K5</f>
        <v>0</v>
      </c>
      <c r="O5" s="32">
        <f>$O$54/$K$52*K5</f>
        <v>0</v>
      </c>
      <c r="P5" s="32">
        <f>$P$54/$K$52*K5</f>
        <v>0</v>
      </c>
      <c r="Q5" s="32">
        <v>0</v>
      </c>
      <c r="R5" s="34">
        <v>0</v>
      </c>
      <c r="S5" s="35">
        <f t="shared" si="4"/>
        <v>0</v>
      </c>
      <c r="T5" s="35">
        <f t="shared" si="5"/>
        <v>0</v>
      </c>
    </row>
    <row r="6" spans="2:20" ht="15.6" x14ac:dyDescent="0.3">
      <c r="B6" s="8" t="s">
        <v>5</v>
      </c>
      <c r="C6" s="17">
        <v>1900</v>
      </c>
      <c r="D6" s="18">
        <v>1900</v>
      </c>
      <c r="E6" s="19">
        <v>0</v>
      </c>
      <c r="G6" s="27">
        <v>10006719</v>
      </c>
      <c r="H6" s="28">
        <f>IFERROR(INDEX([1]Resumen!$K$3:$K$63,MATCH(G6,[1]Resumen!$C$3:$C$63,0)),0)*(1+I6*J6)/1000-51.89/1000</f>
        <v>1.8351852542638083</v>
      </c>
      <c r="I6" s="29">
        <v>0.71</v>
      </c>
      <c r="J6" s="30">
        <f t="shared" si="0"/>
        <v>-0.10285453744589619</v>
      </c>
      <c r="K6" s="31">
        <f t="shared" si="1"/>
        <v>0</v>
      </c>
      <c r="L6" s="32">
        <f t="shared" si="2"/>
        <v>0</v>
      </c>
      <c r="M6" s="33">
        <f t="shared" si="3"/>
        <v>0</v>
      </c>
      <c r="N6" s="32">
        <f>$N$54/$K$52*K6</f>
        <v>0</v>
      </c>
      <c r="O6" s="32">
        <f>$O$54/$K$52*K6</f>
        <v>0</v>
      </c>
      <c r="P6" s="32">
        <f>$P$54/$K$52*K6</f>
        <v>0</v>
      </c>
      <c r="Q6" s="32">
        <v>0</v>
      </c>
      <c r="R6" s="34">
        <v>0</v>
      </c>
      <c r="S6" s="35">
        <f t="shared" si="4"/>
        <v>0</v>
      </c>
      <c r="T6" s="35">
        <f t="shared" si="5"/>
        <v>0</v>
      </c>
    </row>
    <row r="7" spans="2:20" ht="15.6" x14ac:dyDescent="0.3">
      <c r="B7" s="9" t="s">
        <v>6</v>
      </c>
      <c r="C7" s="17">
        <v>26420</v>
      </c>
      <c r="D7" s="18">
        <v>26420</v>
      </c>
      <c r="E7" s="19">
        <v>0</v>
      </c>
      <c r="G7" s="27">
        <v>10006719</v>
      </c>
      <c r="H7" s="28">
        <f>IFERROR(INDEX([1]Resumen!$K$3:$K$63,MATCH(G7,[1]Resumen!$C$3:$C$63,0)),0)*(1+I7*J7)/1000-51.89/1000</f>
        <v>1.8351852542638083</v>
      </c>
      <c r="I7" s="29">
        <v>0.71</v>
      </c>
      <c r="J7" s="30">
        <f t="shared" si="0"/>
        <v>-0.10285453744589619</v>
      </c>
      <c r="K7" s="31">
        <f t="shared" si="1"/>
        <v>0</v>
      </c>
      <c r="L7" s="32">
        <f t="shared" si="2"/>
        <v>0</v>
      </c>
      <c r="M7" s="33">
        <f t="shared" si="3"/>
        <v>0</v>
      </c>
      <c r="N7" s="32">
        <f>$N$54/$K$52*K7</f>
        <v>0</v>
      </c>
      <c r="O7" s="32">
        <f>$O$54/$K$52*K7</f>
        <v>0</v>
      </c>
      <c r="P7" s="32">
        <f>$P$54/$K$52*K7</f>
        <v>0</v>
      </c>
      <c r="Q7" s="32">
        <v>0</v>
      </c>
      <c r="R7" s="34">
        <v>0</v>
      </c>
      <c r="S7" s="35">
        <f t="shared" si="4"/>
        <v>0</v>
      </c>
      <c r="T7" s="35">
        <f t="shared" si="5"/>
        <v>0</v>
      </c>
    </row>
    <row r="8" spans="2:20" ht="15.6" x14ac:dyDescent="0.3">
      <c r="B8" s="8" t="s">
        <v>7</v>
      </c>
      <c r="C8" s="17">
        <v>120</v>
      </c>
      <c r="D8" s="18">
        <v>120</v>
      </c>
      <c r="E8" s="19">
        <v>0</v>
      </c>
      <c r="G8" s="27">
        <v>10006719</v>
      </c>
      <c r="H8" s="28">
        <f>IFERROR(INDEX([1]Resumen!$K$3:$K$63,MATCH(G8,[1]Resumen!$C$3:$C$63,0)),0)*(1+I8*J8)/1000-51.89/1000</f>
        <v>1.8351852542638083</v>
      </c>
      <c r="I8" s="29">
        <v>0.71</v>
      </c>
      <c r="J8" s="30">
        <f t="shared" si="0"/>
        <v>-0.10285453744589619</v>
      </c>
      <c r="K8" s="31">
        <f t="shared" si="1"/>
        <v>0</v>
      </c>
      <c r="L8" s="32">
        <f t="shared" si="2"/>
        <v>0</v>
      </c>
      <c r="M8" s="33">
        <f t="shared" si="3"/>
        <v>0</v>
      </c>
      <c r="N8" s="32">
        <f>$N$54/$K$52*K8</f>
        <v>0</v>
      </c>
      <c r="O8" s="32">
        <f>$O$54/$K$52*K8</f>
        <v>0</v>
      </c>
      <c r="P8" s="32">
        <f>$P$54/$K$52*K8</f>
        <v>0</v>
      </c>
      <c r="Q8" s="32">
        <v>0</v>
      </c>
      <c r="R8" s="34">
        <v>0</v>
      </c>
      <c r="S8" s="35">
        <f t="shared" si="4"/>
        <v>0</v>
      </c>
      <c r="T8" s="35">
        <f t="shared" si="5"/>
        <v>0</v>
      </c>
    </row>
    <row r="9" spans="2:20" ht="15.6" x14ac:dyDescent="0.3">
      <c r="B9" s="8" t="s">
        <v>8</v>
      </c>
      <c r="C9" s="17">
        <v>26120</v>
      </c>
      <c r="D9" s="18"/>
      <c r="E9" s="19">
        <v>26120</v>
      </c>
      <c r="G9" s="36">
        <v>10009207</v>
      </c>
      <c r="H9" s="28">
        <f>IFERROR(INDEX([1]Resumen!$K$3:$K$63,MATCH(G9,[1]Resumen!$C$3:$C$63,0)),0)*(1+I9*J9)/1000-51.89/1000</f>
        <v>1.3808172868390651</v>
      </c>
      <c r="I9" s="30">
        <v>0.71</v>
      </c>
      <c r="J9" s="30">
        <f t="shared" si="0"/>
        <v>-0.10285453744589619</v>
      </c>
      <c r="K9" s="31">
        <f t="shared" si="1"/>
        <v>26.12</v>
      </c>
      <c r="L9" s="32">
        <f t="shared" si="2"/>
        <v>36066.947532236387</v>
      </c>
      <c r="M9" s="33">
        <f t="shared" si="3"/>
        <v>5428.7808000000005</v>
      </c>
      <c r="N9" s="32">
        <f>$N$54/$K$52*K9</f>
        <v>1178.3144083895515</v>
      </c>
      <c r="O9" s="32">
        <f>$O$54/$K$52*K9</f>
        <v>2316.3664796848925</v>
      </c>
      <c r="P9" s="32">
        <f>$P$54/$K$52*K9</f>
        <v>1851.6828773033292</v>
      </c>
      <c r="Q9" s="32">
        <v>0</v>
      </c>
      <c r="R9" s="34">
        <v>0</v>
      </c>
      <c r="S9" s="35">
        <f t="shared" si="4"/>
        <v>44990.40922031083</v>
      </c>
      <c r="T9" s="35">
        <f t="shared" si="5"/>
        <v>1722.4505827071528</v>
      </c>
    </row>
    <row r="10" spans="2:20" ht="15.6" x14ac:dyDescent="0.3">
      <c r="B10" s="8" t="s">
        <v>9</v>
      </c>
      <c r="C10" s="17">
        <v>31020</v>
      </c>
      <c r="D10" s="18">
        <v>27000</v>
      </c>
      <c r="E10" s="19">
        <v>4020</v>
      </c>
      <c r="G10" s="36">
        <v>10007969</v>
      </c>
      <c r="H10" s="28">
        <f>IFERROR(INDEX([1]Resumen!$K$3:$K$63,MATCH(G10,[1]Resumen!$C$3:$C$63,0)),0)*(1+I10*J10)/1000-51.89/1000</f>
        <v>1.3336378445402104</v>
      </c>
      <c r="I10" s="30">
        <v>0.71</v>
      </c>
      <c r="J10" s="30">
        <f t="shared" si="0"/>
        <v>-0.10285453744589619</v>
      </c>
      <c r="K10" s="31">
        <f t="shared" si="1"/>
        <v>4.0199999999999996</v>
      </c>
      <c r="L10" s="32">
        <f t="shared" si="2"/>
        <v>5361.2241350516451</v>
      </c>
      <c r="M10" s="33">
        <f t="shared" si="3"/>
        <v>835.51679999999988</v>
      </c>
      <c r="N10" s="32">
        <f>$N$54/$K$52*K10</f>
        <v>181.34854217940261</v>
      </c>
      <c r="O10" s="32">
        <f>$O$54/$K$52*K10</f>
        <v>356.50050721030885</v>
      </c>
      <c r="P10" s="32">
        <f>$P$54/$K$52*K10</f>
        <v>284.98335247930254</v>
      </c>
      <c r="Q10" s="32">
        <v>0</v>
      </c>
      <c r="R10" s="34">
        <v>0</v>
      </c>
      <c r="S10" s="35">
        <f t="shared" si="4"/>
        <v>6734.5899844413561</v>
      </c>
      <c r="T10" s="35">
        <f t="shared" si="5"/>
        <v>1675.2711404082977</v>
      </c>
    </row>
    <row r="11" spans="2:20" ht="15.6" x14ac:dyDescent="0.3">
      <c r="B11" s="10" t="s">
        <v>10</v>
      </c>
      <c r="C11" s="17">
        <v>0</v>
      </c>
      <c r="D11" s="18"/>
      <c r="E11" s="19">
        <v>0</v>
      </c>
      <c r="G11" s="37">
        <v>10005721</v>
      </c>
      <c r="H11" s="28">
        <f>IFERROR(INDEX([1]Resumen!$K$3:$K$63,MATCH(G11,[1]Resumen!$C$3:$C$63,0)),0)*(1+I11*J11)/1000-51.89/1000</f>
        <v>1.9375522697481991</v>
      </c>
      <c r="I11" s="29">
        <v>0.67</v>
      </c>
      <c r="J11" s="30">
        <f t="shared" si="0"/>
        <v>-0.10285453744589619</v>
      </c>
      <c r="K11" s="31">
        <f t="shared" si="1"/>
        <v>0</v>
      </c>
      <c r="L11" s="32">
        <f t="shared" si="2"/>
        <v>0</v>
      </c>
      <c r="M11" s="33">
        <f t="shared" si="3"/>
        <v>0</v>
      </c>
      <c r="N11" s="32">
        <f>$N$54/$K$52*K11</f>
        <v>0</v>
      </c>
      <c r="O11" s="32">
        <f>$O$54/$K$52*K11</f>
        <v>0</v>
      </c>
      <c r="P11" s="32">
        <f>$P$54/$K$52*K11</f>
        <v>0</v>
      </c>
      <c r="Q11" s="32">
        <v>0</v>
      </c>
      <c r="R11" s="34">
        <v>0</v>
      </c>
      <c r="S11" s="35">
        <f t="shared" si="4"/>
        <v>0</v>
      </c>
      <c r="T11" s="35">
        <f>IFERROR(S11/K11,0)</f>
        <v>0</v>
      </c>
    </row>
    <row r="12" spans="2:20" ht="15.6" x14ac:dyDescent="0.3">
      <c r="B12" s="10" t="s">
        <v>11</v>
      </c>
      <c r="C12" s="17">
        <v>1760</v>
      </c>
      <c r="D12" s="18"/>
      <c r="E12" s="19">
        <v>1760</v>
      </c>
      <c r="G12" s="37">
        <v>10005721</v>
      </c>
      <c r="H12" s="28">
        <f>IFERROR(INDEX([1]Resumen!$K$3:$K$63,MATCH(G12,[1]Resumen!$C$3:$C$63,0)),0)*(1+I12*J12)/1000-51.89/1000</f>
        <v>1.9375522697481991</v>
      </c>
      <c r="I12" s="29">
        <v>0.67</v>
      </c>
      <c r="J12" s="30">
        <f t="shared" si="0"/>
        <v>-0.10285453744589619</v>
      </c>
      <c r="K12" s="31">
        <f t="shared" si="1"/>
        <v>1.76</v>
      </c>
      <c r="L12" s="32">
        <f t="shared" si="2"/>
        <v>3410.0919947568304</v>
      </c>
      <c r="M12" s="33">
        <f t="shared" si="3"/>
        <v>365.79840000000002</v>
      </c>
      <c r="N12" s="32">
        <f>$N$54/$K$52*K12</f>
        <v>79.396376675559353</v>
      </c>
      <c r="O12" s="32">
        <f>$O$54/$K$52*K12</f>
        <v>156.07982405227455</v>
      </c>
      <c r="P12" s="32">
        <f>$P$54/$K$52*K12</f>
        <v>124.76883093621207</v>
      </c>
      <c r="Q12" s="32">
        <v>0</v>
      </c>
      <c r="R12" s="34">
        <v>0</v>
      </c>
      <c r="S12" s="35">
        <f t="shared" si="4"/>
        <v>4011.3665954846642</v>
      </c>
      <c r="T12" s="35">
        <f>IFERROR(S12/K12,0)</f>
        <v>2279.1855656162866</v>
      </c>
    </row>
    <row r="13" spans="2:20" ht="15.6" x14ac:dyDescent="0.3">
      <c r="B13" s="10" t="s">
        <v>12</v>
      </c>
      <c r="C13" s="17">
        <v>0</v>
      </c>
      <c r="D13" s="18"/>
      <c r="E13" s="19">
        <v>0</v>
      </c>
      <c r="G13" s="37">
        <v>10005721</v>
      </c>
      <c r="H13" s="28">
        <f>IFERROR(INDEX([1]Resumen!$K$3:$K$63,MATCH(G13,[1]Resumen!$C$3:$C$63,0)),0)*(1+I13*J13)/1000-51.89/1000</f>
        <v>1.9375522697481991</v>
      </c>
      <c r="I13" s="29">
        <v>0.67</v>
      </c>
      <c r="J13" s="30">
        <f t="shared" si="0"/>
        <v>-0.10285453744589619</v>
      </c>
      <c r="K13" s="31">
        <f t="shared" si="1"/>
        <v>0</v>
      </c>
      <c r="L13" s="32">
        <f t="shared" si="2"/>
        <v>0</v>
      </c>
      <c r="M13" s="33">
        <f t="shared" si="3"/>
        <v>0</v>
      </c>
      <c r="N13" s="32">
        <f>$N$54/$K$52*K13</f>
        <v>0</v>
      </c>
      <c r="O13" s="32">
        <f>$O$54/$K$52*K13</f>
        <v>0</v>
      </c>
      <c r="P13" s="32">
        <f>$P$54/$K$52*K13</f>
        <v>0</v>
      </c>
      <c r="Q13" s="32">
        <v>0</v>
      </c>
      <c r="R13" s="34">
        <v>0</v>
      </c>
      <c r="S13" s="35">
        <f t="shared" si="4"/>
        <v>0</v>
      </c>
      <c r="T13" s="35">
        <f>IFERROR(S13/K13,0)</f>
        <v>0</v>
      </c>
    </row>
    <row r="14" spans="2:20" ht="15.6" x14ac:dyDescent="0.3">
      <c r="B14" s="10" t="s">
        <v>13</v>
      </c>
      <c r="C14" s="17">
        <v>19860</v>
      </c>
      <c r="D14" s="18"/>
      <c r="E14" s="19">
        <v>19860</v>
      </c>
      <c r="G14" s="37">
        <v>10005721</v>
      </c>
      <c r="H14" s="28">
        <f>IFERROR(INDEX([1]Resumen!$K$3:$K$63,MATCH(G14,[1]Resumen!$C$3:$C$63,0)),0)*(1+I14*J14)/1000-51.89/1000</f>
        <v>1.9375522697481991</v>
      </c>
      <c r="I14" s="29">
        <v>0.67</v>
      </c>
      <c r="J14" s="30">
        <f t="shared" si="0"/>
        <v>-0.10285453744589619</v>
      </c>
      <c r="K14" s="31">
        <f t="shared" si="1"/>
        <v>19.86</v>
      </c>
      <c r="L14" s="32">
        <f t="shared" si="2"/>
        <v>38479.788077199228</v>
      </c>
      <c r="M14" s="33">
        <f t="shared" si="3"/>
        <v>4127.7024000000001</v>
      </c>
      <c r="N14" s="32">
        <f>$N$54/$K$52*K14</f>
        <v>895.91593225943689</v>
      </c>
      <c r="O14" s="32">
        <f>$O$54/$K$52*K14</f>
        <v>1761.2189236807797</v>
      </c>
      <c r="P14" s="32">
        <f>$P$54/$K$52*K14</f>
        <v>1407.9028309052112</v>
      </c>
      <c r="Q14" s="32">
        <v>0</v>
      </c>
      <c r="R14" s="34">
        <v>0</v>
      </c>
      <c r="S14" s="35">
        <f t="shared" si="4"/>
        <v>45264.625333139447</v>
      </c>
      <c r="T14" s="35">
        <f>IFERROR(S14/K14,0)</f>
        <v>2279.1855656162866</v>
      </c>
    </row>
    <row r="15" spans="2:20" ht="15.6" x14ac:dyDescent="0.3">
      <c r="B15" s="8" t="s">
        <v>14</v>
      </c>
      <c r="C15" s="17">
        <v>1080</v>
      </c>
      <c r="D15" s="18"/>
      <c r="E15" s="19">
        <v>1080</v>
      </c>
      <c r="G15" s="37">
        <v>10005721</v>
      </c>
      <c r="H15" s="28">
        <f>IFERROR(INDEX([1]Resumen!$K$3:$K$63,MATCH(G15,[1]Resumen!$C$3:$C$63,0)),0)*(1+I15*J15)/1000-51.89/1000</f>
        <v>1.9375522697481991</v>
      </c>
      <c r="I15" s="29">
        <v>0.67</v>
      </c>
      <c r="J15" s="30">
        <f t="shared" si="0"/>
        <v>-0.10285453744589619</v>
      </c>
      <c r="K15" s="31">
        <f t="shared" si="1"/>
        <v>1.08</v>
      </c>
      <c r="L15" s="32">
        <f t="shared" si="2"/>
        <v>2092.5564513280551</v>
      </c>
      <c r="M15" s="33">
        <f t="shared" si="3"/>
        <v>224.46720000000002</v>
      </c>
      <c r="N15" s="32">
        <f>$N$54/$K$52*K15</f>
        <v>48.720503869093243</v>
      </c>
      <c r="O15" s="32">
        <f>$O$54/$K$52*K15</f>
        <v>95.776255668441195</v>
      </c>
      <c r="P15" s="32">
        <f>$P$54/$K$52*K15</f>
        <v>76.562691710857408</v>
      </c>
      <c r="Q15" s="32">
        <v>0</v>
      </c>
      <c r="R15" s="34">
        <v>0</v>
      </c>
      <c r="S15" s="35">
        <f t="shared" si="4"/>
        <v>2461.5204108655894</v>
      </c>
      <c r="T15" s="35">
        <f>IFERROR(S15/K15,0)</f>
        <v>2279.1855656162861</v>
      </c>
    </row>
    <row r="16" spans="2:20" ht="15.6" x14ac:dyDescent="0.3">
      <c r="B16" s="7" t="s">
        <v>15</v>
      </c>
      <c r="C16" s="17">
        <v>3080</v>
      </c>
      <c r="D16" s="18"/>
      <c r="E16" s="19">
        <v>3080</v>
      </c>
      <c r="G16" s="37">
        <v>10005721</v>
      </c>
      <c r="H16" s="28">
        <f>IFERROR(INDEX([1]Resumen!$K$3:$K$63,MATCH(G16,[1]Resumen!$C$3:$C$63,0)),0)*(1+I16*J16)/1000-51.89/1000</f>
        <v>1.9375522697481991</v>
      </c>
      <c r="I16" s="29">
        <v>0.67</v>
      </c>
      <c r="J16" s="30">
        <f t="shared" si="0"/>
        <v>-0.10285453744589619</v>
      </c>
      <c r="K16" s="31">
        <f t="shared" si="1"/>
        <v>3.08</v>
      </c>
      <c r="L16" s="32">
        <f t="shared" si="2"/>
        <v>5967.6609908244527</v>
      </c>
      <c r="M16" s="33">
        <f t="shared" si="3"/>
        <v>640.1472</v>
      </c>
      <c r="N16" s="32">
        <f>$N$54/$K$52*K16</f>
        <v>138.94365918222888</v>
      </c>
      <c r="O16" s="32">
        <f>$O$54/$K$52*K16</f>
        <v>273.13969209148047</v>
      </c>
      <c r="P16" s="32">
        <f>$P$54/$K$52*K16</f>
        <v>218.34545413837114</v>
      </c>
      <c r="Q16" s="32">
        <v>0</v>
      </c>
      <c r="R16" s="34">
        <v>0</v>
      </c>
      <c r="S16" s="35">
        <f t="shared" si="4"/>
        <v>7019.8915420981621</v>
      </c>
      <c r="T16" s="35">
        <f>IFERROR(S16/K16,0)</f>
        <v>2279.1855656162861</v>
      </c>
    </row>
    <row r="17" spans="2:20" ht="15.6" x14ac:dyDescent="0.3">
      <c r="B17" s="8" t="s">
        <v>16</v>
      </c>
      <c r="C17" s="17">
        <v>0</v>
      </c>
      <c r="D17" s="18"/>
      <c r="E17" s="19">
        <v>0</v>
      </c>
      <c r="G17" s="37">
        <v>10005721</v>
      </c>
      <c r="H17" s="28">
        <f>IFERROR(INDEX([1]Resumen!$K$3:$K$63,MATCH(G17,[1]Resumen!$C$3:$C$63,0)),0)*(1+I17*J17)/1000-51.89/1000</f>
        <v>1.9375522697481991</v>
      </c>
      <c r="I17" s="29">
        <v>0.67</v>
      </c>
      <c r="J17" s="30">
        <f t="shared" si="0"/>
        <v>-0.10285453744589619</v>
      </c>
      <c r="K17" s="31">
        <f t="shared" si="1"/>
        <v>0</v>
      </c>
      <c r="L17" s="32">
        <f t="shared" si="2"/>
        <v>0</v>
      </c>
      <c r="M17" s="33">
        <f t="shared" si="3"/>
        <v>0</v>
      </c>
      <c r="N17" s="32">
        <f>$N$54/$K$52*K17</f>
        <v>0</v>
      </c>
      <c r="O17" s="32">
        <f>$O$54/$K$52*K17</f>
        <v>0</v>
      </c>
      <c r="P17" s="32">
        <f>$P$54/$K$52*K17</f>
        <v>0</v>
      </c>
      <c r="Q17" s="32">
        <v>0</v>
      </c>
      <c r="R17" s="34">
        <v>0</v>
      </c>
      <c r="S17" s="35">
        <f t="shared" si="4"/>
        <v>0</v>
      </c>
      <c r="T17" s="35">
        <f>IFERROR(S17/K17,0)</f>
        <v>0</v>
      </c>
    </row>
    <row r="18" spans="2:20" ht="15.6" x14ac:dyDescent="0.3">
      <c r="B18" s="8" t="s">
        <v>17</v>
      </c>
      <c r="C18" s="17">
        <v>5300</v>
      </c>
      <c r="D18" s="18"/>
      <c r="E18" s="19">
        <v>5300</v>
      </c>
      <c r="G18" s="37">
        <v>10005721</v>
      </c>
      <c r="H18" s="28">
        <f>IFERROR(INDEX([1]Resumen!$K$3:$K$63,MATCH(G18,[1]Resumen!$C$3:$C$63,0)),0)*(1+I18*J18)/1000-51.89/1000</f>
        <v>1.9375522697481991</v>
      </c>
      <c r="I18" s="29">
        <v>0.67</v>
      </c>
      <c r="J18" s="30">
        <f t="shared" si="0"/>
        <v>-0.10285453744589619</v>
      </c>
      <c r="K18" s="31">
        <f t="shared" si="1"/>
        <v>5.3</v>
      </c>
      <c r="L18" s="32">
        <f t="shared" si="2"/>
        <v>10269.027029665456</v>
      </c>
      <c r="M18" s="33">
        <f t="shared" si="3"/>
        <v>1101.5519999999999</v>
      </c>
      <c r="N18" s="32">
        <f>$N$54/$K$52*K18</f>
        <v>239.09136157980942</v>
      </c>
      <c r="O18" s="32">
        <f>$O$54/$K$52*K18</f>
        <v>470.013106521054</v>
      </c>
      <c r="P18" s="32">
        <f>$P$54/$K$52*K18</f>
        <v>375.72432043291133</v>
      </c>
      <c r="Q18" s="32">
        <v>0</v>
      </c>
      <c r="R18" s="34">
        <v>0</v>
      </c>
      <c r="S18" s="35">
        <f t="shared" si="4"/>
        <v>12079.683497766318</v>
      </c>
      <c r="T18" s="35">
        <f>IFERROR(S18/K18,0)</f>
        <v>2279.1855656162866</v>
      </c>
    </row>
    <row r="19" spans="2:20" ht="15.6" x14ac:dyDescent="0.3">
      <c r="B19" s="8" t="s">
        <v>18</v>
      </c>
      <c r="C19" s="17">
        <v>13260</v>
      </c>
      <c r="D19" s="18">
        <v>380</v>
      </c>
      <c r="E19" s="19">
        <v>12880</v>
      </c>
      <c r="G19" s="37">
        <v>10005721</v>
      </c>
      <c r="H19" s="28">
        <f>IFERROR(INDEX([1]Resumen!$K$3:$K$63,MATCH(G19,[1]Resumen!$C$3:$C$63,0)),0)*(1+I19*J19)/1000-51.89/1000</f>
        <v>1.9375522697481991</v>
      </c>
      <c r="I19" s="29">
        <v>0.67</v>
      </c>
      <c r="J19" s="30">
        <f t="shared" si="0"/>
        <v>-0.10285453744589619</v>
      </c>
      <c r="K19" s="31">
        <f t="shared" si="1"/>
        <v>12.88</v>
      </c>
      <c r="L19" s="32">
        <f t="shared" si="2"/>
        <v>24955.673234356804</v>
      </c>
      <c r="M19" s="33">
        <f t="shared" si="3"/>
        <v>2676.9792000000002</v>
      </c>
      <c r="N19" s="32">
        <f>$N$54/$K$52*K19</f>
        <v>581.03712021659351</v>
      </c>
      <c r="O19" s="32">
        <f>$O$54/$K$52*K19</f>
        <v>1142.2205305643729</v>
      </c>
      <c r="P19" s="32">
        <f>$P$54/$K$52*K19</f>
        <v>913.08099003318841</v>
      </c>
      <c r="Q19" s="32">
        <v>0</v>
      </c>
      <c r="R19" s="34">
        <v>0</v>
      </c>
      <c r="S19" s="35">
        <f t="shared" si="4"/>
        <v>29355.910085137773</v>
      </c>
      <c r="T19" s="35">
        <f>IFERROR(S19/K19,0)</f>
        <v>2279.1855656162866</v>
      </c>
    </row>
    <row r="20" spans="2:20" ht="15.6" x14ac:dyDescent="0.3">
      <c r="B20" s="11" t="s">
        <v>19</v>
      </c>
      <c r="C20" s="17">
        <v>0</v>
      </c>
      <c r="D20" s="18"/>
      <c r="E20" s="19">
        <v>0</v>
      </c>
      <c r="G20" s="37">
        <v>10005721</v>
      </c>
      <c r="H20" s="28">
        <f>IFERROR(INDEX([1]Resumen!$K$3:$K$63,MATCH(G20,[1]Resumen!$C$3:$C$63,0)),0)*(1+I20*J20)/1000-51.89/1000</f>
        <v>1.9375522697481991</v>
      </c>
      <c r="I20" s="29">
        <v>0.67</v>
      </c>
      <c r="J20" s="30">
        <f t="shared" si="0"/>
        <v>-0.10285453744589619</v>
      </c>
      <c r="K20" s="31">
        <f t="shared" si="1"/>
        <v>0</v>
      </c>
      <c r="L20" s="32">
        <f t="shared" si="2"/>
        <v>0</v>
      </c>
      <c r="M20" s="33">
        <f t="shared" si="3"/>
        <v>0</v>
      </c>
      <c r="N20" s="32">
        <f>$N$54/$K$52*K20</f>
        <v>0</v>
      </c>
      <c r="O20" s="32">
        <f>$O$54/$K$52*K20</f>
        <v>0</v>
      </c>
      <c r="P20" s="32">
        <f>$P$54/$K$52*K20</f>
        <v>0</v>
      </c>
      <c r="Q20" s="32">
        <v>0</v>
      </c>
      <c r="R20" s="34">
        <v>0</v>
      </c>
      <c r="S20" s="35">
        <f t="shared" si="4"/>
        <v>0</v>
      </c>
      <c r="T20" s="35">
        <f>IFERROR(S20/K20,0)</f>
        <v>0</v>
      </c>
    </row>
    <row r="21" spans="2:20" ht="15.6" x14ac:dyDescent="0.3">
      <c r="B21" s="11" t="s">
        <v>20</v>
      </c>
      <c r="C21" s="17">
        <v>29720</v>
      </c>
      <c r="D21" s="18">
        <v>27000</v>
      </c>
      <c r="E21" s="19">
        <v>2720</v>
      </c>
      <c r="G21" s="37">
        <v>10005721</v>
      </c>
      <c r="H21" s="28">
        <f>IFERROR(INDEX([1]Resumen!$K$3:$K$63,MATCH(G21,[1]Resumen!$C$3:$C$63,0)),0)*(1+I21*J21)/1000-51.89/1000</f>
        <v>1.9375522697481991</v>
      </c>
      <c r="I21" s="29">
        <v>0.67</v>
      </c>
      <c r="J21" s="30">
        <f t="shared" si="0"/>
        <v>-0.10285453744589619</v>
      </c>
      <c r="K21" s="31">
        <f t="shared" si="1"/>
        <v>2.72</v>
      </c>
      <c r="L21" s="32">
        <f t="shared" si="2"/>
        <v>5270.1421737151013</v>
      </c>
      <c r="M21" s="33">
        <f t="shared" si="3"/>
        <v>565.3248000000001</v>
      </c>
      <c r="N21" s="32">
        <f>$N$54/$K$52*K21</f>
        <v>122.70349122586447</v>
      </c>
      <c r="O21" s="32">
        <f>$O$54/$K$52*K21</f>
        <v>241.2142735353334</v>
      </c>
      <c r="P21" s="32">
        <f>$P$54/$K$52*K21</f>
        <v>192.82455690141867</v>
      </c>
      <c r="Q21" s="32">
        <v>0</v>
      </c>
      <c r="R21" s="34">
        <v>0</v>
      </c>
      <c r="S21" s="35">
        <f t="shared" si="4"/>
        <v>6199.3847384762994</v>
      </c>
      <c r="T21" s="35">
        <f>IFERROR(S21/K21,0)</f>
        <v>2279.1855656162866</v>
      </c>
    </row>
    <row r="22" spans="2:20" ht="15.6" x14ac:dyDescent="0.3">
      <c r="B22" s="11" t="s">
        <v>21</v>
      </c>
      <c r="C22" s="17">
        <v>0</v>
      </c>
      <c r="D22" s="18">
        <v>0</v>
      </c>
      <c r="E22" s="19">
        <v>0</v>
      </c>
      <c r="G22" s="37">
        <v>10005721</v>
      </c>
      <c r="H22" s="28">
        <f>IFERROR(INDEX([1]Resumen!$K$3:$K$63,MATCH(G22,[1]Resumen!$C$3:$C$63,0)),0)*(1+I22*J22)/1000-51.89/1000</f>
        <v>1.9375522697481991</v>
      </c>
      <c r="I22" s="29">
        <v>0.67</v>
      </c>
      <c r="J22" s="30">
        <f t="shared" si="0"/>
        <v>-0.10285453744589619</v>
      </c>
      <c r="K22" s="31">
        <f t="shared" si="1"/>
        <v>0</v>
      </c>
      <c r="L22" s="32">
        <f t="shared" si="2"/>
        <v>0</v>
      </c>
      <c r="M22" s="33">
        <f t="shared" si="3"/>
        <v>0</v>
      </c>
      <c r="N22" s="32">
        <f>$N$54/$K$52*K22</f>
        <v>0</v>
      </c>
      <c r="O22" s="32">
        <f>$O$54/$K$52*K22</f>
        <v>0</v>
      </c>
      <c r="P22" s="32">
        <f>$P$54/$K$52*K22</f>
        <v>0</v>
      </c>
      <c r="Q22" s="32">
        <v>0</v>
      </c>
      <c r="R22" s="34">
        <v>0</v>
      </c>
      <c r="S22" s="35">
        <f t="shared" si="4"/>
        <v>0</v>
      </c>
      <c r="T22" s="35">
        <f>IFERROR(S22/K22,0)</f>
        <v>0</v>
      </c>
    </row>
    <row r="23" spans="2:20" ht="15.6" x14ac:dyDescent="0.3">
      <c r="B23" s="7" t="s">
        <v>22</v>
      </c>
      <c r="C23" s="17">
        <v>3200</v>
      </c>
      <c r="D23" s="18"/>
      <c r="E23" s="19">
        <v>3200</v>
      </c>
      <c r="G23" s="37">
        <v>10005721</v>
      </c>
      <c r="H23" s="28">
        <f>IFERROR(INDEX([1]Resumen!$K$3:$K$63,MATCH(G23,[1]Resumen!$C$3:$C$63,0)),0)*(1+I23*J23)/1000-51.89/1000</f>
        <v>1.9375522697481991</v>
      </c>
      <c r="I23" s="29">
        <v>0.67</v>
      </c>
      <c r="J23" s="30">
        <f t="shared" si="0"/>
        <v>-0.10285453744589619</v>
      </c>
      <c r="K23" s="31">
        <f t="shared" si="1"/>
        <v>3.2</v>
      </c>
      <c r="L23" s="32">
        <f t="shared" si="2"/>
        <v>6200.1672631942374</v>
      </c>
      <c r="M23" s="33">
        <f t="shared" si="3"/>
        <v>665.08800000000008</v>
      </c>
      <c r="N23" s="32">
        <f>$N$54/$K$52*K23</f>
        <v>144.35704850101703</v>
      </c>
      <c r="O23" s="32">
        <f>$O$54/$K$52*K23</f>
        <v>283.78149827686281</v>
      </c>
      <c r="P23" s="32">
        <f>$P$54/$K$52*K23</f>
        <v>226.85241988402197</v>
      </c>
      <c r="Q23" s="32">
        <v>0</v>
      </c>
      <c r="R23" s="34">
        <v>0</v>
      </c>
      <c r="S23" s="35">
        <f t="shared" si="4"/>
        <v>7293.3938099721172</v>
      </c>
      <c r="T23" s="35">
        <f>IFERROR(S23/K23,0)</f>
        <v>2279.1855656162866</v>
      </c>
    </row>
    <row r="24" spans="2:20" ht="15.6" x14ac:dyDescent="0.3">
      <c r="B24" s="12" t="s">
        <v>23</v>
      </c>
      <c r="C24" s="17">
        <v>130260</v>
      </c>
      <c r="D24" s="18"/>
      <c r="E24" s="19">
        <v>130260</v>
      </c>
      <c r="G24" s="38">
        <v>10005779</v>
      </c>
      <c r="H24" s="28">
        <f>IFERROR(INDEX([1]Resumen!$K$3:$K$63,MATCH(G24,[1]Resumen!$C$3:$C$63,0)),0)*(1+I24*J24)/1000-51.89/1000</f>
        <v>1.5845594840626747</v>
      </c>
      <c r="I24" s="29">
        <v>0.65</v>
      </c>
      <c r="J24" s="30">
        <f t="shared" si="0"/>
        <v>-0.10285453744589619</v>
      </c>
      <c r="K24" s="31">
        <f t="shared" si="1"/>
        <v>130.26</v>
      </c>
      <c r="L24" s="32">
        <f t="shared" si="2"/>
        <v>206404.71839400398</v>
      </c>
      <c r="M24" s="33">
        <f t="shared" si="3"/>
        <v>27073.238399999998</v>
      </c>
      <c r="N24" s="32">
        <f>$N$54/$K$52*K24</f>
        <v>5876.2341055445231</v>
      </c>
      <c r="O24" s="32">
        <f>$O$54/$K$52*K24</f>
        <v>11551.680614232546</v>
      </c>
      <c r="P24" s="32">
        <f>$P$54/$K$52*K24</f>
        <v>9234.311316903968</v>
      </c>
      <c r="Q24" s="32">
        <v>0</v>
      </c>
      <c r="R24" s="34">
        <v>0</v>
      </c>
      <c r="S24" s="35">
        <f t="shared" si="4"/>
        <v>250905.87151378105</v>
      </c>
      <c r="T24" s="35">
        <f>IFERROR(S24/K24,0)</f>
        <v>1926.1927799307621</v>
      </c>
    </row>
    <row r="25" spans="2:20" ht="15.6" x14ac:dyDescent="0.3">
      <c r="B25" s="8" t="s">
        <v>24</v>
      </c>
      <c r="C25" s="17">
        <v>40100</v>
      </c>
      <c r="D25" s="18"/>
      <c r="E25" s="19">
        <v>40100</v>
      </c>
      <c r="G25" s="38">
        <v>10005779</v>
      </c>
      <c r="H25" s="28">
        <f>IFERROR(INDEX([1]Resumen!$K$3:$K$63,MATCH(G25,[1]Resumen!$C$3:$C$63,0)),0)*(1+I25*J25)/1000-51.89/1000</f>
        <v>1.5845594840626747</v>
      </c>
      <c r="I25" s="29">
        <v>0.65</v>
      </c>
      <c r="J25" s="30">
        <f t="shared" si="0"/>
        <v>-0.10285453744589619</v>
      </c>
      <c r="K25" s="31">
        <f t="shared" si="1"/>
        <v>40.1</v>
      </c>
      <c r="L25" s="32">
        <f t="shared" si="2"/>
        <v>63540.835310913259</v>
      </c>
      <c r="M25" s="33">
        <f t="shared" si="3"/>
        <v>8334.384</v>
      </c>
      <c r="N25" s="32">
        <f>$N$54/$K$52*K25</f>
        <v>1808.9742640283696</v>
      </c>
      <c r="O25" s="32">
        <f>$O$54/$K$52*K25</f>
        <v>3556.136900281937</v>
      </c>
      <c r="P25" s="32">
        <f>$P$54/$K$52*K25</f>
        <v>2842.7443866716503</v>
      </c>
      <c r="Q25" s="32">
        <v>0</v>
      </c>
      <c r="R25" s="34">
        <v>0</v>
      </c>
      <c r="S25" s="35">
        <f t="shared" si="4"/>
        <v>77240.330475223571</v>
      </c>
      <c r="T25" s="35">
        <f>IFERROR(S25/K25,0)</f>
        <v>1926.1927799307623</v>
      </c>
    </row>
    <row r="26" spans="2:20" ht="15.6" x14ac:dyDescent="0.3">
      <c r="B26" s="8" t="s">
        <v>25</v>
      </c>
      <c r="C26" s="17">
        <v>1040</v>
      </c>
      <c r="D26" s="18"/>
      <c r="E26" s="19">
        <v>1040</v>
      </c>
      <c r="G26" s="38">
        <v>10005779</v>
      </c>
      <c r="H26" s="28">
        <f>IFERROR(INDEX([1]Resumen!$K$3:$K$63,MATCH(G26,[1]Resumen!$C$3:$C$63,0)),0)*(1+I26*J26)/1000-51.89/1000</f>
        <v>1.5845594840626747</v>
      </c>
      <c r="I26" s="29">
        <v>0.65</v>
      </c>
      <c r="J26" s="30">
        <f t="shared" si="0"/>
        <v>-0.10285453744589619</v>
      </c>
      <c r="K26" s="31">
        <f t="shared" si="1"/>
        <v>1.04</v>
      </c>
      <c r="L26" s="32">
        <f t="shared" si="2"/>
        <v>1647.9418634251817</v>
      </c>
      <c r="M26" s="33">
        <f t="shared" si="3"/>
        <v>216.15360000000001</v>
      </c>
      <c r="N26" s="32">
        <f>$N$54/$K$52*K26</f>
        <v>46.916040762830534</v>
      </c>
      <c r="O26" s="32">
        <f>$O$54/$K$52*K26</f>
        <v>92.228986939980416</v>
      </c>
      <c r="P26" s="32">
        <f>$P$54/$K$52*K26</f>
        <v>73.72703646230714</v>
      </c>
      <c r="Q26" s="32">
        <v>0</v>
      </c>
      <c r="R26" s="34">
        <v>0</v>
      </c>
      <c r="S26" s="35">
        <f t="shared" si="4"/>
        <v>2003.2404911279928</v>
      </c>
      <c r="T26" s="35">
        <f>IFERROR(S26/K26,0)</f>
        <v>1926.1927799307623</v>
      </c>
    </row>
    <row r="27" spans="2:20" ht="15.6" x14ac:dyDescent="0.3">
      <c r="B27" s="12" t="s">
        <v>26</v>
      </c>
      <c r="C27" s="17">
        <v>73120</v>
      </c>
      <c r="D27" s="18">
        <v>26000</v>
      </c>
      <c r="E27" s="19">
        <v>47120</v>
      </c>
      <c r="G27" s="38">
        <v>10005779</v>
      </c>
      <c r="H27" s="28">
        <f>IFERROR(INDEX([1]Resumen!$K$3:$K$63,MATCH(G27,[1]Resumen!$C$3:$C$63,0)),0)*(1+I27*J27)/1000-51.89/1000</f>
        <v>1.5845594840626747</v>
      </c>
      <c r="I27" s="29">
        <v>0.65</v>
      </c>
      <c r="J27" s="30">
        <f t="shared" si="0"/>
        <v>-0.10285453744589619</v>
      </c>
      <c r="K27" s="31">
        <f t="shared" si="1"/>
        <v>47.12</v>
      </c>
      <c r="L27" s="32">
        <f t="shared" si="2"/>
        <v>74664.44288903322</v>
      </c>
      <c r="M27" s="33">
        <f t="shared" si="3"/>
        <v>9793.4207999999999</v>
      </c>
      <c r="N27" s="32">
        <f>$N$54/$K$52*K27</f>
        <v>2125.6575391774754</v>
      </c>
      <c r="O27" s="32">
        <f>$O$54/$K$52*K27</f>
        <v>4178.6825621268044</v>
      </c>
      <c r="P27" s="32">
        <f>$P$54/$K$52*K27</f>
        <v>3340.4018827922232</v>
      </c>
      <c r="Q27" s="32">
        <v>0</v>
      </c>
      <c r="R27" s="34">
        <v>0</v>
      </c>
      <c r="S27" s="35">
        <f t="shared" si="4"/>
        <v>90762.203790337517</v>
      </c>
      <c r="T27" s="35">
        <f>IFERROR(S27/K27,0)</f>
        <v>1926.1927799307623</v>
      </c>
    </row>
    <row r="28" spans="2:20" ht="15.6" x14ac:dyDescent="0.3">
      <c r="B28" s="12" t="s">
        <v>27</v>
      </c>
      <c r="C28" s="17">
        <v>166620</v>
      </c>
      <c r="D28" s="18">
        <v>10000</v>
      </c>
      <c r="E28" s="19">
        <v>156620</v>
      </c>
      <c r="G28" s="38">
        <v>10005779</v>
      </c>
      <c r="H28" s="28">
        <f>IFERROR(INDEX([1]Resumen!$K$3:$K$63,MATCH(G28,[1]Resumen!$C$3:$C$63,0)),0)*(1+I28*J28)/1000-51.89/1000</f>
        <v>1.5845594840626747</v>
      </c>
      <c r="I28" s="29">
        <v>0.65</v>
      </c>
      <c r="J28" s="30">
        <f t="shared" si="0"/>
        <v>-0.10285453744589619</v>
      </c>
      <c r="K28" s="31">
        <f t="shared" si="1"/>
        <v>156.62</v>
      </c>
      <c r="L28" s="32">
        <f t="shared" si="2"/>
        <v>248173.70639389611</v>
      </c>
      <c r="M28" s="33">
        <f t="shared" si="3"/>
        <v>32551.900800000003</v>
      </c>
      <c r="N28" s="32">
        <f>$N$54/$K$52*K28</f>
        <v>7065.3752925716517</v>
      </c>
      <c r="O28" s="32">
        <f>$O$54/$K$52*K28</f>
        <v>13889.330706288203</v>
      </c>
      <c r="P28" s="32">
        <f>$P$54/$K$52*K28</f>
        <v>11103.0081256986</v>
      </c>
      <c r="Q28" s="32">
        <v>0</v>
      </c>
      <c r="R28" s="34">
        <v>0</v>
      </c>
      <c r="S28" s="35">
        <f t="shared" si="4"/>
        <v>301680.31319275597</v>
      </c>
      <c r="T28" s="35">
        <f>IFERROR(S28/K28,0)</f>
        <v>1926.1927799307621</v>
      </c>
    </row>
    <row r="29" spans="2:20" ht="15.6" x14ac:dyDescent="0.3">
      <c r="B29" s="12" t="s">
        <v>28</v>
      </c>
      <c r="C29" s="17">
        <v>4880</v>
      </c>
      <c r="D29" s="18"/>
      <c r="E29" s="19">
        <v>4880</v>
      </c>
      <c r="G29" s="38">
        <v>10005779</v>
      </c>
      <c r="H29" s="28">
        <f>IFERROR(INDEX([1]Resumen!$K$3:$K$63,MATCH(G29,[1]Resumen!$C$3:$C$63,0)),0)*(1+I29*J29)/1000-51.89/1000</f>
        <v>1.5845594840626747</v>
      </c>
      <c r="I29" s="29">
        <v>0.65</v>
      </c>
      <c r="J29" s="30">
        <f t="shared" si="0"/>
        <v>-0.10285453744589619</v>
      </c>
      <c r="K29" s="31">
        <f t="shared" si="1"/>
        <v>4.88</v>
      </c>
      <c r="L29" s="32">
        <f t="shared" si="2"/>
        <v>7732.6502822258517</v>
      </c>
      <c r="M29" s="33">
        <f t="shared" si="3"/>
        <v>1014.2592</v>
      </c>
      <c r="N29" s="32">
        <f>$N$54/$K$52*K29</f>
        <v>220.14449896405094</v>
      </c>
      <c r="O29" s="32">
        <f>$O$54/$K$52*K29</f>
        <v>432.76678487221574</v>
      </c>
      <c r="P29" s="32">
        <f>$P$54/$K$52*K29</f>
        <v>345.94994032313349</v>
      </c>
      <c r="Q29" s="32">
        <v>0</v>
      </c>
      <c r="R29" s="34">
        <v>0</v>
      </c>
      <c r="S29" s="35">
        <f t="shared" si="4"/>
        <v>9399.8207660621192</v>
      </c>
      <c r="T29" s="35">
        <f>IFERROR(S29/K29,0)</f>
        <v>1926.1927799307621</v>
      </c>
    </row>
    <row r="30" spans="2:20" ht="15.6" x14ac:dyDescent="0.3">
      <c r="B30" s="13" t="s">
        <v>29</v>
      </c>
      <c r="C30" s="17">
        <v>100840</v>
      </c>
      <c r="D30" s="18">
        <v>27000</v>
      </c>
      <c r="E30" s="19">
        <v>73840</v>
      </c>
      <c r="G30" s="39">
        <v>10007567</v>
      </c>
      <c r="H30" s="28">
        <f>IFERROR(INDEX([1]Resumen!$K$3:$K$63,MATCH(G30,[1]Resumen!$C$3:$C$63,0)),0)*(1+I30*J30)/1000-51.89/1000</f>
        <v>1.6419707231337011</v>
      </c>
      <c r="I30" s="29">
        <v>0.68</v>
      </c>
      <c r="J30" s="30">
        <f t="shared" si="0"/>
        <v>-0.10285453744589619</v>
      </c>
      <c r="K30" s="31">
        <f t="shared" si="1"/>
        <v>73.84</v>
      </c>
      <c r="L30" s="32">
        <f t="shared" si="2"/>
        <v>121243.1181961925</v>
      </c>
      <c r="M30" s="33">
        <f t="shared" si="3"/>
        <v>15346.905600000002</v>
      </c>
      <c r="N30" s="32">
        <f>$N$54/$K$52*K30</f>
        <v>3331.0388941609676</v>
      </c>
      <c r="O30" s="32">
        <f>$O$54/$K$52*K30</f>
        <v>6548.2580727386094</v>
      </c>
      <c r="P30" s="32">
        <f>$P$54/$K$52*K30</f>
        <v>5234.6195888238062</v>
      </c>
      <c r="Q30" s="32">
        <v>0</v>
      </c>
      <c r="R30" s="34">
        <v>0</v>
      </c>
      <c r="S30" s="35">
        <f t="shared" si="4"/>
        <v>146469.32076309211</v>
      </c>
      <c r="T30" s="35">
        <f>IFERROR(S30/K30,0)</f>
        <v>1983.6040190017891</v>
      </c>
    </row>
    <row r="31" spans="2:20" ht="15.6" x14ac:dyDescent="0.3">
      <c r="B31" s="13" t="s">
        <v>30</v>
      </c>
      <c r="C31" s="17">
        <v>34700</v>
      </c>
      <c r="D31" s="18"/>
      <c r="E31" s="19">
        <v>34700</v>
      </c>
      <c r="G31" s="39">
        <v>10007567</v>
      </c>
      <c r="H31" s="28">
        <f>IFERROR(INDEX([1]Resumen!$K$3:$K$63,MATCH(G31,[1]Resumen!$C$3:$C$63,0)),0)*(1+I31*J31)/1000-51.89/1000</f>
        <v>1.6419707231337011</v>
      </c>
      <c r="I31" s="29">
        <v>0.68</v>
      </c>
      <c r="J31" s="30">
        <f t="shared" si="0"/>
        <v>-0.10285453744589619</v>
      </c>
      <c r="K31" s="31">
        <f t="shared" si="1"/>
        <v>34.700000000000003</v>
      </c>
      <c r="L31" s="32">
        <f t="shared" si="2"/>
        <v>56976.384092739427</v>
      </c>
      <c r="M31" s="33">
        <f t="shared" si="3"/>
        <v>7212.0480000000007</v>
      </c>
      <c r="N31" s="32">
        <f>$N$54/$K$52*K31</f>
        <v>1565.3717446829035</v>
      </c>
      <c r="O31" s="32">
        <f>$O$54/$K$52*K31</f>
        <v>3077.2556219397311</v>
      </c>
      <c r="P31" s="32">
        <f>$P$54/$K$52*K31</f>
        <v>2459.9309281173632</v>
      </c>
      <c r="Q31" s="32">
        <v>0</v>
      </c>
      <c r="R31" s="34">
        <v>0</v>
      </c>
      <c r="S31" s="35">
        <f t="shared" si="4"/>
        <v>68831.059459362077</v>
      </c>
      <c r="T31" s="35">
        <f>IFERROR(S31/K31,0)</f>
        <v>1983.6040190017889</v>
      </c>
    </row>
    <row r="32" spans="2:20" ht="15.6" x14ac:dyDescent="0.3">
      <c r="B32" s="8" t="s">
        <v>31</v>
      </c>
      <c r="C32" s="17">
        <v>0</v>
      </c>
      <c r="D32" s="18"/>
      <c r="E32" s="19">
        <v>0</v>
      </c>
      <c r="G32" s="39">
        <v>10007162</v>
      </c>
      <c r="H32" s="28">
        <f>IFERROR(INDEX([1]Resumen!$K$3:$K$63,MATCH(G32,[1]Resumen!$C$3:$C$63,0)),0)*(1+I32*J32)/1000-51.89/1000</f>
        <v>1.6986478399988745</v>
      </c>
      <c r="I32" s="30">
        <v>0.68</v>
      </c>
      <c r="J32" s="30">
        <f t="shared" si="0"/>
        <v>-0.10285453744589619</v>
      </c>
      <c r="K32" s="31">
        <f t="shared" si="1"/>
        <v>0</v>
      </c>
      <c r="L32" s="32">
        <f t="shared" si="2"/>
        <v>0</v>
      </c>
      <c r="M32" s="33">
        <f t="shared" si="3"/>
        <v>0</v>
      </c>
      <c r="N32" s="32">
        <f>$N$54/$K$52*K32</f>
        <v>0</v>
      </c>
      <c r="O32" s="32">
        <f>$O$54/$K$52*K32</f>
        <v>0</v>
      </c>
      <c r="P32" s="32">
        <f>$P$54/$K$52*K32</f>
        <v>0</v>
      </c>
      <c r="Q32" s="32">
        <v>0</v>
      </c>
      <c r="R32" s="34">
        <v>0</v>
      </c>
      <c r="S32" s="35">
        <f t="shared" si="4"/>
        <v>0</v>
      </c>
      <c r="T32" s="35">
        <f>IFERROR(S32/K32,0)</f>
        <v>0</v>
      </c>
    </row>
    <row r="33" spans="2:20" ht="15.6" x14ac:dyDescent="0.3">
      <c r="B33" s="8" t="s">
        <v>32</v>
      </c>
      <c r="C33" s="17">
        <v>960</v>
      </c>
      <c r="D33" s="18">
        <v>960</v>
      </c>
      <c r="E33" s="19">
        <v>0</v>
      </c>
      <c r="G33" s="39">
        <v>10007162</v>
      </c>
      <c r="H33" s="28">
        <f>IFERROR(INDEX([1]Resumen!$K$3:$K$63,MATCH(G33,[1]Resumen!$C$3:$C$63,0)),0)*(1+I33*J33)/1000-51.89/1000</f>
        <v>1.6986478399988745</v>
      </c>
      <c r="I33" s="30">
        <v>0.68</v>
      </c>
      <c r="J33" s="30">
        <f t="shared" si="0"/>
        <v>-0.10285453744589619</v>
      </c>
      <c r="K33" s="31">
        <f t="shared" si="1"/>
        <v>0</v>
      </c>
      <c r="L33" s="32">
        <f t="shared" si="2"/>
        <v>0</v>
      </c>
      <c r="M33" s="33">
        <f t="shared" si="3"/>
        <v>0</v>
      </c>
      <c r="N33" s="32">
        <f>$N$54/$K$52*K33</f>
        <v>0</v>
      </c>
      <c r="O33" s="32">
        <f>$O$54/$K$52*K33</f>
        <v>0</v>
      </c>
      <c r="P33" s="32">
        <f>$P$54/$K$52*K33</f>
        <v>0</v>
      </c>
      <c r="Q33" s="32">
        <v>0</v>
      </c>
      <c r="R33" s="34">
        <v>0</v>
      </c>
      <c r="S33" s="35">
        <f t="shared" si="4"/>
        <v>0</v>
      </c>
      <c r="T33" s="35">
        <f>IFERROR(S33/K33,0)</f>
        <v>0</v>
      </c>
    </row>
    <row r="34" spans="2:20" ht="15.6" x14ac:dyDescent="0.3">
      <c r="B34" s="8" t="s">
        <v>33</v>
      </c>
      <c r="C34" s="17">
        <v>51340</v>
      </c>
      <c r="D34" s="18">
        <v>53040</v>
      </c>
      <c r="E34" s="20">
        <v>-1700</v>
      </c>
      <c r="G34" s="39">
        <v>10007162</v>
      </c>
      <c r="H34" s="28">
        <f>IFERROR(INDEX([1]Resumen!$K$3:$K$63,MATCH(G34,[1]Resumen!$C$3:$C$63,0)),0)*(1+I34*J34)/1000-51.89/1000</f>
        <v>1.6986478399988745</v>
      </c>
      <c r="I34" s="30">
        <v>0.68</v>
      </c>
      <c r="J34" s="30">
        <f t="shared" ref="J34:J51" si="6">$H$59</f>
        <v>-0.10285453744589619</v>
      </c>
      <c r="K34" s="31">
        <f t="shared" ref="K34:K51" si="7">IF(E34&lt;0,0,E34)/1000</f>
        <v>0</v>
      </c>
      <c r="L34" s="32">
        <f t="shared" ref="L34:L65" si="8">IFERROR(H34*K34,0)*1000</f>
        <v>0</v>
      </c>
      <c r="M34" s="33">
        <f t="shared" ref="M34:M51" si="9">207.84*K34</f>
        <v>0</v>
      </c>
      <c r="N34" s="32">
        <f>$N$54/$K$52*K34</f>
        <v>0</v>
      </c>
      <c r="O34" s="32">
        <f>$O$54/$K$52*K34</f>
        <v>0</v>
      </c>
      <c r="P34" s="32">
        <f>$P$54/$K$52*K34</f>
        <v>0</v>
      </c>
      <c r="Q34" s="32">
        <v>0</v>
      </c>
      <c r="R34" s="34">
        <v>0</v>
      </c>
      <c r="S34" s="35">
        <f t="shared" ref="S34:S51" si="10">L34+M34+N34+O34</f>
        <v>0</v>
      </c>
      <c r="T34" s="35">
        <f>IFERROR(S34/K34,0)</f>
        <v>0</v>
      </c>
    </row>
    <row r="35" spans="2:20" ht="15.6" x14ac:dyDescent="0.3">
      <c r="B35" s="8" t="s">
        <v>34</v>
      </c>
      <c r="C35" s="17">
        <v>118340</v>
      </c>
      <c r="D35" s="18">
        <v>136300</v>
      </c>
      <c r="E35" s="20">
        <v>-17960</v>
      </c>
      <c r="G35" s="39">
        <v>10007162</v>
      </c>
      <c r="H35" s="28">
        <f>IFERROR(INDEX([1]Resumen!$K$3:$K$63,MATCH(G35,[1]Resumen!$C$3:$C$63,0)),0)*(1+I35*J35)/1000-51.89/1000</f>
        <v>1.6986478399988745</v>
      </c>
      <c r="I35" s="30">
        <v>0.68</v>
      </c>
      <c r="J35" s="30">
        <f t="shared" si="6"/>
        <v>-0.10285453744589619</v>
      </c>
      <c r="K35" s="31">
        <f t="shared" si="7"/>
        <v>0</v>
      </c>
      <c r="L35" s="32">
        <f t="shared" si="8"/>
        <v>0</v>
      </c>
      <c r="M35" s="33">
        <f t="shared" si="9"/>
        <v>0</v>
      </c>
      <c r="N35" s="32">
        <f>$N$54/$K$52*K35</f>
        <v>0</v>
      </c>
      <c r="O35" s="32">
        <f>$O$54/$K$52*K35</f>
        <v>0</v>
      </c>
      <c r="P35" s="32">
        <f>$P$54/$K$52*K35</f>
        <v>0</v>
      </c>
      <c r="Q35" s="32">
        <v>0</v>
      </c>
      <c r="R35" s="34">
        <v>0</v>
      </c>
      <c r="S35" s="35">
        <f t="shared" si="10"/>
        <v>0</v>
      </c>
      <c r="T35" s="35">
        <f>IFERROR(S35/K35,0)</f>
        <v>0</v>
      </c>
    </row>
    <row r="36" spans="2:20" ht="15.6" x14ac:dyDescent="0.3">
      <c r="B36" s="14" t="s">
        <v>35</v>
      </c>
      <c r="C36" s="17">
        <v>340</v>
      </c>
      <c r="D36" s="18"/>
      <c r="E36" s="19">
        <v>340</v>
      </c>
      <c r="G36" s="39">
        <v>10007162</v>
      </c>
      <c r="H36" s="28">
        <f>IFERROR(INDEX([1]Resumen!$K$3:$K$63,MATCH(G36,[1]Resumen!$C$3:$C$63,0)),0)*(1+I36*J36)/1000-51.89/1000</f>
        <v>1.6986478399988745</v>
      </c>
      <c r="I36" s="30">
        <v>0.68</v>
      </c>
      <c r="J36" s="30">
        <f t="shared" si="6"/>
        <v>-0.10285453744589619</v>
      </c>
      <c r="K36" s="31">
        <f t="shared" si="7"/>
        <v>0.34</v>
      </c>
      <c r="L36" s="32">
        <f t="shared" si="8"/>
        <v>577.54026559961733</v>
      </c>
      <c r="M36" s="33">
        <f t="shared" si="9"/>
        <v>70.665600000000012</v>
      </c>
      <c r="N36" s="32">
        <f>$N$54/$K$52*K36</f>
        <v>15.337936403233059</v>
      </c>
      <c r="O36" s="32">
        <f>$O$54/$K$52*K36</f>
        <v>30.151784191916676</v>
      </c>
      <c r="P36" s="32">
        <f>$P$54/$K$52*K36</f>
        <v>24.103069612677334</v>
      </c>
      <c r="Q36" s="32">
        <v>0</v>
      </c>
      <c r="R36" s="34">
        <v>0</v>
      </c>
      <c r="S36" s="35">
        <f t="shared" si="10"/>
        <v>693.69558619476709</v>
      </c>
      <c r="T36" s="35">
        <f>IFERROR(S36/K36,0)</f>
        <v>2040.2811358669619</v>
      </c>
    </row>
    <row r="37" spans="2:20" ht="15.6" x14ac:dyDescent="0.3">
      <c r="B37" s="14" t="s">
        <v>36</v>
      </c>
      <c r="C37" s="17">
        <v>30700</v>
      </c>
      <c r="D37" s="18">
        <v>27000</v>
      </c>
      <c r="E37" s="19">
        <v>3700</v>
      </c>
      <c r="G37" s="39">
        <v>10007162</v>
      </c>
      <c r="H37" s="28">
        <f>IFERROR(INDEX([1]Resumen!$K$3:$K$63,MATCH(G37,[1]Resumen!$C$3:$C$63,0)),0)*(1+I37*J37)/1000-51.89/1000</f>
        <v>1.6986478399988745</v>
      </c>
      <c r="I37" s="30">
        <v>0.68</v>
      </c>
      <c r="J37" s="30">
        <f t="shared" si="6"/>
        <v>-0.10285453744589619</v>
      </c>
      <c r="K37" s="31">
        <f t="shared" si="7"/>
        <v>3.7</v>
      </c>
      <c r="L37" s="32">
        <f t="shared" si="8"/>
        <v>6284.9970079958357</v>
      </c>
      <c r="M37" s="33">
        <f t="shared" si="9"/>
        <v>769.00800000000004</v>
      </c>
      <c r="N37" s="32">
        <f>$N$54/$K$52*K37</f>
        <v>166.91283732930094</v>
      </c>
      <c r="O37" s="32">
        <f>$O$54/$K$52*K37</f>
        <v>328.12235738262262</v>
      </c>
      <c r="P37" s="32">
        <f>$P$54/$K$52*K37</f>
        <v>262.2981104909004</v>
      </c>
      <c r="Q37" s="32">
        <v>0</v>
      </c>
      <c r="R37" s="34">
        <v>0</v>
      </c>
      <c r="S37" s="35">
        <f t="shared" si="10"/>
        <v>7549.0402027077589</v>
      </c>
      <c r="T37" s="35">
        <f>IFERROR(S37/K37,0)</f>
        <v>2040.2811358669617</v>
      </c>
    </row>
    <row r="38" spans="2:20" ht="15.6" x14ac:dyDescent="0.3">
      <c r="B38" s="14" t="s">
        <v>37</v>
      </c>
      <c r="C38" s="17">
        <v>2680</v>
      </c>
      <c r="D38" s="18"/>
      <c r="E38" s="19">
        <v>2680</v>
      </c>
      <c r="G38" s="39">
        <v>10007162</v>
      </c>
      <c r="H38" s="28">
        <f>IFERROR(INDEX([1]Resumen!$K$3:$K$63,MATCH(G38,[1]Resumen!$C$3:$C$63,0)),0)*(1+I38*J38)/1000-51.89/1000</f>
        <v>1.6986478399988745</v>
      </c>
      <c r="I38" s="30">
        <v>0.68</v>
      </c>
      <c r="J38" s="30">
        <f t="shared" si="6"/>
        <v>-0.10285453744589619</v>
      </c>
      <c r="K38" s="31">
        <f t="shared" si="7"/>
        <v>2.68</v>
      </c>
      <c r="L38" s="32">
        <f t="shared" si="8"/>
        <v>4552.3762111969845</v>
      </c>
      <c r="M38" s="33">
        <f t="shared" si="9"/>
        <v>557.01120000000003</v>
      </c>
      <c r="N38" s="32">
        <f>$N$54/$K$52*K38</f>
        <v>120.89902811960175</v>
      </c>
      <c r="O38" s="32">
        <f>$O$54/$K$52*K38</f>
        <v>237.6670048068726</v>
      </c>
      <c r="P38" s="32">
        <f>$P$54/$K$52*K38</f>
        <v>189.98890165286838</v>
      </c>
      <c r="Q38" s="32">
        <v>0</v>
      </c>
      <c r="R38" s="34">
        <v>0</v>
      </c>
      <c r="S38" s="35">
        <f t="shared" si="10"/>
        <v>5467.9534441234591</v>
      </c>
      <c r="T38" s="35">
        <f>IFERROR(S38/K38,0)</f>
        <v>2040.2811358669621</v>
      </c>
    </row>
    <row r="39" spans="2:20" ht="15.6" x14ac:dyDescent="0.3">
      <c r="B39" s="14" t="s">
        <v>38</v>
      </c>
      <c r="C39" s="17">
        <v>32300</v>
      </c>
      <c r="D39" s="18"/>
      <c r="E39" s="19">
        <v>32300</v>
      </c>
      <c r="G39" s="39">
        <v>10007162</v>
      </c>
      <c r="H39" s="28">
        <f>IFERROR(INDEX([1]Resumen!$K$3:$K$63,MATCH(G39,[1]Resumen!$C$3:$C$63,0)),0)*(1+I39*J39)/1000-51.89/1000</f>
        <v>1.6986478399988745</v>
      </c>
      <c r="I39" s="30">
        <v>0.68</v>
      </c>
      <c r="J39" s="30">
        <f t="shared" si="6"/>
        <v>-0.10285453744589619</v>
      </c>
      <c r="K39" s="31">
        <f t="shared" si="7"/>
        <v>32.299999999999997</v>
      </c>
      <c r="L39" s="32">
        <f t="shared" si="8"/>
        <v>54866.325231963645</v>
      </c>
      <c r="M39" s="33">
        <f t="shared" si="9"/>
        <v>6713.232</v>
      </c>
      <c r="N39" s="32">
        <f>$N$54/$K$52*K39</f>
        <v>1457.1039583071404</v>
      </c>
      <c r="O39" s="32">
        <f>$O$54/$K$52*K39</f>
        <v>2864.4194982320837</v>
      </c>
      <c r="P39" s="32">
        <f>$P$54/$K$52*K39</f>
        <v>2289.7916132043465</v>
      </c>
      <c r="Q39" s="32">
        <v>0</v>
      </c>
      <c r="R39" s="34">
        <v>0</v>
      </c>
      <c r="S39" s="35">
        <f t="shared" si="10"/>
        <v>65901.080688502858</v>
      </c>
      <c r="T39" s="35">
        <f>IFERROR(S39/K39,0)</f>
        <v>2040.2811358669617</v>
      </c>
    </row>
    <row r="40" spans="2:20" ht="15.6" x14ac:dyDescent="0.3">
      <c r="B40" s="14" t="s">
        <v>39</v>
      </c>
      <c r="C40" s="17">
        <v>131980</v>
      </c>
      <c r="D40" s="18"/>
      <c r="E40" s="19">
        <v>131980</v>
      </c>
      <c r="G40" s="39">
        <v>10007162</v>
      </c>
      <c r="H40" s="28">
        <f>IFERROR(INDEX([1]Resumen!$K$3:$K$63,MATCH(G40,[1]Resumen!$C$3:$C$63,0)),0)*(1+I40*J40)/1000-51.89/1000</f>
        <v>1.6986478399988745</v>
      </c>
      <c r="I40" s="30">
        <v>0.68</v>
      </c>
      <c r="J40" s="30">
        <f t="shared" si="6"/>
        <v>-0.10285453744589619</v>
      </c>
      <c r="K40" s="31">
        <f t="shared" si="7"/>
        <v>131.97999999999999</v>
      </c>
      <c r="L40" s="32">
        <f t="shared" si="8"/>
        <v>224187.54192305144</v>
      </c>
      <c r="M40" s="33">
        <f t="shared" si="9"/>
        <v>27430.723199999997</v>
      </c>
      <c r="N40" s="32">
        <f>$N$54/$K$52*K40</f>
        <v>5953.8260191138197</v>
      </c>
      <c r="O40" s="32">
        <f>$O$54/$K$52*K40</f>
        <v>11704.213169556358</v>
      </c>
      <c r="P40" s="32">
        <f>$P$54/$K$52*K40</f>
        <v>9356.2444925916298</v>
      </c>
      <c r="Q40" s="32">
        <v>0</v>
      </c>
      <c r="R40" s="34">
        <v>0</v>
      </c>
      <c r="S40" s="35">
        <f t="shared" si="10"/>
        <v>269276.30431172164</v>
      </c>
      <c r="T40" s="35">
        <f>IFERROR(S40/K40,0)</f>
        <v>2040.2811358669621</v>
      </c>
    </row>
    <row r="41" spans="2:20" ht="15.6" x14ac:dyDescent="0.3">
      <c r="B41" s="14" t="s">
        <v>40</v>
      </c>
      <c r="C41" s="17">
        <v>20700</v>
      </c>
      <c r="D41" s="18"/>
      <c r="E41" s="19">
        <v>20700</v>
      </c>
      <c r="G41" s="40">
        <v>10009386</v>
      </c>
      <c r="H41" s="28">
        <f>IFERROR(INDEX([1]Resumen!$K$3:$K$63,MATCH(G41,[1]Resumen!$C$3:$C$63,0)),0)*(1+I41*J41)/1000-51.89/1000</f>
        <v>1.7000864366329511</v>
      </c>
      <c r="I41" s="30">
        <v>0.68</v>
      </c>
      <c r="J41" s="30">
        <f t="shared" si="6"/>
        <v>-0.10285453744589619</v>
      </c>
      <c r="K41" s="31">
        <f t="shared" si="7"/>
        <v>20.7</v>
      </c>
      <c r="L41" s="32">
        <f t="shared" si="8"/>
        <v>35191.789238302088</v>
      </c>
      <c r="M41" s="33">
        <f t="shared" si="9"/>
        <v>4302.2879999999996</v>
      </c>
      <c r="N41" s="32">
        <f>$N$54/$K$52*K41</f>
        <v>933.80965749095378</v>
      </c>
      <c r="O41" s="32">
        <f>$O$54/$K$52*K41</f>
        <v>1835.7115669784562</v>
      </c>
      <c r="P41" s="32">
        <f>$P$54/$K$52*K41</f>
        <v>1467.451591124767</v>
      </c>
      <c r="Q41" s="32">
        <v>0</v>
      </c>
      <c r="R41" s="34">
        <v>0</v>
      </c>
      <c r="S41" s="35">
        <f t="shared" si="10"/>
        <v>42263.598462771493</v>
      </c>
      <c r="T41" s="35">
        <f>IFERROR(S41/K41,0)</f>
        <v>2041.7197325010384</v>
      </c>
    </row>
    <row r="42" spans="2:20" ht="15.6" x14ac:dyDescent="0.3">
      <c r="B42" s="15" t="s">
        <v>41</v>
      </c>
      <c r="C42" s="17">
        <v>141360</v>
      </c>
      <c r="D42" s="18">
        <v>162000</v>
      </c>
      <c r="E42" s="20">
        <v>-20640</v>
      </c>
      <c r="G42" s="41">
        <v>10009239</v>
      </c>
      <c r="H42" s="28">
        <f>IFERROR(INDEX([1]Resumen!$K$3:$K$63,MATCH(G42,[1]Resumen!$C$3:$C$63,0)),0)*(1+I42*J42)/1000-51.89/1000</f>
        <v>3.1915558235537271</v>
      </c>
      <c r="I42" s="29">
        <v>0.56000000000000005</v>
      </c>
      <c r="J42" s="30">
        <f t="shared" si="6"/>
        <v>-0.10285453744589619</v>
      </c>
      <c r="K42" s="31">
        <f t="shared" si="7"/>
        <v>0</v>
      </c>
      <c r="L42" s="32">
        <f t="shared" si="8"/>
        <v>0</v>
      </c>
      <c r="M42" s="33">
        <f t="shared" si="9"/>
        <v>0</v>
      </c>
      <c r="N42" s="32">
        <f>$N$54/$K$52*K42</f>
        <v>0</v>
      </c>
      <c r="O42" s="32">
        <f>$O$54/$K$52*K42</f>
        <v>0</v>
      </c>
      <c r="P42" s="32">
        <f>$P$54/$K$52*K42</f>
        <v>0</v>
      </c>
      <c r="Q42" s="32">
        <v>0</v>
      </c>
      <c r="R42" s="34">
        <v>0</v>
      </c>
      <c r="S42" s="35">
        <f t="shared" si="10"/>
        <v>0</v>
      </c>
      <c r="T42" s="35">
        <f>IFERROR(S42/K42,0)</f>
        <v>0</v>
      </c>
    </row>
    <row r="43" spans="2:20" ht="15.6" x14ac:dyDescent="0.3">
      <c r="B43" s="15" t="s">
        <v>42</v>
      </c>
      <c r="C43" s="17">
        <v>2800</v>
      </c>
      <c r="D43" s="18"/>
      <c r="E43" s="19">
        <v>2800</v>
      </c>
      <c r="G43" s="41">
        <v>10009239</v>
      </c>
      <c r="H43" s="28">
        <f>IFERROR(INDEX([1]Resumen!$K$3:$K$63,MATCH(G43,[1]Resumen!$C$3:$C$63,0)),0)*(1+I43*J43)/1000-51.89/1000</f>
        <v>3.1915558235537271</v>
      </c>
      <c r="I43" s="29">
        <v>0.56000000000000005</v>
      </c>
      <c r="J43" s="30">
        <f t="shared" si="6"/>
        <v>-0.10285453744589619</v>
      </c>
      <c r="K43" s="31">
        <f t="shared" si="7"/>
        <v>2.8</v>
      </c>
      <c r="L43" s="32">
        <f t="shared" si="8"/>
        <v>8936.356305950434</v>
      </c>
      <c r="M43" s="33">
        <f t="shared" si="9"/>
        <v>581.952</v>
      </c>
      <c r="N43" s="32">
        <f>$N$54/$K$52*K43</f>
        <v>126.31241743838989</v>
      </c>
      <c r="O43" s="32">
        <f>$O$54/$K$52*K43</f>
        <v>248.30881099225493</v>
      </c>
      <c r="P43" s="32">
        <f>$P$54/$K$52*K43</f>
        <v>198.49586739851918</v>
      </c>
      <c r="Q43" s="32">
        <v>0</v>
      </c>
      <c r="R43" s="34">
        <v>0</v>
      </c>
      <c r="S43" s="35">
        <f t="shared" si="10"/>
        <v>9892.9295343810791</v>
      </c>
      <c r="T43" s="35">
        <f>IFERROR(S43/K43,0)</f>
        <v>3533.1891194218142</v>
      </c>
    </row>
    <row r="44" spans="2:20" ht="15.6" x14ac:dyDescent="0.3">
      <c r="B44" s="9" t="s">
        <v>43</v>
      </c>
      <c r="C44" s="17">
        <v>260</v>
      </c>
      <c r="D44" s="18">
        <v>260</v>
      </c>
      <c r="E44" s="19">
        <v>0</v>
      </c>
      <c r="G44" s="42">
        <v>10009334</v>
      </c>
      <c r="H44" s="28">
        <f>IFERROR(INDEX([1]Resumen!$K$3:$K$63,MATCH(G44,[1]Resumen!$C$3:$C$63,0)),0)*(1+I44*J44)/1000-51.89/1000</f>
        <v>2.7569567793532417</v>
      </c>
      <c r="I44" s="29">
        <v>0.68</v>
      </c>
      <c r="J44" s="30">
        <f t="shared" si="6"/>
        <v>-0.10285453744589619</v>
      </c>
      <c r="K44" s="31">
        <f t="shared" si="7"/>
        <v>0</v>
      </c>
      <c r="L44" s="32">
        <f t="shared" si="8"/>
        <v>0</v>
      </c>
      <c r="M44" s="33">
        <f t="shared" si="9"/>
        <v>0</v>
      </c>
      <c r="N44" s="32">
        <f>$N$54/$K$52*K44</f>
        <v>0</v>
      </c>
      <c r="O44" s="32">
        <f>$O$54/$K$52*K44</f>
        <v>0</v>
      </c>
      <c r="P44" s="32">
        <f>$P$54/$K$52*K44</f>
        <v>0</v>
      </c>
      <c r="Q44" s="32">
        <v>0</v>
      </c>
      <c r="R44" s="34">
        <v>0</v>
      </c>
      <c r="S44" s="35">
        <f t="shared" si="10"/>
        <v>0</v>
      </c>
      <c r="T44" s="35">
        <f>IFERROR(S44/K44,0)</f>
        <v>0</v>
      </c>
    </row>
    <row r="45" spans="2:20" ht="15.6" x14ac:dyDescent="0.3">
      <c r="B45" s="9" t="s">
        <v>44</v>
      </c>
      <c r="C45" s="17">
        <v>60956</v>
      </c>
      <c r="D45" s="18">
        <v>54000</v>
      </c>
      <c r="E45" s="19">
        <v>6956</v>
      </c>
      <c r="G45" s="42">
        <v>10009334</v>
      </c>
      <c r="H45" s="28">
        <f>IFERROR(INDEX([1]Resumen!$K$3:$K$63,MATCH(G45,[1]Resumen!$C$3:$C$63,0)),0)*(1+I45*J45)/1000-51.89/1000</f>
        <v>2.7569567793532417</v>
      </c>
      <c r="I45" s="29">
        <v>0.68</v>
      </c>
      <c r="J45" s="30">
        <f t="shared" si="6"/>
        <v>-0.10285453744589619</v>
      </c>
      <c r="K45" s="31">
        <f t="shared" si="7"/>
        <v>6.9560000000000004</v>
      </c>
      <c r="L45" s="32">
        <f t="shared" si="8"/>
        <v>19177.39135718115</v>
      </c>
      <c r="M45" s="33">
        <f t="shared" si="9"/>
        <v>1445.73504</v>
      </c>
      <c r="N45" s="32">
        <f>$N$54/$K$52*K45</f>
        <v>313.79613417908575</v>
      </c>
      <c r="O45" s="32">
        <f>$O$54/$K$52*K45</f>
        <v>616.87003187933055</v>
      </c>
      <c r="P45" s="32">
        <f>$P$54/$K$52*K45</f>
        <v>493.12044772289272</v>
      </c>
      <c r="Q45" s="32">
        <v>0</v>
      </c>
      <c r="R45" s="34">
        <v>0</v>
      </c>
      <c r="S45" s="35">
        <f t="shared" si="10"/>
        <v>21553.792563239567</v>
      </c>
      <c r="T45" s="35">
        <f>IFERROR(S45/K45,0)</f>
        <v>3098.5900752213292</v>
      </c>
    </row>
    <row r="46" spans="2:20" ht="15.6" x14ac:dyDescent="0.3">
      <c r="B46" s="9" t="s">
        <v>45</v>
      </c>
      <c r="C46" s="17">
        <v>7670</v>
      </c>
      <c r="D46" s="18"/>
      <c r="E46" s="19">
        <v>7670</v>
      </c>
      <c r="G46" s="42">
        <v>10009334</v>
      </c>
      <c r="H46" s="28">
        <f>IFERROR(INDEX([1]Resumen!$K$3:$K$63,MATCH(G46,[1]Resumen!$C$3:$C$63,0)),0)*(1+I46*J46)/1000-51.89/1000</f>
        <v>2.7569567793532417</v>
      </c>
      <c r="I46" s="29">
        <v>0.68</v>
      </c>
      <c r="J46" s="30">
        <f t="shared" si="6"/>
        <v>-0.10285453744589619</v>
      </c>
      <c r="K46" s="31">
        <f t="shared" si="7"/>
        <v>7.67</v>
      </c>
      <c r="L46" s="32">
        <f t="shared" si="8"/>
        <v>21145.858497639361</v>
      </c>
      <c r="M46" s="33">
        <f t="shared" si="9"/>
        <v>1594.1328000000001</v>
      </c>
      <c r="N46" s="32">
        <f>$N$54/$K$52*K46</f>
        <v>346.00580062587517</v>
      </c>
      <c r="O46" s="32">
        <f>$O$54/$K$52*K46</f>
        <v>680.18877868235552</v>
      </c>
      <c r="P46" s="32">
        <f>$P$54/$K$52*K46</f>
        <v>543.73689390951506</v>
      </c>
      <c r="Q46" s="32">
        <v>0</v>
      </c>
      <c r="R46" s="34">
        <v>0</v>
      </c>
      <c r="S46" s="35">
        <f t="shared" si="10"/>
        <v>23766.185876947595</v>
      </c>
      <c r="T46" s="35">
        <f>IFERROR(S46/K46,0)</f>
        <v>3098.5900752213292</v>
      </c>
    </row>
    <row r="47" spans="2:20" ht="15.6" x14ac:dyDescent="0.3">
      <c r="B47" s="8" t="s">
        <v>46</v>
      </c>
      <c r="C47" s="17">
        <v>35980</v>
      </c>
      <c r="D47" s="18">
        <v>27000</v>
      </c>
      <c r="E47" s="19">
        <v>8980</v>
      </c>
      <c r="G47" s="41">
        <v>10007050</v>
      </c>
      <c r="H47" s="28">
        <f>IFERROR(INDEX([1]Resumen!$K$3:$K$63,MATCH(G47,[1]Resumen!$C$3:$C$63,0)),0)*(1+I47*J47)/1000-51.89/1000</f>
        <v>1.4088571237000131</v>
      </c>
      <c r="I47" s="29">
        <v>0.68</v>
      </c>
      <c r="J47" s="30">
        <f t="shared" si="6"/>
        <v>-0.10285453744589619</v>
      </c>
      <c r="K47" s="31">
        <f t="shared" si="7"/>
        <v>8.98</v>
      </c>
      <c r="L47" s="32">
        <f t="shared" si="8"/>
        <v>12651.536970826119</v>
      </c>
      <c r="M47" s="33">
        <f t="shared" si="9"/>
        <v>1866.4032000000002</v>
      </c>
      <c r="N47" s="32">
        <f>$N$54/$K$52*K47</f>
        <v>405.10196735597901</v>
      </c>
      <c r="O47" s="32">
        <f>$O$54/$K$52*K47</f>
        <v>796.36182953944626</v>
      </c>
      <c r="P47" s="32">
        <f>$P$54/$K$52*K47</f>
        <v>636.60460329953662</v>
      </c>
      <c r="Q47" s="32">
        <v>0</v>
      </c>
      <c r="R47" s="34">
        <v>0</v>
      </c>
      <c r="S47" s="35">
        <f t="shared" si="10"/>
        <v>15719.403967721544</v>
      </c>
      <c r="T47" s="35">
        <f>IFERROR(S47/K47,0)</f>
        <v>1750.4904195681006</v>
      </c>
    </row>
    <row r="48" spans="2:20" ht="15.6" x14ac:dyDescent="0.3">
      <c r="B48" s="8" t="s">
        <v>47</v>
      </c>
      <c r="C48" s="17">
        <v>70280</v>
      </c>
      <c r="D48" s="18">
        <v>81000</v>
      </c>
      <c r="E48" s="20">
        <v>-10720</v>
      </c>
      <c r="G48" s="41">
        <v>10007050</v>
      </c>
      <c r="H48" s="28">
        <f>IFERROR(INDEX([1]Resumen!$K$3:$K$63,MATCH(G48,[1]Resumen!$C$3:$C$63,0)),0)*(1+I48*J48)/1000-51.89/1000</f>
        <v>1.4088571237000131</v>
      </c>
      <c r="I48" s="29">
        <v>0.68</v>
      </c>
      <c r="J48" s="30">
        <f t="shared" si="6"/>
        <v>-0.10285453744589619</v>
      </c>
      <c r="K48" s="31">
        <f t="shared" si="7"/>
        <v>0</v>
      </c>
      <c r="L48" s="32">
        <f t="shared" si="8"/>
        <v>0</v>
      </c>
      <c r="M48" s="33">
        <f t="shared" si="9"/>
        <v>0</v>
      </c>
      <c r="N48" s="32">
        <f>$N$54/$K$52*K48</f>
        <v>0</v>
      </c>
      <c r="O48" s="32">
        <f>$O$54/$K$52*K48</f>
        <v>0</v>
      </c>
      <c r="P48" s="32">
        <f>$P$54/$K$52*K48</f>
        <v>0</v>
      </c>
      <c r="Q48" s="32">
        <v>0</v>
      </c>
      <c r="R48" s="34">
        <v>0</v>
      </c>
      <c r="S48" s="35">
        <f t="shared" si="10"/>
        <v>0</v>
      </c>
      <c r="T48" s="35">
        <f>IFERROR(S48/K48,0)</f>
        <v>0</v>
      </c>
    </row>
    <row r="49" spans="2:20" ht="15.6" x14ac:dyDescent="0.3">
      <c r="B49" s="8" t="s">
        <v>48</v>
      </c>
      <c r="C49" s="17">
        <v>56715</v>
      </c>
      <c r="D49" s="18">
        <v>54000</v>
      </c>
      <c r="E49" s="19">
        <v>2715</v>
      </c>
      <c r="G49" s="41">
        <v>10007050</v>
      </c>
      <c r="H49" s="28">
        <f>IFERROR(INDEX([1]Resumen!$K$3:$K$63,MATCH(G49,[1]Resumen!$C$3:$C$63,0)),0)*(1+I49*J49)/1000-51.89/1000</f>
        <v>1.4088571237000131</v>
      </c>
      <c r="I49" s="29">
        <v>0.68</v>
      </c>
      <c r="J49" s="30">
        <f t="shared" si="6"/>
        <v>-0.10285453744589619</v>
      </c>
      <c r="K49" s="31">
        <f t="shared" si="7"/>
        <v>2.7149999999999999</v>
      </c>
      <c r="L49" s="32">
        <f t="shared" si="8"/>
        <v>3825.0470908455354</v>
      </c>
      <c r="M49" s="33">
        <f t="shared" si="9"/>
        <v>564.28559999999993</v>
      </c>
      <c r="N49" s="32">
        <f>$N$54/$K$52*K49</f>
        <v>122.47793333758162</v>
      </c>
      <c r="O49" s="32">
        <f>$O$54/$K$52*K49</f>
        <v>240.77086494427576</v>
      </c>
      <c r="P49" s="32">
        <f>$P$54/$K$52*K49</f>
        <v>192.47009999534987</v>
      </c>
      <c r="Q49" s="32">
        <v>0</v>
      </c>
      <c r="R49" s="34">
        <v>0</v>
      </c>
      <c r="S49" s="35">
        <f t="shared" si="10"/>
        <v>4752.5814891273931</v>
      </c>
      <c r="T49" s="35">
        <f>IFERROR(S49/K49,0)</f>
        <v>1750.4904195681006</v>
      </c>
    </row>
    <row r="50" spans="2:20" ht="15.6" x14ac:dyDescent="0.3">
      <c r="B50" s="8" t="s">
        <v>49</v>
      </c>
      <c r="C50" s="17">
        <v>375260</v>
      </c>
      <c r="D50" s="18"/>
      <c r="E50" s="19">
        <v>412786.00000000006</v>
      </c>
      <c r="G50" s="37">
        <v>10005721</v>
      </c>
      <c r="H50" s="28">
        <f>IFERROR(INDEX([1]Resumen!$K$3:$K$63,MATCH(G50,[1]Resumen!$C$3:$C$63,0)),0)*(1+I50*J50)/1000-51.89/1000</f>
        <v>1.9375522697481991</v>
      </c>
      <c r="I50" s="29">
        <v>0.67</v>
      </c>
      <c r="J50" s="30">
        <f t="shared" si="6"/>
        <v>-0.10285453744589619</v>
      </c>
      <c r="K50" s="31">
        <f t="shared" si="7"/>
        <v>412.78600000000006</v>
      </c>
      <c r="L50" s="32">
        <f t="shared" si="8"/>
        <v>799794.45122028014</v>
      </c>
      <c r="M50" s="33">
        <f t="shared" si="9"/>
        <v>85793.442240000019</v>
      </c>
      <c r="N50" s="32">
        <f>$N$54/$K$52*K50</f>
        <v>18621.427694544007</v>
      </c>
      <c r="O50" s="32">
        <f>$O$54/$K$52*K50</f>
        <v>36606.571733660341</v>
      </c>
      <c r="P50" s="32">
        <f>$P$54/$K$52*K50</f>
        <v>29262.969685701843</v>
      </c>
      <c r="Q50" s="32">
        <v>0</v>
      </c>
      <c r="R50" s="34">
        <v>0</v>
      </c>
      <c r="S50" s="35">
        <f t="shared" si="10"/>
        <v>940815.89288848441</v>
      </c>
      <c r="T50" s="35">
        <f>IFERROR(S50/K50,0)</f>
        <v>2279.1855656162861</v>
      </c>
    </row>
    <row r="51" spans="2:20" ht="16.2" thickBot="1" x14ac:dyDescent="0.35">
      <c r="B51" s="8" t="s">
        <v>50</v>
      </c>
      <c r="C51" s="17">
        <v>472540</v>
      </c>
      <c r="D51" s="18"/>
      <c r="E51" s="19">
        <v>519794.00000000006</v>
      </c>
      <c r="G51" s="27">
        <v>10006719</v>
      </c>
      <c r="H51" s="28">
        <f>IFERROR(INDEX([1]Resumen!$K$3:$K$63,MATCH(G51,[1]Resumen!$C$3:$C$63,0)),0)*(1+I51*J51)/1000-51.89/1000</f>
        <v>1.8351852542638083</v>
      </c>
      <c r="I51" s="29">
        <v>0.71</v>
      </c>
      <c r="J51" s="30">
        <f t="shared" si="6"/>
        <v>-0.10285453744589619</v>
      </c>
      <c r="K51" s="31">
        <f t="shared" si="7"/>
        <v>519.7940000000001</v>
      </c>
      <c r="L51" s="32">
        <f t="shared" si="8"/>
        <v>953918.28405480215</v>
      </c>
      <c r="M51" s="33">
        <f t="shared" si="9"/>
        <v>108033.98496000002</v>
      </c>
      <c r="N51" s="32">
        <f>$N$54/$K$52*K51</f>
        <v>23448.727396418017</v>
      </c>
      <c r="O51" s="32">
        <f>$O$54/$K$52*K51</f>
        <v>46096.225036038639</v>
      </c>
      <c r="P51" s="32">
        <f>$P$54/$K$52*K51</f>
        <v>36848.914606623541</v>
      </c>
      <c r="Q51" s="32">
        <v>0</v>
      </c>
      <c r="R51" s="34">
        <v>0</v>
      </c>
      <c r="S51" s="35">
        <f t="shared" si="10"/>
        <v>1131497.2214472587</v>
      </c>
      <c r="T51" s="35">
        <f>IFERROR(S51/K51,0)</f>
        <v>2176.8185501318953</v>
      </c>
    </row>
    <row r="52" spans="2:20" ht="15" thickBot="1" x14ac:dyDescent="0.35">
      <c r="B52" s="16" t="s">
        <v>51</v>
      </c>
      <c r="C52" s="17">
        <v>2374461</v>
      </c>
      <c r="D52" s="18">
        <v>768380</v>
      </c>
      <c r="E52" s="19">
        <v>1741881</v>
      </c>
      <c r="G52"/>
      <c r="H52"/>
      <c r="I52"/>
      <c r="J52"/>
      <c r="K52" s="43">
        <f>SUM(K2:K51)</f>
        <v>1741.8810000000001</v>
      </c>
      <c r="L52" s="44">
        <f>SUM(L2:L51)</f>
        <v>3100086.758240242</v>
      </c>
      <c r="M52" s="44">
        <f>SUM(M2:M51)</f>
        <v>362032.54704000003</v>
      </c>
      <c r="N52" s="44">
        <f>SUM(N2:N51)</f>
        <v>78579.000000000015</v>
      </c>
      <c r="O52" s="44">
        <f>SUM(O2:O51)</f>
        <v>154473</v>
      </c>
      <c r="P52" s="44">
        <f>SUM(P2:P51)</f>
        <v>123484.35000000002</v>
      </c>
      <c r="Q52" s="44">
        <f>SUM(Q2:Q51)</f>
        <v>0</v>
      </c>
      <c r="R52" s="45">
        <f>SUM(R2:R51)</f>
        <v>0</v>
      </c>
      <c r="S52" s="46">
        <f>SUM(S2:S51)</f>
        <v>3695171.3052802421</v>
      </c>
      <c r="T52" s="46">
        <f>IFERROR(S52/K52,0)</f>
        <v>2121.3683973131588</v>
      </c>
    </row>
    <row r="53" spans="2:20" ht="15" thickBot="1" x14ac:dyDescent="0.35"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2:20" ht="16.2" thickBot="1" x14ac:dyDescent="0.35">
      <c r="K54" s="1"/>
      <c r="L54"/>
      <c r="M54" t="s">
        <v>69</v>
      </c>
      <c r="N54" s="44">
        <v>78579.000000000015</v>
      </c>
      <c r="O54" s="44">
        <v>154473.00000000003</v>
      </c>
      <c r="P54" s="44">
        <v>123484.35000000002</v>
      </c>
      <c r="Q54"/>
      <c r="R54"/>
      <c r="S54"/>
      <c r="T54"/>
    </row>
    <row r="55" spans="2:20" x14ac:dyDescent="0.3">
      <c r="G55" s="6" t="s">
        <v>122</v>
      </c>
      <c r="H55" s="6">
        <v>3.52</v>
      </c>
    </row>
    <row r="56" spans="2:20" x14ac:dyDescent="0.3">
      <c r="G56" s="6" t="s">
        <v>123</v>
      </c>
      <c r="H56" s="6">
        <v>3.3010000000000002</v>
      </c>
      <c r="I56" s="6">
        <v>3644</v>
      </c>
      <c r="J56" s="134">
        <f>I56/$I$58</f>
        <v>0.72958795499139062</v>
      </c>
    </row>
    <row r="57" spans="2:20" x14ac:dyDescent="0.3">
      <c r="G57" s="6" t="s">
        <v>124</v>
      </c>
      <c r="H57" s="6">
        <v>2.7719999999999998</v>
      </c>
      <c r="I57" s="6">
        <f>2251*0.6</f>
        <v>1350.6</v>
      </c>
      <c r="J57" s="134">
        <f>I57/$I$58</f>
        <v>0.27041204500860927</v>
      </c>
    </row>
    <row r="58" spans="2:20" x14ac:dyDescent="0.3">
      <c r="G58" s="6" t="s">
        <v>125</v>
      </c>
      <c r="H58" s="148">
        <f>H56*J56+H57*J57</f>
        <v>3.1579520281904454</v>
      </c>
      <c r="I58" s="6">
        <f>I56+I57</f>
        <v>4994.6000000000004</v>
      </c>
    </row>
    <row r="59" spans="2:20" x14ac:dyDescent="0.3">
      <c r="G59" s="6" t="s">
        <v>126</v>
      </c>
      <c r="H59" s="134">
        <f>(H58-H55)/H55</f>
        <v>-0.10285453744589619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AL 20-7-2026</vt:lpstr>
      <vt:lpstr>TD</vt:lpstr>
      <vt:lpstr>Stock Libre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Jerecson Frank Ali Encalada (PFRO)</dc:creator>
  <cp:lastModifiedBy>Rodrigo Sebastian Martinez Montalvo (PFRO)</cp:lastModifiedBy>
  <dcterms:created xsi:type="dcterms:W3CDTF">2026-07-20T19:53:07Z</dcterms:created>
  <dcterms:modified xsi:type="dcterms:W3CDTF">2026-07-21T02:46:49Z</dcterms:modified>
</cp:coreProperties>
</file>