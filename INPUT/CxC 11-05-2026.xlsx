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D8728E14-14AA-48C1-8721-16C47C9B83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4" r:id="rId1"/>
    <sheet name="Hoja2" sheetId="3" state="hidden" r:id="rId2"/>
    <sheet name="DÍAS" sheetId="5" state="hidden" r:id="rId3"/>
    <sheet name="Data" sheetId="1" r:id="rId4"/>
  </sheets>
  <definedNames>
    <definedName name="_xlnm._FilterDatabase" localSheetId="3" hidden="1">Data!$A$1:$R$162</definedName>
  </definedNames>
  <calcPr calcId="191029" concurrentCalc="0"/>
  <pivotCaches>
    <pivotCache cacheId="8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2" i="1" l="1"/>
  <c r="N66" i="1"/>
  <c r="N58" i="1"/>
  <c r="N80" i="1"/>
  <c r="N82" i="1"/>
  <c r="N121" i="1"/>
  <c r="N137" i="1"/>
  <c r="N157" i="1"/>
  <c r="N158" i="1"/>
  <c r="N57" i="1"/>
  <c r="O105" i="1"/>
  <c r="O106" i="1"/>
  <c r="Q137" i="1"/>
  <c r="P137" i="1"/>
  <c r="O137" i="1"/>
  <c r="L137" i="1"/>
  <c r="P85" i="1"/>
  <c r="P86" i="1"/>
  <c r="P87" i="1"/>
  <c r="P88" i="1"/>
  <c r="P89" i="1"/>
  <c r="P90" i="1"/>
  <c r="P91" i="1"/>
  <c r="P84" i="1"/>
  <c r="O85" i="1"/>
  <c r="O86" i="1"/>
  <c r="O87" i="1"/>
  <c r="O88" i="1"/>
  <c r="O89" i="1"/>
  <c r="O90" i="1"/>
  <c r="O91" i="1"/>
  <c r="O84" i="1"/>
  <c r="P124" i="1"/>
  <c r="P125" i="1"/>
  <c r="P123" i="1"/>
  <c r="O124" i="1"/>
  <c r="O125" i="1"/>
  <c r="O123" i="1"/>
  <c r="P122" i="1"/>
  <c r="O122" i="1"/>
  <c r="P144" i="1"/>
  <c r="P143" i="1"/>
  <c r="P142" i="1"/>
  <c r="P141" i="1"/>
  <c r="P140" i="1"/>
  <c r="P139" i="1"/>
  <c r="P138" i="1"/>
  <c r="P133" i="1"/>
  <c r="P132" i="1"/>
  <c r="P120" i="1"/>
  <c r="P119" i="1"/>
  <c r="P118" i="1"/>
  <c r="P117" i="1"/>
  <c r="P116" i="1"/>
  <c r="P115" i="1"/>
  <c r="P114" i="1"/>
  <c r="P113" i="1"/>
  <c r="P102" i="1"/>
  <c r="P101" i="1"/>
  <c r="P100" i="1"/>
  <c r="P99" i="1"/>
  <c r="P98" i="1"/>
  <c r="P97" i="1"/>
  <c r="P96" i="1"/>
  <c r="P95" i="1"/>
  <c r="P94" i="1"/>
  <c r="P93" i="1"/>
  <c r="P92" i="1"/>
  <c r="P76" i="1"/>
  <c r="P75" i="1"/>
  <c r="P74" i="1"/>
  <c r="P73" i="1"/>
  <c r="P72" i="1"/>
  <c r="P71" i="1"/>
  <c r="P70" i="1"/>
  <c r="P69" i="1"/>
  <c r="P68" i="1"/>
  <c r="P67" i="1"/>
  <c r="P66" i="1"/>
  <c r="P6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44" i="1"/>
  <c r="O143" i="1"/>
  <c r="O142" i="1"/>
  <c r="O141" i="1"/>
  <c r="O140" i="1"/>
  <c r="O139" i="1"/>
  <c r="O138" i="1"/>
  <c r="O133" i="1"/>
  <c r="O132" i="1"/>
  <c r="O120" i="1"/>
  <c r="O119" i="1"/>
  <c r="O118" i="1"/>
  <c r="O117" i="1"/>
  <c r="O116" i="1"/>
  <c r="O115" i="1"/>
  <c r="O114" i="1"/>
  <c r="O113" i="1"/>
  <c r="O102" i="1"/>
  <c r="O101" i="1"/>
  <c r="O100" i="1"/>
  <c r="O99" i="1"/>
  <c r="O98" i="1"/>
  <c r="O97" i="1"/>
  <c r="O96" i="1"/>
  <c r="O95" i="1"/>
  <c r="O94" i="1"/>
  <c r="O93" i="1"/>
  <c r="O92" i="1"/>
  <c r="O76" i="1"/>
  <c r="O75" i="1"/>
  <c r="O74" i="1"/>
  <c r="O73" i="1"/>
  <c r="O72" i="1"/>
  <c r="O71" i="1"/>
  <c r="O70" i="1"/>
  <c r="O69" i="1"/>
  <c r="O68" i="1"/>
  <c r="O67" i="1"/>
  <c r="O66" i="1"/>
  <c r="O6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62" i="1"/>
  <c r="M161" i="1"/>
  <c r="M160" i="1"/>
  <c r="M159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36" i="1"/>
  <c r="M135" i="1"/>
  <c r="M134" i="1"/>
  <c r="M128" i="1"/>
  <c r="M127" i="1"/>
  <c r="M126" i="1"/>
  <c r="M108" i="1"/>
  <c r="M107" i="1"/>
  <c r="M106" i="1"/>
  <c r="M105" i="1"/>
  <c r="M104" i="1"/>
  <c r="M103" i="1"/>
  <c r="M83" i="1"/>
  <c r="M81" i="1"/>
  <c r="M79" i="1"/>
  <c r="M78" i="1"/>
  <c r="M77" i="1"/>
  <c r="M64" i="1"/>
  <c r="M63" i="1"/>
  <c r="M60" i="1"/>
  <c r="M59" i="1"/>
  <c r="M56" i="1"/>
  <c r="M55" i="1"/>
  <c r="M41" i="1"/>
  <c r="M40" i="1"/>
  <c r="M39" i="1"/>
  <c r="M38" i="1"/>
  <c r="M37" i="1"/>
  <c r="M36" i="1"/>
  <c r="O162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21" i="1"/>
  <c r="O107" i="1"/>
  <c r="O104" i="1"/>
  <c r="O103" i="1"/>
  <c r="O83" i="1"/>
  <c r="O81" i="1"/>
  <c r="O80" i="1"/>
  <c r="O79" i="1"/>
  <c r="O78" i="1"/>
  <c r="O58" i="1"/>
  <c r="O57" i="1"/>
  <c r="O56" i="1"/>
  <c r="O55" i="1"/>
  <c r="O40" i="1"/>
  <c r="O39" i="1"/>
  <c r="O38" i="1"/>
  <c r="O37" i="1"/>
  <c r="O36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36" i="1"/>
  <c r="P135" i="1"/>
  <c r="P134" i="1"/>
  <c r="P128" i="1"/>
  <c r="P127" i="1"/>
  <c r="P126" i="1"/>
  <c r="P121" i="1"/>
  <c r="P108" i="1"/>
  <c r="P107" i="1"/>
  <c r="P106" i="1"/>
  <c r="P105" i="1"/>
  <c r="P104" i="1"/>
  <c r="P103" i="1"/>
  <c r="P83" i="1"/>
  <c r="P82" i="1"/>
  <c r="P81" i="1"/>
  <c r="P80" i="1"/>
  <c r="P79" i="1"/>
  <c r="P78" i="1"/>
  <c r="P77" i="1"/>
  <c r="P64" i="1"/>
  <c r="P63" i="1"/>
  <c r="P62" i="1"/>
  <c r="P61" i="1"/>
  <c r="P60" i="1"/>
  <c r="P59" i="1"/>
  <c r="P58" i="1"/>
  <c r="P57" i="1"/>
  <c r="P56" i="1"/>
  <c r="P55" i="1"/>
  <c r="P41" i="1"/>
  <c r="P40" i="1"/>
  <c r="P39" i="1"/>
  <c r="P38" i="1"/>
  <c r="P37" i="1"/>
  <c r="P36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36" i="1"/>
  <c r="Q135" i="1"/>
  <c r="Q134" i="1"/>
  <c r="Q128" i="1"/>
  <c r="Q127" i="1"/>
  <c r="Q126" i="1"/>
  <c r="Q121" i="1"/>
  <c r="Q108" i="1"/>
  <c r="Q107" i="1"/>
  <c r="Q106" i="1"/>
  <c r="Q105" i="1"/>
  <c r="Q104" i="1"/>
  <c r="Q103" i="1"/>
  <c r="Q83" i="1"/>
  <c r="Q82" i="1"/>
  <c r="Q81" i="1"/>
  <c r="Q80" i="1"/>
  <c r="Q79" i="1"/>
  <c r="Q78" i="1"/>
  <c r="Q77" i="1"/>
  <c r="Q64" i="1"/>
  <c r="Q63" i="1"/>
  <c r="Q62" i="1"/>
  <c r="Q61" i="1"/>
  <c r="Q60" i="1"/>
  <c r="Q59" i="1"/>
  <c r="Q58" i="1"/>
  <c r="Q57" i="1"/>
  <c r="Q56" i="1"/>
  <c r="Q55" i="1"/>
  <c r="Q41" i="1"/>
  <c r="Q40" i="1"/>
  <c r="Q39" i="1"/>
  <c r="Q38" i="1"/>
  <c r="Q37" i="1"/>
  <c r="Q36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36" i="1"/>
  <c r="L135" i="1"/>
  <c r="L134" i="1"/>
  <c r="L128" i="1"/>
  <c r="L127" i="1"/>
  <c r="L126" i="1"/>
  <c r="L121" i="1"/>
  <c r="L108" i="1"/>
  <c r="L107" i="1"/>
  <c r="L106" i="1"/>
  <c r="L105" i="1"/>
  <c r="L104" i="1"/>
  <c r="L103" i="1"/>
  <c r="L83" i="1"/>
  <c r="L82" i="1"/>
  <c r="L81" i="1"/>
  <c r="L80" i="1"/>
  <c r="L79" i="1"/>
  <c r="L78" i="1"/>
  <c r="L77" i="1"/>
  <c r="L64" i="1"/>
  <c r="L63" i="1"/>
  <c r="L62" i="1"/>
  <c r="L61" i="1"/>
  <c r="L60" i="1"/>
  <c r="L59" i="1"/>
  <c r="L58" i="1"/>
  <c r="L57" i="1"/>
  <c r="L56" i="1"/>
  <c r="L55" i="1"/>
  <c r="L41" i="1"/>
  <c r="L40" i="1"/>
  <c r="L39" i="1"/>
  <c r="L38" i="1"/>
  <c r="L37" i="1"/>
  <c r="L36" i="1"/>
  <c r="P110" i="1"/>
  <c r="P111" i="1"/>
  <c r="P112" i="1"/>
  <c r="P109" i="1"/>
  <c r="O110" i="1"/>
  <c r="O111" i="1"/>
  <c r="O112" i="1"/>
  <c r="O109" i="1"/>
</calcChain>
</file>

<file path=xl/sharedStrings.xml><?xml version="1.0" encoding="utf-8"?>
<sst xmlns="http://schemas.openxmlformats.org/spreadsheetml/2006/main" count="1459" uniqueCount="591">
  <si>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</si>
  <si>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</si>
  <si>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</si>
  <si>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</si>
  <si>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</si>
  <si>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</si>
  <si>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</si>
  <si>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</si>
  <si>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</si>
  <si>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</si>
  <si>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</si>
  <si>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</si>
  <si>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</si>
  <si>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</si>
  <si>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</si>
  <si>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</si>
  <si>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</si>
  <si>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</si>
  <si>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</si>
  <si>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</si>
  <si>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</si>
  <si>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</si>
  <si>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</si>
  <si>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</si>
  <si>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</si>
  <si>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</si>
  <si>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</si>
  <si>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</si>
  <si>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</si>
  <si>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</si>
  <si>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</si>
  <si>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</si>
  <si>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</si>
  <si>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</si>
  <si>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</si>
  <si>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</si>
  <si>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</si>
  <si>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</si>
  <si>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</si>
  <si>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</si>
  <si>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</si>
  <si>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</si>
  <si>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</si>
  <si>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</si>
  <si>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</si>
  <si>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</si>
  <si>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</si>
  <si>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</si>
  <si>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</si>
  <si>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</si>
  <si>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</si>
  <si>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</si>
  <si>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</si>
  <si>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</si>
  <si>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</si>
  <si>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</si>
  <si>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</si>
  <si>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</si>
  <si>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</si>
  <si>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</si>
  <si>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</si>
  <si>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</si>
  <si>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</si>
  <si>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</si>
  <si>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1000013676</t>
  </si>
  <si>
    <t>CARLOS ALBERTO MARTINEZ QUEREVALU</t>
  </si>
  <si>
    <t>1200000692</t>
  </si>
  <si>
    <t>03-0B001-0004349</t>
  </si>
  <si>
    <t>DB</t>
  </si>
  <si>
    <t>CARLOS ALBERTO MARTINEZ QUEREVALU</t>
  </si>
  <si>
    <t>1200000693</t>
  </si>
  <si>
    <t>03-0B001-0004350</t>
  </si>
  <si>
    <t>CARLOS ALBERTO MARTINEZ QUEREVALU</t>
  </si>
  <si>
    <t>1200000983</t>
  </si>
  <si>
    <t>03-0B001-0004421</t>
  </si>
  <si>
    <t>CARLOS ALBERTO MARTINEZ QUEREVALU</t>
  </si>
  <si>
    <t>1200000984</t>
  </si>
  <si>
    <t>03-0B001-0004422</t>
  </si>
  <si>
    <t>CARLOS ALBERTO MARTINEZ QUEREVALU</t>
  </si>
  <si>
    <t>1200001340</t>
  </si>
  <si>
    <t>03-0B001-0004488</t>
  </si>
  <si>
    <t>CARLOS ALBERTO MARTINEZ QUEREVALU</t>
  </si>
  <si>
    <t>1200001341</t>
  </si>
  <si>
    <t>03-0B001-0004489</t>
  </si>
  <si>
    <t>CARLOS ALBERTO MARTINEZ QUEREVALU</t>
  </si>
  <si>
    <t>1200001444</t>
  </si>
  <si>
    <t>03-0B001-0004502</t>
  </si>
  <si>
    <t>CARLOS ALBERTO MARTINEZ QUEREVALU</t>
  </si>
  <si>
    <t>1200001445</t>
  </si>
  <si>
    <t>03-0B001-0004503</t>
  </si>
  <si>
    <t>SA</t>
  </si>
  <si>
    <t>USD</t>
  </si>
  <si>
    <t>1000013678</t>
  </si>
  <si>
    <t>CORPORACION NACIONAL PERU EXPORTACI</t>
  </si>
  <si>
    <t>1200000439</t>
  </si>
  <si>
    <t>01-0F101-0005458</t>
  </si>
  <si>
    <t>CORPORACION NACIONAL PERU EXPORTACI</t>
  </si>
  <si>
    <t>1200000453</t>
  </si>
  <si>
    <t>01-0F101-0005470</t>
  </si>
  <si>
    <t>CORPORACION NACIONAL PERU EXPORTACI</t>
  </si>
  <si>
    <t>1200000468</t>
  </si>
  <si>
    <t>01-0F101-0005482</t>
  </si>
  <si>
    <t>CORPORACION NACIONAL PERU EXPORTACI</t>
  </si>
  <si>
    <t>1200000582</t>
  </si>
  <si>
    <t>01-0F101-0005569</t>
  </si>
  <si>
    <t>CORPORACION NACIONAL PERU EXPORTACI</t>
  </si>
  <si>
    <t>1200000812</t>
  </si>
  <si>
    <t>01-0F101-0005730</t>
  </si>
  <si>
    <t>CORPORACION NACIONAL PERU EXPORTACI</t>
  </si>
  <si>
    <t>1200000824</t>
  </si>
  <si>
    <t>01-0F101-0005740</t>
  </si>
  <si>
    <t>CORPORACION NACIONAL PERU EXPORTACI</t>
  </si>
  <si>
    <t>1200001211</t>
  </si>
  <si>
    <t>01-0F101-0006016</t>
  </si>
  <si>
    <t>1000002057</t>
  </si>
  <si>
    <t>CRISTO DE LA VICTORIA S.A.C.</t>
  </si>
  <si>
    <t>1200001466</t>
  </si>
  <si>
    <t>01-0F101-0006193</t>
  </si>
  <si>
    <t>CRISTO DE LA VICTORIA S.A.C.</t>
  </si>
  <si>
    <t>1200001467</t>
  </si>
  <si>
    <t>01-0F101-0006194</t>
  </si>
  <si>
    <t>2000001381</t>
  </si>
  <si>
    <t>DAIRECK SA</t>
  </si>
  <si>
    <t>1200000638</t>
  </si>
  <si>
    <t>01-0F002-0000282</t>
  </si>
  <si>
    <t>DE</t>
  </si>
  <si>
    <t>DAIRECK SA</t>
  </si>
  <si>
    <t>1200000639</t>
  </si>
  <si>
    <t>01-0F002-0000283</t>
  </si>
  <si>
    <t>DAIRECK SA</t>
  </si>
  <si>
    <t>1200000641</t>
  </si>
  <si>
    <t>01-0F002-0000284</t>
  </si>
  <si>
    <t>DAIRECK SA</t>
  </si>
  <si>
    <t>1200000642</t>
  </si>
  <si>
    <t>01-0F002-0000285</t>
  </si>
  <si>
    <t>DAIRECK SA</t>
  </si>
  <si>
    <t>1200000643</t>
  </si>
  <si>
    <t>01-0F002-0000286</t>
  </si>
  <si>
    <t>DAIRECK SA</t>
  </si>
  <si>
    <t>1300002658</t>
  </si>
  <si>
    <t>FT-0F002-0000281</t>
  </si>
  <si>
    <t>ZV</t>
  </si>
  <si>
    <t>1000013754</t>
  </si>
  <si>
    <t>DZ</t>
  </si>
  <si>
    <t>ELMER SIXTO SOJO ACARO</t>
  </si>
  <si>
    <t>1200001352</t>
  </si>
  <si>
    <t>03-0B001-0004492</t>
  </si>
  <si>
    <t>ELMER SIXTO SOJO ACARO</t>
  </si>
  <si>
    <t>1200001353</t>
  </si>
  <si>
    <t>03-0B001-0004493</t>
  </si>
  <si>
    <t>ELMER SIXTO SOJO ACARO</t>
  </si>
  <si>
    <t>1200001400</t>
  </si>
  <si>
    <t>03-0B001-0004498</t>
  </si>
  <si>
    <t>ELMER SIXTO SOJO ACARO</t>
  </si>
  <si>
    <t>1200001401</t>
  </si>
  <si>
    <t>03-0B001-0004499</t>
  </si>
  <si>
    <t>ELMER SIXTO SOJO ACARO</t>
  </si>
  <si>
    <t>1200001417</t>
  </si>
  <si>
    <t>03-0B001-0004500</t>
  </si>
  <si>
    <t>ELMER SIXTO SOJO ACARO</t>
  </si>
  <si>
    <t>1200001418</t>
  </si>
  <si>
    <t>03-0B001-0004501</t>
  </si>
  <si>
    <t>ELMER SIXTO SOJO ACARO</t>
  </si>
  <si>
    <t>1200001452</t>
  </si>
  <si>
    <t>03-0B001-0004504</t>
  </si>
  <si>
    <t>ELMER SIXTO SOJO ACARO</t>
  </si>
  <si>
    <t>1200001453</t>
  </si>
  <si>
    <t>03-0B001-0004505</t>
  </si>
  <si>
    <t>ELMER SIXTO SOJO ACARO</t>
  </si>
  <si>
    <t>1200001456</t>
  </si>
  <si>
    <t>03-0B001-0004506</t>
  </si>
  <si>
    <t>ELMER SIXTO SOJO ACARO</t>
  </si>
  <si>
    <t>1200001494</t>
  </si>
  <si>
    <t>03-0B001-0004510</t>
  </si>
  <si>
    <t>ELMER SIXTO SOJO ACARO</t>
  </si>
  <si>
    <t>1200001495</t>
  </si>
  <si>
    <t>03-0B001-0004511</t>
  </si>
  <si>
    <t>ELMER SIXTO SOJO ACARO</t>
  </si>
  <si>
    <t>1200001511</t>
  </si>
  <si>
    <t>03-0B001-0004514</t>
  </si>
  <si>
    <t>ELMER SIXTO SOJO ACARO</t>
  </si>
  <si>
    <t>1200001512</t>
  </si>
  <si>
    <t>03-0B001-0004515</t>
  </si>
  <si>
    <t>2000001368</t>
  </si>
  <si>
    <t>FOOD &amp; BEVERAGES TRADERS, S.L.</t>
  </si>
  <si>
    <t>1200001322</t>
  </si>
  <si>
    <t>01-0F002-0000310</t>
  </si>
  <si>
    <t>FOOD &amp; BEVERAGES TRADERS, S.L.</t>
  </si>
  <si>
    <t>1200001323</t>
  </si>
  <si>
    <t>01-0F002-0000311</t>
  </si>
  <si>
    <t>FOOD &amp; BEVERAGES TRADERS, S.L.</t>
  </si>
  <si>
    <t>1300002697</t>
  </si>
  <si>
    <t>ANTICIPO FOOD&amp;BE</t>
  </si>
  <si>
    <t>2000001441</t>
  </si>
  <si>
    <t>Giant Ocean Food Company Limited</t>
  </si>
  <si>
    <t>1300002663</t>
  </si>
  <si>
    <t>ANTICIPO GIANT</t>
  </si>
  <si>
    <t>2000001361</t>
  </si>
  <si>
    <t>GLOBAL OCEAN FLEXTRADING, S. L</t>
  </si>
  <si>
    <t>GLOBAL OCEAN FLEXTRADING, S. L</t>
  </si>
  <si>
    <t>1200000957</t>
  </si>
  <si>
    <t>01-0F002-0000295</t>
  </si>
  <si>
    <t>GLOBAL OCEAN FLEXTRADING, S. L</t>
  </si>
  <si>
    <t>1200001071</t>
  </si>
  <si>
    <t>07-0F002-0000043</t>
  </si>
  <si>
    <t>DC</t>
  </si>
  <si>
    <t>2000001439</t>
  </si>
  <si>
    <t>GOLDEN SEAFOOD PTE. LTD.</t>
  </si>
  <si>
    <t>1300002659</t>
  </si>
  <si>
    <t>FT-0F002-0000312</t>
  </si>
  <si>
    <t>GOLDEN SEAFOOD PTE. LTD.</t>
  </si>
  <si>
    <t>1300002660</t>
  </si>
  <si>
    <t>FT-0F002-0000325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</si>
  <si>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</si>
  <si>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</si>
  <si>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</si>
  <si>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</si>
  <si>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</si>
  <si>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</si>
  <si>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</si>
  <si>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1000000875</t>
  </si>
  <si>
    <t>INVERSIONES JOCYMAS SOCIEDAD ANONIM</t>
  </si>
  <si>
    <t>1300002741</t>
  </si>
  <si>
    <t>FT-0F101-0005949</t>
  </si>
  <si>
    <t>1000015257</t>
  </si>
  <si>
    <t>INVERSIONES Y REPRESENTACIONES JELI</t>
  </si>
  <si>
    <t>1300002810</t>
  </si>
  <si>
    <t>AB JELILE</t>
  </si>
  <si>
    <t>1000006830</t>
  </si>
  <si>
    <t>JAHFISH E.I.R.L.</t>
  </si>
  <si>
    <t>1200001499</t>
  </si>
  <si>
    <t>01-0F101-0006222</t>
  </si>
  <si>
    <t>JAHFISH E.I.R.L.</t>
  </si>
  <si>
    <t>1200001500</t>
  </si>
  <si>
    <t>01-0F101-0006223</t>
  </si>
  <si>
    <t>JAHFISH E.I.R.L.</t>
  </si>
  <si>
    <t>1200001517</t>
  </si>
  <si>
    <t>01-0F101-0006236</t>
  </si>
  <si>
    <t>JAHFISH E.I.R.L.</t>
  </si>
  <si>
    <t>1200001518</t>
  </si>
  <si>
    <t>01-0F101-0006237</t>
  </si>
  <si>
    <t>JAHFISH E.I.R.L.</t>
  </si>
  <si>
    <t>1200001522</t>
  </si>
  <si>
    <t>01-0F101-0006241</t>
  </si>
  <si>
    <t>JAHFISH E.I.R.L.</t>
  </si>
  <si>
    <t>1200001523</t>
  </si>
  <si>
    <t>01-0F101-0006242</t>
  </si>
  <si>
    <t>JAHFISH E.I.R.L.</t>
  </si>
  <si>
    <t>1200001537</t>
  </si>
  <si>
    <t>01-0F101-0006253</t>
  </si>
  <si>
    <t>JAHFISH E.I.R.L.</t>
  </si>
  <si>
    <t>1200001538</t>
  </si>
  <si>
    <t>01-0F101-0006254</t>
  </si>
  <si>
    <t>JAHFISH E.I.R.L.</t>
  </si>
  <si>
    <t>1200001552</t>
  </si>
  <si>
    <t>01-0F101-0006266</t>
  </si>
  <si>
    <t>JAHFISH E.I.R.L.</t>
  </si>
  <si>
    <t>1200001553</t>
  </si>
  <si>
    <t>01-0F101-0006267</t>
  </si>
  <si>
    <t>2000001172</t>
  </si>
  <si>
    <t>KULALIA SL</t>
  </si>
  <si>
    <t>1300001584</t>
  </si>
  <si>
    <t>FT-0F002-0000264</t>
  </si>
  <si>
    <t>KULALIA SL</t>
  </si>
  <si>
    <t>1200000623</t>
  </si>
  <si>
    <t>01-0F002-0000275</t>
  </si>
  <si>
    <t>KULALIA SL</t>
  </si>
  <si>
    <t>1200000754</t>
  </si>
  <si>
    <t>01-0F002-0000289</t>
  </si>
  <si>
    <t>KULALIA SL</t>
  </si>
  <si>
    <t>1300002695</t>
  </si>
  <si>
    <t>ANTICIPO KULALIA</t>
  </si>
  <si>
    <t>2000000231</t>
  </si>
  <si>
    <t>LONGKOU JIABAO AQUATIC FOODSTUFFS</t>
  </si>
  <si>
    <t>LONGKOU JIABAO AQUATIC FOODSTUFFS</t>
  </si>
  <si>
    <t>1200001281</t>
  </si>
  <si>
    <t>01-0F002-0000307</t>
  </si>
  <si>
    <t>2000001409</t>
  </si>
  <si>
    <t>Longkou Yunfeng Aquatic Food Co.,Lt</t>
  </si>
  <si>
    <t>1300002664</t>
  </si>
  <si>
    <t>SALDO A FAVOR</t>
  </si>
  <si>
    <t>Longkou Yunfeng Aquatic Food Co.,Lt</t>
  </si>
  <si>
    <t>1200001360</t>
  </si>
  <si>
    <t>01-0F002-0000319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</si>
  <si>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</si>
  <si>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</si>
  <si>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</si>
  <si>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</si>
  <si>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</si>
  <si>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</si>
  <si>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</si>
  <si>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</si>
  <si>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</si>
  <si>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</si>
  <si>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</si>
  <si>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</si>
  <si>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</si>
  <si>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</si>
  <si>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</si>
  <si>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</si>
  <si>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</si>
  <si>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</si>
  <si>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</si>
  <si>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</si>
  <si>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</si>
  <si>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</si>
  <si>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</si>
  <si>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</si>
  <si>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</si>
  <si>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6001105</t>
  </si>
  <si>
    <t>NEGOCIOS PESQUEROS AARON EIRL</t>
  </si>
  <si>
    <t>1200001299</t>
  </si>
  <si>
    <t>01-0F101-0006072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</si>
  <si>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</si>
  <si>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</si>
  <si>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</si>
  <si>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</si>
  <si>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</si>
  <si>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</si>
  <si>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</si>
  <si>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</si>
  <si>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</si>
  <si>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</si>
  <si>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1200001388</t>
  </si>
  <si>
    <t>01-0F101-0006128</t>
  </si>
  <si>
    <t>NEGOCIOS PESQUEROS AARON EIRL</t>
  </si>
  <si>
    <t>1200001389</t>
  </si>
  <si>
    <t>01-0F101-0006129</t>
  </si>
  <si>
    <t>NEGOCIOS PESQUEROS AARON EIRL</t>
  </si>
  <si>
    <t>1200001474</t>
  </si>
  <si>
    <t>01-0F101-0006201</t>
  </si>
  <si>
    <t>NEGOCIOS PESQUEROS AARON EIRL</t>
  </si>
  <si>
    <t>1200001545</t>
  </si>
  <si>
    <t>01-0F101-0006261</t>
  </si>
  <si>
    <t>NEGOCIOS PESQUEROS AARON EIRL</t>
  </si>
  <si>
    <t>1200001546</t>
  </si>
  <si>
    <t>01-0F101-0006262</t>
  </si>
  <si>
    <t>NEGOCIOS PESQUEROS AARON EIRL</t>
  </si>
  <si>
    <t>1200001576</t>
  </si>
  <si>
    <t>01-0F101-0006284</t>
  </si>
  <si>
    <t>NEGOCIOS PESQUEROS AARON EIRL</t>
  </si>
  <si>
    <t>1200001577</t>
  </si>
  <si>
    <t>01-0F101-0006285</t>
  </si>
  <si>
    <t>2000001359</t>
  </si>
  <si>
    <t>OCEANUS FISH S.L.</t>
  </si>
  <si>
    <t>1200000644</t>
  </si>
  <si>
    <t>01-0F002-0000287</t>
  </si>
  <si>
    <t>OCEANUS FISH S.L.</t>
  </si>
  <si>
    <t>1200000958</t>
  </si>
  <si>
    <t>01-0F002-0000296</t>
  </si>
  <si>
    <t>OCEANUS FISH S.L.</t>
  </si>
  <si>
    <t>1200000959</t>
  </si>
  <si>
    <t>01-0F002-0000297</t>
  </si>
  <si>
    <t>OCEANUS FISH S.L.</t>
  </si>
  <si>
    <t>1200001191</t>
  </si>
  <si>
    <t>01-0F002-0000301</t>
  </si>
  <si>
    <t>OCEANUS FISH S.L.</t>
  </si>
  <si>
    <t>1200001321</t>
  </si>
  <si>
    <t>01-0F002-0000309</t>
  </si>
  <si>
    <t>2000001369</t>
  </si>
  <si>
    <t>OVERSEA ATLANTIC FISH S.L.</t>
  </si>
  <si>
    <t>1300002668</t>
  </si>
  <si>
    <t>FT-0F002-0000298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</si>
  <si>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</si>
  <si>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</si>
  <si>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</si>
  <si>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</si>
  <si>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</si>
  <si>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</si>
  <si>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</si>
  <si>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</si>
  <si>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</si>
  <si>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</si>
  <si>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</si>
  <si>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</si>
  <si>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</si>
  <si>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</si>
  <si>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</si>
  <si>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1200001398</t>
  </si>
  <si>
    <t>01-0F101-0006138</t>
  </si>
  <si>
    <t>PESCACORD PERU SOCIEDAD ANONIMA CER</t>
  </si>
  <si>
    <t>1200001399</t>
  </si>
  <si>
    <t>01-0F101-0006139</t>
  </si>
  <si>
    <t>PESCACORD PERU SOCIEDAD ANONIMA CER</t>
  </si>
  <si>
    <t>1200001450</t>
  </si>
  <si>
    <t>01-0F101-0006183</t>
  </si>
  <si>
    <t>PESCACORD PERU SOCIEDAD ANONIMA CER</t>
  </si>
  <si>
    <t>1200001451</t>
  </si>
  <si>
    <t>01-0F101-0006184</t>
  </si>
  <si>
    <t>PESCACORD PERU SOCIEDAD ANONIMA CER</t>
  </si>
  <si>
    <t>1200001541</t>
  </si>
  <si>
    <t>01-0F101-0006257</t>
  </si>
  <si>
    <t>PESCACORD PERU SOCIEDAD ANONIMA CER</t>
  </si>
  <si>
    <t>1200001542</t>
  </si>
  <si>
    <t>01-0F101-0006258</t>
  </si>
  <si>
    <t>PESCACORD PERU SOCIEDAD ANONIMA CER</t>
  </si>
  <si>
    <t>1200001557</t>
  </si>
  <si>
    <t>01-0F101-0006271</t>
  </si>
  <si>
    <t>PESCACORD PERU SOCIEDAD ANONIMA CER</t>
  </si>
  <si>
    <t>1200001558</t>
  </si>
  <si>
    <t>01-0F101-0006272</t>
  </si>
  <si>
    <t>2000000267</t>
  </si>
  <si>
    <t>PESCIRO SLU</t>
  </si>
  <si>
    <t>1300002619</t>
  </si>
  <si>
    <t>SALDO A FAVOR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</si>
  <si>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</si>
  <si>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</si>
  <si>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</si>
  <si>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</si>
  <si>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</si>
  <si>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</si>
  <si>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1200001381</t>
  </si>
  <si>
    <t>01-0F003-0000182</t>
  </si>
  <si>
    <t>PROVEEDORA DE PRODUCTOS MARINOS</t>
  </si>
  <si>
    <t>1200001382</t>
  </si>
  <si>
    <t>01-0F003-0000183</t>
  </si>
  <si>
    <t>PROVEEDORA DE PRODUCTOS MARINOS</t>
  </si>
  <si>
    <t>1200001532</t>
  </si>
  <si>
    <t>01-0F003-0000184</t>
  </si>
  <si>
    <t>2000001438</t>
  </si>
  <si>
    <t>Qingdao Haiyujia International Trad</t>
  </si>
  <si>
    <t>1300002730</t>
  </si>
  <si>
    <t>FT-0F002-0000320</t>
  </si>
  <si>
    <t>Qingdao Haiyujia International Trad</t>
  </si>
  <si>
    <t>1300002731</t>
  </si>
  <si>
    <t>FT-0F002-0000324</t>
  </si>
  <si>
    <t>Qingdao Haiyujia International Trad</t>
  </si>
  <si>
    <t>1300002729</t>
  </si>
  <si>
    <t>FT-0F002-0000313</t>
  </si>
  <si>
    <t>1000015392</t>
  </si>
  <si>
    <t>SEBGUSTA FISH S.R.L.</t>
  </si>
  <si>
    <t>1100021551</t>
  </si>
  <si>
    <t>GARANTIA</t>
  </si>
  <si>
    <t>SEBGUSTA FISH S.R.L.</t>
  </si>
  <si>
    <t>1100021550</t>
  </si>
  <si>
    <t>SEBGUSTA FISH S.R.L.</t>
  </si>
  <si>
    <t>1100021552</t>
  </si>
  <si>
    <t>1000001965</t>
  </si>
  <si>
    <t>SERVICIOS DIESEL EXPRESS E.I.R.L.</t>
  </si>
  <si>
    <t>1200001481</t>
  </si>
  <si>
    <t>01-0F101-0006208</t>
  </si>
  <si>
    <t>SERVICIOS DIESEL EXPRESS E.I.R.L.</t>
  </si>
  <si>
    <t>1200001534</t>
  </si>
  <si>
    <t>01-0F101-0006250</t>
  </si>
  <si>
    <t>2000001418</t>
  </si>
  <si>
    <t>Shandong Sheenier Food Co., Ltd.</t>
  </si>
  <si>
    <t>1300002669</t>
  </si>
  <si>
    <t>FT-0F002-0000288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</si>
  <si>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</si>
  <si>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</si>
  <si>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</si>
  <si>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</si>
  <si>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</si>
  <si>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</si>
  <si>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</si>
  <si>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1000013801</t>
  </si>
  <si>
    <t>STL 5.0 S.A.C.</t>
  </si>
  <si>
    <t>1200001581</t>
  </si>
  <si>
    <t>01-0F101-0006289</t>
  </si>
  <si>
    <t>STL 5.0 S.A.C.</t>
  </si>
  <si>
    <t>1200001582</t>
  </si>
  <si>
    <t>01-0F101-0006290</t>
  </si>
  <si>
    <t>1000013794</t>
  </si>
  <si>
    <t>TECAMPA EIRL</t>
  </si>
  <si>
    <t>1300005699</t>
  </si>
  <si>
    <t>FT-0F101-0004285</t>
  </si>
  <si>
    <t>1000013686</t>
  </si>
  <si>
    <t>TRANSPORTES O Y G S.A.C.</t>
  </si>
  <si>
    <t>1200001483</t>
  </si>
  <si>
    <t>01-0F101-0006210</t>
  </si>
  <si>
    <t>TRANSPORTES O Y G S.A.C.</t>
  </si>
  <si>
    <t>1200001519</t>
  </si>
  <si>
    <t>01-0F101-0006238</t>
  </si>
  <si>
    <t>TRANSPORTES O Y G S.A.C.</t>
  </si>
  <si>
    <t>1200001547</t>
  </si>
  <si>
    <t>01-0F101-0006263</t>
  </si>
  <si>
    <t>TRANSPORTES O Y G S.A.C.</t>
  </si>
  <si>
    <t>1200001559</t>
  </si>
  <si>
    <t>01-0F101-0006273</t>
  </si>
  <si>
    <t>2000000786</t>
  </si>
  <si>
    <t>TSUJINO &amp; CO., LTD</t>
  </si>
  <si>
    <t>TSUJINO &amp; CO., LTD</t>
  </si>
  <si>
    <t>1200000615</t>
  </si>
  <si>
    <t>01-0F002-0000272</t>
  </si>
  <si>
    <t>TSUJINO &amp; CO., LTD</t>
  </si>
  <si>
    <t>1200000625</t>
  </si>
  <si>
    <t>01-0F002-0000277</t>
  </si>
  <si>
    <t>TSUJINO &amp; CO., LTD</t>
  </si>
  <si>
    <t>1200000802</t>
  </si>
  <si>
    <t>01-0F002-0000290</t>
  </si>
  <si>
    <t>TSUJINO &amp; CO., LTD</t>
  </si>
  <si>
    <t>1200000803</t>
  </si>
  <si>
    <t>01-0F002-0000291</t>
  </si>
  <si>
    <t>TSUJINO &amp; CO., LTD</t>
  </si>
  <si>
    <t>1200001269</t>
  </si>
  <si>
    <t>01-0F002-0000303</t>
  </si>
  <si>
    <t>TSUJINO &amp; CO., LTD</t>
  </si>
  <si>
    <t>1200001270</t>
  </si>
  <si>
    <t>01-0F002-0000304</t>
  </si>
  <si>
    <t>TSUJINO &amp; CO., LTD</t>
  </si>
  <si>
    <t>1200001277</t>
  </si>
  <si>
    <t>01-0F002-0000305</t>
  </si>
  <si>
    <t>TSUJINO &amp; CO., LTD</t>
  </si>
  <si>
    <t>1200001280</t>
  </si>
  <si>
    <t>01-0F002-0000306</t>
  </si>
  <si>
    <t>TSUJINO &amp; CO., LTD</t>
  </si>
  <si>
    <t>1200001344</t>
  </si>
  <si>
    <t>01-0F002-0000316</t>
  </si>
  <si>
    <t>TSUJINO &amp; CO., LTD</t>
  </si>
  <si>
    <t>1200001345</t>
  </si>
  <si>
    <t>01-0F002-0000317</t>
  </si>
  <si>
    <t>TSUJINO &amp; CO., LTD</t>
  </si>
  <si>
    <t>1200001346</t>
  </si>
  <si>
    <t>01-0F002-0000318</t>
  </si>
  <si>
    <t>TSUJINO &amp; CO., LTD</t>
  </si>
  <si>
    <t>1200001364</t>
  </si>
  <si>
    <t>01-0F002-0000322</t>
  </si>
  <si>
    <t>2000000590</t>
  </si>
  <si>
    <t>TT Interbiz Company Limited</t>
  </si>
  <si>
    <t>1300002699</t>
  </si>
  <si>
    <t>ANTICIPO TT INTE</t>
  </si>
  <si>
    <t>2000001444</t>
  </si>
  <si>
    <t>YANTAI HONGCHANG IMPORT AND EXPORT</t>
  </si>
  <si>
    <t>1300002732</t>
  </si>
  <si>
    <t>ANTICIPO YANTAHO</t>
  </si>
  <si>
    <t>2000001348</t>
  </si>
  <si>
    <t>YANTAI JIAHONG IMP &amp; EXP CO., LTD.</t>
  </si>
  <si>
    <t>1200001241</t>
  </si>
  <si>
    <t>01-0F002-0000302</t>
  </si>
  <si>
    <t>2000001069</t>
  </si>
  <si>
    <t>YANTAI TAIXI FOODSTUFF CO., LTD</t>
  </si>
  <si>
    <t>1200000936</t>
  </si>
  <si>
    <t>01-0F002-0000294</t>
  </si>
  <si>
    <t>YANTAI TAIXI FOODSTUFF CO., LTD</t>
  </si>
  <si>
    <t>1300002672</t>
  </si>
  <si>
    <t>FT-0F002-0000293</t>
  </si>
  <si>
    <t>YANTAI TAIXI FOODSTUFF CO., LTD</t>
  </si>
  <si>
    <t>1200001190</t>
  </si>
  <si>
    <t>01-0F002-0000300</t>
  </si>
  <si>
    <t>UNIDAD DE NEGOCIO</t>
  </si>
  <si>
    <t>NACIONAL</t>
  </si>
  <si>
    <t>RESIDUOS</t>
  </si>
  <si>
    <t>OTROS</t>
  </si>
  <si>
    <t>CISTERNA COMBUSTIBLE</t>
  </si>
  <si>
    <t>RODRIGO</t>
  </si>
  <si>
    <t>Suma de Importe en moneda doc.</t>
  </si>
  <si>
    <t>Etiquetas de columna</t>
  </si>
  <si>
    <t>Etiquetas de fila</t>
  </si>
  <si>
    <t>Total general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</si>
  <si>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</si>
  <si>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</si>
  <si>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</si>
  <si>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</si>
  <si>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</si>
  <si>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</si>
  <si>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</si>
  <si>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</si>
  <si>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ANTICIPO SHENZH</t>
  </si>
  <si>
    <t>(Todas)</t>
  </si>
  <si>
    <t>Suma de USD HOMOL</t>
  </si>
  <si>
    <t>Abr</t>
  </si>
  <si>
    <t>May</t>
  </si>
  <si>
    <t>Jun</t>
  </si>
  <si>
    <t>(Varios elementos)</t>
  </si>
  <si>
    <t>Suma de DÍAS ATRASADOS</t>
  </si>
  <si>
    <t>Cuenta de DÍAS VENCIDOS</t>
  </si>
  <si>
    <t>0-45</t>
  </si>
  <si>
    <t>46-60</t>
  </si>
  <si>
    <t>Total Abr</t>
  </si>
  <si>
    <t>Total May</t>
  </si>
  <si>
    <t>Total Jun</t>
  </si>
  <si>
    <t>22-Abr</t>
  </si>
  <si>
    <t>26-Abr</t>
  </si>
  <si>
    <t>30-Abr</t>
  </si>
  <si>
    <t>6-May</t>
  </si>
  <si>
    <t>12-May</t>
  </si>
  <si>
    <t>13-May</t>
  </si>
  <si>
    <t>14-May</t>
  </si>
  <si>
    <t>23-May</t>
  </si>
  <si>
    <t>27-May</t>
  </si>
  <si>
    <t>28-May</t>
  </si>
  <si>
    <t>31-May</t>
  </si>
  <si>
    <t>4-Jun</t>
  </si>
  <si>
    <t>6-Jun</t>
  </si>
  <si>
    <t>8-Jun</t>
  </si>
  <si>
    <t>9-Jun</t>
  </si>
  <si>
    <t>10-Jun</t>
  </si>
  <si>
    <t>11-Jun</t>
  </si>
  <si>
    <t>13-Jun</t>
  </si>
  <si>
    <t>CUENTAS POR COBRAR AL 11-5-2026 (EN USD)</t>
  </si>
  <si>
    <t>CUENTAS POR COBRAR AL 4-5-2026 -SEMANA ANTERIOR (EN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</si>
</sst>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43" fontId="0" fillId="0" borderId="0" xfId="1" applyFont="1" applyAlignment="1">
      <alignment vertical="top"/>
    </xf>
    <xf numFmtId="0" fontId="0" fillId="0" borderId="0" xfId="0" applyAlignment="1">
      <alignment vertical="top" wrapText="1"/>
    </xf>
    <xf numFmtId="0" fontId="4" fillId="3" borderId="0" xfId="4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4" fontId="5" fillId="0" borderId="0" xfId="0" applyNumberFormat="1" applyFont="1" applyAlignment="1">
      <alignment vertical="top"/>
    </xf>
    <xf numFmtId="43" fontId="5" fillId="0" borderId="0" xfId="1" applyFont="1" applyAlignment="1">
      <alignment vertical="top"/>
    </xf>
    <xf numFmtId="4" fontId="5" fillId="0" borderId="0" xfId="0" applyNumberFormat="1" applyFont="1" applyAlignment="1">
      <alignment vertical="top"/>
    </xf>
    <xf numFmtId="14" fontId="6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</cellXfs>
  <cellStyles count="5">
    <cellStyle name="Millares" xfId="1" builtinId="3"/>
    <cellStyle name="Millares 2" xfId="3" xr:uid="{25BC8E64-4EBD-4B42-8B3D-1A47C9058E70}"/>
    <cellStyle name="Millares 3" xfId="2" xr:uid="{75C30DF0-502F-4252-B751-F2C34F889F5A}"/>
    <cellStyle name="Normal" xfId="0" builtinId="0"/>
    <cellStyle name="Normal 2" xfId="4" xr:uid="{3CBFF67A-9D38-4DB2-BEB3-9CC01AFE09E5}"/>
  </cellStyles>
  <dxfs count="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53.542657638885" createdVersion="8" refreshedVersion="8" minRefreshableVersion="3" recordCount="162" xr:uid="{47E3DB3C-54A2-473B-95CC-27557BEBFD50}">
  <cacheSource type="worksheet">
    <worksheetSource ref="A1:R1048576" sheet="Data"/>
  </cacheSource>
  <cacheFields count="23">
    <cacheField name="Cliente" numFmtId="0">
      <sharedItems containsBlank="1"/>
    </cacheField>
    <cacheField name="Nombre de cliente" numFmtId="0">
      <sharedItems containsBlank="1" count="40">
        <s v="ARKANO TRADING SOCIEDAD ANONIMA CER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INVERSIONES JOCYMAS SOCIEDAD ANONIM"/>
        <s v="INVERSIONES Y REPRESENTACIONES JELI"/>
        <s v="JAHFISH E.I.R.L."/>
        <s v="KULALIA SL"/>
        <s v="LONGKOU JIABAO AQUATIC FOODSTUFFS"/>
        <s v="Longkou Yunfeng Aquatic Food Co.,Lt"/>
        <s v="NAVAPEZ E.I.R.L."/>
        <s v="NEGOCIOS PESQUEROS AARON EIRL"/>
        <s v="OCEANUS FISH S.L."/>
        <s v="OVERSEA ATLANTIC FISH S.L."/>
        <s v="PEGASUS ENTERPRISE S.A.C."/>
        <s v="PESCACORD PERU SOCIEDAD ANONIMA CER"/>
        <s v="PESCIRO SLU"/>
        <s v="PESQUERA HAYDUK S.A."/>
        <s v="PROVEEDORA DE PRODUCTOS MARINOS"/>
        <s v="Qingdao Haiyujia International Trad"/>
        <s v="SEBGUSTA FISH S.R.L."/>
        <s v="SERVICIOS DIESEL EXPRESS E.I.R.L."/>
        <s v="Shandong Sheenier Food Co., Ltd."/>
        <s v="Shenzhen Yueshi Supply Chain"/>
        <s v="STL 5.0 S.A.C."/>
        <s v="TECAMPA EIRL"/>
        <s v="TRANSPORTES O Y G S.A.C."/>
        <s v="TSUJINO &amp; CO., LTD"/>
        <s v="TT Interbiz Company Limited"/>
        <s v="YANTAI HONGCHANG IMPORT AND EXPORT"/>
        <s v="YANTAI JIAHONG IMP &amp; EXP CO., LTD."/>
        <s v="YANTAI TAIXI FOODSTUFF CO., LTD"/>
        <m/>
      </sharedItems>
    </cacheField>
    <cacheField name="Nº documento" numFmtId="0">
      <sharedItems containsBlank="1"/>
    </cacheField>
    <cacheField name="Referencia" numFmtId="0">
      <sharedItems containsBlank="1" count="159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3-0B001-0004349"/>
        <s v="03-0B001-0004350"/>
        <s v="03-0B001-0004421"/>
        <s v="03-0B001-0004422"/>
        <s v="03-0B001-0004488"/>
        <s v="03-0B001-0004489"/>
        <s v="03-0B001-0004502"/>
        <s v="03-0B001-0004503"/>
        <s v="01-0F101-0005458"/>
        <s v="01-0F101-0005470"/>
        <s v="01-0F101-0005482"/>
        <s v="01-0F101-0005569"/>
        <s v="01-0F101-0005730"/>
        <s v="01-0F101-0005740"/>
        <s v="01-0F101-0006016"/>
        <s v="01-0F101-0006193"/>
        <s v="01-0F101-0006194"/>
        <s v="01-0F002-0000282"/>
        <s v="01-0F002-0000283"/>
        <s v="01-0F002-0000284"/>
        <s v="01-0F002-0000285"/>
        <s v="01-0F002-0000286"/>
        <s v="FT-0F002-0000281"/>
        <s v="03-0B001-0004492"/>
        <s v="03-0B001-0004493"/>
        <s v="03-0B001-0004498"/>
        <s v="03-0B001-0004499"/>
        <s v="03-0B001-0004500"/>
        <s v="03-0B001-0004501"/>
        <s v="03-0B001-0004504"/>
        <s v="03-0B001-0004505"/>
        <s v="03-0B001-0004506"/>
        <s v="03-0B001-0004510"/>
        <s v="03-0B001-0004511"/>
        <s v="03-0B001-0004514"/>
        <s v="03-0B001-0004515"/>
        <s v="01-0F002-0000310"/>
        <s v="01-0F002-0000311"/>
        <s v="ANTICIPO FOOD&amp;BE"/>
        <s v="ANTICIPO GIANT"/>
        <s v="01-0F002-0000295"/>
        <s v="07-0F002-0000043"/>
        <s v="FT-0F002-0000312"/>
        <s v="FT-0F002-0000325"/>
        <s v="FT-0F002-0000315"/>
        <s v="FT-0F002-0000323"/>
        <s v="FT-0F101-0005949"/>
        <s v="AB JELILE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FT-0F002-0000264"/>
        <s v="01-0F002-0000275"/>
        <s v="01-0F002-0000289"/>
        <s v="ANTICIPO KULALIA"/>
        <s v="01-0F002-0000307"/>
        <s v="SALDO A FAVOR"/>
        <s v="01-0F002-000031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072"/>
        <s v="01-0F101-0006073"/>
        <s v="01-0F101-0006074"/>
        <s v="01-0F101-0006075"/>
        <s v="01-0F101-0006128"/>
        <s v="01-0F101-0006129"/>
        <s v="01-0F101-0006201"/>
        <s v="01-0F101-0006261"/>
        <s v="01-0F101-0006262"/>
        <s v="01-0F101-0006284"/>
        <s v="01-0F101-0006285"/>
        <s v="01-0F002-0000287"/>
        <s v="01-0F002-0000296"/>
        <s v="01-0F002-0000297"/>
        <s v="01-0F002-0000301"/>
        <s v="01-0F002-0000309"/>
        <s v="FT-0F002-0000298"/>
        <s v="FT-0F003-0000101"/>
        <s v="01-0F003-0000129"/>
        <s v="01-0F003-0000168"/>
        <s v="01-0F003-0000174"/>
        <s v="01-0F101-0006138"/>
        <s v="01-0F101-0006139"/>
        <s v="01-0F101-0006183"/>
        <s v="01-0F101-0006184"/>
        <s v="01-0F101-0006257"/>
        <s v="01-0F101-0006258"/>
        <s v="01-0F101-0006271"/>
        <s v="01-0F101-0006272"/>
        <s v="01-0F003-0000083"/>
        <s v="01-0F003-0000182"/>
        <s v="01-0F003-0000183"/>
        <s v="01-0F003-0000184"/>
        <s v="FT-0F002-0000320"/>
        <s v="FT-0F002-0000324"/>
        <s v="FT-0F002-0000313"/>
        <s v="GARANTIA"/>
        <s v="01-0F101-0006208"/>
        <s v="01-0F101-0006250"/>
        <s v="FT-0F002-0000288"/>
        <s v="FT-0F002-0000314"/>
        <s v="FT-0F002-0000321"/>
        <s v="ANTICIPO SHENZH"/>
        <s v="01-0F101-0006289"/>
        <s v="01-0F101-0006290"/>
        <s v="FT-0F101-0004285"/>
        <s v="01-0F101-0006210"/>
        <s v="01-0F101-0006238"/>
        <s v="01-0F101-0006263"/>
        <s v="01-0F101-0006273"/>
        <s v="01-0F002-0000272"/>
        <s v="01-0F002-0000277"/>
        <s v="01-0F002-0000290"/>
        <s v="01-0F002-0000291"/>
        <s v="01-0F002-0000303"/>
        <s v="01-0F002-0000304"/>
        <s v="01-0F002-0000305"/>
        <s v="01-0F002-0000306"/>
        <s v="01-0F002-0000316"/>
        <s v="01-0F002-0000317"/>
        <s v="01-0F002-0000318"/>
        <s v="01-0F002-0000322"/>
        <s v="ANTICIPO TT INTE"/>
        <s v="ANTICIPO YANTAHO"/>
        <s v="01-0F002-0000302"/>
        <s v="01-0F002-0000294"/>
        <s v="FT-0F002-0000293"/>
        <s v="01-0F002-0000300"/>
        <m/>
      </sharedItems>
    </cacheField>
    <cacheField name="Clase de documento" numFmtId="0">
      <sharedItems containsBlank="1" count="8">
        <s v="DF"/>
        <s v="DB"/>
        <s v="DE"/>
        <s v="ZV"/>
        <s v="DZ"/>
        <s v="DC"/>
        <s v="SA"/>
        <m/>
      </sharedItems>
    </cacheField>
    <cacheField name="Fecha de documento" numFmtId="0">
      <sharedItems containsNonDate="0" containsDate="1" containsString="0" containsBlank="1" minDate="2025-04-16T00:00:00" maxDate="2026-06-01T00:00:00" count="56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4-05T00:00:00"/>
        <d v="2026-04-16T00:00:00"/>
        <d v="2026-04-30T00:00:00"/>
        <d v="2026-05-04T00:00:00"/>
        <d v="2026-03-17T00:00:00"/>
        <d v="2026-03-19T00:00:00"/>
        <d v="2026-03-21T00:00:00"/>
        <d v="2026-03-30T00:00:00"/>
        <d v="2026-04-09T00:00:00"/>
        <d v="2026-04-10T00:00:00"/>
        <d v="2026-04-25T00:00:00"/>
        <d v="2026-05-05T00:00:00"/>
        <d v="2026-03-29T00:00:00"/>
        <d v="2026-05-02T00:00:00"/>
        <d v="2026-05-03T00:00:00"/>
        <d v="2026-05-06T00:00:00"/>
        <d v="2026-04-27T00:00:00"/>
        <d v="2026-04-29T00:00:00"/>
        <d v="2026-04-15T00:00:00"/>
        <d v="2026-04-12T00:00:00"/>
        <d v="2026-04-20T00:00:00"/>
        <d v="2026-04-22T00:00:00"/>
        <d v="2026-04-23T00:00:00"/>
        <d v="2026-05-07T00:00:00"/>
        <d v="2026-05-08T00:00:00"/>
        <d v="2026-03-15T00:00:00"/>
        <d v="2026-03-28T00:00:00"/>
        <d v="2026-04-08T00:00:00"/>
        <d v="2026-04-28T00:00:00"/>
        <d v="2026-04-26T00:00:00"/>
        <d v="2025-11-03T00:00:00"/>
        <d v="2025-11-06T00:00:00"/>
        <d v="2026-05-09T00:00:00"/>
        <d v="2026-04-13T00:00:00"/>
        <d v="2025-10-21T00:00:00"/>
        <d v="2025-11-04T00:00:00"/>
        <d v="2026-01-31T00:00:00"/>
        <d v="2026-03-03T00:00:00"/>
        <d v="2025-10-07T00:00:00"/>
        <d v="2025-04-16T00:00:00"/>
        <d v="2025-05-31T00:00:00"/>
        <d v="2025-08-19T00:00:00"/>
        <d v="2026-05-31T00:00:00"/>
        <d v="2025-10-12T00:00:00"/>
        <d v="2026-04-24T00:00:00"/>
        <m/>
      </sharedItems>
    </cacheField>
    <cacheField name="Demora tras vencimiento neto" numFmtId="0">
      <sharedItems containsString="0" containsBlank="1" containsNumber="1" containsInteger="1" minValue="-33" maxValue="390"/>
    </cacheField>
    <cacheField name="Fecha de pago" numFmtId="0">
      <sharedItems containsNonDate="0" containsDate="1" containsString="0" containsBlank="1" minDate="2025-04-16T00:00:00" maxDate="2026-06-14T00:00:00"/>
    </cacheField>
    <cacheField name="Importe en moneda doc." numFmtId="0">
      <sharedItems containsString="0" containsBlank="1" containsNumber="1" minValue="-74009" maxValue="396900"/>
    </cacheField>
    <cacheField name="Moneda del documento" numFmtId="0">
      <sharedItems containsBlank="1"/>
    </cacheField>
    <cacheField name="UNIDAD DE NEGOCIO" numFmtId="0">
      <sharedItems containsBlank="1" count="7">
        <s v="NACIONAL"/>
        <s v="EXPORTACIÓN"/>
        <s v="RODRIGO"/>
        <s v="CISTERNA COMBUSTIBLE"/>
        <s v="OTROS"/>
        <s v="RESIDUOS"/>
        <m/>
      </sharedItems>
    </cacheField>
    <cacheField name="FECHA IDEAL DE PAGO" numFmtId="0">
      <sharedItems containsNonDate="0" containsDate="1" containsString="0" containsBlank="1" minDate="2026-04-29T00:00:00" maxDate="2026-07-16T00:00:00"/>
    </cacheField>
    <cacheField name="DÍAS VENCIDOS" numFmtId="0">
      <sharedItems containsString="0" containsBlank="1" containsNumber="1" containsInteger="1" minValue="-33" maxValue="5"/>
    </cacheField>
    <cacheField name="Vcto finanzas SEMANA PASADA" numFmtId="0">
      <sharedItems containsNonDate="0" containsDate="1" containsString="0" containsBlank="1" minDate="2026-04-22T00:00:00" maxDate="2026-06-14T00:00:00" count="19">
        <m/>
        <d v="2026-05-13T00:00:00"/>
        <d v="2026-06-11T00:00:00"/>
        <d v="2026-04-30T00:00:00"/>
        <d v="2026-05-27T00:00:00"/>
        <d v="2026-06-04T00:00:00"/>
        <d v="2026-06-13T00:00:00"/>
        <d v="2026-05-06T00:00:00"/>
        <d v="2026-05-12T00:00:00"/>
        <d v="2026-05-23T00:00:00"/>
        <d v="2026-06-10T00:00:00"/>
        <d v="2026-04-26T00:00:00"/>
        <d v="2026-06-06T00:00:00"/>
        <d v="2026-05-28T00:00:00"/>
        <d v="2026-04-22T00:00:00"/>
        <d v="2026-05-14T00:00:00"/>
        <d v="2026-05-31T00:00:00"/>
        <d v="2026-06-09T00:00:00"/>
        <d v="2026-06-08T00:00:00"/>
      </sharedItems>
      <fieldGroup par="22"/>
    </cacheField>
    <cacheField name="Vcto finanzas" numFmtId="0">
      <sharedItems containsNonDate="0" containsDate="1" containsString="0" containsBlank="1" minDate="2025-10-12T00:00:00" maxDate="2026-06-14T00:00:00" count="57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12T00:00:00"/>
        <d v="2026-04-23T00:00:00"/>
        <d v="2026-05-07T00:00:00"/>
        <d v="2026-05-11T00:00:00"/>
        <d v="2026-03-24T00:00:00"/>
        <d v="2026-03-26T00:00:00"/>
        <d v="2026-03-28T00:00:00"/>
        <d v="2026-04-06T00:00:00"/>
        <d v="2026-04-16T00:00:00"/>
        <d v="2026-04-17T00:00:00"/>
        <d v="2026-05-02T00:00:00"/>
        <d v="2026-05-12T00:00:00"/>
        <d v="2026-05-13T00:00:00"/>
        <d v="2026-05-09T00:00:00"/>
        <d v="2026-05-10T00:00:00"/>
        <d v="2026-05-05T00:00:00"/>
        <d v="2026-06-11T00:00:00"/>
        <d v="2026-04-30T00:00:00"/>
        <d v="2026-05-27T00:00:00"/>
        <d v="2026-06-04T00:00:00"/>
        <d v="2026-06-13T00:00:00"/>
        <d v="2026-04-22T00:00:00"/>
        <d v="2026-05-14T00:00:00"/>
        <d v="2026-05-15T00:00:00"/>
        <d v="2026-05-23T00:00:00"/>
        <d v="2026-06-10T00:00:00"/>
        <d v="2026-04-26T00:00:00"/>
        <d v="2025-11-10T00:00:00"/>
        <d v="2025-11-13T00:00:00"/>
        <d v="2026-04-28T00:00:00"/>
        <d v="2026-06-06T00:00:00"/>
        <d v="2026-05-28T00:00:00"/>
        <d v="2025-10-21T00:00:00"/>
        <d v="2025-11-11T00:00:00"/>
        <d v="2026-02-07T00:00:00"/>
        <d v="2026-03-10T00:00:00"/>
        <d v="2025-10-14T00:00:00"/>
        <d v="2026-05-03T00:00:00"/>
        <m/>
        <d v="2026-05-31T00:00:00"/>
        <d v="2025-10-12T00:00:00"/>
        <d v="2026-06-09T00:00:00"/>
        <d v="2026-06-08T00:00:00"/>
        <d v="2026-03-15T00:00:00" u="1"/>
        <d v="2026-03-29T00:00:00" u="1"/>
        <d v="2026-04-27T00:00:00" u="1"/>
        <d v="2026-04-29T00:00:00" u="1"/>
      </sharedItems>
      <fieldGroup par="20"/>
    </cacheField>
    <cacheField name="USD HOMOL" numFmtId="0">
      <sharedItems containsString="0" containsBlank="1" containsNumber="1" minValue="-74009" maxValue="396900"/>
    </cacheField>
    <cacheField name="DÍAS ATRASADOS" numFmtId="0">
      <sharedItems containsString="0" containsBlank="1" containsNumber="1" containsInteger="1" minValue="-20" maxValue="57"/>
    </cacheField>
    <cacheField name="ANTIGÜEDAD" numFmtId="0">
      <sharedItems containsBlank="1" count="3">
        <m/>
        <s v="0-45"/>
        <s v="46-60"/>
      </sharedItems>
    </cacheField>
    <cacheField name="Meses (Vcto finanzas)" numFmtId="0" databaseField="0">
      <fieldGroup base="14">
        <rangePr groupBy="months" startDate="2025-10-12T00:00:00" endDate="2026-06-14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6/2026"/>
        </groupItems>
      </fieldGroup>
    </cacheField>
    <cacheField name="Trimestres (Vcto finanzas)" numFmtId="0" databaseField="0">
      <fieldGroup base="14">
        <rangePr groupBy="quarters" startDate="2025-10-12T00:00:00" endDate="2026-06-14T00:00:00"/>
        <groupItems count="6">
          <s v="&lt;12/10/2025"/>
          <s v="Trim.1"/>
          <s v="Trim.2"/>
          <s v="Trim.3"/>
          <s v="Trim.4"/>
          <s v="&gt;14/06/2026"/>
        </groupItems>
      </fieldGroup>
    </cacheField>
    <cacheField name="Años (Vcto finanzas)" numFmtId="0" databaseField="0">
      <fieldGroup base="14">
        <rangePr groupBy="years" startDate="2025-10-12T00:00:00" endDate="2026-06-14T00:00:00"/>
        <groupItems count="4">
          <s v="&lt;12/10/2025"/>
          <s v="2025"/>
          <s v="2026"/>
          <s v="&gt;14/06/2026"/>
        </groupItems>
      </fieldGroup>
    </cacheField>
    <cacheField name="Días (Vcto finanzas SEMANA PASADA)" numFmtId="0" databaseField="0">
      <fieldGroup base="13">
        <rangePr groupBy="days" startDate="2026-04-22T00:00:00" endDate="2026-06-14T00:00:00"/>
        <groupItems count="368">
          <s v="&lt;22/0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6/2026"/>
        </groupItems>
      </fieldGroup>
    </cacheField>
    <cacheField name="Meses (Vcto finanzas SEMANA PASADA)" numFmtId="0" databaseField="0">
      <fieldGroup base="13">
        <rangePr groupBy="months" startDate="2026-04-22T00:00:00" endDate="2026-06-14T00:00:00"/>
        <groupItems count="14">
          <s v="&lt;22/04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1000013966"/>
    <x v="0"/>
    <s v="1200005220"/>
    <x v="0"/>
    <x v="0"/>
    <x v="0"/>
    <n v="166"/>
    <d v="2025-11-26T00:00:00"/>
    <n v="42.48"/>
    <s v="PEN"/>
    <x v="0"/>
    <m/>
    <m/>
    <x v="0"/>
    <x v="0"/>
    <n v="12.313043478260868"/>
    <m/>
    <x v="0"/>
  </r>
  <r>
    <s v="1000013966"/>
    <x v="0"/>
    <s v="1200005228"/>
    <x v="1"/>
    <x v="0"/>
    <x v="0"/>
    <n v="166"/>
    <d v="2025-11-26T00:00:00"/>
    <n v="14.16"/>
    <s v="PEN"/>
    <x v="0"/>
    <m/>
    <m/>
    <x v="0"/>
    <x v="0"/>
    <n v="4.1043478260869559"/>
    <m/>
    <x v="0"/>
  </r>
  <r>
    <s v="1000013966"/>
    <x v="0"/>
    <s v="1200005242"/>
    <x v="2"/>
    <x v="0"/>
    <x v="0"/>
    <n v="166"/>
    <d v="2025-11-26T00:00:00"/>
    <n v="14.16"/>
    <s v="PEN"/>
    <x v="0"/>
    <m/>
    <m/>
    <x v="0"/>
    <x v="0"/>
    <n v="4.1043478260869559"/>
    <m/>
    <x v="0"/>
  </r>
  <r>
    <s v="1000013966"/>
    <x v="0"/>
    <s v="1200005264"/>
    <x v="3"/>
    <x v="0"/>
    <x v="1"/>
    <n v="165"/>
    <d v="2025-11-27T00:00:00"/>
    <n v="28.32"/>
    <s v="PEN"/>
    <x v="0"/>
    <m/>
    <m/>
    <x v="0"/>
    <x v="1"/>
    <n v="8.2086956521739118"/>
    <m/>
    <x v="0"/>
  </r>
  <r>
    <s v="1000013966"/>
    <x v="0"/>
    <s v="1200005271"/>
    <x v="4"/>
    <x v="0"/>
    <x v="1"/>
    <n v="165"/>
    <d v="2025-11-27T00:00:00"/>
    <n v="14.16"/>
    <s v="PEN"/>
    <x v="0"/>
    <m/>
    <m/>
    <x v="0"/>
    <x v="1"/>
    <n v="4.1043478260869559"/>
    <m/>
    <x v="0"/>
  </r>
  <r>
    <s v="1000013966"/>
    <x v="0"/>
    <s v="1200005296"/>
    <x v="5"/>
    <x v="0"/>
    <x v="2"/>
    <n v="164"/>
    <d v="2025-11-28T00:00:00"/>
    <n v="28.32"/>
    <s v="PEN"/>
    <x v="0"/>
    <m/>
    <m/>
    <x v="0"/>
    <x v="2"/>
    <n v="8.2086956521739118"/>
    <m/>
    <x v="0"/>
  </r>
  <r>
    <s v="1000013966"/>
    <x v="0"/>
    <s v="1200005302"/>
    <x v="6"/>
    <x v="0"/>
    <x v="2"/>
    <n v="164"/>
    <d v="2025-11-28T00:00:00"/>
    <n v="42.48"/>
    <s v="PEN"/>
    <x v="0"/>
    <m/>
    <m/>
    <x v="0"/>
    <x v="2"/>
    <n v="12.313043478260868"/>
    <m/>
    <x v="0"/>
  </r>
  <r>
    <s v="1000013966"/>
    <x v="0"/>
    <s v="1200005304"/>
    <x v="7"/>
    <x v="0"/>
    <x v="2"/>
    <n v="164"/>
    <d v="2025-11-28T00:00:00"/>
    <n v="42.48"/>
    <s v="PEN"/>
    <x v="0"/>
    <m/>
    <m/>
    <x v="0"/>
    <x v="2"/>
    <n v="12.313043478260868"/>
    <m/>
    <x v="0"/>
  </r>
  <r>
    <s v="1000013966"/>
    <x v="0"/>
    <s v="1200005313"/>
    <x v="8"/>
    <x v="0"/>
    <x v="2"/>
    <n v="164"/>
    <d v="2025-11-28T00:00:00"/>
    <n v="14.16"/>
    <s v="PEN"/>
    <x v="0"/>
    <m/>
    <m/>
    <x v="0"/>
    <x v="2"/>
    <n v="4.1043478260869559"/>
    <m/>
    <x v="0"/>
  </r>
  <r>
    <s v="1000013966"/>
    <x v="0"/>
    <s v="1200005346"/>
    <x v="9"/>
    <x v="0"/>
    <x v="3"/>
    <n v="163"/>
    <d v="2025-11-29T00:00:00"/>
    <n v="28.32"/>
    <s v="PEN"/>
    <x v="0"/>
    <m/>
    <m/>
    <x v="0"/>
    <x v="3"/>
    <n v="8.2086956521739118"/>
    <m/>
    <x v="0"/>
  </r>
  <r>
    <s v="1000013966"/>
    <x v="0"/>
    <s v="1200005422"/>
    <x v="10"/>
    <x v="0"/>
    <x v="4"/>
    <n v="158"/>
    <d v="2025-12-04T00:00:00"/>
    <n v="14.16"/>
    <s v="PEN"/>
    <x v="0"/>
    <m/>
    <m/>
    <x v="0"/>
    <x v="4"/>
    <n v="4.1043478260869559"/>
    <m/>
    <x v="0"/>
  </r>
  <r>
    <s v="1000013966"/>
    <x v="0"/>
    <s v="1200000045"/>
    <x v="11"/>
    <x v="0"/>
    <x v="5"/>
    <n v="118"/>
    <d v="2026-01-13T00:00:00"/>
    <n v="14.16"/>
    <s v="PEN"/>
    <x v="0"/>
    <m/>
    <m/>
    <x v="0"/>
    <x v="5"/>
    <n v="4.1043478260869559"/>
    <m/>
    <x v="0"/>
  </r>
  <r>
    <s v="1000013966"/>
    <x v="0"/>
    <s v="1200000090"/>
    <x v="12"/>
    <x v="0"/>
    <x v="6"/>
    <n v="116"/>
    <d v="2026-01-15T00:00:00"/>
    <n v="14.16"/>
    <s v="PEN"/>
    <x v="0"/>
    <m/>
    <m/>
    <x v="0"/>
    <x v="6"/>
    <n v="4.1043478260869559"/>
    <m/>
    <x v="0"/>
  </r>
  <r>
    <s v="1000013966"/>
    <x v="0"/>
    <s v="1200000113"/>
    <x v="13"/>
    <x v="0"/>
    <x v="7"/>
    <n v="114"/>
    <d v="2026-01-17T00:00:00"/>
    <n v="14.16"/>
    <s v="PEN"/>
    <x v="0"/>
    <m/>
    <m/>
    <x v="0"/>
    <x v="7"/>
    <n v="4.1043478260869559"/>
    <m/>
    <x v="0"/>
  </r>
  <r>
    <s v="1000013966"/>
    <x v="0"/>
    <s v="1200000132"/>
    <x v="14"/>
    <x v="0"/>
    <x v="8"/>
    <n v="108"/>
    <d v="2026-01-23T00:00:00"/>
    <n v="14.16"/>
    <s v="PEN"/>
    <x v="0"/>
    <m/>
    <m/>
    <x v="0"/>
    <x v="8"/>
    <n v="4.1043478260869559"/>
    <m/>
    <x v="0"/>
  </r>
  <r>
    <s v="1000013966"/>
    <x v="0"/>
    <s v="1200000133"/>
    <x v="15"/>
    <x v="0"/>
    <x v="8"/>
    <n v="108"/>
    <d v="2026-01-23T00:00:00"/>
    <n v="14.16"/>
    <s v="PEN"/>
    <x v="0"/>
    <m/>
    <m/>
    <x v="0"/>
    <x v="8"/>
    <n v="4.1043478260869559"/>
    <m/>
    <x v="0"/>
  </r>
  <r>
    <s v="1000013966"/>
    <x v="0"/>
    <s v="1200000141"/>
    <x v="16"/>
    <x v="0"/>
    <x v="9"/>
    <n v="105"/>
    <d v="2026-01-26T00:00:00"/>
    <n v="14.16"/>
    <s v="PEN"/>
    <x v="0"/>
    <m/>
    <m/>
    <x v="0"/>
    <x v="9"/>
    <n v="4.1043478260869559"/>
    <m/>
    <x v="0"/>
  </r>
  <r>
    <s v="1000013676"/>
    <x v="1"/>
    <s v="1200000692"/>
    <x v="17"/>
    <x v="1"/>
    <x v="10"/>
    <n v="29"/>
    <d v="2026-04-12T00:00:00"/>
    <n v="250.4"/>
    <s v="PEN"/>
    <x v="0"/>
    <m/>
    <m/>
    <x v="0"/>
    <x v="10"/>
    <n v="72.579710144927532"/>
    <m/>
    <x v="0"/>
  </r>
  <r>
    <s v="1000013676"/>
    <x v="1"/>
    <s v="1200000693"/>
    <x v="18"/>
    <x v="1"/>
    <x v="10"/>
    <n v="29"/>
    <d v="2026-04-12T00:00:00"/>
    <n v="23.6"/>
    <s v="PEN"/>
    <x v="0"/>
    <m/>
    <m/>
    <x v="0"/>
    <x v="10"/>
    <n v="6.8405797101449277"/>
    <m/>
    <x v="0"/>
  </r>
  <r>
    <s v="1000013676"/>
    <x v="1"/>
    <s v="1200000983"/>
    <x v="19"/>
    <x v="1"/>
    <x v="11"/>
    <n v="18"/>
    <d v="2026-04-23T00:00:00"/>
    <n v="355.89"/>
    <s v="PEN"/>
    <x v="0"/>
    <m/>
    <m/>
    <x v="0"/>
    <x v="11"/>
    <n v="103.15652173913043"/>
    <m/>
    <x v="0"/>
  </r>
  <r>
    <s v="1000013676"/>
    <x v="1"/>
    <s v="1200000984"/>
    <x v="20"/>
    <x v="1"/>
    <x v="11"/>
    <n v="18"/>
    <d v="2026-04-23T00:00:00"/>
    <n v="35.4"/>
    <s v="PEN"/>
    <x v="0"/>
    <m/>
    <m/>
    <x v="0"/>
    <x v="11"/>
    <n v="10.260869565217391"/>
    <m/>
    <x v="0"/>
  </r>
  <r>
    <s v="1000013676"/>
    <x v="1"/>
    <s v="1200001340"/>
    <x v="21"/>
    <x v="1"/>
    <x v="12"/>
    <n v="4"/>
    <d v="2026-05-07T00:00:00"/>
    <n v="352.82"/>
    <s v="PEN"/>
    <x v="0"/>
    <m/>
    <m/>
    <x v="0"/>
    <x v="12"/>
    <n v="102.26666666666667"/>
    <m/>
    <x v="0"/>
  </r>
  <r>
    <s v="1000013676"/>
    <x v="1"/>
    <s v="1200001341"/>
    <x v="22"/>
    <x v="1"/>
    <x v="12"/>
    <n v="4"/>
    <d v="2026-05-07T00:00:00"/>
    <n v="47.2"/>
    <s v="PEN"/>
    <x v="0"/>
    <m/>
    <m/>
    <x v="0"/>
    <x v="12"/>
    <n v="13.681159420289855"/>
    <m/>
    <x v="0"/>
  </r>
  <r>
    <s v="1000013676"/>
    <x v="1"/>
    <s v="1200001444"/>
    <x v="23"/>
    <x v="1"/>
    <x v="13"/>
    <n v="0"/>
    <d v="2026-05-11T00:00:00"/>
    <n v="375"/>
    <s v="PEN"/>
    <x v="0"/>
    <m/>
    <m/>
    <x v="0"/>
    <x v="13"/>
    <n v="108.69565217391303"/>
    <m/>
    <x v="0"/>
  </r>
  <r>
    <s v="1000013676"/>
    <x v="1"/>
    <s v="1200001445"/>
    <x v="24"/>
    <x v="1"/>
    <x v="13"/>
    <n v="0"/>
    <d v="2026-05-11T00:00:00"/>
    <n v="47.2"/>
    <s v="PEN"/>
    <x v="0"/>
    <m/>
    <m/>
    <x v="0"/>
    <x v="13"/>
    <n v="13.681159420289855"/>
    <m/>
    <x v="0"/>
  </r>
  <r>
    <s v="1000013678"/>
    <x v="2"/>
    <s v="1200000439"/>
    <x v="25"/>
    <x v="0"/>
    <x v="14"/>
    <n v="48"/>
    <d v="2026-03-24T00:00:00"/>
    <n v="424.8"/>
    <s v="PEN"/>
    <x v="0"/>
    <m/>
    <m/>
    <x v="0"/>
    <x v="14"/>
    <n v="123.13043478260869"/>
    <m/>
    <x v="0"/>
  </r>
  <r>
    <s v="1000013678"/>
    <x v="2"/>
    <s v="1200000453"/>
    <x v="26"/>
    <x v="0"/>
    <x v="15"/>
    <n v="46"/>
    <d v="2026-03-26T00:00:00"/>
    <n v="283.2"/>
    <s v="PEN"/>
    <x v="0"/>
    <m/>
    <m/>
    <x v="0"/>
    <x v="15"/>
    <n v="82.086956521739125"/>
    <m/>
    <x v="0"/>
  </r>
  <r>
    <s v="1000013678"/>
    <x v="2"/>
    <s v="1200000468"/>
    <x v="27"/>
    <x v="0"/>
    <x v="16"/>
    <n v="44"/>
    <d v="2026-03-28T00:00:00"/>
    <n v="354"/>
    <s v="PEN"/>
    <x v="0"/>
    <m/>
    <m/>
    <x v="0"/>
    <x v="16"/>
    <n v="102.60869565217391"/>
    <m/>
    <x v="0"/>
  </r>
  <r>
    <s v="1000013678"/>
    <x v="2"/>
    <s v="1200000582"/>
    <x v="28"/>
    <x v="0"/>
    <x v="17"/>
    <n v="35"/>
    <d v="2026-04-06T00:00:00"/>
    <n v="283.2"/>
    <s v="PEN"/>
    <x v="0"/>
    <m/>
    <m/>
    <x v="0"/>
    <x v="17"/>
    <n v="82.086956521739125"/>
    <m/>
    <x v="0"/>
  </r>
  <r>
    <s v="1000013678"/>
    <x v="2"/>
    <s v="1200000812"/>
    <x v="29"/>
    <x v="0"/>
    <x v="18"/>
    <n v="25"/>
    <d v="2026-04-16T00:00:00"/>
    <n v="354"/>
    <s v="PEN"/>
    <x v="0"/>
    <m/>
    <m/>
    <x v="0"/>
    <x v="18"/>
    <n v="102.60869565217391"/>
    <m/>
    <x v="0"/>
  </r>
  <r>
    <s v="1000013678"/>
    <x v="2"/>
    <s v="1200000824"/>
    <x v="30"/>
    <x v="0"/>
    <x v="19"/>
    <n v="24"/>
    <d v="2026-04-17T00:00:00"/>
    <n v="236"/>
    <s v="PEN"/>
    <x v="0"/>
    <m/>
    <m/>
    <x v="0"/>
    <x v="19"/>
    <n v="68.405797101449267"/>
    <m/>
    <x v="0"/>
  </r>
  <r>
    <s v="1000013678"/>
    <x v="2"/>
    <s v="1200001211"/>
    <x v="31"/>
    <x v="0"/>
    <x v="20"/>
    <n v="9"/>
    <d v="2026-05-02T00:00:00"/>
    <n v="354"/>
    <s v="PEN"/>
    <x v="0"/>
    <m/>
    <m/>
    <x v="0"/>
    <x v="20"/>
    <n v="102.60869565217391"/>
    <m/>
    <x v="0"/>
  </r>
  <r>
    <s v="1000002057"/>
    <x v="3"/>
    <s v="1200001466"/>
    <x v="32"/>
    <x v="0"/>
    <x v="21"/>
    <n v="-1"/>
    <d v="2026-05-12T00:00:00"/>
    <n v="361.79"/>
    <s v="PEN"/>
    <x v="0"/>
    <m/>
    <m/>
    <x v="0"/>
    <x v="21"/>
    <n v="104.86666666666667"/>
    <m/>
    <x v="0"/>
  </r>
  <r>
    <s v="1000002057"/>
    <x v="3"/>
    <s v="1200001467"/>
    <x v="33"/>
    <x v="0"/>
    <x v="21"/>
    <n v="-1"/>
    <d v="2026-05-12T00:00:00"/>
    <n v="70.8"/>
    <s v="PEN"/>
    <x v="0"/>
    <m/>
    <m/>
    <x v="0"/>
    <x v="21"/>
    <n v="20.521739130434781"/>
    <m/>
    <x v="0"/>
  </r>
  <r>
    <s v="2000001381"/>
    <x v="4"/>
    <s v="1200000638"/>
    <x v="34"/>
    <x v="2"/>
    <x v="22"/>
    <n v="-2"/>
    <d v="2026-05-13T00:00:00"/>
    <n v="24860"/>
    <s v="USD"/>
    <x v="1"/>
    <d v="2026-05-13T00:00:00"/>
    <n v="-2"/>
    <x v="1"/>
    <x v="22"/>
    <n v="24860"/>
    <n v="43"/>
    <x v="1"/>
  </r>
  <r>
    <s v="2000001381"/>
    <x v="4"/>
    <s v="1200000639"/>
    <x v="35"/>
    <x v="2"/>
    <x v="22"/>
    <n v="-2"/>
    <d v="2026-05-13T00:00:00"/>
    <n v="24860"/>
    <s v="USD"/>
    <x v="1"/>
    <d v="2026-05-13T00:00:00"/>
    <n v="-2"/>
    <x v="1"/>
    <x v="22"/>
    <n v="24860"/>
    <n v="43"/>
    <x v="1"/>
  </r>
  <r>
    <s v="2000001381"/>
    <x v="4"/>
    <s v="1200000641"/>
    <x v="36"/>
    <x v="2"/>
    <x v="22"/>
    <n v="-2"/>
    <d v="2026-05-13T00:00:00"/>
    <n v="28800"/>
    <s v="USD"/>
    <x v="1"/>
    <d v="2026-05-13T00:00:00"/>
    <n v="-2"/>
    <x v="1"/>
    <x v="22"/>
    <n v="28800"/>
    <n v="43"/>
    <x v="1"/>
  </r>
  <r>
    <s v="2000001381"/>
    <x v="4"/>
    <s v="1200000642"/>
    <x v="37"/>
    <x v="2"/>
    <x v="22"/>
    <n v="-2"/>
    <d v="2026-05-13T00:00:00"/>
    <n v="28800"/>
    <s v="USD"/>
    <x v="1"/>
    <d v="2026-05-13T00:00:00"/>
    <n v="-2"/>
    <x v="1"/>
    <x v="22"/>
    <n v="28800"/>
    <n v="43"/>
    <x v="1"/>
  </r>
  <r>
    <s v="2000001381"/>
    <x v="4"/>
    <s v="1200000643"/>
    <x v="38"/>
    <x v="2"/>
    <x v="22"/>
    <n v="-2"/>
    <d v="2026-05-13T00:00:00"/>
    <n v="29300"/>
    <s v="USD"/>
    <x v="1"/>
    <d v="2026-05-13T00:00:00"/>
    <n v="-2"/>
    <x v="1"/>
    <x v="22"/>
    <n v="29300"/>
    <n v="43"/>
    <x v="1"/>
  </r>
  <r>
    <s v="2000001381"/>
    <x v="4"/>
    <s v="1300002658"/>
    <x v="39"/>
    <x v="3"/>
    <x v="22"/>
    <n v="43"/>
    <d v="2026-03-29T00:00:00"/>
    <n v="8136.99"/>
    <s v="USD"/>
    <x v="1"/>
    <d v="2026-05-13T00:00:00"/>
    <n v="-2"/>
    <x v="1"/>
    <x v="22"/>
    <n v="8136.99"/>
    <n v="43"/>
    <x v="1"/>
  </r>
  <r>
    <s v="1000013754"/>
    <x v="5"/>
    <s v="1200001352"/>
    <x v="40"/>
    <x v="1"/>
    <x v="12"/>
    <n v="4"/>
    <d v="2026-05-07T00:00:00"/>
    <n v="488.28"/>
    <s v="PEN"/>
    <x v="0"/>
    <m/>
    <m/>
    <x v="0"/>
    <x v="12"/>
    <n v="141.53043478260869"/>
    <m/>
    <x v="0"/>
  </r>
  <r>
    <s v="1000013754"/>
    <x v="5"/>
    <s v="1200001353"/>
    <x v="41"/>
    <x v="1"/>
    <x v="12"/>
    <n v="4"/>
    <d v="2026-05-07T00:00:00"/>
    <n v="47.2"/>
    <s v="PEN"/>
    <x v="0"/>
    <m/>
    <m/>
    <x v="0"/>
    <x v="12"/>
    <n v="13.681159420289855"/>
    <m/>
    <x v="0"/>
  </r>
  <r>
    <s v="1000013754"/>
    <x v="5"/>
    <s v="1200001400"/>
    <x v="42"/>
    <x v="1"/>
    <x v="23"/>
    <n v="2"/>
    <d v="2026-05-09T00:00:00"/>
    <n v="787.3"/>
    <s v="PEN"/>
    <x v="0"/>
    <m/>
    <m/>
    <x v="0"/>
    <x v="23"/>
    <n v="228.20289855072463"/>
    <m/>
    <x v="0"/>
  </r>
  <r>
    <s v="1000013754"/>
    <x v="5"/>
    <s v="1200001401"/>
    <x v="43"/>
    <x v="1"/>
    <x v="23"/>
    <n v="2"/>
    <d v="2026-05-09T00:00:00"/>
    <n v="70.8"/>
    <s v="PEN"/>
    <x v="0"/>
    <m/>
    <m/>
    <x v="0"/>
    <x v="23"/>
    <n v="20.521739130434781"/>
    <m/>
    <x v="0"/>
  </r>
  <r>
    <s v="1000013754"/>
    <x v="5"/>
    <s v="1200001417"/>
    <x v="44"/>
    <x v="1"/>
    <x v="24"/>
    <n v="1"/>
    <d v="2026-05-10T00:00:00"/>
    <n v="1235.7"/>
    <s v="PEN"/>
    <x v="0"/>
    <m/>
    <m/>
    <x v="0"/>
    <x v="24"/>
    <n v="358.17391304347825"/>
    <m/>
    <x v="0"/>
  </r>
  <r>
    <s v="1000013754"/>
    <x v="5"/>
    <s v="1200001418"/>
    <x v="45"/>
    <x v="1"/>
    <x v="24"/>
    <n v="1"/>
    <d v="2026-05-10T00:00:00"/>
    <n v="118"/>
    <s v="PEN"/>
    <x v="0"/>
    <m/>
    <m/>
    <x v="0"/>
    <x v="24"/>
    <n v="34.202898550724633"/>
    <m/>
    <x v="0"/>
  </r>
  <r>
    <s v="1000013754"/>
    <x v="5"/>
    <s v="1200001452"/>
    <x v="46"/>
    <x v="1"/>
    <x v="13"/>
    <n v="0"/>
    <d v="2026-05-11T00:00:00"/>
    <n v="258.18"/>
    <s v="PEN"/>
    <x v="0"/>
    <m/>
    <m/>
    <x v="0"/>
    <x v="13"/>
    <n v="74.834782608695647"/>
    <m/>
    <x v="0"/>
  </r>
  <r>
    <s v="1000013754"/>
    <x v="5"/>
    <s v="1200001453"/>
    <x v="47"/>
    <x v="1"/>
    <x v="13"/>
    <n v="0"/>
    <d v="2026-05-11T00:00:00"/>
    <n v="70.8"/>
    <s v="PEN"/>
    <x v="0"/>
    <m/>
    <m/>
    <x v="0"/>
    <x v="13"/>
    <n v="20.521739130434781"/>
    <m/>
    <x v="0"/>
  </r>
  <r>
    <s v="1000013754"/>
    <x v="5"/>
    <s v="1200001456"/>
    <x v="48"/>
    <x v="1"/>
    <x v="21"/>
    <n v="6"/>
    <d v="2026-05-05T00:00:00"/>
    <n v="23.6"/>
    <s v="PEN"/>
    <x v="0"/>
    <m/>
    <m/>
    <x v="0"/>
    <x v="25"/>
    <n v="6.8405797101449277"/>
    <m/>
    <x v="0"/>
  </r>
  <r>
    <s v="1000013754"/>
    <x v="5"/>
    <s v="1200001494"/>
    <x v="49"/>
    <x v="1"/>
    <x v="21"/>
    <n v="-1"/>
    <d v="2026-05-12T00:00:00"/>
    <n v="70.8"/>
    <s v="PEN"/>
    <x v="0"/>
    <m/>
    <m/>
    <x v="0"/>
    <x v="21"/>
    <n v="20.521739130434781"/>
    <m/>
    <x v="0"/>
  </r>
  <r>
    <s v="1000013754"/>
    <x v="5"/>
    <s v="1200001495"/>
    <x v="50"/>
    <x v="1"/>
    <x v="21"/>
    <n v="-1"/>
    <d v="2026-05-12T00:00:00"/>
    <n v="369.58"/>
    <s v="PEN"/>
    <x v="0"/>
    <m/>
    <m/>
    <x v="0"/>
    <x v="21"/>
    <n v="107.12463768115941"/>
    <m/>
    <x v="0"/>
  </r>
  <r>
    <s v="1000013754"/>
    <x v="5"/>
    <s v="1200001511"/>
    <x v="51"/>
    <x v="1"/>
    <x v="25"/>
    <n v="-2"/>
    <d v="2026-05-13T00:00:00"/>
    <n v="458.55"/>
    <s v="PEN"/>
    <x v="0"/>
    <m/>
    <m/>
    <x v="0"/>
    <x v="22"/>
    <n v="132.91304347826087"/>
    <m/>
    <x v="0"/>
  </r>
  <r>
    <s v="1000013754"/>
    <x v="5"/>
    <s v="1200001512"/>
    <x v="52"/>
    <x v="1"/>
    <x v="25"/>
    <n v="-2"/>
    <d v="2026-05-13T00:00:00"/>
    <n v="70.8"/>
    <s v="PEN"/>
    <x v="0"/>
    <m/>
    <m/>
    <x v="0"/>
    <x v="22"/>
    <n v="20.521739130434781"/>
    <m/>
    <x v="0"/>
  </r>
  <r>
    <s v="2000001368"/>
    <x v="6"/>
    <s v="1200001322"/>
    <x v="53"/>
    <x v="2"/>
    <x v="26"/>
    <n v="-31"/>
    <d v="2026-06-11T00:00:00"/>
    <n v="323856"/>
    <s v="USD"/>
    <x v="1"/>
    <d v="2026-06-11T00:00:00"/>
    <n v="-31"/>
    <x v="2"/>
    <x v="26"/>
    <n v="323856"/>
    <n v="14"/>
    <x v="1"/>
  </r>
  <r>
    <s v="2000001368"/>
    <x v="6"/>
    <s v="1200001323"/>
    <x v="54"/>
    <x v="2"/>
    <x v="26"/>
    <n v="-31"/>
    <d v="2026-06-11T00:00:00"/>
    <n v="388800"/>
    <s v="USD"/>
    <x v="1"/>
    <d v="2026-06-11T00:00:00"/>
    <n v="-31"/>
    <x v="2"/>
    <x v="26"/>
    <n v="388800"/>
    <n v="14"/>
    <x v="1"/>
  </r>
  <r>
    <s v="2000001368"/>
    <x v="6"/>
    <s v="1300002697"/>
    <x v="55"/>
    <x v="4"/>
    <x v="27"/>
    <n v="0"/>
    <d v="2026-04-30T00:00:00"/>
    <n v="-64701"/>
    <s v="USD"/>
    <x v="1"/>
    <d v="2026-06-13T00:00:00"/>
    <m/>
    <x v="3"/>
    <x v="27"/>
    <n v="-64701"/>
    <n v="12"/>
    <x v="1"/>
  </r>
  <r>
    <s v="2000001441"/>
    <x v="7"/>
    <s v="1300002663"/>
    <x v="56"/>
    <x v="4"/>
    <x v="28"/>
    <n v="0"/>
    <d v="2026-04-30T00:00:00"/>
    <n v="-16145"/>
    <s v="USD"/>
    <x v="1"/>
    <d v="2026-05-30T00:00:00"/>
    <m/>
    <x v="3"/>
    <x v="27"/>
    <n v="-16145"/>
    <n v="26"/>
    <x v="1"/>
  </r>
  <r>
    <s v="2000001361"/>
    <x v="8"/>
    <s v="1200000957"/>
    <x v="57"/>
    <x v="2"/>
    <x v="29"/>
    <n v="-16"/>
    <d v="2026-05-27T00:00:00"/>
    <n v="67550"/>
    <s v="USD"/>
    <x v="1"/>
    <d v="2026-05-27T00:00:00"/>
    <n v="-16"/>
    <x v="4"/>
    <x v="28"/>
    <n v="67550"/>
    <n v="29"/>
    <x v="1"/>
  </r>
  <r>
    <s v="2000001361"/>
    <x v="8"/>
    <s v="1200001071"/>
    <x v="58"/>
    <x v="5"/>
    <x v="30"/>
    <n v="-16"/>
    <d v="2026-05-27T00:00:00"/>
    <n v="-0.02"/>
    <s v="USD"/>
    <x v="1"/>
    <d v="2026-06-04T00:00:00"/>
    <n v="-24"/>
    <x v="5"/>
    <x v="29"/>
    <n v="-0.02"/>
    <n v="21"/>
    <x v="1"/>
  </r>
  <r>
    <s v="2000001439"/>
    <x v="9"/>
    <s v="1300002659"/>
    <x v="59"/>
    <x v="3"/>
    <x v="26"/>
    <n v="14"/>
    <d v="2026-04-27T00:00:00"/>
    <n v="60182"/>
    <s v="USD"/>
    <x v="1"/>
    <d v="2026-06-11T00:00:00"/>
    <m/>
    <x v="2"/>
    <x v="26"/>
    <n v="60182"/>
    <n v="14"/>
    <x v="1"/>
  </r>
  <r>
    <s v="2000001439"/>
    <x v="9"/>
    <s v="1300002660"/>
    <x v="60"/>
    <x v="3"/>
    <x v="27"/>
    <n v="12"/>
    <d v="2026-04-29T00:00:00"/>
    <n v="59598"/>
    <s v="USD"/>
    <x v="1"/>
    <d v="2026-06-13T00:00:00"/>
    <m/>
    <x v="6"/>
    <x v="30"/>
    <n v="59598"/>
    <n v="12"/>
    <x v="1"/>
  </r>
  <r>
    <s v="2000001398"/>
    <x v="10"/>
    <s v="1300002661"/>
    <x v="61"/>
    <x v="3"/>
    <x v="26"/>
    <n v="14"/>
    <d v="2026-04-27T00:00:00"/>
    <n v="19830"/>
    <s v="USD"/>
    <x v="1"/>
    <d v="2026-06-11T00:00:00"/>
    <n v="-31"/>
    <x v="2"/>
    <x v="26"/>
    <n v="19830"/>
    <n v="14"/>
    <x v="1"/>
  </r>
  <r>
    <s v="2000001398"/>
    <x v="10"/>
    <s v="1300002662"/>
    <x v="62"/>
    <x v="3"/>
    <x v="27"/>
    <n v="12"/>
    <d v="2026-04-29T00:00:00"/>
    <n v="36040"/>
    <s v="USD"/>
    <x v="1"/>
    <d v="2026-06-13T00:00:00"/>
    <n v="-33"/>
    <x v="6"/>
    <x v="30"/>
    <n v="36040"/>
    <n v="12"/>
    <x v="1"/>
  </r>
  <r>
    <s v="1000000875"/>
    <x v="11"/>
    <s v="1300002741"/>
    <x v="63"/>
    <x v="3"/>
    <x v="31"/>
    <n v="19"/>
    <d v="2026-04-22T00:00:00"/>
    <n v="89.55"/>
    <s v="PEN"/>
    <x v="0"/>
    <m/>
    <m/>
    <x v="0"/>
    <x v="31"/>
    <n v="25.956521739130434"/>
    <m/>
    <x v="0"/>
  </r>
  <r>
    <s v="1000015257"/>
    <x v="12"/>
    <s v="1300002810"/>
    <x v="64"/>
    <x v="4"/>
    <x v="32"/>
    <n v="0"/>
    <d v="2026-04-30T00:00:00"/>
    <n v="-214"/>
    <s v="PEN"/>
    <x v="0"/>
    <m/>
    <m/>
    <x v="3"/>
    <x v="27"/>
    <n v="-62.028985507246375"/>
    <m/>
    <x v="0"/>
  </r>
  <r>
    <s v="1000006830"/>
    <x v="13"/>
    <s v="1200001499"/>
    <x v="65"/>
    <x v="0"/>
    <x v="25"/>
    <n v="-2"/>
    <d v="2026-05-13T00:00:00"/>
    <n v="301.37"/>
    <s v="PEN"/>
    <x v="0"/>
    <m/>
    <m/>
    <x v="0"/>
    <x v="22"/>
    <n v="87.353623188405791"/>
    <m/>
    <x v="0"/>
  </r>
  <r>
    <s v="1000006830"/>
    <x v="13"/>
    <s v="1200001500"/>
    <x v="66"/>
    <x v="0"/>
    <x v="25"/>
    <n v="-2"/>
    <d v="2026-05-13T00:00:00"/>
    <n v="47.2"/>
    <s v="PEN"/>
    <x v="0"/>
    <m/>
    <m/>
    <x v="0"/>
    <x v="22"/>
    <n v="13.681159420289855"/>
    <m/>
    <x v="0"/>
  </r>
  <r>
    <s v="1000006830"/>
    <x v="13"/>
    <s v="1200001517"/>
    <x v="67"/>
    <x v="0"/>
    <x v="25"/>
    <n v="-2"/>
    <d v="2026-05-13T00:00:00"/>
    <n v="70.8"/>
    <s v="PEN"/>
    <x v="0"/>
    <m/>
    <m/>
    <x v="0"/>
    <x v="22"/>
    <n v="20.521739130434781"/>
    <m/>
    <x v="0"/>
  </r>
  <r>
    <s v="1000006830"/>
    <x v="13"/>
    <s v="1200001518"/>
    <x v="68"/>
    <x v="0"/>
    <x v="25"/>
    <n v="-2"/>
    <d v="2026-05-13T00:00:00"/>
    <n v="318.83999999999997"/>
    <s v="PEN"/>
    <x v="0"/>
    <m/>
    <m/>
    <x v="0"/>
    <x v="22"/>
    <n v="92.417391304347817"/>
    <m/>
    <x v="0"/>
  </r>
  <r>
    <s v="1000006830"/>
    <x v="13"/>
    <s v="1200001522"/>
    <x v="69"/>
    <x v="0"/>
    <x v="25"/>
    <n v="-2"/>
    <d v="2026-05-13T00:00:00"/>
    <n v="321.14999999999998"/>
    <s v="PEN"/>
    <x v="0"/>
    <m/>
    <m/>
    <x v="0"/>
    <x v="22"/>
    <n v="93.086956521739125"/>
    <m/>
    <x v="0"/>
  </r>
  <r>
    <s v="1000006830"/>
    <x v="13"/>
    <s v="1200001523"/>
    <x v="70"/>
    <x v="0"/>
    <x v="25"/>
    <n v="-2"/>
    <d v="2026-05-13T00:00:00"/>
    <n v="135.69999999999999"/>
    <s v="PEN"/>
    <x v="0"/>
    <m/>
    <m/>
    <x v="0"/>
    <x v="22"/>
    <n v="39.333333333333329"/>
    <m/>
    <x v="0"/>
  </r>
  <r>
    <s v="1000006830"/>
    <x v="13"/>
    <s v="1200001537"/>
    <x v="71"/>
    <x v="0"/>
    <x v="33"/>
    <n v="-3"/>
    <d v="2026-05-14T00:00:00"/>
    <n v="70.8"/>
    <s v="PEN"/>
    <x v="0"/>
    <m/>
    <m/>
    <x v="0"/>
    <x v="32"/>
    <n v="20.521739130434781"/>
    <m/>
    <x v="0"/>
  </r>
  <r>
    <s v="1000006830"/>
    <x v="13"/>
    <s v="1200001538"/>
    <x v="72"/>
    <x v="0"/>
    <x v="33"/>
    <n v="-3"/>
    <d v="2026-05-14T00:00:00"/>
    <n v="256.52999999999997"/>
    <s v="PEN"/>
    <x v="0"/>
    <m/>
    <m/>
    <x v="0"/>
    <x v="32"/>
    <n v="74.356521739130429"/>
    <m/>
    <x v="0"/>
  </r>
  <r>
    <s v="1000006830"/>
    <x v="13"/>
    <s v="1200001552"/>
    <x v="73"/>
    <x v="0"/>
    <x v="34"/>
    <n v="-4"/>
    <d v="2026-05-15T00:00:00"/>
    <n v="258.37"/>
    <s v="PEN"/>
    <x v="0"/>
    <m/>
    <m/>
    <x v="0"/>
    <x v="33"/>
    <n v="74.88985507246376"/>
    <m/>
    <x v="0"/>
  </r>
  <r>
    <s v="1000006830"/>
    <x v="13"/>
    <s v="1200001553"/>
    <x v="74"/>
    <x v="0"/>
    <x v="34"/>
    <n v="-4"/>
    <d v="2026-05-15T00:00:00"/>
    <n v="135.69999999999999"/>
    <s v="PEN"/>
    <x v="0"/>
    <m/>
    <m/>
    <x v="0"/>
    <x v="33"/>
    <n v="39.333333333333329"/>
    <m/>
    <x v="0"/>
  </r>
  <r>
    <s v="2000001172"/>
    <x v="14"/>
    <s v="1300001584"/>
    <x v="75"/>
    <x v="3"/>
    <x v="35"/>
    <n v="57"/>
    <d v="2026-03-15T00:00:00"/>
    <n v="147743.07"/>
    <s v="USD"/>
    <x v="1"/>
    <d v="2026-04-29T00:00:00"/>
    <n v="5"/>
    <x v="7"/>
    <x v="33"/>
    <n v="147743.07"/>
    <n v="57"/>
    <x v="2"/>
  </r>
  <r>
    <s v="2000001172"/>
    <x v="14"/>
    <s v="1200000623"/>
    <x v="76"/>
    <x v="2"/>
    <x v="36"/>
    <n v="-1"/>
    <d v="2026-05-12T00:00:00"/>
    <n v="177221.7"/>
    <s v="USD"/>
    <x v="1"/>
    <d v="2026-05-12T00:00:00"/>
    <n v="-1"/>
    <x v="8"/>
    <x v="21"/>
    <n v="177221.7"/>
    <n v="44"/>
    <x v="1"/>
  </r>
  <r>
    <s v="2000001172"/>
    <x v="14"/>
    <s v="1200000754"/>
    <x v="77"/>
    <x v="2"/>
    <x v="37"/>
    <n v="-12"/>
    <d v="2026-05-23T00:00:00"/>
    <n v="175000"/>
    <s v="USD"/>
    <x v="1"/>
    <d v="2026-05-23T00:00:00"/>
    <n v="-12"/>
    <x v="9"/>
    <x v="34"/>
    <n v="175000"/>
    <n v="33"/>
    <x v="1"/>
  </r>
  <r>
    <s v="2000001172"/>
    <x v="14"/>
    <s v="1300002695"/>
    <x v="78"/>
    <x v="4"/>
    <x v="38"/>
    <n v="0"/>
    <d v="2026-04-30T00:00:00"/>
    <n v="-36224"/>
    <s v="USD"/>
    <x v="1"/>
    <d v="2026-06-12T00:00:00"/>
    <m/>
    <x v="3"/>
    <x v="27"/>
    <n v="-36224"/>
    <n v="13"/>
    <x v="1"/>
  </r>
  <r>
    <s v="2000000231"/>
    <x v="15"/>
    <s v="1200001281"/>
    <x v="79"/>
    <x v="2"/>
    <x v="39"/>
    <n v="-30"/>
    <d v="2026-06-10T00:00:00"/>
    <n v="105300"/>
    <s v="USD"/>
    <x v="1"/>
    <d v="2026-06-10T00:00:00"/>
    <n v="-30"/>
    <x v="10"/>
    <x v="35"/>
    <n v="105300"/>
    <n v="15"/>
    <x v="1"/>
  </r>
  <r>
    <s v="2000001409"/>
    <x v="16"/>
    <s v="1300002664"/>
    <x v="80"/>
    <x v="3"/>
    <x v="39"/>
    <n v="0"/>
    <d v="2026-04-26T00:00:00"/>
    <n v="-4560"/>
    <s v="USD"/>
    <x v="1"/>
    <d v="2026-06-10T00:00:00"/>
    <m/>
    <x v="11"/>
    <x v="36"/>
    <n v="-4560"/>
    <n v="15"/>
    <x v="1"/>
  </r>
  <r>
    <s v="2000001409"/>
    <x v="16"/>
    <s v="1200001360"/>
    <x v="81"/>
    <x v="2"/>
    <x v="27"/>
    <n v="-33"/>
    <d v="2026-06-13T00:00:00"/>
    <n v="396900"/>
    <s v="USD"/>
    <x v="1"/>
    <d v="2026-06-13T00:00:00"/>
    <n v="-33"/>
    <x v="6"/>
    <x v="30"/>
    <n v="396900"/>
    <n v="12"/>
    <x v="1"/>
  </r>
  <r>
    <s v="6002007"/>
    <x v="17"/>
    <s v="1200005141"/>
    <x v="82"/>
    <x v="0"/>
    <x v="40"/>
    <n v="182"/>
    <d v="2025-11-10T00:00:00"/>
    <n v="1403.26"/>
    <s v="PEN"/>
    <x v="2"/>
    <m/>
    <m/>
    <x v="0"/>
    <x v="37"/>
    <n v="406.7420289855072"/>
    <m/>
    <x v="0"/>
  </r>
  <r>
    <s v="6002007"/>
    <x v="17"/>
    <s v="1200005142"/>
    <x v="83"/>
    <x v="0"/>
    <x v="40"/>
    <n v="182"/>
    <d v="2025-11-10T00:00:00"/>
    <n v="141.6"/>
    <s v="PEN"/>
    <x v="2"/>
    <m/>
    <m/>
    <x v="0"/>
    <x v="37"/>
    <n v="41.043478260869563"/>
    <m/>
    <x v="0"/>
  </r>
  <r>
    <s v="6002007"/>
    <x v="17"/>
    <s v="1200005158"/>
    <x v="84"/>
    <x v="0"/>
    <x v="41"/>
    <n v="179"/>
    <d v="2025-11-13T00:00:00"/>
    <n v="1193.22"/>
    <s v="PEN"/>
    <x v="2"/>
    <m/>
    <m/>
    <x v="0"/>
    <x v="38"/>
    <n v="345.8608695652174"/>
    <m/>
    <x v="0"/>
  </r>
  <r>
    <s v="6002007"/>
    <x v="17"/>
    <s v="1200005159"/>
    <x v="85"/>
    <x v="0"/>
    <x v="41"/>
    <n v="179"/>
    <d v="2025-11-13T00:00:00"/>
    <n v="106.2"/>
    <s v="PEN"/>
    <x v="2"/>
    <m/>
    <m/>
    <x v="0"/>
    <x v="38"/>
    <n v="30.782608695652172"/>
    <m/>
    <x v="0"/>
  </r>
  <r>
    <s v="6002007"/>
    <x v="17"/>
    <s v="1200001503"/>
    <x v="86"/>
    <x v="0"/>
    <x v="25"/>
    <n v="-2"/>
    <d v="2026-05-13T00:00:00"/>
    <n v="23.6"/>
    <s v="PEN"/>
    <x v="2"/>
    <m/>
    <m/>
    <x v="0"/>
    <x v="22"/>
    <n v="6.8405797101449277"/>
    <m/>
    <x v="0"/>
  </r>
  <r>
    <s v="6002007"/>
    <x v="17"/>
    <s v="1200001504"/>
    <x v="87"/>
    <x v="0"/>
    <x v="25"/>
    <n v="-2"/>
    <d v="2026-05-13T00:00:00"/>
    <n v="261.49"/>
    <s v="PEN"/>
    <x v="2"/>
    <m/>
    <m/>
    <x v="0"/>
    <x v="22"/>
    <n v="75.794202898550722"/>
    <m/>
    <x v="0"/>
  </r>
  <r>
    <s v="6002007"/>
    <x v="17"/>
    <s v="1200001509"/>
    <x v="88"/>
    <x v="0"/>
    <x v="25"/>
    <n v="-2"/>
    <d v="2026-05-13T00:00:00"/>
    <n v="387.51"/>
    <s v="PEN"/>
    <x v="2"/>
    <m/>
    <m/>
    <x v="0"/>
    <x v="22"/>
    <n v="112.32173913043478"/>
    <m/>
    <x v="0"/>
  </r>
  <r>
    <s v="6002007"/>
    <x v="17"/>
    <s v="1200001510"/>
    <x v="89"/>
    <x v="0"/>
    <x v="25"/>
    <n v="-2"/>
    <d v="2026-05-13T00:00:00"/>
    <n v="35.4"/>
    <s v="PEN"/>
    <x v="2"/>
    <m/>
    <m/>
    <x v="0"/>
    <x v="22"/>
    <n v="10.260869565217391"/>
    <m/>
    <x v="0"/>
  </r>
  <r>
    <s v="6001105"/>
    <x v="18"/>
    <s v="1200001299"/>
    <x v="90"/>
    <x v="0"/>
    <x v="38"/>
    <n v="13"/>
    <d v="2026-04-28T00:00:00"/>
    <n v="438.96"/>
    <s v="PEN"/>
    <x v="0"/>
    <m/>
    <m/>
    <x v="0"/>
    <x v="39"/>
    <n v="127.23478260869564"/>
    <m/>
    <x v="0"/>
  </r>
  <r>
    <s v="6001105"/>
    <x v="18"/>
    <s v="1200001300"/>
    <x v="91"/>
    <x v="0"/>
    <x v="38"/>
    <n v="13"/>
    <d v="2026-04-28T00:00:00"/>
    <n v="59"/>
    <s v="PEN"/>
    <x v="0"/>
    <m/>
    <m/>
    <x v="0"/>
    <x v="39"/>
    <n v="17.101449275362317"/>
    <m/>
    <x v="0"/>
  </r>
  <r>
    <s v="6001105"/>
    <x v="18"/>
    <s v="1200001301"/>
    <x v="92"/>
    <x v="0"/>
    <x v="38"/>
    <n v="13"/>
    <d v="2026-04-28T00:00:00"/>
    <n v="716.71"/>
    <s v="PEN"/>
    <x v="0"/>
    <m/>
    <m/>
    <x v="0"/>
    <x v="39"/>
    <n v="207.74202898550723"/>
    <m/>
    <x v="0"/>
  </r>
  <r>
    <s v="6001105"/>
    <x v="18"/>
    <s v="1200001302"/>
    <x v="93"/>
    <x v="0"/>
    <x v="38"/>
    <n v="13"/>
    <d v="2026-04-28T00:00:00"/>
    <n v="129.80000000000001"/>
    <s v="PEN"/>
    <x v="0"/>
    <m/>
    <m/>
    <x v="0"/>
    <x v="39"/>
    <n v="37.623188405797102"/>
    <m/>
    <x v="0"/>
  </r>
  <r>
    <s v="6001105"/>
    <x v="18"/>
    <s v="1200001388"/>
    <x v="94"/>
    <x v="0"/>
    <x v="23"/>
    <n v="9"/>
    <d v="2026-05-02T00:00:00"/>
    <n v="417.72"/>
    <s v="PEN"/>
    <x v="0"/>
    <m/>
    <m/>
    <x v="0"/>
    <x v="20"/>
    <n v="121.07826086956521"/>
    <m/>
    <x v="0"/>
  </r>
  <r>
    <s v="6001105"/>
    <x v="18"/>
    <s v="1200001389"/>
    <x v="95"/>
    <x v="0"/>
    <x v="23"/>
    <n v="9"/>
    <d v="2026-05-02T00:00:00"/>
    <n v="70.8"/>
    <s v="PEN"/>
    <x v="0"/>
    <m/>
    <m/>
    <x v="0"/>
    <x v="20"/>
    <n v="20.521739130434781"/>
    <m/>
    <x v="0"/>
  </r>
  <r>
    <s v="6001105"/>
    <x v="18"/>
    <s v="1200001474"/>
    <x v="96"/>
    <x v="0"/>
    <x v="21"/>
    <n v="6"/>
    <d v="2026-05-05T00:00:00"/>
    <n v="23.6"/>
    <s v="PEN"/>
    <x v="0"/>
    <m/>
    <m/>
    <x v="0"/>
    <x v="25"/>
    <n v="6.8405797101449277"/>
    <m/>
    <x v="0"/>
  </r>
  <r>
    <s v="6001105"/>
    <x v="18"/>
    <s v="1200001545"/>
    <x v="97"/>
    <x v="0"/>
    <x v="33"/>
    <n v="4"/>
    <d v="2026-05-07T00:00:00"/>
    <n v="297.60000000000002"/>
    <s v="PEN"/>
    <x v="0"/>
    <m/>
    <m/>
    <x v="0"/>
    <x v="12"/>
    <n v="86.260869565217391"/>
    <m/>
    <x v="0"/>
  </r>
  <r>
    <s v="6001105"/>
    <x v="18"/>
    <s v="1200001546"/>
    <x v="98"/>
    <x v="0"/>
    <x v="33"/>
    <n v="4"/>
    <d v="2026-05-07T00:00:00"/>
    <n v="59"/>
    <s v="PEN"/>
    <x v="0"/>
    <m/>
    <m/>
    <x v="0"/>
    <x v="12"/>
    <n v="17.101449275362317"/>
    <m/>
    <x v="0"/>
  </r>
  <r>
    <s v="6001105"/>
    <x v="18"/>
    <s v="1200001576"/>
    <x v="99"/>
    <x v="0"/>
    <x v="42"/>
    <n v="2"/>
    <d v="2026-05-09T00:00:00"/>
    <n v="182.9"/>
    <s v="PEN"/>
    <x v="0"/>
    <m/>
    <m/>
    <x v="0"/>
    <x v="23"/>
    <n v="53.014492753623188"/>
    <m/>
    <x v="0"/>
  </r>
  <r>
    <s v="6001105"/>
    <x v="18"/>
    <s v="1200001577"/>
    <x v="100"/>
    <x v="0"/>
    <x v="42"/>
    <n v="2"/>
    <d v="2026-05-09T00:00:00"/>
    <n v="739.27"/>
    <s v="PEN"/>
    <x v="0"/>
    <m/>
    <m/>
    <x v="0"/>
    <x v="23"/>
    <n v="214.28115942028984"/>
    <m/>
    <x v="0"/>
  </r>
  <r>
    <s v="2000001359"/>
    <x v="19"/>
    <s v="1200000644"/>
    <x v="101"/>
    <x v="2"/>
    <x v="22"/>
    <n v="-2"/>
    <d v="2026-05-13T00:00:00"/>
    <n v="76700"/>
    <s v="USD"/>
    <x v="1"/>
    <d v="2026-05-13T00:00:00"/>
    <n v="-2"/>
    <x v="1"/>
    <x v="22"/>
    <n v="76700"/>
    <n v="43"/>
    <x v="1"/>
  </r>
  <r>
    <s v="2000001359"/>
    <x v="19"/>
    <s v="1200000958"/>
    <x v="102"/>
    <x v="2"/>
    <x v="29"/>
    <n v="-16"/>
    <d v="2026-05-27T00:00:00"/>
    <n v="36400"/>
    <s v="USD"/>
    <x v="1"/>
    <d v="2026-05-27T00:00:00"/>
    <n v="-16"/>
    <x v="4"/>
    <x v="28"/>
    <n v="36400"/>
    <n v="29"/>
    <x v="1"/>
  </r>
  <r>
    <s v="2000001359"/>
    <x v="19"/>
    <s v="1200000959"/>
    <x v="103"/>
    <x v="2"/>
    <x v="29"/>
    <n v="-31"/>
    <d v="2026-06-11T00:00:00"/>
    <n v="80600"/>
    <s v="USD"/>
    <x v="1"/>
    <d v="2026-05-27T00:00:00"/>
    <n v="-31"/>
    <x v="2"/>
    <x v="26"/>
    <n v="80600"/>
    <n v="29"/>
    <x v="1"/>
  </r>
  <r>
    <s v="2000001359"/>
    <x v="19"/>
    <s v="1200001191"/>
    <x v="104"/>
    <x v="2"/>
    <x v="31"/>
    <n v="-26"/>
    <d v="2026-06-06T00:00:00"/>
    <n v="36400"/>
    <s v="USD"/>
    <x v="1"/>
    <d v="2026-06-06T00:00:00"/>
    <n v="-26"/>
    <x v="12"/>
    <x v="40"/>
    <n v="36400"/>
    <n v="19"/>
    <x v="1"/>
  </r>
  <r>
    <s v="2000001359"/>
    <x v="19"/>
    <s v="1200001321"/>
    <x v="105"/>
    <x v="2"/>
    <x v="26"/>
    <n v="-31"/>
    <d v="2026-06-11T00:00:00"/>
    <n v="36400"/>
    <s v="USD"/>
    <x v="1"/>
    <d v="2026-06-11T00:00:00"/>
    <n v="-31"/>
    <x v="2"/>
    <x v="26"/>
    <n v="36400"/>
    <n v="14"/>
    <x v="1"/>
  </r>
  <r>
    <s v="2000001369"/>
    <x v="20"/>
    <s v="1300002668"/>
    <x v="106"/>
    <x v="3"/>
    <x v="43"/>
    <n v="28"/>
    <d v="2026-04-13T00:00:00"/>
    <n v="70212"/>
    <s v="USD"/>
    <x v="1"/>
    <d v="2026-05-28T00:00:00"/>
    <n v="-17"/>
    <x v="13"/>
    <x v="41"/>
    <n v="70212"/>
    <n v="28"/>
    <x v="1"/>
  </r>
  <r>
    <s v="1000013925"/>
    <x v="21"/>
    <s v="1300006898"/>
    <x v="107"/>
    <x v="3"/>
    <x v="44"/>
    <n v="202"/>
    <d v="2025-10-21T00:00:00"/>
    <n v="4460"/>
    <s v="PEN"/>
    <x v="3"/>
    <m/>
    <m/>
    <x v="0"/>
    <x v="42"/>
    <n v="1292.7536231884058"/>
    <m/>
    <x v="0"/>
  </r>
  <r>
    <s v="1000013925"/>
    <x v="21"/>
    <s v="1200005124"/>
    <x v="108"/>
    <x v="0"/>
    <x v="45"/>
    <n v="181"/>
    <d v="2025-11-11T00:00:00"/>
    <n v="7097.98"/>
    <s v="PEN"/>
    <x v="3"/>
    <m/>
    <m/>
    <x v="0"/>
    <x v="43"/>
    <n v="2057.3855072463766"/>
    <m/>
    <x v="0"/>
  </r>
  <r>
    <s v="1000013925"/>
    <x v="21"/>
    <s v="1200000182"/>
    <x v="109"/>
    <x v="0"/>
    <x v="46"/>
    <n v="93"/>
    <d v="2026-02-07T00:00:00"/>
    <n v="4003.46"/>
    <s v="PEN"/>
    <x v="3"/>
    <m/>
    <m/>
    <x v="0"/>
    <x v="44"/>
    <n v="1160.423188405797"/>
    <m/>
    <x v="0"/>
  </r>
  <r>
    <s v="1000013925"/>
    <x v="21"/>
    <s v="1200000382"/>
    <x v="110"/>
    <x v="0"/>
    <x v="47"/>
    <n v="62"/>
    <d v="2026-03-10T00:00:00"/>
    <n v="4956"/>
    <s v="PEN"/>
    <x v="3"/>
    <m/>
    <m/>
    <x v="0"/>
    <x v="45"/>
    <n v="1436.5217391304348"/>
    <m/>
    <x v="0"/>
  </r>
  <r>
    <s v="1000015185"/>
    <x v="22"/>
    <s v="1200001398"/>
    <x v="111"/>
    <x v="0"/>
    <x v="23"/>
    <n v="2"/>
    <d v="2026-05-09T00:00:00"/>
    <n v="427.21"/>
    <s v="PEN"/>
    <x v="0"/>
    <m/>
    <m/>
    <x v="0"/>
    <x v="23"/>
    <n v="123.82898550724636"/>
    <m/>
    <x v="0"/>
  </r>
  <r>
    <s v="1000015185"/>
    <x v="22"/>
    <s v="1200001399"/>
    <x v="112"/>
    <x v="0"/>
    <x v="23"/>
    <n v="2"/>
    <d v="2026-05-09T00:00:00"/>
    <n v="153.4"/>
    <s v="PEN"/>
    <x v="0"/>
    <m/>
    <m/>
    <x v="0"/>
    <x v="23"/>
    <n v="44.463768115942031"/>
    <m/>
    <x v="0"/>
  </r>
  <r>
    <s v="1000015185"/>
    <x v="22"/>
    <s v="1200001450"/>
    <x v="113"/>
    <x v="0"/>
    <x v="13"/>
    <n v="0"/>
    <d v="2026-05-11T00:00:00"/>
    <n v="903.31"/>
    <s v="PEN"/>
    <x v="0"/>
    <m/>
    <m/>
    <x v="0"/>
    <x v="13"/>
    <n v="261.82898550724633"/>
    <m/>
    <x v="0"/>
  </r>
  <r>
    <s v="1000015185"/>
    <x v="22"/>
    <s v="1200001451"/>
    <x v="114"/>
    <x v="0"/>
    <x v="13"/>
    <n v="0"/>
    <d v="2026-05-11T00:00:00"/>
    <n v="247.8"/>
    <s v="PEN"/>
    <x v="0"/>
    <m/>
    <m/>
    <x v="0"/>
    <x v="13"/>
    <n v="71.826086956521735"/>
    <m/>
    <x v="0"/>
  </r>
  <r>
    <s v="1000015185"/>
    <x v="22"/>
    <s v="1200001541"/>
    <x v="115"/>
    <x v="0"/>
    <x v="33"/>
    <n v="-3"/>
    <d v="2026-05-14T00:00:00"/>
    <n v="330.4"/>
    <s v="PEN"/>
    <x v="0"/>
    <m/>
    <m/>
    <x v="0"/>
    <x v="32"/>
    <n v="95.76811594202897"/>
    <m/>
    <x v="0"/>
  </r>
  <r>
    <s v="1000015185"/>
    <x v="22"/>
    <s v="1200001542"/>
    <x v="116"/>
    <x v="0"/>
    <x v="33"/>
    <n v="-3"/>
    <d v="2026-05-14T00:00:00"/>
    <n v="1130.96"/>
    <s v="PEN"/>
    <x v="0"/>
    <m/>
    <m/>
    <x v="0"/>
    <x v="32"/>
    <n v="327.8144927536232"/>
    <m/>
    <x v="0"/>
  </r>
  <r>
    <s v="1000015185"/>
    <x v="22"/>
    <s v="1200001557"/>
    <x v="117"/>
    <x v="0"/>
    <x v="34"/>
    <n v="-4"/>
    <d v="2026-05-15T00:00:00"/>
    <n v="194.7"/>
    <s v="PEN"/>
    <x v="0"/>
    <m/>
    <m/>
    <x v="0"/>
    <x v="33"/>
    <n v="56.434782608695649"/>
    <m/>
    <x v="0"/>
  </r>
  <r>
    <s v="1000015185"/>
    <x v="22"/>
    <s v="1200001558"/>
    <x v="118"/>
    <x v="0"/>
    <x v="34"/>
    <n v="-4"/>
    <d v="2026-05-15T00:00:00"/>
    <n v="807.5"/>
    <s v="PEN"/>
    <x v="0"/>
    <m/>
    <m/>
    <x v="0"/>
    <x v="33"/>
    <n v="234.05797101449275"/>
    <m/>
    <x v="0"/>
  </r>
  <r>
    <s v="2000000267"/>
    <x v="23"/>
    <s v="1300002619"/>
    <x v="80"/>
    <x v="3"/>
    <x v="31"/>
    <n v="0"/>
    <d v="2026-04-22T00:00:00"/>
    <n v="-7645"/>
    <s v="USD"/>
    <x v="1"/>
    <d v="2026-06-06T00:00:00"/>
    <m/>
    <x v="14"/>
    <x v="31"/>
    <n v="-7645"/>
    <n v="19"/>
    <x v="1"/>
  </r>
  <r>
    <s v="6000434"/>
    <x v="24"/>
    <s v="1200004540"/>
    <x v="119"/>
    <x v="0"/>
    <x v="48"/>
    <n v="209"/>
    <d v="2025-10-14T00:00:00"/>
    <n v="790"/>
    <s v="PEN"/>
    <x v="4"/>
    <m/>
    <m/>
    <x v="0"/>
    <x v="46"/>
    <n v="228.98550724637681"/>
    <m/>
    <x v="0"/>
  </r>
  <r>
    <s v="1000001607"/>
    <x v="25"/>
    <s v="1200001381"/>
    <x v="120"/>
    <x v="0"/>
    <x v="12"/>
    <n v="8"/>
    <d v="2026-05-03T00:00:00"/>
    <n v="47934.43"/>
    <s v="PEN"/>
    <x v="5"/>
    <m/>
    <m/>
    <x v="0"/>
    <x v="47"/>
    <n v="13894.03768115942"/>
    <m/>
    <x v="0"/>
  </r>
  <r>
    <s v="1000001607"/>
    <x v="25"/>
    <s v="1200001382"/>
    <x v="121"/>
    <x v="0"/>
    <x v="12"/>
    <n v="8"/>
    <d v="2026-05-03T00:00:00"/>
    <n v="54183.95"/>
    <s v="PEN"/>
    <x v="5"/>
    <m/>
    <m/>
    <x v="0"/>
    <x v="47"/>
    <n v="15705.492753623186"/>
    <m/>
    <x v="0"/>
  </r>
  <r>
    <s v="1000001607"/>
    <x v="25"/>
    <s v="1200001532"/>
    <x v="122"/>
    <x v="0"/>
    <x v="33"/>
    <n v="1"/>
    <d v="2026-05-10T00:00:00"/>
    <n v="32922.71"/>
    <s v="PEN"/>
    <x v="5"/>
    <m/>
    <m/>
    <x v="0"/>
    <x v="24"/>
    <n v="9542.8144927536232"/>
    <m/>
    <x v="0"/>
  </r>
  <r>
    <s v="2000001438"/>
    <x v="26"/>
    <s v="1300002730"/>
    <x v="123"/>
    <x v="3"/>
    <x v="27"/>
    <n v="12"/>
    <d v="2026-04-29T00:00:00"/>
    <n v="123265"/>
    <s v="USD"/>
    <x v="1"/>
    <d v="2026-06-13T00:00:00"/>
    <n v="-33"/>
    <x v="6"/>
    <x v="30"/>
    <n v="123265"/>
    <n v="12"/>
    <x v="1"/>
  </r>
  <r>
    <s v="2000001438"/>
    <x v="26"/>
    <s v="1300002731"/>
    <x v="124"/>
    <x v="3"/>
    <x v="27"/>
    <n v="12"/>
    <d v="2026-04-29T00:00:00"/>
    <n v="162355"/>
    <s v="USD"/>
    <x v="1"/>
    <d v="2026-06-13T00:00:00"/>
    <n v="-33"/>
    <x v="6"/>
    <x v="30"/>
    <n v="162355"/>
    <n v="12"/>
    <x v="1"/>
  </r>
  <r>
    <s v="2000001438"/>
    <x v="26"/>
    <s v="1300002729"/>
    <x v="125"/>
    <x v="3"/>
    <x v="12"/>
    <n v="11"/>
    <d v="2026-04-30T00:00:00"/>
    <n v="77257"/>
    <s v="USD"/>
    <x v="1"/>
    <d v="2026-06-14T00:00:00"/>
    <n v="-31"/>
    <x v="2"/>
    <x v="26"/>
    <n v="77257"/>
    <n v="11"/>
    <x v="1"/>
  </r>
  <r>
    <s v="1000015392"/>
    <x v="27"/>
    <s v="1100021551"/>
    <x v="126"/>
    <x v="6"/>
    <x v="49"/>
    <n v="390"/>
    <d v="2025-04-16T00:00:00"/>
    <n v="2198.11"/>
    <s v="USD"/>
    <x v="0"/>
    <m/>
    <m/>
    <x v="0"/>
    <x v="48"/>
    <m/>
    <m/>
    <x v="0"/>
  </r>
  <r>
    <s v="1000015392"/>
    <x v="27"/>
    <s v="1100021550"/>
    <x v="126"/>
    <x v="6"/>
    <x v="50"/>
    <n v="345"/>
    <d v="2025-05-31T00:00:00"/>
    <n v="7020.55"/>
    <s v="USD"/>
    <x v="0"/>
    <m/>
    <m/>
    <x v="0"/>
    <x v="48"/>
    <m/>
    <m/>
    <x v="0"/>
  </r>
  <r>
    <s v="1000015392"/>
    <x v="27"/>
    <s v="1100021552"/>
    <x v="126"/>
    <x v="6"/>
    <x v="51"/>
    <n v="265"/>
    <d v="2025-08-19T00:00:00"/>
    <n v="40781.339999999997"/>
    <s v="USD"/>
    <x v="0"/>
    <m/>
    <m/>
    <x v="0"/>
    <x v="48"/>
    <m/>
    <m/>
    <x v="0"/>
  </r>
  <r>
    <s v="1000001965"/>
    <x v="28"/>
    <s v="1200001481"/>
    <x v="127"/>
    <x v="0"/>
    <x v="21"/>
    <n v="6"/>
    <d v="2026-05-05T00:00:00"/>
    <n v="590"/>
    <s v="PEN"/>
    <x v="0"/>
    <m/>
    <m/>
    <x v="0"/>
    <x v="25"/>
    <n v="171.01449275362319"/>
    <m/>
    <x v="0"/>
  </r>
  <r>
    <s v="1000001965"/>
    <x v="28"/>
    <s v="1200001534"/>
    <x v="128"/>
    <x v="0"/>
    <x v="33"/>
    <n v="-3"/>
    <d v="2026-05-14T00:00:00"/>
    <n v="590"/>
    <s v="PEN"/>
    <x v="0"/>
    <m/>
    <m/>
    <x v="0"/>
    <x v="32"/>
    <n v="171.01449275362319"/>
    <m/>
    <x v="0"/>
  </r>
  <r>
    <s v="2000001418"/>
    <x v="29"/>
    <s v="1300002669"/>
    <x v="129"/>
    <x v="3"/>
    <x v="17"/>
    <n v="42"/>
    <d v="2026-03-30T00:00:00"/>
    <n v="56300"/>
    <s v="USD"/>
    <x v="1"/>
    <d v="2026-05-14T00:00:00"/>
    <n v="-3"/>
    <x v="15"/>
    <x v="32"/>
    <n v="56300"/>
    <n v="42"/>
    <x v="1"/>
  </r>
  <r>
    <s v="2000001418"/>
    <x v="29"/>
    <s v="1300002670"/>
    <x v="130"/>
    <x v="3"/>
    <x v="26"/>
    <n v="14"/>
    <d v="2026-04-27T00:00:00"/>
    <n v="116670"/>
    <s v="USD"/>
    <x v="1"/>
    <d v="2026-06-11T00:00:00"/>
    <n v="-31"/>
    <x v="2"/>
    <x v="26"/>
    <n v="116670"/>
    <n v="14"/>
    <x v="1"/>
  </r>
  <r>
    <s v="2000001440"/>
    <x v="30"/>
    <s v="1300002671"/>
    <x v="131"/>
    <x v="3"/>
    <x v="27"/>
    <n v="12"/>
    <d v="2026-04-29T00:00:00"/>
    <n v="56785"/>
    <s v="USD"/>
    <x v="1"/>
    <d v="2026-06-13T00:00:00"/>
    <n v="-33"/>
    <x v="6"/>
    <x v="30"/>
    <n v="56785"/>
    <n v="12"/>
    <x v="1"/>
  </r>
  <r>
    <s v="2000001440"/>
    <x v="30"/>
    <s v="1300002671"/>
    <x v="132"/>
    <x v="3"/>
    <x v="52"/>
    <n v="12"/>
    <d v="2026-05-31T00:00:00"/>
    <n v="-23675"/>
    <s v="USD"/>
    <x v="1"/>
    <d v="2026-07-15T00:00:00"/>
    <m/>
    <x v="16"/>
    <x v="49"/>
    <n v="-23675"/>
    <n v="-20"/>
    <x v="1"/>
  </r>
  <r>
    <s v="1000013801"/>
    <x v="31"/>
    <s v="1200001581"/>
    <x v="133"/>
    <x v="0"/>
    <x v="42"/>
    <n v="2"/>
    <d v="2026-05-09T00:00:00"/>
    <n v="320.72000000000003"/>
    <s v="PEN"/>
    <x v="0"/>
    <m/>
    <m/>
    <x v="0"/>
    <x v="23"/>
    <n v="92.962318840579712"/>
    <m/>
    <x v="0"/>
  </r>
  <r>
    <s v="1000013801"/>
    <x v="31"/>
    <s v="1200001582"/>
    <x v="134"/>
    <x v="0"/>
    <x v="42"/>
    <n v="2"/>
    <d v="2026-05-09T00:00:00"/>
    <n v="88.5"/>
    <s v="PEN"/>
    <x v="0"/>
    <m/>
    <m/>
    <x v="0"/>
    <x v="23"/>
    <n v="25.652173913043477"/>
    <m/>
    <x v="0"/>
  </r>
  <r>
    <s v="1000013794"/>
    <x v="32"/>
    <s v="1300005699"/>
    <x v="135"/>
    <x v="4"/>
    <x v="53"/>
    <n v="211"/>
    <d v="2025-10-12T00:00:00"/>
    <n v="56.64"/>
    <s v="PEN"/>
    <x v="0"/>
    <m/>
    <m/>
    <x v="0"/>
    <x v="50"/>
    <n v="16.417391304347824"/>
    <m/>
    <x v="0"/>
  </r>
  <r>
    <s v="1000013686"/>
    <x v="33"/>
    <s v="1200001483"/>
    <x v="136"/>
    <x v="0"/>
    <x v="21"/>
    <n v="-1"/>
    <d v="2026-05-12T00:00:00"/>
    <n v="424.8"/>
    <s v="PEN"/>
    <x v="0"/>
    <m/>
    <m/>
    <x v="0"/>
    <x v="21"/>
    <n v="123.13043478260869"/>
    <m/>
    <x v="0"/>
  </r>
  <r>
    <s v="1000013686"/>
    <x v="33"/>
    <s v="1200001519"/>
    <x v="137"/>
    <x v="0"/>
    <x v="25"/>
    <n v="-2"/>
    <d v="2026-05-13T00:00:00"/>
    <n v="3200.16"/>
    <s v="PEN"/>
    <x v="0"/>
    <m/>
    <m/>
    <x v="0"/>
    <x v="22"/>
    <n v="927.58260869565208"/>
    <m/>
    <x v="0"/>
  </r>
  <r>
    <s v="1000013686"/>
    <x v="33"/>
    <s v="1200001547"/>
    <x v="138"/>
    <x v="0"/>
    <x v="33"/>
    <n v="-3"/>
    <d v="2026-05-14T00:00:00"/>
    <n v="1189.44"/>
    <s v="PEN"/>
    <x v="0"/>
    <m/>
    <m/>
    <x v="0"/>
    <x v="32"/>
    <n v="344.76521739130436"/>
    <m/>
    <x v="0"/>
  </r>
  <r>
    <s v="1000013686"/>
    <x v="33"/>
    <s v="1200001559"/>
    <x v="139"/>
    <x v="0"/>
    <x v="34"/>
    <n v="-4"/>
    <d v="2026-05-15T00:00:00"/>
    <n v="396.48"/>
    <s v="PEN"/>
    <x v="0"/>
    <m/>
    <m/>
    <x v="0"/>
    <x v="33"/>
    <n v="114.92173913043479"/>
    <m/>
    <x v="0"/>
  </r>
  <r>
    <s v="2000000786"/>
    <x v="34"/>
    <s v="1200000615"/>
    <x v="140"/>
    <x v="2"/>
    <x v="36"/>
    <n v="-1"/>
    <d v="2026-05-12T00:00:00"/>
    <n v="86240"/>
    <s v="USD"/>
    <x v="1"/>
    <d v="2026-05-12T00:00:00"/>
    <n v="-1"/>
    <x v="8"/>
    <x v="21"/>
    <n v="86240"/>
    <n v="44"/>
    <x v="1"/>
  </r>
  <r>
    <s v="2000000786"/>
    <x v="34"/>
    <s v="1200000625"/>
    <x v="141"/>
    <x v="2"/>
    <x v="36"/>
    <n v="-1"/>
    <d v="2026-05-12T00:00:00"/>
    <n v="129600"/>
    <s v="USD"/>
    <x v="1"/>
    <d v="2026-05-12T00:00:00"/>
    <n v="-1"/>
    <x v="8"/>
    <x v="21"/>
    <n v="129600"/>
    <n v="44"/>
    <x v="1"/>
  </r>
  <r>
    <s v="2000000786"/>
    <x v="34"/>
    <s v="1200000802"/>
    <x v="142"/>
    <x v="2"/>
    <x v="37"/>
    <n v="-12"/>
    <d v="2026-05-23T00:00:00"/>
    <n v="78200"/>
    <s v="USD"/>
    <x v="1"/>
    <d v="2026-05-23T00:00:00"/>
    <n v="-12"/>
    <x v="9"/>
    <x v="34"/>
    <n v="78200"/>
    <n v="33"/>
    <x v="1"/>
  </r>
  <r>
    <s v="2000000786"/>
    <x v="34"/>
    <s v="1200000803"/>
    <x v="143"/>
    <x v="2"/>
    <x v="37"/>
    <n v="-12"/>
    <d v="2026-05-23T00:00:00"/>
    <n v="180000"/>
    <s v="USD"/>
    <x v="1"/>
    <d v="2026-05-23T00:00:00"/>
    <n v="-12"/>
    <x v="9"/>
    <x v="34"/>
    <n v="180000"/>
    <n v="33"/>
    <x v="1"/>
  </r>
  <r>
    <s v="2000000786"/>
    <x v="34"/>
    <s v="1200001269"/>
    <x v="144"/>
    <x v="2"/>
    <x v="20"/>
    <n v="-29"/>
    <d v="2026-06-09T00:00:00"/>
    <n v="110112"/>
    <s v="USD"/>
    <x v="1"/>
    <d v="2026-06-09T00:00:00"/>
    <n v="-29"/>
    <x v="17"/>
    <x v="51"/>
    <n v="110112"/>
    <n v="16"/>
    <x v="1"/>
  </r>
  <r>
    <s v="2000000786"/>
    <x v="34"/>
    <s v="1200001270"/>
    <x v="145"/>
    <x v="2"/>
    <x v="20"/>
    <n v="-29"/>
    <d v="2026-06-09T00:00:00"/>
    <n v="35520"/>
    <s v="USD"/>
    <x v="1"/>
    <d v="2026-06-09T00:00:00"/>
    <n v="-29"/>
    <x v="17"/>
    <x v="51"/>
    <n v="35520"/>
    <n v="16"/>
    <x v="1"/>
  </r>
  <r>
    <s v="2000000786"/>
    <x v="34"/>
    <s v="1200001277"/>
    <x v="146"/>
    <x v="2"/>
    <x v="20"/>
    <n v="-29"/>
    <d v="2026-06-09T00:00:00"/>
    <n v="41760"/>
    <s v="USD"/>
    <x v="1"/>
    <d v="2026-06-09T00:00:00"/>
    <n v="-29"/>
    <x v="17"/>
    <x v="51"/>
    <n v="41760"/>
    <n v="16"/>
    <x v="1"/>
  </r>
  <r>
    <s v="2000000786"/>
    <x v="34"/>
    <s v="1200001280"/>
    <x v="147"/>
    <x v="2"/>
    <x v="39"/>
    <n v="-30"/>
    <d v="2026-06-10T00:00:00"/>
    <n v="191070"/>
    <s v="USD"/>
    <x v="1"/>
    <d v="2026-06-10T00:00:00"/>
    <n v="-30"/>
    <x v="10"/>
    <x v="35"/>
    <n v="191070"/>
    <n v="15"/>
    <x v="1"/>
  </r>
  <r>
    <s v="2000000786"/>
    <x v="34"/>
    <s v="1200001344"/>
    <x v="148"/>
    <x v="2"/>
    <x v="27"/>
    <n v="-33"/>
    <d v="2026-06-13T00:00:00"/>
    <n v="53360"/>
    <s v="USD"/>
    <x v="1"/>
    <d v="2026-06-13T00:00:00"/>
    <n v="-33"/>
    <x v="6"/>
    <x v="30"/>
    <n v="53360"/>
    <n v="12"/>
    <x v="1"/>
  </r>
  <r>
    <s v="2000000786"/>
    <x v="34"/>
    <s v="1200001345"/>
    <x v="149"/>
    <x v="2"/>
    <x v="27"/>
    <n v="-33"/>
    <d v="2026-06-13T00:00:00"/>
    <n v="163070"/>
    <s v="USD"/>
    <x v="1"/>
    <d v="2026-06-13T00:00:00"/>
    <n v="-33"/>
    <x v="6"/>
    <x v="30"/>
    <n v="163070"/>
    <n v="12"/>
    <x v="1"/>
  </r>
  <r>
    <s v="2000000786"/>
    <x v="34"/>
    <s v="1200001346"/>
    <x v="150"/>
    <x v="2"/>
    <x v="27"/>
    <n v="-33"/>
    <d v="2026-06-13T00:00:00"/>
    <n v="52800"/>
    <s v="USD"/>
    <x v="1"/>
    <d v="2026-06-13T00:00:00"/>
    <n v="-33"/>
    <x v="6"/>
    <x v="30"/>
    <n v="52800"/>
    <n v="12"/>
    <x v="1"/>
  </r>
  <r>
    <s v="2000000786"/>
    <x v="34"/>
    <s v="1200001364"/>
    <x v="151"/>
    <x v="2"/>
    <x v="27"/>
    <n v="-33"/>
    <d v="2026-06-13T00:00:00"/>
    <n v="55680"/>
    <s v="USD"/>
    <x v="1"/>
    <d v="2026-06-13T00:00:00"/>
    <n v="-33"/>
    <x v="6"/>
    <x v="30"/>
    <n v="55680"/>
    <n v="12"/>
    <x v="1"/>
  </r>
  <r>
    <s v="2000000590"/>
    <x v="35"/>
    <s v="1300002699"/>
    <x v="152"/>
    <x v="4"/>
    <x v="12"/>
    <n v="0"/>
    <d v="2026-04-30T00:00:00"/>
    <n v="-6675"/>
    <s v="USD"/>
    <x v="1"/>
    <d v="2026-06-14T00:00:00"/>
    <m/>
    <x v="3"/>
    <x v="27"/>
    <n v="-6675"/>
    <n v="11"/>
    <x v="1"/>
  </r>
  <r>
    <s v="2000001444"/>
    <x v="36"/>
    <s v="1300002732"/>
    <x v="153"/>
    <x v="4"/>
    <x v="12"/>
    <n v="0"/>
    <d v="2026-04-30T00:00:00"/>
    <n v="-74009"/>
    <s v="USD"/>
    <x v="1"/>
    <d v="2026-06-14T00:00:00"/>
    <m/>
    <x v="3"/>
    <x v="27"/>
    <n v="-74009"/>
    <n v="11"/>
    <x v="1"/>
  </r>
  <r>
    <s v="2000001348"/>
    <x v="37"/>
    <s v="1200001241"/>
    <x v="154"/>
    <x v="2"/>
    <x v="54"/>
    <n v="-28"/>
    <d v="2026-06-08T00:00:00"/>
    <n v="30250"/>
    <s v="USD"/>
    <x v="1"/>
    <d v="2026-06-08T00:00:00"/>
    <n v="-28"/>
    <x v="18"/>
    <x v="52"/>
    <n v="30250"/>
    <n v="17"/>
    <x v="1"/>
  </r>
  <r>
    <s v="2000001069"/>
    <x v="38"/>
    <s v="1200000936"/>
    <x v="155"/>
    <x v="2"/>
    <x v="29"/>
    <n v="-16"/>
    <d v="2026-05-27T00:00:00"/>
    <n v="94500"/>
    <s v="USD"/>
    <x v="1"/>
    <d v="2026-05-27T00:00:00"/>
    <n v="-16"/>
    <x v="4"/>
    <x v="28"/>
    <n v="94500"/>
    <n v="29"/>
    <x v="1"/>
  </r>
  <r>
    <s v="2000001069"/>
    <x v="38"/>
    <s v="1300002672"/>
    <x v="156"/>
    <x v="3"/>
    <x v="29"/>
    <n v="29"/>
    <d v="2026-04-12T00:00:00"/>
    <n v="5000"/>
    <s v="USD"/>
    <x v="1"/>
    <d v="2026-05-27T00:00:00"/>
    <n v="-16"/>
    <x v="4"/>
    <x v="28"/>
    <n v="5000"/>
    <n v="29"/>
    <x v="1"/>
  </r>
  <r>
    <s v="2000001069"/>
    <x v="38"/>
    <s v="1200001190"/>
    <x v="157"/>
    <x v="2"/>
    <x v="31"/>
    <n v="-26"/>
    <d v="2026-06-06T00:00:00"/>
    <n v="95904"/>
    <s v="USD"/>
    <x v="1"/>
    <d v="2026-06-06T00:00:00"/>
    <n v="-26"/>
    <x v="12"/>
    <x v="40"/>
    <n v="95904"/>
    <n v="19"/>
    <x v="1"/>
  </r>
  <r>
    <m/>
    <x v="39"/>
    <m/>
    <x v="158"/>
    <x v="7"/>
    <x v="55"/>
    <m/>
    <m/>
    <m/>
    <m/>
    <x v="6"/>
    <m/>
    <m/>
    <x v="0"/>
    <x v="48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271C5-45FD-4806-914C-69CD9915DE96}" name="TablaDinámica2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8:W61" firstHeaderRow="1" firstDataRow="3" firstDataCol="1" rowPageCount="2" colPageCount="1"/>
  <pivotFields count="23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axis="axisPage" multipleItemSelectionAllowed="1" showAll="0">
      <items count="9">
        <item x="1"/>
        <item x="5"/>
        <item x="2"/>
        <item x="0"/>
        <item x="4"/>
        <item x="6"/>
        <item x="3"/>
        <item x="7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>
      <items count="20">
        <item x="14"/>
        <item x="11"/>
        <item x="3"/>
        <item x="7"/>
        <item x="8"/>
        <item x="1"/>
        <item x="15"/>
        <item x="9"/>
        <item x="4"/>
        <item x="13"/>
        <item x="16"/>
        <item x="5"/>
        <item x="12"/>
        <item x="18"/>
        <item x="17"/>
        <item x="10"/>
        <item x="2"/>
        <item x="6"/>
        <item x="0"/>
        <item t="default"/>
      </items>
    </pivotField>
    <pivotField axis="axisCol" showAll="0">
      <items count="58">
        <item x="50"/>
        <item x="46"/>
        <item x="42"/>
        <item x="37"/>
        <item x="43"/>
        <item x="38"/>
        <item x="0"/>
        <item x="1"/>
        <item x="2"/>
        <item x="3"/>
        <item x="4"/>
        <item x="5"/>
        <item x="6"/>
        <item x="7"/>
        <item x="8"/>
        <item x="9"/>
        <item x="44"/>
        <item x="45"/>
        <item m="1" x="53"/>
        <item x="14"/>
        <item x="15"/>
        <item x="16"/>
        <item m="1" x="54"/>
        <item x="17"/>
        <item x="10"/>
        <item x="18"/>
        <item x="19"/>
        <item x="31"/>
        <item x="11"/>
        <item m="1" x="55"/>
        <item x="39"/>
        <item m="1" x="56"/>
        <item x="20"/>
        <item x="47"/>
        <item x="25"/>
        <item x="12"/>
        <item x="23"/>
        <item x="24"/>
        <item x="13"/>
        <item x="21"/>
        <item x="22"/>
        <item x="32"/>
        <item x="33"/>
        <item x="34"/>
        <item x="28"/>
        <item x="41"/>
        <item x="49"/>
        <item x="29"/>
        <item x="40"/>
        <item x="52"/>
        <item x="51"/>
        <item x="35"/>
        <item x="26"/>
        <item x="30"/>
        <item x="48"/>
        <item x="36"/>
        <item x="27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4"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>
      <x v="19"/>
    </i>
    <i>
      <x v="20"/>
    </i>
    <i>
      <x v="23"/>
    </i>
    <i>
      <x v="26"/>
    </i>
    <i>
      <x v="29"/>
    </i>
    <i>
      <x v="30"/>
    </i>
    <i>
      <x v="34"/>
    </i>
    <i>
      <x v="35"/>
    </i>
    <i>
      <x v="36"/>
    </i>
    <i>
      <x v="37"/>
    </i>
    <i>
      <x v="38"/>
    </i>
    <i t="grand">
      <x/>
    </i>
  </rowItems>
  <colFields count="2">
    <field x="18"/>
    <field x="14"/>
  </colFields>
  <colItems count="22">
    <i>
      <x v="4"/>
      <x v="27"/>
    </i>
    <i r="1">
      <x v="55"/>
    </i>
    <i r="1">
      <x v="56"/>
    </i>
    <i t="default">
      <x v="4"/>
    </i>
    <i>
      <x v="5"/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5"/>
    </i>
    <i>
      <x v="6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t="default">
      <x v="6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5F539-6F3A-424B-9738-6745AEA9602F}" name="TablaDinámica5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W30" firstHeaderRow="1" firstDataRow="4" firstDataCol="1" rowPageCount="2" colPageCount="1"/>
  <pivotFields count="23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axis="axisPage" multipleItemSelectionAllowed="1" showAll="0">
      <items count="9">
        <item x="1"/>
        <item x="5"/>
        <item x="2"/>
        <item x="0"/>
        <item x="4"/>
        <item x="6"/>
        <item x="3"/>
        <item x="7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axis="axisCol" showAll="0">
      <items count="20">
        <item x="14"/>
        <item x="11"/>
        <item x="3"/>
        <item x="7"/>
        <item x="8"/>
        <item x="1"/>
        <item x="15"/>
        <item x="9"/>
        <item x="4"/>
        <item x="13"/>
        <item x="16"/>
        <item x="5"/>
        <item x="12"/>
        <item x="18"/>
        <item x="17"/>
        <item x="10"/>
        <item x="2"/>
        <item x="6"/>
        <item x="0"/>
        <item t="default"/>
      </items>
    </pivotField>
    <pivotField showAll="0">
      <items count="58">
        <item x="50"/>
        <item x="46"/>
        <item x="42"/>
        <item x="37"/>
        <item x="43"/>
        <item x="38"/>
        <item x="0"/>
        <item x="1"/>
        <item x="2"/>
        <item x="3"/>
        <item x="4"/>
        <item x="5"/>
        <item x="6"/>
        <item x="7"/>
        <item x="8"/>
        <item x="9"/>
        <item x="44"/>
        <item x="45"/>
        <item m="1" x="53"/>
        <item x="14"/>
        <item x="15"/>
        <item x="16"/>
        <item m="1" x="54"/>
        <item x="17"/>
        <item x="10"/>
        <item x="18"/>
        <item x="19"/>
        <item x="31"/>
        <item x="11"/>
        <item m="1" x="55"/>
        <item x="39"/>
        <item m="1" x="56"/>
        <item x="27"/>
        <item x="20"/>
        <item x="47"/>
        <item x="25"/>
        <item x="12"/>
        <item x="23"/>
        <item x="24"/>
        <item x="13"/>
        <item x="21"/>
        <item x="22"/>
        <item x="32"/>
        <item x="33"/>
        <item x="34"/>
        <item x="28"/>
        <item x="41"/>
        <item x="49"/>
        <item x="29"/>
        <item x="40"/>
        <item x="52"/>
        <item x="51"/>
        <item x="35"/>
        <item x="26"/>
        <item x="30"/>
        <item x="48"/>
        <item x="36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x="117"/>
        <item sd="0" x="118"/>
        <item sd="0" x="119"/>
        <item sd="0" x="120"/>
        <item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1">
    <i>
      <x v="4"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>
      <x v="19"/>
    </i>
    <i>
      <x v="20"/>
    </i>
    <i>
      <x v="23"/>
    </i>
    <i>
      <x v="26"/>
    </i>
    <i>
      <x v="29"/>
    </i>
    <i>
      <x v="30"/>
    </i>
    <i>
      <x v="34"/>
    </i>
    <i>
      <x v="35"/>
    </i>
    <i>
      <x v="36"/>
    </i>
    <i>
      <x v="37"/>
    </i>
    <i>
      <x v="38"/>
    </i>
    <i t="grand">
      <x/>
    </i>
  </rowItems>
  <colFields count="3">
    <field x="22"/>
    <field x="21"/>
    <field x="13"/>
  </colFields>
  <colItems count="22">
    <i>
      <x v="4"/>
      <x v="113"/>
    </i>
    <i r="1">
      <x v="117"/>
      <x v="1"/>
    </i>
    <i r="1">
      <x v="121"/>
      <x v="2"/>
    </i>
    <i t="default">
      <x v="4"/>
    </i>
    <i>
      <x v="5"/>
      <x v="127"/>
    </i>
    <i r="1">
      <x v="133"/>
    </i>
    <i r="1">
      <x v="134"/>
    </i>
    <i r="1">
      <x v="135"/>
    </i>
    <i r="1">
      <x v="144"/>
    </i>
    <i r="1">
      <x v="148"/>
    </i>
    <i r="1">
      <x v="149"/>
    </i>
    <i r="1">
      <x v="152"/>
    </i>
    <i t="default">
      <x v="5"/>
    </i>
    <i>
      <x v="6"/>
      <x v="156"/>
    </i>
    <i r="1">
      <x v="158"/>
    </i>
    <i r="1">
      <x v="160"/>
    </i>
    <i r="1">
      <x v="161"/>
    </i>
    <i r="1">
      <x v="162"/>
    </i>
    <i r="1">
      <x v="163"/>
    </i>
    <i r="1">
      <x v="165"/>
    </i>
    <i t="default">
      <x v="6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F966D-22E5-4A6C-B11D-E86F6263091D}" name="TablaDinámica1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81" firstHeaderRow="1" firstDataRow="1" firstDataCol="1" rowPageCount="3" colPageCount="1"/>
  <pivotFields count="23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160">
        <item x="140"/>
        <item x="76"/>
        <item x="141"/>
        <item x="34"/>
        <item x="35"/>
        <item x="36"/>
        <item x="37"/>
        <item x="38"/>
        <item x="101"/>
        <item x="77"/>
        <item x="142"/>
        <item x="143"/>
        <item x="155"/>
        <item x="57"/>
        <item x="102"/>
        <item x="103"/>
        <item x="157"/>
        <item x="104"/>
        <item x="154"/>
        <item x="144"/>
        <item x="145"/>
        <item x="146"/>
        <item x="147"/>
        <item x="79"/>
        <item x="105"/>
        <item x="53"/>
        <item x="54"/>
        <item x="148"/>
        <item x="149"/>
        <item x="150"/>
        <item x="81"/>
        <item x="151"/>
        <item x="119"/>
        <item x="108"/>
        <item x="109"/>
        <item x="110"/>
        <item x="120"/>
        <item x="121"/>
        <item x="122"/>
        <item x="82"/>
        <item x="83"/>
        <item x="84"/>
        <item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5"/>
        <item x="26"/>
        <item x="27"/>
        <item x="28"/>
        <item x="29"/>
        <item x="30"/>
        <item x="31"/>
        <item x="90"/>
        <item x="91"/>
        <item x="92"/>
        <item x="93"/>
        <item x="94"/>
        <item x="95"/>
        <item x="111"/>
        <item x="112"/>
        <item x="113"/>
        <item x="114"/>
        <item x="32"/>
        <item x="33"/>
        <item x="96"/>
        <item x="127"/>
        <item x="136"/>
        <item x="65"/>
        <item x="66"/>
        <item x="86"/>
        <item x="87"/>
        <item x="88"/>
        <item x="89"/>
        <item x="67"/>
        <item x="68"/>
        <item x="137"/>
        <item x="69"/>
        <item x="70"/>
        <item x="128"/>
        <item x="71"/>
        <item x="72"/>
        <item x="115"/>
        <item x="116"/>
        <item x="97"/>
        <item x="98"/>
        <item x="138"/>
        <item x="73"/>
        <item x="74"/>
        <item x="117"/>
        <item x="118"/>
        <item x="139"/>
        <item x="99"/>
        <item x="100"/>
        <item x="133"/>
        <item x="134"/>
        <item x="17"/>
        <item x="18"/>
        <item x="19"/>
        <item x="20"/>
        <item x="21"/>
        <item x="22"/>
        <item x="40"/>
        <item x="41"/>
        <item x="42"/>
        <item x="43"/>
        <item x="44"/>
        <item x="45"/>
        <item x="23"/>
        <item x="24"/>
        <item x="46"/>
        <item x="47"/>
        <item x="48"/>
        <item x="49"/>
        <item x="50"/>
        <item x="51"/>
        <item x="52"/>
        <item x="58"/>
        <item x="64"/>
        <item x="55"/>
        <item x="56"/>
        <item x="78"/>
        <item x="132"/>
        <item x="152"/>
        <item x="153"/>
        <item x="75"/>
        <item x="39"/>
        <item x="129"/>
        <item x="156"/>
        <item x="106"/>
        <item x="59"/>
        <item x="125"/>
        <item x="130"/>
        <item x="61"/>
        <item x="123"/>
        <item x="131"/>
        <item x="62"/>
        <item x="124"/>
        <item x="60"/>
        <item x="107"/>
        <item x="135"/>
        <item x="63"/>
        <item x="126"/>
        <item x="80"/>
        <item x="158"/>
        <item t="default"/>
      </items>
    </pivotField>
    <pivotField axis="axisPage" showAll="0">
      <items count="9">
        <item x="1"/>
        <item x="5"/>
        <item x="2"/>
        <item x="0"/>
        <item x="4"/>
        <item x="6"/>
        <item x="3"/>
        <item x="7"/>
        <item t="default"/>
      </items>
    </pivotField>
    <pivotField axis="axisPage" showAll="0">
      <items count="57">
        <item x="49"/>
        <item x="50"/>
        <item x="51"/>
        <item x="48"/>
        <item x="53"/>
        <item x="44"/>
        <item x="40"/>
        <item x="45"/>
        <item x="41"/>
        <item x="0"/>
        <item x="1"/>
        <item x="2"/>
        <item x="3"/>
        <item x="4"/>
        <item x="5"/>
        <item x="6"/>
        <item x="7"/>
        <item x="8"/>
        <item x="9"/>
        <item x="46"/>
        <item x="47"/>
        <item x="35"/>
        <item x="14"/>
        <item x="15"/>
        <item x="16"/>
        <item x="36"/>
        <item x="22"/>
        <item x="17"/>
        <item x="10"/>
        <item x="37"/>
        <item x="18"/>
        <item x="19"/>
        <item x="29"/>
        <item x="43"/>
        <item x="28"/>
        <item x="11"/>
        <item x="30"/>
        <item x="31"/>
        <item x="32"/>
        <item x="54"/>
        <item x="20"/>
        <item x="39"/>
        <item x="26"/>
        <item x="38"/>
        <item x="27"/>
        <item x="12"/>
        <item x="23"/>
        <item x="24"/>
        <item x="13"/>
        <item x="21"/>
        <item x="25"/>
        <item x="33"/>
        <item x="34"/>
        <item x="42"/>
        <item x="52"/>
        <item x="5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>
      <items count="20">
        <item x="14"/>
        <item x="11"/>
        <item x="3"/>
        <item x="7"/>
        <item x="8"/>
        <item x="1"/>
        <item x="15"/>
        <item x="9"/>
        <item x="4"/>
        <item x="13"/>
        <item x="16"/>
        <item x="5"/>
        <item x="12"/>
        <item x="18"/>
        <item x="17"/>
        <item x="10"/>
        <item x="2"/>
        <item x="6"/>
        <item x="0"/>
        <item t="default"/>
      </items>
    </pivotField>
    <pivotField showAll="0">
      <items count="58">
        <item x="50"/>
        <item x="46"/>
        <item x="42"/>
        <item x="37"/>
        <item x="43"/>
        <item x="38"/>
        <item x="0"/>
        <item x="1"/>
        <item x="2"/>
        <item x="3"/>
        <item x="4"/>
        <item x="5"/>
        <item x="6"/>
        <item x="7"/>
        <item x="8"/>
        <item x="9"/>
        <item x="44"/>
        <item x="45"/>
        <item m="1" x="53"/>
        <item x="14"/>
        <item x="15"/>
        <item x="16"/>
        <item m="1" x="54"/>
        <item x="17"/>
        <item x="10"/>
        <item x="18"/>
        <item x="19"/>
        <item x="31"/>
        <item x="11"/>
        <item m="1" x="55"/>
        <item x="39"/>
        <item m="1" x="56"/>
        <item x="27"/>
        <item x="20"/>
        <item x="47"/>
        <item x="25"/>
        <item x="12"/>
        <item x="23"/>
        <item x="24"/>
        <item x="13"/>
        <item x="21"/>
        <item x="22"/>
        <item x="32"/>
        <item x="33"/>
        <item x="34"/>
        <item x="28"/>
        <item x="41"/>
        <item x="49"/>
        <item x="29"/>
        <item x="40"/>
        <item x="52"/>
        <item x="51"/>
        <item x="35"/>
        <item x="26"/>
        <item x="30"/>
        <item x="48"/>
        <item x="36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76">
    <i>
      <x v="4"/>
    </i>
    <i r="1">
      <x v="3"/>
    </i>
    <i r="1">
      <x v="4"/>
    </i>
    <i r="1">
      <x v="5"/>
    </i>
    <i r="1">
      <x v="6"/>
    </i>
    <i r="1">
      <x v="7"/>
    </i>
    <i r="1">
      <x v="140"/>
    </i>
    <i>
      <x v="6"/>
    </i>
    <i r="1">
      <x v="25"/>
    </i>
    <i r="1">
      <x v="26"/>
    </i>
    <i r="1">
      <x v="133"/>
    </i>
    <i>
      <x v="7"/>
    </i>
    <i r="1">
      <x v="134"/>
    </i>
    <i>
      <x v="8"/>
    </i>
    <i r="1">
      <x v="13"/>
    </i>
    <i r="1">
      <x v="131"/>
    </i>
    <i>
      <x v="9"/>
    </i>
    <i r="1">
      <x v="144"/>
    </i>
    <i r="1">
      <x v="152"/>
    </i>
    <i>
      <x v="10"/>
    </i>
    <i r="1">
      <x v="147"/>
    </i>
    <i r="1">
      <x v="150"/>
    </i>
    <i>
      <x v="14"/>
    </i>
    <i r="1">
      <x v="1"/>
    </i>
    <i r="1">
      <x v="9"/>
    </i>
    <i r="1">
      <x v="135"/>
    </i>
    <i r="1">
      <x v="139"/>
    </i>
    <i>
      <x v="15"/>
    </i>
    <i r="1">
      <x v="23"/>
    </i>
    <i>
      <x v="16"/>
    </i>
    <i r="1">
      <x v="30"/>
    </i>
    <i r="1">
      <x v="157"/>
    </i>
    <i>
      <x v="19"/>
    </i>
    <i r="1">
      <x v="8"/>
    </i>
    <i r="1">
      <x v="14"/>
    </i>
    <i r="1">
      <x v="15"/>
    </i>
    <i r="1">
      <x v="17"/>
    </i>
    <i r="1">
      <x v="24"/>
    </i>
    <i>
      <x v="20"/>
    </i>
    <i r="1">
      <x v="143"/>
    </i>
    <i>
      <x v="23"/>
    </i>
    <i r="1">
      <x v="157"/>
    </i>
    <i>
      <x v="26"/>
    </i>
    <i r="1">
      <x v="145"/>
    </i>
    <i r="1">
      <x v="148"/>
    </i>
    <i r="1">
      <x v="151"/>
    </i>
    <i>
      <x v="29"/>
    </i>
    <i r="1">
      <x v="141"/>
    </i>
    <i r="1">
      <x v="146"/>
    </i>
    <i>
      <x v="30"/>
    </i>
    <i r="1">
      <x v="136"/>
    </i>
    <i r="1">
      <x v="149"/>
    </i>
    <i>
      <x v="34"/>
    </i>
    <i r="1">
      <x/>
    </i>
    <i r="1">
      <x v="2"/>
    </i>
    <i r="1">
      <x v="10"/>
    </i>
    <i r="1">
      <x v="11"/>
    </i>
    <i r="1">
      <x v="19"/>
    </i>
    <i r="1">
      <x v="20"/>
    </i>
    <i r="1">
      <x v="21"/>
    </i>
    <i r="1">
      <x v="22"/>
    </i>
    <i r="1">
      <x v="27"/>
    </i>
    <i r="1">
      <x v="28"/>
    </i>
    <i r="1">
      <x v="29"/>
    </i>
    <i r="1">
      <x v="31"/>
    </i>
    <i>
      <x v="35"/>
    </i>
    <i r="1">
      <x v="137"/>
    </i>
    <i>
      <x v="36"/>
    </i>
    <i r="1">
      <x v="138"/>
    </i>
    <i>
      <x v="37"/>
    </i>
    <i r="1">
      <x v="18"/>
    </i>
    <i>
      <x v="38"/>
    </i>
    <i r="1">
      <x v="12"/>
    </i>
    <i r="1">
      <x v="16"/>
    </i>
    <i r="1">
      <x v="14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1BEB0-201D-49C5-856C-F42BDD618FDB}" name="TablaDinámica3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70" firstHeaderRow="0" firstDataRow="1" firstDataCol="1" rowPageCount="2" colPageCount="1"/>
  <pivotFields count="23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160">
        <item x="140"/>
        <item x="76"/>
        <item x="141"/>
        <item x="34"/>
        <item x="35"/>
        <item x="36"/>
        <item x="37"/>
        <item x="38"/>
        <item x="101"/>
        <item x="77"/>
        <item x="142"/>
        <item x="143"/>
        <item x="155"/>
        <item x="57"/>
        <item x="102"/>
        <item x="103"/>
        <item x="157"/>
        <item x="104"/>
        <item x="154"/>
        <item x="144"/>
        <item x="145"/>
        <item x="146"/>
        <item x="147"/>
        <item x="79"/>
        <item x="105"/>
        <item x="53"/>
        <item x="54"/>
        <item x="148"/>
        <item x="149"/>
        <item x="150"/>
        <item x="81"/>
        <item x="151"/>
        <item x="119"/>
        <item x="108"/>
        <item x="109"/>
        <item x="110"/>
        <item x="120"/>
        <item x="121"/>
        <item x="122"/>
        <item x="82"/>
        <item x="83"/>
        <item x="84"/>
        <item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5"/>
        <item x="26"/>
        <item x="27"/>
        <item x="28"/>
        <item x="29"/>
        <item x="30"/>
        <item x="31"/>
        <item x="90"/>
        <item x="91"/>
        <item x="92"/>
        <item x="93"/>
        <item x="94"/>
        <item x="95"/>
        <item x="111"/>
        <item x="112"/>
        <item x="113"/>
        <item x="114"/>
        <item x="32"/>
        <item x="33"/>
        <item x="96"/>
        <item x="127"/>
        <item x="136"/>
        <item x="65"/>
        <item x="66"/>
        <item x="86"/>
        <item x="87"/>
        <item x="88"/>
        <item x="89"/>
        <item x="67"/>
        <item x="68"/>
        <item x="137"/>
        <item x="69"/>
        <item x="70"/>
        <item x="128"/>
        <item x="71"/>
        <item x="72"/>
        <item x="115"/>
        <item x="116"/>
        <item x="97"/>
        <item x="98"/>
        <item x="138"/>
        <item x="73"/>
        <item x="74"/>
        <item x="117"/>
        <item x="118"/>
        <item x="139"/>
        <item x="99"/>
        <item x="100"/>
        <item x="133"/>
        <item x="134"/>
        <item x="17"/>
        <item x="18"/>
        <item x="19"/>
        <item x="20"/>
        <item x="21"/>
        <item x="22"/>
        <item x="40"/>
        <item x="41"/>
        <item x="42"/>
        <item x="43"/>
        <item x="44"/>
        <item x="45"/>
        <item x="23"/>
        <item x="24"/>
        <item x="46"/>
        <item x="47"/>
        <item x="48"/>
        <item x="49"/>
        <item x="50"/>
        <item x="51"/>
        <item x="52"/>
        <item x="58"/>
        <item x="64"/>
        <item x="55"/>
        <item x="56"/>
        <item x="78"/>
        <item x="132"/>
        <item x="152"/>
        <item x="153"/>
        <item x="75"/>
        <item x="39"/>
        <item x="129"/>
        <item x="156"/>
        <item x="106"/>
        <item x="59"/>
        <item x="125"/>
        <item x="130"/>
        <item x="61"/>
        <item x="123"/>
        <item x="131"/>
        <item x="62"/>
        <item x="124"/>
        <item x="60"/>
        <item x="107"/>
        <item x="135"/>
        <item x="63"/>
        <item x="126"/>
        <item x="80"/>
        <item x="158"/>
        <item t="default"/>
      </items>
    </pivotField>
    <pivotField axis="axisPage" multipleItemSelectionAllowed="1" showAll="0">
      <items count="9">
        <item h="1" x="1"/>
        <item h="1" x="5"/>
        <item x="2"/>
        <item h="1" x="0"/>
        <item h="1" x="4"/>
        <item h="1" x="6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0">
        <item x="14"/>
        <item x="11"/>
        <item x="3"/>
        <item x="7"/>
        <item x="8"/>
        <item x="1"/>
        <item x="15"/>
        <item x="9"/>
        <item x="4"/>
        <item x="13"/>
        <item x="16"/>
        <item x="5"/>
        <item x="12"/>
        <item x="18"/>
        <item x="17"/>
        <item x="10"/>
        <item x="2"/>
        <item x="6"/>
        <item x="0"/>
        <item t="default"/>
      </items>
    </pivotField>
    <pivotField showAll="0">
      <items count="58">
        <item x="50"/>
        <item x="46"/>
        <item x="42"/>
        <item x="37"/>
        <item x="43"/>
        <item x="38"/>
        <item x="0"/>
        <item x="1"/>
        <item x="2"/>
        <item x="3"/>
        <item x="4"/>
        <item x="5"/>
        <item x="6"/>
        <item x="7"/>
        <item x="8"/>
        <item x="9"/>
        <item x="44"/>
        <item x="45"/>
        <item m="1" x="53"/>
        <item x="14"/>
        <item x="15"/>
        <item x="16"/>
        <item m="1" x="54"/>
        <item x="17"/>
        <item x="10"/>
        <item x="18"/>
        <item x="19"/>
        <item x="31"/>
        <item x="11"/>
        <item m="1" x="55"/>
        <item x="39"/>
        <item m="1" x="56"/>
        <item x="27"/>
        <item x="20"/>
        <item x="47"/>
        <item x="25"/>
        <item x="12"/>
        <item x="23"/>
        <item x="24"/>
        <item x="13"/>
        <item x="21"/>
        <item x="22"/>
        <item x="32"/>
        <item x="33"/>
        <item x="34"/>
        <item x="28"/>
        <item x="41"/>
        <item x="49"/>
        <item x="29"/>
        <item x="40"/>
        <item x="52"/>
        <item x="51"/>
        <item x="35"/>
        <item x="26"/>
        <item x="30"/>
        <item x="48"/>
        <item x="36"/>
        <item t="default"/>
      </items>
    </pivotField>
    <pivotField dataField="1" showAll="0"/>
    <pivotField dataField="1"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66">
    <i>
      <x v="4"/>
    </i>
    <i r="1">
      <x v="3"/>
    </i>
    <i r="1">
      <x v="4"/>
    </i>
    <i r="1">
      <x v="5"/>
    </i>
    <i r="1">
      <x v="6"/>
    </i>
    <i r="1">
      <x v="7"/>
    </i>
    <i r="1">
      <x v="140"/>
    </i>
    <i>
      <x v="6"/>
    </i>
    <i r="1">
      <x v="25"/>
    </i>
    <i r="1">
      <x v="26"/>
    </i>
    <i>
      <x v="8"/>
    </i>
    <i r="1">
      <x v="13"/>
    </i>
    <i>
      <x v="9"/>
    </i>
    <i r="1">
      <x v="144"/>
    </i>
    <i r="1">
      <x v="152"/>
    </i>
    <i>
      <x v="10"/>
    </i>
    <i r="1">
      <x v="147"/>
    </i>
    <i r="1">
      <x v="150"/>
    </i>
    <i>
      <x v="14"/>
    </i>
    <i r="1">
      <x v="1"/>
    </i>
    <i r="1">
      <x v="9"/>
    </i>
    <i>
      <x v="15"/>
    </i>
    <i r="1">
      <x v="23"/>
    </i>
    <i>
      <x v="16"/>
    </i>
    <i r="1">
      <x v="30"/>
    </i>
    <i r="1">
      <x v="157"/>
    </i>
    <i>
      <x v="19"/>
    </i>
    <i r="1">
      <x v="8"/>
    </i>
    <i r="1">
      <x v="14"/>
    </i>
    <i r="1">
      <x v="15"/>
    </i>
    <i r="1">
      <x v="17"/>
    </i>
    <i r="1">
      <x v="24"/>
    </i>
    <i>
      <x v="20"/>
    </i>
    <i r="1">
      <x v="143"/>
    </i>
    <i>
      <x v="23"/>
    </i>
    <i r="1">
      <x v="157"/>
    </i>
    <i>
      <x v="26"/>
    </i>
    <i r="1">
      <x v="145"/>
    </i>
    <i r="1">
      <x v="148"/>
    </i>
    <i r="1">
      <x v="151"/>
    </i>
    <i>
      <x v="29"/>
    </i>
    <i r="1">
      <x v="141"/>
    </i>
    <i r="1">
      <x v="146"/>
    </i>
    <i>
      <x v="30"/>
    </i>
    <i r="1">
      <x v="136"/>
    </i>
    <i r="1">
      <x v="149"/>
    </i>
    <i>
      <x v="34"/>
    </i>
    <i r="1">
      <x/>
    </i>
    <i r="1">
      <x v="2"/>
    </i>
    <i r="1">
      <x v="10"/>
    </i>
    <i r="1">
      <x v="11"/>
    </i>
    <i r="1">
      <x v="19"/>
    </i>
    <i r="1">
      <x v="20"/>
    </i>
    <i r="1">
      <x v="21"/>
    </i>
    <i r="1">
      <x v="22"/>
    </i>
    <i r="1">
      <x v="27"/>
    </i>
    <i r="1">
      <x v="28"/>
    </i>
    <i r="1">
      <x v="29"/>
    </i>
    <i r="1">
      <x v="31"/>
    </i>
    <i>
      <x v="37"/>
    </i>
    <i r="1">
      <x v="18"/>
    </i>
    <i>
      <x v="38"/>
    </i>
    <i r="1">
      <x v="12"/>
    </i>
    <i r="1">
      <x v="16"/>
    </i>
    <i r="1">
      <x v="14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218EC-EBD5-4830-9BD2-D677C0FCF11E}" name="TablaDinámica4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3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160">
        <item x="140"/>
        <item x="76"/>
        <item x="141"/>
        <item x="34"/>
        <item x="35"/>
        <item x="36"/>
        <item x="37"/>
        <item x="38"/>
        <item x="101"/>
        <item x="77"/>
        <item x="142"/>
        <item x="143"/>
        <item x="155"/>
        <item x="57"/>
        <item x="102"/>
        <item x="103"/>
        <item x="157"/>
        <item x="104"/>
        <item x="154"/>
        <item x="144"/>
        <item x="145"/>
        <item x="146"/>
        <item x="147"/>
        <item x="79"/>
        <item x="105"/>
        <item x="53"/>
        <item x="54"/>
        <item x="148"/>
        <item x="149"/>
        <item x="150"/>
        <item x="81"/>
        <item x="151"/>
        <item x="119"/>
        <item x="108"/>
        <item x="109"/>
        <item x="110"/>
        <item x="120"/>
        <item x="121"/>
        <item x="122"/>
        <item x="82"/>
        <item x="83"/>
        <item x="84"/>
        <item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5"/>
        <item x="26"/>
        <item x="27"/>
        <item x="28"/>
        <item x="29"/>
        <item x="30"/>
        <item x="31"/>
        <item x="90"/>
        <item x="91"/>
        <item x="92"/>
        <item x="93"/>
        <item x="94"/>
        <item x="95"/>
        <item x="111"/>
        <item x="112"/>
        <item x="113"/>
        <item x="114"/>
        <item x="32"/>
        <item x="33"/>
        <item x="96"/>
        <item x="127"/>
        <item x="136"/>
        <item x="65"/>
        <item x="66"/>
        <item x="86"/>
        <item x="87"/>
        <item x="88"/>
        <item x="89"/>
        <item x="67"/>
        <item x="68"/>
        <item x="137"/>
        <item x="69"/>
        <item x="70"/>
        <item x="128"/>
        <item x="71"/>
        <item x="72"/>
        <item x="115"/>
        <item x="116"/>
        <item x="97"/>
        <item x="98"/>
        <item x="138"/>
        <item x="73"/>
        <item x="74"/>
        <item x="117"/>
        <item x="118"/>
        <item x="139"/>
        <item x="99"/>
        <item x="100"/>
        <item x="133"/>
        <item x="134"/>
        <item x="17"/>
        <item x="18"/>
        <item x="19"/>
        <item x="20"/>
        <item x="21"/>
        <item x="22"/>
        <item x="40"/>
        <item x="41"/>
        <item x="42"/>
        <item x="43"/>
        <item x="44"/>
        <item x="45"/>
        <item x="23"/>
        <item x="24"/>
        <item x="46"/>
        <item x="47"/>
        <item x="48"/>
        <item x="49"/>
        <item x="50"/>
        <item x="51"/>
        <item x="52"/>
        <item x="58"/>
        <item x="64"/>
        <item x="55"/>
        <item x="56"/>
        <item x="78"/>
        <item x="132"/>
        <item x="152"/>
        <item x="153"/>
        <item x="75"/>
        <item x="39"/>
        <item x="129"/>
        <item x="156"/>
        <item x="106"/>
        <item x="59"/>
        <item x="125"/>
        <item x="130"/>
        <item x="61"/>
        <item x="123"/>
        <item x="131"/>
        <item x="62"/>
        <item x="124"/>
        <item x="60"/>
        <item x="107"/>
        <item x="135"/>
        <item x="63"/>
        <item x="126"/>
        <item x="80"/>
        <item x="158"/>
        <item t="default"/>
      </items>
    </pivotField>
    <pivotField axis="axisPage" multipleItemSelectionAllowed="1" showAll="0">
      <items count="9">
        <item h="1" x="1"/>
        <item h="1" x="5"/>
        <item x="2"/>
        <item h="1" x="0"/>
        <item h="1" x="4"/>
        <item h="1" x="6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0">
        <item x="14"/>
        <item x="11"/>
        <item x="3"/>
        <item x="7"/>
        <item x="8"/>
        <item x="1"/>
        <item x="15"/>
        <item x="9"/>
        <item x="4"/>
        <item x="13"/>
        <item x="16"/>
        <item x="5"/>
        <item x="12"/>
        <item x="18"/>
        <item x="17"/>
        <item x="10"/>
        <item x="2"/>
        <item x="6"/>
        <item x="0"/>
        <item t="default"/>
      </items>
    </pivotField>
    <pivotField showAll="0">
      <items count="58">
        <item x="50"/>
        <item x="46"/>
        <item x="42"/>
        <item x="37"/>
        <item x="43"/>
        <item x="38"/>
        <item x="0"/>
        <item x="1"/>
        <item x="2"/>
        <item x="3"/>
        <item x="4"/>
        <item x="5"/>
        <item x="6"/>
        <item x="7"/>
        <item x="8"/>
        <item x="9"/>
        <item x="44"/>
        <item x="45"/>
        <item m="1" x="53"/>
        <item x="14"/>
        <item x="15"/>
        <item x="16"/>
        <item m="1" x="54"/>
        <item x="17"/>
        <item x="10"/>
        <item x="18"/>
        <item x="19"/>
        <item x="31"/>
        <item x="11"/>
        <item m="1" x="55"/>
        <item x="39"/>
        <item m="1" x="56"/>
        <item x="27"/>
        <item x="20"/>
        <item x="47"/>
        <item x="25"/>
        <item x="12"/>
        <item x="23"/>
        <item x="24"/>
        <item x="13"/>
        <item x="21"/>
        <item x="22"/>
        <item x="32"/>
        <item x="33"/>
        <item x="34"/>
        <item x="28"/>
        <item x="41"/>
        <item x="49"/>
        <item x="29"/>
        <item x="40"/>
        <item x="52"/>
        <item x="51"/>
        <item x="35"/>
        <item x="26"/>
        <item x="30"/>
        <item x="48"/>
        <item x="36"/>
        <item t="default"/>
      </items>
    </pivotField>
    <pivotField dataField="1" showAll="0"/>
    <pivotField dataField="1"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">
    <i>
      <x v="14"/>
    </i>
    <i r="1">
      <x v="13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E25A-5494-4407-9A1A-94850998EBE8}">
  <dimension ref="A1:W61"/>
  <sheetViews>
    <sheetView showGridLines="0" tabSelected="1" topLeftCell="A27" zoomScale="80" zoomScaleNormal="80" workbookViewId="0">
      <selection activeCell="A2" sqref="A2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4" width="10.33203125" bestFit="1" customWidth="1"/>
    <col min="5" max="5" width="8.88671875" bestFit="1" customWidth="1"/>
    <col min="6" max="13" width="10.33203125" bestFit="1" customWidth="1"/>
    <col min="14" max="14" width="10.44140625" bestFit="1" customWidth="1"/>
    <col min="15" max="18" width="9.33203125" bestFit="1" customWidth="1"/>
    <col min="19" max="19" width="10.33203125" bestFit="1" customWidth="1"/>
    <col min="20" max="22" width="10.44140625" bestFit="1" customWidth="1"/>
    <col min="23" max="23" width="12.21875" bestFit="1" customWidth="1"/>
    <col min="24" max="24" width="10.44140625" bestFit="1" customWidth="1"/>
    <col min="25" max="25" width="12.21875" bestFit="1" customWidth="1"/>
    <col min="26" max="34" width="10.33203125" bestFit="1" customWidth="1"/>
    <col min="35" max="39" width="9.33203125" bestFit="1" customWidth="1"/>
    <col min="40" max="49" width="10.33203125" bestFit="1" customWidth="1"/>
    <col min="50" max="53" width="9.33203125" bestFit="1" customWidth="1"/>
    <col min="54" max="57" width="10.33203125" bestFit="1" customWidth="1"/>
  </cols>
  <sheetData>
    <row r="1" spans="1:23" x14ac:dyDescent="0.3">
      <c r="A1" s="25" t="s">
        <v>590</v>
      </c>
    </row>
    <row r="2" spans="1:23" x14ac:dyDescent="0.3">
      <c r="A2" s="25"/>
    </row>
    <row r="3" spans="1:23" x14ac:dyDescent="0.3">
      <c r="A3" s="8" t="s">
        <v>4</v>
      </c>
      <c r="B3" t="s">
        <v>558</v>
      </c>
    </row>
    <row r="4" spans="1:23" x14ac:dyDescent="0.3">
      <c r="A4" s="8" t="s">
        <v>539</v>
      </c>
      <c r="B4" t="s">
        <v>549</v>
      </c>
    </row>
    <row r="6" spans="1:23" x14ac:dyDescent="0.3">
      <c r="A6" s="8" t="s">
        <v>545</v>
      </c>
      <c r="B6" s="8" t="s">
        <v>546</v>
      </c>
    </row>
    <row r="7" spans="1:23" x14ac:dyDescent="0.3">
      <c r="B7" t="s">
        <v>560</v>
      </c>
      <c r="E7" t="s">
        <v>568</v>
      </c>
      <c r="F7" t="s">
        <v>561</v>
      </c>
      <c r="N7" t="s">
        <v>569</v>
      </c>
      <c r="O7" t="s">
        <v>562</v>
      </c>
      <c r="V7" t="s">
        <v>570</v>
      </c>
      <c r="W7" t="s">
        <v>548</v>
      </c>
    </row>
    <row r="8" spans="1:23" x14ac:dyDescent="0.3">
      <c r="B8" t="s">
        <v>571</v>
      </c>
      <c r="C8" t="s">
        <v>572</v>
      </c>
      <c r="D8" t="s">
        <v>573</v>
      </c>
      <c r="F8" t="s">
        <v>574</v>
      </c>
      <c r="G8" t="s">
        <v>575</v>
      </c>
      <c r="H8" t="s">
        <v>576</v>
      </c>
      <c r="I8" t="s">
        <v>577</v>
      </c>
      <c r="J8" t="s">
        <v>578</v>
      </c>
      <c r="K8" t="s">
        <v>579</v>
      </c>
      <c r="L8" t="s">
        <v>580</v>
      </c>
      <c r="M8" t="s">
        <v>581</v>
      </c>
      <c r="O8" t="s">
        <v>582</v>
      </c>
      <c r="P8" t="s">
        <v>583</v>
      </c>
      <c r="Q8" t="s">
        <v>584</v>
      </c>
      <c r="R8" t="s">
        <v>585</v>
      </c>
      <c r="S8" t="s">
        <v>586</v>
      </c>
      <c r="T8" t="s">
        <v>587</v>
      </c>
      <c r="U8" t="s">
        <v>588</v>
      </c>
    </row>
    <row r="9" spans="1:23" x14ac:dyDescent="0.3">
      <c r="A9" s="8" t="s">
        <v>547</v>
      </c>
      <c r="C9" s="17">
        <v>46138</v>
      </c>
      <c r="D9" s="17">
        <v>46142</v>
      </c>
    </row>
    <row r="10" spans="1:23" x14ac:dyDescent="0.3">
      <c r="A10" s="9" t="s">
        <v>122</v>
      </c>
      <c r="B10" s="20"/>
      <c r="C10" s="20"/>
      <c r="D10" s="20"/>
      <c r="E10" s="20"/>
      <c r="F10" s="20"/>
      <c r="G10" s="20"/>
      <c r="H10" s="20">
        <v>144756.99</v>
      </c>
      <c r="I10" s="20"/>
      <c r="J10" s="20"/>
      <c r="K10" s="20"/>
      <c r="L10" s="20"/>
      <c r="M10" s="20"/>
      <c r="N10" s="20">
        <v>144756.99</v>
      </c>
      <c r="O10" s="20"/>
      <c r="P10" s="20"/>
      <c r="Q10" s="20"/>
      <c r="R10" s="20"/>
      <c r="S10" s="20"/>
      <c r="T10" s="20"/>
      <c r="U10" s="20"/>
      <c r="V10" s="20"/>
      <c r="W10" s="20">
        <v>144756.99</v>
      </c>
    </row>
    <row r="11" spans="1:23" x14ac:dyDescent="0.3">
      <c r="A11" s="9" t="s">
        <v>184</v>
      </c>
      <c r="B11" s="20"/>
      <c r="C11" s="20"/>
      <c r="D11" s="20">
        <v>-64701</v>
      </c>
      <c r="E11" s="20">
        <v>-64701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>
        <v>712656</v>
      </c>
      <c r="U11" s="20"/>
      <c r="V11" s="20">
        <v>712656</v>
      </c>
      <c r="W11" s="20">
        <v>647955</v>
      </c>
    </row>
    <row r="12" spans="1:23" x14ac:dyDescent="0.3">
      <c r="A12" s="9" t="s">
        <v>194</v>
      </c>
      <c r="B12" s="20"/>
      <c r="C12" s="20"/>
      <c r="D12" s="20">
        <v>-16145</v>
      </c>
      <c r="E12" s="20">
        <v>-16145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>
        <v>-16145</v>
      </c>
    </row>
    <row r="13" spans="1:23" x14ac:dyDescent="0.3">
      <c r="A13" s="9" t="s">
        <v>198</v>
      </c>
      <c r="B13" s="20"/>
      <c r="C13" s="20"/>
      <c r="D13" s="20"/>
      <c r="E13" s="20"/>
      <c r="F13" s="20"/>
      <c r="G13" s="20"/>
      <c r="H13" s="20"/>
      <c r="I13" s="20"/>
      <c r="J13" s="20"/>
      <c r="K13" s="20">
        <v>67550</v>
      </c>
      <c r="L13" s="20"/>
      <c r="M13" s="20"/>
      <c r="N13" s="20">
        <v>67550</v>
      </c>
      <c r="O13" s="20">
        <v>-0.02</v>
      </c>
      <c r="P13" s="20"/>
      <c r="Q13" s="20"/>
      <c r="R13" s="20"/>
      <c r="S13" s="20"/>
      <c r="T13" s="20"/>
      <c r="U13" s="20"/>
      <c r="V13" s="20">
        <v>-0.02</v>
      </c>
      <c r="W13" s="20">
        <v>67549.98</v>
      </c>
    </row>
    <row r="14" spans="1:23" x14ac:dyDescent="0.3">
      <c r="A14" s="9" t="s">
        <v>207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>
        <v>60182</v>
      </c>
      <c r="U14" s="20">
        <v>59598</v>
      </c>
      <c r="V14" s="20">
        <v>119780</v>
      </c>
      <c r="W14" s="20">
        <v>119780</v>
      </c>
    </row>
    <row r="15" spans="1:23" x14ac:dyDescent="0.3">
      <c r="A15" s="9" t="s">
        <v>214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>
        <v>19830</v>
      </c>
      <c r="U15" s="20">
        <v>36040</v>
      </c>
      <c r="V15" s="20">
        <v>55870</v>
      </c>
      <c r="W15" s="20">
        <v>55870</v>
      </c>
    </row>
    <row r="16" spans="1:23" x14ac:dyDescent="0.3">
      <c r="A16" s="9" t="s">
        <v>260</v>
      </c>
      <c r="B16" s="20"/>
      <c r="C16" s="20"/>
      <c r="D16" s="20">
        <v>-36224</v>
      </c>
      <c r="E16" s="20">
        <v>-36224</v>
      </c>
      <c r="F16" s="20">
        <v>147743.07</v>
      </c>
      <c r="G16" s="20">
        <v>177221.7</v>
      </c>
      <c r="H16" s="20"/>
      <c r="I16" s="20"/>
      <c r="J16" s="20">
        <v>175000</v>
      </c>
      <c r="K16" s="20"/>
      <c r="L16" s="20"/>
      <c r="M16" s="20"/>
      <c r="N16" s="20">
        <v>499964.77</v>
      </c>
      <c r="O16" s="20"/>
      <c r="P16" s="20"/>
      <c r="Q16" s="20"/>
      <c r="R16" s="20"/>
      <c r="S16" s="20"/>
      <c r="T16" s="20"/>
      <c r="U16" s="20"/>
      <c r="V16" s="20"/>
      <c r="W16" s="20">
        <v>463740.77</v>
      </c>
    </row>
    <row r="17" spans="1:23" x14ac:dyDescent="0.3">
      <c r="A17" s="9" t="s">
        <v>273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>
        <v>105300</v>
      </c>
      <c r="T17" s="20"/>
      <c r="U17" s="20"/>
      <c r="V17" s="20">
        <v>105300</v>
      </c>
      <c r="W17" s="20">
        <v>105300</v>
      </c>
    </row>
    <row r="18" spans="1:23" x14ac:dyDescent="0.3">
      <c r="A18" s="9" t="s">
        <v>278</v>
      </c>
      <c r="B18" s="20"/>
      <c r="C18" s="20">
        <v>-4560</v>
      </c>
      <c r="D18" s="20"/>
      <c r="E18" s="20">
        <v>-4560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>
        <v>396900</v>
      </c>
      <c r="V18" s="20">
        <v>396900</v>
      </c>
      <c r="W18" s="20">
        <v>392340</v>
      </c>
    </row>
    <row r="19" spans="1:23" x14ac:dyDescent="0.3">
      <c r="A19" s="9" t="s">
        <v>344</v>
      </c>
      <c r="B19" s="20"/>
      <c r="C19" s="20"/>
      <c r="D19" s="20"/>
      <c r="E19" s="20"/>
      <c r="F19" s="20"/>
      <c r="G19" s="20"/>
      <c r="H19" s="20">
        <v>76700</v>
      </c>
      <c r="I19" s="20"/>
      <c r="J19" s="20"/>
      <c r="K19" s="20">
        <v>36400</v>
      </c>
      <c r="L19" s="20"/>
      <c r="M19" s="20"/>
      <c r="N19" s="20">
        <v>113100</v>
      </c>
      <c r="O19" s="20"/>
      <c r="P19" s="20">
        <v>36400</v>
      </c>
      <c r="Q19" s="20"/>
      <c r="R19" s="20"/>
      <c r="S19" s="20"/>
      <c r="T19" s="20">
        <v>117000</v>
      </c>
      <c r="U19" s="20"/>
      <c r="V19" s="20">
        <v>153400</v>
      </c>
      <c r="W19" s="20">
        <v>266500</v>
      </c>
    </row>
    <row r="20" spans="1:23" x14ac:dyDescent="0.3">
      <c r="A20" s="9" t="s">
        <v>360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>
        <v>70212</v>
      </c>
      <c r="M20" s="20"/>
      <c r="N20" s="20">
        <v>70212</v>
      </c>
      <c r="O20" s="20"/>
      <c r="P20" s="20"/>
      <c r="Q20" s="20"/>
      <c r="R20" s="20"/>
      <c r="S20" s="20"/>
      <c r="T20" s="20"/>
      <c r="U20" s="20"/>
      <c r="V20" s="20"/>
      <c r="W20" s="20">
        <v>70212</v>
      </c>
    </row>
    <row r="21" spans="1:23" x14ac:dyDescent="0.3">
      <c r="A21" s="9" t="s">
        <v>402</v>
      </c>
      <c r="B21" s="20">
        <v>-7645</v>
      </c>
      <c r="C21" s="20"/>
      <c r="D21" s="20"/>
      <c r="E21" s="20">
        <v>-7645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>
        <v>-7645</v>
      </c>
    </row>
    <row r="22" spans="1:23" x14ac:dyDescent="0.3">
      <c r="A22" s="9" t="s">
        <v>420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>
        <v>77257</v>
      </c>
      <c r="U22" s="20">
        <v>285620</v>
      </c>
      <c r="V22" s="20">
        <v>362877</v>
      </c>
      <c r="W22" s="20">
        <v>362877</v>
      </c>
    </row>
    <row r="23" spans="1:23" x14ac:dyDescent="0.3">
      <c r="A23" s="9" t="s">
        <v>445</v>
      </c>
      <c r="B23" s="20"/>
      <c r="C23" s="20"/>
      <c r="D23" s="20"/>
      <c r="E23" s="20"/>
      <c r="F23" s="20"/>
      <c r="G23" s="20"/>
      <c r="H23" s="20"/>
      <c r="I23" s="20">
        <v>56300</v>
      </c>
      <c r="J23" s="20"/>
      <c r="K23" s="20"/>
      <c r="L23" s="20"/>
      <c r="M23" s="20"/>
      <c r="N23" s="20">
        <v>56300</v>
      </c>
      <c r="O23" s="20"/>
      <c r="P23" s="20"/>
      <c r="Q23" s="20"/>
      <c r="R23" s="20"/>
      <c r="S23" s="20"/>
      <c r="T23" s="20">
        <v>116670</v>
      </c>
      <c r="U23" s="20"/>
      <c r="V23" s="20">
        <v>116670</v>
      </c>
      <c r="W23" s="20">
        <v>172970</v>
      </c>
    </row>
    <row r="24" spans="1:23" x14ac:dyDescent="0.3">
      <c r="A24" s="9" t="s">
        <v>452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>
        <v>-23675</v>
      </c>
      <c r="N24" s="20">
        <v>-23675</v>
      </c>
      <c r="O24" s="20"/>
      <c r="P24" s="20"/>
      <c r="Q24" s="20"/>
      <c r="R24" s="20"/>
      <c r="S24" s="20"/>
      <c r="T24" s="20"/>
      <c r="U24" s="20">
        <v>56785</v>
      </c>
      <c r="V24" s="20">
        <v>56785</v>
      </c>
      <c r="W24" s="20">
        <v>33110</v>
      </c>
    </row>
    <row r="25" spans="1:23" x14ac:dyDescent="0.3">
      <c r="A25" s="9" t="s">
        <v>480</v>
      </c>
      <c r="B25" s="20"/>
      <c r="C25" s="20"/>
      <c r="D25" s="20"/>
      <c r="E25" s="20"/>
      <c r="F25" s="20"/>
      <c r="G25" s="20">
        <v>215840</v>
      </c>
      <c r="H25" s="20"/>
      <c r="I25" s="20"/>
      <c r="J25" s="20">
        <v>258200</v>
      </c>
      <c r="K25" s="20"/>
      <c r="L25" s="20"/>
      <c r="M25" s="20"/>
      <c r="N25" s="20">
        <v>474040</v>
      </c>
      <c r="O25" s="20"/>
      <c r="P25" s="20"/>
      <c r="Q25" s="20"/>
      <c r="R25" s="20">
        <v>187392</v>
      </c>
      <c r="S25" s="20">
        <v>191070</v>
      </c>
      <c r="T25" s="20"/>
      <c r="U25" s="20">
        <v>324910</v>
      </c>
      <c r="V25" s="20">
        <v>703372</v>
      </c>
      <c r="W25" s="20">
        <v>1177412</v>
      </c>
    </row>
    <row r="26" spans="1:23" x14ac:dyDescent="0.3">
      <c r="A26" s="9" t="s">
        <v>518</v>
      </c>
      <c r="B26" s="20"/>
      <c r="C26" s="20"/>
      <c r="D26" s="20">
        <v>-6675</v>
      </c>
      <c r="E26" s="20">
        <v>-6675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>
        <v>-6675</v>
      </c>
    </row>
    <row r="27" spans="1:23" x14ac:dyDescent="0.3">
      <c r="A27" s="9" t="s">
        <v>522</v>
      </c>
      <c r="B27" s="20"/>
      <c r="C27" s="20"/>
      <c r="D27" s="20">
        <v>-74009</v>
      </c>
      <c r="E27" s="20">
        <v>-74009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>
        <v>-74009</v>
      </c>
    </row>
    <row r="28" spans="1:23" x14ac:dyDescent="0.3">
      <c r="A28" s="9" t="s">
        <v>526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v>30250</v>
      </c>
      <c r="R28" s="20"/>
      <c r="S28" s="20"/>
      <c r="T28" s="20"/>
      <c r="U28" s="20"/>
      <c r="V28" s="20">
        <v>30250</v>
      </c>
      <c r="W28" s="20">
        <v>30250</v>
      </c>
    </row>
    <row r="29" spans="1:23" x14ac:dyDescent="0.3">
      <c r="A29" s="9" t="s">
        <v>530</v>
      </c>
      <c r="B29" s="20"/>
      <c r="C29" s="20"/>
      <c r="D29" s="20"/>
      <c r="E29" s="20"/>
      <c r="F29" s="20"/>
      <c r="G29" s="20"/>
      <c r="H29" s="20"/>
      <c r="I29" s="20"/>
      <c r="J29" s="20"/>
      <c r="K29" s="20">
        <v>99500</v>
      </c>
      <c r="L29" s="20"/>
      <c r="M29" s="20"/>
      <c r="N29" s="20">
        <v>99500</v>
      </c>
      <c r="O29" s="20"/>
      <c r="P29" s="20">
        <v>95904</v>
      </c>
      <c r="Q29" s="20"/>
      <c r="R29" s="20"/>
      <c r="S29" s="20"/>
      <c r="T29" s="20"/>
      <c r="U29" s="20"/>
      <c r="V29" s="20">
        <v>95904</v>
      </c>
      <c r="W29" s="20">
        <v>195404</v>
      </c>
    </row>
    <row r="30" spans="1:23" x14ac:dyDescent="0.3">
      <c r="A30" s="9" t="s">
        <v>548</v>
      </c>
      <c r="B30" s="20">
        <v>-7645</v>
      </c>
      <c r="C30" s="20">
        <v>-4560</v>
      </c>
      <c r="D30" s="20">
        <v>-197754</v>
      </c>
      <c r="E30" s="20">
        <v>-209959</v>
      </c>
      <c r="F30" s="20">
        <v>147743.07</v>
      </c>
      <c r="G30" s="20">
        <v>393061.7</v>
      </c>
      <c r="H30" s="20">
        <v>221456.99</v>
      </c>
      <c r="I30" s="20">
        <v>56300</v>
      </c>
      <c r="J30" s="20">
        <v>433200</v>
      </c>
      <c r="K30" s="20">
        <v>203450</v>
      </c>
      <c r="L30" s="20">
        <v>70212</v>
      </c>
      <c r="M30" s="20">
        <v>-23675</v>
      </c>
      <c r="N30" s="20">
        <v>1501748.76</v>
      </c>
      <c r="O30" s="20">
        <v>-0.02</v>
      </c>
      <c r="P30" s="20">
        <v>132304</v>
      </c>
      <c r="Q30" s="20">
        <v>30250</v>
      </c>
      <c r="R30" s="20">
        <v>187392</v>
      </c>
      <c r="S30" s="20">
        <v>296370</v>
      </c>
      <c r="T30" s="20">
        <v>1103595</v>
      </c>
      <c r="U30" s="20">
        <v>1159853</v>
      </c>
      <c r="V30" s="20">
        <v>2909763.98</v>
      </c>
      <c r="W30" s="20">
        <v>4201553.74</v>
      </c>
    </row>
    <row r="33" spans="1:23" x14ac:dyDescent="0.3">
      <c r="A33" s="25" t="s">
        <v>589</v>
      </c>
    </row>
    <row r="35" spans="1:23" x14ac:dyDescent="0.3">
      <c r="A35" s="8" t="s">
        <v>4</v>
      </c>
      <c r="B35" t="s">
        <v>558</v>
      </c>
    </row>
    <row r="36" spans="1:23" x14ac:dyDescent="0.3">
      <c r="A36" s="8" t="s">
        <v>539</v>
      </c>
      <c r="B36" t="s">
        <v>549</v>
      </c>
    </row>
    <row r="38" spans="1:23" x14ac:dyDescent="0.3">
      <c r="A38" s="8" t="s">
        <v>545</v>
      </c>
      <c r="B38" s="8" t="s">
        <v>546</v>
      </c>
    </row>
    <row r="39" spans="1:23" x14ac:dyDescent="0.3">
      <c r="B39" t="s">
        <v>560</v>
      </c>
      <c r="E39" t="s">
        <v>568</v>
      </c>
      <c r="F39" t="s">
        <v>561</v>
      </c>
      <c r="N39" t="s">
        <v>569</v>
      </c>
      <c r="O39" t="s">
        <v>562</v>
      </c>
      <c r="V39" t="s">
        <v>570</v>
      </c>
      <c r="W39" t="s">
        <v>548</v>
      </c>
    </row>
    <row r="40" spans="1:23" x14ac:dyDescent="0.3">
      <c r="A40" s="8" t="s">
        <v>547</v>
      </c>
      <c r="B40" s="17">
        <v>46134</v>
      </c>
      <c r="C40" s="17">
        <v>46138</v>
      </c>
      <c r="D40" s="17">
        <v>46142</v>
      </c>
      <c r="F40" s="17">
        <v>46154</v>
      </c>
      <c r="G40" s="17">
        <v>46155</v>
      </c>
      <c r="H40" s="17">
        <v>46156</v>
      </c>
      <c r="I40" s="17">
        <v>46157</v>
      </c>
      <c r="J40" s="17">
        <v>46165</v>
      </c>
      <c r="K40" s="17">
        <v>46169</v>
      </c>
      <c r="L40" s="17">
        <v>46170</v>
      </c>
      <c r="M40" s="17">
        <v>46173</v>
      </c>
      <c r="O40" s="17">
        <v>46177</v>
      </c>
      <c r="P40" s="17">
        <v>46179</v>
      </c>
      <c r="Q40" s="17">
        <v>46181</v>
      </c>
      <c r="R40" s="17">
        <v>46182</v>
      </c>
      <c r="S40" s="17">
        <v>46183</v>
      </c>
      <c r="T40" s="17">
        <v>46184</v>
      </c>
      <c r="U40" s="17">
        <v>46186</v>
      </c>
    </row>
    <row r="41" spans="1:23" x14ac:dyDescent="0.3">
      <c r="A41" s="9" t="s">
        <v>122</v>
      </c>
      <c r="B41" s="20"/>
      <c r="C41" s="20"/>
      <c r="D41" s="20"/>
      <c r="E41" s="20"/>
      <c r="F41" s="20"/>
      <c r="G41" s="20">
        <v>144756.99</v>
      </c>
      <c r="H41" s="20"/>
      <c r="I41" s="20"/>
      <c r="J41" s="20"/>
      <c r="K41" s="20"/>
      <c r="L41" s="20"/>
      <c r="M41" s="20"/>
      <c r="N41" s="20">
        <v>144756.99</v>
      </c>
      <c r="O41" s="20"/>
      <c r="P41" s="20"/>
      <c r="Q41" s="20"/>
      <c r="R41" s="20"/>
      <c r="S41" s="20"/>
      <c r="T41" s="20"/>
      <c r="U41" s="20"/>
      <c r="V41" s="20"/>
      <c r="W41" s="20">
        <v>144756.99</v>
      </c>
    </row>
    <row r="42" spans="1:23" x14ac:dyDescent="0.3">
      <c r="A42" s="9" t="s">
        <v>184</v>
      </c>
      <c r="B42" s="20"/>
      <c r="C42" s="20"/>
      <c r="D42" s="20">
        <v>-64701</v>
      </c>
      <c r="E42" s="20">
        <v>-64701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>
        <v>712656</v>
      </c>
      <c r="U42" s="20"/>
      <c r="V42" s="20">
        <v>712656</v>
      </c>
      <c r="W42" s="20">
        <v>647955</v>
      </c>
    </row>
    <row r="43" spans="1:23" x14ac:dyDescent="0.3">
      <c r="A43" s="9" t="s">
        <v>194</v>
      </c>
      <c r="B43" s="20"/>
      <c r="C43" s="20"/>
      <c r="D43" s="20">
        <v>-16145</v>
      </c>
      <c r="E43" s="20">
        <v>-16145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>
        <v>-16145</v>
      </c>
    </row>
    <row r="44" spans="1:23" x14ac:dyDescent="0.3">
      <c r="A44" s="9" t="s">
        <v>198</v>
      </c>
      <c r="B44" s="20"/>
      <c r="C44" s="20"/>
      <c r="D44" s="20"/>
      <c r="E44" s="20"/>
      <c r="F44" s="20"/>
      <c r="G44" s="20"/>
      <c r="H44" s="20"/>
      <c r="I44" s="20"/>
      <c r="J44" s="20"/>
      <c r="K44" s="20">
        <v>67550</v>
      </c>
      <c r="L44" s="20"/>
      <c r="M44" s="20"/>
      <c r="N44" s="20">
        <v>67550</v>
      </c>
      <c r="O44" s="20">
        <v>-0.02</v>
      </c>
      <c r="P44" s="20"/>
      <c r="Q44" s="20"/>
      <c r="R44" s="20"/>
      <c r="S44" s="20"/>
      <c r="T44" s="20"/>
      <c r="U44" s="20"/>
      <c r="V44" s="20">
        <v>-0.02</v>
      </c>
      <c r="W44" s="20">
        <v>67549.98</v>
      </c>
    </row>
    <row r="45" spans="1:23" x14ac:dyDescent="0.3">
      <c r="A45" s="9" t="s">
        <v>207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>
        <v>60182</v>
      </c>
      <c r="U45" s="20">
        <v>59598</v>
      </c>
      <c r="V45" s="20">
        <v>119780</v>
      </c>
      <c r="W45" s="20">
        <v>119780</v>
      </c>
    </row>
    <row r="46" spans="1:23" x14ac:dyDescent="0.3">
      <c r="A46" s="9" t="s">
        <v>214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>
        <v>19830</v>
      </c>
      <c r="U46" s="20">
        <v>36040</v>
      </c>
      <c r="V46" s="20">
        <v>55870</v>
      </c>
      <c r="W46" s="20">
        <v>55870</v>
      </c>
    </row>
    <row r="47" spans="1:23" x14ac:dyDescent="0.3">
      <c r="A47" s="9" t="s">
        <v>260</v>
      </c>
      <c r="B47" s="20"/>
      <c r="C47" s="20"/>
      <c r="D47" s="20">
        <v>-36224</v>
      </c>
      <c r="E47" s="20">
        <v>-36224</v>
      </c>
      <c r="F47" s="20">
        <v>177221.7</v>
      </c>
      <c r="G47" s="20"/>
      <c r="H47" s="20"/>
      <c r="I47" s="20">
        <v>147743.07</v>
      </c>
      <c r="J47" s="20">
        <v>175000</v>
      </c>
      <c r="K47" s="20"/>
      <c r="L47" s="20"/>
      <c r="M47" s="20"/>
      <c r="N47" s="20">
        <v>499964.77</v>
      </c>
      <c r="O47" s="20"/>
      <c r="P47" s="20"/>
      <c r="Q47" s="20"/>
      <c r="R47" s="20"/>
      <c r="S47" s="20"/>
      <c r="T47" s="20"/>
      <c r="U47" s="20"/>
      <c r="V47" s="20"/>
      <c r="W47" s="20">
        <v>463740.77</v>
      </c>
    </row>
    <row r="48" spans="1:23" x14ac:dyDescent="0.3">
      <c r="A48" s="9" t="s">
        <v>273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>
        <v>105300</v>
      </c>
      <c r="T48" s="20"/>
      <c r="U48" s="20"/>
      <c r="V48" s="20">
        <v>105300</v>
      </c>
      <c r="W48" s="20">
        <v>105300</v>
      </c>
    </row>
    <row r="49" spans="1:23" x14ac:dyDescent="0.3">
      <c r="A49" s="9" t="s">
        <v>278</v>
      </c>
      <c r="B49" s="20"/>
      <c r="C49" s="20">
        <v>-4560</v>
      </c>
      <c r="D49" s="20"/>
      <c r="E49" s="20">
        <v>-4560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>
        <v>396900</v>
      </c>
      <c r="V49" s="20">
        <v>396900</v>
      </c>
      <c r="W49" s="20">
        <v>392340</v>
      </c>
    </row>
    <row r="50" spans="1:23" x14ac:dyDescent="0.3">
      <c r="A50" s="9" t="s">
        <v>344</v>
      </c>
      <c r="B50" s="20"/>
      <c r="C50" s="20"/>
      <c r="D50" s="20"/>
      <c r="E50" s="20"/>
      <c r="F50" s="20"/>
      <c r="G50" s="20">
        <v>76700</v>
      </c>
      <c r="H50" s="20"/>
      <c r="I50" s="20"/>
      <c r="J50" s="20"/>
      <c r="K50" s="20">
        <v>36400</v>
      </c>
      <c r="L50" s="20"/>
      <c r="M50" s="20"/>
      <c r="N50" s="20">
        <v>113100</v>
      </c>
      <c r="O50" s="20"/>
      <c r="P50" s="20">
        <v>36400</v>
      </c>
      <c r="Q50" s="20"/>
      <c r="R50" s="20"/>
      <c r="S50" s="20"/>
      <c r="T50" s="20">
        <v>117000</v>
      </c>
      <c r="U50" s="20"/>
      <c r="V50" s="20">
        <v>153400</v>
      </c>
      <c r="W50" s="20">
        <v>266500</v>
      </c>
    </row>
    <row r="51" spans="1:23" x14ac:dyDescent="0.3">
      <c r="A51" s="9" t="s">
        <v>360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>
        <v>70212</v>
      </c>
      <c r="M51" s="20"/>
      <c r="N51" s="20">
        <v>70212</v>
      </c>
      <c r="O51" s="20"/>
      <c r="P51" s="20"/>
      <c r="Q51" s="20"/>
      <c r="R51" s="20"/>
      <c r="S51" s="20"/>
      <c r="T51" s="20"/>
      <c r="U51" s="20"/>
      <c r="V51" s="20"/>
      <c r="W51" s="20">
        <v>70212</v>
      </c>
    </row>
    <row r="52" spans="1:23" x14ac:dyDescent="0.3">
      <c r="A52" s="9" t="s">
        <v>402</v>
      </c>
      <c r="B52" s="20">
        <v>-7645</v>
      </c>
      <c r="C52" s="20"/>
      <c r="D52" s="20"/>
      <c r="E52" s="20">
        <v>-7645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>
        <v>-7645</v>
      </c>
    </row>
    <row r="53" spans="1:23" x14ac:dyDescent="0.3">
      <c r="A53" s="9" t="s">
        <v>420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>
        <v>77257</v>
      </c>
      <c r="U53" s="20">
        <v>285620</v>
      </c>
      <c r="V53" s="20">
        <v>362877</v>
      </c>
      <c r="W53" s="20">
        <v>362877</v>
      </c>
    </row>
    <row r="54" spans="1:23" x14ac:dyDescent="0.3">
      <c r="A54" s="9" t="s">
        <v>445</v>
      </c>
      <c r="B54" s="20"/>
      <c r="C54" s="20"/>
      <c r="D54" s="20"/>
      <c r="E54" s="20"/>
      <c r="F54" s="20"/>
      <c r="G54" s="20"/>
      <c r="H54" s="20">
        <v>56300</v>
      </c>
      <c r="I54" s="20"/>
      <c r="J54" s="20"/>
      <c r="K54" s="20"/>
      <c r="L54" s="20"/>
      <c r="M54" s="20"/>
      <c r="N54" s="20">
        <v>56300</v>
      </c>
      <c r="O54" s="20"/>
      <c r="P54" s="20"/>
      <c r="Q54" s="20"/>
      <c r="R54" s="20"/>
      <c r="S54" s="20"/>
      <c r="T54" s="20">
        <v>116670</v>
      </c>
      <c r="U54" s="20"/>
      <c r="V54" s="20">
        <v>116670</v>
      </c>
      <c r="W54" s="20">
        <v>172970</v>
      </c>
    </row>
    <row r="55" spans="1:23" x14ac:dyDescent="0.3">
      <c r="A55" s="9" t="s">
        <v>452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>
        <v>-23675</v>
      </c>
      <c r="N55" s="20">
        <v>-23675</v>
      </c>
      <c r="O55" s="20"/>
      <c r="P55" s="20"/>
      <c r="Q55" s="20"/>
      <c r="R55" s="20"/>
      <c r="S55" s="20"/>
      <c r="T55" s="20"/>
      <c r="U55" s="20">
        <v>56785</v>
      </c>
      <c r="V55" s="20">
        <v>56785</v>
      </c>
      <c r="W55" s="20">
        <v>33110</v>
      </c>
    </row>
    <row r="56" spans="1:23" x14ac:dyDescent="0.3">
      <c r="A56" s="9" t="s">
        <v>480</v>
      </c>
      <c r="B56" s="20"/>
      <c r="C56" s="20"/>
      <c r="D56" s="20"/>
      <c r="E56" s="20"/>
      <c r="F56" s="20">
        <v>215840</v>
      </c>
      <c r="G56" s="20"/>
      <c r="H56" s="20"/>
      <c r="I56" s="20"/>
      <c r="J56" s="20">
        <v>258200</v>
      </c>
      <c r="K56" s="20"/>
      <c r="L56" s="20"/>
      <c r="M56" s="20"/>
      <c r="N56" s="20">
        <v>474040</v>
      </c>
      <c r="O56" s="20"/>
      <c r="P56" s="20"/>
      <c r="Q56" s="20"/>
      <c r="R56" s="20">
        <v>187392</v>
      </c>
      <c r="S56" s="20">
        <v>191070</v>
      </c>
      <c r="T56" s="20"/>
      <c r="U56" s="20">
        <v>324910</v>
      </c>
      <c r="V56" s="20">
        <v>703372</v>
      </c>
      <c r="W56" s="20">
        <v>1177412</v>
      </c>
    </row>
    <row r="57" spans="1:23" x14ac:dyDescent="0.3">
      <c r="A57" s="9" t="s">
        <v>518</v>
      </c>
      <c r="B57" s="20"/>
      <c r="C57" s="20"/>
      <c r="D57" s="20">
        <v>-6675</v>
      </c>
      <c r="E57" s="20">
        <v>-6675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>
        <v>-6675</v>
      </c>
    </row>
    <row r="58" spans="1:23" x14ac:dyDescent="0.3">
      <c r="A58" s="9" t="s">
        <v>522</v>
      </c>
      <c r="B58" s="20"/>
      <c r="C58" s="20"/>
      <c r="D58" s="20">
        <v>-74009</v>
      </c>
      <c r="E58" s="20">
        <v>-74009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>
        <v>-74009</v>
      </c>
    </row>
    <row r="59" spans="1:23" x14ac:dyDescent="0.3">
      <c r="A59" s="9" t="s">
        <v>526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v>30250</v>
      </c>
      <c r="R59" s="20"/>
      <c r="S59" s="20"/>
      <c r="T59" s="20"/>
      <c r="U59" s="20"/>
      <c r="V59" s="20">
        <v>30250</v>
      </c>
      <c r="W59" s="20">
        <v>30250</v>
      </c>
    </row>
    <row r="60" spans="1:23" x14ac:dyDescent="0.3">
      <c r="A60" s="9" t="s">
        <v>530</v>
      </c>
      <c r="B60" s="20"/>
      <c r="C60" s="20"/>
      <c r="D60" s="20"/>
      <c r="E60" s="20"/>
      <c r="F60" s="20"/>
      <c r="G60" s="20"/>
      <c r="H60" s="20"/>
      <c r="I60" s="20"/>
      <c r="J60" s="20"/>
      <c r="K60" s="20">
        <v>99500</v>
      </c>
      <c r="L60" s="20"/>
      <c r="M60" s="20"/>
      <c r="N60" s="20">
        <v>99500</v>
      </c>
      <c r="O60" s="20"/>
      <c r="P60" s="20">
        <v>95904</v>
      </c>
      <c r="Q60" s="20"/>
      <c r="R60" s="20"/>
      <c r="S60" s="20"/>
      <c r="T60" s="20"/>
      <c r="U60" s="20"/>
      <c r="V60" s="20">
        <v>95904</v>
      </c>
      <c r="W60" s="20">
        <v>195404</v>
      </c>
    </row>
    <row r="61" spans="1:23" x14ac:dyDescent="0.3">
      <c r="A61" s="9" t="s">
        <v>548</v>
      </c>
      <c r="B61" s="20">
        <v>-7645</v>
      </c>
      <c r="C61" s="20">
        <v>-4560</v>
      </c>
      <c r="D61" s="20">
        <v>-197754</v>
      </c>
      <c r="E61" s="20">
        <v>-209959</v>
      </c>
      <c r="F61" s="20">
        <v>393061.7</v>
      </c>
      <c r="G61" s="20">
        <v>221456.99</v>
      </c>
      <c r="H61" s="20">
        <v>56300</v>
      </c>
      <c r="I61" s="20">
        <v>147743.07</v>
      </c>
      <c r="J61" s="20">
        <v>433200</v>
      </c>
      <c r="K61" s="20">
        <v>203450</v>
      </c>
      <c r="L61" s="20">
        <v>70212</v>
      </c>
      <c r="M61" s="20">
        <v>-23675</v>
      </c>
      <c r="N61" s="20">
        <v>1501748.76</v>
      </c>
      <c r="O61" s="20">
        <v>-0.02</v>
      </c>
      <c r="P61" s="20">
        <v>132304</v>
      </c>
      <c r="Q61" s="20">
        <v>30250</v>
      </c>
      <c r="R61" s="20">
        <v>187392</v>
      </c>
      <c r="S61" s="20">
        <v>296370</v>
      </c>
      <c r="T61" s="20">
        <v>1103595</v>
      </c>
      <c r="U61" s="20">
        <v>1159853</v>
      </c>
      <c r="V61" s="20">
        <v>2909763.98</v>
      </c>
      <c r="W61" s="20">
        <v>4201553.74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B5E1-B2FA-4EFD-BA7A-D287E48F7355}">
  <dimension ref="A1:B81"/>
  <sheetViews>
    <sheetView workbookViewId="0">
      <selection activeCell="A9" sqref="A9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8" t="s">
        <v>5</v>
      </c>
      <c r="B1" t="s">
        <v>558</v>
      </c>
    </row>
    <row r="2" spans="1:2" x14ac:dyDescent="0.3">
      <c r="A2" s="8" t="s">
        <v>539</v>
      </c>
      <c r="B2" t="s">
        <v>549</v>
      </c>
    </row>
    <row r="3" spans="1:2" x14ac:dyDescent="0.3">
      <c r="A3" s="8" t="s">
        <v>4</v>
      </c>
      <c r="B3" t="s">
        <v>558</v>
      </c>
    </row>
    <row r="5" spans="1:2" x14ac:dyDescent="0.3">
      <c r="A5" s="8" t="s">
        <v>547</v>
      </c>
      <c r="B5" t="s">
        <v>559</v>
      </c>
    </row>
    <row r="6" spans="1:2" x14ac:dyDescent="0.3">
      <c r="A6" s="9" t="s">
        <v>122</v>
      </c>
      <c r="B6" s="19">
        <v>144756.99</v>
      </c>
    </row>
    <row r="7" spans="1:2" x14ac:dyDescent="0.3">
      <c r="A7" s="11" t="s">
        <v>124</v>
      </c>
      <c r="B7" s="19">
        <v>24860</v>
      </c>
    </row>
    <row r="8" spans="1:2" x14ac:dyDescent="0.3">
      <c r="A8" s="11" t="s">
        <v>128</v>
      </c>
      <c r="B8" s="19">
        <v>24860</v>
      </c>
    </row>
    <row r="9" spans="1:2" x14ac:dyDescent="0.3">
      <c r="A9" s="11" t="s">
        <v>131</v>
      </c>
      <c r="B9" s="19">
        <v>28800</v>
      </c>
    </row>
    <row r="10" spans="1:2" x14ac:dyDescent="0.3">
      <c r="A10" s="11" t="s">
        <v>134</v>
      </c>
      <c r="B10" s="19">
        <v>28800</v>
      </c>
    </row>
    <row r="11" spans="1:2" x14ac:dyDescent="0.3">
      <c r="A11" s="11" t="s">
        <v>137</v>
      </c>
      <c r="B11" s="19">
        <v>29300</v>
      </c>
    </row>
    <row r="12" spans="1:2" x14ac:dyDescent="0.3">
      <c r="A12" s="11" t="s">
        <v>140</v>
      </c>
      <c r="B12" s="19">
        <v>8136.99</v>
      </c>
    </row>
    <row r="13" spans="1:2" x14ac:dyDescent="0.3">
      <c r="A13" s="9" t="s">
        <v>184</v>
      </c>
      <c r="B13" s="19">
        <v>647955</v>
      </c>
    </row>
    <row r="14" spans="1:2" x14ac:dyDescent="0.3">
      <c r="A14" s="11" t="s">
        <v>186</v>
      </c>
      <c r="B14" s="19">
        <v>323856</v>
      </c>
    </row>
    <row r="15" spans="1:2" x14ac:dyDescent="0.3">
      <c r="A15" s="11" t="s">
        <v>189</v>
      </c>
      <c r="B15" s="19">
        <v>388800</v>
      </c>
    </row>
    <row r="16" spans="1:2" x14ac:dyDescent="0.3">
      <c r="A16" s="11" t="s">
        <v>192</v>
      </c>
      <c r="B16" s="19">
        <v>-64701</v>
      </c>
    </row>
    <row r="17" spans="1:2" x14ac:dyDescent="0.3">
      <c r="A17" s="9" t="s">
        <v>194</v>
      </c>
      <c r="B17" s="19">
        <v>-16145</v>
      </c>
    </row>
    <row r="18" spans="1:2" x14ac:dyDescent="0.3">
      <c r="A18" s="11" t="s">
        <v>196</v>
      </c>
      <c r="B18" s="19">
        <v>-16145</v>
      </c>
    </row>
    <row r="19" spans="1:2" x14ac:dyDescent="0.3">
      <c r="A19" s="9" t="s">
        <v>198</v>
      </c>
      <c r="B19" s="19">
        <v>67549.98</v>
      </c>
    </row>
    <row r="20" spans="1:2" x14ac:dyDescent="0.3">
      <c r="A20" s="11" t="s">
        <v>201</v>
      </c>
      <c r="B20" s="19">
        <v>67550</v>
      </c>
    </row>
    <row r="21" spans="1:2" x14ac:dyDescent="0.3">
      <c r="A21" s="11" t="s">
        <v>204</v>
      </c>
      <c r="B21" s="19">
        <v>-0.02</v>
      </c>
    </row>
    <row r="22" spans="1:2" x14ac:dyDescent="0.3">
      <c r="A22" s="9" t="s">
        <v>207</v>
      </c>
      <c r="B22" s="19">
        <v>119780</v>
      </c>
    </row>
    <row r="23" spans="1:2" x14ac:dyDescent="0.3">
      <c r="A23" s="11" t="s">
        <v>209</v>
      </c>
      <c r="B23" s="19">
        <v>60182</v>
      </c>
    </row>
    <row r="24" spans="1:2" x14ac:dyDescent="0.3">
      <c r="A24" s="11" t="s">
        <v>212</v>
      </c>
      <c r="B24" s="19">
        <v>59598</v>
      </c>
    </row>
    <row r="25" spans="1:2" x14ac:dyDescent="0.3">
      <c r="A25" s="9" t="s">
        <v>214</v>
      </c>
      <c r="B25" s="19">
        <v>55870</v>
      </c>
    </row>
    <row r="26" spans="1:2" x14ac:dyDescent="0.3">
      <c r="A26" s="11" t="s">
        <v>216</v>
      </c>
      <c r="B26" s="19">
        <v>19830</v>
      </c>
    </row>
    <row r="27" spans="1:2" x14ac:dyDescent="0.3">
      <c r="A27" s="11" t="s">
        <v>219</v>
      </c>
      <c r="B27" s="19">
        <v>36040</v>
      </c>
    </row>
    <row r="28" spans="1:2" x14ac:dyDescent="0.3">
      <c r="A28" s="9" t="s">
        <v>260</v>
      </c>
      <c r="B28" s="19">
        <v>463740.77</v>
      </c>
    </row>
    <row r="29" spans="1:2" x14ac:dyDescent="0.3">
      <c r="A29" s="11" t="s">
        <v>265</v>
      </c>
      <c r="B29" s="19">
        <v>177221.7</v>
      </c>
    </row>
    <row r="30" spans="1:2" x14ac:dyDescent="0.3">
      <c r="A30" s="11" t="s">
        <v>268</v>
      </c>
      <c r="B30" s="19">
        <v>175000</v>
      </c>
    </row>
    <row r="31" spans="1:2" x14ac:dyDescent="0.3">
      <c r="A31" s="11" t="s">
        <v>271</v>
      </c>
      <c r="B31" s="19">
        <v>-36224</v>
      </c>
    </row>
    <row r="32" spans="1:2" x14ac:dyDescent="0.3">
      <c r="A32" s="11" t="s">
        <v>262</v>
      </c>
      <c r="B32" s="19">
        <v>147743.07</v>
      </c>
    </row>
    <row r="33" spans="1:2" x14ac:dyDescent="0.3">
      <c r="A33" s="9" t="s">
        <v>273</v>
      </c>
      <c r="B33" s="19">
        <v>105300</v>
      </c>
    </row>
    <row r="34" spans="1:2" x14ac:dyDescent="0.3">
      <c r="A34" s="11" t="s">
        <v>276</v>
      </c>
      <c r="B34" s="19">
        <v>105300</v>
      </c>
    </row>
    <row r="35" spans="1:2" x14ac:dyDescent="0.3">
      <c r="A35" s="9" t="s">
        <v>278</v>
      </c>
      <c r="B35" s="19">
        <v>392340</v>
      </c>
    </row>
    <row r="36" spans="1:2" x14ac:dyDescent="0.3">
      <c r="A36" s="11" t="s">
        <v>283</v>
      </c>
      <c r="B36" s="19">
        <v>396900</v>
      </c>
    </row>
    <row r="37" spans="1:2" x14ac:dyDescent="0.3">
      <c r="A37" s="11" t="s">
        <v>280</v>
      </c>
      <c r="B37" s="19">
        <v>-4560</v>
      </c>
    </row>
    <row r="38" spans="1:2" x14ac:dyDescent="0.3">
      <c r="A38" s="9" t="s">
        <v>344</v>
      </c>
      <c r="B38" s="19">
        <v>266500</v>
      </c>
    </row>
    <row r="39" spans="1:2" x14ac:dyDescent="0.3">
      <c r="A39" s="11" t="s">
        <v>346</v>
      </c>
      <c r="B39" s="19">
        <v>76700</v>
      </c>
    </row>
    <row r="40" spans="1:2" x14ac:dyDescent="0.3">
      <c r="A40" s="11" t="s">
        <v>349</v>
      </c>
      <c r="B40" s="19">
        <v>36400</v>
      </c>
    </row>
    <row r="41" spans="1:2" x14ac:dyDescent="0.3">
      <c r="A41" s="11" t="s">
        <v>352</v>
      </c>
      <c r="B41" s="19">
        <v>80600</v>
      </c>
    </row>
    <row r="42" spans="1:2" x14ac:dyDescent="0.3">
      <c r="A42" s="11" t="s">
        <v>355</v>
      </c>
      <c r="B42" s="19">
        <v>36400</v>
      </c>
    </row>
    <row r="43" spans="1:2" x14ac:dyDescent="0.3">
      <c r="A43" s="11" t="s">
        <v>358</v>
      </c>
      <c r="B43" s="19">
        <v>36400</v>
      </c>
    </row>
    <row r="44" spans="1:2" x14ac:dyDescent="0.3">
      <c r="A44" s="9" t="s">
        <v>360</v>
      </c>
      <c r="B44" s="19">
        <v>70212</v>
      </c>
    </row>
    <row r="45" spans="1:2" x14ac:dyDescent="0.3">
      <c r="A45" s="11" t="s">
        <v>362</v>
      </c>
      <c r="B45" s="19">
        <v>70212</v>
      </c>
    </row>
    <row r="46" spans="1:2" x14ac:dyDescent="0.3">
      <c r="A46" s="9" t="s">
        <v>402</v>
      </c>
      <c r="B46" s="19">
        <v>-7645</v>
      </c>
    </row>
    <row r="47" spans="1:2" x14ac:dyDescent="0.3">
      <c r="A47" s="11" t="s">
        <v>280</v>
      </c>
      <c r="B47" s="19">
        <v>-7645</v>
      </c>
    </row>
    <row r="48" spans="1:2" x14ac:dyDescent="0.3">
      <c r="A48" s="9" t="s">
        <v>420</v>
      </c>
      <c r="B48" s="19">
        <v>362877</v>
      </c>
    </row>
    <row r="49" spans="1:2" x14ac:dyDescent="0.3">
      <c r="A49" s="11" t="s">
        <v>428</v>
      </c>
      <c r="B49" s="19">
        <v>77257</v>
      </c>
    </row>
    <row r="50" spans="1:2" x14ac:dyDescent="0.3">
      <c r="A50" s="11" t="s">
        <v>422</v>
      </c>
      <c r="B50" s="19">
        <v>123265</v>
      </c>
    </row>
    <row r="51" spans="1:2" x14ac:dyDescent="0.3">
      <c r="A51" s="11" t="s">
        <v>425</v>
      </c>
      <c r="B51" s="19">
        <v>162355</v>
      </c>
    </row>
    <row r="52" spans="1:2" x14ac:dyDescent="0.3">
      <c r="A52" s="9" t="s">
        <v>445</v>
      </c>
      <c r="B52" s="19">
        <v>172970</v>
      </c>
    </row>
    <row r="53" spans="1:2" x14ac:dyDescent="0.3">
      <c r="A53" s="11" t="s">
        <v>447</v>
      </c>
      <c r="B53" s="19">
        <v>56300</v>
      </c>
    </row>
    <row r="54" spans="1:2" x14ac:dyDescent="0.3">
      <c r="A54" s="11" t="s">
        <v>450</v>
      </c>
      <c r="B54" s="19">
        <v>116670</v>
      </c>
    </row>
    <row r="55" spans="1:2" x14ac:dyDescent="0.3">
      <c r="A55" s="9" t="s">
        <v>452</v>
      </c>
      <c r="B55" s="19">
        <v>33110</v>
      </c>
    </row>
    <row r="56" spans="1:2" x14ac:dyDescent="0.3">
      <c r="A56" s="11" t="s">
        <v>557</v>
      </c>
      <c r="B56" s="19">
        <v>-23675</v>
      </c>
    </row>
    <row r="57" spans="1:2" x14ac:dyDescent="0.3">
      <c r="A57" s="11" t="s">
        <v>454</v>
      </c>
      <c r="B57" s="19">
        <v>56785</v>
      </c>
    </row>
    <row r="58" spans="1:2" x14ac:dyDescent="0.3">
      <c r="A58" s="9" t="s">
        <v>480</v>
      </c>
      <c r="B58" s="19">
        <v>1177412</v>
      </c>
    </row>
    <row r="59" spans="1:2" x14ac:dyDescent="0.3">
      <c r="A59" s="11" t="s">
        <v>483</v>
      </c>
      <c r="B59" s="19">
        <v>86240</v>
      </c>
    </row>
    <row r="60" spans="1:2" x14ac:dyDescent="0.3">
      <c r="A60" s="11" t="s">
        <v>486</v>
      </c>
      <c r="B60" s="19">
        <v>129600</v>
      </c>
    </row>
    <row r="61" spans="1:2" x14ac:dyDescent="0.3">
      <c r="A61" s="11" t="s">
        <v>489</v>
      </c>
      <c r="B61" s="19">
        <v>78200</v>
      </c>
    </row>
    <row r="62" spans="1:2" x14ac:dyDescent="0.3">
      <c r="A62" s="11" t="s">
        <v>492</v>
      </c>
      <c r="B62" s="19">
        <v>180000</v>
      </c>
    </row>
    <row r="63" spans="1:2" x14ac:dyDescent="0.3">
      <c r="A63" s="11" t="s">
        <v>495</v>
      </c>
      <c r="B63" s="19">
        <v>110112</v>
      </c>
    </row>
    <row r="64" spans="1:2" x14ac:dyDescent="0.3">
      <c r="A64" s="11" t="s">
        <v>498</v>
      </c>
      <c r="B64" s="19">
        <v>35520</v>
      </c>
    </row>
    <row r="65" spans="1:2" x14ac:dyDescent="0.3">
      <c r="A65" s="11" t="s">
        <v>501</v>
      </c>
      <c r="B65" s="19">
        <v>41760</v>
      </c>
    </row>
    <row r="66" spans="1:2" x14ac:dyDescent="0.3">
      <c r="A66" s="11" t="s">
        <v>504</v>
      </c>
      <c r="B66" s="19">
        <v>191070</v>
      </c>
    </row>
    <row r="67" spans="1:2" x14ac:dyDescent="0.3">
      <c r="A67" s="11" t="s">
        <v>507</v>
      </c>
      <c r="B67" s="19">
        <v>53360</v>
      </c>
    </row>
    <row r="68" spans="1:2" x14ac:dyDescent="0.3">
      <c r="A68" s="11" t="s">
        <v>510</v>
      </c>
      <c r="B68" s="19">
        <v>163070</v>
      </c>
    </row>
    <row r="69" spans="1:2" x14ac:dyDescent="0.3">
      <c r="A69" s="11" t="s">
        <v>513</v>
      </c>
      <c r="B69" s="19">
        <v>52800</v>
      </c>
    </row>
    <row r="70" spans="1:2" x14ac:dyDescent="0.3">
      <c r="A70" s="11" t="s">
        <v>516</v>
      </c>
      <c r="B70" s="19">
        <v>55680</v>
      </c>
    </row>
    <row r="71" spans="1:2" x14ac:dyDescent="0.3">
      <c r="A71" s="9" t="s">
        <v>518</v>
      </c>
      <c r="B71" s="19">
        <v>-6675</v>
      </c>
    </row>
    <row r="72" spans="1:2" x14ac:dyDescent="0.3">
      <c r="A72" s="11" t="s">
        <v>520</v>
      </c>
      <c r="B72" s="19">
        <v>-6675</v>
      </c>
    </row>
    <row r="73" spans="1:2" x14ac:dyDescent="0.3">
      <c r="A73" s="9" t="s">
        <v>522</v>
      </c>
      <c r="B73" s="19">
        <v>-74009</v>
      </c>
    </row>
    <row r="74" spans="1:2" x14ac:dyDescent="0.3">
      <c r="A74" s="11" t="s">
        <v>524</v>
      </c>
      <c r="B74" s="19">
        <v>-74009</v>
      </c>
    </row>
    <row r="75" spans="1:2" x14ac:dyDescent="0.3">
      <c r="A75" s="9" t="s">
        <v>526</v>
      </c>
      <c r="B75" s="19">
        <v>30250</v>
      </c>
    </row>
    <row r="76" spans="1:2" x14ac:dyDescent="0.3">
      <c r="A76" s="11" t="s">
        <v>528</v>
      </c>
      <c r="B76" s="19">
        <v>30250</v>
      </c>
    </row>
    <row r="77" spans="1:2" x14ac:dyDescent="0.3">
      <c r="A77" s="9" t="s">
        <v>530</v>
      </c>
      <c r="B77" s="19">
        <v>195404</v>
      </c>
    </row>
    <row r="78" spans="1:2" x14ac:dyDescent="0.3">
      <c r="A78" s="11" t="s">
        <v>532</v>
      </c>
      <c r="B78" s="19">
        <v>94500</v>
      </c>
    </row>
    <row r="79" spans="1:2" x14ac:dyDescent="0.3">
      <c r="A79" s="11" t="s">
        <v>538</v>
      </c>
      <c r="B79" s="19">
        <v>95904</v>
      </c>
    </row>
    <row r="80" spans="1:2" x14ac:dyDescent="0.3">
      <c r="A80" s="11" t="s">
        <v>535</v>
      </c>
      <c r="B80" s="19">
        <v>5000</v>
      </c>
    </row>
    <row r="81" spans="1:2" x14ac:dyDescent="0.3">
      <c r="A81" s="9" t="s">
        <v>548</v>
      </c>
      <c r="B81" s="19">
        <v>4201553.74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3599-F7E0-4E23-978F-014DF7716DD2}">
  <dimension ref="A1:I70"/>
  <sheetViews>
    <sheetView workbookViewId="0">
      <selection activeCell="F5" sqref="F5"/>
    </sheetView>
  </sheetViews>
  <sheetFormatPr baseColWidth="10" defaultRowHeight="14.4" x14ac:dyDescent="0.3"/>
  <cols>
    <col min="1" max="1" width="37.2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19.441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563</v>
      </c>
      <c r="F1" s="8" t="s">
        <v>4</v>
      </c>
      <c r="G1" t="s">
        <v>563</v>
      </c>
    </row>
    <row r="2" spans="1:9" x14ac:dyDescent="0.3">
      <c r="A2" s="8" t="s">
        <v>556</v>
      </c>
      <c r="B2" t="s">
        <v>566</v>
      </c>
      <c r="F2" s="8" t="s">
        <v>556</v>
      </c>
      <c r="G2" t="s">
        <v>567</v>
      </c>
    </row>
    <row r="4" spans="1:9" x14ac:dyDescent="0.3">
      <c r="A4" s="8" t="s">
        <v>547</v>
      </c>
      <c r="B4" t="s">
        <v>565</v>
      </c>
      <c r="C4" t="s">
        <v>564</v>
      </c>
      <c r="D4" t="s">
        <v>559</v>
      </c>
      <c r="F4" s="8" t="s">
        <v>547</v>
      </c>
      <c r="G4" t="s">
        <v>565</v>
      </c>
      <c r="H4" t="s">
        <v>564</v>
      </c>
      <c r="I4" t="s">
        <v>559</v>
      </c>
    </row>
    <row r="5" spans="1:9" x14ac:dyDescent="0.3">
      <c r="A5" s="9" t="s">
        <v>122</v>
      </c>
      <c r="B5" s="19">
        <v>6</v>
      </c>
      <c r="C5" s="19">
        <v>258</v>
      </c>
      <c r="D5" s="19">
        <v>144756.99</v>
      </c>
      <c r="F5" s="9" t="s">
        <v>260</v>
      </c>
      <c r="G5" s="19">
        <v>1</v>
      </c>
      <c r="H5" s="19">
        <v>57</v>
      </c>
      <c r="I5" s="19">
        <v>147743.07</v>
      </c>
    </row>
    <row r="6" spans="1:9" x14ac:dyDescent="0.3">
      <c r="A6" s="11" t="s">
        <v>124</v>
      </c>
      <c r="B6" s="19">
        <v>1</v>
      </c>
      <c r="C6" s="19">
        <v>43</v>
      </c>
      <c r="D6" s="19">
        <v>24860</v>
      </c>
      <c r="F6" s="11" t="s">
        <v>262</v>
      </c>
      <c r="G6" s="19">
        <v>1</v>
      </c>
      <c r="H6" s="19">
        <v>57</v>
      </c>
      <c r="I6" s="19">
        <v>147743.07</v>
      </c>
    </row>
    <row r="7" spans="1:9" x14ac:dyDescent="0.3">
      <c r="A7" s="11" t="s">
        <v>128</v>
      </c>
      <c r="B7" s="19">
        <v>1</v>
      </c>
      <c r="C7" s="19">
        <v>43</v>
      </c>
      <c r="D7" s="19">
        <v>24860</v>
      </c>
      <c r="F7" s="9" t="s">
        <v>548</v>
      </c>
      <c r="G7" s="19">
        <v>1</v>
      </c>
      <c r="H7" s="19">
        <v>57</v>
      </c>
      <c r="I7" s="19">
        <v>147743.07</v>
      </c>
    </row>
    <row r="8" spans="1:9" x14ac:dyDescent="0.3">
      <c r="A8" s="11" t="s">
        <v>131</v>
      </c>
      <c r="B8" s="19">
        <v>1</v>
      </c>
      <c r="C8" s="19">
        <v>43</v>
      </c>
      <c r="D8" s="19">
        <v>28800</v>
      </c>
    </row>
    <row r="9" spans="1:9" x14ac:dyDescent="0.3">
      <c r="A9" s="11" t="s">
        <v>134</v>
      </c>
      <c r="B9" s="19">
        <v>1</v>
      </c>
      <c r="C9" s="19">
        <v>43</v>
      </c>
      <c r="D9" s="19">
        <v>28800</v>
      </c>
    </row>
    <row r="10" spans="1:9" x14ac:dyDescent="0.3">
      <c r="A10" s="11" t="s">
        <v>137</v>
      </c>
      <c r="B10" s="19">
        <v>1</v>
      </c>
      <c r="C10" s="19">
        <v>43</v>
      </c>
      <c r="D10" s="19">
        <v>29300</v>
      </c>
    </row>
    <row r="11" spans="1:9" x14ac:dyDescent="0.3">
      <c r="A11" s="11" t="s">
        <v>140</v>
      </c>
      <c r="B11" s="19">
        <v>1</v>
      </c>
      <c r="C11" s="19">
        <v>43</v>
      </c>
      <c r="D11" s="19">
        <v>8136.99</v>
      </c>
    </row>
    <row r="12" spans="1:9" x14ac:dyDescent="0.3">
      <c r="A12" s="9" t="s">
        <v>184</v>
      </c>
      <c r="B12" s="19">
        <v>2</v>
      </c>
      <c r="C12" s="19">
        <v>28</v>
      </c>
      <c r="D12" s="19">
        <v>712656</v>
      </c>
    </row>
    <row r="13" spans="1:9" x14ac:dyDescent="0.3">
      <c r="A13" s="11" t="s">
        <v>186</v>
      </c>
      <c r="B13" s="19">
        <v>1</v>
      </c>
      <c r="C13" s="19">
        <v>14</v>
      </c>
      <c r="D13" s="19">
        <v>323856</v>
      </c>
    </row>
    <row r="14" spans="1:9" x14ac:dyDescent="0.3">
      <c r="A14" s="11" t="s">
        <v>189</v>
      </c>
      <c r="B14" s="19">
        <v>1</v>
      </c>
      <c r="C14" s="19">
        <v>14</v>
      </c>
      <c r="D14" s="19">
        <v>388800</v>
      </c>
    </row>
    <row r="15" spans="1:9" x14ac:dyDescent="0.3">
      <c r="A15" s="9" t="s">
        <v>198</v>
      </c>
      <c r="B15" s="19">
        <v>1</v>
      </c>
      <c r="C15" s="19">
        <v>29</v>
      </c>
      <c r="D15" s="19">
        <v>67550</v>
      </c>
    </row>
    <row r="16" spans="1:9" x14ac:dyDescent="0.3">
      <c r="A16" s="11" t="s">
        <v>201</v>
      </c>
      <c r="B16" s="19">
        <v>1</v>
      </c>
      <c r="C16" s="19">
        <v>29</v>
      </c>
      <c r="D16" s="19">
        <v>67550</v>
      </c>
    </row>
    <row r="17" spans="1:4" x14ac:dyDescent="0.3">
      <c r="A17" s="9" t="s">
        <v>207</v>
      </c>
      <c r="B17" s="19"/>
      <c r="C17" s="19">
        <v>26</v>
      </c>
      <c r="D17" s="19">
        <v>119780</v>
      </c>
    </row>
    <row r="18" spans="1:4" x14ac:dyDescent="0.3">
      <c r="A18" s="11" t="s">
        <v>209</v>
      </c>
      <c r="B18" s="19"/>
      <c r="C18" s="19">
        <v>14</v>
      </c>
      <c r="D18" s="19">
        <v>60182</v>
      </c>
    </row>
    <row r="19" spans="1:4" x14ac:dyDescent="0.3">
      <c r="A19" s="11" t="s">
        <v>212</v>
      </c>
      <c r="B19" s="19"/>
      <c r="C19" s="19">
        <v>12</v>
      </c>
      <c r="D19" s="19">
        <v>59598</v>
      </c>
    </row>
    <row r="20" spans="1:4" x14ac:dyDescent="0.3">
      <c r="A20" s="9" t="s">
        <v>214</v>
      </c>
      <c r="B20" s="19">
        <v>2</v>
      </c>
      <c r="C20" s="19">
        <v>26</v>
      </c>
      <c r="D20" s="19">
        <v>55870</v>
      </c>
    </row>
    <row r="21" spans="1:4" x14ac:dyDescent="0.3">
      <c r="A21" s="11" t="s">
        <v>216</v>
      </c>
      <c r="B21" s="19">
        <v>1</v>
      </c>
      <c r="C21" s="19">
        <v>14</v>
      </c>
      <c r="D21" s="19">
        <v>19830</v>
      </c>
    </row>
    <row r="22" spans="1:4" x14ac:dyDescent="0.3">
      <c r="A22" s="11" t="s">
        <v>219</v>
      </c>
      <c r="B22" s="19">
        <v>1</v>
      </c>
      <c r="C22" s="19">
        <v>12</v>
      </c>
      <c r="D22" s="19">
        <v>36040</v>
      </c>
    </row>
    <row r="23" spans="1:4" x14ac:dyDescent="0.3">
      <c r="A23" s="9" t="s">
        <v>260</v>
      </c>
      <c r="B23" s="19">
        <v>2</v>
      </c>
      <c r="C23" s="19">
        <v>77</v>
      </c>
      <c r="D23" s="19">
        <v>352221.7</v>
      </c>
    </row>
    <row r="24" spans="1:4" x14ac:dyDescent="0.3">
      <c r="A24" s="11" t="s">
        <v>265</v>
      </c>
      <c r="B24" s="19">
        <v>1</v>
      </c>
      <c r="C24" s="19">
        <v>44</v>
      </c>
      <c r="D24" s="19">
        <v>177221.7</v>
      </c>
    </row>
    <row r="25" spans="1:4" x14ac:dyDescent="0.3">
      <c r="A25" s="11" t="s">
        <v>268</v>
      </c>
      <c r="B25" s="19">
        <v>1</v>
      </c>
      <c r="C25" s="19">
        <v>33</v>
      </c>
      <c r="D25" s="19">
        <v>175000</v>
      </c>
    </row>
    <row r="26" spans="1:4" x14ac:dyDescent="0.3">
      <c r="A26" s="9" t="s">
        <v>273</v>
      </c>
      <c r="B26" s="19">
        <v>1</v>
      </c>
      <c r="C26" s="19">
        <v>15</v>
      </c>
      <c r="D26" s="19">
        <v>105300</v>
      </c>
    </row>
    <row r="27" spans="1:4" x14ac:dyDescent="0.3">
      <c r="A27" s="11" t="s">
        <v>276</v>
      </c>
      <c r="B27" s="19">
        <v>1</v>
      </c>
      <c r="C27" s="19">
        <v>15</v>
      </c>
      <c r="D27" s="19">
        <v>105300</v>
      </c>
    </row>
    <row r="28" spans="1:4" x14ac:dyDescent="0.3">
      <c r="A28" s="9" t="s">
        <v>278</v>
      </c>
      <c r="B28" s="19">
        <v>1</v>
      </c>
      <c r="C28" s="19">
        <v>27</v>
      </c>
      <c r="D28" s="19">
        <v>392340</v>
      </c>
    </row>
    <row r="29" spans="1:4" x14ac:dyDescent="0.3">
      <c r="A29" s="11" t="s">
        <v>283</v>
      </c>
      <c r="B29" s="19">
        <v>1</v>
      </c>
      <c r="C29" s="19">
        <v>12</v>
      </c>
      <c r="D29" s="19">
        <v>396900</v>
      </c>
    </row>
    <row r="30" spans="1:4" x14ac:dyDescent="0.3">
      <c r="A30" s="11" t="s">
        <v>280</v>
      </c>
      <c r="B30" s="19"/>
      <c r="C30" s="19">
        <v>15</v>
      </c>
      <c r="D30" s="19">
        <v>-4560</v>
      </c>
    </row>
    <row r="31" spans="1:4" x14ac:dyDescent="0.3">
      <c r="A31" s="9" t="s">
        <v>344</v>
      </c>
      <c r="B31" s="19">
        <v>5</v>
      </c>
      <c r="C31" s="19">
        <v>134</v>
      </c>
      <c r="D31" s="19">
        <v>266500</v>
      </c>
    </row>
    <row r="32" spans="1:4" x14ac:dyDescent="0.3">
      <c r="A32" s="11" t="s">
        <v>346</v>
      </c>
      <c r="B32" s="19">
        <v>1</v>
      </c>
      <c r="C32" s="19">
        <v>43</v>
      </c>
      <c r="D32" s="19">
        <v>76700</v>
      </c>
    </row>
    <row r="33" spans="1:4" x14ac:dyDescent="0.3">
      <c r="A33" s="11" t="s">
        <v>349</v>
      </c>
      <c r="B33" s="19">
        <v>1</v>
      </c>
      <c r="C33" s="19">
        <v>29</v>
      </c>
      <c r="D33" s="19">
        <v>36400</v>
      </c>
    </row>
    <row r="34" spans="1:4" x14ac:dyDescent="0.3">
      <c r="A34" s="11" t="s">
        <v>352</v>
      </c>
      <c r="B34" s="19">
        <v>1</v>
      </c>
      <c r="C34" s="19">
        <v>29</v>
      </c>
      <c r="D34" s="19">
        <v>80600</v>
      </c>
    </row>
    <row r="35" spans="1:4" x14ac:dyDescent="0.3">
      <c r="A35" s="11" t="s">
        <v>355</v>
      </c>
      <c r="B35" s="19">
        <v>1</v>
      </c>
      <c r="C35" s="19">
        <v>19</v>
      </c>
      <c r="D35" s="19">
        <v>36400</v>
      </c>
    </row>
    <row r="36" spans="1:4" x14ac:dyDescent="0.3">
      <c r="A36" s="11" t="s">
        <v>358</v>
      </c>
      <c r="B36" s="19">
        <v>1</v>
      </c>
      <c r="C36" s="19">
        <v>14</v>
      </c>
      <c r="D36" s="19">
        <v>36400</v>
      </c>
    </row>
    <row r="37" spans="1:4" x14ac:dyDescent="0.3">
      <c r="A37" s="9" t="s">
        <v>360</v>
      </c>
      <c r="B37" s="19">
        <v>1</v>
      </c>
      <c r="C37" s="19">
        <v>28</v>
      </c>
      <c r="D37" s="19">
        <v>70212</v>
      </c>
    </row>
    <row r="38" spans="1:4" x14ac:dyDescent="0.3">
      <c r="A38" s="11" t="s">
        <v>362</v>
      </c>
      <c r="B38" s="19">
        <v>1</v>
      </c>
      <c r="C38" s="19">
        <v>28</v>
      </c>
      <c r="D38" s="19">
        <v>70212</v>
      </c>
    </row>
    <row r="39" spans="1:4" x14ac:dyDescent="0.3">
      <c r="A39" s="9" t="s">
        <v>402</v>
      </c>
      <c r="B39" s="19"/>
      <c r="C39" s="19">
        <v>19</v>
      </c>
      <c r="D39" s="19">
        <v>-7645</v>
      </c>
    </row>
    <row r="40" spans="1:4" x14ac:dyDescent="0.3">
      <c r="A40" s="11" t="s">
        <v>280</v>
      </c>
      <c r="B40" s="19"/>
      <c r="C40" s="19">
        <v>19</v>
      </c>
      <c r="D40" s="19">
        <v>-7645</v>
      </c>
    </row>
    <row r="41" spans="1:4" x14ac:dyDescent="0.3">
      <c r="A41" s="9" t="s">
        <v>420</v>
      </c>
      <c r="B41" s="19">
        <v>3</v>
      </c>
      <c r="C41" s="19">
        <v>35</v>
      </c>
      <c r="D41" s="19">
        <v>362877</v>
      </c>
    </row>
    <row r="42" spans="1:4" x14ac:dyDescent="0.3">
      <c r="A42" s="11" t="s">
        <v>428</v>
      </c>
      <c r="B42" s="19">
        <v>1</v>
      </c>
      <c r="C42" s="19">
        <v>11</v>
      </c>
      <c r="D42" s="19">
        <v>77257</v>
      </c>
    </row>
    <row r="43" spans="1:4" x14ac:dyDescent="0.3">
      <c r="A43" s="11" t="s">
        <v>422</v>
      </c>
      <c r="B43" s="19">
        <v>1</v>
      </c>
      <c r="C43" s="19">
        <v>12</v>
      </c>
      <c r="D43" s="19">
        <v>123265</v>
      </c>
    </row>
    <row r="44" spans="1:4" x14ac:dyDescent="0.3">
      <c r="A44" s="11" t="s">
        <v>425</v>
      </c>
      <c r="B44" s="19">
        <v>1</v>
      </c>
      <c r="C44" s="19">
        <v>12</v>
      </c>
      <c r="D44" s="19">
        <v>162355</v>
      </c>
    </row>
    <row r="45" spans="1:4" x14ac:dyDescent="0.3">
      <c r="A45" s="9" t="s">
        <v>445</v>
      </c>
      <c r="B45" s="19">
        <v>2</v>
      </c>
      <c r="C45" s="19">
        <v>56</v>
      </c>
      <c r="D45" s="19">
        <v>172970</v>
      </c>
    </row>
    <row r="46" spans="1:4" x14ac:dyDescent="0.3">
      <c r="A46" s="11" t="s">
        <v>447</v>
      </c>
      <c r="B46" s="19">
        <v>1</v>
      </c>
      <c r="C46" s="19">
        <v>42</v>
      </c>
      <c r="D46" s="19">
        <v>56300</v>
      </c>
    </row>
    <row r="47" spans="1:4" x14ac:dyDescent="0.3">
      <c r="A47" s="11" t="s">
        <v>450</v>
      </c>
      <c r="B47" s="19">
        <v>1</v>
      </c>
      <c r="C47" s="19">
        <v>14</v>
      </c>
      <c r="D47" s="19">
        <v>116670</v>
      </c>
    </row>
    <row r="48" spans="1:4" x14ac:dyDescent="0.3">
      <c r="A48" s="9" t="s">
        <v>452</v>
      </c>
      <c r="B48" s="19">
        <v>1</v>
      </c>
      <c r="C48" s="19">
        <v>-8</v>
      </c>
      <c r="D48" s="19">
        <v>33110</v>
      </c>
    </row>
    <row r="49" spans="1:4" x14ac:dyDescent="0.3">
      <c r="A49" s="11" t="s">
        <v>557</v>
      </c>
      <c r="B49" s="19"/>
      <c r="C49" s="19">
        <v>-20</v>
      </c>
      <c r="D49" s="19">
        <v>-23675</v>
      </c>
    </row>
    <row r="50" spans="1:4" x14ac:dyDescent="0.3">
      <c r="A50" s="11" t="s">
        <v>454</v>
      </c>
      <c r="B50" s="19">
        <v>1</v>
      </c>
      <c r="C50" s="19">
        <v>12</v>
      </c>
      <c r="D50" s="19">
        <v>56785</v>
      </c>
    </row>
    <row r="51" spans="1:4" x14ac:dyDescent="0.3">
      <c r="A51" s="9" t="s">
        <v>480</v>
      </c>
      <c r="B51" s="19">
        <v>12</v>
      </c>
      <c r="C51" s="19">
        <v>265</v>
      </c>
      <c r="D51" s="19">
        <v>1177412</v>
      </c>
    </row>
    <row r="52" spans="1:4" x14ac:dyDescent="0.3">
      <c r="A52" s="11" t="s">
        <v>483</v>
      </c>
      <c r="B52" s="19">
        <v>1</v>
      </c>
      <c r="C52" s="19">
        <v>44</v>
      </c>
      <c r="D52" s="19">
        <v>86240</v>
      </c>
    </row>
    <row r="53" spans="1:4" x14ac:dyDescent="0.3">
      <c r="A53" s="11" t="s">
        <v>486</v>
      </c>
      <c r="B53" s="19">
        <v>1</v>
      </c>
      <c r="C53" s="19">
        <v>44</v>
      </c>
      <c r="D53" s="19">
        <v>129600</v>
      </c>
    </row>
    <row r="54" spans="1:4" x14ac:dyDescent="0.3">
      <c r="A54" s="11" t="s">
        <v>489</v>
      </c>
      <c r="B54" s="19">
        <v>1</v>
      </c>
      <c r="C54" s="19">
        <v>33</v>
      </c>
      <c r="D54" s="19">
        <v>78200</v>
      </c>
    </row>
    <row r="55" spans="1:4" x14ac:dyDescent="0.3">
      <c r="A55" s="11" t="s">
        <v>492</v>
      </c>
      <c r="B55" s="19">
        <v>1</v>
      </c>
      <c r="C55" s="19">
        <v>33</v>
      </c>
      <c r="D55" s="19">
        <v>180000</v>
      </c>
    </row>
    <row r="56" spans="1:4" x14ac:dyDescent="0.3">
      <c r="A56" s="11" t="s">
        <v>495</v>
      </c>
      <c r="B56" s="19">
        <v>1</v>
      </c>
      <c r="C56" s="19">
        <v>16</v>
      </c>
      <c r="D56" s="19">
        <v>110112</v>
      </c>
    </row>
    <row r="57" spans="1:4" x14ac:dyDescent="0.3">
      <c r="A57" s="11" t="s">
        <v>498</v>
      </c>
      <c r="B57" s="19">
        <v>1</v>
      </c>
      <c r="C57" s="19">
        <v>16</v>
      </c>
      <c r="D57" s="19">
        <v>35520</v>
      </c>
    </row>
    <row r="58" spans="1:4" x14ac:dyDescent="0.3">
      <c r="A58" s="11" t="s">
        <v>501</v>
      </c>
      <c r="B58" s="19">
        <v>1</v>
      </c>
      <c r="C58" s="19">
        <v>16</v>
      </c>
      <c r="D58" s="19">
        <v>41760</v>
      </c>
    </row>
    <row r="59" spans="1:4" x14ac:dyDescent="0.3">
      <c r="A59" s="11" t="s">
        <v>504</v>
      </c>
      <c r="B59" s="19">
        <v>1</v>
      </c>
      <c r="C59" s="19">
        <v>15</v>
      </c>
      <c r="D59" s="19">
        <v>191070</v>
      </c>
    </row>
    <row r="60" spans="1:4" x14ac:dyDescent="0.3">
      <c r="A60" s="11" t="s">
        <v>507</v>
      </c>
      <c r="B60" s="19">
        <v>1</v>
      </c>
      <c r="C60" s="19">
        <v>12</v>
      </c>
      <c r="D60" s="19">
        <v>53360</v>
      </c>
    </row>
    <row r="61" spans="1:4" x14ac:dyDescent="0.3">
      <c r="A61" s="11" t="s">
        <v>510</v>
      </c>
      <c r="B61" s="19">
        <v>1</v>
      </c>
      <c r="C61" s="19">
        <v>12</v>
      </c>
      <c r="D61" s="19">
        <v>163070</v>
      </c>
    </row>
    <row r="62" spans="1:4" x14ac:dyDescent="0.3">
      <c r="A62" s="11" t="s">
        <v>513</v>
      </c>
      <c r="B62" s="19">
        <v>1</v>
      </c>
      <c r="C62" s="19">
        <v>12</v>
      </c>
      <c r="D62" s="19">
        <v>52800</v>
      </c>
    </row>
    <row r="63" spans="1:4" x14ac:dyDescent="0.3">
      <c r="A63" s="11" t="s">
        <v>516</v>
      </c>
      <c r="B63" s="19">
        <v>1</v>
      </c>
      <c r="C63" s="19">
        <v>12</v>
      </c>
      <c r="D63" s="19">
        <v>55680</v>
      </c>
    </row>
    <row r="64" spans="1:4" x14ac:dyDescent="0.3">
      <c r="A64" s="9" t="s">
        <v>526</v>
      </c>
      <c r="B64" s="19">
        <v>1</v>
      </c>
      <c r="C64" s="19">
        <v>17</v>
      </c>
      <c r="D64" s="19">
        <v>30250</v>
      </c>
    </row>
    <row r="65" spans="1:4" x14ac:dyDescent="0.3">
      <c r="A65" s="11" t="s">
        <v>528</v>
      </c>
      <c r="B65" s="19">
        <v>1</v>
      </c>
      <c r="C65" s="19">
        <v>17</v>
      </c>
      <c r="D65" s="19">
        <v>30250</v>
      </c>
    </row>
    <row r="66" spans="1:4" x14ac:dyDescent="0.3">
      <c r="A66" s="9" t="s">
        <v>530</v>
      </c>
      <c r="B66" s="19">
        <v>3</v>
      </c>
      <c r="C66" s="19">
        <v>77</v>
      </c>
      <c r="D66" s="19">
        <v>195404</v>
      </c>
    </row>
    <row r="67" spans="1:4" x14ac:dyDescent="0.3">
      <c r="A67" s="11" t="s">
        <v>532</v>
      </c>
      <c r="B67" s="19">
        <v>1</v>
      </c>
      <c r="C67" s="19">
        <v>29</v>
      </c>
      <c r="D67" s="19">
        <v>94500</v>
      </c>
    </row>
    <row r="68" spans="1:4" x14ac:dyDescent="0.3">
      <c r="A68" s="11" t="s">
        <v>538</v>
      </c>
      <c r="B68" s="19">
        <v>1</v>
      </c>
      <c r="C68" s="19">
        <v>19</v>
      </c>
      <c r="D68" s="19">
        <v>95904</v>
      </c>
    </row>
    <row r="69" spans="1:4" x14ac:dyDescent="0.3">
      <c r="A69" s="11" t="s">
        <v>535</v>
      </c>
      <c r="B69" s="19">
        <v>1</v>
      </c>
      <c r="C69" s="19">
        <v>29</v>
      </c>
      <c r="D69" s="19">
        <v>5000</v>
      </c>
    </row>
    <row r="70" spans="1:4" x14ac:dyDescent="0.3">
      <c r="A70" s="9" t="s">
        <v>548</v>
      </c>
      <c r="B70" s="19">
        <v>43</v>
      </c>
      <c r="C70" s="19">
        <v>1109</v>
      </c>
      <c r="D70" s="19">
        <v>4251564.6899999995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opLeftCell="G1" zoomScale="90" zoomScaleNormal="90" workbookViewId="0">
      <pane ySplit="1" topLeftCell="A2" activePane="bottomLeft" state="frozen"/>
      <selection pane="bottomLeft" activeCell="K1" sqref="K1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0.33203125" bestFit="1" customWidth="1"/>
    <col min="13" max="13" width="9.88671875" customWidth="1"/>
    <col min="14" max="14" width="10.33203125" bestFit="1" customWidth="1"/>
    <col min="15" max="16" width="16.44140625" customWidth="1"/>
    <col min="17" max="17" width="12.77734375" customWidth="1"/>
    <col min="18" max="18" width="12.6640625" bestFit="1" customWidth="1"/>
  </cols>
  <sheetData>
    <row r="1" spans="1:1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539</v>
      </c>
      <c r="L1" s="13" t="s">
        <v>550</v>
      </c>
      <c r="M1" s="13" t="s">
        <v>551</v>
      </c>
      <c r="N1" s="13" t="s">
        <v>552</v>
      </c>
      <c r="O1" s="14" t="s">
        <v>553</v>
      </c>
      <c r="P1" s="14" t="s">
        <v>554</v>
      </c>
      <c r="Q1" s="15" t="s">
        <v>555</v>
      </c>
      <c r="R1" s="16" t="s">
        <v>556</v>
      </c>
    </row>
    <row r="2" spans="1:18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166</v>
      </c>
      <c r="H2" s="3">
        <v>45987</v>
      </c>
      <c r="I2" s="5">
        <v>42.48</v>
      </c>
      <c r="J2" s="2" t="s">
        <v>15</v>
      </c>
      <c r="K2" s="2" t="s">
        <v>540</v>
      </c>
      <c r="O2" s="21">
        <f>H2</f>
        <v>45987</v>
      </c>
      <c r="P2" s="22">
        <f>I2/3.45</f>
        <v>12.313043478260868</v>
      </c>
    </row>
    <row r="3" spans="1:18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166</v>
      </c>
      <c r="H3" s="3">
        <v>45987</v>
      </c>
      <c r="I3" s="5">
        <v>14.16</v>
      </c>
      <c r="J3" s="2" t="s">
        <v>15</v>
      </c>
      <c r="K3" s="2" t="s">
        <v>540</v>
      </c>
      <c r="O3" s="21">
        <f t="shared" ref="O3:O35" si="0">H3</f>
        <v>45987</v>
      </c>
      <c r="P3" s="22">
        <f t="shared" ref="P3:P35" si="1">I3/3.45</f>
        <v>4.1043478260869559</v>
      </c>
    </row>
    <row r="4" spans="1:18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166</v>
      </c>
      <c r="H4" s="3">
        <v>45987</v>
      </c>
      <c r="I4" s="5">
        <v>14.16</v>
      </c>
      <c r="J4" s="2" t="s">
        <v>15</v>
      </c>
      <c r="K4" s="2" t="s">
        <v>540</v>
      </c>
      <c r="O4" s="21">
        <f t="shared" si="0"/>
        <v>45987</v>
      </c>
      <c r="P4" s="22">
        <f t="shared" si="1"/>
        <v>4.1043478260869559</v>
      </c>
    </row>
    <row r="5" spans="1:18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165</v>
      </c>
      <c r="H5" s="3">
        <v>45988</v>
      </c>
      <c r="I5" s="5">
        <v>28.32</v>
      </c>
      <c r="J5" s="2" t="s">
        <v>15</v>
      </c>
      <c r="K5" s="2" t="s">
        <v>540</v>
      </c>
      <c r="O5" s="21">
        <f t="shared" si="0"/>
        <v>45988</v>
      </c>
      <c r="P5" s="22">
        <f t="shared" si="1"/>
        <v>8.2086956521739118</v>
      </c>
    </row>
    <row r="6" spans="1:18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165</v>
      </c>
      <c r="H6" s="3">
        <v>45988</v>
      </c>
      <c r="I6" s="5">
        <v>14.16</v>
      </c>
      <c r="J6" s="2" t="s">
        <v>15</v>
      </c>
      <c r="K6" s="2" t="s">
        <v>540</v>
      </c>
      <c r="O6" s="21">
        <f t="shared" si="0"/>
        <v>45988</v>
      </c>
      <c r="P6" s="22">
        <f t="shared" si="1"/>
        <v>4.1043478260869559</v>
      </c>
    </row>
    <row r="7" spans="1:18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164</v>
      </c>
      <c r="H7" s="3">
        <v>45989</v>
      </c>
      <c r="I7" s="5">
        <v>28.32</v>
      </c>
      <c r="J7" s="2" t="s">
        <v>15</v>
      </c>
      <c r="K7" s="2" t="s">
        <v>540</v>
      </c>
      <c r="O7" s="21">
        <f t="shared" si="0"/>
        <v>45989</v>
      </c>
      <c r="P7" s="22">
        <f t="shared" si="1"/>
        <v>8.2086956521739118</v>
      </c>
    </row>
    <row r="8" spans="1:18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164</v>
      </c>
      <c r="H8" s="3">
        <v>45989</v>
      </c>
      <c r="I8" s="5">
        <v>42.48</v>
      </c>
      <c r="J8" s="2" t="s">
        <v>15</v>
      </c>
      <c r="K8" s="2" t="s">
        <v>540</v>
      </c>
      <c r="O8" s="21">
        <f t="shared" si="0"/>
        <v>45989</v>
      </c>
      <c r="P8" s="22">
        <f t="shared" si="1"/>
        <v>12.313043478260868</v>
      </c>
    </row>
    <row r="9" spans="1:18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164</v>
      </c>
      <c r="H9" s="3">
        <v>45989</v>
      </c>
      <c r="I9" s="5">
        <v>42.48</v>
      </c>
      <c r="J9" s="2" t="s">
        <v>15</v>
      </c>
      <c r="K9" s="2" t="s">
        <v>540</v>
      </c>
      <c r="O9" s="21">
        <f t="shared" si="0"/>
        <v>45989</v>
      </c>
      <c r="P9" s="22">
        <f t="shared" si="1"/>
        <v>12.313043478260868</v>
      </c>
    </row>
    <row r="10" spans="1:18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164</v>
      </c>
      <c r="H10" s="3">
        <v>45989</v>
      </c>
      <c r="I10" s="5">
        <v>14.16</v>
      </c>
      <c r="J10" s="2" t="s">
        <v>15</v>
      </c>
      <c r="K10" s="2" t="s">
        <v>540</v>
      </c>
      <c r="O10" s="21">
        <f t="shared" si="0"/>
        <v>45989</v>
      </c>
      <c r="P10" s="22">
        <f t="shared" si="1"/>
        <v>4.1043478260869559</v>
      </c>
    </row>
    <row r="11" spans="1:18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163</v>
      </c>
      <c r="H11" s="3">
        <v>45990</v>
      </c>
      <c r="I11" s="5">
        <v>28.32</v>
      </c>
      <c r="J11" s="2" t="s">
        <v>15</v>
      </c>
      <c r="K11" s="2" t="s">
        <v>540</v>
      </c>
      <c r="O11" s="21">
        <f t="shared" si="0"/>
        <v>45990</v>
      </c>
      <c r="P11" s="22">
        <f t="shared" si="1"/>
        <v>8.2086956521739118</v>
      </c>
    </row>
    <row r="12" spans="1:18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158</v>
      </c>
      <c r="H12" s="3">
        <v>45995</v>
      </c>
      <c r="I12" s="5">
        <v>14.16</v>
      </c>
      <c r="J12" s="2" t="s">
        <v>15</v>
      </c>
      <c r="K12" s="2" t="s">
        <v>540</v>
      </c>
      <c r="O12" s="21">
        <f t="shared" si="0"/>
        <v>45995</v>
      </c>
      <c r="P12" s="22">
        <f t="shared" si="1"/>
        <v>4.1043478260869559</v>
      </c>
    </row>
    <row r="13" spans="1:18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118</v>
      </c>
      <c r="H13" s="3">
        <v>46035</v>
      </c>
      <c r="I13" s="5">
        <v>14.16</v>
      </c>
      <c r="J13" s="2" t="s">
        <v>15</v>
      </c>
      <c r="K13" s="2" t="s">
        <v>540</v>
      </c>
      <c r="O13" s="21">
        <f t="shared" si="0"/>
        <v>46035</v>
      </c>
      <c r="P13" s="22">
        <f t="shared" si="1"/>
        <v>4.1043478260869559</v>
      </c>
    </row>
    <row r="14" spans="1:18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116</v>
      </c>
      <c r="H14" s="3">
        <v>46037</v>
      </c>
      <c r="I14" s="5">
        <v>14.16</v>
      </c>
      <c r="J14" s="2" t="s">
        <v>15</v>
      </c>
      <c r="K14" s="2" t="s">
        <v>540</v>
      </c>
      <c r="O14" s="21">
        <f t="shared" si="0"/>
        <v>46037</v>
      </c>
      <c r="P14" s="22">
        <f t="shared" si="1"/>
        <v>4.1043478260869559</v>
      </c>
    </row>
    <row r="15" spans="1:18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114</v>
      </c>
      <c r="H15" s="3">
        <v>46039</v>
      </c>
      <c r="I15" s="5">
        <v>14.16</v>
      </c>
      <c r="J15" s="2" t="s">
        <v>15</v>
      </c>
      <c r="K15" s="2" t="s">
        <v>540</v>
      </c>
      <c r="O15" s="21">
        <f t="shared" si="0"/>
        <v>46039</v>
      </c>
      <c r="P15" s="22">
        <f t="shared" si="1"/>
        <v>4.1043478260869559</v>
      </c>
    </row>
    <row r="16" spans="1:18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108</v>
      </c>
      <c r="H16" s="3">
        <v>46045</v>
      </c>
      <c r="I16" s="5">
        <v>14.16</v>
      </c>
      <c r="J16" s="2" t="s">
        <v>15</v>
      </c>
      <c r="K16" s="2" t="s">
        <v>540</v>
      </c>
      <c r="O16" s="21">
        <f t="shared" si="0"/>
        <v>46045</v>
      </c>
      <c r="P16" s="22">
        <f t="shared" si="1"/>
        <v>4.1043478260869559</v>
      </c>
    </row>
    <row r="17" spans="1:16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108</v>
      </c>
      <c r="H17" s="3">
        <v>46045</v>
      </c>
      <c r="I17" s="5">
        <v>14.16</v>
      </c>
      <c r="J17" s="2" t="s">
        <v>15</v>
      </c>
      <c r="K17" s="2" t="s">
        <v>540</v>
      </c>
      <c r="O17" s="21">
        <f t="shared" si="0"/>
        <v>46045</v>
      </c>
      <c r="P17" s="22">
        <f t="shared" si="1"/>
        <v>4.1043478260869559</v>
      </c>
    </row>
    <row r="18" spans="1:16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105</v>
      </c>
      <c r="H18" s="3">
        <v>46048</v>
      </c>
      <c r="I18" s="5">
        <v>14.16</v>
      </c>
      <c r="J18" s="2" t="s">
        <v>15</v>
      </c>
      <c r="K18" s="2" t="s">
        <v>540</v>
      </c>
      <c r="O18" s="21">
        <f t="shared" si="0"/>
        <v>46048</v>
      </c>
      <c r="P18" s="22">
        <f t="shared" si="1"/>
        <v>4.1043478260869559</v>
      </c>
    </row>
    <row r="19" spans="1:16" outlineLevel="1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3">
        <v>46117</v>
      </c>
      <c r="G19" s="4">
        <v>29</v>
      </c>
      <c r="H19" s="3">
        <v>46124</v>
      </c>
      <c r="I19" s="5">
        <v>250.4</v>
      </c>
      <c r="J19" s="2" t="s">
        <v>15</v>
      </c>
      <c r="K19" s="2" t="s">
        <v>540</v>
      </c>
      <c r="O19" s="21">
        <f t="shared" si="0"/>
        <v>46124</v>
      </c>
      <c r="P19" s="22">
        <f t="shared" si="1"/>
        <v>72.579710144927532</v>
      </c>
    </row>
    <row r="20" spans="1:16" outlineLevel="1" x14ac:dyDescent="0.3">
      <c r="A20" s="2" t="s">
        <v>64</v>
      </c>
      <c r="B20" s="2" t="s">
        <v>69</v>
      </c>
      <c r="C20" s="2" t="s">
        <v>70</v>
      </c>
      <c r="D20" s="2" t="s">
        <v>71</v>
      </c>
      <c r="E20" s="2" t="s">
        <v>68</v>
      </c>
      <c r="F20" s="3">
        <v>46117</v>
      </c>
      <c r="G20" s="4">
        <v>29</v>
      </c>
      <c r="H20" s="3">
        <v>46124</v>
      </c>
      <c r="I20" s="5">
        <v>23.6</v>
      </c>
      <c r="J20" s="2" t="s">
        <v>15</v>
      </c>
      <c r="K20" s="2" t="s">
        <v>540</v>
      </c>
      <c r="O20" s="21">
        <f t="shared" si="0"/>
        <v>46124</v>
      </c>
      <c r="P20" s="22">
        <f t="shared" si="1"/>
        <v>6.8405797101449277</v>
      </c>
    </row>
    <row r="21" spans="1:16" outlineLevel="1" x14ac:dyDescent="0.3">
      <c r="A21" s="2" t="s">
        <v>64</v>
      </c>
      <c r="B21" s="2" t="s">
        <v>72</v>
      </c>
      <c r="C21" s="2" t="s">
        <v>73</v>
      </c>
      <c r="D21" s="2" t="s">
        <v>74</v>
      </c>
      <c r="E21" s="2" t="s">
        <v>68</v>
      </c>
      <c r="F21" s="3">
        <v>46128</v>
      </c>
      <c r="G21" s="4">
        <v>18</v>
      </c>
      <c r="H21" s="3">
        <v>46135</v>
      </c>
      <c r="I21" s="5">
        <v>355.89</v>
      </c>
      <c r="J21" s="2" t="s">
        <v>15</v>
      </c>
      <c r="K21" s="2" t="s">
        <v>540</v>
      </c>
      <c r="O21" s="21">
        <f t="shared" si="0"/>
        <v>46135</v>
      </c>
      <c r="P21" s="22">
        <f t="shared" si="1"/>
        <v>103.15652173913043</v>
      </c>
    </row>
    <row r="22" spans="1:16" outlineLevel="1" x14ac:dyDescent="0.3">
      <c r="A22" s="2" t="s">
        <v>64</v>
      </c>
      <c r="B22" s="2" t="s">
        <v>75</v>
      </c>
      <c r="C22" s="2" t="s">
        <v>76</v>
      </c>
      <c r="D22" s="2" t="s">
        <v>77</v>
      </c>
      <c r="E22" s="2" t="s">
        <v>68</v>
      </c>
      <c r="F22" s="3">
        <v>46128</v>
      </c>
      <c r="G22" s="4">
        <v>18</v>
      </c>
      <c r="H22" s="3">
        <v>46135</v>
      </c>
      <c r="I22" s="5">
        <v>35.4</v>
      </c>
      <c r="J22" s="2" t="s">
        <v>15</v>
      </c>
      <c r="K22" s="2" t="s">
        <v>540</v>
      </c>
      <c r="O22" s="21">
        <f t="shared" si="0"/>
        <v>46135</v>
      </c>
      <c r="P22" s="22">
        <f t="shared" si="1"/>
        <v>10.260869565217391</v>
      </c>
    </row>
    <row r="23" spans="1:16" outlineLevel="1" x14ac:dyDescent="0.3">
      <c r="A23" s="2" t="s">
        <v>64</v>
      </c>
      <c r="B23" s="2" t="s">
        <v>78</v>
      </c>
      <c r="C23" s="2" t="s">
        <v>79</v>
      </c>
      <c r="D23" s="2" t="s">
        <v>80</v>
      </c>
      <c r="E23" s="2" t="s">
        <v>68</v>
      </c>
      <c r="F23" s="3">
        <v>46142</v>
      </c>
      <c r="G23" s="4">
        <v>4</v>
      </c>
      <c r="H23" s="3">
        <v>46149</v>
      </c>
      <c r="I23" s="5">
        <v>352.82</v>
      </c>
      <c r="J23" s="2" t="s">
        <v>15</v>
      </c>
      <c r="K23" s="2" t="s">
        <v>540</v>
      </c>
      <c r="O23" s="21">
        <f t="shared" si="0"/>
        <v>46149</v>
      </c>
      <c r="P23" s="22">
        <f t="shared" si="1"/>
        <v>102.26666666666667</v>
      </c>
    </row>
    <row r="24" spans="1:16" outlineLevel="1" x14ac:dyDescent="0.3">
      <c r="A24" s="2" t="s">
        <v>64</v>
      </c>
      <c r="B24" s="2" t="s">
        <v>81</v>
      </c>
      <c r="C24" s="2" t="s">
        <v>82</v>
      </c>
      <c r="D24" s="2" t="s">
        <v>83</v>
      </c>
      <c r="E24" s="2" t="s">
        <v>68</v>
      </c>
      <c r="F24" s="3">
        <v>46142</v>
      </c>
      <c r="G24" s="4">
        <v>4</v>
      </c>
      <c r="H24" s="3">
        <v>46149</v>
      </c>
      <c r="I24" s="5">
        <v>47.2</v>
      </c>
      <c r="J24" s="2" t="s">
        <v>15</v>
      </c>
      <c r="K24" s="2" t="s">
        <v>540</v>
      </c>
      <c r="O24" s="21">
        <f t="shared" si="0"/>
        <v>46149</v>
      </c>
      <c r="P24" s="22">
        <f t="shared" si="1"/>
        <v>13.681159420289855</v>
      </c>
    </row>
    <row r="25" spans="1:16" outlineLevel="1" x14ac:dyDescent="0.3">
      <c r="A25" s="2" t="s">
        <v>64</v>
      </c>
      <c r="B25" s="2" t="s">
        <v>84</v>
      </c>
      <c r="C25" s="2" t="s">
        <v>85</v>
      </c>
      <c r="D25" s="2" t="s">
        <v>86</v>
      </c>
      <c r="E25" s="2" t="s">
        <v>68</v>
      </c>
      <c r="F25" s="3">
        <v>46146</v>
      </c>
      <c r="G25" s="4">
        <v>0</v>
      </c>
      <c r="H25" s="3">
        <v>46153</v>
      </c>
      <c r="I25" s="5">
        <v>375</v>
      </c>
      <c r="J25" s="2" t="s">
        <v>15</v>
      </c>
      <c r="K25" s="2" t="s">
        <v>540</v>
      </c>
      <c r="O25" s="21">
        <f t="shared" si="0"/>
        <v>46153</v>
      </c>
      <c r="P25" s="22">
        <f t="shared" si="1"/>
        <v>108.69565217391303</v>
      </c>
    </row>
    <row r="26" spans="1:16" outlineLevel="1" x14ac:dyDescent="0.3">
      <c r="A26" s="2" t="s">
        <v>64</v>
      </c>
      <c r="B26" s="2" t="s">
        <v>87</v>
      </c>
      <c r="C26" s="2" t="s">
        <v>88</v>
      </c>
      <c r="D26" s="2" t="s">
        <v>89</v>
      </c>
      <c r="E26" s="2" t="s">
        <v>68</v>
      </c>
      <c r="F26" s="3">
        <v>46146</v>
      </c>
      <c r="G26" s="4">
        <v>0</v>
      </c>
      <c r="H26" s="3">
        <v>46153</v>
      </c>
      <c r="I26" s="5">
        <v>47.2</v>
      </c>
      <c r="J26" s="2" t="s">
        <v>15</v>
      </c>
      <c r="K26" s="2" t="s">
        <v>540</v>
      </c>
      <c r="O26" s="21">
        <f t="shared" si="0"/>
        <v>46153</v>
      </c>
      <c r="P26" s="22">
        <f t="shared" si="1"/>
        <v>13.681159420289855</v>
      </c>
    </row>
    <row r="27" spans="1:16" outlineLevel="1" x14ac:dyDescent="0.3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14</v>
      </c>
      <c r="F27" s="3">
        <v>46098</v>
      </c>
      <c r="G27" s="4">
        <v>48</v>
      </c>
      <c r="H27" s="3">
        <v>46105</v>
      </c>
      <c r="I27" s="5">
        <v>424.8</v>
      </c>
      <c r="J27" s="2" t="s">
        <v>15</v>
      </c>
      <c r="K27" s="2" t="s">
        <v>540</v>
      </c>
      <c r="O27" s="21">
        <f t="shared" si="0"/>
        <v>46105</v>
      </c>
      <c r="P27" s="22">
        <f t="shared" si="1"/>
        <v>123.13043478260869</v>
      </c>
    </row>
    <row r="28" spans="1:16" outlineLevel="1" x14ac:dyDescent="0.3">
      <c r="A28" s="2" t="s">
        <v>92</v>
      </c>
      <c r="B28" s="2" t="s">
        <v>96</v>
      </c>
      <c r="C28" s="2" t="s">
        <v>97</v>
      </c>
      <c r="D28" s="2" t="s">
        <v>98</v>
      </c>
      <c r="E28" s="2" t="s">
        <v>14</v>
      </c>
      <c r="F28" s="3">
        <v>46100</v>
      </c>
      <c r="G28" s="4">
        <v>46</v>
      </c>
      <c r="H28" s="3">
        <v>46107</v>
      </c>
      <c r="I28" s="5">
        <v>283.2</v>
      </c>
      <c r="J28" s="2" t="s">
        <v>15</v>
      </c>
      <c r="K28" s="2" t="s">
        <v>540</v>
      </c>
      <c r="O28" s="21">
        <f t="shared" si="0"/>
        <v>46107</v>
      </c>
      <c r="P28" s="22">
        <f t="shared" si="1"/>
        <v>82.086956521739125</v>
      </c>
    </row>
    <row r="29" spans="1:16" outlineLevel="1" x14ac:dyDescent="0.3">
      <c r="A29" s="2" t="s">
        <v>92</v>
      </c>
      <c r="B29" s="2" t="s">
        <v>99</v>
      </c>
      <c r="C29" s="2" t="s">
        <v>100</v>
      </c>
      <c r="D29" s="2" t="s">
        <v>101</v>
      </c>
      <c r="E29" s="2" t="s">
        <v>14</v>
      </c>
      <c r="F29" s="3">
        <v>46102</v>
      </c>
      <c r="G29" s="4">
        <v>44</v>
      </c>
      <c r="H29" s="3">
        <v>46109</v>
      </c>
      <c r="I29" s="5">
        <v>354</v>
      </c>
      <c r="J29" s="2" t="s">
        <v>15</v>
      </c>
      <c r="K29" s="2" t="s">
        <v>540</v>
      </c>
      <c r="O29" s="21">
        <f t="shared" si="0"/>
        <v>46109</v>
      </c>
      <c r="P29" s="22">
        <f t="shared" si="1"/>
        <v>102.60869565217391</v>
      </c>
    </row>
    <row r="30" spans="1:16" outlineLevel="1" x14ac:dyDescent="0.3">
      <c r="A30" s="2" t="s">
        <v>92</v>
      </c>
      <c r="B30" s="2" t="s">
        <v>102</v>
      </c>
      <c r="C30" s="2" t="s">
        <v>103</v>
      </c>
      <c r="D30" s="2" t="s">
        <v>104</v>
      </c>
      <c r="E30" s="2" t="s">
        <v>14</v>
      </c>
      <c r="F30" s="3">
        <v>46111</v>
      </c>
      <c r="G30" s="4">
        <v>35</v>
      </c>
      <c r="H30" s="3">
        <v>46118</v>
      </c>
      <c r="I30" s="5">
        <v>283.2</v>
      </c>
      <c r="J30" s="2" t="s">
        <v>15</v>
      </c>
      <c r="K30" s="2" t="s">
        <v>540</v>
      </c>
      <c r="O30" s="21">
        <f t="shared" si="0"/>
        <v>46118</v>
      </c>
      <c r="P30" s="22">
        <f t="shared" si="1"/>
        <v>82.086956521739125</v>
      </c>
    </row>
    <row r="31" spans="1:16" outlineLevel="1" x14ac:dyDescent="0.3">
      <c r="A31" s="2" t="s">
        <v>92</v>
      </c>
      <c r="B31" s="2" t="s">
        <v>105</v>
      </c>
      <c r="C31" s="2" t="s">
        <v>106</v>
      </c>
      <c r="D31" s="2" t="s">
        <v>107</v>
      </c>
      <c r="E31" s="2" t="s">
        <v>14</v>
      </c>
      <c r="F31" s="3">
        <v>46121</v>
      </c>
      <c r="G31" s="4">
        <v>25</v>
      </c>
      <c r="H31" s="3">
        <v>46128</v>
      </c>
      <c r="I31" s="5">
        <v>354</v>
      </c>
      <c r="J31" s="2" t="s">
        <v>15</v>
      </c>
      <c r="K31" s="2" t="s">
        <v>540</v>
      </c>
      <c r="O31" s="21">
        <f t="shared" si="0"/>
        <v>46128</v>
      </c>
      <c r="P31" s="22">
        <f t="shared" si="1"/>
        <v>102.60869565217391</v>
      </c>
    </row>
    <row r="32" spans="1:16" outlineLevel="1" x14ac:dyDescent="0.3">
      <c r="A32" s="2" t="s">
        <v>92</v>
      </c>
      <c r="B32" s="2" t="s">
        <v>108</v>
      </c>
      <c r="C32" s="2" t="s">
        <v>109</v>
      </c>
      <c r="D32" s="2" t="s">
        <v>110</v>
      </c>
      <c r="E32" s="2" t="s">
        <v>14</v>
      </c>
      <c r="F32" s="3">
        <v>46122</v>
      </c>
      <c r="G32" s="4">
        <v>24</v>
      </c>
      <c r="H32" s="3">
        <v>46129</v>
      </c>
      <c r="I32" s="5">
        <v>236</v>
      </c>
      <c r="J32" s="2" t="s">
        <v>15</v>
      </c>
      <c r="K32" s="2" t="s">
        <v>540</v>
      </c>
      <c r="O32" s="21">
        <f t="shared" si="0"/>
        <v>46129</v>
      </c>
      <c r="P32" s="22">
        <f t="shared" si="1"/>
        <v>68.405797101449267</v>
      </c>
    </row>
    <row r="33" spans="1:18" outlineLevel="1" x14ac:dyDescent="0.3">
      <c r="A33" s="2" t="s">
        <v>92</v>
      </c>
      <c r="B33" s="2" t="s">
        <v>111</v>
      </c>
      <c r="C33" s="2" t="s">
        <v>112</v>
      </c>
      <c r="D33" s="2" t="s">
        <v>113</v>
      </c>
      <c r="E33" s="2" t="s">
        <v>14</v>
      </c>
      <c r="F33" s="3">
        <v>46137</v>
      </c>
      <c r="G33" s="4">
        <v>9</v>
      </c>
      <c r="H33" s="3">
        <v>46144</v>
      </c>
      <c r="I33" s="5">
        <v>354</v>
      </c>
      <c r="J33" s="2" t="s">
        <v>15</v>
      </c>
      <c r="K33" s="2" t="s">
        <v>540</v>
      </c>
      <c r="O33" s="21">
        <f t="shared" si="0"/>
        <v>46144</v>
      </c>
      <c r="P33" s="22">
        <f t="shared" si="1"/>
        <v>102.60869565217391</v>
      </c>
    </row>
    <row r="34" spans="1:18" outlineLevel="1" x14ac:dyDescent="0.3">
      <c r="A34" s="2" t="s">
        <v>114</v>
      </c>
      <c r="B34" s="2" t="s">
        <v>115</v>
      </c>
      <c r="C34" s="2" t="s">
        <v>116</v>
      </c>
      <c r="D34" s="2" t="s">
        <v>117</v>
      </c>
      <c r="E34" s="2" t="s">
        <v>14</v>
      </c>
      <c r="F34" s="3">
        <v>46147</v>
      </c>
      <c r="G34" s="6">
        <v>-1</v>
      </c>
      <c r="H34" s="3">
        <v>46154</v>
      </c>
      <c r="I34" s="5">
        <v>361.79</v>
      </c>
      <c r="J34" s="2" t="s">
        <v>15</v>
      </c>
      <c r="K34" s="2" t="s">
        <v>540</v>
      </c>
      <c r="O34" s="21">
        <f t="shared" si="0"/>
        <v>46154</v>
      </c>
      <c r="P34" s="22">
        <f t="shared" si="1"/>
        <v>104.86666666666667</v>
      </c>
    </row>
    <row r="35" spans="1:18" outlineLevel="1" x14ac:dyDescent="0.3">
      <c r="A35" s="2" t="s">
        <v>114</v>
      </c>
      <c r="B35" s="2" t="s">
        <v>118</v>
      </c>
      <c r="C35" s="2" t="s">
        <v>119</v>
      </c>
      <c r="D35" s="2" t="s">
        <v>120</v>
      </c>
      <c r="E35" s="2" t="s">
        <v>14</v>
      </c>
      <c r="F35" s="3">
        <v>46147</v>
      </c>
      <c r="G35" s="6">
        <v>-1</v>
      </c>
      <c r="H35" s="3">
        <v>46154</v>
      </c>
      <c r="I35" s="5">
        <v>70.8</v>
      </c>
      <c r="J35" s="2" t="s">
        <v>15</v>
      </c>
      <c r="K35" s="2" t="s">
        <v>540</v>
      </c>
      <c r="O35" s="21">
        <f t="shared" si="0"/>
        <v>46154</v>
      </c>
      <c r="P35" s="22">
        <f t="shared" si="1"/>
        <v>20.521739130434781</v>
      </c>
    </row>
    <row r="36" spans="1:18" outlineLevel="1" x14ac:dyDescent="0.3">
      <c r="A36" s="2" t="s">
        <v>121</v>
      </c>
      <c r="B36" s="2" t="s">
        <v>122</v>
      </c>
      <c r="C36" s="2" t="s">
        <v>123</v>
      </c>
      <c r="D36" s="2" t="s">
        <v>124</v>
      </c>
      <c r="E36" s="2" t="s">
        <v>125</v>
      </c>
      <c r="F36" s="3">
        <v>46110</v>
      </c>
      <c r="G36" s="6">
        <v>-2</v>
      </c>
      <c r="H36" s="3">
        <v>46155</v>
      </c>
      <c r="I36" s="5">
        <v>24860</v>
      </c>
      <c r="J36" s="2" t="s">
        <v>91</v>
      </c>
      <c r="K36" s="2" t="s">
        <v>549</v>
      </c>
      <c r="L36" s="17">
        <f>F36+45</f>
        <v>46155</v>
      </c>
      <c r="M36" s="18">
        <f ca="1">TODAY()-N36</f>
        <v>-2</v>
      </c>
      <c r="N36" s="17">
        <v>46155</v>
      </c>
      <c r="O36" s="21">
        <f>H36</f>
        <v>46155</v>
      </c>
      <c r="P36" s="23">
        <f>I36</f>
        <v>24860</v>
      </c>
      <c r="Q36" s="18">
        <f ca="1">TODAY()-F36</f>
        <v>43</v>
      </c>
      <c r="R36" t="s">
        <v>566</v>
      </c>
    </row>
    <row r="37" spans="1:18" outlineLevel="1" x14ac:dyDescent="0.3">
      <c r="A37" s="2" t="s">
        <v>121</v>
      </c>
      <c r="B37" s="2" t="s">
        <v>126</v>
      </c>
      <c r="C37" s="2" t="s">
        <v>127</v>
      </c>
      <c r="D37" s="2" t="s">
        <v>128</v>
      </c>
      <c r="E37" s="2" t="s">
        <v>125</v>
      </c>
      <c r="F37" s="3">
        <v>46110</v>
      </c>
      <c r="G37" s="6">
        <v>-2</v>
      </c>
      <c r="H37" s="3">
        <v>46155</v>
      </c>
      <c r="I37" s="5">
        <v>24860</v>
      </c>
      <c r="J37" s="2" t="s">
        <v>91</v>
      </c>
      <c r="K37" s="2" t="s">
        <v>549</v>
      </c>
      <c r="L37" s="17">
        <f t="shared" ref="L37:L41" si="2">F37+45</f>
        <v>46155</v>
      </c>
      <c r="M37" s="18">
        <f t="shared" ref="M37:M41" ca="1" si="3">TODAY()-N37</f>
        <v>-2</v>
      </c>
      <c r="N37" s="17">
        <v>46155</v>
      </c>
      <c r="O37" s="21">
        <f t="shared" ref="O37:O54" si="4">H37</f>
        <v>46155</v>
      </c>
      <c r="P37" s="23">
        <f t="shared" ref="P37:P41" si="5">I37</f>
        <v>24860</v>
      </c>
      <c r="Q37" s="18">
        <f t="shared" ref="Q37:Q41" ca="1" si="6">TODAY()-F37</f>
        <v>43</v>
      </c>
      <c r="R37" t="s">
        <v>566</v>
      </c>
    </row>
    <row r="38" spans="1:18" outlineLevel="1" x14ac:dyDescent="0.3">
      <c r="A38" s="2" t="s">
        <v>121</v>
      </c>
      <c r="B38" s="2" t="s">
        <v>129</v>
      </c>
      <c r="C38" s="2" t="s">
        <v>130</v>
      </c>
      <c r="D38" s="2" t="s">
        <v>131</v>
      </c>
      <c r="E38" s="2" t="s">
        <v>125</v>
      </c>
      <c r="F38" s="3">
        <v>46110</v>
      </c>
      <c r="G38" s="6">
        <v>-2</v>
      </c>
      <c r="H38" s="3">
        <v>46155</v>
      </c>
      <c r="I38" s="5">
        <v>28800</v>
      </c>
      <c r="J38" s="2" t="s">
        <v>91</v>
      </c>
      <c r="K38" s="2" t="s">
        <v>549</v>
      </c>
      <c r="L38" s="17">
        <f t="shared" si="2"/>
        <v>46155</v>
      </c>
      <c r="M38" s="18">
        <f t="shared" ca="1" si="3"/>
        <v>-2</v>
      </c>
      <c r="N38" s="17">
        <v>46155</v>
      </c>
      <c r="O38" s="21">
        <f t="shared" si="4"/>
        <v>46155</v>
      </c>
      <c r="P38" s="23">
        <f t="shared" si="5"/>
        <v>28800</v>
      </c>
      <c r="Q38" s="18">
        <f t="shared" ca="1" si="6"/>
        <v>43</v>
      </c>
      <c r="R38" t="s">
        <v>566</v>
      </c>
    </row>
    <row r="39" spans="1:18" outlineLevel="1" x14ac:dyDescent="0.3">
      <c r="A39" s="2" t="s">
        <v>121</v>
      </c>
      <c r="B39" s="2" t="s">
        <v>132</v>
      </c>
      <c r="C39" s="2" t="s">
        <v>133</v>
      </c>
      <c r="D39" s="2" t="s">
        <v>134</v>
      </c>
      <c r="E39" s="2" t="s">
        <v>125</v>
      </c>
      <c r="F39" s="3">
        <v>46110</v>
      </c>
      <c r="G39" s="6">
        <v>-2</v>
      </c>
      <c r="H39" s="3">
        <v>46155</v>
      </c>
      <c r="I39" s="5">
        <v>28800</v>
      </c>
      <c r="J39" s="2" t="s">
        <v>91</v>
      </c>
      <c r="K39" s="2" t="s">
        <v>549</v>
      </c>
      <c r="L39" s="17">
        <f t="shared" si="2"/>
        <v>46155</v>
      </c>
      <c r="M39" s="18">
        <f t="shared" ca="1" si="3"/>
        <v>-2</v>
      </c>
      <c r="N39" s="17">
        <v>46155</v>
      </c>
      <c r="O39" s="21">
        <f t="shared" si="4"/>
        <v>46155</v>
      </c>
      <c r="P39" s="23">
        <f t="shared" si="5"/>
        <v>28800</v>
      </c>
      <c r="Q39" s="18">
        <f t="shared" ca="1" si="6"/>
        <v>43</v>
      </c>
      <c r="R39" t="s">
        <v>566</v>
      </c>
    </row>
    <row r="40" spans="1:18" outlineLevel="1" x14ac:dyDescent="0.3">
      <c r="A40" s="2" t="s">
        <v>121</v>
      </c>
      <c r="B40" s="2" t="s">
        <v>135</v>
      </c>
      <c r="C40" s="2" t="s">
        <v>136</v>
      </c>
      <c r="D40" s="2" t="s">
        <v>137</v>
      </c>
      <c r="E40" s="2" t="s">
        <v>125</v>
      </c>
      <c r="F40" s="3">
        <v>46110</v>
      </c>
      <c r="G40" s="6">
        <v>-2</v>
      </c>
      <c r="H40" s="3">
        <v>46155</v>
      </c>
      <c r="I40" s="5">
        <v>29300</v>
      </c>
      <c r="J40" s="2" t="s">
        <v>91</v>
      </c>
      <c r="K40" s="2" t="s">
        <v>549</v>
      </c>
      <c r="L40" s="17">
        <f t="shared" si="2"/>
        <v>46155</v>
      </c>
      <c r="M40" s="18">
        <f t="shared" ca="1" si="3"/>
        <v>-2</v>
      </c>
      <c r="N40" s="17">
        <v>46155</v>
      </c>
      <c r="O40" s="21">
        <f t="shared" si="4"/>
        <v>46155</v>
      </c>
      <c r="P40" s="23">
        <f t="shared" si="5"/>
        <v>29300</v>
      </c>
      <c r="Q40" s="18">
        <f t="shared" ca="1" si="6"/>
        <v>43</v>
      </c>
      <c r="R40" t="s">
        <v>566</v>
      </c>
    </row>
    <row r="41" spans="1:18" outlineLevel="1" x14ac:dyDescent="0.3">
      <c r="A41" s="2" t="s">
        <v>121</v>
      </c>
      <c r="B41" s="2" t="s">
        <v>138</v>
      </c>
      <c r="C41" s="2" t="s">
        <v>139</v>
      </c>
      <c r="D41" s="2" t="s">
        <v>140</v>
      </c>
      <c r="E41" s="2" t="s">
        <v>141</v>
      </c>
      <c r="F41" s="3">
        <v>46110</v>
      </c>
      <c r="G41" s="4">
        <v>43</v>
      </c>
      <c r="H41" s="3">
        <v>46110</v>
      </c>
      <c r="I41" s="5">
        <v>8136.99</v>
      </c>
      <c r="J41" s="2" t="s">
        <v>91</v>
      </c>
      <c r="K41" s="2" t="s">
        <v>549</v>
      </c>
      <c r="L41" s="17">
        <f t="shared" si="2"/>
        <v>46155</v>
      </c>
      <c r="M41" s="18">
        <f t="shared" ca="1" si="3"/>
        <v>-2</v>
      </c>
      <c r="N41" s="17">
        <v>46155</v>
      </c>
      <c r="O41" s="21">
        <v>46155</v>
      </c>
      <c r="P41" s="23">
        <f t="shared" si="5"/>
        <v>8136.99</v>
      </c>
      <c r="Q41" s="18">
        <f t="shared" ca="1" si="6"/>
        <v>43</v>
      </c>
      <c r="R41" t="s">
        <v>566</v>
      </c>
    </row>
    <row r="42" spans="1:18" outlineLevel="1" x14ac:dyDescent="0.3">
      <c r="A42" s="2" t="s">
        <v>142</v>
      </c>
      <c r="B42" s="2" t="s">
        <v>144</v>
      </c>
      <c r="C42" s="2" t="s">
        <v>145</v>
      </c>
      <c r="D42" s="2" t="s">
        <v>146</v>
      </c>
      <c r="E42" s="2" t="s">
        <v>68</v>
      </c>
      <c r="F42" s="3">
        <v>46142</v>
      </c>
      <c r="G42" s="4">
        <v>4</v>
      </c>
      <c r="H42" s="3">
        <v>46149</v>
      </c>
      <c r="I42" s="5">
        <v>488.28</v>
      </c>
      <c r="J42" s="2" t="s">
        <v>15</v>
      </c>
      <c r="K42" s="2" t="s">
        <v>540</v>
      </c>
      <c r="O42" s="21">
        <f t="shared" si="4"/>
        <v>46149</v>
      </c>
      <c r="P42" s="22">
        <f t="shared" ref="P42:P54" si="7">I42/3.45</f>
        <v>141.53043478260869</v>
      </c>
    </row>
    <row r="43" spans="1:18" outlineLevel="1" x14ac:dyDescent="0.3">
      <c r="A43" s="2" t="s">
        <v>142</v>
      </c>
      <c r="B43" s="2" t="s">
        <v>147</v>
      </c>
      <c r="C43" s="2" t="s">
        <v>148</v>
      </c>
      <c r="D43" s="2" t="s">
        <v>149</v>
      </c>
      <c r="E43" s="2" t="s">
        <v>68</v>
      </c>
      <c r="F43" s="3">
        <v>46142</v>
      </c>
      <c r="G43" s="4">
        <v>4</v>
      </c>
      <c r="H43" s="3">
        <v>46149</v>
      </c>
      <c r="I43" s="5">
        <v>47.2</v>
      </c>
      <c r="J43" s="2" t="s">
        <v>15</v>
      </c>
      <c r="K43" s="2" t="s">
        <v>540</v>
      </c>
      <c r="O43" s="21">
        <f t="shared" si="4"/>
        <v>46149</v>
      </c>
      <c r="P43" s="22">
        <f t="shared" si="7"/>
        <v>13.681159420289855</v>
      </c>
    </row>
    <row r="44" spans="1:18" outlineLevel="1" x14ac:dyDescent="0.3">
      <c r="A44" s="2" t="s">
        <v>142</v>
      </c>
      <c r="B44" s="2" t="s">
        <v>150</v>
      </c>
      <c r="C44" s="2" t="s">
        <v>151</v>
      </c>
      <c r="D44" s="2" t="s">
        <v>152</v>
      </c>
      <c r="E44" s="2" t="s">
        <v>68</v>
      </c>
      <c r="F44" s="3">
        <v>46144</v>
      </c>
      <c r="G44" s="4">
        <v>2</v>
      </c>
      <c r="H44" s="3">
        <v>46151</v>
      </c>
      <c r="I44" s="5">
        <v>787.3</v>
      </c>
      <c r="J44" s="2" t="s">
        <v>15</v>
      </c>
      <c r="K44" s="2" t="s">
        <v>540</v>
      </c>
      <c r="O44" s="21">
        <f t="shared" si="4"/>
        <v>46151</v>
      </c>
      <c r="P44" s="22">
        <f t="shared" si="7"/>
        <v>228.20289855072463</v>
      </c>
    </row>
    <row r="45" spans="1:18" outlineLevel="1" x14ac:dyDescent="0.3">
      <c r="A45" s="2" t="s">
        <v>142</v>
      </c>
      <c r="B45" s="2" t="s">
        <v>153</v>
      </c>
      <c r="C45" s="2" t="s">
        <v>154</v>
      </c>
      <c r="D45" s="2" t="s">
        <v>155</v>
      </c>
      <c r="E45" s="2" t="s">
        <v>68</v>
      </c>
      <c r="F45" s="3">
        <v>46144</v>
      </c>
      <c r="G45" s="4">
        <v>2</v>
      </c>
      <c r="H45" s="3">
        <v>46151</v>
      </c>
      <c r="I45" s="5">
        <v>70.8</v>
      </c>
      <c r="J45" s="2" t="s">
        <v>15</v>
      </c>
      <c r="K45" s="2" t="s">
        <v>540</v>
      </c>
      <c r="O45" s="21">
        <f t="shared" si="4"/>
        <v>46151</v>
      </c>
      <c r="P45" s="22">
        <f t="shared" si="7"/>
        <v>20.521739130434781</v>
      </c>
    </row>
    <row r="46" spans="1:18" outlineLevel="1" x14ac:dyDescent="0.3">
      <c r="A46" s="2" t="s">
        <v>142</v>
      </c>
      <c r="B46" s="2" t="s">
        <v>156</v>
      </c>
      <c r="C46" s="2" t="s">
        <v>157</v>
      </c>
      <c r="D46" s="2" t="s">
        <v>158</v>
      </c>
      <c r="E46" s="2" t="s">
        <v>68</v>
      </c>
      <c r="F46" s="3">
        <v>46145</v>
      </c>
      <c r="G46" s="4">
        <v>1</v>
      </c>
      <c r="H46" s="3">
        <v>46152</v>
      </c>
      <c r="I46" s="5">
        <v>1235.7</v>
      </c>
      <c r="J46" s="2" t="s">
        <v>15</v>
      </c>
      <c r="K46" s="2" t="s">
        <v>540</v>
      </c>
      <c r="O46" s="21">
        <f t="shared" si="4"/>
        <v>46152</v>
      </c>
      <c r="P46" s="22">
        <f t="shared" si="7"/>
        <v>358.17391304347825</v>
      </c>
    </row>
    <row r="47" spans="1:18" outlineLevel="1" x14ac:dyDescent="0.3">
      <c r="A47" s="2" t="s">
        <v>142</v>
      </c>
      <c r="B47" s="2" t="s">
        <v>159</v>
      </c>
      <c r="C47" s="2" t="s">
        <v>160</v>
      </c>
      <c r="D47" s="2" t="s">
        <v>161</v>
      </c>
      <c r="E47" s="2" t="s">
        <v>68</v>
      </c>
      <c r="F47" s="3">
        <v>46145</v>
      </c>
      <c r="G47" s="4">
        <v>1</v>
      </c>
      <c r="H47" s="3">
        <v>46152</v>
      </c>
      <c r="I47" s="5">
        <v>118</v>
      </c>
      <c r="J47" s="2" t="s">
        <v>15</v>
      </c>
      <c r="K47" s="2" t="s">
        <v>540</v>
      </c>
      <c r="O47" s="21">
        <f t="shared" si="4"/>
        <v>46152</v>
      </c>
      <c r="P47" s="22">
        <f t="shared" si="7"/>
        <v>34.202898550724633</v>
      </c>
    </row>
    <row r="48" spans="1:18" outlineLevel="1" x14ac:dyDescent="0.3">
      <c r="A48" s="2" t="s">
        <v>142</v>
      </c>
      <c r="B48" s="2" t="s">
        <v>162</v>
      </c>
      <c r="C48" s="2" t="s">
        <v>163</v>
      </c>
      <c r="D48" s="2" t="s">
        <v>164</v>
      </c>
      <c r="E48" s="2" t="s">
        <v>68</v>
      </c>
      <c r="F48" s="3">
        <v>46146</v>
      </c>
      <c r="G48" s="4">
        <v>0</v>
      </c>
      <c r="H48" s="3">
        <v>46153</v>
      </c>
      <c r="I48" s="5">
        <v>258.18</v>
      </c>
      <c r="J48" s="2" t="s">
        <v>15</v>
      </c>
      <c r="K48" s="2" t="s">
        <v>540</v>
      </c>
      <c r="O48" s="21">
        <f t="shared" si="4"/>
        <v>46153</v>
      </c>
      <c r="P48" s="22">
        <f t="shared" si="7"/>
        <v>74.834782608695647</v>
      </c>
    </row>
    <row r="49" spans="1:18" outlineLevel="1" x14ac:dyDescent="0.3">
      <c r="A49" s="2" t="s">
        <v>142</v>
      </c>
      <c r="B49" s="2" t="s">
        <v>165</v>
      </c>
      <c r="C49" s="2" t="s">
        <v>166</v>
      </c>
      <c r="D49" s="2" t="s">
        <v>167</v>
      </c>
      <c r="E49" s="2" t="s">
        <v>68</v>
      </c>
      <c r="F49" s="3">
        <v>46146</v>
      </c>
      <c r="G49" s="4">
        <v>0</v>
      </c>
      <c r="H49" s="3">
        <v>46153</v>
      </c>
      <c r="I49" s="5">
        <v>70.8</v>
      </c>
      <c r="J49" s="2" t="s">
        <v>15</v>
      </c>
      <c r="K49" s="2" t="s">
        <v>540</v>
      </c>
      <c r="O49" s="21">
        <f t="shared" si="4"/>
        <v>46153</v>
      </c>
      <c r="P49" s="22">
        <f t="shared" si="7"/>
        <v>20.521739130434781</v>
      </c>
    </row>
    <row r="50" spans="1:18" outlineLevel="1" x14ac:dyDescent="0.3">
      <c r="A50" s="2" t="s">
        <v>142</v>
      </c>
      <c r="B50" s="2" t="s">
        <v>168</v>
      </c>
      <c r="C50" s="2" t="s">
        <v>169</v>
      </c>
      <c r="D50" s="2" t="s">
        <v>170</v>
      </c>
      <c r="E50" s="2" t="s">
        <v>68</v>
      </c>
      <c r="F50" s="3">
        <v>46147</v>
      </c>
      <c r="G50" s="4">
        <v>6</v>
      </c>
      <c r="H50" s="3">
        <v>46147</v>
      </c>
      <c r="I50" s="5">
        <v>23.6</v>
      </c>
      <c r="J50" s="2" t="s">
        <v>15</v>
      </c>
      <c r="K50" s="2" t="s">
        <v>540</v>
      </c>
      <c r="O50" s="21">
        <f t="shared" si="4"/>
        <v>46147</v>
      </c>
      <c r="P50" s="22">
        <f t="shared" si="7"/>
        <v>6.8405797101449277</v>
      </c>
    </row>
    <row r="51" spans="1:18" outlineLevel="1" x14ac:dyDescent="0.3">
      <c r="A51" s="2" t="s">
        <v>142</v>
      </c>
      <c r="B51" s="2" t="s">
        <v>171</v>
      </c>
      <c r="C51" s="2" t="s">
        <v>172</v>
      </c>
      <c r="D51" s="2" t="s">
        <v>173</v>
      </c>
      <c r="E51" s="2" t="s">
        <v>68</v>
      </c>
      <c r="F51" s="3">
        <v>46147</v>
      </c>
      <c r="G51" s="6">
        <v>-1</v>
      </c>
      <c r="H51" s="3">
        <v>46154</v>
      </c>
      <c r="I51" s="5">
        <v>70.8</v>
      </c>
      <c r="J51" s="2" t="s">
        <v>15</v>
      </c>
      <c r="K51" s="2" t="s">
        <v>540</v>
      </c>
      <c r="O51" s="21">
        <f t="shared" si="4"/>
        <v>46154</v>
      </c>
      <c r="P51" s="22">
        <f t="shared" si="7"/>
        <v>20.521739130434781</v>
      </c>
    </row>
    <row r="52" spans="1:18" outlineLevel="1" x14ac:dyDescent="0.3">
      <c r="A52" s="2" t="s">
        <v>142</v>
      </c>
      <c r="B52" s="2" t="s">
        <v>174</v>
      </c>
      <c r="C52" s="2" t="s">
        <v>175</v>
      </c>
      <c r="D52" s="2" t="s">
        <v>176</v>
      </c>
      <c r="E52" s="2" t="s">
        <v>68</v>
      </c>
      <c r="F52" s="3">
        <v>46147</v>
      </c>
      <c r="G52" s="6">
        <v>-1</v>
      </c>
      <c r="H52" s="3">
        <v>46154</v>
      </c>
      <c r="I52" s="5">
        <v>369.58</v>
      </c>
      <c r="J52" s="2" t="s">
        <v>15</v>
      </c>
      <c r="K52" s="2" t="s">
        <v>540</v>
      </c>
      <c r="O52" s="21">
        <f t="shared" si="4"/>
        <v>46154</v>
      </c>
      <c r="P52" s="22">
        <f t="shared" si="7"/>
        <v>107.12463768115941</v>
      </c>
    </row>
    <row r="53" spans="1:18" outlineLevel="1" x14ac:dyDescent="0.3">
      <c r="A53" s="2" t="s">
        <v>142</v>
      </c>
      <c r="B53" s="2" t="s">
        <v>177</v>
      </c>
      <c r="C53" s="2" t="s">
        <v>178</v>
      </c>
      <c r="D53" s="2" t="s">
        <v>179</v>
      </c>
      <c r="E53" s="2" t="s">
        <v>68</v>
      </c>
      <c r="F53" s="3">
        <v>46148</v>
      </c>
      <c r="G53" s="6">
        <v>-2</v>
      </c>
      <c r="H53" s="3">
        <v>46155</v>
      </c>
      <c r="I53" s="5">
        <v>458.55</v>
      </c>
      <c r="J53" s="2" t="s">
        <v>15</v>
      </c>
      <c r="K53" s="2" t="s">
        <v>540</v>
      </c>
      <c r="O53" s="21">
        <f t="shared" si="4"/>
        <v>46155</v>
      </c>
      <c r="P53" s="22">
        <f t="shared" si="7"/>
        <v>132.91304347826087</v>
      </c>
    </row>
    <row r="54" spans="1:18" outlineLevel="1" x14ac:dyDescent="0.3">
      <c r="A54" s="2" t="s">
        <v>142</v>
      </c>
      <c r="B54" s="2" t="s">
        <v>180</v>
      </c>
      <c r="C54" s="2" t="s">
        <v>181</v>
      </c>
      <c r="D54" s="2" t="s">
        <v>182</v>
      </c>
      <c r="E54" s="2" t="s">
        <v>68</v>
      </c>
      <c r="F54" s="3">
        <v>46148</v>
      </c>
      <c r="G54" s="6">
        <v>-2</v>
      </c>
      <c r="H54" s="3">
        <v>46155</v>
      </c>
      <c r="I54" s="5">
        <v>70.8</v>
      </c>
      <c r="J54" s="2" t="s">
        <v>15</v>
      </c>
      <c r="K54" s="2" t="s">
        <v>540</v>
      </c>
      <c r="O54" s="21">
        <f t="shared" si="4"/>
        <v>46155</v>
      </c>
      <c r="P54" s="22">
        <f t="shared" si="7"/>
        <v>20.521739130434781</v>
      </c>
    </row>
    <row r="55" spans="1:18" outlineLevel="1" x14ac:dyDescent="0.3">
      <c r="A55" s="2" t="s">
        <v>183</v>
      </c>
      <c r="B55" s="2" t="s">
        <v>184</v>
      </c>
      <c r="C55" s="2" t="s">
        <v>185</v>
      </c>
      <c r="D55" s="2" t="s">
        <v>186</v>
      </c>
      <c r="E55" s="2" t="s">
        <v>125</v>
      </c>
      <c r="F55" s="3">
        <v>46139</v>
      </c>
      <c r="G55" s="6">
        <v>-31</v>
      </c>
      <c r="H55" s="3">
        <v>46184</v>
      </c>
      <c r="I55" s="5">
        <v>323856</v>
      </c>
      <c r="J55" s="2" t="s">
        <v>91</v>
      </c>
      <c r="K55" s="2" t="s">
        <v>549</v>
      </c>
      <c r="L55" s="17">
        <f t="shared" ref="L55:L64" si="8">F55+45</f>
        <v>46184</v>
      </c>
      <c r="M55" s="18">
        <f t="shared" ref="M55:M64" ca="1" si="9">TODAY()-N55</f>
        <v>-31</v>
      </c>
      <c r="N55" s="17">
        <v>46184</v>
      </c>
      <c r="O55" s="21">
        <f t="shared" ref="O55:O76" si="10">H55</f>
        <v>46184</v>
      </c>
      <c r="P55" s="23">
        <f t="shared" ref="P55:P64" si="11">I55</f>
        <v>323856</v>
      </c>
      <c r="Q55" s="18">
        <f t="shared" ref="Q55:Q64" ca="1" si="12">TODAY()-F55</f>
        <v>14</v>
      </c>
      <c r="R55" t="s">
        <v>566</v>
      </c>
    </row>
    <row r="56" spans="1:18" outlineLevel="1" x14ac:dyDescent="0.3">
      <c r="A56" s="2" t="s">
        <v>183</v>
      </c>
      <c r="B56" s="2" t="s">
        <v>187</v>
      </c>
      <c r="C56" s="2" t="s">
        <v>188</v>
      </c>
      <c r="D56" s="2" t="s">
        <v>189</v>
      </c>
      <c r="E56" s="2" t="s">
        <v>125</v>
      </c>
      <c r="F56" s="3">
        <v>46139</v>
      </c>
      <c r="G56" s="6">
        <v>-31</v>
      </c>
      <c r="H56" s="3">
        <v>46184</v>
      </c>
      <c r="I56" s="5">
        <v>388800</v>
      </c>
      <c r="J56" s="2" t="s">
        <v>91</v>
      </c>
      <c r="K56" s="2" t="s">
        <v>549</v>
      </c>
      <c r="L56" s="17">
        <f t="shared" si="8"/>
        <v>46184</v>
      </c>
      <c r="M56" s="18">
        <f t="shared" ca="1" si="9"/>
        <v>-31</v>
      </c>
      <c r="N56" s="17">
        <v>46184</v>
      </c>
      <c r="O56" s="21">
        <f t="shared" si="10"/>
        <v>46184</v>
      </c>
      <c r="P56" s="23">
        <f t="shared" si="11"/>
        <v>388800</v>
      </c>
      <c r="Q56" s="18">
        <f t="shared" ca="1" si="12"/>
        <v>14</v>
      </c>
      <c r="R56" t="s">
        <v>566</v>
      </c>
    </row>
    <row r="57" spans="1:18" outlineLevel="1" x14ac:dyDescent="0.3">
      <c r="A57" s="2" t="s">
        <v>183</v>
      </c>
      <c r="B57" s="2" t="s">
        <v>190</v>
      </c>
      <c r="C57" s="2" t="s">
        <v>191</v>
      </c>
      <c r="D57" s="2" t="s">
        <v>192</v>
      </c>
      <c r="E57" s="2" t="s">
        <v>143</v>
      </c>
      <c r="F57" s="3">
        <v>46141</v>
      </c>
      <c r="G57" s="4">
        <v>0</v>
      </c>
      <c r="H57" s="3">
        <v>46142</v>
      </c>
      <c r="I57" s="7">
        <v>-64701</v>
      </c>
      <c r="J57" s="2" t="s">
        <v>91</v>
      </c>
      <c r="K57" s="2" t="s">
        <v>549</v>
      </c>
      <c r="L57" s="17">
        <f t="shared" si="8"/>
        <v>46186</v>
      </c>
      <c r="M57" s="18"/>
      <c r="N57" s="17">
        <f>H57</f>
        <v>46142</v>
      </c>
      <c r="O57" s="21">
        <f t="shared" si="10"/>
        <v>46142</v>
      </c>
      <c r="P57" s="23">
        <f t="shared" si="11"/>
        <v>-64701</v>
      </c>
      <c r="Q57" s="18">
        <f t="shared" ca="1" si="12"/>
        <v>12</v>
      </c>
      <c r="R57" t="s">
        <v>566</v>
      </c>
    </row>
    <row r="58" spans="1:18" outlineLevel="1" x14ac:dyDescent="0.3">
      <c r="A58" s="2" t="s">
        <v>193</v>
      </c>
      <c r="B58" s="2" t="s">
        <v>194</v>
      </c>
      <c r="C58" s="2" t="s">
        <v>195</v>
      </c>
      <c r="D58" s="2" t="s">
        <v>196</v>
      </c>
      <c r="E58" s="2" t="s">
        <v>143</v>
      </c>
      <c r="F58" s="3">
        <v>46127</v>
      </c>
      <c r="G58" s="4">
        <v>0</v>
      </c>
      <c r="H58" s="3">
        <v>46142</v>
      </c>
      <c r="I58" s="7">
        <v>-16145</v>
      </c>
      <c r="J58" s="2" t="s">
        <v>91</v>
      </c>
      <c r="K58" s="2" t="s">
        <v>549</v>
      </c>
      <c r="L58" s="17">
        <f t="shared" si="8"/>
        <v>46172</v>
      </c>
      <c r="M58" s="18"/>
      <c r="N58" s="17">
        <f>H58</f>
        <v>46142</v>
      </c>
      <c r="O58" s="21">
        <f t="shared" si="10"/>
        <v>46142</v>
      </c>
      <c r="P58" s="23">
        <f t="shared" si="11"/>
        <v>-16145</v>
      </c>
      <c r="Q58" s="18">
        <f t="shared" ca="1" si="12"/>
        <v>26</v>
      </c>
      <c r="R58" t="s">
        <v>566</v>
      </c>
    </row>
    <row r="59" spans="1:18" outlineLevel="1" x14ac:dyDescent="0.3">
      <c r="A59" s="2" t="s">
        <v>197</v>
      </c>
      <c r="B59" s="2" t="s">
        <v>199</v>
      </c>
      <c r="C59" s="2" t="s">
        <v>200</v>
      </c>
      <c r="D59" s="2" t="s">
        <v>201</v>
      </c>
      <c r="E59" s="2" t="s">
        <v>125</v>
      </c>
      <c r="F59" s="3">
        <v>46124</v>
      </c>
      <c r="G59" s="6">
        <v>-16</v>
      </c>
      <c r="H59" s="3">
        <v>46169</v>
      </c>
      <c r="I59" s="5">
        <v>67550</v>
      </c>
      <c r="J59" s="2" t="s">
        <v>91</v>
      </c>
      <c r="K59" s="2" t="s">
        <v>549</v>
      </c>
      <c r="L59" s="17">
        <f t="shared" si="8"/>
        <v>46169</v>
      </c>
      <c r="M59" s="18">
        <f t="shared" ca="1" si="9"/>
        <v>-16</v>
      </c>
      <c r="N59" s="17">
        <v>46169</v>
      </c>
      <c r="O59" s="21">
        <v>46169</v>
      </c>
      <c r="P59" s="23">
        <f t="shared" si="11"/>
        <v>67550</v>
      </c>
      <c r="Q59" s="18">
        <f t="shared" ca="1" si="12"/>
        <v>29</v>
      </c>
      <c r="R59" t="s">
        <v>566</v>
      </c>
    </row>
    <row r="60" spans="1:18" outlineLevel="1" x14ac:dyDescent="0.3">
      <c r="A60" s="2" t="s">
        <v>197</v>
      </c>
      <c r="B60" s="2" t="s">
        <v>202</v>
      </c>
      <c r="C60" s="2" t="s">
        <v>203</v>
      </c>
      <c r="D60" s="2" t="s">
        <v>204</v>
      </c>
      <c r="E60" s="2" t="s">
        <v>205</v>
      </c>
      <c r="F60" s="3">
        <v>46132</v>
      </c>
      <c r="G60" s="6">
        <v>-16</v>
      </c>
      <c r="H60" s="3">
        <v>46169</v>
      </c>
      <c r="I60" s="7">
        <v>-0.02</v>
      </c>
      <c r="J60" s="2" t="s">
        <v>91</v>
      </c>
      <c r="K60" s="2" t="s">
        <v>549</v>
      </c>
      <c r="L60" s="17">
        <f t="shared" si="8"/>
        <v>46177</v>
      </c>
      <c r="M60" s="18">
        <f t="shared" ca="1" si="9"/>
        <v>-24</v>
      </c>
      <c r="N60" s="17">
        <v>46177</v>
      </c>
      <c r="O60" s="21">
        <v>46177</v>
      </c>
      <c r="P60" s="23">
        <f t="shared" si="11"/>
        <v>-0.02</v>
      </c>
      <c r="Q60" s="18">
        <f t="shared" ca="1" si="12"/>
        <v>21</v>
      </c>
      <c r="R60" t="s">
        <v>566</v>
      </c>
    </row>
    <row r="61" spans="1:18" outlineLevel="1" x14ac:dyDescent="0.3">
      <c r="A61" s="2" t="s">
        <v>206</v>
      </c>
      <c r="B61" s="2" t="s">
        <v>207</v>
      </c>
      <c r="C61" s="2" t="s">
        <v>208</v>
      </c>
      <c r="D61" s="2" t="s">
        <v>209</v>
      </c>
      <c r="E61" s="2" t="s">
        <v>141</v>
      </c>
      <c r="F61" s="3">
        <v>46139</v>
      </c>
      <c r="G61" s="4">
        <v>14</v>
      </c>
      <c r="H61" s="3">
        <v>46139</v>
      </c>
      <c r="I61" s="5">
        <v>60182</v>
      </c>
      <c r="J61" s="2" t="s">
        <v>91</v>
      </c>
      <c r="K61" s="2" t="s">
        <v>549</v>
      </c>
      <c r="L61" s="17">
        <f t="shared" si="8"/>
        <v>46184</v>
      </c>
      <c r="M61" s="18"/>
      <c r="N61" s="17">
        <v>46184</v>
      </c>
      <c r="O61" s="21">
        <v>46184</v>
      </c>
      <c r="P61" s="23">
        <f t="shared" si="11"/>
        <v>60182</v>
      </c>
      <c r="Q61" s="18">
        <f t="shared" ca="1" si="12"/>
        <v>14</v>
      </c>
      <c r="R61" t="s">
        <v>566</v>
      </c>
    </row>
    <row r="62" spans="1:18" outlineLevel="1" x14ac:dyDescent="0.3">
      <c r="A62" s="2" t="s">
        <v>206</v>
      </c>
      <c r="B62" s="2" t="s">
        <v>210</v>
      </c>
      <c r="C62" s="2" t="s">
        <v>211</v>
      </c>
      <c r="D62" s="2" t="s">
        <v>212</v>
      </c>
      <c r="E62" s="2" t="s">
        <v>141</v>
      </c>
      <c r="F62" s="3">
        <v>46141</v>
      </c>
      <c r="G62" s="4">
        <v>12</v>
      </c>
      <c r="H62" s="3">
        <v>46141</v>
      </c>
      <c r="I62" s="5">
        <v>59598</v>
      </c>
      <c r="J62" s="2" t="s">
        <v>91</v>
      </c>
      <c r="K62" s="2" t="s">
        <v>549</v>
      </c>
      <c r="L62" s="17">
        <f t="shared" si="8"/>
        <v>46186</v>
      </c>
      <c r="M62" s="18"/>
      <c r="N62" s="17">
        <v>46186</v>
      </c>
      <c r="O62" s="21">
        <v>46186</v>
      </c>
      <c r="P62" s="23">
        <f t="shared" si="11"/>
        <v>59598</v>
      </c>
      <c r="Q62" s="18">
        <f t="shared" ca="1" si="12"/>
        <v>12</v>
      </c>
      <c r="R62" t="s">
        <v>566</v>
      </c>
    </row>
    <row r="63" spans="1:18" outlineLevel="1" x14ac:dyDescent="0.3">
      <c r="A63" s="2" t="s">
        <v>213</v>
      </c>
      <c r="B63" s="2" t="s">
        <v>214</v>
      </c>
      <c r="C63" s="2" t="s">
        <v>215</v>
      </c>
      <c r="D63" s="2" t="s">
        <v>216</v>
      </c>
      <c r="E63" s="2" t="s">
        <v>141</v>
      </c>
      <c r="F63" s="3">
        <v>46139</v>
      </c>
      <c r="G63" s="4">
        <v>14</v>
      </c>
      <c r="H63" s="3">
        <v>46139</v>
      </c>
      <c r="I63" s="5">
        <v>19830</v>
      </c>
      <c r="J63" s="2" t="s">
        <v>91</v>
      </c>
      <c r="K63" s="2" t="s">
        <v>549</v>
      </c>
      <c r="L63" s="17">
        <f t="shared" si="8"/>
        <v>46184</v>
      </c>
      <c r="M63" s="18">
        <f t="shared" ca="1" si="9"/>
        <v>-31</v>
      </c>
      <c r="N63" s="17">
        <v>46184</v>
      </c>
      <c r="O63" s="21">
        <v>46184</v>
      </c>
      <c r="P63" s="23">
        <f t="shared" si="11"/>
        <v>19830</v>
      </c>
      <c r="Q63" s="18">
        <f t="shared" ca="1" si="12"/>
        <v>14</v>
      </c>
      <c r="R63" t="s">
        <v>566</v>
      </c>
    </row>
    <row r="64" spans="1:18" outlineLevel="1" x14ac:dyDescent="0.3">
      <c r="A64" s="2" t="s">
        <v>213</v>
      </c>
      <c r="B64" s="2" t="s">
        <v>217</v>
      </c>
      <c r="C64" s="2" t="s">
        <v>218</v>
      </c>
      <c r="D64" s="2" t="s">
        <v>219</v>
      </c>
      <c r="E64" s="2" t="s">
        <v>141</v>
      </c>
      <c r="F64" s="3">
        <v>46141</v>
      </c>
      <c r="G64" s="4">
        <v>12</v>
      </c>
      <c r="H64" s="3">
        <v>46141</v>
      </c>
      <c r="I64" s="5">
        <v>36040</v>
      </c>
      <c r="J64" s="2" t="s">
        <v>91</v>
      </c>
      <c r="K64" s="2" t="s">
        <v>549</v>
      </c>
      <c r="L64" s="17">
        <f t="shared" si="8"/>
        <v>46186</v>
      </c>
      <c r="M64" s="18">
        <f t="shared" ca="1" si="9"/>
        <v>-33</v>
      </c>
      <c r="N64" s="17">
        <v>46186</v>
      </c>
      <c r="O64" s="21">
        <v>46186</v>
      </c>
      <c r="P64" s="23">
        <f t="shared" si="11"/>
        <v>36040</v>
      </c>
      <c r="Q64" s="18">
        <f t="shared" ca="1" si="12"/>
        <v>12</v>
      </c>
      <c r="R64" t="s">
        <v>566</v>
      </c>
    </row>
    <row r="65" spans="1:18" outlineLevel="1" x14ac:dyDescent="0.3">
      <c r="A65" s="2" t="s">
        <v>220</v>
      </c>
      <c r="B65" s="2" t="s">
        <v>221</v>
      </c>
      <c r="C65" s="2" t="s">
        <v>222</v>
      </c>
      <c r="D65" s="2" t="s">
        <v>223</v>
      </c>
      <c r="E65" s="2" t="s">
        <v>141</v>
      </c>
      <c r="F65" s="3">
        <v>46134</v>
      </c>
      <c r="G65" s="4">
        <v>19</v>
      </c>
      <c r="H65" s="3">
        <v>46134</v>
      </c>
      <c r="I65" s="5">
        <v>89.55</v>
      </c>
      <c r="J65" s="2" t="s">
        <v>15</v>
      </c>
      <c r="K65" s="2" t="s">
        <v>540</v>
      </c>
      <c r="N65" s="17"/>
      <c r="O65" s="21">
        <f t="shared" si="10"/>
        <v>46134</v>
      </c>
      <c r="P65" s="22">
        <f t="shared" ref="P65:P76" si="13">I65/3.45</f>
        <v>25.956521739130434</v>
      </c>
    </row>
    <row r="66" spans="1:18" outlineLevel="1" x14ac:dyDescent="0.3">
      <c r="A66" s="2" t="s">
        <v>224</v>
      </c>
      <c r="B66" s="2" t="s">
        <v>225</v>
      </c>
      <c r="C66" s="2" t="s">
        <v>226</v>
      </c>
      <c r="D66" s="2" t="s">
        <v>227</v>
      </c>
      <c r="E66" s="2" t="s">
        <v>143</v>
      </c>
      <c r="F66" s="3">
        <v>46135</v>
      </c>
      <c r="G66" s="4">
        <v>0</v>
      </c>
      <c r="H66" s="3">
        <v>46142</v>
      </c>
      <c r="I66" s="7">
        <v>-214</v>
      </c>
      <c r="J66" s="2" t="s">
        <v>15</v>
      </c>
      <c r="K66" s="2" t="s">
        <v>540</v>
      </c>
      <c r="N66" s="17">
        <f>H66</f>
        <v>46142</v>
      </c>
      <c r="O66" s="21">
        <f t="shared" si="10"/>
        <v>46142</v>
      </c>
      <c r="P66" s="22">
        <f t="shared" si="13"/>
        <v>-62.028985507246375</v>
      </c>
    </row>
    <row r="67" spans="1:18" outlineLevel="1" x14ac:dyDescent="0.3">
      <c r="A67" s="2" t="s">
        <v>228</v>
      </c>
      <c r="B67" s="2" t="s">
        <v>229</v>
      </c>
      <c r="C67" s="2" t="s">
        <v>230</v>
      </c>
      <c r="D67" s="2" t="s">
        <v>231</v>
      </c>
      <c r="E67" s="2" t="s">
        <v>14</v>
      </c>
      <c r="F67" s="3">
        <v>46148</v>
      </c>
      <c r="G67" s="6">
        <v>-2</v>
      </c>
      <c r="H67" s="3">
        <v>46155</v>
      </c>
      <c r="I67" s="5">
        <v>301.37</v>
      </c>
      <c r="J67" s="2" t="s">
        <v>15</v>
      </c>
      <c r="K67" s="2" t="s">
        <v>540</v>
      </c>
      <c r="N67" s="17"/>
      <c r="O67" s="21">
        <f t="shared" si="10"/>
        <v>46155</v>
      </c>
      <c r="P67" s="22">
        <f t="shared" si="13"/>
        <v>87.353623188405791</v>
      </c>
    </row>
    <row r="68" spans="1:18" outlineLevel="1" x14ac:dyDescent="0.3">
      <c r="A68" s="2" t="s">
        <v>228</v>
      </c>
      <c r="B68" s="2" t="s">
        <v>232</v>
      </c>
      <c r="C68" s="2" t="s">
        <v>233</v>
      </c>
      <c r="D68" s="2" t="s">
        <v>234</v>
      </c>
      <c r="E68" s="2" t="s">
        <v>14</v>
      </c>
      <c r="F68" s="3">
        <v>46148</v>
      </c>
      <c r="G68" s="6">
        <v>-2</v>
      </c>
      <c r="H68" s="3">
        <v>46155</v>
      </c>
      <c r="I68" s="5">
        <v>47.2</v>
      </c>
      <c r="J68" s="2" t="s">
        <v>15</v>
      </c>
      <c r="K68" s="2" t="s">
        <v>540</v>
      </c>
      <c r="N68" s="17"/>
      <c r="O68" s="21">
        <f t="shared" si="10"/>
        <v>46155</v>
      </c>
      <c r="P68" s="22">
        <f t="shared" si="13"/>
        <v>13.681159420289855</v>
      </c>
    </row>
    <row r="69" spans="1:18" outlineLevel="1" x14ac:dyDescent="0.3">
      <c r="A69" s="2" t="s">
        <v>228</v>
      </c>
      <c r="B69" s="2" t="s">
        <v>235</v>
      </c>
      <c r="C69" s="2" t="s">
        <v>236</v>
      </c>
      <c r="D69" s="2" t="s">
        <v>237</v>
      </c>
      <c r="E69" s="2" t="s">
        <v>14</v>
      </c>
      <c r="F69" s="3">
        <v>46148</v>
      </c>
      <c r="G69" s="6">
        <v>-2</v>
      </c>
      <c r="H69" s="3">
        <v>46155</v>
      </c>
      <c r="I69" s="5">
        <v>70.8</v>
      </c>
      <c r="J69" s="2" t="s">
        <v>15</v>
      </c>
      <c r="K69" s="2" t="s">
        <v>540</v>
      </c>
      <c r="N69" s="17"/>
      <c r="O69" s="21">
        <f t="shared" si="10"/>
        <v>46155</v>
      </c>
      <c r="P69" s="22">
        <f t="shared" si="13"/>
        <v>20.521739130434781</v>
      </c>
    </row>
    <row r="70" spans="1:18" outlineLevel="1" x14ac:dyDescent="0.3">
      <c r="A70" s="2" t="s">
        <v>228</v>
      </c>
      <c r="B70" s="2" t="s">
        <v>238</v>
      </c>
      <c r="C70" s="2" t="s">
        <v>239</v>
      </c>
      <c r="D70" s="2" t="s">
        <v>240</v>
      </c>
      <c r="E70" s="2" t="s">
        <v>14</v>
      </c>
      <c r="F70" s="3">
        <v>46148</v>
      </c>
      <c r="G70" s="6">
        <v>-2</v>
      </c>
      <c r="H70" s="3">
        <v>46155</v>
      </c>
      <c r="I70" s="5">
        <v>318.83999999999997</v>
      </c>
      <c r="J70" s="2" t="s">
        <v>15</v>
      </c>
      <c r="K70" s="2" t="s">
        <v>540</v>
      </c>
      <c r="N70" s="17"/>
      <c r="O70" s="21">
        <f t="shared" si="10"/>
        <v>46155</v>
      </c>
      <c r="P70" s="22">
        <f t="shared" si="13"/>
        <v>92.417391304347817</v>
      </c>
    </row>
    <row r="71" spans="1:18" outlineLevel="1" x14ac:dyDescent="0.3">
      <c r="A71" s="2" t="s">
        <v>228</v>
      </c>
      <c r="B71" s="2" t="s">
        <v>241</v>
      </c>
      <c r="C71" s="2" t="s">
        <v>242</v>
      </c>
      <c r="D71" s="2" t="s">
        <v>243</v>
      </c>
      <c r="E71" s="2" t="s">
        <v>14</v>
      </c>
      <c r="F71" s="3">
        <v>46148</v>
      </c>
      <c r="G71" s="6">
        <v>-2</v>
      </c>
      <c r="H71" s="3">
        <v>46155</v>
      </c>
      <c r="I71" s="5">
        <v>321.14999999999998</v>
      </c>
      <c r="J71" s="2" t="s">
        <v>15</v>
      </c>
      <c r="K71" s="2" t="s">
        <v>540</v>
      </c>
      <c r="N71" s="17"/>
      <c r="O71" s="21">
        <f t="shared" si="10"/>
        <v>46155</v>
      </c>
      <c r="P71" s="22">
        <f t="shared" si="13"/>
        <v>93.086956521739125</v>
      </c>
    </row>
    <row r="72" spans="1:18" outlineLevel="1" x14ac:dyDescent="0.3">
      <c r="A72" s="2" t="s">
        <v>228</v>
      </c>
      <c r="B72" s="2" t="s">
        <v>244</v>
      </c>
      <c r="C72" s="2" t="s">
        <v>245</v>
      </c>
      <c r="D72" s="2" t="s">
        <v>246</v>
      </c>
      <c r="E72" s="2" t="s">
        <v>14</v>
      </c>
      <c r="F72" s="3">
        <v>46148</v>
      </c>
      <c r="G72" s="6">
        <v>-2</v>
      </c>
      <c r="H72" s="3">
        <v>46155</v>
      </c>
      <c r="I72" s="5">
        <v>135.69999999999999</v>
      </c>
      <c r="J72" s="2" t="s">
        <v>15</v>
      </c>
      <c r="K72" s="2" t="s">
        <v>540</v>
      </c>
      <c r="N72" s="17"/>
      <c r="O72" s="21">
        <f t="shared" si="10"/>
        <v>46155</v>
      </c>
      <c r="P72" s="22">
        <f t="shared" si="13"/>
        <v>39.333333333333329</v>
      </c>
    </row>
    <row r="73" spans="1:18" outlineLevel="1" x14ac:dyDescent="0.3">
      <c r="A73" s="2" t="s">
        <v>228</v>
      </c>
      <c r="B73" s="2" t="s">
        <v>247</v>
      </c>
      <c r="C73" s="2" t="s">
        <v>248</v>
      </c>
      <c r="D73" s="2" t="s">
        <v>249</v>
      </c>
      <c r="E73" s="2" t="s">
        <v>14</v>
      </c>
      <c r="F73" s="3">
        <v>46149</v>
      </c>
      <c r="G73" s="6">
        <v>-3</v>
      </c>
      <c r="H73" s="3">
        <v>46156</v>
      </c>
      <c r="I73" s="5">
        <v>70.8</v>
      </c>
      <c r="J73" s="2" t="s">
        <v>15</v>
      </c>
      <c r="K73" s="2" t="s">
        <v>540</v>
      </c>
      <c r="N73" s="17"/>
      <c r="O73" s="21">
        <f t="shared" si="10"/>
        <v>46156</v>
      </c>
      <c r="P73" s="22">
        <f t="shared" si="13"/>
        <v>20.521739130434781</v>
      </c>
    </row>
    <row r="74" spans="1:18" outlineLevel="1" x14ac:dyDescent="0.3">
      <c r="A74" s="2" t="s">
        <v>228</v>
      </c>
      <c r="B74" s="2" t="s">
        <v>250</v>
      </c>
      <c r="C74" s="2" t="s">
        <v>251</v>
      </c>
      <c r="D74" s="2" t="s">
        <v>252</v>
      </c>
      <c r="E74" s="2" t="s">
        <v>14</v>
      </c>
      <c r="F74" s="3">
        <v>46149</v>
      </c>
      <c r="G74" s="6">
        <v>-3</v>
      </c>
      <c r="H74" s="3">
        <v>46156</v>
      </c>
      <c r="I74" s="5">
        <v>256.52999999999997</v>
      </c>
      <c r="J74" s="2" t="s">
        <v>15</v>
      </c>
      <c r="K74" s="2" t="s">
        <v>540</v>
      </c>
      <c r="N74" s="17"/>
      <c r="O74" s="21">
        <f t="shared" si="10"/>
        <v>46156</v>
      </c>
      <c r="P74" s="22">
        <f t="shared" si="13"/>
        <v>74.356521739130429</v>
      </c>
    </row>
    <row r="75" spans="1:18" outlineLevel="1" x14ac:dyDescent="0.3">
      <c r="A75" s="2" t="s">
        <v>228</v>
      </c>
      <c r="B75" s="2" t="s">
        <v>253</v>
      </c>
      <c r="C75" s="2" t="s">
        <v>254</v>
      </c>
      <c r="D75" s="2" t="s">
        <v>255</v>
      </c>
      <c r="E75" s="2" t="s">
        <v>14</v>
      </c>
      <c r="F75" s="3">
        <v>46150</v>
      </c>
      <c r="G75" s="6">
        <v>-4</v>
      </c>
      <c r="H75" s="3">
        <v>46157</v>
      </c>
      <c r="I75" s="5">
        <v>258.37</v>
      </c>
      <c r="J75" s="2" t="s">
        <v>15</v>
      </c>
      <c r="K75" s="2" t="s">
        <v>540</v>
      </c>
      <c r="N75" s="17"/>
      <c r="O75" s="21">
        <f t="shared" si="10"/>
        <v>46157</v>
      </c>
      <c r="P75" s="22">
        <f t="shared" si="13"/>
        <v>74.88985507246376</v>
      </c>
    </row>
    <row r="76" spans="1:18" outlineLevel="1" x14ac:dyDescent="0.3">
      <c r="A76" s="2" t="s">
        <v>228</v>
      </c>
      <c r="B76" s="2" t="s">
        <v>256</v>
      </c>
      <c r="C76" s="2" t="s">
        <v>257</v>
      </c>
      <c r="D76" s="2" t="s">
        <v>258</v>
      </c>
      <c r="E76" s="2" t="s">
        <v>14</v>
      </c>
      <c r="F76" s="3">
        <v>46150</v>
      </c>
      <c r="G76" s="6">
        <v>-4</v>
      </c>
      <c r="H76" s="3">
        <v>46157</v>
      </c>
      <c r="I76" s="5">
        <v>135.69999999999999</v>
      </c>
      <c r="J76" s="2" t="s">
        <v>15</v>
      </c>
      <c r="K76" s="2" t="s">
        <v>540</v>
      </c>
      <c r="N76" s="17"/>
      <c r="O76" s="21">
        <f t="shared" si="10"/>
        <v>46157</v>
      </c>
      <c r="P76" s="22">
        <f t="shared" si="13"/>
        <v>39.333333333333329</v>
      </c>
    </row>
    <row r="77" spans="1:18" outlineLevel="1" x14ac:dyDescent="0.3">
      <c r="A77" s="2" t="s">
        <v>259</v>
      </c>
      <c r="B77" s="2" t="s">
        <v>260</v>
      </c>
      <c r="C77" s="2" t="s">
        <v>261</v>
      </c>
      <c r="D77" s="2" t="s">
        <v>262</v>
      </c>
      <c r="E77" s="2" t="s">
        <v>141</v>
      </c>
      <c r="F77" s="3">
        <v>46096</v>
      </c>
      <c r="G77" s="4">
        <v>57</v>
      </c>
      <c r="H77" s="3">
        <v>46096</v>
      </c>
      <c r="I77" s="5">
        <v>147743.07</v>
      </c>
      <c r="J77" s="2" t="s">
        <v>91</v>
      </c>
      <c r="K77" s="2" t="s">
        <v>549</v>
      </c>
      <c r="L77" s="17">
        <f t="shared" ref="L77:L83" si="14">F77+45</f>
        <v>46141</v>
      </c>
      <c r="M77" s="18">
        <f t="shared" ref="M77:M83" ca="1" si="15">TODAY()-N77</f>
        <v>5</v>
      </c>
      <c r="N77" s="17">
        <v>46148</v>
      </c>
      <c r="O77" s="24">
        <v>46157</v>
      </c>
      <c r="P77" s="23">
        <f t="shared" ref="P77:P83" si="16">I77</f>
        <v>147743.07</v>
      </c>
      <c r="Q77" s="18">
        <f t="shared" ref="Q77:Q83" ca="1" si="17">TODAY()-F77</f>
        <v>57</v>
      </c>
      <c r="R77" t="s">
        <v>567</v>
      </c>
    </row>
    <row r="78" spans="1:18" outlineLevel="1" x14ac:dyDescent="0.3">
      <c r="A78" s="2" t="s">
        <v>259</v>
      </c>
      <c r="B78" s="2" t="s">
        <v>263</v>
      </c>
      <c r="C78" s="2" t="s">
        <v>264</v>
      </c>
      <c r="D78" s="2" t="s">
        <v>265</v>
      </c>
      <c r="E78" s="2" t="s">
        <v>125</v>
      </c>
      <c r="F78" s="3">
        <v>46109</v>
      </c>
      <c r="G78" s="6">
        <v>-1</v>
      </c>
      <c r="H78" s="3">
        <v>46154</v>
      </c>
      <c r="I78" s="5">
        <v>177221.7</v>
      </c>
      <c r="J78" s="2" t="s">
        <v>91</v>
      </c>
      <c r="K78" s="2" t="s">
        <v>549</v>
      </c>
      <c r="L78" s="17">
        <f t="shared" si="14"/>
        <v>46154</v>
      </c>
      <c r="M78" s="18">
        <f t="shared" ca="1" si="15"/>
        <v>-1</v>
      </c>
      <c r="N78" s="17">
        <v>46154</v>
      </c>
      <c r="O78" s="21">
        <f t="shared" ref="O78:O83" si="18">H78</f>
        <v>46154</v>
      </c>
      <c r="P78" s="23">
        <f t="shared" si="16"/>
        <v>177221.7</v>
      </c>
      <c r="Q78" s="18">
        <f t="shared" ca="1" si="17"/>
        <v>44</v>
      </c>
      <c r="R78" t="s">
        <v>566</v>
      </c>
    </row>
    <row r="79" spans="1:18" outlineLevel="1" x14ac:dyDescent="0.3">
      <c r="A79" s="2" t="s">
        <v>259</v>
      </c>
      <c r="B79" s="2" t="s">
        <v>266</v>
      </c>
      <c r="C79" s="2" t="s">
        <v>267</v>
      </c>
      <c r="D79" s="2" t="s">
        <v>268</v>
      </c>
      <c r="E79" s="2" t="s">
        <v>125</v>
      </c>
      <c r="F79" s="3">
        <v>46120</v>
      </c>
      <c r="G79" s="6">
        <v>-12</v>
      </c>
      <c r="H79" s="3">
        <v>46165</v>
      </c>
      <c r="I79" s="5">
        <v>175000</v>
      </c>
      <c r="J79" s="2" t="s">
        <v>91</v>
      </c>
      <c r="K79" s="2" t="s">
        <v>549</v>
      </c>
      <c r="L79" s="17">
        <f t="shared" si="14"/>
        <v>46165</v>
      </c>
      <c r="M79" s="18">
        <f t="shared" ca="1" si="15"/>
        <v>-12</v>
      </c>
      <c r="N79" s="17">
        <v>46165</v>
      </c>
      <c r="O79" s="21">
        <f t="shared" si="18"/>
        <v>46165</v>
      </c>
      <c r="P79" s="23">
        <f t="shared" si="16"/>
        <v>175000</v>
      </c>
      <c r="Q79" s="18">
        <f t="shared" ca="1" si="17"/>
        <v>33</v>
      </c>
      <c r="R79" t="s">
        <v>566</v>
      </c>
    </row>
    <row r="80" spans="1:18" outlineLevel="1" x14ac:dyDescent="0.3">
      <c r="A80" s="2" t="s">
        <v>259</v>
      </c>
      <c r="B80" s="2" t="s">
        <v>269</v>
      </c>
      <c r="C80" s="2" t="s">
        <v>270</v>
      </c>
      <c r="D80" s="2" t="s">
        <v>271</v>
      </c>
      <c r="E80" s="2" t="s">
        <v>143</v>
      </c>
      <c r="F80" s="3">
        <v>46140</v>
      </c>
      <c r="G80" s="4">
        <v>0</v>
      </c>
      <c r="H80" s="3">
        <v>46142</v>
      </c>
      <c r="I80" s="7">
        <v>-36224</v>
      </c>
      <c r="J80" s="2" t="s">
        <v>91</v>
      </c>
      <c r="K80" s="2" t="s">
        <v>549</v>
      </c>
      <c r="L80" s="17">
        <f t="shared" si="14"/>
        <v>46185</v>
      </c>
      <c r="M80" s="18"/>
      <c r="N80" s="17">
        <f>H80</f>
        <v>46142</v>
      </c>
      <c r="O80" s="21">
        <f t="shared" si="18"/>
        <v>46142</v>
      </c>
      <c r="P80" s="23">
        <f t="shared" si="16"/>
        <v>-36224</v>
      </c>
      <c r="Q80" s="18">
        <f t="shared" ca="1" si="17"/>
        <v>13</v>
      </c>
      <c r="R80" t="s">
        <v>566</v>
      </c>
    </row>
    <row r="81" spans="1:18" outlineLevel="1" x14ac:dyDescent="0.3">
      <c r="A81" s="2" t="s">
        <v>272</v>
      </c>
      <c r="B81" s="2" t="s">
        <v>274</v>
      </c>
      <c r="C81" s="2" t="s">
        <v>275</v>
      </c>
      <c r="D81" s="2" t="s">
        <v>276</v>
      </c>
      <c r="E81" s="2" t="s">
        <v>125</v>
      </c>
      <c r="F81" s="3">
        <v>46138</v>
      </c>
      <c r="G81" s="6">
        <v>-30</v>
      </c>
      <c r="H81" s="3">
        <v>46183</v>
      </c>
      <c r="I81" s="5">
        <v>105300</v>
      </c>
      <c r="J81" s="2" t="s">
        <v>91</v>
      </c>
      <c r="K81" s="2" t="s">
        <v>549</v>
      </c>
      <c r="L81" s="17">
        <f t="shared" si="14"/>
        <v>46183</v>
      </c>
      <c r="M81" s="18">
        <f t="shared" ca="1" si="15"/>
        <v>-30</v>
      </c>
      <c r="N81" s="17">
        <v>46183</v>
      </c>
      <c r="O81" s="21">
        <f t="shared" si="18"/>
        <v>46183</v>
      </c>
      <c r="P81" s="23">
        <f t="shared" si="16"/>
        <v>105300</v>
      </c>
      <c r="Q81" s="18">
        <f t="shared" ca="1" si="17"/>
        <v>15</v>
      </c>
      <c r="R81" t="s">
        <v>566</v>
      </c>
    </row>
    <row r="82" spans="1:18" outlineLevel="1" x14ac:dyDescent="0.3">
      <c r="A82" s="2" t="s">
        <v>277</v>
      </c>
      <c r="B82" s="2" t="s">
        <v>278</v>
      </c>
      <c r="C82" s="2" t="s">
        <v>279</v>
      </c>
      <c r="D82" s="2" t="s">
        <v>280</v>
      </c>
      <c r="E82" s="2" t="s">
        <v>141</v>
      </c>
      <c r="F82" s="3">
        <v>46138</v>
      </c>
      <c r="G82" s="4">
        <v>0</v>
      </c>
      <c r="H82" s="3">
        <v>46138</v>
      </c>
      <c r="I82" s="7">
        <v>-4560</v>
      </c>
      <c r="J82" s="2" t="s">
        <v>91</v>
      </c>
      <c r="K82" s="2" t="s">
        <v>549</v>
      </c>
      <c r="L82" s="17">
        <f t="shared" si="14"/>
        <v>46183</v>
      </c>
      <c r="M82" s="18"/>
      <c r="N82" s="17">
        <f>H82</f>
        <v>46138</v>
      </c>
      <c r="O82" s="21">
        <f>H82</f>
        <v>46138</v>
      </c>
      <c r="P82" s="23">
        <f t="shared" si="16"/>
        <v>-4560</v>
      </c>
      <c r="Q82" s="18">
        <f t="shared" ca="1" si="17"/>
        <v>15</v>
      </c>
      <c r="R82" t="s">
        <v>566</v>
      </c>
    </row>
    <row r="83" spans="1:18" outlineLevel="1" x14ac:dyDescent="0.3">
      <c r="A83" s="2" t="s">
        <v>277</v>
      </c>
      <c r="B83" s="2" t="s">
        <v>281</v>
      </c>
      <c r="C83" s="2" t="s">
        <v>282</v>
      </c>
      <c r="D83" s="2" t="s">
        <v>283</v>
      </c>
      <c r="E83" s="2" t="s">
        <v>125</v>
      </c>
      <c r="F83" s="3">
        <v>46141</v>
      </c>
      <c r="G83" s="6">
        <v>-33</v>
      </c>
      <c r="H83" s="3">
        <v>46186</v>
      </c>
      <c r="I83" s="5">
        <v>396900</v>
      </c>
      <c r="J83" s="2" t="s">
        <v>91</v>
      </c>
      <c r="K83" s="2" t="s">
        <v>549</v>
      </c>
      <c r="L83" s="17">
        <f t="shared" si="14"/>
        <v>46186</v>
      </c>
      <c r="M83" s="18">
        <f t="shared" ca="1" si="15"/>
        <v>-33</v>
      </c>
      <c r="N83" s="17">
        <v>46186</v>
      </c>
      <c r="O83" s="21">
        <f t="shared" si="18"/>
        <v>46186</v>
      </c>
      <c r="P83" s="23">
        <f t="shared" si="16"/>
        <v>396900</v>
      </c>
      <c r="Q83" s="18">
        <f t="shared" ca="1" si="17"/>
        <v>12</v>
      </c>
      <c r="R83" t="s">
        <v>566</v>
      </c>
    </row>
    <row r="84" spans="1:18" outlineLevel="1" x14ac:dyDescent="0.3">
      <c r="A84" s="2" t="s">
        <v>284</v>
      </c>
      <c r="B84" s="2" t="s">
        <v>285</v>
      </c>
      <c r="C84" s="2" t="s">
        <v>286</v>
      </c>
      <c r="D84" s="2" t="s">
        <v>287</v>
      </c>
      <c r="E84" s="2" t="s">
        <v>14</v>
      </c>
      <c r="F84" s="3">
        <v>45964</v>
      </c>
      <c r="G84" s="4">
        <v>182</v>
      </c>
      <c r="H84" s="3">
        <v>45971</v>
      </c>
      <c r="I84" s="5">
        <v>1403.26</v>
      </c>
      <c r="J84" s="2" t="s">
        <v>15</v>
      </c>
      <c r="K84" s="2" t="s">
        <v>544</v>
      </c>
      <c r="N84" s="17"/>
      <c r="O84" s="21">
        <f>H84</f>
        <v>45971</v>
      </c>
      <c r="P84" s="22">
        <f>I84/3.45</f>
        <v>406.7420289855072</v>
      </c>
    </row>
    <row r="85" spans="1:18" outlineLevel="1" x14ac:dyDescent="0.3">
      <c r="A85" s="2" t="s">
        <v>284</v>
      </c>
      <c r="B85" s="2" t="s">
        <v>288</v>
      </c>
      <c r="C85" s="2" t="s">
        <v>289</v>
      </c>
      <c r="D85" s="2" t="s">
        <v>290</v>
      </c>
      <c r="E85" s="2" t="s">
        <v>14</v>
      </c>
      <c r="F85" s="3">
        <v>45964</v>
      </c>
      <c r="G85" s="4">
        <v>182</v>
      </c>
      <c r="H85" s="3">
        <v>45971</v>
      </c>
      <c r="I85" s="5">
        <v>141.6</v>
      </c>
      <c r="J85" s="2" t="s">
        <v>15</v>
      </c>
      <c r="K85" s="2" t="s">
        <v>544</v>
      </c>
      <c r="N85" s="17"/>
      <c r="O85" s="21">
        <f t="shared" ref="O85:O91" si="19">H85</f>
        <v>45971</v>
      </c>
      <c r="P85" s="22">
        <f t="shared" ref="P85:P91" si="20">I85/3.45</f>
        <v>41.043478260869563</v>
      </c>
    </row>
    <row r="86" spans="1:18" outlineLevel="1" x14ac:dyDescent="0.3">
      <c r="A86" s="2" t="s">
        <v>284</v>
      </c>
      <c r="B86" s="2" t="s">
        <v>291</v>
      </c>
      <c r="C86" s="2" t="s">
        <v>292</v>
      </c>
      <c r="D86" s="2" t="s">
        <v>293</v>
      </c>
      <c r="E86" s="2" t="s">
        <v>14</v>
      </c>
      <c r="F86" s="3">
        <v>45967</v>
      </c>
      <c r="G86" s="4">
        <v>179</v>
      </c>
      <c r="H86" s="3">
        <v>45974</v>
      </c>
      <c r="I86" s="5">
        <v>1193.22</v>
      </c>
      <c r="J86" s="2" t="s">
        <v>15</v>
      </c>
      <c r="K86" s="2" t="s">
        <v>544</v>
      </c>
      <c r="N86" s="17"/>
      <c r="O86" s="21">
        <f t="shared" si="19"/>
        <v>45974</v>
      </c>
      <c r="P86" s="22">
        <f t="shared" si="20"/>
        <v>345.8608695652174</v>
      </c>
    </row>
    <row r="87" spans="1:18" outlineLevel="1" x14ac:dyDescent="0.3">
      <c r="A87" s="2" t="s">
        <v>284</v>
      </c>
      <c r="B87" s="2" t="s">
        <v>294</v>
      </c>
      <c r="C87" s="2" t="s">
        <v>295</v>
      </c>
      <c r="D87" s="2" t="s">
        <v>296</v>
      </c>
      <c r="E87" s="2" t="s">
        <v>14</v>
      </c>
      <c r="F87" s="3">
        <v>45967</v>
      </c>
      <c r="G87" s="4">
        <v>179</v>
      </c>
      <c r="H87" s="3">
        <v>45974</v>
      </c>
      <c r="I87" s="5">
        <v>106.2</v>
      </c>
      <c r="J87" s="2" t="s">
        <v>15</v>
      </c>
      <c r="K87" s="2" t="s">
        <v>544</v>
      </c>
      <c r="N87" s="17"/>
      <c r="O87" s="21">
        <f t="shared" si="19"/>
        <v>45974</v>
      </c>
      <c r="P87" s="22">
        <f t="shared" si="20"/>
        <v>30.782608695652172</v>
      </c>
    </row>
    <row r="88" spans="1:18" outlineLevel="1" x14ac:dyDescent="0.3">
      <c r="A88" s="2" t="s">
        <v>284</v>
      </c>
      <c r="B88" s="2" t="s">
        <v>297</v>
      </c>
      <c r="C88" s="2" t="s">
        <v>298</v>
      </c>
      <c r="D88" s="2" t="s">
        <v>299</v>
      </c>
      <c r="E88" s="2" t="s">
        <v>14</v>
      </c>
      <c r="F88" s="3">
        <v>46148</v>
      </c>
      <c r="G88" s="6">
        <v>-2</v>
      </c>
      <c r="H88" s="3">
        <v>46155</v>
      </c>
      <c r="I88" s="5">
        <v>23.6</v>
      </c>
      <c r="J88" s="2" t="s">
        <v>15</v>
      </c>
      <c r="K88" s="2" t="s">
        <v>544</v>
      </c>
      <c r="N88" s="17"/>
      <c r="O88" s="21">
        <f t="shared" si="19"/>
        <v>46155</v>
      </c>
      <c r="P88" s="22">
        <f t="shared" si="20"/>
        <v>6.8405797101449277</v>
      </c>
    </row>
    <row r="89" spans="1:18" outlineLevel="1" x14ac:dyDescent="0.3">
      <c r="A89" s="2" t="s">
        <v>284</v>
      </c>
      <c r="B89" s="2" t="s">
        <v>300</v>
      </c>
      <c r="C89" s="2" t="s">
        <v>301</v>
      </c>
      <c r="D89" s="2" t="s">
        <v>302</v>
      </c>
      <c r="E89" s="2" t="s">
        <v>14</v>
      </c>
      <c r="F89" s="3">
        <v>46148</v>
      </c>
      <c r="G89" s="6">
        <v>-2</v>
      </c>
      <c r="H89" s="3">
        <v>46155</v>
      </c>
      <c r="I89" s="5">
        <v>261.49</v>
      </c>
      <c r="J89" s="2" t="s">
        <v>15</v>
      </c>
      <c r="K89" s="2" t="s">
        <v>544</v>
      </c>
      <c r="N89" s="17"/>
      <c r="O89" s="21">
        <f t="shared" si="19"/>
        <v>46155</v>
      </c>
      <c r="P89" s="22">
        <f t="shared" si="20"/>
        <v>75.794202898550722</v>
      </c>
    </row>
    <row r="90" spans="1:18" outlineLevel="1" x14ac:dyDescent="0.3">
      <c r="A90" s="2" t="s">
        <v>284</v>
      </c>
      <c r="B90" s="2" t="s">
        <v>303</v>
      </c>
      <c r="C90" s="2" t="s">
        <v>304</v>
      </c>
      <c r="D90" s="2" t="s">
        <v>305</v>
      </c>
      <c r="E90" s="2" t="s">
        <v>14</v>
      </c>
      <c r="F90" s="3">
        <v>46148</v>
      </c>
      <c r="G90" s="6">
        <v>-2</v>
      </c>
      <c r="H90" s="3">
        <v>46155</v>
      </c>
      <c r="I90" s="5">
        <v>387.51</v>
      </c>
      <c r="J90" s="2" t="s">
        <v>15</v>
      </c>
      <c r="K90" s="2" t="s">
        <v>544</v>
      </c>
      <c r="N90" s="17"/>
      <c r="O90" s="21">
        <f t="shared" si="19"/>
        <v>46155</v>
      </c>
      <c r="P90" s="22">
        <f t="shared" si="20"/>
        <v>112.32173913043478</v>
      </c>
    </row>
    <row r="91" spans="1:18" outlineLevel="1" x14ac:dyDescent="0.3">
      <c r="A91" s="2" t="s">
        <v>284</v>
      </c>
      <c r="B91" s="2" t="s">
        <v>306</v>
      </c>
      <c r="C91" s="2" t="s">
        <v>307</v>
      </c>
      <c r="D91" s="2" t="s">
        <v>308</v>
      </c>
      <c r="E91" s="2" t="s">
        <v>14</v>
      </c>
      <c r="F91" s="3">
        <v>46148</v>
      </c>
      <c r="G91" s="6">
        <v>-2</v>
      </c>
      <c r="H91" s="3">
        <v>46155</v>
      </c>
      <c r="I91" s="5">
        <v>35.4</v>
      </c>
      <c r="J91" s="2" t="s">
        <v>15</v>
      </c>
      <c r="K91" s="2" t="s">
        <v>544</v>
      </c>
      <c r="N91" s="17"/>
      <c r="O91" s="21">
        <f t="shared" si="19"/>
        <v>46155</v>
      </c>
      <c r="P91" s="22">
        <f t="shared" si="20"/>
        <v>10.260869565217391</v>
      </c>
    </row>
    <row r="92" spans="1:18" outlineLevel="1" x14ac:dyDescent="0.3">
      <c r="A92" s="2" t="s">
        <v>309</v>
      </c>
      <c r="B92" s="2" t="s">
        <v>310</v>
      </c>
      <c r="C92" s="2" t="s">
        <v>311</v>
      </c>
      <c r="D92" s="2" t="s">
        <v>312</v>
      </c>
      <c r="E92" s="2" t="s">
        <v>14</v>
      </c>
      <c r="F92" s="3">
        <v>46140</v>
      </c>
      <c r="G92" s="4">
        <v>13</v>
      </c>
      <c r="H92" s="3">
        <v>46140</v>
      </c>
      <c r="I92" s="5">
        <v>438.96</v>
      </c>
      <c r="J92" s="2" t="s">
        <v>15</v>
      </c>
      <c r="K92" s="2" t="s">
        <v>540</v>
      </c>
      <c r="N92" s="17"/>
      <c r="O92" s="21">
        <f t="shared" ref="O92:O102" si="21">H92</f>
        <v>46140</v>
      </c>
      <c r="P92" s="22">
        <f t="shared" ref="P92:P102" si="22">I92/3.45</f>
        <v>127.23478260869564</v>
      </c>
    </row>
    <row r="93" spans="1:18" outlineLevel="1" x14ac:dyDescent="0.3">
      <c r="A93" s="2" t="s">
        <v>309</v>
      </c>
      <c r="B93" s="2" t="s">
        <v>313</v>
      </c>
      <c r="C93" s="2" t="s">
        <v>314</v>
      </c>
      <c r="D93" s="2" t="s">
        <v>315</v>
      </c>
      <c r="E93" s="2" t="s">
        <v>14</v>
      </c>
      <c r="F93" s="3">
        <v>46140</v>
      </c>
      <c r="G93" s="4">
        <v>13</v>
      </c>
      <c r="H93" s="3">
        <v>46140</v>
      </c>
      <c r="I93" s="5">
        <v>59</v>
      </c>
      <c r="J93" s="2" t="s">
        <v>15</v>
      </c>
      <c r="K93" s="2" t="s">
        <v>540</v>
      </c>
      <c r="N93" s="17"/>
      <c r="O93" s="21">
        <f t="shared" si="21"/>
        <v>46140</v>
      </c>
      <c r="P93" s="22">
        <f t="shared" si="22"/>
        <v>17.101449275362317</v>
      </c>
    </row>
    <row r="94" spans="1:18" outlineLevel="1" x14ac:dyDescent="0.3">
      <c r="A94" s="2" t="s">
        <v>309</v>
      </c>
      <c r="B94" s="2" t="s">
        <v>316</v>
      </c>
      <c r="C94" s="2" t="s">
        <v>317</v>
      </c>
      <c r="D94" s="2" t="s">
        <v>318</v>
      </c>
      <c r="E94" s="2" t="s">
        <v>14</v>
      </c>
      <c r="F94" s="3">
        <v>46140</v>
      </c>
      <c r="G94" s="4">
        <v>13</v>
      </c>
      <c r="H94" s="3">
        <v>46140</v>
      </c>
      <c r="I94" s="5">
        <v>716.71</v>
      </c>
      <c r="J94" s="2" t="s">
        <v>15</v>
      </c>
      <c r="K94" s="2" t="s">
        <v>540</v>
      </c>
      <c r="N94" s="17"/>
      <c r="O94" s="21">
        <f t="shared" si="21"/>
        <v>46140</v>
      </c>
      <c r="P94" s="22">
        <f t="shared" si="22"/>
        <v>207.74202898550723</v>
      </c>
    </row>
    <row r="95" spans="1:18" outlineLevel="1" x14ac:dyDescent="0.3">
      <c r="A95" s="2" t="s">
        <v>309</v>
      </c>
      <c r="B95" s="2" t="s">
        <v>319</v>
      </c>
      <c r="C95" s="2" t="s">
        <v>320</v>
      </c>
      <c r="D95" s="2" t="s">
        <v>321</v>
      </c>
      <c r="E95" s="2" t="s">
        <v>14</v>
      </c>
      <c r="F95" s="3">
        <v>46140</v>
      </c>
      <c r="G95" s="4">
        <v>13</v>
      </c>
      <c r="H95" s="3">
        <v>46140</v>
      </c>
      <c r="I95" s="5">
        <v>129.80000000000001</v>
      </c>
      <c r="J95" s="2" t="s">
        <v>15</v>
      </c>
      <c r="K95" s="2" t="s">
        <v>540</v>
      </c>
      <c r="N95" s="17"/>
      <c r="O95" s="21">
        <f t="shared" si="21"/>
        <v>46140</v>
      </c>
      <c r="P95" s="22">
        <f t="shared" si="22"/>
        <v>37.623188405797102</v>
      </c>
    </row>
    <row r="96" spans="1:18" outlineLevel="1" x14ac:dyDescent="0.3">
      <c r="A96" s="2" t="s">
        <v>309</v>
      </c>
      <c r="B96" s="2" t="s">
        <v>322</v>
      </c>
      <c r="C96" s="2" t="s">
        <v>323</v>
      </c>
      <c r="D96" s="2" t="s">
        <v>324</v>
      </c>
      <c r="E96" s="2" t="s">
        <v>14</v>
      </c>
      <c r="F96" s="3">
        <v>46144</v>
      </c>
      <c r="G96" s="4">
        <v>9</v>
      </c>
      <c r="H96" s="3">
        <v>46144</v>
      </c>
      <c r="I96" s="5">
        <v>417.72</v>
      </c>
      <c r="J96" s="2" t="s">
        <v>15</v>
      </c>
      <c r="K96" s="2" t="s">
        <v>540</v>
      </c>
      <c r="N96" s="17"/>
      <c r="O96" s="21">
        <f t="shared" si="21"/>
        <v>46144</v>
      </c>
      <c r="P96" s="22">
        <f t="shared" si="22"/>
        <v>121.07826086956521</v>
      </c>
    </row>
    <row r="97" spans="1:18" outlineLevel="1" x14ac:dyDescent="0.3">
      <c r="A97" s="2" t="s">
        <v>309</v>
      </c>
      <c r="B97" s="2" t="s">
        <v>325</v>
      </c>
      <c r="C97" s="2" t="s">
        <v>326</v>
      </c>
      <c r="D97" s="2" t="s">
        <v>327</v>
      </c>
      <c r="E97" s="2" t="s">
        <v>14</v>
      </c>
      <c r="F97" s="3">
        <v>46144</v>
      </c>
      <c r="G97" s="4">
        <v>9</v>
      </c>
      <c r="H97" s="3">
        <v>46144</v>
      </c>
      <c r="I97" s="5">
        <v>70.8</v>
      </c>
      <c r="J97" s="2" t="s">
        <v>15</v>
      </c>
      <c r="K97" s="2" t="s">
        <v>540</v>
      </c>
      <c r="N97" s="17"/>
      <c r="O97" s="21">
        <f t="shared" si="21"/>
        <v>46144</v>
      </c>
      <c r="P97" s="22">
        <f t="shared" si="22"/>
        <v>20.521739130434781</v>
      </c>
    </row>
    <row r="98" spans="1:18" outlineLevel="1" x14ac:dyDescent="0.3">
      <c r="A98" s="2" t="s">
        <v>309</v>
      </c>
      <c r="B98" s="2" t="s">
        <v>328</v>
      </c>
      <c r="C98" s="2" t="s">
        <v>329</v>
      </c>
      <c r="D98" s="2" t="s">
        <v>330</v>
      </c>
      <c r="E98" s="2" t="s">
        <v>14</v>
      </c>
      <c r="F98" s="3">
        <v>46147</v>
      </c>
      <c r="G98" s="4">
        <v>6</v>
      </c>
      <c r="H98" s="3">
        <v>46147</v>
      </c>
      <c r="I98" s="5">
        <v>23.6</v>
      </c>
      <c r="J98" s="2" t="s">
        <v>15</v>
      </c>
      <c r="K98" s="2" t="s">
        <v>540</v>
      </c>
      <c r="N98" s="17"/>
      <c r="O98" s="21">
        <f t="shared" si="21"/>
        <v>46147</v>
      </c>
      <c r="P98" s="22">
        <f t="shared" si="22"/>
        <v>6.8405797101449277</v>
      </c>
    </row>
    <row r="99" spans="1:18" outlineLevel="1" x14ac:dyDescent="0.3">
      <c r="A99" s="2" t="s">
        <v>309</v>
      </c>
      <c r="B99" s="2" t="s">
        <v>331</v>
      </c>
      <c r="C99" s="2" t="s">
        <v>332</v>
      </c>
      <c r="D99" s="2" t="s">
        <v>333</v>
      </c>
      <c r="E99" s="2" t="s">
        <v>14</v>
      </c>
      <c r="F99" s="3">
        <v>46149</v>
      </c>
      <c r="G99" s="4">
        <v>4</v>
      </c>
      <c r="H99" s="3">
        <v>46149</v>
      </c>
      <c r="I99" s="5">
        <v>297.60000000000002</v>
      </c>
      <c r="J99" s="2" t="s">
        <v>15</v>
      </c>
      <c r="K99" s="2" t="s">
        <v>540</v>
      </c>
      <c r="N99" s="17"/>
      <c r="O99" s="21">
        <f t="shared" si="21"/>
        <v>46149</v>
      </c>
      <c r="P99" s="22">
        <f t="shared" si="22"/>
        <v>86.260869565217391</v>
      </c>
    </row>
    <row r="100" spans="1:18" outlineLevel="1" x14ac:dyDescent="0.3">
      <c r="A100" s="2" t="s">
        <v>309</v>
      </c>
      <c r="B100" s="2" t="s">
        <v>334</v>
      </c>
      <c r="C100" s="2" t="s">
        <v>335</v>
      </c>
      <c r="D100" s="2" t="s">
        <v>336</v>
      </c>
      <c r="E100" s="2" t="s">
        <v>14</v>
      </c>
      <c r="F100" s="3">
        <v>46149</v>
      </c>
      <c r="G100" s="4">
        <v>4</v>
      </c>
      <c r="H100" s="3">
        <v>46149</v>
      </c>
      <c r="I100" s="5">
        <v>59</v>
      </c>
      <c r="J100" s="2" t="s">
        <v>15</v>
      </c>
      <c r="K100" s="2" t="s">
        <v>540</v>
      </c>
      <c r="N100" s="17"/>
      <c r="O100" s="21">
        <f t="shared" si="21"/>
        <v>46149</v>
      </c>
      <c r="P100" s="22">
        <f t="shared" si="22"/>
        <v>17.101449275362317</v>
      </c>
    </row>
    <row r="101" spans="1:18" outlineLevel="1" x14ac:dyDescent="0.3">
      <c r="A101" s="2" t="s">
        <v>309</v>
      </c>
      <c r="B101" s="2" t="s">
        <v>337</v>
      </c>
      <c r="C101" s="2" t="s">
        <v>338</v>
      </c>
      <c r="D101" s="2" t="s">
        <v>339</v>
      </c>
      <c r="E101" s="2" t="s">
        <v>14</v>
      </c>
      <c r="F101" s="3">
        <v>46151</v>
      </c>
      <c r="G101" s="4">
        <v>2</v>
      </c>
      <c r="H101" s="3">
        <v>46151</v>
      </c>
      <c r="I101" s="5">
        <v>182.9</v>
      </c>
      <c r="J101" s="2" t="s">
        <v>15</v>
      </c>
      <c r="K101" s="2" t="s">
        <v>540</v>
      </c>
      <c r="N101" s="17"/>
      <c r="O101" s="21">
        <f t="shared" si="21"/>
        <v>46151</v>
      </c>
      <c r="P101" s="22">
        <f t="shared" si="22"/>
        <v>53.014492753623188</v>
      </c>
    </row>
    <row r="102" spans="1:18" outlineLevel="1" x14ac:dyDescent="0.3">
      <c r="A102" s="2" t="s">
        <v>309</v>
      </c>
      <c r="B102" s="2" t="s">
        <v>340</v>
      </c>
      <c r="C102" s="2" t="s">
        <v>341</v>
      </c>
      <c r="D102" s="2" t="s">
        <v>342</v>
      </c>
      <c r="E102" s="2" t="s">
        <v>14</v>
      </c>
      <c r="F102" s="3">
        <v>46151</v>
      </c>
      <c r="G102" s="4">
        <v>2</v>
      </c>
      <c r="H102" s="3">
        <v>46151</v>
      </c>
      <c r="I102" s="5">
        <v>739.27</v>
      </c>
      <c r="J102" s="2" t="s">
        <v>15</v>
      </c>
      <c r="K102" s="2" t="s">
        <v>540</v>
      </c>
      <c r="N102" s="17"/>
      <c r="O102" s="21">
        <f t="shared" si="21"/>
        <v>46151</v>
      </c>
      <c r="P102" s="22">
        <f t="shared" si="22"/>
        <v>214.28115942028984</v>
      </c>
    </row>
    <row r="103" spans="1:18" outlineLevel="1" x14ac:dyDescent="0.3">
      <c r="A103" s="2" t="s">
        <v>343</v>
      </c>
      <c r="B103" s="2" t="s">
        <v>344</v>
      </c>
      <c r="C103" s="2" t="s">
        <v>345</v>
      </c>
      <c r="D103" s="2" t="s">
        <v>346</v>
      </c>
      <c r="E103" s="2" t="s">
        <v>125</v>
      </c>
      <c r="F103" s="3">
        <v>46110</v>
      </c>
      <c r="G103" s="6">
        <v>-2</v>
      </c>
      <c r="H103" s="3">
        <v>46155</v>
      </c>
      <c r="I103" s="5">
        <v>76700</v>
      </c>
      <c r="J103" s="2" t="s">
        <v>91</v>
      </c>
      <c r="K103" s="2" t="s">
        <v>549</v>
      </c>
      <c r="L103" s="17">
        <f t="shared" ref="L103:L108" si="23">F103+45</f>
        <v>46155</v>
      </c>
      <c r="M103" s="18">
        <f t="shared" ref="M103:M108" ca="1" si="24">TODAY()-N103</f>
        <v>-2</v>
      </c>
      <c r="N103" s="17">
        <v>46155</v>
      </c>
      <c r="O103" s="21">
        <f t="shared" ref="O103:O107" si="25">H103</f>
        <v>46155</v>
      </c>
      <c r="P103" s="23">
        <f t="shared" ref="P103:P108" si="26">I103</f>
        <v>76700</v>
      </c>
      <c r="Q103" s="18">
        <f t="shared" ref="Q103:Q108" ca="1" si="27">TODAY()-F103</f>
        <v>43</v>
      </c>
      <c r="R103" t="s">
        <v>566</v>
      </c>
    </row>
    <row r="104" spans="1:18" outlineLevel="1" x14ac:dyDescent="0.3">
      <c r="A104" s="2" t="s">
        <v>343</v>
      </c>
      <c r="B104" s="2" t="s">
        <v>347</v>
      </c>
      <c r="C104" s="2" t="s">
        <v>348</v>
      </c>
      <c r="D104" s="2" t="s">
        <v>349</v>
      </c>
      <c r="E104" s="2" t="s">
        <v>125</v>
      </c>
      <c r="F104" s="3">
        <v>46124</v>
      </c>
      <c r="G104" s="6">
        <v>-16</v>
      </c>
      <c r="H104" s="3">
        <v>46169</v>
      </c>
      <c r="I104" s="5">
        <v>36400</v>
      </c>
      <c r="J104" s="2" t="s">
        <v>91</v>
      </c>
      <c r="K104" s="2" t="s">
        <v>549</v>
      </c>
      <c r="L104" s="17">
        <f t="shared" si="23"/>
        <v>46169</v>
      </c>
      <c r="M104" s="18">
        <f t="shared" ca="1" si="24"/>
        <v>-16</v>
      </c>
      <c r="N104" s="17">
        <v>46169</v>
      </c>
      <c r="O104" s="21">
        <f t="shared" si="25"/>
        <v>46169</v>
      </c>
      <c r="P104" s="23">
        <f t="shared" si="26"/>
        <v>36400</v>
      </c>
      <c r="Q104" s="18">
        <f t="shared" ca="1" si="27"/>
        <v>29</v>
      </c>
      <c r="R104" t="s">
        <v>566</v>
      </c>
    </row>
    <row r="105" spans="1:18" outlineLevel="1" x14ac:dyDescent="0.3">
      <c r="A105" s="2" t="s">
        <v>343</v>
      </c>
      <c r="B105" s="2" t="s">
        <v>350</v>
      </c>
      <c r="C105" s="2" t="s">
        <v>351</v>
      </c>
      <c r="D105" s="2" t="s">
        <v>352</v>
      </c>
      <c r="E105" s="2" t="s">
        <v>125</v>
      </c>
      <c r="F105" s="3">
        <v>46124</v>
      </c>
      <c r="G105" s="6">
        <v>-31</v>
      </c>
      <c r="H105" s="3">
        <v>46184</v>
      </c>
      <c r="I105" s="5">
        <v>80600</v>
      </c>
      <c r="J105" s="2" t="s">
        <v>91</v>
      </c>
      <c r="K105" s="2" t="s">
        <v>549</v>
      </c>
      <c r="L105" s="17">
        <f t="shared" si="23"/>
        <v>46169</v>
      </c>
      <c r="M105" s="18">
        <f t="shared" ca="1" si="24"/>
        <v>-31</v>
      </c>
      <c r="N105" s="17">
        <v>46184</v>
      </c>
      <c r="O105" s="21">
        <f t="shared" si="25"/>
        <v>46184</v>
      </c>
      <c r="P105" s="23">
        <f t="shared" si="26"/>
        <v>80600</v>
      </c>
      <c r="Q105" s="18">
        <f t="shared" ca="1" si="27"/>
        <v>29</v>
      </c>
      <c r="R105" t="s">
        <v>566</v>
      </c>
    </row>
    <row r="106" spans="1:18" outlineLevel="1" x14ac:dyDescent="0.3">
      <c r="A106" s="2" t="s">
        <v>343</v>
      </c>
      <c r="B106" s="2" t="s">
        <v>353</v>
      </c>
      <c r="C106" s="2" t="s">
        <v>354</v>
      </c>
      <c r="D106" s="2" t="s">
        <v>355</v>
      </c>
      <c r="E106" s="2" t="s">
        <v>125</v>
      </c>
      <c r="F106" s="3">
        <v>46134</v>
      </c>
      <c r="G106" s="6">
        <v>-26</v>
      </c>
      <c r="H106" s="3">
        <v>46179</v>
      </c>
      <c r="I106" s="5">
        <v>36400</v>
      </c>
      <c r="J106" s="2" t="s">
        <v>91</v>
      </c>
      <c r="K106" s="2" t="s">
        <v>549</v>
      </c>
      <c r="L106" s="17">
        <f t="shared" si="23"/>
        <v>46179</v>
      </c>
      <c r="M106" s="18">
        <f t="shared" ca="1" si="24"/>
        <v>-26</v>
      </c>
      <c r="N106" s="17">
        <v>46179</v>
      </c>
      <c r="O106" s="21">
        <f t="shared" si="25"/>
        <v>46179</v>
      </c>
      <c r="P106" s="23">
        <f t="shared" si="26"/>
        <v>36400</v>
      </c>
      <c r="Q106" s="18">
        <f t="shared" ca="1" si="27"/>
        <v>19</v>
      </c>
      <c r="R106" t="s">
        <v>566</v>
      </c>
    </row>
    <row r="107" spans="1:18" outlineLevel="1" x14ac:dyDescent="0.3">
      <c r="A107" s="2" t="s">
        <v>343</v>
      </c>
      <c r="B107" s="2" t="s">
        <v>356</v>
      </c>
      <c r="C107" s="2" t="s">
        <v>357</v>
      </c>
      <c r="D107" s="2" t="s">
        <v>358</v>
      </c>
      <c r="E107" s="2" t="s">
        <v>125</v>
      </c>
      <c r="F107" s="3">
        <v>46139</v>
      </c>
      <c r="G107" s="6">
        <v>-31</v>
      </c>
      <c r="H107" s="3">
        <v>46184</v>
      </c>
      <c r="I107" s="5">
        <v>36400</v>
      </c>
      <c r="J107" s="2" t="s">
        <v>91</v>
      </c>
      <c r="K107" s="2" t="s">
        <v>549</v>
      </c>
      <c r="L107" s="17">
        <f t="shared" si="23"/>
        <v>46184</v>
      </c>
      <c r="M107" s="18">
        <f t="shared" ca="1" si="24"/>
        <v>-31</v>
      </c>
      <c r="N107" s="17">
        <v>46184</v>
      </c>
      <c r="O107" s="21">
        <f t="shared" si="25"/>
        <v>46184</v>
      </c>
      <c r="P107" s="23">
        <f t="shared" si="26"/>
        <v>36400</v>
      </c>
      <c r="Q107" s="18">
        <f t="shared" ca="1" si="27"/>
        <v>14</v>
      </c>
      <c r="R107" t="s">
        <v>566</v>
      </c>
    </row>
    <row r="108" spans="1:18" outlineLevel="1" x14ac:dyDescent="0.3">
      <c r="A108" s="2" t="s">
        <v>359</v>
      </c>
      <c r="B108" s="2" t="s">
        <v>360</v>
      </c>
      <c r="C108" s="2" t="s">
        <v>361</v>
      </c>
      <c r="D108" s="2" t="s">
        <v>362</v>
      </c>
      <c r="E108" s="2" t="s">
        <v>141</v>
      </c>
      <c r="F108" s="3">
        <v>46125</v>
      </c>
      <c r="G108" s="4">
        <v>28</v>
      </c>
      <c r="H108" s="3">
        <v>46125</v>
      </c>
      <c r="I108" s="5">
        <v>70212</v>
      </c>
      <c r="J108" s="2" t="s">
        <v>91</v>
      </c>
      <c r="K108" s="2" t="s">
        <v>549</v>
      </c>
      <c r="L108" s="17">
        <f t="shared" si="23"/>
        <v>46170</v>
      </c>
      <c r="M108" s="18">
        <f t="shared" ca="1" si="24"/>
        <v>-17</v>
      </c>
      <c r="N108" s="17">
        <v>46170</v>
      </c>
      <c r="O108" s="21">
        <v>46170</v>
      </c>
      <c r="P108" s="23">
        <f t="shared" si="26"/>
        <v>70212</v>
      </c>
      <c r="Q108" s="18">
        <f t="shared" ca="1" si="27"/>
        <v>28</v>
      </c>
      <c r="R108" t="s">
        <v>566</v>
      </c>
    </row>
    <row r="109" spans="1:18" outlineLevel="1" x14ac:dyDescent="0.3">
      <c r="A109" s="2" t="s">
        <v>363</v>
      </c>
      <c r="B109" s="2" t="s">
        <v>364</v>
      </c>
      <c r="C109" s="2" t="s">
        <v>365</v>
      </c>
      <c r="D109" s="2" t="s">
        <v>366</v>
      </c>
      <c r="E109" s="2" t="s">
        <v>141</v>
      </c>
      <c r="F109" s="3">
        <v>45951</v>
      </c>
      <c r="G109" s="4">
        <v>202</v>
      </c>
      <c r="H109" s="3">
        <v>45951</v>
      </c>
      <c r="I109" s="5">
        <v>4460</v>
      </c>
      <c r="J109" s="2" t="s">
        <v>15</v>
      </c>
      <c r="K109" s="2" t="s">
        <v>543</v>
      </c>
      <c r="N109" s="17"/>
      <c r="O109" s="21">
        <f>H109</f>
        <v>45951</v>
      </c>
      <c r="P109" s="22">
        <f>I109/3.45</f>
        <v>1292.7536231884058</v>
      </c>
    </row>
    <row r="110" spans="1:18" outlineLevel="1" x14ac:dyDescent="0.3">
      <c r="A110" s="2" t="s">
        <v>363</v>
      </c>
      <c r="B110" s="2" t="s">
        <v>367</v>
      </c>
      <c r="C110" s="2" t="s">
        <v>368</v>
      </c>
      <c r="D110" s="2" t="s">
        <v>369</v>
      </c>
      <c r="E110" s="2" t="s">
        <v>14</v>
      </c>
      <c r="F110" s="3">
        <v>45965</v>
      </c>
      <c r="G110" s="4">
        <v>181</v>
      </c>
      <c r="H110" s="3">
        <v>45972</v>
      </c>
      <c r="I110" s="5">
        <v>7097.98</v>
      </c>
      <c r="J110" s="2" t="s">
        <v>15</v>
      </c>
      <c r="K110" s="2" t="s">
        <v>543</v>
      </c>
      <c r="N110" s="17"/>
      <c r="O110" s="21">
        <f t="shared" ref="O110:O120" si="28">H110</f>
        <v>45972</v>
      </c>
      <c r="P110" s="22">
        <f t="shared" ref="P110:P120" si="29">I110/3.45</f>
        <v>2057.3855072463766</v>
      </c>
    </row>
    <row r="111" spans="1:18" outlineLevel="1" x14ac:dyDescent="0.3">
      <c r="A111" s="2" t="s">
        <v>363</v>
      </c>
      <c r="B111" s="2" t="s">
        <v>370</v>
      </c>
      <c r="C111" s="2" t="s">
        <v>371</v>
      </c>
      <c r="D111" s="2" t="s">
        <v>372</v>
      </c>
      <c r="E111" s="2" t="s">
        <v>14</v>
      </c>
      <c r="F111" s="3">
        <v>46053</v>
      </c>
      <c r="G111" s="4">
        <v>93</v>
      </c>
      <c r="H111" s="3">
        <v>46060</v>
      </c>
      <c r="I111" s="5">
        <v>4003.46</v>
      </c>
      <c r="J111" s="2" t="s">
        <v>15</v>
      </c>
      <c r="K111" s="2" t="s">
        <v>543</v>
      </c>
      <c r="N111" s="17"/>
      <c r="O111" s="21">
        <f t="shared" si="28"/>
        <v>46060</v>
      </c>
      <c r="P111" s="22">
        <f t="shared" si="29"/>
        <v>1160.423188405797</v>
      </c>
    </row>
    <row r="112" spans="1:18" outlineLevel="1" x14ac:dyDescent="0.3">
      <c r="A112" s="2" t="s">
        <v>363</v>
      </c>
      <c r="B112" s="2" t="s">
        <v>373</v>
      </c>
      <c r="C112" s="2" t="s">
        <v>374</v>
      </c>
      <c r="D112" s="2" t="s">
        <v>375</v>
      </c>
      <c r="E112" s="2" t="s">
        <v>14</v>
      </c>
      <c r="F112" s="3">
        <v>46084</v>
      </c>
      <c r="G112" s="4">
        <v>62</v>
      </c>
      <c r="H112" s="3">
        <v>46091</v>
      </c>
      <c r="I112" s="5">
        <v>4956</v>
      </c>
      <c r="J112" s="2" t="s">
        <v>15</v>
      </c>
      <c r="K112" s="2" t="s">
        <v>543</v>
      </c>
      <c r="N112" s="17"/>
      <c r="O112" s="21">
        <f t="shared" si="28"/>
        <v>46091</v>
      </c>
      <c r="P112" s="22">
        <f t="shared" si="29"/>
        <v>1436.5217391304348</v>
      </c>
    </row>
    <row r="113" spans="1:18" outlineLevel="1" x14ac:dyDescent="0.3">
      <c r="A113" s="2" t="s">
        <v>376</v>
      </c>
      <c r="B113" s="2" t="s">
        <v>377</v>
      </c>
      <c r="C113" s="2" t="s">
        <v>378</v>
      </c>
      <c r="D113" s="2" t="s">
        <v>379</v>
      </c>
      <c r="E113" s="2" t="s">
        <v>14</v>
      </c>
      <c r="F113" s="3">
        <v>46144</v>
      </c>
      <c r="G113" s="4">
        <v>2</v>
      </c>
      <c r="H113" s="3">
        <v>46151</v>
      </c>
      <c r="I113" s="5">
        <v>427.21</v>
      </c>
      <c r="J113" s="2" t="s">
        <v>15</v>
      </c>
      <c r="K113" s="2" t="s">
        <v>540</v>
      </c>
      <c r="N113" s="17"/>
      <c r="O113" s="21">
        <f t="shared" si="28"/>
        <v>46151</v>
      </c>
      <c r="P113" s="22">
        <f t="shared" si="29"/>
        <v>123.82898550724636</v>
      </c>
    </row>
    <row r="114" spans="1:18" outlineLevel="1" x14ac:dyDescent="0.3">
      <c r="A114" s="2" t="s">
        <v>376</v>
      </c>
      <c r="B114" s="2" t="s">
        <v>380</v>
      </c>
      <c r="C114" s="2" t="s">
        <v>381</v>
      </c>
      <c r="D114" s="2" t="s">
        <v>382</v>
      </c>
      <c r="E114" s="2" t="s">
        <v>14</v>
      </c>
      <c r="F114" s="3">
        <v>46144</v>
      </c>
      <c r="G114" s="4">
        <v>2</v>
      </c>
      <c r="H114" s="3">
        <v>46151</v>
      </c>
      <c r="I114" s="5">
        <v>153.4</v>
      </c>
      <c r="J114" s="2" t="s">
        <v>15</v>
      </c>
      <c r="K114" s="2" t="s">
        <v>540</v>
      </c>
      <c r="N114" s="17"/>
      <c r="O114" s="21">
        <f t="shared" si="28"/>
        <v>46151</v>
      </c>
      <c r="P114" s="22">
        <f t="shared" si="29"/>
        <v>44.463768115942031</v>
      </c>
    </row>
    <row r="115" spans="1:18" outlineLevel="1" x14ac:dyDescent="0.3">
      <c r="A115" s="2" t="s">
        <v>376</v>
      </c>
      <c r="B115" s="2" t="s">
        <v>383</v>
      </c>
      <c r="C115" s="2" t="s">
        <v>384</v>
      </c>
      <c r="D115" s="2" t="s">
        <v>385</v>
      </c>
      <c r="E115" s="2" t="s">
        <v>14</v>
      </c>
      <c r="F115" s="3">
        <v>46146</v>
      </c>
      <c r="G115" s="4">
        <v>0</v>
      </c>
      <c r="H115" s="3">
        <v>46153</v>
      </c>
      <c r="I115" s="5">
        <v>903.31</v>
      </c>
      <c r="J115" s="2" t="s">
        <v>15</v>
      </c>
      <c r="K115" s="2" t="s">
        <v>540</v>
      </c>
      <c r="N115" s="17"/>
      <c r="O115" s="21">
        <f t="shared" si="28"/>
        <v>46153</v>
      </c>
      <c r="P115" s="22">
        <f t="shared" si="29"/>
        <v>261.82898550724633</v>
      </c>
    </row>
    <row r="116" spans="1:18" outlineLevel="1" x14ac:dyDescent="0.3">
      <c r="A116" s="2" t="s">
        <v>376</v>
      </c>
      <c r="B116" s="2" t="s">
        <v>386</v>
      </c>
      <c r="C116" s="2" t="s">
        <v>387</v>
      </c>
      <c r="D116" s="2" t="s">
        <v>388</v>
      </c>
      <c r="E116" s="2" t="s">
        <v>14</v>
      </c>
      <c r="F116" s="3">
        <v>46146</v>
      </c>
      <c r="G116" s="4">
        <v>0</v>
      </c>
      <c r="H116" s="3">
        <v>46153</v>
      </c>
      <c r="I116" s="5">
        <v>247.8</v>
      </c>
      <c r="J116" s="2" t="s">
        <v>15</v>
      </c>
      <c r="K116" s="2" t="s">
        <v>540</v>
      </c>
      <c r="N116" s="17"/>
      <c r="O116" s="21">
        <f t="shared" si="28"/>
        <v>46153</v>
      </c>
      <c r="P116" s="22">
        <f t="shared" si="29"/>
        <v>71.826086956521735</v>
      </c>
    </row>
    <row r="117" spans="1:18" outlineLevel="1" x14ac:dyDescent="0.3">
      <c r="A117" s="2" t="s">
        <v>376</v>
      </c>
      <c r="B117" s="2" t="s">
        <v>389</v>
      </c>
      <c r="C117" s="2" t="s">
        <v>390</v>
      </c>
      <c r="D117" s="2" t="s">
        <v>391</v>
      </c>
      <c r="E117" s="2" t="s">
        <v>14</v>
      </c>
      <c r="F117" s="3">
        <v>46149</v>
      </c>
      <c r="G117" s="6">
        <v>-3</v>
      </c>
      <c r="H117" s="3">
        <v>46156</v>
      </c>
      <c r="I117" s="5">
        <v>330.4</v>
      </c>
      <c r="J117" s="2" t="s">
        <v>15</v>
      </c>
      <c r="K117" s="2" t="s">
        <v>540</v>
      </c>
      <c r="N117" s="17"/>
      <c r="O117" s="21">
        <f t="shared" si="28"/>
        <v>46156</v>
      </c>
      <c r="P117" s="22">
        <f t="shared" si="29"/>
        <v>95.76811594202897</v>
      </c>
    </row>
    <row r="118" spans="1:18" outlineLevel="1" x14ac:dyDescent="0.3">
      <c r="A118" s="2" t="s">
        <v>376</v>
      </c>
      <c r="B118" s="2" t="s">
        <v>392</v>
      </c>
      <c r="C118" s="2" t="s">
        <v>393</v>
      </c>
      <c r="D118" s="2" t="s">
        <v>394</v>
      </c>
      <c r="E118" s="2" t="s">
        <v>14</v>
      </c>
      <c r="F118" s="3">
        <v>46149</v>
      </c>
      <c r="G118" s="6">
        <v>-3</v>
      </c>
      <c r="H118" s="3">
        <v>46156</v>
      </c>
      <c r="I118" s="5">
        <v>1130.96</v>
      </c>
      <c r="J118" s="2" t="s">
        <v>15</v>
      </c>
      <c r="K118" s="2" t="s">
        <v>540</v>
      </c>
      <c r="N118" s="17"/>
      <c r="O118" s="21">
        <f t="shared" si="28"/>
        <v>46156</v>
      </c>
      <c r="P118" s="22">
        <f t="shared" si="29"/>
        <v>327.8144927536232</v>
      </c>
    </row>
    <row r="119" spans="1:18" outlineLevel="1" x14ac:dyDescent="0.3">
      <c r="A119" s="2" t="s">
        <v>376</v>
      </c>
      <c r="B119" s="2" t="s">
        <v>395</v>
      </c>
      <c r="C119" s="2" t="s">
        <v>396</v>
      </c>
      <c r="D119" s="2" t="s">
        <v>397</v>
      </c>
      <c r="E119" s="2" t="s">
        <v>14</v>
      </c>
      <c r="F119" s="3">
        <v>46150</v>
      </c>
      <c r="G119" s="6">
        <v>-4</v>
      </c>
      <c r="H119" s="3">
        <v>46157</v>
      </c>
      <c r="I119" s="5">
        <v>194.7</v>
      </c>
      <c r="J119" s="2" t="s">
        <v>15</v>
      </c>
      <c r="K119" s="2" t="s">
        <v>540</v>
      </c>
      <c r="N119" s="17"/>
      <c r="O119" s="21">
        <f t="shared" si="28"/>
        <v>46157</v>
      </c>
      <c r="P119" s="22">
        <f t="shared" si="29"/>
        <v>56.434782608695649</v>
      </c>
    </row>
    <row r="120" spans="1:18" outlineLevel="1" x14ac:dyDescent="0.3">
      <c r="A120" s="2" t="s">
        <v>376</v>
      </c>
      <c r="B120" s="2" t="s">
        <v>398</v>
      </c>
      <c r="C120" s="2" t="s">
        <v>399</v>
      </c>
      <c r="D120" s="2" t="s">
        <v>400</v>
      </c>
      <c r="E120" s="2" t="s">
        <v>14</v>
      </c>
      <c r="F120" s="3">
        <v>46150</v>
      </c>
      <c r="G120" s="6">
        <v>-4</v>
      </c>
      <c r="H120" s="3">
        <v>46157</v>
      </c>
      <c r="I120" s="5">
        <v>807.5</v>
      </c>
      <c r="J120" s="2" t="s">
        <v>15</v>
      </c>
      <c r="K120" s="2" t="s">
        <v>540</v>
      </c>
      <c r="N120" s="17"/>
      <c r="O120" s="21">
        <f t="shared" si="28"/>
        <v>46157</v>
      </c>
      <c r="P120" s="22">
        <f t="shared" si="29"/>
        <v>234.05797101449275</v>
      </c>
    </row>
    <row r="121" spans="1:18" outlineLevel="1" x14ac:dyDescent="0.3">
      <c r="A121" s="2" t="s">
        <v>401</v>
      </c>
      <c r="B121" s="2" t="s">
        <v>402</v>
      </c>
      <c r="C121" s="2" t="s">
        <v>403</v>
      </c>
      <c r="D121" s="2" t="s">
        <v>404</v>
      </c>
      <c r="E121" s="2" t="s">
        <v>141</v>
      </c>
      <c r="F121" s="3">
        <v>46134</v>
      </c>
      <c r="G121" s="4">
        <v>0</v>
      </c>
      <c r="H121" s="3">
        <v>46134</v>
      </c>
      <c r="I121" s="7">
        <v>-7645</v>
      </c>
      <c r="J121" s="2" t="s">
        <v>91</v>
      </c>
      <c r="K121" s="2" t="s">
        <v>549</v>
      </c>
      <c r="L121" s="17">
        <f>F121+45</f>
        <v>46179</v>
      </c>
      <c r="M121" s="18"/>
      <c r="N121" s="17">
        <f>H121</f>
        <v>46134</v>
      </c>
      <c r="O121" s="21">
        <f>H121</f>
        <v>46134</v>
      </c>
      <c r="P121" s="23">
        <f>I121</f>
        <v>-7645</v>
      </c>
      <c r="Q121" s="18">
        <f ca="1">TODAY()-F121</f>
        <v>19</v>
      </c>
      <c r="R121" t="s">
        <v>566</v>
      </c>
    </row>
    <row r="122" spans="1:18" outlineLevel="1" x14ac:dyDescent="0.3">
      <c r="A122" s="2" t="s">
        <v>405</v>
      </c>
      <c r="B122" s="2" t="s">
        <v>406</v>
      </c>
      <c r="C122" s="2" t="s">
        <v>407</v>
      </c>
      <c r="D122" s="2" t="s">
        <v>408</v>
      </c>
      <c r="E122" s="2" t="s">
        <v>14</v>
      </c>
      <c r="F122" s="3">
        <v>45937</v>
      </c>
      <c r="G122" s="4">
        <v>209</v>
      </c>
      <c r="H122" s="3">
        <v>45944</v>
      </c>
      <c r="I122" s="5">
        <v>790</v>
      </c>
      <c r="J122" s="2" t="s">
        <v>15</v>
      </c>
      <c r="K122" s="2" t="s">
        <v>542</v>
      </c>
      <c r="N122" s="17"/>
      <c r="O122" s="21">
        <f>H122</f>
        <v>45944</v>
      </c>
      <c r="P122" s="22">
        <f>I122/3.45</f>
        <v>228.98550724637681</v>
      </c>
    </row>
    <row r="123" spans="1:18" outlineLevel="1" x14ac:dyDescent="0.3">
      <c r="A123" s="2" t="s">
        <v>409</v>
      </c>
      <c r="B123" s="2" t="s">
        <v>410</v>
      </c>
      <c r="C123" s="2" t="s">
        <v>411</v>
      </c>
      <c r="D123" s="2" t="s">
        <v>412</v>
      </c>
      <c r="E123" s="2" t="s">
        <v>14</v>
      </c>
      <c r="F123" s="3">
        <v>46142</v>
      </c>
      <c r="G123" s="4">
        <v>8</v>
      </c>
      <c r="H123" s="3">
        <v>46145</v>
      </c>
      <c r="I123" s="5">
        <v>47934.43</v>
      </c>
      <c r="J123" s="2" t="s">
        <v>15</v>
      </c>
      <c r="K123" s="2" t="s">
        <v>541</v>
      </c>
      <c r="N123" s="17"/>
      <c r="O123" s="21">
        <f>H123</f>
        <v>46145</v>
      </c>
      <c r="P123" s="22">
        <f>I123/3.45</f>
        <v>13894.03768115942</v>
      </c>
    </row>
    <row r="124" spans="1:18" outlineLevel="1" x14ac:dyDescent="0.3">
      <c r="A124" s="2" t="s">
        <v>409</v>
      </c>
      <c r="B124" s="2" t="s">
        <v>413</v>
      </c>
      <c r="C124" s="2" t="s">
        <v>414</v>
      </c>
      <c r="D124" s="2" t="s">
        <v>415</v>
      </c>
      <c r="E124" s="2" t="s">
        <v>14</v>
      </c>
      <c r="F124" s="3">
        <v>46142</v>
      </c>
      <c r="G124" s="4">
        <v>8</v>
      </c>
      <c r="H124" s="3">
        <v>46145</v>
      </c>
      <c r="I124" s="5">
        <v>54183.95</v>
      </c>
      <c r="J124" s="2" t="s">
        <v>15</v>
      </c>
      <c r="K124" s="2" t="s">
        <v>541</v>
      </c>
      <c r="N124" s="17"/>
      <c r="O124" s="21">
        <f t="shared" ref="O124:O125" si="30">H124</f>
        <v>46145</v>
      </c>
      <c r="P124" s="22">
        <f t="shared" ref="P124:P125" si="31">I124/3.45</f>
        <v>15705.492753623186</v>
      </c>
    </row>
    <row r="125" spans="1:18" outlineLevel="1" x14ac:dyDescent="0.3">
      <c r="A125" s="2" t="s">
        <v>409</v>
      </c>
      <c r="B125" s="2" t="s">
        <v>416</v>
      </c>
      <c r="C125" s="2" t="s">
        <v>417</v>
      </c>
      <c r="D125" s="2" t="s">
        <v>418</v>
      </c>
      <c r="E125" s="2" t="s">
        <v>14</v>
      </c>
      <c r="F125" s="3">
        <v>46149</v>
      </c>
      <c r="G125" s="4">
        <v>1</v>
      </c>
      <c r="H125" s="3">
        <v>46152</v>
      </c>
      <c r="I125" s="5">
        <v>32922.71</v>
      </c>
      <c r="J125" s="2" t="s">
        <v>15</v>
      </c>
      <c r="K125" s="2" t="s">
        <v>541</v>
      </c>
      <c r="N125" s="17"/>
      <c r="O125" s="21">
        <f t="shared" si="30"/>
        <v>46152</v>
      </c>
      <c r="P125" s="22">
        <f t="shared" si="31"/>
        <v>9542.8144927536232</v>
      </c>
    </row>
    <row r="126" spans="1:18" outlineLevel="1" x14ac:dyDescent="0.3">
      <c r="A126" s="2" t="s">
        <v>419</v>
      </c>
      <c r="B126" s="2" t="s">
        <v>420</v>
      </c>
      <c r="C126" s="2" t="s">
        <v>421</v>
      </c>
      <c r="D126" s="2" t="s">
        <v>422</v>
      </c>
      <c r="E126" s="2" t="s">
        <v>141</v>
      </c>
      <c r="F126" s="3">
        <v>46141</v>
      </c>
      <c r="G126" s="4">
        <v>12</v>
      </c>
      <c r="H126" s="3">
        <v>46141</v>
      </c>
      <c r="I126" s="5">
        <v>123265</v>
      </c>
      <c r="J126" s="2" t="s">
        <v>91</v>
      </c>
      <c r="K126" s="2" t="s">
        <v>549</v>
      </c>
      <c r="L126" s="17">
        <f t="shared" ref="L126:L128" si="32">F126+45</f>
        <v>46186</v>
      </c>
      <c r="M126" s="18">
        <f t="shared" ref="M126:M128" ca="1" si="33">TODAY()-N126</f>
        <v>-33</v>
      </c>
      <c r="N126" s="17">
        <v>46186</v>
      </c>
      <c r="O126" s="21">
        <v>46186</v>
      </c>
      <c r="P126" s="23">
        <f t="shared" ref="P126:P128" si="34">I126</f>
        <v>123265</v>
      </c>
      <c r="Q126" s="18">
        <f t="shared" ref="Q126:Q128" ca="1" si="35">TODAY()-F126</f>
        <v>12</v>
      </c>
      <c r="R126" t="s">
        <v>566</v>
      </c>
    </row>
    <row r="127" spans="1:18" outlineLevel="1" x14ac:dyDescent="0.3">
      <c r="A127" s="2" t="s">
        <v>419</v>
      </c>
      <c r="B127" s="2" t="s">
        <v>423</v>
      </c>
      <c r="C127" s="2" t="s">
        <v>424</v>
      </c>
      <c r="D127" s="2" t="s">
        <v>425</v>
      </c>
      <c r="E127" s="2" t="s">
        <v>141</v>
      </c>
      <c r="F127" s="3">
        <v>46141</v>
      </c>
      <c r="G127" s="4">
        <v>12</v>
      </c>
      <c r="H127" s="3">
        <v>46141</v>
      </c>
      <c r="I127" s="5">
        <v>162355</v>
      </c>
      <c r="J127" s="2" t="s">
        <v>91</v>
      </c>
      <c r="K127" s="2" t="s">
        <v>549</v>
      </c>
      <c r="L127" s="17">
        <f t="shared" si="32"/>
        <v>46186</v>
      </c>
      <c r="M127" s="18">
        <f t="shared" ca="1" si="33"/>
        <v>-33</v>
      </c>
      <c r="N127" s="17">
        <v>46186</v>
      </c>
      <c r="O127" s="21">
        <v>46186</v>
      </c>
      <c r="P127" s="23">
        <f t="shared" si="34"/>
        <v>162355</v>
      </c>
      <c r="Q127" s="18">
        <f t="shared" ca="1" si="35"/>
        <v>12</v>
      </c>
      <c r="R127" t="s">
        <v>566</v>
      </c>
    </row>
    <row r="128" spans="1:18" outlineLevel="1" x14ac:dyDescent="0.3">
      <c r="A128" s="2" t="s">
        <v>419</v>
      </c>
      <c r="B128" s="2" t="s">
        <v>426</v>
      </c>
      <c r="C128" s="2" t="s">
        <v>427</v>
      </c>
      <c r="D128" s="2" t="s">
        <v>428</v>
      </c>
      <c r="E128" s="2" t="s">
        <v>141</v>
      </c>
      <c r="F128" s="3">
        <v>46142</v>
      </c>
      <c r="G128" s="4">
        <v>11</v>
      </c>
      <c r="H128" s="3">
        <v>46142</v>
      </c>
      <c r="I128" s="5">
        <v>77257</v>
      </c>
      <c r="J128" s="2" t="s">
        <v>91</v>
      </c>
      <c r="K128" s="2" t="s">
        <v>549</v>
      </c>
      <c r="L128" s="17">
        <f t="shared" si="32"/>
        <v>46187</v>
      </c>
      <c r="M128" s="18">
        <f t="shared" ca="1" si="33"/>
        <v>-31</v>
      </c>
      <c r="N128" s="17">
        <v>46184</v>
      </c>
      <c r="O128" s="21">
        <v>46184</v>
      </c>
      <c r="P128" s="23">
        <f t="shared" si="34"/>
        <v>77257</v>
      </c>
      <c r="Q128" s="18">
        <f t="shared" ca="1" si="35"/>
        <v>11</v>
      </c>
      <c r="R128" t="s">
        <v>566</v>
      </c>
    </row>
    <row r="129" spans="1:18" outlineLevel="1" x14ac:dyDescent="0.3">
      <c r="A129" s="2" t="s">
        <v>429</v>
      </c>
      <c r="B129" s="2" t="s">
        <v>430</v>
      </c>
      <c r="C129" s="2" t="s">
        <v>431</v>
      </c>
      <c r="D129" s="2" t="s">
        <v>432</v>
      </c>
      <c r="E129" s="2" t="s">
        <v>90</v>
      </c>
      <c r="F129" s="3">
        <v>45763</v>
      </c>
      <c r="G129" s="4">
        <v>390</v>
      </c>
      <c r="H129" s="3">
        <v>45763</v>
      </c>
      <c r="I129" s="5">
        <v>2198.11</v>
      </c>
      <c r="J129" s="2" t="s">
        <v>91</v>
      </c>
      <c r="K129" s="2" t="s">
        <v>540</v>
      </c>
      <c r="L129" s="17"/>
      <c r="M129" s="18"/>
      <c r="N129" s="17"/>
      <c r="O129" s="17"/>
      <c r="P129" s="10"/>
      <c r="Q129" s="18"/>
    </row>
    <row r="130" spans="1:18" outlineLevel="1" x14ac:dyDescent="0.3">
      <c r="A130" s="2" t="s">
        <v>429</v>
      </c>
      <c r="B130" s="2" t="s">
        <v>433</v>
      </c>
      <c r="C130" s="2" t="s">
        <v>434</v>
      </c>
      <c r="D130" s="2" t="s">
        <v>432</v>
      </c>
      <c r="E130" s="2" t="s">
        <v>90</v>
      </c>
      <c r="F130" s="3">
        <v>45808</v>
      </c>
      <c r="G130" s="4">
        <v>345</v>
      </c>
      <c r="H130" s="3">
        <v>45808</v>
      </c>
      <c r="I130" s="5">
        <v>7020.55</v>
      </c>
      <c r="J130" s="2" t="s">
        <v>91</v>
      </c>
      <c r="K130" s="2" t="s">
        <v>540</v>
      </c>
      <c r="L130" s="17"/>
      <c r="M130" s="18"/>
      <c r="N130" s="17"/>
      <c r="O130" s="17"/>
      <c r="P130" s="10"/>
      <c r="Q130" s="18"/>
    </row>
    <row r="131" spans="1:18" outlineLevel="1" x14ac:dyDescent="0.3">
      <c r="A131" s="2" t="s">
        <v>429</v>
      </c>
      <c r="B131" s="2" t="s">
        <v>435</v>
      </c>
      <c r="C131" s="2" t="s">
        <v>436</v>
      </c>
      <c r="D131" s="2" t="s">
        <v>432</v>
      </c>
      <c r="E131" s="2" t="s">
        <v>90</v>
      </c>
      <c r="F131" s="3">
        <v>45888</v>
      </c>
      <c r="G131" s="4">
        <v>265</v>
      </c>
      <c r="H131" s="3">
        <v>45888</v>
      </c>
      <c r="I131" s="5">
        <v>40781.339999999997</v>
      </c>
      <c r="J131" s="2" t="s">
        <v>91</v>
      </c>
      <c r="K131" s="2" t="s">
        <v>540</v>
      </c>
      <c r="L131" s="17"/>
      <c r="M131" s="18"/>
      <c r="N131" s="17"/>
      <c r="O131" s="17"/>
      <c r="P131" s="10"/>
      <c r="Q131" s="18"/>
    </row>
    <row r="132" spans="1:18" outlineLevel="1" x14ac:dyDescent="0.3">
      <c r="A132" s="2" t="s">
        <v>437</v>
      </c>
      <c r="B132" s="2" t="s">
        <v>438</v>
      </c>
      <c r="C132" s="2" t="s">
        <v>439</v>
      </c>
      <c r="D132" s="2" t="s">
        <v>440</v>
      </c>
      <c r="E132" s="2" t="s">
        <v>14</v>
      </c>
      <c r="F132" s="3">
        <v>46147</v>
      </c>
      <c r="G132" s="4">
        <v>6</v>
      </c>
      <c r="H132" s="3">
        <v>46147</v>
      </c>
      <c r="I132" s="5">
        <v>590</v>
      </c>
      <c r="J132" s="2" t="s">
        <v>15</v>
      </c>
      <c r="K132" s="2" t="s">
        <v>540</v>
      </c>
      <c r="N132" s="17"/>
      <c r="O132" s="17">
        <f t="shared" ref="O132:O133" si="36">H132</f>
        <v>46147</v>
      </c>
      <c r="P132" s="12">
        <f t="shared" ref="P132:P133" si="37">I132/3.45</f>
        <v>171.01449275362319</v>
      </c>
    </row>
    <row r="133" spans="1:18" outlineLevel="1" x14ac:dyDescent="0.3">
      <c r="A133" s="2" t="s">
        <v>437</v>
      </c>
      <c r="B133" s="2" t="s">
        <v>441</v>
      </c>
      <c r="C133" s="2" t="s">
        <v>442</v>
      </c>
      <c r="D133" s="2" t="s">
        <v>443</v>
      </c>
      <c r="E133" s="2" t="s">
        <v>14</v>
      </c>
      <c r="F133" s="3">
        <v>46149</v>
      </c>
      <c r="G133" s="6">
        <v>-3</v>
      </c>
      <c r="H133" s="3">
        <v>46156</v>
      </c>
      <c r="I133" s="5">
        <v>590</v>
      </c>
      <c r="J133" s="2" t="s">
        <v>15</v>
      </c>
      <c r="K133" s="2" t="s">
        <v>540</v>
      </c>
      <c r="N133" s="17"/>
      <c r="O133" s="17">
        <f t="shared" si="36"/>
        <v>46156</v>
      </c>
      <c r="P133" s="12">
        <f t="shared" si="37"/>
        <v>171.01449275362319</v>
      </c>
    </row>
    <row r="134" spans="1:18" outlineLevel="1" x14ac:dyDescent="0.3">
      <c r="A134" s="2" t="s">
        <v>444</v>
      </c>
      <c r="B134" s="2" t="s">
        <v>445</v>
      </c>
      <c r="C134" s="2" t="s">
        <v>446</v>
      </c>
      <c r="D134" s="2" t="s">
        <v>447</v>
      </c>
      <c r="E134" s="2" t="s">
        <v>141</v>
      </c>
      <c r="F134" s="3">
        <v>46111</v>
      </c>
      <c r="G134" s="4">
        <v>42</v>
      </c>
      <c r="H134" s="3">
        <v>46111</v>
      </c>
      <c r="I134" s="5">
        <v>56300</v>
      </c>
      <c r="J134" s="2" t="s">
        <v>91</v>
      </c>
      <c r="K134" s="2" t="s">
        <v>549</v>
      </c>
      <c r="L134" s="17">
        <f t="shared" ref="L134:L137" si="38">F134+45</f>
        <v>46156</v>
      </c>
      <c r="M134" s="18">
        <f t="shared" ref="M134:M136" ca="1" si="39">TODAY()-N134</f>
        <v>-3</v>
      </c>
      <c r="N134" s="17">
        <v>46156</v>
      </c>
      <c r="O134" s="17">
        <v>46156</v>
      </c>
      <c r="P134" s="10">
        <f t="shared" ref="P134:P137" si="40">I134</f>
        <v>56300</v>
      </c>
      <c r="Q134" s="18">
        <f t="shared" ref="Q134:Q136" ca="1" si="41">TODAY()-F134</f>
        <v>42</v>
      </c>
      <c r="R134" t="s">
        <v>566</v>
      </c>
    </row>
    <row r="135" spans="1:18" outlineLevel="1" x14ac:dyDescent="0.3">
      <c r="A135" s="2" t="s">
        <v>444</v>
      </c>
      <c r="B135" s="2" t="s">
        <v>448</v>
      </c>
      <c r="C135" s="2" t="s">
        <v>449</v>
      </c>
      <c r="D135" s="2" t="s">
        <v>450</v>
      </c>
      <c r="E135" s="2" t="s">
        <v>141</v>
      </c>
      <c r="F135" s="3">
        <v>46139</v>
      </c>
      <c r="G135" s="4">
        <v>14</v>
      </c>
      <c r="H135" s="3">
        <v>46139</v>
      </c>
      <c r="I135" s="5">
        <v>116670</v>
      </c>
      <c r="J135" s="2" t="s">
        <v>91</v>
      </c>
      <c r="K135" s="2" t="s">
        <v>549</v>
      </c>
      <c r="L135" s="17">
        <f t="shared" si="38"/>
        <v>46184</v>
      </c>
      <c r="M135" s="18">
        <f t="shared" ca="1" si="39"/>
        <v>-31</v>
      </c>
      <c r="N135" s="17">
        <v>46184</v>
      </c>
      <c r="O135" s="17">
        <v>46184</v>
      </c>
      <c r="P135" s="10">
        <f t="shared" si="40"/>
        <v>116670</v>
      </c>
      <c r="Q135" s="18">
        <f t="shared" ca="1" si="41"/>
        <v>14</v>
      </c>
      <c r="R135" t="s">
        <v>566</v>
      </c>
    </row>
    <row r="136" spans="1:18" outlineLevel="1" x14ac:dyDescent="0.3">
      <c r="A136" s="2" t="s">
        <v>451</v>
      </c>
      <c r="B136" s="2" t="s">
        <v>452</v>
      </c>
      <c r="C136" s="2" t="s">
        <v>453</v>
      </c>
      <c r="D136" s="2" t="s">
        <v>454</v>
      </c>
      <c r="E136" s="2" t="s">
        <v>141</v>
      </c>
      <c r="F136" s="3">
        <v>46141</v>
      </c>
      <c r="G136" s="4">
        <v>12</v>
      </c>
      <c r="H136" s="3">
        <v>46141</v>
      </c>
      <c r="I136" s="5">
        <v>56785</v>
      </c>
      <c r="J136" s="2" t="s">
        <v>91</v>
      </c>
      <c r="K136" s="2" t="s">
        <v>549</v>
      </c>
      <c r="L136" s="17">
        <f t="shared" si="38"/>
        <v>46186</v>
      </c>
      <c r="M136" s="18">
        <f t="shared" ca="1" si="39"/>
        <v>-33</v>
      </c>
      <c r="N136" s="17">
        <v>46186</v>
      </c>
      <c r="O136" s="17">
        <v>46186</v>
      </c>
      <c r="P136" s="10">
        <f t="shared" si="40"/>
        <v>56785</v>
      </c>
      <c r="Q136" s="18">
        <f t="shared" ca="1" si="41"/>
        <v>12</v>
      </c>
      <c r="R136" t="s">
        <v>566</v>
      </c>
    </row>
    <row r="137" spans="1:18" outlineLevel="1" x14ac:dyDescent="0.3">
      <c r="A137" s="2" t="s">
        <v>451</v>
      </c>
      <c r="B137" s="2" t="s">
        <v>452</v>
      </c>
      <c r="C137" s="2" t="s">
        <v>453</v>
      </c>
      <c r="D137" s="2" t="s">
        <v>557</v>
      </c>
      <c r="E137" s="2" t="s">
        <v>141</v>
      </c>
      <c r="F137" s="3">
        <v>46173</v>
      </c>
      <c r="G137" s="4">
        <v>12</v>
      </c>
      <c r="H137" s="3">
        <v>46173</v>
      </c>
      <c r="I137" s="5">
        <v>-23675</v>
      </c>
      <c r="J137" s="2" t="s">
        <v>91</v>
      </c>
      <c r="K137" s="2" t="s">
        <v>549</v>
      </c>
      <c r="L137" s="17">
        <f t="shared" si="38"/>
        <v>46218</v>
      </c>
      <c r="M137" s="18"/>
      <c r="N137" s="17">
        <f>H137</f>
        <v>46173</v>
      </c>
      <c r="O137" s="17">
        <f>H137</f>
        <v>46173</v>
      </c>
      <c r="P137" s="10">
        <f t="shared" si="40"/>
        <v>-23675</v>
      </c>
      <c r="Q137" s="18">
        <f ca="1">TODAY()-F137</f>
        <v>-20</v>
      </c>
      <c r="R137" t="s">
        <v>566</v>
      </c>
    </row>
    <row r="138" spans="1:18" outlineLevel="1" x14ac:dyDescent="0.3">
      <c r="A138" s="2" t="s">
        <v>455</v>
      </c>
      <c r="B138" s="2" t="s">
        <v>456</v>
      </c>
      <c r="C138" s="2" t="s">
        <v>457</v>
      </c>
      <c r="D138" s="2" t="s">
        <v>458</v>
      </c>
      <c r="E138" s="2" t="s">
        <v>14</v>
      </c>
      <c r="F138" s="3">
        <v>46151</v>
      </c>
      <c r="G138" s="4">
        <v>2</v>
      </c>
      <c r="H138" s="3">
        <v>46151</v>
      </c>
      <c r="I138" s="5">
        <v>320.72000000000003</v>
      </c>
      <c r="J138" s="2" t="s">
        <v>15</v>
      </c>
      <c r="K138" s="2" t="s">
        <v>540</v>
      </c>
      <c r="N138" s="17"/>
      <c r="O138" s="17">
        <f t="shared" ref="O138:O144" si="42">H138</f>
        <v>46151</v>
      </c>
      <c r="P138" s="12">
        <f t="shared" ref="P138:P144" si="43">I138/3.45</f>
        <v>92.962318840579712</v>
      </c>
    </row>
    <row r="139" spans="1:18" outlineLevel="1" x14ac:dyDescent="0.3">
      <c r="A139" s="2" t="s">
        <v>455</v>
      </c>
      <c r="B139" s="2" t="s">
        <v>459</v>
      </c>
      <c r="C139" s="2" t="s">
        <v>460</v>
      </c>
      <c r="D139" s="2" t="s">
        <v>461</v>
      </c>
      <c r="E139" s="2" t="s">
        <v>14</v>
      </c>
      <c r="F139" s="3">
        <v>46151</v>
      </c>
      <c r="G139" s="4">
        <v>2</v>
      </c>
      <c r="H139" s="3">
        <v>46151</v>
      </c>
      <c r="I139" s="5">
        <v>88.5</v>
      </c>
      <c r="J139" s="2" t="s">
        <v>15</v>
      </c>
      <c r="K139" s="2" t="s">
        <v>540</v>
      </c>
      <c r="N139" s="17"/>
      <c r="O139" s="17">
        <f t="shared" si="42"/>
        <v>46151</v>
      </c>
      <c r="P139" s="12">
        <f t="shared" si="43"/>
        <v>25.652173913043477</v>
      </c>
    </row>
    <row r="140" spans="1:18" outlineLevel="1" x14ac:dyDescent="0.3">
      <c r="A140" s="2" t="s">
        <v>462</v>
      </c>
      <c r="B140" s="2" t="s">
        <v>463</v>
      </c>
      <c r="C140" s="2" t="s">
        <v>464</v>
      </c>
      <c r="D140" s="2" t="s">
        <v>465</v>
      </c>
      <c r="E140" s="2" t="s">
        <v>143</v>
      </c>
      <c r="F140" s="3">
        <v>45942</v>
      </c>
      <c r="G140" s="4">
        <v>211</v>
      </c>
      <c r="H140" s="3">
        <v>45942</v>
      </c>
      <c r="I140" s="5">
        <v>56.64</v>
      </c>
      <c r="J140" s="2" t="s">
        <v>15</v>
      </c>
      <c r="K140" s="2" t="s">
        <v>540</v>
      </c>
      <c r="N140" s="17"/>
      <c r="O140" s="17">
        <f t="shared" si="42"/>
        <v>45942</v>
      </c>
      <c r="P140" s="12">
        <f t="shared" si="43"/>
        <v>16.417391304347824</v>
      </c>
    </row>
    <row r="141" spans="1:18" outlineLevel="1" x14ac:dyDescent="0.3">
      <c r="A141" s="2" t="s">
        <v>466</v>
      </c>
      <c r="B141" s="2" t="s">
        <v>467</v>
      </c>
      <c r="C141" s="2" t="s">
        <v>468</v>
      </c>
      <c r="D141" s="2" t="s">
        <v>469</v>
      </c>
      <c r="E141" s="2" t="s">
        <v>14</v>
      </c>
      <c r="F141" s="3">
        <v>46147</v>
      </c>
      <c r="G141" s="6">
        <v>-1</v>
      </c>
      <c r="H141" s="3">
        <v>46154</v>
      </c>
      <c r="I141" s="5">
        <v>424.8</v>
      </c>
      <c r="J141" s="2" t="s">
        <v>15</v>
      </c>
      <c r="K141" s="2" t="s">
        <v>540</v>
      </c>
      <c r="N141" s="17"/>
      <c r="O141" s="17">
        <f t="shared" si="42"/>
        <v>46154</v>
      </c>
      <c r="P141" s="12">
        <f t="shared" si="43"/>
        <v>123.13043478260869</v>
      </c>
    </row>
    <row r="142" spans="1:18" outlineLevel="1" x14ac:dyDescent="0.3">
      <c r="A142" s="2" t="s">
        <v>466</v>
      </c>
      <c r="B142" s="2" t="s">
        <v>470</v>
      </c>
      <c r="C142" s="2" t="s">
        <v>471</v>
      </c>
      <c r="D142" s="2" t="s">
        <v>472</v>
      </c>
      <c r="E142" s="2" t="s">
        <v>14</v>
      </c>
      <c r="F142" s="3">
        <v>46148</v>
      </c>
      <c r="G142" s="6">
        <v>-2</v>
      </c>
      <c r="H142" s="3">
        <v>46155</v>
      </c>
      <c r="I142" s="5">
        <v>3200.16</v>
      </c>
      <c r="J142" s="2" t="s">
        <v>15</v>
      </c>
      <c r="K142" s="2" t="s">
        <v>540</v>
      </c>
      <c r="N142" s="17"/>
      <c r="O142" s="17">
        <f t="shared" si="42"/>
        <v>46155</v>
      </c>
      <c r="P142" s="12">
        <f t="shared" si="43"/>
        <v>927.58260869565208</v>
      </c>
    </row>
    <row r="143" spans="1:18" outlineLevel="1" x14ac:dyDescent="0.3">
      <c r="A143" s="2" t="s">
        <v>466</v>
      </c>
      <c r="B143" s="2" t="s">
        <v>473</v>
      </c>
      <c r="C143" s="2" t="s">
        <v>474</v>
      </c>
      <c r="D143" s="2" t="s">
        <v>475</v>
      </c>
      <c r="E143" s="2" t="s">
        <v>14</v>
      </c>
      <c r="F143" s="3">
        <v>46149</v>
      </c>
      <c r="G143" s="6">
        <v>-3</v>
      </c>
      <c r="H143" s="3">
        <v>46156</v>
      </c>
      <c r="I143" s="5">
        <v>1189.44</v>
      </c>
      <c r="J143" s="2" t="s">
        <v>15</v>
      </c>
      <c r="K143" s="2" t="s">
        <v>540</v>
      </c>
      <c r="N143" s="17"/>
      <c r="O143" s="17">
        <f t="shared" si="42"/>
        <v>46156</v>
      </c>
      <c r="P143" s="12">
        <f t="shared" si="43"/>
        <v>344.76521739130436</v>
      </c>
    </row>
    <row r="144" spans="1:18" outlineLevel="1" x14ac:dyDescent="0.3">
      <c r="A144" s="2" t="s">
        <v>466</v>
      </c>
      <c r="B144" s="2" t="s">
        <v>476</v>
      </c>
      <c r="C144" s="2" t="s">
        <v>477</v>
      </c>
      <c r="D144" s="2" t="s">
        <v>478</v>
      </c>
      <c r="E144" s="2" t="s">
        <v>14</v>
      </c>
      <c r="F144" s="3">
        <v>46150</v>
      </c>
      <c r="G144" s="6">
        <v>-4</v>
      </c>
      <c r="H144" s="3">
        <v>46157</v>
      </c>
      <c r="I144" s="5">
        <v>396.48</v>
      </c>
      <c r="J144" s="2" t="s">
        <v>15</v>
      </c>
      <c r="K144" s="2" t="s">
        <v>540</v>
      </c>
      <c r="N144" s="17"/>
      <c r="O144" s="17">
        <f t="shared" si="42"/>
        <v>46157</v>
      </c>
      <c r="P144" s="12">
        <f t="shared" si="43"/>
        <v>114.92173913043479</v>
      </c>
    </row>
    <row r="145" spans="1:18" outlineLevel="1" x14ac:dyDescent="0.3">
      <c r="A145" s="2" t="s">
        <v>479</v>
      </c>
      <c r="B145" s="2" t="s">
        <v>481</v>
      </c>
      <c r="C145" s="2" t="s">
        <v>482</v>
      </c>
      <c r="D145" s="2" t="s">
        <v>483</v>
      </c>
      <c r="E145" s="2" t="s">
        <v>125</v>
      </c>
      <c r="F145" s="3">
        <v>46109</v>
      </c>
      <c r="G145" s="6">
        <v>-1</v>
      </c>
      <c r="H145" s="3">
        <v>46154</v>
      </c>
      <c r="I145" s="5">
        <v>86240</v>
      </c>
      <c r="J145" s="2" t="s">
        <v>91</v>
      </c>
      <c r="K145" s="2" t="s">
        <v>549</v>
      </c>
      <c r="L145" s="17">
        <f t="shared" ref="L145:L162" si="44">F145+45</f>
        <v>46154</v>
      </c>
      <c r="M145" s="18">
        <f t="shared" ref="M145:M162" ca="1" si="45">TODAY()-N145</f>
        <v>-1</v>
      </c>
      <c r="N145" s="17">
        <v>46154</v>
      </c>
      <c r="O145" s="17">
        <f t="shared" ref="O145:O162" si="46">H145</f>
        <v>46154</v>
      </c>
      <c r="P145" s="10">
        <f t="shared" ref="P145:P162" si="47">I145</f>
        <v>86240</v>
      </c>
      <c r="Q145" s="18">
        <f t="shared" ref="Q145:Q162" ca="1" si="48">TODAY()-F145</f>
        <v>44</v>
      </c>
      <c r="R145" t="s">
        <v>566</v>
      </c>
    </row>
    <row r="146" spans="1:18" outlineLevel="1" x14ac:dyDescent="0.3">
      <c r="A146" s="2" t="s">
        <v>479</v>
      </c>
      <c r="B146" s="2" t="s">
        <v>484</v>
      </c>
      <c r="C146" s="2" t="s">
        <v>485</v>
      </c>
      <c r="D146" s="2" t="s">
        <v>486</v>
      </c>
      <c r="E146" s="2" t="s">
        <v>125</v>
      </c>
      <c r="F146" s="3">
        <v>46109</v>
      </c>
      <c r="G146" s="6">
        <v>-1</v>
      </c>
      <c r="H146" s="3">
        <v>46154</v>
      </c>
      <c r="I146" s="5">
        <v>129600</v>
      </c>
      <c r="J146" s="2" t="s">
        <v>91</v>
      </c>
      <c r="K146" s="2" t="s">
        <v>549</v>
      </c>
      <c r="L146" s="17">
        <f t="shared" si="44"/>
        <v>46154</v>
      </c>
      <c r="M146" s="18">
        <f t="shared" ca="1" si="45"/>
        <v>-1</v>
      </c>
      <c r="N146" s="17">
        <v>46154</v>
      </c>
      <c r="O146" s="17">
        <f t="shared" si="46"/>
        <v>46154</v>
      </c>
      <c r="P146" s="10">
        <f t="shared" si="47"/>
        <v>129600</v>
      </c>
      <c r="Q146" s="18">
        <f t="shared" ca="1" si="48"/>
        <v>44</v>
      </c>
      <c r="R146" t="s">
        <v>566</v>
      </c>
    </row>
    <row r="147" spans="1:18" outlineLevel="1" x14ac:dyDescent="0.3">
      <c r="A147" s="2" t="s">
        <v>479</v>
      </c>
      <c r="B147" s="2" t="s">
        <v>487</v>
      </c>
      <c r="C147" s="2" t="s">
        <v>488</v>
      </c>
      <c r="D147" s="2" t="s">
        <v>489</v>
      </c>
      <c r="E147" s="2" t="s">
        <v>125</v>
      </c>
      <c r="F147" s="3">
        <v>46120</v>
      </c>
      <c r="G147" s="6">
        <v>-12</v>
      </c>
      <c r="H147" s="3">
        <v>46165</v>
      </c>
      <c r="I147" s="5">
        <v>78200</v>
      </c>
      <c r="J147" s="2" t="s">
        <v>91</v>
      </c>
      <c r="K147" s="2" t="s">
        <v>549</v>
      </c>
      <c r="L147" s="17">
        <f t="shared" si="44"/>
        <v>46165</v>
      </c>
      <c r="M147" s="18">
        <f t="shared" ca="1" si="45"/>
        <v>-12</v>
      </c>
      <c r="N147" s="17">
        <v>46165</v>
      </c>
      <c r="O147" s="17">
        <f t="shared" si="46"/>
        <v>46165</v>
      </c>
      <c r="P147" s="10">
        <f t="shared" si="47"/>
        <v>78200</v>
      </c>
      <c r="Q147" s="18">
        <f t="shared" ca="1" si="48"/>
        <v>33</v>
      </c>
      <c r="R147" t="s">
        <v>566</v>
      </c>
    </row>
    <row r="148" spans="1:18" outlineLevel="1" x14ac:dyDescent="0.3">
      <c r="A148" s="2" t="s">
        <v>479</v>
      </c>
      <c r="B148" s="2" t="s">
        <v>490</v>
      </c>
      <c r="C148" s="2" t="s">
        <v>491</v>
      </c>
      <c r="D148" s="2" t="s">
        <v>492</v>
      </c>
      <c r="E148" s="2" t="s">
        <v>125</v>
      </c>
      <c r="F148" s="3">
        <v>46120</v>
      </c>
      <c r="G148" s="6">
        <v>-12</v>
      </c>
      <c r="H148" s="3">
        <v>46165</v>
      </c>
      <c r="I148" s="5">
        <v>180000</v>
      </c>
      <c r="J148" s="2" t="s">
        <v>91</v>
      </c>
      <c r="K148" s="2" t="s">
        <v>549</v>
      </c>
      <c r="L148" s="17">
        <f t="shared" si="44"/>
        <v>46165</v>
      </c>
      <c r="M148" s="18">
        <f t="shared" ca="1" si="45"/>
        <v>-12</v>
      </c>
      <c r="N148" s="17">
        <v>46165</v>
      </c>
      <c r="O148" s="17">
        <f t="shared" si="46"/>
        <v>46165</v>
      </c>
      <c r="P148" s="10">
        <f t="shared" si="47"/>
        <v>180000</v>
      </c>
      <c r="Q148" s="18">
        <f t="shared" ca="1" si="48"/>
        <v>33</v>
      </c>
      <c r="R148" t="s">
        <v>566</v>
      </c>
    </row>
    <row r="149" spans="1:18" outlineLevel="1" x14ac:dyDescent="0.3">
      <c r="A149" s="2" t="s">
        <v>479</v>
      </c>
      <c r="B149" s="2" t="s">
        <v>493</v>
      </c>
      <c r="C149" s="2" t="s">
        <v>494</v>
      </c>
      <c r="D149" s="2" t="s">
        <v>495</v>
      </c>
      <c r="E149" s="2" t="s">
        <v>125</v>
      </c>
      <c r="F149" s="3">
        <v>46137</v>
      </c>
      <c r="G149" s="6">
        <v>-29</v>
      </c>
      <c r="H149" s="3">
        <v>46182</v>
      </c>
      <c r="I149" s="5">
        <v>110112</v>
      </c>
      <c r="J149" s="2" t="s">
        <v>91</v>
      </c>
      <c r="K149" s="2" t="s">
        <v>549</v>
      </c>
      <c r="L149" s="17">
        <f t="shared" si="44"/>
        <v>46182</v>
      </c>
      <c r="M149" s="18">
        <f t="shared" ca="1" si="45"/>
        <v>-29</v>
      </c>
      <c r="N149" s="17">
        <v>46182</v>
      </c>
      <c r="O149" s="17">
        <f t="shared" si="46"/>
        <v>46182</v>
      </c>
      <c r="P149" s="10">
        <f t="shared" si="47"/>
        <v>110112</v>
      </c>
      <c r="Q149" s="18">
        <f t="shared" ca="1" si="48"/>
        <v>16</v>
      </c>
      <c r="R149" t="s">
        <v>566</v>
      </c>
    </row>
    <row r="150" spans="1:18" outlineLevel="1" x14ac:dyDescent="0.3">
      <c r="A150" s="2" t="s">
        <v>479</v>
      </c>
      <c r="B150" s="2" t="s">
        <v>496</v>
      </c>
      <c r="C150" s="2" t="s">
        <v>497</v>
      </c>
      <c r="D150" s="2" t="s">
        <v>498</v>
      </c>
      <c r="E150" s="2" t="s">
        <v>125</v>
      </c>
      <c r="F150" s="3">
        <v>46137</v>
      </c>
      <c r="G150" s="6">
        <v>-29</v>
      </c>
      <c r="H150" s="3">
        <v>46182</v>
      </c>
      <c r="I150" s="5">
        <v>35520</v>
      </c>
      <c r="J150" s="2" t="s">
        <v>91</v>
      </c>
      <c r="K150" s="2" t="s">
        <v>549</v>
      </c>
      <c r="L150" s="17">
        <f t="shared" si="44"/>
        <v>46182</v>
      </c>
      <c r="M150" s="18">
        <f t="shared" ca="1" si="45"/>
        <v>-29</v>
      </c>
      <c r="N150" s="17">
        <v>46182</v>
      </c>
      <c r="O150" s="17">
        <f t="shared" si="46"/>
        <v>46182</v>
      </c>
      <c r="P150" s="10">
        <f t="shared" si="47"/>
        <v>35520</v>
      </c>
      <c r="Q150" s="18">
        <f t="shared" ca="1" si="48"/>
        <v>16</v>
      </c>
      <c r="R150" t="s">
        <v>566</v>
      </c>
    </row>
    <row r="151" spans="1:18" outlineLevel="1" x14ac:dyDescent="0.3">
      <c r="A151" s="2" t="s">
        <v>479</v>
      </c>
      <c r="B151" s="2" t="s">
        <v>499</v>
      </c>
      <c r="C151" s="2" t="s">
        <v>500</v>
      </c>
      <c r="D151" s="2" t="s">
        <v>501</v>
      </c>
      <c r="E151" s="2" t="s">
        <v>125</v>
      </c>
      <c r="F151" s="3">
        <v>46137</v>
      </c>
      <c r="G151" s="6">
        <v>-29</v>
      </c>
      <c r="H151" s="3">
        <v>46182</v>
      </c>
      <c r="I151" s="5">
        <v>41760</v>
      </c>
      <c r="J151" s="2" t="s">
        <v>91</v>
      </c>
      <c r="K151" s="2" t="s">
        <v>549</v>
      </c>
      <c r="L151" s="17">
        <f t="shared" si="44"/>
        <v>46182</v>
      </c>
      <c r="M151" s="18">
        <f t="shared" ca="1" si="45"/>
        <v>-29</v>
      </c>
      <c r="N151" s="17">
        <v>46182</v>
      </c>
      <c r="O151" s="17">
        <f t="shared" si="46"/>
        <v>46182</v>
      </c>
      <c r="P151" s="10">
        <f t="shared" si="47"/>
        <v>41760</v>
      </c>
      <c r="Q151" s="18">
        <f t="shared" ca="1" si="48"/>
        <v>16</v>
      </c>
      <c r="R151" t="s">
        <v>566</v>
      </c>
    </row>
    <row r="152" spans="1:18" outlineLevel="1" x14ac:dyDescent="0.3">
      <c r="A152" s="2" t="s">
        <v>479</v>
      </c>
      <c r="B152" s="2" t="s">
        <v>502</v>
      </c>
      <c r="C152" s="2" t="s">
        <v>503</v>
      </c>
      <c r="D152" s="2" t="s">
        <v>504</v>
      </c>
      <c r="E152" s="2" t="s">
        <v>125</v>
      </c>
      <c r="F152" s="3">
        <v>46138</v>
      </c>
      <c r="G152" s="6">
        <v>-30</v>
      </c>
      <c r="H152" s="3">
        <v>46183</v>
      </c>
      <c r="I152" s="5">
        <v>191070</v>
      </c>
      <c r="J152" s="2" t="s">
        <v>91</v>
      </c>
      <c r="K152" s="2" t="s">
        <v>549</v>
      </c>
      <c r="L152" s="17">
        <f t="shared" si="44"/>
        <v>46183</v>
      </c>
      <c r="M152" s="18">
        <f t="shared" ca="1" si="45"/>
        <v>-30</v>
      </c>
      <c r="N152" s="17">
        <v>46183</v>
      </c>
      <c r="O152" s="17">
        <f t="shared" si="46"/>
        <v>46183</v>
      </c>
      <c r="P152" s="10">
        <f t="shared" si="47"/>
        <v>191070</v>
      </c>
      <c r="Q152" s="18">
        <f t="shared" ca="1" si="48"/>
        <v>15</v>
      </c>
      <c r="R152" t="s">
        <v>566</v>
      </c>
    </row>
    <row r="153" spans="1:18" outlineLevel="1" x14ac:dyDescent="0.3">
      <c r="A153" s="2" t="s">
        <v>479</v>
      </c>
      <c r="B153" s="2" t="s">
        <v>505</v>
      </c>
      <c r="C153" s="2" t="s">
        <v>506</v>
      </c>
      <c r="D153" s="2" t="s">
        <v>507</v>
      </c>
      <c r="E153" s="2" t="s">
        <v>125</v>
      </c>
      <c r="F153" s="3">
        <v>46141</v>
      </c>
      <c r="G153" s="6">
        <v>-33</v>
      </c>
      <c r="H153" s="3">
        <v>46186</v>
      </c>
      <c r="I153" s="5">
        <v>53360</v>
      </c>
      <c r="J153" s="2" t="s">
        <v>91</v>
      </c>
      <c r="K153" s="2" t="s">
        <v>549</v>
      </c>
      <c r="L153" s="17">
        <f t="shared" si="44"/>
        <v>46186</v>
      </c>
      <c r="M153" s="18">
        <f t="shared" ca="1" si="45"/>
        <v>-33</v>
      </c>
      <c r="N153" s="17">
        <v>46186</v>
      </c>
      <c r="O153" s="17">
        <f t="shared" si="46"/>
        <v>46186</v>
      </c>
      <c r="P153" s="10">
        <f t="shared" si="47"/>
        <v>53360</v>
      </c>
      <c r="Q153" s="18">
        <f t="shared" ca="1" si="48"/>
        <v>12</v>
      </c>
      <c r="R153" t="s">
        <v>566</v>
      </c>
    </row>
    <row r="154" spans="1:18" outlineLevel="1" x14ac:dyDescent="0.3">
      <c r="A154" s="2" t="s">
        <v>479</v>
      </c>
      <c r="B154" s="2" t="s">
        <v>508</v>
      </c>
      <c r="C154" s="2" t="s">
        <v>509</v>
      </c>
      <c r="D154" s="2" t="s">
        <v>510</v>
      </c>
      <c r="E154" s="2" t="s">
        <v>125</v>
      </c>
      <c r="F154" s="3">
        <v>46141</v>
      </c>
      <c r="G154" s="6">
        <v>-33</v>
      </c>
      <c r="H154" s="3">
        <v>46186</v>
      </c>
      <c r="I154" s="5">
        <v>163070</v>
      </c>
      <c r="J154" s="2" t="s">
        <v>91</v>
      </c>
      <c r="K154" s="2" t="s">
        <v>549</v>
      </c>
      <c r="L154" s="17">
        <f t="shared" si="44"/>
        <v>46186</v>
      </c>
      <c r="M154" s="18">
        <f t="shared" ca="1" si="45"/>
        <v>-33</v>
      </c>
      <c r="N154" s="17">
        <v>46186</v>
      </c>
      <c r="O154" s="17">
        <f t="shared" si="46"/>
        <v>46186</v>
      </c>
      <c r="P154" s="10">
        <f t="shared" si="47"/>
        <v>163070</v>
      </c>
      <c r="Q154" s="18">
        <f t="shared" ca="1" si="48"/>
        <v>12</v>
      </c>
      <c r="R154" t="s">
        <v>566</v>
      </c>
    </row>
    <row r="155" spans="1:18" outlineLevel="1" x14ac:dyDescent="0.3">
      <c r="A155" s="2" t="s">
        <v>479</v>
      </c>
      <c r="B155" s="2" t="s">
        <v>511</v>
      </c>
      <c r="C155" s="2" t="s">
        <v>512</v>
      </c>
      <c r="D155" s="2" t="s">
        <v>513</v>
      </c>
      <c r="E155" s="2" t="s">
        <v>125</v>
      </c>
      <c r="F155" s="3">
        <v>46141</v>
      </c>
      <c r="G155" s="6">
        <v>-33</v>
      </c>
      <c r="H155" s="3">
        <v>46186</v>
      </c>
      <c r="I155" s="5">
        <v>52800</v>
      </c>
      <c r="J155" s="2" t="s">
        <v>91</v>
      </c>
      <c r="K155" s="2" t="s">
        <v>549</v>
      </c>
      <c r="L155" s="17">
        <f t="shared" si="44"/>
        <v>46186</v>
      </c>
      <c r="M155" s="18">
        <f t="shared" ca="1" si="45"/>
        <v>-33</v>
      </c>
      <c r="N155" s="17">
        <v>46186</v>
      </c>
      <c r="O155" s="17">
        <f t="shared" si="46"/>
        <v>46186</v>
      </c>
      <c r="P155" s="10">
        <f t="shared" si="47"/>
        <v>52800</v>
      </c>
      <c r="Q155" s="18">
        <f t="shared" ca="1" si="48"/>
        <v>12</v>
      </c>
      <c r="R155" t="s">
        <v>566</v>
      </c>
    </row>
    <row r="156" spans="1:18" outlineLevel="1" x14ac:dyDescent="0.3">
      <c r="A156" s="2" t="s">
        <v>479</v>
      </c>
      <c r="B156" s="2" t="s">
        <v>514</v>
      </c>
      <c r="C156" s="2" t="s">
        <v>515</v>
      </c>
      <c r="D156" s="2" t="s">
        <v>516</v>
      </c>
      <c r="E156" s="2" t="s">
        <v>125</v>
      </c>
      <c r="F156" s="3">
        <v>46141</v>
      </c>
      <c r="G156" s="6">
        <v>-33</v>
      </c>
      <c r="H156" s="3">
        <v>46186</v>
      </c>
      <c r="I156" s="5">
        <v>55680</v>
      </c>
      <c r="J156" s="2" t="s">
        <v>91</v>
      </c>
      <c r="K156" s="2" t="s">
        <v>549</v>
      </c>
      <c r="L156" s="17">
        <f t="shared" si="44"/>
        <v>46186</v>
      </c>
      <c r="M156" s="18">
        <f t="shared" ca="1" si="45"/>
        <v>-33</v>
      </c>
      <c r="N156" s="17">
        <v>46186</v>
      </c>
      <c r="O156" s="17">
        <f t="shared" si="46"/>
        <v>46186</v>
      </c>
      <c r="P156" s="10">
        <f t="shared" si="47"/>
        <v>55680</v>
      </c>
      <c r="Q156" s="18">
        <f t="shared" ca="1" si="48"/>
        <v>12</v>
      </c>
      <c r="R156" t="s">
        <v>566</v>
      </c>
    </row>
    <row r="157" spans="1:18" outlineLevel="1" x14ac:dyDescent="0.3">
      <c r="A157" s="2" t="s">
        <v>517</v>
      </c>
      <c r="B157" s="2" t="s">
        <v>518</v>
      </c>
      <c r="C157" s="2" t="s">
        <v>519</v>
      </c>
      <c r="D157" s="2" t="s">
        <v>520</v>
      </c>
      <c r="E157" s="2" t="s">
        <v>143</v>
      </c>
      <c r="F157" s="3">
        <v>46142</v>
      </c>
      <c r="G157" s="4">
        <v>0</v>
      </c>
      <c r="H157" s="3">
        <v>46142</v>
      </c>
      <c r="I157" s="7">
        <v>-6675</v>
      </c>
      <c r="J157" s="2" t="s">
        <v>91</v>
      </c>
      <c r="K157" s="2" t="s">
        <v>549</v>
      </c>
      <c r="L157" s="17">
        <f t="shared" si="44"/>
        <v>46187</v>
      </c>
      <c r="M157" s="18"/>
      <c r="N157" s="17">
        <f t="shared" ref="N157:N158" si="49">H157</f>
        <v>46142</v>
      </c>
      <c r="O157" s="17">
        <f t="shared" si="46"/>
        <v>46142</v>
      </c>
      <c r="P157" s="10">
        <f t="shared" si="47"/>
        <v>-6675</v>
      </c>
      <c r="Q157" s="18">
        <f t="shared" ca="1" si="48"/>
        <v>11</v>
      </c>
      <c r="R157" t="s">
        <v>566</v>
      </c>
    </row>
    <row r="158" spans="1:18" outlineLevel="1" x14ac:dyDescent="0.3">
      <c r="A158" s="2" t="s">
        <v>521</v>
      </c>
      <c r="B158" s="2" t="s">
        <v>522</v>
      </c>
      <c r="C158" s="2" t="s">
        <v>523</v>
      </c>
      <c r="D158" s="2" t="s">
        <v>524</v>
      </c>
      <c r="E158" s="2" t="s">
        <v>143</v>
      </c>
      <c r="F158" s="3">
        <v>46142</v>
      </c>
      <c r="G158" s="4">
        <v>0</v>
      </c>
      <c r="H158" s="3">
        <v>46142</v>
      </c>
      <c r="I158" s="7">
        <v>-74009</v>
      </c>
      <c r="J158" s="2" t="s">
        <v>91</v>
      </c>
      <c r="K158" s="2" t="s">
        <v>549</v>
      </c>
      <c r="L158" s="17">
        <f t="shared" si="44"/>
        <v>46187</v>
      </c>
      <c r="M158" s="18"/>
      <c r="N158" s="17">
        <f t="shared" si="49"/>
        <v>46142</v>
      </c>
      <c r="O158" s="17">
        <f t="shared" si="46"/>
        <v>46142</v>
      </c>
      <c r="P158" s="10">
        <f t="shared" si="47"/>
        <v>-74009</v>
      </c>
      <c r="Q158" s="18">
        <f t="shared" ca="1" si="48"/>
        <v>11</v>
      </c>
      <c r="R158" t="s">
        <v>566</v>
      </c>
    </row>
    <row r="159" spans="1:18" outlineLevel="1" x14ac:dyDescent="0.3">
      <c r="A159" s="2" t="s">
        <v>525</v>
      </c>
      <c r="B159" s="2" t="s">
        <v>526</v>
      </c>
      <c r="C159" s="2" t="s">
        <v>527</v>
      </c>
      <c r="D159" s="2" t="s">
        <v>528</v>
      </c>
      <c r="E159" s="2" t="s">
        <v>125</v>
      </c>
      <c r="F159" s="3">
        <v>46136</v>
      </c>
      <c r="G159" s="6">
        <v>-28</v>
      </c>
      <c r="H159" s="3">
        <v>46181</v>
      </c>
      <c r="I159" s="5">
        <v>30250</v>
      </c>
      <c r="J159" s="2" t="s">
        <v>91</v>
      </c>
      <c r="K159" s="2" t="s">
        <v>549</v>
      </c>
      <c r="L159" s="17">
        <f t="shared" si="44"/>
        <v>46181</v>
      </c>
      <c r="M159" s="18">
        <f t="shared" ca="1" si="45"/>
        <v>-28</v>
      </c>
      <c r="N159" s="17">
        <v>46181</v>
      </c>
      <c r="O159" s="17">
        <f t="shared" si="46"/>
        <v>46181</v>
      </c>
      <c r="P159" s="10">
        <f t="shared" si="47"/>
        <v>30250</v>
      </c>
      <c r="Q159" s="18">
        <f t="shared" ca="1" si="48"/>
        <v>17</v>
      </c>
      <c r="R159" t="s">
        <v>566</v>
      </c>
    </row>
    <row r="160" spans="1:18" outlineLevel="1" x14ac:dyDescent="0.3">
      <c r="A160" s="2" t="s">
        <v>529</v>
      </c>
      <c r="B160" s="2" t="s">
        <v>530</v>
      </c>
      <c r="C160" s="2" t="s">
        <v>531</v>
      </c>
      <c r="D160" s="2" t="s">
        <v>532</v>
      </c>
      <c r="E160" s="2" t="s">
        <v>125</v>
      </c>
      <c r="F160" s="3">
        <v>46124</v>
      </c>
      <c r="G160" s="6">
        <v>-16</v>
      </c>
      <c r="H160" s="3">
        <v>46169</v>
      </c>
      <c r="I160" s="5">
        <v>94500</v>
      </c>
      <c r="J160" s="2" t="s">
        <v>91</v>
      </c>
      <c r="K160" s="2" t="s">
        <v>549</v>
      </c>
      <c r="L160" s="17">
        <f t="shared" si="44"/>
        <v>46169</v>
      </c>
      <c r="M160" s="18">
        <f t="shared" ca="1" si="45"/>
        <v>-16</v>
      </c>
      <c r="N160" s="17">
        <v>46169</v>
      </c>
      <c r="O160" s="17">
        <f t="shared" si="46"/>
        <v>46169</v>
      </c>
      <c r="P160" s="10">
        <f t="shared" si="47"/>
        <v>94500</v>
      </c>
      <c r="Q160" s="18">
        <f t="shared" ca="1" si="48"/>
        <v>29</v>
      </c>
      <c r="R160" t="s">
        <v>566</v>
      </c>
    </row>
    <row r="161" spans="1:18" outlineLevel="1" x14ac:dyDescent="0.3">
      <c r="A161" s="2" t="s">
        <v>529</v>
      </c>
      <c r="B161" s="2" t="s">
        <v>533</v>
      </c>
      <c r="C161" s="2" t="s">
        <v>534</v>
      </c>
      <c r="D161" s="2" t="s">
        <v>535</v>
      </c>
      <c r="E161" s="2" t="s">
        <v>141</v>
      </c>
      <c r="F161" s="3">
        <v>46124</v>
      </c>
      <c r="G161" s="4">
        <v>29</v>
      </c>
      <c r="H161" s="3">
        <v>46124</v>
      </c>
      <c r="I161" s="5">
        <v>5000</v>
      </c>
      <c r="J161" s="2" t="s">
        <v>91</v>
      </c>
      <c r="K161" s="2" t="s">
        <v>549</v>
      </c>
      <c r="L161" s="17">
        <f t="shared" si="44"/>
        <v>46169</v>
      </c>
      <c r="M161" s="18">
        <f t="shared" ca="1" si="45"/>
        <v>-16</v>
      </c>
      <c r="N161" s="17">
        <v>46169</v>
      </c>
      <c r="O161" s="17">
        <v>46169</v>
      </c>
      <c r="P161" s="10">
        <f t="shared" si="47"/>
        <v>5000</v>
      </c>
      <c r="Q161" s="18">
        <f t="shared" ca="1" si="48"/>
        <v>29</v>
      </c>
      <c r="R161" t="s">
        <v>566</v>
      </c>
    </row>
    <row r="162" spans="1:18" outlineLevel="1" x14ac:dyDescent="0.3">
      <c r="A162" s="2" t="s">
        <v>529</v>
      </c>
      <c r="B162" s="2" t="s">
        <v>536</v>
      </c>
      <c r="C162" s="2" t="s">
        <v>537</v>
      </c>
      <c r="D162" s="2" t="s">
        <v>538</v>
      </c>
      <c r="E162" s="2" t="s">
        <v>125</v>
      </c>
      <c r="F162" s="3">
        <v>46134</v>
      </c>
      <c r="G162" s="6">
        <v>-26</v>
      </c>
      <c r="H162" s="3">
        <v>46179</v>
      </c>
      <c r="I162" s="5">
        <v>95904</v>
      </c>
      <c r="J162" s="2" t="s">
        <v>91</v>
      </c>
      <c r="K162" s="2" t="s">
        <v>549</v>
      </c>
      <c r="L162" s="17">
        <f t="shared" si="44"/>
        <v>46179</v>
      </c>
      <c r="M162" s="18">
        <f t="shared" ca="1" si="45"/>
        <v>-26</v>
      </c>
      <c r="N162" s="17">
        <v>46179</v>
      </c>
      <c r="O162" s="17">
        <f t="shared" si="46"/>
        <v>46179</v>
      </c>
      <c r="P162" s="10">
        <f t="shared" si="47"/>
        <v>95904</v>
      </c>
      <c r="Q162" s="18">
        <f t="shared" ca="1" si="48"/>
        <v>19</v>
      </c>
      <c r="R162" t="s">
        <v>566</v>
      </c>
    </row>
  </sheetData>
  <autoFilter ref="A1:R162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540bc0-3795-4178-a98a-937ddbc665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FA7C1CAFF084DB3547918F82B4671" ma:contentTypeVersion="11" ma:contentTypeDescription="Crear nuevo documento." ma:contentTypeScope="" ma:versionID="9302d8eedc1cc530a0a6a8cd6136b76e">
  <xsd:schema xmlns:xsd="http://www.w3.org/2001/XMLSchema" xmlns:xs="http://www.w3.org/2001/XMLSchema" xmlns:p="http://schemas.microsoft.com/office/2006/metadata/properties" xmlns:ns3="78540bc0-3795-4178-a98a-937ddbc66542" targetNamespace="http://schemas.microsoft.com/office/2006/metadata/properties" ma:root="true" ma:fieldsID="6165d5c739ca8fea08668be07046fc4f" ns3:_="">
    <xsd:import namespace="78540bc0-3795-4178-a98a-937ddbc665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40bc0-3795-4178-a98a-937ddbc665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79B775-F49D-4629-ADFF-D0ED1BB95B0B}">
  <ds:schemaRefs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78540bc0-3795-4178-a98a-937ddbc6654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489EDC-0898-4D12-B331-CAF9E36676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195D5-03C2-42A2-B325-8DCC959D9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40bc0-3795-4178-a98a-937ddbc66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2026-05-11T19:53:46Z</dcterms:created>
  <dcterms:modified xsi:type="dcterms:W3CDTF">2026-05-11T20:58:55Z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0x0101009FFFA7C1CAFF084DB3547918F82B4671</vt:lpwstr>
  </property>
</Properties>
</file>