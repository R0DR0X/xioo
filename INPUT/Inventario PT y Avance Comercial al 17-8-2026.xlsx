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wnloads\"/>
    </mc:Choice>
  </mc:AlternateContent>
  <xr:revisionPtr revIDLastSave="0" documentId="13_ncr:1_{65432327-E6F4-4935-AA22-11B7655489DC}" xr6:coauthVersionLast="47" xr6:coauthVersionMax="47" xr10:uidLastSave="{00000000-0000-0000-0000-000000000000}"/>
  <bookViews>
    <workbookView xWindow="-108" yWindow="-108" windowWidth="23256" windowHeight="13896" xr2:uid="{A4D84B81-F4EB-4996-848C-24EB63EEB483}"/>
  </bookViews>
  <sheets>
    <sheet name="RESUMEN AL 17-8-2026" sheetId="3" r:id="rId1"/>
    <sheet name="TD" sheetId="2" r:id="rId2"/>
    <sheet name="Stock Libre" sheetId="1" r:id="rId3"/>
  </sheets>
  <externalReferences>
    <externalReference r:id="rId4"/>
    <externalReference r:id="rId5"/>
  </externalReferences>
  <calcPr calcId="191029" iterate="1"/>
  <pivotCaches>
    <pivotCache cacheId="19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9" i="3" l="1"/>
  <c r="V39" i="3"/>
  <c r="U39" i="3"/>
  <c r="AR17" i="3"/>
  <c r="AQ20" i="3"/>
  <c r="AP20" i="3"/>
  <c r="AO20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J7" i="3"/>
  <c r="AK7" i="3"/>
  <c r="AJ8" i="3"/>
  <c r="AK8" i="3"/>
  <c r="AJ9" i="3"/>
  <c r="AK9" i="3"/>
  <c r="AJ10" i="3"/>
  <c r="AK10" i="3"/>
  <c r="AJ11" i="3"/>
  <c r="AK11" i="3"/>
  <c r="AJ12" i="3"/>
  <c r="AK12" i="3"/>
  <c r="AJ13" i="3"/>
  <c r="AK13" i="3"/>
  <c r="AJ14" i="3"/>
  <c r="AK14" i="3"/>
  <c r="AJ15" i="3"/>
  <c r="AK15" i="3"/>
  <c r="AJ16" i="3"/>
  <c r="AK16" i="3"/>
  <c r="AJ17" i="3"/>
  <c r="AK17" i="3"/>
  <c r="AJ18" i="3"/>
  <c r="AK18" i="3"/>
  <c r="AJ19" i="3"/>
  <c r="AK19" i="3"/>
  <c r="AH19" i="3" a="1"/>
  <c r="AH19" i="3" s="1"/>
  <c r="AG19" i="3" a="1"/>
  <c r="AG19" i="3" s="1"/>
  <c r="AH18" i="3" a="1"/>
  <c r="AH18" i="3" s="1"/>
  <c r="AG18" i="3" a="1"/>
  <c r="AG18" i="3" s="1"/>
  <c r="AH17" i="3" a="1"/>
  <c r="AH17" i="3" s="1"/>
  <c r="AG17" i="3" a="1"/>
  <c r="AG17" i="3" s="1"/>
  <c r="AH16" i="3" a="1"/>
  <c r="AH16" i="3" s="1"/>
  <c r="AG16" i="3" a="1"/>
  <c r="AG16" i="3" s="1"/>
  <c r="AH15" i="3" a="1"/>
  <c r="AH15" i="3" s="1"/>
  <c r="AG15" i="3" a="1"/>
  <c r="AG15" i="3" s="1"/>
  <c r="AH14" i="3" a="1"/>
  <c r="AH14" i="3" s="1"/>
  <c r="AG14" i="3" a="1"/>
  <c r="AG14" i="3" s="1"/>
  <c r="AH13" i="3" a="1"/>
  <c r="AH13" i="3" s="1"/>
  <c r="AG13" i="3" a="1"/>
  <c r="AG13" i="3" s="1"/>
  <c r="AH12" i="3" a="1"/>
  <c r="AH12" i="3" s="1"/>
  <c r="AG12" i="3" a="1"/>
  <c r="AG12" i="3" s="1"/>
  <c r="AH11" i="3" a="1"/>
  <c r="AH11" i="3" s="1"/>
  <c r="AG11" i="3" a="1"/>
  <c r="AG11" i="3" s="1"/>
  <c r="AH10" i="3" a="1"/>
  <c r="AH10" i="3" s="1"/>
  <c r="AG10" i="3" a="1"/>
  <c r="AG10" i="3" s="1"/>
  <c r="AH9" i="3" a="1"/>
  <c r="AH9" i="3" s="1"/>
  <c r="AG9" i="3" a="1"/>
  <c r="AG9" i="3" s="1"/>
  <c r="AH8" i="3" a="1"/>
  <c r="AH8" i="3" s="1"/>
  <c r="AG8" i="3" a="1"/>
  <c r="AG8" i="3" s="1"/>
  <c r="AH7" i="3" a="1"/>
  <c r="AH7" i="3" s="1"/>
  <c r="AG7" i="3" a="1"/>
  <c r="AG7" i="3" s="1"/>
  <c r="AE19" i="3" a="1"/>
  <c r="AE19" i="3" s="1"/>
  <c r="AF19" i="3" s="1"/>
  <c r="AD19" i="3" a="1"/>
  <c r="AD19" i="3" s="1"/>
  <c r="AE18" i="3" a="1"/>
  <c r="AE18" i="3" s="1"/>
  <c r="AD18" i="3" a="1"/>
  <c r="AD18" i="3" s="1"/>
  <c r="AE17" i="3" a="1"/>
  <c r="AE17" i="3" s="1"/>
  <c r="AD17" i="3" a="1"/>
  <c r="AD17" i="3" s="1"/>
  <c r="AE16" i="3" a="1"/>
  <c r="AE16" i="3" s="1"/>
  <c r="AD16" i="3" a="1"/>
  <c r="AD16" i="3" s="1"/>
  <c r="AE15" i="3" a="1"/>
  <c r="AE15" i="3" s="1"/>
  <c r="AD15" i="3" a="1"/>
  <c r="AD15" i="3" s="1"/>
  <c r="AE14" i="3" a="1"/>
  <c r="AE14" i="3" s="1"/>
  <c r="AD14" i="3" a="1"/>
  <c r="AD14" i="3" s="1"/>
  <c r="AE13" i="3" a="1"/>
  <c r="AE13" i="3" s="1"/>
  <c r="AD13" i="3" a="1"/>
  <c r="AD13" i="3" s="1"/>
  <c r="AE12" i="3" a="1"/>
  <c r="AE12" i="3" s="1"/>
  <c r="AD12" i="3" a="1"/>
  <c r="AD12" i="3" s="1"/>
  <c r="AE11" i="3" a="1"/>
  <c r="AE11" i="3" s="1"/>
  <c r="AD11" i="3" a="1"/>
  <c r="AD11" i="3" s="1"/>
  <c r="AE10" i="3" a="1"/>
  <c r="AE10" i="3" s="1"/>
  <c r="AD10" i="3" a="1"/>
  <c r="AD10" i="3" s="1"/>
  <c r="AE9" i="3" a="1"/>
  <c r="AE9" i="3" s="1"/>
  <c r="AD9" i="3" a="1"/>
  <c r="AD9" i="3" s="1"/>
  <c r="AE8" i="3" a="1"/>
  <c r="AE8" i="3" s="1"/>
  <c r="AD8" i="3" a="1"/>
  <c r="AD8" i="3" s="1"/>
  <c r="AE7" i="3" a="1"/>
  <c r="AE7" i="3" s="1"/>
  <c r="AD7" i="3" a="1"/>
  <c r="AD7" i="3" s="1"/>
  <c r="AB19" i="3" a="1"/>
  <c r="AB19" i="3" s="1"/>
  <c r="AA19" i="3" a="1"/>
  <c r="AA19" i="3" s="1"/>
  <c r="AB18" i="3" a="1"/>
  <c r="AB18" i="3" s="1"/>
  <c r="AA18" i="3" a="1"/>
  <c r="AA18" i="3" s="1"/>
  <c r="AB17" i="3" a="1"/>
  <c r="AB17" i="3" s="1"/>
  <c r="AA17" i="3" a="1"/>
  <c r="AA17" i="3" s="1"/>
  <c r="AB16" i="3" a="1"/>
  <c r="AB16" i="3" s="1"/>
  <c r="AA16" i="3" a="1"/>
  <c r="AA16" i="3" s="1"/>
  <c r="AB15" i="3" a="1"/>
  <c r="AB15" i="3" s="1"/>
  <c r="AA15" i="3" a="1"/>
  <c r="AA15" i="3" s="1"/>
  <c r="AB14" i="3" a="1"/>
  <c r="AB14" i="3" s="1"/>
  <c r="AA14" i="3" a="1"/>
  <c r="AA14" i="3" s="1"/>
  <c r="AB13" i="3" a="1"/>
  <c r="AB13" i="3" s="1"/>
  <c r="AA13" i="3" a="1"/>
  <c r="AA13" i="3" s="1"/>
  <c r="AB12" i="3" a="1"/>
  <c r="AB12" i="3" s="1"/>
  <c r="AA12" i="3" a="1"/>
  <c r="AA12" i="3" s="1"/>
  <c r="AB11" i="3" a="1"/>
  <c r="AB11" i="3" s="1"/>
  <c r="AA11" i="3" a="1"/>
  <c r="AA11" i="3" s="1"/>
  <c r="AB10" i="3" a="1"/>
  <c r="AB10" i="3" s="1"/>
  <c r="AA10" i="3" a="1"/>
  <c r="AA10" i="3" s="1"/>
  <c r="AB9" i="3" a="1"/>
  <c r="AB9" i="3" s="1"/>
  <c r="AA9" i="3" a="1"/>
  <c r="AA9" i="3" s="1"/>
  <c r="AB8" i="3" a="1"/>
  <c r="AB8" i="3" s="1"/>
  <c r="AA8" i="3" a="1"/>
  <c r="AA8" i="3" s="1"/>
  <c r="AB7" i="3" a="1"/>
  <c r="AB7" i="3" s="1"/>
  <c r="AA7" i="3" a="1"/>
  <c r="AA7" i="3" s="1"/>
  <c r="Y7" i="3" a="1"/>
  <c r="Y7" i="3" s="1"/>
  <c r="Y8" i="3" a="1"/>
  <c r="Y8" i="3"/>
  <c r="Y9" i="3" a="1"/>
  <c r="Y9" i="3" s="1"/>
  <c r="Y10" i="3" a="1"/>
  <c r="Y10" i="3" s="1"/>
  <c r="Y11" i="3" a="1"/>
  <c r="Y11" i="3"/>
  <c r="Y12" i="3" a="1"/>
  <c r="Y12" i="3"/>
  <c r="Y13" i="3" a="1"/>
  <c r="Y13" i="3" s="1"/>
  <c r="Y14" i="3" a="1"/>
  <c r="Y14" i="3"/>
  <c r="Y15" i="3" a="1"/>
  <c r="Y15" i="3" s="1"/>
  <c r="Y16" i="3" a="1"/>
  <c r="Y16" i="3"/>
  <c r="Y17" i="3" a="1"/>
  <c r="Y17" i="3"/>
  <c r="Y18" i="3" a="1"/>
  <c r="Y18" i="3"/>
  <c r="Y19" i="3" a="1"/>
  <c r="Y19" i="3" s="1"/>
  <c r="X7" i="3" a="1"/>
  <c r="X7" i="3" s="1"/>
  <c r="X8" i="3" a="1"/>
  <c r="X8" i="3" s="1"/>
  <c r="X9" i="3" a="1"/>
  <c r="X9" i="3"/>
  <c r="X10" i="3" a="1"/>
  <c r="X10" i="3"/>
  <c r="X11" i="3" a="1"/>
  <c r="X11" i="3"/>
  <c r="X12" i="3" a="1"/>
  <c r="X12" i="3"/>
  <c r="X13" i="3" a="1"/>
  <c r="X13" i="3" s="1"/>
  <c r="X14" i="3" a="1"/>
  <c r="X14" i="3" s="1"/>
  <c r="X15" i="3" a="1"/>
  <c r="X15" i="3"/>
  <c r="X16" i="3" a="1"/>
  <c r="X16" i="3"/>
  <c r="X17" i="3" a="1"/>
  <c r="X17" i="3"/>
  <c r="X18" i="3" a="1"/>
  <c r="X18" i="3"/>
  <c r="X19" i="3" a="1"/>
  <c r="X19" i="3" s="1"/>
  <c r="D46" i="3"/>
  <c r="F7" i="3"/>
  <c r="G7" i="3"/>
  <c r="H7" i="3"/>
  <c r="I7" i="3"/>
  <c r="J7" i="3"/>
  <c r="F8" i="3"/>
  <c r="G8" i="3"/>
  <c r="G40" i="3" s="1"/>
  <c r="H8" i="3"/>
  <c r="H40" i="3" s="1"/>
  <c r="I8" i="3"/>
  <c r="I40" i="3" s="1"/>
  <c r="J8" i="3"/>
  <c r="F9" i="3"/>
  <c r="G9" i="3"/>
  <c r="H9" i="3"/>
  <c r="I9" i="3"/>
  <c r="J9" i="3"/>
  <c r="F10" i="3"/>
  <c r="M10" i="3" s="1"/>
  <c r="G10" i="3"/>
  <c r="H10" i="3"/>
  <c r="I10" i="3"/>
  <c r="J10" i="3"/>
  <c r="F11" i="3"/>
  <c r="G11" i="3"/>
  <c r="H11" i="3"/>
  <c r="I11" i="3"/>
  <c r="J11" i="3"/>
  <c r="F12" i="3"/>
  <c r="G12" i="3"/>
  <c r="H12" i="3"/>
  <c r="I12" i="3"/>
  <c r="I44" i="3" s="1"/>
  <c r="J12" i="3"/>
  <c r="J44" i="3" s="1"/>
  <c r="F13" i="3"/>
  <c r="G13" i="3"/>
  <c r="G45" i="3" s="1"/>
  <c r="H13" i="3"/>
  <c r="H45" i="3" s="1"/>
  <c r="I13" i="3"/>
  <c r="I45" i="3" s="1"/>
  <c r="J13" i="3"/>
  <c r="J45" i="3" s="1"/>
  <c r="F14" i="3"/>
  <c r="G14" i="3"/>
  <c r="H14" i="3"/>
  <c r="I14" i="3"/>
  <c r="J14" i="3"/>
  <c r="F15" i="3"/>
  <c r="G15" i="3"/>
  <c r="H15" i="3"/>
  <c r="I15" i="3"/>
  <c r="J15" i="3"/>
  <c r="F16" i="3"/>
  <c r="F48" i="3" s="1"/>
  <c r="G16" i="3"/>
  <c r="H16" i="3"/>
  <c r="H48" i="3" s="1"/>
  <c r="I16" i="3"/>
  <c r="J16" i="3"/>
  <c r="F17" i="3"/>
  <c r="G17" i="3"/>
  <c r="G49" i="3" s="1"/>
  <c r="H17" i="3"/>
  <c r="H49" i="3" s="1"/>
  <c r="I17" i="3"/>
  <c r="J17" i="3"/>
  <c r="J49" i="3" s="1"/>
  <c r="F18" i="3"/>
  <c r="G18" i="3"/>
  <c r="H18" i="3"/>
  <c r="I18" i="3"/>
  <c r="J18" i="3"/>
  <c r="F19" i="3"/>
  <c r="G19" i="3"/>
  <c r="H19" i="3"/>
  <c r="I19" i="3"/>
  <c r="J19" i="3"/>
  <c r="D7" i="3"/>
  <c r="D8" i="3"/>
  <c r="D9" i="3"/>
  <c r="D41" i="3" s="1"/>
  <c r="P41" i="3" s="1"/>
  <c r="D10" i="3"/>
  <c r="R10" i="3" s="1"/>
  <c r="D11" i="3"/>
  <c r="D12" i="3"/>
  <c r="R12" i="3" s="1"/>
  <c r="D13" i="3"/>
  <c r="D14" i="3"/>
  <c r="D15" i="3"/>
  <c r="D16" i="3"/>
  <c r="D48" i="3" s="1"/>
  <c r="P48" i="3" s="1"/>
  <c r="D17" i="3"/>
  <c r="D18" i="3"/>
  <c r="R18" i="3" s="1"/>
  <c r="D19" i="3"/>
  <c r="D47" i="3" s="1"/>
  <c r="K50" i="3"/>
  <c r="S49" i="3"/>
  <c r="S48" i="3"/>
  <c r="G48" i="3"/>
  <c r="S47" i="3"/>
  <c r="S46" i="3"/>
  <c r="S45" i="3"/>
  <c r="S44" i="3"/>
  <c r="G44" i="3"/>
  <c r="S43" i="3"/>
  <c r="S42" i="3"/>
  <c r="S41" i="3"/>
  <c r="S40" i="3"/>
  <c r="S39" i="3"/>
  <c r="L33" i="3"/>
  <c r="K31" i="3"/>
  <c r="D31" i="3"/>
  <c r="R30" i="3"/>
  <c r="G30" i="3"/>
  <c r="R29" i="3"/>
  <c r="G29" i="3"/>
  <c r="R28" i="3"/>
  <c r="G28" i="3"/>
  <c r="R27" i="3"/>
  <c r="G27" i="3"/>
  <c r="G31" i="3" s="1"/>
  <c r="R26" i="3"/>
  <c r="G26" i="3"/>
  <c r="R25" i="3"/>
  <c r="G25" i="3"/>
  <c r="R22" i="3"/>
  <c r="K20" i="3"/>
  <c r="K33" i="3" s="1"/>
  <c r="I49" i="3"/>
  <c r="J48" i="3"/>
  <c r="H44" i="3"/>
  <c r="G42" i="3"/>
  <c r="R9" i="3"/>
  <c r="J40" i="3"/>
  <c r="G39" i="3"/>
  <c r="B14" i="2"/>
  <c r="B13" i="2"/>
  <c r="B12" i="2"/>
  <c r="B11" i="2"/>
  <c r="B10" i="2"/>
  <c r="B9" i="2"/>
  <c r="B8" i="2"/>
  <c r="B7" i="2"/>
  <c r="B6" i="2"/>
  <c r="B5" i="2"/>
  <c r="B4" i="2"/>
  <c r="L42" i="1"/>
  <c r="N42" i="1" s="1"/>
  <c r="J57" i="1"/>
  <c r="H58" i="1" s="1"/>
  <c r="H59" i="1" s="1"/>
  <c r="J32" i="1" s="1"/>
  <c r="H32" i="1" s="1"/>
  <c r="I57" i="1"/>
  <c r="I58" i="1" s="1"/>
  <c r="S52" i="1"/>
  <c r="R52" i="1"/>
  <c r="N51" i="1"/>
  <c r="L51" i="1"/>
  <c r="K51" i="1"/>
  <c r="I51" i="1"/>
  <c r="N50" i="1"/>
  <c r="L50" i="1"/>
  <c r="K50" i="1"/>
  <c r="I50" i="1"/>
  <c r="L49" i="1"/>
  <c r="N49" i="1" s="1"/>
  <c r="K49" i="1"/>
  <c r="L48" i="1"/>
  <c r="N48" i="1" s="1"/>
  <c r="K48" i="1"/>
  <c r="N47" i="1"/>
  <c r="L47" i="1"/>
  <c r="M47" i="1" s="1"/>
  <c r="K47" i="1"/>
  <c r="J47" i="1"/>
  <c r="H47" i="1" s="1"/>
  <c r="L46" i="1"/>
  <c r="N46" i="1" s="1"/>
  <c r="K46" i="1"/>
  <c r="L45" i="1"/>
  <c r="N45" i="1" s="1"/>
  <c r="K45" i="1"/>
  <c r="J45" i="1"/>
  <c r="H45" i="1" s="1"/>
  <c r="L44" i="1"/>
  <c r="N44" i="1" s="1"/>
  <c r="K44" i="1"/>
  <c r="L43" i="1"/>
  <c r="N43" i="1" s="1"/>
  <c r="K43" i="1"/>
  <c r="J43" i="1"/>
  <c r="H43" i="1" s="1"/>
  <c r="M43" i="1" s="1"/>
  <c r="K42" i="1"/>
  <c r="N41" i="1"/>
  <c r="L41" i="1"/>
  <c r="K41" i="1"/>
  <c r="L40" i="1"/>
  <c r="N40" i="1" s="1"/>
  <c r="K40" i="1"/>
  <c r="N39" i="1"/>
  <c r="L39" i="1"/>
  <c r="K39" i="1"/>
  <c r="N38" i="1"/>
  <c r="L38" i="1"/>
  <c r="K38" i="1"/>
  <c r="N37" i="1"/>
  <c r="L37" i="1"/>
  <c r="K37" i="1"/>
  <c r="L36" i="1"/>
  <c r="N36" i="1" s="1"/>
  <c r="K36" i="1"/>
  <c r="N35" i="1"/>
  <c r="L35" i="1"/>
  <c r="K35" i="1"/>
  <c r="L34" i="1"/>
  <c r="N34" i="1" s="1"/>
  <c r="K34" i="1"/>
  <c r="J34" i="1"/>
  <c r="H34" i="1" s="1"/>
  <c r="M34" i="1" s="1"/>
  <c r="L33" i="1"/>
  <c r="N33" i="1" s="1"/>
  <c r="K33" i="1"/>
  <c r="L32" i="1"/>
  <c r="N32" i="1" s="1"/>
  <c r="K32" i="1"/>
  <c r="L31" i="1"/>
  <c r="N31" i="1" s="1"/>
  <c r="K31" i="1"/>
  <c r="J31" i="1"/>
  <c r="H31" i="1"/>
  <c r="M31" i="1" s="1"/>
  <c r="L30" i="1"/>
  <c r="N30" i="1" s="1"/>
  <c r="K30" i="1"/>
  <c r="N29" i="1"/>
  <c r="L29" i="1"/>
  <c r="K29" i="1"/>
  <c r="J29" i="1"/>
  <c r="H29" i="1" s="1"/>
  <c r="M29" i="1" s="1"/>
  <c r="L28" i="1"/>
  <c r="N28" i="1" s="1"/>
  <c r="K28" i="1"/>
  <c r="J28" i="1"/>
  <c r="H28" i="1"/>
  <c r="M28" i="1" s="1"/>
  <c r="N27" i="1"/>
  <c r="L27" i="1"/>
  <c r="K27" i="1"/>
  <c r="N26" i="1"/>
  <c r="L26" i="1"/>
  <c r="K26" i="1"/>
  <c r="L25" i="1"/>
  <c r="N25" i="1" s="1"/>
  <c r="K25" i="1"/>
  <c r="L24" i="1"/>
  <c r="N24" i="1" s="1"/>
  <c r="K24" i="1"/>
  <c r="N23" i="1"/>
  <c r="L23" i="1"/>
  <c r="K23" i="1"/>
  <c r="L22" i="1"/>
  <c r="N22" i="1" s="1"/>
  <c r="K22" i="1"/>
  <c r="J22" i="1"/>
  <c r="H22" i="1" s="1"/>
  <c r="M22" i="1" s="1"/>
  <c r="L21" i="1"/>
  <c r="N21" i="1" s="1"/>
  <c r="K21" i="1"/>
  <c r="J21" i="1"/>
  <c r="H21" i="1"/>
  <c r="M21" i="1" s="1"/>
  <c r="L20" i="1"/>
  <c r="N20" i="1" s="1"/>
  <c r="K20" i="1"/>
  <c r="L19" i="1"/>
  <c r="N19" i="1" s="1"/>
  <c r="K19" i="1"/>
  <c r="J19" i="1"/>
  <c r="H19" i="1"/>
  <c r="M19" i="1" s="1"/>
  <c r="L18" i="1"/>
  <c r="N18" i="1" s="1"/>
  <c r="K18" i="1"/>
  <c r="N17" i="1"/>
  <c r="L17" i="1"/>
  <c r="K17" i="1"/>
  <c r="J17" i="1"/>
  <c r="H17" i="1" s="1"/>
  <c r="M17" i="1" s="1"/>
  <c r="L16" i="1"/>
  <c r="N16" i="1" s="1"/>
  <c r="K16" i="1"/>
  <c r="J16" i="1"/>
  <c r="H16" i="1"/>
  <c r="M16" i="1" s="1"/>
  <c r="N15" i="1"/>
  <c r="L15" i="1"/>
  <c r="K15" i="1"/>
  <c r="N14" i="1"/>
  <c r="L14" i="1"/>
  <c r="K14" i="1"/>
  <c r="N13" i="1"/>
  <c r="L13" i="1"/>
  <c r="K13" i="1"/>
  <c r="L12" i="1"/>
  <c r="N12" i="1" s="1"/>
  <c r="K12" i="1"/>
  <c r="L11" i="1"/>
  <c r="N11" i="1" s="1"/>
  <c r="K11" i="1"/>
  <c r="N10" i="1"/>
  <c r="L10" i="1"/>
  <c r="K10" i="1"/>
  <c r="J10" i="1"/>
  <c r="H10" i="1" s="1"/>
  <c r="M10" i="1" s="1"/>
  <c r="L9" i="1"/>
  <c r="N9" i="1" s="1"/>
  <c r="K9" i="1"/>
  <c r="J9" i="1"/>
  <c r="H9" i="1"/>
  <c r="M9" i="1" s="1"/>
  <c r="L8" i="1"/>
  <c r="N8" i="1" s="1"/>
  <c r="K8" i="1"/>
  <c r="L7" i="1"/>
  <c r="N7" i="1" s="1"/>
  <c r="K7" i="1"/>
  <c r="J7" i="1"/>
  <c r="H7" i="1"/>
  <c r="M7" i="1" s="1"/>
  <c r="L6" i="1"/>
  <c r="N6" i="1" s="1"/>
  <c r="K6" i="1"/>
  <c r="N5" i="1"/>
  <c r="L5" i="1"/>
  <c r="K5" i="1"/>
  <c r="L4" i="1"/>
  <c r="N4" i="1" s="1"/>
  <c r="K4" i="1"/>
  <c r="J4" i="1"/>
  <c r="H4" i="1"/>
  <c r="M4" i="1" s="1"/>
  <c r="N3" i="1"/>
  <c r="L3" i="1"/>
  <c r="K3" i="1"/>
  <c r="N2" i="1"/>
  <c r="L2" i="1"/>
  <c r="K2" i="1"/>
  <c r="AF13" i="3" l="1"/>
  <c r="AC16" i="3"/>
  <c r="D42" i="3"/>
  <c r="P42" i="3" s="1"/>
  <c r="AF9" i="3"/>
  <c r="AD20" i="3"/>
  <c r="AF10" i="3"/>
  <c r="D44" i="3"/>
  <c r="P44" i="3" s="1"/>
  <c r="E10" i="3"/>
  <c r="E30" i="3" s="1"/>
  <c r="F30" i="3" s="1"/>
  <c r="F42" i="3" s="1"/>
  <c r="P47" i="3"/>
  <c r="G47" i="3"/>
  <c r="E8" i="3"/>
  <c r="AF16" i="3"/>
  <c r="R19" i="3"/>
  <c r="AC7" i="3"/>
  <c r="AF15" i="3"/>
  <c r="AF7" i="3"/>
  <c r="E14" i="3"/>
  <c r="E28" i="3" s="1"/>
  <c r="F28" i="3" s="1"/>
  <c r="F46" i="3" s="1"/>
  <c r="M19" i="3"/>
  <c r="N19" i="3" s="1"/>
  <c r="M7" i="3"/>
  <c r="AC10" i="3"/>
  <c r="G41" i="3"/>
  <c r="AI17" i="3"/>
  <c r="AI12" i="3"/>
  <c r="AI15" i="3"/>
  <c r="AI18" i="3"/>
  <c r="AI9" i="3"/>
  <c r="AI11" i="3"/>
  <c r="AI14" i="3"/>
  <c r="AF11" i="3"/>
  <c r="AF18" i="3"/>
  <c r="AF17" i="3"/>
  <c r="AF12" i="3"/>
  <c r="AC19" i="3"/>
  <c r="AC13" i="3"/>
  <c r="AC17" i="3"/>
  <c r="AC8" i="3"/>
  <c r="AN9" i="3"/>
  <c r="AZ9" i="3" s="1"/>
  <c r="M16" i="3"/>
  <c r="E19" i="3"/>
  <c r="E7" i="3"/>
  <c r="E25" i="3" s="1"/>
  <c r="F25" i="3" s="1"/>
  <c r="G46" i="3"/>
  <c r="N16" i="3"/>
  <c r="Z10" i="3"/>
  <c r="AG20" i="3"/>
  <c r="AC9" i="3"/>
  <c r="U10" i="3"/>
  <c r="V10" i="3" s="1"/>
  <c r="N10" i="3"/>
  <c r="Z7" i="3"/>
  <c r="AI7" i="3"/>
  <c r="AH20" i="3"/>
  <c r="J20" i="3"/>
  <c r="R11" i="3"/>
  <c r="D43" i="3"/>
  <c r="E11" i="3"/>
  <c r="E27" i="3" s="1"/>
  <c r="F27" i="3" s="1"/>
  <c r="R13" i="3"/>
  <c r="D45" i="3"/>
  <c r="P45" i="3" s="1"/>
  <c r="E13" i="3"/>
  <c r="AA20" i="3"/>
  <c r="AF8" i="3"/>
  <c r="O9" i="3"/>
  <c r="P9" i="3" s="1"/>
  <c r="O7" i="3"/>
  <c r="F40" i="3"/>
  <c r="M8" i="3"/>
  <c r="N8" i="3" s="1"/>
  <c r="O8" i="3"/>
  <c r="P8" i="3" s="1"/>
  <c r="F20" i="3"/>
  <c r="R17" i="3"/>
  <c r="E17" i="3"/>
  <c r="D49" i="3"/>
  <c r="AN10" i="3"/>
  <c r="AZ10" i="3" s="1"/>
  <c r="M14" i="3"/>
  <c r="N14" i="3" s="1"/>
  <c r="O14" i="3"/>
  <c r="P14" i="3" s="1"/>
  <c r="AF14" i="3"/>
  <c r="M18" i="3"/>
  <c r="E18" i="3"/>
  <c r="O18" i="3"/>
  <c r="P18" i="3" s="1"/>
  <c r="N7" i="3"/>
  <c r="AI8" i="3"/>
  <c r="M9" i="3"/>
  <c r="N9" i="3" s="1"/>
  <c r="D20" i="3"/>
  <c r="D33" i="3" s="1"/>
  <c r="D40" i="3"/>
  <c r="R8" i="3"/>
  <c r="Z8" i="3"/>
  <c r="AE20" i="3"/>
  <c r="O10" i="3"/>
  <c r="P10" i="3" s="1"/>
  <c r="G43" i="3"/>
  <c r="O11" i="3"/>
  <c r="P11" i="3" s="1"/>
  <c r="H20" i="3"/>
  <c r="I20" i="3"/>
  <c r="AC14" i="3"/>
  <c r="F45" i="3"/>
  <c r="O13" i="3"/>
  <c r="P13" i="3" s="1"/>
  <c r="M13" i="3"/>
  <c r="N13" i="3" s="1"/>
  <c r="M15" i="3"/>
  <c r="N15" i="3" s="1"/>
  <c r="E15" i="3"/>
  <c r="E29" i="3" s="1"/>
  <c r="F29" i="3" s="1"/>
  <c r="F47" i="3" s="1"/>
  <c r="O15" i="3"/>
  <c r="P15" i="3" s="1"/>
  <c r="AI16" i="3"/>
  <c r="O17" i="3"/>
  <c r="P17" i="3" s="1"/>
  <c r="M17" i="3"/>
  <c r="N17" i="3" s="1"/>
  <c r="F49" i="3"/>
  <c r="AB20" i="3"/>
  <c r="F43" i="3"/>
  <c r="M11" i="3"/>
  <c r="N11" i="3" s="1"/>
  <c r="T44" i="3"/>
  <c r="E48" i="3"/>
  <c r="R7" i="3"/>
  <c r="D39" i="3"/>
  <c r="E9" i="3"/>
  <c r="E26" i="3" s="1"/>
  <c r="F26" i="3" s="1"/>
  <c r="AC11" i="3"/>
  <c r="U19" i="3"/>
  <c r="V19" i="3" s="1"/>
  <c r="S19" i="3"/>
  <c r="T19" i="3" s="1"/>
  <c r="G20" i="3"/>
  <c r="G33" i="3" s="1"/>
  <c r="M12" i="3"/>
  <c r="N12" i="3" s="1"/>
  <c r="E12" i="3"/>
  <c r="O12" i="3"/>
  <c r="P12" i="3" s="1"/>
  <c r="F44" i="3"/>
  <c r="R15" i="3"/>
  <c r="R31" i="3"/>
  <c r="Q31" i="3" s="1"/>
  <c r="T42" i="3"/>
  <c r="T47" i="3"/>
  <c r="F39" i="3"/>
  <c r="G50" i="3"/>
  <c r="S10" i="3"/>
  <c r="T10" i="3" s="1"/>
  <c r="R14" i="3"/>
  <c r="AI19" i="3"/>
  <c r="AI10" i="3"/>
  <c r="I48" i="3"/>
  <c r="M48" i="3" s="1"/>
  <c r="AI13" i="3"/>
  <c r="T41" i="3"/>
  <c r="AC18" i="3"/>
  <c r="AC12" i="3"/>
  <c r="AC15" i="3"/>
  <c r="T48" i="3"/>
  <c r="O16" i="3"/>
  <c r="P16" i="3" s="1"/>
  <c r="O19" i="3"/>
  <c r="P19" i="3" s="1"/>
  <c r="R16" i="3"/>
  <c r="E16" i="3"/>
  <c r="M45" i="1"/>
  <c r="M32" i="1"/>
  <c r="J42" i="1"/>
  <c r="H42" i="1" s="1"/>
  <c r="M42" i="1" s="1"/>
  <c r="J46" i="1"/>
  <c r="H46" i="1" s="1"/>
  <c r="M46" i="1" s="1"/>
  <c r="L52" i="1"/>
  <c r="J35" i="1"/>
  <c r="H35" i="1" s="1"/>
  <c r="M35" i="1" s="1"/>
  <c r="J41" i="1"/>
  <c r="H41" i="1" s="1"/>
  <c r="M41" i="1" s="1"/>
  <c r="N52" i="1"/>
  <c r="J8" i="1"/>
  <c r="H8" i="1" s="1"/>
  <c r="M8" i="1" s="1"/>
  <c r="K52" i="1"/>
  <c r="J11" i="1"/>
  <c r="H11" i="1" s="1"/>
  <c r="J33" i="1"/>
  <c r="H33" i="1" s="1"/>
  <c r="M33" i="1" s="1"/>
  <c r="J44" i="1"/>
  <c r="H44" i="1" s="1"/>
  <c r="M44" i="1" s="1"/>
  <c r="J6" i="1"/>
  <c r="H6" i="1" s="1"/>
  <c r="M6" i="1" s="1"/>
  <c r="J23" i="1"/>
  <c r="H23" i="1" s="1"/>
  <c r="M23" i="1" s="1"/>
  <c r="J18" i="1"/>
  <c r="H18" i="1" s="1"/>
  <c r="M18" i="1" s="1"/>
  <c r="J30" i="1"/>
  <c r="H30" i="1" s="1"/>
  <c r="M30" i="1" s="1"/>
  <c r="J5" i="1"/>
  <c r="H5" i="1" s="1"/>
  <c r="M5" i="1" s="1"/>
  <c r="J20" i="1"/>
  <c r="H20" i="1" s="1"/>
  <c r="M20" i="1" s="1"/>
  <c r="J48" i="1"/>
  <c r="H48" i="1" s="1"/>
  <c r="M48" i="1" s="1"/>
  <c r="J36" i="1"/>
  <c r="H36" i="1" s="1"/>
  <c r="M36" i="1" s="1"/>
  <c r="J24" i="1"/>
  <c r="H24" i="1" s="1"/>
  <c r="M24" i="1" s="1"/>
  <c r="J12" i="1"/>
  <c r="H12" i="1" s="1"/>
  <c r="M12" i="1" s="1"/>
  <c r="J51" i="1"/>
  <c r="J50" i="1"/>
  <c r="J49" i="1"/>
  <c r="H49" i="1" s="1"/>
  <c r="M49" i="1" s="1"/>
  <c r="J37" i="1"/>
  <c r="H37" i="1" s="1"/>
  <c r="M37" i="1" s="1"/>
  <c r="J25" i="1"/>
  <c r="H25" i="1" s="1"/>
  <c r="M25" i="1" s="1"/>
  <c r="J13" i="1"/>
  <c r="H13" i="1" s="1"/>
  <c r="M13" i="1" s="1"/>
  <c r="J40" i="1"/>
  <c r="H40" i="1" s="1"/>
  <c r="M40" i="1" s="1"/>
  <c r="J38" i="1"/>
  <c r="H38" i="1" s="1"/>
  <c r="M38" i="1" s="1"/>
  <c r="J26" i="1"/>
  <c r="H26" i="1" s="1"/>
  <c r="M26" i="1" s="1"/>
  <c r="J14" i="1"/>
  <c r="H14" i="1" s="1"/>
  <c r="M14" i="1" s="1"/>
  <c r="J2" i="1"/>
  <c r="H2" i="1" s="1"/>
  <c r="J39" i="1"/>
  <c r="H39" i="1" s="1"/>
  <c r="M39" i="1" s="1"/>
  <c r="J27" i="1"/>
  <c r="H27" i="1" s="1"/>
  <c r="M27" i="1" s="1"/>
  <c r="J15" i="1"/>
  <c r="H15" i="1" s="1"/>
  <c r="M15" i="1" s="1"/>
  <c r="J3" i="1"/>
  <c r="H3" i="1" s="1"/>
  <c r="M3" i="1" s="1"/>
  <c r="AF20" i="3" l="1"/>
  <c r="Z9" i="3"/>
  <c r="AI20" i="3"/>
  <c r="AY9" i="3"/>
  <c r="AC20" i="3"/>
  <c r="T45" i="3"/>
  <c r="N48" i="3"/>
  <c r="Q48" i="3"/>
  <c r="P49" i="3"/>
  <c r="T49" i="3"/>
  <c r="Q45" i="3"/>
  <c r="E42" i="3"/>
  <c r="J29" i="3"/>
  <c r="J47" i="3" s="1"/>
  <c r="J25" i="3"/>
  <c r="J28" i="3"/>
  <c r="J46" i="3" s="1"/>
  <c r="J26" i="3"/>
  <c r="J41" i="3" s="1"/>
  <c r="J30" i="3"/>
  <c r="J42" i="3" s="1"/>
  <c r="J27" i="3"/>
  <c r="J43" i="3" s="1"/>
  <c r="U9" i="3"/>
  <c r="V9" i="3" s="1"/>
  <c r="AY8" i="3"/>
  <c r="AN8" i="3"/>
  <c r="AZ8" i="3" s="1"/>
  <c r="P46" i="3"/>
  <c r="T46" i="3"/>
  <c r="E47" i="3"/>
  <c r="F31" i="3"/>
  <c r="E31" i="3" s="1"/>
  <c r="F41" i="3"/>
  <c r="F50" i="3" s="1"/>
  <c r="P39" i="3"/>
  <c r="D50" i="3"/>
  <c r="AR8" i="3"/>
  <c r="BD8" i="3" s="1"/>
  <c r="AL8" i="3"/>
  <c r="AX8" i="3" s="1"/>
  <c r="M20" i="3"/>
  <c r="U13" i="3"/>
  <c r="V13" i="3" s="1"/>
  <c r="S13" i="3"/>
  <c r="T13" i="3" s="1"/>
  <c r="O20" i="3"/>
  <c r="P7" i="3"/>
  <c r="S14" i="3"/>
  <c r="T14" i="3" s="1"/>
  <c r="U14" i="3"/>
  <c r="V14" i="3" s="1"/>
  <c r="U17" i="3"/>
  <c r="V17" i="3" s="1"/>
  <c r="S17" i="3"/>
  <c r="T17" i="3" s="1"/>
  <c r="M49" i="3"/>
  <c r="N49" i="3" s="1"/>
  <c r="E49" i="3"/>
  <c r="E20" i="3"/>
  <c r="AN12" i="3"/>
  <c r="AZ12" i="3" s="1"/>
  <c r="AY12" i="3"/>
  <c r="U16" i="3"/>
  <c r="V16" i="3" s="1"/>
  <c r="S16" i="3"/>
  <c r="T16" i="3" s="1"/>
  <c r="M44" i="3"/>
  <c r="E44" i="3"/>
  <c r="H30" i="3"/>
  <c r="H29" i="3"/>
  <c r="H47" i="3" s="1"/>
  <c r="M47" i="3" s="1"/>
  <c r="U47" i="3" s="1"/>
  <c r="H25" i="3"/>
  <c r="H28" i="3"/>
  <c r="H26" i="3"/>
  <c r="H41" i="3" s="1"/>
  <c r="H27" i="3"/>
  <c r="H43" i="3" s="1"/>
  <c r="M43" i="3" s="1"/>
  <c r="N43" i="3" s="1"/>
  <c r="E46" i="3"/>
  <c r="U48" i="3"/>
  <c r="R20" i="3"/>
  <c r="U7" i="3"/>
  <c r="S7" i="3"/>
  <c r="S12" i="3"/>
  <c r="T12" i="3" s="1"/>
  <c r="S8" i="3"/>
  <c r="T8" i="3" s="1"/>
  <c r="U8" i="3"/>
  <c r="V8" i="3" s="1"/>
  <c r="U12" i="3"/>
  <c r="V12" i="3" s="1"/>
  <c r="P40" i="3"/>
  <c r="T40" i="3"/>
  <c r="U40" i="3" s="1"/>
  <c r="T43" i="3"/>
  <c r="P43" i="3"/>
  <c r="AR10" i="3"/>
  <c r="BD10" i="3" s="1"/>
  <c r="AL10" i="3"/>
  <c r="AX10" i="3" s="1"/>
  <c r="I29" i="3"/>
  <c r="I47" i="3" s="1"/>
  <c r="I25" i="3"/>
  <c r="I26" i="3"/>
  <c r="I41" i="3" s="1"/>
  <c r="I30" i="3"/>
  <c r="I42" i="3" s="1"/>
  <c r="I27" i="3"/>
  <c r="I43" i="3" s="1"/>
  <c r="I28" i="3"/>
  <c r="I46" i="3" s="1"/>
  <c r="E43" i="3"/>
  <c r="T39" i="3"/>
  <c r="S11" i="3"/>
  <c r="T11" i="3" s="1"/>
  <c r="U11" i="3"/>
  <c r="V11" i="3" s="1"/>
  <c r="AL7" i="3"/>
  <c r="AX7" i="3" s="1"/>
  <c r="AK20" i="3"/>
  <c r="AR7" i="3"/>
  <c r="U15" i="3"/>
  <c r="V15" i="3" s="1"/>
  <c r="S15" i="3"/>
  <c r="T15" i="3" s="1"/>
  <c r="N18" i="3"/>
  <c r="U18" i="3"/>
  <c r="V18" i="3" s="1"/>
  <c r="S18" i="3"/>
  <c r="T18" i="3" s="1"/>
  <c r="S9" i="3"/>
  <c r="T9" i="3" s="1"/>
  <c r="AR9" i="3"/>
  <c r="BD9" i="3" s="1"/>
  <c r="AL9" i="3"/>
  <c r="AX9" i="3" s="1"/>
  <c r="AY7" i="3"/>
  <c r="AN7" i="3"/>
  <c r="AJ20" i="3"/>
  <c r="E39" i="3"/>
  <c r="E45" i="3"/>
  <c r="M45" i="3"/>
  <c r="N45" i="3" s="1"/>
  <c r="AY10" i="3"/>
  <c r="E40" i="3"/>
  <c r="M40" i="3"/>
  <c r="N40" i="3" s="1"/>
  <c r="Q43" i="1"/>
  <c r="P42" i="1"/>
  <c r="O41" i="1"/>
  <c r="Q31" i="1"/>
  <c r="P30" i="1"/>
  <c r="O29" i="1"/>
  <c r="T29" i="1" s="1"/>
  <c r="U29" i="1" s="1"/>
  <c r="Q19" i="1"/>
  <c r="P18" i="1"/>
  <c r="O17" i="1"/>
  <c r="Q7" i="1"/>
  <c r="P6" i="1"/>
  <c r="O5" i="1"/>
  <c r="T5" i="1" s="1"/>
  <c r="U5" i="1" s="1"/>
  <c r="Q44" i="1"/>
  <c r="P43" i="1"/>
  <c r="O42" i="1"/>
  <c r="T42" i="1" s="1"/>
  <c r="U42" i="1" s="1"/>
  <c r="Q32" i="1"/>
  <c r="P31" i="1"/>
  <c r="O30" i="1"/>
  <c r="T30" i="1" s="1"/>
  <c r="U30" i="1" s="1"/>
  <c r="Q20" i="1"/>
  <c r="P19" i="1"/>
  <c r="O18" i="1"/>
  <c r="T18" i="1" s="1"/>
  <c r="U18" i="1" s="1"/>
  <c r="Q8" i="1"/>
  <c r="P7" i="1"/>
  <c r="O6" i="1"/>
  <c r="T6" i="1" s="1"/>
  <c r="U6" i="1" s="1"/>
  <c r="Q47" i="1"/>
  <c r="P46" i="1"/>
  <c r="O45" i="1"/>
  <c r="Q45" i="1"/>
  <c r="P44" i="1"/>
  <c r="O43" i="1"/>
  <c r="T43" i="1" s="1"/>
  <c r="U43" i="1" s="1"/>
  <c r="Q33" i="1"/>
  <c r="P32" i="1"/>
  <c r="O31" i="1"/>
  <c r="Q21" i="1"/>
  <c r="P20" i="1"/>
  <c r="O19" i="1"/>
  <c r="T19" i="1" s="1"/>
  <c r="U19" i="1" s="1"/>
  <c r="Q9" i="1"/>
  <c r="P8" i="1"/>
  <c r="O7" i="1"/>
  <c r="Q35" i="1"/>
  <c r="Q46" i="1"/>
  <c r="P45" i="1"/>
  <c r="O44" i="1"/>
  <c r="Q34" i="1"/>
  <c r="P33" i="1"/>
  <c r="O32" i="1"/>
  <c r="T32" i="1" s="1"/>
  <c r="U32" i="1" s="1"/>
  <c r="Q22" i="1"/>
  <c r="P21" i="1"/>
  <c r="O20" i="1"/>
  <c r="Q10" i="1"/>
  <c r="P9" i="1"/>
  <c r="O8" i="1"/>
  <c r="O51" i="1"/>
  <c r="P48" i="1"/>
  <c r="O48" i="1"/>
  <c r="O46" i="1"/>
  <c r="P38" i="1"/>
  <c r="O33" i="1"/>
  <c r="T33" i="1" s="1"/>
  <c r="U33" i="1" s="1"/>
  <c r="Q27" i="1"/>
  <c r="O38" i="1"/>
  <c r="T38" i="1" s="1"/>
  <c r="U38" i="1" s="1"/>
  <c r="P27" i="1"/>
  <c r="O21" i="1"/>
  <c r="Q15" i="1"/>
  <c r="Q6" i="1"/>
  <c r="O2" i="1"/>
  <c r="O27" i="1"/>
  <c r="T27" i="1" s="1"/>
  <c r="U27" i="1" s="1"/>
  <c r="Q24" i="1"/>
  <c r="P15" i="1"/>
  <c r="T15" i="1" s="1"/>
  <c r="U15" i="1" s="1"/>
  <c r="O9" i="1"/>
  <c r="Q3" i="1"/>
  <c r="Q39" i="1"/>
  <c r="P36" i="1"/>
  <c r="Q28" i="1"/>
  <c r="P24" i="1"/>
  <c r="O15" i="1"/>
  <c r="Q12" i="1"/>
  <c r="P3" i="1"/>
  <c r="P39" i="1"/>
  <c r="T39" i="1" s="1"/>
  <c r="U39" i="1" s="1"/>
  <c r="O36" i="1"/>
  <c r="Q16" i="1"/>
  <c r="P12" i="1"/>
  <c r="O3" i="1"/>
  <c r="O49" i="1"/>
  <c r="T49" i="1" s="1"/>
  <c r="U49" i="1" s="1"/>
  <c r="P47" i="1"/>
  <c r="O28" i="1"/>
  <c r="Q4" i="1"/>
  <c r="Q50" i="1"/>
  <c r="O47" i="1"/>
  <c r="Q25" i="1"/>
  <c r="P10" i="1"/>
  <c r="Q36" i="1"/>
  <c r="Q49" i="1"/>
  <c r="Q42" i="1"/>
  <c r="P49" i="1"/>
  <c r="P34" i="1"/>
  <c r="P28" i="1"/>
  <c r="O24" i="1"/>
  <c r="O39" i="1"/>
  <c r="O34" i="1"/>
  <c r="P22" i="1"/>
  <c r="P16" i="1"/>
  <c r="O12" i="1"/>
  <c r="Q29" i="1"/>
  <c r="O22" i="1"/>
  <c r="O16" i="1"/>
  <c r="P50" i="1"/>
  <c r="P26" i="1"/>
  <c r="P5" i="1"/>
  <c r="O26" i="1"/>
  <c r="Q23" i="1"/>
  <c r="Q14" i="1"/>
  <c r="Q38" i="1"/>
  <c r="Q30" i="1"/>
  <c r="Q11" i="1"/>
  <c r="Q2" i="1"/>
  <c r="Q40" i="1"/>
  <c r="O25" i="1"/>
  <c r="P11" i="1"/>
  <c r="P2" i="1"/>
  <c r="P51" i="1"/>
  <c r="P40" i="1"/>
  <c r="P29" i="1"/>
  <c r="Q17" i="1"/>
  <c r="Q13" i="1"/>
  <c r="O11" i="1"/>
  <c r="O13" i="1"/>
  <c r="T13" i="1" s="1"/>
  <c r="U13" i="1" s="1"/>
  <c r="Q48" i="1"/>
  <c r="O37" i="1"/>
  <c r="O10" i="1"/>
  <c r="Q26" i="1"/>
  <c r="Q5" i="1"/>
  <c r="O50" i="1"/>
  <c r="Q41" i="1"/>
  <c r="P41" i="1"/>
  <c r="P23" i="1"/>
  <c r="P14" i="1"/>
  <c r="O23" i="1"/>
  <c r="T23" i="1" s="1"/>
  <c r="U23" i="1" s="1"/>
  <c r="O14" i="1"/>
  <c r="T14" i="1" s="1"/>
  <c r="U14" i="1" s="1"/>
  <c r="Q18" i="1"/>
  <c r="P4" i="1"/>
  <c r="P35" i="1"/>
  <c r="P25" i="1"/>
  <c r="T25" i="1" s="1"/>
  <c r="U25" i="1" s="1"/>
  <c r="O4" i="1"/>
  <c r="T4" i="1" s="1"/>
  <c r="U4" i="1" s="1"/>
  <c r="Q51" i="1"/>
  <c r="O35" i="1"/>
  <c r="O40" i="1"/>
  <c r="T40" i="1" s="1"/>
  <c r="U40" i="1" s="1"/>
  <c r="Q37" i="1"/>
  <c r="P17" i="1"/>
  <c r="P13" i="1"/>
  <c r="P37" i="1"/>
  <c r="H50" i="1"/>
  <c r="M50" i="1" s="1"/>
  <c r="M11" i="1"/>
  <c r="T8" i="1"/>
  <c r="U8" i="1" s="1"/>
  <c r="T41" i="1"/>
  <c r="U41" i="1" s="1"/>
  <c r="H51" i="1"/>
  <c r="M51" i="1" s="1"/>
  <c r="M2" i="1"/>
  <c r="Z12" i="3" l="1"/>
  <c r="Z14" i="3"/>
  <c r="AO14" i="3"/>
  <c r="Z11" i="3"/>
  <c r="AP11" i="3"/>
  <c r="BB11" i="3" s="1"/>
  <c r="Q40" i="3"/>
  <c r="E50" i="3"/>
  <c r="S53" i="3"/>
  <c r="I31" i="3"/>
  <c r="I33" i="3" s="1"/>
  <c r="I39" i="3"/>
  <c r="I50" i="3" s="1"/>
  <c r="Q49" i="3"/>
  <c r="S20" i="3"/>
  <c r="T7" i="3"/>
  <c r="H46" i="3"/>
  <c r="M46" i="3" s="1"/>
  <c r="N46" i="3" s="1"/>
  <c r="M28" i="3"/>
  <c r="O28" i="3"/>
  <c r="P28" i="3" s="1"/>
  <c r="U45" i="3"/>
  <c r="V45" i="3" s="1"/>
  <c r="O29" i="3"/>
  <c r="P29" i="3" s="1"/>
  <c r="V7" i="3"/>
  <c r="U20" i="3"/>
  <c r="H31" i="3"/>
  <c r="H33" i="3" s="1"/>
  <c r="O25" i="3"/>
  <c r="M25" i="3"/>
  <c r="H39" i="3"/>
  <c r="X40" i="3"/>
  <c r="V40" i="3"/>
  <c r="R40" i="3"/>
  <c r="AZ7" i="3"/>
  <c r="R33" i="3"/>
  <c r="Q33" i="3" s="1"/>
  <c r="Q20" i="3"/>
  <c r="M27" i="3"/>
  <c r="AY24" i="3"/>
  <c r="BD7" i="3"/>
  <c r="O27" i="3"/>
  <c r="P27" i="3" s="1"/>
  <c r="N44" i="3"/>
  <c r="Q44" i="3"/>
  <c r="N47" i="3"/>
  <c r="Q47" i="3"/>
  <c r="P50" i="3"/>
  <c r="P20" i="3"/>
  <c r="U44" i="3"/>
  <c r="R48" i="3"/>
  <c r="X48" i="3"/>
  <c r="V48" i="3"/>
  <c r="AO10" i="3"/>
  <c r="BA10" i="3" s="1"/>
  <c r="AQ12" i="3"/>
  <c r="BC12" i="3" s="1"/>
  <c r="AO7" i="3"/>
  <c r="BA7" i="3" s="1"/>
  <c r="AO9" i="3"/>
  <c r="AP7" i="3"/>
  <c r="BB7" i="3" s="1"/>
  <c r="AP12" i="3"/>
  <c r="BB12" i="3" s="1"/>
  <c r="AP10" i="3"/>
  <c r="BB10" i="3" s="1"/>
  <c r="AO12" i="3"/>
  <c r="AQ10" i="3"/>
  <c r="BC10" i="3" s="1"/>
  <c r="AP8" i="3"/>
  <c r="BB8" i="3" s="1"/>
  <c r="AO8" i="3"/>
  <c r="AQ8" i="3"/>
  <c r="BC8" i="3" s="1"/>
  <c r="BC20" i="3"/>
  <c r="AQ9" i="3"/>
  <c r="BC9" i="3" s="1"/>
  <c r="BA20" i="3"/>
  <c r="AP9" i="3"/>
  <c r="BB9" i="3" s="1"/>
  <c r="AQ7" i="3"/>
  <c r="BC7" i="3" s="1"/>
  <c r="BB20" i="3"/>
  <c r="X45" i="3"/>
  <c r="R45" i="3"/>
  <c r="U49" i="3"/>
  <c r="J31" i="3"/>
  <c r="J33" i="3" s="1"/>
  <c r="J39" i="3"/>
  <c r="J50" i="3" s="1"/>
  <c r="M29" i="3"/>
  <c r="E41" i="3"/>
  <c r="M41" i="3"/>
  <c r="Q43" i="3"/>
  <c r="M30" i="3"/>
  <c r="H42" i="3"/>
  <c r="M42" i="3" s="1"/>
  <c r="O30" i="3"/>
  <c r="P30" i="3" s="1"/>
  <c r="M26" i="3"/>
  <c r="AL20" i="3"/>
  <c r="AX20" i="3" s="1"/>
  <c r="T50" i="3"/>
  <c r="S50" i="3" s="1"/>
  <c r="U43" i="3"/>
  <c r="F33" i="3"/>
  <c r="E33" i="3" s="1"/>
  <c r="N21" i="3"/>
  <c r="N20" i="3"/>
  <c r="O26" i="3"/>
  <c r="P26" i="3" s="1"/>
  <c r="T50" i="1"/>
  <c r="U50" i="1" s="1"/>
  <c r="T36" i="1"/>
  <c r="U36" i="1" s="1"/>
  <c r="T37" i="1"/>
  <c r="U37" i="1" s="1"/>
  <c r="T12" i="1"/>
  <c r="U12" i="1" s="1"/>
  <c r="T48" i="1"/>
  <c r="U48" i="1" s="1"/>
  <c r="T3" i="1"/>
  <c r="U3" i="1" s="1"/>
  <c r="T44" i="1"/>
  <c r="U44" i="1" s="1"/>
  <c r="T47" i="1"/>
  <c r="U47" i="1" s="1"/>
  <c r="T34" i="1"/>
  <c r="U34" i="1" s="1"/>
  <c r="T7" i="1"/>
  <c r="U7" i="1" s="1"/>
  <c r="T45" i="1"/>
  <c r="U45" i="1" s="1"/>
  <c r="T21" i="1"/>
  <c r="U21" i="1" s="1"/>
  <c r="T46" i="1"/>
  <c r="U46" i="1" s="1"/>
  <c r="T35" i="1"/>
  <c r="U35" i="1" s="1"/>
  <c r="T26" i="1"/>
  <c r="U26" i="1" s="1"/>
  <c r="T24" i="1"/>
  <c r="U24" i="1" s="1"/>
  <c r="T28" i="1"/>
  <c r="U28" i="1" s="1"/>
  <c r="T20" i="1"/>
  <c r="U20" i="1" s="1"/>
  <c r="O52" i="1"/>
  <c r="T11" i="1"/>
  <c r="U11" i="1" s="1"/>
  <c r="M52" i="1"/>
  <c r="T2" i="1"/>
  <c r="T10" i="1"/>
  <c r="U10" i="1" s="1"/>
  <c r="T16" i="1"/>
  <c r="U16" i="1" s="1"/>
  <c r="T9" i="1"/>
  <c r="U9" i="1" s="1"/>
  <c r="T31" i="1"/>
  <c r="U31" i="1" s="1"/>
  <c r="T17" i="1"/>
  <c r="U17" i="1" s="1"/>
  <c r="P52" i="1"/>
  <c r="T51" i="1"/>
  <c r="U51" i="1" s="1"/>
  <c r="T22" i="1"/>
  <c r="U22" i="1" s="1"/>
  <c r="Q52" i="1"/>
  <c r="AR12" i="3" l="1"/>
  <c r="BD12" i="3" s="1"/>
  <c r="AL12" i="3"/>
  <c r="AX12" i="3" s="1"/>
  <c r="AQ11" i="3"/>
  <c r="BC11" i="3" s="1"/>
  <c r="AP14" i="3"/>
  <c r="BB14" i="3" s="1"/>
  <c r="Z16" i="3"/>
  <c r="AN14" i="3"/>
  <c r="AZ14" i="3" s="1"/>
  <c r="AY14" i="3"/>
  <c r="AQ14" i="3"/>
  <c r="BC14" i="3" s="1"/>
  <c r="AR14" i="3"/>
  <c r="BD14" i="3" s="1"/>
  <c r="AL14" i="3"/>
  <c r="AX14" i="3" s="1"/>
  <c r="Z13" i="3"/>
  <c r="AN11" i="3"/>
  <c r="AO11" i="3"/>
  <c r="BA11" i="3" s="1"/>
  <c r="AR11" i="3"/>
  <c r="AL11" i="3"/>
  <c r="AX11" i="3" s="1"/>
  <c r="AS10" i="3"/>
  <c r="AT10" i="3" s="1"/>
  <c r="AY22" i="3"/>
  <c r="AU7" i="3"/>
  <c r="AV7" i="3" s="1"/>
  <c r="N28" i="3"/>
  <c r="U28" i="3"/>
  <c r="V28" i="3" s="1"/>
  <c r="S28" i="3"/>
  <c r="T28" i="3" s="1"/>
  <c r="N30" i="3"/>
  <c r="U30" i="3"/>
  <c r="S30" i="3"/>
  <c r="T30" i="3" s="1"/>
  <c r="V43" i="3"/>
  <c r="R43" i="3"/>
  <c r="X43" i="3"/>
  <c r="O50" i="3"/>
  <c r="O31" i="3"/>
  <c r="P25" i="3"/>
  <c r="V49" i="3"/>
  <c r="X49" i="3"/>
  <c r="R49" i="3"/>
  <c r="BA8" i="3"/>
  <c r="AU8" i="3"/>
  <c r="AS8" i="3"/>
  <c r="H50" i="3"/>
  <c r="M39" i="3"/>
  <c r="BA12" i="3"/>
  <c r="AS12" i="3"/>
  <c r="X47" i="3"/>
  <c r="V47" i="3"/>
  <c r="R47" i="3"/>
  <c r="U27" i="3"/>
  <c r="V27" i="3" s="1"/>
  <c r="N27" i="3"/>
  <c r="S27" i="3"/>
  <c r="T27" i="3" s="1"/>
  <c r="V20" i="3"/>
  <c r="AS7" i="3"/>
  <c r="N41" i="3"/>
  <c r="Q41" i="3"/>
  <c r="U41" i="3"/>
  <c r="BA14" i="3"/>
  <c r="Q46" i="3"/>
  <c r="U46" i="3"/>
  <c r="U26" i="3"/>
  <c r="S26" i="3"/>
  <c r="T26" i="3" s="1"/>
  <c r="N26" i="3"/>
  <c r="BA9" i="3"/>
  <c r="AU9" i="3"/>
  <c r="AS9" i="3"/>
  <c r="S54" i="3"/>
  <c r="N42" i="3"/>
  <c r="Q42" i="3"/>
  <c r="U42" i="3"/>
  <c r="T20" i="3"/>
  <c r="M31" i="3"/>
  <c r="N25" i="3"/>
  <c r="U25" i="3"/>
  <c r="S25" i="3"/>
  <c r="AU10" i="3"/>
  <c r="N29" i="3"/>
  <c r="U29" i="3"/>
  <c r="S29" i="3"/>
  <c r="T29" i="3" s="1"/>
  <c r="X44" i="3"/>
  <c r="R44" i="3"/>
  <c r="V44" i="3"/>
  <c r="T52" i="1"/>
  <c r="U52" i="1" s="1"/>
  <c r="U2" i="1"/>
  <c r="AZ11" i="3" l="1"/>
  <c r="BD11" i="3"/>
  <c r="AU12" i="3"/>
  <c r="AV12" i="3" s="1"/>
  <c r="AU11" i="3"/>
  <c r="AV11" i="3" s="1"/>
  <c r="AN18" i="3"/>
  <c r="AZ18" i="3" s="1"/>
  <c r="AY18" i="3"/>
  <c r="AP18" i="3"/>
  <c r="BB18" i="3" s="1"/>
  <c r="AO18" i="3"/>
  <c r="BA18" i="3" s="1"/>
  <c r="AQ18" i="3"/>
  <c r="BC18" i="3" s="1"/>
  <c r="AS14" i="3"/>
  <c r="AT14" i="3" s="1"/>
  <c r="AS11" i="3"/>
  <c r="BE11" i="3" s="1"/>
  <c r="AN16" i="3"/>
  <c r="AZ16" i="3" s="1"/>
  <c r="AQ16" i="3"/>
  <c r="BC16" i="3" s="1"/>
  <c r="AO16" i="3"/>
  <c r="BA16" i="3" s="1"/>
  <c r="AP16" i="3"/>
  <c r="BB16" i="3" s="1"/>
  <c r="Z18" i="3"/>
  <c r="AU14" i="3"/>
  <c r="AV14" i="3" s="1"/>
  <c r="AR16" i="3"/>
  <c r="BD16" i="3" s="1"/>
  <c r="AL16" i="3"/>
  <c r="AX16" i="3" s="1"/>
  <c r="AY11" i="3"/>
  <c r="AN13" i="3"/>
  <c r="AZ13" i="3" s="1"/>
  <c r="AO13" i="3"/>
  <c r="BA13" i="3" s="1"/>
  <c r="AP13" i="3"/>
  <c r="BB13" i="3" s="1"/>
  <c r="AQ13" i="3"/>
  <c r="BC13" i="3" s="1"/>
  <c r="Z15" i="3"/>
  <c r="AL13" i="3"/>
  <c r="AX13" i="3" s="1"/>
  <c r="AR13" i="3"/>
  <c r="BD13" i="3" s="1"/>
  <c r="BF7" i="3"/>
  <c r="BE10" i="3"/>
  <c r="BF9" i="3"/>
  <c r="AV9" i="3"/>
  <c r="V25" i="3"/>
  <c r="U31" i="3"/>
  <c r="BE7" i="3"/>
  <c r="AT7" i="3"/>
  <c r="R41" i="3"/>
  <c r="X41" i="3"/>
  <c r="V41" i="3"/>
  <c r="P31" i="3"/>
  <c r="O33" i="3"/>
  <c r="P33" i="3" s="1"/>
  <c r="X42" i="3"/>
  <c r="V42" i="3"/>
  <c r="R42" i="3"/>
  <c r="AV8" i="3"/>
  <c r="BF8" i="3"/>
  <c r="AT9" i="3"/>
  <c r="BE9" i="3"/>
  <c r="N39" i="3"/>
  <c r="M50" i="3"/>
  <c r="U50" i="3"/>
  <c r="Q39" i="3"/>
  <c r="BF10" i="3"/>
  <c r="AV10" i="3"/>
  <c r="BF11" i="3"/>
  <c r="S31" i="3"/>
  <c r="T25" i="3"/>
  <c r="AT8" i="3"/>
  <c r="BE8" i="3"/>
  <c r="N31" i="3"/>
  <c r="R23" i="3"/>
  <c r="S23" i="3" s="1"/>
  <c r="T23" i="3" s="1"/>
  <c r="M33" i="3"/>
  <c r="AT12" i="3"/>
  <c r="BE12" i="3"/>
  <c r="R46" i="3"/>
  <c r="X46" i="3"/>
  <c r="V46" i="3"/>
  <c r="BF12" i="3" l="1"/>
  <c r="BE14" i="3"/>
  <c r="AT11" i="3"/>
  <c r="BF14" i="3"/>
  <c r="AY16" i="3"/>
  <c r="AU16" i="3"/>
  <c r="AS16" i="3"/>
  <c r="AL18" i="3"/>
  <c r="AX18" i="3" s="1"/>
  <c r="AR18" i="3"/>
  <c r="BD18" i="3" s="1"/>
  <c r="AR15" i="3"/>
  <c r="BD15" i="3" s="1"/>
  <c r="AL15" i="3"/>
  <c r="AX15" i="3" s="1"/>
  <c r="Z17" i="3"/>
  <c r="AN15" i="3"/>
  <c r="AZ15" i="3" s="1"/>
  <c r="AY15" i="3"/>
  <c r="AP15" i="3"/>
  <c r="BB15" i="3" s="1"/>
  <c r="AO15" i="3"/>
  <c r="BA15" i="3" s="1"/>
  <c r="AQ15" i="3"/>
  <c r="BC15" i="3" s="1"/>
  <c r="AY13" i="3"/>
  <c r="AS13" i="3"/>
  <c r="AU13" i="3"/>
  <c r="Y20" i="3"/>
  <c r="N33" i="3"/>
  <c r="R39" i="3"/>
  <c r="Q50" i="3"/>
  <c r="X50" i="3"/>
  <c r="V50" i="3"/>
  <c r="N50" i="3"/>
  <c r="V31" i="3"/>
  <c r="U33" i="3"/>
  <c r="V33" i="3" s="1"/>
  <c r="T31" i="3"/>
  <c r="S33" i="3"/>
  <c r="T33" i="3" s="1"/>
  <c r="AU18" i="3" l="1"/>
  <c r="AS18" i="3"/>
  <c r="AV18" i="3"/>
  <c r="BF18" i="3"/>
  <c r="AT18" i="3"/>
  <c r="BE18" i="3"/>
  <c r="BE16" i="3"/>
  <c r="AT16" i="3"/>
  <c r="BF16" i="3"/>
  <c r="AV16" i="3"/>
  <c r="X20" i="3"/>
  <c r="Z20" i="3" s="1"/>
  <c r="AL17" i="3"/>
  <c r="AX17" i="3" s="1"/>
  <c r="BD17" i="3"/>
  <c r="Z19" i="3"/>
  <c r="AN17" i="3"/>
  <c r="AZ17" i="3" s="1"/>
  <c r="AY17" i="3"/>
  <c r="AO17" i="3"/>
  <c r="BA17" i="3" s="1"/>
  <c r="AP17" i="3"/>
  <c r="BB17" i="3" s="1"/>
  <c r="AQ17" i="3"/>
  <c r="BC17" i="3" s="1"/>
  <c r="AU15" i="3"/>
  <c r="AV13" i="3"/>
  <c r="BF13" i="3"/>
  <c r="AS15" i="3"/>
  <c r="AN19" i="3"/>
  <c r="AZ19" i="3" s="1"/>
  <c r="AY19" i="3"/>
  <c r="AQ19" i="3"/>
  <c r="BC19" i="3" s="1"/>
  <c r="AP19" i="3"/>
  <c r="BB19" i="3" s="1"/>
  <c r="AO19" i="3"/>
  <c r="BA19" i="3" s="1"/>
  <c r="AT13" i="3"/>
  <c r="BE13" i="3"/>
  <c r="R50" i="3"/>
  <c r="AN20" i="3" l="1"/>
  <c r="AZ20" i="3" s="1"/>
  <c r="AM20" i="3"/>
  <c r="AY20" i="3" s="1"/>
  <c r="AR19" i="3"/>
  <c r="AL19" i="3"/>
  <c r="AX19" i="3" s="1"/>
  <c r="AS19" i="3"/>
  <c r="BE15" i="3"/>
  <c r="AT15" i="3"/>
  <c r="AU17" i="3"/>
  <c r="AS17" i="3"/>
  <c r="AS20" i="3" s="1"/>
  <c r="BF15" i="3"/>
  <c r="AV15" i="3"/>
  <c r="BE20" i="3" l="1"/>
  <c r="AT20" i="3"/>
  <c r="BD19" i="3"/>
  <c r="AR20" i="3"/>
  <c r="BD20" i="3" s="1"/>
  <c r="AT19" i="3"/>
  <c r="BE19" i="3"/>
  <c r="AT17" i="3"/>
  <c r="BE17" i="3"/>
  <c r="BF17" i="3"/>
  <c r="AV17" i="3"/>
  <c r="AU19" i="3"/>
  <c r="AU20" i="3" s="1"/>
  <c r="BF20" i="3" l="1"/>
  <c r="AV20" i="3"/>
  <c r="BF19" i="3"/>
  <c r="AV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tc={50F63CC1-76E5-4346-A908-8762AC8E105A}</author>
    <author>tc={FF423EB7-BC1E-4000-8B34-A33858C22A28}</author>
    <author>tc={DBB232DF-A6B3-4E50-B3FD-8C5A41394ACE}</author>
  </authors>
  <commentList>
    <comment ref="Q25" authorId="0" shapeId="0" xr:uid="{50F63CC1-76E5-4346-A908-8762AC8E1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7" authorId="1" shapeId="0" xr:uid="{FF423EB7-BC1E-4000-8B34-A33858C22A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8" authorId="2" shapeId="0" xr:uid="{DBB232DF-A6B3-4E50-B3FD-8C5A41394A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<sst xmlns="http://schemas.openxmlformats.org/spreadsheetml/2006/main" count="240" uniqueCount="139">
  <si>
    <t>PRODUCTO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</si>
  <si>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</si>
  <si>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</si>
  <si>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</si>
  <si>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</si>
  <si>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</si>
  <si>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</si>
  <si>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</si>
  <si>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</si>
  <si>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</si>
  <si>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</si>
  <si>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</si>
  <si>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</si>
  <si>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</si>
  <si>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</si>
  <si>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</si>
  <si>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</si>
  <si>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</si>
  <si>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</si>
  <si>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 xml:space="preserve">POTA FILETE C/M C/T FR 0.5-1.0 AAA  BL10 S20  </t>
  </si>
  <si>
    <t>POTA FILETE C/M C/T FR 1-2 AA BL10 S20  50% ROSADO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</si>
  <si>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</si>
  <si>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</si>
  <si>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</si>
  <si>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</si>
  <si>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</si>
  <si>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</si>
  <si>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</si>
  <si>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</si>
  <si>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</si>
  <si>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</si>
  <si>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</si>
  <si>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</si>
  <si>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</si>
  <si>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</si>
  <si>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</si>
  <si>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</si>
  <si>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</si>
  <si>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</si>
  <si>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</si>
  <si>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</si>
  <si>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</si>
  <si>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</si>
  <si>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</si>
  <si>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</si>
  <si>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</si>
  <si>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</si>
  <si>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</si>
  <si>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</si>
  <si>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FILETE CM CT PARA REPROCESO</t>
  </si>
  <si>
    <t>ALAS FR PARA REPROCESO</t>
  </si>
  <si>
    <t>TOTAL LIBRE</t>
  </si>
  <si>
    <t>TOTAL STOCK</t>
  </si>
  <si>
    <t>POR EMBARCAR</t>
  </si>
  <si>
    <t>STOCK LIBRE</t>
  </si>
  <si>
    <t>CÓDIGO</t>
  </si>
  <si>
    <t>CU X TM</t>
  </si>
  <si>
    <t>% MP</t>
  </si>
  <si>
    <t>incremento MP</t>
  </si>
  <si>
    <t>TM en Stock Total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</si>
  <si>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</si>
  <si>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</si>
  <si>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</si>
  <si>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</si>
  <si>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</si>
  <si>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</si>
  <si>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</si>
  <si>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</si>
  <si>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</si>
  <si>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</si>
  <si>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</si>
  <si>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COSTO ABRIL</t>
  </si>
  <si>
    <t>tm</t>
  </si>
  <si>
    <t>Asignación</t>
  </si>
  <si>
    <t>JUNIO</t>
  </si>
  <si>
    <t>JULIO</t>
  </si>
  <si>
    <t>PROM JUN Y JUL</t>
  </si>
  <si>
    <t>TASA</t>
  </si>
  <si>
    <t>Etiquetas de fila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</si>
  <si>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</si>
  <si>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</si>
  <si>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</si>
  <si>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</si>
  <si>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</si>
  <si>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</si>
  <si>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</si>
  <si>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</si>
  <si>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</si>
  <si>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</si>
  <si>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</si>
  <si>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</si>
  <si>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</si>
  <si>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</si>
  <si>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</si>
  <si>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</si>
  <si>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OTROS</t>
  </si>
  <si>
    <t>FILETE PARA REPROCESO</t>
  </si>
  <si>
    <t>ALAS PARA REPROCESO</t>
  </si>
  <si>
    <t>PERU FROST</t>
  </si>
  <si>
    <t>RENTABILIDAD DEL INVENTARIO</t>
  </si>
  <si>
    <t>TOTAL PROYECTADO JULIO 2026</t>
  </si>
  <si>
    <t>UNITARIOS POR TM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</si>
  <si>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</si>
  <si>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</si>
  <si>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</si>
  <si>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</si>
  <si>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</si>
  <si>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</si>
  <si>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</si>
  <si>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</si>
  <si>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</si>
  <si>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</si>
  <si>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</si>
  <si>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</si>
  <si>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</si>
  <si>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</si>
  <si>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TM</t>
  </si>
  <si>
    <t>Venta</t>
  </si>
  <si>
    <t>Precio x TM</t>
  </si>
  <si>
    <t>Gasto Adm</t>
  </si>
  <si>
    <t>Drawback</t>
  </si>
  <si>
    <t>Utilidad 
Neta</t>
  </si>
  <si>
    <t>Mg Neto %</t>
  </si>
  <si>
    <t>MG 
EBITDA</t>
  </si>
  <si>
    <t>TOTAL</t>
  </si>
  <si>
    <t>flete x tm</t>
  </si>
  <si>
    <t>TM en Almacén de Yantai Jiahong</t>
  </si>
  <si>
    <t>INVENTARIO TOTAL VALORIZADO</t>
  </si>
  <si>
    <t>Precio Venta</t>
  </si>
  <si>
    <t>Venta Esperada</t>
  </si>
  <si>
    <t>Precio actual</t>
  </si>
  <si>
    <t>venta con precio actual</t>
  </si>
  <si>
    <t>variación</t>
  </si>
  <si>
    <t>ebitda con nuevos precios</t>
  </si>
  <si>
    <t>AVANCE COMERCIAL AL 17-8-2026</t>
  </si>
  <si>
    <t>POR DEFINIR</t>
  </si>
  <si>
    <t>P/L</t>
  </si>
  <si>
    <t>costo financiero mes</t>
  </si>
  <si>
    <t>costo financiero por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</si>
</sst>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%"/>
    <numFmt numFmtId="167" formatCode="_-* #,##0.0000_-;\-* #,##0.0000_-;_-* &quot;-&quot;??_-;_-@_-"/>
  </numFmts>
  <fonts count="16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2">
    <xf numFmtId="0" fontId="0" fillId="0" borderId="0" xfId="0"/>
    <xf numFmtId="0" fontId="1" fillId="5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top"/>
    </xf>
    <xf numFmtId="164" fontId="9" fillId="0" borderId="0" xfId="0" applyNumberFormat="1" applyFont="1"/>
    <xf numFmtId="9" fontId="1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1" applyNumberFormat="1" applyFont="1" applyBorder="1"/>
    <xf numFmtId="165" fontId="10" fillId="0" borderId="0" xfId="1" applyNumberFormat="1" applyFont="1" applyBorder="1"/>
    <xf numFmtId="165" fontId="10" fillId="0" borderId="0" xfId="1" applyNumberFormat="1" applyFont="1"/>
    <xf numFmtId="165" fontId="10" fillId="0" borderId="0" xfId="1" applyNumberFormat="1" applyFont="1" applyAlignment="1">
      <alignment horizontal="center"/>
    </xf>
    <xf numFmtId="165" fontId="10" fillId="2" borderId="9" xfId="1" applyNumberFormat="1" applyFont="1" applyFill="1" applyBorder="1"/>
    <xf numFmtId="0" fontId="0" fillId="11" borderId="7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2" borderId="7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4" fontId="11" fillId="0" borderId="0" xfId="0" applyNumberFormat="1" applyFont="1"/>
    <xf numFmtId="165" fontId="7" fillId="0" borderId="4" xfId="1" applyNumberFormat="1" applyFont="1" applyBorder="1"/>
    <xf numFmtId="165" fontId="7" fillId="0" borderId="5" xfId="1" applyNumberFormat="1" applyFont="1" applyBorder="1"/>
    <xf numFmtId="165" fontId="7" fillId="0" borderId="5" xfId="1" applyNumberFormat="1" applyFont="1" applyBorder="1" applyAlignment="1">
      <alignment horizontal="center"/>
    </xf>
    <xf numFmtId="165" fontId="7" fillId="2" borderId="6" xfId="1" applyNumberFormat="1" applyFont="1" applyFill="1" applyBorder="1"/>
    <xf numFmtId="0" fontId="9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4" fillId="0" borderId="0" xfId="0" applyFont="1"/>
    <xf numFmtId="0" fontId="0" fillId="0" borderId="11" xfId="0" applyBorder="1"/>
    <xf numFmtId="0" fontId="0" fillId="0" borderId="11" xfId="0" applyBorder="1" applyAlignment="1">
      <alignment vertical="top"/>
    </xf>
    <xf numFmtId="0" fontId="12" fillId="0" borderId="0" xfId="0" applyFont="1"/>
    <xf numFmtId="0" fontId="5" fillId="0" borderId="0" xfId="0" applyFont="1"/>
    <xf numFmtId="166" fontId="0" fillId="0" borderId="0" xfId="2" applyNumberFormat="1" applyFont="1"/>
    <xf numFmtId="43" fontId="0" fillId="0" borderId="0" xfId="0" applyNumberFormat="1"/>
    <xf numFmtId="0" fontId="3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16" fontId="5" fillId="15" borderId="3" xfId="0" applyNumberFormat="1" applyFont="1" applyFill="1" applyBorder="1" applyAlignment="1">
      <alignment horizontal="center"/>
    </xf>
    <xf numFmtId="16" fontId="5" fillId="15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13" borderId="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" fontId="0" fillId="9" borderId="3" xfId="0" applyNumberFormat="1" applyFill="1" applyBorder="1" applyAlignment="1">
      <alignment horizontal="center"/>
    </xf>
    <xf numFmtId="165" fontId="0" fillId="9" borderId="16" xfId="1" applyNumberFormat="1" applyFont="1" applyFill="1" applyBorder="1" applyAlignment="1">
      <alignment horizontal="center"/>
    </xf>
    <xf numFmtId="165" fontId="0" fillId="0" borderId="0" xfId="1" applyNumberFormat="1" applyFont="1" applyBorder="1"/>
    <xf numFmtId="9" fontId="0" fillId="0" borderId="0" xfId="0" applyNumberFormat="1"/>
    <xf numFmtId="165" fontId="13" fillId="2" borderId="9" xfId="0" applyNumberFormat="1" applyFont="1" applyFill="1" applyBorder="1"/>
    <xf numFmtId="165" fontId="13" fillId="2" borderId="9" xfId="1" applyNumberFormat="1" applyFont="1" applyFill="1" applyBorder="1"/>
    <xf numFmtId="165" fontId="13" fillId="0" borderId="9" xfId="1" applyNumberFormat="1" applyFont="1" applyFill="1" applyBorder="1"/>
    <xf numFmtId="9" fontId="13" fillId="0" borderId="9" xfId="2" applyFont="1" applyFill="1" applyBorder="1" applyAlignment="1">
      <alignment horizontal="center"/>
    </xf>
    <xf numFmtId="165" fontId="0" fillId="0" borderId="3" xfId="1" applyNumberFormat="1" applyFont="1" applyBorder="1"/>
    <xf numFmtId="165" fontId="0" fillId="0" borderId="13" xfId="1" applyNumberFormat="1" applyFont="1" applyBorder="1"/>
    <xf numFmtId="165" fontId="0" fillId="15" borderId="3" xfId="1" applyNumberFormat="1" applyFont="1" applyFill="1" applyBorder="1"/>
    <xf numFmtId="165" fontId="0" fillId="15" borderId="11" xfId="1" applyNumberFormat="1" applyFont="1" applyFill="1" applyBorder="1"/>
    <xf numFmtId="165" fontId="0" fillId="15" borderId="0" xfId="1" applyNumberFormat="1" applyFont="1" applyFill="1" applyBorder="1"/>
    <xf numFmtId="9" fontId="0" fillId="15" borderId="3" xfId="2" applyFont="1" applyFill="1" applyBorder="1" applyAlignment="1">
      <alignment horizontal="center"/>
    </xf>
    <xf numFmtId="165" fontId="0" fillId="15" borderId="11" xfId="2" applyNumberFormat="1" applyFont="1" applyFill="1" applyBorder="1" applyAlignment="1">
      <alignment horizontal="center"/>
    </xf>
    <xf numFmtId="9" fontId="0" fillId="15" borderId="11" xfId="2" applyFont="1" applyFill="1" applyBorder="1" applyAlignment="1">
      <alignment horizontal="center"/>
    </xf>
    <xf numFmtId="165" fontId="0" fillId="2" borderId="2" xfId="0" applyNumberFormat="1" applyFill="1" applyBorder="1"/>
    <xf numFmtId="165" fontId="0" fillId="2" borderId="2" xfId="1" applyNumberFormat="1" applyFont="1" applyFill="1" applyBorder="1"/>
    <xf numFmtId="165" fontId="0" fillId="0" borderId="11" xfId="1" applyNumberFormat="1" applyFont="1" applyBorder="1"/>
    <xf numFmtId="165" fontId="13" fillId="0" borderId="17" xfId="1" applyNumberFormat="1" applyFont="1" applyFill="1" applyBorder="1"/>
    <xf numFmtId="0" fontId="5" fillId="0" borderId="18" xfId="0" applyFont="1" applyBorder="1" applyAlignment="1">
      <alignment horizontal="center"/>
    </xf>
    <xf numFmtId="1" fontId="5" fillId="9" borderId="19" xfId="0" applyNumberFormat="1" applyFont="1" applyFill="1" applyBorder="1" applyAlignment="1">
      <alignment horizontal="center"/>
    </xf>
    <xf numFmtId="165" fontId="5" fillId="9" borderId="20" xfId="1" applyNumberFormat="1" applyFont="1" applyFill="1" applyBorder="1" applyAlignment="1">
      <alignment horizontal="center"/>
    </xf>
    <xf numFmtId="165" fontId="5" fillId="0" borderId="5" xfId="1" applyNumberFormat="1" applyFont="1" applyBorder="1"/>
    <xf numFmtId="9" fontId="5" fillId="0" borderId="5" xfId="2" applyFont="1" applyBorder="1"/>
    <xf numFmtId="165" fontId="6" fillId="2" borderId="6" xfId="1" applyNumberFormat="1" applyFont="1" applyFill="1" applyBorder="1"/>
    <xf numFmtId="165" fontId="6" fillId="0" borderId="6" xfId="1" applyNumberFormat="1" applyFont="1" applyFill="1" applyBorder="1"/>
    <xf numFmtId="165" fontId="6" fillId="0" borderId="12" xfId="1" applyNumberFormat="1" applyFont="1" applyFill="1" applyBorder="1"/>
    <xf numFmtId="9" fontId="6" fillId="0" borderId="6" xfId="2" applyFont="1" applyFill="1" applyBorder="1" applyAlignment="1">
      <alignment horizontal="center"/>
    </xf>
    <xf numFmtId="165" fontId="5" fillId="0" borderId="1" xfId="0" applyNumberFormat="1" applyFont="1" applyBorder="1"/>
    <xf numFmtId="165" fontId="5" fillId="0" borderId="2" xfId="1" applyNumberFormat="1" applyFont="1" applyBorder="1"/>
    <xf numFmtId="165" fontId="5" fillId="15" borderId="2" xfId="0" applyNumberFormat="1" applyFont="1" applyFill="1" applyBorder="1"/>
    <xf numFmtId="165" fontId="5" fillId="15" borderId="10" xfId="1" applyNumberFormat="1" applyFont="1" applyFill="1" applyBorder="1"/>
    <xf numFmtId="165" fontId="5" fillId="15" borderId="2" xfId="1" applyNumberFormat="1" applyFont="1" applyFill="1" applyBorder="1"/>
    <xf numFmtId="9" fontId="5" fillId="15" borderId="1" xfId="2" applyFont="1" applyFill="1" applyBorder="1" applyAlignment="1">
      <alignment horizontal="center"/>
    </xf>
    <xf numFmtId="9" fontId="5" fillId="15" borderId="2" xfId="2" applyFont="1" applyFill="1" applyBorder="1" applyAlignment="1">
      <alignment horizontal="center"/>
    </xf>
    <xf numFmtId="165" fontId="5" fillId="2" borderId="2" xfId="0" applyNumberFormat="1" applyFont="1" applyFill="1" applyBorder="1"/>
    <xf numFmtId="165" fontId="5" fillId="2" borderId="2" xfId="1" applyNumberFormat="1" applyFont="1" applyFill="1" applyBorder="1"/>
    <xf numFmtId="0" fontId="5" fillId="0" borderId="0" xfId="0" applyFont="1" applyAlignment="1">
      <alignment vertical="top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5" fontId="4" fillId="0" borderId="0" xfId="1" applyNumberFormat="1" applyFont="1"/>
    <xf numFmtId="167" fontId="0" fillId="0" borderId="0" xfId="1" applyNumberFormat="1" applyFont="1" applyFill="1" applyBorder="1"/>
    <xf numFmtId="4" fontId="0" fillId="0" borderId="0" xfId="0" applyNumberForma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0" fontId="5" fillId="0" borderId="21" xfId="0" applyFont="1" applyBorder="1" applyAlignment="1">
      <alignment horizontal="center"/>
    </xf>
    <xf numFmtId="3" fontId="5" fillId="0" borderId="0" xfId="0" applyNumberFormat="1" applyFont="1"/>
    <xf numFmtId="43" fontId="5" fillId="0" borderId="0" xfId="1" applyFont="1"/>
    <xf numFmtId="0" fontId="14" fillId="0" borderId="0" xfId="0" applyFont="1"/>
    <xf numFmtId="0" fontId="6" fillId="2" borderId="4" xfId="0" applyFont="1" applyFill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/>
    </xf>
    <xf numFmtId="165" fontId="13" fillId="2" borderId="8" xfId="1" applyNumberFormat="1" applyFont="1" applyFill="1" applyBorder="1"/>
    <xf numFmtId="165" fontId="0" fillId="0" borderId="2" xfId="1" applyNumberFormat="1" applyFont="1" applyBorder="1"/>
    <xf numFmtId="165" fontId="0" fillId="0" borderId="2" xfId="1" applyNumberFormat="1" applyFont="1" applyBorder="1" applyAlignment="1">
      <alignment horizontal="center"/>
    </xf>
    <xf numFmtId="9" fontId="0" fillId="0" borderId="2" xfId="2" applyFont="1" applyBorder="1" applyAlignment="1">
      <alignment horizontal="center" vertical="center"/>
    </xf>
    <xf numFmtId="165" fontId="2" fillId="0" borderId="2" xfId="1" applyNumberFormat="1" applyFont="1" applyBorder="1"/>
    <xf numFmtId="9" fontId="2" fillId="0" borderId="2" xfId="2" applyFont="1" applyBorder="1" applyAlignment="1">
      <alignment horizontal="center" vertical="center"/>
    </xf>
    <xf numFmtId="165" fontId="5" fillId="0" borderId="0" xfId="1" applyNumberFormat="1" applyFont="1"/>
    <xf numFmtId="165" fontId="0" fillId="0" borderId="2" xfId="0" applyNumberFormat="1" applyBorder="1"/>
    <xf numFmtId="165" fontId="0" fillId="0" borderId="2" xfId="2" applyNumberFormat="1" applyFont="1" applyBorder="1"/>
    <xf numFmtId="165" fontId="0" fillId="0" borderId="0" xfId="2" applyNumberFormat="1" applyFont="1"/>
    <xf numFmtId="165" fontId="6" fillId="2" borderId="4" xfId="1" applyNumberFormat="1" applyFont="1" applyFill="1" applyBorder="1"/>
    <xf numFmtId="165" fontId="5" fillId="0" borderId="2" xfId="0" applyNumberFormat="1" applyFont="1" applyBorder="1"/>
    <xf numFmtId="9" fontId="5" fillId="0" borderId="2" xfId="2" applyFont="1" applyBorder="1" applyAlignment="1">
      <alignment horizontal="center" vertical="center"/>
    </xf>
    <xf numFmtId="165" fontId="5" fillId="0" borderId="0" xfId="0" applyNumberFormat="1" applyFont="1"/>
    <xf numFmtId="10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Ajuste%20Stock%20Abril%202026%20v2.xlsx" TargetMode="External"/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/Users/rodrigom/Documents/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RESUMEN%20VENTAS%20EXPORTACION%202025%20al%2017-8-2026.xlsx" TargetMode="External"/><Relationship Id="rId2" Type="http://schemas.openxmlformats.org/officeDocument/2006/relationships/externalLinkPath" Target="file:///C:\Users\rodrigom\Documents\RESUMEN%20VENTAS%20EXPORTACION%202025%20al%2017-8-2026.xlsx" TargetMode="External"/><Relationship Id="rId1" Type="http://schemas.openxmlformats.org/officeDocument/2006/relationships/externalLinkPath" Target="/Users/rodrigom/Documents/RESUMEN%20VENTAS%20EXPORTACION%202025%20al%2017-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C3"/>
          <cell r="K3">
            <v>2126.230658279324</v>
          </cell>
        </row>
        <row r="4">
          <cell r="C4"/>
          <cell r="K4">
            <v>2094.6361169260049</v>
          </cell>
        </row>
        <row r="5">
          <cell r="C5"/>
          <cell r="K5">
            <v>1946.6202776142766</v>
          </cell>
        </row>
        <row r="6">
          <cell r="C6"/>
          <cell r="K6">
            <v>2025.3424461865532</v>
          </cell>
        </row>
        <row r="7">
          <cell r="C7"/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C9"/>
          <cell r="K9">
            <v>1974.7197869741549</v>
          </cell>
        </row>
        <row r="10">
          <cell r="C10"/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C12"/>
          <cell r="K12">
            <v>1782.56409434187</v>
          </cell>
        </row>
        <row r="13">
          <cell r="C13"/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C16"/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C21"/>
          <cell r="K21">
            <v>1931.1280065442866</v>
          </cell>
        </row>
        <row r="22">
          <cell r="C22"/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C26"/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C30"/>
          <cell r="K30">
            <v>1788.7115084478587</v>
          </cell>
        </row>
        <row r="31">
          <cell r="C31"/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C36"/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C44"/>
          <cell r="K44">
            <v>1504.539234144622</v>
          </cell>
        </row>
        <row r="45">
          <cell r="C45"/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C48"/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C55"/>
          <cell r="K55">
            <v>1849.5051020408164</v>
          </cell>
        </row>
        <row r="56">
          <cell r="C56"/>
          <cell r="K56">
            <v>1784.0206279313234</v>
          </cell>
        </row>
        <row r="57">
          <cell r="C57"/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C61"/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1"/>
      <sheetName val="FLETES"/>
      <sheetName val="Hoja1"/>
      <sheetName val="Hoja2"/>
      <sheetName val="Hoja3"/>
      <sheetName val="OPERADORES LOGISTICOS"/>
      <sheetName val="Hoja6"/>
      <sheetName val="2026"/>
      <sheetName val="PROGRAMACION"/>
      <sheetName val="2025 TOTAS FP"/>
      <sheetName val="FP CHINA"/>
      <sheetName val="Detalle2"/>
      <sheetName val="Tabla"/>
      <sheetName val="Hoja5"/>
      <sheetName val="Hoja4"/>
      <sheetName val="VARIOS CHINA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E24">
            <v>46235</v>
          </cell>
          <cell r="H24">
            <v>81</v>
          </cell>
          <cell r="I24">
            <v>213300</v>
          </cell>
          <cell r="J24" t="str">
            <v>POTA REJOS CONGELADOS</v>
          </cell>
        </row>
        <row r="25">
          <cell r="E25">
            <v>46235</v>
          </cell>
          <cell r="H25">
            <v>26.4</v>
          </cell>
          <cell r="I25">
            <v>42240</v>
          </cell>
          <cell r="J25" t="str">
            <v>POTA CONOS</v>
          </cell>
        </row>
        <row r="26">
          <cell r="E26">
            <v>46235</v>
          </cell>
          <cell r="H26">
            <v>25.875</v>
          </cell>
          <cell r="I26">
            <v>41400</v>
          </cell>
          <cell r="J26" t="str">
            <v>OTROS</v>
          </cell>
        </row>
        <row r="27">
          <cell r="E27">
            <v>46245</v>
          </cell>
          <cell r="H27">
            <v>27</v>
          </cell>
          <cell r="I27">
            <v>48600</v>
          </cell>
          <cell r="J27" t="str">
            <v>POTA ALAS CONGELADAS</v>
          </cell>
        </row>
        <row r="28">
          <cell r="E28">
            <v>46250</v>
          </cell>
          <cell r="H28">
            <v>25.664999999999999</v>
          </cell>
          <cell r="I28">
            <v>41064</v>
          </cell>
          <cell r="J28" t="str">
            <v>OTROS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412EE72E-E0A2-4807-BE94-4319D5C83CDE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51.78153148148" createdVersion="8" refreshedVersion="8" minRefreshableVersion="3" recordCount="50" xr:uid="{2B0C29EF-70D4-46AC-9001-7F0F7A58046C}">
  <cacheSource type="worksheet">
    <worksheetSource ref="G1:Q51" sheet="Stock Libre"/>
  </cacheSource>
  <cacheFields count="11">
    <cacheField name="CÓDIGO" numFmtId="0">
      <sharedItems containsSemiMixedTypes="0" containsString="0" containsNumber="1" containsInteger="1" minValue="10005721" maxValue="10009650" count="13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  <n v="10009650"/>
        <n v="10009649"/>
      </sharedItems>
    </cacheField>
    <cacheField name="CU X TM" numFmtId="164">
      <sharedItems containsSemiMixedTypes="0" containsString="0" containsNumber="1" minValue="1.2330367002592995" maxValue="3.0850611236899645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0.10965909090909082" maxValue="-0.10965909090909082"/>
    </cacheField>
    <cacheField name="TM en Stock Total" numFmtId="165">
      <sharedItems containsSemiMixedTypes="0" containsString="0" containsNumber="1" minValue="0" maxValue="612.58000000000004"/>
    </cacheField>
    <cacheField name="TM en Stock" numFmtId="165">
      <sharedItems containsSemiMixedTypes="0" containsString="0" containsNumber="1" minValue="0" maxValue="612.58000000000004"/>
    </cacheField>
    <cacheField name="Costo Ventas" numFmtId="165">
      <sharedItems containsSemiMixedTypes="0" containsString="0" containsNumber="1" minValue="0" maxValue="1060970.2603970531"/>
    </cacheField>
    <cacheField name="Gasto Ventas" numFmtId="165">
      <sharedItems containsSemiMixedTypes="0" containsString="0" containsNumber="1" minValue="0" maxValue="127318.62720000002"/>
    </cacheField>
    <cacheField name="Gasto ADM" numFmtId="165">
      <sharedItems containsSemiMixedTypes="0" containsString="0" containsNumber="1" minValue="0" maxValue="29072.590282747951"/>
    </cacheField>
    <cacheField name="Gasto Fin" numFmtId="165">
      <sharedItems containsSemiMixedTypes="0" containsString="0" containsNumber="1" minValue="0" maxValue="57151.786593707278"/>
    </cacheField>
    <cacheField name="Depreciación" numFmtId="165">
      <sharedItems containsSemiMixedTypes="0" containsString="0" containsNumber="1" minValue="0" maxValue="45686.6327375182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.7319701269990091"/>
    <n v="0.71"/>
    <n v="-0.10965909090909082"/>
    <n v="14.84"/>
    <n v="14.84"/>
    <n v="25702.436684665296"/>
    <n v="3084.3456000000001"/>
    <n v="704.29534068363239"/>
    <n v="1384.5253077975383"/>
    <n v="1106.7772859459512"/>
  </r>
  <r>
    <x v="0"/>
    <n v="1.7319701269990091"/>
    <n v="0.71"/>
    <n v="-0.10965909090909082"/>
    <n v="0.68"/>
    <n v="0.68"/>
    <n v="1177.7396863593262"/>
    <n v="141.33120000000002"/>
    <n v="32.272293238872649"/>
    <n v="63.441860465116314"/>
    <n v="50.71486215924844"/>
  </r>
  <r>
    <x v="0"/>
    <n v="1.7319701269990091"/>
    <n v="0.71"/>
    <n v="-0.10965909090909082"/>
    <n v="0"/>
    <n v="0"/>
    <n v="0"/>
    <n v="0"/>
    <n v="0"/>
    <n v="0"/>
    <n v="0"/>
  </r>
  <r>
    <x v="0"/>
    <n v="1.7319701269990091"/>
    <n v="0.71"/>
    <n v="-0.10965909090909082"/>
    <n v="0"/>
    <n v="0"/>
    <n v="0"/>
    <n v="0"/>
    <n v="0"/>
    <n v="0"/>
    <n v="0"/>
  </r>
  <r>
    <x v="0"/>
    <n v="1.7319701269990091"/>
    <n v="0.71"/>
    <n v="-0.10965909090909082"/>
    <n v="0.04"/>
    <n v="0.04"/>
    <n v="69.278805079960364"/>
    <n v="8.313600000000001"/>
    <n v="1.8983701905219204"/>
    <n v="3.7318741450068416"/>
    <n v="2.9832271858381434"/>
  </r>
  <r>
    <x v="0"/>
    <n v="1.7319701269990091"/>
    <n v="0.71"/>
    <n v="-0.10965909090909082"/>
    <n v="2.34"/>
    <n v="2.34"/>
    <n v="4052.8100971776812"/>
    <n v="486.34559999999999"/>
    <n v="111.05465614553233"/>
    <n v="218.31463748290022"/>
    <n v="174.51879037153137"/>
  </r>
  <r>
    <x v="0"/>
    <n v="1.7319701269990091"/>
    <n v="0.71"/>
    <n v="-0.10965909090909082"/>
    <n v="0"/>
    <n v="0"/>
    <n v="0"/>
    <n v="0"/>
    <n v="0"/>
    <n v="0"/>
    <n v="0"/>
  </r>
  <r>
    <x v="1"/>
    <n v="1.2799702510293225"/>
    <n v="0.71"/>
    <n v="-0.10965909090909082"/>
    <n v="30.94"/>
    <n v="30.94"/>
    <n v="39602.279566847239"/>
    <n v="6430.5696000000007"/>
    <n v="1468.3893423687055"/>
    <n v="2886.6046511627919"/>
    <n v="2307.5262282458038"/>
  </r>
  <r>
    <x v="2"/>
    <n v="1.2330367002592995"/>
    <n v="0.71"/>
    <n v="-0.10965909090909082"/>
    <n v="20.38"/>
    <n v="0"/>
    <n v="0"/>
    <n v="0"/>
    <n v="0"/>
    <n v="0"/>
    <n v="0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1.76"/>
    <n v="1.76"/>
    <n v="3228.598570763621"/>
    <n v="365.79840000000002"/>
    <n v="83.52828838296449"/>
    <n v="164.20246238030103"/>
    <n v="131.26199617687831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32.18"/>
    <n v="32.18"/>
    <n v="59031.989776803028"/>
    <n v="6688.2911999999997"/>
    <n v="1527.2388182748848"/>
    <n v="3002.2927496580041"/>
    <n v="2400.0062710067864"/>
  </r>
  <r>
    <x v="3"/>
    <n v="1.8344310061156939"/>
    <n v="0.67"/>
    <n v="-0.10965909090909082"/>
    <n v="1.08"/>
    <n v="1.08"/>
    <n v="1981.1854866049493"/>
    <n v="224.46720000000002"/>
    <n v="51.255995144091855"/>
    <n v="100.76060191518472"/>
    <n v="80.547134017629872"/>
  </r>
  <r>
    <x v="3"/>
    <n v="1.8344310061156939"/>
    <n v="0.67"/>
    <n v="-0.10965909090909082"/>
    <n v="3.1"/>
    <n v="3.1"/>
    <n v="5686.7361189586518"/>
    <n v="644.30399999999997"/>
    <n v="147.12368976544883"/>
    <n v="289.22024623803026"/>
    <n v="231.2001069024561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5.28"/>
    <n v="5.28"/>
    <n v="9685.7957122908629"/>
    <n v="1097.3952000000002"/>
    <n v="250.5848651488935"/>
    <n v="492.60738714090309"/>
    <n v="393.78598853063494"/>
  </r>
  <r>
    <x v="3"/>
    <n v="1.8344310061156939"/>
    <n v="0.67"/>
    <n v="-0.10965909090909082"/>
    <n v="17.64"/>
    <n v="17.64"/>
    <n v="32359.36294788084"/>
    <n v="3666.2976000000003"/>
    <n v="837.18125402016688"/>
    <n v="1645.7564979480171"/>
    <n v="1315.6031889546211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2.72"/>
    <n v="2.72"/>
    <n v="4989.6523366346873"/>
    <n v="565.3248000000001"/>
    <n v="129.0891729554906"/>
    <n v="253.76744186046525"/>
    <n v="202.85944863699376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3.2"/>
    <n v="3.2"/>
    <n v="5870.179219570221"/>
    <n v="665.08800000000008"/>
    <n v="151.86961524175362"/>
    <n v="298.54993160054732"/>
    <n v="238.65817486705146"/>
  </r>
  <r>
    <x v="4"/>
    <n v="1.4834229685286575"/>
    <n v="0.65"/>
    <n v="-0.10965909090909082"/>
    <n v="138.02000000000001"/>
    <n v="138.02000000000001"/>
    <n v="204742.0381163253"/>
    <n v="28686.076800000003"/>
    <n v="6550.326342395887"/>
    <n v="12876.831737346109"/>
    <n v="10293.625404734514"/>
  </r>
  <r>
    <x v="4"/>
    <n v="1.4834229685286575"/>
    <n v="0.65"/>
    <n v="-0.10965909090909082"/>
    <n v="41.82"/>
    <n v="41.82"/>
    <n v="62036.748543868453"/>
    <n v="8691.8688000000002"/>
    <n v="1984.7460341906676"/>
    <n v="3901.6744186046531"/>
    <n v="3118.9640227937789"/>
  </r>
  <r>
    <x v="4"/>
    <n v="1.4834229685286575"/>
    <n v="0.65"/>
    <n v="-0.10965909090909082"/>
    <n v="1.04"/>
    <n v="1.04"/>
    <n v="1542.7598872698038"/>
    <n v="216.15360000000001"/>
    <n v="49.357624953569932"/>
    <n v="97.028727770177881"/>
    <n v="77.563906831791726"/>
  </r>
  <r>
    <x v="4"/>
    <n v="1.4834229685286575"/>
    <n v="0.65"/>
    <n v="-0.10965909090909082"/>
    <n v="83.68"/>
    <n v="5.68"/>
    <n v="8425.8424612427752"/>
    <n v="1180.5311999999999"/>
    <n v="269.56856705411269"/>
    <n v="529.92612859097153"/>
    <n v="423.61826038901631"/>
  </r>
  <r>
    <x v="4"/>
    <n v="1.4834229685286575"/>
    <n v="0.65"/>
    <n v="-0.10965909090909082"/>
    <n v="174.24"/>
    <n v="174.24"/>
    <n v="258471.61803643333"/>
    <n v="36214.041600000004"/>
    <n v="8269.3005499134852"/>
    <n v="16256.043775649803"/>
    <n v="12994.937621510953"/>
  </r>
  <r>
    <x v="4"/>
    <n v="1.4834229685286575"/>
    <n v="0.65"/>
    <n v="-0.10965909090909082"/>
    <n v="7.84"/>
    <n v="7.84"/>
    <n v="11630.036073264675"/>
    <n v="1629.4656"/>
    <n v="372.0805573422964"/>
    <n v="731.44733242134089"/>
    <n v="584.71252842427612"/>
  </r>
  <r>
    <x v="5"/>
    <n v="1.540163669045685"/>
    <n v="0.68"/>
    <n v="-0.10965909090909082"/>
    <n v="96.72"/>
    <n v="96.72"/>
    <n v="148964.63007009865"/>
    <n v="20102.284800000001"/>
    <n v="4590.2591206820034"/>
    <n v="9023.671682626542"/>
    <n v="7213.4433353566301"/>
  </r>
  <r>
    <x v="5"/>
    <n v="1.540163669045685"/>
    <n v="0.68"/>
    <n v="-0.10965909090909082"/>
    <n v="35.659999999999997"/>
    <n v="35.659999999999997"/>
    <n v="54922.236438169122"/>
    <n v="7411.5743999999995"/>
    <n v="1692.3970248502919"/>
    <n v="3326.9658002735991"/>
    <n v="2659.5470361747043"/>
  </r>
  <r>
    <x v="6"/>
    <n v="1.596558814009124"/>
    <n v="0.68"/>
    <n v="-0.10965909090909082"/>
    <n v="0"/>
    <n v="0"/>
    <n v="0"/>
    <n v="0"/>
    <n v="0"/>
    <n v="0"/>
    <n v="0"/>
  </r>
  <r>
    <x v="6"/>
    <n v="1.596558814009124"/>
    <n v="0.68"/>
    <n v="-0.10965909090909082"/>
    <n v="0"/>
    <n v="0"/>
    <n v="0"/>
    <n v="0"/>
    <n v="0"/>
    <n v="0"/>
    <n v="0"/>
  </r>
  <r>
    <x v="6"/>
    <n v="1.596558814009124"/>
    <n v="0.68"/>
    <n v="-0.10965909090909082"/>
    <n v="12.84"/>
    <n v="12.84"/>
    <n v="20499.815171877151"/>
    <n v="2668.6655999999998"/>
    <n v="609.37683115753646"/>
    <n v="1197.9316005471962"/>
    <n v="957.61592665404396"/>
  </r>
  <r>
    <x v="6"/>
    <n v="1.596558814009124"/>
    <n v="0.68"/>
    <n v="-0.10965909090909082"/>
    <n v="41.08"/>
    <n v="41.08"/>
    <n v="65586.636079494812"/>
    <n v="8538.0671999999995"/>
    <n v="1949.6261856660121"/>
    <n v="3832.6347469220259"/>
    <n v="3063.7743198557728"/>
  </r>
  <r>
    <x v="6"/>
    <n v="1.596558814009124"/>
    <n v="0.68"/>
    <n v="-0.10965909090909082"/>
    <n v="0.12"/>
    <n v="0.12"/>
    <n v="191.58705768109488"/>
    <n v="24.940799999999999"/>
    <n v="5.6951105715657606"/>
    <n v="11.195622435020525"/>
    <n v="8.9496815575144293"/>
  </r>
  <r>
    <x v="6"/>
    <n v="1.596558814009124"/>
    <n v="0.68"/>
    <n v="-0.10965909090909082"/>
    <n v="3.8"/>
    <n v="3.8"/>
    <n v="6066.9234932346708"/>
    <n v="789.79200000000003"/>
    <n v="180.34516809958242"/>
    <n v="354.52804377564991"/>
    <n v="283.40658265462361"/>
  </r>
  <r>
    <x v="6"/>
    <n v="1.596558814009124"/>
    <n v="0.68"/>
    <n v="-0.10965909090909082"/>
    <n v="2.68"/>
    <n v="2.68"/>
    <n v="4278.7776215444528"/>
    <n v="557.01120000000003"/>
    <n v="127.19080276496867"/>
    <n v="250.0355677154584"/>
    <n v="199.8762214511556"/>
  </r>
  <r>
    <x v="6"/>
    <n v="1.596558814009124"/>
    <n v="0.68"/>
    <n v="-0.10965909090909082"/>
    <n v="37.18"/>
    <n v="37.18"/>
    <n v="59360.056704859235"/>
    <n v="7727.4912000000004"/>
    <n v="1764.5350920901249"/>
    <n v="3468.7770177838593"/>
    <n v="2772.9096692365542"/>
  </r>
  <r>
    <x v="6"/>
    <n v="1.596558814009124"/>
    <n v="0.68"/>
    <n v="-0.10965909090909082"/>
    <n v="172.7"/>
    <n v="172.7"/>
    <n v="275725.70717937569"/>
    <n v="35893.968000000001"/>
    <n v="8196.2132975783898"/>
    <n v="16112.366621067038"/>
    <n v="12880.083374856182"/>
  </r>
  <r>
    <x v="7"/>
    <n v="1.5979902535425721"/>
    <n v="0.68"/>
    <n v="-0.10965909090909082"/>
    <n v="21.28"/>
    <n v="21.28"/>
    <n v="34005.232595385933"/>
    <n v="4422.8352000000004"/>
    <n v="1009.9329413576617"/>
    <n v="1985.3570451436399"/>
    <n v="1587.0768628658923"/>
  </r>
  <r>
    <x v="8"/>
    <n v="3.0850611236899645"/>
    <n v="0.56000000000000005"/>
    <n v="-0.10965909090909082"/>
    <n v="201.9"/>
    <n v="0"/>
    <n v="0"/>
    <n v="0"/>
    <n v="0"/>
    <n v="0"/>
    <n v="0"/>
  </r>
  <r>
    <x v="8"/>
    <n v="3.0850611236899645"/>
    <n v="0.56000000000000005"/>
    <n v="-0.10965909090909082"/>
    <n v="0.86"/>
    <n v="0.86"/>
    <n v="2653.1525663733696"/>
    <n v="178.7424"/>
    <n v="40.814959096221287"/>
    <n v="80.235294117647086"/>
    <n v="64.139384495520076"/>
  </r>
  <r>
    <x v="9"/>
    <n v="2.6496026057914581"/>
    <n v="0.68"/>
    <n v="-0.10965909090909082"/>
    <n v="0.26"/>
    <n v="0"/>
    <n v="0"/>
    <n v="0"/>
    <n v="0"/>
    <n v="0"/>
    <n v="0"/>
  </r>
  <r>
    <x v="9"/>
    <n v="2.6496026057914581"/>
    <n v="0.68"/>
    <n v="-0.10965909090909082"/>
    <n v="14.526"/>
    <n v="14.526"/>
    <n v="38488.127451726716"/>
    <n v="3019.0838399999998"/>
    <n v="689.39313468803539"/>
    <n v="1355.2300957592345"/>
    <n v="1083.3589525371217"/>
  </r>
  <r>
    <x v="9"/>
    <n v="2.6496026057914581"/>
    <n v="0.68"/>
    <n v="-0.10965909090909082"/>
    <n v="4.3940000000000001"/>
    <n v="4.3940000000000001"/>
    <n v="11642.353849847668"/>
    <n v="913.24896000000001"/>
    <n v="208.53596542883295"/>
    <n v="409.94637482900157"/>
    <n v="327.70750636432007"/>
  </r>
  <r>
    <x v="10"/>
    <n v="1.3082098231172592"/>
    <n v="0.68"/>
    <n v="-0.10965909090909082"/>
    <n v="46.72"/>
    <n v="46.72"/>
    <n v="61119.562936038346"/>
    <n v="9710.2847999999994"/>
    <n v="2217.2963825296029"/>
    <n v="4358.8290013679907"/>
    <n v="3484.4093530589512"/>
  </r>
  <r>
    <x v="10"/>
    <n v="1.3082098231172592"/>
    <n v="0.68"/>
    <n v="-0.10965909090909082"/>
    <n v="27.195"/>
    <n v="27.195"/>
    <n v="35576.766139673862"/>
    <n v="5652.2088000000003"/>
    <n v="1290.6544332810906"/>
    <n v="2537.2079343365263"/>
    <n v="2028.2215829717077"/>
  </r>
  <r>
    <x v="10"/>
    <n v="1.3082098231172592"/>
    <n v="0.68"/>
    <n v="-0.10965909090909082"/>
    <n v="40.94"/>
    <n v="40.94"/>
    <n v="53558.11015842059"/>
    <n v="8508.9696000000004"/>
    <n v="1942.9818899991853"/>
    <n v="3819.5731874145022"/>
    <n v="3053.3330247053395"/>
  </r>
  <r>
    <x v="11"/>
    <n v="1.8344310061156939"/>
    <n v="0.67"/>
    <n v="-0.10965909090909082"/>
    <n v="0"/>
    <n v="0"/>
    <n v="0"/>
    <n v="0"/>
    <n v="0"/>
    <n v="0"/>
    <n v="0"/>
  </r>
  <r>
    <x v="12"/>
    <n v="1.7319701269990091"/>
    <n v="0.71"/>
    <n v="-0.10965909090909082"/>
    <n v="612.58000000000004"/>
    <n v="612.58000000000004"/>
    <n v="1060970.2603970531"/>
    <n v="127318.62720000002"/>
    <n v="29072.590282747951"/>
    <n v="57151.786593707278"/>
    <n v="45686.6327375182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5115-E18E-481B-A865-5DAD4AF0A79E}" name="TablaDinámica37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7" firstHeaderRow="0" firstDataRow="1" firstDataCol="1"/>
  <pivotFields count="11">
    <pivotField axis="axisRow" showAll="0">
      <items count="14">
        <item x="3"/>
        <item x="4"/>
        <item x="0"/>
        <item x="10"/>
        <item x="6"/>
        <item x="5"/>
        <item x="2"/>
        <item x="8"/>
        <item x="9"/>
        <item x="7"/>
        <item x="1"/>
        <item x="11"/>
        <item x="12"/>
        <item t="default"/>
      </items>
    </pivotField>
    <pivotField numFmtId="164" showAll="0"/>
    <pivotField numFmtId="9" showAll="0"/>
    <pivotField numFmtId="9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5" baseField="0" baseItem="0" numFmtId="165"/>
    <dataField name="Suma de Costo Ventas" fld="6" baseField="0" baseItem="0" numFmtId="165"/>
    <dataField name="Suma de Gasto Ventas" fld="7" baseField="0" baseItem="0" numFmtId="165"/>
    <dataField name="Suma de Gasto ADM" fld="8" baseField="0" baseItem="0" numFmtId="165"/>
    <dataField name="Suma de Gasto Fin" fld="9" baseField="0" baseItem="0" numFmtId="165"/>
    <dataField name="Suma de Depreciación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6-08-03T21:04:12.65" personId="{412EE72E-E0A2-4807-BE94-4319D5C83CDE}" id="{50F63CC1-76E5-4346-A908-8762AC8E105A}">
    <text>Precio venta 1500</text>
  </threadedComment>
  <threadedComment ref="Q27" dT="2026-08-03T21:04:38.98" personId="{412EE72E-E0A2-4807-BE94-4319D5C83CDE}" id="{FF423EB7-BC1E-4000-8B34-A33858C22A28}">
    <text>Precio de venta 2275</text>
  </threadedComment>
  <threadedComment ref="Q28" dT="2026-08-03T21:04:24.79" personId="{412EE72E-E0A2-4807-BE94-4319D5C83CDE}" id="{DBB232DF-A6B3-4E50-B3FD-8C5A41394ACE}">
    <text>Precio venta 3400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6DBD-7AAB-4177-803C-85346AC17777}">
  <dimension ref="B2:BG57"/>
  <sheetViews>
    <sheetView showGridLines="0" tabSelected="1"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V43" sqref="V43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  <col min="24" max="25" width="11.5546875" customWidth="1" outlineLevel="1"/>
    <col min="26" max="35" width="12.6640625" customWidth="1" outlineLevel="1"/>
    <col min="37" max="37" width="13.77734375" bestFit="1" customWidth="1"/>
    <col min="38" max="38" width="14.88671875" bestFit="1" customWidth="1"/>
    <col min="39" max="44" width="12.6640625" customWidth="1" outlineLevel="1"/>
    <col min="45" max="45" width="12" bestFit="1" customWidth="1"/>
    <col min="50" max="50" width="14.77734375" customWidth="1"/>
    <col min="51" max="51" width="12.6640625" bestFit="1" customWidth="1"/>
    <col min="52" max="52" width="12.44140625" bestFit="1" customWidth="1"/>
    <col min="55" max="55" width="12.6640625" bestFit="1" customWidth="1"/>
    <col min="58" max="58" width="12.6640625" bestFit="1" customWidth="1"/>
  </cols>
  <sheetData>
    <row r="2" spans="2:59" ht="15.6" x14ac:dyDescent="0.3">
      <c r="C2" s="57" t="s">
        <v>98</v>
      </c>
    </row>
    <row r="3" spans="2:59" x14ac:dyDescent="0.3">
      <c r="C3" s="58" t="s">
        <v>134</v>
      </c>
      <c r="G3" s="53"/>
      <c r="M3" s="59"/>
      <c r="N3" s="53"/>
      <c r="O3" s="53"/>
      <c r="P3" s="53"/>
      <c r="R3" s="60"/>
    </row>
    <row r="4" spans="2:59" ht="15" thickBot="1" x14ac:dyDescent="0.35">
      <c r="C4" s="58"/>
      <c r="G4" s="60"/>
      <c r="M4" s="60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2"/>
      <c r="AV4" s="62"/>
    </row>
    <row r="5" spans="2:59" ht="15" thickBot="1" x14ac:dyDescent="0.35">
      <c r="F5" s="63" t="s">
        <v>99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5"/>
      <c r="X5" s="66">
        <v>46235</v>
      </c>
      <c r="Y5" s="66"/>
      <c r="Z5" s="66"/>
      <c r="AA5" s="67">
        <v>46245</v>
      </c>
      <c r="AB5" s="68"/>
      <c r="AC5" s="69"/>
      <c r="AD5" s="67">
        <v>46250</v>
      </c>
      <c r="AE5" s="68"/>
      <c r="AF5" s="69"/>
      <c r="AG5" s="67" t="s">
        <v>135</v>
      </c>
      <c r="AH5" s="68"/>
      <c r="AI5" s="69"/>
      <c r="AJ5" s="70" t="s">
        <v>100</v>
      </c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X5" s="72" t="s">
        <v>101</v>
      </c>
      <c r="AY5" s="73"/>
      <c r="AZ5" s="73"/>
      <c r="BA5" s="73"/>
      <c r="BB5" s="73"/>
      <c r="BC5" s="73"/>
      <c r="BD5" s="73"/>
      <c r="BE5" s="73"/>
      <c r="BF5" s="74"/>
    </row>
    <row r="6" spans="2:59" s="84" customFormat="1" ht="29.4" thickBot="1" x14ac:dyDescent="0.35">
      <c r="B6" s="75" t="s">
        <v>102</v>
      </c>
      <c r="C6" s="76" t="s">
        <v>103</v>
      </c>
      <c r="D6" s="77" t="s">
        <v>104</v>
      </c>
      <c r="E6" s="78" t="s">
        <v>105</v>
      </c>
      <c r="F6" s="79" t="s">
        <v>61</v>
      </c>
      <c r="G6" s="80" t="s">
        <v>62</v>
      </c>
      <c r="H6" s="80" t="s">
        <v>63</v>
      </c>
      <c r="I6" s="80" t="s">
        <v>64</v>
      </c>
      <c r="J6" s="80" t="s">
        <v>65</v>
      </c>
      <c r="K6" s="80" t="s">
        <v>66</v>
      </c>
      <c r="L6" s="81" t="s">
        <v>67</v>
      </c>
      <c r="M6" s="82" t="s">
        <v>106</v>
      </c>
      <c r="N6" s="82" t="s">
        <v>107</v>
      </c>
      <c r="O6" s="82" t="s">
        <v>108</v>
      </c>
      <c r="P6" s="82" t="s">
        <v>109</v>
      </c>
      <c r="Q6" s="83" t="s">
        <v>110</v>
      </c>
      <c r="R6" s="83" t="s">
        <v>111</v>
      </c>
      <c r="S6" s="83" t="s">
        <v>112</v>
      </c>
      <c r="T6" s="83" t="s">
        <v>113</v>
      </c>
      <c r="U6" s="83" t="s">
        <v>114</v>
      </c>
      <c r="V6" s="83" t="s">
        <v>115</v>
      </c>
      <c r="X6" s="8" t="s">
        <v>116</v>
      </c>
      <c r="Y6" s="85" t="s">
        <v>117</v>
      </c>
      <c r="Z6" s="86" t="s">
        <v>118</v>
      </c>
      <c r="AA6" s="8" t="s">
        <v>116</v>
      </c>
      <c r="AB6" s="85" t="s">
        <v>117</v>
      </c>
      <c r="AC6" s="86" t="s">
        <v>118</v>
      </c>
      <c r="AD6" s="8" t="s">
        <v>116</v>
      </c>
      <c r="AE6" s="85" t="s">
        <v>117</v>
      </c>
      <c r="AF6" s="86" t="s">
        <v>118</v>
      </c>
      <c r="AG6" s="8" t="s">
        <v>116</v>
      </c>
      <c r="AH6" s="85" t="s">
        <v>117</v>
      </c>
      <c r="AI6" s="86" t="s">
        <v>118</v>
      </c>
      <c r="AJ6" s="87" t="s">
        <v>116</v>
      </c>
      <c r="AK6" s="88" t="s">
        <v>117</v>
      </c>
      <c r="AL6" s="88" t="s">
        <v>118</v>
      </c>
      <c r="AM6" s="88" t="s">
        <v>61</v>
      </c>
      <c r="AN6" s="88" t="s">
        <v>62</v>
      </c>
      <c r="AO6" s="88" t="s">
        <v>119</v>
      </c>
      <c r="AP6" s="89" t="s">
        <v>64</v>
      </c>
      <c r="AQ6" s="88" t="s">
        <v>65</v>
      </c>
      <c r="AR6" s="88" t="s">
        <v>120</v>
      </c>
      <c r="AS6" s="89" t="s">
        <v>121</v>
      </c>
      <c r="AT6" s="88" t="s">
        <v>122</v>
      </c>
      <c r="AU6" s="88" t="s">
        <v>114</v>
      </c>
      <c r="AV6" s="89" t="s">
        <v>123</v>
      </c>
      <c r="AX6" s="90" t="s">
        <v>118</v>
      </c>
      <c r="AY6" s="90" t="s">
        <v>61</v>
      </c>
      <c r="AZ6" s="90" t="s">
        <v>62</v>
      </c>
      <c r="BA6" s="90" t="s">
        <v>119</v>
      </c>
      <c r="BB6" s="91" t="s">
        <v>64</v>
      </c>
      <c r="BC6" s="90" t="s">
        <v>65</v>
      </c>
      <c r="BD6" s="90" t="s">
        <v>120</v>
      </c>
      <c r="BE6" s="91" t="s">
        <v>121</v>
      </c>
      <c r="BF6" s="91" t="s">
        <v>114</v>
      </c>
    </row>
    <row r="7" spans="2:59" x14ac:dyDescent="0.3">
      <c r="B7" s="52">
        <v>10005721</v>
      </c>
      <c r="C7" s="55" t="s">
        <v>86</v>
      </c>
      <c r="D7" s="92">
        <f>TD!F4</f>
        <v>66.959999999999994</v>
      </c>
      <c r="E7" s="93">
        <f t="shared" ref="E7:E20" si="0">IFERROR(F7/D7,0)</f>
        <v>1834.4310061156937</v>
      </c>
      <c r="F7" s="49">
        <f>TD!G4</f>
        <v>122833.50016950683</v>
      </c>
      <c r="G7" s="53">
        <f>TD!H4</f>
        <v>13916.966399999999</v>
      </c>
      <c r="H7" s="53">
        <f>TD!I4</f>
        <v>3177.8716989336949</v>
      </c>
      <c r="I7" s="53">
        <f>TD!J4</f>
        <v>6247.1573187414533</v>
      </c>
      <c r="J7" s="53">
        <f>TD!K4</f>
        <v>4993.9223090930518</v>
      </c>
      <c r="K7" s="94">
        <v>0</v>
      </c>
      <c r="L7" s="95">
        <v>0</v>
      </c>
      <c r="M7" s="96">
        <f>F7+G7+H7+I7</f>
        <v>146175.49558718197</v>
      </c>
      <c r="N7" s="97">
        <f>IFERROR(M7/D7,0)</f>
        <v>2183.0271145039123</v>
      </c>
      <c r="O7" s="97">
        <f t="shared" ref="O7:O19" si="1">F7+G7+H7-J7</f>
        <v>134934.41595934745</v>
      </c>
      <c r="P7" s="97">
        <f t="shared" ref="P7:P20" si="2">IFERROR(O7/D7,0)</f>
        <v>2015.1495812327876</v>
      </c>
      <c r="Q7" s="98">
        <v>1800</v>
      </c>
      <c r="R7" s="98">
        <f>Q7*D7</f>
        <v>120527.99999999999</v>
      </c>
      <c r="S7" s="98">
        <f t="shared" ref="S7:S19" si="3">R7-M7</f>
        <v>-25647.495587181984</v>
      </c>
      <c r="T7" s="99">
        <f t="shared" ref="T7:T19" si="4">IFERROR(S7/R7,0)</f>
        <v>-0.21279284139106255</v>
      </c>
      <c r="U7" s="98">
        <f t="shared" ref="U7:U9" si="5">R7-(M7-J7-I7)</f>
        <v>-14406.415959347461</v>
      </c>
      <c r="V7" s="99">
        <f t="shared" ref="V7:V20" si="6">IFERROR(U7/R7,0)</f>
        <v>-0.11952754512932649</v>
      </c>
      <c r="X7" s="100" cm="1">
        <f t="array" ref="X7">SUM([2]Hoja6!$H$24:$H$28*([2]Hoja6!$E$24:$E$28=X$5)*($C7=[2]Hoja6!$J$24:$J$28))</f>
        <v>0</v>
      </c>
      <c r="Y7" s="100" cm="1">
        <f t="array" ref="Y7">SUM([2]Hoja6!$I$24:$I$28*([2]Hoja6!$E$24:$E$28=X$5)*($C7=[2]Hoja6!$J$24:$J$28))</f>
        <v>0</v>
      </c>
      <c r="Z7" s="101">
        <f>IFERROR(Y7/X7,0)</f>
        <v>0</v>
      </c>
      <c r="AA7" s="100" cm="1">
        <f t="array" ref="AA7">SUM([2]Hoja6!$H$24:$H$28*([2]Hoja6!$E$24:$E$28=AA$5)*($C7=[2]Hoja6!$J$24:$J$28))</f>
        <v>0</v>
      </c>
      <c r="AB7" s="100" cm="1">
        <f t="array" ref="AB7">SUM([2]Hoja6!$I$24:$I$28*([2]Hoja6!$E$24:$E$28=AA$5)*($C7=[2]Hoja6!$J$24:$J$28))</f>
        <v>0</v>
      </c>
      <c r="AC7" s="101">
        <f>IFERROR(AB7/AA7,0)</f>
        <v>0</v>
      </c>
      <c r="AD7" s="100" cm="1">
        <f t="array" ref="AD7">SUM([2]Hoja6!$H$24:$H$28*([2]Hoja6!$E$24:$E$28=AD$5)*($C7=[2]Hoja6!$J$24:$J$28))</f>
        <v>0</v>
      </c>
      <c r="AE7" s="100" cm="1">
        <f t="array" ref="AE7">SUM([2]Hoja6!$I$24:$I$28*([2]Hoja6!$E$24:$E$28=AD$5)*($C7=[2]Hoja6!$J$24:$J$28))</f>
        <v>0</v>
      </c>
      <c r="AF7" s="101">
        <f>IFERROR(AE7/AD7,0)</f>
        <v>0</v>
      </c>
      <c r="AG7" s="100" cm="1">
        <f t="array" ref="AG7">SUM([2]Hoja6!$H$24:$H$28*([2]Hoja6!$E$24:$E$28=AG$5)*($C7=[2]Hoja6!$J$24:$J$28))</f>
        <v>0</v>
      </c>
      <c r="AH7" s="100" cm="1">
        <f t="array" ref="AH7">SUM([2]Hoja6!$I$24:$I$28*([2]Hoja6!$E$24:$E$28=AG$5)*($C7=[2]Hoja6!$J$24:$J$28))</f>
        <v>0</v>
      </c>
      <c r="AI7" s="101">
        <f>IFERROR(AH7/AG7,0)</f>
        <v>0</v>
      </c>
      <c r="AJ7" s="102">
        <f t="shared" ref="AJ7:AJ19" si="7">X7+AA7+AD7+AG7</f>
        <v>0</v>
      </c>
      <c r="AK7" s="103">
        <f t="shared" ref="AK7:AK19" si="8">Y7+AB7+AE7+AH7</f>
        <v>0</v>
      </c>
      <c r="AL7" s="104">
        <f>IFERROR(AK7/AJ7,0)</f>
        <v>0</v>
      </c>
      <c r="AM7" s="103">
        <f t="shared" ref="AM7:AM19" si="9">-IFERROR(F7/D7*AJ7,0)</f>
        <v>0</v>
      </c>
      <c r="AN7" s="104">
        <f t="shared" ref="AN7:AN19" si="10">-207.84*AJ7</f>
        <v>0</v>
      </c>
      <c r="AO7" s="103">
        <f t="shared" ref="AO7:AO19" si="11">$AO$20/$AJ$20*$AJ7</f>
        <v>0</v>
      </c>
      <c r="AP7" s="104">
        <f t="shared" ref="AP7:AP19" si="12">$AP$20/$AJ$20*$AJ7</f>
        <v>0</v>
      </c>
      <c r="AQ7" s="103">
        <f t="shared" ref="AQ7:AQ19" si="13">$AQ$20/$AJ$20*$AJ7</f>
        <v>0</v>
      </c>
      <c r="AR7" s="104">
        <f t="shared" ref="AR7:AR19" si="14">(AK7-AJ7*$AO$21)*0.03</f>
        <v>0</v>
      </c>
      <c r="AS7" s="103">
        <f>AK7+SUM(AM7:AP7,AR7)</f>
        <v>0</v>
      </c>
      <c r="AT7" s="105">
        <f>IFERROR(AS7/AK7,0)</f>
        <v>0</v>
      </c>
      <c r="AU7" s="106">
        <f t="shared" ref="AU7:AU19" si="15">AK7+AM7+AN7+AO7+AR7-AQ7</f>
        <v>0</v>
      </c>
      <c r="AV7" s="107">
        <f t="shared" ref="AV7:AV20" si="16">IFERROR(AU7/AK7,0)</f>
        <v>0</v>
      </c>
      <c r="AX7" s="108">
        <f t="shared" ref="AX7:AX20" si="17">AL7</f>
        <v>0</v>
      </c>
      <c r="AY7" s="109">
        <f t="shared" ref="AY7:BE20" si="18">IFERROR(AM7/$AJ7,0)</f>
        <v>0</v>
      </c>
      <c r="AZ7" s="109">
        <f t="shared" si="18"/>
        <v>0</v>
      </c>
      <c r="BA7" s="109">
        <f>IFERROR(AO7/$AJ7,0)</f>
        <v>0</v>
      </c>
      <c r="BB7" s="109">
        <f t="shared" si="18"/>
        <v>0</v>
      </c>
      <c r="BC7" s="109">
        <f t="shared" si="18"/>
        <v>0</v>
      </c>
      <c r="BD7" s="109">
        <f t="shared" si="18"/>
        <v>0</v>
      </c>
      <c r="BE7" s="109">
        <f t="shared" si="18"/>
        <v>0</v>
      </c>
      <c r="BF7" s="109">
        <f t="shared" ref="BF7:BF20" si="19">IFERROR(AU7/$AJ7,0)</f>
        <v>0</v>
      </c>
      <c r="BG7" s="60"/>
    </row>
    <row r="8" spans="2:59" x14ac:dyDescent="0.3">
      <c r="B8" s="52">
        <v>10005779</v>
      </c>
      <c r="C8" s="56" t="s">
        <v>87</v>
      </c>
      <c r="D8" s="92">
        <f>TD!F5</f>
        <v>368.64</v>
      </c>
      <c r="E8" s="93">
        <f t="shared" si="0"/>
        <v>1483.4229685286577</v>
      </c>
      <c r="F8" s="53">
        <f>TD!G5</f>
        <v>546849.04311840434</v>
      </c>
      <c r="G8" s="53">
        <f>TD!H5</f>
        <v>76618.137600000002</v>
      </c>
      <c r="H8" s="53">
        <f>TD!I5</f>
        <v>17495.379675850018</v>
      </c>
      <c r="I8" s="53">
        <f>TD!J5</f>
        <v>34392.952120383059</v>
      </c>
      <c r="J8" s="53">
        <f>TD!K5</f>
        <v>27493.421744684329</v>
      </c>
      <c r="K8" s="94">
        <v>0</v>
      </c>
      <c r="L8" s="95">
        <v>0</v>
      </c>
      <c r="M8" s="96">
        <f t="shared" ref="M8:M19" si="20">F8+G8+H8+I8</f>
        <v>675355.51251463743</v>
      </c>
      <c r="N8" s="97">
        <f>IFERROR(M8/D8,0)</f>
        <v>1832.0190769168769</v>
      </c>
      <c r="O8" s="97">
        <f t="shared" si="1"/>
        <v>613469.13864957006</v>
      </c>
      <c r="P8" s="97">
        <f t="shared" si="2"/>
        <v>1664.1415436457521</v>
      </c>
      <c r="Q8" s="98">
        <v>1400</v>
      </c>
      <c r="R8" s="98">
        <f t="shared" ref="R8:R14" si="21">Q8*D8</f>
        <v>516096</v>
      </c>
      <c r="S8" s="98">
        <f t="shared" si="3"/>
        <v>-159259.51251463743</v>
      </c>
      <c r="T8" s="99">
        <f t="shared" si="4"/>
        <v>-0.30858505494062621</v>
      </c>
      <c r="U8" s="98">
        <f t="shared" si="5"/>
        <v>-97373.138649570057</v>
      </c>
      <c r="V8" s="99">
        <f t="shared" si="6"/>
        <v>-0.18867253117553723</v>
      </c>
      <c r="X8" s="100" cm="1">
        <f t="array" ref="X8">SUM([2]Hoja6!$H$24:$H$28*([2]Hoja6!$E$24:$E$28=X$5)*($C8=[2]Hoja6!$J$24:$J$28))</f>
        <v>0</v>
      </c>
      <c r="Y8" s="100" cm="1">
        <f t="array" ref="Y8">SUM([2]Hoja6!$I$24:$I$28*([2]Hoja6!$E$24:$E$28=X$5)*($C8=[2]Hoja6!$J$24:$J$28))</f>
        <v>0</v>
      </c>
      <c r="Z8" s="110">
        <f t="shared" ref="Z8:Z20" si="22">IFERROR(Y8/X8,0)</f>
        <v>0</v>
      </c>
      <c r="AA8" s="100" cm="1">
        <f t="array" ref="AA8">SUM([2]Hoja6!$H$24:$H$28*([2]Hoja6!$E$24:$E$28=AA$5)*($C8=[2]Hoja6!$J$24:$J$28))</f>
        <v>0</v>
      </c>
      <c r="AB8" s="100" cm="1">
        <f t="array" ref="AB8">SUM([2]Hoja6!$I$24:$I$28*([2]Hoja6!$E$24:$E$28=AA$5)*($C8=[2]Hoja6!$J$24:$J$28))</f>
        <v>0</v>
      </c>
      <c r="AC8" s="110">
        <f t="shared" ref="AC8:AC20" si="23">IFERROR(AB8/AA8,0)</f>
        <v>0</v>
      </c>
      <c r="AD8" s="100" cm="1">
        <f t="array" ref="AD8">SUM([2]Hoja6!$H$24:$H$28*([2]Hoja6!$E$24:$E$28=AD$5)*($C8=[2]Hoja6!$J$24:$J$28))</f>
        <v>0</v>
      </c>
      <c r="AE8" s="100" cm="1">
        <f t="array" ref="AE8">SUM([2]Hoja6!$I$24:$I$28*([2]Hoja6!$E$24:$E$28=AD$5)*($C8=[2]Hoja6!$J$24:$J$28))</f>
        <v>0</v>
      </c>
      <c r="AF8" s="110">
        <f t="shared" ref="AF8:AF20" si="24">IFERROR(AE8/AD8,0)</f>
        <v>0</v>
      </c>
      <c r="AG8" s="100" cm="1">
        <f t="array" ref="AG8">SUM([2]Hoja6!$H$24:$H$28*([2]Hoja6!$E$24:$E$28=AG$5)*($C8=[2]Hoja6!$J$24:$J$28))</f>
        <v>0</v>
      </c>
      <c r="AH8" s="100" cm="1">
        <f t="array" ref="AH8">SUM([2]Hoja6!$I$24:$I$28*([2]Hoja6!$E$24:$E$28=AG$5)*($C8=[2]Hoja6!$J$24:$J$28))</f>
        <v>0</v>
      </c>
      <c r="AI8" s="110">
        <f t="shared" ref="AI8:AI20" si="25">IFERROR(AH8/AG8,0)</f>
        <v>0</v>
      </c>
      <c r="AJ8" s="102">
        <f t="shared" si="7"/>
        <v>0</v>
      </c>
      <c r="AK8" s="103">
        <f t="shared" si="8"/>
        <v>0</v>
      </c>
      <c r="AL8" s="104">
        <f t="shared" ref="AL8:AL19" si="26">IFERROR(AK8/AJ8,0)</f>
        <v>0</v>
      </c>
      <c r="AM8" s="103">
        <f t="shared" si="9"/>
        <v>0</v>
      </c>
      <c r="AN8" s="104">
        <f t="shared" si="10"/>
        <v>0</v>
      </c>
      <c r="AO8" s="103">
        <f t="shared" si="11"/>
        <v>0</v>
      </c>
      <c r="AP8" s="104">
        <f t="shared" si="12"/>
        <v>0</v>
      </c>
      <c r="AQ8" s="103">
        <f t="shared" si="13"/>
        <v>0</v>
      </c>
      <c r="AR8" s="104">
        <f t="shared" si="14"/>
        <v>0</v>
      </c>
      <c r="AS8" s="103">
        <f t="shared" ref="AS8:AS16" si="27">AK8+SUM(AM8:AP8,AR8)</f>
        <v>0</v>
      </c>
      <c r="AT8" s="105">
        <f t="shared" ref="AT8:AT20" si="28">IFERROR(AS8/AK8,0)</f>
        <v>0</v>
      </c>
      <c r="AU8" s="106">
        <f t="shared" si="15"/>
        <v>0</v>
      </c>
      <c r="AV8" s="107">
        <f t="shared" si="16"/>
        <v>0</v>
      </c>
      <c r="AX8" s="108">
        <f t="shared" si="17"/>
        <v>0</v>
      </c>
      <c r="AY8" s="109">
        <f t="shared" si="18"/>
        <v>0</v>
      </c>
      <c r="AZ8" s="109">
        <f t="shared" si="18"/>
        <v>0</v>
      </c>
      <c r="BA8" s="109">
        <f t="shared" si="18"/>
        <v>0</v>
      </c>
      <c r="BB8" s="109">
        <f t="shared" si="18"/>
        <v>0</v>
      </c>
      <c r="BC8" s="109">
        <f t="shared" si="18"/>
        <v>0</v>
      </c>
      <c r="BD8" s="109">
        <f t="shared" si="18"/>
        <v>0</v>
      </c>
      <c r="BE8" s="109">
        <f t="shared" si="18"/>
        <v>0</v>
      </c>
      <c r="BF8" s="109">
        <f t="shared" si="19"/>
        <v>0</v>
      </c>
    </row>
    <row r="9" spans="2:59" x14ac:dyDescent="0.3">
      <c r="B9" s="52">
        <v>10006719</v>
      </c>
      <c r="C9" s="56" t="s">
        <v>88</v>
      </c>
      <c r="D9" s="92">
        <f>TD!F6</f>
        <v>17.899999999999999</v>
      </c>
      <c r="E9" s="93">
        <f t="shared" si="0"/>
        <v>1731.9701269990094</v>
      </c>
      <c r="F9" s="53">
        <f>TD!G6</f>
        <v>31002.265273282264</v>
      </c>
      <c r="G9" s="53">
        <f>TD!H6</f>
        <v>3720.3360000000002</v>
      </c>
      <c r="H9" s="53">
        <f>TD!I6</f>
        <v>849.52066025855936</v>
      </c>
      <c r="I9" s="53">
        <f>TD!J6</f>
        <v>1670.0136798905619</v>
      </c>
      <c r="J9" s="53">
        <f>TD!K6</f>
        <v>1334.9941656625692</v>
      </c>
      <c r="K9" s="94">
        <v>0</v>
      </c>
      <c r="L9" s="95">
        <v>0</v>
      </c>
      <c r="M9" s="96">
        <f t="shared" si="20"/>
        <v>37242.135613431383</v>
      </c>
      <c r="N9" s="97">
        <f t="shared" ref="N9:N14" si="29">IFERROR(M9/D9,0)</f>
        <v>2080.5662353872281</v>
      </c>
      <c r="O9" s="97">
        <f t="shared" si="1"/>
        <v>34237.127767878257</v>
      </c>
      <c r="P9" s="97">
        <f t="shared" si="2"/>
        <v>1912.688702116104</v>
      </c>
      <c r="Q9" s="98">
        <v>1950</v>
      </c>
      <c r="R9" s="98">
        <f t="shared" si="21"/>
        <v>34905</v>
      </c>
      <c r="S9" s="98">
        <f t="shared" si="3"/>
        <v>-2337.1356134313828</v>
      </c>
      <c r="T9" s="99">
        <f t="shared" si="4"/>
        <v>-6.6957043788322096E-2</v>
      </c>
      <c r="U9" s="98">
        <f t="shared" si="5"/>
        <v>667.87223212174285</v>
      </c>
      <c r="V9" s="99">
        <f t="shared" si="6"/>
        <v>1.9133998914818588E-2</v>
      </c>
      <c r="X9" s="100" cm="1">
        <f t="array" ref="X9">SUM([2]Hoja6!$H$24:$H$28*([2]Hoja6!$E$24:$E$28=X$5)*($C9=[2]Hoja6!$J$24:$J$28))</f>
        <v>0</v>
      </c>
      <c r="Y9" s="100" cm="1">
        <f t="array" ref="Y9">SUM([2]Hoja6!$I$24:$I$28*([2]Hoja6!$E$24:$E$28=X$5)*($C9=[2]Hoja6!$J$24:$J$28))</f>
        <v>0</v>
      </c>
      <c r="Z9" s="110">
        <f t="shared" si="22"/>
        <v>0</v>
      </c>
      <c r="AA9" s="100" cm="1">
        <f t="array" ref="AA9">SUM([2]Hoja6!$H$24:$H$28*([2]Hoja6!$E$24:$E$28=AA$5)*($C9=[2]Hoja6!$J$24:$J$28))</f>
        <v>27</v>
      </c>
      <c r="AB9" s="100" cm="1">
        <f t="array" ref="AB9">SUM([2]Hoja6!$I$24:$I$28*([2]Hoja6!$E$24:$E$28=AA$5)*($C9=[2]Hoja6!$J$24:$J$28))</f>
        <v>48600</v>
      </c>
      <c r="AC9" s="110">
        <f t="shared" si="23"/>
        <v>1800</v>
      </c>
      <c r="AD9" s="100" cm="1">
        <f t="array" ref="AD9">SUM([2]Hoja6!$H$24:$H$28*([2]Hoja6!$E$24:$E$28=AD$5)*($C9=[2]Hoja6!$J$24:$J$28))</f>
        <v>0</v>
      </c>
      <c r="AE9" s="100" cm="1">
        <f t="array" ref="AE9">SUM([2]Hoja6!$I$24:$I$28*([2]Hoja6!$E$24:$E$28=AD$5)*($C9=[2]Hoja6!$J$24:$J$28))</f>
        <v>0</v>
      </c>
      <c r="AF9" s="110">
        <f t="shared" si="24"/>
        <v>0</v>
      </c>
      <c r="AG9" s="100" cm="1">
        <f t="array" ref="AG9">SUM([2]Hoja6!$H$24:$H$28*([2]Hoja6!$E$24:$E$28=AG$5)*($C9=[2]Hoja6!$J$24:$J$28))</f>
        <v>0</v>
      </c>
      <c r="AH9" s="100" cm="1">
        <f t="array" ref="AH9">SUM([2]Hoja6!$I$24:$I$28*([2]Hoja6!$E$24:$E$28=AG$5)*($C9=[2]Hoja6!$J$24:$J$28))</f>
        <v>0</v>
      </c>
      <c r="AI9" s="110">
        <f t="shared" si="25"/>
        <v>0</v>
      </c>
      <c r="AJ9" s="102">
        <f t="shared" si="7"/>
        <v>27</v>
      </c>
      <c r="AK9" s="103">
        <f t="shared" si="8"/>
        <v>48600</v>
      </c>
      <c r="AL9" s="104">
        <f t="shared" si="26"/>
        <v>1800</v>
      </c>
      <c r="AM9" s="103">
        <f t="shared" si="9"/>
        <v>-46763.193428973253</v>
      </c>
      <c r="AN9" s="104">
        <f t="shared" si="10"/>
        <v>-5611.68</v>
      </c>
      <c r="AO9" s="103">
        <f t="shared" si="11"/>
        <v>-11410.309777347535</v>
      </c>
      <c r="AP9" s="104">
        <f t="shared" si="12"/>
        <v>-22430.735721200392</v>
      </c>
      <c r="AQ9" s="103">
        <f t="shared" si="13"/>
        <v>-17930.931752178127</v>
      </c>
      <c r="AR9" s="104">
        <f t="shared" si="14"/>
        <v>1365.5161322933989</v>
      </c>
      <c r="AS9" s="103">
        <f t="shared" si="27"/>
        <v>-36250.402795227783</v>
      </c>
      <c r="AT9" s="105">
        <f t="shared" si="28"/>
        <v>-0.7458930616302013</v>
      </c>
      <c r="AU9" s="106">
        <f t="shared" si="15"/>
        <v>4111.2646781507374</v>
      </c>
      <c r="AV9" s="107">
        <f t="shared" si="16"/>
        <v>8.4593923418739447E-2</v>
      </c>
      <c r="AX9" s="108">
        <f t="shared" si="17"/>
        <v>1800</v>
      </c>
      <c r="AY9" s="109">
        <f t="shared" si="18"/>
        <v>-1731.9701269990094</v>
      </c>
      <c r="AZ9" s="109">
        <f t="shared" si="18"/>
        <v>-207.84</v>
      </c>
      <c r="BA9" s="109">
        <f t="shared" si="18"/>
        <v>-422.6040658276865</v>
      </c>
      <c r="BB9" s="109">
        <f t="shared" si="18"/>
        <v>-830.76798967408854</v>
      </c>
      <c r="BC9" s="109">
        <f t="shared" si="18"/>
        <v>-664.10858341400467</v>
      </c>
      <c r="BD9" s="109">
        <f t="shared" si="18"/>
        <v>50.574671566422182</v>
      </c>
      <c r="BE9" s="109">
        <f t="shared" si="18"/>
        <v>-1342.6075109343624</v>
      </c>
      <c r="BF9" s="109">
        <f t="shared" si="19"/>
        <v>152.26906215373103</v>
      </c>
    </row>
    <row r="10" spans="2:59" x14ac:dyDescent="0.3">
      <c r="B10" s="52">
        <v>10007050</v>
      </c>
      <c r="C10" s="56" t="s">
        <v>89</v>
      </c>
      <c r="D10" s="92">
        <f>TD!F7</f>
        <v>114.85499999999999</v>
      </c>
      <c r="E10" s="93">
        <f t="shared" si="0"/>
        <v>1308.2098231172595</v>
      </c>
      <c r="F10" s="53">
        <f>TD!G7</f>
        <v>150254.43923413282</v>
      </c>
      <c r="G10" s="53">
        <f>TD!H7</f>
        <v>23871.463199999998</v>
      </c>
      <c r="H10" s="53">
        <f>TD!I7</f>
        <v>5450.9327058098788</v>
      </c>
      <c r="I10" s="53">
        <f>TD!J7</f>
        <v>10715.610123119019</v>
      </c>
      <c r="J10" s="53">
        <f>TD!K7</f>
        <v>8565.9639607359986</v>
      </c>
      <c r="K10" s="94">
        <v>0</v>
      </c>
      <c r="L10" s="95">
        <v>0</v>
      </c>
      <c r="M10" s="96">
        <f t="shared" si="20"/>
        <v>190292.44526306173</v>
      </c>
      <c r="N10" s="97">
        <f t="shared" si="29"/>
        <v>1656.8059315054786</v>
      </c>
      <c r="O10" s="97">
        <f t="shared" si="1"/>
        <v>171010.8711792067</v>
      </c>
      <c r="P10" s="97">
        <f t="shared" si="2"/>
        <v>1488.9283982343538</v>
      </c>
      <c r="Q10" s="98">
        <v>1700</v>
      </c>
      <c r="R10" s="98">
        <f t="shared" si="21"/>
        <v>195253.49999999997</v>
      </c>
      <c r="S10" s="98">
        <f t="shared" si="3"/>
        <v>4961.0547369382402</v>
      </c>
      <c r="T10" s="99">
        <f t="shared" si="4"/>
        <v>2.5408275585012515E-2</v>
      </c>
      <c r="U10" s="98">
        <f>R10-(M10-J10-I10)</f>
        <v>24242.628820793267</v>
      </c>
      <c r="V10" s="99">
        <f t="shared" si="6"/>
        <v>0.12415976574449764</v>
      </c>
      <c r="X10" s="100" cm="1">
        <f t="array" ref="X10">SUM([2]Hoja6!$H$24:$H$28*([2]Hoja6!$E$24:$E$28=X$5)*($C10=[2]Hoja6!$J$24:$J$28))</f>
        <v>0</v>
      </c>
      <c r="Y10" s="100" cm="1">
        <f t="array" ref="Y10">SUM([2]Hoja6!$I$24:$I$28*([2]Hoja6!$E$24:$E$28=X$5)*($C10=[2]Hoja6!$J$24:$J$28))</f>
        <v>0</v>
      </c>
      <c r="Z10" s="110">
        <f t="shared" si="22"/>
        <v>0</v>
      </c>
      <c r="AA10" s="100" cm="1">
        <f t="array" ref="AA10">SUM([2]Hoja6!$H$24:$H$28*([2]Hoja6!$E$24:$E$28=AA$5)*($C10=[2]Hoja6!$J$24:$J$28))</f>
        <v>0</v>
      </c>
      <c r="AB10" s="100" cm="1">
        <f t="array" ref="AB10">SUM([2]Hoja6!$I$24:$I$28*([2]Hoja6!$E$24:$E$28=AA$5)*($C10=[2]Hoja6!$J$24:$J$28))</f>
        <v>0</v>
      </c>
      <c r="AC10" s="110">
        <f t="shared" si="23"/>
        <v>0</v>
      </c>
      <c r="AD10" s="100" cm="1">
        <f t="array" ref="AD10">SUM([2]Hoja6!$H$24:$H$28*([2]Hoja6!$E$24:$E$28=AD$5)*($C10=[2]Hoja6!$J$24:$J$28))</f>
        <v>0</v>
      </c>
      <c r="AE10" s="100" cm="1">
        <f t="array" ref="AE10">SUM([2]Hoja6!$I$24:$I$28*([2]Hoja6!$E$24:$E$28=AD$5)*($C10=[2]Hoja6!$J$24:$J$28))</f>
        <v>0</v>
      </c>
      <c r="AF10" s="110">
        <f t="shared" si="24"/>
        <v>0</v>
      </c>
      <c r="AG10" s="100" cm="1">
        <f t="array" ref="AG10">SUM([2]Hoja6!$H$24:$H$28*([2]Hoja6!$E$24:$E$28=AG$5)*($C10=[2]Hoja6!$J$24:$J$28))</f>
        <v>0</v>
      </c>
      <c r="AH10" s="100" cm="1">
        <f t="array" ref="AH10">SUM([2]Hoja6!$I$24:$I$28*([2]Hoja6!$E$24:$E$28=AG$5)*($C10=[2]Hoja6!$J$24:$J$28))</f>
        <v>0</v>
      </c>
      <c r="AI10" s="110">
        <f t="shared" si="25"/>
        <v>0</v>
      </c>
      <c r="AJ10" s="102">
        <f t="shared" si="7"/>
        <v>0</v>
      </c>
      <c r="AK10" s="103">
        <f t="shared" si="8"/>
        <v>0</v>
      </c>
      <c r="AL10" s="104">
        <f t="shared" si="26"/>
        <v>0</v>
      </c>
      <c r="AM10" s="103">
        <f t="shared" si="9"/>
        <v>0</v>
      </c>
      <c r="AN10" s="104">
        <f t="shared" si="10"/>
        <v>0</v>
      </c>
      <c r="AO10" s="103">
        <f t="shared" si="11"/>
        <v>0</v>
      </c>
      <c r="AP10" s="104">
        <f t="shared" si="12"/>
        <v>0</v>
      </c>
      <c r="AQ10" s="103">
        <f t="shared" si="13"/>
        <v>0</v>
      </c>
      <c r="AR10" s="104">
        <f t="shared" si="14"/>
        <v>0</v>
      </c>
      <c r="AS10" s="103">
        <f>AK10+SUM(AM10:AP10,AR10)</f>
        <v>0</v>
      </c>
      <c r="AT10" s="105">
        <f t="shared" si="28"/>
        <v>0</v>
      </c>
      <c r="AU10" s="106">
        <f t="shared" si="15"/>
        <v>0</v>
      </c>
      <c r="AV10" s="107">
        <f t="shared" si="16"/>
        <v>0</v>
      </c>
      <c r="AX10" s="108">
        <f t="shared" si="17"/>
        <v>0</v>
      </c>
      <c r="AY10" s="109">
        <f t="shared" si="18"/>
        <v>0</v>
      </c>
      <c r="AZ10" s="109">
        <f t="shared" si="18"/>
        <v>0</v>
      </c>
      <c r="BA10" s="109">
        <f t="shared" si="18"/>
        <v>0</v>
      </c>
      <c r="BB10" s="109">
        <f t="shared" si="18"/>
        <v>0</v>
      </c>
      <c r="BC10" s="109">
        <f t="shared" si="18"/>
        <v>0</v>
      </c>
      <c r="BD10" s="109">
        <f t="shared" si="18"/>
        <v>0</v>
      </c>
      <c r="BE10" s="109">
        <f t="shared" si="18"/>
        <v>0</v>
      </c>
      <c r="BF10" s="109">
        <f t="shared" si="19"/>
        <v>0</v>
      </c>
    </row>
    <row r="11" spans="2:59" x14ac:dyDescent="0.3">
      <c r="B11" s="52">
        <v>10007162</v>
      </c>
      <c r="C11" s="56" t="s">
        <v>90</v>
      </c>
      <c r="D11" s="92">
        <f>TD!F8</f>
        <v>270.39999999999998</v>
      </c>
      <c r="E11" s="93">
        <f t="shared" si="0"/>
        <v>1596.558814009124</v>
      </c>
      <c r="F11" s="53">
        <f>TD!G8</f>
        <v>431709.5033080671</v>
      </c>
      <c r="G11" s="53">
        <f>TD!H8</f>
        <v>56199.936000000002</v>
      </c>
      <c r="H11" s="53">
        <f>TD!I8</f>
        <v>12832.98248792818</v>
      </c>
      <c r="I11" s="53">
        <f>TD!J8</f>
        <v>25227.469220246247</v>
      </c>
      <c r="J11" s="53">
        <f>TD!K8</f>
        <v>20166.615776265848</v>
      </c>
      <c r="K11" s="94">
        <v>0</v>
      </c>
      <c r="L11" s="95">
        <v>0</v>
      </c>
      <c r="M11" s="96">
        <f t="shared" si="20"/>
        <v>525969.89101624151</v>
      </c>
      <c r="N11" s="97">
        <f t="shared" si="29"/>
        <v>1945.1549223973429</v>
      </c>
      <c r="O11" s="97">
        <f t="shared" si="1"/>
        <v>480575.80601972941</v>
      </c>
      <c r="P11" s="97">
        <f t="shared" si="2"/>
        <v>1777.2773891262184</v>
      </c>
      <c r="Q11" s="98">
        <v>2700</v>
      </c>
      <c r="R11" s="98">
        <f t="shared" si="21"/>
        <v>730079.99999999988</v>
      </c>
      <c r="S11" s="98">
        <f t="shared" si="3"/>
        <v>204110.10898375837</v>
      </c>
      <c r="T11" s="99">
        <f t="shared" si="4"/>
        <v>0.27957225096394694</v>
      </c>
      <c r="U11" s="98">
        <f t="shared" ref="U11:U19" si="30">R11-(M11-J11-I11)</f>
        <v>249504.19398027047</v>
      </c>
      <c r="V11" s="99">
        <f t="shared" si="6"/>
        <v>0.34174911513843759</v>
      </c>
      <c r="X11" s="100" cm="1">
        <f t="array" ref="X11">SUM([2]Hoja6!$H$24:$H$28*([2]Hoja6!$E$24:$E$28=X$5)*($C11=[2]Hoja6!$J$24:$J$28))</f>
        <v>81</v>
      </c>
      <c r="Y11" s="100" cm="1">
        <f t="array" ref="Y11">SUM([2]Hoja6!$I$24:$I$28*([2]Hoja6!$E$24:$E$28=X$5)*($C11=[2]Hoja6!$J$24:$J$28))</f>
        <v>213300</v>
      </c>
      <c r="Z11" s="110">
        <f t="shared" si="22"/>
        <v>2633.3333333333335</v>
      </c>
      <c r="AA11" s="100" cm="1">
        <f t="array" ref="AA11">SUM([2]Hoja6!$H$24:$H$28*([2]Hoja6!$E$24:$E$28=AA$5)*($C11=[2]Hoja6!$J$24:$J$28))</f>
        <v>0</v>
      </c>
      <c r="AB11" s="100" cm="1">
        <f t="array" ref="AB11">SUM([2]Hoja6!$I$24:$I$28*([2]Hoja6!$E$24:$E$28=AA$5)*($C11=[2]Hoja6!$J$24:$J$28))</f>
        <v>0</v>
      </c>
      <c r="AC11" s="110">
        <f t="shared" si="23"/>
        <v>0</v>
      </c>
      <c r="AD11" s="100" cm="1">
        <f t="array" ref="AD11">SUM([2]Hoja6!$H$24:$H$28*([2]Hoja6!$E$24:$E$28=AD$5)*($C11=[2]Hoja6!$J$24:$J$28))</f>
        <v>0</v>
      </c>
      <c r="AE11" s="100" cm="1">
        <f t="array" ref="AE11">SUM([2]Hoja6!$I$24:$I$28*([2]Hoja6!$E$24:$E$28=AD$5)*($C11=[2]Hoja6!$J$24:$J$28))</f>
        <v>0</v>
      </c>
      <c r="AF11" s="110">
        <f t="shared" si="24"/>
        <v>0</v>
      </c>
      <c r="AG11" s="100" cm="1">
        <f t="array" ref="AG11">SUM([2]Hoja6!$H$24:$H$28*([2]Hoja6!$E$24:$E$28=AG$5)*($C11=[2]Hoja6!$J$24:$J$28))</f>
        <v>0</v>
      </c>
      <c r="AH11" s="100" cm="1">
        <f t="array" ref="AH11">SUM([2]Hoja6!$I$24:$I$28*([2]Hoja6!$E$24:$E$28=AG$5)*($C11=[2]Hoja6!$J$24:$J$28))</f>
        <v>0</v>
      </c>
      <c r="AI11" s="110">
        <f t="shared" si="25"/>
        <v>0</v>
      </c>
      <c r="AJ11" s="102">
        <f t="shared" si="7"/>
        <v>81</v>
      </c>
      <c r="AK11" s="103">
        <f t="shared" si="8"/>
        <v>213300</v>
      </c>
      <c r="AL11" s="104">
        <f t="shared" si="26"/>
        <v>2633.3333333333335</v>
      </c>
      <c r="AM11" s="103">
        <f t="shared" si="9"/>
        <v>-129321.26393473905</v>
      </c>
      <c r="AN11" s="104">
        <f t="shared" si="10"/>
        <v>-16835.04</v>
      </c>
      <c r="AO11" s="103">
        <f t="shared" si="11"/>
        <v>-34230.9293320426</v>
      </c>
      <c r="AP11" s="104">
        <f t="shared" si="12"/>
        <v>-67292.207163601168</v>
      </c>
      <c r="AQ11" s="103">
        <f t="shared" si="13"/>
        <v>-53792.79525653438</v>
      </c>
      <c r="AR11" s="104">
        <f t="shared" si="14"/>
        <v>6121.5483968801964</v>
      </c>
      <c r="AS11" s="103">
        <f t="shared" ref="AS11:AS19" si="31">AK11+SUM(AM11:AP11,AR11)</f>
        <v>-28257.892033502663</v>
      </c>
      <c r="AT11" s="105">
        <f t="shared" si="28"/>
        <v>-0.13247956883967493</v>
      </c>
      <c r="AU11" s="106">
        <f t="shared" si="15"/>
        <v>92827.110386632907</v>
      </c>
      <c r="AV11" s="107">
        <f t="shared" si="16"/>
        <v>0.43519507916846184</v>
      </c>
      <c r="AX11" s="108">
        <f t="shared" si="17"/>
        <v>2633.3333333333335</v>
      </c>
      <c r="AY11" s="109">
        <f t="shared" si="18"/>
        <v>-1596.558814009124</v>
      </c>
      <c r="AZ11" s="109">
        <f t="shared" si="18"/>
        <v>-207.84</v>
      </c>
      <c r="BA11" s="109">
        <f t="shared" si="18"/>
        <v>-422.60406582768644</v>
      </c>
      <c r="BB11" s="109">
        <f t="shared" si="18"/>
        <v>-830.76798967408854</v>
      </c>
      <c r="BC11" s="109">
        <f t="shared" si="18"/>
        <v>-664.10858341400467</v>
      </c>
      <c r="BD11" s="109">
        <f t="shared" si="18"/>
        <v>75.574671566422182</v>
      </c>
      <c r="BE11" s="109">
        <f t="shared" si="18"/>
        <v>-348.862864611144</v>
      </c>
      <c r="BF11" s="109">
        <f t="shared" si="19"/>
        <v>1146.0137084769494</v>
      </c>
    </row>
    <row r="12" spans="2:59" x14ac:dyDescent="0.3">
      <c r="B12" s="52">
        <v>10007567</v>
      </c>
      <c r="C12" s="56" t="s">
        <v>91</v>
      </c>
      <c r="D12" s="92">
        <f>TD!F9</f>
        <v>132.38</v>
      </c>
      <c r="E12" s="93">
        <f t="shared" si="0"/>
        <v>1540.1636690456849</v>
      </c>
      <c r="F12" s="53">
        <f>TD!G9</f>
        <v>203886.86650826776</v>
      </c>
      <c r="G12" s="53">
        <f>TD!H9</f>
        <v>27513.859199999999</v>
      </c>
      <c r="H12" s="53">
        <f>TD!I9</f>
        <v>6282.6561455322953</v>
      </c>
      <c r="I12" s="53">
        <f>TD!J9</f>
        <v>12350.637482900142</v>
      </c>
      <c r="J12" s="53">
        <f>TD!K9</f>
        <v>9872.9903715313339</v>
      </c>
      <c r="K12" s="94">
        <v>0</v>
      </c>
      <c r="L12" s="95">
        <v>0</v>
      </c>
      <c r="M12" s="96">
        <f t="shared" si="20"/>
        <v>250034.01933670021</v>
      </c>
      <c r="N12" s="97">
        <f t="shared" si="29"/>
        <v>1888.759777433904</v>
      </c>
      <c r="O12" s="97">
        <f t="shared" si="1"/>
        <v>227810.39148226872</v>
      </c>
      <c r="P12" s="97">
        <f t="shared" si="2"/>
        <v>1720.8822441627794</v>
      </c>
      <c r="Q12" s="98">
        <v>2800</v>
      </c>
      <c r="R12" s="98">
        <f t="shared" si="21"/>
        <v>370664</v>
      </c>
      <c r="S12" s="98">
        <f t="shared" si="3"/>
        <v>120629.98066329979</v>
      </c>
      <c r="T12" s="99">
        <f t="shared" si="4"/>
        <v>0.32544293663074858</v>
      </c>
      <c r="U12" s="98">
        <f t="shared" si="30"/>
        <v>142853.60851773128</v>
      </c>
      <c r="V12" s="99">
        <f t="shared" si="6"/>
        <v>0.38539919851329313</v>
      </c>
      <c r="X12" s="100" cm="1">
        <f t="array" ref="X12">SUM([2]Hoja6!$H$24:$H$28*([2]Hoja6!$E$24:$E$28=X$5)*($C12=[2]Hoja6!$J$24:$J$28))</f>
        <v>0</v>
      </c>
      <c r="Y12" s="100" cm="1">
        <f t="array" ref="Y12">SUM([2]Hoja6!$I$24:$I$28*([2]Hoja6!$E$24:$E$28=X$5)*($C12=[2]Hoja6!$J$24:$J$28))</f>
        <v>0</v>
      </c>
      <c r="Z12" s="110">
        <f t="shared" si="22"/>
        <v>0</v>
      </c>
      <c r="AA12" s="100" cm="1">
        <f t="array" ref="AA12">SUM([2]Hoja6!$H$24:$H$28*([2]Hoja6!$E$24:$E$28=AA$5)*($C12=[2]Hoja6!$J$24:$J$28))</f>
        <v>0</v>
      </c>
      <c r="AB12" s="100" cm="1">
        <f t="array" ref="AB12">SUM([2]Hoja6!$I$24:$I$28*([2]Hoja6!$E$24:$E$28=AA$5)*($C12=[2]Hoja6!$J$24:$J$28))</f>
        <v>0</v>
      </c>
      <c r="AC12" s="110">
        <f t="shared" si="23"/>
        <v>0</v>
      </c>
      <c r="AD12" s="100" cm="1">
        <f t="array" ref="AD12">SUM([2]Hoja6!$H$24:$H$28*([2]Hoja6!$E$24:$E$28=AD$5)*($C12=[2]Hoja6!$J$24:$J$28))</f>
        <v>0</v>
      </c>
      <c r="AE12" s="100" cm="1">
        <f t="array" ref="AE12">SUM([2]Hoja6!$I$24:$I$28*([2]Hoja6!$E$24:$E$28=AD$5)*($C12=[2]Hoja6!$J$24:$J$28))</f>
        <v>0</v>
      </c>
      <c r="AF12" s="110">
        <f t="shared" si="24"/>
        <v>0</v>
      </c>
      <c r="AG12" s="100" cm="1">
        <f t="array" ref="AG12">SUM([2]Hoja6!$H$24:$H$28*([2]Hoja6!$E$24:$E$28=AG$5)*($C12=[2]Hoja6!$J$24:$J$28))</f>
        <v>0</v>
      </c>
      <c r="AH12" s="100" cm="1">
        <f t="array" ref="AH12">SUM([2]Hoja6!$I$24:$I$28*([2]Hoja6!$E$24:$E$28=AG$5)*($C12=[2]Hoja6!$J$24:$J$28))</f>
        <v>0</v>
      </c>
      <c r="AI12" s="110">
        <f t="shared" si="25"/>
        <v>0</v>
      </c>
      <c r="AJ12" s="102">
        <f t="shared" si="7"/>
        <v>0</v>
      </c>
      <c r="AK12" s="103">
        <f t="shared" si="8"/>
        <v>0</v>
      </c>
      <c r="AL12" s="104">
        <f t="shared" si="26"/>
        <v>0</v>
      </c>
      <c r="AM12" s="103">
        <f t="shared" si="9"/>
        <v>0</v>
      </c>
      <c r="AN12" s="104">
        <f t="shared" si="10"/>
        <v>0</v>
      </c>
      <c r="AO12" s="103">
        <f t="shared" si="11"/>
        <v>0</v>
      </c>
      <c r="AP12" s="104">
        <f t="shared" si="12"/>
        <v>0</v>
      </c>
      <c r="AQ12" s="103">
        <f t="shared" si="13"/>
        <v>0</v>
      </c>
      <c r="AR12" s="104">
        <f t="shared" si="14"/>
        <v>0</v>
      </c>
      <c r="AS12" s="103">
        <f t="shared" si="31"/>
        <v>0</v>
      </c>
      <c r="AT12" s="105">
        <f t="shared" si="28"/>
        <v>0</v>
      </c>
      <c r="AU12" s="106">
        <f t="shared" si="15"/>
        <v>0</v>
      </c>
      <c r="AV12" s="107">
        <f t="shared" si="16"/>
        <v>0</v>
      </c>
      <c r="AX12" s="108">
        <f t="shared" si="17"/>
        <v>0</v>
      </c>
      <c r="AY12" s="109">
        <f t="shared" si="18"/>
        <v>0</v>
      </c>
      <c r="AZ12" s="109">
        <f t="shared" si="18"/>
        <v>0</v>
      </c>
      <c r="BA12" s="109">
        <f t="shared" si="18"/>
        <v>0</v>
      </c>
      <c r="BB12" s="109">
        <f t="shared" si="18"/>
        <v>0</v>
      </c>
      <c r="BC12" s="109">
        <f t="shared" si="18"/>
        <v>0</v>
      </c>
      <c r="BD12" s="109">
        <f t="shared" si="18"/>
        <v>0</v>
      </c>
      <c r="BE12" s="109">
        <f t="shared" si="18"/>
        <v>0</v>
      </c>
      <c r="BF12" s="109">
        <f t="shared" si="19"/>
        <v>0</v>
      </c>
    </row>
    <row r="13" spans="2:59" x14ac:dyDescent="0.3">
      <c r="B13" s="52">
        <v>10007969</v>
      </c>
      <c r="C13" s="56" t="s">
        <v>9</v>
      </c>
      <c r="D13" s="92">
        <f>TD!F10</f>
        <v>0</v>
      </c>
      <c r="E13" s="93">
        <f t="shared" si="0"/>
        <v>0</v>
      </c>
      <c r="F13" s="53">
        <f>TD!G10</f>
        <v>0</v>
      </c>
      <c r="G13" s="53">
        <f>TD!H10</f>
        <v>0</v>
      </c>
      <c r="H13" s="53">
        <f>TD!I10</f>
        <v>0</v>
      </c>
      <c r="I13" s="53">
        <f>TD!J10</f>
        <v>0</v>
      </c>
      <c r="J13" s="53">
        <f>TD!K10</f>
        <v>0</v>
      </c>
      <c r="K13" s="94">
        <v>0</v>
      </c>
      <c r="L13" s="95">
        <v>0</v>
      </c>
      <c r="M13" s="96">
        <f t="shared" si="20"/>
        <v>0</v>
      </c>
      <c r="N13" s="97">
        <f t="shared" si="29"/>
        <v>0</v>
      </c>
      <c r="O13" s="97">
        <f t="shared" si="1"/>
        <v>0</v>
      </c>
      <c r="P13" s="97">
        <f t="shared" si="2"/>
        <v>0</v>
      </c>
      <c r="Q13" s="98">
        <v>1700</v>
      </c>
      <c r="R13" s="98">
        <f t="shared" si="21"/>
        <v>0</v>
      </c>
      <c r="S13" s="98">
        <f t="shared" si="3"/>
        <v>0</v>
      </c>
      <c r="T13" s="99">
        <f t="shared" si="4"/>
        <v>0</v>
      </c>
      <c r="U13" s="98">
        <f t="shared" si="30"/>
        <v>0</v>
      </c>
      <c r="V13" s="99">
        <f t="shared" si="6"/>
        <v>0</v>
      </c>
      <c r="X13" s="100" cm="1">
        <f t="array" ref="X13">SUM([2]Hoja6!$H$24:$H$28*([2]Hoja6!$E$24:$E$28=X$5)*($C13=[2]Hoja6!$J$24:$J$28))</f>
        <v>26.4</v>
      </c>
      <c r="Y13" s="100" cm="1">
        <f t="array" ref="Y13">SUM([2]Hoja6!$I$24:$I$28*([2]Hoja6!$E$24:$E$28=X$5)*($C13=[2]Hoja6!$J$24:$J$28))</f>
        <v>42240</v>
      </c>
      <c r="Z13" s="110">
        <f t="shared" si="22"/>
        <v>1600</v>
      </c>
      <c r="AA13" s="100" cm="1">
        <f t="array" ref="AA13">SUM([2]Hoja6!$H$24:$H$28*([2]Hoja6!$E$24:$E$28=AA$5)*($C13=[2]Hoja6!$J$24:$J$28))</f>
        <v>0</v>
      </c>
      <c r="AB13" s="100" cm="1">
        <f t="array" ref="AB13">SUM([2]Hoja6!$I$24:$I$28*([2]Hoja6!$E$24:$E$28=AA$5)*($C13=[2]Hoja6!$J$24:$J$28))</f>
        <v>0</v>
      </c>
      <c r="AC13" s="110">
        <f t="shared" si="23"/>
        <v>0</v>
      </c>
      <c r="AD13" s="100" cm="1">
        <f t="array" ref="AD13">SUM([2]Hoja6!$H$24:$H$28*([2]Hoja6!$E$24:$E$28=AD$5)*($C13=[2]Hoja6!$J$24:$J$28))</f>
        <v>0</v>
      </c>
      <c r="AE13" s="100" cm="1">
        <f t="array" ref="AE13">SUM([2]Hoja6!$I$24:$I$28*([2]Hoja6!$E$24:$E$28=AD$5)*($C13=[2]Hoja6!$J$24:$J$28))</f>
        <v>0</v>
      </c>
      <c r="AF13" s="110">
        <f t="shared" si="24"/>
        <v>0</v>
      </c>
      <c r="AG13" s="100" cm="1">
        <f t="array" ref="AG13">SUM([2]Hoja6!$H$24:$H$28*([2]Hoja6!$E$24:$E$28=AG$5)*($C13=[2]Hoja6!$J$24:$J$28))</f>
        <v>0</v>
      </c>
      <c r="AH13" s="100" cm="1">
        <f t="array" ref="AH13">SUM([2]Hoja6!$I$24:$I$28*([2]Hoja6!$E$24:$E$28=AG$5)*($C13=[2]Hoja6!$J$24:$J$28))</f>
        <v>0</v>
      </c>
      <c r="AI13" s="110">
        <f t="shared" si="25"/>
        <v>0</v>
      </c>
      <c r="AJ13" s="102">
        <f t="shared" si="7"/>
        <v>26.4</v>
      </c>
      <c r="AK13" s="103">
        <f t="shared" si="8"/>
        <v>42240</v>
      </c>
      <c r="AL13" s="104">
        <f t="shared" si="26"/>
        <v>1600</v>
      </c>
      <c r="AM13" s="103">
        <f t="shared" si="9"/>
        <v>0</v>
      </c>
      <c r="AN13" s="104">
        <f t="shared" si="10"/>
        <v>-5486.9759999999997</v>
      </c>
      <c r="AO13" s="103">
        <f t="shared" si="11"/>
        <v>-11156.747337850922</v>
      </c>
      <c r="AP13" s="104">
        <f t="shared" si="12"/>
        <v>-21932.274927395938</v>
      </c>
      <c r="AQ13" s="103">
        <f t="shared" si="13"/>
        <v>-17532.466602129723</v>
      </c>
      <c r="AR13" s="104">
        <f t="shared" si="14"/>
        <v>1176.7713293535455</v>
      </c>
      <c r="AS13" s="103">
        <f t="shared" si="31"/>
        <v>4840.7730641066883</v>
      </c>
      <c r="AT13" s="105">
        <f t="shared" si="28"/>
        <v>0.11460163504040455</v>
      </c>
      <c r="AU13" s="106">
        <f t="shared" si="15"/>
        <v>44305.514593632339</v>
      </c>
      <c r="AV13" s="107">
        <f t="shared" si="16"/>
        <v>1.0488994932204625</v>
      </c>
      <c r="AX13" s="108">
        <f t="shared" si="17"/>
        <v>1600</v>
      </c>
      <c r="AY13" s="109">
        <f t="shared" si="18"/>
        <v>0</v>
      </c>
      <c r="AZ13" s="109">
        <f t="shared" si="18"/>
        <v>-207.84</v>
      </c>
      <c r="BA13" s="109">
        <f t="shared" si="18"/>
        <v>-422.60406582768644</v>
      </c>
      <c r="BB13" s="109">
        <f t="shared" si="18"/>
        <v>-830.76798967408865</v>
      </c>
      <c r="BC13" s="109">
        <f t="shared" si="18"/>
        <v>-664.10858341400467</v>
      </c>
      <c r="BD13" s="109">
        <f t="shared" si="18"/>
        <v>44.574671566422182</v>
      </c>
      <c r="BE13" s="109">
        <f t="shared" si="18"/>
        <v>183.36261606464728</v>
      </c>
      <c r="BF13" s="109">
        <f t="shared" si="19"/>
        <v>1678.2391891527402</v>
      </c>
    </row>
    <row r="14" spans="2:59" x14ac:dyDescent="0.3">
      <c r="B14" s="52">
        <v>10009239</v>
      </c>
      <c r="C14" s="56" t="s">
        <v>92</v>
      </c>
      <c r="D14" s="92">
        <f>TD!F11</f>
        <v>0.86</v>
      </c>
      <c r="E14" s="93">
        <f t="shared" si="0"/>
        <v>3085.0611236899649</v>
      </c>
      <c r="F14" s="53">
        <f>TD!G11</f>
        <v>2653.1525663733696</v>
      </c>
      <c r="G14" s="53">
        <f>TD!H11</f>
        <v>178.7424</v>
      </c>
      <c r="H14" s="53">
        <f>TD!I11</f>
        <v>40.814959096221287</v>
      </c>
      <c r="I14" s="53">
        <f>TD!J11</f>
        <v>80.235294117647086</v>
      </c>
      <c r="J14" s="53">
        <f>TD!K11</f>
        <v>64.139384495520076</v>
      </c>
      <c r="K14" s="94">
        <v>0</v>
      </c>
      <c r="L14" s="95">
        <v>0</v>
      </c>
      <c r="M14" s="96">
        <f t="shared" si="20"/>
        <v>2952.9452195872382</v>
      </c>
      <c r="N14" s="97">
        <f t="shared" si="29"/>
        <v>3433.6572320781838</v>
      </c>
      <c r="O14" s="97">
        <f t="shared" si="1"/>
        <v>2808.5705409740708</v>
      </c>
      <c r="P14" s="97">
        <f t="shared" si="2"/>
        <v>3265.779698807059</v>
      </c>
      <c r="Q14" s="98">
        <v>3500</v>
      </c>
      <c r="R14" s="98">
        <f t="shared" si="21"/>
        <v>3010</v>
      </c>
      <c r="S14" s="98">
        <f t="shared" si="3"/>
        <v>57.054780412761829</v>
      </c>
      <c r="T14" s="99">
        <f t="shared" si="4"/>
        <v>1.8955076549090309E-2</v>
      </c>
      <c r="U14" s="98">
        <f t="shared" si="30"/>
        <v>201.42945902592919</v>
      </c>
      <c r="V14" s="99">
        <f t="shared" si="6"/>
        <v>6.6920086055125977E-2</v>
      </c>
      <c r="X14" s="100" cm="1">
        <f t="array" ref="X14">SUM([2]Hoja6!$H$24:$H$28*([2]Hoja6!$E$24:$E$28=X$5)*($C14=[2]Hoja6!$J$24:$J$28))</f>
        <v>0</v>
      </c>
      <c r="Y14" s="100" cm="1">
        <f t="array" ref="Y14">SUM([2]Hoja6!$I$24:$I$28*([2]Hoja6!$E$24:$E$28=X$5)*($C14=[2]Hoja6!$J$24:$J$28))</f>
        <v>0</v>
      </c>
      <c r="Z14" s="110">
        <f t="shared" si="22"/>
        <v>0</v>
      </c>
      <c r="AA14" s="100" cm="1">
        <f t="array" ref="AA14">SUM([2]Hoja6!$H$24:$H$28*([2]Hoja6!$E$24:$E$28=AA$5)*($C14=[2]Hoja6!$J$24:$J$28))</f>
        <v>0</v>
      </c>
      <c r="AB14" s="100" cm="1">
        <f t="array" ref="AB14">SUM([2]Hoja6!$I$24:$I$28*([2]Hoja6!$E$24:$E$28=AA$5)*($C14=[2]Hoja6!$J$24:$J$28))</f>
        <v>0</v>
      </c>
      <c r="AC14" s="110">
        <f t="shared" si="23"/>
        <v>0</v>
      </c>
      <c r="AD14" s="100" cm="1">
        <f t="array" ref="AD14">SUM([2]Hoja6!$H$24:$H$28*([2]Hoja6!$E$24:$E$28=AD$5)*($C14=[2]Hoja6!$J$24:$J$28))</f>
        <v>0</v>
      </c>
      <c r="AE14" s="100" cm="1">
        <f t="array" ref="AE14">SUM([2]Hoja6!$I$24:$I$28*([2]Hoja6!$E$24:$E$28=AD$5)*($C14=[2]Hoja6!$J$24:$J$28))</f>
        <v>0</v>
      </c>
      <c r="AF14" s="110">
        <f t="shared" si="24"/>
        <v>0</v>
      </c>
      <c r="AG14" s="100" cm="1">
        <f t="array" ref="AG14">SUM([2]Hoja6!$H$24:$H$28*([2]Hoja6!$E$24:$E$28=AG$5)*($C14=[2]Hoja6!$J$24:$J$28))</f>
        <v>0</v>
      </c>
      <c r="AH14" s="100" cm="1">
        <f t="array" ref="AH14">SUM([2]Hoja6!$I$24:$I$28*([2]Hoja6!$E$24:$E$28=AG$5)*($C14=[2]Hoja6!$J$24:$J$28))</f>
        <v>0</v>
      </c>
      <c r="AI14" s="110">
        <f t="shared" si="25"/>
        <v>0</v>
      </c>
      <c r="AJ14" s="102">
        <f t="shared" si="7"/>
        <v>0</v>
      </c>
      <c r="AK14" s="103">
        <f t="shared" si="8"/>
        <v>0</v>
      </c>
      <c r="AL14" s="104">
        <f t="shared" si="26"/>
        <v>0</v>
      </c>
      <c r="AM14" s="103">
        <f t="shared" si="9"/>
        <v>0</v>
      </c>
      <c r="AN14" s="104">
        <f t="shared" si="10"/>
        <v>0</v>
      </c>
      <c r="AO14" s="103">
        <f t="shared" si="11"/>
        <v>0</v>
      </c>
      <c r="AP14" s="104">
        <f t="shared" si="12"/>
        <v>0</v>
      </c>
      <c r="AQ14" s="103">
        <f t="shared" si="13"/>
        <v>0</v>
      </c>
      <c r="AR14" s="104">
        <f t="shared" si="14"/>
        <v>0</v>
      </c>
      <c r="AS14" s="103">
        <f t="shared" si="31"/>
        <v>0</v>
      </c>
      <c r="AT14" s="105">
        <f t="shared" si="28"/>
        <v>0</v>
      </c>
      <c r="AU14" s="106">
        <f t="shared" si="15"/>
        <v>0</v>
      </c>
      <c r="AV14" s="107">
        <f t="shared" si="16"/>
        <v>0</v>
      </c>
      <c r="AX14" s="108">
        <f t="shared" si="17"/>
        <v>0</v>
      </c>
      <c r="AY14" s="109">
        <f t="shared" si="18"/>
        <v>0</v>
      </c>
      <c r="AZ14" s="109">
        <f t="shared" si="18"/>
        <v>0</v>
      </c>
      <c r="BA14" s="109">
        <f t="shared" si="18"/>
        <v>0</v>
      </c>
      <c r="BB14" s="109">
        <f t="shared" si="18"/>
        <v>0</v>
      </c>
      <c r="BC14" s="109">
        <f t="shared" si="18"/>
        <v>0</v>
      </c>
      <c r="BD14" s="109">
        <f t="shared" si="18"/>
        <v>0</v>
      </c>
      <c r="BE14" s="109">
        <f t="shared" si="18"/>
        <v>0</v>
      </c>
      <c r="BF14" s="109">
        <f t="shared" si="19"/>
        <v>0</v>
      </c>
    </row>
    <row r="15" spans="2:59" x14ac:dyDescent="0.3">
      <c r="B15" s="52">
        <v>10009334</v>
      </c>
      <c r="C15" s="56" t="s">
        <v>93</v>
      </c>
      <c r="D15" s="92">
        <f>TD!F12</f>
        <v>18.920000000000002</v>
      </c>
      <c r="E15" s="93">
        <f t="shared" si="0"/>
        <v>2649.6026057914578</v>
      </c>
      <c r="F15" s="53">
        <f>TD!G12</f>
        <v>50130.481301574386</v>
      </c>
      <c r="G15" s="53">
        <f>TD!H12</f>
        <v>3932.3327999999997</v>
      </c>
      <c r="H15" s="53">
        <f>TD!I12</f>
        <v>897.92910011686831</v>
      </c>
      <c r="I15" s="53">
        <f>TD!J12</f>
        <v>1765.176470588236</v>
      </c>
      <c r="J15" s="53">
        <f>TD!K12</f>
        <v>1411.0664589014418</v>
      </c>
      <c r="K15" s="94">
        <v>0</v>
      </c>
      <c r="L15" s="95">
        <v>0</v>
      </c>
      <c r="M15" s="96">
        <f t="shared" si="20"/>
        <v>56725.919672279488</v>
      </c>
      <c r="N15" s="97">
        <f>IFERROR(M15/D15,0)</f>
        <v>2998.1987141796767</v>
      </c>
      <c r="O15" s="97">
        <f t="shared" si="1"/>
        <v>53549.676742789808</v>
      </c>
      <c r="P15" s="97">
        <f t="shared" si="2"/>
        <v>2830.3211809085519</v>
      </c>
      <c r="Q15" s="98">
        <v>3500</v>
      </c>
      <c r="R15" s="98">
        <f>Q15*D15</f>
        <v>66220</v>
      </c>
      <c r="S15" s="98">
        <f t="shared" si="3"/>
        <v>9494.0803277205123</v>
      </c>
      <c r="T15" s="99">
        <f t="shared" si="4"/>
        <v>0.14337179594866373</v>
      </c>
      <c r="U15" s="98">
        <f t="shared" si="30"/>
        <v>12670.323257210192</v>
      </c>
      <c r="V15" s="99">
        <f t="shared" si="6"/>
        <v>0.19133680545469936</v>
      </c>
      <c r="X15" s="100" cm="1">
        <f t="array" ref="X15">SUM([2]Hoja6!$H$24:$H$28*([2]Hoja6!$E$24:$E$28=X$5)*($C15=[2]Hoja6!$J$24:$J$28))</f>
        <v>0</v>
      </c>
      <c r="Y15" s="100" cm="1">
        <f t="array" ref="Y15">SUM([2]Hoja6!$I$24:$I$28*([2]Hoja6!$E$24:$E$28=X$5)*($C15=[2]Hoja6!$J$24:$J$28))</f>
        <v>0</v>
      </c>
      <c r="Z15" s="110">
        <f t="shared" si="22"/>
        <v>0</v>
      </c>
      <c r="AA15" s="100" cm="1">
        <f t="array" ref="AA15">SUM([2]Hoja6!$H$24:$H$28*([2]Hoja6!$E$24:$E$28=AA$5)*($C15=[2]Hoja6!$J$24:$J$28))</f>
        <v>0</v>
      </c>
      <c r="AB15" s="100" cm="1">
        <f t="array" ref="AB15">SUM([2]Hoja6!$I$24:$I$28*([2]Hoja6!$E$24:$E$28=AA$5)*($C15=[2]Hoja6!$J$24:$J$28))</f>
        <v>0</v>
      </c>
      <c r="AC15" s="110">
        <f t="shared" si="23"/>
        <v>0</v>
      </c>
      <c r="AD15" s="100" cm="1">
        <f t="array" ref="AD15">SUM([2]Hoja6!$H$24:$H$28*([2]Hoja6!$E$24:$E$28=AD$5)*($C15=[2]Hoja6!$J$24:$J$28))</f>
        <v>0</v>
      </c>
      <c r="AE15" s="100" cm="1">
        <f t="array" ref="AE15">SUM([2]Hoja6!$I$24:$I$28*([2]Hoja6!$E$24:$E$28=AD$5)*($C15=[2]Hoja6!$J$24:$J$28))</f>
        <v>0</v>
      </c>
      <c r="AF15" s="110">
        <f t="shared" si="24"/>
        <v>0</v>
      </c>
      <c r="AG15" s="100" cm="1">
        <f t="array" ref="AG15">SUM([2]Hoja6!$H$24:$H$28*([2]Hoja6!$E$24:$E$28=AG$5)*($C15=[2]Hoja6!$J$24:$J$28))</f>
        <v>0</v>
      </c>
      <c r="AH15" s="100" cm="1">
        <f t="array" ref="AH15">SUM([2]Hoja6!$I$24:$I$28*([2]Hoja6!$E$24:$E$28=AG$5)*($C15=[2]Hoja6!$J$24:$J$28))</f>
        <v>0</v>
      </c>
      <c r="AI15" s="110">
        <f t="shared" si="25"/>
        <v>0</v>
      </c>
      <c r="AJ15" s="102">
        <f t="shared" si="7"/>
        <v>0</v>
      </c>
      <c r="AK15" s="103">
        <f t="shared" si="8"/>
        <v>0</v>
      </c>
      <c r="AL15" s="104">
        <f t="shared" si="26"/>
        <v>0</v>
      </c>
      <c r="AM15" s="103">
        <f t="shared" si="9"/>
        <v>0</v>
      </c>
      <c r="AN15" s="104">
        <f t="shared" si="10"/>
        <v>0</v>
      </c>
      <c r="AO15" s="103">
        <f t="shared" si="11"/>
        <v>0</v>
      </c>
      <c r="AP15" s="104">
        <f t="shared" si="12"/>
        <v>0</v>
      </c>
      <c r="AQ15" s="103">
        <f t="shared" si="13"/>
        <v>0</v>
      </c>
      <c r="AR15" s="104">
        <f t="shared" si="14"/>
        <v>0</v>
      </c>
      <c r="AS15" s="103">
        <f t="shared" si="31"/>
        <v>0</v>
      </c>
      <c r="AT15" s="105">
        <f t="shared" si="28"/>
        <v>0</v>
      </c>
      <c r="AU15" s="106">
        <f t="shared" si="15"/>
        <v>0</v>
      </c>
      <c r="AV15" s="107">
        <f t="shared" si="16"/>
        <v>0</v>
      </c>
      <c r="AX15" s="108">
        <f t="shared" si="17"/>
        <v>0</v>
      </c>
      <c r="AY15" s="109">
        <f t="shared" si="18"/>
        <v>0</v>
      </c>
      <c r="AZ15" s="109">
        <f t="shared" si="18"/>
        <v>0</v>
      </c>
      <c r="BA15" s="109">
        <f t="shared" si="18"/>
        <v>0</v>
      </c>
      <c r="BB15" s="109">
        <f t="shared" si="18"/>
        <v>0</v>
      </c>
      <c r="BC15" s="109">
        <f t="shared" si="18"/>
        <v>0</v>
      </c>
      <c r="BD15" s="109">
        <f t="shared" si="18"/>
        <v>0</v>
      </c>
      <c r="BE15" s="109">
        <f t="shared" si="18"/>
        <v>0</v>
      </c>
      <c r="BF15" s="109">
        <f t="shared" si="19"/>
        <v>0</v>
      </c>
    </row>
    <row r="16" spans="2:59" x14ac:dyDescent="0.3">
      <c r="B16" s="52">
        <v>10009386</v>
      </c>
      <c r="C16" s="56" t="s">
        <v>94</v>
      </c>
      <c r="D16" s="92">
        <f>TD!F13</f>
        <v>21.28</v>
      </c>
      <c r="E16" s="93">
        <f t="shared" si="0"/>
        <v>1597.990253542572</v>
      </c>
      <c r="F16" s="53">
        <f>TD!G13</f>
        <v>34005.232595385933</v>
      </c>
      <c r="G16" s="53">
        <f>TD!H13</f>
        <v>4422.8352000000004</v>
      </c>
      <c r="H16" s="53">
        <f>TD!I13</f>
        <v>1009.9329413576617</v>
      </c>
      <c r="I16" s="53">
        <f>TD!J13</f>
        <v>1985.3570451436399</v>
      </c>
      <c r="J16" s="53">
        <f>TD!K13</f>
        <v>1587.0768628658923</v>
      </c>
      <c r="K16" s="94">
        <v>0</v>
      </c>
      <c r="L16" s="95">
        <v>0</v>
      </c>
      <c r="M16" s="96">
        <f t="shared" si="20"/>
        <v>41423.357781887236</v>
      </c>
      <c r="N16" s="97">
        <f>IFERROR(M16/D16,0)</f>
        <v>1946.5863619307911</v>
      </c>
      <c r="O16" s="97">
        <f t="shared" si="1"/>
        <v>37850.923873877706</v>
      </c>
      <c r="P16" s="97">
        <f t="shared" si="2"/>
        <v>1778.7088286596666</v>
      </c>
      <c r="Q16" s="98">
        <v>2000</v>
      </c>
      <c r="R16" s="98">
        <f>Q16*D16</f>
        <v>42560</v>
      </c>
      <c r="S16" s="98">
        <f t="shared" si="3"/>
        <v>1136.6422181127637</v>
      </c>
      <c r="T16" s="99">
        <f t="shared" si="4"/>
        <v>2.6706819034604409E-2</v>
      </c>
      <c r="U16" s="98">
        <f t="shared" si="30"/>
        <v>4709.0761261222942</v>
      </c>
      <c r="V16" s="99">
        <f t="shared" si="6"/>
        <v>0.11064558567016669</v>
      </c>
      <c r="X16" s="100" cm="1">
        <f t="array" ref="X16">SUM([2]Hoja6!$H$24:$H$28*([2]Hoja6!$E$24:$E$28=X$5)*($C16=[2]Hoja6!$J$24:$J$28))</f>
        <v>0</v>
      </c>
      <c r="Y16" s="100" cm="1">
        <f t="array" ref="Y16">SUM([2]Hoja6!$I$24:$I$28*([2]Hoja6!$E$24:$E$28=X$5)*($C16=[2]Hoja6!$J$24:$J$28))</f>
        <v>0</v>
      </c>
      <c r="Z16" s="110">
        <f t="shared" si="22"/>
        <v>0</v>
      </c>
      <c r="AA16" s="100" cm="1">
        <f t="array" ref="AA16">SUM([2]Hoja6!$H$24:$H$28*([2]Hoja6!$E$24:$E$28=AA$5)*($C16=[2]Hoja6!$J$24:$J$28))</f>
        <v>0</v>
      </c>
      <c r="AB16" s="100" cm="1">
        <f t="array" ref="AB16">SUM([2]Hoja6!$I$24:$I$28*([2]Hoja6!$E$24:$E$28=AA$5)*($C16=[2]Hoja6!$J$24:$J$28))</f>
        <v>0</v>
      </c>
      <c r="AC16" s="110">
        <f t="shared" si="23"/>
        <v>0</v>
      </c>
      <c r="AD16" s="100" cm="1">
        <f t="array" ref="AD16">SUM([2]Hoja6!$H$24:$H$28*([2]Hoja6!$E$24:$E$28=AD$5)*($C16=[2]Hoja6!$J$24:$J$28))</f>
        <v>0</v>
      </c>
      <c r="AE16" s="100" cm="1">
        <f t="array" ref="AE16">SUM([2]Hoja6!$I$24:$I$28*([2]Hoja6!$E$24:$E$28=AD$5)*($C16=[2]Hoja6!$J$24:$J$28))</f>
        <v>0</v>
      </c>
      <c r="AF16" s="110">
        <f t="shared" si="24"/>
        <v>0</v>
      </c>
      <c r="AG16" s="100" cm="1">
        <f t="array" ref="AG16">SUM([2]Hoja6!$H$24:$H$28*([2]Hoja6!$E$24:$E$28=AG$5)*($C16=[2]Hoja6!$J$24:$J$28))</f>
        <v>0</v>
      </c>
      <c r="AH16" s="100" cm="1">
        <f t="array" ref="AH16">SUM([2]Hoja6!$I$24:$I$28*([2]Hoja6!$E$24:$E$28=AG$5)*($C16=[2]Hoja6!$J$24:$J$28))</f>
        <v>0</v>
      </c>
      <c r="AI16" s="110">
        <f t="shared" si="25"/>
        <v>0</v>
      </c>
      <c r="AJ16" s="102">
        <f t="shared" si="7"/>
        <v>0</v>
      </c>
      <c r="AK16" s="103">
        <f t="shared" si="8"/>
        <v>0</v>
      </c>
      <c r="AL16" s="104">
        <f t="shared" si="26"/>
        <v>0</v>
      </c>
      <c r="AM16" s="103">
        <f t="shared" si="9"/>
        <v>0</v>
      </c>
      <c r="AN16" s="104">
        <f t="shared" si="10"/>
        <v>0</v>
      </c>
      <c r="AO16" s="103">
        <f t="shared" si="11"/>
        <v>0</v>
      </c>
      <c r="AP16" s="104">
        <f t="shared" si="12"/>
        <v>0</v>
      </c>
      <c r="AQ16" s="103">
        <f t="shared" si="13"/>
        <v>0</v>
      </c>
      <c r="AR16" s="104">
        <f t="shared" si="14"/>
        <v>0</v>
      </c>
      <c r="AS16" s="103">
        <f t="shared" si="31"/>
        <v>0</v>
      </c>
      <c r="AT16" s="105">
        <f t="shared" si="28"/>
        <v>0</v>
      </c>
      <c r="AU16" s="106">
        <f t="shared" si="15"/>
        <v>0</v>
      </c>
      <c r="AV16" s="107">
        <f t="shared" si="16"/>
        <v>0</v>
      </c>
      <c r="AX16" s="108">
        <f t="shared" si="17"/>
        <v>0</v>
      </c>
      <c r="AY16" s="109">
        <f t="shared" si="18"/>
        <v>0</v>
      </c>
      <c r="AZ16" s="109">
        <f t="shared" si="18"/>
        <v>0</v>
      </c>
      <c r="BA16" s="109">
        <f t="shared" si="18"/>
        <v>0</v>
      </c>
      <c r="BB16" s="109">
        <f t="shared" si="18"/>
        <v>0</v>
      </c>
      <c r="BC16" s="109">
        <f t="shared" si="18"/>
        <v>0</v>
      </c>
      <c r="BD16" s="109">
        <f t="shared" si="18"/>
        <v>0</v>
      </c>
      <c r="BE16" s="109">
        <f t="shared" si="18"/>
        <v>0</v>
      </c>
      <c r="BF16" s="109">
        <f t="shared" si="19"/>
        <v>0</v>
      </c>
    </row>
    <row r="17" spans="2:58" x14ac:dyDescent="0.3">
      <c r="B17" s="52">
        <v>10009386</v>
      </c>
      <c r="C17" s="56" t="s">
        <v>95</v>
      </c>
      <c r="D17" s="92">
        <f>TD!F14</f>
        <v>30.94</v>
      </c>
      <c r="E17" s="93">
        <f t="shared" si="0"/>
        <v>1279.9702510293225</v>
      </c>
      <c r="F17" s="53">
        <f>TD!G14</f>
        <v>39602.279566847239</v>
      </c>
      <c r="G17" s="53">
        <f>TD!H14</f>
        <v>6430.5696000000007</v>
      </c>
      <c r="H17" s="53">
        <f>TD!I14</f>
        <v>1468.3893423687055</v>
      </c>
      <c r="I17" s="53">
        <f>TD!J14</f>
        <v>2886.6046511627919</v>
      </c>
      <c r="J17" s="53">
        <f>TD!K14</f>
        <v>2307.5262282458038</v>
      </c>
      <c r="K17" s="94">
        <v>0</v>
      </c>
      <c r="L17" s="95">
        <v>0</v>
      </c>
      <c r="M17" s="96">
        <f t="shared" si="20"/>
        <v>50387.843160378739</v>
      </c>
      <c r="N17" s="97">
        <f t="shared" ref="N17:N19" si="32">IFERROR(M17/D17,0)</f>
        <v>1628.5663594175417</v>
      </c>
      <c r="O17" s="97">
        <f t="shared" si="1"/>
        <v>45193.71228097014</v>
      </c>
      <c r="P17" s="97">
        <f t="shared" si="2"/>
        <v>1460.6888261464169</v>
      </c>
      <c r="Q17" s="98">
        <v>1700</v>
      </c>
      <c r="R17" s="98">
        <f>Q17*D17</f>
        <v>52598</v>
      </c>
      <c r="S17" s="98">
        <f t="shared" si="3"/>
        <v>2210.1568396212606</v>
      </c>
      <c r="T17" s="99">
        <f t="shared" si="4"/>
        <v>4.2019788577916661E-2</v>
      </c>
      <c r="U17" s="98">
        <f t="shared" si="30"/>
        <v>7404.2877190298605</v>
      </c>
      <c r="V17" s="99">
        <f t="shared" si="6"/>
        <v>0.14077127873740181</v>
      </c>
      <c r="X17" s="100" cm="1">
        <f t="array" ref="X17">SUM([2]Hoja6!$H$24:$H$28*([2]Hoja6!$E$24:$E$28=X$5)*($C17=[2]Hoja6!$J$24:$J$28))</f>
        <v>25.875</v>
      </c>
      <c r="Y17" s="100" cm="1">
        <f t="array" ref="Y17">SUM([2]Hoja6!$I$24:$I$28*([2]Hoja6!$E$24:$E$28=X$5)*($C17=[2]Hoja6!$J$24:$J$28))</f>
        <v>41400</v>
      </c>
      <c r="Z17" s="110">
        <f t="shared" si="22"/>
        <v>1600</v>
      </c>
      <c r="AA17" s="100" cm="1">
        <f t="array" ref="AA17">SUM([2]Hoja6!$H$24:$H$28*([2]Hoja6!$E$24:$E$28=AA$5)*($C17=[2]Hoja6!$J$24:$J$28))</f>
        <v>0</v>
      </c>
      <c r="AB17" s="100" cm="1">
        <f t="array" ref="AB17">SUM([2]Hoja6!$I$24:$I$28*([2]Hoja6!$E$24:$E$28=AA$5)*($C17=[2]Hoja6!$J$24:$J$28))</f>
        <v>0</v>
      </c>
      <c r="AC17" s="110">
        <f t="shared" si="23"/>
        <v>0</v>
      </c>
      <c r="AD17" s="100" cm="1">
        <f t="array" ref="AD17">SUM([2]Hoja6!$H$24:$H$28*([2]Hoja6!$E$24:$E$28=AD$5)*($C17=[2]Hoja6!$J$24:$J$28))</f>
        <v>25.664999999999999</v>
      </c>
      <c r="AE17" s="100" cm="1">
        <f t="array" ref="AE17">SUM([2]Hoja6!$I$24:$I$28*([2]Hoja6!$E$24:$E$28=AD$5)*($C17=[2]Hoja6!$J$24:$J$28))</f>
        <v>41064</v>
      </c>
      <c r="AF17" s="110">
        <f t="shared" si="24"/>
        <v>1600</v>
      </c>
      <c r="AG17" s="100" cm="1">
        <f t="array" ref="AG17">SUM([2]Hoja6!$H$24:$H$28*([2]Hoja6!$E$24:$E$28=AG$5)*($C17=[2]Hoja6!$J$24:$J$28))</f>
        <v>0</v>
      </c>
      <c r="AH17" s="100" cm="1">
        <f t="array" ref="AH17">SUM([2]Hoja6!$I$24:$I$28*([2]Hoja6!$E$24:$E$28=AG$5)*($C17=[2]Hoja6!$J$24:$J$28))</f>
        <v>0</v>
      </c>
      <c r="AI17" s="110">
        <f t="shared" si="25"/>
        <v>0</v>
      </c>
      <c r="AJ17" s="102">
        <f t="shared" si="7"/>
        <v>51.54</v>
      </c>
      <c r="AK17" s="103">
        <f t="shared" si="8"/>
        <v>82464</v>
      </c>
      <c r="AL17" s="104">
        <f t="shared" si="26"/>
        <v>1600</v>
      </c>
      <c r="AM17" s="103">
        <f t="shared" si="9"/>
        <v>-65969.666738051281</v>
      </c>
      <c r="AN17" s="104">
        <f t="shared" si="10"/>
        <v>-10712.0736</v>
      </c>
      <c r="AO17" s="103">
        <f t="shared" si="11"/>
        <v>-21781.013552758959</v>
      </c>
      <c r="AP17" s="104">
        <f t="shared" si="12"/>
        <v>-42817.782187802521</v>
      </c>
      <c r="AQ17" s="103">
        <f t="shared" si="13"/>
        <v>-34228.156389157797</v>
      </c>
      <c r="AR17" s="104">
        <f>(AK17-AJ17*$AO$21)*0.03</f>
        <v>2297.3785725333996</v>
      </c>
      <c r="AS17" s="103">
        <f t="shared" si="31"/>
        <v>-56519.157506079355</v>
      </c>
      <c r="AT17" s="105">
        <f t="shared" si="28"/>
        <v>-0.68537977185292198</v>
      </c>
      <c r="AU17" s="106">
        <f t="shared" si="15"/>
        <v>20526.781070880956</v>
      </c>
      <c r="AV17" s="107">
        <f t="shared" si="16"/>
        <v>0.24891808632713616</v>
      </c>
      <c r="AX17" s="108">
        <f t="shared" si="17"/>
        <v>1600</v>
      </c>
      <c r="AY17" s="109">
        <f t="shared" si="18"/>
        <v>-1279.9702510293225</v>
      </c>
      <c r="AZ17" s="109">
        <f t="shared" si="18"/>
        <v>-207.84</v>
      </c>
      <c r="BA17" s="109">
        <f t="shared" si="18"/>
        <v>-422.60406582768644</v>
      </c>
      <c r="BB17" s="109">
        <f t="shared" si="18"/>
        <v>-830.76798967408854</v>
      </c>
      <c r="BC17" s="109">
        <f t="shared" si="18"/>
        <v>-664.10858341400456</v>
      </c>
      <c r="BD17" s="109">
        <f t="shared" si="18"/>
        <v>44.57467156642219</v>
      </c>
      <c r="BE17" s="109">
        <f t="shared" si="18"/>
        <v>-1096.6076349646751</v>
      </c>
      <c r="BF17" s="109">
        <f t="shared" si="19"/>
        <v>398.26893812341785</v>
      </c>
    </row>
    <row r="18" spans="2:58" x14ac:dyDescent="0.3">
      <c r="B18" s="52"/>
      <c r="C18" s="56" t="s">
        <v>96</v>
      </c>
      <c r="D18" s="92">
        <f>TD!F15</f>
        <v>0</v>
      </c>
      <c r="E18" s="93">
        <f t="shared" si="0"/>
        <v>0</v>
      </c>
      <c r="F18" s="53">
        <f>TD!G15</f>
        <v>0</v>
      </c>
      <c r="G18" s="53">
        <f>TD!H15</f>
        <v>0</v>
      </c>
      <c r="H18" s="53">
        <f>TD!I15</f>
        <v>0</v>
      </c>
      <c r="I18" s="53">
        <f>TD!J15</f>
        <v>0</v>
      </c>
      <c r="J18" s="53">
        <f>TD!K15</f>
        <v>0</v>
      </c>
      <c r="K18" s="94">
        <v>0</v>
      </c>
      <c r="L18" s="95">
        <v>0</v>
      </c>
      <c r="M18" s="96">
        <f t="shared" si="20"/>
        <v>0</v>
      </c>
      <c r="N18" s="97">
        <f t="shared" si="32"/>
        <v>0</v>
      </c>
      <c r="O18" s="97">
        <f t="shared" si="1"/>
        <v>0</v>
      </c>
      <c r="P18" s="97">
        <f t="shared" si="2"/>
        <v>0</v>
      </c>
      <c r="Q18" s="98">
        <v>1800</v>
      </c>
      <c r="R18" s="111">
        <f>Q18*D18</f>
        <v>0</v>
      </c>
      <c r="S18" s="98">
        <f t="shared" si="3"/>
        <v>0</v>
      </c>
      <c r="T18" s="99">
        <f t="shared" si="4"/>
        <v>0</v>
      </c>
      <c r="U18" s="98">
        <f t="shared" si="30"/>
        <v>0</v>
      </c>
      <c r="V18" s="99">
        <f t="shared" si="6"/>
        <v>0</v>
      </c>
      <c r="X18" s="100" cm="1">
        <f t="array" ref="X18">SUM([2]Hoja6!$H$24:$H$28*([2]Hoja6!$E$24:$E$28=X$5)*($C18=[2]Hoja6!$J$24:$J$28))</f>
        <v>0</v>
      </c>
      <c r="Y18" s="100" cm="1">
        <f t="array" ref="Y18">SUM([2]Hoja6!$I$24:$I$28*([2]Hoja6!$E$24:$E$28=X$5)*($C18=[2]Hoja6!$J$24:$J$28))</f>
        <v>0</v>
      </c>
      <c r="Z18" s="110">
        <f t="shared" si="22"/>
        <v>0</v>
      </c>
      <c r="AA18" s="100" cm="1">
        <f t="array" ref="AA18">SUM([2]Hoja6!$H$24:$H$28*([2]Hoja6!$E$24:$E$28=AA$5)*($C18=[2]Hoja6!$J$24:$J$28))</f>
        <v>0</v>
      </c>
      <c r="AB18" s="100" cm="1">
        <f t="array" ref="AB18">SUM([2]Hoja6!$I$24:$I$28*([2]Hoja6!$E$24:$E$28=AA$5)*($C18=[2]Hoja6!$J$24:$J$28))</f>
        <v>0</v>
      </c>
      <c r="AC18" s="110">
        <f t="shared" si="23"/>
        <v>0</v>
      </c>
      <c r="AD18" s="100" cm="1">
        <f t="array" ref="AD18">SUM([2]Hoja6!$H$24:$H$28*([2]Hoja6!$E$24:$E$28=AD$5)*($C18=[2]Hoja6!$J$24:$J$28))</f>
        <v>0</v>
      </c>
      <c r="AE18" s="100" cm="1">
        <f t="array" ref="AE18">SUM([2]Hoja6!$I$24:$I$28*([2]Hoja6!$E$24:$E$28=AD$5)*($C18=[2]Hoja6!$J$24:$J$28))</f>
        <v>0</v>
      </c>
      <c r="AF18" s="110">
        <f t="shared" si="24"/>
        <v>0</v>
      </c>
      <c r="AG18" s="100" cm="1">
        <f t="array" ref="AG18">SUM([2]Hoja6!$H$24:$H$28*([2]Hoja6!$E$24:$E$28=AG$5)*($C18=[2]Hoja6!$J$24:$J$28))</f>
        <v>0</v>
      </c>
      <c r="AH18" s="100" cm="1">
        <f t="array" ref="AH18">SUM([2]Hoja6!$I$24:$I$28*([2]Hoja6!$E$24:$E$28=AG$5)*($C18=[2]Hoja6!$J$24:$J$28))</f>
        <v>0</v>
      </c>
      <c r="AI18" s="110">
        <f t="shared" si="25"/>
        <v>0</v>
      </c>
      <c r="AJ18" s="102">
        <f t="shared" si="7"/>
        <v>0</v>
      </c>
      <c r="AK18" s="103">
        <f t="shared" si="8"/>
        <v>0</v>
      </c>
      <c r="AL18" s="104">
        <f t="shared" si="26"/>
        <v>0</v>
      </c>
      <c r="AM18" s="103">
        <f t="shared" si="9"/>
        <v>0</v>
      </c>
      <c r="AN18" s="104">
        <f t="shared" si="10"/>
        <v>0</v>
      </c>
      <c r="AO18" s="103">
        <f t="shared" si="11"/>
        <v>0</v>
      </c>
      <c r="AP18" s="104">
        <f t="shared" si="12"/>
        <v>0</v>
      </c>
      <c r="AQ18" s="103">
        <f t="shared" si="13"/>
        <v>0</v>
      </c>
      <c r="AR18" s="104">
        <f t="shared" si="14"/>
        <v>0</v>
      </c>
      <c r="AS18" s="103">
        <f t="shared" si="31"/>
        <v>0</v>
      </c>
      <c r="AT18" s="105">
        <f t="shared" si="28"/>
        <v>0</v>
      </c>
      <c r="AU18" s="106">
        <f t="shared" si="15"/>
        <v>0</v>
      </c>
      <c r="AV18" s="107">
        <f t="shared" si="16"/>
        <v>0</v>
      </c>
      <c r="AX18" s="108">
        <f t="shared" si="17"/>
        <v>0</v>
      </c>
      <c r="AY18" s="109">
        <f t="shared" si="18"/>
        <v>0</v>
      </c>
      <c r="AZ18" s="109">
        <f t="shared" si="18"/>
        <v>0</v>
      </c>
      <c r="BA18" s="109">
        <f t="shared" si="18"/>
        <v>0</v>
      </c>
      <c r="BB18" s="109">
        <f t="shared" si="18"/>
        <v>0</v>
      </c>
      <c r="BC18" s="109">
        <f t="shared" si="18"/>
        <v>0</v>
      </c>
      <c r="BD18" s="109">
        <f t="shared" si="18"/>
        <v>0</v>
      </c>
      <c r="BE18" s="109">
        <f t="shared" si="18"/>
        <v>0</v>
      </c>
      <c r="BF18" s="109">
        <f t="shared" si="19"/>
        <v>0</v>
      </c>
    </row>
    <row r="19" spans="2:58" ht="15" thickBot="1" x14ac:dyDescent="0.35">
      <c r="B19" s="52"/>
      <c r="C19" s="56" t="s">
        <v>97</v>
      </c>
      <c r="D19" s="92">
        <f>TD!F16</f>
        <v>612.58000000000004</v>
      </c>
      <c r="E19" s="93">
        <f t="shared" si="0"/>
        <v>1731.9701269990092</v>
      </c>
      <c r="F19" s="53">
        <f>TD!G16</f>
        <v>1060970.2603970531</v>
      </c>
      <c r="G19" s="53">
        <f>TD!H16</f>
        <v>127318.62720000002</v>
      </c>
      <c r="H19" s="53">
        <f>TD!I16</f>
        <v>29072.590282747951</v>
      </c>
      <c r="I19" s="53">
        <f>TD!J16</f>
        <v>57151.786593707278</v>
      </c>
      <c r="J19" s="53">
        <f>TD!K16</f>
        <v>45686.632737518245</v>
      </c>
      <c r="K19" s="94">
        <v>0</v>
      </c>
      <c r="L19" s="95">
        <v>0</v>
      </c>
      <c r="M19" s="96">
        <f t="shared" si="20"/>
        <v>1274513.2644735083</v>
      </c>
      <c r="N19" s="97">
        <f t="shared" si="32"/>
        <v>2080.5662353872281</v>
      </c>
      <c r="O19" s="97">
        <f t="shared" si="1"/>
        <v>1171674.8451422828</v>
      </c>
      <c r="P19" s="97">
        <f t="shared" si="2"/>
        <v>1912.6887021161035</v>
      </c>
      <c r="Q19" s="98">
        <v>1950</v>
      </c>
      <c r="R19" s="111">
        <f>Q19*D19</f>
        <v>1194531</v>
      </c>
      <c r="S19" s="98">
        <f t="shared" si="3"/>
        <v>-79982.264473508345</v>
      </c>
      <c r="T19" s="99">
        <f t="shared" si="4"/>
        <v>-6.6957043788322235E-2</v>
      </c>
      <c r="U19" s="98">
        <f t="shared" si="30"/>
        <v>22856.154857717222</v>
      </c>
      <c r="V19" s="99">
        <f t="shared" si="6"/>
        <v>1.9133998914818637E-2</v>
      </c>
      <c r="X19" s="100" cm="1">
        <f t="array" ref="X19">SUM([2]Hoja6!$H$24:$H$28*([2]Hoja6!$E$24:$E$28=X$5)*($C19=[2]Hoja6!$J$24:$J$28))</f>
        <v>0</v>
      </c>
      <c r="Y19" s="100" cm="1">
        <f t="array" ref="Y19">SUM([2]Hoja6!$I$24:$I$28*([2]Hoja6!$E$24:$E$28=X$5)*($C19=[2]Hoja6!$J$24:$J$28))</f>
        <v>0</v>
      </c>
      <c r="Z19" s="110">
        <f t="shared" si="22"/>
        <v>0</v>
      </c>
      <c r="AA19" s="100" cm="1">
        <f t="array" ref="AA19">SUM([2]Hoja6!$H$24:$H$28*([2]Hoja6!$E$24:$E$28=AA$5)*($C19=[2]Hoja6!$J$24:$J$28))</f>
        <v>0</v>
      </c>
      <c r="AB19" s="100" cm="1">
        <f t="array" ref="AB19">SUM([2]Hoja6!$I$24:$I$28*([2]Hoja6!$E$24:$E$28=AA$5)*($C19=[2]Hoja6!$J$24:$J$28))</f>
        <v>0</v>
      </c>
      <c r="AC19" s="110">
        <f t="shared" si="23"/>
        <v>0</v>
      </c>
      <c r="AD19" s="100" cm="1">
        <f t="array" ref="AD19">SUM([2]Hoja6!$H$24:$H$28*([2]Hoja6!$E$24:$E$28=AD$5)*($C19=[2]Hoja6!$J$24:$J$28))</f>
        <v>0</v>
      </c>
      <c r="AE19" s="100" cm="1">
        <f t="array" ref="AE19">SUM([2]Hoja6!$I$24:$I$28*([2]Hoja6!$E$24:$E$28=AD$5)*($C19=[2]Hoja6!$J$24:$J$28))</f>
        <v>0</v>
      </c>
      <c r="AF19" s="110">
        <f t="shared" si="24"/>
        <v>0</v>
      </c>
      <c r="AG19" s="100" cm="1">
        <f t="array" ref="AG19">SUM([2]Hoja6!$H$24:$H$28*([2]Hoja6!$E$24:$E$28=AG$5)*($C19=[2]Hoja6!$J$24:$J$28))</f>
        <v>0</v>
      </c>
      <c r="AH19" s="100" cm="1">
        <f t="array" ref="AH19">SUM([2]Hoja6!$I$24:$I$28*([2]Hoja6!$E$24:$E$28=AG$5)*($C19=[2]Hoja6!$J$24:$J$28))</f>
        <v>0</v>
      </c>
      <c r="AI19" s="110">
        <f t="shared" si="25"/>
        <v>0</v>
      </c>
      <c r="AJ19" s="102">
        <f t="shared" si="7"/>
        <v>0</v>
      </c>
      <c r="AK19" s="103">
        <f t="shared" si="8"/>
        <v>0</v>
      </c>
      <c r="AL19" s="104">
        <f t="shared" si="26"/>
        <v>0</v>
      </c>
      <c r="AM19" s="103">
        <f t="shared" si="9"/>
        <v>0</v>
      </c>
      <c r="AN19" s="104">
        <f t="shared" si="10"/>
        <v>0</v>
      </c>
      <c r="AO19" s="103">
        <f t="shared" si="11"/>
        <v>0</v>
      </c>
      <c r="AP19" s="104">
        <f t="shared" si="12"/>
        <v>0</v>
      </c>
      <c r="AQ19" s="103">
        <f t="shared" si="13"/>
        <v>0</v>
      </c>
      <c r="AR19" s="104">
        <f t="shared" si="14"/>
        <v>0</v>
      </c>
      <c r="AS19" s="103">
        <f t="shared" si="31"/>
        <v>0</v>
      </c>
      <c r="AT19" s="105">
        <f t="shared" si="28"/>
        <v>0</v>
      </c>
      <c r="AU19" s="106">
        <f t="shared" si="15"/>
        <v>0</v>
      </c>
      <c r="AV19" s="107">
        <f t="shared" si="16"/>
        <v>0</v>
      </c>
      <c r="AX19" s="108">
        <f t="shared" si="17"/>
        <v>0</v>
      </c>
      <c r="AY19" s="109">
        <f t="shared" si="18"/>
        <v>0</v>
      </c>
      <c r="AZ19" s="109">
        <f t="shared" si="18"/>
        <v>0</v>
      </c>
      <c r="BA19" s="109">
        <f t="shared" si="18"/>
        <v>0</v>
      </c>
      <c r="BB19" s="109">
        <f t="shared" si="18"/>
        <v>0</v>
      </c>
      <c r="BC19" s="109">
        <f t="shared" si="18"/>
        <v>0</v>
      </c>
      <c r="BD19" s="109">
        <f t="shared" si="18"/>
        <v>0</v>
      </c>
      <c r="BE19" s="109">
        <f t="shared" si="18"/>
        <v>0</v>
      </c>
      <c r="BF19" s="109">
        <f t="shared" si="19"/>
        <v>0</v>
      </c>
    </row>
    <row r="20" spans="2:58" ht="15" thickBot="1" x14ac:dyDescent="0.35">
      <c r="C20" s="112" t="s">
        <v>124</v>
      </c>
      <c r="D20" s="113">
        <f>SUM(D7:D19)</f>
        <v>1655.7149999999997</v>
      </c>
      <c r="E20" s="114">
        <f t="shared" si="0"/>
        <v>1614.9500512098371</v>
      </c>
      <c r="F20" s="115">
        <f t="shared" ref="F20:K20" si="33">SUM(F7:F19)</f>
        <v>2673897.024038895</v>
      </c>
      <c r="G20" s="115">
        <f t="shared" si="33"/>
        <v>344123.80559999996</v>
      </c>
      <c r="H20" s="115">
        <f t="shared" si="33"/>
        <v>78579.000000000029</v>
      </c>
      <c r="I20" s="115">
        <f t="shared" si="33"/>
        <v>154473.00000000009</v>
      </c>
      <c r="J20" s="115">
        <f t="shared" si="33"/>
        <v>123484.35000000003</v>
      </c>
      <c r="K20" s="115">
        <f t="shared" si="33"/>
        <v>0</v>
      </c>
      <c r="L20" s="116">
        <v>0</v>
      </c>
      <c r="M20" s="117">
        <f>SUM(M7:M19)</f>
        <v>3251072.8296388956</v>
      </c>
      <c r="N20" s="117">
        <f>IFERROR(M20/D20,0)</f>
        <v>1963.5461595980566</v>
      </c>
      <c r="O20" s="117">
        <f>SUM(O7:O19)</f>
        <v>2973115.479638895</v>
      </c>
      <c r="P20" s="117">
        <f t="shared" si="2"/>
        <v>1795.6686263269316</v>
      </c>
      <c r="Q20" s="118">
        <f>R20/D20</f>
        <v>2009.0688916872775</v>
      </c>
      <c r="R20" s="119">
        <f t="shared" ref="R20:S20" si="34">SUM(R7:R19)</f>
        <v>3326445.5</v>
      </c>
      <c r="S20" s="118">
        <f t="shared" si="34"/>
        <v>75372.670361104538</v>
      </c>
      <c r="T20" s="120">
        <f>S20/R20</f>
        <v>2.2658621751387342E-2</v>
      </c>
      <c r="U20" s="118">
        <f>SUM(U7:U19)</f>
        <v>353330.02036110481</v>
      </c>
      <c r="V20" s="120">
        <f t="shared" si="6"/>
        <v>0.10621849068656161</v>
      </c>
      <c r="X20" s="121">
        <f>SUM(X7:X19)</f>
        <v>133.27500000000001</v>
      </c>
      <c r="Y20" s="121">
        <f>SUM(Y7:Y19)</f>
        <v>296940</v>
      </c>
      <c r="Z20" s="122">
        <f t="shared" si="22"/>
        <v>2228.0247608328641</v>
      </c>
      <c r="AA20" s="121">
        <f>SUM(AA7:AA19)</f>
        <v>27</v>
      </c>
      <c r="AB20" s="121">
        <f>SUM(AB7:AB19)</f>
        <v>48600</v>
      </c>
      <c r="AC20" s="122">
        <f t="shared" si="23"/>
        <v>1800</v>
      </c>
      <c r="AD20" s="121">
        <f>SUM(AD7:AD19)</f>
        <v>25.664999999999999</v>
      </c>
      <c r="AE20" s="121">
        <f>SUM(AE7:AE19)</f>
        <v>41064</v>
      </c>
      <c r="AF20" s="122">
        <f t="shared" si="24"/>
        <v>1600</v>
      </c>
      <c r="AG20" s="121">
        <f>SUM(AG7:AG19)</f>
        <v>0</v>
      </c>
      <c r="AH20" s="121">
        <f>SUM(AH7:AH19)</f>
        <v>0</v>
      </c>
      <c r="AI20" s="122">
        <f t="shared" si="25"/>
        <v>0</v>
      </c>
      <c r="AJ20" s="123">
        <f t="shared" ref="AJ20:AN20" si="35">SUM(AJ7:AJ19)</f>
        <v>185.94</v>
      </c>
      <c r="AK20" s="123">
        <f t="shared" si="35"/>
        <v>386604</v>
      </c>
      <c r="AL20" s="124">
        <f>IFERROR(AK20/AJ20,0)</f>
        <v>2079.1868344627301</v>
      </c>
      <c r="AM20" s="123">
        <f t="shared" si="35"/>
        <v>-242054.12410176359</v>
      </c>
      <c r="AN20" s="123">
        <f t="shared" si="35"/>
        <v>-38645.7696</v>
      </c>
      <c r="AO20" s="125">
        <f>-'Stock Libre'!O54</f>
        <v>-78579.000000000015</v>
      </c>
      <c r="AP20" s="124">
        <f>-'Stock Libre'!P54</f>
        <v>-154473.00000000003</v>
      </c>
      <c r="AQ20" s="125">
        <f>-'Stock Libre'!Q54</f>
        <v>-123484.35000000002</v>
      </c>
      <c r="AR20" s="124">
        <f t="shared" ref="AR20:AU20" si="36">SUM(AR7:AR19)</f>
        <v>10961.214431060542</v>
      </c>
      <c r="AS20" s="123">
        <f t="shared" si="36"/>
        <v>-116186.67927070311</v>
      </c>
      <c r="AT20" s="126">
        <f t="shared" si="28"/>
        <v>-0.30053149804632934</v>
      </c>
      <c r="AU20" s="123">
        <f t="shared" si="36"/>
        <v>161770.67072929692</v>
      </c>
      <c r="AV20" s="127">
        <f t="shared" si="16"/>
        <v>0.41844024047681072</v>
      </c>
      <c r="AX20" s="128">
        <f t="shared" si="17"/>
        <v>2079.1868344627301</v>
      </c>
      <c r="AY20" s="129">
        <f t="shared" si="18"/>
        <v>-1301.7861896405486</v>
      </c>
      <c r="AZ20" s="129">
        <f t="shared" si="18"/>
        <v>-207.84</v>
      </c>
      <c r="BA20" s="129">
        <f t="shared" si="18"/>
        <v>-422.60406582768644</v>
      </c>
      <c r="BB20" s="129">
        <f t="shared" si="18"/>
        <v>-830.76798967408854</v>
      </c>
      <c r="BC20" s="129">
        <f t="shared" si="18"/>
        <v>-664.10858341400467</v>
      </c>
      <c r="BD20" s="129">
        <f t="shared" si="18"/>
        <v>58.950276600304086</v>
      </c>
      <c r="BE20" s="129">
        <f t="shared" si="18"/>
        <v>-624.86113407928963</v>
      </c>
      <c r="BF20" s="129">
        <f t="shared" si="19"/>
        <v>870.01543900880347</v>
      </c>
    </row>
    <row r="21" spans="2:58" x14ac:dyDescent="0.3">
      <c r="I21" s="60"/>
      <c r="J21" s="60"/>
      <c r="N21" s="53">
        <f>M20-R20</f>
        <v>-75372.670361104421</v>
      </c>
      <c r="O21" s="53"/>
      <c r="AN21" s="60" t="s">
        <v>125</v>
      </c>
      <c r="AO21">
        <v>114.17761445259386</v>
      </c>
    </row>
    <row r="22" spans="2:58" x14ac:dyDescent="0.3">
      <c r="C22" s="130" t="s">
        <v>126</v>
      </c>
      <c r="L22" s="46"/>
      <c r="M22" s="53"/>
      <c r="N22" s="131"/>
      <c r="O22" s="131"/>
      <c r="P22" s="131"/>
      <c r="Q22" s="131"/>
      <c r="R22" s="132">
        <f>7%/12</f>
        <v>5.8333333333333336E-3</v>
      </c>
      <c r="S22" s="131"/>
      <c r="T22" s="131"/>
      <c r="U22" s="131"/>
      <c r="V22" s="131"/>
      <c r="W22" s="53"/>
      <c r="X22" s="53"/>
      <c r="Y22" s="133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Y22" s="53">
        <f>SUM(AY7:BB7)</f>
        <v>0</v>
      </c>
    </row>
    <row r="23" spans="2:58" ht="15" thickBot="1" x14ac:dyDescent="0.35">
      <c r="C23" s="130"/>
      <c r="L23" s="46"/>
      <c r="M23" s="53"/>
      <c r="N23" s="131"/>
      <c r="O23" s="131"/>
      <c r="P23" s="131"/>
      <c r="Q23" s="131"/>
      <c r="R23" s="132">
        <f>R22*M31</f>
        <v>20040.985928599359</v>
      </c>
      <c r="S23" s="131">
        <f>R23*7</f>
        <v>140286.9015001955</v>
      </c>
      <c r="T23" s="131">
        <f>S23/D31</f>
        <v>108.24606597237307</v>
      </c>
      <c r="U23" s="131"/>
      <c r="V23" s="131"/>
      <c r="W23" s="53"/>
      <c r="X23" s="53"/>
      <c r="Y23" s="133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M23" s="60"/>
      <c r="AN23" s="135"/>
      <c r="AS23" s="50"/>
      <c r="AY23" s="53"/>
    </row>
    <row r="24" spans="2:58" ht="29.4" thickBot="1" x14ac:dyDescent="0.35">
      <c r="C24" s="85" t="s">
        <v>103</v>
      </c>
      <c r="D24" s="136" t="s">
        <v>104</v>
      </c>
      <c r="E24" s="137" t="s">
        <v>105</v>
      </c>
      <c r="F24" s="85" t="s">
        <v>61</v>
      </c>
      <c r="G24" s="85" t="s">
        <v>62</v>
      </c>
      <c r="H24" s="85" t="s">
        <v>63</v>
      </c>
      <c r="I24" s="85" t="s">
        <v>64</v>
      </c>
      <c r="J24" s="85" t="s">
        <v>65</v>
      </c>
      <c r="K24" s="85" t="s">
        <v>66</v>
      </c>
      <c r="L24" s="138" t="s">
        <v>67</v>
      </c>
      <c r="M24" s="139" t="s">
        <v>106</v>
      </c>
      <c r="N24" s="139" t="s">
        <v>107</v>
      </c>
      <c r="O24" s="139" t="s">
        <v>108</v>
      </c>
      <c r="P24" s="139" t="s">
        <v>109</v>
      </c>
      <c r="Q24" s="83" t="s">
        <v>110</v>
      </c>
      <c r="R24" s="83" t="s">
        <v>111</v>
      </c>
      <c r="S24" s="83" t="s">
        <v>112</v>
      </c>
      <c r="T24" s="83" t="s">
        <v>113</v>
      </c>
      <c r="U24" s="83" t="s">
        <v>114</v>
      </c>
      <c r="V24" s="83" t="s">
        <v>115</v>
      </c>
      <c r="W24" s="53"/>
      <c r="X24" s="53"/>
      <c r="Y24" s="133"/>
      <c r="AJ24" s="60"/>
      <c r="AK24" s="140"/>
      <c r="AR24" s="140"/>
      <c r="AY24" s="60">
        <f>AY7/0.5</f>
        <v>0</v>
      </c>
    </row>
    <row r="25" spans="2:58" x14ac:dyDescent="0.3">
      <c r="C25" s="56" t="s">
        <v>86</v>
      </c>
      <c r="D25" s="92">
        <v>567</v>
      </c>
      <c r="E25" s="93">
        <f>E7</f>
        <v>1834.4310061156937</v>
      </c>
      <c r="F25" s="53">
        <f t="shared" ref="F25:F30" si="37">E25*D25</f>
        <v>1040122.3804675983</v>
      </c>
      <c r="G25" s="53">
        <f t="shared" ref="G25:G30" si="38">D25*207.84</f>
        <v>117845.28</v>
      </c>
      <c r="H25" s="53">
        <f t="shared" ref="H25:J30" si="39">H$20/$D$20*$D25</f>
        <v>26909.397450648226</v>
      </c>
      <c r="I25" s="53">
        <f t="shared" si="39"/>
        <v>52899.316005471992</v>
      </c>
      <c r="J25" s="53">
        <f t="shared" si="39"/>
        <v>42287.245359255685</v>
      </c>
      <c r="K25" s="94">
        <v>0</v>
      </c>
      <c r="L25" s="95">
        <v>0</v>
      </c>
      <c r="M25" s="96">
        <f t="shared" ref="M25:M30" si="40">F25+G25+H25+I25</f>
        <v>1237776.3739237187</v>
      </c>
      <c r="N25" s="97">
        <f t="shared" ref="N25:N30" si="41">IFERROR(M25/D25,0)</f>
        <v>2183.0271145039133</v>
      </c>
      <c r="O25" s="97">
        <f t="shared" ref="O25:O30" si="42">F25+G25+H25-J25</f>
        <v>1142589.8125589909</v>
      </c>
      <c r="P25" s="97">
        <f t="shared" ref="P25:P30" si="43">IFERROR(O25/D25,0)</f>
        <v>2015.1495812327883</v>
      </c>
      <c r="Q25" s="98">
        <v>1500</v>
      </c>
      <c r="R25" s="98">
        <f t="shared" ref="R25:R30" si="44">Q25*D25</f>
        <v>850500</v>
      </c>
      <c r="S25" s="98">
        <f t="shared" ref="S25:S30" si="45">R25-M25</f>
        <v>-387276.3739237187</v>
      </c>
      <c r="T25" s="99">
        <f t="shared" ref="T25:T30" si="46">IFERROR(S25/R25,0)</f>
        <v>-0.45535140966927534</v>
      </c>
      <c r="U25" s="98">
        <f t="shared" ref="U25:U30" si="47">R25-(M25-J25-I25)</f>
        <v>-292089.8125589909</v>
      </c>
      <c r="V25" s="99">
        <f t="shared" ref="V25:V27" si="48">IFERROR(U25/R25,0)</f>
        <v>-0.34343305415519215</v>
      </c>
      <c r="W25" s="53"/>
      <c r="X25" s="53"/>
      <c r="Y25" s="49"/>
      <c r="AK25" s="49"/>
      <c r="AL25" s="60"/>
      <c r="AN25" s="60"/>
      <c r="AP25" s="53"/>
      <c r="AR25" s="60"/>
    </row>
    <row r="26" spans="2:58" x14ac:dyDescent="0.3">
      <c r="C26" s="56" t="s">
        <v>88</v>
      </c>
      <c r="D26" s="92">
        <v>54</v>
      </c>
      <c r="E26" s="93">
        <f>E9</f>
        <v>1731.9701269990094</v>
      </c>
      <c r="F26" s="53">
        <f t="shared" si="37"/>
        <v>93526.386857946505</v>
      </c>
      <c r="G26" s="53">
        <f t="shared" si="38"/>
        <v>11223.36</v>
      </c>
      <c r="H26" s="53">
        <f t="shared" si="39"/>
        <v>2562.7997572045929</v>
      </c>
      <c r="I26" s="53">
        <f t="shared" si="39"/>
        <v>5038.0300957592381</v>
      </c>
      <c r="J26" s="53">
        <f t="shared" si="39"/>
        <v>4027.3567008814939</v>
      </c>
      <c r="K26" s="94">
        <v>0</v>
      </c>
      <c r="L26" s="95">
        <v>0</v>
      </c>
      <c r="M26" s="96">
        <f t="shared" si="40"/>
        <v>112350.57671091033</v>
      </c>
      <c r="N26" s="97">
        <f t="shared" si="41"/>
        <v>2080.5662353872285</v>
      </c>
      <c r="O26" s="97">
        <f t="shared" si="42"/>
        <v>103285.18991426959</v>
      </c>
      <c r="P26" s="97">
        <f t="shared" si="43"/>
        <v>1912.6887021161035</v>
      </c>
      <c r="Q26" s="98">
        <v>1700</v>
      </c>
      <c r="R26" s="98">
        <f t="shared" si="44"/>
        <v>91800</v>
      </c>
      <c r="S26" s="98">
        <f>R26-M26</f>
        <v>-20550.576710910333</v>
      </c>
      <c r="T26" s="99">
        <f t="shared" si="46"/>
        <v>-0.22386249140425199</v>
      </c>
      <c r="U26" s="98">
        <f t="shared" si="47"/>
        <v>-11485.189914269591</v>
      </c>
      <c r="V26" s="99"/>
      <c r="W26" s="53"/>
      <c r="X26" s="53"/>
      <c r="Y26" s="49"/>
      <c r="AK26" s="49"/>
      <c r="AL26" s="60"/>
      <c r="AN26" s="60"/>
      <c r="AP26" s="53"/>
      <c r="AR26" s="60"/>
    </row>
    <row r="27" spans="2:58" x14ac:dyDescent="0.3">
      <c r="C27" s="56" t="s">
        <v>90</v>
      </c>
      <c r="D27" s="92">
        <v>108</v>
      </c>
      <c r="E27" s="93">
        <f>E11</f>
        <v>1596.558814009124</v>
      </c>
      <c r="F27" s="53">
        <f t="shared" si="37"/>
        <v>172428.35191298538</v>
      </c>
      <c r="G27" s="53">
        <f t="shared" si="38"/>
        <v>22446.720000000001</v>
      </c>
      <c r="H27" s="53">
        <f t="shared" si="39"/>
        <v>5125.5995144091858</v>
      </c>
      <c r="I27" s="53">
        <f t="shared" si="39"/>
        <v>10076.060191518476</v>
      </c>
      <c r="J27" s="53">
        <f t="shared" si="39"/>
        <v>8054.7134017629878</v>
      </c>
      <c r="K27" s="94">
        <v>0</v>
      </c>
      <c r="L27" s="95">
        <v>0</v>
      </c>
      <c r="M27" s="96">
        <f t="shared" si="40"/>
        <v>210076.73161891304</v>
      </c>
      <c r="N27" s="97">
        <f t="shared" si="41"/>
        <v>1945.1549223973429</v>
      </c>
      <c r="O27" s="97">
        <f t="shared" si="42"/>
        <v>191945.95802563155</v>
      </c>
      <c r="P27" s="97">
        <f t="shared" si="43"/>
        <v>1777.2773891262182</v>
      </c>
      <c r="Q27" s="98">
        <v>2275</v>
      </c>
      <c r="R27" s="98">
        <f t="shared" si="44"/>
        <v>245700</v>
      </c>
      <c r="S27" s="98">
        <f t="shared" si="45"/>
        <v>35623.268381086964</v>
      </c>
      <c r="T27" s="99">
        <f t="shared" si="46"/>
        <v>0.14498684729787123</v>
      </c>
      <c r="U27" s="98">
        <f t="shared" si="47"/>
        <v>53754.041974368447</v>
      </c>
      <c r="V27" s="99">
        <f t="shared" si="48"/>
        <v>0.21877916961484919</v>
      </c>
      <c r="W27" s="53"/>
      <c r="X27" s="53"/>
      <c r="Y27" s="49"/>
      <c r="AK27" s="49"/>
      <c r="AL27" s="60"/>
      <c r="AN27" s="60"/>
      <c r="AP27" s="53"/>
      <c r="AR27" s="60"/>
    </row>
    <row r="28" spans="2:58" x14ac:dyDescent="0.3">
      <c r="C28" s="56" t="s">
        <v>92</v>
      </c>
      <c r="D28" s="92">
        <v>486</v>
      </c>
      <c r="E28" s="93">
        <f t="shared" ref="E28:E29" si="49">E14</f>
        <v>3085.0611236899649</v>
      </c>
      <c r="F28" s="53">
        <f t="shared" si="37"/>
        <v>1499339.7061133229</v>
      </c>
      <c r="G28" s="53">
        <f t="shared" si="38"/>
        <v>101010.24000000001</v>
      </c>
      <c r="H28" s="53">
        <f t="shared" si="39"/>
        <v>23065.197814841336</v>
      </c>
      <c r="I28" s="53">
        <f t="shared" si="39"/>
        <v>45342.270861833138</v>
      </c>
      <c r="J28" s="53">
        <f t="shared" si="39"/>
        <v>36246.210307933448</v>
      </c>
      <c r="K28" s="94">
        <v>0</v>
      </c>
      <c r="L28" s="95">
        <v>0</v>
      </c>
      <c r="M28" s="96">
        <f t="shared" si="40"/>
        <v>1668757.4147899973</v>
      </c>
      <c r="N28" s="97">
        <f t="shared" si="41"/>
        <v>3433.6572320781838</v>
      </c>
      <c r="O28" s="97">
        <f t="shared" si="42"/>
        <v>1587168.9336202308</v>
      </c>
      <c r="P28" s="97">
        <f t="shared" si="43"/>
        <v>3265.779698807059</v>
      </c>
      <c r="Q28" s="98">
        <v>3400</v>
      </c>
      <c r="R28" s="98">
        <f t="shared" si="44"/>
        <v>1652400</v>
      </c>
      <c r="S28" s="98">
        <f t="shared" si="45"/>
        <v>-16357.414789997274</v>
      </c>
      <c r="T28" s="99">
        <f t="shared" si="46"/>
        <v>-9.899185905348145E-3</v>
      </c>
      <c r="U28" s="98">
        <f t="shared" si="47"/>
        <v>65231.06637976924</v>
      </c>
      <c r="V28" s="99">
        <f>IFERROR(U28/R28,0)</f>
        <v>3.9476559174394361E-2</v>
      </c>
      <c r="W28" s="53"/>
      <c r="X28" s="53"/>
      <c r="Y28" s="49"/>
      <c r="AK28" s="53"/>
      <c r="AN28" s="60"/>
      <c r="AP28" s="60"/>
    </row>
    <row r="29" spans="2:58" x14ac:dyDescent="0.3">
      <c r="C29" s="56" t="s">
        <v>93</v>
      </c>
      <c r="D29" s="92">
        <v>54</v>
      </c>
      <c r="E29" s="93">
        <f t="shared" si="49"/>
        <v>2649.6026057914578</v>
      </c>
      <c r="F29" s="53">
        <f t="shared" si="37"/>
        <v>143078.54071273873</v>
      </c>
      <c r="G29" s="53">
        <f t="shared" si="38"/>
        <v>11223.36</v>
      </c>
      <c r="H29" s="53">
        <f t="shared" si="39"/>
        <v>2562.7997572045929</v>
      </c>
      <c r="I29" s="53">
        <f t="shared" si="39"/>
        <v>5038.0300957592381</v>
      </c>
      <c r="J29" s="53">
        <f t="shared" si="39"/>
        <v>4027.3567008814939</v>
      </c>
      <c r="K29" s="94">
        <v>0</v>
      </c>
      <c r="L29" s="95">
        <v>0</v>
      </c>
      <c r="M29" s="96">
        <f t="shared" si="40"/>
        <v>161902.73056570257</v>
      </c>
      <c r="N29" s="97">
        <f t="shared" si="41"/>
        <v>2998.1987141796772</v>
      </c>
      <c r="O29" s="97">
        <f t="shared" si="42"/>
        <v>152837.34376906184</v>
      </c>
      <c r="P29" s="97">
        <f t="shared" si="43"/>
        <v>2830.3211809085528</v>
      </c>
      <c r="Q29" s="98">
        <v>3400</v>
      </c>
      <c r="R29" s="111">
        <f t="shared" si="44"/>
        <v>183600</v>
      </c>
      <c r="S29" s="111">
        <f t="shared" si="45"/>
        <v>21697.269434297428</v>
      </c>
      <c r="T29" s="99">
        <f t="shared" si="46"/>
        <v>0.11817684877068316</v>
      </c>
      <c r="U29" s="111">
        <f t="shared" si="47"/>
        <v>30762.656230938155</v>
      </c>
      <c r="V29" s="99"/>
      <c r="W29" s="53"/>
      <c r="X29" s="53"/>
      <c r="Y29" s="49"/>
      <c r="AK29" s="53"/>
      <c r="AN29" s="60"/>
      <c r="AP29" s="60"/>
    </row>
    <row r="30" spans="2:58" ht="15" thickBot="1" x14ac:dyDescent="0.35">
      <c r="C30" s="56" t="s">
        <v>89</v>
      </c>
      <c r="D30" s="92">
        <v>27</v>
      </c>
      <c r="E30" s="93">
        <f>E10</f>
        <v>1308.2098231172595</v>
      </c>
      <c r="F30" s="53">
        <f t="shared" si="37"/>
        <v>35321.665224166005</v>
      </c>
      <c r="G30" s="53">
        <f t="shared" si="38"/>
        <v>5611.68</v>
      </c>
      <c r="H30" s="53">
        <f t="shared" si="39"/>
        <v>1281.3998786022964</v>
      </c>
      <c r="I30" s="53">
        <f t="shared" si="39"/>
        <v>2519.015047879619</v>
      </c>
      <c r="J30" s="53">
        <f t="shared" si="39"/>
        <v>2013.678350440747</v>
      </c>
      <c r="K30" s="94">
        <v>0</v>
      </c>
      <c r="L30" s="95">
        <v>0</v>
      </c>
      <c r="M30" s="96">
        <f t="shared" si="40"/>
        <v>44733.760150647919</v>
      </c>
      <c r="N30" s="97">
        <f t="shared" si="41"/>
        <v>1656.8059315054784</v>
      </c>
      <c r="O30" s="97">
        <f t="shared" si="42"/>
        <v>40201.066752327548</v>
      </c>
      <c r="P30" s="97">
        <f t="shared" si="43"/>
        <v>1488.9283982343536</v>
      </c>
      <c r="Q30" s="98">
        <v>1800</v>
      </c>
      <c r="R30" s="111">
        <f t="shared" si="44"/>
        <v>48600</v>
      </c>
      <c r="S30" s="111">
        <f t="shared" si="45"/>
        <v>3866.2398493520814</v>
      </c>
      <c r="T30" s="99">
        <f t="shared" si="46"/>
        <v>7.9552260274734179E-2</v>
      </c>
      <c r="U30" s="111">
        <f t="shared" si="47"/>
        <v>8398.9332476724521</v>
      </c>
      <c r="V30" s="99"/>
      <c r="W30" s="53"/>
      <c r="X30" s="53"/>
      <c r="Y30" s="49"/>
      <c r="AK30" s="53"/>
      <c r="AN30" s="60"/>
      <c r="AP30" s="60"/>
    </row>
    <row r="31" spans="2:58" ht="15" thickBot="1" x14ac:dyDescent="0.35">
      <c r="C31" s="141" t="s">
        <v>124</v>
      </c>
      <c r="D31" s="113">
        <f>SUM(D25:D30)</f>
        <v>1296</v>
      </c>
      <c r="E31" s="114">
        <f>F31/D31</f>
        <v>2302.3279562413254</v>
      </c>
      <c r="F31" s="115">
        <f t="shared" ref="F31:K31" si="50">SUM(F25:F30)</f>
        <v>2983817.0312887579</v>
      </c>
      <c r="G31" s="115">
        <f t="shared" si="50"/>
        <v>269360.63999999996</v>
      </c>
      <c r="H31" s="115">
        <f t="shared" si="50"/>
        <v>61507.194172910225</v>
      </c>
      <c r="I31" s="115">
        <f t="shared" si="50"/>
        <v>120912.72229822171</v>
      </c>
      <c r="J31" s="115">
        <f t="shared" si="50"/>
        <v>96656.560821155872</v>
      </c>
      <c r="K31" s="115">
        <f t="shared" si="50"/>
        <v>0</v>
      </c>
      <c r="L31" s="116">
        <v>0</v>
      </c>
      <c r="M31" s="117">
        <f>SUM(M25:M30)</f>
        <v>3435597.5877598897</v>
      </c>
      <c r="N31" s="117">
        <f>IFERROR(M31/D31,0)</f>
        <v>2650.9240646295443</v>
      </c>
      <c r="O31" s="117">
        <f>SUM(O25:O30)</f>
        <v>3218028.3046405124</v>
      </c>
      <c r="P31" s="117">
        <f>IFERROR(O31/D31,0)</f>
        <v>2483.04653135842</v>
      </c>
      <c r="Q31" s="118">
        <f>R31/D31</f>
        <v>2370.8333333333335</v>
      </c>
      <c r="R31" s="119">
        <f>SUM(R25:R30)</f>
        <v>3072600</v>
      </c>
      <c r="S31" s="119">
        <f>SUM(S25:S30)</f>
        <v>-362997.58775988972</v>
      </c>
      <c r="T31" s="120">
        <f>S31/R31</f>
        <v>-0.11814020300718926</v>
      </c>
      <c r="U31" s="119">
        <f>SUM(U25:U30)</f>
        <v>-145428.30464051221</v>
      </c>
      <c r="V31" s="120">
        <f>IFERROR(U31/R31,0)</f>
        <v>-4.7330698639755329E-2</v>
      </c>
      <c r="W31" s="53"/>
      <c r="X31" s="53"/>
      <c r="Y31" s="49"/>
      <c r="AK31" s="142"/>
      <c r="AL31" s="53"/>
    </row>
    <row r="32" spans="2:58" ht="15" thickBot="1" x14ac:dyDescent="0.35">
      <c r="G32" s="53"/>
      <c r="J32" s="60"/>
      <c r="L32" s="46"/>
      <c r="N32" s="131"/>
      <c r="O32" s="131"/>
      <c r="P32" s="131"/>
      <c r="Q32" s="131"/>
      <c r="R32" s="131"/>
      <c r="S32" s="131"/>
      <c r="T32" s="131"/>
      <c r="U32" s="131"/>
      <c r="V32" s="131"/>
      <c r="W32" s="53"/>
      <c r="X32" s="53"/>
      <c r="Y32" s="49"/>
      <c r="AL32" s="49"/>
    </row>
    <row r="33" spans="3:38" ht="15" thickBot="1" x14ac:dyDescent="0.35">
      <c r="C33" s="141" t="s">
        <v>124</v>
      </c>
      <c r="D33" s="113">
        <f>D20+D31</f>
        <v>2951.7149999999997</v>
      </c>
      <c r="E33" s="114">
        <f>F33/D33</f>
        <v>1916.7548544922709</v>
      </c>
      <c r="F33" s="115">
        <f t="shared" ref="F33:M33" si="51">F20+F31</f>
        <v>5657714.055327653</v>
      </c>
      <c r="G33" s="115">
        <f t="shared" si="51"/>
        <v>613484.44559999998</v>
      </c>
      <c r="H33" s="115">
        <f t="shared" si="51"/>
        <v>140086.19417291024</v>
      </c>
      <c r="I33" s="115">
        <f t="shared" si="51"/>
        <v>275385.72229822178</v>
      </c>
      <c r="J33" s="115">
        <f t="shared" si="51"/>
        <v>220140.91082115591</v>
      </c>
      <c r="K33" s="115">
        <f t="shared" si="51"/>
        <v>0</v>
      </c>
      <c r="L33" s="116">
        <f t="shared" si="51"/>
        <v>0</v>
      </c>
      <c r="M33" s="117">
        <f t="shared" si="51"/>
        <v>6686670.4173987852</v>
      </c>
      <c r="N33" s="117">
        <f>IFERROR(M33/D33,0)</f>
        <v>2265.35096288049</v>
      </c>
      <c r="O33" s="117">
        <f>O20+O31</f>
        <v>6191143.7842794079</v>
      </c>
      <c r="P33" s="117">
        <f>IFERROR(O33/D33,0)</f>
        <v>2097.4734296093657</v>
      </c>
      <c r="Q33" s="118">
        <f>R33/D33</f>
        <v>2167.9076401346338</v>
      </c>
      <c r="R33" s="119">
        <f>R20+R31</f>
        <v>6399045.5</v>
      </c>
      <c r="S33" s="119">
        <f>S20+S31</f>
        <v>-287624.91739878518</v>
      </c>
      <c r="T33" s="120">
        <f>S33/R33</f>
        <v>-4.4948096930829011E-2</v>
      </c>
      <c r="U33" s="119">
        <f>U20+U31</f>
        <v>207901.71572059259</v>
      </c>
      <c r="V33" s="120">
        <f>IFERROR(U33/R33,0)</f>
        <v>3.2489488583975934E-2</v>
      </c>
      <c r="X33" s="53"/>
      <c r="Y33" s="49"/>
      <c r="AK33" s="58"/>
      <c r="AL33" s="143"/>
    </row>
    <row r="34" spans="3:38" x14ac:dyDescent="0.3">
      <c r="L34" s="46"/>
      <c r="N34" s="53"/>
      <c r="O34" s="131"/>
      <c r="P34" s="131"/>
      <c r="Q34" s="131"/>
      <c r="R34" s="131"/>
      <c r="S34" s="131"/>
      <c r="T34" s="131"/>
      <c r="U34" s="131"/>
      <c r="V34" s="131"/>
      <c r="W34" s="53"/>
      <c r="X34" s="53"/>
      <c r="Y34" s="49"/>
      <c r="AK34" s="49"/>
    </row>
    <row r="35" spans="3:38" x14ac:dyDescent="0.3">
      <c r="L35" s="46"/>
      <c r="N35" s="53"/>
      <c r="O35" s="131"/>
      <c r="P35" s="131"/>
      <c r="Q35" s="131"/>
      <c r="R35" s="131"/>
      <c r="S35" s="131"/>
      <c r="T35" s="131"/>
      <c r="U35" s="131"/>
      <c r="V35" s="131"/>
      <c r="W35" s="53"/>
      <c r="X35" s="53"/>
      <c r="Y35" s="49"/>
      <c r="AK35" s="49"/>
    </row>
    <row r="36" spans="3:38" x14ac:dyDescent="0.3">
      <c r="C36" s="144" t="s">
        <v>127</v>
      </c>
      <c r="L36" s="46"/>
      <c r="N36" s="53"/>
      <c r="O36" s="131"/>
      <c r="P36" s="131"/>
      <c r="Q36" s="131"/>
      <c r="R36" s="131"/>
      <c r="S36" s="131"/>
      <c r="T36" s="131"/>
      <c r="U36" s="131"/>
      <c r="V36" s="131"/>
      <c r="W36" s="53"/>
      <c r="X36" s="53"/>
      <c r="Y36" s="49"/>
      <c r="AK36" s="49"/>
    </row>
    <row r="37" spans="3:38" ht="15" thickBot="1" x14ac:dyDescent="0.35">
      <c r="L37" s="46"/>
      <c r="N37" s="53"/>
      <c r="O37" s="131"/>
      <c r="P37" s="131"/>
      <c r="Q37" s="131"/>
      <c r="R37" s="131"/>
      <c r="S37" s="131"/>
      <c r="T37" s="131"/>
      <c r="U37" s="131"/>
      <c r="V37" s="131"/>
      <c r="W37" s="53"/>
      <c r="X37" s="53"/>
      <c r="Y37" s="49"/>
      <c r="AK37" s="49"/>
    </row>
    <row r="38" spans="3:38" ht="29.4" thickBot="1" x14ac:dyDescent="0.35">
      <c r="C38" s="85" t="s">
        <v>103</v>
      </c>
      <c r="D38" s="77" t="s">
        <v>104</v>
      </c>
      <c r="E38" s="78" t="s">
        <v>105</v>
      </c>
      <c r="F38" s="79" t="s">
        <v>61</v>
      </c>
      <c r="G38" s="80" t="s">
        <v>62</v>
      </c>
      <c r="H38" s="80" t="s">
        <v>63</v>
      </c>
      <c r="I38" s="80" t="s">
        <v>64</v>
      </c>
      <c r="J38" s="80" t="s">
        <v>65</v>
      </c>
      <c r="K38" s="80" t="s">
        <v>66</v>
      </c>
      <c r="L38" s="81" t="s">
        <v>67</v>
      </c>
      <c r="M38" s="82" t="s">
        <v>106</v>
      </c>
      <c r="N38" s="145" t="s">
        <v>107</v>
      </c>
      <c r="O38" s="146" t="s">
        <v>128</v>
      </c>
      <c r="P38" s="146" t="s">
        <v>129</v>
      </c>
      <c r="Q38" s="146" t="s">
        <v>66</v>
      </c>
      <c r="R38" s="146" t="s">
        <v>67</v>
      </c>
      <c r="S38" s="131" t="s">
        <v>130</v>
      </c>
      <c r="T38" s="131" t="s">
        <v>131</v>
      </c>
      <c r="U38" s="131" t="s">
        <v>136</v>
      </c>
      <c r="V38" s="131" t="s">
        <v>132</v>
      </c>
      <c r="W38" s="53"/>
      <c r="X38" s="53" t="s">
        <v>133</v>
      </c>
      <c r="Y38" s="49"/>
    </row>
    <row r="39" spans="3:38" x14ac:dyDescent="0.3">
      <c r="C39" s="55" t="s">
        <v>86</v>
      </c>
      <c r="D39" s="92">
        <f>D7+D25</f>
        <v>633.96</v>
      </c>
      <c r="E39" s="93">
        <f t="shared" ref="E39:E49" si="52">IFERROR(F39/D39,0)</f>
        <v>1834.4310061156934</v>
      </c>
      <c r="F39" s="49">
        <f>F7+F25</f>
        <v>1162955.8806371051</v>
      </c>
      <c r="G39" s="49">
        <f t="shared" ref="G39:J39" si="53">G7+G25</f>
        <v>131762.2464</v>
      </c>
      <c r="H39" s="49">
        <f t="shared" si="53"/>
        <v>30087.26914958192</v>
      </c>
      <c r="I39" s="49">
        <f t="shared" si="53"/>
        <v>59146.473324213446</v>
      </c>
      <c r="J39" s="49">
        <f t="shared" si="53"/>
        <v>47281.167668348739</v>
      </c>
      <c r="K39" s="94">
        <v>0</v>
      </c>
      <c r="L39" s="95">
        <v>0</v>
      </c>
      <c r="M39" s="96">
        <f t="shared" ref="M39:M49" si="54">F39+G39+H39+I39</f>
        <v>1383951.8695109005</v>
      </c>
      <c r="N39" s="147">
        <f t="shared" ref="N39:N50" si="55">IFERROR(M39/D39,0)</f>
        <v>2183.0271145039123</v>
      </c>
      <c r="O39" s="148">
        <v>2200</v>
      </c>
      <c r="P39" s="149">
        <f t="shared" ref="P39:P49" si="56">O39*D39</f>
        <v>1394712</v>
      </c>
      <c r="Q39" s="149">
        <f t="shared" ref="Q39:Q49" si="57">P39-M39</f>
        <v>10760.130489099538</v>
      </c>
      <c r="R39" s="150">
        <f t="shared" ref="R39:R50" si="58">Q39/P39</f>
        <v>7.7149479527669788E-3</v>
      </c>
      <c r="S39" s="131">
        <f>Q25</f>
        <v>1500</v>
      </c>
      <c r="T39" s="131">
        <f t="shared" ref="T39:T49" si="59">S39*D39</f>
        <v>950940</v>
      </c>
      <c r="U39" s="131">
        <f>T39-M39</f>
        <v>-433011.86951090046</v>
      </c>
      <c r="V39" s="131">
        <f>Q39-U39</f>
        <v>443772</v>
      </c>
      <c r="X39" s="53">
        <f>Q39+I39+J39</f>
        <v>117187.77148166171</v>
      </c>
      <c r="Y39" s="49"/>
    </row>
    <row r="40" spans="3:38" x14ac:dyDescent="0.3">
      <c r="C40" s="56" t="s">
        <v>87</v>
      </c>
      <c r="D40" s="92">
        <f t="shared" ref="D40:J49" si="60">D8</f>
        <v>368.64</v>
      </c>
      <c r="E40" s="93">
        <f t="shared" si="52"/>
        <v>1483.4229685286577</v>
      </c>
      <c r="F40" s="49">
        <f t="shared" si="60"/>
        <v>546849.04311840434</v>
      </c>
      <c r="G40" s="49">
        <f t="shared" si="60"/>
        <v>76618.137600000002</v>
      </c>
      <c r="H40" s="49">
        <f t="shared" si="60"/>
        <v>17495.379675850018</v>
      </c>
      <c r="I40" s="49">
        <f t="shared" si="60"/>
        <v>34392.952120383059</v>
      </c>
      <c r="J40" s="49">
        <f t="shared" si="60"/>
        <v>27493.421744684329</v>
      </c>
      <c r="K40" s="94">
        <v>0</v>
      </c>
      <c r="L40" s="95">
        <v>0</v>
      </c>
      <c r="M40" s="96">
        <f t="shared" si="54"/>
        <v>675355.51251463743</v>
      </c>
      <c r="N40" s="147">
        <f t="shared" si="55"/>
        <v>1832.0190769168769</v>
      </c>
      <c r="O40" s="148">
        <v>1400</v>
      </c>
      <c r="P40" s="149">
        <f t="shared" si="56"/>
        <v>516096</v>
      </c>
      <c r="Q40" s="149">
        <f t="shared" si="57"/>
        <v>-159259.51251463743</v>
      </c>
      <c r="R40" s="150">
        <f t="shared" si="58"/>
        <v>-0.30858505494062621</v>
      </c>
      <c r="S40" s="131">
        <f t="shared" ref="S40:S49" si="61">Q8</f>
        <v>1400</v>
      </c>
      <c r="T40" s="131">
        <f t="shared" si="59"/>
        <v>516096</v>
      </c>
      <c r="U40" s="131">
        <f t="shared" ref="U39:U49" si="62">T40-M40</f>
        <v>-159259.51251463743</v>
      </c>
      <c r="V40" s="131">
        <f t="shared" ref="V39:V49" si="63">Q40-U40</f>
        <v>0</v>
      </c>
      <c r="X40" s="53">
        <f t="shared" ref="X39:X49" si="64">Q40+I40+J40</f>
        <v>-97373.138649570043</v>
      </c>
      <c r="Y40" s="49"/>
    </row>
    <row r="41" spans="3:38" x14ac:dyDescent="0.3">
      <c r="C41" s="56" t="s">
        <v>88</v>
      </c>
      <c r="D41" s="92">
        <f>D9+D26</f>
        <v>71.900000000000006</v>
      </c>
      <c r="E41" s="93">
        <f t="shared" si="52"/>
        <v>1731.9701269990092</v>
      </c>
      <c r="F41" s="49">
        <f>F9+F26</f>
        <v>124528.65213122877</v>
      </c>
      <c r="G41" s="49">
        <f t="shared" ref="G41:J41" si="65">G9+G26</f>
        <v>14943.696</v>
      </c>
      <c r="H41" s="49">
        <f t="shared" si="65"/>
        <v>3412.3204174631524</v>
      </c>
      <c r="I41" s="49">
        <f t="shared" si="65"/>
        <v>6708.0437756497995</v>
      </c>
      <c r="J41" s="49">
        <f t="shared" si="65"/>
        <v>5362.3508665440631</v>
      </c>
      <c r="K41" s="94">
        <v>0</v>
      </c>
      <c r="L41" s="95">
        <v>0</v>
      </c>
      <c r="M41" s="96">
        <f t="shared" si="54"/>
        <v>149592.7123243417</v>
      </c>
      <c r="N41" s="147">
        <f t="shared" si="55"/>
        <v>2080.5662353872281</v>
      </c>
      <c r="O41" s="148">
        <v>2700</v>
      </c>
      <c r="P41" s="149">
        <f t="shared" si="56"/>
        <v>194130.00000000003</v>
      </c>
      <c r="Q41" s="149">
        <f t="shared" si="57"/>
        <v>44537.287675658328</v>
      </c>
      <c r="R41" s="150">
        <f t="shared" si="58"/>
        <v>0.22941991281954527</v>
      </c>
      <c r="S41" s="131">
        <f t="shared" si="61"/>
        <v>1950</v>
      </c>
      <c r="T41" s="131">
        <f t="shared" si="59"/>
        <v>140205</v>
      </c>
      <c r="U41" s="131">
        <f t="shared" si="62"/>
        <v>-9387.7123243417009</v>
      </c>
      <c r="V41" s="131">
        <f t="shared" si="63"/>
        <v>53925.000000000029</v>
      </c>
      <c r="X41" s="53">
        <f t="shared" si="64"/>
        <v>56607.682317852188</v>
      </c>
      <c r="Y41" s="49"/>
    </row>
    <row r="42" spans="3:38" x14ac:dyDescent="0.3">
      <c r="C42" s="56" t="s">
        <v>89</v>
      </c>
      <c r="D42" s="92">
        <f>D10+D30</f>
        <v>141.85499999999999</v>
      </c>
      <c r="E42" s="93">
        <f t="shared" si="52"/>
        <v>1308.2098231172595</v>
      </c>
      <c r="F42" s="49">
        <f>F10+F30</f>
        <v>185576.10445829883</v>
      </c>
      <c r="G42" s="49">
        <f t="shared" ref="G42:J42" si="66">G10+G30</f>
        <v>29483.143199999999</v>
      </c>
      <c r="H42" s="49">
        <f t="shared" si="66"/>
        <v>6732.3325844121755</v>
      </c>
      <c r="I42" s="49">
        <f t="shared" si="66"/>
        <v>13234.625170998637</v>
      </c>
      <c r="J42" s="49">
        <f t="shared" si="66"/>
        <v>10579.642311176745</v>
      </c>
      <c r="K42" s="94">
        <v>0</v>
      </c>
      <c r="L42" s="95">
        <v>0</v>
      </c>
      <c r="M42" s="96">
        <f t="shared" si="54"/>
        <v>235026.20541370963</v>
      </c>
      <c r="N42" s="147">
        <f t="shared" si="55"/>
        <v>1656.8059315054784</v>
      </c>
      <c r="O42" s="148">
        <v>2500</v>
      </c>
      <c r="P42" s="149">
        <f t="shared" si="56"/>
        <v>354637.5</v>
      </c>
      <c r="Q42" s="151">
        <f t="shared" si="57"/>
        <v>119611.29458629037</v>
      </c>
      <c r="R42" s="152">
        <f t="shared" si="58"/>
        <v>0.33727762739780864</v>
      </c>
      <c r="S42" s="153">
        <f>Q10</f>
        <v>1700</v>
      </c>
      <c r="T42" s="153">
        <f t="shared" si="59"/>
        <v>241153.49999999997</v>
      </c>
      <c r="U42" s="153">
        <f t="shared" si="62"/>
        <v>6127.2945862903434</v>
      </c>
      <c r="V42" s="153">
        <f t="shared" si="63"/>
        <v>113484.00000000003</v>
      </c>
      <c r="X42" s="53">
        <f t="shared" si="64"/>
        <v>143425.56206846575</v>
      </c>
      <c r="Y42" s="153"/>
    </row>
    <row r="43" spans="3:38" x14ac:dyDescent="0.3">
      <c r="C43" s="56" t="s">
        <v>90</v>
      </c>
      <c r="D43" s="92">
        <f>D11+D27</f>
        <v>378.4</v>
      </c>
      <c r="E43" s="93">
        <f t="shared" si="52"/>
        <v>1596.5588140091238</v>
      </c>
      <c r="F43" s="49">
        <f>F11+F27</f>
        <v>604137.85522105242</v>
      </c>
      <c r="G43" s="49">
        <f t="shared" ref="G43:J43" si="67">G11+G27</f>
        <v>78646.656000000003</v>
      </c>
      <c r="H43" s="49">
        <f t="shared" si="67"/>
        <v>17958.582002337367</v>
      </c>
      <c r="I43" s="49">
        <f t="shared" si="67"/>
        <v>35303.529411764721</v>
      </c>
      <c r="J43" s="49">
        <f t="shared" si="67"/>
        <v>28221.329178028835</v>
      </c>
      <c r="K43" s="94">
        <v>0</v>
      </c>
      <c r="L43" s="95">
        <v>0</v>
      </c>
      <c r="M43" s="96">
        <f t="shared" si="54"/>
        <v>736046.6226351544</v>
      </c>
      <c r="N43" s="147">
        <f t="shared" si="55"/>
        <v>1945.1549223973427</v>
      </c>
      <c r="O43" s="148">
        <v>2700</v>
      </c>
      <c r="P43" s="149">
        <f t="shared" si="56"/>
        <v>1021679.9999999999</v>
      </c>
      <c r="Q43" s="154">
        <f t="shared" si="57"/>
        <v>285633.37736484548</v>
      </c>
      <c r="R43" s="150">
        <f t="shared" si="58"/>
        <v>0.27957225096394717</v>
      </c>
      <c r="S43" s="53">
        <f t="shared" si="61"/>
        <v>2700</v>
      </c>
      <c r="T43" s="49">
        <f t="shared" si="59"/>
        <v>1021679.9999999999</v>
      </c>
      <c r="U43" s="53">
        <f t="shared" si="62"/>
        <v>285633.37736484548</v>
      </c>
      <c r="V43" s="53">
        <f t="shared" si="63"/>
        <v>0</v>
      </c>
      <c r="X43" s="53">
        <f t="shared" si="64"/>
        <v>349158.23595463904</v>
      </c>
    </row>
    <row r="44" spans="3:38" x14ac:dyDescent="0.3">
      <c r="C44" s="56" t="s">
        <v>91</v>
      </c>
      <c r="D44" s="92">
        <f t="shared" si="60"/>
        <v>132.38</v>
      </c>
      <c r="E44" s="93">
        <f t="shared" si="52"/>
        <v>1540.1636690456849</v>
      </c>
      <c r="F44" s="49">
        <f t="shared" si="60"/>
        <v>203886.86650826776</v>
      </c>
      <c r="G44" s="49">
        <f t="shared" si="60"/>
        <v>27513.859199999999</v>
      </c>
      <c r="H44" s="49">
        <f t="shared" si="60"/>
        <v>6282.6561455322953</v>
      </c>
      <c r="I44" s="49">
        <f t="shared" si="60"/>
        <v>12350.637482900142</v>
      </c>
      <c r="J44" s="49">
        <f t="shared" si="60"/>
        <v>9872.9903715313339</v>
      </c>
      <c r="K44" s="94">
        <v>0</v>
      </c>
      <c r="L44" s="95">
        <v>0</v>
      </c>
      <c r="M44" s="96">
        <f t="shared" si="54"/>
        <v>250034.01933670021</v>
      </c>
      <c r="N44" s="147">
        <f t="shared" si="55"/>
        <v>1888.759777433904</v>
      </c>
      <c r="O44" s="148">
        <v>2700</v>
      </c>
      <c r="P44" s="149">
        <f t="shared" si="56"/>
        <v>357426</v>
      </c>
      <c r="Q44" s="154">
        <f t="shared" si="57"/>
        <v>107391.98066329979</v>
      </c>
      <c r="R44" s="150">
        <f t="shared" si="58"/>
        <v>0.30045934169114669</v>
      </c>
      <c r="S44" s="53">
        <f t="shared" si="61"/>
        <v>2800</v>
      </c>
      <c r="T44" s="49">
        <f t="shared" si="59"/>
        <v>370664</v>
      </c>
      <c r="U44" s="53">
        <f t="shared" si="62"/>
        <v>120629.98066329979</v>
      </c>
      <c r="V44" s="53">
        <f t="shared" si="63"/>
        <v>-13238</v>
      </c>
      <c r="X44" s="53">
        <f t="shared" si="64"/>
        <v>129615.60851773128</v>
      </c>
    </row>
    <row r="45" spans="3:38" x14ac:dyDescent="0.3">
      <c r="C45" s="56" t="s">
        <v>9</v>
      </c>
      <c r="D45" s="92">
        <f t="shared" si="60"/>
        <v>0</v>
      </c>
      <c r="E45" s="93">
        <f t="shared" si="52"/>
        <v>0</v>
      </c>
      <c r="F45" s="49">
        <f t="shared" si="60"/>
        <v>0</v>
      </c>
      <c r="G45" s="49">
        <f t="shared" si="60"/>
        <v>0</v>
      </c>
      <c r="H45" s="49">
        <f t="shared" si="60"/>
        <v>0</v>
      </c>
      <c r="I45" s="49">
        <f t="shared" si="60"/>
        <v>0</v>
      </c>
      <c r="J45" s="49">
        <f t="shared" si="60"/>
        <v>0</v>
      </c>
      <c r="K45" s="94">
        <v>0</v>
      </c>
      <c r="L45" s="95">
        <v>0</v>
      </c>
      <c r="M45" s="96">
        <f t="shared" si="54"/>
        <v>0</v>
      </c>
      <c r="N45" s="147">
        <f t="shared" si="55"/>
        <v>0</v>
      </c>
      <c r="O45" s="148">
        <v>1800</v>
      </c>
      <c r="P45" s="149">
        <f t="shared" si="56"/>
        <v>0</v>
      </c>
      <c r="Q45" s="154">
        <f t="shared" si="57"/>
        <v>0</v>
      </c>
      <c r="R45" s="150" t="e">
        <f t="shared" si="58"/>
        <v>#DIV/0!</v>
      </c>
      <c r="S45" s="53">
        <f t="shared" si="61"/>
        <v>1700</v>
      </c>
      <c r="T45" s="49">
        <f t="shared" si="59"/>
        <v>0</v>
      </c>
      <c r="U45" s="53">
        <f t="shared" si="62"/>
        <v>0</v>
      </c>
      <c r="V45" s="53">
        <f t="shared" si="63"/>
        <v>0</v>
      </c>
      <c r="X45" s="53">
        <f t="shared" si="64"/>
        <v>0</v>
      </c>
    </row>
    <row r="46" spans="3:38" x14ac:dyDescent="0.3">
      <c r="C46" s="56" t="s">
        <v>92</v>
      </c>
      <c r="D46" s="92">
        <f>D14+D28+D18*0.5</f>
        <v>486.86</v>
      </c>
      <c r="E46" s="93">
        <f t="shared" si="52"/>
        <v>3085.0611236899645</v>
      </c>
      <c r="F46" s="49">
        <f t="shared" ref="F46:J47" si="68">F14+F28+F18</f>
        <v>1501992.8586796962</v>
      </c>
      <c r="G46" s="49">
        <f t="shared" si="68"/>
        <v>101188.98240000001</v>
      </c>
      <c r="H46" s="49">
        <f t="shared" si="68"/>
        <v>23106.012773937557</v>
      </c>
      <c r="I46" s="49">
        <f t="shared" si="68"/>
        <v>45422.506155950789</v>
      </c>
      <c r="J46" s="49">
        <f t="shared" si="68"/>
        <v>36310.349692428972</v>
      </c>
      <c r="K46" s="94">
        <v>0</v>
      </c>
      <c r="L46" s="95">
        <v>0</v>
      </c>
      <c r="M46" s="96">
        <f t="shared" si="54"/>
        <v>1671710.3600095846</v>
      </c>
      <c r="N46" s="147">
        <f t="shared" si="55"/>
        <v>3433.6572320781838</v>
      </c>
      <c r="O46" s="148">
        <v>3900</v>
      </c>
      <c r="P46" s="149">
        <f t="shared" si="56"/>
        <v>1898754</v>
      </c>
      <c r="Q46" s="155">
        <f t="shared" si="57"/>
        <v>227043.63999041542</v>
      </c>
      <c r="R46" s="150">
        <f t="shared" si="58"/>
        <v>0.11957506869790159</v>
      </c>
      <c r="S46" s="156">
        <f t="shared" si="61"/>
        <v>3500</v>
      </c>
      <c r="T46" s="49">
        <f t="shared" si="59"/>
        <v>1704010</v>
      </c>
      <c r="U46" s="156">
        <f t="shared" si="62"/>
        <v>32299.639990415424</v>
      </c>
      <c r="V46" s="156">
        <f t="shared" si="63"/>
        <v>194744</v>
      </c>
      <c r="X46" s="53">
        <f t="shared" si="64"/>
        <v>308776.49583879515</v>
      </c>
    </row>
    <row r="47" spans="3:38" x14ac:dyDescent="0.3">
      <c r="C47" s="56" t="s">
        <v>93</v>
      </c>
      <c r="D47" s="92">
        <f>D15+D29+D19*0.5</f>
        <v>379.21000000000004</v>
      </c>
      <c r="E47" s="93">
        <f t="shared" si="52"/>
        <v>3307.34759740346</v>
      </c>
      <c r="F47" s="49">
        <f t="shared" si="68"/>
        <v>1254179.2824113662</v>
      </c>
      <c r="G47" s="49">
        <f t="shared" si="68"/>
        <v>142474.32</v>
      </c>
      <c r="H47" s="49">
        <f t="shared" si="68"/>
        <v>32533.319140069412</v>
      </c>
      <c r="I47" s="49">
        <f t="shared" si="68"/>
        <v>63954.99316005475</v>
      </c>
      <c r="J47" s="49">
        <f t="shared" si="68"/>
        <v>51125.055897301179</v>
      </c>
      <c r="K47" s="94">
        <v>0</v>
      </c>
      <c r="L47" s="95">
        <v>0</v>
      </c>
      <c r="M47" s="96">
        <f t="shared" si="54"/>
        <v>1493141.9147114905</v>
      </c>
      <c r="N47" s="147">
        <f t="shared" si="55"/>
        <v>3937.5066973747803</v>
      </c>
      <c r="O47" s="148">
        <v>3900</v>
      </c>
      <c r="P47" s="149">
        <f t="shared" si="56"/>
        <v>1478919.0000000002</v>
      </c>
      <c r="Q47" s="154">
        <f t="shared" si="57"/>
        <v>-14222.914711490273</v>
      </c>
      <c r="R47" s="150">
        <f t="shared" si="58"/>
        <v>-9.6171018909691954E-3</v>
      </c>
      <c r="S47" s="53">
        <f t="shared" si="61"/>
        <v>3500</v>
      </c>
      <c r="T47" s="49">
        <f t="shared" si="59"/>
        <v>1327235.0000000002</v>
      </c>
      <c r="U47" s="53">
        <f t="shared" si="62"/>
        <v>-165906.91471149027</v>
      </c>
      <c r="V47" s="53">
        <f t="shared" si="63"/>
        <v>151684</v>
      </c>
      <c r="X47" s="53">
        <f t="shared" si="64"/>
        <v>100857.13434586566</v>
      </c>
    </row>
    <row r="48" spans="3:38" x14ac:dyDescent="0.3">
      <c r="C48" s="56" t="s">
        <v>94</v>
      </c>
      <c r="D48" s="92">
        <f t="shared" si="60"/>
        <v>21.28</v>
      </c>
      <c r="E48" s="93">
        <f t="shared" si="52"/>
        <v>1597.990253542572</v>
      </c>
      <c r="F48" s="49">
        <f t="shared" si="60"/>
        <v>34005.232595385933</v>
      </c>
      <c r="G48" s="49">
        <f t="shared" si="60"/>
        <v>4422.8352000000004</v>
      </c>
      <c r="H48" s="49">
        <f t="shared" si="60"/>
        <v>1009.9329413576617</v>
      </c>
      <c r="I48" s="49">
        <f t="shared" si="60"/>
        <v>1985.3570451436399</v>
      </c>
      <c r="J48" s="49">
        <f t="shared" si="60"/>
        <v>1587.0768628658923</v>
      </c>
      <c r="K48" s="94">
        <v>0</v>
      </c>
      <c r="L48" s="95">
        <v>0</v>
      </c>
      <c r="M48" s="96">
        <f t="shared" si="54"/>
        <v>41423.357781887236</v>
      </c>
      <c r="N48" s="147">
        <f t="shared" si="55"/>
        <v>1946.5863619307911</v>
      </c>
      <c r="O48" s="148">
        <v>2500</v>
      </c>
      <c r="P48" s="149">
        <f t="shared" si="56"/>
        <v>53200</v>
      </c>
      <c r="Q48" s="154">
        <f t="shared" si="57"/>
        <v>11776.642218112764</v>
      </c>
      <c r="R48" s="150">
        <f t="shared" si="58"/>
        <v>0.22136545522768353</v>
      </c>
      <c r="S48" s="53">
        <f t="shared" si="61"/>
        <v>2000</v>
      </c>
      <c r="T48" s="49">
        <f t="shared" si="59"/>
        <v>42560</v>
      </c>
      <c r="U48" s="53">
        <f t="shared" si="62"/>
        <v>1136.6422181127637</v>
      </c>
      <c r="V48" s="53">
        <f t="shared" si="63"/>
        <v>10640</v>
      </c>
      <c r="X48" s="53">
        <f t="shared" si="64"/>
        <v>15349.076126122294</v>
      </c>
    </row>
    <row r="49" spans="3:24" ht="15" thickBot="1" x14ac:dyDescent="0.35">
      <c r="C49" s="56" t="s">
        <v>95</v>
      </c>
      <c r="D49" s="92">
        <f t="shared" si="60"/>
        <v>30.94</v>
      </c>
      <c r="E49" s="93">
        <f t="shared" si="52"/>
        <v>1279.9702510293225</v>
      </c>
      <c r="F49" s="49">
        <f t="shared" si="60"/>
        <v>39602.279566847239</v>
      </c>
      <c r="G49" s="49">
        <f t="shared" si="60"/>
        <v>6430.5696000000007</v>
      </c>
      <c r="H49" s="49">
        <f t="shared" si="60"/>
        <v>1468.3893423687055</v>
      </c>
      <c r="I49" s="49">
        <f t="shared" si="60"/>
        <v>2886.6046511627919</v>
      </c>
      <c r="J49" s="49">
        <f t="shared" si="60"/>
        <v>2307.5262282458038</v>
      </c>
      <c r="K49" s="94">
        <v>0</v>
      </c>
      <c r="L49" s="95">
        <v>0</v>
      </c>
      <c r="M49" s="96">
        <f t="shared" si="54"/>
        <v>50387.843160378739</v>
      </c>
      <c r="N49" s="147">
        <f t="shared" si="55"/>
        <v>1628.5663594175417</v>
      </c>
      <c r="O49" s="148">
        <v>2000</v>
      </c>
      <c r="P49" s="154">
        <f t="shared" si="56"/>
        <v>61880</v>
      </c>
      <c r="Q49" s="154">
        <f t="shared" si="57"/>
        <v>11492.156839621261</v>
      </c>
      <c r="R49" s="150">
        <f t="shared" si="58"/>
        <v>0.18571682029122916</v>
      </c>
      <c r="S49" s="53">
        <f t="shared" si="61"/>
        <v>1700</v>
      </c>
      <c r="T49" s="49">
        <f t="shared" si="59"/>
        <v>52598</v>
      </c>
      <c r="U49" s="53">
        <f t="shared" si="62"/>
        <v>2210.1568396212606</v>
      </c>
      <c r="V49" s="53">
        <f t="shared" si="63"/>
        <v>9282</v>
      </c>
      <c r="X49" s="53">
        <f t="shared" si="64"/>
        <v>16686.287719029857</v>
      </c>
    </row>
    <row r="50" spans="3:24" ht="15" thickBot="1" x14ac:dyDescent="0.35">
      <c r="C50" s="141" t="s">
        <v>124</v>
      </c>
      <c r="D50" s="113">
        <f>SUM(D39:D49)</f>
        <v>2645.4250000000006</v>
      </c>
      <c r="E50" s="114">
        <f>F50/D50</f>
        <v>2138.678683133202</v>
      </c>
      <c r="F50" s="115">
        <f t="shared" ref="F50:M50" si="69">SUM(F39:F49)</f>
        <v>5657714.055327652</v>
      </c>
      <c r="G50" s="115">
        <f t="shared" si="69"/>
        <v>613484.44560000009</v>
      </c>
      <c r="H50" s="115">
        <f t="shared" si="69"/>
        <v>140086.19417291027</v>
      </c>
      <c r="I50" s="115">
        <f t="shared" si="69"/>
        <v>275385.72229822178</v>
      </c>
      <c r="J50" s="115">
        <f t="shared" si="69"/>
        <v>220140.91082115591</v>
      </c>
      <c r="K50" s="115">
        <f t="shared" si="69"/>
        <v>0</v>
      </c>
      <c r="L50" s="116">
        <v>0</v>
      </c>
      <c r="M50" s="117">
        <f t="shared" si="69"/>
        <v>6686670.4173987843</v>
      </c>
      <c r="N50" s="157">
        <f t="shared" si="55"/>
        <v>2527.6356038817139</v>
      </c>
      <c r="O50" s="158">
        <f>P50/D50</f>
        <v>2771.3635805210874</v>
      </c>
      <c r="P50" s="158">
        <f>SUM(P39:P49)</f>
        <v>7331434.5</v>
      </c>
      <c r="Q50" s="158">
        <f>SUM(Q39:Q49)</f>
        <v>644764.08260121522</v>
      </c>
      <c r="R50" s="159">
        <f t="shared" si="58"/>
        <v>8.7945146696900206E-2</v>
      </c>
      <c r="S50" s="160">
        <f>T50/D50</f>
        <v>2406.8501280512578</v>
      </c>
      <c r="T50" s="160">
        <f>SUM(T39:T49)</f>
        <v>6367141.5</v>
      </c>
      <c r="U50" s="160">
        <f>SUM(U39:U49)</f>
        <v>-319528.91739878472</v>
      </c>
      <c r="V50" s="160">
        <f>SUM(V39:V49)</f>
        <v>964293</v>
      </c>
      <c r="X50" s="160">
        <f>SUM(X39:X49)</f>
        <v>1140290.715720593</v>
      </c>
    </row>
    <row r="51" spans="3:24" x14ac:dyDescent="0.3">
      <c r="Q51" s="53"/>
    </row>
    <row r="52" spans="3:24" x14ac:dyDescent="0.3">
      <c r="M52" s="161"/>
      <c r="P52" s="60"/>
      <c r="X52" s="53"/>
    </row>
    <row r="53" spans="3:24" x14ac:dyDescent="0.3">
      <c r="M53" s="53"/>
      <c r="S53" s="53">
        <f>F50*7%/12</f>
        <v>33003.331989411308</v>
      </c>
      <c r="T53" t="s">
        <v>137</v>
      </c>
      <c r="U53" s="50"/>
    </row>
    <row r="54" spans="3:24" x14ac:dyDescent="0.3">
      <c r="D54" s="50"/>
      <c r="M54" s="60"/>
      <c r="S54" s="60">
        <f>S53/D50</f>
        <v>12.475625651610347</v>
      </c>
      <c r="T54" t="s">
        <v>138</v>
      </c>
    </row>
    <row r="56" spans="3:24" x14ac:dyDescent="0.3">
      <c r="S56" s="60"/>
    </row>
    <row r="57" spans="3:24" x14ac:dyDescent="0.3">
      <c r="S57" s="60"/>
    </row>
  </sheetData>
  <mergeCells count="8">
    <mergeCell ref="AJ5:AV5"/>
    <mergeCell ref="AX5:BF5"/>
    <mergeCell ref="AJ4:AT4"/>
    <mergeCell ref="F5:V5"/>
    <mergeCell ref="X5:Z5"/>
    <mergeCell ref="AA5:AC5"/>
    <mergeCell ref="AD5:AF5"/>
    <mergeCell ref="AG5:AI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051B-B99D-4792-93C2-1AE4A683B8BE}">
  <dimension ref="B3:K17"/>
  <sheetViews>
    <sheetView showGridLines="0" zoomScale="90" zoomScaleNormal="90" workbookViewId="0">
      <selection activeCell="J27" sqref="J27"/>
    </sheetView>
  </sheetViews>
  <sheetFormatPr baseColWidth="10" defaultRowHeight="14.4" x14ac:dyDescent="0.3"/>
  <cols>
    <col min="4" max="4" width="23.77734375" bestFit="1" customWidth="1"/>
    <col min="5" max="5" width="16.5546875" bestFit="1" customWidth="1"/>
    <col min="6" max="6" width="18.44140625" bestFit="1" customWidth="1"/>
    <col min="7" max="7" width="19.44140625" bestFit="1" customWidth="1"/>
    <col min="8" max="8" width="19.5546875" bestFit="1" customWidth="1"/>
    <col min="9" max="9" width="17.6640625" bestFit="1" customWidth="1"/>
    <col min="10" max="10" width="16.44140625" bestFit="1" customWidth="1"/>
    <col min="11" max="11" width="19.77734375" bestFit="1" customWidth="1"/>
  </cols>
  <sheetData>
    <row r="3" spans="2:11" x14ac:dyDescent="0.3">
      <c r="E3" s="51" t="s">
        <v>78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</row>
    <row r="4" spans="2:11" x14ac:dyDescent="0.3">
      <c r="B4" s="54" t="b">
        <f t="shared" ref="B4:B14" si="0">C4=E4</f>
        <v>1</v>
      </c>
      <c r="C4" s="52">
        <v>10005721</v>
      </c>
      <c r="D4" s="55" t="s">
        <v>86</v>
      </c>
      <c r="E4" s="52">
        <v>10005721</v>
      </c>
      <c r="F4" s="53">
        <v>66.959999999999994</v>
      </c>
      <c r="G4" s="53">
        <v>122833.50016950683</v>
      </c>
      <c r="H4" s="53">
        <v>13916.966399999999</v>
      </c>
      <c r="I4" s="53">
        <v>3177.8716989336949</v>
      </c>
      <c r="J4" s="53">
        <v>6247.1573187414533</v>
      </c>
      <c r="K4" s="53">
        <v>4993.9223090930518</v>
      </c>
    </row>
    <row r="5" spans="2:11" x14ac:dyDescent="0.3">
      <c r="B5" s="54" t="b">
        <f t="shared" si="0"/>
        <v>1</v>
      </c>
      <c r="C5" s="52">
        <v>10005779</v>
      </c>
      <c r="D5" s="56" t="s">
        <v>87</v>
      </c>
      <c r="E5" s="52">
        <v>10005779</v>
      </c>
      <c r="F5" s="53">
        <v>368.64</v>
      </c>
      <c r="G5" s="53">
        <v>546849.04311840434</v>
      </c>
      <c r="H5" s="53">
        <v>76618.137600000002</v>
      </c>
      <c r="I5" s="53">
        <v>17495.379675850018</v>
      </c>
      <c r="J5" s="53">
        <v>34392.952120383059</v>
      </c>
      <c r="K5" s="53">
        <v>27493.421744684329</v>
      </c>
    </row>
    <row r="6" spans="2:11" x14ac:dyDescent="0.3">
      <c r="B6" s="54" t="b">
        <f t="shared" si="0"/>
        <v>1</v>
      </c>
      <c r="C6" s="52">
        <v>10006719</v>
      </c>
      <c r="D6" s="56" t="s">
        <v>88</v>
      </c>
      <c r="E6" s="52">
        <v>10006719</v>
      </c>
      <c r="F6" s="53">
        <v>17.899999999999999</v>
      </c>
      <c r="G6" s="53">
        <v>31002.265273282264</v>
      </c>
      <c r="H6" s="53">
        <v>3720.3360000000002</v>
      </c>
      <c r="I6" s="53">
        <v>849.52066025855936</v>
      </c>
      <c r="J6" s="53">
        <v>1670.0136798905619</v>
      </c>
      <c r="K6" s="53">
        <v>1334.9941656625692</v>
      </c>
    </row>
    <row r="7" spans="2:11" x14ac:dyDescent="0.3">
      <c r="B7" s="54" t="b">
        <f t="shared" si="0"/>
        <v>1</v>
      </c>
      <c r="C7" s="52">
        <v>10007050</v>
      </c>
      <c r="D7" s="56" t="s">
        <v>89</v>
      </c>
      <c r="E7" s="52">
        <v>10007050</v>
      </c>
      <c r="F7" s="53">
        <v>114.85499999999999</v>
      </c>
      <c r="G7" s="53">
        <v>150254.43923413282</v>
      </c>
      <c r="H7" s="53">
        <v>23871.463199999998</v>
      </c>
      <c r="I7" s="53">
        <v>5450.9327058098788</v>
      </c>
      <c r="J7" s="53">
        <v>10715.610123119019</v>
      </c>
      <c r="K7" s="53">
        <v>8565.9639607359986</v>
      </c>
    </row>
    <row r="8" spans="2:11" x14ac:dyDescent="0.3">
      <c r="B8" s="54" t="b">
        <f t="shared" si="0"/>
        <v>1</v>
      </c>
      <c r="C8" s="52">
        <v>10007162</v>
      </c>
      <c r="D8" s="56" t="s">
        <v>90</v>
      </c>
      <c r="E8" s="52">
        <v>10007162</v>
      </c>
      <c r="F8" s="53">
        <v>270.39999999999998</v>
      </c>
      <c r="G8" s="53">
        <v>431709.5033080671</v>
      </c>
      <c r="H8" s="53">
        <v>56199.936000000002</v>
      </c>
      <c r="I8" s="53">
        <v>12832.98248792818</v>
      </c>
      <c r="J8" s="53">
        <v>25227.469220246247</v>
      </c>
      <c r="K8" s="53">
        <v>20166.615776265848</v>
      </c>
    </row>
    <row r="9" spans="2:11" x14ac:dyDescent="0.3">
      <c r="B9" s="54" t="b">
        <f t="shared" si="0"/>
        <v>1</v>
      </c>
      <c r="C9" s="52">
        <v>10007567</v>
      </c>
      <c r="D9" s="56" t="s">
        <v>91</v>
      </c>
      <c r="E9" s="52">
        <v>10007567</v>
      </c>
      <c r="F9" s="53">
        <v>132.38</v>
      </c>
      <c r="G9" s="53">
        <v>203886.86650826776</v>
      </c>
      <c r="H9" s="53">
        <v>27513.859199999999</v>
      </c>
      <c r="I9" s="53">
        <v>6282.6561455322953</v>
      </c>
      <c r="J9" s="53">
        <v>12350.637482900142</v>
      </c>
      <c r="K9" s="53">
        <v>9872.9903715313339</v>
      </c>
    </row>
    <row r="10" spans="2:11" x14ac:dyDescent="0.3">
      <c r="B10" s="54" t="b">
        <f t="shared" si="0"/>
        <v>1</v>
      </c>
      <c r="C10" s="52">
        <v>10007969</v>
      </c>
      <c r="D10" s="56" t="s">
        <v>9</v>
      </c>
      <c r="E10" s="52">
        <v>10007969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</row>
    <row r="11" spans="2:11" x14ac:dyDescent="0.3">
      <c r="B11" s="54" t="b">
        <f t="shared" si="0"/>
        <v>1</v>
      </c>
      <c r="C11" s="52">
        <v>10009239</v>
      </c>
      <c r="D11" s="56" t="s">
        <v>92</v>
      </c>
      <c r="E11" s="52">
        <v>10009239</v>
      </c>
      <c r="F11" s="53">
        <v>0.86</v>
      </c>
      <c r="G11" s="53">
        <v>2653.1525663733696</v>
      </c>
      <c r="H11" s="53">
        <v>178.7424</v>
      </c>
      <c r="I11" s="53">
        <v>40.814959096221287</v>
      </c>
      <c r="J11" s="53">
        <v>80.235294117647086</v>
      </c>
      <c r="K11" s="53">
        <v>64.139384495520076</v>
      </c>
    </row>
    <row r="12" spans="2:11" x14ac:dyDescent="0.3">
      <c r="B12" s="54" t="b">
        <f t="shared" si="0"/>
        <v>1</v>
      </c>
      <c r="C12" s="52">
        <v>10009334</v>
      </c>
      <c r="D12" s="56" t="s">
        <v>93</v>
      </c>
      <c r="E12" s="52">
        <v>10009334</v>
      </c>
      <c r="F12" s="53">
        <v>18.920000000000002</v>
      </c>
      <c r="G12" s="53">
        <v>50130.481301574386</v>
      </c>
      <c r="H12" s="53">
        <v>3932.3327999999997</v>
      </c>
      <c r="I12" s="53">
        <v>897.92910011686831</v>
      </c>
      <c r="J12" s="53">
        <v>1765.176470588236</v>
      </c>
      <c r="K12" s="53">
        <v>1411.0664589014418</v>
      </c>
    </row>
    <row r="13" spans="2:11" x14ac:dyDescent="0.3">
      <c r="B13" s="54" t="b">
        <f t="shared" si="0"/>
        <v>1</v>
      </c>
      <c r="C13" s="52">
        <v>10009386</v>
      </c>
      <c r="D13" s="56" t="s">
        <v>94</v>
      </c>
      <c r="E13" s="52">
        <v>10009386</v>
      </c>
      <c r="F13" s="53">
        <v>21.28</v>
      </c>
      <c r="G13" s="53">
        <v>34005.232595385933</v>
      </c>
      <c r="H13" s="53">
        <v>4422.8352000000004</v>
      </c>
      <c r="I13" s="53">
        <v>1009.9329413576617</v>
      </c>
      <c r="J13" s="53">
        <v>1985.3570451436399</v>
      </c>
      <c r="K13" s="53">
        <v>1587.0768628658923</v>
      </c>
    </row>
    <row r="14" spans="2:11" x14ac:dyDescent="0.3">
      <c r="B14" s="54" t="b">
        <f t="shared" si="0"/>
        <v>0</v>
      </c>
      <c r="D14" s="56" t="s">
        <v>95</v>
      </c>
      <c r="E14" s="52">
        <v>10009207</v>
      </c>
      <c r="F14" s="53">
        <v>30.94</v>
      </c>
      <c r="G14" s="53">
        <v>39602.279566847239</v>
      </c>
      <c r="H14" s="53">
        <v>6430.5696000000007</v>
      </c>
      <c r="I14" s="53">
        <v>1468.3893423687055</v>
      </c>
      <c r="J14" s="53">
        <v>2886.6046511627919</v>
      </c>
      <c r="K14" s="53">
        <v>2307.5262282458038</v>
      </c>
    </row>
    <row r="15" spans="2:11" x14ac:dyDescent="0.3">
      <c r="D15" t="s">
        <v>96</v>
      </c>
      <c r="E15" s="52">
        <v>10009650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</row>
    <row r="16" spans="2:11" x14ac:dyDescent="0.3">
      <c r="D16" t="s">
        <v>97</v>
      </c>
      <c r="E16" s="52">
        <v>10009649</v>
      </c>
      <c r="F16" s="53">
        <v>612.58000000000004</v>
      </c>
      <c r="G16" s="53">
        <v>1060970.2603970531</v>
      </c>
      <c r="H16" s="53">
        <v>127318.62720000002</v>
      </c>
      <c r="I16" s="53">
        <v>29072.590282747951</v>
      </c>
      <c r="J16" s="53">
        <v>57151.786593707278</v>
      </c>
      <c r="K16" s="53">
        <v>45686.632737518245</v>
      </c>
    </row>
    <row r="17" spans="5:11" x14ac:dyDescent="0.3">
      <c r="E17" s="52" t="s">
        <v>79</v>
      </c>
      <c r="F17" s="53">
        <v>1655.7149999999997</v>
      </c>
      <c r="G17" s="53">
        <v>2673897.024038895</v>
      </c>
      <c r="H17" s="53">
        <v>344123.80559999996</v>
      </c>
      <c r="I17" s="53">
        <v>78579.000000000029</v>
      </c>
      <c r="J17" s="53">
        <v>154473.00000000009</v>
      </c>
      <c r="K17" s="53">
        <v>123484.35000000003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E4DC-6EF8-4536-9DD0-219BA834AD81}">
  <dimension ref="B1:U59"/>
  <sheetViews>
    <sheetView topLeftCell="A22" zoomScale="80" zoomScaleNormal="80" workbookViewId="0">
      <selection activeCell="D43" sqref="D43"/>
    </sheetView>
  </sheetViews>
  <sheetFormatPr baseColWidth="10" defaultRowHeight="14.4" x14ac:dyDescent="0.3"/>
  <cols>
    <col min="1" max="1" width="11.5546875" style="6"/>
    <col min="2" max="2" width="48.77734375" style="6" bestFit="1" customWidth="1"/>
    <col min="3" max="3" width="19.88671875" style="6" customWidth="1"/>
    <col min="4" max="4" width="15.77734375" style="6" customWidth="1"/>
    <col min="5" max="5" width="14.6640625" style="6" bestFit="1" customWidth="1"/>
    <col min="6" max="9" width="11.5546875" style="6"/>
    <col min="10" max="10" width="16" style="6" bestFit="1" customWidth="1"/>
    <col min="11" max="11" width="11.5546875" style="6"/>
    <col min="12" max="12" width="12.88671875" style="6" bestFit="1" customWidth="1"/>
    <col min="13" max="14" width="13.5546875" style="6" bestFit="1" customWidth="1"/>
    <col min="15" max="15" width="11.77734375" style="6" bestFit="1" customWidth="1"/>
    <col min="16" max="16" width="10.5546875" style="6" bestFit="1" customWidth="1"/>
    <col min="17" max="17" width="14.109375" style="6" bestFit="1" customWidth="1"/>
    <col min="18" max="18" width="13.77734375" style="6" bestFit="1" customWidth="1"/>
    <col min="19" max="19" width="13.44140625" style="6" bestFit="1" customWidth="1"/>
    <col min="20" max="20" width="17.33203125" style="6" bestFit="1" customWidth="1"/>
    <col min="21" max="21" width="23.33203125" style="6" bestFit="1" customWidth="1"/>
    <col min="22" max="16384" width="11.5546875" style="6"/>
  </cols>
  <sheetData>
    <row r="1" spans="2:21" ht="15" thickBot="1" x14ac:dyDescent="0.35">
      <c r="B1" s="2" t="s">
        <v>0</v>
      </c>
      <c r="C1" s="3" t="s">
        <v>52</v>
      </c>
      <c r="D1" s="4" t="s">
        <v>53</v>
      </c>
      <c r="E1" s="5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8" t="s">
        <v>60</v>
      </c>
      <c r="M1" s="19" t="s">
        <v>61</v>
      </c>
      <c r="N1" s="19" t="s">
        <v>62</v>
      </c>
      <c r="O1" s="19" t="s">
        <v>63</v>
      </c>
      <c r="P1" s="19" t="s">
        <v>64</v>
      </c>
      <c r="Q1" s="19" t="s">
        <v>65</v>
      </c>
      <c r="R1" s="19" t="s">
        <v>66</v>
      </c>
      <c r="S1" s="20" t="s">
        <v>67</v>
      </c>
      <c r="T1" s="21" t="s">
        <v>68</v>
      </c>
      <c r="U1" s="21" t="s">
        <v>69</v>
      </c>
    </row>
    <row r="2" spans="2:21" ht="15.6" x14ac:dyDescent="0.3">
      <c r="B2" s="7" t="s">
        <v>1</v>
      </c>
      <c r="C2" s="3">
        <v>14840</v>
      </c>
      <c r="D2" s="4"/>
      <c r="E2" s="5">
        <v>14840</v>
      </c>
      <c r="G2" s="22">
        <v>10006719</v>
      </c>
      <c r="H2" s="23">
        <f>IFERROR(INDEX([1]Resumen!$K$3:$K$63,MATCH(G2,[1]Resumen!$C$3:$C$63,0)),0)*(1+I2*J2)/1000-51.89/1000-93.38/1000</f>
        <v>1.7319701269990091</v>
      </c>
      <c r="I2" s="24">
        <v>0.71</v>
      </c>
      <c r="J2" s="25">
        <f t="shared" ref="J2:J51" si="0">$H$59</f>
        <v>-0.10965909090909082</v>
      </c>
      <c r="K2" s="26">
        <f t="shared" ref="K2:K51" si="1">C2/1000</f>
        <v>14.84</v>
      </c>
      <c r="L2" s="27">
        <f t="shared" ref="L2:L51" si="2">IF(E2&lt;0,0,E2)/1000</f>
        <v>14.84</v>
      </c>
      <c r="M2" s="28">
        <f t="shared" ref="M2:M51" si="3">IFERROR(H2*L2,0)*1000</f>
        <v>25702.436684665296</v>
      </c>
      <c r="N2" s="29">
        <f t="shared" ref="N2:N51" si="4">207.84*L2</f>
        <v>3084.3456000000001</v>
      </c>
      <c r="O2" s="28">
        <f t="shared" ref="O2:O51" si="5">$O$54/$L$52*L2</f>
        <v>704.29534068363239</v>
      </c>
      <c r="P2" s="28">
        <f t="shared" ref="P2:P51" si="6">$P$54/$L$52*L2</f>
        <v>1384.5253077975383</v>
      </c>
      <c r="Q2" s="28">
        <f t="shared" ref="Q2:Q51" si="7">$Q$54/$L$52*L2</f>
        <v>1106.7772859459512</v>
      </c>
      <c r="R2" s="28">
        <v>0</v>
      </c>
      <c r="S2" s="30">
        <v>0</v>
      </c>
      <c r="T2" s="31">
        <f t="shared" ref="T2:T51" si="8">M2+N2+O2+P2</f>
        <v>30875.602933146467</v>
      </c>
      <c r="U2" s="31">
        <f t="shared" ref="U2:U52" si="9">IFERROR(T2/L2,0)</f>
        <v>2080.5662353872281</v>
      </c>
    </row>
    <row r="3" spans="2:21" ht="15.6" x14ac:dyDescent="0.3">
      <c r="B3" s="8" t="s">
        <v>2</v>
      </c>
      <c r="C3" s="3">
        <v>680</v>
      </c>
      <c r="D3" s="4"/>
      <c r="E3" s="5">
        <v>680</v>
      </c>
      <c r="G3" s="22">
        <v>10006719</v>
      </c>
      <c r="H3" s="23">
        <f>IFERROR(INDEX([1]Resumen!$K$3:$K$63,MATCH(G3,[1]Resumen!$C$3:$C$63,0)),0)*(1+I3*J3)/1000-51.89/1000-93.38/1000</f>
        <v>1.7319701269990091</v>
      </c>
      <c r="I3" s="24">
        <v>0.71</v>
      </c>
      <c r="J3" s="25">
        <f t="shared" si="0"/>
        <v>-0.10965909090909082</v>
      </c>
      <c r="K3" s="26">
        <f t="shared" si="1"/>
        <v>0.68</v>
      </c>
      <c r="L3" s="27">
        <f t="shared" si="2"/>
        <v>0.68</v>
      </c>
      <c r="M3" s="28">
        <f t="shared" si="3"/>
        <v>1177.7396863593262</v>
      </c>
      <c r="N3" s="29">
        <f t="shared" si="4"/>
        <v>141.33120000000002</v>
      </c>
      <c r="O3" s="28">
        <f t="shared" si="5"/>
        <v>32.272293238872649</v>
      </c>
      <c r="P3" s="28">
        <f t="shared" si="6"/>
        <v>63.441860465116314</v>
      </c>
      <c r="Q3" s="28">
        <f t="shared" si="7"/>
        <v>50.71486215924844</v>
      </c>
      <c r="R3" s="28">
        <v>0</v>
      </c>
      <c r="S3" s="30">
        <v>0</v>
      </c>
      <c r="T3" s="31">
        <f t="shared" si="8"/>
        <v>1414.7850400633154</v>
      </c>
      <c r="U3" s="31">
        <f t="shared" si="9"/>
        <v>2080.5662353872285</v>
      </c>
    </row>
    <row r="4" spans="2:21" ht="15.6" x14ac:dyDescent="0.3">
      <c r="B4" s="8" t="s">
        <v>3</v>
      </c>
      <c r="C4" s="3">
        <v>0</v>
      </c>
      <c r="D4" s="4"/>
      <c r="E4" s="5">
        <v>0</v>
      </c>
      <c r="G4" s="22">
        <v>10006719</v>
      </c>
      <c r="H4" s="23">
        <f>IFERROR(INDEX([1]Resumen!$K$3:$K$63,MATCH(G4,[1]Resumen!$C$3:$C$63,0)),0)*(1+I4*J4)/1000-51.89/1000-93.38/1000</f>
        <v>1.7319701269990091</v>
      </c>
      <c r="I4" s="24">
        <v>0.71</v>
      </c>
      <c r="J4" s="25">
        <f t="shared" si="0"/>
        <v>-0.10965909090909082</v>
      </c>
      <c r="K4" s="26">
        <f t="shared" si="1"/>
        <v>0</v>
      </c>
      <c r="L4" s="27">
        <f t="shared" si="2"/>
        <v>0</v>
      </c>
      <c r="M4" s="28">
        <f t="shared" si="3"/>
        <v>0</v>
      </c>
      <c r="N4" s="29">
        <f t="shared" si="4"/>
        <v>0</v>
      </c>
      <c r="O4" s="28">
        <f t="shared" si="5"/>
        <v>0</v>
      </c>
      <c r="P4" s="28">
        <f t="shared" si="6"/>
        <v>0</v>
      </c>
      <c r="Q4" s="28">
        <f t="shared" si="7"/>
        <v>0</v>
      </c>
      <c r="R4" s="28">
        <v>0</v>
      </c>
      <c r="S4" s="30">
        <v>0</v>
      </c>
      <c r="T4" s="31">
        <f t="shared" si="8"/>
        <v>0</v>
      </c>
      <c r="U4" s="31">
        <f t="shared" si="9"/>
        <v>0</v>
      </c>
    </row>
    <row r="5" spans="2:21" ht="15.6" x14ac:dyDescent="0.3">
      <c r="B5" s="8" t="s">
        <v>4</v>
      </c>
      <c r="C5" s="3">
        <v>0</v>
      </c>
      <c r="D5" s="4"/>
      <c r="E5" s="5">
        <v>0</v>
      </c>
      <c r="G5" s="22">
        <v>10006719</v>
      </c>
      <c r="H5" s="23">
        <f>IFERROR(INDEX([1]Resumen!$K$3:$K$63,MATCH(G5,[1]Resumen!$C$3:$C$63,0)),0)*(1+I5*J5)/1000-51.89/1000-93.38/1000</f>
        <v>1.7319701269990091</v>
      </c>
      <c r="I5" s="24">
        <v>0.71</v>
      </c>
      <c r="J5" s="25">
        <f t="shared" si="0"/>
        <v>-0.10965909090909082</v>
      </c>
      <c r="K5" s="26">
        <f t="shared" si="1"/>
        <v>0</v>
      </c>
      <c r="L5" s="27">
        <f t="shared" si="2"/>
        <v>0</v>
      </c>
      <c r="M5" s="28">
        <f t="shared" si="3"/>
        <v>0</v>
      </c>
      <c r="N5" s="29">
        <f t="shared" si="4"/>
        <v>0</v>
      </c>
      <c r="O5" s="28">
        <f t="shared" si="5"/>
        <v>0</v>
      </c>
      <c r="P5" s="28">
        <f t="shared" si="6"/>
        <v>0</v>
      </c>
      <c r="Q5" s="28">
        <f t="shared" si="7"/>
        <v>0</v>
      </c>
      <c r="R5" s="28">
        <v>0</v>
      </c>
      <c r="S5" s="30">
        <v>0</v>
      </c>
      <c r="T5" s="31">
        <f t="shared" si="8"/>
        <v>0</v>
      </c>
      <c r="U5" s="31">
        <f t="shared" si="9"/>
        <v>0</v>
      </c>
    </row>
    <row r="6" spans="2:21" ht="15.6" x14ac:dyDescent="0.3">
      <c r="B6" s="8" t="s">
        <v>5</v>
      </c>
      <c r="C6" s="3">
        <v>40</v>
      </c>
      <c r="D6" s="4"/>
      <c r="E6" s="5">
        <v>40</v>
      </c>
      <c r="G6" s="22">
        <v>10006719</v>
      </c>
      <c r="H6" s="23">
        <f>IFERROR(INDEX([1]Resumen!$K$3:$K$63,MATCH(G6,[1]Resumen!$C$3:$C$63,0)),0)*(1+I6*J6)/1000-51.89/1000-93.38/1000</f>
        <v>1.7319701269990091</v>
      </c>
      <c r="I6" s="24">
        <v>0.71</v>
      </c>
      <c r="J6" s="25">
        <f t="shared" si="0"/>
        <v>-0.10965909090909082</v>
      </c>
      <c r="K6" s="26">
        <f t="shared" si="1"/>
        <v>0.04</v>
      </c>
      <c r="L6" s="27">
        <f t="shared" si="2"/>
        <v>0.04</v>
      </c>
      <c r="M6" s="28">
        <f t="shared" si="3"/>
        <v>69.278805079960364</v>
      </c>
      <c r="N6" s="29">
        <f t="shared" si="4"/>
        <v>8.313600000000001</v>
      </c>
      <c r="O6" s="28">
        <f t="shared" si="5"/>
        <v>1.8983701905219204</v>
      </c>
      <c r="P6" s="28">
        <f t="shared" si="6"/>
        <v>3.7318741450068416</v>
      </c>
      <c r="Q6" s="28">
        <f t="shared" si="7"/>
        <v>2.9832271858381434</v>
      </c>
      <c r="R6" s="28">
        <v>0</v>
      </c>
      <c r="S6" s="30">
        <v>0</v>
      </c>
      <c r="T6" s="31">
        <f t="shared" si="8"/>
        <v>83.22264941548913</v>
      </c>
      <c r="U6" s="31">
        <f t="shared" si="9"/>
        <v>2080.5662353872281</v>
      </c>
    </row>
    <row r="7" spans="2:21" ht="15.6" x14ac:dyDescent="0.3">
      <c r="B7" s="9" t="s">
        <v>6</v>
      </c>
      <c r="C7" s="3">
        <v>2340</v>
      </c>
      <c r="D7" s="4"/>
      <c r="E7" s="5">
        <v>2340</v>
      </c>
      <c r="G7" s="22">
        <v>10006719</v>
      </c>
      <c r="H7" s="23">
        <f>IFERROR(INDEX([1]Resumen!$K$3:$K$63,MATCH(G7,[1]Resumen!$C$3:$C$63,0)),0)*(1+I7*J7)/1000-51.89/1000-93.38/1000</f>
        <v>1.7319701269990091</v>
      </c>
      <c r="I7" s="24">
        <v>0.71</v>
      </c>
      <c r="J7" s="25">
        <f t="shared" si="0"/>
        <v>-0.10965909090909082</v>
      </c>
      <c r="K7" s="26">
        <f t="shared" si="1"/>
        <v>2.34</v>
      </c>
      <c r="L7" s="27">
        <f t="shared" si="2"/>
        <v>2.34</v>
      </c>
      <c r="M7" s="28">
        <f t="shared" si="3"/>
        <v>4052.8100971776812</v>
      </c>
      <c r="N7" s="29">
        <f t="shared" si="4"/>
        <v>486.34559999999999</v>
      </c>
      <c r="O7" s="28">
        <f t="shared" si="5"/>
        <v>111.05465614553233</v>
      </c>
      <c r="P7" s="28">
        <f t="shared" si="6"/>
        <v>218.31463748290022</v>
      </c>
      <c r="Q7" s="28">
        <f t="shared" si="7"/>
        <v>174.51879037153137</v>
      </c>
      <c r="R7" s="28">
        <v>0</v>
      </c>
      <c r="S7" s="30">
        <v>0</v>
      </c>
      <c r="T7" s="31">
        <f t="shared" si="8"/>
        <v>4868.5249908061132</v>
      </c>
      <c r="U7" s="31">
        <f t="shared" si="9"/>
        <v>2080.5662353872281</v>
      </c>
    </row>
    <row r="8" spans="2:21" ht="15.6" x14ac:dyDescent="0.3">
      <c r="B8" s="8" t="s">
        <v>7</v>
      </c>
      <c r="C8" s="3">
        <v>0</v>
      </c>
      <c r="D8" s="4"/>
      <c r="E8" s="5">
        <v>0</v>
      </c>
      <c r="G8" s="22">
        <v>10006719</v>
      </c>
      <c r="H8" s="23">
        <f>IFERROR(INDEX([1]Resumen!$K$3:$K$63,MATCH(G8,[1]Resumen!$C$3:$C$63,0)),0)*(1+I8*J8)/1000-51.89/1000-93.38/1000</f>
        <v>1.7319701269990091</v>
      </c>
      <c r="I8" s="24">
        <v>0.71</v>
      </c>
      <c r="J8" s="25">
        <f t="shared" si="0"/>
        <v>-0.10965909090909082</v>
      </c>
      <c r="K8" s="26">
        <f t="shared" si="1"/>
        <v>0</v>
      </c>
      <c r="L8" s="27">
        <f t="shared" si="2"/>
        <v>0</v>
      </c>
      <c r="M8" s="28">
        <f t="shared" si="3"/>
        <v>0</v>
      </c>
      <c r="N8" s="29">
        <f t="shared" si="4"/>
        <v>0</v>
      </c>
      <c r="O8" s="28">
        <f t="shared" si="5"/>
        <v>0</v>
      </c>
      <c r="P8" s="28">
        <f t="shared" si="6"/>
        <v>0</v>
      </c>
      <c r="Q8" s="28">
        <f t="shared" si="7"/>
        <v>0</v>
      </c>
      <c r="R8" s="28">
        <v>0</v>
      </c>
      <c r="S8" s="30">
        <v>0</v>
      </c>
      <c r="T8" s="31">
        <f t="shared" si="8"/>
        <v>0</v>
      </c>
      <c r="U8" s="31">
        <f t="shared" si="9"/>
        <v>0</v>
      </c>
    </row>
    <row r="9" spans="2:21" ht="15.6" x14ac:dyDescent="0.3">
      <c r="B9" s="8" t="s">
        <v>8</v>
      </c>
      <c r="C9" s="3">
        <v>30940</v>
      </c>
      <c r="D9" s="4"/>
      <c r="E9" s="5">
        <v>30940</v>
      </c>
      <c r="G9" s="32">
        <v>10009207</v>
      </c>
      <c r="H9" s="23">
        <f>IFERROR(INDEX([1]Resumen!$K$3:$K$63,MATCH(G9,[1]Resumen!$C$3:$C$63,0)),0)*(1+I9*J9)/1000-51.89/1000-93.38/1000</f>
        <v>1.2799702510293225</v>
      </c>
      <c r="I9" s="25">
        <v>0.71</v>
      </c>
      <c r="J9" s="25">
        <f t="shared" si="0"/>
        <v>-0.10965909090909082</v>
      </c>
      <c r="K9" s="26">
        <f t="shared" si="1"/>
        <v>30.94</v>
      </c>
      <c r="L9" s="27">
        <f t="shared" si="2"/>
        <v>30.94</v>
      </c>
      <c r="M9" s="28">
        <f t="shared" si="3"/>
        <v>39602.279566847239</v>
      </c>
      <c r="N9" s="29">
        <f t="shared" si="4"/>
        <v>6430.5696000000007</v>
      </c>
      <c r="O9" s="28">
        <f t="shared" si="5"/>
        <v>1468.3893423687055</v>
      </c>
      <c r="P9" s="28">
        <f t="shared" si="6"/>
        <v>2886.6046511627919</v>
      </c>
      <c r="Q9" s="28">
        <f t="shared" si="7"/>
        <v>2307.5262282458038</v>
      </c>
      <c r="R9" s="28">
        <v>0</v>
      </c>
      <c r="S9" s="30">
        <v>0</v>
      </c>
      <c r="T9" s="31">
        <f t="shared" si="8"/>
        <v>50387.843160378739</v>
      </c>
      <c r="U9" s="31">
        <f t="shared" si="9"/>
        <v>1628.5663594175417</v>
      </c>
    </row>
    <row r="10" spans="2:21" ht="12.6" customHeight="1" x14ac:dyDescent="0.3">
      <c r="B10" s="8" t="s">
        <v>9</v>
      </c>
      <c r="C10" s="3">
        <v>20380</v>
      </c>
      <c r="D10" s="4">
        <v>20380</v>
      </c>
      <c r="E10" s="5">
        <v>0</v>
      </c>
      <c r="G10" s="32">
        <v>10007969</v>
      </c>
      <c r="H10" s="23">
        <f>IFERROR(INDEX([1]Resumen!$K$3:$K$63,MATCH(G10,[1]Resumen!$C$3:$C$63,0)),0)*(1+I10*J10)/1000-51.89/1000-93.38/1000</f>
        <v>1.2330367002592995</v>
      </c>
      <c r="I10" s="25">
        <v>0.71</v>
      </c>
      <c r="J10" s="25">
        <f t="shared" si="0"/>
        <v>-0.10965909090909082</v>
      </c>
      <c r="K10" s="26">
        <f t="shared" si="1"/>
        <v>20.38</v>
      </c>
      <c r="L10" s="27">
        <f t="shared" si="2"/>
        <v>0</v>
      </c>
      <c r="M10" s="28">
        <f t="shared" si="3"/>
        <v>0</v>
      </c>
      <c r="N10" s="29">
        <f t="shared" si="4"/>
        <v>0</v>
      </c>
      <c r="O10" s="28">
        <f t="shared" si="5"/>
        <v>0</v>
      </c>
      <c r="P10" s="28">
        <f t="shared" si="6"/>
        <v>0</v>
      </c>
      <c r="Q10" s="28">
        <f t="shared" si="7"/>
        <v>0</v>
      </c>
      <c r="R10" s="28">
        <v>0</v>
      </c>
      <c r="S10" s="30">
        <v>0</v>
      </c>
      <c r="T10" s="31">
        <f t="shared" si="8"/>
        <v>0</v>
      </c>
      <c r="U10" s="31">
        <f t="shared" si="9"/>
        <v>0</v>
      </c>
    </row>
    <row r="11" spans="2:21" ht="15.6" x14ac:dyDescent="0.3">
      <c r="B11" s="10" t="s">
        <v>10</v>
      </c>
      <c r="C11" s="3">
        <v>0</v>
      </c>
      <c r="D11" s="4"/>
      <c r="E11" s="5">
        <v>0</v>
      </c>
      <c r="G11" s="33">
        <v>10005721</v>
      </c>
      <c r="H11" s="23">
        <f>IFERROR(INDEX([1]Resumen!$K$3:$K$63,MATCH(G11,[1]Resumen!$C$3:$C$63,0)),0)*(1+I11*J11)/1000-51.89/1000-93.38/1000</f>
        <v>1.8344310061156939</v>
      </c>
      <c r="I11" s="24">
        <v>0.67</v>
      </c>
      <c r="J11" s="25">
        <f t="shared" si="0"/>
        <v>-0.10965909090909082</v>
      </c>
      <c r="K11" s="26">
        <f t="shared" si="1"/>
        <v>0</v>
      </c>
      <c r="L11" s="27">
        <f t="shared" si="2"/>
        <v>0</v>
      </c>
      <c r="M11" s="28">
        <f t="shared" si="3"/>
        <v>0</v>
      </c>
      <c r="N11" s="29">
        <f t="shared" si="4"/>
        <v>0</v>
      </c>
      <c r="O11" s="28">
        <f t="shared" si="5"/>
        <v>0</v>
      </c>
      <c r="P11" s="28">
        <f t="shared" si="6"/>
        <v>0</v>
      </c>
      <c r="Q11" s="28">
        <f t="shared" si="7"/>
        <v>0</v>
      </c>
      <c r="R11" s="28">
        <v>0</v>
      </c>
      <c r="S11" s="30">
        <v>0</v>
      </c>
      <c r="T11" s="31">
        <f t="shared" si="8"/>
        <v>0</v>
      </c>
      <c r="U11" s="31">
        <f t="shared" si="9"/>
        <v>0</v>
      </c>
    </row>
    <row r="12" spans="2:21" ht="15.6" x14ac:dyDescent="0.3">
      <c r="B12" s="10" t="s">
        <v>11</v>
      </c>
      <c r="C12" s="3">
        <v>1760</v>
      </c>
      <c r="D12" s="4"/>
      <c r="E12" s="5">
        <v>1760</v>
      </c>
      <c r="G12" s="33">
        <v>10005721</v>
      </c>
      <c r="H12" s="23">
        <f>IFERROR(INDEX([1]Resumen!$K$3:$K$63,MATCH(G12,[1]Resumen!$C$3:$C$63,0)),0)*(1+I12*J12)/1000-51.89/1000-93.38/1000</f>
        <v>1.8344310061156939</v>
      </c>
      <c r="I12" s="24">
        <v>0.67</v>
      </c>
      <c r="J12" s="25">
        <f t="shared" si="0"/>
        <v>-0.10965909090909082</v>
      </c>
      <c r="K12" s="26">
        <f t="shared" si="1"/>
        <v>1.76</v>
      </c>
      <c r="L12" s="27">
        <f t="shared" si="2"/>
        <v>1.76</v>
      </c>
      <c r="M12" s="28">
        <f t="shared" si="3"/>
        <v>3228.598570763621</v>
      </c>
      <c r="N12" s="29">
        <f t="shared" si="4"/>
        <v>365.79840000000002</v>
      </c>
      <c r="O12" s="28">
        <f t="shared" si="5"/>
        <v>83.52828838296449</v>
      </c>
      <c r="P12" s="28">
        <f t="shared" si="6"/>
        <v>164.20246238030103</v>
      </c>
      <c r="Q12" s="28">
        <f t="shared" si="7"/>
        <v>131.26199617687831</v>
      </c>
      <c r="R12" s="28">
        <v>0</v>
      </c>
      <c r="S12" s="30">
        <v>0</v>
      </c>
      <c r="T12" s="31">
        <f t="shared" si="8"/>
        <v>3842.1277215268865</v>
      </c>
      <c r="U12" s="31">
        <f t="shared" si="9"/>
        <v>2183.0271145039128</v>
      </c>
    </row>
    <row r="13" spans="2:21" ht="15.6" x14ac:dyDescent="0.3">
      <c r="B13" s="10" t="s">
        <v>12</v>
      </c>
      <c r="C13" s="3">
        <v>0</v>
      </c>
      <c r="D13" s="4"/>
      <c r="E13" s="5">
        <v>0</v>
      </c>
      <c r="G13" s="33">
        <v>10005721</v>
      </c>
      <c r="H13" s="23">
        <f>IFERROR(INDEX([1]Resumen!$K$3:$K$63,MATCH(G13,[1]Resumen!$C$3:$C$63,0)),0)*(1+I13*J13)/1000-51.89/1000-93.38/1000</f>
        <v>1.8344310061156939</v>
      </c>
      <c r="I13" s="24">
        <v>0.67</v>
      </c>
      <c r="J13" s="25">
        <f t="shared" si="0"/>
        <v>-0.10965909090909082</v>
      </c>
      <c r="K13" s="26">
        <f t="shared" si="1"/>
        <v>0</v>
      </c>
      <c r="L13" s="27">
        <f t="shared" si="2"/>
        <v>0</v>
      </c>
      <c r="M13" s="28">
        <f t="shared" si="3"/>
        <v>0</v>
      </c>
      <c r="N13" s="29">
        <f t="shared" si="4"/>
        <v>0</v>
      </c>
      <c r="O13" s="28">
        <f t="shared" si="5"/>
        <v>0</v>
      </c>
      <c r="P13" s="28">
        <f t="shared" si="6"/>
        <v>0</v>
      </c>
      <c r="Q13" s="28">
        <f t="shared" si="7"/>
        <v>0</v>
      </c>
      <c r="R13" s="28">
        <v>0</v>
      </c>
      <c r="S13" s="30">
        <v>0</v>
      </c>
      <c r="T13" s="31">
        <f t="shared" si="8"/>
        <v>0</v>
      </c>
      <c r="U13" s="31">
        <f t="shared" si="9"/>
        <v>0</v>
      </c>
    </row>
    <row r="14" spans="2:21" ht="15.6" x14ac:dyDescent="0.3">
      <c r="B14" s="10" t="s">
        <v>13</v>
      </c>
      <c r="C14" s="3">
        <v>32180</v>
      </c>
      <c r="D14" s="4"/>
      <c r="E14" s="5">
        <v>32180</v>
      </c>
      <c r="G14" s="33">
        <v>10005721</v>
      </c>
      <c r="H14" s="23">
        <f>IFERROR(INDEX([1]Resumen!$K$3:$K$63,MATCH(G14,[1]Resumen!$C$3:$C$63,0)),0)*(1+I14*J14)/1000-51.89/1000-93.38/1000</f>
        <v>1.8344310061156939</v>
      </c>
      <c r="I14" s="24">
        <v>0.67</v>
      </c>
      <c r="J14" s="25">
        <f t="shared" si="0"/>
        <v>-0.10965909090909082</v>
      </c>
      <c r="K14" s="26">
        <f t="shared" si="1"/>
        <v>32.18</v>
      </c>
      <c r="L14" s="27">
        <f t="shared" si="2"/>
        <v>32.18</v>
      </c>
      <c r="M14" s="28">
        <f t="shared" si="3"/>
        <v>59031.989776803028</v>
      </c>
      <c r="N14" s="29">
        <f t="shared" si="4"/>
        <v>6688.2911999999997</v>
      </c>
      <c r="O14" s="28">
        <f t="shared" si="5"/>
        <v>1527.2388182748848</v>
      </c>
      <c r="P14" s="28">
        <f t="shared" si="6"/>
        <v>3002.2927496580041</v>
      </c>
      <c r="Q14" s="28">
        <f t="shared" si="7"/>
        <v>2400.0062710067864</v>
      </c>
      <c r="R14" s="28">
        <v>0</v>
      </c>
      <c r="S14" s="30">
        <v>0</v>
      </c>
      <c r="T14" s="31">
        <f t="shared" si="8"/>
        <v>70249.81254473592</v>
      </c>
      <c r="U14" s="31">
        <f t="shared" si="9"/>
        <v>2183.0271145039128</v>
      </c>
    </row>
    <row r="15" spans="2:21" ht="15.6" x14ac:dyDescent="0.3">
      <c r="B15" s="8" t="s">
        <v>14</v>
      </c>
      <c r="C15" s="3">
        <v>1080</v>
      </c>
      <c r="D15" s="4"/>
      <c r="E15" s="5">
        <v>1080</v>
      </c>
      <c r="G15" s="33">
        <v>10005721</v>
      </c>
      <c r="H15" s="23">
        <f>IFERROR(INDEX([1]Resumen!$K$3:$K$63,MATCH(G15,[1]Resumen!$C$3:$C$63,0)),0)*(1+I15*J15)/1000-51.89/1000-93.38/1000</f>
        <v>1.8344310061156939</v>
      </c>
      <c r="I15" s="24">
        <v>0.67</v>
      </c>
      <c r="J15" s="25">
        <f t="shared" si="0"/>
        <v>-0.10965909090909082</v>
      </c>
      <c r="K15" s="26">
        <f t="shared" si="1"/>
        <v>1.08</v>
      </c>
      <c r="L15" s="27">
        <f t="shared" si="2"/>
        <v>1.08</v>
      </c>
      <c r="M15" s="28">
        <f t="shared" si="3"/>
        <v>1981.1854866049493</v>
      </c>
      <c r="N15" s="29">
        <f t="shared" si="4"/>
        <v>224.46720000000002</v>
      </c>
      <c r="O15" s="28">
        <f t="shared" si="5"/>
        <v>51.255995144091855</v>
      </c>
      <c r="P15" s="28">
        <f t="shared" si="6"/>
        <v>100.76060191518472</v>
      </c>
      <c r="Q15" s="28">
        <f t="shared" si="7"/>
        <v>80.547134017629872</v>
      </c>
      <c r="R15" s="28">
        <v>0</v>
      </c>
      <c r="S15" s="30">
        <v>0</v>
      </c>
      <c r="T15" s="31">
        <f t="shared" si="8"/>
        <v>2357.669283664226</v>
      </c>
      <c r="U15" s="31">
        <f t="shared" si="9"/>
        <v>2183.0271145039128</v>
      </c>
    </row>
    <row r="16" spans="2:21" ht="15.6" x14ac:dyDescent="0.3">
      <c r="B16" s="7" t="s">
        <v>15</v>
      </c>
      <c r="C16" s="3">
        <v>3100</v>
      </c>
      <c r="D16" s="4"/>
      <c r="E16" s="5">
        <v>3100</v>
      </c>
      <c r="G16" s="33">
        <v>10005721</v>
      </c>
      <c r="H16" s="23">
        <f>IFERROR(INDEX([1]Resumen!$K$3:$K$63,MATCH(G16,[1]Resumen!$C$3:$C$63,0)),0)*(1+I16*J16)/1000-51.89/1000-93.38/1000</f>
        <v>1.8344310061156939</v>
      </c>
      <c r="I16" s="24">
        <v>0.67</v>
      </c>
      <c r="J16" s="25">
        <f t="shared" si="0"/>
        <v>-0.10965909090909082</v>
      </c>
      <c r="K16" s="26">
        <f t="shared" si="1"/>
        <v>3.1</v>
      </c>
      <c r="L16" s="27">
        <f t="shared" si="2"/>
        <v>3.1</v>
      </c>
      <c r="M16" s="28">
        <f t="shared" si="3"/>
        <v>5686.7361189586518</v>
      </c>
      <c r="N16" s="29">
        <f t="shared" si="4"/>
        <v>644.30399999999997</v>
      </c>
      <c r="O16" s="28">
        <f t="shared" si="5"/>
        <v>147.12368976544883</v>
      </c>
      <c r="P16" s="28">
        <f t="shared" si="6"/>
        <v>289.22024623803026</v>
      </c>
      <c r="Q16" s="28">
        <f t="shared" si="7"/>
        <v>231.2001069024561</v>
      </c>
      <c r="R16" s="28">
        <v>0</v>
      </c>
      <c r="S16" s="30">
        <v>0</v>
      </c>
      <c r="T16" s="31">
        <f t="shared" si="8"/>
        <v>6767.3840549621309</v>
      </c>
      <c r="U16" s="31">
        <f t="shared" si="9"/>
        <v>2183.0271145039133</v>
      </c>
    </row>
    <row r="17" spans="2:21" ht="15.6" x14ac:dyDescent="0.3">
      <c r="B17" s="8" t="s">
        <v>16</v>
      </c>
      <c r="C17" s="3">
        <v>0</v>
      </c>
      <c r="D17" s="4"/>
      <c r="E17" s="5">
        <v>0</v>
      </c>
      <c r="G17" s="33">
        <v>10005721</v>
      </c>
      <c r="H17" s="23">
        <f>IFERROR(INDEX([1]Resumen!$K$3:$K$63,MATCH(G17,[1]Resumen!$C$3:$C$63,0)),0)*(1+I17*J17)/1000-51.89/1000-93.38/1000</f>
        <v>1.8344310061156939</v>
      </c>
      <c r="I17" s="24">
        <v>0.67</v>
      </c>
      <c r="J17" s="25">
        <f t="shared" si="0"/>
        <v>-0.10965909090909082</v>
      </c>
      <c r="K17" s="26">
        <f t="shared" si="1"/>
        <v>0</v>
      </c>
      <c r="L17" s="27">
        <f t="shared" si="2"/>
        <v>0</v>
      </c>
      <c r="M17" s="28">
        <f t="shared" si="3"/>
        <v>0</v>
      </c>
      <c r="N17" s="29">
        <f t="shared" si="4"/>
        <v>0</v>
      </c>
      <c r="O17" s="28">
        <f t="shared" si="5"/>
        <v>0</v>
      </c>
      <c r="P17" s="28">
        <f t="shared" si="6"/>
        <v>0</v>
      </c>
      <c r="Q17" s="28">
        <f t="shared" si="7"/>
        <v>0</v>
      </c>
      <c r="R17" s="28">
        <v>0</v>
      </c>
      <c r="S17" s="30">
        <v>0</v>
      </c>
      <c r="T17" s="31">
        <f t="shared" si="8"/>
        <v>0</v>
      </c>
      <c r="U17" s="31">
        <f t="shared" si="9"/>
        <v>0</v>
      </c>
    </row>
    <row r="18" spans="2:21" ht="15.6" x14ac:dyDescent="0.3">
      <c r="B18" s="8" t="s">
        <v>17</v>
      </c>
      <c r="C18" s="3">
        <v>5280</v>
      </c>
      <c r="D18" s="4"/>
      <c r="E18" s="5">
        <v>5280</v>
      </c>
      <c r="G18" s="33">
        <v>10005721</v>
      </c>
      <c r="H18" s="23">
        <f>IFERROR(INDEX([1]Resumen!$K$3:$K$63,MATCH(G18,[1]Resumen!$C$3:$C$63,0)),0)*(1+I18*J18)/1000-51.89/1000-93.38/1000</f>
        <v>1.8344310061156939</v>
      </c>
      <c r="I18" s="24">
        <v>0.67</v>
      </c>
      <c r="J18" s="25">
        <f t="shared" si="0"/>
        <v>-0.10965909090909082</v>
      </c>
      <c r="K18" s="26">
        <f t="shared" si="1"/>
        <v>5.28</v>
      </c>
      <c r="L18" s="27">
        <f t="shared" si="2"/>
        <v>5.28</v>
      </c>
      <c r="M18" s="28">
        <f t="shared" si="3"/>
        <v>9685.7957122908629</v>
      </c>
      <c r="N18" s="29">
        <f t="shared" si="4"/>
        <v>1097.3952000000002</v>
      </c>
      <c r="O18" s="28">
        <f t="shared" si="5"/>
        <v>250.5848651488935</v>
      </c>
      <c r="P18" s="28">
        <f t="shared" si="6"/>
        <v>492.60738714090309</v>
      </c>
      <c r="Q18" s="28">
        <f t="shared" si="7"/>
        <v>393.78598853063494</v>
      </c>
      <c r="R18" s="28">
        <v>0</v>
      </c>
      <c r="S18" s="30">
        <v>0</v>
      </c>
      <c r="T18" s="31">
        <f t="shared" si="8"/>
        <v>11526.38316458066</v>
      </c>
      <c r="U18" s="31">
        <f t="shared" si="9"/>
        <v>2183.0271145039128</v>
      </c>
    </row>
    <row r="19" spans="2:21" ht="15.6" x14ac:dyDescent="0.3">
      <c r="B19" s="8" t="s">
        <v>18</v>
      </c>
      <c r="C19" s="3">
        <v>17640</v>
      </c>
      <c r="D19" s="4"/>
      <c r="E19" s="5">
        <v>17640</v>
      </c>
      <c r="G19" s="33">
        <v>10005721</v>
      </c>
      <c r="H19" s="23">
        <f>IFERROR(INDEX([1]Resumen!$K$3:$K$63,MATCH(G19,[1]Resumen!$C$3:$C$63,0)),0)*(1+I19*J19)/1000-51.89/1000-93.38/1000</f>
        <v>1.8344310061156939</v>
      </c>
      <c r="I19" s="24">
        <v>0.67</v>
      </c>
      <c r="J19" s="25">
        <f t="shared" si="0"/>
        <v>-0.10965909090909082</v>
      </c>
      <c r="K19" s="26">
        <f t="shared" si="1"/>
        <v>17.64</v>
      </c>
      <c r="L19" s="27">
        <f t="shared" si="2"/>
        <v>17.64</v>
      </c>
      <c r="M19" s="28">
        <f t="shared" si="3"/>
        <v>32359.36294788084</v>
      </c>
      <c r="N19" s="29">
        <f t="shared" si="4"/>
        <v>3666.2976000000003</v>
      </c>
      <c r="O19" s="28">
        <f t="shared" si="5"/>
        <v>837.18125402016688</v>
      </c>
      <c r="P19" s="28">
        <f t="shared" si="6"/>
        <v>1645.7564979480171</v>
      </c>
      <c r="Q19" s="28">
        <f t="shared" si="7"/>
        <v>1315.6031889546211</v>
      </c>
      <c r="R19" s="28">
        <v>0</v>
      </c>
      <c r="S19" s="30">
        <v>0</v>
      </c>
      <c r="T19" s="31">
        <f t="shared" si="8"/>
        <v>38508.598299849022</v>
      </c>
      <c r="U19" s="31">
        <f t="shared" si="9"/>
        <v>2183.0271145039128</v>
      </c>
    </row>
    <row r="20" spans="2:21" ht="15.6" x14ac:dyDescent="0.3">
      <c r="B20" s="11" t="s">
        <v>19</v>
      </c>
      <c r="C20" s="3">
        <v>0</v>
      </c>
      <c r="D20" s="4"/>
      <c r="E20" s="5">
        <v>0</v>
      </c>
      <c r="G20" s="33">
        <v>10005721</v>
      </c>
      <c r="H20" s="23">
        <f>IFERROR(INDEX([1]Resumen!$K$3:$K$63,MATCH(G20,[1]Resumen!$C$3:$C$63,0)),0)*(1+I20*J20)/1000-51.89/1000-93.38/1000</f>
        <v>1.8344310061156939</v>
      </c>
      <c r="I20" s="24">
        <v>0.67</v>
      </c>
      <c r="J20" s="25">
        <f t="shared" si="0"/>
        <v>-0.10965909090909082</v>
      </c>
      <c r="K20" s="26">
        <f t="shared" si="1"/>
        <v>0</v>
      </c>
      <c r="L20" s="27">
        <f t="shared" si="2"/>
        <v>0</v>
      </c>
      <c r="M20" s="28">
        <f t="shared" si="3"/>
        <v>0</v>
      </c>
      <c r="N20" s="29">
        <f t="shared" si="4"/>
        <v>0</v>
      </c>
      <c r="O20" s="28">
        <f t="shared" si="5"/>
        <v>0</v>
      </c>
      <c r="P20" s="28">
        <f t="shared" si="6"/>
        <v>0</v>
      </c>
      <c r="Q20" s="28">
        <f t="shared" si="7"/>
        <v>0</v>
      </c>
      <c r="R20" s="28">
        <v>0</v>
      </c>
      <c r="S20" s="30">
        <v>0</v>
      </c>
      <c r="T20" s="31">
        <f t="shared" si="8"/>
        <v>0</v>
      </c>
      <c r="U20" s="31">
        <f t="shared" si="9"/>
        <v>0</v>
      </c>
    </row>
    <row r="21" spans="2:21" ht="15.6" x14ac:dyDescent="0.3">
      <c r="B21" s="11" t="s">
        <v>20</v>
      </c>
      <c r="C21" s="3">
        <v>2720</v>
      </c>
      <c r="D21" s="4"/>
      <c r="E21" s="5">
        <v>2720</v>
      </c>
      <c r="G21" s="33">
        <v>10005721</v>
      </c>
      <c r="H21" s="23">
        <f>IFERROR(INDEX([1]Resumen!$K$3:$K$63,MATCH(G21,[1]Resumen!$C$3:$C$63,0)),0)*(1+I21*J21)/1000-51.89/1000-93.38/1000</f>
        <v>1.8344310061156939</v>
      </c>
      <c r="I21" s="24">
        <v>0.67</v>
      </c>
      <c r="J21" s="25">
        <f t="shared" si="0"/>
        <v>-0.10965909090909082</v>
      </c>
      <c r="K21" s="26">
        <f t="shared" si="1"/>
        <v>2.72</v>
      </c>
      <c r="L21" s="27">
        <f t="shared" si="2"/>
        <v>2.72</v>
      </c>
      <c r="M21" s="28">
        <f t="shared" si="3"/>
        <v>4989.6523366346873</v>
      </c>
      <c r="N21" s="29">
        <f t="shared" si="4"/>
        <v>565.3248000000001</v>
      </c>
      <c r="O21" s="28">
        <f t="shared" si="5"/>
        <v>129.0891729554906</v>
      </c>
      <c r="P21" s="28">
        <f t="shared" si="6"/>
        <v>253.76744186046525</v>
      </c>
      <c r="Q21" s="28">
        <f t="shared" si="7"/>
        <v>202.85944863699376</v>
      </c>
      <c r="R21" s="28">
        <v>0</v>
      </c>
      <c r="S21" s="30">
        <v>0</v>
      </c>
      <c r="T21" s="31">
        <f t="shared" si="8"/>
        <v>5937.8337514506438</v>
      </c>
      <c r="U21" s="31">
        <f t="shared" si="9"/>
        <v>2183.0271145039128</v>
      </c>
    </row>
    <row r="22" spans="2:21" ht="15.6" x14ac:dyDescent="0.3">
      <c r="B22" s="11" t="s">
        <v>21</v>
      </c>
      <c r="C22" s="3">
        <v>0</v>
      </c>
      <c r="D22" s="4"/>
      <c r="E22" s="5">
        <v>0</v>
      </c>
      <c r="G22" s="33">
        <v>10005721</v>
      </c>
      <c r="H22" s="23">
        <f>IFERROR(INDEX([1]Resumen!$K$3:$K$63,MATCH(G22,[1]Resumen!$C$3:$C$63,0)),0)*(1+I22*J22)/1000-51.89/1000-93.38/1000</f>
        <v>1.8344310061156939</v>
      </c>
      <c r="I22" s="24">
        <v>0.67</v>
      </c>
      <c r="J22" s="25">
        <f t="shared" si="0"/>
        <v>-0.10965909090909082</v>
      </c>
      <c r="K22" s="26">
        <f t="shared" si="1"/>
        <v>0</v>
      </c>
      <c r="L22" s="27">
        <f t="shared" si="2"/>
        <v>0</v>
      </c>
      <c r="M22" s="28">
        <f t="shared" si="3"/>
        <v>0</v>
      </c>
      <c r="N22" s="29">
        <f t="shared" si="4"/>
        <v>0</v>
      </c>
      <c r="O22" s="28">
        <f t="shared" si="5"/>
        <v>0</v>
      </c>
      <c r="P22" s="28">
        <f t="shared" si="6"/>
        <v>0</v>
      </c>
      <c r="Q22" s="28">
        <f t="shared" si="7"/>
        <v>0</v>
      </c>
      <c r="R22" s="28">
        <v>0</v>
      </c>
      <c r="S22" s="30">
        <v>0</v>
      </c>
      <c r="T22" s="31">
        <f t="shared" si="8"/>
        <v>0</v>
      </c>
      <c r="U22" s="31">
        <f t="shared" si="9"/>
        <v>0</v>
      </c>
    </row>
    <row r="23" spans="2:21" ht="15.6" x14ac:dyDescent="0.3">
      <c r="B23" s="7" t="s">
        <v>22</v>
      </c>
      <c r="C23" s="3">
        <v>3200</v>
      </c>
      <c r="D23" s="4"/>
      <c r="E23" s="5">
        <v>3200</v>
      </c>
      <c r="G23" s="33">
        <v>10005721</v>
      </c>
      <c r="H23" s="23">
        <f>IFERROR(INDEX([1]Resumen!$K$3:$K$63,MATCH(G23,[1]Resumen!$C$3:$C$63,0)),0)*(1+I23*J23)/1000-51.89/1000-93.38/1000</f>
        <v>1.8344310061156939</v>
      </c>
      <c r="I23" s="24">
        <v>0.67</v>
      </c>
      <c r="J23" s="25">
        <f t="shared" si="0"/>
        <v>-0.10965909090909082</v>
      </c>
      <c r="K23" s="26">
        <f t="shared" si="1"/>
        <v>3.2</v>
      </c>
      <c r="L23" s="27">
        <f t="shared" si="2"/>
        <v>3.2</v>
      </c>
      <c r="M23" s="28">
        <f t="shared" si="3"/>
        <v>5870.179219570221</v>
      </c>
      <c r="N23" s="29">
        <f t="shared" si="4"/>
        <v>665.08800000000008</v>
      </c>
      <c r="O23" s="28">
        <f t="shared" si="5"/>
        <v>151.86961524175362</v>
      </c>
      <c r="P23" s="28">
        <f t="shared" si="6"/>
        <v>298.54993160054732</v>
      </c>
      <c r="Q23" s="28">
        <f t="shared" si="7"/>
        <v>238.65817486705146</v>
      </c>
      <c r="R23" s="28">
        <v>0</v>
      </c>
      <c r="S23" s="30">
        <v>0</v>
      </c>
      <c r="T23" s="31">
        <f t="shared" si="8"/>
        <v>6985.6867664125211</v>
      </c>
      <c r="U23" s="31">
        <f t="shared" si="9"/>
        <v>2183.0271145039128</v>
      </c>
    </row>
    <row r="24" spans="2:21" ht="15.6" x14ac:dyDescent="0.3">
      <c r="B24" s="12" t="s">
        <v>23</v>
      </c>
      <c r="C24" s="3">
        <v>138020</v>
      </c>
      <c r="D24" s="4"/>
      <c r="E24" s="5">
        <v>138020</v>
      </c>
      <c r="G24" s="34">
        <v>10005779</v>
      </c>
      <c r="H24" s="23">
        <f>IFERROR(INDEX([1]Resumen!$K$3:$K$63,MATCH(G24,[1]Resumen!$C$3:$C$63,0)),0)*(1+I24*J24)/1000-51.89/1000-93.38/1000</f>
        <v>1.4834229685286575</v>
      </c>
      <c r="I24" s="24">
        <v>0.65</v>
      </c>
      <c r="J24" s="25">
        <f t="shared" si="0"/>
        <v>-0.10965909090909082</v>
      </c>
      <c r="K24" s="26">
        <f t="shared" si="1"/>
        <v>138.02000000000001</v>
      </c>
      <c r="L24" s="27">
        <f t="shared" si="2"/>
        <v>138.02000000000001</v>
      </c>
      <c r="M24" s="28">
        <f t="shared" si="3"/>
        <v>204742.0381163253</v>
      </c>
      <c r="N24" s="29">
        <f t="shared" si="4"/>
        <v>28686.076800000003</v>
      </c>
      <c r="O24" s="28">
        <f t="shared" si="5"/>
        <v>6550.326342395887</v>
      </c>
      <c r="P24" s="28">
        <f t="shared" si="6"/>
        <v>12876.831737346109</v>
      </c>
      <c r="Q24" s="28">
        <f t="shared" si="7"/>
        <v>10293.625404734514</v>
      </c>
      <c r="R24" s="28">
        <v>0</v>
      </c>
      <c r="S24" s="30">
        <v>0</v>
      </c>
      <c r="T24" s="31">
        <f t="shared" si="8"/>
        <v>252855.2729960673</v>
      </c>
      <c r="U24" s="31">
        <f t="shared" si="9"/>
        <v>1832.0190769168764</v>
      </c>
    </row>
    <row r="25" spans="2:21" ht="15.6" x14ac:dyDescent="0.3">
      <c r="B25" s="8" t="s">
        <v>24</v>
      </c>
      <c r="C25" s="3">
        <v>41820</v>
      </c>
      <c r="D25" s="4"/>
      <c r="E25" s="5">
        <v>41820</v>
      </c>
      <c r="G25" s="34">
        <v>10005779</v>
      </c>
      <c r="H25" s="23">
        <f>IFERROR(INDEX([1]Resumen!$K$3:$K$63,MATCH(G25,[1]Resumen!$C$3:$C$63,0)),0)*(1+I25*J25)/1000-51.89/1000-93.38/1000</f>
        <v>1.4834229685286575</v>
      </c>
      <c r="I25" s="24">
        <v>0.65</v>
      </c>
      <c r="J25" s="25">
        <f t="shared" si="0"/>
        <v>-0.10965909090909082</v>
      </c>
      <c r="K25" s="26">
        <f t="shared" si="1"/>
        <v>41.82</v>
      </c>
      <c r="L25" s="27">
        <f t="shared" si="2"/>
        <v>41.82</v>
      </c>
      <c r="M25" s="28">
        <f t="shared" si="3"/>
        <v>62036.748543868453</v>
      </c>
      <c r="N25" s="29">
        <f t="shared" si="4"/>
        <v>8691.8688000000002</v>
      </c>
      <c r="O25" s="28">
        <f t="shared" si="5"/>
        <v>1984.7460341906676</v>
      </c>
      <c r="P25" s="28">
        <f t="shared" si="6"/>
        <v>3901.6744186046531</v>
      </c>
      <c r="Q25" s="28">
        <f t="shared" si="7"/>
        <v>3118.9640227937789</v>
      </c>
      <c r="R25" s="28">
        <v>0</v>
      </c>
      <c r="S25" s="30">
        <v>0</v>
      </c>
      <c r="T25" s="31">
        <f t="shared" si="8"/>
        <v>76615.037796663775</v>
      </c>
      <c r="U25" s="31">
        <f t="shared" si="9"/>
        <v>1832.0190769168764</v>
      </c>
    </row>
    <row r="26" spans="2:21" ht="15.6" x14ac:dyDescent="0.3">
      <c r="B26" s="8" t="s">
        <v>25</v>
      </c>
      <c r="C26" s="3">
        <v>1040</v>
      </c>
      <c r="D26" s="4"/>
      <c r="E26" s="5">
        <v>1040</v>
      </c>
      <c r="G26" s="34">
        <v>10005779</v>
      </c>
      <c r="H26" s="23">
        <f>IFERROR(INDEX([1]Resumen!$K$3:$K$63,MATCH(G26,[1]Resumen!$C$3:$C$63,0)),0)*(1+I26*J26)/1000-51.89/1000-93.38/1000</f>
        <v>1.4834229685286575</v>
      </c>
      <c r="I26" s="24">
        <v>0.65</v>
      </c>
      <c r="J26" s="25">
        <f t="shared" si="0"/>
        <v>-0.10965909090909082</v>
      </c>
      <c r="K26" s="26">
        <f t="shared" si="1"/>
        <v>1.04</v>
      </c>
      <c r="L26" s="27">
        <f t="shared" si="2"/>
        <v>1.04</v>
      </c>
      <c r="M26" s="28">
        <f t="shared" si="3"/>
        <v>1542.7598872698038</v>
      </c>
      <c r="N26" s="29">
        <f t="shared" si="4"/>
        <v>216.15360000000001</v>
      </c>
      <c r="O26" s="28">
        <f t="shared" si="5"/>
        <v>49.357624953569932</v>
      </c>
      <c r="P26" s="28">
        <f t="shared" si="6"/>
        <v>97.028727770177881</v>
      </c>
      <c r="Q26" s="28">
        <f t="shared" si="7"/>
        <v>77.563906831791726</v>
      </c>
      <c r="R26" s="28">
        <v>0</v>
      </c>
      <c r="S26" s="30">
        <v>0</v>
      </c>
      <c r="T26" s="31">
        <f t="shared" si="8"/>
        <v>1905.2998399935518</v>
      </c>
      <c r="U26" s="31">
        <f t="shared" si="9"/>
        <v>1832.0190769168767</v>
      </c>
    </row>
    <row r="27" spans="2:21" ht="15.6" x14ac:dyDescent="0.3">
      <c r="B27" s="12" t="s">
        <v>26</v>
      </c>
      <c r="C27" s="3">
        <v>83680</v>
      </c>
      <c r="D27" s="4">
        <v>78000</v>
      </c>
      <c r="E27" s="5">
        <v>5680</v>
      </c>
      <c r="G27" s="34">
        <v>10005779</v>
      </c>
      <c r="H27" s="23">
        <f>IFERROR(INDEX([1]Resumen!$K$3:$K$63,MATCH(G27,[1]Resumen!$C$3:$C$63,0)),0)*(1+I27*J27)/1000-51.89/1000-93.38/1000</f>
        <v>1.4834229685286575</v>
      </c>
      <c r="I27" s="24">
        <v>0.65</v>
      </c>
      <c r="J27" s="25">
        <f t="shared" si="0"/>
        <v>-0.10965909090909082</v>
      </c>
      <c r="K27" s="26">
        <f t="shared" si="1"/>
        <v>83.68</v>
      </c>
      <c r="L27" s="27">
        <f t="shared" si="2"/>
        <v>5.68</v>
      </c>
      <c r="M27" s="28">
        <f t="shared" si="3"/>
        <v>8425.8424612427752</v>
      </c>
      <c r="N27" s="29">
        <f t="shared" si="4"/>
        <v>1180.5311999999999</v>
      </c>
      <c r="O27" s="28">
        <f t="shared" si="5"/>
        <v>269.56856705411269</v>
      </c>
      <c r="P27" s="28">
        <f t="shared" si="6"/>
        <v>529.92612859097153</v>
      </c>
      <c r="Q27" s="28">
        <f t="shared" si="7"/>
        <v>423.61826038901631</v>
      </c>
      <c r="R27" s="28">
        <v>0</v>
      </c>
      <c r="S27" s="30">
        <v>0</v>
      </c>
      <c r="T27" s="31">
        <f t="shared" si="8"/>
        <v>10405.868356887859</v>
      </c>
      <c r="U27" s="31">
        <f t="shared" si="9"/>
        <v>1832.0190769168767</v>
      </c>
    </row>
    <row r="28" spans="2:21" ht="15.6" x14ac:dyDescent="0.3">
      <c r="B28" s="12" t="s">
        <v>27</v>
      </c>
      <c r="C28" s="3">
        <v>174240</v>
      </c>
      <c r="D28" s="4"/>
      <c r="E28" s="5">
        <v>174240</v>
      </c>
      <c r="G28" s="34">
        <v>10005779</v>
      </c>
      <c r="H28" s="23">
        <f>IFERROR(INDEX([1]Resumen!$K$3:$K$63,MATCH(G28,[1]Resumen!$C$3:$C$63,0)),0)*(1+I28*J28)/1000-51.89/1000-93.38/1000</f>
        <v>1.4834229685286575</v>
      </c>
      <c r="I28" s="24">
        <v>0.65</v>
      </c>
      <c r="J28" s="25">
        <f t="shared" si="0"/>
        <v>-0.10965909090909082</v>
      </c>
      <c r="K28" s="26">
        <f t="shared" si="1"/>
        <v>174.24</v>
      </c>
      <c r="L28" s="27">
        <f t="shared" si="2"/>
        <v>174.24</v>
      </c>
      <c r="M28" s="28">
        <f t="shared" si="3"/>
        <v>258471.61803643333</v>
      </c>
      <c r="N28" s="29">
        <f t="shared" si="4"/>
        <v>36214.041600000004</v>
      </c>
      <c r="O28" s="28">
        <f t="shared" si="5"/>
        <v>8269.3005499134852</v>
      </c>
      <c r="P28" s="28">
        <f t="shared" si="6"/>
        <v>16256.043775649803</v>
      </c>
      <c r="Q28" s="28">
        <f t="shared" si="7"/>
        <v>12994.937621510953</v>
      </c>
      <c r="R28" s="28">
        <v>0</v>
      </c>
      <c r="S28" s="30">
        <v>0</v>
      </c>
      <c r="T28" s="31">
        <f t="shared" si="8"/>
        <v>319211.00396199664</v>
      </c>
      <c r="U28" s="31">
        <f t="shared" si="9"/>
        <v>1832.0190769168769</v>
      </c>
    </row>
    <row r="29" spans="2:21" ht="15.6" x14ac:dyDescent="0.3">
      <c r="B29" s="12" t="s">
        <v>28</v>
      </c>
      <c r="C29" s="3">
        <v>7840</v>
      </c>
      <c r="D29" s="4"/>
      <c r="E29" s="5">
        <v>7840</v>
      </c>
      <c r="G29" s="34">
        <v>10005779</v>
      </c>
      <c r="H29" s="23">
        <f>IFERROR(INDEX([1]Resumen!$K$3:$K$63,MATCH(G29,[1]Resumen!$C$3:$C$63,0)),0)*(1+I29*J29)/1000-51.89/1000-93.38/1000</f>
        <v>1.4834229685286575</v>
      </c>
      <c r="I29" s="24">
        <v>0.65</v>
      </c>
      <c r="J29" s="25">
        <f t="shared" si="0"/>
        <v>-0.10965909090909082</v>
      </c>
      <c r="K29" s="26">
        <f t="shared" si="1"/>
        <v>7.84</v>
      </c>
      <c r="L29" s="27">
        <f t="shared" si="2"/>
        <v>7.84</v>
      </c>
      <c r="M29" s="28">
        <f t="shared" si="3"/>
        <v>11630.036073264675</v>
      </c>
      <c r="N29" s="29">
        <f t="shared" si="4"/>
        <v>1629.4656</v>
      </c>
      <c r="O29" s="28">
        <f t="shared" si="5"/>
        <v>372.0805573422964</v>
      </c>
      <c r="P29" s="28">
        <f t="shared" si="6"/>
        <v>731.44733242134089</v>
      </c>
      <c r="Q29" s="28">
        <f t="shared" si="7"/>
        <v>584.71252842427612</v>
      </c>
      <c r="R29" s="28">
        <v>0</v>
      </c>
      <c r="S29" s="30">
        <v>0</v>
      </c>
      <c r="T29" s="31">
        <f t="shared" si="8"/>
        <v>14363.029563028313</v>
      </c>
      <c r="U29" s="31">
        <f t="shared" si="9"/>
        <v>1832.0190769168767</v>
      </c>
    </row>
    <row r="30" spans="2:21" ht="15.6" x14ac:dyDescent="0.3">
      <c r="B30" s="13" t="s">
        <v>29</v>
      </c>
      <c r="C30" s="3">
        <v>96720</v>
      </c>
      <c r="D30" s="4"/>
      <c r="E30" s="5">
        <v>96720</v>
      </c>
      <c r="G30" s="35">
        <v>10007567</v>
      </c>
      <c r="H30" s="23">
        <f>IFERROR(INDEX([1]Resumen!$K$3:$K$63,MATCH(G30,[1]Resumen!$C$3:$C$63,0)),0)*(1+I30*J30)/1000-51.89/1000-93.38/1000</f>
        <v>1.540163669045685</v>
      </c>
      <c r="I30" s="24">
        <v>0.68</v>
      </c>
      <c r="J30" s="25">
        <f t="shared" si="0"/>
        <v>-0.10965909090909082</v>
      </c>
      <c r="K30" s="26">
        <f t="shared" si="1"/>
        <v>96.72</v>
      </c>
      <c r="L30" s="27">
        <f t="shared" si="2"/>
        <v>96.72</v>
      </c>
      <c r="M30" s="28">
        <f t="shared" si="3"/>
        <v>148964.63007009865</v>
      </c>
      <c r="N30" s="29">
        <f t="shared" si="4"/>
        <v>20102.284800000001</v>
      </c>
      <c r="O30" s="28">
        <f t="shared" si="5"/>
        <v>4590.2591206820034</v>
      </c>
      <c r="P30" s="28">
        <f t="shared" si="6"/>
        <v>9023.671682626542</v>
      </c>
      <c r="Q30" s="28">
        <f t="shared" si="7"/>
        <v>7213.4433353566301</v>
      </c>
      <c r="R30" s="28">
        <v>0</v>
      </c>
      <c r="S30" s="30">
        <v>0</v>
      </c>
      <c r="T30" s="31">
        <f t="shared" si="8"/>
        <v>182680.84567340717</v>
      </c>
      <c r="U30" s="31">
        <f t="shared" si="9"/>
        <v>1888.7597774339038</v>
      </c>
    </row>
    <row r="31" spans="2:21" ht="15.6" x14ac:dyDescent="0.3">
      <c r="B31" s="13" t="s">
        <v>30</v>
      </c>
      <c r="C31" s="3">
        <v>35660</v>
      </c>
      <c r="D31" s="4"/>
      <c r="E31" s="5">
        <v>35660</v>
      </c>
      <c r="G31" s="35">
        <v>10007567</v>
      </c>
      <c r="H31" s="23">
        <f>IFERROR(INDEX([1]Resumen!$K$3:$K$63,MATCH(G31,[1]Resumen!$C$3:$C$63,0)),0)*(1+I31*J31)/1000-51.89/1000-93.38/1000</f>
        <v>1.540163669045685</v>
      </c>
      <c r="I31" s="24">
        <v>0.68</v>
      </c>
      <c r="J31" s="25">
        <f t="shared" si="0"/>
        <v>-0.10965909090909082</v>
      </c>
      <c r="K31" s="26">
        <f t="shared" si="1"/>
        <v>35.659999999999997</v>
      </c>
      <c r="L31" s="27">
        <f t="shared" si="2"/>
        <v>35.659999999999997</v>
      </c>
      <c r="M31" s="28">
        <f t="shared" si="3"/>
        <v>54922.236438169122</v>
      </c>
      <c r="N31" s="29">
        <f t="shared" si="4"/>
        <v>7411.5743999999995</v>
      </c>
      <c r="O31" s="28">
        <f t="shared" si="5"/>
        <v>1692.3970248502919</v>
      </c>
      <c r="P31" s="28">
        <f t="shared" si="6"/>
        <v>3326.9658002735991</v>
      </c>
      <c r="Q31" s="28">
        <f t="shared" si="7"/>
        <v>2659.5470361747043</v>
      </c>
      <c r="R31" s="28">
        <v>0</v>
      </c>
      <c r="S31" s="30">
        <v>0</v>
      </c>
      <c r="T31" s="31">
        <f t="shared" si="8"/>
        <v>67353.173663293011</v>
      </c>
      <c r="U31" s="31">
        <f t="shared" si="9"/>
        <v>1888.759777433904</v>
      </c>
    </row>
    <row r="32" spans="2:21" ht="15.6" x14ac:dyDescent="0.3">
      <c r="B32" s="8" t="s">
        <v>31</v>
      </c>
      <c r="C32" s="3">
        <v>0</v>
      </c>
      <c r="D32" s="4"/>
      <c r="E32" s="5">
        <v>0</v>
      </c>
      <c r="G32" s="35">
        <v>10007162</v>
      </c>
      <c r="H32" s="23">
        <f>IFERROR(INDEX([1]Resumen!$K$3:$K$63,MATCH(G32,[1]Resumen!$C$3:$C$63,0)),0)*(1+I32*J32)/1000-51.89/1000-93.38/1000</f>
        <v>1.596558814009124</v>
      </c>
      <c r="I32" s="25">
        <v>0.68</v>
      </c>
      <c r="J32" s="25">
        <f t="shared" si="0"/>
        <v>-0.10965909090909082</v>
      </c>
      <c r="K32" s="26">
        <f t="shared" si="1"/>
        <v>0</v>
      </c>
      <c r="L32" s="27">
        <f t="shared" si="2"/>
        <v>0</v>
      </c>
      <c r="M32" s="28">
        <f t="shared" si="3"/>
        <v>0</v>
      </c>
      <c r="N32" s="29">
        <f t="shared" si="4"/>
        <v>0</v>
      </c>
      <c r="O32" s="28">
        <f t="shared" si="5"/>
        <v>0</v>
      </c>
      <c r="P32" s="28">
        <f t="shared" si="6"/>
        <v>0</v>
      </c>
      <c r="Q32" s="28">
        <f t="shared" si="7"/>
        <v>0</v>
      </c>
      <c r="R32" s="28">
        <v>0</v>
      </c>
      <c r="S32" s="30">
        <v>0</v>
      </c>
      <c r="T32" s="31">
        <f t="shared" si="8"/>
        <v>0</v>
      </c>
      <c r="U32" s="31">
        <f t="shared" si="9"/>
        <v>0</v>
      </c>
    </row>
    <row r="33" spans="2:21" ht="15.6" x14ac:dyDescent="0.3">
      <c r="B33" s="8" t="s">
        <v>32</v>
      </c>
      <c r="C33" s="3">
        <v>0</v>
      </c>
      <c r="D33" s="4"/>
      <c r="E33" s="5">
        <v>0</v>
      </c>
      <c r="G33" s="35">
        <v>10007162</v>
      </c>
      <c r="H33" s="23">
        <f>IFERROR(INDEX([1]Resumen!$K$3:$K$63,MATCH(G33,[1]Resumen!$C$3:$C$63,0)),0)*(1+I33*J33)/1000-51.89/1000-93.38/1000</f>
        <v>1.596558814009124</v>
      </c>
      <c r="I33" s="25">
        <v>0.68</v>
      </c>
      <c r="J33" s="25">
        <f t="shared" si="0"/>
        <v>-0.10965909090909082</v>
      </c>
      <c r="K33" s="26">
        <f t="shared" si="1"/>
        <v>0</v>
      </c>
      <c r="L33" s="27">
        <f t="shared" si="2"/>
        <v>0</v>
      </c>
      <c r="M33" s="28">
        <f t="shared" si="3"/>
        <v>0</v>
      </c>
      <c r="N33" s="29">
        <f t="shared" si="4"/>
        <v>0</v>
      </c>
      <c r="O33" s="28">
        <f t="shared" si="5"/>
        <v>0</v>
      </c>
      <c r="P33" s="28">
        <f t="shared" si="6"/>
        <v>0</v>
      </c>
      <c r="Q33" s="28">
        <f t="shared" si="7"/>
        <v>0</v>
      </c>
      <c r="R33" s="28">
        <v>0</v>
      </c>
      <c r="S33" s="30">
        <v>0</v>
      </c>
      <c r="T33" s="31">
        <f t="shared" si="8"/>
        <v>0</v>
      </c>
      <c r="U33" s="31">
        <f t="shared" si="9"/>
        <v>0</v>
      </c>
    </row>
    <row r="34" spans="2:21" ht="15.6" x14ac:dyDescent="0.3">
      <c r="B34" s="8" t="s">
        <v>33</v>
      </c>
      <c r="C34" s="3">
        <v>12840</v>
      </c>
      <c r="D34" s="4"/>
      <c r="E34" s="5">
        <v>12840</v>
      </c>
      <c r="G34" s="35">
        <v>10007162</v>
      </c>
      <c r="H34" s="23">
        <f>IFERROR(INDEX([1]Resumen!$K$3:$K$63,MATCH(G34,[1]Resumen!$C$3:$C$63,0)),0)*(1+I34*J34)/1000-51.89/1000-93.38/1000</f>
        <v>1.596558814009124</v>
      </c>
      <c r="I34" s="25">
        <v>0.68</v>
      </c>
      <c r="J34" s="25">
        <f t="shared" si="0"/>
        <v>-0.10965909090909082</v>
      </c>
      <c r="K34" s="26">
        <f t="shared" si="1"/>
        <v>12.84</v>
      </c>
      <c r="L34" s="27">
        <f t="shared" si="2"/>
        <v>12.84</v>
      </c>
      <c r="M34" s="28">
        <f t="shared" si="3"/>
        <v>20499.815171877151</v>
      </c>
      <c r="N34" s="29">
        <f t="shared" si="4"/>
        <v>2668.6655999999998</v>
      </c>
      <c r="O34" s="28">
        <f t="shared" si="5"/>
        <v>609.37683115753646</v>
      </c>
      <c r="P34" s="28">
        <f t="shared" si="6"/>
        <v>1197.9316005471962</v>
      </c>
      <c r="Q34" s="28">
        <f t="shared" si="7"/>
        <v>957.61592665404396</v>
      </c>
      <c r="R34" s="28">
        <v>0</v>
      </c>
      <c r="S34" s="30">
        <v>0</v>
      </c>
      <c r="T34" s="31">
        <f t="shared" si="8"/>
        <v>24975.789203581884</v>
      </c>
      <c r="U34" s="31">
        <f t="shared" si="9"/>
        <v>1945.1549223973429</v>
      </c>
    </row>
    <row r="35" spans="2:21" ht="15.6" x14ac:dyDescent="0.3">
      <c r="B35" s="8" t="s">
        <v>34</v>
      </c>
      <c r="C35" s="3">
        <v>41080</v>
      </c>
      <c r="D35" s="4"/>
      <c r="E35" s="5">
        <v>41080</v>
      </c>
      <c r="G35" s="35">
        <v>10007162</v>
      </c>
      <c r="H35" s="23">
        <f>IFERROR(INDEX([1]Resumen!$K$3:$K$63,MATCH(G35,[1]Resumen!$C$3:$C$63,0)),0)*(1+I35*J35)/1000-51.89/1000-93.38/1000</f>
        <v>1.596558814009124</v>
      </c>
      <c r="I35" s="25">
        <v>0.68</v>
      </c>
      <c r="J35" s="25">
        <f t="shared" si="0"/>
        <v>-0.10965909090909082</v>
      </c>
      <c r="K35" s="26">
        <f t="shared" si="1"/>
        <v>41.08</v>
      </c>
      <c r="L35" s="27">
        <f t="shared" si="2"/>
        <v>41.08</v>
      </c>
      <c r="M35" s="28">
        <f t="shared" si="3"/>
        <v>65586.636079494812</v>
      </c>
      <c r="N35" s="29">
        <f t="shared" si="4"/>
        <v>8538.0671999999995</v>
      </c>
      <c r="O35" s="28">
        <f t="shared" si="5"/>
        <v>1949.6261856660121</v>
      </c>
      <c r="P35" s="28">
        <f t="shared" si="6"/>
        <v>3832.6347469220259</v>
      </c>
      <c r="Q35" s="28">
        <f t="shared" si="7"/>
        <v>3063.7743198557728</v>
      </c>
      <c r="R35" s="28">
        <v>0</v>
      </c>
      <c r="S35" s="30">
        <v>0</v>
      </c>
      <c r="T35" s="31">
        <f t="shared" si="8"/>
        <v>79906.96421208285</v>
      </c>
      <c r="U35" s="31">
        <f t="shared" si="9"/>
        <v>1945.1549223973432</v>
      </c>
    </row>
    <row r="36" spans="2:21" ht="15.6" x14ac:dyDescent="0.3">
      <c r="B36" s="14" t="s">
        <v>35</v>
      </c>
      <c r="C36" s="3">
        <v>120</v>
      </c>
      <c r="D36" s="4"/>
      <c r="E36" s="5">
        <v>120</v>
      </c>
      <c r="G36" s="35">
        <v>10007162</v>
      </c>
      <c r="H36" s="23">
        <f>IFERROR(INDEX([1]Resumen!$K$3:$K$63,MATCH(G36,[1]Resumen!$C$3:$C$63,0)),0)*(1+I36*J36)/1000-51.89/1000-93.38/1000</f>
        <v>1.596558814009124</v>
      </c>
      <c r="I36" s="25">
        <v>0.68</v>
      </c>
      <c r="J36" s="25">
        <f t="shared" si="0"/>
        <v>-0.10965909090909082</v>
      </c>
      <c r="K36" s="26">
        <f t="shared" si="1"/>
        <v>0.12</v>
      </c>
      <c r="L36" s="27">
        <f t="shared" si="2"/>
        <v>0.12</v>
      </c>
      <c r="M36" s="28">
        <f t="shared" si="3"/>
        <v>191.58705768109488</v>
      </c>
      <c r="N36" s="29">
        <f t="shared" si="4"/>
        <v>24.940799999999999</v>
      </c>
      <c r="O36" s="28">
        <f t="shared" si="5"/>
        <v>5.6951105715657606</v>
      </c>
      <c r="P36" s="28">
        <f t="shared" si="6"/>
        <v>11.195622435020525</v>
      </c>
      <c r="Q36" s="28">
        <f t="shared" si="7"/>
        <v>8.9496815575144293</v>
      </c>
      <c r="R36" s="28">
        <v>0</v>
      </c>
      <c r="S36" s="30">
        <v>0</v>
      </c>
      <c r="T36" s="31">
        <f t="shared" si="8"/>
        <v>233.41859068768116</v>
      </c>
      <c r="U36" s="31">
        <f t="shared" si="9"/>
        <v>1945.1549223973432</v>
      </c>
    </row>
    <row r="37" spans="2:21" ht="15.6" x14ac:dyDescent="0.3">
      <c r="B37" s="14" t="s">
        <v>36</v>
      </c>
      <c r="C37" s="3">
        <v>3800</v>
      </c>
      <c r="D37" s="4"/>
      <c r="E37" s="5">
        <v>3800</v>
      </c>
      <c r="G37" s="35">
        <v>10007162</v>
      </c>
      <c r="H37" s="23">
        <f>IFERROR(INDEX([1]Resumen!$K$3:$K$63,MATCH(G37,[1]Resumen!$C$3:$C$63,0)),0)*(1+I37*J37)/1000-51.89/1000-93.38/1000</f>
        <v>1.596558814009124</v>
      </c>
      <c r="I37" s="25">
        <v>0.68</v>
      </c>
      <c r="J37" s="25">
        <f t="shared" si="0"/>
        <v>-0.10965909090909082</v>
      </c>
      <c r="K37" s="26">
        <f t="shared" si="1"/>
        <v>3.8</v>
      </c>
      <c r="L37" s="27">
        <f t="shared" si="2"/>
        <v>3.8</v>
      </c>
      <c r="M37" s="28">
        <f t="shared" si="3"/>
        <v>6066.9234932346708</v>
      </c>
      <c r="N37" s="29">
        <f t="shared" si="4"/>
        <v>789.79200000000003</v>
      </c>
      <c r="O37" s="28">
        <f t="shared" si="5"/>
        <v>180.34516809958242</v>
      </c>
      <c r="P37" s="28">
        <f t="shared" si="6"/>
        <v>354.52804377564991</v>
      </c>
      <c r="Q37" s="28">
        <f t="shared" si="7"/>
        <v>283.40658265462361</v>
      </c>
      <c r="R37" s="28">
        <v>0</v>
      </c>
      <c r="S37" s="30">
        <v>0</v>
      </c>
      <c r="T37" s="31">
        <f t="shared" si="8"/>
        <v>7391.5887051099035</v>
      </c>
      <c r="U37" s="31">
        <f t="shared" si="9"/>
        <v>1945.1549223973432</v>
      </c>
    </row>
    <row r="38" spans="2:21" ht="15.6" x14ac:dyDescent="0.3">
      <c r="B38" s="14" t="s">
        <v>37</v>
      </c>
      <c r="C38" s="3">
        <v>2680</v>
      </c>
      <c r="D38" s="4"/>
      <c r="E38" s="5">
        <v>2680</v>
      </c>
      <c r="G38" s="35">
        <v>10007162</v>
      </c>
      <c r="H38" s="23">
        <f>IFERROR(INDEX([1]Resumen!$K$3:$K$63,MATCH(G38,[1]Resumen!$C$3:$C$63,0)),0)*(1+I38*J38)/1000-51.89/1000-93.38/1000</f>
        <v>1.596558814009124</v>
      </c>
      <c r="I38" s="25">
        <v>0.68</v>
      </c>
      <c r="J38" s="25">
        <f t="shared" si="0"/>
        <v>-0.10965909090909082</v>
      </c>
      <c r="K38" s="26">
        <f t="shared" si="1"/>
        <v>2.68</v>
      </c>
      <c r="L38" s="27">
        <f t="shared" si="2"/>
        <v>2.68</v>
      </c>
      <c r="M38" s="28">
        <f t="shared" si="3"/>
        <v>4278.7776215444528</v>
      </c>
      <c r="N38" s="29">
        <f t="shared" si="4"/>
        <v>557.01120000000003</v>
      </c>
      <c r="O38" s="28">
        <f t="shared" si="5"/>
        <v>127.19080276496867</v>
      </c>
      <c r="P38" s="28">
        <f t="shared" si="6"/>
        <v>250.0355677154584</v>
      </c>
      <c r="Q38" s="28">
        <f t="shared" si="7"/>
        <v>199.8762214511556</v>
      </c>
      <c r="R38" s="28">
        <v>0</v>
      </c>
      <c r="S38" s="30">
        <v>0</v>
      </c>
      <c r="T38" s="31">
        <f t="shared" si="8"/>
        <v>5213.01519202488</v>
      </c>
      <c r="U38" s="31">
        <f t="shared" si="9"/>
        <v>1945.1549223973432</v>
      </c>
    </row>
    <row r="39" spans="2:21" ht="15.6" x14ac:dyDescent="0.3">
      <c r="B39" s="14" t="s">
        <v>38</v>
      </c>
      <c r="C39" s="3">
        <v>37180</v>
      </c>
      <c r="D39" s="4"/>
      <c r="E39" s="5">
        <v>37180</v>
      </c>
      <c r="G39" s="35">
        <v>10007162</v>
      </c>
      <c r="H39" s="23">
        <f>IFERROR(INDEX([1]Resumen!$K$3:$K$63,MATCH(G39,[1]Resumen!$C$3:$C$63,0)),0)*(1+I39*J39)/1000-51.89/1000-93.38/1000</f>
        <v>1.596558814009124</v>
      </c>
      <c r="I39" s="25">
        <v>0.68</v>
      </c>
      <c r="J39" s="25">
        <f t="shared" si="0"/>
        <v>-0.10965909090909082</v>
      </c>
      <c r="K39" s="26">
        <f t="shared" si="1"/>
        <v>37.18</v>
      </c>
      <c r="L39" s="27">
        <f t="shared" si="2"/>
        <v>37.18</v>
      </c>
      <c r="M39" s="28">
        <f t="shared" si="3"/>
        <v>59360.056704859235</v>
      </c>
      <c r="N39" s="29">
        <f t="shared" si="4"/>
        <v>7727.4912000000004</v>
      </c>
      <c r="O39" s="28">
        <f t="shared" si="5"/>
        <v>1764.5350920901249</v>
      </c>
      <c r="P39" s="28">
        <f t="shared" si="6"/>
        <v>3468.7770177838593</v>
      </c>
      <c r="Q39" s="28">
        <f t="shared" si="7"/>
        <v>2772.9096692365542</v>
      </c>
      <c r="R39" s="28">
        <v>0</v>
      </c>
      <c r="S39" s="30">
        <v>0</v>
      </c>
      <c r="T39" s="31">
        <f t="shared" si="8"/>
        <v>72320.860014733218</v>
      </c>
      <c r="U39" s="31">
        <f t="shared" si="9"/>
        <v>1945.1549223973432</v>
      </c>
    </row>
    <row r="40" spans="2:21" ht="15.6" x14ac:dyDescent="0.3">
      <c r="B40" s="14" t="s">
        <v>39</v>
      </c>
      <c r="C40" s="3">
        <v>172700</v>
      </c>
      <c r="D40" s="4"/>
      <c r="E40" s="5">
        <v>172700</v>
      </c>
      <c r="G40" s="35">
        <v>10007162</v>
      </c>
      <c r="H40" s="23">
        <f>IFERROR(INDEX([1]Resumen!$K$3:$K$63,MATCH(G40,[1]Resumen!$C$3:$C$63,0)),0)*(1+I40*J40)/1000-51.89/1000-93.38/1000</f>
        <v>1.596558814009124</v>
      </c>
      <c r="I40" s="25">
        <v>0.68</v>
      </c>
      <c r="J40" s="25">
        <f t="shared" si="0"/>
        <v>-0.10965909090909082</v>
      </c>
      <c r="K40" s="26">
        <f t="shared" si="1"/>
        <v>172.7</v>
      </c>
      <c r="L40" s="27">
        <f t="shared" si="2"/>
        <v>172.7</v>
      </c>
      <c r="M40" s="28">
        <f t="shared" si="3"/>
        <v>275725.70717937569</v>
      </c>
      <c r="N40" s="29">
        <f t="shared" si="4"/>
        <v>35893.968000000001</v>
      </c>
      <c r="O40" s="28">
        <f t="shared" si="5"/>
        <v>8196.2132975783898</v>
      </c>
      <c r="P40" s="28">
        <f t="shared" si="6"/>
        <v>16112.366621067038</v>
      </c>
      <c r="Q40" s="28">
        <f t="shared" si="7"/>
        <v>12880.083374856182</v>
      </c>
      <c r="R40" s="28">
        <v>0</v>
      </c>
      <c r="S40" s="30">
        <v>0</v>
      </c>
      <c r="T40" s="31">
        <f t="shared" si="8"/>
        <v>335928.25509802112</v>
      </c>
      <c r="U40" s="31">
        <f t="shared" si="9"/>
        <v>1945.1549223973429</v>
      </c>
    </row>
    <row r="41" spans="2:21" ht="15.6" x14ac:dyDescent="0.3">
      <c r="B41" s="14" t="s">
        <v>40</v>
      </c>
      <c r="C41" s="3">
        <v>21280</v>
      </c>
      <c r="D41" s="4"/>
      <c r="E41" s="5">
        <v>21280</v>
      </c>
      <c r="G41" s="36">
        <v>10009386</v>
      </c>
      <c r="H41" s="23">
        <f>IFERROR(INDEX([1]Resumen!$K$3:$K$63,MATCH(G41,[1]Resumen!$C$3:$C$63,0)),0)*(1+I41*J41)/1000-51.89/1000-93.38/1000</f>
        <v>1.5979902535425721</v>
      </c>
      <c r="I41" s="25">
        <v>0.68</v>
      </c>
      <c r="J41" s="25">
        <f t="shared" si="0"/>
        <v>-0.10965909090909082</v>
      </c>
      <c r="K41" s="26">
        <f t="shared" si="1"/>
        <v>21.28</v>
      </c>
      <c r="L41" s="27">
        <f t="shared" si="2"/>
        <v>21.28</v>
      </c>
      <c r="M41" s="28">
        <f t="shared" si="3"/>
        <v>34005.232595385933</v>
      </c>
      <c r="N41" s="29">
        <f t="shared" si="4"/>
        <v>4422.8352000000004</v>
      </c>
      <c r="O41" s="28">
        <f t="shared" si="5"/>
        <v>1009.9329413576617</v>
      </c>
      <c r="P41" s="28">
        <f t="shared" si="6"/>
        <v>1985.3570451436399</v>
      </c>
      <c r="Q41" s="28">
        <f t="shared" si="7"/>
        <v>1587.0768628658923</v>
      </c>
      <c r="R41" s="28">
        <v>0</v>
      </c>
      <c r="S41" s="30">
        <v>0</v>
      </c>
      <c r="T41" s="31">
        <f t="shared" si="8"/>
        <v>41423.357781887236</v>
      </c>
      <c r="U41" s="31">
        <f t="shared" si="9"/>
        <v>1946.5863619307911</v>
      </c>
    </row>
    <row r="42" spans="2:21" ht="15.6" x14ac:dyDescent="0.3">
      <c r="B42" s="15" t="s">
        <v>41</v>
      </c>
      <c r="C42" s="3">
        <v>201900</v>
      </c>
      <c r="D42" s="4">
        <v>216000</v>
      </c>
      <c r="E42" s="1">
        <v>-14100</v>
      </c>
      <c r="G42" s="37">
        <v>10009239</v>
      </c>
      <c r="H42" s="23">
        <f>IFERROR(INDEX([1]Resumen!$K$3:$K$63,MATCH(G42,[1]Resumen!$C$3:$C$63,0)),0)*(1+I42*J42)/1000-51.89/1000-93.38/1000</f>
        <v>3.0850611236899645</v>
      </c>
      <c r="I42" s="24">
        <v>0.56000000000000005</v>
      </c>
      <c r="J42" s="25">
        <f t="shared" si="0"/>
        <v>-0.10965909090909082</v>
      </c>
      <c r="K42" s="26">
        <f t="shared" si="1"/>
        <v>201.9</v>
      </c>
      <c r="L42" s="27">
        <f>IF(E42&lt;0,0,E42)/1000</f>
        <v>0</v>
      </c>
      <c r="M42" s="28">
        <f t="shared" si="3"/>
        <v>0</v>
      </c>
      <c r="N42" s="29">
        <f t="shared" si="4"/>
        <v>0</v>
      </c>
      <c r="O42" s="28">
        <f t="shared" si="5"/>
        <v>0</v>
      </c>
      <c r="P42" s="28">
        <f t="shared" si="6"/>
        <v>0</v>
      </c>
      <c r="Q42" s="28">
        <f t="shared" si="7"/>
        <v>0</v>
      </c>
      <c r="R42" s="28">
        <v>0</v>
      </c>
      <c r="S42" s="30">
        <v>0</v>
      </c>
      <c r="T42" s="31">
        <f t="shared" si="8"/>
        <v>0</v>
      </c>
      <c r="U42" s="31">
        <f t="shared" si="9"/>
        <v>0</v>
      </c>
    </row>
    <row r="43" spans="2:21" ht="15.6" x14ac:dyDescent="0.3">
      <c r="B43" s="15" t="s">
        <v>42</v>
      </c>
      <c r="C43" s="3">
        <v>860</v>
      </c>
      <c r="D43" s="4"/>
      <c r="E43" s="5">
        <v>860</v>
      </c>
      <c r="G43" s="37">
        <v>10009239</v>
      </c>
      <c r="H43" s="23">
        <f>IFERROR(INDEX([1]Resumen!$K$3:$K$63,MATCH(G43,[1]Resumen!$C$3:$C$63,0)),0)*(1+I43*J43)/1000-51.89/1000-93.38/1000</f>
        <v>3.0850611236899645</v>
      </c>
      <c r="I43" s="24">
        <v>0.56000000000000005</v>
      </c>
      <c r="J43" s="25">
        <f t="shared" si="0"/>
        <v>-0.10965909090909082</v>
      </c>
      <c r="K43" s="26">
        <f t="shared" si="1"/>
        <v>0.86</v>
      </c>
      <c r="L43" s="27">
        <f t="shared" si="2"/>
        <v>0.86</v>
      </c>
      <c r="M43" s="28">
        <f t="shared" si="3"/>
        <v>2653.1525663733696</v>
      </c>
      <c r="N43" s="29">
        <f t="shared" si="4"/>
        <v>178.7424</v>
      </c>
      <c r="O43" s="28">
        <f t="shared" si="5"/>
        <v>40.814959096221287</v>
      </c>
      <c r="P43" s="28">
        <f t="shared" si="6"/>
        <v>80.235294117647086</v>
      </c>
      <c r="Q43" s="28">
        <f t="shared" si="7"/>
        <v>64.139384495520076</v>
      </c>
      <c r="R43" s="28">
        <v>0</v>
      </c>
      <c r="S43" s="30">
        <v>0</v>
      </c>
      <c r="T43" s="31">
        <f t="shared" si="8"/>
        <v>2952.9452195872382</v>
      </c>
      <c r="U43" s="31">
        <f t="shared" si="9"/>
        <v>3433.6572320781838</v>
      </c>
    </row>
    <row r="44" spans="2:21" ht="15.6" x14ac:dyDescent="0.3">
      <c r="B44" s="9" t="s">
        <v>43</v>
      </c>
      <c r="C44" s="3">
        <v>260</v>
      </c>
      <c r="D44" s="4">
        <v>260</v>
      </c>
      <c r="E44" s="5">
        <v>0</v>
      </c>
      <c r="G44" s="38">
        <v>10009334</v>
      </c>
      <c r="H44" s="23">
        <f>IFERROR(INDEX([1]Resumen!$K$3:$K$63,MATCH(G44,[1]Resumen!$C$3:$C$63,0)),0)*(1+I44*J44)/1000-51.89/1000-93.38/1000</f>
        <v>2.6496026057914581</v>
      </c>
      <c r="I44" s="24">
        <v>0.68</v>
      </c>
      <c r="J44" s="25">
        <f t="shared" si="0"/>
        <v>-0.10965909090909082</v>
      </c>
      <c r="K44" s="26">
        <f t="shared" si="1"/>
        <v>0.26</v>
      </c>
      <c r="L44" s="27">
        <f t="shared" si="2"/>
        <v>0</v>
      </c>
      <c r="M44" s="28">
        <f t="shared" si="3"/>
        <v>0</v>
      </c>
      <c r="N44" s="29">
        <f t="shared" si="4"/>
        <v>0</v>
      </c>
      <c r="O44" s="28">
        <f t="shared" si="5"/>
        <v>0</v>
      </c>
      <c r="P44" s="28">
        <f t="shared" si="6"/>
        <v>0</v>
      </c>
      <c r="Q44" s="28">
        <f t="shared" si="7"/>
        <v>0</v>
      </c>
      <c r="R44" s="28">
        <v>0</v>
      </c>
      <c r="S44" s="30">
        <v>0</v>
      </c>
      <c r="T44" s="31">
        <f t="shared" si="8"/>
        <v>0</v>
      </c>
      <c r="U44" s="31">
        <f t="shared" si="9"/>
        <v>0</v>
      </c>
    </row>
    <row r="45" spans="2:21" ht="15.6" x14ac:dyDescent="0.3">
      <c r="B45" s="9" t="s">
        <v>44</v>
      </c>
      <c r="C45" s="3">
        <v>14526</v>
      </c>
      <c r="D45" s="4"/>
      <c r="E45" s="5">
        <v>14526</v>
      </c>
      <c r="G45" s="38">
        <v>10009334</v>
      </c>
      <c r="H45" s="23">
        <f>IFERROR(INDEX([1]Resumen!$K$3:$K$63,MATCH(G45,[1]Resumen!$C$3:$C$63,0)),0)*(1+I45*J45)/1000-51.89/1000-93.38/1000</f>
        <v>2.6496026057914581</v>
      </c>
      <c r="I45" s="24">
        <v>0.68</v>
      </c>
      <c r="J45" s="25">
        <f t="shared" si="0"/>
        <v>-0.10965909090909082</v>
      </c>
      <c r="K45" s="26">
        <f t="shared" si="1"/>
        <v>14.526</v>
      </c>
      <c r="L45" s="27">
        <f t="shared" si="2"/>
        <v>14.526</v>
      </c>
      <c r="M45" s="28">
        <f t="shared" si="3"/>
        <v>38488.127451726716</v>
      </c>
      <c r="N45" s="29">
        <f t="shared" si="4"/>
        <v>3019.0838399999998</v>
      </c>
      <c r="O45" s="28">
        <f t="shared" si="5"/>
        <v>689.39313468803539</v>
      </c>
      <c r="P45" s="28">
        <f t="shared" si="6"/>
        <v>1355.2300957592345</v>
      </c>
      <c r="Q45" s="28">
        <f t="shared" si="7"/>
        <v>1083.3589525371217</v>
      </c>
      <c r="R45" s="28">
        <v>0</v>
      </c>
      <c r="S45" s="30">
        <v>0</v>
      </c>
      <c r="T45" s="31">
        <f t="shared" si="8"/>
        <v>43551.834522173987</v>
      </c>
      <c r="U45" s="31">
        <f t="shared" si="9"/>
        <v>2998.1987141796772</v>
      </c>
    </row>
    <row r="46" spans="2:21" ht="15.6" x14ac:dyDescent="0.3">
      <c r="B46" s="9" t="s">
        <v>45</v>
      </c>
      <c r="C46" s="3">
        <v>4394</v>
      </c>
      <c r="D46" s="4"/>
      <c r="E46" s="5">
        <v>4394</v>
      </c>
      <c r="G46" s="38">
        <v>10009334</v>
      </c>
      <c r="H46" s="23">
        <f>IFERROR(INDEX([1]Resumen!$K$3:$K$63,MATCH(G46,[1]Resumen!$C$3:$C$63,0)),0)*(1+I46*J46)/1000-51.89/1000-93.38/1000</f>
        <v>2.6496026057914581</v>
      </c>
      <c r="I46" s="24">
        <v>0.68</v>
      </c>
      <c r="J46" s="25">
        <f t="shared" si="0"/>
        <v>-0.10965909090909082</v>
      </c>
      <c r="K46" s="26">
        <f t="shared" si="1"/>
        <v>4.3940000000000001</v>
      </c>
      <c r="L46" s="27">
        <f t="shared" si="2"/>
        <v>4.3940000000000001</v>
      </c>
      <c r="M46" s="28">
        <f t="shared" si="3"/>
        <v>11642.353849847668</v>
      </c>
      <c r="N46" s="29">
        <f t="shared" si="4"/>
        <v>913.24896000000001</v>
      </c>
      <c r="O46" s="28">
        <f t="shared" si="5"/>
        <v>208.53596542883295</v>
      </c>
      <c r="P46" s="28">
        <f t="shared" si="6"/>
        <v>409.94637482900157</v>
      </c>
      <c r="Q46" s="28">
        <f t="shared" si="7"/>
        <v>327.70750636432007</v>
      </c>
      <c r="R46" s="28">
        <v>0</v>
      </c>
      <c r="S46" s="30">
        <v>0</v>
      </c>
      <c r="T46" s="31">
        <f t="shared" si="8"/>
        <v>13174.085150105504</v>
      </c>
      <c r="U46" s="31">
        <f t="shared" si="9"/>
        <v>2998.1987141796776</v>
      </c>
    </row>
    <row r="47" spans="2:21" ht="15.6" x14ac:dyDescent="0.3">
      <c r="B47" s="8" t="s">
        <v>46</v>
      </c>
      <c r="C47" s="3">
        <v>46720</v>
      </c>
      <c r="D47" s="4"/>
      <c r="E47" s="5">
        <v>46720</v>
      </c>
      <c r="G47" s="37">
        <v>10007050</v>
      </c>
      <c r="H47" s="23">
        <f>IFERROR(INDEX([1]Resumen!$K$3:$K$63,MATCH(G47,[1]Resumen!$C$3:$C$63,0)),0)*(1+I47*J47)/1000-51.89/1000-93.38/1000</f>
        <v>1.3082098231172592</v>
      </c>
      <c r="I47" s="24">
        <v>0.68</v>
      </c>
      <c r="J47" s="25">
        <f t="shared" si="0"/>
        <v>-0.10965909090909082</v>
      </c>
      <c r="K47" s="26">
        <f t="shared" si="1"/>
        <v>46.72</v>
      </c>
      <c r="L47" s="27">
        <f t="shared" si="2"/>
        <v>46.72</v>
      </c>
      <c r="M47" s="28">
        <f t="shared" si="3"/>
        <v>61119.562936038346</v>
      </c>
      <c r="N47" s="29">
        <f t="shared" si="4"/>
        <v>9710.2847999999994</v>
      </c>
      <c r="O47" s="28">
        <f t="shared" si="5"/>
        <v>2217.2963825296029</v>
      </c>
      <c r="P47" s="28">
        <f t="shared" si="6"/>
        <v>4358.8290013679907</v>
      </c>
      <c r="Q47" s="28">
        <f t="shared" si="7"/>
        <v>3484.4093530589512</v>
      </c>
      <c r="R47" s="28">
        <v>0</v>
      </c>
      <c r="S47" s="30">
        <v>0</v>
      </c>
      <c r="T47" s="31">
        <f t="shared" si="8"/>
        <v>77405.973119935938</v>
      </c>
      <c r="U47" s="31">
        <f t="shared" si="9"/>
        <v>1656.8059315054782</v>
      </c>
    </row>
    <row r="48" spans="2:21" ht="15.6" x14ac:dyDescent="0.3">
      <c r="B48" s="8" t="s">
        <v>47</v>
      </c>
      <c r="C48" s="3">
        <v>27195</v>
      </c>
      <c r="D48" s="4"/>
      <c r="E48" s="5">
        <v>27195</v>
      </c>
      <c r="G48" s="37">
        <v>10007050</v>
      </c>
      <c r="H48" s="23">
        <f>IFERROR(INDEX([1]Resumen!$K$3:$K$63,MATCH(G48,[1]Resumen!$C$3:$C$63,0)),0)*(1+I48*J48)/1000-51.89/1000-93.38/1000</f>
        <v>1.3082098231172592</v>
      </c>
      <c r="I48" s="24">
        <v>0.68</v>
      </c>
      <c r="J48" s="25">
        <f t="shared" si="0"/>
        <v>-0.10965909090909082</v>
      </c>
      <c r="K48" s="26">
        <f t="shared" si="1"/>
        <v>27.195</v>
      </c>
      <c r="L48" s="27">
        <f t="shared" si="2"/>
        <v>27.195</v>
      </c>
      <c r="M48" s="28">
        <f t="shared" si="3"/>
        <v>35576.766139673862</v>
      </c>
      <c r="N48" s="29">
        <f t="shared" si="4"/>
        <v>5652.2088000000003</v>
      </c>
      <c r="O48" s="28">
        <f t="shared" si="5"/>
        <v>1290.6544332810906</v>
      </c>
      <c r="P48" s="28">
        <f t="shared" si="6"/>
        <v>2537.2079343365263</v>
      </c>
      <c r="Q48" s="28">
        <f t="shared" si="7"/>
        <v>2028.2215829717077</v>
      </c>
      <c r="R48" s="28">
        <v>0</v>
      </c>
      <c r="S48" s="30">
        <v>0</v>
      </c>
      <c r="T48" s="31">
        <f t="shared" si="8"/>
        <v>45056.837307291476</v>
      </c>
      <c r="U48" s="31">
        <f t="shared" si="9"/>
        <v>1656.8059315054782</v>
      </c>
    </row>
    <row r="49" spans="2:21" ht="15.6" x14ac:dyDescent="0.3">
      <c r="B49" s="8" t="s">
        <v>48</v>
      </c>
      <c r="C49" s="3">
        <v>40940</v>
      </c>
      <c r="D49" s="4"/>
      <c r="E49" s="5">
        <v>40940</v>
      </c>
      <c r="G49" s="37">
        <v>10007050</v>
      </c>
      <c r="H49" s="23">
        <f>IFERROR(INDEX([1]Resumen!$K$3:$K$63,MATCH(G49,[1]Resumen!$C$3:$C$63,0)),0)*(1+I49*J49)/1000-51.89/1000-93.38/1000</f>
        <v>1.3082098231172592</v>
      </c>
      <c r="I49" s="24">
        <v>0.68</v>
      </c>
      <c r="J49" s="25">
        <f t="shared" si="0"/>
        <v>-0.10965909090909082</v>
      </c>
      <c r="K49" s="26">
        <f t="shared" si="1"/>
        <v>40.94</v>
      </c>
      <c r="L49" s="27">
        <f t="shared" si="2"/>
        <v>40.94</v>
      </c>
      <c r="M49" s="28">
        <f t="shared" si="3"/>
        <v>53558.11015842059</v>
      </c>
      <c r="N49" s="29">
        <f t="shared" si="4"/>
        <v>8508.9696000000004</v>
      </c>
      <c r="O49" s="28">
        <f t="shared" si="5"/>
        <v>1942.9818899991853</v>
      </c>
      <c r="P49" s="28">
        <f t="shared" si="6"/>
        <v>3819.5731874145022</v>
      </c>
      <c r="Q49" s="28">
        <f t="shared" si="7"/>
        <v>3053.3330247053395</v>
      </c>
      <c r="R49" s="28">
        <v>0</v>
      </c>
      <c r="S49" s="30">
        <v>0</v>
      </c>
      <c r="T49" s="31">
        <f t="shared" si="8"/>
        <v>67829.63483583428</v>
      </c>
      <c r="U49" s="31">
        <f t="shared" si="9"/>
        <v>1656.8059315054784</v>
      </c>
    </row>
    <row r="50" spans="2:21" ht="15.6" x14ac:dyDescent="0.3">
      <c r="B50" s="8" t="s">
        <v>49</v>
      </c>
      <c r="C50" s="3">
        <v>0</v>
      </c>
      <c r="D50" s="4"/>
      <c r="E50" s="5">
        <v>0</v>
      </c>
      <c r="G50" s="33">
        <v>10009650</v>
      </c>
      <c r="H50" s="39">
        <f t="shared" ref="H50:I50" si="10">H11</f>
        <v>1.8344310061156939</v>
      </c>
      <c r="I50" s="24">
        <f t="shared" si="10"/>
        <v>0.67</v>
      </c>
      <c r="J50" s="25">
        <f t="shared" si="0"/>
        <v>-0.10965909090909082</v>
      </c>
      <c r="K50" s="26">
        <f t="shared" si="1"/>
        <v>0</v>
      </c>
      <c r="L50" s="27">
        <f t="shared" si="2"/>
        <v>0</v>
      </c>
      <c r="M50" s="28">
        <f t="shared" si="3"/>
        <v>0</v>
      </c>
      <c r="N50" s="29">
        <f t="shared" si="4"/>
        <v>0</v>
      </c>
      <c r="O50" s="28">
        <f t="shared" si="5"/>
        <v>0</v>
      </c>
      <c r="P50" s="28">
        <f t="shared" si="6"/>
        <v>0</v>
      </c>
      <c r="Q50" s="28">
        <f t="shared" si="7"/>
        <v>0</v>
      </c>
      <c r="R50" s="28">
        <v>0</v>
      </c>
      <c r="S50" s="30">
        <v>0</v>
      </c>
      <c r="T50" s="31">
        <f t="shared" si="8"/>
        <v>0</v>
      </c>
      <c r="U50" s="31">
        <f t="shared" si="9"/>
        <v>0</v>
      </c>
    </row>
    <row r="51" spans="2:21" ht="16.2" thickBot="1" x14ac:dyDescent="0.35">
      <c r="B51" s="8" t="s">
        <v>50</v>
      </c>
      <c r="C51" s="3">
        <v>612580</v>
      </c>
      <c r="D51" s="4"/>
      <c r="E51" s="5">
        <v>612580</v>
      </c>
      <c r="G51" s="22">
        <v>10009649</v>
      </c>
      <c r="H51" s="39">
        <f t="shared" ref="H51:I51" si="11">H2</f>
        <v>1.7319701269990091</v>
      </c>
      <c r="I51" s="24">
        <f t="shared" si="11"/>
        <v>0.71</v>
      </c>
      <c r="J51" s="25">
        <f t="shared" si="0"/>
        <v>-0.10965909090909082</v>
      </c>
      <c r="K51" s="26">
        <f t="shared" si="1"/>
        <v>612.58000000000004</v>
      </c>
      <c r="L51" s="27">
        <f t="shared" si="2"/>
        <v>612.58000000000004</v>
      </c>
      <c r="M51" s="28">
        <f t="shared" si="3"/>
        <v>1060970.2603970531</v>
      </c>
      <c r="N51" s="29">
        <f t="shared" si="4"/>
        <v>127318.62720000002</v>
      </c>
      <c r="O51" s="28">
        <f t="shared" si="5"/>
        <v>29072.590282747951</v>
      </c>
      <c r="P51" s="28">
        <f t="shared" si="6"/>
        <v>57151.786593707278</v>
      </c>
      <c r="Q51" s="28">
        <f t="shared" si="7"/>
        <v>45686.632737518245</v>
      </c>
      <c r="R51" s="28">
        <v>0</v>
      </c>
      <c r="S51" s="30">
        <v>0</v>
      </c>
      <c r="T51" s="31">
        <f t="shared" si="8"/>
        <v>1274513.2644735083</v>
      </c>
      <c r="U51" s="31">
        <f t="shared" si="9"/>
        <v>2080.5662353872281</v>
      </c>
    </row>
    <row r="52" spans="2:21" ht="15" thickBot="1" x14ac:dyDescent="0.35">
      <c r="B52" s="16" t="s">
        <v>51</v>
      </c>
      <c r="C52" s="3">
        <v>1956255</v>
      </c>
      <c r="D52" s="4">
        <v>314640</v>
      </c>
      <c r="E52" s="5">
        <v>1655715</v>
      </c>
      <c r="G52"/>
      <c r="H52"/>
      <c r="I52"/>
      <c r="J52"/>
      <c r="K52" s="40">
        <f t="shared" ref="K52:T52" si="12">SUM(K2:K51)</f>
        <v>1956.2550000000001</v>
      </c>
      <c r="L52" s="40">
        <f t="shared" si="12"/>
        <v>1655.7149999999997</v>
      </c>
      <c r="M52" s="41">
        <f t="shared" si="12"/>
        <v>2673897.024038895</v>
      </c>
      <c r="N52" s="41">
        <f t="shared" si="12"/>
        <v>344123.80559999996</v>
      </c>
      <c r="O52" s="41">
        <f t="shared" si="12"/>
        <v>78579.000000000029</v>
      </c>
      <c r="P52" s="41">
        <f t="shared" si="12"/>
        <v>154473.00000000006</v>
      </c>
      <c r="Q52" s="41">
        <f t="shared" si="12"/>
        <v>123484.35000000002</v>
      </c>
      <c r="R52" s="41">
        <f t="shared" si="12"/>
        <v>0</v>
      </c>
      <c r="S52" s="42">
        <f t="shared" si="12"/>
        <v>0</v>
      </c>
      <c r="T52" s="43">
        <f t="shared" si="12"/>
        <v>3251072.8296388956</v>
      </c>
      <c r="U52" s="43">
        <f t="shared" si="9"/>
        <v>1963.5461595980566</v>
      </c>
    </row>
    <row r="53" spans="2:21" ht="15" thickBot="1" x14ac:dyDescent="0.35"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 ht="16.2" thickBot="1" x14ac:dyDescent="0.35">
      <c r="G54"/>
      <c r="H54"/>
      <c r="I54"/>
      <c r="J54"/>
      <c r="K54"/>
      <c r="L54" s="44"/>
      <c r="M54"/>
      <c r="N54" t="s">
        <v>70</v>
      </c>
      <c r="O54" s="41">
        <v>78579.000000000015</v>
      </c>
      <c r="P54" s="41">
        <v>154473.00000000003</v>
      </c>
      <c r="Q54" s="41">
        <v>123484.35000000002</v>
      </c>
      <c r="R54"/>
      <c r="S54"/>
      <c r="T54"/>
      <c r="U54"/>
    </row>
    <row r="55" spans="2:21" x14ac:dyDescent="0.3">
      <c r="G55" t="s">
        <v>71</v>
      </c>
      <c r="H55" s="45">
        <v>3.52</v>
      </c>
      <c r="I55" s="46" t="s">
        <v>72</v>
      </c>
      <c r="J55" s="47" t="s">
        <v>73</v>
      </c>
      <c r="K55"/>
      <c r="L55"/>
      <c r="M55"/>
      <c r="N55"/>
      <c r="O55"/>
      <c r="P55"/>
      <c r="Q55"/>
      <c r="R55"/>
      <c r="S55"/>
      <c r="T55"/>
      <c r="U55"/>
    </row>
    <row r="56" spans="2:21" x14ac:dyDescent="0.3">
      <c r="G56" t="s">
        <v>74</v>
      </c>
      <c r="H56" s="48">
        <v>3.3010000000000002</v>
      </c>
      <c r="I56" s="49">
        <v>3644</v>
      </c>
      <c r="J56" s="50">
        <v>0.75</v>
      </c>
      <c r="K56" s="50"/>
      <c r="L56"/>
      <c r="M56"/>
      <c r="N56"/>
      <c r="O56"/>
      <c r="P56"/>
      <c r="Q56"/>
      <c r="R56"/>
      <c r="S56"/>
      <c r="T56"/>
      <c r="U56"/>
    </row>
    <row r="57" spans="2:21" x14ac:dyDescent="0.3">
      <c r="G57" t="s">
        <v>75</v>
      </c>
      <c r="H57" s="48">
        <v>2.633</v>
      </c>
      <c r="I57" s="49">
        <f>3218</f>
        <v>3218</v>
      </c>
      <c r="J57" s="50">
        <f>1-J56</f>
        <v>0.25</v>
      </c>
      <c r="K57" s="50"/>
      <c r="L57"/>
      <c r="M57"/>
      <c r="N57"/>
      <c r="O57"/>
      <c r="P57"/>
      <c r="Q57"/>
      <c r="R57"/>
      <c r="S57"/>
      <c r="T57"/>
      <c r="U57"/>
    </row>
    <row r="58" spans="2:21" x14ac:dyDescent="0.3">
      <c r="G58" t="s">
        <v>76</v>
      </c>
      <c r="H58" s="48">
        <f>H56*J56+H57*J57</f>
        <v>3.1340000000000003</v>
      </c>
      <c r="I58" s="49">
        <f>I56+I57</f>
        <v>6862</v>
      </c>
      <c r="J58"/>
      <c r="K58"/>
      <c r="L58"/>
      <c r="M58"/>
      <c r="N58"/>
      <c r="O58"/>
      <c r="P58"/>
      <c r="Q58"/>
      <c r="R58"/>
      <c r="S58"/>
      <c r="T58"/>
      <c r="U58"/>
    </row>
    <row r="59" spans="2:21" x14ac:dyDescent="0.3">
      <c r="G59" t="s">
        <v>77</v>
      </c>
      <c r="H59" s="50">
        <f>(H58-H55)/H55</f>
        <v>-0.10965909090909082</v>
      </c>
      <c r="I59"/>
      <c r="J59"/>
      <c r="K59"/>
      <c r="L59"/>
      <c r="M59"/>
      <c r="N59"/>
      <c r="O59"/>
      <c r="P59"/>
      <c r="Q59"/>
      <c r="R59"/>
      <c r="S59"/>
      <c r="T59"/>
      <c r="U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17-8-2026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2026-08-17T16:14:54Z</dcterms:created>
  <dcterms:modified xsi:type="dcterms:W3CDTF">2026-08-18T02:27:05Z</dcterms:modified>
</cp:coreProperties>
</file>