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E4E25E0D-7B5C-4C94-AEA8-58A6F3FAED2A}" xr6:coauthVersionLast="47" xr6:coauthVersionMax="47" xr10:uidLastSave="{00000000-0000-0000-0000-000000000000}"/>
  <bookViews>
    <workbookView xWindow="-108" yWindow="-108" windowWidth="23256" windowHeight="13896" xr2:uid="{E49F44D6-2AA4-4DB6-B5AA-2D3E646476D9}"/>
  </bookViews>
  <sheets>
    <sheet name="Marzo2026" sheetId="21" r:id="rId1"/>
    <sheet name="Febrero2026" sheetId="20" r:id="rId2"/>
    <sheet name="Enero2026" sheetId="19" r:id="rId3"/>
    <sheet name="Hoja1" sheetId="2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8" i="21" l="1"/>
  <c r="BH48" i="21"/>
  <c r="BJ47" i="21"/>
  <c r="BH3" i="21"/>
  <c r="BH4" i="21"/>
  <c r="BH5" i="21"/>
  <c r="BH6" i="21"/>
  <c r="BH7" i="21"/>
  <c r="BH8" i="21"/>
  <c r="BH9" i="21"/>
  <c r="BH10" i="21"/>
  <c r="BH11" i="21"/>
  <c r="BH12" i="21"/>
  <c r="BH13" i="21"/>
  <c r="BH14" i="21"/>
  <c r="BH15" i="21"/>
  <c r="BH16" i="21"/>
  <c r="BH17" i="21"/>
  <c r="BH18" i="21"/>
  <c r="BH19" i="21"/>
  <c r="BH20" i="21"/>
  <c r="BH21" i="21"/>
  <c r="BH22" i="21"/>
  <c r="BH23" i="21"/>
  <c r="BH24" i="21"/>
  <c r="BH25" i="21"/>
  <c r="BH26" i="21"/>
  <c r="BH27" i="21"/>
  <c r="BH28" i="21"/>
  <c r="BH29" i="21"/>
  <c r="BH30" i="21"/>
  <c r="BH31" i="21"/>
  <c r="BH32" i="21"/>
  <c r="BH33" i="21"/>
  <c r="BH34" i="21"/>
  <c r="BH35" i="21"/>
  <c r="BH36" i="21"/>
  <c r="BH37" i="21"/>
  <c r="BH38" i="21"/>
  <c r="BH39" i="21"/>
  <c r="BH40" i="21"/>
  <c r="BH41" i="21"/>
  <c r="BH42" i="21"/>
  <c r="BH43" i="21"/>
  <c r="BH44" i="21"/>
  <c r="BH45" i="21"/>
  <c r="BH46" i="21"/>
  <c r="BC4" i="21"/>
  <c r="BC5" i="21"/>
  <c r="BC6" i="21"/>
  <c r="BC7" i="21"/>
  <c r="BC8" i="21"/>
  <c r="BC9" i="21"/>
  <c r="BC10" i="21"/>
  <c r="BC11" i="21"/>
  <c r="BC12" i="21"/>
  <c r="BC13" i="21"/>
  <c r="BC14" i="21"/>
  <c r="BC15" i="21"/>
  <c r="BC16" i="21"/>
  <c r="BC17" i="21"/>
  <c r="BC18" i="21"/>
  <c r="BC19" i="21"/>
  <c r="BC20" i="21"/>
  <c r="BC21" i="21"/>
  <c r="BC22" i="21"/>
  <c r="BC23" i="21"/>
  <c r="BC24" i="21"/>
  <c r="BC25" i="21"/>
  <c r="BC26" i="21"/>
  <c r="BC27" i="21"/>
  <c r="BC28" i="21"/>
  <c r="BC29" i="21"/>
  <c r="BC30" i="21"/>
  <c r="BC31" i="21"/>
  <c r="BC32" i="21"/>
  <c r="BC33" i="21"/>
  <c r="BC34" i="21"/>
  <c r="BC35" i="21"/>
  <c r="BC36" i="21"/>
  <c r="BC37" i="21"/>
  <c r="BC38" i="21"/>
  <c r="BC39" i="21"/>
  <c r="BC40" i="21"/>
  <c r="BC41" i="21"/>
  <c r="BC42" i="21"/>
  <c r="BC43" i="21"/>
  <c r="BC44" i="21"/>
  <c r="BC45" i="21"/>
  <c r="BC46" i="21"/>
  <c r="BC3" i="21"/>
  <c r="BB48" i="21"/>
  <c r="AT4" i="21" l="1"/>
  <c r="AU4" i="21" s="1"/>
  <c r="AT5" i="21"/>
  <c r="AU5" i="21" s="1"/>
  <c r="AT6" i="21"/>
  <c r="AU6" i="21" s="1"/>
  <c r="AT7" i="21"/>
  <c r="AU7" i="21" s="1"/>
  <c r="AT8" i="21"/>
  <c r="AU8" i="21" s="1"/>
  <c r="AT9" i="21"/>
  <c r="AU9" i="21" s="1"/>
  <c r="AT10" i="21"/>
  <c r="AU10" i="21" s="1"/>
  <c r="AT11" i="21"/>
  <c r="AU11" i="21" s="1"/>
  <c r="AV11" i="21" s="1"/>
  <c r="AT12" i="21"/>
  <c r="AU12" i="21" s="1"/>
  <c r="AV12" i="21" s="1"/>
  <c r="AT13" i="21"/>
  <c r="AU13" i="21" s="1"/>
  <c r="AT14" i="21"/>
  <c r="AU14" i="21" s="1"/>
  <c r="AT15" i="21"/>
  <c r="AU15" i="21" s="1"/>
  <c r="AT16" i="21"/>
  <c r="AU16" i="21" s="1"/>
  <c r="AT17" i="21"/>
  <c r="AU17" i="21" s="1"/>
  <c r="AT18" i="21"/>
  <c r="AU18" i="21" s="1"/>
  <c r="AT19" i="21"/>
  <c r="AU19" i="21" s="1"/>
  <c r="AT20" i="21"/>
  <c r="AU20" i="21" s="1"/>
  <c r="AT21" i="21"/>
  <c r="AU21" i="21" s="1"/>
  <c r="AT22" i="21"/>
  <c r="AU22" i="21" s="1"/>
  <c r="AT23" i="21"/>
  <c r="AU23" i="21" s="1"/>
  <c r="AV23" i="21" s="1"/>
  <c r="AT24" i="21"/>
  <c r="AU24" i="21" s="1"/>
  <c r="AT25" i="21"/>
  <c r="AU25" i="21" s="1"/>
  <c r="AT26" i="21"/>
  <c r="AU26" i="21" s="1"/>
  <c r="AT27" i="21"/>
  <c r="AU27" i="21" s="1"/>
  <c r="AT28" i="21"/>
  <c r="AU28" i="21" s="1"/>
  <c r="AT29" i="21"/>
  <c r="AU29" i="21" s="1"/>
  <c r="AT30" i="21"/>
  <c r="AU30" i="21" s="1"/>
  <c r="AT31" i="21"/>
  <c r="AU31" i="21" s="1"/>
  <c r="AT32" i="21"/>
  <c r="AU32" i="21" s="1"/>
  <c r="AT33" i="21"/>
  <c r="AU33" i="21" s="1"/>
  <c r="AT34" i="21"/>
  <c r="AU34" i="21" s="1"/>
  <c r="AT35" i="21"/>
  <c r="AU35" i="21" s="1"/>
  <c r="AV35" i="21" s="1"/>
  <c r="AT36" i="21"/>
  <c r="AU36" i="21" s="1"/>
  <c r="AV36" i="21" s="1"/>
  <c r="AT37" i="21"/>
  <c r="AU37" i="21" s="1"/>
  <c r="AV37" i="21" s="1"/>
  <c r="AT38" i="21"/>
  <c r="AU38" i="21" s="1"/>
  <c r="AV38" i="21" s="1"/>
  <c r="AT39" i="21"/>
  <c r="AU39" i="21" s="1"/>
  <c r="AT40" i="21"/>
  <c r="AU40" i="21" s="1"/>
  <c r="AT41" i="21"/>
  <c r="AU41" i="21" s="1"/>
  <c r="AT42" i="21"/>
  <c r="AU42" i="21" s="1"/>
  <c r="AT43" i="21"/>
  <c r="AU43" i="21" s="1"/>
  <c r="AT44" i="21"/>
  <c r="AU44" i="21" s="1"/>
  <c r="AT45" i="21"/>
  <c r="AU45" i="21" s="1"/>
  <c r="AT46" i="21"/>
  <c r="AU46" i="21" s="1"/>
  <c r="AT3" i="21"/>
  <c r="AU3" i="21" s="1"/>
  <c r="Z22" i="21"/>
  <c r="Z21" i="21"/>
  <c r="Z20" i="21"/>
  <c r="X23" i="21"/>
  <c r="Z30" i="21"/>
  <c r="Z28" i="21"/>
  <c r="Z26" i="21"/>
  <c r="Z24" i="21"/>
  <c r="AF31" i="21"/>
  <c r="Z16" i="21"/>
  <c r="Z7" i="21"/>
  <c r="Z4" i="21"/>
  <c r="AE53" i="21"/>
  <c r="Y22" i="21"/>
  <c r="X22" i="21"/>
  <c r="AF22" i="21"/>
  <c r="W22" i="21"/>
  <c r="V22" i="21"/>
  <c r="Y20" i="21"/>
  <c r="X20" i="21"/>
  <c r="AF20" i="21"/>
  <c r="W20" i="21"/>
  <c r="V20" i="21"/>
  <c r="Y21" i="21"/>
  <c r="X21" i="21"/>
  <c r="AF21" i="21"/>
  <c r="Y12" i="21"/>
  <c r="X12" i="21"/>
  <c r="W12" i="21"/>
  <c r="Y13" i="21"/>
  <c r="X13" i="21"/>
  <c r="W13" i="21"/>
  <c r="Y30" i="21"/>
  <c r="X30" i="21"/>
  <c r="AF30" i="21"/>
  <c r="W30" i="21"/>
  <c r="V30" i="21"/>
  <c r="Y28" i="21"/>
  <c r="X28" i="21"/>
  <c r="W28" i="21"/>
  <c r="V28" i="21"/>
  <c r="Y26" i="21"/>
  <c r="X26" i="21"/>
  <c r="W26" i="21"/>
  <c r="V26" i="21"/>
  <c r="AF24" i="21"/>
  <c r="Y24" i="21"/>
  <c r="X24" i="21"/>
  <c r="W24" i="21"/>
  <c r="V24" i="21"/>
  <c r="AF16" i="21"/>
  <c r="Y16" i="21"/>
  <c r="X16" i="21"/>
  <c r="W16" i="21"/>
  <c r="V16" i="21"/>
  <c r="Y17" i="21"/>
  <c r="AW36" i="21" l="1"/>
  <c r="AX36" i="21"/>
  <c r="AW12" i="21"/>
  <c r="AX12" i="21"/>
  <c r="AW23" i="21"/>
  <c r="AX23" i="21"/>
  <c r="AV45" i="21"/>
  <c r="AX45" i="21" s="1"/>
  <c r="AV44" i="21"/>
  <c r="AX44" i="21" s="1"/>
  <c r="AV43" i="21"/>
  <c r="AX43" i="21" s="1"/>
  <c r="AV42" i="21"/>
  <c r="AX42" i="21" s="1"/>
  <c r="AW42" i="21"/>
  <c r="AV41" i="21"/>
  <c r="AX41" i="21" s="1"/>
  <c r="AW35" i="21"/>
  <c r="AX35" i="21"/>
  <c r="AW11" i="21"/>
  <c r="AX11" i="21"/>
  <c r="AV46" i="21"/>
  <c r="AX46" i="21" s="1"/>
  <c r="AV10" i="21"/>
  <c r="AX10" i="21" s="1"/>
  <c r="AV33" i="21"/>
  <c r="AX33" i="21" s="1"/>
  <c r="AW33" i="21"/>
  <c r="AV9" i="21"/>
  <c r="AX9" i="21" s="1"/>
  <c r="AW38" i="21"/>
  <c r="AX38" i="21"/>
  <c r="AW37" i="21"/>
  <c r="AX37" i="21"/>
  <c r="AI39" i="21"/>
  <c r="AF39" i="21"/>
  <c r="W39" i="21"/>
  <c r="W34" i="21"/>
  <c r="W32" i="21"/>
  <c r="W31" i="21"/>
  <c r="AF7" i="21"/>
  <c r="X7" i="21"/>
  <c r="Y7" i="21"/>
  <c r="W7" i="21"/>
  <c r="V7" i="21"/>
  <c r="Y4" i="21"/>
  <c r="X4" i="21"/>
  <c r="AF4" i="21"/>
  <c r="W4" i="21"/>
  <c r="V4" i="21"/>
  <c r="C5" i="22"/>
  <c r="C4" i="22"/>
  <c r="AG52" i="21"/>
  <c r="T22" i="21"/>
  <c r="T20" i="21"/>
  <c r="T21" i="21"/>
  <c r="T13" i="21"/>
  <c r="T30" i="21"/>
  <c r="T28" i="21"/>
  <c r="T26" i="21"/>
  <c r="T24" i="21"/>
  <c r="AE41" i="21"/>
  <c r="T42" i="21"/>
  <c r="AE42" i="21" s="1"/>
  <c r="AD42" i="21"/>
  <c r="AD41" i="21"/>
  <c r="T17" i="21"/>
  <c r="T16" i="21"/>
  <c r="T31" i="21"/>
  <c r="T7" i="21"/>
  <c r="T4" i="21"/>
  <c r="Q22" i="21"/>
  <c r="AI20" i="21"/>
  <c r="R20" i="21"/>
  <c r="Q20" i="21"/>
  <c r="R12" i="21"/>
  <c r="AF13" i="21"/>
  <c r="R30" i="21"/>
  <c r="Q30" i="21"/>
  <c r="R28" i="21"/>
  <c r="Q28" i="21"/>
  <c r="R26" i="21"/>
  <c r="R24" i="21"/>
  <c r="R17" i="21"/>
  <c r="P16" i="21"/>
  <c r="R16" i="21"/>
  <c r="Q16" i="21"/>
  <c r="R40" i="21"/>
  <c r="R39" i="21"/>
  <c r="R31" i="21"/>
  <c r="R34" i="21"/>
  <c r="AF32" i="21"/>
  <c r="R7" i="21"/>
  <c r="Q7" i="21"/>
  <c r="R4" i="21"/>
  <c r="Q4" i="21"/>
  <c r="P22" i="21"/>
  <c r="P20" i="21"/>
  <c r="P21" i="21"/>
  <c r="P23" i="21"/>
  <c r="P12" i="21"/>
  <c r="O12" i="21"/>
  <c r="P13" i="21"/>
  <c r="P30" i="21"/>
  <c r="P28" i="21"/>
  <c r="P26" i="21"/>
  <c r="P24" i="21"/>
  <c r="P17" i="21"/>
  <c r="P40" i="21"/>
  <c r="P39" i="21"/>
  <c r="P34" i="21"/>
  <c r="P32" i="21"/>
  <c r="P31" i="21"/>
  <c r="P7" i="21"/>
  <c r="P4" i="21"/>
  <c r="AD7" i="20"/>
  <c r="AG15" i="19"/>
  <c r="AF19" i="19"/>
  <c r="N7" i="21"/>
  <c r="M7" i="21"/>
  <c r="L7" i="21"/>
  <c r="K7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0" i="21"/>
  <c r="M30" i="21"/>
  <c r="K30" i="21"/>
  <c r="N28" i="21"/>
  <c r="M28" i="21"/>
  <c r="K28" i="21"/>
  <c r="N26" i="21"/>
  <c r="M26" i="21"/>
  <c r="K26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W10" i="21" l="1"/>
  <c r="AW41" i="21"/>
  <c r="AW45" i="21"/>
  <c r="AW46" i="21"/>
  <c r="AW9" i="21"/>
  <c r="AW43" i="21"/>
  <c r="AW44" i="21"/>
  <c r="AG42" i="21"/>
  <c r="AG41" i="21"/>
  <c r="M24" i="21"/>
  <c r="L24" i="21"/>
  <c r="N16" i="21"/>
  <c r="M16" i="21"/>
  <c r="L16" i="21"/>
  <c r="K16" i="21"/>
  <c r="N40" i="21"/>
  <c r="L40" i="21"/>
  <c r="N39" i="21"/>
  <c r="L39" i="21"/>
  <c r="N34" i="21"/>
  <c r="L34" i="21"/>
  <c r="N32" i="21"/>
  <c r="L32" i="21"/>
  <c r="N31" i="21"/>
  <c r="L31" i="21"/>
  <c r="N4" i="21"/>
  <c r="M4" i="21"/>
  <c r="L4" i="21"/>
  <c r="K4" i="21"/>
  <c r="AP7" i="20"/>
  <c r="AI7" i="20"/>
  <c r="AJ41" i="21" l="1"/>
  <c r="AJ42" i="21"/>
  <c r="AR45" i="20"/>
  <c r="AQ45" i="20"/>
  <c r="AP20" i="20"/>
  <c r="AP17" i="20"/>
  <c r="AN36" i="20"/>
  <c r="AP28" i="20"/>
  <c r="AP16" i="20"/>
  <c r="AP13" i="20"/>
  <c r="AD22" i="20" l="1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M7" i="21" l="1"/>
  <c r="AM28" i="21" l="1"/>
  <c r="AM48" i="21" s="1"/>
  <c r="AF28" i="21" l="1"/>
  <c r="E55" i="21"/>
  <c r="F22" i="21" l="1"/>
  <c r="E22" i="21"/>
  <c r="F20" i="21"/>
  <c r="E20" i="21"/>
  <c r="AE20" i="21" s="1"/>
  <c r="F21" i="21"/>
  <c r="E21" i="21"/>
  <c r="F23" i="21"/>
  <c r="AE23" i="21" s="1"/>
  <c r="F12" i="21"/>
  <c r="AE12" i="21" s="1"/>
  <c r="F13" i="21"/>
  <c r="AE13" i="21" s="1"/>
  <c r="F30" i="21"/>
  <c r="AE30" i="21" s="1"/>
  <c r="F28" i="21"/>
  <c r="E28" i="21"/>
  <c r="F26" i="21"/>
  <c r="AE26" i="21" s="1"/>
  <c r="F24" i="21"/>
  <c r="AF35" i="21"/>
  <c r="F16" i="21"/>
  <c r="E16" i="21"/>
  <c r="G40" i="21"/>
  <c r="AE40" i="21" s="1"/>
  <c r="G39" i="21"/>
  <c r="AE39" i="21" s="1"/>
  <c r="G34" i="21"/>
  <c r="AE34" i="21" s="1"/>
  <c r="G32" i="21"/>
  <c r="AE32" i="21" s="1"/>
  <c r="G31" i="21"/>
  <c r="AE31" i="21" s="1"/>
  <c r="F7" i="21"/>
  <c r="E7" i="21"/>
  <c r="F4" i="21"/>
  <c r="E4" i="21"/>
  <c r="AL48" i="21"/>
  <c r="AI48" i="21"/>
  <c r="AC48" i="21"/>
  <c r="AB48" i="21"/>
  <c r="J48" i="21"/>
  <c r="D48" i="21"/>
  <c r="AP46" i="21"/>
  <c r="AE46" i="21"/>
  <c r="AD46" i="21"/>
  <c r="AG46" i="21" s="1"/>
  <c r="AP45" i="21"/>
  <c r="AE45" i="21"/>
  <c r="AD45" i="21"/>
  <c r="AP44" i="21"/>
  <c r="AE44" i="21"/>
  <c r="AD44" i="21"/>
  <c r="AG44" i="21" s="1"/>
  <c r="AP43" i="21"/>
  <c r="AE43" i="21"/>
  <c r="AD43" i="21"/>
  <c r="AP40" i="21"/>
  <c r="AD40" i="21"/>
  <c r="AP39" i="21"/>
  <c r="AD39" i="21"/>
  <c r="AP38" i="21"/>
  <c r="AE38" i="21"/>
  <c r="AD38" i="21"/>
  <c r="AP37" i="21"/>
  <c r="AE37" i="21"/>
  <c r="AD37" i="21"/>
  <c r="AP36" i="21"/>
  <c r="AK48" i="21"/>
  <c r="AK53" i="21" s="1"/>
  <c r="AE36" i="21"/>
  <c r="AD36" i="21"/>
  <c r="AP35" i="21"/>
  <c r="AE35" i="21"/>
  <c r="AD35" i="21"/>
  <c r="AD34" i="21"/>
  <c r="AP33" i="21"/>
  <c r="AE33" i="21"/>
  <c r="AD33" i="21"/>
  <c r="AP32" i="21"/>
  <c r="AD32" i="21"/>
  <c r="AP31" i="21"/>
  <c r="AD31" i="21"/>
  <c r="AP30" i="21"/>
  <c r="AD30" i="21"/>
  <c r="AP29" i="21"/>
  <c r="AE29" i="21"/>
  <c r="AD29" i="21"/>
  <c r="AP28" i="21"/>
  <c r="AD28" i="21"/>
  <c r="AP27" i="21"/>
  <c r="AE27" i="21"/>
  <c r="AD27" i="21"/>
  <c r="AP26" i="21"/>
  <c r="AD26" i="21"/>
  <c r="AP25" i="21"/>
  <c r="AE25" i="21"/>
  <c r="AD25" i="21"/>
  <c r="AP24" i="21"/>
  <c r="AE24" i="21"/>
  <c r="AD24" i="21"/>
  <c r="AP23" i="21"/>
  <c r="AD23" i="21"/>
  <c r="AP22" i="21"/>
  <c r="AD22" i="21"/>
  <c r="AP21" i="21"/>
  <c r="AD21" i="21"/>
  <c r="AP20" i="21"/>
  <c r="AD20" i="21"/>
  <c r="AP19" i="21"/>
  <c r="AE19" i="21"/>
  <c r="AD19" i="21"/>
  <c r="AP18" i="21"/>
  <c r="AE18" i="21"/>
  <c r="AD18" i="21"/>
  <c r="AP17" i="21"/>
  <c r="AD17" i="21"/>
  <c r="AE17" i="21"/>
  <c r="AP16" i="21"/>
  <c r="AD16" i="21"/>
  <c r="AP15" i="21"/>
  <c r="AE15" i="21"/>
  <c r="AD15" i="21"/>
  <c r="AP14" i="21"/>
  <c r="AE14" i="21"/>
  <c r="AD14" i="21"/>
  <c r="AP13" i="21"/>
  <c r="AD13" i="21"/>
  <c r="A13" i="2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P12" i="21"/>
  <c r="AD12" i="21"/>
  <c r="AE11" i="21"/>
  <c r="AD11" i="21"/>
  <c r="H48" i="21"/>
  <c r="AE10" i="21"/>
  <c r="AD10" i="21"/>
  <c r="AD9" i="21"/>
  <c r="AE9" i="21"/>
  <c r="AP8" i="21"/>
  <c r="AE8" i="21"/>
  <c r="AD8" i="21"/>
  <c r="AP7" i="21"/>
  <c r="AK52" i="21"/>
  <c r="AP6" i="21"/>
  <c r="AE6" i="21"/>
  <c r="AD6" i="21"/>
  <c r="AP5" i="21"/>
  <c r="AE5" i="21"/>
  <c r="AD5" i="21"/>
  <c r="AP4" i="21"/>
  <c r="AD4" i="21"/>
  <c r="A4" i="21"/>
  <c r="A5" i="21" s="1"/>
  <c r="A6" i="21" s="1"/>
  <c r="A7" i="21" s="1"/>
  <c r="A8" i="21" s="1"/>
  <c r="A9" i="21" s="1"/>
  <c r="AP3" i="21"/>
  <c r="AE3" i="21"/>
  <c r="AD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J46" i="21" l="1"/>
  <c r="AJ44" i="21"/>
  <c r="AE22" i="21"/>
  <c r="AG22" i="21" s="1"/>
  <c r="AV22" i="21" s="1"/>
  <c r="AG25" i="21"/>
  <c r="AV25" i="21" s="1"/>
  <c r="AE21" i="21"/>
  <c r="AK54" i="21"/>
  <c r="AK55" i="21" s="1"/>
  <c r="AG38" i="21"/>
  <c r="AE7" i="21"/>
  <c r="AG7" i="21" s="1"/>
  <c r="AV7" i="21" s="1"/>
  <c r="AE16" i="21"/>
  <c r="AG16" i="21" s="1"/>
  <c r="AV16" i="21" s="1"/>
  <c r="AE28" i="21"/>
  <c r="AG28" i="21" s="1"/>
  <c r="AV28" i="21" s="1"/>
  <c r="F48" i="21"/>
  <c r="G48" i="21"/>
  <c r="E48" i="21"/>
  <c r="AE4" i="21"/>
  <c r="AG4" i="21" s="1"/>
  <c r="AV4" i="21" s="1"/>
  <c r="AG15" i="21"/>
  <c r="AV15" i="21" s="1"/>
  <c r="AG43" i="21"/>
  <c r="AG5" i="21"/>
  <c r="AV5" i="21" s="1"/>
  <c r="AG27" i="21"/>
  <c r="AV27" i="21" s="1"/>
  <c r="AG35" i="21"/>
  <c r="AF48" i="21"/>
  <c r="AM50" i="21" s="1"/>
  <c r="AG45" i="21"/>
  <c r="AG14" i="21"/>
  <c r="AV14" i="21" s="1"/>
  <c r="AG11" i="21"/>
  <c r="AG33" i="21"/>
  <c r="AG10" i="21"/>
  <c r="AG18" i="21"/>
  <c r="AV18" i="21" s="1"/>
  <c r="AG29" i="21"/>
  <c r="AV29" i="21" s="1"/>
  <c r="AG37" i="21"/>
  <c r="AG8" i="21"/>
  <c r="AV8" i="21" s="1"/>
  <c r="AG13" i="21"/>
  <c r="AV13" i="21" s="1"/>
  <c r="AG19" i="21"/>
  <c r="AV19" i="21" s="1"/>
  <c r="AG23" i="21"/>
  <c r="AG30" i="21"/>
  <c r="AV30" i="21" s="1"/>
  <c r="AG6" i="21"/>
  <c r="AV6" i="21" s="1"/>
  <c r="AG17" i="21"/>
  <c r="AV17" i="21" s="1"/>
  <c r="AG24" i="21"/>
  <c r="AV24" i="21" s="1"/>
  <c r="AG36" i="21"/>
  <c r="AG3" i="21"/>
  <c r="AV3" i="21" s="1"/>
  <c r="AG32" i="21"/>
  <c r="AV32" i="21" s="1"/>
  <c r="AG9" i="21"/>
  <c r="AG12" i="21"/>
  <c r="A32" i="21"/>
  <c r="A35" i="21" s="1"/>
  <c r="A37" i="21" s="1"/>
  <c r="A33" i="21"/>
  <c r="A36" i="21" s="1"/>
  <c r="A38" i="21" s="1"/>
  <c r="A39" i="21" s="1"/>
  <c r="A40" i="21" s="1"/>
  <c r="A43" i="21" s="1"/>
  <c r="A44" i="21" s="1"/>
  <c r="A45" i="21" s="1"/>
  <c r="A46" i="21" s="1"/>
  <c r="AG26" i="21"/>
  <c r="AV26" i="21" s="1"/>
  <c r="AG40" i="21"/>
  <c r="AV40" i="21" s="1"/>
  <c r="AG21" i="21"/>
  <c r="AV21" i="21" s="1"/>
  <c r="AG31" i="21"/>
  <c r="AV31" i="21" s="1"/>
  <c r="AG39" i="21"/>
  <c r="AV39" i="21" s="1"/>
  <c r="AG20" i="21"/>
  <c r="AV20" i="21" s="1"/>
  <c r="AG34" i="21"/>
  <c r="AV34" i="21" s="1"/>
  <c r="AD48" i="21"/>
  <c r="I48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X39" i="21" l="1"/>
  <c r="AW39" i="21"/>
  <c r="AW24" i="21"/>
  <c r="AX24" i="21"/>
  <c r="AX31" i="21"/>
  <c r="AW31" i="21"/>
  <c r="AX17" i="21"/>
  <c r="AW17" i="21"/>
  <c r="AX21" i="21"/>
  <c r="AW21" i="21"/>
  <c r="AX6" i="21"/>
  <c r="AW6" i="21"/>
  <c r="AW14" i="21"/>
  <c r="AX14" i="21"/>
  <c r="AX28" i="21"/>
  <c r="AW28" i="21"/>
  <c r="AX40" i="21"/>
  <c r="AW40" i="21"/>
  <c r="AX30" i="21"/>
  <c r="AW30" i="21"/>
  <c r="AX16" i="21"/>
  <c r="AW16" i="21"/>
  <c r="AW26" i="21"/>
  <c r="AX26" i="21"/>
  <c r="AX7" i="21"/>
  <c r="AW7" i="21"/>
  <c r="AX19" i="21"/>
  <c r="AW19" i="21"/>
  <c r="AW13" i="21"/>
  <c r="AX13" i="21"/>
  <c r="AX27" i="21"/>
  <c r="AW27" i="21"/>
  <c r="AX8" i="21"/>
  <c r="AW8" i="21"/>
  <c r="AX5" i="21"/>
  <c r="AW5" i="21"/>
  <c r="AW25" i="21"/>
  <c r="AX25" i="21"/>
  <c r="AX32" i="21"/>
  <c r="AW32" i="21"/>
  <c r="AX29" i="21"/>
  <c r="AW29" i="21"/>
  <c r="AX15" i="21"/>
  <c r="AW15" i="21"/>
  <c r="AX22" i="21"/>
  <c r="AW22" i="21"/>
  <c r="AX34" i="21"/>
  <c r="AW34" i="21"/>
  <c r="AX3" i="21"/>
  <c r="AW3" i="21"/>
  <c r="AX18" i="21"/>
  <c r="AW18" i="21"/>
  <c r="AX4" i="21"/>
  <c r="AW4" i="21"/>
  <c r="AX20" i="21"/>
  <c r="AW20" i="21"/>
  <c r="AJ22" i="21"/>
  <c r="AJ21" i="21"/>
  <c r="AJ6" i="21"/>
  <c r="AJ14" i="21"/>
  <c r="AJ28" i="21"/>
  <c r="AJ40" i="21"/>
  <c r="AJ30" i="21"/>
  <c r="AJ45" i="21"/>
  <c r="AJ16" i="21"/>
  <c r="AJ26" i="21"/>
  <c r="AJ23" i="21"/>
  <c r="AJ7" i="21"/>
  <c r="AJ19" i="21"/>
  <c r="AJ35" i="21"/>
  <c r="AJ38" i="21"/>
  <c r="AJ13" i="21"/>
  <c r="AJ27" i="21"/>
  <c r="AJ12" i="21"/>
  <c r="AJ8" i="21"/>
  <c r="AJ5" i="21"/>
  <c r="AJ34" i="21"/>
  <c r="AJ9" i="21"/>
  <c r="AJ37" i="21"/>
  <c r="AJ43" i="21"/>
  <c r="AJ25" i="21"/>
  <c r="AJ20" i="21"/>
  <c r="AJ32" i="21"/>
  <c r="AJ29" i="21"/>
  <c r="AJ15" i="21"/>
  <c r="AJ39" i="21"/>
  <c r="AH3" i="21"/>
  <c r="AJ18" i="21"/>
  <c r="AJ4" i="21"/>
  <c r="AJ31" i="21"/>
  <c r="AJ36" i="21"/>
  <c r="AJ10" i="21"/>
  <c r="AJ24" i="21"/>
  <c r="AJ33" i="21"/>
  <c r="AJ17" i="21"/>
  <c r="AJ11" i="21"/>
  <c r="E51" i="21"/>
  <c r="AE48" i="21"/>
  <c r="C6" i="22" s="1"/>
  <c r="C7" i="22" s="1"/>
  <c r="AJ3" i="21"/>
  <c r="AG48" i="21"/>
  <c r="AG51" i="21" s="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J48" i="21" l="1"/>
  <c r="AW48" i="21"/>
  <c r="AX48" i="21"/>
  <c r="AV48" i="21"/>
  <c r="AG55" i="21"/>
  <c r="AJ10" i="20"/>
  <c r="AM10" i="20" s="1"/>
  <c r="AG27" i="19"/>
  <c r="AG21" i="19"/>
  <c r="AG19" i="19"/>
  <c r="AG12" i="19"/>
  <c r="AG23" i="19"/>
  <c r="AG16" i="19"/>
  <c r="BA4" i="21" l="1"/>
  <c r="BA16" i="21"/>
  <c r="BA28" i="21"/>
  <c r="BA40" i="21"/>
  <c r="AZ8" i="21"/>
  <c r="AZ20" i="21"/>
  <c r="AZ32" i="21"/>
  <c r="AZ44" i="21"/>
  <c r="AY11" i="21"/>
  <c r="BD11" i="21" s="1"/>
  <c r="AY23" i="21"/>
  <c r="BD23" i="21" s="1"/>
  <c r="AY35" i="21"/>
  <c r="BD35" i="21" s="1"/>
  <c r="BA5" i="21"/>
  <c r="BA17" i="21"/>
  <c r="BA29" i="21"/>
  <c r="BA41" i="21"/>
  <c r="AZ9" i="21"/>
  <c r="AZ21" i="21"/>
  <c r="AZ33" i="21"/>
  <c r="AZ45" i="21"/>
  <c r="AY12" i="21"/>
  <c r="BD12" i="21" s="1"/>
  <c r="AY24" i="21"/>
  <c r="BD24" i="21" s="1"/>
  <c r="AY36" i="21"/>
  <c r="BD36" i="21" s="1"/>
  <c r="BA6" i="21"/>
  <c r="BA18" i="21"/>
  <c r="BA30" i="21"/>
  <c r="BA42" i="21"/>
  <c r="AZ10" i="21"/>
  <c r="AZ22" i="21"/>
  <c r="AZ34" i="21"/>
  <c r="AZ46" i="21"/>
  <c r="AY13" i="21"/>
  <c r="AY25" i="21"/>
  <c r="AY37" i="21"/>
  <c r="BD37" i="21" s="1"/>
  <c r="BA7" i="21"/>
  <c r="BA19" i="21"/>
  <c r="BA31" i="21"/>
  <c r="BA43" i="21"/>
  <c r="AZ11" i="21"/>
  <c r="AZ23" i="21"/>
  <c r="AZ35" i="21"/>
  <c r="AZ3" i="21"/>
  <c r="AY14" i="21"/>
  <c r="AY26" i="21"/>
  <c r="AY38" i="21"/>
  <c r="BA8" i="21"/>
  <c r="BA20" i="21"/>
  <c r="BA32" i="21"/>
  <c r="BA44" i="21"/>
  <c r="AZ12" i="21"/>
  <c r="AZ24" i="21"/>
  <c r="AZ36" i="21"/>
  <c r="AY3" i="21"/>
  <c r="AY15" i="21"/>
  <c r="BD15" i="21" s="1"/>
  <c r="BA9" i="21"/>
  <c r="BA26" i="21"/>
  <c r="AZ4" i="21"/>
  <c r="AZ26" i="21"/>
  <c r="AZ43" i="21"/>
  <c r="AY20" i="21"/>
  <c r="BD20" i="21" s="1"/>
  <c r="AY40" i="21"/>
  <c r="BD40" i="21" s="1"/>
  <c r="BA10" i="21"/>
  <c r="BA27" i="21"/>
  <c r="AZ5" i="21"/>
  <c r="AZ27" i="21"/>
  <c r="AY4" i="21"/>
  <c r="AY21" i="21"/>
  <c r="BD21" i="21" s="1"/>
  <c r="AY41" i="21"/>
  <c r="BD41" i="21" s="1"/>
  <c r="BA11" i="21"/>
  <c r="BA33" i="21"/>
  <c r="AZ6" i="21"/>
  <c r="AZ28" i="21"/>
  <c r="AY5" i="21"/>
  <c r="BD5" i="21" s="1"/>
  <c r="AY22" i="21"/>
  <c r="AY42" i="21"/>
  <c r="BA12" i="21"/>
  <c r="BA34" i="21"/>
  <c r="AZ7" i="21"/>
  <c r="AZ29" i="21"/>
  <c r="AY6" i="21"/>
  <c r="AY27" i="21"/>
  <c r="BD27" i="21" s="1"/>
  <c r="AY43" i="21"/>
  <c r="BA13" i="21"/>
  <c r="BA35" i="21"/>
  <c r="AZ13" i="21"/>
  <c r="AZ30" i="21"/>
  <c r="AY7" i="21"/>
  <c r="AY28" i="21"/>
  <c r="AY44" i="21"/>
  <c r="BA14" i="21"/>
  <c r="BA36" i="21"/>
  <c r="AZ14" i="21"/>
  <c r="AZ31" i="21"/>
  <c r="AY8" i="21"/>
  <c r="BD8" i="21" s="1"/>
  <c r="AY29" i="21"/>
  <c r="BD29" i="21" s="1"/>
  <c r="AY45" i="21"/>
  <c r="BD45" i="21" s="1"/>
  <c r="BA15" i="21"/>
  <c r="BA37" i="21"/>
  <c r="AZ15" i="21"/>
  <c r="AZ37" i="21"/>
  <c r="AY9" i="21"/>
  <c r="BD9" i="21" s="1"/>
  <c r="AY30" i="21"/>
  <c r="BD30" i="21" s="1"/>
  <c r="AY46" i="21"/>
  <c r="BD46" i="21" s="1"/>
  <c r="BA21" i="21"/>
  <c r="BA38" i="21"/>
  <c r="AZ16" i="21"/>
  <c r="AZ38" i="21"/>
  <c r="AY10" i="21"/>
  <c r="BD10" i="21" s="1"/>
  <c r="AY31" i="21"/>
  <c r="BD31" i="21" s="1"/>
  <c r="BA22" i="21"/>
  <c r="BA39" i="21"/>
  <c r="AZ17" i="21"/>
  <c r="AZ39" i="21"/>
  <c r="AY16" i="21"/>
  <c r="AY32" i="21"/>
  <c r="BA23" i="21"/>
  <c r="BA45" i="21"/>
  <c r="AZ18" i="21"/>
  <c r="AZ40" i="21"/>
  <c r="AY17" i="21"/>
  <c r="BD17" i="21" s="1"/>
  <c r="AY33" i="21"/>
  <c r="BD33" i="21" s="1"/>
  <c r="BA24" i="21"/>
  <c r="BA46" i="21"/>
  <c r="AZ19" i="21"/>
  <c r="AZ41" i="21"/>
  <c r="AY18" i="21"/>
  <c r="AY34" i="21"/>
  <c r="BD34" i="21" s="1"/>
  <c r="BA25" i="21"/>
  <c r="BA3" i="21"/>
  <c r="AZ25" i="21"/>
  <c r="AZ42" i="21"/>
  <c r="AY19" i="21"/>
  <c r="BD19" i="21" s="1"/>
  <c r="AY39" i="21"/>
  <c r="BD39" i="21" s="1"/>
  <c r="V45" i="19"/>
  <c r="O45" i="19"/>
  <c r="AP46" i="20"/>
  <c r="BD46" i="20"/>
  <c r="AO46" i="20"/>
  <c r="AN52" i="20" s="1"/>
  <c r="AN46" i="20"/>
  <c r="AN51" i="20" s="1"/>
  <c r="AF46" i="20"/>
  <c r="AE46" i="20"/>
  <c r="D46" i="20"/>
  <c r="AS44" i="20"/>
  <c r="AH44" i="20"/>
  <c r="AG44" i="20"/>
  <c r="AJ44" i="20" s="1"/>
  <c r="AM44" i="20" s="1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 s="1"/>
  <c r="AM15" i="20" s="1"/>
  <c r="AH14" i="20"/>
  <c r="AG14" i="20"/>
  <c r="AS13" i="20"/>
  <c r="AG13" i="20"/>
  <c r="AH13" i="20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 s="1"/>
  <c r="A6" i="20" s="1"/>
  <c r="A7" i="20" s="1"/>
  <c r="A8" i="20" s="1"/>
  <c r="A9" i="20" s="1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 s="1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 s="1"/>
  <c r="S30" i="19"/>
  <c r="R30" i="19"/>
  <c r="Y10" i="19"/>
  <c r="X10" i="19"/>
  <c r="AA10" i="19" s="1"/>
  <c r="AD10" i="19" s="1"/>
  <c r="Y9" i="19"/>
  <c r="X9" i="19"/>
  <c r="AA9" i="19" s="1"/>
  <c r="AD9" i="19" s="1"/>
  <c r="Q10" i="19"/>
  <c r="Q9" i="19"/>
  <c r="U7" i="19"/>
  <c r="T7" i="19"/>
  <c r="S7" i="19"/>
  <c r="R7" i="19"/>
  <c r="Q7" i="19"/>
  <c r="Z7" i="19"/>
  <c r="U4" i="19"/>
  <c r="U45" i="19" s="1"/>
  <c r="S4" i="19"/>
  <c r="S45" i="19" s="1"/>
  <c r="R4" i="19"/>
  <c r="R45" i="19" s="1"/>
  <c r="Q4" i="19"/>
  <c r="Q45" i="19" s="1"/>
  <c r="M21" i="19"/>
  <c r="L21" i="19"/>
  <c r="N19" i="19"/>
  <c r="M19" i="19"/>
  <c r="K19" i="19"/>
  <c r="N20" i="19"/>
  <c r="M20" i="19"/>
  <c r="L20" i="19"/>
  <c r="L22" i="19"/>
  <c r="L11" i="19"/>
  <c r="M12" i="19"/>
  <c r="K12" i="19"/>
  <c r="BE39" i="21" l="1"/>
  <c r="BI39" i="21"/>
  <c r="BJ39" i="21" s="1"/>
  <c r="BE31" i="21"/>
  <c r="BI31" i="21"/>
  <c r="BJ31" i="21" s="1"/>
  <c r="BE5" i="21"/>
  <c r="BI5" i="21"/>
  <c r="BJ5" i="21" s="1"/>
  <c r="BE19" i="21"/>
  <c r="BI19" i="21"/>
  <c r="BJ19" i="21" s="1"/>
  <c r="BE45" i="21"/>
  <c r="BI45" i="21"/>
  <c r="BJ45" i="21" s="1"/>
  <c r="BE20" i="21"/>
  <c r="BI20" i="21"/>
  <c r="BJ20" i="21" s="1"/>
  <c r="BE35" i="21"/>
  <c r="BI35" i="21"/>
  <c r="BJ35" i="21" s="1"/>
  <c r="BE29" i="21"/>
  <c r="BI29" i="21"/>
  <c r="BJ29" i="21" s="1"/>
  <c r="BE23" i="21"/>
  <c r="BI23" i="21"/>
  <c r="BJ23" i="21" s="1"/>
  <c r="BE37" i="21"/>
  <c r="BI37" i="21"/>
  <c r="BJ37" i="21" s="1"/>
  <c r="BE11" i="21"/>
  <c r="BI11" i="21"/>
  <c r="BJ11" i="21" s="1"/>
  <c r="BE34" i="21"/>
  <c r="BI34" i="21"/>
  <c r="BJ34" i="21" s="1"/>
  <c r="BE30" i="21"/>
  <c r="BI30" i="21"/>
  <c r="BJ30" i="21" s="1"/>
  <c r="BE33" i="21"/>
  <c r="BI33" i="21"/>
  <c r="BJ33" i="21" s="1"/>
  <c r="BE40" i="21"/>
  <c r="BI40" i="21"/>
  <c r="BJ40" i="21" s="1"/>
  <c r="BE17" i="21"/>
  <c r="BI17" i="21"/>
  <c r="BJ17" i="21" s="1"/>
  <c r="BE10" i="21"/>
  <c r="BI10" i="21"/>
  <c r="BJ10" i="21" s="1"/>
  <c r="BE36" i="21"/>
  <c r="BI36" i="21"/>
  <c r="BJ36" i="21" s="1"/>
  <c r="BE8" i="21"/>
  <c r="BI8" i="21"/>
  <c r="BJ8" i="21" s="1"/>
  <c r="BE24" i="21"/>
  <c r="BI24" i="21"/>
  <c r="BJ24" i="21" s="1"/>
  <c r="BE27" i="21"/>
  <c r="BI27" i="21"/>
  <c r="BJ27" i="21" s="1"/>
  <c r="BE12" i="21"/>
  <c r="BI12" i="21"/>
  <c r="BJ12" i="21" s="1"/>
  <c r="BE41" i="21"/>
  <c r="BI41" i="21"/>
  <c r="BJ41" i="21" s="1"/>
  <c r="BE46" i="21"/>
  <c r="BI46" i="21"/>
  <c r="BJ46" i="21" s="1"/>
  <c r="BE21" i="21"/>
  <c r="BI21" i="21"/>
  <c r="BJ21" i="21" s="1"/>
  <c r="BE15" i="21"/>
  <c r="BI15" i="21"/>
  <c r="BJ15" i="21" s="1"/>
  <c r="BE9" i="21"/>
  <c r="BI9" i="21"/>
  <c r="BJ9" i="21" s="1"/>
  <c r="BD38" i="21"/>
  <c r="BD26" i="21"/>
  <c r="BD32" i="21"/>
  <c r="BD18" i="21"/>
  <c r="BD16" i="21"/>
  <c r="BD4" i="21"/>
  <c r="BD3" i="21"/>
  <c r="BI3" i="21" s="1"/>
  <c r="BD7" i="21"/>
  <c r="BD42" i="21"/>
  <c r="BD43" i="21"/>
  <c r="BD25" i="21"/>
  <c r="BD6" i="21"/>
  <c r="BD13" i="21"/>
  <c r="BD14" i="21"/>
  <c r="BD44" i="21"/>
  <c r="BD28" i="21"/>
  <c r="BD22" i="21"/>
  <c r="AN50" i="20"/>
  <c r="AP50" i="20" s="1"/>
  <c r="AQ46" i="20"/>
  <c r="AJ37" i="20"/>
  <c r="AM37" i="20" s="1"/>
  <c r="AJ41" i="20"/>
  <c r="AM41" i="20" s="1"/>
  <c r="AJ6" i="20"/>
  <c r="AM6" i="20" s="1"/>
  <c r="AJ34" i="20"/>
  <c r="AM34" i="20" s="1"/>
  <c r="AJ23" i="20"/>
  <c r="AM23" i="20" s="1"/>
  <c r="AJ27" i="20"/>
  <c r="AM27" i="20" s="1"/>
  <c r="AJ42" i="20"/>
  <c r="AM42" i="20" s="1"/>
  <c r="AJ21" i="20"/>
  <c r="AM21" i="20" s="1"/>
  <c r="AH16" i="20"/>
  <c r="AJ16" i="20" s="1"/>
  <c r="AM16" i="20" s="1"/>
  <c r="AJ5" i="20"/>
  <c r="AM5" i="20" s="1"/>
  <c r="AJ8" i="20"/>
  <c r="AM8" i="20" s="1"/>
  <c r="AH28" i="20"/>
  <c r="AJ28" i="20" s="1"/>
  <c r="AM28" i="20" s="1"/>
  <c r="AJ19" i="20"/>
  <c r="AM19" i="20" s="1"/>
  <c r="AJ25" i="20"/>
  <c r="AM25" i="20" s="1"/>
  <c r="AJ32" i="20"/>
  <c r="AM32" i="20" s="1"/>
  <c r="AJ29" i="20"/>
  <c r="AM29" i="20" s="1"/>
  <c r="AJ35" i="20"/>
  <c r="AM35" i="20" s="1"/>
  <c r="AJ12" i="20"/>
  <c r="AM12" i="20" s="1"/>
  <c r="AJ43" i="20"/>
  <c r="AM43" i="20" s="1"/>
  <c r="AJ14" i="20"/>
  <c r="AM14" i="20" s="1"/>
  <c r="AJ36" i="20"/>
  <c r="AM36" i="20" s="1"/>
  <c r="AJ39" i="20"/>
  <c r="AM39" i="20" s="1"/>
  <c r="AJ11" i="20"/>
  <c r="AM11" i="20" s="1"/>
  <c r="AJ18" i="20"/>
  <c r="AM18" i="20" s="1"/>
  <c r="AJ33" i="20"/>
  <c r="AM33" i="20" s="1"/>
  <c r="A32" i="20"/>
  <c r="A35" i="20" s="1"/>
  <c r="A37" i="20" s="1"/>
  <c r="A33" i="20"/>
  <c r="A36" i="20" s="1"/>
  <c r="A38" i="20" s="1"/>
  <c r="A39" i="20" s="1"/>
  <c r="A40" i="20" s="1"/>
  <c r="A41" i="20" s="1"/>
  <c r="A42" i="20" s="1"/>
  <c r="A43" i="20" s="1"/>
  <c r="A44" i="20" s="1"/>
  <c r="AL46" i="20"/>
  <c r="AS14" i="20"/>
  <c r="AJ40" i="20"/>
  <c r="AM40" i="20" s="1"/>
  <c r="AJ17" i="20"/>
  <c r="AM17" i="20" s="1"/>
  <c r="AH22" i="20"/>
  <c r="AJ22" i="20" s="1"/>
  <c r="AM22" i="20" s="1"/>
  <c r="AH24" i="20"/>
  <c r="AJ24" i="20" s="1"/>
  <c r="AM24" i="20" s="1"/>
  <c r="AJ26" i="20"/>
  <c r="AM26" i="20" s="1"/>
  <c r="AJ38" i="20"/>
  <c r="AM38" i="20" s="1"/>
  <c r="AN53" i="20"/>
  <c r="AJ31" i="20"/>
  <c r="AM31" i="20" s="1"/>
  <c r="AJ9" i="20"/>
  <c r="AM9" i="20" s="1"/>
  <c r="AH20" i="20"/>
  <c r="AJ20" i="20" s="1"/>
  <c r="AM20" i="20" s="1"/>
  <c r="AG46" i="20"/>
  <c r="E46" i="20"/>
  <c r="AH7" i="20"/>
  <c r="AJ7" i="20" s="1"/>
  <c r="AM7" i="20" s="1"/>
  <c r="AI46" i="20"/>
  <c r="AJ13" i="20"/>
  <c r="AM13" i="20" s="1"/>
  <c r="AH30" i="20"/>
  <c r="AJ30" i="20" s="1"/>
  <c r="AM30" i="20" s="1"/>
  <c r="AJ3" i="20"/>
  <c r="AK3" i="20" s="1"/>
  <c r="L29" i="19"/>
  <c r="M29" i="19"/>
  <c r="N27" i="19"/>
  <c r="M27" i="19"/>
  <c r="L27" i="19"/>
  <c r="M25" i="19"/>
  <c r="L25" i="19"/>
  <c r="I25" i="19"/>
  <c r="M23" i="19"/>
  <c r="L23" i="19"/>
  <c r="K23" i="19"/>
  <c r="K45" i="19" s="1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 s="1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BE4" i="21" l="1"/>
  <c r="BI4" i="21"/>
  <c r="BJ4" i="21" s="1"/>
  <c r="BE22" i="21"/>
  <c r="BI22" i="21"/>
  <c r="BJ22" i="21" s="1"/>
  <c r="BE16" i="21"/>
  <c r="BI16" i="21"/>
  <c r="BJ16" i="21" s="1"/>
  <c r="BE28" i="21"/>
  <c r="BI28" i="21"/>
  <c r="BJ28" i="21" s="1"/>
  <c r="BE18" i="21"/>
  <c r="BI18" i="21"/>
  <c r="BJ18" i="21" s="1"/>
  <c r="BE44" i="21"/>
  <c r="BI44" i="21"/>
  <c r="BJ44" i="21" s="1"/>
  <c r="BE32" i="21"/>
  <c r="BI32" i="21"/>
  <c r="BJ32" i="21" s="1"/>
  <c r="BE14" i="21"/>
  <c r="BI14" i="21"/>
  <c r="BJ14" i="21" s="1"/>
  <c r="BE26" i="21"/>
  <c r="BI26" i="21"/>
  <c r="BJ26" i="21" s="1"/>
  <c r="BE13" i="21"/>
  <c r="BI13" i="21"/>
  <c r="BJ13" i="21" s="1"/>
  <c r="BE38" i="21"/>
  <c r="BI38" i="21"/>
  <c r="BJ38" i="21" s="1"/>
  <c r="BE6" i="21"/>
  <c r="BI6" i="21"/>
  <c r="BJ6" i="21" s="1"/>
  <c r="BE25" i="21"/>
  <c r="BI25" i="21"/>
  <c r="BJ25" i="21" s="1"/>
  <c r="BE43" i="21"/>
  <c r="BI43" i="21"/>
  <c r="BJ43" i="21" s="1"/>
  <c r="BE42" i="21"/>
  <c r="BI42" i="21"/>
  <c r="BJ42" i="21" s="1"/>
  <c r="BE7" i="21"/>
  <c r="BI7" i="21"/>
  <c r="BJ7" i="21" s="1"/>
  <c r="BJ3" i="21"/>
  <c r="BE3" i="21"/>
  <c r="BD48" i="21"/>
  <c r="BE48" i="21" s="1"/>
  <c r="L45" i="19"/>
  <c r="M45" i="19"/>
  <c r="N45" i="19"/>
  <c r="AM3" i="20"/>
  <c r="I45" i="19"/>
  <c r="J45" i="19"/>
  <c r="AA33" i="19"/>
  <c r="AD33" i="19" s="1"/>
  <c r="AQ45" i="19"/>
  <c r="AG45" i="19"/>
  <c r="AF45" i="19"/>
  <c r="AE51" i="19" s="1"/>
  <c r="AE45" i="19"/>
  <c r="AE50" i="19" s="1"/>
  <c r="W45" i="19"/>
  <c r="D45" i="19"/>
  <c r="Y43" i="19"/>
  <c r="X43" i="19"/>
  <c r="AA43" i="19" s="1"/>
  <c r="AD43" i="19" s="1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 s="1"/>
  <c r="A6" i="19" s="1"/>
  <c r="A7" i="19" s="1"/>
  <c r="A8" i="19" s="1"/>
  <c r="A9" i="19" s="1"/>
  <c r="Y3" i="19"/>
  <c r="X3" i="19"/>
  <c r="BI48" i="21" l="1"/>
  <c r="BJ48" i="21" s="1"/>
  <c r="AE49" i="19"/>
  <c r="AE52" i="19" s="1"/>
  <c r="AG51" i="19"/>
  <c r="AA32" i="19"/>
  <c r="AD32" i="19" s="1"/>
  <c r="AA6" i="19"/>
  <c r="AD6" i="19" s="1"/>
  <c r="AA42" i="19"/>
  <c r="AD42" i="19" s="1"/>
  <c r="AA34" i="19"/>
  <c r="AD34" i="19" s="1"/>
  <c r="AA41" i="19"/>
  <c r="AD41" i="19" s="1"/>
  <c r="AA4" i="19"/>
  <c r="AD4" i="19" s="1"/>
  <c r="AA36" i="19"/>
  <c r="AD36" i="19" s="1"/>
  <c r="AA20" i="19"/>
  <c r="AD20" i="19" s="1"/>
  <c r="AA5" i="19"/>
  <c r="AD5" i="19" s="1"/>
  <c r="AA26" i="19"/>
  <c r="AD26" i="19" s="1"/>
  <c r="AA3" i="19"/>
  <c r="AB3" i="19" s="1"/>
  <c r="Z45" i="19"/>
  <c r="AA8" i="19"/>
  <c r="AD8" i="19" s="1"/>
  <c r="AA14" i="19"/>
  <c r="AD14" i="19" s="1"/>
  <c r="AA37" i="19"/>
  <c r="AD37" i="19" s="1"/>
  <c r="AA35" i="19"/>
  <c r="AD35" i="19" s="1"/>
  <c r="AA31" i="19"/>
  <c r="AD31" i="19" s="1"/>
  <c r="AA24" i="19"/>
  <c r="AD24" i="19" s="1"/>
  <c r="AA27" i="19"/>
  <c r="AD27" i="19" s="1"/>
  <c r="AA39" i="19"/>
  <c r="AD39" i="19" s="1"/>
  <c r="AA17" i="19"/>
  <c r="AD17" i="19" s="1"/>
  <c r="AA28" i="19"/>
  <c r="AD28" i="19" s="1"/>
  <c r="AA40" i="19"/>
  <c r="AD40" i="19" s="1"/>
  <c r="AA12" i="19"/>
  <c r="AD12" i="19" s="1"/>
  <c r="AA13" i="19"/>
  <c r="AD13" i="19" s="1"/>
  <c r="AA19" i="19"/>
  <c r="AD19" i="19" s="1"/>
  <c r="AA22" i="19"/>
  <c r="AD22" i="19" s="1"/>
  <c r="AA18" i="19"/>
  <c r="AD18" i="19" s="1"/>
  <c r="AA25" i="19"/>
  <c r="AD25" i="19" s="1"/>
  <c r="X45" i="19"/>
  <c r="AA23" i="19"/>
  <c r="AD23" i="19" s="1"/>
  <c r="AC45" i="19"/>
  <c r="AA21" i="19"/>
  <c r="AD21" i="19" s="1"/>
  <c r="AA30" i="19"/>
  <c r="AD30" i="19" s="1"/>
  <c r="AA7" i="19"/>
  <c r="AD7" i="19" s="1"/>
  <c r="AA38" i="19"/>
  <c r="AD38" i="19" s="1"/>
  <c r="Y15" i="19"/>
  <c r="AA15" i="19" s="1"/>
  <c r="AD15" i="19" s="1"/>
  <c r="AA29" i="19"/>
  <c r="AD29" i="19" s="1"/>
  <c r="Y16" i="19"/>
  <c r="AA16" i="19" s="1"/>
  <c r="AD16" i="19" s="1"/>
  <c r="AA11" i="19"/>
  <c r="AD11" i="19" s="1"/>
  <c r="F45" i="19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D3" i="19"/>
  <c r="AD45" i="19" s="1"/>
  <c r="Y45" i="19"/>
  <c r="AA45" i="19"/>
  <c r="A26" i="19" l="1"/>
  <c r="A27" i="19" s="1"/>
  <c r="A28" i="19" s="1"/>
  <c r="A29" i="19" s="1"/>
  <c r="A30" i="19" s="1"/>
  <c r="AA48" i="19"/>
  <c r="AR45" i="19"/>
  <c r="AA52" i="19" l="1"/>
  <c r="A32" i="19"/>
  <c r="A35" i="19" s="1"/>
  <c r="A37" i="19" s="1"/>
  <c r="A38" i="19" s="1"/>
  <c r="A39" i="19" s="1"/>
  <c r="A40" i="19" s="1"/>
  <c r="A41" i="19" s="1"/>
  <c r="A42" i="19" s="1"/>
  <c r="A43" i="19" s="1"/>
  <c r="A31" i="19"/>
  <c r="A34" i="19" s="1"/>
  <c r="A36" i="19" s="1"/>
  <c r="AH4" i="20" l="1"/>
  <c r="AJ4" i="20" s="1"/>
  <c r="AJ46" i="20" l="1"/>
  <c r="AM4" i="20"/>
  <c r="AM46" i="20" s="1"/>
  <c r="AH46" i="20"/>
  <c r="BE46" i="20" l="1"/>
  <c r="AJ49" i="20"/>
  <c r="AJ5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tc={C87EF883-30C4-405A-828F-FD6A4F9A477E}</author>
  </authors>
  <commentList>
    <comment ref="AF48" authorId="0" shapeId="0" xr:uid="{C87EF883-30C4-405A-828F-FD6A4F9A4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sharedStrings.xml><?xml version="1.0" encoding="utf-8"?>
<sst xmlns="http://schemas.openxmlformats.org/spreadsheetml/2006/main" count="303" uniqueCount="121">
  <si>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</si>
  <si>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</si>
  <si>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</si>
  <si>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</si>
  <si>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</si>
  <si>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</si>
  <si>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</si>
  <si>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</si>
  <si>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</si>
  <si>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</si>
  <si>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</si>
  <si>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</si>
  <si>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</si>
  <si>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</si>
  <si>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</si>
  <si>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</si>
  <si>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</si>
  <si>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</si>
  <si>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</si>
  <si>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</si>
  <si>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</si>
  <si>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</si>
  <si>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</si>
  <si>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</si>
  <si>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</si>
  <si>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</si>
  <si>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</si>
  <si>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</si>
  <si>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</si>
  <si>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</si>
  <si>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</si>
  <si>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</si>
  <si>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</si>
  <si>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</si>
  <si>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</si>
  <si>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</si>
  <si>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</si>
  <si>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</si>
  <si>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</si>
  <si>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</si>
  <si>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</si>
  <si>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</si>
  <si>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</si>
  <si>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</si>
  <si>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</si>
  <si>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</si>
  <si>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</si>
  <si>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</si>
  <si>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</si>
  <si>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</si>
  <si>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</si>
  <si>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</si>
  <si>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</si>
  <si>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</si>
  <si>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</si>
  <si>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</si>
  <si>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</si>
  <si>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</si>
  <si>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</si>
  <si>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</si>
  <si>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</si>
  <si>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</si>
  <si>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</si>
  <si>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</si>
  <si>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</si>
  <si>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</si>
  <si>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</si>
  <si>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</si>
  <si>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</si>
  <si>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</si>
  <si>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</si>
  <si>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</si>
  <si>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</si>
  <si>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</si>
  <si>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</si>
  <si>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</si>
  <si>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</si>
  <si>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</si>
  <si>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</si>
  <si>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</si>
  <si>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</si>
  <si>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</si>
  <si>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</si>
  <si>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</si>
  <si>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</si>
  <si>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</si>
  <si>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</si>
  <si>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</si>
  <si>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</si>
  <si>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</si>
  <si>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</si>
  <si>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</si>
  <si>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</si>
  <si>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 MARZO 2026</t>
  </si>
  <si>
    <t>STOCK AL DIA FEBRERO 2026</t>
  </si>
  <si>
    <t>POTA FILETE C/M C/T FR 2-4 AA BL10 S20</t>
  </si>
  <si>
    <t xml:space="preserve"> STOCK   MARZO 2026</t>
  </si>
  <si>
    <t xml:space="preserve"> STOCK   FEBRERO 2026</t>
  </si>
  <si>
    <t>TUBO ALETA 1.0-1.5</t>
  </si>
  <si>
    <t>TUBO ALETA 0.5-1.0</t>
  </si>
  <si>
    <t>ENERO</t>
  </si>
  <si>
    <t>FEBRERO</t>
  </si>
  <si>
    <t>MARZO</t>
  </si>
  <si>
    <t>PRODUCCION 2026</t>
  </si>
  <si>
    <t>Tn</t>
  </si>
  <si>
    <t>MATCH</t>
  </si>
  <si>
    <t>CÓDIGO</t>
  </si>
  <si>
    <t>Costo Ventas</t>
  </si>
  <si>
    <t>Gasto Ventas</t>
  </si>
  <si>
    <t>Gasto ADM</t>
  </si>
  <si>
    <t>Gasto Fin</t>
  </si>
  <si>
    <t>Depreciación</t>
  </si>
  <si>
    <t>Margen Neto</t>
  </si>
  <si>
    <t>TOTAL</t>
  </si>
  <si>
    <t>CPU</t>
  </si>
  <si>
    <t>Utilidad Neta</t>
  </si>
  <si>
    <t>Venta Equilibrio</t>
  </si>
  <si>
    <t>Venta Abril</t>
  </si>
  <si>
    <t>Precio Equilibrio x TM</t>
  </si>
  <si>
    <t>Precio Abril x TM</t>
  </si>
  <si>
    <t>TM 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</si>
</sst>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b/>
      <sz val="11"/>
      <color theme="0"/>
      <name val="Cambria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Cambria"/>
      <family val="1"/>
    </font>
    <font>
      <b/>
      <sz val="11"/>
      <name val="Cambria"/>
      <family val="1"/>
    </font>
    <font>
      <sz val="11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3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3" fontId="6" fillId="5" borderId="0" xfId="0" applyNumberFormat="1" applyFont="1" applyFill="1"/>
    <xf numFmtId="164" fontId="6" fillId="5" borderId="0" xfId="0" applyNumberFormat="1" applyFont="1" applyFill="1"/>
    <xf numFmtId="164" fontId="5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3" fontId="1" fillId="12" borderId="1" xfId="0" applyNumberFormat="1" applyFont="1" applyFill="1" applyBorder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Fill="1"/>
    <xf numFmtId="3" fontId="1" fillId="14" borderId="5" xfId="0" applyNumberFormat="1" applyFont="1" applyFill="1" applyBorder="1" applyAlignment="1">
      <alignment horizontal="center"/>
    </xf>
    <xf numFmtId="165" fontId="1" fillId="0" borderId="0" xfId="1" applyNumberFormat="1" applyFont="1" applyBorder="1"/>
    <xf numFmtId="165" fontId="1" fillId="0" borderId="0" xfId="0" applyNumberFormat="1" applyFont="1" applyBorder="1"/>
    <xf numFmtId="9" fontId="1" fillId="0" borderId="0" xfId="0" applyNumberFormat="1" applyFont="1" applyBorder="1"/>
    <xf numFmtId="165" fontId="1" fillId="0" borderId="0" xfId="1" applyNumberFormat="1" applyFont="1" applyFill="1" applyBorder="1"/>
    <xf numFmtId="165" fontId="11" fillId="12" borderId="0" xfId="0" applyNumberFormat="1" applyFont="1" applyFill="1" applyBorder="1"/>
    <xf numFmtId="9" fontId="11" fillId="12" borderId="6" xfId="2" applyFont="1" applyFill="1" applyBorder="1" applyAlignment="1">
      <alignment horizontal="center"/>
    </xf>
    <xf numFmtId="165" fontId="1" fillId="5" borderId="0" xfId="1" applyNumberFormat="1" applyFont="1" applyFill="1" applyBorder="1"/>
    <xf numFmtId="165" fontId="3" fillId="0" borderId="0" xfId="1" applyNumberFormat="1" applyFont="1" applyBorder="1"/>
    <xf numFmtId="0" fontId="1" fillId="14" borderId="5" xfId="0" applyFont="1" applyFill="1" applyBorder="1" applyAlignment="1">
      <alignment horizontal="center"/>
    </xf>
    <xf numFmtId="0" fontId="1" fillId="0" borderId="0" xfId="0" applyFont="1" applyBorder="1"/>
    <xf numFmtId="165" fontId="1" fillId="0" borderId="0" xfId="0" applyNumberFormat="1" applyFont="1" applyFill="1" applyBorder="1"/>
    <xf numFmtId="165" fontId="1" fillId="4" borderId="7" xfId="0" applyNumberFormat="1" applyFont="1" applyFill="1" applyBorder="1"/>
    <xf numFmtId="165" fontId="1" fillId="4" borderId="7" xfId="1" applyNumberFormat="1" applyFont="1" applyFill="1" applyBorder="1"/>
    <xf numFmtId="165" fontId="11" fillId="12" borderId="7" xfId="1" applyNumberFormat="1" applyFont="1" applyFill="1" applyBorder="1"/>
    <xf numFmtId="165" fontId="11" fillId="12" borderId="7" xfId="0" applyNumberFormat="1" applyFont="1" applyFill="1" applyBorder="1"/>
    <xf numFmtId="3" fontId="3" fillId="14" borderId="8" xfId="0" applyNumberFormat="1" applyFont="1" applyFill="1" applyBorder="1" applyAlignment="1">
      <alignment horizontal="center"/>
    </xf>
    <xf numFmtId="165" fontId="3" fillId="0" borderId="9" xfId="1" applyNumberFormat="1" applyFont="1" applyBorder="1"/>
    <xf numFmtId="9" fontId="3" fillId="0" borderId="9" xfId="2" applyFont="1" applyBorder="1"/>
    <xf numFmtId="165" fontId="3" fillId="4" borderId="4" xfId="1" applyNumberFormat="1" applyFont="1" applyFill="1" applyBorder="1"/>
    <xf numFmtId="165" fontId="1" fillId="0" borderId="9" xfId="1" applyNumberFormat="1" applyFont="1" applyFill="1" applyBorder="1"/>
    <xf numFmtId="165" fontId="3" fillId="12" borderId="4" xfId="1" applyNumberFormat="1" applyFont="1" applyFill="1" applyBorder="1"/>
    <xf numFmtId="165" fontId="3" fillId="12" borderId="9" xfId="1" applyNumberFormat="1" applyFont="1" applyFill="1" applyBorder="1"/>
    <xf numFmtId="9" fontId="10" fillId="12" borderId="10" xfId="2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9" fontId="10" fillId="12" borderId="10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6</xdr:row>
      <xdr:rowOff>0</xdr:rowOff>
    </xdr:from>
    <xdr:to>
      <xdr:col>43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</xdr:row>
      <xdr:rowOff>0</xdr:rowOff>
    </xdr:from>
    <xdr:to>
      <xdr:col>43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ydukcorporacion-my.sharepoint.com/personal/katherines_perufrost_com/Documents/PERUFROST/Finanzas/Flujo%20de%20Caja/Flujo%20Semanal/Rentabilidad%20por%20FP%202026.xlsx" TargetMode="External"/><Relationship Id="rId1" Type="http://schemas.openxmlformats.org/officeDocument/2006/relationships/externalLinkPath" Target="https://haydukcorporacion-my.sharepoint.com/personal/katherines_perufrost_com/Documents/PERUFROST/Finanzas/Flujo%20de%20Caja/Flujo%20Semanal/Rentabilidad%20por%20FP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Resumen"/>
      <sheetName val="Detalle Costos"/>
    </sheetNames>
    <sheetDataSet>
      <sheetData sheetId="0"/>
      <sheetData sheetId="1"/>
      <sheetData sheetId="2">
        <row r="5">
          <cell r="C5" t="str">
            <v>ENERO10009178Inventario inicial</v>
          </cell>
          <cell r="L5">
            <v>1.84</v>
          </cell>
        </row>
        <row r="6">
          <cell r="C6" t="str">
            <v>ENERO10009178Revalorización</v>
          </cell>
          <cell r="L6">
            <v>0</v>
          </cell>
        </row>
        <row r="7">
          <cell r="C7" t="str">
            <v>ENERO10009178Entradas</v>
          </cell>
          <cell r="L7">
            <v>1.72</v>
          </cell>
        </row>
        <row r="8">
          <cell r="C8" t="str">
            <v>ENERO10009178Inventario acumulado</v>
          </cell>
          <cell r="L8">
            <v>1.8</v>
          </cell>
        </row>
        <row r="9">
          <cell r="C9" t="str">
            <v>ENERO10009178Inventario final</v>
          </cell>
          <cell r="L9">
            <v>1.8</v>
          </cell>
        </row>
        <row r="10">
          <cell r="C10" t="str">
            <v>FEBRERO10009178Inventario inicial</v>
          </cell>
          <cell r="L10">
            <v>1.8</v>
          </cell>
        </row>
        <row r="11">
          <cell r="C11" t="str">
            <v>FEBRERO10009178Revalorización</v>
          </cell>
          <cell r="L11">
            <v>0</v>
          </cell>
        </row>
        <row r="12">
          <cell r="C12" t="str">
            <v>FEBRERO10009178Entradas</v>
          </cell>
          <cell r="L12">
            <v>1.57</v>
          </cell>
        </row>
        <row r="13">
          <cell r="C13" t="str">
            <v>FEBRERO10009178Inventario acumulado</v>
          </cell>
          <cell r="L13">
            <v>1.73</v>
          </cell>
        </row>
        <row r="14">
          <cell r="C14" t="str">
            <v>FEBRERO10009178Inventario final</v>
          </cell>
          <cell r="L14">
            <v>1.73</v>
          </cell>
        </row>
        <row r="15">
          <cell r="C15" t="str">
            <v>ENERO10006720Inventario inicial</v>
          </cell>
          <cell r="L15">
            <v>1.76</v>
          </cell>
        </row>
        <row r="16">
          <cell r="C16" t="str">
            <v>ENERO10006720Revalorización</v>
          </cell>
          <cell r="L16">
            <v>0</v>
          </cell>
        </row>
        <row r="17">
          <cell r="C17" t="str">
            <v>ENERO10006720Entradas</v>
          </cell>
          <cell r="L17">
            <v>1.71</v>
          </cell>
        </row>
        <row r="18">
          <cell r="C18" t="str">
            <v>ENERO10006720Inv. acumulado</v>
          </cell>
          <cell r="L18">
            <v>1.72</v>
          </cell>
        </row>
        <row r="19">
          <cell r="C19" t="str">
            <v>ENERO10006720Compensación</v>
          </cell>
          <cell r="L19">
            <v>1.72</v>
          </cell>
        </row>
        <row r="20">
          <cell r="C20" t="str">
            <v>ENERO10006720Inventario final</v>
          </cell>
          <cell r="L20">
            <v>1.72</v>
          </cell>
        </row>
        <row r="21">
          <cell r="C21" t="str">
            <v>FEBRERO10006720Inventario inicial</v>
          </cell>
          <cell r="L21">
            <v>1.72</v>
          </cell>
        </row>
        <row r="22">
          <cell r="C22" t="str">
            <v>FEBRERO10006720Revalorización</v>
          </cell>
          <cell r="L22">
            <v>0</v>
          </cell>
        </row>
        <row r="23">
          <cell r="C23" t="str">
            <v>FEBRERO10006720Entradas</v>
          </cell>
          <cell r="L23">
            <v>1.6</v>
          </cell>
        </row>
        <row r="24">
          <cell r="C24" t="str">
            <v>FEBRERO10006720Inventario acumulado</v>
          </cell>
          <cell r="L24">
            <v>1.64</v>
          </cell>
        </row>
        <row r="25">
          <cell r="C25" t="str">
            <v>FEBRERO10006720Compensación</v>
          </cell>
          <cell r="L25">
            <v>1.64</v>
          </cell>
        </row>
        <row r="26">
          <cell r="C26" t="str">
            <v>FEBRERO10006720Inventario final</v>
          </cell>
          <cell r="L26">
            <v>1.64</v>
          </cell>
        </row>
        <row r="27">
          <cell r="C27" t="str">
            <v>ENERO10006722Inventario inicial</v>
          </cell>
          <cell r="L27">
            <v>1.87</v>
          </cell>
        </row>
        <row r="28">
          <cell r="C28" t="str">
            <v>ENERO10006722Revalorización</v>
          </cell>
          <cell r="L28">
            <v>0</v>
          </cell>
        </row>
        <row r="29">
          <cell r="C29" t="str">
            <v>ENERO10006722Inv. acumulado</v>
          </cell>
          <cell r="L29">
            <v>1.87</v>
          </cell>
        </row>
        <row r="30">
          <cell r="C30" t="str">
            <v>ENERO10006722Inventario final</v>
          </cell>
          <cell r="L30">
            <v>1.87</v>
          </cell>
        </row>
        <row r="31">
          <cell r="C31" t="str">
            <v>FEBRERO10006722Inventario inicial</v>
          </cell>
          <cell r="L31">
            <v>1.87</v>
          </cell>
        </row>
        <row r="32">
          <cell r="C32" t="str">
            <v>FEBRERO10006722Revalorización</v>
          </cell>
          <cell r="L32">
            <v>0</v>
          </cell>
        </row>
        <row r="33">
          <cell r="C33" t="str">
            <v>FEBRERO10006722Inventario acumulado</v>
          </cell>
          <cell r="L33">
            <v>1.87</v>
          </cell>
        </row>
        <row r="34">
          <cell r="C34" t="str">
            <v>FEBRERO10006722Inventario final</v>
          </cell>
          <cell r="L34">
            <v>1.87</v>
          </cell>
        </row>
        <row r="35">
          <cell r="C35" t="str">
            <v>ENERO10007969Inventario inicial</v>
          </cell>
          <cell r="L35">
            <v>1.91</v>
          </cell>
        </row>
        <row r="36">
          <cell r="C36" t="str">
            <v>ENERO10007969Revalorización</v>
          </cell>
          <cell r="L36">
            <v>0</v>
          </cell>
        </row>
        <row r="37">
          <cell r="C37" t="str">
            <v>ENERO10007969Entradas</v>
          </cell>
          <cell r="L37">
            <v>1.37</v>
          </cell>
        </row>
        <row r="38">
          <cell r="C38" t="str">
            <v>ENERO10007969Inv. acumulado</v>
          </cell>
          <cell r="L38">
            <v>1.64</v>
          </cell>
        </row>
        <row r="39">
          <cell r="C39" t="str">
            <v>ENERO10007969Compensación</v>
          </cell>
          <cell r="L39">
            <v>1.64</v>
          </cell>
        </row>
        <row r="40">
          <cell r="C40" t="str">
            <v>ENERO10007969Inventario final</v>
          </cell>
          <cell r="L40">
            <v>1.64</v>
          </cell>
        </row>
        <row r="41">
          <cell r="C41" t="str">
            <v>FEBRERO10007969Inventario inicial</v>
          </cell>
          <cell r="L41">
            <v>1.64</v>
          </cell>
        </row>
        <row r="42">
          <cell r="C42" t="str">
            <v>FEBRERO10007969Revalorización</v>
          </cell>
          <cell r="L42">
            <v>0</v>
          </cell>
        </row>
        <row r="43">
          <cell r="C43" t="str">
            <v>FEBRERO10007969Entradas</v>
          </cell>
          <cell r="L43">
            <v>1.21</v>
          </cell>
        </row>
        <row r="44">
          <cell r="C44" t="str">
            <v>FEBRERO10007969Inventario acumulado</v>
          </cell>
          <cell r="L44">
            <v>1.4</v>
          </cell>
        </row>
        <row r="45">
          <cell r="C45" t="str">
            <v>FEBRERO10007969Compensación</v>
          </cell>
          <cell r="L45">
            <v>1.4</v>
          </cell>
        </row>
        <row r="46">
          <cell r="C46" t="str">
            <v>FEBRERO10007969Inventario final</v>
          </cell>
          <cell r="L46">
            <v>1.4</v>
          </cell>
        </row>
        <row r="47">
          <cell r="C47" t="str">
            <v>ENERO10005721Inventario inicial</v>
          </cell>
          <cell r="L47">
            <v>1.8</v>
          </cell>
        </row>
        <row r="48">
          <cell r="C48" t="str">
            <v>ENERO10005721Revalorización</v>
          </cell>
          <cell r="L48">
            <v>0</v>
          </cell>
        </row>
        <row r="49">
          <cell r="C49" t="str">
            <v>ENERO10005721Entradas</v>
          </cell>
          <cell r="L49">
            <v>1.88</v>
          </cell>
        </row>
        <row r="50">
          <cell r="C50" t="str">
            <v>ENERO10005721Inv. acumulado</v>
          </cell>
          <cell r="L50">
            <v>1.86</v>
          </cell>
        </row>
        <row r="51">
          <cell r="C51" t="str">
            <v>ENERO10005721Compensación</v>
          </cell>
          <cell r="L51">
            <v>1.86</v>
          </cell>
        </row>
        <row r="52">
          <cell r="C52" t="str">
            <v>ENERO10005721Inventario final</v>
          </cell>
          <cell r="L52">
            <v>1.86</v>
          </cell>
        </row>
        <row r="53">
          <cell r="C53" t="str">
            <v>FEBRERO10005721Inventario inicial</v>
          </cell>
          <cell r="L53">
            <v>1.86</v>
          </cell>
        </row>
        <row r="54">
          <cell r="C54" t="str">
            <v>FEBRERO10005721Revalorización</v>
          </cell>
          <cell r="L54">
            <v>0</v>
          </cell>
        </row>
        <row r="55">
          <cell r="C55" t="str">
            <v>FEBRERO10005721Entradas</v>
          </cell>
          <cell r="L55">
            <v>1.67</v>
          </cell>
        </row>
        <row r="56">
          <cell r="C56" t="str">
            <v>FEBRERO10005721Inventario acumulado</v>
          </cell>
          <cell r="L56">
            <v>1.74</v>
          </cell>
        </row>
        <row r="57">
          <cell r="C57" t="str">
            <v>FEBRERO10005721Compensación</v>
          </cell>
          <cell r="L57">
            <v>1.74</v>
          </cell>
        </row>
        <row r="58">
          <cell r="C58" t="str">
            <v>FEBRERO10005721Inventario final</v>
          </cell>
          <cell r="L58">
            <v>1.74</v>
          </cell>
        </row>
        <row r="59">
          <cell r="C59" t="str">
            <v>ENERO10005779Inventario inicial</v>
          </cell>
          <cell r="L59">
            <v>1.98</v>
          </cell>
        </row>
        <row r="60">
          <cell r="C60" t="str">
            <v>ENERO10005779Revalorización</v>
          </cell>
          <cell r="L60">
            <v>0</v>
          </cell>
        </row>
        <row r="61">
          <cell r="C61" t="str">
            <v>ENERO10005779Entradas</v>
          </cell>
          <cell r="L61">
            <v>1.88</v>
          </cell>
        </row>
        <row r="62">
          <cell r="C62" t="str">
            <v>ENERO10005779Inv. acumulado</v>
          </cell>
          <cell r="L62">
            <v>1.93</v>
          </cell>
        </row>
        <row r="63">
          <cell r="C63" t="str">
            <v>ENERO10005779Compensación</v>
          </cell>
          <cell r="L63">
            <v>1.93</v>
          </cell>
        </row>
        <row r="64">
          <cell r="C64" t="str">
            <v>ENERO10005779Inventario final</v>
          </cell>
          <cell r="L64">
            <v>1.93</v>
          </cell>
        </row>
        <row r="65">
          <cell r="C65" t="str">
            <v>FEBRERO10005779Inventario inicial</v>
          </cell>
          <cell r="L65">
            <v>1.93</v>
          </cell>
        </row>
        <row r="66">
          <cell r="C66" t="str">
            <v>FEBRERO10005779Revalorización</v>
          </cell>
          <cell r="L66">
            <v>0</v>
          </cell>
        </row>
        <row r="67">
          <cell r="C67" t="str">
            <v>FEBRERO10005779Entradas</v>
          </cell>
          <cell r="L67">
            <v>1.77</v>
          </cell>
        </row>
        <row r="68">
          <cell r="C68" t="str">
            <v>FEBRERO10005779Inventario acumulado</v>
          </cell>
          <cell r="L68">
            <v>1.86</v>
          </cell>
        </row>
        <row r="69">
          <cell r="C69" t="str">
            <v>FEBRERO10005779Compensación</v>
          </cell>
          <cell r="L69">
            <v>1.86</v>
          </cell>
        </row>
        <row r="70">
          <cell r="C70" t="str">
            <v>FEBRERO10005779Inventario final</v>
          </cell>
          <cell r="L70">
            <v>1.86</v>
          </cell>
        </row>
        <row r="71">
          <cell r="C71" t="str">
            <v>ENERO10005781Inventario inicial</v>
          </cell>
          <cell r="L71">
            <v>2.13</v>
          </cell>
        </row>
        <row r="72">
          <cell r="C72" t="str">
            <v>ENERO10005781Revalorización</v>
          </cell>
          <cell r="L72">
            <v>0</v>
          </cell>
        </row>
        <row r="73">
          <cell r="C73" t="str">
            <v>ENERO10005781Entradas</v>
          </cell>
          <cell r="L73">
            <v>1.89</v>
          </cell>
        </row>
        <row r="74">
          <cell r="C74" t="str">
            <v>ENERO10005781Inv. acumulado</v>
          </cell>
          <cell r="L74">
            <v>1.98</v>
          </cell>
        </row>
        <row r="75">
          <cell r="C75" t="str">
            <v>ENERO10005781Compensación</v>
          </cell>
          <cell r="L75">
            <v>1.98</v>
          </cell>
        </row>
        <row r="76">
          <cell r="C76" t="str">
            <v>ENERO10005781Inventario final</v>
          </cell>
          <cell r="L76">
            <v>1.98</v>
          </cell>
        </row>
        <row r="77">
          <cell r="C77" t="str">
            <v>FEBRERO10005781Inventario inicial</v>
          </cell>
          <cell r="L77">
            <v>1.98</v>
          </cell>
        </row>
        <row r="78">
          <cell r="C78" t="str">
            <v>FEBRERO10005781Revalorización</v>
          </cell>
          <cell r="L78">
            <v>0</v>
          </cell>
        </row>
        <row r="79">
          <cell r="C79" t="str">
            <v>FEBRERO10005781Entradas</v>
          </cell>
          <cell r="L79">
            <v>1.77</v>
          </cell>
        </row>
        <row r="80">
          <cell r="C80" t="str">
            <v>FEBRERO10005781Inventario acumulado</v>
          </cell>
          <cell r="L80">
            <v>1.86</v>
          </cell>
        </row>
        <row r="81">
          <cell r="C81" t="str">
            <v>FEBRERO10005781Inventario final</v>
          </cell>
          <cell r="L81">
            <v>1.86</v>
          </cell>
        </row>
        <row r="82">
          <cell r="C82" t="str">
            <v>ENERO10007567Inventario inicial</v>
          </cell>
          <cell r="L82">
            <v>1.91</v>
          </cell>
        </row>
        <row r="83">
          <cell r="C83" t="str">
            <v>ENERO10007567Revalorización</v>
          </cell>
          <cell r="L83">
            <v>0</v>
          </cell>
        </row>
        <row r="84">
          <cell r="C84" t="str">
            <v>ENERO10007567Entradas</v>
          </cell>
          <cell r="L84">
            <v>1.78</v>
          </cell>
        </row>
        <row r="85">
          <cell r="C85" t="str">
            <v>ENERO10007567Inv. acumulado</v>
          </cell>
          <cell r="L85">
            <v>1.83</v>
          </cell>
        </row>
        <row r="86">
          <cell r="C86" t="str">
            <v>ENERO10007567Compensación</v>
          </cell>
          <cell r="L86">
            <v>1.83</v>
          </cell>
        </row>
        <row r="87">
          <cell r="C87" t="str">
            <v>ENERO10007567Inventario final</v>
          </cell>
          <cell r="L87">
            <v>1.83</v>
          </cell>
        </row>
        <row r="88">
          <cell r="C88" t="str">
            <v>FEBRERO10007567Inventario inicial</v>
          </cell>
          <cell r="L88">
            <v>1.83</v>
          </cell>
        </row>
        <row r="89">
          <cell r="C89" t="str">
            <v>FEBRERO10007567Revalorización</v>
          </cell>
          <cell r="L89">
            <v>0</v>
          </cell>
        </row>
        <row r="90">
          <cell r="C90" t="str">
            <v>FEBRERO10007567Entradas</v>
          </cell>
          <cell r="L90">
            <v>1.65</v>
          </cell>
        </row>
        <row r="91">
          <cell r="C91" t="str">
            <v>FEBRERO10007567Inventario acumulado</v>
          </cell>
          <cell r="L91">
            <v>1.7</v>
          </cell>
        </row>
        <row r="92">
          <cell r="C92" t="str">
            <v>FEBRERO10007567Inventario final</v>
          </cell>
          <cell r="L92">
            <v>1.7</v>
          </cell>
        </row>
        <row r="93">
          <cell r="C93" t="str">
            <v>ENERO10007162Inventario inicial</v>
          </cell>
          <cell r="L93">
            <v>1.85</v>
          </cell>
        </row>
        <row r="94">
          <cell r="C94" t="str">
            <v>ENERO10007162Revalorización</v>
          </cell>
          <cell r="L94">
            <v>0</v>
          </cell>
        </row>
        <row r="95">
          <cell r="C95" t="str">
            <v>ENERO10007162Entradas</v>
          </cell>
          <cell r="L95">
            <v>1.78</v>
          </cell>
        </row>
        <row r="96">
          <cell r="C96" t="str">
            <v>ENERO10007162Inv. acumulado</v>
          </cell>
          <cell r="L96">
            <v>1.79</v>
          </cell>
        </row>
        <row r="97">
          <cell r="C97" t="str">
            <v>ENERO10007162Compensación</v>
          </cell>
          <cell r="L97">
            <v>1.79</v>
          </cell>
        </row>
        <row r="98">
          <cell r="C98" t="str">
            <v>ENERO10007162Inventario final</v>
          </cell>
          <cell r="L98">
            <v>1.79</v>
          </cell>
        </row>
        <row r="99">
          <cell r="C99" t="str">
            <v>FEBRERO10007162Inventario inicial</v>
          </cell>
          <cell r="L99">
            <v>1.79</v>
          </cell>
        </row>
        <row r="100">
          <cell r="C100" t="str">
            <v>FEBRERO10007162Revalorización</v>
          </cell>
          <cell r="L100">
            <v>0</v>
          </cell>
        </row>
        <row r="101">
          <cell r="C101" t="str">
            <v>FEBRERO10007162Entradas</v>
          </cell>
          <cell r="L101">
            <v>1.67</v>
          </cell>
        </row>
        <row r="102">
          <cell r="C102" t="str">
            <v>FEBRERO10007162Inventario acumulado</v>
          </cell>
          <cell r="L102">
            <v>1.72</v>
          </cell>
        </row>
        <row r="103">
          <cell r="C103" t="str">
            <v>FEBRERO10007162Compensación</v>
          </cell>
          <cell r="L103">
            <v>1.72</v>
          </cell>
        </row>
        <row r="104">
          <cell r="C104" t="str">
            <v>FEBRERO10007162Inventario final</v>
          </cell>
          <cell r="L104">
            <v>1.72</v>
          </cell>
        </row>
        <row r="105">
          <cell r="C105" t="str">
            <v>ENERO10009639Inventario inicial</v>
          </cell>
          <cell r="L105">
            <v>2.1</v>
          </cell>
        </row>
        <row r="106">
          <cell r="C106" t="str">
            <v>ENERO10009639Revalorización</v>
          </cell>
          <cell r="L106">
            <v>0</v>
          </cell>
        </row>
        <row r="107">
          <cell r="C107" t="str">
            <v>ENERO10009639Entradas</v>
          </cell>
          <cell r="L107">
            <v>1.84</v>
          </cell>
        </row>
        <row r="108">
          <cell r="C108" t="str">
            <v>ENERO10009639Inv. acumulado</v>
          </cell>
          <cell r="L108">
            <v>1.87</v>
          </cell>
        </row>
        <row r="109">
          <cell r="C109" t="str">
            <v>ENERO10009639Compensación</v>
          </cell>
          <cell r="L109">
            <v>1.87</v>
          </cell>
        </row>
        <row r="110">
          <cell r="C110" t="str">
            <v>ENERO10009639Inventario final</v>
          </cell>
          <cell r="L110">
            <v>1.87</v>
          </cell>
        </row>
        <row r="111">
          <cell r="C111" t="str">
            <v>FEBRERO10009639Inventario inicial</v>
          </cell>
          <cell r="L111">
            <v>1.87</v>
          </cell>
        </row>
        <row r="112">
          <cell r="C112" t="str">
            <v>FEBRERO10009639Revalorización</v>
          </cell>
          <cell r="L112">
            <v>0</v>
          </cell>
        </row>
        <row r="113">
          <cell r="C113" t="str">
            <v>FEBRERO10009639Entradas</v>
          </cell>
          <cell r="L113">
            <v>1.67</v>
          </cell>
        </row>
        <row r="114">
          <cell r="C114" t="str">
            <v>FEBRERO10009639Inventario acumulado</v>
          </cell>
          <cell r="L114">
            <v>1.75</v>
          </cell>
        </row>
        <row r="115">
          <cell r="C115" t="str">
            <v>FEBRERO10009639Compensación</v>
          </cell>
          <cell r="L115">
            <v>1.75</v>
          </cell>
        </row>
        <row r="116">
          <cell r="C116" t="str">
            <v>FEBRERO10009639Inventario final</v>
          </cell>
          <cell r="L116">
            <v>1.75</v>
          </cell>
        </row>
        <row r="117">
          <cell r="C117" t="str">
            <v>ENERO10009239Inventario inicial</v>
          </cell>
          <cell r="L117">
            <v>5.01</v>
          </cell>
        </row>
        <row r="118">
          <cell r="C118" t="str">
            <v>ENERO10009239Revalorización</v>
          </cell>
          <cell r="L118">
            <v>0</v>
          </cell>
        </row>
        <row r="119">
          <cell r="C119" t="str">
            <v>ENERO10009239Entradas</v>
          </cell>
          <cell r="L119">
            <v>2.2000000000000002</v>
          </cell>
        </row>
        <row r="120">
          <cell r="C120" t="str">
            <v>ENERO10009239Inv. acumulado</v>
          </cell>
          <cell r="L120">
            <v>2.21</v>
          </cell>
        </row>
        <row r="121">
          <cell r="C121" t="str">
            <v>ENERO10009239Inventario final</v>
          </cell>
          <cell r="L121">
            <v>2.21</v>
          </cell>
        </row>
        <row r="122">
          <cell r="C122" t="str">
            <v>FEBRERO10009239Inventario inicial</v>
          </cell>
          <cell r="L122">
            <v>2.21</v>
          </cell>
        </row>
        <row r="123">
          <cell r="C123" t="str">
            <v>FEBRERO10009239Revalorización</v>
          </cell>
          <cell r="L123">
            <v>0</v>
          </cell>
        </row>
        <row r="124">
          <cell r="C124" t="str">
            <v>FEBRERO10009239Entradas</v>
          </cell>
          <cell r="L124">
            <v>2.0699999999999998</v>
          </cell>
        </row>
        <row r="125">
          <cell r="C125" t="str">
            <v>FEBRERO10009239Inventario acumulado</v>
          </cell>
          <cell r="L125">
            <v>2.11</v>
          </cell>
        </row>
        <row r="126">
          <cell r="C126" t="str">
            <v>FEBRERO10009239Compensación</v>
          </cell>
          <cell r="L126">
            <v>2.11</v>
          </cell>
        </row>
        <row r="127">
          <cell r="C127" t="str">
            <v>FEBRERO10009239Inventario final</v>
          </cell>
          <cell r="L127">
            <v>2.11</v>
          </cell>
        </row>
        <row r="128">
          <cell r="C128" t="str">
            <v>ENERO10007050Inventario inicial</v>
          </cell>
          <cell r="L128">
            <v>0</v>
          </cell>
        </row>
        <row r="129">
          <cell r="C129" t="str">
            <v>ENERO10007050Revalorización</v>
          </cell>
          <cell r="L129">
            <v>0</v>
          </cell>
        </row>
        <row r="130">
          <cell r="C130" t="str">
            <v>ENERO10007050Entradas</v>
          </cell>
          <cell r="L130">
            <v>1.36</v>
          </cell>
        </row>
        <row r="131">
          <cell r="C131" t="str">
            <v>ENERO10007050Inv. acumulado</v>
          </cell>
          <cell r="L131">
            <v>1.36</v>
          </cell>
        </row>
        <row r="132">
          <cell r="C132" t="str">
            <v>ENERO10007050Inventario final</v>
          </cell>
          <cell r="L132">
            <v>1.36</v>
          </cell>
        </row>
        <row r="133">
          <cell r="C133" t="str">
            <v>FEBRERO10007050Inventario inicial</v>
          </cell>
          <cell r="L133">
            <v>1.36</v>
          </cell>
        </row>
        <row r="134">
          <cell r="C134" t="str">
            <v>FEBRERO10007050Revalorización</v>
          </cell>
          <cell r="L134">
            <v>0</v>
          </cell>
        </row>
        <row r="135">
          <cell r="C135" t="str">
            <v>FEBRERO10007050Entradas</v>
          </cell>
          <cell r="L135">
            <v>1.27</v>
          </cell>
        </row>
        <row r="136">
          <cell r="C136" t="str">
            <v>FEBRERO10007050Inventario acumulado</v>
          </cell>
          <cell r="L136">
            <v>1.31</v>
          </cell>
        </row>
        <row r="137">
          <cell r="C137" t="str">
            <v>FEBRERO10007050Inventario final</v>
          </cell>
          <cell r="L137">
            <v>1.31</v>
          </cell>
        </row>
        <row r="138">
          <cell r="C138" t="str">
            <v>ENERO10009331Inventario inicial</v>
          </cell>
          <cell r="L138">
            <v>0</v>
          </cell>
        </row>
        <row r="139">
          <cell r="C139" t="str">
            <v>ENERO10009331Revalorización</v>
          </cell>
          <cell r="L139">
            <v>0</v>
          </cell>
        </row>
        <row r="140">
          <cell r="C140" t="str">
            <v>ENERO10009331Entradas</v>
          </cell>
          <cell r="L140">
            <v>1.93</v>
          </cell>
        </row>
        <row r="141">
          <cell r="C141" t="str">
            <v>ENERO10009331Inv. acumulado</v>
          </cell>
          <cell r="L141">
            <v>1.93</v>
          </cell>
        </row>
        <row r="142">
          <cell r="C142" t="str">
            <v>ENERO10009331Inventario final</v>
          </cell>
          <cell r="L142">
            <v>1.93</v>
          </cell>
        </row>
        <row r="143">
          <cell r="C143" t="str">
            <v>FEBRERO10009331Inventario inicial</v>
          </cell>
          <cell r="L143">
            <v>1.93</v>
          </cell>
        </row>
        <row r="144">
          <cell r="C144" t="str">
            <v>FEBRERO10009331Revalorización</v>
          </cell>
          <cell r="L144">
            <v>0</v>
          </cell>
        </row>
        <row r="145">
          <cell r="C145" t="str">
            <v>FEBRERO10009331Entradas</v>
          </cell>
          <cell r="L145">
            <v>1.76</v>
          </cell>
        </row>
        <row r="146">
          <cell r="C146" t="str">
            <v>FEBRERO10009331Inventario acumulado</v>
          </cell>
          <cell r="L146">
            <v>1.81</v>
          </cell>
        </row>
        <row r="147">
          <cell r="C147" t="str">
            <v>FEBRERO10009331Inventario final</v>
          </cell>
          <cell r="L147">
            <v>1.81</v>
          </cell>
        </row>
        <row r="148">
          <cell r="C148" t="str">
            <v>ENERO10009332Inventario inicial</v>
          </cell>
          <cell r="L148">
            <v>3.11</v>
          </cell>
        </row>
        <row r="149">
          <cell r="C149" t="str">
            <v>ENERO10009332Revalorización</v>
          </cell>
          <cell r="L149">
            <v>0</v>
          </cell>
        </row>
        <row r="150">
          <cell r="C150" t="str">
            <v>ENERO10009332Entradas</v>
          </cell>
          <cell r="L150">
            <v>1.33</v>
          </cell>
        </row>
        <row r="151">
          <cell r="C151" t="str">
            <v>ENERO10009332Inv. acumulado</v>
          </cell>
          <cell r="L151">
            <v>1.94</v>
          </cell>
        </row>
        <row r="152">
          <cell r="C152" t="str">
            <v>ENERO10009332Inventario final</v>
          </cell>
          <cell r="L152">
            <v>1.94</v>
          </cell>
        </row>
        <row r="153">
          <cell r="C153" t="str">
            <v>FEBRERO10009332Inventario inicial</v>
          </cell>
          <cell r="L153">
            <v>1.94</v>
          </cell>
        </row>
        <row r="154">
          <cell r="C154" t="str">
            <v>FEBRERO10009332Revalorización</v>
          </cell>
          <cell r="L154">
            <v>0</v>
          </cell>
        </row>
        <row r="155">
          <cell r="C155" t="str">
            <v>FEBRERO10009332Entradas</v>
          </cell>
          <cell r="L155">
            <v>1.27</v>
          </cell>
        </row>
        <row r="156">
          <cell r="C156" t="str">
            <v>FEBRERO10009332Inventario acumulado</v>
          </cell>
          <cell r="L156">
            <v>1.53</v>
          </cell>
        </row>
        <row r="157">
          <cell r="C157" t="str">
            <v>FEBRERO10009332Compensación</v>
          </cell>
          <cell r="L157">
            <v>1.53</v>
          </cell>
        </row>
        <row r="158">
          <cell r="C158" t="str">
            <v>FEBRERO10009332Inventario final</v>
          </cell>
          <cell r="L158">
            <v>1.53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48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J61"/>
  <sheetViews>
    <sheetView showGridLines="0" tabSelected="1" zoomScale="91" zoomScaleNormal="91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BG34" sqref="BG34"/>
    </sheetView>
  </sheetViews>
  <sheetFormatPr baseColWidth="10" defaultRowHeight="14.4" outlineLevelCol="1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7" width="12" style="3" customWidth="1"/>
    <col min="28" max="28" width="12.21875" style="3" customWidth="1"/>
    <col min="29" max="29" width="1.109375" style="3" customWidth="1"/>
    <col min="30" max="31" width="11.6640625" style="3" customWidth="1"/>
    <col min="32" max="32" width="11.88671875" style="3" customWidth="1"/>
    <col min="33" max="33" width="12.6640625" style="3" customWidth="1"/>
    <col min="34" max="34" width="0.88671875" style="8" customWidth="1"/>
    <col min="35" max="35" width="11.5546875" style="3" hidden="1" customWidth="1"/>
    <col min="36" max="36" width="12.77734375" style="3" hidden="1" customWidth="1"/>
    <col min="37" max="37" width="12.44140625" style="3" hidden="1" customWidth="1"/>
    <col min="38" max="38" width="11.44140625" style="3" hidden="1" customWidth="1"/>
    <col min="39" max="39" width="11.77734375" style="3" hidden="1" customWidth="1"/>
    <col min="40" max="42" width="9.77734375" style="76" hidden="1" customWidth="1"/>
    <col min="43" max="43" width="0" hidden="1" customWidth="1"/>
    <col min="44" max="44" width="9.77734375" style="3" customWidth="1"/>
    <col min="45" max="47" width="9.77734375" style="3" hidden="1" customWidth="1" outlineLevel="1"/>
    <col min="48" max="48" width="12.44140625" style="3" bestFit="1" customWidth="1" collapsed="1"/>
    <col min="49" max="49" width="12.44140625" style="3" hidden="1" customWidth="1" outlineLevel="1"/>
    <col min="50" max="50" width="14.5546875" style="3" hidden="1" customWidth="1" outlineLevel="1"/>
    <col min="51" max="52" width="0" style="3" hidden="1" customWidth="1" outlineLevel="1"/>
    <col min="53" max="53" width="13.6640625" style="3" hidden="1" customWidth="1" outlineLevel="1"/>
    <col min="54" max="54" width="12.77734375" style="3" hidden="1" customWidth="1" outlineLevel="1"/>
    <col min="55" max="55" width="13.33203125" style="3" hidden="1" customWidth="1" outlineLevel="1"/>
    <col min="56" max="56" width="19.109375" style="3" customWidth="1" collapsed="1"/>
    <col min="57" max="57" width="22.44140625" style="3" bestFit="1" customWidth="1"/>
    <col min="58" max="58" width="6.33203125" style="101" customWidth="1"/>
    <col min="59" max="59" width="17.6640625" style="3" bestFit="1" customWidth="1"/>
    <col min="60" max="60" width="14.88671875" style="3" customWidth="1"/>
    <col min="61" max="61" width="13.44140625" style="3" bestFit="1" customWidth="1"/>
    <col min="62" max="62" width="13.33203125" style="3" bestFit="1" customWidth="1"/>
    <col min="63" max="16384" width="11.5546875" style="3"/>
  </cols>
  <sheetData>
    <row r="1" spans="1:62" ht="15" thickBot="1" x14ac:dyDescent="0.35">
      <c r="A1" s="98" t="s">
        <v>1</v>
      </c>
      <c r="B1" s="2" t="s">
        <v>5</v>
      </c>
      <c r="C1" s="98" t="s">
        <v>0</v>
      </c>
      <c r="D1" s="98" t="s">
        <v>86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D1" s="98" t="s">
        <v>2</v>
      </c>
      <c r="AE1" s="98"/>
      <c r="AF1" s="98"/>
      <c r="AG1" s="98"/>
      <c r="AH1" s="27"/>
      <c r="AI1" s="16" t="s">
        <v>22</v>
      </c>
      <c r="AJ1" s="94" t="s">
        <v>24</v>
      </c>
    </row>
    <row r="2" spans="1:62" ht="15" thickBot="1" x14ac:dyDescent="0.35">
      <c r="A2" s="98"/>
      <c r="B2" s="2" t="s">
        <v>6</v>
      </c>
      <c r="C2" s="98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>
        <v>46104</v>
      </c>
      <c r="W2" s="4">
        <v>46105</v>
      </c>
      <c r="X2" s="4">
        <v>46107</v>
      </c>
      <c r="Y2" s="4">
        <v>46108</v>
      </c>
      <c r="Z2" s="4">
        <v>46109</v>
      </c>
      <c r="AA2" s="4">
        <v>46110</v>
      </c>
      <c r="AB2" s="13"/>
      <c r="AC2" s="34"/>
      <c r="AD2" s="2" t="s">
        <v>21</v>
      </c>
      <c r="AE2" s="2" t="s">
        <v>3</v>
      </c>
      <c r="AF2" s="2" t="s">
        <v>61</v>
      </c>
      <c r="AG2" s="2" t="s">
        <v>4</v>
      </c>
      <c r="AH2" s="27"/>
      <c r="AI2" s="16" t="s">
        <v>23</v>
      </c>
      <c r="AJ2" s="95"/>
      <c r="AK2" s="65" t="s">
        <v>75</v>
      </c>
      <c r="AL2" s="65" t="s">
        <v>76</v>
      </c>
      <c r="AM2" s="65" t="s">
        <v>77</v>
      </c>
      <c r="AO2" s="76" t="s">
        <v>4</v>
      </c>
      <c r="AS2" s="15" t="s">
        <v>106</v>
      </c>
      <c r="AT2" s="15" t="s">
        <v>105</v>
      </c>
      <c r="AU2" s="100" t="s">
        <v>114</v>
      </c>
      <c r="AV2" s="126" t="s">
        <v>120</v>
      </c>
      <c r="AW2" s="127" t="s">
        <v>107</v>
      </c>
      <c r="AX2" s="127" t="s">
        <v>108</v>
      </c>
      <c r="AY2" s="127" t="s">
        <v>109</v>
      </c>
      <c r="AZ2" s="127" t="s">
        <v>110</v>
      </c>
      <c r="BA2" s="127" t="s">
        <v>111</v>
      </c>
      <c r="BB2" s="127" t="s">
        <v>115</v>
      </c>
      <c r="BC2" s="128" t="s">
        <v>112</v>
      </c>
      <c r="BD2" s="129" t="s">
        <v>116</v>
      </c>
      <c r="BE2" s="129" t="s">
        <v>118</v>
      </c>
      <c r="BF2" s="130"/>
      <c r="BG2" s="131" t="s">
        <v>119</v>
      </c>
      <c r="BH2" s="132" t="s">
        <v>117</v>
      </c>
      <c r="BI2" s="131" t="s">
        <v>115</v>
      </c>
      <c r="BJ2" s="133" t="s">
        <v>112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18"/>
      <c r="Y3" s="18"/>
      <c r="Z3" s="18"/>
      <c r="AA3" s="18"/>
      <c r="AB3" s="18"/>
      <c r="AC3" s="27"/>
      <c r="AD3" s="18">
        <f t="shared" ref="AD3:AD46" si="0">+D3</f>
        <v>180</v>
      </c>
      <c r="AE3" s="18">
        <f t="shared" ref="AE3:AE46" si="1">SUM(E3:AB3)</f>
        <v>440</v>
      </c>
      <c r="AF3" s="19"/>
      <c r="AG3" s="18">
        <f>+AD3+AE3-AF3</f>
        <v>620</v>
      </c>
      <c r="AH3" s="27">
        <f>+AD3-AG3</f>
        <v>-440</v>
      </c>
      <c r="AI3" s="9">
        <v>620</v>
      </c>
      <c r="AJ3" s="18">
        <f>+AG3-AI3</f>
        <v>0</v>
      </c>
      <c r="AK3" s="60"/>
      <c r="AL3" s="65"/>
      <c r="AM3" s="60"/>
      <c r="AN3" s="77"/>
      <c r="AO3" s="77">
        <v>180</v>
      </c>
      <c r="AP3" s="77">
        <f t="shared" ref="AP3:AP8" si="2">+AI3-AO3</f>
        <v>440</v>
      </c>
      <c r="AS3" s="3">
        <v>10009178</v>
      </c>
      <c r="AT3" s="3" t="str">
        <f>"FEBRERO"&amp;AS3&amp;"Inventario final"</f>
        <v>FEBRERO10009178Inventario final</v>
      </c>
      <c r="AU3" s="3">
        <f>INDEX('[1]Detalle Costos'!$L$5:$L$158,MATCH(AT3,'[1]Detalle Costos'!$C$5:$C$158,0))</f>
        <v>1.73</v>
      </c>
      <c r="AV3" s="102">
        <f t="shared" ref="AV3:AV46" si="3">IF(ISERROR(AU3),0,AG3/1000)</f>
        <v>0.62</v>
      </c>
      <c r="AW3" s="103">
        <f t="shared" ref="AW3:AW46" si="4">IFERROR(AU3*AV3,0)*1000</f>
        <v>1072.5999999999999</v>
      </c>
      <c r="AX3" s="104">
        <f t="shared" ref="AX3:AX46" si="5">182*AV3</f>
        <v>112.84</v>
      </c>
      <c r="AY3" s="103">
        <f t="shared" ref="AY3:AY46" si="6">$AY$48/$AV$48*AV3</f>
        <v>22.733106630318151</v>
      </c>
      <c r="AZ3" s="103">
        <f>$AZ$48/$AV$48*AV3</f>
        <v>51.468529781811014</v>
      </c>
      <c r="BA3" s="103">
        <f>$BA$48/$AV$48*AV3</f>
        <v>43.030360502870025</v>
      </c>
      <c r="BB3" s="103">
        <v>0</v>
      </c>
      <c r="BC3" s="105">
        <f>$BC$48</f>
        <v>0</v>
      </c>
      <c r="BD3" s="114">
        <f>AW3+AX3+AY3+AZ3</f>
        <v>1259.6416364121289</v>
      </c>
      <c r="BE3" s="115">
        <f>IFERROR(BD3/AV3,0)</f>
        <v>2031.6800587292403</v>
      </c>
      <c r="BF3" s="106"/>
      <c r="BG3" s="116">
        <v>2200</v>
      </c>
      <c r="BH3" s="107">
        <f t="shared" ref="BH3:BH46" si="7">BG3*AV3</f>
        <v>1364</v>
      </c>
      <c r="BI3" s="117">
        <f>BH3-BD3</f>
        <v>104.35836358787105</v>
      </c>
      <c r="BJ3" s="108">
        <f t="shared" ref="BJ3:BJ48" si="8">IFERROR(BI3/BH3,0)</f>
        <v>7.6509064213981709E-2</v>
      </c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>
        <f>600+800</f>
        <v>1400</v>
      </c>
      <c r="W4" s="18">
        <f>3600+1180</f>
        <v>4780</v>
      </c>
      <c r="X4" s="18">
        <f>1320+1060</f>
        <v>2380</v>
      </c>
      <c r="Y4" s="18">
        <f>140+1200</f>
        <v>1340</v>
      </c>
      <c r="Z4" s="18">
        <f>640+620</f>
        <v>1260</v>
      </c>
      <c r="AA4" s="18">
        <v>1960</v>
      </c>
      <c r="AB4" s="18"/>
      <c r="AC4" s="27"/>
      <c r="AD4" s="18">
        <f t="shared" si="0"/>
        <v>25720</v>
      </c>
      <c r="AE4" s="18">
        <f t="shared" si="1"/>
        <v>22180</v>
      </c>
      <c r="AF4" s="19">
        <f>8000+2000+3900+4000+2000</f>
        <v>19900</v>
      </c>
      <c r="AG4" s="18">
        <f t="shared" ref="AG4:AG45" si="9">+AD4+AE4-AF4</f>
        <v>28000</v>
      </c>
      <c r="AH4" s="27"/>
      <c r="AI4" s="9">
        <v>24780</v>
      </c>
      <c r="AJ4" s="18">
        <f t="shared" ref="AJ4:AJ46" si="10">+AG4-AI4</f>
        <v>3220</v>
      </c>
      <c r="AK4" s="60"/>
      <c r="AL4" s="65"/>
      <c r="AM4" s="60">
        <v>10000</v>
      </c>
      <c r="AN4" s="77"/>
      <c r="AO4" s="77">
        <v>12980</v>
      </c>
      <c r="AP4" s="77">
        <f t="shared" si="2"/>
        <v>11800</v>
      </c>
      <c r="AS4" s="3">
        <v>10009178</v>
      </c>
      <c r="AT4" s="3" t="str">
        <f t="shared" ref="AT4:AT46" si="11">"FEBRERO"&amp;AS4&amp;"Inventario final"</f>
        <v>FEBRERO10009178Inventario final</v>
      </c>
      <c r="AU4" s="3">
        <f>INDEX('[1]Detalle Costos'!$L$5:$L$158,MATCH(AT4,'[1]Detalle Costos'!$C$5:$C$158,0))</f>
        <v>1.73</v>
      </c>
      <c r="AV4" s="102">
        <f t="shared" si="3"/>
        <v>28</v>
      </c>
      <c r="AW4" s="103">
        <f t="shared" si="4"/>
        <v>48440</v>
      </c>
      <c r="AX4" s="104">
        <f t="shared" si="5"/>
        <v>5096</v>
      </c>
      <c r="AY4" s="103">
        <f t="shared" si="6"/>
        <v>1026.656428465981</v>
      </c>
      <c r="AZ4" s="103">
        <f t="shared" ref="AZ4:AZ46" si="12">$AZ$48/$AV$48*AV4</f>
        <v>2324.3852159527555</v>
      </c>
      <c r="BA4" s="103">
        <f t="shared" ref="BA4:BA46" si="13">$BA$48/$AV$48*AV4</f>
        <v>1943.3066033554205</v>
      </c>
      <c r="BB4" s="103">
        <v>0</v>
      </c>
      <c r="BC4" s="105">
        <f t="shared" ref="BC4:BC46" si="14">$BC$48</f>
        <v>0</v>
      </c>
      <c r="BD4" s="114">
        <f t="shared" ref="BD4:BD46" si="15">AW4+AX4+AY4+AZ4</f>
        <v>56887.041644418736</v>
      </c>
      <c r="BE4" s="115">
        <f t="shared" ref="BE4:BE46" si="16">IFERROR(BD4/AV4,0)</f>
        <v>2031.6800587292405</v>
      </c>
      <c r="BF4" s="106"/>
      <c r="BG4" s="116">
        <v>2200</v>
      </c>
      <c r="BH4" s="107">
        <f t="shared" si="7"/>
        <v>61600</v>
      </c>
      <c r="BI4" s="117">
        <f t="shared" ref="BI4:BI46" si="17">BH4-BD4</f>
        <v>4712.9583555812642</v>
      </c>
      <c r="BJ4" s="108">
        <f t="shared" si="8"/>
        <v>7.6509064213981556E-2</v>
      </c>
    </row>
    <row r="5" spans="1:62" x14ac:dyDescent="0.3">
      <c r="A5" s="17">
        <f t="shared" ref="A5:A32" si="18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18"/>
      <c r="Y5" s="18"/>
      <c r="Z5" s="18"/>
      <c r="AA5" s="18"/>
      <c r="AB5" s="18"/>
      <c r="AC5" s="27"/>
      <c r="AD5" s="18">
        <f t="shared" si="0"/>
        <v>660</v>
      </c>
      <c r="AE5" s="18">
        <f t="shared" si="1"/>
        <v>20</v>
      </c>
      <c r="AF5" s="19"/>
      <c r="AG5" s="18">
        <f t="shared" si="9"/>
        <v>680</v>
      </c>
      <c r="AH5" s="27"/>
      <c r="AI5" s="9">
        <v>680</v>
      </c>
      <c r="AJ5" s="18">
        <f t="shared" si="10"/>
        <v>0</v>
      </c>
      <c r="AK5" s="60"/>
      <c r="AL5" s="65"/>
      <c r="AM5" s="60"/>
      <c r="AN5" s="77"/>
      <c r="AO5" s="77">
        <v>660</v>
      </c>
      <c r="AP5" s="77">
        <f t="shared" si="2"/>
        <v>20</v>
      </c>
      <c r="AS5" s="3">
        <v>10009178</v>
      </c>
      <c r="AT5" s="3" t="str">
        <f t="shared" si="11"/>
        <v>FEBRERO10009178Inventario final</v>
      </c>
      <c r="AU5" s="3">
        <f>INDEX('[1]Detalle Costos'!$L$5:$L$158,MATCH(AT5,'[1]Detalle Costos'!$C$5:$C$158,0))</f>
        <v>1.73</v>
      </c>
      <c r="AV5" s="102">
        <f t="shared" si="3"/>
        <v>0.68</v>
      </c>
      <c r="AW5" s="103">
        <f t="shared" si="4"/>
        <v>1176.4000000000001</v>
      </c>
      <c r="AX5" s="104">
        <f t="shared" si="5"/>
        <v>123.76</v>
      </c>
      <c r="AY5" s="103">
        <f t="shared" si="6"/>
        <v>24.933084691316683</v>
      </c>
      <c r="AZ5" s="103">
        <f t="shared" si="12"/>
        <v>56.449355244566917</v>
      </c>
      <c r="BA5" s="103">
        <f t="shared" si="13"/>
        <v>47.194588938631647</v>
      </c>
      <c r="BB5" s="103">
        <v>0</v>
      </c>
      <c r="BC5" s="105">
        <f t="shared" si="14"/>
        <v>0</v>
      </c>
      <c r="BD5" s="114">
        <f t="shared" si="15"/>
        <v>1381.5424399358837</v>
      </c>
      <c r="BE5" s="115">
        <f t="shared" si="16"/>
        <v>2031.6800587292407</v>
      </c>
      <c r="BF5" s="106"/>
      <c r="BG5" s="116">
        <v>2200</v>
      </c>
      <c r="BH5" s="107">
        <f t="shared" si="7"/>
        <v>1496</v>
      </c>
      <c r="BI5" s="117">
        <f t="shared" si="17"/>
        <v>114.45756006411625</v>
      </c>
      <c r="BJ5" s="108">
        <f t="shared" si="8"/>
        <v>7.6509064213981445E-2</v>
      </c>
    </row>
    <row r="6" spans="1:62" x14ac:dyDescent="0.3">
      <c r="A6" s="17">
        <f t="shared" si="18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27"/>
      <c r="AD6" s="18">
        <f t="shared" si="0"/>
        <v>680</v>
      </c>
      <c r="AE6" s="18">
        <f t="shared" si="1"/>
        <v>0</v>
      </c>
      <c r="AF6" s="19"/>
      <c r="AG6" s="18">
        <f t="shared" si="9"/>
        <v>680</v>
      </c>
      <c r="AH6" s="27"/>
      <c r="AI6" s="9">
        <v>680</v>
      </c>
      <c r="AJ6" s="18">
        <f t="shared" si="10"/>
        <v>0</v>
      </c>
      <c r="AK6" s="60"/>
      <c r="AL6" s="65"/>
      <c r="AM6" s="60"/>
      <c r="AN6" s="77"/>
      <c r="AO6" s="77">
        <v>680</v>
      </c>
      <c r="AP6" s="77">
        <f t="shared" si="2"/>
        <v>0</v>
      </c>
      <c r="AS6" s="3">
        <v>10009178</v>
      </c>
      <c r="AT6" s="3" t="str">
        <f t="shared" si="11"/>
        <v>FEBRERO10009178Inventario final</v>
      </c>
      <c r="AU6" s="3">
        <f>INDEX('[1]Detalle Costos'!$L$5:$L$158,MATCH(AT6,'[1]Detalle Costos'!$C$5:$C$158,0))</f>
        <v>1.73</v>
      </c>
      <c r="AV6" s="102">
        <f t="shared" si="3"/>
        <v>0.68</v>
      </c>
      <c r="AW6" s="103">
        <f t="shared" si="4"/>
        <v>1176.4000000000001</v>
      </c>
      <c r="AX6" s="104">
        <f t="shared" si="5"/>
        <v>123.76</v>
      </c>
      <c r="AY6" s="103">
        <f t="shared" si="6"/>
        <v>24.933084691316683</v>
      </c>
      <c r="AZ6" s="103">
        <f t="shared" si="12"/>
        <v>56.449355244566917</v>
      </c>
      <c r="BA6" s="103">
        <f t="shared" si="13"/>
        <v>47.194588938631647</v>
      </c>
      <c r="BB6" s="103">
        <v>0</v>
      </c>
      <c r="BC6" s="105">
        <f t="shared" si="14"/>
        <v>0</v>
      </c>
      <c r="BD6" s="114">
        <f t="shared" si="15"/>
        <v>1381.5424399358837</v>
      </c>
      <c r="BE6" s="115">
        <f t="shared" si="16"/>
        <v>2031.6800587292407</v>
      </c>
      <c r="BF6" s="106"/>
      <c r="BG6" s="116">
        <v>2200</v>
      </c>
      <c r="BH6" s="107">
        <f t="shared" si="7"/>
        <v>1496</v>
      </c>
      <c r="BI6" s="117">
        <f t="shared" si="17"/>
        <v>114.45756006411625</v>
      </c>
      <c r="BJ6" s="108">
        <f t="shared" si="8"/>
        <v>7.6509064213981445E-2</v>
      </c>
    </row>
    <row r="7" spans="1:62" x14ac:dyDescent="0.3">
      <c r="A7" s="17">
        <f t="shared" si="18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>
        <f>12480+4100</f>
        <v>16580</v>
      </c>
      <c r="W7" s="18">
        <f>29040+12820</f>
        <v>41860</v>
      </c>
      <c r="X7" s="18">
        <f>9160+4600</f>
        <v>13760</v>
      </c>
      <c r="Y7" s="18">
        <f>2300+2880</f>
        <v>5180</v>
      </c>
      <c r="Z7" s="18">
        <f>8580+5100</f>
        <v>13680</v>
      </c>
      <c r="AA7" s="18">
        <v>12420</v>
      </c>
      <c r="AB7" s="18"/>
      <c r="AC7" s="27"/>
      <c r="AD7" s="18">
        <v>368800</v>
      </c>
      <c r="AE7" s="18">
        <f t="shared" si="1"/>
        <v>345100</v>
      </c>
      <c r="AF7" s="19">
        <f>116800+48000+100000+25000+40+80+60+50000+95600+25000+80</f>
        <v>460660</v>
      </c>
      <c r="AG7" s="18">
        <f t="shared" si="9"/>
        <v>253240</v>
      </c>
      <c r="AH7" s="27"/>
      <c r="AI7" s="9">
        <v>208280</v>
      </c>
      <c r="AJ7" s="18">
        <f t="shared" si="10"/>
        <v>44960</v>
      </c>
      <c r="AK7" s="60"/>
      <c r="AL7" s="60"/>
      <c r="AM7" s="60">
        <f>116800+48000+100000+25000</f>
        <v>289800</v>
      </c>
      <c r="AN7" s="77"/>
      <c r="AO7" s="77">
        <v>95920</v>
      </c>
      <c r="AP7" s="77">
        <f t="shared" si="2"/>
        <v>112360</v>
      </c>
      <c r="AS7" s="3">
        <v>10006720</v>
      </c>
      <c r="AT7" s="3" t="str">
        <f t="shared" si="11"/>
        <v>FEBRERO10006720Inventario final</v>
      </c>
      <c r="AU7" s="3">
        <f>INDEX('[1]Detalle Costos'!$L$5:$L$158,MATCH(AT7,'[1]Detalle Costos'!$C$5:$C$158,0))</f>
        <v>1.64</v>
      </c>
      <c r="AV7" s="102">
        <f t="shared" si="3"/>
        <v>253.24</v>
      </c>
      <c r="AW7" s="103">
        <f t="shared" si="4"/>
        <v>415313.60000000003</v>
      </c>
      <c r="AX7" s="104">
        <f t="shared" si="5"/>
        <v>46089.68</v>
      </c>
      <c r="AY7" s="103">
        <f t="shared" si="6"/>
        <v>9285.3740694544667</v>
      </c>
      <c r="AZ7" s="103">
        <f t="shared" si="12"/>
        <v>21022.404003138421</v>
      </c>
      <c r="BA7" s="103">
        <f t="shared" si="13"/>
        <v>17575.820151204527</v>
      </c>
      <c r="BB7" s="103">
        <v>0</v>
      </c>
      <c r="BC7" s="105">
        <f t="shared" si="14"/>
        <v>0</v>
      </c>
      <c r="BD7" s="114">
        <f t="shared" si="15"/>
        <v>491711.05807259289</v>
      </c>
      <c r="BE7" s="115">
        <f t="shared" si="16"/>
        <v>1941.6800587292405</v>
      </c>
      <c r="BF7" s="106"/>
      <c r="BG7" s="116">
        <v>2200</v>
      </c>
      <c r="BH7" s="107">
        <f t="shared" si="7"/>
        <v>557128</v>
      </c>
      <c r="BI7" s="117">
        <f t="shared" si="17"/>
        <v>65416.941927407112</v>
      </c>
      <c r="BJ7" s="108">
        <f t="shared" si="8"/>
        <v>0.11741815512307245</v>
      </c>
    </row>
    <row r="8" spans="1:62" x14ac:dyDescent="0.3">
      <c r="A8" s="17">
        <f t="shared" si="18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27"/>
      <c r="AD8" s="18">
        <f t="shared" si="0"/>
        <v>120</v>
      </c>
      <c r="AE8" s="18">
        <f t="shared" si="1"/>
        <v>0</v>
      </c>
      <c r="AF8" s="19"/>
      <c r="AG8" s="18">
        <f t="shared" si="9"/>
        <v>120</v>
      </c>
      <c r="AH8" s="27"/>
      <c r="AI8" s="9">
        <v>120</v>
      </c>
      <c r="AJ8" s="18">
        <f t="shared" si="10"/>
        <v>0</v>
      </c>
      <c r="AK8" s="60"/>
      <c r="AL8" s="65"/>
      <c r="AM8" s="60"/>
      <c r="AN8" s="77"/>
      <c r="AO8" s="77">
        <v>120</v>
      </c>
      <c r="AP8" s="77">
        <f t="shared" si="2"/>
        <v>0</v>
      </c>
      <c r="AS8" s="3">
        <v>10006722</v>
      </c>
      <c r="AT8" s="3" t="str">
        <f t="shared" si="11"/>
        <v>FEBRERO10006722Inventario final</v>
      </c>
      <c r="AU8" s="3">
        <f>INDEX('[1]Detalle Costos'!$L$5:$L$158,MATCH(AT8,'[1]Detalle Costos'!$C$5:$C$158,0))</f>
        <v>1.87</v>
      </c>
      <c r="AV8" s="102">
        <f t="shared" si="3"/>
        <v>0.12</v>
      </c>
      <c r="AW8" s="103">
        <f t="shared" si="4"/>
        <v>224.4</v>
      </c>
      <c r="AX8" s="104">
        <f t="shared" si="5"/>
        <v>21.84</v>
      </c>
      <c r="AY8" s="103">
        <f t="shared" si="6"/>
        <v>4.3999561219970618</v>
      </c>
      <c r="AZ8" s="103">
        <f t="shared" si="12"/>
        <v>9.9616509255118082</v>
      </c>
      <c r="BA8" s="103">
        <f t="shared" si="13"/>
        <v>8.3284568715232297</v>
      </c>
      <c r="BB8" s="103">
        <v>0</v>
      </c>
      <c r="BC8" s="105">
        <f t="shared" si="14"/>
        <v>0</v>
      </c>
      <c r="BD8" s="114">
        <f t="shared" si="15"/>
        <v>260.60160704750888</v>
      </c>
      <c r="BE8" s="115">
        <f t="shared" si="16"/>
        <v>2171.680058729241</v>
      </c>
      <c r="BF8" s="106"/>
      <c r="BG8" s="116">
        <v>2200</v>
      </c>
      <c r="BH8" s="107">
        <f t="shared" si="7"/>
        <v>264</v>
      </c>
      <c r="BI8" s="117">
        <f t="shared" si="17"/>
        <v>3.3983929524911218</v>
      </c>
      <c r="BJ8" s="108">
        <f t="shared" si="8"/>
        <v>1.2872700577617885E-2</v>
      </c>
    </row>
    <row r="9" spans="1:62" x14ac:dyDescent="0.3">
      <c r="A9" s="17">
        <f t="shared" si="18"/>
        <v>7</v>
      </c>
      <c r="B9" s="39"/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>
        <v>5364</v>
      </c>
      <c r="Z9" s="18">
        <v>5148</v>
      </c>
      <c r="AA9" s="18"/>
      <c r="AB9" s="18"/>
      <c r="AC9" s="27"/>
      <c r="AD9" s="18">
        <f t="shared" si="0"/>
        <v>57168</v>
      </c>
      <c r="AE9" s="18">
        <f t="shared" si="1"/>
        <v>10512</v>
      </c>
      <c r="AF9" s="19">
        <v>52542</v>
      </c>
      <c r="AG9" s="18">
        <f t="shared" si="9"/>
        <v>15138</v>
      </c>
      <c r="AH9" s="27"/>
      <c r="AI9" s="9">
        <v>4626</v>
      </c>
      <c r="AJ9" s="18">
        <f t="shared" si="10"/>
        <v>10512</v>
      </c>
      <c r="AK9" s="60"/>
      <c r="AL9" s="65"/>
      <c r="AM9" s="60"/>
      <c r="AN9" s="77"/>
      <c r="AO9" s="77"/>
      <c r="AP9" s="77"/>
      <c r="AS9" s="3">
        <v>10009241</v>
      </c>
      <c r="AT9" s="3" t="str">
        <f t="shared" si="11"/>
        <v>FEBRERO10009241Inventario final</v>
      </c>
      <c r="AU9" s="3" t="e">
        <f>INDEX('[1]Detalle Costos'!$L$5:$L$158,MATCH(AT9,'[1]Detalle Costos'!$C$5:$C$158,0))</f>
        <v>#N/A</v>
      </c>
      <c r="AV9" s="102">
        <f t="shared" si="3"/>
        <v>0</v>
      </c>
      <c r="AW9" s="103">
        <f t="shared" si="4"/>
        <v>0</v>
      </c>
      <c r="AX9" s="104">
        <f t="shared" si="5"/>
        <v>0</v>
      </c>
      <c r="AY9" s="103">
        <f t="shared" si="6"/>
        <v>0</v>
      </c>
      <c r="AZ9" s="103">
        <f t="shared" si="12"/>
        <v>0</v>
      </c>
      <c r="BA9" s="103">
        <f t="shared" si="13"/>
        <v>0</v>
      </c>
      <c r="BB9" s="103">
        <v>0</v>
      </c>
      <c r="BC9" s="105">
        <f t="shared" si="14"/>
        <v>0</v>
      </c>
      <c r="BD9" s="114">
        <f t="shared" si="15"/>
        <v>0</v>
      </c>
      <c r="BE9" s="115">
        <f t="shared" si="16"/>
        <v>0</v>
      </c>
      <c r="BF9" s="106"/>
      <c r="BG9" s="116"/>
      <c r="BH9" s="107">
        <f t="shared" si="7"/>
        <v>0</v>
      </c>
      <c r="BI9" s="117">
        <f t="shared" si="17"/>
        <v>0</v>
      </c>
      <c r="BJ9" s="108">
        <f t="shared" si="8"/>
        <v>0</v>
      </c>
    </row>
    <row r="10" spans="1:62" x14ac:dyDescent="0.3">
      <c r="A10" s="17"/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27"/>
      <c r="AD10" s="18">
        <f t="shared" si="0"/>
        <v>360</v>
      </c>
      <c r="AE10" s="18">
        <f t="shared" si="1"/>
        <v>0</v>
      </c>
      <c r="AF10" s="19">
        <v>360</v>
      </c>
      <c r="AG10" s="18">
        <f t="shared" si="9"/>
        <v>0</v>
      </c>
      <c r="AH10" s="27"/>
      <c r="AI10" s="9">
        <v>0</v>
      </c>
      <c r="AJ10" s="18">
        <f t="shared" si="10"/>
        <v>0</v>
      </c>
      <c r="AK10" s="60"/>
      <c r="AL10" s="65"/>
      <c r="AM10" s="60"/>
      <c r="AN10" s="77"/>
      <c r="AO10" s="77"/>
      <c r="AP10" s="77"/>
      <c r="AS10" s="3">
        <v>10009241</v>
      </c>
      <c r="AT10" s="3" t="str">
        <f t="shared" si="11"/>
        <v>FEBRERO10009241Inventario final</v>
      </c>
      <c r="AU10" s="3" t="e">
        <f>INDEX('[1]Detalle Costos'!$L$5:$L$158,MATCH(AT10,'[1]Detalle Costos'!$C$5:$C$158,0))</f>
        <v>#N/A</v>
      </c>
      <c r="AV10" s="102">
        <f t="shared" si="3"/>
        <v>0</v>
      </c>
      <c r="AW10" s="103">
        <f t="shared" si="4"/>
        <v>0</v>
      </c>
      <c r="AX10" s="104">
        <f t="shared" si="5"/>
        <v>0</v>
      </c>
      <c r="AY10" s="103">
        <f t="shared" si="6"/>
        <v>0</v>
      </c>
      <c r="AZ10" s="103">
        <f t="shared" si="12"/>
        <v>0</v>
      </c>
      <c r="BA10" s="103">
        <f t="shared" si="13"/>
        <v>0</v>
      </c>
      <c r="BB10" s="103">
        <v>0</v>
      </c>
      <c r="BC10" s="105">
        <f t="shared" si="14"/>
        <v>0</v>
      </c>
      <c r="BD10" s="114">
        <f t="shared" si="15"/>
        <v>0</v>
      </c>
      <c r="BE10" s="115">
        <f t="shared" si="16"/>
        <v>0</v>
      </c>
      <c r="BF10" s="106"/>
      <c r="BG10" s="116"/>
      <c r="BH10" s="107">
        <f t="shared" si="7"/>
        <v>0</v>
      </c>
      <c r="BI10" s="117">
        <f t="shared" si="17"/>
        <v>0</v>
      </c>
      <c r="BJ10" s="108">
        <f t="shared" si="8"/>
        <v>0</v>
      </c>
    </row>
    <row r="11" spans="1:62" x14ac:dyDescent="0.3">
      <c r="A11" s="17"/>
      <c r="B11" s="39"/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612</v>
      </c>
      <c r="Z11" s="18">
        <v>432</v>
      </c>
      <c r="AA11" s="18"/>
      <c r="AB11" s="18"/>
      <c r="AC11" s="27"/>
      <c r="AD11" s="18">
        <f t="shared" si="0"/>
        <v>4428</v>
      </c>
      <c r="AE11" s="18">
        <f t="shared" si="1"/>
        <v>1044</v>
      </c>
      <c r="AF11" s="19"/>
      <c r="AG11" s="18">
        <f t="shared" si="9"/>
        <v>5472</v>
      </c>
      <c r="AH11" s="27"/>
      <c r="AI11" s="9">
        <v>4428</v>
      </c>
      <c r="AJ11" s="18">
        <f t="shared" si="10"/>
        <v>1044</v>
      </c>
      <c r="AK11" s="60"/>
      <c r="AL11" s="65"/>
      <c r="AM11" s="60"/>
      <c r="AN11" s="77"/>
      <c r="AO11" s="77"/>
      <c r="AP11" s="77"/>
      <c r="AS11" s="3">
        <v>10009241</v>
      </c>
      <c r="AT11" s="3" t="str">
        <f t="shared" si="11"/>
        <v>FEBRERO10009241Inventario final</v>
      </c>
      <c r="AU11" s="3" t="e">
        <f>INDEX('[1]Detalle Costos'!$L$5:$L$158,MATCH(AT11,'[1]Detalle Costos'!$C$5:$C$158,0))</f>
        <v>#N/A</v>
      </c>
      <c r="AV11" s="102">
        <f t="shared" si="3"/>
        <v>0</v>
      </c>
      <c r="AW11" s="103">
        <f t="shared" si="4"/>
        <v>0</v>
      </c>
      <c r="AX11" s="104">
        <f t="shared" si="5"/>
        <v>0</v>
      </c>
      <c r="AY11" s="103">
        <f t="shared" si="6"/>
        <v>0</v>
      </c>
      <c r="AZ11" s="103">
        <f t="shared" si="12"/>
        <v>0</v>
      </c>
      <c r="BA11" s="103">
        <f t="shared" si="13"/>
        <v>0</v>
      </c>
      <c r="BB11" s="103">
        <v>0</v>
      </c>
      <c r="BC11" s="105">
        <f t="shared" si="14"/>
        <v>0</v>
      </c>
      <c r="BD11" s="114">
        <f t="shared" si="15"/>
        <v>0</v>
      </c>
      <c r="BE11" s="115">
        <f t="shared" si="16"/>
        <v>0</v>
      </c>
      <c r="BF11" s="106"/>
      <c r="BG11" s="116"/>
      <c r="BH11" s="107">
        <f t="shared" si="7"/>
        <v>0</v>
      </c>
      <c r="BI11" s="117">
        <f t="shared" si="17"/>
        <v>0</v>
      </c>
      <c r="BJ11" s="108">
        <f t="shared" si="8"/>
        <v>0</v>
      </c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>
        <v>240</v>
      </c>
      <c r="W12" s="26">
        <f>540+480</f>
        <v>1020</v>
      </c>
      <c r="X12" s="26">
        <f>220+20</f>
        <v>240</v>
      </c>
      <c r="Y12" s="26">
        <f>160+300</f>
        <v>460</v>
      </c>
      <c r="Z12" s="26">
        <v>760</v>
      </c>
      <c r="AA12" s="26"/>
      <c r="AB12" s="26"/>
      <c r="AC12" s="27"/>
      <c r="AD12" s="26">
        <f t="shared" si="0"/>
        <v>22840</v>
      </c>
      <c r="AE12" s="26">
        <f t="shared" si="1"/>
        <v>7600</v>
      </c>
      <c r="AF12" s="38"/>
      <c r="AG12" s="26">
        <f t="shared" si="9"/>
        <v>30440</v>
      </c>
      <c r="AH12" s="27"/>
      <c r="AI12" s="9">
        <v>28980</v>
      </c>
      <c r="AJ12" s="18">
        <f t="shared" si="10"/>
        <v>1460</v>
      </c>
      <c r="AK12" s="26"/>
      <c r="AL12" s="37"/>
      <c r="AM12" s="60"/>
      <c r="AN12" s="77"/>
      <c r="AO12" s="77">
        <v>6520</v>
      </c>
      <c r="AP12" s="77">
        <f t="shared" ref="AP12:AP33" si="19">+AI12-AO12</f>
        <v>22460</v>
      </c>
      <c r="AS12" s="8">
        <v>10009207</v>
      </c>
      <c r="AT12" s="3" t="str">
        <f t="shared" si="11"/>
        <v>FEBRERO10009207Inventario final</v>
      </c>
      <c r="AU12" s="8" t="e">
        <f>INDEX('[1]Detalle Costos'!$L$5:$L$158,MATCH(AT12,'[1]Detalle Costos'!$C$5:$C$158,0))</f>
        <v>#N/A</v>
      </c>
      <c r="AV12" s="102">
        <f t="shared" si="3"/>
        <v>0</v>
      </c>
      <c r="AW12" s="103">
        <f t="shared" si="4"/>
        <v>0</v>
      </c>
      <c r="AX12" s="104">
        <f t="shared" si="5"/>
        <v>0</v>
      </c>
      <c r="AY12" s="109">
        <f t="shared" si="6"/>
        <v>0</v>
      </c>
      <c r="AZ12" s="103">
        <f t="shared" si="12"/>
        <v>0</v>
      </c>
      <c r="BA12" s="103">
        <f t="shared" si="13"/>
        <v>0</v>
      </c>
      <c r="BB12" s="103">
        <v>0</v>
      </c>
      <c r="BC12" s="105">
        <f t="shared" si="14"/>
        <v>0</v>
      </c>
      <c r="BD12" s="114">
        <f t="shared" si="15"/>
        <v>0</v>
      </c>
      <c r="BE12" s="115">
        <f t="shared" si="16"/>
        <v>0</v>
      </c>
      <c r="BF12" s="106"/>
      <c r="BG12" s="116"/>
      <c r="BH12" s="107">
        <f t="shared" si="7"/>
        <v>0</v>
      </c>
      <c r="BI12" s="117">
        <f t="shared" si="17"/>
        <v>0</v>
      </c>
      <c r="BJ12" s="108">
        <f t="shared" si="8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>
        <v>2840</v>
      </c>
      <c r="W13" s="26">
        <f>1320+1060</f>
        <v>2380</v>
      </c>
      <c r="X13" s="26">
        <f>780+380</f>
        <v>1160</v>
      </c>
      <c r="Y13" s="26">
        <f>260+1760</f>
        <v>2020</v>
      </c>
      <c r="Z13" s="26">
        <v>2180</v>
      </c>
      <c r="AA13" s="26"/>
      <c r="AB13" s="26"/>
      <c r="AC13" s="27"/>
      <c r="AD13" s="26">
        <f t="shared" si="0"/>
        <v>60620</v>
      </c>
      <c r="AE13" s="26">
        <f t="shared" si="1"/>
        <v>34240</v>
      </c>
      <c r="AF13" s="38">
        <f>40+40+48000</f>
        <v>48080</v>
      </c>
      <c r="AG13" s="26">
        <f t="shared" si="9"/>
        <v>46780</v>
      </c>
      <c r="AH13" s="27"/>
      <c r="AI13" s="9">
        <v>41420</v>
      </c>
      <c r="AJ13" s="18">
        <f t="shared" si="10"/>
        <v>5360</v>
      </c>
      <c r="AK13" s="26"/>
      <c r="AL13" s="37">
        <v>40</v>
      </c>
      <c r="AM13" s="60"/>
      <c r="AN13" s="77"/>
      <c r="AO13" s="77">
        <v>33140</v>
      </c>
      <c r="AP13" s="77">
        <f t="shared" si="19"/>
        <v>8280</v>
      </c>
      <c r="AS13" s="8">
        <v>10007969</v>
      </c>
      <c r="AT13" s="3" t="str">
        <f t="shared" si="11"/>
        <v>FEBRERO10007969Inventario final</v>
      </c>
      <c r="AU13" s="8">
        <f>INDEX('[1]Detalle Costos'!$L$5:$L$158,MATCH(AT13,'[1]Detalle Costos'!$C$5:$C$158,0))</f>
        <v>1.4</v>
      </c>
      <c r="AV13" s="102">
        <f t="shared" si="3"/>
        <v>46.78</v>
      </c>
      <c r="AW13" s="103">
        <f t="shared" si="4"/>
        <v>65492.000000000007</v>
      </c>
      <c r="AX13" s="104">
        <f t="shared" si="5"/>
        <v>8513.9600000000009</v>
      </c>
      <c r="AY13" s="109">
        <f t="shared" si="6"/>
        <v>1715.2495615585212</v>
      </c>
      <c r="AZ13" s="103">
        <f t="shared" si="12"/>
        <v>3883.3835857953536</v>
      </c>
      <c r="BA13" s="103">
        <f t="shared" si="13"/>
        <v>3246.7101037488064</v>
      </c>
      <c r="BB13" s="103">
        <v>0</v>
      </c>
      <c r="BC13" s="105">
        <f t="shared" si="14"/>
        <v>0</v>
      </c>
      <c r="BD13" s="114">
        <f t="shared" si="15"/>
        <v>79604.59314735388</v>
      </c>
      <c r="BE13" s="115">
        <f t="shared" si="16"/>
        <v>1701.6800587292407</v>
      </c>
      <c r="BF13" s="106"/>
      <c r="BG13" s="116">
        <v>1500</v>
      </c>
      <c r="BH13" s="107">
        <f t="shared" si="7"/>
        <v>70170</v>
      </c>
      <c r="BI13" s="117">
        <f t="shared" si="17"/>
        <v>-9434.5931473538803</v>
      </c>
      <c r="BJ13" s="108">
        <f t="shared" si="8"/>
        <v>-0.13445337248616046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1">
        <f t="shared" si="0"/>
        <v>300</v>
      </c>
      <c r="AE14" s="21">
        <f t="shared" si="1"/>
        <v>0</v>
      </c>
      <c r="AF14" s="22"/>
      <c r="AG14" s="21">
        <f t="shared" si="9"/>
        <v>300</v>
      </c>
      <c r="AH14" s="27"/>
      <c r="AI14" s="9">
        <v>300</v>
      </c>
      <c r="AJ14" s="18">
        <f t="shared" si="10"/>
        <v>0</v>
      </c>
      <c r="AK14" s="60"/>
      <c r="AL14" s="65"/>
      <c r="AM14" s="60"/>
      <c r="AN14" s="77"/>
      <c r="AO14" s="77">
        <v>300</v>
      </c>
      <c r="AP14" s="77">
        <f t="shared" si="19"/>
        <v>0</v>
      </c>
      <c r="AS14" s="3">
        <v>10005721</v>
      </c>
      <c r="AT14" s="3" t="str">
        <f t="shared" si="11"/>
        <v>FEBRERO10005721Inventario final</v>
      </c>
      <c r="AU14" s="3">
        <f>INDEX('[1]Detalle Costos'!$L$5:$L$158,MATCH(AT14,'[1]Detalle Costos'!$C$5:$C$158,0))</f>
        <v>1.74</v>
      </c>
      <c r="AV14" s="102">
        <f t="shared" si="3"/>
        <v>0.3</v>
      </c>
      <c r="AW14" s="103">
        <f t="shared" si="4"/>
        <v>522</v>
      </c>
      <c r="AX14" s="104">
        <f t="shared" si="5"/>
        <v>54.6</v>
      </c>
      <c r="AY14" s="103">
        <f t="shared" si="6"/>
        <v>10.999890304992654</v>
      </c>
      <c r="AZ14" s="103">
        <f t="shared" si="12"/>
        <v>24.904127313779522</v>
      </c>
      <c r="BA14" s="103">
        <f t="shared" si="13"/>
        <v>20.821142178808078</v>
      </c>
      <c r="BB14" s="103">
        <v>0</v>
      </c>
      <c r="BC14" s="105">
        <f t="shared" si="14"/>
        <v>0</v>
      </c>
      <c r="BD14" s="114">
        <f t="shared" si="15"/>
        <v>612.5040176187722</v>
      </c>
      <c r="BE14" s="115">
        <f t="shared" si="16"/>
        <v>2041.6800587292407</v>
      </c>
      <c r="BF14" s="106"/>
      <c r="BG14" s="116">
        <v>2200</v>
      </c>
      <c r="BH14" s="107">
        <f t="shared" si="7"/>
        <v>660</v>
      </c>
      <c r="BI14" s="117">
        <f t="shared" si="17"/>
        <v>47.495982381227805</v>
      </c>
      <c r="BJ14" s="108">
        <f t="shared" si="8"/>
        <v>7.1963609668526982E-2</v>
      </c>
    </row>
    <row r="15" spans="1:62" x14ac:dyDescent="0.3">
      <c r="A15" s="7">
        <f t="shared" ref="A15:A17" si="20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1">
        <f t="shared" si="0"/>
        <v>1120</v>
      </c>
      <c r="AE15" s="21">
        <f t="shared" si="1"/>
        <v>0</v>
      </c>
      <c r="AF15" s="22"/>
      <c r="AG15" s="21">
        <f t="shared" si="9"/>
        <v>1120</v>
      </c>
      <c r="AH15" s="27"/>
      <c r="AI15" s="9">
        <v>1120</v>
      </c>
      <c r="AJ15" s="18">
        <f t="shared" si="10"/>
        <v>0</v>
      </c>
      <c r="AK15" s="60"/>
      <c r="AL15" s="65"/>
      <c r="AM15" s="60"/>
      <c r="AN15" s="77"/>
      <c r="AO15" s="77">
        <v>1120</v>
      </c>
      <c r="AP15" s="77">
        <f t="shared" si="19"/>
        <v>0</v>
      </c>
      <c r="AS15" s="3">
        <v>10005721</v>
      </c>
      <c r="AT15" s="3" t="str">
        <f t="shared" si="11"/>
        <v>FEBRERO10005721Inventario final</v>
      </c>
      <c r="AU15" s="3">
        <f>INDEX('[1]Detalle Costos'!$L$5:$L$158,MATCH(AT15,'[1]Detalle Costos'!$C$5:$C$158,0))</f>
        <v>1.74</v>
      </c>
      <c r="AV15" s="102">
        <f t="shared" si="3"/>
        <v>1.1200000000000001</v>
      </c>
      <c r="AW15" s="103">
        <f t="shared" si="4"/>
        <v>1948.8000000000002</v>
      </c>
      <c r="AX15" s="104">
        <f t="shared" si="5"/>
        <v>203.84000000000003</v>
      </c>
      <c r="AY15" s="103">
        <f t="shared" si="6"/>
        <v>41.066257138639244</v>
      </c>
      <c r="AZ15" s="103">
        <f t="shared" si="12"/>
        <v>92.975408638110224</v>
      </c>
      <c r="BA15" s="103">
        <f t="shared" si="13"/>
        <v>77.732264134216834</v>
      </c>
      <c r="BB15" s="103">
        <v>0</v>
      </c>
      <c r="BC15" s="105">
        <f t="shared" si="14"/>
        <v>0</v>
      </c>
      <c r="BD15" s="114">
        <f t="shared" si="15"/>
        <v>2286.6816657767499</v>
      </c>
      <c r="BE15" s="115">
        <f t="shared" si="16"/>
        <v>2041.6800587292407</v>
      </c>
      <c r="BF15" s="106"/>
      <c r="BG15" s="116">
        <v>2200</v>
      </c>
      <c r="BH15" s="107">
        <f t="shared" si="7"/>
        <v>2464.0000000000005</v>
      </c>
      <c r="BI15" s="117">
        <f t="shared" si="17"/>
        <v>177.31833422325053</v>
      </c>
      <c r="BJ15" s="108">
        <f t="shared" si="8"/>
        <v>7.1963609668526982E-2</v>
      </c>
    </row>
    <row r="16" spans="1:62" x14ac:dyDescent="0.3">
      <c r="A16" s="7">
        <f t="shared" si="20"/>
        <v>12</v>
      </c>
      <c r="B16" s="20" t="s">
        <v>57</v>
      </c>
      <c r="C16" s="20" t="s">
        <v>95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>
        <f>7060+10300</f>
        <v>17360</v>
      </c>
      <c r="W16" s="21">
        <f>7340+11000</f>
        <v>18340</v>
      </c>
      <c r="X16" s="21">
        <f>3880+2360</f>
        <v>6240</v>
      </c>
      <c r="Y16" s="21">
        <f>10400+25160</f>
        <v>35560</v>
      </c>
      <c r="Z16" s="21">
        <f>10520+8620</f>
        <v>19140</v>
      </c>
      <c r="AA16" s="21">
        <v>13840</v>
      </c>
      <c r="AB16" s="21"/>
      <c r="AC16" s="27"/>
      <c r="AD16" s="21">
        <f t="shared" si="0"/>
        <v>331000</v>
      </c>
      <c r="AE16" s="21">
        <f t="shared" si="1"/>
        <v>263300</v>
      </c>
      <c r="AF16" s="22">
        <f>108000+26000+80+40</f>
        <v>134120</v>
      </c>
      <c r="AG16" s="21">
        <f t="shared" si="9"/>
        <v>460180</v>
      </c>
      <c r="AH16" s="27"/>
      <c r="AI16" s="9">
        <v>385440</v>
      </c>
      <c r="AJ16" s="18">
        <f t="shared" si="10"/>
        <v>74740</v>
      </c>
      <c r="AK16" s="60"/>
      <c r="AL16" s="65"/>
      <c r="AM16" s="60">
        <v>108000</v>
      </c>
      <c r="AN16" s="77"/>
      <c r="AO16" s="77">
        <v>155380</v>
      </c>
      <c r="AP16" s="77">
        <f t="shared" si="19"/>
        <v>230060</v>
      </c>
      <c r="AS16" s="3">
        <v>10005721</v>
      </c>
      <c r="AT16" s="3" t="str">
        <f t="shared" si="11"/>
        <v>FEBRERO10005721Inventario final</v>
      </c>
      <c r="AU16" s="3">
        <f>INDEX('[1]Detalle Costos'!$L$5:$L$158,MATCH(AT16,'[1]Detalle Costos'!$C$5:$C$158,0))</f>
        <v>1.74</v>
      </c>
      <c r="AV16" s="102">
        <f t="shared" si="3"/>
        <v>460.18</v>
      </c>
      <c r="AW16" s="103">
        <f t="shared" si="4"/>
        <v>800713.20000000007</v>
      </c>
      <c r="AX16" s="104">
        <f t="shared" si="5"/>
        <v>83752.759999999995</v>
      </c>
      <c r="AY16" s="103">
        <f t="shared" si="6"/>
        <v>16873.098401838397</v>
      </c>
      <c r="AZ16" s="103">
        <f t="shared" si="12"/>
        <v>38201.271024183538</v>
      </c>
      <c r="BA16" s="103">
        <f t="shared" si="13"/>
        <v>31938.244026146338</v>
      </c>
      <c r="BB16" s="103">
        <v>0</v>
      </c>
      <c r="BC16" s="105">
        <f t="shared" si="14"/>
        <v>0</v>
      </c>
      <c r="BD16" s="114">
        <f t="shared" si="15"/>
        <v>939540.32942602201</v>
      </c>
      <c r="BE16" s="115">
        <f t="shared" si="16"/>
        <v>2041.6800587292407</v>
      </c>
      <c r="BF16" s="106"/>
      <c r="BG16" s="116">
        <v>2200</v>
      </c>
      <c r="BH16" s="107">
        <f t="shared" si="7"/>
        <v>1012396</v>
      </c>
      <c r="BI16" s="117">
        <f t="shared" si="17"/>
        <v>72855.670573977986</v>
      </c>
      <c r="BJ16" s="108">
        <f t="shared" si="8"/>
        <v>7.1963609668526926E-2</v>
      </c>
    </row>
    <row r="17" spans="1:62" x14ac:dyDescent="0.3">
      <c r="A17" s="7">
        <f t="shared" si="20"/>
        <v>13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>
        <v>5160</v>
      </c>
      <c r="W17" s="21">
        <v>1720</v>
      </c>
      <c r="X17" s="21">
        <v>760</v>
      </c>
      <c r="Y17" s="21">
        <f>60+3620</f>
        <v>3680</v>
      </c>
      <c r="Z17" s="21">
        <v>5560</v>
      </c>
      <c r="AA17" s="21"/>
      <c r="AB17" s="21"/>
      <c r="AC17" s="27"/>
      <c r="AD17" s="21">
        <f t="shared" si="0"/>
        <v>83980</v>
      </c>
      <c r="AE17" s="21">
        <f t="shared" si="1"/>
        <v>34760</v>
      </c>
      <c r="AF17" s="22">
        <v>40</v>
      </c>
      <c r="AG17" s="21">
        <f>+AD17+AE17-AF17</f>
        <v>118700</v>
      </c>
      <c r="AH17" s="27"/>
      <c r="AI17" s="9">
        <v>90600</v>
      </c>
      <c r="AJ17" s="18">
        <f t="shared" si="10"/>
        <v>28100</v>
      </c>
      <c r="AK17" s="60"/>
      <c r="AL17" s="65">
        <v>40</v>
      </c>
      <c r="AM17" s="60"/>
      <c r="AN17" s="77"/>
      <c r="AO17" s="77">
        <v>55940</v>
      </c>
      <c r="AP17" s="77">
        <f t="shared" si="19"/>
        <v>34660</v>
      </c>
      <c r="AS17" s="3">
        <v>10005721</v>
      </c>
      <c r="AT17" s="3" t="str">
        <f t="shared" si="11"/>
        <v>FEBRERO10005721Inventario final</v>
      </c>
      <c r="AU17" s="3">
        <f>INDEX('[1]Detalle Costos'!$L$5:$L$158,MATCH(AT17,'[1]Detalle Costos'!$C$5:$C$158,0))</f>
        <v>1.74</v>
      </c>
      <c r="AV17" s="102">
        <f t="shared" si="3"/>
        <v>118.7</v>
      </c>
      <c r="AW17" s="103">
        <f t="shared" si="4"/>
        <v>206538</v>
      </c>
      <c r="AX17" s="104">
        <f t="shared" si="5"/>
        <v>21603.4</v>
      </c>
      <c r="AY17" s="103">
        <f t="shared" si="6"/>
        <v>4352.2899306754271</v>
      </c>
      <c r="AZ17" s="103">
        <f t="shared" si="12"/>
        <v>9853.733040485431</v>
      </c>
      <c r="BA17" s="103">
        <f t="shared" si="13"/>
        <v>8238.2319220817299</v>
      </c>
      <c r="BB17" s="103">
        <v>0</v>
      </c>
      <c r="BC17" s="105">
        <f t="shared" si="14"/>
        <v>0</v>
      </c>
      <c r="BD17" s="114">
        <f t="shared" si="15"/>
        <v>242347.42297116088</v>
      </c>
      <c r="BE17" s="115">
        <f t="shared" si="16"/>
        <v>2041.6800587292407</v>
      </c>
      <c r="BF17" s="106"/>
      <c r="BG17" s="116">
        <v>2200</v>
      </c>
      <c r="BH17" s="107">
        <f t="shared" si="7"/>
        <v>261140</v>
      </c>
      <c r="BI17" s="117">
        <f t="shared" si="17"/>
        <v>18792.577028839121</v>
      </c>
      <c r="BJ17" s="108">
        <f t="shared" si="8"/>
        <v>7.1963609668526926E-2</v>
      </c>
    </row>
    <row r="18" spans="1:62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7"/>
      <c r="AD18" s="24">
        <f t="shared" si="0"/>
        <v>940</v>
      </c>
      <c r="AE18" s="24">
        <f t="shared" si="1"/>
        <v>0</v>
      </c>
      <c r="AF18" s="25"/>
      <c r="AG18" s="24">
        <f t="shared" si="9"/>
        <v>940</v>
      </c>
      <c r="AH18" s="27"/>
      <c r="AI18" s="9">
        <v>940</v>
      </c>
      <c r="AJ18" s="18">
        <f t="shared" si="10"/>
        <v>0</v>
      </c>
      <c r="AK18" s="60"/>
      <c r="AL18" s="65"/>
      <c r="AM18" s="60"/>
      <c r="AN18" s="77"/>
      <c r="AO18" s="77">
        <v>940</v>
      </c>
      <c r="AP18" s="77">
        <f t="shared" si="19"/>
        <v>0</v>
      </c>
      <c r="AS18" s="3">
        <v>10005779</v>
      </c>
      <c r="AT18" s="3" t="str">
        <f t="shared" si="11"/>
        <v>FEBRERO10005779Inventario final</v>
      </c>
      <c r="AU18" s="3">
        <f>INDEX('[1]Detalle Costos'!$L$5:$L$158,MATCH(AT18,'[1]Detalle Costos'!$C$5:$C$158,0))</f>
        <v>1.86</v>
      </c>
      <c r="AV18" s="102">
        <f t="shared" si="3"/>
        <v>0.94</v>
      </c>
      <c r="AW18" s="103">
        <f t="shared" si="4"/>
        <v>1748.3999999999999</v>
      </c>
      <c r="AX18" s="104">
        <f t="shared" si="5"/>
        <v>171.07999999999998</v>
      </c>
      <c r="AY18" s="103">
        <f t="shared" si="6"/>
        <v>34.466322955643648</v>
      </c>
      <c r="AZ18" s="103">
        <f t="shared" si="12"/>
        <v>78.032932249842503</v>
      </c>
      <c r="BA18" s="103">
        <f t="shared" si="13"/>
        <v>65.239578826931975</v>
      </c>
      <c r="BB18" s="103">
        <v>0</v>
      </c>
      <c r="BC18" s="105">
        <f t="shared" si="14"/>
        <v>0</v>
      </c>
      <c r="BD18" s="114">
        <f t="shared" si="15"/>
        <v>2031.979255205486</v>
      </c>
      <c r="BE18" s="115">
        <f t="shared" si="16"/>
        <v>2161.6800587292405</v>
      </c>
      <c r="BF18" s="106"/>
      <c r="BG18" s="116">
        <v>1500</v>
      </c>
      <c r="BH18" s="107">
        <f t="shared" si="7"/>
        <v>1410</v>
      </c>
      <c r="BI18" s="117">
        <f t="shared" si="17"/>
        <v>-621.97925520548597</v>
      </c>
      <c r="BJ18" s="108">
        <f t="shared" si="8"/>
        <v>-0.44112003915282694</v>
      </c>
    </row>
    <row r="19" spans="1:62" x14ac:dyDescent="0.3">
      <c r="A19" s="23">
        <f t="shared" ref="A19:A23" si="21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320</v>
      </c>
      <c r="U19" s="24"/>
      <c r="V19" s="24"/>
      <c r="W19" s="24"/>
      <c r="X19" s="24"/>
      <c r="Y19" s="24"/>
      <c r="Z19" s="24"/>
      <c r="AA19" s="24"/>
      <c r="AB19" s="24"/>
      <c r="AC19" s="27"/>
      <c r="AD19" s="24">
        <f t="shared" si="0"/>
        <v>240</v>
      </c>
      <c r="AE19" s="24">
        <f t="shared" si="1"/>
        <v>320</v>
      </c>
      <c r="AF19" s="25"/>
      <c r="AG19" s="24">
        <f t="shared" si="9"/>
        <v>560</v>
      </c>
      <c r="AH19" s="27"/>
      <c r="AI19" s="9">
        <v>240</v>
      </c>
      <c r="AJ19" s="18">
        <f t="shared" si="10"/>
        <v>320</v>
      </c>
      <c r="AK19" s="60"/>
      <c r="AL19" s="65"/>
      <c r="AM19" s="60"/>
      <c r="AN19" s="77"/>
      <c r="AO19" s="77">
        <v>240</v>
      </c>
      <c r="AP19" s="77">
        <f t="shared" si="19"/>
        <v>0</v>
      </c>
      <c r="AS19" s="3">
        <v>10005779</v>
      </c>
      <c r="AT19" s="3" t="str">
        <f t="shared" si="11"/>
        <v>FEBRERO10005779Inventario final</v>
      </c>
      <c r="AU19" s="3">
        <f>INDEX('[1]Detalle Costos'!$L$5:$L$158,MATCH(AT19,'[1]Detalle Costos'!$C$5:$C$158,0))</f>
        <v>1.86</v>
      </c>
      <c r="AV19" s="102">
        <f t="shared" si="3"/>
        <v>0.56000000000000005</v>
      </c>
      <c r="AW19" s="103">
        <f t="shared" si="4"/>
        <v>1041.6000000000001</v>
      </c>
      <c r="AX19" s="104">
        <f t="shared" si="5"/>
        <v>101.92000000000002</v>
      </c>
      <c r="AY19" s="103">
        <f t="shared" si="6"/>
        <v>20.533128569319622</v>
      </c>
      <c r="AZ19" s="103">
        <f t="shared" si="12"/>
        <v>46.487704319055112</v>
      </c>
      <c r="BA19" s="103">
        <f t="shared" si="13"/>
        <v>38.866132067108417</v>
      </c>
      <c r="BB19" s="103">
        <v>0</v>
      </c>
      <c r="BC19" s="105">
        <f t="shared" si="14"/>
        <v>0</v>
      </c>
      <c r="BD19" s="114">
        <f t="shared" si="15"/>
        <v>1210.540832888375</v>
      </c>
      <c r="BE19" s="115">
        <f t="shared" si="16"/>
        <v>2161.680058729241</v>
      </c>
      <c r="BF19" s="106"/>
      <c r="BG19" s="116">
        <v>1500</v>
      </c>
      <c r="BH19" s="107">
        <f t="shared" si="7"/>
        <v>840.00000000000011</v>
      </c>
      <c r="BI19" s="117">
        <f t="shared" si="17"/>
        <v>-370.54083288837489</v>
      </c>
      <c r="BJ19" s="108">
        <f t="shared" si="8"/>
        <v>-0.44112003915282721</v>
      </c>
    </row>
    <row r="20" spans="1:62" x14ac:dyDescent="0.3">
      <c r="A20" s="23">
        <f t="shared" si="21"/>
        <v>16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>
        <f>3120+4200</f>
        <v>7320</v>
      </c>
      <c r="W20" s="24">
        <f>1620+2220</f>
        <v>3840</v>
      </c>
      <c r="X20" s="24">
        <f>1520+880</f>
        <v>2400</v>
      </c>
      <c r="Y20" s="24">
        <f>1280+2900</f>
        <v>4180</v>
      </c>
      <c r="Z20" s="24">
        <f>1140+2760</f>
        <v>3900</v>
      </c>
      <c r="AA20" s="24">
        <v>240</v>
      </c>
      <c r="AB20" s="24"/>
      <c r="AC20" s="27"/>
      <c r="AD20" s="24">
        <f t="shared" si="0"/>
        <v>238560</v>
      </c>
      <c r="AE20" s="24">
        <f t="shared" si="1"/>
        <v>84940</v>
      </c>
      <c r="AF20" s="25">
        <f>40+80+200+20+67800+67800+96000+15000</f>
        <v>246940</v>
      </c>
      <c r="AG20" s="24">
        <f t="shared" si="9"/>
        <v>76560</v>
      </c>
      <c r="AH20" s="27"/>
      <c r="AI20" s="9">
        <f>284220+3360+5640+1100+1280-67800</f>
        <v>227800</v>
      </c>
      <c r="AJ20" s="18">
        <f t="shared" si="10"/>
        <v>-151240</v>
      </c>
      <c r="AK20" s="60"/>
      <c r="AL20" s="65">
        <v>320</v>
      </c>
      <c r="AM20" s="60"/>
      <c r="AN20" s="77"/>
      <c r="AO20" s="77">
        <v>96180</v>
      </c>
      <c r="AP20" s="77">
        <f t="shared" si="19"/>
        <v>131620</v>
      </c>
      <c r="AS20" s="3">
        <v>10005779</v>
      </c>
      <c r="AT20" s="3" t="str">
        <f t="shared" si="11"/>
        <v>FEBRERO10005779Inventario final</v>
      </c>
      <c r="AU20" s="3">
        <f>INDEX('[1]Detalle Costos'!$L$5:$L$158,MATCH(AT20,'[1]Detalle Costos'!$C$5:$C$158,0))</f>
        <v>1.86</v>
      </c>
      <c r="AV20" s="102">
        <f t="shared" si="3"/>
        <v>76.56</v>
      </c>
      <c r="AW20" s="103">
        <f t="shared" si="4"/>
        <v>142401.60000000001</v>
      </c>
      <c r="AX20" s="104">
        <f t="shared" si="5"/>
        <v>13933.92</v>
      </c>
      <c r="AY20" s="103">
        <f t="shared" si="6"/>
        <v>2807.1720058341252</v>
      </c>
      <c r="AZ20" s="103">
        <f t="shared" si="12"/>
        <v>6355.5332904765337</v>
      </c>
      <c r="BA20" s="103">
        <f t="shared" si="13"/>
        <v>5313.5554840318218</v>
      </c>
      <c r="BB20" s="103">
        <v>0</v>
      </c>
      <c r="BC20" s="105">
        <f t="shared" si="14"/>
        <v>0</v>
      </c>
      <c r="BD20" s="114">
        <f t="shared" si="15"/>
        <v>165498.22529631067</v>
      </c>
      <c r="BE20" s="115">
        <f t="shared" si="16"/>
        <v>2161.6800587292405</v>
      </c>
      <c r="BF20" s="106"/>
      <c r="BG20" s="116">
        <v>1500</v>
      </c>
      <c r="BH20" s="107">
        <f t="shared" si="7"/>
        <v>114840</v>
      </c>
      <c r="BI20" s="117">
        <f t="shared" si="17"/>
        <v>-50658.225296310673</v>
      </c>
      <c r="BJ20" s="108">
        <f t="shared" si="8"/>
        <v>-0.44112003915282716</v>
      </c>
    </row>
    <row r="21" spans="1:62" x14ac:dyDescent="0.3">
      <c r="A21" s="23">
        <f t="shared" si="21"/>
        <v>17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>
        <v>280</v>
      </c>
      <c r="W21" s="24">
        <v>120</v>
      </c>
      <c r="X21" s="24">
        <f>60+20</f>
        <v>80</v>
      </c>
      <c r="Y21" s="24">
        <f>20+120</f>
        <v>140</v>
      </c>
      <c r="Z21" s="24">
        <f>20+160</f>
        <v>180</v>
      </c>
      <c r="AA21" s="24"/>
      <c r="AB21" s="24"/>
      <c r="AC21" s="27"/>
      <c r="AD21" s="24">
        <f t="shared" si="0"/>
        <v>9720</v>
      </c>
      <c r="AE21" s="24">
        <f t="shared" si="1"/>
        <v>3780</v>
      </c>
      <c r="AF21" s="25">
        <f>20+10000</f>
        <v>10020</v>
      </c>
      <c r="AG21" s="24">
        <f t="shared" si="9"/>
        <v>3480</v>
      </c>
      <c r="AH21" s="27"/>
      <c r="AI21" s="9">
        <v>12460</v>
      </c>
      <c r="AJ21" s="18">
        <f t="shared" si="10"/>
        <v>-8980</v>
      </c>
      <c r="AK21" s="60"/>
      <c r="AL21" s="65"/>
      <c r="AM21" s="60"/>
      <c r="AN21" s="77"/>
      <c r="AO21" s="77">
        <v>4900</v>
      </c>
      <c r="AP21" s="77">
        <f t="shared" si="19"/>
        <v>7560</v>
      </c>
      <c r="AS21" s="3">
        <v>10005779</v>
      </c>
      <c r="AT21" s="3" t="str">
        <f t="shared" si="11"/>
        <v>FEBRERO10005779Inventario final</v>
      </c>
      <c r="AU21" s="3">
        <f>INDEX('[1]Detalle Costos'!$L$5:$L$158,MATCH(AT21,'[1]Detalle Costos'!$C$5:$C$158,0))</f>
        <v>1.86</v>
      </c>
      <c r="AV21" s="102">
        <f t="shared" si="3"/>
        <v>3.48</v>
      </c>
      <c r="AW21" s="103">
        <f t="shared" si="4"/>
        <v>6472.8</v>
      </c>
      <c r="AX21" s="104">
        <f t="shared" si="5"/>
        <v>633.36</v>
      </c>
      <c r="AY21" s="103">
        <f t="shared" si="6"/>
        <v>127.59872753791478</v>
      </c>
      <c r="AZ21" s="103">
        <f t="shared" si="12"/>
        <v>288.88787683984248</v>
      </c>
      <c r="BA21" s="103">
        <f t="shared" si="13"/>
        <v>241.52524927417369</v>
      </c>
      <c r="BB21" s="103">
        <v>0</v>
      </c>
      <c r="BC21" s="105">
        <f t="shared" si="14"/>
        <v>0</v>
      </c>
      <c r="BD21" s="114">
        <f t="shared" si="15"/>
        <v>7522.6466043777573</v>
      </c>
      <c r="BE21" s="115">
        <f t="shared" si="16"/>
        <v>2161.6800587292405</v>
      </c>
      <c r="BF21" s="106"/>
      <c r="BG21" s="116">
        <v>1500</v>
      </c>
      <c r="BH21" s="107">
        <f t="shared" si="7"/>
        <v>5220</v>
      </c>
      <c r="BI21" s="117">
        <f t="shared" si="17"/>
        <v>-2302.6466043777573</v>
      </c>
      <c r="BJ21" s="108">
        <f t="shared" si="8"/>
        <v>-0.44112003915282705</v>
      </c>
    </row>
    <row r="22" spans="1:62" x14ac:dyDescent="0.3">
      <c r="A22" s="23">
        <f t="shared" si="21"/>
        <v>18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>
        <f>2300+2860</f>
        <v>5160</v>
      </c>
      <c r="W22" s="24">
        <f>1760+1740</f>
        <v>3500</v>
      </c>
      <c r="X22" s="24">
        <f>1420+1080</f>
        <v>2500</v>
      </c>
      <c r="Y22" s="24">
        <f>1100+2600</f>
        <v>3700</v>
      </c>
      <c r="Z22" s="24">
        <f>880+3120</f>
        <v>4000</v>
      </c>
      <c r="AA22" s="24">
        <v>220</v>
      </c>
      <c r="AB22" s="24"/>
      <c r="AC22" s="27"/>
      <c r="AD22" s="24">
        <f t="shared" si="0"/>
        <v>67740</v>
      </c>
      <c r="AE22" s="24">
        <f t="shared" si="1"/>
        <v>33840</v>
      </c>
      <c r="AF22" s="25">
        <f>40+40+48000</f>
        <v>48080</v>
      </c>
      <c r="AG22" s="24">
        <f t="shared" si="9"/>
        <v>53500</v>
      </c>
      <c r="AH22" s="27"/>
      <c r="AI22" s="9">
        <v>78480</v>
      </c>
      <c r="AJ22" s="18">
        <f t="shared" si="10"/>
        <v>-24980</v>
      </c>
      <c r="AK22" s="60"/>
      <c r="AL22" s="65">
        <v>80</v>
      </c>
      <c r="AM22" s="60"/>
      <c r="AN22" s="77"/>
      <c r="AO22" s="77">
        <v>17040</v>
      </c>
      <c r="AP22" s="77">
        <f t="shared" si="19"/>
        <v>61440</v>
      </c>
      <c r="AS22" s="3">
        <v>10005781</v>
      </c>
      <c r="AT22" s="3" t="str">
        <f t="shared" si="11"/>
        <v>FEBRERO10005781Inventario final</v>
      </c>
      <c r="AU22" s="3">
        <f>INDEX('[1]Detalle Costos'!$L$5:$L$158,MATCH(AT22,'[1]Detalle Costos'!$C$5:$C$158,0))</f>
        <v>1.86</v>
      </c>
      <c r="AV22" s="102">
        <f t="shared" si="3"/>
        <v>53.5</v>
      </c>
      <c r="AW22" s="103">
        <f t="shared" si="4"/>
        <v>99510</v>
      </c>
      <c r="AX22" s="104">
        <f t="shared" si="5"/>
        <v>9737</v>
      </c>
      <c r="AY22" s="103">
        <f t="shared" si="6"/>
        <v>1961.6471043903566</v>
      </c>
      <c r="AZ22" s="103">
        <f t="shared" si="12"/>
        <v>4441.2360376240149</v>
      </c>
      <c r="BA22" s="103">
        <f t="shared" si="13"/>
        <v>3713.1036885541071</v>
      </c>
      <c r="BB22" s="103">
        <v>0</v>
      </c>
      <c r="BC22" s="105">
        <f t="shared" si="14"/>
        <v>0</v>
      </c>
      <c r="BD22" s="114">
        <f t="shared" si="15"/>
        <v>115649.88314201437</v>
      </c>
      <c r="BE22" s="115">
        <f t="shared" si="16"/>
        <v>2161.6800587292405</v>
      </c>
      <c r="BF22" s="106"/>
      <c r="BG22" s="116">
        <v>1500</v>
      </c>
      <c r="BH22" s="107">
        <f t="shared" si="7"/>
        <v>80250</v>
      </c>
      <c r="BI22" s="117">
        <f t="shared" si="17"/>
        <v>-35399.883142014369</v>
      </c>
      <c r="BJ22" s="108">
        <f t="shared" si="8"/>
        <v>-0.44112003915282705</v>
      </c>
    </row>
    <row r="23" spans="1:62" x14ac:dyDescent="0.3">
      <c r="A23" s="23">
        <f t="shared" si="21"/>
        <v>19</v>
      </c>
      <c r="B23" s="32">
        <v>10009386</v>
      </c>
      <c r="C23" s="32" t="s">
        <v>63</v>
      </c>
      <c r="D23" s="56">
        <v>27480</v>
      </c>
      <c r="E23" s="24">
        <v>400</v>
      </c>
      <c r="F23" s="24">
        <f>260+380</f>
        <v>640</v>
      </c>
      <c r="G23" s="24"/>
      <c r="H23" s="24"/>
      <c r="I23" s="24"/>
      <c r="J23" s="24"/>
      <c r="K23" s="24">
        <f>220+400</f>
        <v>620</v>
      </c>
      <c r="L23" s="24">
        <v>300</v>
      </c>
      <c r="M23" s="24">
        <v>740</v>
      </c>
      <c r="N23" s="24">
        <f>200+140</f>
        <v>340</v>
      </c>
      <c r="O23" s="24">
        <v>200</v>
      </c>
      <c r="P23" s="24">
        <f>260+160</f>
        <v>420</v>
      </c>
      <c r="Q23" s="24">
        <v>720</v>
      </c>
      <c r="R23" s="24">
        <v>180</v>
      </c>
      <c r="S23" s="24">
        <v>180</v>
      </c>
      <c r="T23" s="24">
        <v>460</v>
      </c>
      <c r="U23" s="24"/>
      <c r="V23" s="24">
        <v>800</v>
      </c>
      <c r="W23" s="24">
        <v>560</v>
      </c>
      <c r="X23" s="24">
        <f>240+140</f>
        <v>380</v>
      </c>
      <c r="Y23" s="24">
        <v>680</v>
      </c>
      <c r="Z23" s="24">
        <v>740</v>
      </c>
      <c r="AA23" s="24"/>
      <c r="AB23" s="24"/>
      <c r="AC23" s="27"/>
      <c r="AD23" s="24">
        <f t="shared" si="0"/>
        <v>27480</v>
      </c>
      <c r="AE23" s="24">
        <f t="shared" si="1"/>
        <v>8360</v>
      </c>
      <c r="AF23" s="25"/>
      <c r="AG23" s="24">
        <f t="shared" si="9"/>
        <v>35840</v>
      </c>
      <c r="AH23" s="27"/>
      <c r="AI23" s="9">
        <v>32040</v>
      </c>
      <c r="AJ23" s="18">
        <f t="shared" si="10"/>
        <v>3800</v>
      </c>
      <c r="AK23" s="60"/>
      <c r="AL23" s="65"/>
      <c r="AM23" s="60"/>
      <c r="AN23" s="77"/>
      <c r="AO23" s="77">
        <v>9860</v>
      </c>
      <c r="AP23" s="77">
        <f t="shared" si="19"/>
        <v>22180</v>
      </c>
      <c r="AS23" s="3">
        <v>10009386</v>
      </c>
      <c r="AT23" s="3" t="str">
        <f t="shared" si="11"/>
        <v>FEBRERO10009386Inventario final</v>
      </c>
      <c r="AU23" s="3" t="e">
        <f>INDEX('[1]Detalle Costos'!$L$5:$L$158,MATCH(AT23,'[1]Detalle Costos'!$C$5:$C$158,0))</f>
        <v>#N/A</v>
      </c>
      <c r="AV23" s="102">
        <f t="shared" si="3"/>
        <v>0</v>
      </c>
      <c r="AW23" s="103">
        <f t="shared" si="4"/>
        <v>0</v>
      </c>
      <c r="AX23" s="104">
        <f t="shared" si="5"/>
        <v>0</v>
      </c>
      <c r="AY23" s="103">
        <f t="shared" si="6"/>
        <v>0</v>
      </c>
      <c r="AZ23" s="103">
        <f t="shared" si="12"/>
        <v>0</v>
      </c>
      <c r="BA23" s="103">
        <f t="shared" si="13"/>
        <v>0</v>
      </c>
      <c r="BB23" s="103">
        <v>0</v>
      </c>
      <c r="BC23" s="105">
        <f t="shared" si="14"/>
        <v>0</v>
      </c>
      <c r="BD23" s="114">
        <f t="shared" si="15"/>
        <v>0</v>
      </c>
      <c r="BE23" s="115">
        <f t="shared" si="16"/>
        <v>0</v>
      </c>
      <c r="BF23" s="106"/>
      <c r="BG23" s="116"/>
      <c r="BH23" s="107">
        <f t="shared" si="7"/>
        <v>0</v>
      </c>
      <c r="BI23" s="117">
        <f t="shared" si="17"/>
        <v>0</v>
      </c>
      <c r="BJ23" s="108">
        <f t="shared" si="8"/>
        <v>0</v>
      </c>
    </row>
    <row r="24" spans="1:62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>
        <f>560+640</f>
        <v>1200</v>
      </c>
      <c r="W24" s="10">
        <f>4980+1980</f>
        <v>6960</v>
      </c>
      <c r="X24" s="10">
        <f>1240+620</f>
        <v>1860</v>
      </c>
      <c r="Y24" s="10">
        <f>1060+2180</f>
        <v>3240</v>
      </c>
      <c r="Z24" s="10">
        <f>500+3160</f>
        <v>3660</v>
      </c>
      <c r="AA24" s="10"/>
      <c r="AB24" s="10"/>
      <c r="AC24" s="26"/>
      <c r="AD24" s="10">
        <f t="shared" si="0"/>
        <v>104880</v>
      </c>
      <c r="AE24" s="10">
        <f t="shared" si="1"/>
        <v>51320</v>
      </c>
      <c r="AF24" s="14">
        <f>25000+26000</f>
        <v>51000</v>
      </c>
      <c r="AG24" s="10">
        <f t="shared" si="9"/>
        <v>105200</v>
      </c>
      <c r="AH24" s="27"/>
      <c r="AI24" s="9">
        <v>110160</v>
      </c>
      <c r="AJ24" s="18">
        <f t="shared" si="10"/>
        <v>-4960</v>
      </c>
      <c r="AK24" s="60"/>
      <c r="AL24" s="37"/>
      <c r="AM24" s="60">
        <v>25000</v>
      </c>
      <c r="AN24" s="77"/>
      <c r="AO24" s="77">
        <v>30440</v>
      </c>
      <c r="AP24" s="77">
        <f t="shared" si="19"/>
        <v>79720</v>
      </c>
      <c r="AS24" s="8">
        <v>10007567</v>
      </c>
      <c r="AT24" s="3" t="str">
        <f t="shared" si="11"/>
        <v>FEBRERO10007567Inventario final</v>
      </c>
      <c r="AU24" s="8">
        <f>INDEX('[1]Detalle Costos'!$L$5:$L$158,MATCH(AT24,'[1]Detalle Costos'!$C$5:$C$158,0))</f>
        <v>1.7</v>
      </c>
      <c r="AV24" s="102">
        <f t="shared" si="3"/>
        <v>105.2</v>
      </c>
      <c r="AW24" s="103">
        <f t="shared" si="4"/>
        <v>178840</v>
      </c>
      <c r="AX24" s="104">
        <f t="shared" si="5"/>
        <v>19146.400000000001</v>
      </c>
      <c r="AY24" s="109">
        <f t="shared" si="6"/>
        <v>3857.2948669507573</v>
      </c>
      <c r="AZ24" s="103">
        <f t="shared" si="12"/>
        <v>8733.0473113653516</v>
      </c>
      <c r="BA24" s="103">
        <f t="shared" si="13"/>
        <v>7301.2805240353655</v>
      </c>
      <c r="BB24" s="103">
        <v>0</v>
      </c>
      <c r="BC24" s="105">
        <f t="shared" si="14"/>
        <v>0</v>
      </c>
      <c r="BD24" s="114">
        <f t="shared" si="15"/>
        <v>210576.74217831608</v>
      </c>
      <c r="BE24" s="115">
        <f t="shared" si="16"/>
        <v>2001.6800587292403</v>
      </c>
      <c r="BF24" s="106"/>
      <c r="BG24" s="116">
        <v>2900</v>
      </c>
      <c r="BH24" s="107">
        <f t="shared" si="7"/>
        <v>305080</v>
      </c>
      <c r="BI24" s="117">
        <f t="shared" si="17"/>
        <v>94503.257821683917</v>
      </c>
      <c r="BJ24" s="108">
        <f t="shared" si="8"/>
        <v>0.30976549698991712</v>
      </c>
    </row>
    <row r="25" spans="1:62" x14ac:dyDescent="0.3">
      <c r="A25" s="11">
        <f t="shared" ref="A25:A30" si="22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220</v>
      </c>
      <c r="W25" s="10"/>
      <c r="X25" s="10"/>
      <c r="Y25" s="10"/>
      <c r="Z25" s="10"/>
      <c r="AA25" s="10"/>
      <c r="AB25" s="10"/>
      <c r="AC25" s="26"/>
      <c r="AD25" s="10">
        <f t="shared" si="0"/>
        <v>140</v>
      </c>
      <c r="AE25" s="10">
        <f t="shared" si="1"/>
        <v>220</v>
      </c>
      <c r="AF25" s="14"/>
      <c r="AG25" s="10">
        <f>+AD25+AE25-AF25</f>
        <v>360</v>
      </c>
      <c r="AH25" s="27"/>
      <c r="AI25" s="9">
        <v>140</v>
      </c>
      <c r="AJ25" s="18">
        <f t="shared" si="10"/>
        <v>220</v>
      </c>
      <c r="AK25" s="60"/>
      <c r="AL25" s="65"/>
      <c r="AM25" s="60"/>
      <c r="AN25" s="77"/>
      <c r="AO25" s="77">
        <v>140</v>
      </c>
      <c r="AP25" s="77">
        <f t="shared" si="19"/>
        <v>0</v>
      </c>
      <c r="AS25" s="3">
        <v>10007162</v>
      </c>
      <c r="AT25" s="3" t="str">
        <f t="shared" si="11"/>
        <v>FEBRERO10007162Inventario final</v>
      </c>
      <c r="AU25" s="3">
        <f>INDEX('[1]Detalle Costos'!$L$5:$L$158,MATCH(AT25,'[1]Detalle Costos'!$C$5:$C$158,0))</f>
        <v>1.72</v>
      </c>
      <c r="AV25" s="102">
        <f t="shared" si="3"/>
        <v>0.36</v>
      </c>
      <c r="AW25" s="103">
        <f t="shared" si="4"/>
        <v>619.19999999999993</v>
      </c>
      <c r="AX25" s="104">
        <f t="shared" si="5"/>
        <v>65.52</v>
      </c>
      <c r="AY25" s="103">
        <f t="shared" si="6"/>
        <v>13.199868365991184</v>
      </c>
      <c r="AZ25" s="103">
        <f t="shared" si="12"/>
        <v>29.884952776535425</v>
      </c>
      <c r="BA25" s="103">
        <f t="shared" si="13"/>
        <v>24.985370614569693</v>
      </c>
      <c r="BB25" s="103">
        <v>0</v>
      </c>
      <c r="BC25" s="105">
        <f t="shared" si="14"/>
        <v>0</v>
      </c>
      <c r="BD25" s="114">
        <f t="shared" si="15"/>
        <v>727.80482114252652</v>
      </c>
      <c r="BE25" s="115">
        <f t="shared" si="16"/>
        <v>2021.6800587292405</v>
      </c>
      <c r="BF25" s="106"/>
      <c r="BG25" s="116">
        <v>2900</v>
      </c>
      <c r="BH25" s="107">
        <f t="shared" si="7"/>
        <v>1044</v>
      </c>
      <c r="BI25" s="117">
        <f t="shared" si="17"/>
        <v>316.19517885747348</v>
      </c>
      <c r="BJ25" s="108">
        <f t="shared" si="8"/>
        <v>0.30286894526577918</v>
      </c>
    </row>
    <row r="26" spans="1:62" x14ac:dyDescent="0.3">
      <c r="A26" s="11">
        <f t="shared" si="22"/>
        <v>22</v>
      </c>
      <c r="B26" s="12" t="s">
        <v>16</v>
      </c>
      <c r="C26" s="12" t="s">
        <v>17</v>
      </c>
      <c r="D26" s="57">
        <v>6240</v>
      </c>
      <c r="E26" s="10">
        <v>260</v>
      </c>
      <c r="F26" s="10">
        <f>140+360</f>
        <v>500</v>
      </c>
      <c r="G26" s="10"/>
      <c r="H26" s="10"/>
      <c r="I26" s="10"/>
      <c r="J26" s="10"/>
      <c r="K26" s="10">
        <f>80+320</f>
        <v>400</v>
      </c>
      <c r="L26" s="10">
        <v>220</v>
      </c>
      <c r="M26" s="10">
        <f>40+480</f>
        <v>520</v>
      </c>
      <c r="N26" s="10">
        <f>60+120</f>
        <v>180</v>
      </c>
      <c r="O26" s="10">
        <v>140</v>
      </c>
      <c r="P26" s="10">
        <f>240+140</f>
        <v>380</v>
      </c>
      <c r="Q26" s="10">
        <v>560</v>
      </c>
      <c r="R26" s="10">
        <f>80+100</f>
        <v>180</v>
      </c>
      <c r="S26" s="10"/>
      <c r="T26" s="10">
        <f>40+220</f>
        <v>260</v>
      </c>
      <c r="U26" s="10"/>
      <c r="V26" s="10">
        <f>40+160</f>
        <v>200</v>
      </c>
      <c r="W26" s="10">
        <f>100+140</f>
        <v>240</v>
      </c>
      <c r="X26" s="10">
        <f>60+120</f>
        <v>180</v>
      </c>
      <c r="Y26" s="10">
        <f>20+160</f>
        <v>180</v>
      </c>
      <c r="Z26" s="10">
        <f>120+100</f>
        <v>220</v>
      </c>
      <c r="AA26" s="10"/>
      <c r="AB26" s="10"/>
      <c r="AC26" s="26"/>
      <c r="AD26" s="10">
        <f t="shared" si="0"/>
        <v>6240</v>
      </c>
      <c r="AE26" s="10">
        <f t="shared" si="1"/>
        <v>4620</v>
      </c>
      <c r="AF26" s="14"/>
      <c r="AG26" s="10">
        <f>+AD26+AE26-AF26</f>
        <v>10860</v>
      </c>
      <c r="AH26" s="27"/>
      <c r="AI26" s="9">
        <v>9580</v>
      </c>
      <c r="AJ26" s="18">
        <f t="shared" si="10"/>
        <v>1280</v>
      </c>
      <c r="AK26" s="60"/>
      <c r="AL26" s="65"/>
      <c r="AM26" s="60"/>
      <c r="AN26" s="77"/>
      <c r="AO26" s="77">
        <v>13760</v>
      </c>
      <c r="AP26" s="77">
        <f t="shared" si="19"/>
        <v>-4180</v>
      </c>
      <c r="AS26" s="3">
        <v>10007162</v>
      </c>
      <c r="AT26" s="3" t="str">
        <f t="shared" si="11"/>
        <v>FEBRERO10007162Inventario final</v>
      </c>
      <c r="AU26" s="3">
        <f>INDEX('[1]Detalle Costos'!$L$5:$L$158,MATCH(AT26,'[1]Detalle Costos'!$C$5:$C$158,0))</f>
        <v>1.72</v>
      </c>
      <c r="AV26" s="102">
        <f t="shared" si="3"/>
        <v>10.86</v>
      </c>
      <c r="AW26" s="103">
        <f t="shared" si="4"/>
        <v>18679.199999999997</v>
      </c>
      <c r="AX26" s="104">
        <f t="shared" si="5"/>
        <v>1976.52</v>
      </c>
      <c r="AY26" s="103">
        <f t="shared" si="6"/>
        <v>398.19602904073406</v>
      </c>
      <c r="AZ26" s="103">
        <f t="shared" si="12"/>
        <v>901.52940875881859</v>
      </c>
      <c r="BA26" s="103">
        <f t="shared" si="13"/>
        <v>753.72534687285236</v>
      </c>
      <c r="BB26" s="103">
        <v>0</v>
      </c>
      <c r="BC26" s="105">
        <f t="shared" si="14"/>
        <v>0</v>
      </c>
      <c r="BD26" s="114">
        <f t="shared" si="15"/>
        <v>21955.44543779955</v>
      </c>
      <c r="BE26" s="115">
        <f t="shared" si="16"/>
        <v>2021.6800587292405</v>
      </c>
      <c r="BF26" s="106"/>
      <c r="BG26" s="116">
        <v>2900</v>
      </c>
      <c r="BH26" s="107">
        <f t="shared" si="7"/>
        <v>31494</v>
      </c>
      <c r="BI26" s="117">
        <f t="shared" si="17"/>
        <v>9538.5545622004502</v>
      </c>
      <c r="BJ26" s="108">
        <f t="shared" si="8"/>
        <v>0.30286894526577918</v>
      </c>
    </row>
    <row r="27" spans="1:62" x14ac:dyDescent="0.3">
      <c r="A27" s="11">
        <f t="shared" si="22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540</v>
      </c>
      <c r="U27" s="10"/>
      <c r="V27" s="10"/>
      <c r="W27" s="10"/>
      <c r="X27" s="10"/>
      <c r="Y27" s="10"/>
      <c r="Z27" s="10"/>
      <c r="AA27" s="10"/>
      <c r="AB27" s="10"/>
      <c r="AC27" s="26"/>
      <c r="AD27" s="10">
        <f t="shared" si="0"/>
        <v>200</v>
      </c>
      <c r="AE27" s="10">
        <f t="shared" si="1"/>
        <v>540</v>
      </c>
      <c r="AF27" s="14"/>
      <c r="AG27" s="10">
        <f t="shared" si="9"/>
        <v>740</v>
      </c>
      <c r="AH27" s="27"/>
      <c r="AI27" s="9">
        <v>200</v>
      </c>
      <c r="AJ27" s="18">
        <f t="shared" si="10"/>
        <v>540</v>
      </c>
      <c r="AK27" s="60"/>
      <c r="AL27" s="65"/>
      <c r="AM27" s="60"/>
      <c r="AN27" s="77"/>
      <c r="AO27" s="77">
        <v>180</v>
      </c>
      <c r="AP27" s="77">
        <f t="shared" si="19"/>
        <v>20</v>
      </c>
      <c r="AS27" s="3">
        <v>10007162</v>
      </c>
      <c r="AT27" s="3" t="str">
        <f t="shared" si="11"/>
        <v>FEBRERO10007162Inventario final</v>
      </c>
      <c r="AU27" s="3">
        <f>INDEX('[1]Detalle Costos'!$L$5:$L$158,MATCH(AT27,'[1]Detalle Costos'!$C$5:$C$158,0))</f>
        <v>1.72</v>
      </c>
      <c r="AV27" s="102">
        <f t="shared" si="3"/>
        <v>0.74</v>
      </c>
      <c r="AW27" s="103">
        <f t="shared" si="4"/>
        <v>1272.8</v>
      </c>
      <c r="AX27" s="104">
        <f t="shared" si="5"/>
        <v>134.68</v>
      </c>
      <c r="AY27" s="103">
        <f t="shared" si="6"/>
        <v>27.133062752315212</v>
      </c>
      <c r="AZ27" s="103">
        <f t="shared" si="12"/>
        <v>61.430180707322819</v>
      </c>
      <c r="BA27" s="103">
        <f t="shared" si="13"/>
        <v>51.358817374393254</v>
      </c>
      <c r="BB27" s="103">
        <v>0</v>
      </c>
      <c r="BC27" s="105">
        <f t="shared" si="14"/>
        <v>0</v>
      </c>
      <c r="BD27" s="114">
        <f t="shared" si="15"/>
        <v>1496.043243459638</v>
      </c>
      <c r="BE27" s="115">
        <f t="shared" si="16"/>
        <v>2021.6800587292405</v>
      </c>
      <c r="BF27" s="106"/>
      <c r="BG27" s="116">
        <v>2900</v>
      </c>
      <c r="BH27" s="107">
        <f t="shared" si="7"/>
        <v>2146</v>
      </c>
      <c r="BI27" s="117">
        <f t="shared" si="17"/>
        <v>649.95675654036199</v>
      </c>
      <c r="BJ27" s="108">
        <f t="shared" si="8"/>
        <v>0.30286894526577912</v>
      </c>
    </row>
    <row r="28" spans="1:62" x14ac:dyDescent="0.3">
      <c r="A28" s="11">
        <f t="shared" si="22"/>
        <v>24</v>
      </c>
      <c r="B28" s="12" t="s">
        <v>49</v>
      </c>
      <c r="C28" s="12" t="s">
        <v>50</v>
      </c>
      <c r="D28" s="57">
        <v>288880</v>
      </c>
      <c r="E28" s="10">
        <f>5880+5540</f>
        <v>11420</v>
      </c>
      <c r="F28" s="10">
        <f>7660+10080</f>
        <v>17740</v>
      </c>
      <c r="G28" s="10"/>
      <c r="H28" s="10"/>
      <c r="I28" s="10"/>
      <c r="J28" s="10"/>
      <c r="K28" s="10">
        <f>8420+9320</f>
        <v>17740</v>
      </c>
      <c r="L28" s="10">
        <v>7500</v>
      </c>
      <c r="M28" s="10">
        <f>10580+9480</f>
        <v>20060</v>
      </c>
      <c r="N28" s="10">
        <f>6880+1820</f>
        <v>8700</v>
      </c>
      <c r="O28" s="10">
        <v>6920</v>
      </c>
      <c r="P28" s="10">
        <f>6540+4320</f>
        <v>10860</v>
      </c>
      <c r="Q28" s="10">
        <f>9480+9680</f>
        <v>19160</v>
      </c>
      <c r="R28" s="10">
        <f>5500+480</f>
        <v>5980</v>
      </c>
      <c r="S28" s="10">
        <v>3000</v>
      </c>
      <c r="T28" s="10">
        <f>7780+3180</f>
        <v>10960</v>
      </c>
      <c r="U28" s="10"/>
      <c r="V28" s="10">
        <f>6860+11160</f>
        <v>18020</v>
      </c>
      <c r="W28" s="10">
        <f>5720+4740</f>
        <v>10460</v>
      </c>
      <c r="X28" s="10">
        <f>4340+2240</f>
        <v>6580</v>
      </c>
      <c r="Y28" s="10">
        <f>4340+6720</f>
        <v>11060</v>
      </c>
      <c r="Z28" s="10">
        <f>6820+4880</f>
        <v>11700</v>
      </c>
      <c r="AA28" s="10"/>
      <c r="AB28" s="10"/>
      <c r="AC28" s="26"/>
      <c r="AD28" s="10">
        <f t="shared" si="0"/>
        <v>288880</v>
      </c>
      <c r="AE28" s="10">
        <f t="shared" si="1"/>
        <v>197860</v>
      </c>
      <c r="AF28" s="14">
        <f>26000+177000+25000</f>
        <v>228000</v>
      </c>
      <c r="AG28" s="10">
        <f t="shared" si="9"/>
        <v>258740</v>
      </c>
      <c r="AH28" s="27"/>
      <c r="AI28" s="9">
        <v>186960</v>
      </c>
      <c r="AJ28" s="18">
        <f t="shared" si="10"/>
        <v>71780</v>
      </c>
      <c r="AK28" s="60"/>
      <c r="AL28" s="65"/>
      <c r="AM28" s="60">
        <f>26000+177000+25000</f>
        <v>228000</v>
      </c>
      <c r="AN28" s="77"/>
      <c r="AO28" s="77">
        <v>49100</v>
      </c>
      <c r="AP28" s="77">
        <f t="shared" si="19"/>
        <v>137860</v>
      </c>
      <c r="AS28" s="3">
        <v>10007162</v>
      </c>
      <c r="AT28" s="3" t="str">
        <f t="shared" si="11"/>
        <v>FEBRERO10007162Inventario final</v>
      </c>
      <c r="AU28" s="3">
        <f>INDEX('[1]Detalle Costos'!$L$5:$L$158,MATCH(AT28,'[1]Detalle Costos'!$C$5:$C$158,0))</f>
        <v>1.72</v>
      </c>
      <c r="AV28" s="102">
        <f t="shared" si="3"/>
        <v>258.74</v>
      </c>
      <c r="AW28" s="103">
        <f t="shared" si="4"/>
        <v>445032.8</v>
      </c>
      <c r="AX28" s="104">
        <f t="shared" si="5"/>
        <v>47090.68</v>
      </c>
      <c r="AY28" s="103">
        <f t="shared" si="6"/>
        <v>9487.0387250459971</v>
      </c>
      <c r="AZ28" s="103">
        <f t="shared" si="12"/>
        <v>21478.979670557714</v>
      </c>
      <c r="BA28" s="103">
        <f t="shared" si="13"/>
        <v>17957.541091149342</v>
      </c>
      <c r="BB28" s="103">
        <v>0</v>
      </c>
      <c r="BC28" s="105">
        <f t="shared" si="14"/>
        <v>0</v>
      </c>
      <c r="BD28" s="114">
        <f t="shared" si="15"/>
        <v>523089.49839560367</v>
      </c>
      <c r="BE28" s="115">
        <f t="shared" si="16"/>
        <v>2021.6800587292403</v>
      </c>
      <c r="BF28" s="106"/>
      <c r="BG28" s="116">
        <v>2900</v>
      </c>
      <c r="BH28" s="107">
        <f t="shared" si="7"/>
        <v>750346</v>
      </c>
      <c r="BI28" s="117">
        <f t="shared" si="17"/>
        <v>227256.50160439633</v>
      </c>
      <c r="BJ28" s="108">
        <f t="shared" si="8"/>
        <v>0.30286894526577918</v>
      </c>
    </row>
    <row r="29" spans="1:62" ht="15.6" customHeight="1" x14ac:dyDescent="0.3">
      <c r="A29" s="11">
        <f t="shared" si="22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26"/>
      <c r="AD29" s="10">
        <f t="shared" si="0"/>
        <v>1960</v>
      </c>
      <c r="AE29" s="10">
        <f t="shared" si="1"/>
        <v>0</v>
      </c>
      <c r="AF29" s="14"/>
      <c r="AG29" s="10">
        <f>+AD29+AE29-AF29</f>
        <v>1960</v>
      </c>
      <c r="AH29" s="27"/>
      <c r="AI29" s="9">
        <v>1960</v>
      </c>
      <c r="AJ29" s="18">
        <f t="shared" si="10"/>
        <v>0</v>
      </c>
      <c r="AK29" s="60"/>
      <c r="AL29" s="65"/>
      <c r="AM29" s="60"/>
      <c r="AN29" s="77"/>
      <c r="AO29" s="77">
        <v>1960</v>
      </c>
      <c r="AP29" s="77">
        <f t="shared" si="19"/>
        <v>0</v>
      </c>
      <c r="AS29" s="3">
        <v>10009639</v>
      </c>
      <c r="AT29" s="3" t="str">
        <f t="shared" si="11"/>
        <v>FEBRERO10009639Inventario final</v>
      </c>
      <c r="AU29" s="3">
        <f>INDEX('[1]Detalle Costos'!$L$5:$L$158,MATCH(AT29,'[1]Detalle Costos'!$C$5:$C$158,0))</f>
        <v>1.75</v>
      </c>
      <c r="AV29" s="102">
        <f t="shared" si="3"/>
        <v>1.96</v>
      </c>
      <c r="AW29" s="103">
        <f t="shared" si="4"/>
        <v>3429.9999999999995</v>
      </c>
      <c r="AX29" s="104">
        <f t="shared" si="5"/>
        <v>356.71999999999997</v>
      </c>
      <c r="AY29" s="103">
        <f t="shared" si="6"/>
        <v>71.865949992618667</v>
      </c>
      <c r="AZ29" s="103">
        <f t="shared" si="12"/>
        <v>162.70696511669288</v>
      </c>
      <c r="BA29" s="103">
        <f t="shared" si="13"/>
        <v>136.03146223487943</v>
      </c>
      <c r="BB29" s="103">
        <v>0</v>
      </c>
      <c r="BC29" s="105">
        <f t="shared" si="14"/>
        <v>0</v>
      </c>
      <c r="BD29" s="114">
        <f t="shared" si="15"/>
        <v>4021.2929151093113</v>
      </c>
      <c r="BE29" s="115">
        <f t="shared" si="16"/>
        <v>2051.6800587292405</v>
      </c>
      <c r="BF29" s="106"/>
      <c r="BG29" s="116">
        <v>2900</v>
      </c>
      <c r="BH29" s="107">
        <f t="shared" si="7"/>
        <v>5684</v>
      </c>
      <c r="BI29" s="117">
        <f t="shared" si="17"/>
        <v>1662.7070848906887</v>
      </c>
      <c r="BJ29" s="108">
        <f t="shared" si="8"/>
        <v>0.29252411767957226</v>
      </c>
    </row>
    <row r="30" spans="1:62" x14ac:dyDescent="0.3">
      <c r="A30" s="11">
        <f t="shared" si="22"/>
        <v>26</v>
      </c>
      <c r="B30" s="12">
        <v>10009639</v>
      </c>
      <c r="C30" s="12" t="s">
        <v>69</v>
      </c>
      <c r="D30" s="57">
        <v>47080</v>
      </c>
      <c r="E30" s="10">
        <v>980</v>
      </c>
      <c r="F30" s="10">
        <f>520+1240</f>
        <v>1760</v>
      </c>
      <c r="G30" s="10"/>
      <c r="H30" s="10"/>
      <c r="I30" s="10"/>
      <c r="J30" s="10"/>
      <c r="K30" s="10">
        <f>640+1460</f>
        <v>2100</v>
      </c>
      <c r="L30" s="10">
        <v>800</v>
      </c>
      <c r="M30" s="10">
        <f>800+1340</f>
        <v>2140</v>
      </c>
      <c r="N30" s="10">
        <f>900+420</f>
        <v>1320</v>
      </c>
      <c r="O30" s="10">
        <v>860</v>
      </c>
      <c r="P30" s="10">
        <f>460+340</f>
        <v>800</v>
      </c>
      <c r="Q30" s="10">
        <f>640+960</f>
        <v>1600</v>
      </c>
      <c r="R30" s="10">
        <f>460+460</f>
        <v>920</v>
      </c>
      <c r="S30" s="10">
        <v>980</v>
      </c>
      <c r="T30" s="10">
        <f>2740+1860</f>
        <v>4600</v>
      </c>
      <c r="U30" s="10"/>
      <c r="V30" s="10">
        <f>2140+4460</f>
        <v>6600</v>
      </c>
      <c r="W30" s="10">
        <f>2700+2240</f>
        <v>4940</v>
      </c>
      <c r="X30" s="10">
        <f>1380+1140</f>
        <v>2520</v>
      </c>
      <c r="Y30" s="10">
        <f>1760+3560</f>
        <v>5320</v>
      </c>
      <c r="Z30" s="10">
        <f>3080+2960</f>
        <v>6040</v>
      </c>
      <c r="AA30" s="10"/>
      <c r="AB30" s="10"/>
      <c r="AC30" s="26"/>
      <c r="AD30" s="10">
        <f t="shared" si="0"/>
        <v>47080</v>
      </c>
      <c r="AE30" s="10">
        <f t="shared" si="1"/>
        <v>44280</v>
      </c>
      <c r="AF30" s="14">
        <f>24000+27000</f>
        <v>51000</v>
      </c>
      <c r="AG30" s="10">
        <f>+AD30+AE30-AF30</f>
        <v>40360</v>
      </c>
      <c r="AH30" s="27"/>
      <c r="AI30" s="9">
        <v>36360</v>
      </c>
      <c r="AJ30" s="18">
        <f t="shared" si="10"/>
        <v>4000</v>
      </c>
      <c r="AK30" s="60"/>
      <c r="AL30" s="65"/>
      <c r="AM30" s="60">
        <v>24000</v>
      </c>
      <c r="AN30" s="77"/>
      <c r="AO30" s="77">
        <v>3960</v>
      </c>
      <c r="AP30" s="77">
        <f t="shared" si="19"/>
        <v>32400</v>
      </c>
      <c r="AS30" s="3">
        <v>10009639</v>
      </c>
      <c r="AT30" s="3" t="str">
        <f t="shared" si="11"/>
        <v>FEBRERO10009639Inventario final</v>
      </c>
      <c r="AU30" s="3">
        <f>INDEX('[1]Detalle Costos'!$L$5:$L$158,MATCH(AT30,'[1]Detalle Costos'!$C$5:$C$158,0))</f>
        <v>1.75</v>
      </c>
      <c r="AV30" s="102">
        <f t="shared" si="3"/>
        <v>40.36</v>
      </c>
      <c r="AW30" s="103">
        <f t="shared" si="4"/>
        <v>70630</v>
      </c>
      <c r="AX30" s="104">
        <f t="shared" si="5"/>
        <v>7345.5199999999995</v>
      </c>
      <c r="AY30" s="103">
        <f t="shared" si="6"/>
        <v>1479.8519090316784</v>
      </c>
      <c r="AZ30" s="103">
        <f t="shared" si="12"/>
        <v>3350.4352612804714</v>
      </c>
      <c r="BA30" s="103">
        <f t="shared" si="13"/>
        <v>2801.1376611223131</v>
      </c>
      <c r="BB30" s="103">
        <v>0</v>
      </c>
      <c r="BC30" s="105">
        <f t="shared" si="14"/>
        <v>0</v>
      </c>
      <c r="BD30" s="114">
        <f t="shared" si="15"/>
        <v>82805.807170312153</v>
      </c>
      <c r="BE30" s="115">
        <f t="shared" si="16"/>
        <v>2051.6800587292405</v>
      </c>
      <c r="BF30" s="106"/>
      <c r="BG30" s="116">
        <v>2900</v>
      </c>
      <c r="BH30" s="107">
        <f t="shared" si="7"/>
        <v>117044</v>
      </c>
      <c r="BI30" s="117">
        <f t="shared" si="17"/>
        <v>34238.192829687847</v>
      </c>
      <c r="BJ30" s="108">
        <f t="shared" si="8"/>
        <v>0.2925241176795722</v>
      </c>
    </row>
    <row r="31" spans="1:62" x14ac:dyDescent="0.3">
      <c r="A31" s="28">
        <f>+A30+1</f>
        <v>27</v>
      </c>
      <c r="B31" s="31" t="s">
        <v>53</v>
      </c>
      <c r="C31" s="31" t="s">
        <v>54</v>
      </c>
      <c r="D31" s="58">
        <v>287540</v>
      </c>
      <c r="E31" s="29">
        <v>2980</v>
      </c>
      <c r="F31" s="29">
        <v>4360</v>
      </c>
      <c r="G31" s="29">
        <f>9400+9920</f>
        <v>19320</v>
      </c>
      <c r="H31" s="29">
        <v>6580</v>
      </c>
      <c r="I31" s="29"/>
      <c r="J31" s="29"/>
      <c r="K31" s="29">
        <v>8240</v>
      </c>
      <c r="L31" s="29">
        <f>8740+8460</f>
        <v>17200</v>
      </c>
      <c r="M31" s="29">
        <v>9740</v>
      </c>
      <c r="N31" s="29">
        <f>7920+11360</f>
        <v>19280</v>
      </c>
      <c r="O31" s="29">
        <v>4240</v>
      </c>
      <c r="P31" s="29">
        <f>3540+13020</f>
        <v>16560</v>
      </c>
      <c r="Q31" s="29">
        <v>5120</v>
      </c>
      <c r="R31" s="29">
        <f>11820+13600</f>
        <v>25420</v>
      </c>
      <c r="S31" s="29">
        <v>2360</v>
      </c>
      <c r="T31" s="29">
        <f>2540+2840</f>
        <v>5380</v>
      </c>
      <c r="U31" s="29">
        <v>3660</v>
      </c>
      <c r="V31" s="29">
        <v>7660</v>
      </c>
      <c r="W31" s="29">
        <f>12080+14800</f>
        <v>26880</v>
      </c>
      <c r="X31" s="29">
        <v>10280</v>
      </c>
      <c r="Y31" s="29">
        <v>5960</v>
      </c>
      <c r="Z31" s="29">
        <v>3540</v>
      </c>
      <c r="AA31" s="29"/>
      <c r="AB31" s="29"/>
      <c r="AC31" s="26"/>
      <c r="AD31" s="29">
        <f t="shared" si="0"/>
        <v>287540</v>
      </c>
      <c r="AE31" s="29">
        <f t="shared" si="1"/>
        <v>204760</v>
      </c>
      <c r="AF31" s="30">
        <f>175000+125000+180</f>
        <v>300180</v>
      </c>
      <c r="AG31" s="29">
        <f>+AD31+AE31-AF31</f>
        <v>192120</v>
      </c>
      <c r="AH31" s="27"/>
      <c r="AI31" s="9">
        <v>137980</v>
      </c>
      <c r="AJ31" s="18">
        <f t="shared" si="10"/>
        <v>54140</v>
      </c>
      <c r="AK31" s="60"/>
      <c r="AL31" s="65"/>
      <c r="AM31" s="60"/>
      <c r="AN31" s="77"/>
      <c r="AO31" s="77">
        <v>420</v>
      </c>
      <c r="AP31" s="77">
        <f t="shared" si="19"/>
        <v>137560</v>
      </c>
      <c r="AS31" s="3">
        <v>10009239</v>
      </c>
      <c r="AT31" s="3" t="str">
        <f t="shared" si="11"/>
        <v>FEBRERO10009239Inventario final</v>
      </c>
      <c r="AU31" s="3">
        <f>INDEX('[1]Detalle Costos'!$L$5:$L$158,MATCH(AT31,'[1]Detalle Costos'!$C$5:$C$158,0))</f>
        <v>2.11</v>
      </c>
      <c r="AV31" s="102">
        <f t="shared" si="3"/>
        <v>192.12</v>
      </c>
      <c r="AW31" s="103">
        <f t="shared" si="4"/>
        <v>405373.2</v>
      </c>
      <c r="AX31" s="104">
        <f t="shared" si="5"/>
        <v>34965.840000000004</v>
      </c>
      <c r="AY31" s="103">
        <f t="shared" si="6"/>
        <v>7044.3297513172956</v>
      </c>
      <c r="AZ31" s="103">
        <f t="shared" si="12"/>
        <v>15948.603131744407</v>
      </c>
      <c r="BA31" s="103">
        <f t="shared" si="13"/>
        <v>13333.859451308694</v>
      </c>
      <c r="BB31" s="103">
        <v>0</v>
      </c>
      <c r="BC31" s="105">
        <f t="shared" si="14"/>
        <v>0</v>
      </c>
      <c r="BD31" s="114">
        <f t="shared" si="15"/>
        <v>463331.97288306174</v>
      </c>
      <c r="BE31" s="115">
        <f t="shared" si="16"/>
        <v>2411.6800587292405</v>
      </c>
      <c r="BF31" s="106"/>
      <c r="BG31" s="116">
        <v>4500</v>
      </c>
      <c r="BH31" s="107">
        <f t="shared" si="7"/>
        <v>864540</v>
      </c>
      <c r="BI31" s="117">
        <f t="shared" si="17"/>
        <v>401208.02711693826</v>
      </c>
      <c r="BJ31" s="108">
        <f t="shared" si="8"/>
        <v>0.46407109806016872</v>
      </c>
    </row>
    <row r="32" spans="1:62" x14ac:dyDescent="0.3">
      <c r="A32" s="28">
        <f t="shared" si="18"/>
        <v>28</v>
      </c>
      <c r="B32" s="31" t="s">
        <v>51</v>
      </c>
      <c r="C32" s="31" t="s">
        <v>52</v>
      </c>
      <c r="D32" s="58">
        <v>36540</v>
      </c>
      <c r="E32" s="29">
        <v>20</v>
      </c>
      <c r="F32" s="29">
        <v>240</v>
      </c>
      <c r="G32" s="29">
        <f>400+320</f>
        <v>720</v>
      </c>
      <c r="H32" s="29">
        <v>980</v>
      </c>
      <c r="I32" s="29"/>
      <c r="J32" s="29"/>
      <c r="K32" s="29"/>
      <c r="L32" s="29">
        <f>860+620</f>
        <v>1480</v>
      </c>
      <c r="M32" s="29">
        <v>1700</v>
      </c>
      <c r="N32" s="29">
        <f>300+700</f>
        <v>1000</v>
      </c>
      <c r="O32" s="29">
        <v>0</v>
      </c>
      <c r="P32" s="29">
        <f>660+420</f>
        <v>1080</v>
      </c>
      <c r="Q32" s="29">
        <v>120</v>
      </c>
      <c r="R32" s="29">
        <v>540</v>
      </c>
      <c r="S32" s="29"/>
      <c r="T32" s="29">
        <v>80</v>
      </c>
      <c r="U32" s="29">
        <v>80</v>
      </c>
      <c r="V32" s="29"/>
      <c r="W32" s="29">
        <f>60+220</f>
        <v>280</v>
      </c>
      <c r="X32" s="29">
        <v>180</v>
      </c>
      <c r="Y32" s="29">
        <v>100</v>
      </c>
      <c r="Z32" s="29">
        <v>420</v>
      </c>
      <c r="AA32" s="29"/>
      <c r="AB32" s="29"/>
      <c r="AC32" s="26"/>
      <c r="AD32" s="29">
        <f t="shared" si="0"/>
        <v>36540</v>
      </c>
      <c r="AE32" s="29">
        <f t="shared" si="1"/>
        <v>9020</v>
      </c>
      <c r="AF32" s="30">
        <f>14000+10000</f>
        <v>24000</v>
      </c>
      <c r="AG32" s="29">
        <f t="shared" si="9"/>
        <v>21560</v>
      </c>
      <c r="AH32" s="27"/>
      <c r="AI32" s="9">
        <v>20580</v>
      </c>
      <c r="AJ32" s="18">
        <f t="shared" si="10"/>
        <v>980</v>
      </c>
      <c r="AK32" s="60"/>
      <c r="AL32" s="65"/>
      <c r="AM32" s="60"/>
      <c r="AN32" s="77"/>
      <c r="AO32" s="77">
        <v>30140</v>
      </c>
      <c r="AP32" s="77">
        <f t="shared" si="19"/>
        <v>-9560</v>
      </c>
      <c r="AS32" s="3">
        <v>10009239</v>
      </c>
      <c r="AT32" s="3" t="str">
        <f t="shared" si="11"/>
        <v>FEBRERO10009239Inventario final</v>
      </c>
      <c r="AU32" s="3">
        <f>INDEX('[1]Detalle Costos'!$L$5:$L$158,MATCH(AT32,'[1]Detalle Costos'!$C$5:$C$158,0))</f>
        <v>2.11</v>
      </c>
      <c r="AV32" s="102">
        <f t="shared" si="3"/>
        <v>21.56</v>
      </c>
      <c r="AW32" s="103">
        <f t="shared" si="4"/>
        <v>45491.599999999991</v>
      </c>
      <c r="AX32" s="104">
        <f t="shared" si="5"/>
        <v>3923.9199999999996</v>
      </c>
      <c r="AY32" s="103">
        <f t="shared" si="6"/>
        <v>790.52544991880541</v>
      </c>
      <c r="AZ32" s="103">
        <f t="shared" si="12"/>
        <v>1789.7766162836215</v>
      </c>
      <c r="BA32" s="103">
        <f t="shared" si="13"/>
        <v>1496.3460845836737</v>
      </c>
      <c r="BB32" s="103">
        <v>0</v>
      </c>
      <c r="BC32" s="105">
        <f t="shared" si="14"/>
        <v>0</v>
      </c>
      <c r="BD32" s="114">
        <f t="shared" si="15"/>
        <v>51995.822066202418</v>
      </c>
      <c r="BE32" s="115">
        <f t="shared" si="16"/>
        <v>2411.6800587292405</v>
      </c>
      <c r="BF32" s="106"/>
      <c r="BG32" s="116">
        <v>4500</v>
      </c>
      <c r="BH32" s="107">
        <f t="shared" si="7"/>
        <v>97020</v>
      </c>
      <c r="BI32" s="117">
        <f t="shared" si="17"/>
        <v>45024.177933797582</v>
      </c>
      <c r="BJ32" s="108">
        <f t="shared" si="8"/>
        <v>0.46407109806016883</v>
      </c>
    </row>
    <row r="33" spans="1:62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6"/>
      <c r="AD33" s="29">
        <f t="shared" si="0"/>
        <v>260</v>
      </c>
      <c r="AE33" s="29">
        <f t="shared" si="1"/>
        <v>0</v>
      </c>
      <c r="AF33" s="30"/>
      <c r="AG33" s="29">
        <f t="shared" si="9"/>
        <v>260</v>
      </c>
      <c r="AH33" s="27"/>
      <c r="AI33" s="9">
        <v>260</v>
      </c>
      <c r="AJ33" s="18">
        <f t="shared" si="10"/>
        <v>0</v>
      </c>
      <c r="AK33" s="60"/>
      <c r="AL33" s="65"/>
      <c r="AM33" s="60"/>
      <c r="AN33" s="77"/>
      <c r="AO33" s="77">
        <v>260</v>
      </c>
      <c r="AP33" s="77">
        <f t="shared" si="19"/>
        <v>0</v>
      </c>
      <c r="AS33" s="3">
        <v>10009241</v>
      </c>
      <c r="AT33" s="3" t="str">
        <f t="shared" si="11"/>
        <v>FEBRERO10009241Inventario final</v>
      </c>
      <c r="AU33" s="3" t="e">
        <f>INDEX('[1]Detalle Costos'!$L$5:$L$158,MATCH(AT33,'[1]Detalle Costos'!$C$5:$C$158,0))</f>
        <v>#N/A</v>
      </c>
      <c r="AV33" s="102">
        <f t="shared" si="3"/>
        <v>0</v>
      </c>
      <c r="AW33" s="103">
        <f t="shared" si="4"/>
        <v>0</v>
      </c>
      <c r="AX33" s="104">
        <f t="shared" si="5"/>
        <v>0</v>
      </c>
      <c r="AY33" s="103">
        <f t="shared" si="6"/>
        <v>0</v>
      </c>
      <c r="AZ33" s="103">
        <f t="shared" si="12"/>
        <v>0</v>
      </c>
      <c r="BA33" s="103">
        <f t="shared" si="13"/>
        <v>0</v>
      </c>
      <c r="BB33" s="103">
        <v>0</v>
      </c>
      <c r="BC33" s="105">
        <f t="shared" si="14"/>
        <v>0</v>
      </c>
      <c r="BD33" s="114">
        <f t="shared" si="15"/>
        <v>0</v>
      </c>
      <c r="BE33" s="115">
        <f t="shared" si="16"/>
        <v>0</v>
      </c>
      <c r="BF33" s="106"/>
      <c r="BG33" s="116"/>
      <c r="BH33" s="107">
        <f t="shared" si="7"/>
        <v>0</v>
      </c>
      <c r="BI33" s="117">
        <f t="shared" si="17"/>
        <v>0</v>
      </c>
      <c r="BJ33" s="108">
        <f t="shared" si="8"/>
        <v>0</v>
      </c>
    </row>
    <row r="34" spans="1:62" x14ac:dyDescent="0.3">
      <c r="A34" s="28"/>
      <c r="B34" s="31">
        <v>10007050</v>
      </c>
      <c r="C34" s="31" t="s">
        <v>87</v>
      </c>
      <c r="D34" s="58">
        <v>26460</v>
      </c>
      <c r="E34" s="29">
        <v>660</v>
      </c>
      <c r="F34" s="36">
        <v>100</v>
      </c>
      <c r="G34" s="36">
        <f>1520+200</f>
        <v>1720</v>
      </c>
      <c r="H34" s="29">
        <v>1740</v>
      </c>
      <c r="I34" s="29"/>
      <c r="J34" s="36"/>
      <c r="K34" s="36"/>
      <c r="L34" s="36">
        <f>680+1100</f>
        <v>1780</v>
      </c>
      <c r="M34" s="36">
        <v>320</v>
      </c>
      <c r="N34" s="36">
        <f>180+1980</f>
        <v>2160</v>
      </c>
      <c r="O34" s="36">
        <v>0</v>
      </c>
      <c r="P34" s="36">
        <f>560+1140</f>
        <v>1700</v>
      </c>
      <c r="Q34" s="36">
        <v>940</v>
      </c>
      <c r="R34" s="36">
        <f>2160+2220</f>
        <v>4380</v>
      </c>
      <c r="S34" s="36"/>
      <c r="T34" s="36">
        <v>540</v>
      </c>
      <c r="U34" s="36">
        <v>1420</v>
      </c>
      <c r="V34" s="36">
        <v>80</v>
      </c>
      <c r="W34" s="36">
        <f>680+1340</f>
        <v>2020</v>
      </c>
      <c r="X34" s="36">
        <v>860</v>
      </c>
      <c r="Y34" s="36">
        <v>1100</v>
      </c>
      <c r="Z34" s="36">
        <v>1120</v>
      </c>
      <c r="AA34" s="36"/>
      <c r="AB34" s="36"/>
      <c r="AC34" s="27"/>
      <c r="AD34" s="29">
        <f t="shared" si="0"/>
        <v>26460</v>
      </c>
      <c r="AE34" s="29">
        <f t="shared" si="1"/>
        <v>22640</v>
      </c>
      <c r="AF34" s="30"/>
      <c r="AG34" s="29">
        <f t="shared" si="9"/>
        <v>49100</v>
      </c>
      <c r="AH34" s="27"/>
      <c r="AI34" s="9">
        <v>46020</v>
      </c>
      <c r="AJ34" s="18">
        <f t="shared" si="10"/>
        <v>3080</v>
      </c>
      <c r="AK34" s="60"/>
      <c r="AL34" s="65"/>
      <c r="AM34" s="60"/>
      <c r="AN34" s="77"/>
      <c r="AO34" s="77"/>
      <c r="AP34" s="77"/>
      <c r="AS34" s="3">
        <v>10007050</v>
      </c>
      <c r="AT34" s="3" t="str">
        <f t="shared" si="11"/>
        <v>FEBRERO10007050Inventario final</v>
      </c>
      <c r="AU34" s="3">
        <f>INDEX('[1]Detalle Costos'!$L$5:$L$158,MATCH(AT34,'[1]Detalle Costos'!$C$5:$C$158,0))</f>
        <v>1.31</v>
      </c>
      <c r="AV34" s="102">
        <f t="shared" si="3"/>
        <v>49.1</v>
      </c>
      <c r="AW34" s="103">
        <f t="shared" si="4"/>
        <v>64321</v>
      </c>
      <c r="AX34" s="104">
        <f t="shared" si="5"/>
        <v>8936.2000000000007</v>
      </c>
      <c r="AY34" s="103">
        <f t="shared" si="6"/>
        <v>1800.3153799171312</v>
      </c>
      <c r="AZ34" s="103">
        <f t="shared" si="12"/>
        <v>4075.9755036885817</v>
      </c>
      <c r="BA34" s="103">
        <f t="shared" si="13"/>
        <v>3407.7269365982552</v>
      </c>
      <c r="BB34" s="103">
        <v>0</v>
      </c>
      <c r="BC34" s="105">
        <f t="shared" si="14"/>
        <v>0</v>
      </c>
      <c r="BD34" s="114">
        <f t="shared" si="15"/>
        <v>79133.4908836057</v>
      </c>
      <c r="BE34" s="115">
        <f t="shared" si="16"/>
        <v>1611.6800587292403</v>
      </c>
      <c r="BF34" s="106"/>
      <c r="BG34" s="116">
        <v>4500</v>
      </c>
      <c r="BH34" s="107">
        <f t="shared" si="7"/>
        <v>220950</v>
      </c>
      <c r="BI34" s="117">
        <f t="shared" si="17"/>
        <v>141816.5091163943</v>
      </c>
      <c r="BJ34" s="108">
        <f t="shared" si="8"/>
        <v>0.64184887583794659</v>
      </c>
    </row>
    <row r="35" spans="1:62" ht="18.600000000000001" customHeight="1" x14ac:dyDescent="0.3">
      <c r="A35" s="28">
        <f>+A32+1</f>
        <v>29</v>
      </c>
      <c r="B35" s="31"/>
      <c r="C35" s="31" t="s">
        <v>81</v>
      </c>
      <c r="D35" s="58">
        <v>22290</v>
      </c>
      <c r="E35" s="29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>
        <v>390</v>
      </c>
      <c r="AB35" s="36"/>
      <c r="AC35" s="27"/>
      <c r="AD35" s="29">
        <f t="shared" si="0"/>
        <v>22290</v>
      </c>
      <c r="AE35" s="29">
        <f t="shared" si="1"/>
        <v>390</v>
      </c>
      <c r="AF35" s="30">
        <f>10080+12210</f>
        <v>22290</v>
      </c>
      <c r="AG35" s="29">
        <f t="shared" si="9"/>
        <v>390</v>
      </c>
      <c r="AH35" s="27"/>
      <c r="AI35" s="89">
        <v>0</v>
      </c>
      <c r="AJ35" s="18">
        <f t="shared" si="10"/>
        <v>390</v>
      </c>
      <c r="AK35" s="18">
        <v>22290</v>
      </c>
      <c r="AL35" s="65"/>
      <c r="AM35" s="60"/>
      <c r="AN35" s="77"/>
      <c r="AO35" s="77">
        <v>1130</v>
      </c>
      <c r="AP35" s="77">
        <f t="shared" ref="AP35:AP46" si="23">+AI35-AO35</f>
        <v>-1130</v>
      </c>
      <c r="AT35" s="3" t="str">
        <f t="shared" si="11"/>
        <v>FEBREROInventario final</v>
      </c>
      <c r="AU35" s="3" t="e">
        <f>INDEX('[1]Detalle Costos'!$L$5:$L$158,MATCH(AT35,'[1]Detalle Costos'!$C$5:$C$158,0))</f>
        <v>#N/A</v>
      </c>
      <c r="AV35" s="102">
        <f t="shared" si="3"/>
        <v>0</v>
      </c>
      <c r="AW35" s="103">
        <f t="shared" si="4"/>
        <v>0</v>
      </c>
      <c r="AX35" s="104">
        <f t="shared" si="5"/>
        <v>0</v>
      </c>
      <c r="AY35" s="103">
        <f t="shared" si="6"/>
        <v>0</v>
      </c>
      <c r="AZ35" s="103">
        <f t="shared" si="12"/>
        <v>0</v>
      </c>
      <c r="BA35" s="103">
        <f t="shared" si="13"/>
        <v>0</v>
      </c>
      <c r="BB35" s="103">
        <v>0</v>
      </c>
      <c r="BC35" s="105">
        <f t="shared" si="14"/>
        <v>0</v>
      </c>
      <c r="BD35" s="114">
        <f t="shared" si="15"/>
        <v>0</v>
      </c>
      <c r="BE35" s="115">
        <f t="shared" si="16"/>
        <v>0</v>
      </c>
      <c r="BF35" s="106"/>
      <c r="BG35" s="116"/>
      <c r="BH35" s="107">
        <f t="shared" si="7"/>
        <v>0</v>
      </c>
      <c r="BI35" s="117">
        <f t="shared" si="17"/>
        <v>0</v>
      </c>
      <c r="BJ35" s="108">
        <f t="shared" si="8"/>
        <v>0</v>
      </c>
    </row>
    <row r="36" spans="1:62" ht="18.600000000000001" customHeight="1" x14ac:dyDescent="0.3">
      <c r="A36" s="28">
        <f>+A33+1</f>
        <v>29</v>
      </c>
      <c r="B36" s="31"/>
      <c r="C36" s="31" t="s">
        <v>82</v>
      </c>
      <c r="D36" s="58">
        <v>830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27"/>
      <c r="AD36" s="29">
        <f t="shared" si="0"/>
        <v>830</v>
      </c>
      <c r="AE36" s="29">
        <f t="shared" si="1"/>
        <v>0</v>
      </c>
      <c r="AF36" s="30">
        <v>830</v>
      </c>
      <c r="AG36" s="29">
        <f t="shared" si="9"/>
        <v>0</v>
      </c>
      <c r="AH36" s="27"/>
      <c r="AI36" s="89">
        <v>0</v>
      </c>
      <c r="AJ36" s="18">
        <f t="shared" si="10"/>
        <v>0</v>
      </c>
      <c r="AK36" s="18">
        <v>830</v>
      </c>
      <c r="AL36" s="65"/>
      <c r="AM36" s="60"/>
      <c r="AN36" s="77"/>
      <c r="AO36" s="77">
        <v>300</v>
      </c>
      <c r="AP36" s="77">
        <f t="shared" si="23"/>
        <v>-300</v>
      </c>
      <c r="AT36" s="3" t="str">
        <f t="shared" si="11"/>
        <v>FEBREROInventario final</v>
      </c>
      <c r="AU36" s="3" t="e">
        <f>INDEX('[1]Detalle Costos'!$L$5:$L$158,MATCH(AT36,'[1]Detalle Costos'!$C$5:$C$158,0))</f>
        <v>#N/A</v>
      </c>
      <c r="AV36" s="102">
        <f t="shared" si="3"/>
        <v>0</v>
      </c>
      <c r="AW36" s="103">
        <f t="shared" si="4"/>
        <v>0</v>
      </c>
      <c r="AX36" s="104">
        <f t="shared" si="5"/>
        <v>0</v>
      </c>
      <c r="AY36" s="103">
        <f t="shared" si="6"/>
        <v>0</v>
      </c>
      <c r="AZ36" s="103">
        <f t="shared" si="12"/>
        <v>0</v>
      </c>
      <c r="BA36" s="103">
        <f t="shared" si="13"/>
        <v>0</v>
      </c>
      <c r="BB36" s="103">
        <v>0</v>
      </c>
      <c r="BC36" s="105">
        <f t="shared" si="14"/>
        <v>0</v>
      </c>
      <c r="BD36" s="114">
        <f t="shared" si="15"/>
        <v>0</v>
      </c>
      <c r="BE36" s="115">
        <f t="shared" si="16"/>
        <v>0</v>
      </c>
      <c r="BF36" s="106"/>
      <c r="BG36" s="116"/>
      <c r="BH36" s="107">
        <f t="shared" si="7"/>
        <v>0</v>
      </c>
      <c r="BI36" s="117">
        <f t="shared" si="17"/>
        <v>0</v>
      </c>
      <c r="BJ36" s="108">
        <f t="shared" si="8"/>
        <v>0</v>
      </c>
    </row>
    <row r="37" spans="1:62" x14ac:dyDescent="0.3">
      <c r="A37" s="28">
        <f t="shared" ref="A37:A38" si="24">+A35+1</f>
        <v>30</v>
      </c>
      <c r="B37" s="31"/>
      <c r="C37" s="31" t="s">
        <v>83</v>
      </c>
      <c r="D37" s="58">
        <v>2600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27"/>
      <c r="AD37" s="29">
        <f t="shared" si="0"/>
        <v>2600</v>
      </c>
      <c r="AE37" s="29">
        <f t="shared" si="1"/>
        <v>0</v>
      </c>
      <c r="AF37" s="30">
        <v>2600</v>
      </c>
      <c r="AG37" s="29">
        <f t="shared" si="9"/>
        <v>0</v>
      </c>
      <c r="AH37" s="27"/>
      <c r="AI37" s="89">
        <v>0</v>
      </c>
      <c r="AJ37" s="18">
        <f t="shared" si="10"/>
        <v>0</v>
      </c>
      <c r="AK37" s="18">
        <v>2600</v>
      </c>
      <c r="AL37" s="65"/>
      <c r="AM37" s="60"/>
      <c r="AN37" s="77"/>
      <c r="AO37" s="77">
        <v>1250</v>
      </c>
      <c r="AP37" s="77">
        <f t="shared" si="23"/>
        <v>-1250</v>
      </c>
      <c r="AT37" s="3" t="str">
        <f t="shared" si="11"/>
        <v>FEBREROInventario final</v>
      </c>
      <c r="AU37" s="3" t="e">
        <f>INDEX('[1]Detalle Costos'!$L$5:$L$158,MATCH(AT37,'[1]Detalle Costos'!$C$5:$C$158,0))</f>
        <v>#N/A</v>
      </c>
      <c r="AV37" s="102">
        <f t="shared" si="3"/>
        <v>0</v>
      </c>
      <c r="AW37" s="103">
        <f t="shared" si="4"/>
        <v>0</v>
      </c>
      <c r="AX37" s="104">
        <f t="shared" si="5"/>
        <v>0</v>
      </c>
      <c r="AY37" s="103">
        <f t="shared" si="6"/>
        <v>0</v>
      </c>
      <c r="AZ37" s="103">
        <f t="shared" si="12"/>
        <v>0</v>
      </c>
      <c r="BA37" s="103">
        <f t="shared" si="13"/>
        <v>0</v>
      </c>
      <c r="BB37" s="103">
        <v>0</v>
      </c>
      <c r="BC37" s="105">
        <f t="shared" si="14"/>
        <v>0</v>
      </c>
      <c r="BD37" s="114">
        <f t="shared" si="15"/>
        <v>0</v>
      </c>
      <c r="BE37" s="115">
        <f t="shared" si="16"/>
        <v>0</v>
      </c>
      <c r="BF37" s="106"/>
      <c r="BG37" s="116"/>
      <c r="BH37" s="107">
        <f t="shared" si="7"/>
        <v>0</v>
      </c>
      <c r="BI37" s="117">
        <f t="shared" si="17"/>
        <v>0</v>
      </c>
      <c r="BJ37" s="108">
        <f t="shared" si="8"/>
        <v>0</v>
      </c>
    </row>
    <row r="38" spans="1:62" x14ac:dyDescent="0.3">
      <c r="A38" s="28">
        <f t="shared" si="24"/>
        <v>30</v>
      </c>
      <c r="B38" s="31"/>
      <c r="C38" s="31" t="s">
        <v>84</v>
      </c>
      <c r="D38" s="58">
        <v>2650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27"/>
      <c r="AD38" s="29">
        <f t="shared" si="0"/>
        <v>2650</v>
      </c>
      <c r="AE38" s="29">
        <f t="shared" si="1"/>
        <v>0</v>
      </c>
      <c r="AF38" s="30">
        <v>2650</v>
      </c>
      <c r="AG38" s="29">
        <f t="shared" si="9"/>
        <v>0</v>
      </c>
      <c r="AH38" s="27"/>
      <c r="AI38" s="89">
        <v>0</v>
      </c>
      <c r="AJ38" s="18">
        <f t="shared" si="10"/>
        <v>0</v>
      </c>
      <c r="AK38" s="18">
        <v>2650</v>
      </c>
      <c r="AL38" s="65"/>
      <c r="AM38" s="60"/>
      <c r="AN38" s="77"/>
      <c r="AO38" s="77">
        <v>1260</v>
      </c>
      <c r="AP38" s="77">
        <f t="shared" si="23"/>
        <v>-1260</v>
      </c>
      <c r="AT38" s="3" t="str">
        <f t="shared" si="11"/>
        <v>FEBREROInventario final</v>
      </c>
      <c r="AU38" s="3" t="e">
        <f>INDEX('[1]Detalle Costos'!$L$5:$L$158,MATCH(AT38,'[1]Detalle Costos'!$C$5:$C$158,0))</f>
        <v>#N/A</v>
      </c>
      <c r="AV38" s="102">
        <f t="shared" si="3"/>
        <v>0</v>
      </c>
      <c r="AW38" s="103">
        <f t="shared" si="4"/>
        <v>0</v>
      </c>
      <c r="AX38" s="104">
        <f t="shared" si="5"/>
        <v>0</v>
      </c>
      <c r="AY38" s="103">
        <f t="shared" si="6"/>
        <v>0</v>
      </c>
      <c r="AZ38" s="103">
        <f t="shared" si="12"/>
        <v>0</v>
      </c>
      <c r="BA38" s="103">
        <f t="shared" si="13"/>
        <v>0</v>
      </c>
      <c r="BB38" s="103">
        <v>0</v>
      </c>
      <c r="BC38" s="105">
        <f t="shared" si="14"/>
        <v>0</v>
      </c>
      <c r="BD38" s="114">
        <f t="shared" si="15"/>
        <v>0</v>
      </c>
      <c r="BE38" s="115">
        <f t="shared" si="16"/>
        <v>0</v>
      </c>
      <c r="BF38" s="106"/>
      <c r="BG38" s="116"/>
      <c r="BH38" s="107">
        <f t="shared" si="7"/>
        <v>0</v>
      </c>
      <c r="BI38" s="117">
        <f t="shared" si="17"/>
        <v>0</v>
      </c>
      <c r="BJ38" s="108">
        <f t="shared" si="8"/>
        <v>0</v>
      </c>
    </row>
    <row r="39" spans="1:62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19455</v>
      </c>
      <c r="E39" s="24"/>
      <c r="F39" s="33">
        <v>570</v>
      </c>
      <c r="G39" s="33">
        <f>3615+30</f>
        <v>3645</v>
      </c>
      <c r="H39" s="33"/>
      <c r="I39" s="33"/>
      <c r="J39" s="33"/>
      <c r="K39" s="33">
        <v>1800</v>
      </c>
      <c r="L39" s="33">
        <f>255+1125</f>
        <v>1380</v>
      </c>
      <c r="M39" s="33">
        <v>735</v>
      </c>
      <c r="N39" s="33">
        <f>1215+1740</f>
        <v>2955</v>
      </c>
      <c r="O39" s="33">
        <v>0</v>
      </c>
      <c r="P39" s="33">
        <f>825+1500</f>
        <v>2325</v>
      </c>
      <c r="Q39" s="33">
        <v>435</v>
      </c>
      <c r="R39" s="33">
        <f>3660+795</f>
        <v>4455</v>
      </c>
      <c r="S39" s="33"/>
      <c r="T39" s="33">
        <v>600</v>
      </c>
      <c r="U39" s="33">
        <v>1005</v>
      </c>
      <c r="V39" s="33">
        <v>1440</v>
      </c>
      <c r="W39" s="33">
        <f>525+2340</f>
        <v>2865</v>
      </c>
      <c r="X39" s="33">
        <v>1305</v>
      </c>
      <c r="Y39" s="33">
        <v>780</v>
      </c>
      <c r="Z39" s="33">
        <v>855</v>
      </c>
      <c r="AA39" s="33"/>
      <c r="AB39" s="33"/>
      <c r="AC39" s="27"/>
      <c r="AD39" s="33">
        <f t="shared" si="0"/>
        <v>19455</v>
      </c>
      <c r="AE39" s="24">
        <f t="shared" si="1"/>
        <v>27150</v>
      </c>
      <c r="AF39" s="46">
        <f>25500-105</f>
        <v>25395</v>
      </c>
      <c r="AG39" s="24">
        <f t="shared" si="9"/>
        <v>21210</v>
      </c>
      <c r="AH39" s="27">
        <v>52320</v>
      </c>
      <c r="AI39" s="9">
        <f>18165+105</f>
        <v>18270</v>
      </c>
      <c r="AJ39" s="18">
        <f t="shared" si="10"/>
        <v>2940</v>
      </c>
      <c r="AK39" s="18"/>
      <c r="AL39" s="66"/>
      <c r="AM39" s="60"/>
      <c r="AN39" s="77"/>
      <c r="AO39" s="78">
        <v>9375</v>
      </c>
      <c r="AP39" s="77">
        <f t="shared" si="23"/>
        <v>8895</v>
      </c>
      <c r="AS39" s="3">
        <v>10009332</v>
      </c>
      <c r="AT39" s="3" t="str">
        <f t="shared" si="11"/>
        <v>FEBRERO10009332Inventario final</v>
      </c>
      <c r="AU39" s="15">
        <f>INDEX('[1]Detalle Costos'!$L$5:$L$158,MATCH(AT39,'[1]Detalle Costos'!$C$5:$C$158,0))</f>
        <v>1.53</v>
      </c>
      <c r="AV39" s="102">
        <f t="shared" si="3"/>
        <v>21.21</v>
      </c>
      <c r="AW39" s="103">
        <f t="shared" si="4"/>
        <v>32451.300000000003</v>
      </c>
      <c r="AX39" s="104">
        <f t="shared" si="5"/>
        <v>3860.2200000000003</v>
      </c>
      <c r="AY39" s="110">
        <f t="shared" si="6"/>
        <v>777.6922445629807</v>
      </c>
      <c r="AZ39" s="103">
        <f t="shared" si="12"/>
        <v>1760.7218010842123</v>
      </c>
      <c r="BA39" s="103">
        <f t="shared" si="13"/>
        <v>1472.054752041731</v>
      </c>
      <c r="BB39" s="103">
        <v>0</v>
      </c>
      <c r="BC39" s="105">
        <f t="shared" si="14"/>
        <v>0</v>
      </c>
      <c r="BD39" s="114">
        <f t="shared" si="15"/>
        <v>38849.934045647198</v>
      </c>
      <c r="BE39" s="115">
        <f t="shared" si="16"/>
        <v>1831.6800587292407</v>
      </c>
      <c r="BF39" s="106"/>
      <c r="BG39" s="116">
        <v>2500</v>
      </c>
      <c r="BH39" s="107">
        <f t="shared" si="7"/>
        <v>53025</v>
      </c>
      <c r="BI39" s="117">
        <f t="shared" si="17"/>
        <v>14175.065954352802</v>
      </c>
      <c r="BJ39" s="108">
        <f t="shared" si="8"/>
        <v>0.26732797650830364</v>
      </c>
    </row>
    <row r="40" spans="1:62" s="15" customFormat="1" x14ac:dyDescent="0.25">
      <c r="A40" s="23">
        <f t="shared" ref="A40" si="25">+A39+1</f>
        <v>32</v>
      </c>
      <c r="B40" s="32">
        <v>10009332</v>
      </c>
      <c r="C40" s="32" t="s">
        <v>64</v>
      </c>
      <c r="D40" s="56">
        <v>14025</v>
      </c>
      <c r="E40" s="24"/>
      <c r="F40" s="33">
        <v>885</v>
      </c>
      <c r="G40" s="33">
        <f>3150+15</f>
        <v>3165</v>
      </c>
      <c r="H40" s="33"/>
      <c r="I40" s="33"/>
      <c r="J40" s="33"/>
      <c r="K40" s="33">
        <v>525</v>
      </c>
      <c r="L40" s="33">
        <f>1350+1200</f>
        <v>2550</v>
      </c>
      <c r="M40" s="33">
        <v>345</v>
      </c>
      <c r="N40" s="33">
        <f>1410+1650</f>
        <v>3060</v>
      </c>
      <c r="O40" s="33">
        <v>0</v>
      </c>
      <c r="P40" s="33">
        <f>780+1185</f>
        <v>1965</v>
      </c>
      <c r="Q40" s="33">
        <v>1380</v>
      </c>
      <c r="R40" s="33">
        <f>2700+780</f>
        <v>3480</v>
      </c>
      <c r="S40" s="33"/>
      <c r="T40" s="33">
        <v>480</v>
      </c>
      <c r="U40" s="33">
        <v>900</v>
      </c>
      <c r="V40" s="33">
        <v>1650</v>
      </c>
      <c r="W40" s="33">
        <v>2175</v>
      </c>
      <c r="X40" s="33">
        <v>1185</v>
      </c>
      <c r="Y40" s="33">
        <v>1230</v>
      </c>
      <c r="Z40" s="33">
        <v>360</v>
      </c>
      <c r="AA40" s="33"/>
      <c r="AB40" s="33"/>
      <c r="AC40" s="27"/>
      <c r="AD40" s="33">
        <f t="shared" si="0"/>
        <v>14025</v>
      </c>
      <c r="AE40" s="24">
        <f t="shared" si="1"/>
        <v>25335</v>
      </c>
      <c r="AF40" s="46"/>
      <c r="AG40" s="24">
        <f t="shared" si="9"/>
        <v>39360</v>
      </c>
      <c r="AH40" s="27"/>
      <c r="AI40" s="9">
        <v>36585</v>
      </c>
      <c r="AJ40" s="18">
        <f t="shared" si="10"/>
        <v>2775</v>
      </c>
      <c r="AK40" s="18"/>
      <c r="AL40" s="75"/>
      <c r="AM40" s="60"/>
      <c r="AN40" s="77"/>
      <c r="AO40" s="78">
        <v>5565</v>
      </c>
      <c r="AP40" s="77">
        <f t="shared" si="23"/>
        <v>31020</v>
      </c>
      <c r="AS40" s="3">
        <v>10009332</v>
      </c>
      <c r="AT40" s="3" t="str">
        <f t="shared" si="11"/>
        <v>FEBRERO10009332Inventario final</v>
      </c>
      <c r="AU40" s="15">
        <f>INDEX('[1]Detalle Costos'!$L$5:$L$158,MATCH(AT40,'[1]Detalle Costos'!$C$5:$C$158,0))</f>
        <v>1.53</v>
      </c>
      <c r="AV40" s="102">
        <f t="shared" si="3"/>
        <v>39.36</v>
      </c>
      <c r="AW40" s="103">
        <f t="shared" si="4"/>
        <v>60220.799999999996</v>
      </c>
      <c r="AX40" s="104">
        <f t="shared" si="5"/>
        <v>7163.5199999999995</v>
      </c>
      <c r="AY40" s="110">
        <f t="shared" si="6"/>
        <v>1443.1856080150362</v>
      </c>
      <c r="AZ40" s="103">
        <f t="shared" si="12"/>
        <v>3267.4215035678731</v>
      </c>
      <c r="BA40" s="103">
        <f t="shared" si="13"/>
        <v>2731.7338538596196</v>
      </c>
      <c r="BB40" s="103">
        <v>0</v>
      </c>
      <c r="BC40" s="105">
        <f t="shared" si="14"/>
        <v>0</v>
      </c>
      <c r="BD40" s="114">
        <f t="shared" si="15"/>
        <v>72094.927111582903</v>
      </c>
      <c r="BE40" s="115">
        <f t="shared" si="16"/>
        <v>1831.6800587292405</v>
      </c>
      <c r="BF40" s="106"/>
      <c r="BG40" s="116">
        <v>2500</v>
      </c>
      <c r="BH40" s="107">
        <f t="shared" si="7"/>
        <v>98400</v>
      </c>
      <c r="BI40" s="117">
        <f t="shared" si="17"/>
        <v>26305.072888417097</v>
      </c>
      <c r="BJ40" s="108">
        <f t="shared" si="8"/>
        <v>0.26732797650830381</v>
      </c>
    </row>
    <row r="41" spans="1:62" s="15" customFormat="1" x14ac:dyDescent="0.25">
      <c r="A41" s="23"/>
      <c r="B41" s="32"/>
      <c r="C41" s="32" t="s">
        <v>99</v>
      </c>
      <c r="D41" s="56">
        <v>0</v>
      </c>
      <c r="E41" s="24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>
        <v>20</v>
      </c>
      <c r="U41" s="33"/>
      <c r="V41" s="33"/>
      <c r="W41" s="33"/>
      <c r="X41" s="33"/>
      <c r="Y41" s="33"/>
      <c r="Z41" s="33"/>
      <c r="AA41" s="33"/>
      <c r="AB41" s="33"/>
      <c r="AC41" s="27"/>
      <c r="AD41" s="33">
        <f t="shared" si="0"/>
        <v>0</v>
      </c>
      <c r="AE41" s="24">
        <f t="shared" ref="AE41:AE42" si="26">SUM(E41:AB41)</f>
        <v>20</v>
      </c>
      <c r="AF41" s="46"/>
      <c r="AG41" s="24">
        <f t="shared" ref="AG41:AG42" si="27">+AD41+AE41-AF41</f>
        <v>20</v>
      </c>
      <c r="AH41" s="27"/>
      <c r="AI41" s="9">
        <v>20</v>
      </c>
      <c r="AJ41" s="18">
        <f t="shared" ref="AJ41:AJ42" si="28">+AG41-AI41</f>
        <v>0</v>
      </c>
      <c r="AK41" s="18"/>
      <c r="AL41" s="75"/>
      <c r="AM41" s="60"/>
      <c r="AN41" s="77"/>
      <c r="AO41" s="78"/>
      <c r="AP41" s="77"/>
      <c r="AT41" s="3" t="str">
        <f t="shared" si="11"/>
        <v>FEBREROInventario final</v>
      </c>
      <c r="AU41" s="15" t="e">
        <f>INDEX('[1]Detalle Costos'!$L$5:$L$158,MATCH(AT41,'[1]Detalle Costos'!$C$5:$C$158,0))</f>
        <v>#N/A</v>
      </c>
      <c r="AV41" s="102">
        <f t="shared" si="3"/>
        <v>0</v>
      </c>
      <c r="AW41" s="103">
        <f t="shared" si="4"/>
        <v>0</v>
      </c>
      <c r="AX41" s="104">
        <f t="shared" si="5"/>
        <v>0</v>
      </c>
      <c r="AY41" s="110">
        <f t="shared" si="6"/>
        <v>0</v>
      </c>
      <c r="AZ41" s="103">
        <f t="shared" si="12"/>
        <v>0</v>
      </c>
      <c r="BA41" s="103">
        <f t="shared" si="13"/>
        <v>0</v>
      </c>
      <c r="BB41" s="103">
        <v>0</v>
      </c>
      <c r="BC41" s="105">
        <f t="shared" si="14"/>
        <v>0</v>
      </c>
      <c r="BD41" s="114">
        <f t="shared" si="15"/>
        <v>0</v>
      </c>
      <c r="BE41" s="115">
        <f t="shared" si="16"/>
        <v>0</v>
      </c>
      <c r="BF41" s="106"/>
      <c r="BG41" s="116"/>
      <c r="BH41" s="107">
        <f t="shared" si="7"/>
        <v>0</v>
      </c>
      <c r="BI41" s="117">
        <f t="shared" si="17"/>
        <v>0</v>
      </c>
      <c r="BJ41" s="108">
        <f t="shared" si="8"/>
        <v>0</v>
      </c>
    </row>
    <row r="42" spans="1:62" s="15" customFormat="1" x14ac:dyDescent="0.25">
      <c r="A42" s="23"/>
      <c r="B42" s="32"/>
      <c r="C42" s="32" t="s">
        <v>98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>
        <f>880+1180</f>
        <v>2060</v>
      </c>
      <c r="U42" s="33"/>
      <c r="V42" s="33"/>
      <c r="W42" s="33"/>
      <c r="X42" s="33"/>
      <c r="Y42" s="33"/>
      <c r="Z42" s="33"/>
      <c r="AA42" s="33"/>
      <c r="AB42" s="33"/>
      <c r="AC42" s="27"/>
      <c r="AD42" s="33">
        <f t="shared" si="0"/>
        <v>0</v>
      </c>
      <c r="AE42" s="24">
        <f t="shared" si="26"/>
        <v>2060</v>
      </c>
      <c r="AF42" s="46"/>
      <c r="AG42" s="24">
        <f t="shared" si="27"/>
        <v>2060</v>
      </c>
      <c r="AH42" s="27"/>
      <c r="AI42" s="9">
        <v>2060</v>
      </c>
      <c r="AJ42" s="18">
        <f t="shared" si="28"/>
        <v>0</v>
      </c>
      <c r="AK42" s="18"/>
      <c r="AL42" s="75"/>
      <c r="AM42" s="60"/>
      <c r="AN42" s="77"/>
      <c r="AO42" s="78"/>
      <c r="AP42" s="77"/>
      <c r="AT42" s="3" t="str">
        <f t="shared" si="11"/>
        <v>FEBREROInventario final</v>
      </c>
      <c r="AU42" s="15" t="e">
        <f>INDEX('[1]Detalle Costos'!$L$5:$L$158,MATCH(AT42,'[1]Detalle Costos'!$C$5:$C$158,0))</f>
        <v>#N/A</v>
      </c>
      <c r="AV42" s="102">
        <f t="shared" si="3"/>
        <v>0</v>
      </c>
      <c r="AW42" s="103">
        <f t="shared" si="4"/>
        <v>0</v>
      </c>
      <c r="AX42" s="104">
        <f t="shared" si="5"/>
        <v>0</v>
      </c>
      <c r="AY42" s="110">
        <f t="shared" si="6"/>
        <v>0</v>
      </c>
      <c r="AZ42" s="103">
        <f t="shared" si="12"/>
        <v>0</v>
      </c>
      <c r="BA42" s="103">
        <f t="shared" si="13"/>
        <v>0</v>
      </c>
      <c r="BB42" s="103">
        <v>0</v>
      </c>
      <c r="BC42" s="105">
        <f t="shared" si="14"/>
        <v>0</v>
      </c>
      <c r="BD42" s="114">
        <f t="shared" si="15"/>
        <v>0</v>
      </c>
      <c r="BE42" s="115">
        <f t="shared" si="16"/>
        <v>0</v>
      </c>
      <c r="BF42" s="106"/>
      <c r="BG42" s="116"/>
      <c r="BH42" s="107">
        <f t="shared" si="7"/>
        <v>0</v>
      </c>
      <c r="BI42" s="117">
        <f t="shared" si="17"/>
        <v>0</v>
      </c>
      <c r="BJ42" s="108">
        <f t="shared" si="8"/>
        <v>0</v>
      </c>
    </row>
    <row r="43" spans="1:62" s="15" customFormat="1" x14ac:dyDescent="0.25">
      <c r="A43" s="48">
        <f>+A40+1</f>
        <v>33</v>
      </c>
      <c r="B43" s="49"/>
      <c r="C43" s="49" t="s">
        <v>65</v>
      </c>
      <c r="D43" s="72">
        <v>56.174999999999997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2"/>
      <c r="AD43" s="67">
        <f t="shared" si="0"/>
        <v>56.174999999999997</v>
      </c>
      <c r="AE43" s="68">
        <f t="shared" si="1"/>
        <v>0</v>
      </c>
      <c r="AF43" s="69">
        <v>5</v>
      </c>
      <c r="AG43" s="71">
        <f t="shared" si="9"/>
        <v>51.174999999999997</v>
      </c>
      <c r="AH43" s="70"/>
      <c r="AI43" s="9">
        <v>51.174999999999997</v>
      </c>
      <c r="AJ43" s="18">
        <f t="shared" si="10"/>
        <v>0</v>
      </c>
      <c r="AK43" s="18"/>
      <c r="AL43" s="66">
        <v>5</v>
      </c>
      <c r="AM43" s="60"/>
      <c r="AN43" s="77"/>
      <c r="AO43" s="79">
        <v>66.174999999999997</v>
      </c>
      <c r="AP43" s="77">
        <f t="shared" si="23"/>
        <v>-15</v>
      </c>
      <c r="AT43" s="3" t="str">
        <f t="shared" si="11"/>
        <v>FEBREROInventario final</v>
      </c>
      <c r="AU43" s="15" t="e">
        <f>INDEX('[1]Detalle Costos'!$L$5:$L$158,MATCH(AT43,'[1]Detalle Costos'!$C$5:$C$158,0))</f>
        <v>#N/A</v>
      </c>
      <c r="AV43" s="102">
        <f t="shared" si="3"/>
        <v>0</v>
      </c>
      <c r="AW43" s="103">
        <f t="shared" si="4"/>
        <v>0</v>
      </c>
      <c r="AX43" s="104">
        <f t="shared" si="5"/>
        <v>0</v>
      </c>
      <c r="AY43" s="110">
        <f t="shared" si="6"/>
        <v>0</v>
      </c>
      <c r="AZ43" s="103">
        <f t="shared" si="12"/>
        <v>0</v>
      </c>
      <c r="BA43" s="103">
        <f t="shared" si="13"/>
        <v>0</v>
      </c>
      <c r="BB43" s="103">
        <v>0</v>
      </c>
      <c r="BC43" s="105">
        <f t="shared" si="14"/>
        <v>0</v>
      </c>
      <c r="BD43" s="114">
        <f t="shared" si="15"/>
        <v>0</v>
      </c>
      <c r="BE43" s="115">
        <f t="shared" si="16"/>
        <v>0</v>
      </c>
      <c r="BF43" s="106"/>
      <c r="BG43" s="116"/>
      <c r="BH43" s="107">
        <f t="shared" si="7"/>
        <v>0</v>
      </c>
      <c r="BI43" s="117">
        <f t="shared" si="17"/>
        <v>0</v>
      </c>
      <c r="BJ43" s="108">
        <f t="shared" si="8"/>
        <v>0</v>
      </c>
    </row>
    <row r="44" spans="1:62" s="15" customFormat="1" x14ac:dyDescent="0.25">
      <c r="A44" s="48">
        <f t="shared" ref="A44:A45" si="29">+A43+1</f>
        <v>34</v>
      </c>
      <c r="B44" s="49"/>
      <c r="C44" s="49" t="s">
        <v>66</v>
      </c>
      <c r="D44" s="72">
        <v>16.774999999999999</v>
      </c>
      <c r="E44" s="50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2"/>
      <c r="AD44" s="67">
        <f t="shared" si="0"/>
        <v>16.774999999999999</v>
      </c>
      <c r="AE44" s="68">
        <f t="shared" si="1"/>
        <v>0</v>
      </c>
      <c r="AF44" s="69">
        <v>3</v>
      </c>
      <c r="AG44" s="71">
        <f t="shared" si="9"/>
        <v>13.774999999999999</v>
      </c>
      <c r="AH44" s="70"/>
      <c r="AI44" s="9">
        <v>13.775</v>
      </c>
      <c r="AJ44" s="18">
        <f t="shared" si="10"/>
        <v>0</v>
      </c>
      <c r="AK44" s="18"/>
      <c r="AL44" s="66">
        <v>3</v>
      </c>
      <c r="AM44" s="60"/>
      <c r="AN44" s="77"/>
      <c r="AO44" s="79">
        <v>26.774999999999999</v>
      </c>
      <c r="AP44" s="77">
        <f t="shared" si="23"/>
        <v>-12.999999999999998</v>
      </c>
      <c r="AT44" s="3" t="str">
        <f t="shared" si="11"/>
        <v>FEBREROInventario final</v>
      </c>
      <c r="AU44" s="15" t="e">
        <f>INDEX('[1]Detalle Costos'!$L$5:$L$158,MATCH(AT44,'[1]Detalle Costos'!$C$5:$C$158,0))</f>
        <v>#N/A</v>
      </c>
      <c r="AV44" s="102">
        <f t="shared" si="3"/>
        <v>0</v>
      </c>
      <c r="AW44" s="103">
        <f t="shared" si="4"/>
        <v>0</v>
      </c>
      <c r="AX44" s="104">
        <f t="shared" si="5"/>
        <v>0</v>
      </c>
      <c r="AY44" s="110">
        <f t="shared" si="6"/>
        <v>0</v>
      </c>
      <c r="AZ44" s="103">
        <f t="shared" si="12"/>
        <v>0</v>
      </c>
      <c r="BA44" s="103">
        <f t="shared" si="13"/>
        <v>0</v>
      </c>
      <c r="BB44" s="103">
        <v>0</v>
      </c>
      <c r="BC44" s="105">
        <f t="shared" si="14"/>
        <v>0</v>
      </c>
      <c r="BD44" s="114">
        <f t="shared" si="15"/>
        <v>0</v>
      </c>
      <c r="BE44" s="115">
        <f t="shared" si="16"/>
        <v>0</v>
      </c>
      <c r="BF44" s="106"/>
      <c r="BG44" s="116"/>
      <c r="BH44" s="107">
        <f t="shared" si="7"/>
        <v>0</v>
      </c>
      <c r="BI44" s="117">
        <f t="shared" si="17"/>
        <v>0</v>
      </c>
      <c r="BJ44" s="108">
        <f t="shared" si="8"/>
        <v>0</v>
      </c>
    </row>
    <row r="45" spans="1:62" s="15" customFormat="1" x14ac:dyDescent="0.25">
      <c r="A45" s="48">
        <f t="shared" si="29"/>
        <v>35</v>
      </c>
      <c r="B45" s="49"/>
      <c r="C45" s="49" t="s">
        <v>80</v>
      </c>
      <c r="D45" s="72">
        <v>23.85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2"/>
      <c r="AD45" s="67">
        <f t="shared" si="0"/>
        <v>23.85</v>
      </c>
      <c r="AE45" s="68">
        <f t="shared" si="1"/>
        <v>0</v>
      </c>
      <c r="AF45" s="69"/>
      <c r="AG45" s="71">
        <f t="shared" si="9"/>
        <v>23.85</v>
      </c>
      <c r="AH45" s="70"/>
      <c r="AI45" s="9">
        <v>23.85</v>
      </c>
      <c r="AJ45" s="18">
        <f t="shared" si="10"/>
        <v>0</v>
      </c>
      <c r="AK45" s="18"/>
      <c r="AL45" s="66"/>
      <c r="AM45" s="60"/>
      <c r="AN45" s="77"/>
      <c r="AO45" s="79">
        <v>23.85</v>
      </c>
      <c r="AP45" s="77">
        <f t="shared" si="23"/>
        <v>0</v>
      </c>
      <c r="AT45" s="3" t="str">
        <f t="shared" si="11"/>
        <v>FEBREROInventario final</v>
      </c>
      <c r="AU45" s="15" t="e">
        <f>INDEX('[1]Detalle Costos'!$L$5:$L$158,MATCH(AT45,'[1]Detalle Costos'!$C$5:$C$158,0))</f>
        <v>#N/A</v>
      </c>
      <c r="AV45" s="102">
        <f t="shared" si="3"/>
        <v>0</v>
      </c>
      <c r="AW45" s="103">
        <f t="shared" si="4"/>
        <v>0</v>
      </c>
      <c r="AX45" s="104">
        <f t="shared" si="5"/>
        <v>0</v>
      </c>
      <c r="AY45" s="110">
        <f t="shared" si="6"/>
        <v>0</v>
      </c>
      <c r="AZ45" s="103">
        <f t="shared" si="12"/>
        <v>0</v>
      </c>
      <c r="BA45" s="103">
        <f t="shared" si="13"/>
        <v>0</v>
      </c>
      <c r="BB45" s="103">
        <v>0</v>
      </c>
      <c r="BC45" s="105">
        <f t="shared" si="14"/>
        <v>0</v>
      </c>
      <c r="BD45" s="114">
        <f t="shared" si="15"/>
        <v>0</v>
      </c>
      <c r="BE45" s="115">
        <f t="shared" si="16"/>
        <v>0</v>
      </c>
      <c r="BF45" s="106"/>
      <c r="BG45" s="116"/>
      <c r="BH45" s="107">
        <f t="shared" si="7"/>
        <v>0</v>
      </c>
      <c r="BI45" s="117">
        <f t="shared" si="17"/>
        <v>0</v>
      </c>
      <c r="BJ45" s="108">
        <f t="shared" si="8"/>
        <v>0</v>
      </c>
    </row>
    <row r="46" spans="1:62" x14ac:dyDescent="0.3">
      <c r="A46" s="43">
        <f>+A45+1</f>
        <v>36</v>
      </c>
      <c r="B46" s="44" t="s">
        <v>25</v>
      </c>
      <c r="C46" s="44" t="s">
        <v>26</v>
      </c>
      <c r="D46" s="59">
        <v>1120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>
        <f t="shared" si="0"/>
        <v>1120</v>
      </c>
      <c r="AE46" s="42">
        <f t="shared" si="1"/>
        <v>0</v>
      </c>
      <c r="AF46" s="42"/>
      <c r="AG46" s="42">
        <f>SUM(G46:AD46)</f>
        <v>1120</v>
      </c>
      <c r="AH46" s="27"/>
      <c r="AI46" s="9">
        <v>1120</v>
      </c>
      <c r="AJ46" s="18">
        <f t="shared" si="10"/>
        <v>0</v>
      </c>
      <c r="AK46" s="18"/>
      <c r="AL46" s="65"/>
      <c r="AM46" s="60"/>
      <c r="AN46" s="77"/>
      <c r="AO46" s="77">
        <v>1120</v>
      </c>
      <c r="AP46" s="77">
        <f t="shared" si="23"/>
        <v>0</v>
      </c>
      <c r="AS46" s="3">
        <v>10009224</v>
      </c>
      <c r="AT46" s="3" t="str">
        <f t="shared" si="11"/>
        <v>FEBRERO10009224Inventario final</v>
      </c>
      <c r="AU46" s="3" t="e">
        <f>INDEX('[1]Detalle Costos'!$L$5:$L$158,MATCH(AT46,'[1]Detalle Costos'!$C$5:$C$158,0))</f>
        <v>#N/A</v>
      </c>
      <c r="AV46" s="102">
        <f t="shared" si="3"/>
        <v>0</v>
      </c>
      <c r="AW46" s="103">
        <f t="shared" si="4"/>
        <v>0</v>
      </c>
      <c r="AX46" s="104">
        <f t="shared" si="5"/>
        <v>0</v>
      </c>
      <c r="AY46" s="103">
        <f t="shared" si="6"/>
        <v>0</v>
      </c>
      <c r="AZ46" s="103">
        <f t="shared" si="12"/>
        <v>0</v>
      </c>
      <c r="BA46" s="103">
        <f t="shared" si="13"/>
        <v>0</v>
      </c>
      <c r="BB46" s="103">
        <v>0</v>
      </c>
      <c r="BC46" s="105">
        <f t="shared" si="14"/>
        <v>0</v>
      </c>
      <c r="BD46" s="114">
        <f t="shared" si="15"/>
        <v>0</v>
      </c>
      <c r="BE46" s="115">
        <f t="shared" si="16"/>
        <v>0</v>
      </c>
      <c r="BF46" s="106"/>
      <c r="BG46" s="116"/>
      <c r="BH46" s="107">
        <f t="shared" si="7"/>
        <v>0</v>
      </c>
      <c r="BI46" s="117">
        <f t="shared" si="17"/>
        <v>0</v>
      </c>
      <c r="BJ46" s="108">
        <f t="shared" si="8"/>
        <v>0</v>
      </c>
    </row>
    <row r="47" spans="1:62" ht="3.6" customHeight="1" thickBot="1" x14ac:dyDescent="0.35"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27"/>
      <c r="AO47" s="77"/>
      <c r="AV47" s="111"/>
      <c r="AW47" s="112"/>
      <c r="AX47" s="112"/>
      <c r="AY47" s="112"/>
      <c r="AZ47" s="112"/>
      <c r="BA47" s="112"/>
      <c r="BB47" s="112"/>
      <c r="BC47" s="112"/>
      <c r="BD47" s="114"/>
      <c r="BE47" s="114"/>
      <c r="BF47" s="113"/>
      <c r="BG47" s="117"/>
      <c r="BH47" s="107"/>
      <c r="BI47" s="117"/>
      <c r="BJ47" s="108">
        <f t="shared" si="8"/>
        <v>0</v>
      </c>
    </row>
    <row r="48" spans="1:62" ht="16.2" thickBot="1" x14ac:dyDescent="0.35">
      <c r="C48" s="1" t="s">
        <v>93</v>
      </c>
      <c r="D48" s="6">
        <f>SUM(D3:D46)</f>
        <v>2167722.7999999998</v>
      </c>
      <c r="E48" s="6">
        <f>SUM(E3:E38)</f>
        <v>70560</v>
      </c>
      <c r="F48" s="6">
        <f>SUM(F3:F46)</f>
        <v>96575</v>
      </c>
      <c r="G48" s="6">
        <f>SUM(G3:G46)</f>
        <v>28570</v>
      </c>
      <c r="H48" s="6">
        <f>SUM(H3:H46)</f>
        <v>9300</v>
      </c>
      <c r="I48" s="6">
        <f t="shared" ref="I48:J48" si="30">SUM(I3:I46)</f>
        <v>0</v>
      </c>
      <c r="J48" s="6">
        <f t="shared" si="30"/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f>SUM(AB3:AB46)</f>
        <v>0</v>
      </c>
      <c r="AC48" s="5">
        <f>SUM(AC3:AC38)</f>
        <v>0</v>
      </c>
      <c r="AD48" s="6">
        <f>SUM(AD3:AD46)</f>
        <v>2165902.7999999998</v>
      </c>
      <c r="AE48" s="6">
        <f>SUM(AE3:AE46)</f>
        <v>1440651</v>
      </c>
      <c r="AF48" s="73">
        <f>SUM(AF3:AF46)</f>
        <v>1728695</v>
      </c>
      <c r="AG48" s="35">
        <f>SUM(AG3:AG47)</f>
        <v>1877858.8</v>
      </c>
      <c r="AH48" s="27"/>
      <c r="AI48" s="9">
        <f>SUM(AI1:AI46)</f>
        <v>1752377.8</v>
      </c>
      <c r="AJ48" s="5">
        <f>SUM(AJ1:AJ46)</f>
        <v>125481</v>
      </c>
      <c r="AK48" s="5">
        <f>SUM(AK1:AK46)</f>
        <v>28370</v>
      </c>
      <c r="AL48" s="5">
        <f>SUM(AL1:AL46)</f>
        <v>488</v>
      </c>
      <c r="AM48" s="5">
        <f>SUM(AM3:AM46)</f>
        <v>684800</v>
      </c>
      <c r="AN48" s="77"/>
      <c r="AO48" s="77">
        <v>642576.80000000005</v>
      </c>
      <c r="AT48" s="15" t="s">
        <v>113</v>
      </c>
      <c r="AU48" s="15"/>
      <c r="AV48" s="118">
        <f>SUBTOTAL(9,AV3:AV46)</f>
        <v>1787.0299999999995</v>
      </c>
      <c r="AW48" s="119">
        <f>SUBTOTAL(9,AW3:AW46)</f>
        <v>3120153.7</v>
      </c>
      <c r="AX48" s="119">
        <f>SUBTOTAL(9,AX3:AX46)</f>
        <v>325239.45999999996</v>
      </c>
      <c r="AY48" s="119">
        <v>65523.779905770061</v>
      </c>
      <c r="AZ48" s="119">
        <v>148348.0754451447</v>
      </c>
      <c r="BA48" s="119">
        <v>124026.6856926513</v>
      </c>
      <c r="BB48" s="119">
        <f>SUBTOTAL(9,BB3:BB46)</f>
        <v>0</v>
      </c>
      <c r="BC48" s="120">
        <v>0</v>
      </c>
      <c r="BD48" s="121">
        <f>SUBTOTAL(9,BD3:BD46)</f>
        <v>3659265.0153509141</v>
      </c>
      <c r="BE48" s="121">
        <f>BD48/$AV$48</f>
        <v>2047.6796782096076</v>
      </c>
      <c r="BF48" s="122"/>
      <c r="BG48" s="123">
        <f>BH48/$AV$48</f>
        <v>2640.9802857254781</v>
      </c>
      <c r="BH48" s="124">
        <f>SUBTOTAL(9,BH3:BH46)</f>
        <v>4719511</v>
      </c>
      <c r="BI48" s="123">
        <f>SUBTOTAL(9,BI3:BI46)</f>
        <v>1060245.9846490852</v>
      </c>
      <c r="BJ48" s="125">
        <f t="shared" si="8"/>
        <v>0.22465166087102778</v>
      </c>
    </row>
    <row r="49" spans="4:41" ht="3.6" customHeight="1" x14ac:dyDescent="0.3">
      <c r="AH49" s="27"/>
      <c r="AJ49" s="5"/>
    </row>
    <row r="50" spans="4:41" x14ac:dyDescent="0.3">
      <c r="D50" s="74"/>
      <c r="AJ50" s="5"/>
      <c r="AL50" s="5"/>
      <c r="AM50" s="5">
        <f>+AF48-AL50</f>
        <v>1728695</v>
      </c>
    </row>
    <row r="51" spans="4:41" x14ac:dyDescent="0.3">
      <c r="D51" s="5"/>
      <c r="E51" s="5">
        <f>+E48+F48</f>
        <v>167135</v>
      </c>
      <c r="AD51" s="96" t="s">
        <v>96</v>
      </c>
      <c r="AE51" s="97"/>
      <c r="AF51" s="97"/>
      <c r="AG51" s="62">
        <f>ROUND(+AG48/1000,0)</f>
        <v>1878</v>
      </c>
      <c r="AJ51" s="5" t="s">
        <v>71</v>
      </c>
      <c r="AM51" s="3" t="s">
        <v>78</v>
      </c>
      <c r="AN51" s="76" t="s">
        <v>79</v>
      </c>
      <c r="AO51" s="80">
        <v>642.57680000000005</v>
      </c>
    </row>
    <row r="52" spans="4:41" x14ac:dyDescent="0.3">
      <c r="AD52" s="3" t="s">
        <v>70</v>
      </c>
      <c r="AE52" s="61"/>
      <c r="AF52" s="61"/>
      <c r="AG52" s="63">
        <f>+AE53+AE54</f>
        <v>324</v>
      </c>
      <c r="AJ52" s="5" t="s">
        <v>72</v>
      </c>
      <c r="AK52" s="3">
        <f>+AM48/1000</f>
        <v>684.8</v>
      </c>
      <c r="AM52" s="3">
        <v>0</v>
      </c>
      <c r="AN52" s="76">
        <v>0</v>
      </c>
      <c r="AO52" s="80">
        <v>49</v>
      </c>
    </row>
    <row r="53" spans="4:41" x14ac:dyDescent="0.3">
      <c r="E53" s="3">
        <v>115</v>
      </c>
      <c r="AD53" s="61">
        <v>46113</v>
      </c>
      <c r="AE53" s="5">
        <f>27*12</f>
        <v>324</v>
      </c>
      <c r="AF53" s="61"/>
      <c r="AG53" s="63">
        <v>0</v>
      </c>
      <c r="AJ53" s="3" t="s">
        <v>73</v>
      </c>
      <c r="AK53" s="3">
        <f>+AK48/1000</f>
        <v>28.37</v>
      </c>
      <c r="AO53" s="80">
        <v>0</v>
      </c>
    </row>
    <row r="54" spans="4:41" x14ac:dyDescent="0.3">
      <c r="E54" s="3">
        <v>167</v>
      </c>
      <c r="AD54" s="61"/>
      <c r="AE54" s="5"/>
      <c r="AF54" s="61"/>
      <c r="AG54" s="63">
        <v>0</v>
      </c>
      <c r="AJ54" s="3" t="s">
        <v>74</v>
      </c>
      <c r="AK54" s="3">
        <f>+AL48/1000</f>
        <v>0.48799999999999999</v>
      </c>
      <c r="AO54" s="80">
        <v>0</v>
      </c>
    </row>
    <row r="55" spans="4:41" x14ac:dyDescent="0.3">
      <c r="E55" s="3">
        <f>+E54-E53</f>
        <v>52</v>
      </c>
      <c r="AD55" s="96" t="s">
        <v>67</v>
      </c>
      <c r="AE55" s="97"/>
      <c r="AF55" s="97"/>
      <c r="AG55" s="64">
        <f>+AG51-AG52-AG53-AG54</f>
        <v>1554</v>
      </c>
      <c r="AJ55" s="63"/>
      <c r="AK55" s="3">
        <f>SUM(AK52:AK54)</f>
        <v>713.65800000000002</v>
      </c>
      <c r="AO55" s="80">
        <v>593.57680000000005</v>
      </c>
    </row>
    <row r="56" spans="4:41" x14ac:dyDescent="0.3">
      <c r="AJ56" s="63"/>
      <c r="AK56" s="63"/>
    </row>
    <row r="57" spans="4:41" x14ac:dyDescent="0.3">
      <c r="AK57" s="63"/>
    </row>
    <row r="58" spans="4:41" x14ac:dyDescent="0.3">
      <c r="AE58" s="5"/>
    </row>
    <row r="59" spans="4:41" x14ac:dyDescent="0.3">
      <c r="AE59" s="5"/>
      <c r="AG59" s="63"/>
    </row>
    <row r="61" spans="4:41" x14ac:dyDescent="0.3">
      <c r="AG61" s="63"/>
    </row>
  </sheetData>
  <mergeCells count="7">
    <mergeCell ref="AJ1:AJ2"/>
    <mergeCell ref="AD51:AF51"/>
    <mergeCell ref="AD55:AF55"/>
    <mergeCell ref="A1:A2"/>
    <mergeCell ref="C1:C2"/>
    <mergeCell ref="D1:AB1"/>
    <mergeCell ref="AD1:AG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B18" activePane="bottomRight" state="frozen"/>
      <selection pane="topRight" activeCell="D1" sqref="D1"/>
      <selection pane="bottomLeft" activeCell="A3" sqref="A3"/>
      <selection pane="bottomRight" activeCell="AD8" sqref="AD8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9.109375" style="3" bestFit="1" customWidth="1"/>
    <col min="4" max="4" width="13.88671875" style="3" bestFit="1" customWidth="1"/>
    <col min="5" max="5" width="12.109375" style="3" customWidth="1"/>
    <col min="6" max="30" width="12" style="3" customWidth="1"/>
    <col min="31" max="31" width="12.21875" style="3" customWidth="1"/>
    <col min="32" max="32" width="1.109375" style="3" customWidth="1"/>
    <col min="33" max="34" width="11.6640625" style="3" customWidth="1"/>
    <col min="35" max="35" width="11.88671875" style="3" customWidth="1"/>
    <col min="36" max="36" width="12.6640625" style="3" customWidth="1"/>
    <col min="37" max="37" width="0.88671875" style="8" customWidth="1"/>
    <col min="38" max="38" width="11.5546875" style="3" customWidth="1"/>
    <col min="39" max="39" width="12.77734375" style="3" bestFit="1" customWidth="1"/>
    <col min="40" max="40" width="12.44140625" style="3" bestFit="1" customWidth="1"/>
    <col min="41" max="41" width="11.44140625" style="3" bestFit="1" customWidth="1"/>
    <col min="42" max="42" width="11.77734375" style="3" bestFit="1" customWidth="1"/>
    <col min="43" max="44" width="9.77734375" style="86" customWidth="1"/>
    <col min="45" max="45" width="9.77734375" style="76" customWidth="1"/>
    <col min="47" max="51" width="9.77734375" style="3" customWidth="1"/>
    <col min="52" max="16384" width="11.5546875" style="3"/>
  </cols>
  <sheetData>
    <row r="1" spans="1:62" x14ac:dyDescent="0.3">
      <c r="A1" s="98" t="s">
        <v>1</v>
      </c>
      <c r="B1" s="2" t="s">
        <v>5</v>
      </c>
      <c r="C1" s="98" t="s">
        <v>0</v>
      </c>
      <c r="D1" s="98" t="s">
        <v>86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G1" s="98" t="s">
        <v>2</v>
      </c>
      <c r="AH1" s="98"/>
      <c r="AI1" s="98"/>
      <c r="AJ1" s="98"/>
      <c r="AK1" s="27"/>
      <c r="AL1" s="16" t="s">
        <v>22</v>
      </c>
      <c r="AM1" s="94" t="s">
        <v>24</v>
      </c>
    </row>
    <row r="2" spans="1:62" x14ac:dyDescent="0.3">
      <c r="A2" s="98"/>
      <c r="B2" s="2" t="s">
        <v>6</v>
      </c>
      <c r="C2" s="98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95"/>
      <c r="AN2" s="65" t="s">
        <v>75</v>
      </c>
      <c r="AO2" s="65" t="s">
        <v>76</v>
      </c>
      <c r="AP2" s="65" t="s">
        <v>77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7"/>
      <c r="AR3" s="87"/>
      <c r="AS3" s="77">
        <f t="shared" ref="AS3:AS44" si="2">+AL3-AR3</f>
        <v>0</v>
      </c>
      <c r="BJ3" s="5"/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7"/>
      <c r="AR4" s="87"/>
      <c r="AS4" s="77">
        <f t="shared" si="2"/>
        <v>0</v>
      </c>
      <c r="BG4" s="15"/>
    </row>
    <row r="5" spans="1:62" x14ac:dyDescent="0.3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7"/>
      <c r="AR5" s="87"/>
      <c r="AS5" s="77">
        <f t="shared" si="2"/>
        <v>0</v>
      </c>
    </row>
    <row r="6" spans="1:62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7"/>
      <c r="AR6" s="87"/>
      <c r="AS6" s="77">
        <f t="shared" si="2"/>
        <v>0</v>
      </c>
    </row>
    <row r="7" spans="1:62" x14ac:dyDescent="0.3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7"/>
      <c r="AR7" s="87"/>
      <c r="AS7" s="77">
        <f t="shared" si="2"/>
        <v>0</v>
      </c>
    </row>
    <row r="8" spans="1:62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7"/>
      <c r="AR8" s="87"/>
      <c r="AS8" s="77">
        <f t="shared" si="2"/>
        <v>0</v>
      </c>
    </row>
    <row r="9" spans="1:62" x14ac:dyDescent="0.3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7"/>
      <c r="AR9" s="87"/>
      <c r="AS9" s="77"/>
    </row>
    <row r="10" spans="1:62" x14ac:dyDescent="0.3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7"/>
      <c r="AR10" s="87"/>
      <c r="AS10" s="77"/>
    </row>
    <row r="11" spans="1:62" x14ac:dyDescent="0.3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7"/>
      <c r="AR11" s="87"/>
      <c r="AS11" s="77"/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7"/>
      <c r="AR12" s="87"/>
      <c r="AS12" s="77">
        <f t="shared" si="2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7"/>
      <c r="AR13" s="87"/>
      <c r="AS13" s="77">
        <f t="shared" si="2"/>
        <v>0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7"/>
      <c r="AR14" s="87"/>
      <c r="AS14" s="77">
        <f t="shared" si="2"/>
        <v>0</v>
      </c>
    </row>
    <row r="15" spans="1:62" x14ac:dyDescent="0.3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7"/>
      <c r="AR15" s="87"/>
      <c r="AS15" s="77">
        <f t="shared" si="2"/>
        <v>0</v>
      </c>
    </row>
    <row r="16" spans="1:62" x14ac:dyDescent="0.3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7"/>
      <c r="AR16" s="87"/>
      <c r="AS16" s="77">
        <f t="shared" si="2"/>
        <v>0</v>
      </c>
      <c r="BH16" s="15"/>
    </row>
    <row r="17" spans="1:61" x14ac:dyDescent="0.3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7"/>
      <c r="AR17" s="87"/>
      <c r="AS17" s="77">
        <f t="shared" si="2"/>
        <v>0</v>
      </c>
      <c r="BG17" s="8"/>
    </row>
    <row r="18" spans="1:61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7"/>
      <c r="AR18" s="87"/>
      <c r="AS18" s="77">
        <f t="shared" si="2"/>
        <v>0</v>
      </c>
    </row>
    <row r="19" spans="1:61" x14ac:dyDescent="0.3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7"/>
      <c r="AR19" s="87"/>
      <c r="AS19" s="77">
        <f t="shared" si="2"/>
        <v>0</v>
      </c>
    </row>
    <row r="20" spans="1:61" x14ac:dyDescent="0.3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7"/>
      <c r="AR20" s="87"/>
      <c r="AS20" s="77">
        <f t="shared" si="2"/>
        <v>0</v>
      </c>
    </row>
    <row r="21" spans="1:61" x14ac:dyDescent="0.3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7"/>
      <c r="AR21" s="87"/>
      <c r="AS21" s="77">
        <f t="shared" si="2"/>
        <v>0</v>
      </c>
    </row>
    <row r="22" spans="1:61" x14ac:dyDescent="0.3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7"/>
      <c r="AR22" s="87"/>
      <c r="AS22" s="77">
        <f t="shared" si="2"/>
        <v>0</v>
      </c>
    </row>
    <row r="23" spans="1:61" x14ac:dyDescent="0.3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7"/>
      <c r="AR23" s="87"/>
      <c r="AS23" s="77">
        <f t="shared" si="2"/>
        <v>0</v>
      </c>
    </row>
    <row r="24" spans="1:61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7"/>
      <c r="AR24" s="87"/>
      <c r="AS24" s="77">
        <f t="shared" si="2"/>
        <v>0</v>
      </c>
      <c r="BA24" s="3"/>
      <c r="BG24" s="3"/>
      <c r="BH24" s="3"/>
      <c r="BI24" s="3"/>
    </row>
    <row r="25" spans="1:61" x14ac:dyDescent="0.3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7"/>
      <c r="AR25" s="87"/>
      <c r="AS25" s="77">
        <f t="shared" si="2"/>
        <v>0</v>
      </c>
      <c r="BA25" s="8"/>
    </row>
    <row r="26" spans="1:61" x14ac:dyDescent="0.3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7"/>
      <c r="AR26" s="87"/>
      <c r="AS26" s="77">
        <f t="shared" si="2"/>
        <v>0</v>
      </c>
    </row>
    <row r="27" spans="1:61" x14ac:dyDescent="0.3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7"/>
      <c r="AR27" s="87"/>
      <c r="AS27" s="77">
        <f t="shared" si="2"/>
        <v>0</v>
      </c>
    </row>
    <row r="28" spans="1:61" x14ac:dyDescent="0.3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7"/>
      <c r="AR28" s="87"/>
      <c r="AS28" s="77">
        <f t="shared" si="2"/>
        <v>0</v>
      </c>
    </row>
    <row r="29" spans="1:61" ht="15.6" customHeight="1" x14ac:dyDescent="0.3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7"/>
      <c r="AR29" s="87"/>
      <c r="AS29" s="77">
        <f t="shared" si="2"/>
        <v>0</v>
      </c>
    </row>
    <row r="30" spans="1:61" x14ac:dyDescent="0.3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7"/>
      <c r="AR30" s="87"/>
      <c r="AS30" s="77">
        <f t="shared" si="2"/>
        <v>0</v>
      </c>
    </row>
    <row r="31" spans="1:61" x14ac:dyDescent="0.3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7"/>
      <c r="AR31" s="87"/>
      <c r="AS31" s="77">
        <f t="shared" si="2"/>
        <v>0</v>
      </c>
    </row>
    <row r="32" spans="1:61" x14ac:dyDescent="0.3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7"/>
      <c r="AR32" s="87"/>
      <c r="AS32" s="77">
        <f t="shared" si="2"/>
        <v>0</v>
      </c>
      <c r="BH32" s="5"/>
    </row>
    <row r="33" spans="1:61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7"/>
      <c r="AR33" s="87"/>
      <c r="AS33" s="77">
        <f t="shared" si="2"/>
        <v>0</v>
      </c>
      <c r="BH33" s="5"/>
    </row>
    <row r="34" spans="1:61" x14ac:dyDescent="0.3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7"/>
      <c r="AR34" s="87"/>
      <c r="AS34" s="77"/>
      <c r="BH34" s="5"/>
    </row>
    <row r="35" spans="1:61" ht="18.600000000000001" customHeight="1" x14ac:dyDescent="0.3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7"/>
      <c r="AR35" s="87"/>
      <c r="AS35" s="77">
        <f t="shared" si="2"/>
        <v>0</v>
      </c>
    </row>
    <row r="36" spans="1:61" ht="18.600000000000001" customHeight="1" x14ac:dyDescent="0.3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7"/>
      <c r="AR36" s="87"/>
      <c r="AS36" s="77">
        <f t="shared" si="2"/>
        <v>0</v>
      </c>
    </row>
    <row r="37" spans="1:61" x14ac:dyDescent="0.3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7"/>
      <c r="AR37" s="87"/>
      <c r="AS37" s="77">
        <f t="shared" si="2"/>
        <v>0</v>
      </c>
    </row>
    <row r="38" spans="1:61" x14ac:dyDescent="0.3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7"/>
      <c r="AR38" s="87"/>
      <c r="AS38" s="77">
        <f t="shared" si="2"/>
        <v>0</v>
      </c>
    </row>
    <row r="39" spans="1:61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90"/>
      <c r="AP39" s="26">
        <v>26625</v>
      </c>
      <c r="AQ39" s="87"/>
      <c r="AR39" s="87"/>
      <c r="AS39" s="77">
        <f t="shared" si="2"/>
        <v>0</v>
      </c>
      <c r="BG39" s="3"/>
      <c r="BH39" s="3"/>
      <c r="BI39" s="3"/>
    </row>
    <row r="40" spans="1:61" s="15" customFormat="1" x14ac:dyDescent="0.25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91"/>
      <c r="AP40" s="26">
        <v>26625</v>
      </c>
      <c r="AQ40" s="87"/>
      <c r="AR40" s="87"/>
      <c r="AS40" s="77">
        <f t="shared" si="2"/>
        <v>0</v>
      </c>
      <c r="BG40" s="3"/>
      <c r="BH40" s="3"/>
      <c r="BI40" s="3"/>
    </row>
    <row r="41" spans="1:61" s="15" customFormat="1" x14ac:dyDescent="0.25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90"/>
      <c r="AP41" s="26"/>
      <c r="AQ41" s="87"/>
      <c r="AR41" s="87"/>
      <c r="AS41" s="77">
        <f t="shared" si="2"/>
        <v>0</v>
      </c>
      <c r="BG41" s="3"/>
      <c r="BH41" s="3"/>
      <c r="BI41" s="3"/>
    </row>
    <row r="42" spans="1:61" s="15" customFormat="1" x14ac:dyDescent="0.25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90"/>
      <c r="AP42" s="26"/>
      <c r="AQ42" s="87"/>
      <c r="AR42" s="87"/>
      <c r="AS42" s="77">
        <f t="shared" si="2"/>
        <v>0</v>
      </c>
      <c r="BG42" s="3"/>
      <c r="BH42" s="3"/>
      <c r="BI42" s="3"/>
    </row>
    <row r="43" spans="1:61" s="15" customFormat="1" x14ac:dyDescent="0.25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90"/>
      <c r="AP43" s="26"/>
      <c r="AQ43" s="87"/>
      <c r="AR43" s="87"/>
      <c r="AS43" s="77">
        <f t="shared" si="2"/>
        <v>0</v>
      </c>
      <c r="BG43" s="3"/>
      <c r="BH43" s="3"/>
      <c r="BI43" s="3"/>
    </row>
    <row r="44" spans="1:61" x14ac:dyDescent="0.3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7"/>
      <c r="AR44" s="87"/>
      <c r="AS44" s="77">
        <f t="shared" si="2"/>
        <v>0</v>
      </c>
    </row>
    <row r="45" spans="1:61" ht="3.6" customHeight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7">
        <f t="shared" ref="AQ45" si="15">SUM(AN45:AP45)</f>
        <v>0</v>
      </c>
      <c r="AR45" s="87">
        <f t="shared" ref="AR45" si="16">+AI45-AQ45</f>
        <v>0</v>
      </c>
    </row>
    <row r="46" spans="1:61" ht="15.6" x14ac:dyDescent="0.3">
      <c r="C46" s="1" t="s">
        <v>94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7">
        <f>+AP46+AN46+AO46+20</f>
        <v>1759000</v>
      </c>
      <c r="AR46" s="87"/>
      <c r="BD46" s="3">
        <f>SUM(BD4:BD45)</f>
        <v>0</v>
      </c>
      <c r="BE46" s="5">
        <f>+BD46-AJ46</f>
        <v>-2165902.7999999998</v>
      </c>
    </row>
    <row r="47" spans="1:61" ht="3.6" customHeight="1" x14ac:dyDescent="0.3">
      <c r="AK47" s="27"/>
      <c r="AM47" s="5"/>
    </row>
    <row r="48" spans="1:61" x14ac:dyDescent="0.3">
      <c r="D48" s="74"/>
      <c r="AM48" s="5"/>
    </row>
    <row r="49" spans="4:44" x14ac:dyDescent="0.3">
      <c r="D49" s="5"/>
      <c r="AG49" s="96" t="s">
        <v>97</v>
      </c>
      <c r="AH49" s="97"/>
      <c r="AI49" s="97"/>
      <c r="AJ49" s="62">
        <f>+AJ46/1000</f>
        <v>2165.9027999999998</v>
      </c>
      <c r="AM49" s="5" t="s">
        <v>71</v>
      </c>
      <c r="AP49" s="3" t="s">
        <v>78</v>
      </c>
      <c r="AQ49" s="86" t="s">
        <v>79</v>
      </c>
      <c r="AR49" s="88"/>
    </row>
    <row r="50" spans="4:44" x14ac:dyDescent="0.3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6">
        <v>0</v>
      </c>
      <c r="AR50" s="88"/>
    </row>
    <row r="51" spans="4:44" x14ac:dyDescent="0.3">
      <c r="AH51" s="61"/>
      <c r="AI51" s="61"/>
      <c r="AJ51" s="63">
        <v>0</v>
      </c>
      <c r="AM51" s="3" t="s">
        <v>73</v>
      </c>
      <c r="AN51" s="3">
        <f>+AN46/1000</f>
        <v>8.93</v>
      </c>
      <c r="AR51" s="88"/>
    </row>
    <row r="52" spans="4:44" x14ac:dyDescent="0.3">
      <c r="AH52" s="61"/>
      <c r="AI52" s="61"/>
      <c r="AJ52" s="63">
        <v>0</v>
      </c>
      <c r="AM52" s="3" t="s">
        <v>74</v>
      </c>
      <c r="AN52" s="3">
        <f>+AO46/1000</f>
        <v>0.78</v>
      </c>
      <c r="AR52" s="88"/>
    </row>
    <row r="53" spans="4:44" x14ac:dyDescent="0.3">
      <c r="AG53" s="96" t="s">
        <v>67</v>
      </c>
      <c r="AH53" s="97"/>
      <c r="AI53" s="97"/>
      <c r="AJ53" s="64">
        <f>+AJ49-AJ50-AJ51-AJ52</f>
        <v>2165.9027999999998</v>
      </c>
      <c r="AM53" s="63"/>
      <c r="AN53" s="3">
        <f>SUM(AN50:AN52)</f>
        <v>1758.98</v>
      </c>
      <c r="AR53" s="88"/>
    </row>
    <row r="54" spans="4:44" x14ac:dyDescent="0.3">
      <c r="AM54" s="63"/>
      <c r="AN54" s="63"/>
    </row>
    <row r="55" spans="4:44" x14ac:dyDescent="0.3">
      <c r="AN55" s="63"/>
    </row>
    <row r="56" spans="4:44" x14ac:dyDescent="0.3">
      <c r="AH56" s="5"/>
    </row>
    <row r="57" spans="4:44" x14ac:dyDescent="0.3">
      <c r="AH57" s="5"/>
      <c r="AJ57" s="63"/>
    </row>
    <row r="59" spans="4:44" x14ac:dyDescent="0.3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Q27" activePane="bottomRight" state="frozen"/>
      <selection pane="topRight" activeCell="D1" sqref="D1"/>
      <selection pane="bottomLeft" activeCell="A3" sqref="A3"/>
      <selection pane="bottomRight" activeCell="A45" sqref="A45"/>
    </sheetView>
  </sheetViews>
  <sheetFormatPr baseColWidth="10" defaultRowHeight="13.8" x14ac:dyDescent="0.25"/>
  <cols>
    <col min="1" max="1" width="5.5546875" style="3" customWidth="1"/>
    <col min="2" max="2" width="10.109375" style="3" customWidth="1"/>
    <col min="3" max="3" width="20.77734375" style="3" customWidth="1"/>
    <col min="4" max="4" width="13.33203125" style="3" customWidth="1"/>
    <col min="5" max="5" width="12.109375" style="3" customWidth="1"/>
    <col min="6" max="21" width="12" style="3" customWidth="1"/>
    <col min="22" max="22" width="12.21875" style="3" customWidth="1"/>
    <col min="23" max="23" width="1.109375" style="3" customWidth="1"/>
    <col min="24" max="25" width="11.6640625" style="3" customWidth="1"/>
    <col min="26" max="26" width="11.88671875" style="3" customWidth="1"/>
    <col min="27" max="27" width="12.6640625" style="3" customWidth="1"/>
    <col min="28" max="28" width="0.88671875" style="8" customWidth="1"/>
    <col min="29" max="29" width="11.5546875" style="3" customWidth="1"/>
    <col min="30" max="30" width="12.77734375" style="3" bestFit="1" customWidth="1"/>
    <col min="31" max="31" width="12.44140625" style="3" bestFit="1" customWidth="1"/>
    <col min="32" max="32" width="9.77734375" style="3" customWidth="1"/>
    <col min="33" max="33" width="11.77734375" style="3" bestFit="1" customWidth="1"/>
    <col min="34" max="38" width="9.77734375" style="3" customWidth="1"/>
    <col min="39" max="16384" width="11.5546875" style="3"/>
  </cols>
  <sheetData>
    <row r="1" spans="1:49" x14ac:dyDescent="0.25">
      <c r="A1" s="98" t="s">
        <v>1</v>
      </c>
      <c r="B1" s="2" t="s">
        <v>5</v>
      </c>
      <c r="C1" s="98" t="s">
        <v>0</v>
      </c>
      <c r="D1" s="98" t="s">
        <v>86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X1" s="98" t="s">
        <v>2</v>
      </c>
      <c r="Y1" s="98"/>
      <c r="Z1" s="98"/>
      <c r="AA1" s="98"/>
      <c r="AB1" s="27"/>
      <c r="AC1" s="16" t="s">
        <v>22</v>
      </c>
      <c r="AD1" s="94" t="s">
        <v>24</v>
      </c>
    </row>
    <row r="2" spans="1:49" x14ac:dyDescent="0.25">
      <c r="A2" s="98"/>
      <c r="B2" s="2" t="s">
        <v>6</v>
      </c>
      <c r="C2" s="98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95"/>
      <c r="AE2" s="65" t="s">
        <v>75</v>
      </c>
      <c r="AF2" s="65" t="s">
        <v>76</v>
      </c>
      <c r="AG2" s="65" t="s">
        <v>77</v>
      </c>
    </row>
    <row r="3" spans="1:49" ht="14.4" x14ac:dyDescent="0.25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 ht="14.4" x14ac:dyDescent="0.25">
      <c r="A4" s="17">
        <f>+A3+1</f>
        <v>2</v>
      </c>
      <c r="B4" s="39" t="s">
        <v>29</v>
      </c>
      <c r="C4" s="39" t="s">
        <v>30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81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 ht="14.4" x14ac:dyDescent="0.25">
      <c r="A5" s="17">
        <f t="shared" ref="A5:A31" si="4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81">
        <v>660</v>
      </c>
      <c r="AD5" s="18">
        <f t="shared" si="3"/>
        <v>0</v>
      </c>
      <c r="AE5" s="60"/>
      <c r="AF5" s="65"/>
      <c r="AG5" s="60"/>
    </row>
    <row r="6" spans="1:49" ht="14.4" x14ac:dyDescent="0.25">
      <c r="A6" s="17">
        <f t="shared" si="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81">
        <v>680</v>
      </c>
      <c r="AD6" s="18">
        <f t="shared" si="3"/>
        <v>0</v>
      </c>
      <c r="AE6" s="60"/>
      <c r="AF6" s="65"/>
      <c r="AG6" s="60"/>
    </row>
    <row r="7" spans="1:49" ht="14.4" x14ac:dyDescent="0.25">
      <c r="A7" s="17">
        <f t="shared" si="4"/>
        <v>5</v>
      </c>
      <c r="B7" s="39" t="s">
        <v>34</v>
      </c>
      <c r="C7" s="39" t="s">
        <v>35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81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 ht="14.4" x14ac:dyDescent="0.25">
      <c r="A8" s="17">
        <f t="shared" si="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81">
        <v>120</v>
      </c>
      <c r="AD8" s="18">
        <f t="shared" si="3"/>
        <v>0</v>
      </c>
      <c r="AE8" s="60"/>
      <c r="AF8" s="65"/>
      <c r="AG8" s="19"/>
    </row>
    <row r="9" spans="1:49" ht="14.4" x14ac:dyDescent="0.25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81">
        <v>16650</v>
      </c>
      <c r="AD9" s="18">
        <f t="shared" si="3"/>
        <v>0</v>
      </c>
      <c r="AE9" s="60"/>
      <c r="AF9" s="65"/>
      <c r="AG9" s="19"/>
    </row>
    <row r="10" spans="1:49" ht="14.4" x14ac:dyDescent="0.25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81">
        <v>1854</v>
      </c>
      <c r="AD10" s="18">
        <f t="shared" si="3"/>
        <v>0</v>
      </c>
      <c r="AE10" s="60"/>
      <c r="AF10" s="65"/>
      <c r="AG10" s="19"/>
    </row>
    <row r="11" spans="1:49" s="8" customFormat="1" ht="14.4" x14ac:dyDescent="0.25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81">
        <v>12340</v>
      </c>
      <c r="AD11" s="18">
        <f t="shared" si="3"/>
        <v>0</v>
      </c>
      <c r="AE11" s="26"/>
      <c r="AF11" s="37"/>
      <c r="AG11" s="38"/>
    </row>
    <row r="12" spans="1:49" s="8" customFormat="1" ht="14.4" x14ac:dyDescent="0.25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81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 ht="14.4" x14ac:dyDescent="0.25">
      <c r="A13" s="7">
        <f>+A12+1</f>
        <v>10</v>
      </c>
      <c r="B13" s="20" t="s">
        <v>8</v>
      </c>
      <c r="C13" s="20" t="s">
        <v>9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81">
        <f>120+180</f>
        <v>300</v>
      </c>
      <c r="AD13" s="18">
        <f t="shared" si="3"/>
        <v>0</v>
      </c>
      <c r="AE13" s="60"/>
      <c r="AF13" s="65"/>
      <c r="AG13" s="22"/>
    </row>
    <row r="14" spans="1:49" ht="14.4" x14ac:dyDescent="0.25">
      <c r="A14" s="7">
        <f t="shared" ref="A14:A16" si="6">+A13+1</f>
        <v>11</v>
      </c>
      <c r="B14" s="20" t="s">
        <v>10</v>
      </c>
      <c r="C14" s="20" t="s">
        <v>11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 ht="14.4" x14ac:dyDescent="0.25">
      <c r="A15" s="7">
        <f t="shared" si="6"/>
        <v>12</v>
      </c>
      <c r="B15" s="20" t="s">
        <v>57</v>
      </c>
      <c r="C15" s="20" t="s">
        <v>58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81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 ht="14.4" x14ac:dyDescent="0.25">
      <c r="A16" s="7">
        <f t="shared" si="6"/>
        <v>13</v>
      </c>
      <c r="B16" s="20" t="s">
        <v>55</v>
      </c>
      <c r="C16" s="20" t="s">
        <v>56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81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 ht="14.4" x14ac:dyDescent="0.25">
      <c r="A17" s="23">
        <f>+A16+1</f>
        <v>14</v>
      </c>
      <c r="B17" s="47" t="s">
        <v>42</v>
      </c>
      <c r="C17" s="32" t="s">
        <v>7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 ht="14.4" x14ac:dyDescent="0.25">
      <c r="A18" s="23">
        <f t="shared" ref="A18:A22" si="7">+A17+1</f>
        <v>15</v>
      </c>
      <c r="B18" s="47">
        <v>10009271</v>
      </c>
      <c r="C18" s="32" t="s">
        <v>60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 ht="14.4" x14ac:dyDescent="0.25">
      <c r="A19" s="23">
        <f t="shared" si="7"/>
        <v>16</v>
      </c>
      <c r="B19" s="47" t="s">
        <v>43</v>
      </c>
      <c r="C19" s="32" t="s">
        <v>44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81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 ht="14.4" x14ac:dyDescent="0.25">
      <c r="A20" s="23">
        <f t="shared" si="7"/>
        <v>17</v>
      </c>
      <c r="B20" s="47" t="s">
        <v>45</v>
      </c>
      <c r="C20" s="32" t="s">
        <v>46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 ht="14.4" x14ac:dyDescent="0.25">
      <c r="A21" s="23">
        <f t="shared" si="7"/>
        <v>18</v>
      </c>
      <c r="B21" s="47" t="s">
        <v>47</v>
      </c>
      <c r="C21" s="32" t="s">
        <v>48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81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 ht="14.4" x14ac:dyDescent="0.25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81">
        <v>17260</v>
      </c>
      <c r="AD22" s="18">
        <f t="shared" si="3"/>
        <v>0</v>
      </c>
      <c r="AE22" s="60"/>
      <c r="AF22" s="65"/>
      <c r="AG22" s="25"/>
    </row>
    <row r="23" spans="1:48" s="8" customFormat="1" ht="14.4" x14ac:dyDescent="0.25">
      <c r="A23" s="11">
        <f>+A22+1</f>
        <v>20</v>
      </c>
      <c r="B23" s="12" t="s">
        <v>12</v>
      </c>
      <c r="C23" s="12" t="s">
        <v>13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 ht="14.4" x14ac:dyDescent="0.25">
      <c r="A24" s="11">
        <f t="shared" ref="A24:A29" si="8">+A23+1</f>
        <v>21</v>
      </c>
      <c r="B24" s="12" t="s">
        <v>14</v>
      </c>
      <c r="C24" s="12" t="s">
        <v>15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81">
        <v>140</v>
      </c>
      <c r="AD24" s="18">
        <f t="shared" si="3"/>
        <v>0</v>
      </c>
      <c r="AE24" s="60"/>
      <c r="AF24" s="65"/>
      <c r="AG24" s="14"/>
      <c r="AN24" s="8"/>
    </row>
    <row r="25" spans="1:48" ht="14.4" x14ac:dyDescent="0.25">
      <c r="A25" s="11">
        <f t="shared" si="8"/>
        <v>22</v>
      </c>
      <c r="B25" s="12" t="s">
        <v>16</v>
      </c>
      <c r="C25" s="12" t="s">
        <v>17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81">
        <v>3020</v>
      </c>
      <c r="AD25" s="18">
        <f t="shared" si="3"/>
        <v>0</v>
      </c>
      <c r="AE25" s="60"/>
      <c r="AF25" s="65"/>
      <c r="AG25" s="14">
        <v>13760</v>
      </c>
    </row>
    <row r="26" spans="1:48" ht="14.4" x14ac:dyDescent="0.25">
      <c r="A26" s="11">
        <f t="shared" si="8"/>
        <v>23</v>
      </c>
      <c r="B26" s="12" t="s">
        <v>18</v>
      </c>
      <c r="C26" s="12" t="s">
        <v>19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 ht="14.4" x14ac:dyDescent="0.25">
      <c r="A27" s="11">
        <f t="shared" si="8"/>
        <v>24</v>
      </c>
      <c r="B27" s="12" t="s">
        <v>49</v>
      </c>
      <c r="C27" s="12" t="s">
        <v>50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81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 x14ac:dyDescent="0.25">
      <c r="A28" s="11">
        <f t="shared" si="8"/>
        <v>25</v>
      </c>
      <c r="B28" s="12">
        <v>10009658</v>
      </c>
      <c r="C28" s="12" t="s">
        <v>68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81">
        <v>1960</v>
      </c>
      <c r="AD28" s="18">
        <f t="shared" si="3"/>
        <v>0</v>
      </c>
      <c r="AE28" s="60"/>
      <c r="AF28" s="65"/>
      <c r="AG28" s="14"/>
    </row>
    <row r="29" spans="1:48" ht="14.4" x14ac:dyDescent="0.25">
      <c r="A29" s="11">
        <f t="shared" si="8"/>
        <v>26</v>
      </c>
      <c r="B29" s="12">
        <v>10009639</v>
      </c>
      <c r="C29" s="12" t="s">
        <v>69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81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 ht="14.4" x14ac:dyDescent="0.25">
      <c r="A30" s="28">
        <f>+A29+1</f>
        <v>27</v>
      </c>
      <c r="B30" s="31" t="s">
        <v>53</v>
      </c>
      <c r="C30" s="31" t="s">
        <v>54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81">
        <v>102460</v>
      </c>
      <c r="AD30" s="18">
        <f t="shared" si="3"/>
        <v>0</v>
      </c>
      <c r="AE30" s="60"/>
      <c r="AF30" s="65"/>
      <c r="AG30" s="30"/>
      <c r="AH30" s="5"/>
    </row>
    <row r="31" spans="1:48" ht="14.4" x14ac:dyDescent="0.25">
      <c r="A31" s="28">
        <f t="shared" si="4"/>
        <v>28</v>
      </c>
      <c r="B31" s="31" t="s">
        <v>51</v>
      </c>
      <c r="C31" s="31" t="s">
        <v>52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81">
        <v>30780</v>
      </c>
      <c r="AD31" s="18">
        <f t="shared" si="3"/>
        <v>0</v>
      </c>
      <c r="AE31" s="60"/>
      <c r="AF31" s="65"/>
      <c r="AG31" s="30"/>
      <c r="AU31" s="5"/>
    </row>
    <row r="32" spans="1:48" ht="14.4" x14ac:dyDescent="0.25">
      <c r="A32" s="28">
        <f>+A30+1</f>
        <v>28</v>
      </c>
      <c r="B32" s="31" t="s">
        <v>38</v>
      </c>
      <c r="C32" s="31" t="s">
        <v>39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81">
        <v>260</v>
      </c>
      <c r="AD32" s="18">
        <f t="shared" si="3"/>
        <v>0</v>
      </c>
      <c r="AE32" s="60"/>
      <c r="AF32" s="65"/>
      <c r="AG32" s="30"/>
      <c r="AU32" s="5"/>
    </row>
    <row r="33" spans="1:48" ht="14.4" x14ac:dyDescent="0.25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81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 x14ac:dyDescent="0.25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3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 x14ac:dyDescent="0.25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3">
        <f>300+640</f>
        <v>940</v>
      </c>
      <c r="AD35" s="18">
        <f t="shared" si="3"/>
        <v>0</v>
      </c>
      <c r="AE35" s="18"/>
      <c r="AF35" s="65"/>
      <c r="AG35" s="30"/>
    </row>
    <row r="36" spans="1:48" ht="14.4" x14ac:dyDescent="0.25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3">
        <v>1250</v>
      </c>
      <c r="AD36" s="18">
        <f t="shared" si="3"/>
        <v>0</v>
      </c>
      <c r="AE36" s="18"/>
      <c r="AF36" s="65"/>
      <c r="AG36" s="30"/>
    </row>
    <row r="37" spans="1:48" ht="14.4" x14ac:dyDescent="0.25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3">
        <v>1260</v>
      </c>
      <c r="AD37" s="18">
        <f t="shared" si="3"/>
        <v>0</v>
      </c>
      <c r="AE37" s="18"/>
      <c r="AF37" s="65"/>
      <c r="AG37" s="30"/>
    </row>
    <row r="38" spans="1:48" s="15" customFormat="1" ht="14.4" x14ac:dyDescent="0.25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82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 ht="14.4" x14ac:dyDescent="0.25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82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 ht="14.4" x14ac:dyDescent="0.25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4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 ht="14.4" x14ac:dyDescent="0.25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4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 ht="14.4" x14ac:dyDescent="0.25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4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 ht="14.4" x14ac:dyDescent="0.25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5">
        <v>1120</v>
      </c>
      <c r="AD43" s="18">
        <f t="shared" si="3"/>
        <v>0</v>
      </c>
      <c r="AE43" s="18"/>
      <c r="AF43" s="65"/>
      <c r="AG43" s="42"/>
    </row>
    <row r="44" spans="1:48" ht="3.6" customHeight="1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" x14ac:dyDescent="0.2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 x14ac:dyDescent="0.25">
      <c r="AB46" s="27"/>
      <c r="AD46" s="5"/>
    </row>
    <row r="47" spans="1:48" x14ac:dyDescent="0.25">
      <c r="D47" s="74"/>
      <c r="AD47" s="5"/>
      <c r="AG47" s="5"/>
    </row>
    <row r="48" spans="1:48" ht="14.4" x14ac:dyDescent="0.3">
      <c r="D48" s="5"/>
      <c r="X48" s="96" t="s">
        <v>85</v>
      </c>
      <c r="Y48" s="97"/>
      <c r="Z48" s="97"/>
      <c r="AA48" s="62">
        <f>+AA45/1000</f>
        <v>1656.5658000000001</v>
      </c>
      <c r="AD48" s="5" t="s">
        <v>71</v>
      </c>
      <c r="AG48" s="3" t="s">
        <v>78</v>
      </c>
    </row>
    <row r="49" spans="24:33" x14ac:dyDescent="0.25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 x14ac:dyDescent="0.25">
      <c r="Y50" s="61"/>
      <c r="Z50" s="61"/>
      <c r="AA50" s="63"/>
      <c r="AD50" s="3" t="s">
        <v>73</v>
      </c>
      <c r="AE50" s="3">
        <f>+AE45/1000</f>
        <v>0</v>
      </c>
    </row>
    <row r="51" spans="24:33" x14ac:dyDescent="0.25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 ht="14.4" x14ac:dyDescent="0.3">
      <c r="X52" s="96" t="s">
        <v>67</v>
      </c>
      <c r="Y52" s="97"/>
      <c r="Z52" s="97"/>
      <c r="AA52" s="64">
        <f>+AA48-AA49-AA50-AA51</f>
        <v>1656.5658000000001</v>
      </c>
      <c r="AD52" s="63"/>
      <c r="AE52" s="3">
        <f>SUM(AE49:AE51)</f>
        <v>404.88</v>
      </c>
    </row>
    <row r="53" spans="24:33" x14ac:dyDescent="0.25">
      <c r="AD53" s="63"/>
      <c r="AE53" s="63"/>
    </row>
    <row r="54" spans="24:33" x14ac:dyDescent="0.25">
      <c r="AE54" s="63"/>
    </row>
    <row r="55" spans="24:33" x14ac:dyDescent="0.25">
      <c r="Y55" s="5"/>
    </row>
    <row r="56" spans="24:33" x14ac:dyDescent="0.25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CDAC-5B36-4823-B79F-3948F56C00BD}">
  <dimension ref="B3:D7"/>
  <sheetViews>
    <sheetView workbookViewId="0">
      <selection activeCell="E10" sqref="E10"/>
    </sheetView>
  </sheetViews>
  <sheetFormatPr baseColWidth="10" defaultRowHeight="14.4" x14ac:dyDescent="0.3"/>
  <cols>
    <col min="4" max="4" width="2.88671875" bestFit="1" customWidth="1"/>
  </cols>
  <sheetData>
    <row r="3" spans="2:4" x14ac:dyDescent="0.3">
      <c r="B3" s="99" t="s">
        <v>103</v>
      </c>
      <c r="C3" s="99"/>
      <c r="D3" s="99"/>
    </row>
    <row r="4" spans="2:4" x14ac:dyDescent="0.3">
      <c r="B4" s="92" t="s">
        <v>100</v>
      </c>
      <c r="C4" s="93">
        <f>+Enero2026!Y45</f>
        <v>1418869</v>
      </c>
      <c r="D4" s="92" t="s">
        <v>104</v>
      </c>
    </row>
    <row r="5" spans="2:4" x14ac:dyDescent="0.3">
      <c r="B5" s="92" t="s">
        <v>101</v>
      </c>
      <c r="C5" s="93">
        <f>+Febrero2026!AH46</f>
        <v>2268337</v>
      </c>
      <c r="D5" s="92" t="s">
        <v>104</v>
      </c>
    </row>
    <row r="6" spans="2:4" x14ac:dyDescent="0.3">
      <c r="B6" s="92" t="s">
        <v>102</v>
      </c>
      <c r="C6" s="93">
        <f>+Marzo2026!AE48</f>
        <v>1440651</v>
      </c>
      <c r="D6" s="92" t="s">
        <v>104</v>
      </c>
    </row>
    <row r="7" spans="2:4" x14ac:dyDescent="0.3">
      <c r="C7" s="93">
        <f>SUM(C4:C6)</f>
        <v>5127857</v>
      </c>
      <c r="D7" s="92" t="s">
        <v>104</v>
      </c>
    </row>
  </sheetData>
  <mergeCells count="1">
    <mergeCell ref="B3:D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Marzo2026</vt:lpstr>
      <vt:lpstr>Febrero2026</vt:lpstr>
      <vt:lpstr>Enero2026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Rodrigo Sebastian Martinez Montalvo (PFRO)</cp:lastModifiedBy>
  <cp:lastPrinted>2025-03-28T22:25:46Z</cp:lastPrinted>
  <dcterms:created xsi:type="dcterms:W3CDTF">2025-03-21T00:36:50Z</dcterms:created>
  <dcterms:modified xsi:type="dcterms:W3CDTF">2026-03-30T15:36:58Z</dcterms:modified>
</cp:coreProperties>
</file>