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0D84ACEC-6484-43F0-B07A-14DAF25233D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RESUMEN" sheetId="3" r:id="rId1"/>
    <sheet name="Hoja3" sheetId="4" state="hidden" r:id="rId2"/>
    <sheet name="DÍAS" sheetId="5" state="hidden" r:id="rId3"/>
    <sheet name="Data" sheetId="1" r:id="rId4"/>
  </sheets>
  <definedNames>
    <definedName name="_xlnm._FilterDatabase" localSheetId="3" hidden="1">Data!$A$1:$R$122</definedName>
  </definedNames>
  <calcPr calcId="191029"/>
  <pivotCaches>
    <pivotCache cacheId="57" r:id="rId5"/>
    <pivotCache cacheId="5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7" i="1" l="1"/>
  <c r="O118" i="1"/>
  <c r="O119" i="1"/>
  <c r="O120" i="1"/>
  <c r="O121" i="1"/>
  <c r="O116" i="1"/>
  <c r="O80" i="1"/>
  <c r="O72" i="1"/>
  <c r="O71" i="1"/>
  <c r="O70" i="1"/>
  <c r="M82" i="1"/>
  <c r="M81" i="1"/>
  <c r="O74" i="1"/>
  <c r="O73" i="1"/>
  <c r="O36" i="1"/>
  <c r="O28" i="1"/>
  <c r="Q114" i="1"/>
  <c r="Q115" i="1"/>
  <c r="Q116" i="1"/>
  <c r="Q117" i="1"/>
  <c r="Q118" i="1"/>
  <c r="Q119" i="1"/>
  <c r="Q120" i="1"/>
  <c r="Q121" i="1"/>
  <c r="Q113" i="1"/>
  <c r="M115" i="1"/>
  <c r="M114" i="1"/>
  <c r="M113" i="1"/>
  <c r="L114" i="1"/>
  <c r="L115" i="1"/>
  <c r="L116" i="1"/>
  <c r="L117" i="1"/>
  <c r="L118" i="1"/>
  <c r="L119" i="1"/>
  <c r="L120" i="1"/>
  <c r="L121" i="1"/>
  <c r="L113" i="1"/>
  <c r="L106" i="1"/>
  <c r="Q100" i="1"/>
  <c r="M100" i="1"/>
  <c r="L100" i="1"/>
  <c r="Q96" i="1"/>
  <c r="L96" i="1"/>
  <c r="Q94" i="1"/>
  <c r="Q95" i="1"/>
  <c r="M94" i="1"/>
  <c r="Q81" i="1"/>
  <c r="Q82" i="1"/>
  <c r="L81" i="1"/>
  <c r="L82" i="1"/>
  <c r="L80" i="1"/>
  <c r="Q80" i="1"/>
  <c r="Q75" i="1"/>
  <c r="L75" i="1" l="1"/>
  <c r="Q72" i="1"/>
  <c r="L72" i="1"/>
  <c r="Q71" i="1"/>
  <c r="L71" i="1"/>
  <c r="Q70" i="1"/>
  <c r="L70" i="1"/>
  <c r="Q69" i="1"/>
  <c r="L69" i="1"/>
  <c r="Q40" i="1"/>
  <c r="M40" i="1"/>
  <c r="L40" i="1"/>
  <c r="Q39" i="1"/>
  <c r="M39" i="1"/>
  <c r="L39" i="1"/>
  <c r="M35" i="1"/>
  <c r="M29" i="1"/>
  <c r="M30" i="1"/>
  <c r="M31" i="1"/>
  <c r="M32" i="1"/>
  <c r="M33" i="1"/>
  <c r="M34" i="1"/>
  <c r="Q29" i="1"/>
  <c r="Q30" i="1"/>
  <c r="Q31" i="1"/>
  <c r="Q32" i="1"/>
  <c r="Q33" i="1"/>
  <c r="Q34" i="1"/>
  <c r="Q35" i="1"/>
  <c r="L29" i="1"/>
  <c r="L30" i="1"/>
  <c r="L31" i="1"/>
  <c r="L32" i="1"/>
  <c r="L33" i="1"/>
  <c r="L34" i="1"/>
  <c r="L35" i="1"/>
  <c r="P122" i="1"/>
  <c r="P121" i="1"/>
  <c r="P120" i="1"/>
  <c r="P119" i="1"/>
  <c r="P118" i="1"/>
  <c r="P117" i="1"/>
  <c r="P116" i="1"/>
  <c r="P115" i="1"/>
  <c r="P114" i="1"/>
  <c r="P113" i="1"/>
  <c r="P106" i="1"/>
  <c r="P100" i="1"/>
  <c r="P96" i="1"/>
  <c r="P95" i="1"/>
  <c r="P94" i="1"/>
  <c r="P83" i="1"/>
  <c r="P82" i="1"/>
  <c r="P81" i="1"/>
  <c r="P80" i="1"/>
  <c r="P75" i="1"/>
  <c r="P74" i="1"/>
  <c r="P73" i="1"/>
  <c r="P72" i="1"/>
  <c r="P71" i="1"/>
  <c r="P70" i="1"/>
  <c r="P69" i="1"/>
  <c r="P40" i="1"/>
  <c r="P39" i="1"/>
  <c r="P36" i="1"/>
  <c r="O99" i="1"/>
  <c r="O98" i="1"/>
  <c r="P99" i="1"/>
  <c r="P98" i="1"/>
  <c r="P97" i="1"/>
  <c r="P85" i="1"/>
  <c r="P86" i="1"/>
  <c r="P87" i="1"/>
  <c r="P84" i="1"/>
  <c r="O112" i="1"/>
  <c r="O111" i="1"/>
  <c r="O110" i="1"/>
  <c r="O109" i="1"/>
  <c r="O108" i="1"/>
  <c r="O107" i="1"/>
  <c r="O105" i="1"/>
  <c r="O104" i="1"/>
  <c r="O103" i="1"/>
  <c r="O102" i="1"/>
  <c r="O101" i="1"/>
  <c r="P112" i="1"/>
  <c r="P111" i="1"/>
  <c r="P110" i="1"/>
  <c r="P109" i="1"/>
  <c r="P108" i="1"/>
  <c r="P107" i="1"/>
  <c r="P105" i="1"/>
  <c r="P104" i="1"/>
  <c r="P103" i="1"/>
  <c r="P102" i="1"/>
  <c r="P101" i="1"/>
  <c r="P93" i="1"/>
  <c r="P92" i="1"/>
  <c r="P91" i="1"/>
  <c r="P90" i="1"/>
  <c r="P89" i="1"/>
  <c r="P88" i="1"/>
  <c r="P79" i="1"/>
  <c r="P78" i="1"/>
  <c r="P77" i="1"/>
  <c r="P76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38" i="1"/>
  <c r="P37" i="1"/>
  <c r="P27" i="1"/>
  <c r="P26" i="1"/>
  <c r="P25" i="1"/>
  <c r="P24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Q19" i="1"/>
  <c r="M19" i="1"/>
  <c r="O93" i="1"/>
  <c r="O37" i="1"/>
  <c r="Q23" i="1"/>
  <c r="Q22" i="1"/>
  <c r="Q21" i="1"/>
  <c r="Q20" i="1"/>
  <c r="M23" i="1"/>
  <c r="M22" i="1"/>
  <c r="M21" i="1"/>
  <c r="M20" i="1"/>
  <c r="L23" i="1"/>
  <c r="L22" i="1"/>
  <c r="L21" i="1"/>
  <c r="L20" i="1"/>
  <c r="L19" i="1"/>
  <c r="P35" i="1"/>
  <c r="P34" i="1"/>
  <c r="P33" i="1"/>
  <c r="P32" i="1"/>
  <c r="P31" i="1"/>
  <c r="P30" i="1"/>
  <c r="P29" i="1"/>
  <c r="P28" i="1"/>
  <c r="P23" i="1"/>
  <c r="P22" i="1"/>
  <c r="P21" i="1"/>
  <c r="P20" i="1"/>
  <c r="P19" i="1"/>
  <c r="O88" i="1"/>
  <c r="O79" i="1"/>
  <c r="O87" i="1"/>
  <c r="O86" i="1"/>
  <c r="O85" i="1"/>
  <c r="O84" i="1"/>
  <c r="O83" i="1"/>
  <c r="O68" i="1"/>
  <c r="O59" i="1"/>
  <c r="O58" i="1"/>
  <c r="O57" i="1"/>
  <c r="O56" i="1"/>
  <c r="O52" i="1"/>
  <c r="O51" i="1"/>
  <c r="O50" i="1"/>
  <c r="O49" i="1"/>
  <c r="O48" i="1"/>
  <c r="O47" i="1"/>
  <c r="O46" i="1"/>
  <c r="O45" i="1"/>
  <c r="O44" i="1"/>
  <c r="O43" i="1"/>
  <c r="O42" i="1"/>
  <c r="O41" i="1"/>
  <c r="O38" i="1"/>
  <c r="O27" i="1"/>
  <c r="O26" i="1"/>
  <c r="O25" i="1"/>
  <c r="O24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65" i="1"/>
  <c r="O66" i="1"/>
  <c r="O67" i="1"/>
  <c r="O64" i="1"/>
</calcChain>
</file>

<file path=xl/sharedStrings.xml><?xml version="1.0" encoding="utf-8"?>
<sst xmlns="http://schemas.openxmlformats.org/spreadsheetml/2006/main" count="1028" uniqueCount="347">
  <si>
    <t>1000013966</t>
  </si>
  <si>
    <t>ARKANO TRADING SOCIEDAD ANONIMA CER</t>
  </si>
  <si>
    <t>1200005220</t>
  </si>
  <si>
    <t>01-0F101-0004694</t>
  </si>
  <si>
    <t>DF</t>
  </si>
  <si>
    <t>PEN</t>
  </si>
  <si>
    <t>1200005228</t>
  </si>
  <si>
    <t>01-0F101-0004700</t>
  </si>
  <si>
    <t>1200005242</t>
  </si>
  <si>
    <t>01-0F101-0004710</t>
  </si>
  <si>
    <t>1200005264</t>
  </si>
  <si>
    <t>01-0F101-0004729</t>
  </si>
  <si>
    <t>1200005271</t>
  </si>
  <si>
    <t>01-0F101-0004736</t>
  </si>
  <si>
    <t>1200005296</t>
  </si>
  <si>
    <t>01-0F101-0004758</t>
  </si>
  <si>
    <t>1200005302</t>
  </si>
  <si>
    <t>01-0F101-0004762</t>
  </si>
  <si>
    <t>1200005304</t>
  </si>
  <si>
    <t>01-0F101-0004763</t>
  </si>
  <si>
    <t>1200005313</t>
  </si>
  <si>
    <t>01-0F101-0004772</t>
  </si>
  <si>
    <t>1200005346</t>
  </si>
  <si>
    <t>01-0F101-0004803</t>
  </si>
  <si>
    <t>1200005422</t>
  </si>
  <si>
    <t>01-0F101-0004855</t>
  </si>
  <si>
    <t>1200000045</t>
  </si>
  <si>
    <t>01-0F101-0005160</t>
  </si>
  <si>
    <t>1200000090</t>
  </si>
  <si>
    <t>01-0F101-0005198</t>
  </si>
  <si>
    <t>1200000113</t>
  </si>
  <si>
    <t>01-0F101-0005211</t>
  </si>
  <si>
    <t>1200000132</t>
  </si>
  <si>
    <t>01-0F101-0005224</t>
  </si>
  <si>
    <t>1200000133</t>
  </si>
  <si>
    <t>01-0F101-0005225</t>
  </si>
  <si>
    <t>1200000141</t>
  </si>
  <si>
    <t>01-0F101-0005231</t>
  </si>
  <si>
    <t>2000001028</t>
  </si>
  <si>
    <t>AVANCE GROUP LTD</t>
  </si>
  <si>
    <t>1200000359</t>
  </si>
  <si>
    <t>01-0F002-0000246</t>
  </si>
  <si>
    <t>DE</t>
  </si>
  <si>
    <t>USD</t>
  </si>
  <si>
    <t>1200000360</t>
  </si>
  <si>
    <t>01-0F002-0000247</t>
  </si>
  <si>
    <t>1200000374</t>
  </si>
  <si>
    <t>01-0F002-0000249</t>
  </si>
  <si>
    <t>1200000375</t>
  </si>
  <si>
    <t>01-0F002-0000250</t>
  </si>
  <si>
    <t>1200000376</t>
  </si>
  <si>
    <t>01-0F002-0000251</t>
  </si>
  <si>
    <t>1000013678</t>
  </si>
  <si>
    <t>CORPORACION NACIONAL PERU EXPORTACI</t>
  </si>
  <si>
    <t>1200000439</t>
  </si>
  <si>
    <t>01-0F101-0005458</t>
  </si>
  <si>
    <t>1200000453</t>
  </si>
  <si>
    <t>01-0F101-0005470</t>
  </si>
  <si>
    <t>1200000468</t>
  </si>
  <si>
    <t>01-0F101-0005482</t>
  </si>
  <si>
    <t>1200000582</t>
  </si>
  <si>
    <t>01-0F101-0005569</t>
  </si>
  <si>
    <t>2000001381</t>
  </si>
  <si>
    <t>DAIRECK SA</t>
  </si>
  <si>
    <t>ANTICIPO DAIRECK</t>
  </si>
  <si>
    <t>DZ</t>
  </si>
  <si>
    <t>SALDO A FAVOR</t>
  </si>
  <si>
    <t>ZV</t>
  </si>
  <si>
    <t>1300001579</t>
  </si>
  <si>
    <t>1200000495</t>
  </si>
  <si>
    <t>01-0F002-0000270</t>
  </si>
  <si>
    <t>2000001361</t>
  </si>
  <si>
    <t>GLOBAL OCEAN FLEXTRADING, S. L</t>
  </si>
  <si>
    <t>1200000199</t>
  </si>
  <si>
    <t>01-0F002-0000235</t>
  </si>
  <si>
    <t>2000001398</t>
  </si>
  <si>
    <t>Hunan Jinyueyang Import and Export</t>
  </si>
  <si>
    <t>1300000819</t>
  </si>
  <si>
    <t>FT-0F002-0000252</t>
  </si>
  <si>
    <t>1000006830</t>
  </si>
  <si>
    <t>JAHFISH E.I.R.L.</t>
  </si>
  <si>
    <t>1200000128</t>
  </si>
  <si>
    <t>01-0F101-0005222</t>
  </si>
  <si>
    <t>1200000129</t>
  </si>
  <si>
    <t>01-0F101-0005223</t>
  </si>
  <si>
    <t>1200000167</t>
  </si>
  <si>
    <t>01-0F101-0005247</t>
  </si>
  <si>
    <t>1200000168</t>
  </si>
  <si>
    <t>01-0F101-0005248</t>
  </si>
  <si>
    <t>1200000207</t>
  </si>
  <si>
    <t>01-0F101-0005276</t>
  </si>
  <si>
    <t>1200000208</t>
  </si>
  <si>
    <t>01-0F101-0005277</t>
  </si>
  <si>
    <t>1200000466</t>
  </si>
  <si>
    <t>01-0F101-0005480</t>
  </si>
  <si>
    <t>1200000467</t>
  </si>
  <si>
    <t>01-0F101-0005481</t>
  </si>
  <si>
    <t>1200000489</t>
  </si>
  <si>
    <t>01-0F101-0005498</t>
  </si>
  <si>
    <t>1200000490</t>
  </si>
  <si>
    <t>01-0F101-0005499</t>
  </si>
  <si>
    <t>1200000503</t>
  </si>
  <si>
    <t>01-0F101-0005507</t>
  </si>
  <si>
    <t>1200000504</t>
  </si>
  <si>
    <t>01-0F101-0005508</t>
  </si>
  <si>
    <t>1200000511</t>
  </si>
  <si>
    <t>01-0F101-0005513</t>
  </si>
  <si>
    <t>1200000512</t>
  </si>
  <si>
    <t>01-0F101-0005514</t>
  </si>
  <si>
    <t>1200000583</t>
  </si>
  <si>
    <t>01-0F101-0005570</t>
  </si>
  <si>
    <t>1200000584</t>
  </si>
  <si>
    <t>01-0F101-0005571</t>
  </si>
  <si>
    <t>2000001172</t>
  </si>
  <si>
    <t>KULALIA SL</t>
  </si>
  <si>
    <t>1300001584</t>
  </si>
  <si>
    <t>FT-0F002-0000264</t>
  </si>
  <si>
    <t>2000001409</t>
  </si>
  <si>
    <t>Longkou Yunfeng Aquatic Food Co.,Lt</t>
  </si>
  <si>
    <t>1300001581</t>
  </si>
  <si>
    <t>6002007</t>
  </si>
  <si>
    <t>NAVAPEZ E.I.R.L.</t>
  </si>
  <si>
    <t>1200005141</t>
  </si>
  <si>
    <t>01-0F101-0004638</t>
  </si>
  <si>
    <t>1200005142</t>
  </si>
  <si>
    <t>01-0F101-0004639</t>
  </si>
  <si>
    <t>1200005158</t>
  </si>
  <si>
    <t>01-0F101-0004653</t>
  </si>
  <si>
    <t>1200005159</t>
  </si>
  <si>
    <t>01-0F101-0004654</t>
  </si>
  <si>
    <t>2000001369</t>
  </si>
  <si>
    <t>OVERSEA ATLANTIC FISH S.L.</t>
  </si>
  <si>
    <t>1000013925</t>
  </si>
  <si>
    <t>PEGASUS ENTERPRISE S.A.C.</t>
  </si>
  <si>
    <t>1300006898</t>
  </si>
  <si>
    <t>FT-0F003-0000101</t>
  </si>
  <si>
    <t>1200005124</t>
  </si>
  <si>
    <t>01-0F003-0000129</t>
  </si>
  <si>
    <t>1200000182</t>
  </si>
  <si>
    <t>01-0F003-0000168</t>
  </si>
  <si>
    <t>1200000382</t>
  </si>
  <si>
    <t>01-0F003-0000174</t>
  </si>
  <si>
    <t>1000015185</t>
  </si>
  <si>
    <t>PESCACORD PERU SOCIEDAD ANONIMA CER</t>
  </si>
  <si>
    <t>1200000593</t>
  </si>
  <si>
    <t>01-0F101-0005578</t>
  </si>
  <si>
    <t>1200000594</t>
  </si>
  <si>
    <t>01-0F101-0005579</t>
  </si>
  <si>
    <t>2000001411</t>
  </si>
  <si>
    <t>Pesciro Asia International LTD.</t>
  </si>
  <si>
    <t>1300001585</t>
  </si>
  <si>
    <t>FT-0F002-0000260</t>
  </si>
  <si>
    <t>1300001586</t>
  </si>
  <si>
    <t>FT-0F002-0000267</t>
  </si>
  <si>
    <t>2000000267</t>
  </si>
  <si>
    <t>PESCIRO SLU</t>
  </si>
  <si>
    <t>1300001587</t>
  </si>
  <si>
    <t>FT-0F002-0000265</t>
  </si>
  <si>
    <t>6000434</t>
  </si>
  <si>
    <t>PESQUERA HAYDUK S.A.</t>
  </si>
  <si>
    <t>1200004540</t>
  </si>
  <si>
    <t>01-0F003-0000083</t>
  </si>
  <si>
    <t>2000001410</t>
  </si>
  <si>
    <t>SACRAMENTO CO., LTD</t>
  </si>
  <si>
    <t>1300000822</t>
  </si>
  <si>
    <t>FT-0F002-0000254</t>
  </si>
  <si>
    <t>1000001965</t>
  </si>
  <si>
    <t>SERVICIOS DIESEL EXPRESS E.I.R.L.</t>
  </si>
  <si>
    <t>1200000523</t>
  </si>
  <si>
    <t>01-0F101-0005525</t>
  </si>
  <si>
    <t>1200000573</t>
  </si>
  <si>
    <t>01-0F101-0005561</t>
  </si>
  <si>
    <t>1000013801</t>
  </si>
  <si>
    <t>STL 5.0 S.A.C.</t>
  </si>
  <si>
    <t>1000013794</t>
  </si>
  <si>
    <t>TECAMPA EIRL</t>
  </si>
  <si>
    <t>1300005699</t>
  </si>
  <si>
    <t>FT-0F101-0004285</t>
  </si>
  <si>
    <t>1000013686</t>
  </si>
  <si>
    <t>TRANSPORTES O Y G S.A.C.</t>
  </si>
  <si>
    <t>1200000557</t>
  </si>
  <si>
    <t>01-0F101-0005550</t>
  </si>
  <si>
    <t>1200000568</t>
  </si>
  <si>
    <t>01-0F101-0005560</t>
  </si>
  <si>
    <t>2000000786</t>
  </si>
  <si>
    <t>TSUJINO &amp; CO., LTD</t>
  </si>
  <si>
    <t>1200000422</t>
  </si>
  <si>
    <t>01-0F002-0000261</t>
  </si>
  <si>
    <t>1200000423</t>
  </si>
  <si>
    <t>01-0F002-0000262</t>
  </si>
  <si>
    <t>1200000455</t>
  </si>
  <si>
    <t>01-0F002-0000266</t>
  </si>
  <si>
    <t>Deudor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</si>
  <si>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</si>
  <si>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</si>
  <si>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</si>
  <si>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</si>
  <si>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</si>
  <si>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</si>
  <si>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</si>
  <si>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</si>
  <si>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</si>
  <si>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NACIONAL</t>
  </si>
  <si>
    <t>CISTERNA COMBUSTIBLE</t>
  </si>
  <si>
    <t>EXPORTACIÓN</t>
  </si>
  <si>
    <t>OTROS</t>
  </si>
  <si>
    <t>Etiquetas de fila</t>
  </si>
  <si>
    <t>Suma de Importe en moneda doc.</t>
  </si>
  <si>
    <t>Total general</t>
  </si>
  <si>
    <t>Etiquetas de columna</t>
  </si>
  <si>
    <t>Mar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</si>
  <si>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</si>
  <si>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</si>
  <si>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</si>
  <si>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</si>
  <si>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</si>
  <si>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</si>
  <si>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</si>
  <si>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</si>
  <si>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</si>
  <si>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(Todas)</t>
  </si>
  <si>
    <t>Suma de USD HOMOL</t>
  </si>
  <si>
    <t>Suma de DÍAS VENCIDOS</t>
  </si>
  <si>
    <t>Suma de DÍAS ATRASADOS</t>
  </si>
  <si>
    <t>UNIDAD E NEGOCIO</t>
  </si>
  <si>
    <t>1200000635</t>
  </si>
  <si>
    <t>01-0F002-0000281</t>
  </si>
  <si>
    <t>1200000638</t>
  </si>
  <si>
    <t>01-0F002-0000282</t>
  </si>
  <si>
    <t>1200000639</t>
  </si>
  <si>
    <t>01-0F002-0000283</t>
  </si>
  <si>
    <t>1200000641</t>
  </si>
  <si>
    <t>01-0F002-0000284</t>
  </si>
  <si>
    <t>1200000642</t>
  </si>
  <si>
    <t>01-0F002-0000285</t>
  </si>
  <si>
    <t>1200000643</t>
  </si>
  <si>
    <t>01-0F002-0000286</t>
  </si>
  <si>
    <t>1300001607</t>
  </si>
  <si>
    <t>1000013754</t>
  </si>
  <si>
    <t>ELMER SIXTO SOJO ACARO</t>
  </si>
  <si>
    <t>1200000606</t>
  </si>
  <si>
    <t>03-0B001-0004347</t>
  </si>
  <si>
    <t>DB</t>
  </si>
  <si>
    <t>1200000607</t>
  </si>
  <si>
    <t>03-0B001-0004348</t>
  </si>
  <si>
    <t>1000000875</t>
  </si>
  <si>
    <t>INVERSIONES JOCYMAS SOCIEDAD ANONIM</t>
  </si>
  <si>
    <t>1200000678</t>
  </si>
  <si>
    <t>01-0F101-0005630</t>
  </si>
  <si>
    <t>1200000679</t>
  </si>
  <si>
    <t>01-0F101-0005631</t>
  </si>
  <si>
    <t>1200000608</t>
  </si>
  <si>
    <t>01-0F101-0005587</t>
  </si>
  <si>
    <t>1200000609</t>
  </si>
  <si>
    <t>01-0F101-0005588</t>
  </si>
  <si>
    <t>1200000620</t>
  </si>
  <si>
    <t>01-0F101-0005594</t>
  </si>
  <si>
    <t>1200000621</t>
  </si>
  <si>
    <t>01-0F101-0005595</t>
  </si>
  <si>
    <t>1200000658</t>
  </si>
  <si>
    <t>01-0F101-0005612</t>
  </si>
  <si>
    <t>1200000659</t>
  </si>
  <si>
    <t>01-0F101-0005613</t>
  </si>
  <si>
    <t>1200000671</t>
  </si>
  <si>
    <t>01-0F101-0005623</t>
  </si>
  <si>
    <t>1200000672</t>
  </si>
  <si>
    <t>01-0F101-0005624</t>
  </si>
  <si>
    <t>1200000694</t>
  </si>
  <si>
    <t>01-0F101-0005644</t>
  </si>
  <si>
    <t>1200000695</t>
  </si>
  <si>
    <t>01-0F101-0005645</t>
  </si>
  <si>
    <t>1200000623</t>
  </si>
  <si>
    <t>01-0F002-0000275</t>
  </si>
  <si>
    <t>2000001173</t>
  </si>
  <si>
    <t>LONGKOU BOHAI FOODSTUFF CO.,</t>
  </si>
  <si>
    <t>1200000617</t>
  </si>
  <si>
    <t>01-0F002-0000274</t>
  </si>
  <si>
    <t>2000000231</t>
  </si>
  <si>
    <t>LONGKOU JIABAO AQUATIC FOODSTUFFS</t>
  </si>
  <si>
    <t>1200000616</t>
  </si>
  <si>
    <t>01-0F002-0000273</t>
  </si>
  <si>
    <t>1300001598</t>
  </si>
  <si>
    <t>ANTICIPO LONGYUN</t>
  </si>
  <si>
    <t>1200000631</t>
  </si>
  <si>
    <t>01-0F002-0000279</t>
  </si>
  <si>
    <t>2000001359</t>
  </si>
  <si>
    <t>OCEANUS FISH S.L.</t>
  </si>
  <si>
    <t>1200000644</t>
  </si>
  <si>
    <t>01-0F002-0000287</t>
  </si>
  <si>
    <t>1300001595</t>
  </si>
  <si>
    <t>FT-0F002-0000256</t>
  </si>
  <si>
    <t>1300001596</t>
  </si>
  <si>
    <t>FT-0F002-0000257</t>
  </si>
  <si>
    <t>1300001604</t>
  </si>
  <si>
    <t>1200000628</t>
  </si>
  <si>
    <t>01-0F101-0005599</t>
  </si>
  <si>
    <t>1200000629</t>
  </si>
  <si>
    <t>01-0F101-0005600</t>
  </si>
  <si>
    <t>1200000689</t>
  </si>
  <si>
    <t>01-0F101-0005641</t>
  </si>
  <si>
    <t>1200000690</t>
  </si>
  <si>
    <t>01-0F101-0005642</t>
  </si>
  <si>
    <t>1000001607</t>
  </si>
  <si>
    <t>PROVEEDORA DE PRODUCTOS MARINOS</t>
  </si>
  <si>
    <t>1200000640</t>
  </si>
  <si>
    <t>01-0F003-0000179</t>
  </si>
  <si>
    <t>RESIDUOS</t>
  </si>
  <si>
    <t>1200000645</t>
  </si>
  <si>
    <t>01-0F003-0000180</t>
  </si>
  <si>
    <t>1200000618</t>
  </si>
  <si>
    <t>01-0F101-0005593</t>
  </si>
  <si>
    <t>1200000669</t>
  </si>
  <si>
    <t>01-0F101-0005621</t>
  </si>
  <si>
    <t>1200000691</t>
  </si>
  <si>
    <t>01-0F101-0005643</t>
  </si>
  <si>
    <t>2000001418</t>
  </si>
  <si>
    <t>Shandong Sheenier Food Co., Ltd.</t>
  </si>
  <si>
    <t>1200000646</t>
  </si>
  <si>
    <t>01-0F002-0000288</t>
  </si>
  <si>
    <t>1200000667</t>
  </si>
  <si>
    <t>01-0F101-0005619</t>
  </si>
  <si>
    <t>1200000668</t>
  </si>
  <si>
    <t>01-0F101-0005620</t>
  </si>
  <si>
    <t>1200000660</t>
  </si>
  <si>
    <t>01-0F101-0005614</t>
  </si>
  <si>
    <t>1200000614</t>
  </si>
  <si>
    <t>01-0F002-0000271</t>
  </si>
  <si>
    <t>1200000615</t>
  </si>
  <si>
    <t>01-0F002-0000272</t>
  </si>
  <si>
    <t>1200000624</t>
  </si>
  <si>
    <t>01-0F002-0000276</t>
  </si>
  <si>
    <t>1200000625</t>
  </si>
  <si>
    <t>01-0F002-0000277</t>
  </si>
  <si>
    <t>1200000630</t>
  </si>
  <si>
    <t>01-0F002-0000278</t>
  </si>
  <si>
    <t>1200000632</t>
  </si>
  <si>
    <t>01-0F002-0000280</t>
  </si>
  <si>
    <t>2000001069</t>
  </si>
  <si>
    <t>YANTAI TAIXI FOODSTUFF CO., LTD</t>
  </si>
  <si>
    <t>1300001606</t>
  </si>
  <si>
    <t>ANTICIPO YANTAIT</t>
  </si>
  <si>
    <t>Abr</t>
  </si>
  <si>
    <t>May</t>
  </si>
  <si>
    <t>&lt;12/10/2025</t>
  </si>
  <si>
    <t>Total Mar</t>
  </si>
  <si>
    <t>Total Abr</t>
  </si>
  <si>
    <t>Total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</si>
</sst>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2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43" fontId="0" fillId="0" borderId="0" xfId="0" applyNumberFormat="1" applyAlignment="1">
      <alignment vertical="top"/>
    </xf>
    <xf numFmtId="0" fontId="0" fillId="0" borderId="0" xfId="0" pivotButton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2" applyFont="1" applyAlignment="1">
      <alignment vertical="top" wrapText="1"/>
    </xf>
    <xf numFmtId="0" fontId="5" fillId="3" borderId="0" xfId="2" applyFont="1" applyFill="1" applyAlignment="1">
      <alignment vertical="top"/>
    </xf>
    <xf numFmtId="14" fontId="5" fillId="3" borderId="0" xfId="0" applyNumberFormat="1" applyFont="1" applyFill="1" applyAlignment="1">
      <alignment vertical="top"/>
    </xf>
    <xf numFmtId="4" fontId="5" fillId="3" borderId="0" xfId="0" applyNumberFormat="1" applyFont="1" applyFill="1" applyAlignment="1">
      <alignment vertical="top"/>
    </xf>
  </cellXfs>
  <cellStyles count="3">
    <cellStyle name="Millares" xfId="1" builtinId="3"/>
    <cellStyle name="Normal" xfId="0" builtinId="0"/>
    <cellStyle name="Normal 2" xfId="2" xr:uid="{D94463EF-8080-400F-BDC9-65F340F227A1}"/>
  </cellStyles>
  <dxfs count="7">
    <dxf>
      <alignment wrapText="1"/>
    </dxf>
    <dxf>
      <alignment wrapText="1"/>
    </dxf>
    <dxf>
      <numFmt numFmtId="35" formatCode="_-* #,##0.00_-;\-* #,##0.00_-;_-* &quot;-&quot;??_-;_-@_-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18.925313888889" createdVersion="8" refreshedVersion="8" minRefreshableVersion="3" recordCount="92" xr:uid="{17DAC22F-218E-45F5-9BD8-5F688E02DDF5}">
  <cacheSource type="worksheet">
    <worksheetSource ref="A1:R93" sheet="Data"/>
  </cacheSource>
  <cacheFields count="24">
    <cacheField name="Deudor" numFmtId="0">
      <sharedItems/>
    </cacheField>
    <cacheField name="Nombre de cliente" numFmtId="0">
      <sharedItems count="27">
        <s v="ARKANO TRADING SOCIEDAD ANONIMA CER"/>
        <s v="AVANCE GROUP LTD"/>
        <s v="CORPORACION NACIONAL PERU EXPORTACI"/>
        <s v="DAIRECK SA"/>
        <s v="ELMER SIXTO SOJO ACARO"/>
        <s v="GLOBAL OCEAN FLEXTRADING, S. L"/>
        <s v="Hunan Jinyueyang Import and Export"/>
        <s v="INVERSIONES JOCYMAS SOCIEDAD ANONIM"/>
        <s v="JAHFISH E.I.R.L."/>
        <s v="KULALIA SL"/>
        <s v="LONGKOU BOHAI FOODSTUFF CO.,"/>
        <s v="LONGKOU JIABAO AQUATIC FOODSTUFFS"/>
        <s v="Longkou Yunfeng Aquatic Food Co.,Lt"/>
        <s v="NAVAPEZ E.I.R.L."/>
        <s v="OCEANUS FISH S.L."/>
        <s v="OVERSEA ATLANTIC FISH S.L."/>
        <s v="PEGASUS ENTERPRISE S.A.C."/>
        <s v="PESCACORD PERU SOCIEDAD ANONIMA CER"/>
        <s v="Pesciro Asia International LTD." u="1"/>
        <s v="PESCIRO SLU" u="1"/>
        <s v="PESQUERA HAYDUK S.A." u="1"/>
        <s v="SACRAMENTO CO., LTD" u="1"/>
        <s v="SERVICIOS DIESEL EXPRESS E.I.R.L." u="1"/>
        <s v="STL 5.0 S.A.C." u="1"/>
        <s v="TECAMPA EIRL" u="1"/>
        <s v="TRANSPORTES O Y G S.A.C." u="1"/>
        <s v="TSUJINO &amp; CO., LTD" u="1"/>
      </sharedItems>
    </cacheField>
    <cacheField name="Nº documento" numFmtId="0">
      <sharedItems/>
    </cacheField>
    <cacheField name="Referencia" numFmtId="0">
      <sharedItems count="123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1-0F002-0000246"/>
        <s v="01-0F002-0000247"/>
        <s v="01-0F002-0000249"/>
        <s v="01-0F002-0000250"/>
        <s v="01-0F002-0000251"/>
        <s v="01-0F101-0005458"/>
        <s v="01-0F101-0005470"/>
        <s v="01-0F101-0005482"/>
        <s v="01-0F101-0005569"/>
        <s v="ANTICIPO DAIRECK"/>
        <s v="01-0F002-0000270"/>
        <s v="01-0F002-0000281"/>
        <s v="01-0F002-0000282"/>
        <s v="01-0F002-0000283"/>
        <s v="01-0F002-0000284"/>
        <s v="01-0F002-0000285"/>
        <s v="01-0F002-0000286"/>
        <s v="SALDO A FAVOR"/>
        <s v="03-0B001-0004347"/>
        <s v="03-0B001-0004348"/>
        <s v="01-0F002-0000235"/>
        <s v="FT-0F002-0000252"/>
        <s v="01-0F101-0005630"/>
        <s v="01-0F101-0005631"/>
        <s v="01-0F101-0005222"/>
        <s v="01-0F101-0005223"/>
        <s v="01-0F101-0005247"/>
        <s v="01-0F101-0005248"/>
        <s v="01-0F101-0005276"/>
        <s v="01-0F101-0005277"/>
        <s v="01-0F101-0005480"/>
        <s v="01-0F101-0005481"/>
        <s v="01-0F101-0005498"/>
        <s v="01-0F101-0005499"/>
        <s v="01-0F101-0005507"/>
        <s v="01-0F101-0005508"/>
        <s v="01-0F101-0005513"/>
        <s v="01-0F101-0005514"/>
        <s v="01-0F101-0005570"/>
        <s v="01-0F101-0005571"/>
        <s v="01-0F101-0005587"/>
        <s v="01-0F101-0005588"/>
        <s v="01-0F101-0005594"/>
        <s v="01-0F101-0005595"/>
        <s v="01-0F101-0005612"/>
        <s v="01-0F101-0005613"/>
        <s v="01-0F101-0005623"/>
        <s v="01-0F101-0005624"/>
        <s v="01-0F101-0005644"/>
        <s v="01-0F101-0005645"/>
        <s v="FT-0F002-0000264"/>
        <s v="01-0F002-0000275"/>
        <s v="01-0F002-0000274"/>
        <s v="01-0F002-0000273"/>
        <s v="ANTICIPO LONGYUN"/>
        <s v="01-0F002-0000279"/>
        <s v="01-0F101-0004638"/>
        <s v="01-0F101-0004639"/>
        <s v="01-0F101-0004653"/>
        <s v="01-0F101-0004654"/>
        <s v="01-0F002-0000287"/>
        <s v="FT-0F002-0000256"/>
        <s v="FT-0F002-0000257"/>
        <s v="FT-0F003-0000101"/>
        <s v="01-0F003-0000129"/>
        <s v="01-0F003-0000168"/>
        <s v="01-0F003-0000174"/>
        <s v="01-0F101-0005578"/>
        <s v="01-0F101-0005579"/>
        <s v="01-0F101-0005599"/>
        <s v="01-0F101-0005600"/>
        <s v="01-0F101-0005641"/>
        <s v="01-0F101-0005642"/>
        <s v="01-0F002-0000248" u="1"/>
        <s v="01-0F002-0000268" u="1"/>
        <s v="01-0F002-0000269" u="1"/>
        <s v="07-0F002-0000042" u="1"/>
        <s v="COMPEN GLOBAL" u="1"/>
        <s v="ANTICIPO LONGKOU Y" u="1"/>
        <s v="FT-0F002-0000238" u="1"/>
        <s v="FT-0F002-0000239" u="1"/>
        <s v="01-0F002-0000256" u="1"/>
        <s v="01-0F002-0000257" u="1"/>
        <s v="01-0F101-0005390" u="1"/>
        <s v="01-0F101-0005391" u="1"/>
        <s v="01-0F101-0005496" u="1"/>
        <s v="01-0F101-0005497" u="1"/>
        <s v="01-0F101-0005540" u="1"/>
        <s v="01-0F101-0005541" u="1"/>
        <s v="FT-0F002-0000260" u="1"/>
        <s v="FT-0F002-0000267" u="1"/>
        <s v="FT-0F002-0000265" u="1"/>
        <s v="01-0F003-0000083" u="1"/>
        <s v="FT-0F002-0000254" u="1"/>
        <s v="01-0F101-0005525" u="1"/>
        <s v="01-0F101-0005561" u="1"/>
        <s v="01-0F101-0005521" u="1"/>
        <s v="01-0F101-0005522" u="1"/>
        <s v="FT-0F101-0004285" u="1"/>
        <s v="01-0F101-0005550" u="1"/>
        <s v="01-0F101-0005560" u="1"/>
        <s v="01-0F002-0000258" u="1"/>
        <s v="01-0F002-0000259" u="1"/>
        <s v="01-0F002-0000261" u="1"/>
        <s v="01-0F002-0000262" u="1"/>
        <s v="01-0F002-0000266" u="1"/>
      </sharedItems>
    </cacheField>
    <cacheField name="Clase de documento" numFmtId="0">
      <sharedItems count="7">
        <s v="DF"/>
        <s v="DE"/>
        <s v="DZ"/>
        <s v="ZV"/>
        <s v="DB"/>
        <s v="DC" u="1"/>
        <s v="AB" u="1"/>
      </sharedItems>
    </cacheField>
    <cacheField name="Fecha de documento" numFmtId="14">
      <sharedItems containsSemiMixedTypes="0" containsNonDate="0" containsDate="1" containsString="0" minDate="2025-09-05T00:00:00" maxDate="2026-04-06T00:00:00" count="50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2-23T00:00:00"/>
        <d v="2026-02-28T00:00:00"/>
        <d v="2026-03-17T00:00:00"/>
        <d v="2026-03-19T00:00:00"/>
        <d v="2026-03-21T00:00:00"/>
        <d v="2026-03-30T00:00:00"/>
        <d v="2026-03-29T00:00:00"/>
        <d v="2026-03-31T00:00:00"/>
        <d v="2026-02-01T00:00:00"/>
        <d v="2026-04-04T00:00:00"/>
        <d v="2026-01-14T00:00:00"/>
        <d v="2026-01-29T00:00:00"/>
        <d v="2026-02-05T00:00:00"/>
        <d v="2026-03-23T00:00:00"/>
        <d v="2026-03-24T00:00:00"/>
        <d v="2026-04-01T00:00:00"/>
        <d v="2026-04-05T00:00:00"/>
        <d v="2026-03-15T00:00:00"/>
        <d v="2026-03-28T00:00:00"/>
        <d v="2026-03-27T00:00:00"/>
        <d v="2025-11-03T00:00:00"/>
        <d v="2025-11-06T00:00:00"/>
        <d v="2026-03-07T00:00:00"/>
        <d v="2026-03-26T00:00:00"/>
        <d v="2025-10-21T00:00:00"/>
        <d v="2025-11-04T00:00:00"/>
        <d v="2026-01-31T00:00:00"/>
        <d v="2026-03-03T00:00:00"/>
        <d v="2026-03-09T00:00:00" u="1"/>
        <d v="2026-03-13T00:00:00" u="1"/>
        <d v="2025-09-05T00:00:00" u="1"/>
        <d v="2026-02-15T00:00:00" u="1"/>
        <d v="2026-02-16T00:00:00" u="1"/>
        <d v="2026-02-24T00:00:00" u="1"/>
        <d v="2026-03-18T00:00:00" u="1"/>
        <d v="2025-10-07T00:00:00" u="1"/>
        <d v="2026-03-25T00:00:00" u="1"/>
        <d v="2025-10-12T00:00:00" u="1"/>
        <d v="2026-02-02T00:00:00" u="1"/>
        <d v="2026-03-10T00:00:00" u="1"/>
      </sharedItems>
      <fieldGroup par="23"/>
    </cacheField>
    <cacheField name="Demora tras vencimiento neto" numFmtId="3">
      <sharedItems containsSemiMixedTypes="0" containsString="0" containsNumber="1" containsInteger="1" minValue="-37" maxValue="167"/>
    </cacheField>
    <cacheField name="Fecha de pago" numFmtId="14">
      <sharedItems containsSemiMixedTypes="0" containsNonDate="0" containsDate="1" containsString="0" minDate="2025-10-21T00:00:00" maxDate="2026-05-14T00:00:00"/>
    </cacheField>
    <cacheField name="Importe en moneda doc." numFmtId="4">
      <sharedItems containsSemiMixedTypes="0" containsString="0" containsNumber="1" minValue="-35590" maxValue="669600"/>
    </cacheField>
    <cacheField name="Moneda del documento" numFmtId="0">
      <sharedItems/>
    </cacheField>
    <cacheField name="UNIDAD E NEGOCIO" numFmtId="0">
      <sharedItems count="3">
        <s v="NACIONAL"/>
        <s v="EXPORTACIÓN"/>
        <s v="CISTERNA COMBUSTIBLE"/>
      </sharedItems>
    </cacheField>
    <cacheField name="FECHA IDEAL DE PAGO" numFmtId="0">
      <sharedItems containsNonDate="0" containsDate="1" containsString="0" containsBlank="1" minDate="2026-03-18T00:00:00" maxDate="2026-05-14T00:00:00"/>
    </cacheField>
    <cacheField name="DÍAS VENCIDOS" numFmtId="0">
      <sharedItems containsString="0" containsBlank="1" containsNumber="1" containsInteger="1" minValue="-6" maxValue="37"/>
    </cacheField>
    <cacheField name="Vcto finanzas SEMANA PASADA" numFmtId="0">
      <sharedItems containsNonDate="0" containsDate="1" containsString="0" containsBlank="1" minDate="2026-03-31T00:00:00" maxDate="2026-05-14T00:00:00"/>
    </cacheField>
    <cacheField name="Vcto finanzas" numFmtId="14">
      <sharedItems containsNonDate="0" containsDate="1" containsString="0" containsBlank="1" minDate="2025-09-05T00:00:00" maxDate="2026-05-23T00:00:00" count="52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4-24T00:00:00"/>
        <d v="2026-04-10T00:00:00"/>
        <d v="2026-04-06T00:00:00"/>
        <d v="2026-03-24T00:00:00"/>
        <d v="2026-03-26T00:00:00"/>
        <d v="2026-03-28T00:00:00"/>
        <d v="2026-03-31T00:00:00"/>
        <d v="2026-05-05T00:00:00"/>
        <d v="2026-05-13T00:00:00"/>
        <d v="2026-05-22T00:00:00"/>
        <d v="2026-04-07T00:00:00"/>
        <d v="2026-04-14T00:00:00"/>
        <d v="2026-04-04T00:00:00"/>
        <d v="2026-01-21T00:00:00"/>
        <d v="2026-02-05T00:00:00"/>
        <d v="2026-02-12T00:00:00"/>
        <d v="2026-03-30T00:00:00"/>
        <d v="2026-04-29T00:00:00"/>
        <m/>
        <d v="2026-04-21T00:00:00"/>
        <d v="2026-04-08T00:00:00"/>
        <d v="2026-04-11T00:00:00"/>
        <d v="2026-04-12T00:00:00"/>
        <d v="2026-05-12T00:00:00"/>
        <d v="2026-03-17T00:00:00"/>
        <d v="2026-05-02T00:00:00"/>
        <d v="2025-11-13T00:00:00"/>
        <d v="2025-10-21T00:00:00"/>
        <d v="2025-11-11T00:00:00"/>
        <d v="2026-02-07T00:00:00"/>
        <d v="2026-03-10T00:00:00"/>
        <d v="2026-03-07T00:00:00" u="1"/>
        <d v="2026-04-03T00:00:00" u="1"/>
        <d v="2026-03-13T00:00:00" u="1"/>
        <d v="2026-04-01T00:00:00" u="1"/>
        <d v="2025-09-05T00:00:00" u="1"/>
        <d v="2025-11-10T00:00:00" u="1"/>
        <d v="2026-03-03T00:00:00" u="1"/>
        <d v="2026-04-02T00:00:00" u="1"/>
        <d v="2025-10-14T00:00:00" u="1"/>
        <d v="2025-10-12T00:00:00" u="1"/>
        <d v="2026-02-02T00:00:00" u="1"/>
      </sharedItems>
      <fieldGroup par="20"/>
    </cacheField>
    <cacheField name="USD HOMOL" numFmtId="0">
      <sharedItems containsSemiMixedTypes="0" containsString="0" containsNumber="1" minValue="-35590" maxValue="669600"/>
    </cacheField>
    <cacheField name="DÍAS ATRASADOS" numFmtId="0">
      <sharedItems containsString="0" containsBlank="1" containsNumber="1" containsInteger="1" minValue="8" maxValue="64"/>
    </cacheField>
    <cacheField name="ANTIGÜEDAD" numFmtId="0">
      <sharedItems containsBlank="1" count="3">
        <m/>
        <s v="0-45"/>
        <s v="46-60"/>
      </sharedItems>
    </cacheField>
    <cacheField name="Meses (Vcto finanzas)" numFmtId="0" databaseField="0">
      <fieldGroup base="14">
        <rangePr groupBy="months" startDate="2025-10-21T00:00:00" endDate="2026-05-23T00:00:00"/>
        <groupItems count="14">
          <s v="&lt;21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3/05/2026"/>
        </groupItems>
      </fieldGroup>
    </cacheField>
    <cacheField name="Trimestres (Vcto finanzas)" numFmtId="0" databaseField="0">
      <fieldGroup base="14">
        <rangePr groupBy="quarters" startDate="2025-10-21T00:00:00" endDate="2026-05-23T00:00:00"/>
        <groupItems count="6">
          <s v="&lt;21/10/2025"/>
          <s v="Trim.1"/>
          <s v="Trim.2"/>
          <s v="Trim.3"/>
          <s v="Trim.4"/>
          <s v="&gt;23/05/2026"/>
        </groupItems>
      </fieldGroup>
    </cacheField>
    <cacheField name="Años (Vcto finanzas)" numFmtId="0" databaseField="0">
      <fieldGroup base="14">
        <rangePr groupBy="years" startDate="2025-10-21T00:00:00" endDate="2026-05-23T00:00:00"/>
        <groupItems count="4">
          <s v="&lt;21/10/2025"/>
          <s v="2025"/>
          <s v="2026"/>
          <s v="&gt;23/05/2026"/>
        </groupItems>
      </fieldGroup>
    </cacheField>
    <cacheField name="Meses (Fecha de documento)" numFmtId="0" databaseField="0">
      <fieldGroup base="5">
        <rangePr groupBy="months" startDate="2025-10-21T00:00:00" endDate="2026-04-06T00:00:00"/>
        <groupItems count="14">
          <s v="&lt;21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6/04/2026"/>
        </groupItems>
      </fieldGroup>
    </cacheField>
    <cacheField name="Trimestres (Fecha de documento)" numFmtId="0" databaseField="0">
      <fieldGroup base="5">
        <rangePr groupBy="quarters" startDate="2025-10-21T00:00:00" endDate="2026-04-06T00:00:00"/>
        <groupItems count="6">
          <s v="&lt;21/10/2025"/>
          <s v="Trim.1"/>
          <s v="Trim.2"/>
          <s v="Trim.3"/>
          <s v="Trim.4"/>
          <s v="&gt;6/04/2026"/>
        </groupItems>
      </fieldGroup>
    </cacheField>
    <cacheField name="Años (Fecha de documento)" numFmtId="0" databaseField="0">
      <fieldGroup base="5">
        <rangePr groupBy="years" startDate="2025-10-21T00:00:00" endDate="2026-04-06T00:00:00"/>
        <groupItems count="4">
          <s v="&lt;21/10/2025"/>
          <s v="2025"/>
          <s v="2026"/>
          <s v="&gt;6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18.925860185183" createdVersion="8" refreshedVersion="8" minRefreshableVersion="3" recordCount="121" xr:uid="{5C6F6E01-D65F-46C5-BB7F-7DFB4C92FA75}">
  <cacheSource type="worksheet">
    <worksheetSource ref="A1:R122" sheet="Data"/>
  </cacheSource>
  <cacheFields count="24">
    <cacheField name="Deudor" numFmtId="0">
      <sharedItems/>
    </cacheField>
    <cacheField name="Nombre de cliente" numFmtId="0">
      <sharedItems count="30">
        <s v="ARKANO TRADING SOCIEDAD ANONIMA CER"/>
        <s v="AVANCE GROUP LTD"/>
        <s v="CORPORACION NACIONAL PERU EXPORTACI"/>
        <s v="DAIRECK SA"/>
        <s v="ELMER SIXTO SOJO ACARO"/>
        <s v="GLOBAL OCEAN FLEXTRADING, S. L"/>
        <s v="Hunan Jinyueyang Import and Export"/>
        <s v="INVERSIONES JOCYMAS SOCIEDAD ANONIM"/>
        <s v="JAHFISH E.I.R.L."/>
        <s v="KULALIA SL"/>
        <s v="LONGKOU BOHAI FOODSTUFF CO.,"/>
        <s v="LONGKOU JIABAO AQUATIC FOODSTUFFS"/>
        <s v="Longkou Yunfeng Aquatic Food Co.,Lt"/>
        <s v="NAVAPEZ E.I.R.L."/>
        <s v="OCEANUS FISH S.L."/>
        <s v="OVERSEA ATLANTIC FISH S.L."/>
        <s v="PEGASUS ENTERPRISE S.A.C."/>
        <s v="PESCACORD PERU SOCIEDAD ANONIMA CER"/>
        <s v="Pesciro Asia International LTD."/>
        <s v="PESCIRO SLU"/>
        <s v="PESQUERA HAYDUK S.A."/>
        <s v="PROVEEDORA DE PRODUCTOS MARINOS"/>
        <s v="SACRAMENTO CO., LTD"/>
        <s v="SERVICIOS DIESEL EXPRESS E.I.R.L."/>
        <s v="Shandong Sheenier Food Co., Ltd."/>
        <s v="STL 5.0 S.A.C."/>
        <s v="TECAMPA EIRL"/>
        <s v="TRANSPORTES O Y G S.A.C."/>
        <s v="TSUJINO &amp; CO., LTD"/>
        <s v="YANTAI TAIXI FOODSTUFF CO., LTD"/>
      </sharedItems>
    </cacheField>
    <cacheField name="Nº documento" numFmtId="0">
      <sharedItems/>
    </cacheField>
    <cacheField name="Referencia" numFmtId="0">
      <sharedItems/>
    </cacheField>
    <cacheField name="Clase de documento" numFmtId="0">
      <sharedItems count="5">
        <s v="DF"/>
        <s v="DE"/>
        <s v="DZ"/>
        <s v="ZV"/>
        <s v="DB"/>
      </sharedItems>
    </cacheField>
    <cacheField name="Fecha de documento" numFmtId="14">
      <sharedItems containsSemiMixedTypes="0" containsNonDate="0" containsDate="1" containsString="0" minDate="2025-10-07T00:00:00" maxDate="2026-04-06T00:00:00" count="43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2-23T00:00:00"/>
        <d v="2026-02-28T00:00:00"/>
        <d v="2026-03-17T00:00:00"/>
        <d v="2026-03-19T00:00:00"/>
        <d v="2026-03-21T00:00:00"/>
        <d v="2026-03-30T00:00:00"/>
        <d v="2026-03-29T00:00:00"/>
        <d v="2026-03-31T00:00:00"/>
        <d v="2026-02-01T00:00:00"/>
        <d v="2026-04-04T00:00:00"/>
        <d v="2026-01-14T00:00:00"/>
        <d v="2026-01-29T00:00:00"/>
        <d v="2026-02-05T00:00:00"/>
        <d v="2026-03-23T00:00:00"/>
        <d v="2026-03-24T00:00:00"/>
        <d v="2026-04-01T00:00:00"/>
        <d v="2026-04-05T00:00:00"/>
        <d v="2026-03-15T00:00:00"/>
        <d v="2026-03-28T00:00:00"/>
        <d v="2026-03-27T00:00:00"/>
        <d v="2025-11-03T00:00:00"/>
        <d v="2025-11-06T00:00:00"/>
        <d v="2026-03-07T00:00:00"/>
        <d v="2026-03-26T00:00:00"/>
        <d v="2025-10-21T00:00:00"/>
        <d v="2025-11-04T00:00:00"/>
        <d v="2026-01-31T00:00:00"/>
        <d v="2026-03-03T00:00:00"/>
        <d v="2026-03-18T00:00:00"/>
        <d v="2025-10-07T00:00:00"/>
        <d v="2026-03-25T00:00:00"/>
        <d v="2025-10-12T00:00:00"/>
        <d v="2026-03-10T00:00:00"/>
      </sharedItems>
      <fieldGroup par="23"/>
    </cacheField>
    <cacheField name="Demora tras vencimiento neto" numFmtId="3">
      <sharedItems containsSemiMixedTypes="0" containsString="0" containsNumber="1" containsInteger="1" minValue="-38" maxValue="176"/>
    </cacheField>
    <cacheField name="Fecha de pago" numFmtId="14">
      <sharedItems containsSemiMixedTypes="0" containsNonDate="0" containsDate="1" containsString="0" minDate="2025-10-12T00:00:00" maxDate="2026-05-15T00:00:00"/>
    </cacheField>
    <cacheField name="Importe en moneda doc." numFmtId="4">
      <sharedItems containsSemiMixedTypes="0" containsString="0" containsNumber="1" minValue="-84100" maxValue="669600"/>
    </cacheField>
    <cacheField name="Moneda del documento" numFmtId="0">
      <sharedItems/>
    </cacheField>
    <cacheField name="UNIDAD E NEGOCIO" numFmtId="0">
      <sharedItems count="5">
        <s v="NACIONAL"/>
        <s v="EXPORTACIÓN"/>
        <s v="CISTERNA COMBUSTIBLE"/>
        <s v="OTROS"/>
        <s v="RESIDUOS"/>
      </sharedItems>
    </cacheField>
    <cacheField name="FECHA IDEAL DE PAGO" numFmtId="0">
      <sharedItems containsNonDate="0" containsDate="1" containsString="0" containsBlank="1" minDate="2026-03-18T00:00:00" maxDate="2026-05-15T00:00:00"/>
    </cacheField>
    <cacheField name="DÍAS VENCIDOS" numFmtId="0">
      <sharedItems containsString="0" containsBlank="1" containsNumber="1" containsInteger="1" minValue="-6" maxValue="37"/>
    </cacheField>
    <cacheField name="Vcto finanzas SEMANA PASADA" numFmtId="0">
      <sharedItems containsNonDate="0" containsDate="1" containsString="0" containsBlank="1" minDate="2026-03-31T00:00:00" maxDate="2026-05-14T00:00:00"/>
    </cacheField>
    <cacheField name="Vcto finanzas" numFmtId="0">
      <sharedItems containsNonDate="0" containsDate="1" containsString="0" containsBlank="1" minDate="2025-10-12T00:00:00" maxDate="2026-05-23T00:00:00" count="45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4-24T00:00:00"/>
        <d v="2026-04-10T00:00:00"/>
        <d v="2026-04-06T00:00:00"/>
        <d v="2026-03-24T00:00:00"/>
        <d v="2026-03-26T00:00:00"/>
        <d v="2026-03-28T00:00:00"/>
        <d v="2026-03-31T00:00:00"/>
        <d v="2026-05-05T00:00:00"/>
        <d v="2026-05-13T00:00:00"/>
        <d v="2026-05-22T00:00:00"/>
        <d v="2026-04-07T00:00:00"/>
        <d v="2026-04-14T00:00:00"/>
        <d v="2026-04-04T00:00:00"/>
        <d v="2026-01-21T00:00:00"/>
        <d v="2026-02-05T00:00:00"/>
        <d v="2026-02-12T00:00:00"/>
        <d v="2026-03-30T00:00:00"/>
        <d v="2026-04-29T00:00:00"/>
        <m/>
        <d v="2026-04-21T00:00:00"/>
        <d v="2026-04-08T00:00:00"/>
        <d v="2026-04-11T00:00:00"/>
        <d v="2026-04-12T00:00:00"/>
        <d v="2026-05-12T00:00:00"/>
        <d v="2026-03-17T00:00:00"/>
        <d v="2026-05-02T00:00:00"/>
        <d v="2025-11-13T00:00:00"/>
        <d v="2025-10-21T00:00:00"/>
        <d v="2025-11-11T00:00:00"/>
        <d v="2026-02-07T00:00:00"/>
        <d v="2026-03-10T00:00:00"/>
        <d v="2026-04-03T00:00:00"/>
        <d v="2026-04-01T00:00:00"/>
        <d v="2026-05-14T00:00:00"/>
        <d v="2025-10-12T00:00:00"/>
      </sharedItems>
      <fieldGroup par="20"/>
    </cacheField>
    <cacheField name="USD HOMOL" numFmtId="0">
      <sharedItems containsSemiMixedTypes="0" containsString="0" containsNumber="1" minValue="-84100" maxValue="669600"/>
    </cacheField>
    <cacheField name="DÍAS ATRASADOS" numFmtId="0">
      <sharedItems containsString="0" containsBlank="1" containsNumber="1" containsInteger="1" minValue="8" maxValue="64"/>
    </cacheField>
    <cacheField name="ANTIGÜEDAD" numFmtId="0">
      <sharedItems containsBlank="1"/>
    </cacheField>
    <cacheField name="Meses (Vcto finanzas)" numFmtId="0" databaseField="0">
      <fieldGroup base="14">
        <rangePr groupBy="months" startDate="2025-10-12T00:00:00" endDate="2026-05-23T00:00:00"/>
        <groupItems count="14">
          <s v="&lt;12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3/05/2026"/>
        </groupItems>
      </fieldGroup>
    </cacheField>
    <cacheField name="Trimestres (Vcto finanzas)" numFmtId="0" databaseField="0">
      <fieldGroup base="14">
        <rangePr groupBy="quarters" startDate="2025-10-12T00:00:00" endDate="2026-05-23T00:00:00"/>
        <groupItems count="6">
          <s v="&lt;12/10/2025"/>
          <s v="Trim.1"/>
          <s v="Trim.2"/>
          <s v="Trim.3"/>
          <s v="Trim.4"/>
          <s v="&gt;23/05/2026"/>
        </groupItems>
      </fieldGroup>
    </cacheField>
    <cacheField name="Años (Vcto finanzas)" numFmtId="0" databaseField="0">
      <fieldGroup base="14">
        <rangePr groupBy="years" startDate="2025-10-12T00:00:00" endDate="2026-05-23T00:00:00"/>
        <groupItems count="4">
          <s v="&lt;12/10/2025"/>
          <s v="2025"/>
          <s v="2026"/>
          <s v="&gt;23/05/2026"/>
        </groupItems>
      </fieldGroup>
    </cacheField>
    <cacheField name="Meses (Fecha de documento)" numFmtId="0" databaseField="0">
      <fieldGroup base="5">
        <rangePr groupBy="months" startDate="2025-10-07T00:00:00" endDate="2026-04-06T00:00:00"/>
        <groupItems count="14">
          <s v="&lt;7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6/04/2026"/>
        </groupItems>
      </fieldGroup>
    </cacheField>
    <cacheField name="Trimestres (Fecha de documento)" numFmtId="0" databaseField="0">
      <fieldGroup base="5">
        <rangePr groupBy="quarters" startDate="2025-10-07T00:00:00" endDate="2026-04-06T00:00:00"/>
        <groupItems count="6">
          <s v="&lt;7/10/2025"/>
          <s v="Trim.1"/>
          <s v="Trim.2"/>
          <s v="Trim.3"/>
          <s v="Trim.4"/>
          <s v="&gt;6/04/2026"/>
        </groupItems>
      </fieldGroup>
    </cacheField>
    <cacheField name="Años (Fecha de documento)" numFmtId="0" databaseField="0">
      <fieldGroup base="5">
        <rangePr groupBy="years" startDate="2025-10-07T00:00:00" endDate="2026-04-06T00:00:00"/>
        <groupItems count="4">
          <s v="&lt;7/10/2025"/>
          <s v="2025"/>
          <s v="2026"/>
          <s v="&gt;6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1000013966"/>
    <x v="0"/>
    <s v="1200005220"/>
    <x v="0"/>
    <x v="0"/>
    <x v="0"/>
    <n v="131"/>
    <d v="2025-11-26T00:00:00"/>
    <n v="42.48"/>
    <s v="PEN"/>
    <x v="0"/>
    <m/>
    <m/>
    <m/>
    <x v="0"/>
    <n v="12.252668012691085"/>
    <m/>
    <x v="0"/>
  </r>
  <r>
    <s v="1000013966"/>
    <x v="0"/>
    <s v="1200005228"/>
    <x v="1"/>
    <x v="0"/>
    <x v="0"/>
    <n v="131"/>
    <d v="2025-11-26T00:00:00"/>
    <n v="14.16"/>
    <s v="PEN"/>
    <x v="0"/>
    <m/>
    <m/>
    <m/>
    <x v="0"/>
    <n v="4.0842226708970291"/>
    <m/>
    <x v="0"/>
  </r>
  <r>
    <s v="1000013966"/>
    <x v="0"/>
    <s v="1200005242"/>
    <x v="2"/>
    <x v="0"/>
    <x v="0"/>
    <n v="131"/>
    <d v="2025-11-26T00:00:00"/>
    <n v="14.16"/>
    <s v="PEN"/>
    <x v="0"/>
    <m/>
    <m/>
    <m/>
    <x v="0"/>
    <n v="4.0842226708970291"/>
    <m/>
    <x v="0"/>
  </r>
  <r>
    <s v="1000013966"/>
    <x v="0"/>
    <s v="1200005264"/>
    <x v="3"/>
    <x v="0"/>
    <x v="1"/>
    <n v="130"/>
    <d v="2025-11-27T00:00:00"/>
    <n v="28.32"/>
    <s v="PEN"/>
    <x v="0"/>
    <m/>
    <m/>
    <m/>
    <x v="1"/>
    <n v="8.1684453417940581"/>
    <m/>
    <x v="0"/>
  </r>
  <r>
    <s v="1000013966"/>
    <x v="0"/>
    <s v="1200005271"/>
    <x v="4"/>
    <x v="0"/>
    <x v="1"/>
    <n v="130"/>
    <d v="2025-11-27T00:00:00"/>
    <n v="14.16"/>
    <s v="PEN"/>
    <x v="0"/>
    <m/>
    <m/>
    <m/>
    <x v="1"/>
    <n v="4.0842226708970291"/>
    <m/>
    <x v="0"/>
  </r>
  <r>
    <s v="1000013966"/>
    <x v="0"/>
    <s v="1200005296"/>
    <x v="5"/>
    <x v="0"/>
    <x v="2"/>
    <n v="129"/>
    <d v="2025-11-28T00:00:00"/>
    <n v="28.32"/>
    <s v="PEN"/>
    <x v="0"/>
    <m/>
    <m/>
    <m/>
    <x v="2"/>
    <n v="8.1684453417940581"/>
    <m/>
    <x v="0"/>
  </r>
  <r>
    <s v="1000013966"/>
    <x v="0"/>
    <s v="1200005302"/>
    <x v="6"/>
    <x v="0"/>
    <x v="2"/>
    <n v="129"/>
    <d v="2025-11-28T00:00:00"/>
    <n v="42.48"/>
    <s v="PEN"/>
    <x v="0"/>
    <m/>
    <m/>
    <m/>
    <x v="2"/>
    <n v="12.252668012691085"/>
    <m/>
    <x v="0"/>
  </r>
  <r>
    <s v="1000013966"/>
    <x v="0"/>
    <s v="1200005304"/>
    <x v="7"/>
    <x v="0"/>
    <x v="2"/>
    <n v="129"/>
    <d v="2025-11-28T00:00:00"/>
    <n v="42.48"/>
    <s v="PEN"/>
    <x v="0"/>
    <m/>
    <m/>
    <m/>
    <x v="2"/>
    <n v="12.252668012691085"/>
    <m/>
    <x v="0"/>
  </r>
  <r>
    <s v="1000013966"/>
    <x v="0"/>
    <s v="1200005313"/>
    <x v="8"/>
    <x v="0"/>
    <x v="2"/>
    <n v="129"/>
    <d v="2025-11-28T00:00:00"/>
    <n v="14.16"/>
    <s v="PEN"/>
    <x v="0"/>
    <m/>
    <m/>
    <m/>
    <x v="2"/>
    <n v="4.0842226708970291"/>
    <m/>
    <x v="0"/>
  </r>
  <r>
    <s v="1000013966"/>
    <x v="0"/>
    <s v="1200005346"/>
    <x v="9"/>
    <x v="0"/>
    <x v="3"/>
    <n v="128"/>
    <d v="2025-11-29T00:00:00"/>
    <n v="28.32"/>
    <s v="PEN"/>
    <x v="0"/>
    <m/>
    <m/>
    <m/>
    <x v="3"/>
    <n v="8.1684453417940581"/>
    <m/>
    <x v="0"/>
  </r>
  <r>
    <s v="1000013966"/>
    <x v="0"/>
    <s v="1200005422"/>
    <x v="10"/>
    <x v="0"/>
    <x v="4"/>
    <n v="123"/>
    <d v="2025-12-04T00:00:00"/>
    <n v="14.16"/>
    <s v="PEN"/>
    <x v="0"/>
    <m/>
    <m/>
    <m/>
    <x v="4"/>
    <n v="4.0842226708970291"/>
    <m/>
    <x v="0"/>
  </r>
  <r>
    <s v="1000013966"/>
    <x v="0"/>
    <s v="1200000045"/>
    <x v="11"/>
    <x v="0"/>
    <x v="5"/>
    <n v="83"/>
    <d v="2026-01-13T00:00:00"/>
    <n v="14.16"/>
    <s v="PEN"/>
    <x v="0"/>
    <m/>
    <m/>
    <m/>
    <x v="5"/>
    <n v="4.0842226708970291"/>
    <m/>
    <x v="0"/>
  </r>
  <r>
    <s v="1000013966"/>
    <x v="0"/>
    <s v="1200000090"/>
    <x v="12"/>
    <x v="0"/>
    <x v="6"/>
    <n v="81"/>
    <d v="2026-01-15T00:00:00"/>
    <n v="14.16"/>
    <s v="PEN"/>
    <x v="0"/>
    <m/>
    <m/>
    <m/>
    <x v="6"/>
    <n v="4.0842226708970291"/>
    <m/>
    <x v="0"/>
  </r>
  <r>
    <s v="1000013966"/>
    <x v="0"/>
    <s v="1200000113"/>
    <x v="13"/>
    <x v="0"/>
    <x v="7"/>
    <n v="79"/>
    <d v="2026-01-17T00:00:00"/>
    <n v="14.16"/>
    <s v="PEN"/>
    <x v="0"/>
    <m/>
    <m/>
    <m/>
    <x v="7"/>
    <n v="4.0842226708970291"/>
    <m/>
    <x v="0"/>
  </r>
  <r>
    <s v="1000013966"/>
    <x v="0"/>
    <s v="1200000132"/>
    <x v="14"/>
    <x v="0"/>
    <x v="8"/>
    <n v="73"/>
    <d v="2026-01-23T00:00:00"/>
    <n v="14.16"/>
    <s v="PEN"/>
    <x v="0"/>
    <m/>
    <m/>
    <m/>
    <x v="8"/>
    <n v="4.0842226708970291"/>
    <m/>
    <x v="0"/>
  </r>
  <r>
    <s v="1000013966"/>
    <x v="0"/>
    <s v="1200000133"/>
    <x v="15"/>
    <x v="0"/>
    <x v="8"/>
    <n v="73"/>
    <d v="2026-01-23T00:00:00"/>
    <n v="14.16"/>
    <s v="PEN"/>
    <x v="0"/>
    <m/>
    <m/>
    <m/>
    <x v="8"/>
    <n v="4.0842226708970291"/>
    <m/>
    <x v="0"/>
  </r>
  <r>
    <s v="1000013966"/>
    <x v="0"/>
    <s v="1200000141"/>
    <x v="16"/>
    <x v="0"/>
    <x v="9"/>
    <n v="70"/>
    <d v="2026-01-26T00:00:00"/>
    <n v="14.16"/>
    <s v="PEN"/>
    <x v="0"/>
    <m/>
    <m/>
    <m/>
    <x v="9"/>
    <n v="4.0842226708970291"/>
    <m/>
    <x v="0"/>
  </r>
  <r>
    <s v="2000001028"/>
    <x v="1"/>
    <s v="1200000359"/>
    <x v="17"/>
    <x v="1"/>
    <x v="10"/>
    <n v="-3"/>
    <d v="2026-04-09T00:00:00"/>
    <n v="70200"/>
    <s v="USD"/>
    <x v="1"/>
    <d v="2026-04-09T00:00:00"/>
    <n v="18"/>
    <d v="2026-04-24T00:00:00"/>
    <x v="10"/>
    <n v="70200"/>
    <n v="42"/>
    <x v="1"/>
  </r>
  <r>
    <s v="2000001028"/>
    <x v="1"/>
    <s v="1200000360"/>
    <x v="18"/>
    <x v="1"/>
    <x v="10"/>
    <n v="-3"/>
    <d v="2026-04-09T00:00:00"/>
    <n v="121500"/>
    <s v="USD"/>
    <x v="1"/>
    <d v="2026-04-09T00:00:00"/>
    <n v="-3"/>
    <d v="2026-04-03T00:00:00"/>
    <x v="11"/>
    <n v="121500"/>
    <n v="42"/>
    <x v="1"/>
  </r>
  <r>
    <s v="2000001028"/>
    <x v="1"/>
    <s v="1200000374"/>
    <x v="19"/>
    <x v="1"/>
    <x v="11"/>
    <n v="-8"/>
    <d v="2026-04-14T00:00:00"/>
    <n v="175500"/>
    <s v="USD"/>
    <x v="1"/>
    <d v="2026-04-14T00:00:00"/>
    <n v="-3"/>
    <d v="2026-04-03T00:00:00"/>
    <x v="12"/>
    <n v="175500"/>
    <n v="37"/>
    <x v="1"/>
  </r>
  <r>
    <s v="2000001028"/>
    <x v="1"/>
    <s v="1200000375"/>
    <x v="20"/>
    <x v="1"/>
    <x v="11"/>
    <n v="-8"/>
    <d v="2026-04-14T00:00:00"/>
    <n v="70200"/>
    <s v="USD"/>
    <x v="1"/>
    <d v="2026-04-14T00:00:00"/>
    <n v="-3"/>
    <d v="2026-04-03T00:00:00"/>
    <x v="11"/>
    <n v="70200"/>
    <n v="37"/>
    <x v="1"/>
  </r>
  <r>
    <s v="2000001028"/>
    <x v="1"/>
    <s v="1200000376"/>
    <x v="21"/>
    <x v="1"/>
    <x v="11"/>
    <n v="-8"/>
    <d v="2026-04-14T00:00:00"/>
    <n v="456300"/>
    <s v="USD"/>
    <x v="1"/>
    <d v="2026-04-14T00:00:00"/>
    <n v="-3"/>
    <d v="2026-04-03T00:00:00"/>
    <x v="11"/>
    <n v="456300"/>
    <n v="37"/>
    <x v="1"/>
  </r>
  <r>
    <s v="1000013678"/>
    <x v="2"/>
    <s v="1200000439"/>
    <x v="22"/>
    <x v="0"/>
    <x v="12"/>
    <n v="13"/>
    <d v="2026-03-24T00:00:00"/>
    <n v="424.8"/>
    <s v="PEN"/>
    <x v="0"/>
    <m/>
    <m/>
    <m/>
    <x v="13"/>
    <n v="122.52668012691088"/>
    <m/>
    <x v="0"/>
  </r>
  <r>
    <s v="1000013678"/>
    <x v="2"/>
    <s v="1200000453"/>
    <x v="23"/>
    <x v="0"/>
    <x v="13"/>
    <n v="11"/>
    <d v="2026-03-26T00:00:00"/>
    <n v="283.2"/>
    <s v="PEN"/>
    <x v="0"/>
    <m/>
    <m/>
    <m/>
    <x v="14"/>
    <n v="81.684453417940574"/>
    <m/>
    <x v="0"/>
  </r>
  <r>
    <s v="1000013678"/>
    <x v="2"/>
    <s v="1200000468"/>
    <x v="24"/>
    <x v="0"/>
    <x v="14"/>
    <n v="9"/>
    <d v="2026-03-28T00:00:00"/>
    <n v="354"/>
    <s v="PEN"/>
    <x v="0"/>
    <m/>
    <m/>
    <m/>
    <x v="15"/>
    <n v="102.10556677242573"/>
    <m/>
    <x v="0"/>
  </r>
  <r>
    <s v="1000013678"/>
    <x v="2"/>
    <s v="1200000582"/>
    <x v="25"/>
    <x v="0"/>
    <x v="15"/>
    <n v="0"/>
    <d v="2026-04-06T00:00:00"/>
    <n v="283.2"/>
    <s v="PEN"/>
    <x v="0"/>
    <m/>
    <m/>
    <m/>
    <x v="12"/>
    <n v="81.684453417940574"/>
    <m/>
    <x v="0"/>
  </r>
  <r>
    <s v="2000001381"/>
    <x v="3"/>
    <s v="1300001579"/>
    <x v="26"/>
    <x v="2"/>
    <x v="12"/>
    <n v="0"/>
    <d v="2026-03-31T00:00:00"/>
    <n v="-8700"/>
    <s v="USD"/>
    <x v="1"/>
    <m/>
    <m/>
    <m/>
    <x v="16"/>
    <n v="-8700"/>
    <m/>
    <x v="0"/>
  </r>
  <r>
    <s v="2000001381"/>
    <x v="3"/>
    <s v="1200000495"/>
    <x v="27"/>
    <x v="1"/>
    <x v="14"/>
    <n v="-29"/>
    <d v="2026-05-05T00:00:00"/>
    <n v="24860"/>
    <s v="USD"/>
    <x v="1"/>
    <d v="2026-05-05T00:00:00"/>
    <n v="29"/>
    <d v="2026-05-05T00:00:00"/>
    <x v="17"/>
    <n v="24860"/>
    <n v="16"/>
    <x v="1"/>
  </r>
  <r>
    <s v="2000001381"/>
    <x v="3"/>
    <s v="1200000635"/>
    <x v="28"/>
    <x v="1"/>
    <x v="16"/>
    <n v="-37"/>
    <d v="2026-05-13T00:00:00"/>
    <n v="24860"/>
    <s v="USD"/>
    <x v="1"/>
    <d v="2026-05-13T00:00:00"/>
    <n v="37"/>
    <d v="2026-05-13T00:00:00"/>
    <x v="18"/>
    <n v="24860"/>
    <n v="8"/>
    <x v="1"/>
  </r>
  <r>
    <s v="2000001381"/>
    <x v="3"/>
    <s v="1200000638"/>
    <x v="29"/>
    <x v="1"/>
    <x v="16"/>
    <n v="-37"/>
    <d v="2026-05-13T00:00:00"/>
    <n v="24860"/>
    <s v="USD"/>
    <x v="1"/>
    <d v="2026-05-13T00:00:00"/>
    <n v="37"/>
    <d v="2026-05-13T00:00:00"/>
    <x v="18"/>
    <n v="24860"/>
    <n v="8"/>
    <x v="1"/>
  </r>
  <r>
    <s v="2000001381"/>
    <x v="3"/>
    <s v="1200000639"/>
    <x v="30"/>
    <x v="1"/>
    <x v="16"/>
    <n v="-37"/>
    <d v="2026-05-13T00:00:00"/>
    <n v="24860"/>
    <s v="USD"/>
    <x v="1"/>
    <d v="2026-05-13T00:00:00"/>
    <n v="37"/>
    <d v="2026-05-13T00:00:00"/>
    <x v="18"/>
    <n v="24860"/>
    <n v="8"/>
    <x v="1"/>
  </r>
  <r>
    <s v="2000001381"/>
    <x v="3"/>
    <s v="1200000641"/>
    <x v="31"/>
    <x v="1"/>
    <x v="16"/>
    <n v="-37"/>
    <d v="2026-05-13T00:00:00"/>
    <n v="28800"/>
    <s v="USD"/>
    <x v="1"/>
    <d v="2026-05-13T00:00:00"/>
    <n v="37"/>
    <d v="2026-05-13T00:00:00"/>
    <x v="18"/>
    <n v="28800"/>
    <n v="8"/>
    <x v="1"/>
  </r>
  <r>
    <s v="2000001381"/>
    <x v="3"/>
    <s v="1200000642"/>
    <x v="32"/>
    <x v="1"/>
    <x v="16"/>
    <n v="-37"/>
    <d v="2026-05-13T00:00:00"/>
    <n v="28800"/>
    <s v="USD"/>
    <x v="1"/>
    <d v="2026-05-13T00:00:00"/>
    <n v="37"/>
    <d v="2026-05-13T00:00:00"/>
    <x v="18"/>
    <n v="28800"/>
    <n v="8"/>
    <x v="1"/>
  </r>
  <r>
    <s v="2000001381"/>
    <x v="3"/>
    <s v="1200000643"/>
    <x v="33"/>
    <x v="1"/>
    <x v="16"/>
    <n v="-37"/>
    <d v="2026-05-13T00:00:00"/>
    <n v="29300"/>
    <s v="USD"/>
    <x v="1"/>
    <d v="2026-05-13T00:00:00"/>
    <n v="37"/>
    <d v="2026-05-13T00:00:00"/>
    <x v="18"/>
    <n v="29300"/>
    <n v="8"/>
    <x v="1"/>
  </r>
  <r>
    <s v="2000001381"/>
    <x v="3"/>
    <s v="1300001607"/>
    <x v="34"/>
    <x v="3"/>
    <x v="17"/>
    <n v="0"/>
    <d v="2026-03-31T00:00:00"/>
    <n v="-13983.01"/>
    <s v="USD"/>
    <x v="1"/>
    <m/>
    <m/>
    <m/>
    <x v="16"/>
    <n v="-13983.01"/>
    <m/>
    <x v="0"/>
  </r>
  <r>
    <s v="1000013754"/>
    <x v="4"/>
    <s v="1200000606"/>
    <x v="35"/>
    <x v="4"/>
    <x v="17"/>
    <n v="-1"/>
    <d v="2026-04-07T00:00:00"/>
    <n v="771.72"/>
    <s v="PEN"/>
    <x v="0"/>
    <m/>
    <m/>
    <m/>
    <x v="19"/>
    <n v="222.59013556388808"/>
    <m/>
    <x v="0"/>
  </r>
  <r>
    <s v="1000013754"/>
    <x v="4"/>
    <s v="1200000607"/>
    <x v="36"/>
    <x v="4"/>
    <x v="17"/>
    <n v="-1"/>
    <d v="2026-04-07T00:00:00"/>
    <n v="94.4"/>
    <s v="PEN"/>
    <x v="0"/>
    <m/>
    <m/>
    <m/>
    <x v="20"/>
    <n v="27.228151139313528"/>
    <m/>
    <x v="0"/>
  </r>
  <r>
    <s v="2000001361"/>
    <x v="5"/>
    <s v="1200000199"/>
    <x v="37"/>
    <x v="1"/>
    <x v="18"/>
    <n v="4"/>
    <d v="2026-04-02T00:00:00"/>
    <n v="77585"/>
    <s v="USD"/>
    <x v="1"/>
    <d v="2026-03-18T00:00:00"/>
    <n v="-6"/>
    <d v="2026-03-31T00:00:00"/>
    <x v="20"/>
    <n v="77585"/>
    <n v="64"/>
    <x v="2"/>
  </r>
  <r>
    <s v="2000001398"/>
    <x v="6"/>
    <s v="1300000819"/>
    <x v="38"/>
    <x v="3"/>
    <x v="11"/>
    <n v="37"/>
    <d v="2026-02-28T00:00:00"/>
    <n v="53862.5"/>
    <s v="USD"/>
    <x v="1"/>
    <d v="2026-04-14T00:00:00"/>
    <n v="8"/>
    <d v="2026-04-14T00:00:00"/>
    <x v="21"/>
    <n v="53862.5"/>
    <n v="37"/>
    <x v="1"/>
  </r>
  <r>
    <s v="1000000875"/>
    <x v="7"/>
    <s v="1200000678"/>
    <x v="39"/>
    <x v="0"/>
    <x v="19"/>
    <n v="2"/>
    <d v="2026-04-04T00:00:00"/>
    <n v="484.04"/>
    <s v="PEN"/>
    <x v="0"/>
    <m/>
    <m/>
    <m/>
    <x v="22"/>
    <n v="139.61349870204788"/>
    <m/>
    <x v="0"/>
  </r>
  <r>
    <s v="1000000875"/>
    <x v="7"/>
    <s v="1200000679"/>
    <x v="40"/>
    <x v="0"/>
    <x v="19"/>
    <n v="2"/>
    <d v="2026-04-04T00:00:00"/>
    <n v="123.9"/>
    <s v="PEN"/>
    <x v="0"/>
    <m/>
    <m/>
    <m/>
    <x v="22"/>
    <n v="35.736948370349005"/>
    <m/>
    <x v="0"/>
  </r>
  <r>
    <s v="1000006830"/>
    <x v="8"/>
    <s v="1200000128"/>
    <x v="41"/>
    <x v="0"/>
    <x v="20"/>
    <n v="75"/>
    <d v="2026-01-21T00:00:00"/>
    <n v="231.52"/>
    <s v="PEN"/>
    <x v="0"/>
    <m/>
    <m/>
    <m/>
    <x v="23"/>
    <n v="66.778194404384195"/>
    <m/>
    <x v="0"/>
  </r>
  <r>
    <s v="1000006830"/>
    <x v="8"/>
    <s v="1200000129"/>
    <x v="42"/>
    <x v="0"/>
    <x v="20"/>
    <n v="75"/>
    <d v="2026-01-21T00:00:00"/>
    <n v="23.6"/>
    <s v="PEN"/>
    <x v="0"/>
    <m/>
    <m/>
    <m/>
    <x v="23"/>
    <n v="6.8070377848283821"/>
    <m/>
    <x v="0"/>
  </r>
  <r>
    <s v="1000006830"/>
    <x v="8"/>
    <s v="1200000167"/>
    <x v="43"/>
    <x v="0"/>
    <x v="21"/>
    <n v="60"/>
    <d v="2026-02-05T00:00:00"/>
    <n v="251.1"/>
    <s v="PEN"/>
    <x v="0"/>
    <m/>
    <m/>
    <m/>
    <x v="24"/>
    <n v="72.425728295356208"/>
    <m/>
    <x v="0"/>
  </r>
  <r>
    <s v="1000006830"/>
    <x v="8"/>
    <s v="1200000168"/>
    <x v="44"/>
    <x v="0"/>
    <x v="21"/>
    <n v="60"/>
    <d v="2026-02-05T00:00:00"/>
    <n v="47.2"/>
    <s v="PEN"/>
    <x v="0"/>
    <m/>
    <m/>
    <m/>
    <x v="24"/>
    <n v="13.614075569656764"/>
    <m/>
    <x v="0"/>
  </r>
  <r>
    <s v="1000006830"/>
    <x v="8"/>
    <s v="1200000207"/>
    <x v="45"/>
    <x v="0"/>
    <x v="22"/>
    <n v="53"/>
    <d v="2026-02-12T00:00:00"/>
    <n v="333.94"/>
    <s v="PEN"/>
    <x v="0"/>
    <m/>
    <m/>
    <m/>
    <x v="25"/>
    <n v="96.319584655321606"/>
    <m/>
    <x v="0"/>
  </r>
  <r>
    <s v="1000006830"/>
    <x v="8"/>
    <s v="1200000208"/>
    <x v="46"/>
    <x v="0"/>
    <x v="22"/>
    <n v="53"/>
    <d v="2026-02-12T00:00:00"/>
    <n v="47.2"/>
    <s v="PEN"/>
    <x v="0"/>
    <m/>
    <m/>
    <m/>
    <x v="25"/>
    <n v="13.614075569656764"/>
    <m/>
    <x v="0"/>
  </r>
  <r>
    <s v="1000006830"/>
    <x v="8"/>
    <s v="1200000466"/>
    <x v="47"/>
    <x v="0"/>
    <x v="14"/>
    <n v="9"/>
    <d v="2026-03-28T00:00:00"/>
    <n v="367.07"/>
    <s v="PEN"/>
    <x v="0"/>
    <m/>
    <m/>
    <m/>
    <x v="15"/>
    <n v="105.87539659648111"/>
    <m/>
    <x v="0"/>
  </r>
  <r>
    <s v="1000006830"/>
    <x v="8"/>
    <s v="1200000467"/>
    <x v="48"/>
    <x v="0"/>
    <x v="14"/>
    <n v="9"/>
    <d v="2026-03-28T00:00:00"/>
    <n v="135.69999999999999"/>
    <s v="PEN"/>
    <x v="0"/>
    <m/>
    <m/>
    <m/>
    <x v="15"/>
    <n v="39.140467262763188"/>
    <m/>
    <x v="0"/>
  </r>
  <r>
    <s v="1000006830"/>
    <x v="8"/>
    <s v="1200000489"/>
    <x v="49"/>
    <x v="0"/>
    <x v="23"/>
    <n v="7"/>
    <d v="2026-03-30T00:00:00"/>
    <n v="257"/>
    <s v="PEN"/>
    <x v="0"/>
    <m/>
    <m/>
    <m/>
    <x v="26"/>
    <n v="74.127487741563314"/>
    <m/>
    <x v="0"/>
  </r>
  <r>
    <s v="1000006830"/>
    <x v="8"/>
    <s v="1200000490"/>
    <x v="50"/>
    <x v="0"/>
    <x v="23"/>
    <n v="7"/>
    <d v="2026-03-30T00:00:00"/>
    <n v="35.4"/>
    <s v="PEN"/>
    <x v="0"/>
    <m/>
    <m/>
    <m/>
    <x v="26"/>
    <n v="10.210556677242572"/>
    <m/>
    <x v="0"/>
  </r>
  <r>
    <s v="1000006830"/>
    <x v="8"/>
    <s v="1200000503"/>
    <x v="51"/>
    <x v="0"/>
    <x v="24"/>
    <n v="6"/>
    <d v="2026-03-31T00:00:00"/>
    <n v="262.67"/>
    <s v="PEN"/>
    <x v="0"/>
    <m/>
    <m/>
    <m/>
    <x v="27"/>
    <n v="75.762907412748774"/>
    <m/>
    <x v="0"/>
  </r>
  <r>
    <s v="1000006830"/>
    <x v="8"/>
    <s v="1200000504"/>
    <x v="52"/>
    <x v="0"/>
    <x v="24"/>
    <n v="6"/>
    <d v="2026-03-31T00:00:00"/>
    <n v="47.2"/>
    <s v="PEN"/>
    <x v="0"/>
    <m/>
    <m/>
    <m/>
    <x v="28"/>
    <n v="13.614075569656764"/>
    <m/>
    <x v="0"/>
  </r>
  <r>
    <s v="1000006830"/>
    <x v="8"/>
    <s v="1200000511"/>
    <x v="53"/>
    <x v="0"/>
    <x v="24"/>
    <n v="6"/>
    <d v="2026-03-31T00:00:00"/>
    <n v="181.01"/>
    <s v="PEN"/>
    <x v="0"/>
    <m/>
    <m/>
    <m/>
    <x v="28"/>
    <n v="52.209402942024802"/>
    <m/>
    <x v="0"/>
  </r>
  <r>
    <s v="1000006830"/>
    <x v="8"/>
    <s v="1200000512"/>
    <x v="54"/>
    <x v="0"/>
    <x v="24"/>
    <n v="6"/>
    <d v="2026-03-31T00:00:00"/>
    <n v="35.4"/>
    <s v="PEN"/>
    <x v="0"/>
    <m/>
    <m/>
    <m/>
    <x v="16"/>
    <n v="10.210556677242572"/>
    <m/>
    <x v="0"/>
  </r>
  <r>
    <s v="1000006830"/>
    <x v="8"/>
    <s v="1200000583"/>
    <x v="55"/>
    <x v="0"/>
    <x v="15"/>
    <n v="0"/>
    <d v="2026-04-06T00:00:00"/>
    <n v="293.35000000000002"/>
    <s v="PEN"/>
    <x v="0"/>
    <m/>
    <m/>
    <m/>
    <x v="12"/>
    <n v="84.61205653302568"/>
    <m/>
    <x v="0"/>
  </r>
  <r>
    <s v="1000006830"/>
    <x v="8"/>
    <s v="1200000584"/>
    <x v="56"/>
    <x v="0"/>
    <x v="15"/>
    <n v="0"/>
    <d v="2026-04-06T00:00:00"/>
    <n v="47.2"/>
    <s v="PEN"/>
    <x v="0"/>
    <m/>
    <m/>
    <m/>
    <x v="12"/>
    <n v="13.614075569656764"/>
    <m/>
    <x v="0"/>
  </r>
  <r>
    <s v="1000006830"/>
    <x v="8"/>
    <s v="1200000608"/>
    <x v="57"/>
    <x v="0"/>
    <x v="17"/>
    <n v="-1"/>
    <d v="2026-04-07T00:00:00"/>
    <n v="670.71"/>
    <s v="PEN"/>
    <x v="0"/>
    <m/>
    <m/>
    <m/>
    <x v="20"/>
    <n v="193.45543697721374"/>
    <m/>
    <x v="0"/>
  </r>
  <r>
    <s v="1000006830"/>
    <x v="8"/>
    <s v="1200000609"/>
    <x v="58"/>
    <x v="0"/>
    <x v="17"/>
    <n v="-1"/>
    <d v="2026-04-07T00:00:00"/>
    <n v="70.8"/>
    <s v="PEN"/>
    <x v="0"/>
    <m/>
    <m/>
    <m/>
    <x v="20"/>
    <n v="20.421113354485144"/>
    <m/>
    <x v="0"/>
  </r>
  <r>
    <s v="1000006830"/>
    <x v="8"/>
    <s v="1200000620"/>
    <x v="59"/>
    <x v="0"/>
    <x v="17"/>
    <n v="-1"/>
    <d v="2026-04-07T00:00:00"/>
    <n v="268.10000000000002"/>
    <s v="PEN"/>
    <x v="0"/>
    <m/>
    <m/>
    <m/>
    <x v="20"/>
    <n v="77.329102970868192"/>
    <m/>
    <x v="0"/>
  </r>
  <r>
    <s v="1000006830"/>
    <x v="8"/>
    <s v="1200000621"/>
    <x v="60"/>
    <x v="0"/>
    <x v="17"/>
    <n v="-1"/>
    <d v="2026-04-07T00:00:00"/>
    <n v="47.2"/>
    <s v="PEN"/>
    <x v="0"/>
    <m/>
    <m/>
    <m/>
    <x v="29"/>
    <n v="13.614075569656764"/>
    <m/>
    <x v="0"/>
  </r>
  <r>
    <s v="1000006830"/>
    <x v="8"/>
    <s v="1200000658"/>
    <x v="61"/>
    <x v="0"/>
    <x v="25"/>
    <n v="-2"/>
    <d v="2026-04-08T00:00:00"/>
    <n v="1010.32"/>
    <s v="PEN"/>
    <x v="0"/>
    <m/>
    <m/>
    <m/>
    <x v="29"/>
    <n v="291.4104413037208"/>
    <m/>
    <x v="0"/>
  </r>
  <r>
    <s v="1000006830"/>
    <x v="8"/>
    <s v="1200000659"/>
    <x v="62"/>
    <x v="0"/>
    <x v="25"/>
    <n v="-2"/>
    <d v="2026-04-08T00:00:00"/>
    <n v="94.4"/>
    <s v="PEN"/>
    <x v="0"/>
    <m/>
    <m/>
    <m/>
    <x v="30"/>
    <n v="27.228151139313528"/>
    <m/>
    <x v="0"/>
  </r>
  <r>
    <s v="1000006830"/>
    <x v="8"/>
    <s v="1200000671"/>
    <x v="63"/>
    <x v="0"/>
    <x v="19"/>
    <n v="-5"/>
    <d v="2026-04-11T00:00:00"/>
    <n v="849.84"/>
    <s v="PEN"/>
    <x v="0"/>
    <m/>
    <m/>
    <m/>
    <x v="31"/>
    <n v="245.12258436688779"/>
    <m/>
    <x v="0"/>
  </r>
  <r>
    <s v="1000006830"/>
    <x v="8"/>
    <s v="1200000672"/>
    <x v="64"/>
    <x v="0"/>
    <x v="19"/>
    <n v="-5"/>
    <d v="2026-04-11T00:00:00"/>
    <n v="94.4"/>
    <s v="PEN"/>
    <x v="0"/>
    <m/>
    <m/>
    <m/>
    <x v="31"/>
    <n v="27.228151139313528"/>
    <m/>
    <x v="0"/>
  </r>
  <r>
    <s v="1000006830"/>
    <x v="8"/>
    <s v="1200000694"/>
    <x v="65"/>
    <x v="0"/>
    <x v="26"/>
    <n v="-6"/>
    <d v="2026-04-12T00:00:00"/>
    <n v="188.33"/>
    <s v="PEN"/>
    <x v="0"/>
    <m/>
    <m/>
    <m/>
    <x v="32"/>
    <n v="54.320738390539375"/>
    <m/>
    <x v="0"/>
  </r>
  <r>
    <s v="1000006830"/>
    <x v="8"/>
    <s v="1200000695"/>
    <x v="66"/>
    <x v="0"/>
    <x v="26"/>
    <n v="-6"/>
    <d v="2026-04-12T00:00:00"/>
    <n v="47.2"/>
    <s v="PEN"/>
    <x v="0"/>
    <m/>
    <m/>
    <m/>
    <x v="32"/>
    <n v="13.614075569656764"/>
    <m/>
    <x v="0"/>
  </r>
  <r>
    <s v="2000001172"/>
    <x v="9"/>
    <s v="1300001584"/>
    <x v="67"/>
    <x v="3"/>
    <x v="27"/>
    <n v="22"/>
    <d v="2026-03-15T00:00:00"/>
    <n v="147743.07"/>
    <s v="USD"/>
    <x v="1"/>
    <d v="2026-04-29T00:00:00"/>
    <m/>
    <d v="2026-04-29T00:00:00"/>
    <x v="27"/>
    <n v="147743.07"/>
    <n v="22"/>
    <x v="1"/>
  </r>
  <r>
    <s v="2000001172"/>
    <x v="9"/>
    <s v="1200000623"/>
    <x v="68"/>
    <x v="1"/>
    <x v="28"/>
    <n v="-36"/>
    <d v="2026-05-12T00:00:00"/>
    <n v="177221.7"/>
    <s v="USD"/>
    <x v="1"/>
    <d v="2026-05-12T00:00:00"/>
    <m/>
    <m/>
    <x v="33"/>
    <n v="177221.7"/>
    <n v="9"/>
    <x v="1"/>
  </r>
  <r>
    <s v="2000001173"/>
    <x v="10"/>
    <s v="1200000617"/>
    <x v="69"/>
    <x v="1"/>
    <x v="28"/>
    <n v="-36"/>
    <d v="2026-05-12T00:00:00"/>
    <n v="334800"/>
    <s v="USD"/>
    <x v="1"/>
    <d v="2026-05-12T00:00:00"/>
    <m/>
    <m/>
    <x v="33"/>
    <n v="334800"/>
    <n v="9"/>
    <x v="1"/>
  </r>
  <r>
    <s v="2000000231"/>
    <x v="11"/>
    <s v="1200000616"/>
    <x v="70"/>
    <x v="1"/>
    <x v="28"/>
    <n v="-36"/>
    <d v="2026-05-12T00:00:00"/>
    <n v="669600"/>
    <s v="USD"/>
    <x v="1"/>
    <d v="2026-05-12T00:00:00"/>
    <m/>
    <m/>
    <x v="33"/>
    <n v="669600"/>
    <n v="9"/>
    <x v="1"/>
  </r>
  <r>
    <s v="2000001409"/>
    <x v="12"/>
    <s v="1300001581"/>
    <x v="34"/>
    <x v="3"/>
    <x v="12"/>
    <n v="0"/>
    <d v="2026-03-17T00:00:00"/>
    <n v="-7410"/>
    <s v="USD"/>
    <x v="1"/>
    <m/>
    <m/>
    <m/>
    <x v="34"/>
    <n v="-7410"/>
    <m/>
    <x v="0"/>
  </r>
  <r>
    <s v="2000001409"/>
    <x v="12"/>
    <s v="1300001598"/>
    <x v="71"/>
    <x v="2"/>
    <x v="29"/>
    <n v="0"/>
    <d v="2026-03-31T00:00:00"/>
    <n v="-35590"/>
    <s v="USD"/>
    <x v="1"/>
    <m/>
    <m/>
    <m/>
    <x v="16"/>
    <n v="-35590"/>
    <m/>
    <x v="0"/>
  </r>
  <r>
    <s v="2000001409"/>
    <x v="12"/>
    <s v="1200000631"/>
    <x v="72"/>
    <x v="1"/>
    <x v="16"/>
    <n v="-37"/>
    <d v="2026-05-13T00:00:00"/>
    <n v="35553"/>
    <s v="USD"/>
    <x v="1"/>
    <d v="2026-05-13T00:00:00"/>
    <m/>
    <m/>
    <x v="12"/>
    <n v="35553"/>
    <n v="8"/>
    <x v="1"/>
  </r>
  <r>
    <s v="6002007"/>
    <x v="13"/>
    <s v="1200005141"/>
    <x v="73"/>
    <x v="0"/>
    <x v="30"/>
    <n v="147"/>
    <d v="2025-11-10T00:00:00"/>
    <n v="1403.26"/>
    <s v="PEN"/>
    <x v="0"/>
    <m/>
    <m/>
    <m/>
    <x v="29"/>
    <n v="404.74762042111337"/>
    <m/>
    <x v="0"/>
  </r>
  <r>
    <s v="6002007"/>
    <x v="13"/>
    <s v="1200005142"/>
    <x v="74"/>
    <x v="0"/>
    <x v="30"/>
    <n v="147"/>
    <d v="2025-11-10T00:00:00"/>
    <n v="141.6"/>
    <s v="PEN"/>
    <x v="0"/>
    <m/>
    <m/>
    <m/>
    <x v="35"/>
    <n v="40.842226708970287"/>
    <m/>
    <x v="0"/>
  </r>
  <r>
    <s v="6002007"/>
    <x v="13"/>
    <s v="1200005158"/>
    <x v="75"/>
    <x v="0"/>
    <x v="31"/>
    <n v="144"/>
    <d v="2025-11-13T00:00:00"/>
    <n v="1193.22"/>
    <s v="PEN"/>
    <x v="0"/>
    <m/>
    <m/>
    <m/>
    <x v="35"/>
    <n v="344.16498413614073"/>
    <m/>
    <x v="0"/>
  </r>
  <r>
    <s v="6002007"/>
    <x v="13"/>
    <s v="1200005159"/>
    <x v="76"/>
    <x v="0"/>
    <x v="31"/>
    <n v="144"/>
    <d v="2025-11-13T00:00:00"/>
    <n v="106.2"/>
    <s v="PEN"/>
    <x v="0"/>
    <m/>
    <m/>
    <m/>
    <x v="36"/>
    <n v="30.631670031727719"/>
    <m/>
    <x v="0"/>
  </r>
  <r>
    <s v="2000001359"/>
    <x v="14"/>
    <s v="1200000644"/>
    <x v="77"/>
    <x v="1"/>
    <x v="16"/>
    <n v="-37"/>
    <d v="2026-05-13T00:00:00"/>
    <n v="76700"/>
    <s v="USD"/>
    <x v="1"/>
    <d v="2026-05-13T00:00:00"/>
    <m/>
    <m/>
    <x v="18"/>
    <n v="76700"/>
    <n v="8"/>
    <x v="1"/>
  </r>
  <r>
    <s v="2000001369"/>
    <x v="15"/>
    <s v="1300001595"/>
    <x v="78"/>
    <x v="3"/>
    <x v="32"/>
    <n v="30"/>
    <d v="2026-03-07T00:00:00"/>
    <n v="40636"/>
    <s v="USD"/>
    <x v="1"/>
    <d v="2026-04-21T00:00:00"/>
    <n v="15"/>
    <d v="2026-04-21T00:00:00"/>
    <x v="29"/>
    <n v="40636"/>
    <n v="30"/>
    <x v="1"/>
  </r>
  <r>
    <s v="2000001369"/>
    <x v="15"/>
    <s v="1300001596"/>
    <x v="79"/>
    <x v="3"/>
    <x v="32"/>
    <n v="30"/>
    <d v="2026-03-07T00:00:00"/>
    <n v="40736"/>
    <s v="USD"/>
    <x v="1"/>
    <d v="2026-04-21T00:00:00"/>
    <n v="15"/>
    <d v="2026-04-21T00:00:00"/>
    <x v="29"/>
    <n v="40736"/>
    <n v="30"/>
    <x v="1"/>
  </r>
  <r>
    <s v="2000001369"/>
    <x v="15"/>
    <s v="1300001604"/>
    <x v="34"/>
    <x v="3"/>
    <x v="33"/>
    <n v="0"/>
    <d v="2026-03-26T00:00:00"/>
    <n v="-20590"/>
    <s v="USD"/>
    <x v="1"/>
    <m/>
    <m/>
    <m/>
    <x v="14"/>
    <n v="-20590"/>
    <m/>
    <x v="0"/>
  </r>
  <r>
    <s v="1000013925"/>
    <x v="16"/>
    <s v="1300006898"/>
    <x v="80"/>
    <x v="3"/>
    <x v="34"/>
    <n v="167"/>
    <d v="2025-10-21T00:00:00"/>
    <n v="4460"/>
    <s v="PEN"/>
    <x v="2"/>
    <m/>
    <m/>
    <m/>
    <x v="37"/>
    <n v="1286.4147678107875"/>
    <m/>
    <x v="0"/>
  </r>
  <r>
    <s v="1000013925"/>
    <x v="16"/>
    <s v="1200005124"/>
    <x v="81"/>
    <x v="0"/>
    <x v="35"/>
    <n v="146"/>
    <d v="2025-11-11T00:00:00"/>
    <n v="7097.98"/>
    <s v="PEN"/>
    <x v="2"/>
    <m/>
    <m/>
    <m/>
    <x v="38"/>
    <n v="2047.2973752523794"/>
    <m/>
    <x v="0"/>
  </r>
  <r>
    <s v="1000013925"/>
    <x v="16"/>
    <s v="1200000182"/>
    <x v="82"/>
    <x v="0"/>
    <x v="36"/>
    <n v="58"/>
    <d v="2026-02-07T00:00:00"/>
    <n v="4003.46"/>
    <s v="PEN"/>
    <x v="2"/>
    <m/>
    <m/>
    <m/>
    <x v="39"/>
    <n v="1154.7331987308912"/>
    <m/>
    <x v="0"/>
  </r>
  <r>
    <s v="1000013925"/>
    <x v="16"/>
    <s v="1200000382"/>
    <x v="83"/>
    <x v="0"/>
    <x v="37"/>
    <n v="27"/>
    <d v="2026-03-10T00:00:00"/>
    <n v="4956"/>
    <s v="PEN"/>
    <x v="2"/>
    <m/>
    <m/>
    <m/>
    <x v="40"/>
    <n v="1429.4779348139602"/>
    <m/>
    <x v="0"/>
  </r>
  <r>
    <s v="1000015185"/>
    <x v="17"/>
    <s v="1200000593"/>
    <x v="84"/>
    <x v="0"/>
    <x v="17"/>
    <n v="-1"/>
    <d v="2026-04-07T00:00:00"/>
    <n v="643.95000000000005"/>
    <s v="PEN"/>
    <x v="0"/>
    <m/>
    <m/>
    <m/>
    <x v="20"/>
    <n v="185.73694837034901"/>
    <m/>
    <x v="0"/>
  </r>
  <r>
    <s v="1000015185"/>
    <x v="17"/>
    <s v="1200000594"/>
    <x v="85"/>
    <x v="0"/>
    <x v="17"/>
    <n v="-1"/>
    <d v="2026-04-07T00:00:00"/>
    <n v="194.7"/>
    <s v="PEN"/>
    <x v="0"/>
    <m/>
    <m/>
    <m/>
    <x v="29"/>
    <n v="56.158061724834148"/>
    <m/>
    <x v="0"/>
  </r>
  <r>
    <s v="1000015185"/>
    <x v="17"/>
    <s v="1200000628"/>
    <x v="86"/>
    <x v="0"/>
    <x v="17"/>
    <n v="-1"/>
    <d v="2026-04-07T00:00:00"/>
    <n v="376.33"/>
    <s v="PEN"/>
    <x v="0"/>
    <m/>
    <m/>
    <m/>
    <x v="29"/>
    <n v="108.54629362561292"/>
    <m/>
    <x v="0"/>
  </r>
  <r>
    <s v="1000015185"/>
    <x v="17"/>
    <s v="1200000629"/>
    <x v="87"/>
    <x v="0"/>
    <x v="17"/>
    <n v="-1"/>
    <d v="2026-04-07T00:00:00"/>
    <n v="153.4"/>
    <s v="PEN"/>
    <x v="0"/>
    <m/>
    <m/>
    <m/>
    <x v="10"/>
    <n v="44.245745601384485"/>
    <m/>
    <x v="0"/>
  </r>
  <r>
    <s v="1000015185"/>
    <x v="17"/>
    <s v="1200000689"/>
    <x v="88"/>
    <x v="0"/>
    <x v="19"/>
    <n v="-5"/>
    <d v="2026-04-11T00:00:00"/>
    <n v="1053.98"/>
    <s v="PEN"/>
    <x v="0"/>
    <m/>
    <m/>
    <m/>
    <x v="10"/>
    <n v="304.00346120565331"/>
    <m/>
    <x v="0"/>
  </r>
  <r>
    <s v="1000015185"/>
    <x v="17"/>
    <s v="1200000690"/>
    <x v="89"/>
    <x v="0"/>
    <x v="19"/>
    <n v="-5"/>
    <d v="2026-04-11T00:00:00"/>
    <n v="348.1"/>
    <s v="PEN"/>
    <x v="0"/>
    <m/>
    <m/>
    <m/>
    <x v="31"/>
    <n v="100.40380732621864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1000013966"/>
    <x v="0"/>
    <s v="1200005220"/>
    <s v="01-0F101-0004694"/>
    <x v="0"/>
    <x v="0"/>
    <n v="131"/>
    <d v="2025-11-26T00:00:00"/>
    <n v="42.48"/>
    <s v="PEN"/>
    <x v="0"/>
    <m/>
    <m/>
    <m/>
    <x v="0"/>
    <n v="12.252668012691085"/>
    <m/>
    <m/>
  </r>
  <r>
    <s v="1000013966"/>
    <x v="0"/>
    <s v="1200005228"/>
    <s v="01-0F101-0004700"/>
    <x v="0"/>
    <x v="0"/>
    <n v="131"/>
    <d v="2025-11-26T00:00:00"/>
    <n v="14.16"/>
    <s v="PEN"/>
    <x v="0"/>
    <m/>
    <m/>
    <m/>
    <x v="0"/>
    <n v="4.0842226708970291"/>
    <m/>
    <m/>
  </r>
  <r>
    <s v="1000013966"/>
    <x v="0"/>
    <s v="1200005242"/>
    <s v="01-0F101-0004710"/>
    <x v="0"/>
    <x v="0"/>
    <n v="131"/>
    <d v="2025-11-26T00:00:00"/>
    <n v="14.16"/>
    <s v="PEN"/>
    <x v="0"/>
    <m/>
    <m/>
    <m/>
    <x v="0"/>
    <n v="4.0842226708970291"/>
    <m/>
    <m/>
  </r>
  <r>
    <s v="1000013966"/>
    <x v="0"/>
    <s v="1200005264"/>
    <s v="01-0F101-0004729"/>
    <x v="0"/>
    <x v="1"/>
    <n v="130"/>
    <d v="2025-11-27T00:00:00"/>
    <n v="28.32"/>
    <s v="PEN"/>
    <x v="0"/>
    <m/>
    <m/>
    <m/>
    <x v="1"/>
    <n v="8.1684453417940581"/>
    <m/>
    <m/>
  </r>
  <r>
    <s v="1000013966"/>
    <x v="0"/>
    <s v="1200005271"/>
    <s v="01-0F101-0004736"/>
    <x v="0"/>
    <x v="1"/>
    <n v="130"/>
    <d v="2025-11-27T00:00:00"/>
    <n v="14.16"/>
    <s v="PEN"/>
    <x v="0"/>
    <m/>
    <m/>
    <m/>
    <x v="1"/>
    <n v="4.0842226708970291"/>
    <m/>
    <m/>
  </r>
  <r>
    <s v="1000013966"/>
    <x v="0"/>
    <s v="1200005296"/>
    <s v="01-0F101-0004758"/>
    <x v="0"/>
    <x v="2"/>
    <n v="129"/>
    <d v="2025-11-28T00:00:00"/>
    <n v="28.32"/>
    <s v="PEN"/>
    <x v="0"/>
    <m/>
    <m/>
    <m/>
    <x v="2"/>
    <n v="8.1684453417940581"/>
    <m/>
    <m/>
  </r>
  <r>
    <s v="1000013966"/>
    <x v="0"/>
    <s v="1200005302"/>
    <s v="01-0F101-0004762"/>
    <x v="0"/>
    <x v="2"/>
    <n v="129"/>
    <d v="2025-11-28T00:00:00"/>
    <n v="42.48"/>
    <s v="PEN"/>
    <x v="0"/>
    <m/>
    <m/>
    <m/>
    <x v="2"/>
    <n v="12.252668012691085"/>
    <m/>
    <m/>
  </r>
  <r>
    <s v="1000013966"/>
    <x v="0"/>
    <s v="1200005304"/>
    <s v="01-0F101-0004763"/>
    <x v="0"/>
    <x v="2"/>
    <n v="129"/>
    <d v="2025-11-28T00:00:00"/>
    <n v="42.48"/>
    <s v="PEN"/>
    <x v="0"/>
    <m/>
    <m/>
    <m/>
    <x v="2"/>
    <n v="12.252668012691085"/>
    <m/>
    <m/>
  </r>
  <r>
    <s v="1000013966"/>
    <x v="0"/>
    <s v="1200005313"/>
    <s v="01-0F101-0004772"/>
    <x v="0"/>
    <x v="2"/>
    <n v="129"/>
    <d v="2025-11-28T00:00:00"/>
    <n v="14.16"/>
    <s v="PEN"/>
    <x v="0"/>
    <m/>
    <m/>
    <m/>
    <x v="2"/>
    <n v="4.0842226708970291"/>
    <m/>
    <m/>
  </r>
  <r>
    <s v="1000013966"/>
    <x v="0"/>
    <s v="1200005346"/>
    <s v="01-0F101-0004803"/>
    <x v="0"/>
    <x v="3"/>
    <n v="128"/>
    <d v="2025-11-29T00:00:00"/>
    <n v="28.32"/>
    <s v="PEN"/>
    <x v="0"/>
    <m/>
    <m/>
    <m/>
    <x v="3"/>
    <n v="8.1684453417940581"/>
    <m/>
    <m/>
  </r>
  <r>
    <s v="1000013966"/>
    <x v="0"/>
    <s v="1200005422"/>
    <s v="01-0F101-0004855"/>
    <x v="0"/>
    <x v="4"/>
    <n v="123"/>
    <d v="2025-12-04T00:00:00"/>
    <n v="14.16"/>
    <s v="PEN"/>
    <x v="0"/>
    <m/>
    <m/>
    <m/>
    <x v="4"/>
    <n v="4.0842226708970291"/>
    <m/>
    <m/>
  </r>
  <r>
    <s v="1000013966"/>
    <x v="0"/>
    <s v="1200000045"/>
    <s v="01-0F101-0005160"/>
    <x v="0"/>
    <x v="5"/>
    <n v="83"/>
    <d v="2026-01-13T00:00:00"/>
    <n v="14.16"/>
    <s v="PEN"/>
    <x v="0"/>
    <m/>
    <m/>
    <m/>
    <x v="5"/>
    <n v="4.0842226708970291"/>
    <m/>
    <m/>
  </r>
  <r>
    <s v="1000013966"/>
    <x v="0"/>
    <s v="1200000090"/>
    <s v="01-0F101-0005198"/>
    <x v="0"/>
    <x v="6"/>
    <n v="81"/>
    <d v="2026-01-15T00:00:00"/>
    <n v="14.16"/>
    <s v="PEN"/>
    <x v="0"/>
    <m/>
    <m/>
    <m/>
    <x v="6"/>
    <n v="4.0842226708970291"/>
    <m/>
    <m/>
  </r>
  <r>
    <s v="1000013966"/>
    <x v="0"/>
    <s v="1200000113"/>
    <s v="01-0F101-0005211"/>
    <x v="0"/>
    <x v="7"/>
    <n v="79"/>
    <d v="2026-01-17T00:00:00"/>
    <n v="14.16"/>
    <s v="PEN"/>
    <x v="0"/>
    <m/>
    <m/>
    <m/>
    <x v="7"/>
    <n v="4.0842226708970291"/>
    <m/>
    <m/>
  </r>
  <r>
    <s v="1000013966"/>
    <x v="0"/>
    <s v="1200000132"/>
    <s v="01-0F101-0005224"/>
    <x v="0"/>
    <x v="8"/>
    <n v="73"/>
    <d v="2026-01-23T00:00:00"/>
    <n v="14.16"/>
    <s v="PEN"/>
    <x v="0"/>
    <m/>
    <m/>
    <m/>
    <x v="8"/>
    <n v="4.0842226708970291"/>
    <m/>
    <m/>
  </r>
  <r>
    <s v="1000013966"/>
    <x v="0"/>
    <s v="1200000133"/>
    <s v="01-0F101-0005225"/>
    <x v="0"/>
    <x v="8"/>
    <n v="73"/>
    <d v="2026-01-23T00:00:00"/>
    <n v="14.16"/>
    <s v="PEN"/>
    <x v="0"/>
    <m/>
    <m/>
    <m/>
    <x v="8"/>
    <n v="4.0842226708970291"/>
    <m/>
    <m/>
  </r>
  <r>
    <s v="1000013966"/>
    <x v="0"/>
    <s v="1200000141"/>
    <s v="01-0F101-0005231"/>
    <x v="0"/>
    <x v="9"/>
    <n v="70"/>
    <d v="2026-01-26T00:00:00"/>
    <n v="14.16"/>
    <s v="PEN"/>
    <x v="0"/>
    <m/>
    <m/>
    <m/>
    <x v="9"/>
    <n v="4.0842226708970291"/>
    <m/>
    <m/>
  </r>
  <r>
    <s v="2000001028"/>
    <x v="1"/>
    <s v="1200000359"/>
    <s v="01-0F002-0000246"/>
    <x v="1"/>
    <x v="10"/>
    <n v="-3"/>
    <d v="2026-04-09T00:00:00"/>
    <n v="70200"/>
    <s v="USD"/>
    <x v="1"/>
    <d v="2026-04-09T00:00:00"/>
    <n v="18"/>
    <d v="2026-04-24T00:00:00"/>
    <x v="10"/>
    <n v="70200"/>
    <n v="42"/>
    <s v="0-45"/>
  </r>
  <r>
    <s v="2000001028"/>
    <x v="1"/>
    <s v="1200000360"/>
    <s v="01-0F002-0000247"/>
    <x v="1"/>
    <x v="10"/>
    <n v="-3"/>
    <d v="2026-04-09T00:00:00"/>
    <n v="121500"/>
    <s v="USD"/>
    <x v="1"/>
    <d v="2026-04-09T00:00:00"/>
    <n v="-3"/>
    <d v="2026-04-03T00:00:00"/>
    <x v="11"/>
    <n v="121500"/>
    <n v="42"/>
    <s v="0-45"/>
  </r>
  <r>
    <s v="2000001028"/>
    <x v="1"/>
    <s v="1200000374"/>
    <s v="01-0F002-0000249"/>
    <x v="1"/>
    <x v="11"/>
    <n v="-8"/>
    <d v="2026-04-14T00:00:00"/>
    <n v="175500"/>
    <s v="USD"/>
    <x v="1"/>
    <d v="2026-04-14T00:00:00"/>
    <n v="-3"/>
    <d v="2026-04-03T00:00:00"/>
    <x v="12"/>
    <n v="175500"/>
    <n v="37"/>
    <s v="0-45"/>
  </r>
  <r>
    <s v="2000001028"/>
    <x v="1"/>
    <s v="1200000375"/>
    <s v="01-0F002-0000250"/>
    <x v="1"/>
    <x v="11"/>
    <n v="-8"/>
    <d v="2026-04-14T00:00:00"/>
    <n v="70200"/>
    <s v="USD"/>
    <x v="1"/>
    <d v="2026-04-14T00:00:00"/>
    <n v="-3"/>
    <d v="2026-04-03T00:00:00"/>
    <x v="11"/>
    <n v="70200"/>
    <n v="37"/>
    <s v="0-45"/>
  </r>
  <r>
    <s v="2000001028"/>
    <x v="1"/>
    <s v="1200000376"/>
    <s v="01-0F002-0000251"/>
    <x v="1"/>
    <x v="11"/>
    <n v="-8"/>
    <d v="2026-04-14T00:00:00"/>
    <n v="456300"/>
    <s v="USD"/>
    <x v="1"/>
    <d v="2026-04-14T00:00:00"/>
    <n v="-3"/>
    <d v="2026-04-03T00:00:00"/>
    <x v="11"/>
    <n v="456300"/>
    <n v="37"/>
    <s v="0-45"/>
  </r>
  <r>
    <s v="1000013678"/>
    <x v="2"/>
    <s v="1200000439"/>
    <s v="01-0F101-0005458"/>
    <x v="0"/>
    <x v="12"/>
    <n v="13"/>
    <d v="2026-03-24T00:00:00"/>
    <n v="424.8"/>
    <s v="PEN"/>
    <x v="0"/>
    <m/>
    <m/>
    <m/>
    <x v="13"/>
    <n v="122.52668012691088"/>
    <m/>
    <m/>
  </r>
  <r>
    <s v="1000013678"/>
    <x v="2"/>
    <s v="1200000453"/>
    <s v="01-0F101-0005470"/>
    <x v="0"/>
    <x v="13"/>
    <n v="11"/>
    <d v="2026-03-26T00:00:00"/>
    <n v="283.2"/>
    <s v="PEN"/>
    <x v="0"/>
    <m/>
    <m/>
    <m/>
    <x v="14"/>
    <n v="81.684453417940574"/>
    <m/>
    <m/>
  </r>
  <r>
    <s v="1000013678"/>
    <x v="2"/>
    <s v="1200000468"/>
    <s v="01-0F101-0005482"/>
    <x v="0"/>
    <x v="14"/>
    <n v="9"/>
    <d v="2026-03-28T00:00:00"/>
    <n v="354"/>
    <s v="PEN"/>
    <x v="0"/>
    <m/>
    <m/>
    <m/>
    <x v="15"/>
    <n v="102.10556677242573"/>
    <m/>
    <m/>
  </r>
  <r>
    <s v="1000013678"/>
    <x v="2"/>
    <s v="1200000582"/>
    <s v="01-0F101-0005569"/>
    <x v="0"/>
    <x v="15"/>
    <n v="0"/>
    <d v="2026-04-06T00:00:00"/>
    <n v="283.2"/>
    <s v="PEN"/>
    <x v="0"/>
    <m/>
    <m/>
    <m/>
    <x v="12"/>
    <n v="81.684453417940574"/>
    <m/>
    <m/>
  </r>
  <r>
    <s v="2000001381"/>
    <x v="3"/>
    <s v="1300001579"/>
    <s v="ANTICIPO DAIRECK"/>
    <x v="2"/>
    <x v="12"/>
    <n v="0"/>
    <d v="2026-03-31T00:00:00"/>
    <n v="-8700"/>
    <s v="USD"/>
    <x v="1"/>
    <m/>
    <m/>
    <m/>
    <x v="16"/>
    <n v="-8700"/>
    <m/>
    <m/>
  </r>
  <r>
    <s v="2000001381"/>
    <x v="3"/>
    <s v="1200000495"/>
    <s v="01-0F002-0000270"/>
    <x v="1"/>
    <x v="14"/>
    <n v="-29"/>
    <d v="2026-05-05T00:00:00"/>
    <n v="24860"/>
    <s v="USD"/>
    <x v="1"/>
    <d v="2026-05-05T00:00:00"/>
    <n v="29"/>
    <d v="2026-05-05T00:00:00"/>
    <x v="17"/>
    <n v="24860"/>
    <n v="16"/>
    <s v="0-45"/>
  </r>
  <r>
    <s v="2000001381"/>
    <x v="3"/>
    <s v="1200000635"/>
    <s v="01-0F002-0000281"/>
    <x v="1"/>
    <x v="16"/>
    <n v="-37"/>
    <d v="2026-05-13T00:00:00"/>
    <n v="24860"/>
    <s v="USD"/>
    <x v="1"/>
    <d v="2026-05-13T00:00:00"/>
    <n v="37"/>
    <d v="2026-05-13T00:00:00"/>
    <x v="18"/>
    <n v="24860"/>
    <n v="8"/>
    <s v="0-45"/>
  </r>
  <r>
    <s v="2000001381"/>
    <x v="3"/>
    <s v="1200000638"/>
    <s v="01-0F002-0000282"/>
    <x v="1"/>
    <x v="16"/>
    <n v="-37"/>
    <d v="2026-05-13T00:00:00"/>
    <n v="24860"/>
    <s v="USD"/>
    <x v="1"/>
    <d v="2026-05-13T00:00:00"/>
    <n v="37"/>
    <d v="2026-05-13T00:00:00"/>
    <x v="18"/>
    <n v="24860"/>
    <n v="8"/>
    <s v="0-45"/>
  </r>
  <r>
    <s v="2000001381"/>
    <x v="3"/>
    <s v="1200000639"/>
    <s v="01-0F002-0000283"/>
    <x v="1"/>
    <x v="16"/>
    <n v="-37"/>
    <d v="2026-05-13T00:00:00"/>
    <n v="24860"/>
    <s v="USD"/>
    <x v="1"/>
    <d v="2026-05-13T00:00:00"/>
    <n v="37"/>
    <d v="2026-05-13T00:00:00"/>
    <x v="18"/>
    <n v="24860"/>
    <n v="8"/>
    <s v="0-45"/>
  </r>
  <r>
    <s v="2000001381"/>
    <x v="3"/>
    <s v="1200000641"/>
    <s v="01-0F002-0000284"/>
    <x v="1"/>
    <x v="16"/>
    <n v="-37"/>
    <d v="2026-05-13T00:00:00"/>
    <n v="28800"/>
    <s v="USD"/>
    <x v="1"/>
    <d v="2026-05-13T00:00:00"/>
    <n v="37"/>
    <d v="2026-05-13T00:00:00"/>
    <x v="18"/>
    <n v="28800"/>
    <n v="8"/>
    <s v="0-45"/>
  </r>
  <r>
    <s v="2000001381"/>
    <x v="3"/>
    <s v="1200000642"/>
    <s v="01-0F002-0000285"/>
    <x v="1"/>
    <x v="16"/>
    <n v="-37"/>
    <d v="2026-05-13T00:00:00"/>
    <n v="28800"/>
    <s v="USD"/>
    <x v="1"/>
    <d v="2026-05-13T00:00:00"/>
    <n v="37"/>
    <d v="2026-05-13T00:00:00"/>
    <x v="18"/>
    <n v="28800"/>
    <n v="8"/>
    <s v="0-45"/>
  </r>
  <r>
    <s v="2000001381"/>
    <x v="3"/>
    <s v="1200000643"/>
    <s v="01-0F002-0000286"/>
    <x v="1"/>
    <x v="16"/>
    <n v="-37"/>
    <d v="2026-05-13T00:00:00"/>
    <n v="29300"/>
    <s v="USD"/>
    <x v="1"/>
    <d v="2026-05-13T00:00:00"/>
    <n v="37"/>
    <d v="2026-05-13T00:00:00"/>
    <x v="18"/>
    <n v="29300"/>
    <n v="8"/>
    <s v="0-45"/>
  </r>
  <r>
    <s v="2000001381"/>
    <x v="3"/>
    <s v="1300001607"/>
    <s v="SALDO A FAVOR"/>
    <x v="3"/>
    <x v="17"/>
    <n v="0"/>
    <d v="2026-03-31T00:00:00"/>
    <n v="-13983.01"/>
    <s v="USD"/>
    <x v="1"/>
    <m/>
    <m/>
    <m/>
    <x v="16"/>
    <n v="-13983.01"/>
    <m/>
    <m/>
  </r>
  <r>
    <s v="1000013754"/>
    <x v="4"/>
    <s v="1200000606"/>
    <s v="03-0B001-0004347"/>
    <x v="4"/>
    <x v="17"/>
    <n v="-1"/>
    <d v="2026-04-07T00:00:00"/>
    <n v="771.72"/>
    <s v="PEN"/>
    <x v="0"/>
    <m/>
    <m/>
    <m/>
    <x v="19"/>
    <n v="222.59013556388808"/>
    <m/>
    <m/>
  </r>
  <r>
    <s v="1000013754"/>
    <x v="4"/>
    <s v="1200000607"/>
    <s v="03-0B001-0004348"/>
    <x v="4"/>
    <x v="17"/>
    <n v="-1"/>
    <d v="2026-04-07T00:00:00"/>
    <n v="94.4"/>
    <s v="PEN"/>
    <x v="0"/>
    <m/>
    <m/>
    <m/>
    <x v="20"/>
    <n v="27.228151139313528"/>
    <m/>
    <m/>
  </r>
  <r>
    <s v="2000001361"/>
    <x v="5"/>
    <s v="1200000199"/>
    <s v="01-0F002-0000235"/>
    <x v="1"/>
    <x v="18"/>
    <n v="4"/>
    <d v="2026-04-02T00:00:00"/>
    <n v="77585"/>
    <s v="USD"/>
    <x v="1"/>
    <d v="2026-03-18T00:00:00"/>
    <n v="-6"/>
    <d v="2026-03-31T00:00:00"/>
    <x v="20"/>
    <n v="77585"/>
    <n v="64"/>
    <s v="46-60"/>
  </r>
  <r>
    <s v="2000001398"/>
    <x v="6"/>
    <s v="1300000819"/>
    <s v="FT-0F002-0000252"/>
    <x v="3"/>
    <x v="11"/>
    <n v="37"/>
    <d v="2026-02-28T00:00:00"/>
    <n v="53862.5"/>
    <s v="USD"/>
    <x v="1"/>
    <d v="2026-04-14T00:00:00"/>
    <n v="8"/>
    <d v="2026-04-14T00:00:00"/>
    <x v="21"/>
    <n v="53862.5"/>
    <n v="37"/>
    <s v="0-45"/>
  </r>
  <r>
    <s v="1000000875"/>
    <x v="7"/>
    <s v="1200000678"/>
    <s v="01-0F101-0005630"/>
    <x v="0"/>
    <x v="19"/>
    <n v="2"/>
    <d v="2026-04-04T00:00:00"/>
    <n v="484.04"/>
    <s v="PEN"/>
    <x v="0"/>
    <m/>
    <m/>
    <m/>
    <x v="22"/>
    <n v="139.61349870204788"/>
    <m/>
    <m/>
  </r>
  <r>
    <s v="1000000875"/>
    <x v="7"/>
    <s v="1200000679"/>
    <s v="01-0F101-0005631"/>
    <x v="0"/>
    <x v="19"/>
    <n v="2"/>
    <d v="2026-04-04T00:00:00"/>
    <n v="123.9"/>
    <s v="PEN"/>
    <x v="0"/>
    <m/>
    <m/>
    <m/>
    <x v="22"/>
    <n v="35.736948370349005"/>
    <m/>
    <m/>
  </r>
  <r>
    <s v="1000006830"/>
    <x v="8"/>
    <s v="1200000128"/>
    <s v="01-0F101-0005222"/>
    <x v="0"/>
    <x v="20"/>
    <n v="75"/>
    <d v="2026-01-21T00:00:00"/>
    <n v="231.52"/>
    <s v="PEN"/>
    <x v="0"/>
    <m/>
    <m/>
    <m/>
    <x v="23"/>
    <n v="66.778194404384195"/>
    <m/>
    <m/>
  </r>
  <r>
    <s v="1000006830"/>
    <x v="8"/>
    <s v="1200000129"/>
    <s v="01-0F101-0005223"/>
    <x v="0"/>
    <x v="20"/>
    <n v="75"/>
    <d v="2026-01-21T00:00:00"/>
    <n v="23.6"/>
    <s v="PEN"/>
    <x v="0"/>
    <m/>
    <m/>
    <m/>
    <x v="23"/>
    <n v="6.8070377848283821"/>
    <m/>
    <m/>
  </r>
  <r>
    <s v="1000006830"/>
    <x v="8"/>
    <s v="1200000167"/>
    <s v="01-0F101-0005247"/>
    <x v="0"/>
    <x v="21"/>
    <n v="60"/>
    <d v="2026-02-05T00:00:00"/>
    <n v="251.1"/>
    <s v="PEN"/>
    <x v="0"/>
    <m/>
    <m/>
    <m/>
    <x v="24"/>
    <n v="72.425728295356208"/>
    <m/>
    <m/>
  </r>
  <r>
    <s v="1000006830"/>
    <x v="8"/>
    <s v="1200000168"/>
    <s v="01-0F101-0005248"/>
    <x v="0"/>
    <x v="21"/>
    <n v="60"/>
    <d v="2026-02-05T00:00:00"/>
    <n v="47.2"/>
    <s v="PEN"/>
    <x v="0"/>
    <m/>
    <m/>
    <m/>
    <x v="24"/>
    <n v="13.614075569656764"/>
    <m/>
    <m/>
  </r>
  <r>
    <s v="1000006830"/>
    <x v="8"/>
    <s v="1200000207"/>
    <s v="01-0F101-0005276"/>
    <x v="0"/>
    <x v="22"/>
    <n v="53"/>
    <d v="2026-02-12T00:00:00"/>
    <n v="333.94"/>
    <s v="PEN"/>
    <x v="0"/>
    <m/>
    <m/>
    <m/>
    <x v="25"/>
    <n v="96.319584655321606"/>
    <m/>
    <m/>
  </r>
  <r>
    <s v="1000006830"/>
    <x v="8"/>
    <s v="1200000208"/>
    <s v="01-0F101-0005277"/>
    <x v="0"/>
    <x v="22"/>
    <n v="53"/>
    <d v="2026-02-12T00:00:00"/>
    <n v="47.2"/>
    <s v="PEN"/>
    <x v="0"/>
    <m/>
    <m/>
    <m/>
    <x v="25"/>
    <n v="13.614075569656764"/>
    <m/>
    <m/>
  </r>
  <r>
    <s v="1000006830"/>
    <x v="8"/>
    <s v="1200000466"/>
    <s v="01-0F101-0005480"/>
    <x v="0"/>
    <x v="14"/>
    <n v="9"/>
    <d v="2026-03-28T00:00:00"/>
    <n v="367.07"/>
    <s v="PEN"/>
    <x v="0"/>
    <m/>
    <m/>
    <m/>
    <x v="15"/>
    <n v="105.87539659648111"/>
    <m/>
    <m/>
  </r>
  <r>
    <s v="1000006830"/>
    <x v="8"/>
    <s v="1200000467"/>
    <s v="01-0F101-0005481"/>
    <x v="0"/>
    <x v="14"/>
    <n v="9"/>
    <d v="2026-03-28T00:00:00"/>
    <n v="135.69999999999999"/>
    <s v="PEN"/>
    <x v="0"/>
    <m/>
    <m/>
    <m/>
    <x v="15"/>
    <n v="39.140467262763188"/>
    <m/>
    <m/>
  </r>
  <r>
    <s v="1000006830"/>
    <x v="8"/>
    <s v="1200000489"/>
    <s v="01-0F101-0005498"/>
    <x v="0"/>
    <x v="23"/>
    <n v="7"/>
    <d v="2026-03-30T00:00:00"/>
    <n v="257"/>
    <s v="PEN"/>
    <x v="0"/>
    <m/>
    <m/>
    <m/>
    <x v="26"/>
    <n v="74.127487741563314"/>
    <m/>
    <m/>
  </r>
  <r>
    <s v="1000006830"/>
    <x v="8"/>
    <s v="1200000490"/>
    <s v="01-0F101-0005499"/>
    <x v="0"/>
    <x v="23"/>
    <n v="7"/>
    <d v="2026-03-30T00:00:00"/>
    <n v="35.4"/>
    <s v="PEN"/>
    <x v="0"/>
    <m/>
    <m/>
    <m/>
    <x v="26"/>
    <n v="10.210556677242572"/>
    <m/>
    <m/>
  </r>
  <r>
    <s v="1000006830"/>
    <x v="8"/>
    <s v="1200000503"/>
    <s v="01-0F101-0005507"/>
    <x v="0"/>
    <x v="24"/>
    <n v="6"/>
    <d v="2026-03-31T00:00:00"/>
    <n v="262.67"/>
    <s v="PEN"/>
    <x v="0"/>
    <m/>
    <m/>
    <m/>
    <x v="27"/>
    <n v="75.762907412748774"/>
    <m/>
    <m/>
  </r>
  <r>
    <s v="1000006830"/>
    <x v="8"/>
    <s v="1200000504"/>
    <s v="01-0F101-0005508"/>
    <x v="0"/>
    <x v="24"/>
    <n v="6"/>
    <d v="2026-03-31T00:00:00"/>
    <n v="47.2"/>
    <s v="PEN"/>
    <x v="0"/>
    <m/>
    <m/>
    <m/>
    <x v="28"/>
    <n v="13.614075569656764"/>
    <m/>
    <m/>
  </r>
  <r>
    <s v="1000006830"/>
    <x v="8"/>
    <s v="1200000511"/>
    <s v="01-0F101-0005513"/>
    <x v="0"/>
    <x v="24"/>
    <n v="6"/>
    <d v="2026-03-31T00:00:00"/>
    <n v="181.01"/>
    <s v="PEN"/>
    <x v="0"/>
    <m/>
    <m/>
    <m/>
    <x v="28"/>
    <n v="52.209402942024802"/>
    <m/>
    <m/>
  </r>
  <r>
    <s v="1000006830"/>
    <x v="8"/>
    <s v="1200000512"/>
    <s v="01-0F101-0005514"/>
    <x v="0"/>
    <x v="24"/>
    <n v="6"/>
    <d v="2026-03-31T00:00:00"/>
    <n v="35.4"/>
    <s v="PEN"/>
    <x v="0"/>
    <m/>
    <m/>
    <m/>
    <x v="16"/>
    <n v="10.210556677242572"/>
    <m/>
    <m/>
  </r>
  <r>
    <s v="1000006830"/>
    <x v="8"/>
    <s v="1200000583"/>
    <s v="01-0F101-0005570"/>
    <x v="0"/>
    <x v="15"/>
    <n v="0"/>
    <d v="2026-04-06T00:00:00"/>
    <n v="293.35000000000002"/>
    <s v="PEN"/>
    <x v="0"/>
    <m/>
    <m/>
    <m/>
    <x v="12"/>
    <n v="84.61205653302568"/>
    <m/>
    <m/>
  </r>
  <r>
    <s v="1000006830"/>
    <x v="8"/>
    <s v="1200000584"/>
    <s v="01-0F101-0005571"/>
    <x v="0"/>
    <x v="15"/>
    <n v="0"/>
    <d v="2026-04-06T00:00:00"/>
    <n v="47.2"/>
    <s v="PEN"/>
    <x v="0"/>
    <m/>
    <m/>
    <m/>
    <x v="12"/>
    <n v="13.614075569656764"/>
    <m/>
    <m/>
  </r>
  <r>
    <s v="1000006830"/>
    <x v="8"/>
    <s v="1200000608"/>
    <s v="01-0F101-0005587"/>
    <x v="0"/>
    <x v="17"/>
    <n v="-1"/>
    <d v="2026-04-07T00:00:00"/>
    <n v="670.71"/>
    <s v="PEN"/>
    <x v="0"/>
    <m/>
    <m/>
    <m/>
    <x v="20"/>
    <n v="193.45543697721374"/>
    <m/>
    <m/>
  </r>
  <r>
    <s v="1000006830"/>
    <x v="8"/>
    <s v="1200000609"/>
    <s v="01-0F101-0005588"/>
    <x v="0"/>
    <x v="17"/>
    <n v="-1"/>
    <d v="2026-04-07T00:00:00"/>
    <n v="70.8"/>
    <s v="PEN"/>
    <x v="0"/>
    <m/>
    <m/>
    <m/>
    <x v="20"/>
    <n v="20.421113354485144"/>
    <m/>
    <m/>
  </r>
  <r>
    <s v="1000006830"/>
    <x v="8"/>
    <s v="1200000620"/>
    <s v="01-0F101-0005594"/>
    <x v="0"/>
    <x v="17"/>
    <n v="-1"/>
    <d v="2026-04-07T00:00:00"/>
    <n v="268.10000000000002"/>
    <s v="PEN"/>
    <x v="0"/>
    <m/>
    <m/>
    <m/>
    <x v="20"/>
    <n v="77.329102970868192"/>
    <m/>
    <m/>
  </r>
  <r>
    <s v="1000006830"/>
    <x v="8"/>
    <s v="1200000621"/>
    <s v="01-0F101-0005595"/>
    <x v="0"/>
    <x v="17"/>
    <n v="-1"/>
    <d v="2026-04-07T00:00:00"/>
    <n v="47.2"/>
    <s v="PEN"/>
    <x v="0"/>
    <m/>
    <m/>
    <m/>
    <x v="29"/>
    <n v="13.614075569656764"/>
    <m/>
    <m/>
  </r>
  <r>
    <s v="1000006830"/>
    <x v="8"/>
    <s v="1200000658"/>
    <s v="01-0F101-0005612"/>
    <x v="0"/>
    <x v="25"/>
    <n v="-2"/>
    <d v="2026-04-08T00:00:00"/>
    <n v="1010.32"/>
    <s v="PEN"/>
    <x v="0"/>
    <m/>
    <m/>
    <m/>
    <x v="29"/>
    <n v="291.4104413037208"/>
    <m/>
    <m/>
  </r>
  <r>
    <s v="1000006830"/>
    <x v="8"/>
    <s v="1200000659"/>
    <s v="01-0F101-0005613"/>
    <x v="0"/>
    <x v="25"/>
    <n v="-2"/>
    <d v="2026-04-08T00:00:00"/>
    <n v="94.4"/>
    <s v="PEN"/>
    <x v="0"/>
    <m/>
    <m/>
    <m/>
    <x v="30"/>
    <n v="27.228151139313528"/>
    <m/>
    <m/>
  </r>
  <r>
    <s v="1000006830"/>
    <x v="8"/>
    <s v="1200000671"/>
    <s v="01-0F101-0005623"/>
    <x v="0"/>
    <x v="19"/>
    <n v="-5"/>
    <d v="2026-04-11T00:00:00"/>
    <n v="849.84"/>
    <s v="PEN"/>
    <x v="0"/>
    <m/>
    <m/>
    <m/>
    <x v="31"/>
    <n v="245.12258436688779"/>
    <m/>
    <m/>
  </r>
  <r>
    <s v="1000006830"/>
    <x v="8"/>
    <s v="1200000672"/>
    <s v="01-0F101-0005624"/>
    <x v="0"/>
    <x v="19"/>
    <n v="-5"/>
    <d v="2026-04-11T00:00:00"/>
    <n v="94.4"/>
    <s v="PEN"/>
    <x v="0"/>
    <m/>
    <m/>
    <m/>
    <x v="31"/>
    <n v="27.228151139313528"/>
    <m/>
    <m/>
  </r>
  <r>
    <s v="1000006830"/>
    <x v="8"/>
    <s v="1200000694"/>
    <s v="01-0F101-0005644"/>
    <x v="0"/>
    <x v="26"/>
    <n v="-6"/>
    <d v="2026-04-12T00:00:00"/>
    <n v="188.33"/>
    <s v="PEN"/>
    <x v="0"/>
    <m/>
    <m/>
    <m/>
    <x v="32"/>
    <n v="54.320738390539375"/>
    <m/>
    <m/>
  </r>
  <r>
    <s v="1000006830"/>
    <x v="8"/>
    <s v="1200000695"/>
    <s v="01-0F101-0005645"/>
    <x v="0"/>
    <x v="26"/>
    <n v="-6"/>
    <d v="2026-04-12T00:00:00"/>
    <n v="47.2"/>
    <s v="PEN"/>
    <x v="0"/>
    <m/>
    <m/>
    <m/>
    <x v="32"/>
    <n v="13.614075569656764"/>
    <m/>
    <m/>
  </r>
  <r>
    <s v="2000001172"/>
    <x v="9"/>
    <s v="1300001584"/>
    <s v="FT-0F002-0000264"/>
    <x v="3"/>
    <x v="27"/>
    <n v="22"/>
    <d v="2026-03-15T00:00:00"/>
    <n v="147743.07"/>
    <s v="USD"/>
    <x v="1"/>
    <d v="2026-04-29T00:00:00"/>
    <m/>
    <d v="2026-04-29T00:00:00"/>
    <x v="27"/>
    <n v="147743.07"/>
    <n v="22"/>
    <s v="0-45"/>
  </r>
  <r>
    <s v="2000001172"/>
    <x v="9"/>
    <s v="1200000623"/>
    <s v="01-0F002-0000275"/>
    <x v="1"/>
    <x v="28"/>
    <n v="-36"/>
    <d v="2026-05-12T00:00:00"/>
    <n v="177221.7"/>
    <s v="USD"/>
    <x v="1"/>
    <d v="2026-05-12T00:00:00"/>
    <m/>
    <m/>
    <x v="33"/>
    <n v="177221.7"/>
    <n v="9"/>
    <s v="0-45"/>
  </r>
  <r>
    <s v="2000001173"/>
    <x v="10"/>
    <s v="1200000617"/>
    <s v="01-0F002-0000274"/>
    <x v="1"/>
    <x v="28"/>
    <n v="-36"/>
    <d v="2026-05-12T00:00:00"/>
    <n v="334800"/>
    <s v="USD"/>
    <x v="1"/>
    <d v="2026-05-12T00:00:00"/>
    <m/>
    <m/>
    <x v="33"/>
    <n v="334800"/>
    <n v="9"/>
    <s v="0-45"/>
  </r>
  <r>
    <s v="2000000231"/>
    <x v="11"/>
    <s v="1200000616"/>
    <s v="01-0F002-0000273"/>
    <x v="1"/>
    <x v="28"/>
    <n v="-36"/>
    <d v="2026-05-12T00:00:00"/>
    <n v="669600"/>
    <s v="USD"/>
    <x v="1"/>
    <d v="2026-05-12T00:00:00"/>
    <m/>
    <m/>
    <x v="33"/>
    <n v="669600"/>
    <n v="9"/>
    <s v="0-45"/>
  </r>
  <r>
    <s v="2000001409"/>
    <x v="12"/>
    <s v="1300001581"/>
    <s v="SALDO A FAVOR"/>
    <x v="3"/>
    <x v="12"/>
    <n v="0"/>
    <d v="2026-03-17T00:00:00"/>
    <n v="-7410"/>
    <s v="USD"/>
    <x v="1"/>
    <m/>
    <m/>
    <m/>
    <x v="34"/>
    <n v="-7410"/>
    <m/>
    <m/>
  </r>
  <r>
    <s v="2000001409"/>
    <x v="12"/>
    <s v="1300001598"/>
    <s v="ANTICIPO LONGYUN"/>
    <x v="2"/>
    <x v="29"/>
    <n v="0"/>
    <d v="2026-03-31T00:00:00"/>
    <n v="-35590"/>
    <s v="USD"/>
    <x v="1"/>
    <m/>
    <m/>
    <m/>
    <x v="16"/>
    <n v="-35590"/>
    <m/>
    <m/>
  </r>
  <r>
    <s v="2000001409"/>
    <x v="12"/>
    <s v="1200000631"/>
    <s v="01-0F002-0000279"/>
    <x v="1"/>
    <x v="16"/>
    <n v="-37"/>
    <d v="2026-05-13T00:00:00"/>
    <n v="35553"/>
    <s v="USD"/>
    <x v="1"/>
    <d v="2026-05-13T00:00:00"/>
    <m/>
    <m/>
    <x v="12"/>
    <n v="35553"/>
    <n v="8"/>
    <s v="0-45"/>
  </r>
  <r>
    <s v="6002007"/>
    <x v="13"/>
    <s v="1200005141"/>
    <s v="01-0F101-0004638"/>
    <x v="0"/>
    <x v="30"/>
    <n v="147"/>
    <d v="2025-11-10T00:00:00"/>
    <n v="1403.26"/>
    <s v="PEN"/>
    <x v="0"/>
    <m/>
    <m/>
    <m/>
    <x v="29"/>
    <n v="404.74762042111337"/>
    <m/>
    <m/>
  </r>
  <r>
    <s v="6002007"/>
    <x v="13"/>
    <s v="1200005142"/>
    <s v="01-0F101-0004639"/>
    <x v="0"/>
    <x v="30"/>
    <n v="147"/>
    <d v="2025-11-10T00:00:00"/>
    <n v="141.6"/>
    <s v="PEN"/>
    <x v="0"/>
    <m/>
    <m/>
    <m/>
    <x v="35"/>
    <n v="40.842226708970287"/>
    <m/>
    <m/>
  </r>
  <r>
    <s v="6002007"/>
    <x v="13"/>
    <s v="1200005158"/>
    <s v="01-0F101-0004653"/>
    <x v="0"/>
    <x v="31"/>
    <n v="144"/>
    <d v="2025-11-13T00:00:00"/>
    <n v="1193.22"/>
    <s v="PEN"/>
    <x v="0"/>
    <m/>
    <m/>
    <m/>
    <x v="35"/>
    <n v="344.16498413614073"/>
    <m/>
    <m/>
  </r>
  <r>
    <s v="6002007"/>
    <x v="13"/>
    <s v="1200005159"/>
    <s v="01-0F101-0004654"/>
    <x v="0"/>
    <x v="31"/>
    <n v="144"/>
    <d v="2025-11-13T00:00:00"/>
    <n v="106.2"/>
    <s v="PEN"/>
    <x v="0"/>
    <m/>
    <m/>
    <m/>
    <x v="36"/>
    <n v="30.631670031727719"/>
    <m/>
    <m/>
  </r>
  <r>
    <s v="2000001359"/>
    <x v="14"/>
    <s v="1200000644"/>
    <s v="01-0F002-0000287"/>
    <x v="1"/>
    <x v="16"/>
    <n v="-37"/>
    <d v="2026-05-13T00:00:00"/>
    <n v="76700"/>
    <s v="USD"/>
    <x v="1"/>
    <d v="2026-05-13T00:00:00"/>
    <m/>
    <m/>
    <x v="18"/>
    <n v="76700"/>
    <n v="8"/>
    <s v="0-45"/>
  </r>
  <r>
    <s v="2000001369"/>
    <x v="15"/>
    <s v="1300001595"/>
    <s v="FT-0F002-0000256"/>
    <x v="3"/>
    <x v="32"/>
    <n v="30"/>
    <d v="2026-03-07T00:00:00"/>
    <n v="40636"/>
    <s v="USD"/>
    <x v="1"/>
    <d v="2026-04-21T00:00:00"/>
    <n v="15"/>
    <d v="2026-04-21T00:00:00"/>
    <x v="29"/>
    <n v="40636"/>
    <n v="30"/>
    <s v="0-45"/>
  </r>
  <r>
    <s v="2000001369"/>
    <x v="15"/>
    <s v="1300001596"/>
    <s v="FT-0F002-0000257"/>
    <x v="3"/>
    <x v="32"/>
    <n v="30"/>
    <d v="2026-03-07T00:00:00"/>
    <n v="40736"/>
    <s v="USD"/>
    <x v="1"/>
    <d v="2026-04-21T00:00:00"/>
    <n v="15"/>
    <d v="2026-04-21T00:00:00"/>
    <x v="29"/>
    <n v="40736"/>
    <n v="30"/>
    <s v="0-45"/>
  </r>
  <r>
    <s v="2000001369"/>
    <x v="15"/>
    <s v="1300001604"/>
    <s v="SALDO A FAVOR"/>
    <x v="3"/>
    <x v="33"/>
    <n v="0"/>
    <d v="2026-03-26T00:00:00"/>
    <n v="-20590"/>
    <s v="USD"/>
    <x v="1"/>
    <m/>
    <m/>
    <m/>
    <x v="14"/>
    <n v="-20590"/>
    <m/>
    <m/>
  </r>
  <r>
    <s v="1000013925"/>
    <x v="16"/>
    <s v="1300006898"/>
    <s v="FT-0F003-0000101"/>
    <x v="3"/>
    <x v="34"/>
    <n v="167"/>
    <d v="2025-10-21T00:00:00"/>
    <n v="4460"/>
    <s v="PEN"/>
    <x v="2"/>
    <m/>
    <m/>
    <m/>
    <x v="37"/>
    <n v="1286.4147678107875"/>
    <m/>
    <m/>
  </r>
  <r>
    <s v="1000013925"/>
    <x v="16"/>
    <s v="1200005124"/>
    <s v="01-0F003-0000129"/>
    <x v="0"/>
    <x v="35"/>
    <n v="146"/>
    <d v="2025-11-11T00:00:00"/>
    <n v="7097.98"/>
    <s v="PEN"/>
    <x v="2"/>
    <m/>
    <m/>
    <m/>
    <x v="38"/>
    <n v="2047.2973752523794"/>
    <m/>
    <m/>
  </r>
  <r>
    <s v="1000013925"/>
    <x v="16"/>
    <s v="1200000182"/>
    <s v="01-0F003-0000168"/>
    <x v="0"/>
    <x v="36"/>
    <n v="58"/>
    <d v="2026-02-07T00:00:00"/>
    <n v="4003.46"/>
    <s v="PEN"/>
    <x v="2"/>
    <m/>
    <m/>
    <m/>
    <x v="39"/>
    <n v="1154.7331987308912"/>
    <m/>
    <m/>
  </r>
  <r>
    <s v="1000013925"/>
    <x v="16"/>
    <s v="1200000382"/>
    <s v="01-0F003-0000174"/>
    <x v="0"/>
    <x v="37"/>
    <n v="27"/>
    <d v="2026-03-10T00:00:00"/>
    <n v="4956"/>
    <s v="PEN"/>
    <x v="2"/>
    <m/>
    <m/>
    <m/>
    <x v="40"/>
    <n v="1429.4779348139602"/>
    <m/>
    <m/>
  </r>
  <r>
    <s v="1000015185"/>
    <x v="17"/>
    <s v="1200000593"/>
    <s v="01-0F101-0005578"/>
    <x v="0"/>
    <x v="17"/>
    <n v="-1"/>
    <d v="2026-04-07T00:00:00"/>
    <n v="643.95000000000005"/>
    <s v="PEN"/>
    <x v="0"/>
    <m/>
    <m/>
    <m/>
    <x v="20"/>
    <n v="185.73694837034901"/>
    <m/>
    <m/>
  </r>
  <r>
    <s v="1000015185"/>
    <x v="17"/>
    <s v="1200000594"/>
    <s v="01-0F101-0005579"/>
    <x v="0"/>
    <x v="17"/>
    <n v="-1"/>
    <d v="2026-04-07T00:00:00"/>
    <n v="194.7"/>
    <s v="PEN"/>
    <x v="0"/>
    <m/>
    <m/>
    <m/>
    <x v="29"/>
    <n v="56.158061724834148"/>
    <m/>
    <m/>
  </r>
  <r>
    <s v="1000015185"/>
    <x v="17"/>
    <s v="1200000628"/>
    <s v="01-0F101-0005599"/>
    <x v="0"/>
    <x v="17"/>
    <n v="-1"/>
    <d v="2026-04-07T00:00:00"/>
    <n v="376.33"/>
    <s v="PEN"/>
    <x v="0"/>
    <m/>
    <m/>
    <m/>
    <x v="29"/>
    <n v="108.54629362561292"/>
    <m/>
    <m/>
  </r>
  <r>
    <s v="1000015185"/>
    <x v="17"/>
    <s v="1200000629"/>
    <s v="01-0F101-0005600"/>
    <x v="0"/>
    <x v="17"/>
    <n v="-1"/>
    <d v="2026-04-07T00:00:00"/>
    <n v="153.4"/>
    <s v="PEN"/>
    <x v="0"/>
    <m/>
    <m/>
    <m/>
    <x v="10"/>
    <n v="44.245745601384485"/>
    <m/>
    <m/>
  </r>
  <r>
    <s v="1000015185"/>
    <x v="17"/>
    <s v="1200000689"/>
    <s v="01-0F101-0005641"/>
    <x v="0"/>
    <x v="19"/>
    <n v="-5"/>
    <d v="2026-04-11T00:00:00"/>
    <n v="1053.98"/>
    <s v="PEN"/>
    <x v="0"/>
    <m/>
    <m/>
    <m/>
    <x v="10"/>
    <n v="304.00346120565331"/>
    <m/>
    <m/>
  </r>
  <r>
    <s v="1000015185"/>
    <x v="17"/>
    <s v="1200000690"/>
    <s v="01-0F101-0005642"/>
    <x v="0"/>
    <x v="19"/>
    <n v="-5"/>
    <d v="2026-04-11T00:00:00"/>
    <n v="348.1"/>
    <s v="PEN"/>
    <x v="0"/>
    <m/>
    <m/>
    <m/>
    <x v="31"/>
    <n v="100.40380732621864"/>
    <m/>
    <m/>
  </r>
  <r>
    <s v="2000001411"/>
    <x v="18"/>
    <s v="1300001585"/>
    <s v="FT-0F002-0000260"/>
    <x v="3"/>
    <x v="32"/>
    <n v="30"/>
    <d v="2026-03-07T00:00:00"/>
    <n v="156680"/>
    <s v="USD"/>
    <x v="1"/>
    <d v="2026-04-21T00:00:00"/>
    <n v="15"/>
    <d v="2026-04-21T00:00:00"/>
    <x v="29"/>
    <n v="156680"/>
    <n v="30"/>
    <s v="0-45"/>
  </r>
  <r>
    <s v="2000001411"/>
    <x v="18"/>
    <s v="1300001586"/>
    <s v="FT-0F002-0000267"/>
    <x v="3"/>
    <x v="38"/>
    <n v="19"/>
    <d v="2026-03-18T00:00:00"/>
    <n v="125360"/>
    <s v="USD"/>
    <x v="1"/>
    <d v="2026-05-02T00:00:00"/>
    <m/>
    <d v="2026-05-02T00:00:00"/>
    <x v="35"/>
    <n v="125360"/>
    <n v="19"/>
    <s v="0-45"/>
  </r>
  <r>
    <s v="2000000267"/>
    <x v="19"/>
    <s v="1300001587"/>
    <s v="FT-0F002-0000265"/>
    <x v="3"/>
    <x v="38"/>
    <n v="19"/>
    <d v="2026-03-18T00:00:00"/>
    <n v="31275"/>
    <s v="USD"/>
    <x v="1"/>
    <d v="2026-05-02T00:00:00"/>
    <m/>
    <d v="2026-05-02T00:00:00"/>
    <x v="35"/>
    <n v="31275"/>
    <n v="19"/>
    <s v="0-45"/>
  </r>
  <r>
    <s v="6000434"/>
    <x v="20"/>
    <s v="1200004540"/>
    <s v="01-0F003-0000083"/>
    <x v="0"/>
    <x v="39"/>
    <n v="174"/>
    <d v="2025-10-14T00:00:00"/>
    <n v="790"/>
    <s v="PEN"/>
    <x v="3"/>
    <m/>
    <m/>
    <m/>
    <x v="28"/>
    <n v="227.86270550908566"/>
    <m/>
    <m/>
  </r>
  <r>
    <s v="1000001607"/>
    <x v="21"/>
    <s v="1200000640"/>
    <s v="01-0F003-0000179"/>
    <x v="0"/>
    <x v="17"/>
    <n v="3"/>
    <d v="2026-04-03T00:00:00"/>
    <n v="21201.77"/>
    <s v="PEN"/>
    <x v="4"/>
    <m/>
    <m/>
    <m/>
    <x v="41"/>
    <n v="6115.3071820017303"/>
    <m/>
    <m/>
  </r>
  <r>
    <s v="1000001607"/>
    <x v="21"/>
    <s v="1200000645"/>
    <s v="01-0F003-0000180"/>
    <x v="0"/>
    <x v="17"/>
    <n v="3"/>
    <d v="2026-04-03T00:00:00"/>
    <n v="41169.49"/>
    <s v="PEN"/>
    <x v="4"/>
    <m/>
    <m/>
    <m/>
    <x v="41"/>
    <n v="11874.672627631957"/>
    <m/>
    <m/>
  </r>
  <r>
    <s v="2000001410"/>
    <x v="22"/>
    <s v="1300000822"/>
    <s v="FT-0F002-0000254"/>
    <x v="3"/>
    <x v="11"/>
    <n v="37"/>
    <d v="2026-02-28T00:00:00"/>
    <n v="73490"/>
    <s v="USD"/>
    <x v="1"/>
    <d v="2026-04-14T00:00:00"/>
    <n v="8"/>
    <d v="2026-04-14T00:00:00"/>
    <x v="21"/>
    <n v="73490"/>
    <n v="37"/>
    <s v="0-45"/>
  </r>
  <r>
    <s v="1000001965"/>
    <x v="23"/>
    <s v="1200000523"/>
    <s v="01-0F101-0005525"/>
    <x v="0"/>
    <x v="40"/>
    <n v="5"/>
    <d v="2026-04-01T00:00:00"/>
    <n v="590"/>
    <s v="PEN"/>
    <x v="0"/>
    <m/>
    <m/>
    <m/>
    <x v="42"/>
    <n v="170.17594462070954"/>
    <m/>
    <m/>
  </r>
  <r>
    <s v="1000001965"/>
    <x v="23"/>
    <s v="1200000573"/>
    <s v="01-0F101-0005561"/>
    <x v="0"/>
    <x v="28"/>
    <n v="2"/>
    <d v="2026-04-04T00:00:00"/>
    <n v="590"/>
    <s v="PEN"/>
    <x v="0"/>
    <m/>
    <m/>
    <m/>
    <x v="22"/>
    <n v="170.17594462070954"/>
    <m/>
    <m/>
  </r>
  <r>
    <s v="1000001965"/>
    <x v="23"/>
    <s v="1200000618"/>
    <s v="01-0F101-0005593"/>
    <x v="0"/>
    <x v="17"/>
    <n v="-1"/>
    <d v="2026-04-07T00:00:00"/>
    <n v="590"/>
    <s v="PEN"/>
    <x v="0"/>
    <m/>
    <m/>
    <m/>
    <x v="20"/>
    <n v="170.17594462070954"/>
    <m/>
    <m/>
  </r>
  <r>
    <s v="1000001965"/>
    <x v="23"/>
    <s v="1200000669"/>
    <s v="01-0F101-0005621"/>
    <x v="0"/>
    <x v="19"/>
    <n v="-5"/>
    <d v="2026-04-11T00:00:00"/>
    <n v="590"/>
    <s v="PEN"/>
    <x v="0"/>
    <m/>
    <m/>
    <m/>
    <x v="31"/>
    <n v="170.17594462070954"/>
    <m/>
    <m/>
  </r>
  <r>
    <s v="1000001965"/>
    <x v="23"/>
    <s v="1200000691"/>
    <s v="01-0F101-0005643"/>
    <x v="0"/>
    <x v="19"/>
    <n v="-5"/>
    <d v="2026-04-11T00:00:00"/>
    <n v="590"/>
    <s v="PEN"/>
    <x v="0"/>
    <m/>
    <m/>
    <m/>
    <x v="31"/>
    <n v="170.17594462070954"/>
    <m/>
    <m/>
  </r>
  <r>
    <s v="2000001418"/>
    <x v="24"/>
    <s v="1200000646"/>
    <s v="01-0F002-0000288"/>
    <x v="1"/>
    <x v="15"/>
    <n v="-38"/>
    <d v="2026-05-14T00:00:00"/>
    <n v="70200"/>
    <s v="USD"/>
    <x v="1"/>
    <d v="2026-05-14T00:00:00"/>
    <m/>
    <m/>
    <x v="43"/>
    <n v="70200"/>
    <m/>
    <m/>
  </r>
  <r>
    <s v="1000013801"/>
    <x v="25"/>
    <s v="1200000667"/>
    <s v="01-0F101-0005619"/>
    <x v="0"/>
    <x v="19"/>
    <n v="-5"/>
    <d v="2026-04-11T00:00:00"/>
    <n v="593.29999999999995"/>
    <s v="PEN"/>
    <x v="0"/>
    <m/>
    <m/>
    <m/>
    <x v="31"/>
    <n v="171.12777617536773"/>
    <m/>
    <m/>
  </r>
  <r>
    <s v="1000013801"/>
    <x v="25"/>
    <s v="1200000668"/>
    <s v="01-0F101-0005620"/>
    <x v="0"/>
    <x v="19"/>
    <n v="-5"/>
    <d v="2026-04-11T00:00:00"/>
    <n v="123.9"/>
    <s v="PEN"/>
    <x v="0"/>
    <m/>
    <m/>
    <m/>
    <x v="31"/>
    <n v="35.736948370349005"/>
    <m/>
    <m/>
  </r>
  <r>
    <s v="1000013794"/>
    <x v="26"/>
    <s v="1300005699"/>
    <s v="FT-0F101-0004285"/>
    <x v="2"/>
    <x v="41"/>
    <n v="176"/>
    <d v="2025-10-12T00:00:00"/>
    <n v="56.64"/>
    <s v="PEN"/>
    <x v="0"/>
    <m/>
    <m/>
    <m/>
    <x v="44"/>
    <n v="16.336890683588116"/>
    <m/>
    <m/>
  </r>
  <r>
    <s v="1000013686"/>
    <x v="27"/>
    <s v="1200000557"/>
    <s v="01-0F101-0005550"/>
    <x v="0"/>
    <x v="29"/>
    <n v="3"/>
    <d v="2026-04-03T00:00:00"/>
    <n v="424.8"/>
    <s v="PEN"/>
    <x v="0"/>
    <m/>
    <m/>
    <m/>
    <x v="41"/>
    <n v="122.52668012691088"/>
    <m/>
    <m/>
  </r>
  <r>
    <s v="1000013686"/>
    <x v="27"/>
    <s v="1200000568"/>
    <s v="01-0F101-0005560"/>
    <x v="0"/>
    <x v="28"/>
    <n v="2"/>
    <d v="2026-04-04T00:00:00"/>
    <n v="849.6"/>
    <s v="PEN"/>
    <x v="0"/>
    <m/>
    <m/>
    <m/>
    <x v="22"/>
    <n v="245.05336025382175"/>
    <m/>
    <m/>
  </r>
  <r>
    <s v="1000013686"/>
    <x v="27"/>
    <s v="1200000660"/>
    <s v="01-0F101-0005614"/>
    <x v="0"/>
    <x v="25"/>
    <n v="-2"/>
    <d v="2026-04-08T00:00:00"/>
    <n v="1699.2"/>
    <s v="PEN"/>
    <x v="0"/>
    <m/>
    <m/>
    <m/>
    <x v="30"/>
    <n v="490.1067205076435"/>
    <m/>
    <m/>
  </r>
  <r>
    <s v="2000000786"/>
    <x v="28"/>
    <s v="1200000422"/>
    <s v="01-0F002-0000261"/>
    <x v="1"/>
    <x v="42"/>
    <n v="-18"/>
    <d v="2026-04-24T00:00:00"/>
    <n v="76800"/>
    <s v="USD"/>
    <x v="1"/>
    <d v="2026-04-24T00:00:00"/>
    <n v="18"/>
    <d v="2026-04-24T00:00:00"/>
    <x v="10"/>
    <n v="76800"/>
    <n v="27"/>
    <s v="0-45"/>
  </r>
  <r>
    <s v="2000000786"/>
    <x v="28"/>
    <s v="1200000423"/>
    <s v="01-0F002-0000262"/>
    <x v="1"/>
    <x v="42"/>
    <n v="-18"/>
    <d v="2026-04-24T00:00:00"/>
    <n v="186880"/>
    <s v="USD"/>
    <x v="1"/>
    <d v="2026-04-24T00:00:00"/>
    <n v="18"/>
    <d v="2026-04-24T00:00:00"/>
    <x v="10"/>
    <n v="186880"/>
    <n v="27"/>
    <s v="0-45"/>
  </r>
  <r>
    <s v="2000000786"/>
    <x v="28"/>
    <s v="1200000455"/>
    <s v="01-0F002-0000266"/>
    <x v="1"/>
    <x v="38"/>
    <n v="-26"/>
    <d v="2026-05-02T00:00:00"/>
    <n v="216000"/>
    <s v="USD"/>
    <x v="1"/>
    <d v="2026-05-02T00:00:00"/>
    <n v="26"/>
    <d v="2026-05-02T00:00:00"/>
    <x v="35"/>
    <n v="216000"/>
    <n v="19"/>
    <s v="0-45"/>
  </r>
  <r>
    <s v="2000000786"/>
    <x v="28"/>
    <s v="1200000614"/>
    <s v="01-0F002-0000271"/>
    <x v="1"/>
    <x v="28"/>
    <n v="-36"/>
    <d v="2026-05-12T00:00:00"/>
    <n v="76800"/>
    <s v="USD"/>
    <x v="1"/>
    <d v="2026-05-12T00:00:00"/>
    <m/>
    <m/>
    <x v="33"/>
    <n v="76800"/>
    <n v="9"/>
    <s v="0-45"/>
  </r>
  <r>
    <s v="2000000786"/>
    <x v="28"/>
    <s v="1200000615"/>
    <s v="01-0F002-0000272"/>
    <x v="1"/>
    <x v="28"/>
    <n v="-36"/>
    <d v="2026-05-12T00:00:00"/>
    <n v="86240"/>
    <s v="USD"/>
    <x v="1"/>
    <d v="2026-05-12T00:00:00"/>
    <m/>
    <m/>
    <x v="33"/>
    <n v="86240"/>
    <n v="9"/>
    <s v="0-45"/>
  </r>
  <r>
    <s v="2000000786"/>
    <x v="28"/>
    <s v="1200000624"/>
    <s v="01-0F002-0000276"/>
    <x v="1"/>
    <x v="28"/>
    <n v="-36"/>
    <d v="2026-05-12T00:00:00"/>
    <n v="57600"/>
    <s v="USD"/>
    <x v="1"/>
    <d v="2026-05-12T00:00:00"/>
    <m/>
    <m/>
    <x v="33"/>
    <n v="57600"/>
    <n v="9"/>
    <s v="0-45"/>
  </r>
  <r>
    <s v="2000000786"/>
    <x v="28"/>
    <s v="1200000625"/>
    <s v="01-0F002-0000277"/>
    <x v="1"/>
    <x v="28"/>
    <n v="-36"/>
    <d v="2026-05-12T00:00:00"/>
    <n v="129600"/>
    <s v="USD"/>
    <x v="1"/>
    <d v="2026-05-12T00:00:00"/>
    <m/>
    <m/>
    <x v="33"/>
    <n v="129600"/>
    <n v="9"/>
    <s v="0-45"/>
  </r>
  <r>
    <s v="2000000786"/>
    <x v="28"/>
    <s v="1200000630"/>
    <s v="01-0F002-0000278"/>
    <x v="1"/>
    <x v="16"/>
    <n v="-37"/>
    <d v="2026-05-13T00:00:00"/>
    <n v="67200"/>
    <s v="USD"/>
    <x v="1"/>
    <d v="2026-05-13T00:00:00"/>
    <m/>
    <m/>
    <x v="18"/>
    <n v="67200"/>
    <n v="8"/>
    <s v="0-45"/>
  </r>
  <r>
    <s v="2000000786"/>
    <x v="28"/>
    <s v="1200000632"/>
    <s v="01-0F002-0000280"/>
    <x v="1"/>
    <x v="16"/>
    <n v="-37"/>
    <d v="2026-05-13T00:00:00"/>
    <n v="72960"/>
    <s v="USD"/>
    <x v="1"/>
    <d v="2026-05-13T00:00:00"/>
    <m/>
    <m/>
    <x v="18"/>
    <n v="72960"/>
    <n v="8"/>
    <s v="0-45"/>
  </r>
  <r>
    <s v="2000001069"/>
    <x v="29"/>
    <s v="1300001606"/>
    <s v="ANTICIPO YANTAIT"/>
    <x v="2"/>
    <x v="12"/>
    <n v="0"/>
    <d v="2026-03-31T00:00:00"/>
    <n v="-84100"/>
    <s v="USD"/>
    <x v="1"/>
    <m/>
    <m/>
    <m/>
    <x v="28"/>
    <n v="-841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55E2B-7D0E-46FC-ADBF-266C2141B42F}" name="TablaDinámica1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U23" firstHeaderRow="1" firstDataRow="3" firstDataCol="1" rowPageCount="2" colPageCount="1"/>
  <pivotFields count="24">
    <pivotField showAll="0"/>
    <pivotField axis="axisRow" showAll="0">
      <items count="31">
        <item x="0"/>
        <item x="1"/>
        <item x="2"/>
        <item x="3"/>
        <item x="5"/>
        <item x="6"/>
        <item x="8"/>
        <item x="9"/>
        <item x="12"/>
        <item x="13"/>
        <item x="15"/>
        <item x="16"/>
        <item x="17"/>
        <item x="18"/>
        <item x="19"/>
        <item x="20"/>
        <item x="22"/>
        <item x="23"/>
        <item x="25"/>
        <item x="26"/>
        <item x="27"/>
        <item x="28"/>
        <item x="4"/>
        <item x="7"/>
        <item x="10"/>
        <item x="11"/>
        <item x="14"/>
        <item x="21"/>
        <item x="24"/>
        <item x="29"/>
        <item t="default"/>
      </items>
    </pivotField>
    <pivotField showAll="0"/>
    <pivotField showAll="0"/>
    <pivotField axis="axisPage" multipleItemSelectionAllowed="1" showAll="0">
      <items count="6">
        <item x="1"/>
        <item x="0"/>
        <item x="2"/>
        <item x="3"/>
        <item x="4"/>
        <item t="default"/>
      </items>
    </pivotField>
    <pivotField numFmtId="14" showAll="0">
      <items count="44">
        <item x="39"/>
        <item x="41"/>
        <item x="34"/>
        <item x="30"/>
        <item x="35"/>
        <item x="31"/>
        <item x="0"/>
        <item x="1"/>
        <item x="2"/>
        <item x="3"/>
        <item x="4"/>
        <item x="5"/>
        <item x="6"/>
        <item x="7"/>
        <item x="20"/>
        <item x="8"/>
        <item x="9"/>
        <item x="21"/>
        <item x="36"/>
        <item x="18"/>
        <item x="22"/>
        <item x="10"/>
        <item x="11"/>
        <item x="37"/>
        <item x="32"/>
        <item x="42"/>
        <item x="27"/>
        <item x="12"/>
        <item x="38"/>
        <item x="13"/>
        <item x="14"/>
        <item x="23"/>
        <item x="24"/>
        <item x="40"/>
        <item x="33"/>
        <item x="29"/>
        <item x="28"/>
        <item x="15"/>
        <item x="17"/>
        <item x="16"/>
        <item x="19"/>
        <item x="25"/>
        <item x="26"/>
        <item t="default"/>
      </items>
    </pivotField>
    <pivotField numFmtId="3" showAll="0"/>
    <pivotField numFmtId="14" showAll="0"/>
    <pivotField dataField="1" numFmtId="4" showAll="0"/>
    <pivotField showAll="0"/>
    <pivotField axis="axisPage" multipleItemSelectionAllowed="1" showAll="0">
      <items count="6">
        <item h="1" x="2"/>
        <item x="1"/>
        <item h="1" x="0"/>
        <item h="1" x="3"/>
        <item h="1" x="4"/>
        <item t="default"/>
      </items>
    </pivotField>
    <pivotField showAll="0"/>
    <pivotField showAll="0"/>
    <pivotField showAll="0"/>
    <pivotField axis="axisCol" showAll="0">
      <items count="46">
        <item x="44"/>
        <item x="37"/>
        <item x="38"/>
        <item x="36"/>
        <item x="0"/>
        <item x="1"/>
        <item x="2"/>
        <item x="3"/>
        <item x="4"/>
        <item x="5"/>
        <item x="6"/>
        <item x="7"/>
        <item x="23"/>
        <item x="8"/>
        <item x="9"/>
        <item x="24"/>
        <item x="39"/>
        <item x="25"/>
        <item x="40"/>
        <item x="13"/>
        <item x="34"/>
        <item x="14"/>
        <item x="15"/>
        <item x="26"/>
        <item x="16"/>
        <item x="42"/>
        <item x="41"/>
        <item x="22"/>
        <item x="12"/>
        <item x="20"/>
        <item x="11"/>
        <item x="21"/>
        <item x="29"/>
        <item x="10"/>
        <item x="27"/>
        <item x="35"/>
        <item x="17"/>
        <item x="28"/>
        <item x="19"/>
        <item x="30"/>
        <item x="31"/>
        <item x="32"/>
        <item x="33"/>
        <item x="18"/>
        <item x="43"/>
        <item t="default"/>
      </items>
    </pivotField>
    <pivotField showAll="0"/>
    <pivotField showAll="0"/>
    <pivotField showAll="0"/>
    <pivotField axis="axisCol" showAll="0">
      <items count="15">
        <item sd="0" x="0"/>
        <item sd="0" x="1"/>
        <item sd="0"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5"/>
        <item x="0"/>
        <item t="default"/>
      </items>
    </pivotField>
    <pivotField showAll="0">
      <items count="5">
        <item sd="0" x="1"/>
        <item sd="0" x="2"/>
        <item x="3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1"/>
  </rowFields>
  <rowItems count="17">
    <i>
      <x v="1"/>
    </i>
    <i>
      <x v="3"/>
    </i>
    <i>
      <x v="4"/>
    </i>
    <i>
      <x v="5"/>
    </i>
    <i>
      <x v="7"/>
    </i>
    <i>
      <x v="8"/>
    </i>
    <i>
      <x v="10"/>
    </i>
    <i>
      <x v="13"/>
    </i>
    <i>
      <x v="14"/>
    </i>
    <i>
      <x v="16"/>
    </i>
    <i>
      <x v="21"/>
    </i>
    <i>
      <x v="24"/>
    </i>
    <i>
      <x v="25"/>
    </i>
    <i>
      <x v="26"/>
    </i>
    <i>
      <x v="28"/>
    </i>
    <i>
      <x v="29"/>
    </i>
    <i t="grand">
      <x/>
    </i>
  </rowItems>
  <colFields count="2">
    <field x="18"/>
    <field x="14"/>
  </colFields>
  <colItems count="20">
    <i>
      <x/>
    </i>
    <i>
      <x v="3"/>
      <x v="20"/>
    </i>
    <i r="1">
      <x v="21"/>
    </i>
    <i r="1">
      <x v="24"/>
    </i>
    <i t="default">
      <x v="3"/>
    </i>
    <i>
      <x v="4"/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t="default">
      <x v="4"/>
    </i>
    <i>
      <x v="5"/>
      <x v="35"/>
    </i>
    <i r="1">
      <x v="36"/>
    </i>
    <i r="1">
      <x v="42"/>
    </i>
    <i r="1">
      <x v="43"/>
    </i>
    <i r="1">
      <x v="44"/>
    </i>
    <i t="default">
      <x v="5"/>
    </i>
    <i t="grand">
      <x/>
    </i>
  </colItems>
  <pageFields count="2">
    <pageField fld="4" hier="-1"/>
    <pageField fld="10" hier="-1"/>
  </pageFields>
  <dataFields count="1">
    <dataField name="Suma de Importe en moneda doc." fld="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6F917-027C-43FA-99F6-146BAE156B32}" name="TablaDinámica2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43" firstHeaderRow="1" firstDataRow="1" firstDataCol="1" rowPageCount="3" colPageCount="1"/>
  <pivotFields count="24">
    <pivotField showAll="0"/>
    <pivotField axis="axisRow" showAll="0">
      <items count="28">
        <item x="0"/>
        <item x="1"/>
        <item x="2"/>
        <item x="3"/>
        <item x="5"/>
        <item x="6"/>
        <item x="8"/>
        <item x="9"/>
        <item x="12"/>
        <item x="13"/>
        <item x="15"/>
        <item x="16"/>
        <item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x="4"/>
        <item x="7"/>
        <item x="10"/>
        <item x="11"/>
        <item x="14"/>
        <item t="default"/>
      </items>
    </pivotField>
    <pivotField showAll="0"/>
    <pivotField axis="axisRow" showAll="0">
      <items count="124">
        <item x="37"/>
        <item x="17"/>
        <item x="18"/>
        <item m="1" x="90"/>
        <item x="19"/>
        <item x="20"/>
        <item x="21"/>
        <item m="1" x="98"/>
        <item m="1" x="99"/>
        <item m="1" x="118"/>
        <item m="1" x="119"/>
        <item m="1" x="120"/>
        <item m="1" x="121"/>
        <item m="1" x="122"/>
        <item m="1" x="91"/>
        <item m="1" x="92"/>
        <item x="27"/>
        <item m="1" x="109"/>
        <item x="81"/>
        <item x="82"/>
        <item x="83"/>
        <item x="73"/>
        <item x="74"/>
        <item x="75"/>
        <item x="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41"/>
        <item x="42"/>
        <item x="14"/>
        <item x="15"/>
        <item x="16"/>
        <item x="43"/>
        <item x="44"/>
        <item x="45"/>
        <item x="46"/>
        <item m="1" x="100"/>
        <item m="1" x="101"/>
        <item x="22"/>
        <item x="23"/>
        <item x="47"/>
        <item x="48"/>
        <item x="24"/>
        <item m="1" x="102"/>
        <item m="1" x="103"/>
        <item x="49"/>
        <item x="50"/>
        <item x="51"/>
        <item x="52"/>
        <item x="53"/>
        <item x="54"/>
        <item m="1" x="113"/>
        <item m="1" x="114"/>
        <item m="1" x="111"/>
        <item m="1" x="104"/>
        <item m="1" x="105"/>
        <item m="1" x="116"/>
        <item m="1" x="117"/>
        <item m="1" x="112"/>
        <item x="25"/>
        <item x="55"/>
        <item x="56"/>
        <item x="84"/>
        <item x="85"/>
        <item m="1" x="93"/>
        <item x="26"/>
        <item m="1" x="95"/>
        <item m="1" x="94"/>
        <item m="1" x="96"/>
        <item m="1" x="97"/>
        <item x="38"/>
        <item m="1" x="110"/>
        <item m="1" x="106"/>
        <item x="67"/>
        <item m="1" x="108"/>
        <item m="1" x="107"/>
        <item x="80"/>
        <item m="1" x="115"/>
        <item x="34"/>
        <item x="28"/>
        <item x="29"/>
        <item x="30"/>
        <item x="31"/>
        <item x="32"/>
        <item x="33"/>
        <item x="35"/>
        <item x="36"/>
        <item x="39"/>
        <item x="40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7"/>
        <item x="78"/>
        <item x="79"/>
        <item x="86"/>
        <item x="87"/>
        <item x="88"/>
        <item x="89"/>
        <item t="default"/>
      </items>
    </pivotField>
    <pivotField axis="axisPage" showAll="0">
      <items count="8">
        <item m="1" x="6"/>
        <item m="1" x="5"/>
        <item x="1"/>
        <item x="0"/>
        <item x="2"/>
        <item x="3"/>
        <item x="4"/>
        <item t="default"/>
      </items>
    </pivotField>
    <pivotField axis="axisPage" numFmtId="14" multipleItemSelectionAllowed="1" showAll="0">
      <items count="51">
        <item m="1" x="40"/>
        <item m="1" x="45"/>
        <item m="1" x="47"/>
        <item x="34"/>
        <item x="30"/>
        <item x="35"/>
        <item x="31"/>
        <item x="0"/>
        <item x="1"/>
        <item x="2"/>
        <item x="3"/>
        <item x="4"/>
        <item x="5"/>
        <item x="6"/>
        <item x="7"/>
        <item x="20"/>
        <item x="8"/>
        <item x="9"/>
        <item x="21"/>
        <item x="36"/>
        <item x="18"/>
        <item m="1" x="48"/>
        <item x="22"/>
        <item m="1" x="41"/>
        <item m="1" x="42"/>
        <item x="10"/>
        <item m="1" x="43"/>
        <item x="11"/>
        <item x="37"/>
        <item x="32"/>
        <item m="1" x="38"/>
        <item m="1" x="49"/>
        <item m="1" x="39"/>
        <item x="27"/>
        <item x="12"/>
        <item m="1" x="44"/>
        <item x="13"/>
        <item x="14"/>
        <item x="23"/>
        <item x="24"/>
        <item m="1" x="46"/>
        <item x="33"/>
        <item x="29"/>
        <item x="28"/>
        <item x="15"/>
        <item x="17"/>
        <item x="16"/>
        <item x="19"/>
        <item x="25"/>
        <item x="26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4">
        <item h="1" x="2"/>
        <item x="1"/>
        <item h="1" x="0"/>
        <item t="default"/>
      </items>
    </pivotField>
    <pivotField showAll="0"/>
    <pivotField showAll="0"/>
    <pivotField showAll="0"/>
    <pivotField showAll="0">
      <items count="53">
        <item m="1" x="45"/>
        <item m="1" x="50"/>
        <item m="1" x="49"/>
        <item x="37"/>
        <item m="1" x="46"/>
        <item x="38"/>
        <item x="36"/>
        <item x="0"/>
        <item x="1"/>
        <item x="2"/>
        <item x="3"/>
        <item x="4"/>
        <item x="5"/>
        <item x="6"/>
        <item x="7"/>
        <item x="23"/>
        <item x="8"/>
        <item x="9"/>
        <item m="1" x="51"/>
        <item x="24"/>
        <item x="39"/>
        <item x="25"/>
        <item m="1" x="47"/>
        <item x="40"/>
        <item m="1" x="43"/>
        <item x="13"/>
        <item x="14"/>
        <item x="15"/>
        <item x="26"/>
        <item x="16"/>
        <item m="1" x="44"/>
        <item m="1" x="48"/>
        <item m="1" x="42"/>
        <item x="22"/>
        <item x="12"/>
        <item x="20"/>
        <item x="21"/>
        <item x="29"/>
        <item x="10"/>
        <item x="27"/>
        <item x="35"/>
        <item x="17"/>
        <item x="28"/>
        <item x="19"/>
        <item x="30"/>
        <item x="31"/>
        <item x="32"/>
        <item x="34"/>
        <item m="1" x="41"/>
        <item x="11"/>
        <item x="18"/>
        <item x="33"/>
        <item t="default"/>
      </items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sd="0" x="2"/>
        <item x="0"/>
        <item x="3"/>
        <item t="default"/>
      </items>
    </pivotField>
  </pivotFields>
  <rowFields count="2">
    <field x="1"/>
    <field x="3"/>
  </rowFields>
  <rowItems count="38">
    <i>
      <x v="1"/>
    </i>
    <i r="1">
      <x v="1"/>
    </i>
    <i r="1">
      <x v="2"/>
    </i>
    <i r="1">
      <x v="4"/>
    </i>
    <i r="1">
      <x v="5"/>
    </i>
    <i r="1">
      <x v="6"/>
    </i>
    <i>
      <x v="3"/>
    </i>
    <i r="1">
      <x v="16"/>
    </i>
    <i r="1">
      <x v="77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>
      <x v="4"/>
    </i>
    <i r="1">
      <x/>
    </i>
    <i>
      <x v="5"/>
    </i>
    <i r="1">
      <x v="82"/>
    </i>
    <i>
      <x v="7"/>
    </i>
    <i r="1">
      <x v="85"/>
    </i>
    <i r="1">
      <x v="111"/>
    </i>
    <i>
      <x v="8"/>
    </i>
    <i r="1">
      <x v="90"/>
    </i>
    <i r="1">
      <x v="114"/>
    </i>
    <i r="1">
      <x v="115"/>
    </i>
    <i>
      <x v="10"/>
    </i>
    <i r="1">
      <x v="90"/>
    </i>
    <i r="1">
      <x v="117"/>
    </i>
    <i r="1">
      <x v="118"/>
    </i>
    <i>
      <x v="24"/>
    </i>
    <i r="1">
      <x v="112"/>
    </i>
    <i>
      <x v="25"/>
    </i>
    <i r="1">
      <x v="113"/>
    </i>
    <i>
      <x v="26"/>
    </i>
    <i r="1">
      <x v="116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DE927-7F5B-469B-AB79-566D96F481BE}" name="TablaDinámica3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35" firstHeaderRow="0" firstDataRow="1" firstDataCol="1" rowPageCount="2" colPageCount="1"/>
  <pivotFields count="24">
    <pivotField showAll="0"/>
    <pivotField axis="axisRow" showAll="0">
      <items count="28">
        <item x="0"/>
        <item x="1"/>
        <item x="2"/>
        <item x="3"/>
        <item x="5"/>
        <item x="6"/>
        <item x="8"/>
        <item x="9"/>
        <item x="12"/>
        <item x="13"/>
        <item x="15"/>
        <item x="16"/>
        <item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x="4"/>
        <item x="7"/>
        <item x="10"/>
        <item x="11"/>
        <item x="14"/>
        <item t="default"/>
      </items>
    </pivotField>
    <pivotField showAll="0"/>
    <pivotField axis="axisRow" showAll="0">
      <items count="124">
        <item x="37"/>
        <item x="17"/>
        <item x="18"/>
        <item m="1" x="90"/>
        <item x="19"/>
        <item x="20"/>
        <item x="21"/>
        <item m="1" x="98"/>
        <item m="1" x="99"/>
        <item m="1" x="118"/>
        <item m="1" x="119"/>
        <item m="1" x="120"/>
        <item m="1" x="121"/>
        <item m="1" x="122"/>
        <item m="1" x="91"/>
        <item m="1" x="92"/>
        <item x="27"/>
        <item m="1" x="109"/>
        <item x="81"/>
        <item x="82"/>
        <item x="83"/>
        <item x="73"/>
        <item x="74"/>
        <item x="75"/>
        <item x="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41"/>
        <item x="42"/>
        <item x="14"/>
        <item x="15"/>
        <item x="16"/>
        <item x="43"/>
        <item x="44"/>
        <item x="45"/>
        <item x="46"/>
        <item m="1" x="100"/>
        <item m="1" x="101"/>
        <item x="22"/>
        <item x="23"/>
        <item x="47"/>
        <item x="48"/>
        <item x="24"/>
        <item m="1" x="102"/>
        <item m="1" x="103"/>
        <item x="49"/>
        <item x="50"/>
        <item x="51"/>
        <item x="52"/>
        <item x="53"/>
        <item x="54"/>
        <item m="1" x="113"/>
        <item m="1" x="114"/>
        <item m="1" x="111"/>
        <item m="1" x="104"/>
        <item m="1" x="105"/>
        <item m="1" x="116"/>
        <item m="1" x="117"/>
        <item m="1" x="112"/>
        <item x="25"/>
        <item x="55"/>
        <item x="56"/>
        <item x="84"/>
        <item x="85"/>
        <item m="1" x="93"/>
        <item x="26"/>
        <item m="1" x="95"/>
        <item m="1" x="94"/>
        <item m="1" x="96"/>
        <item m="1" x="97"/>
        <item x="38"/>
        <item m="1" x="110"/>
        <item m="1" x="106"/>
        <item x="67"/>
        <item m="1" x="108"/>
        <item m="1" x="107"/>
        <item x="80"/>
        <item m="1" x="115"/>
        <item x="34"/>
        <item x="28"/>
        <item x="29"/>
        <item x="30"/>
        <item x="31"/>
        <item x="32"/>
        <item x="33"/>
        <item x="35"/>
        <item x="36"/>
        <item x="39"/>
        <item x="40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7"/>
        <item x="78"/>
        <item x="79"/>
        <item x="86"/>
        <item x="87"/>
        <item x="88"/>
        <item x="89"/>
        <item t="default"/>
      </items>
    </pivotField>
    <pivotField axis="axisPage" showAll="0">
      <items count="8">
        <item m="1" x="6"/>
        <item m="1" x="5"/>
        <item x="1"/>
        <item x="0"/>
        <item x="2"/>
        <item x="3"/>
        <item x="4"/>
        <item t="default"/>
      </items>
    </pivotField>
    <pivotField numFmtId="14" showAll="0">
      <items count="51">
        <item m="1" x="40"/>
        <item m="1" x="45"/>
        <item m="1" x="47"/>
        <item x="34"/>
        <item x="30"/>
        <item x="35"/>
        <item x="31"/>
        <item x="0"/>
        <item x="1"/>
        <item x="2"/>
        <item x="3"/>
        <item x="4"/>
        <item x="5"/>
        <item x="6"/>
        <item x="7"/>
        <item x="20"/>
        <item x="8"/>
        <item x="9"/>
        <item x="21"/>
        <item x="36"/>
        <item x="18"/>
        <item m="1" x="48"/>
        <item x="22"/>
        <item m="1" x="41"/>
        <item m="1" x="42"/>
        <item x="10"/>
        <item m="1" x="43"/>
        <item x="11"/>
        <item x="37"/>
        <item x="32"/>
        <item m="1" x="38"/>
        <item m="1" x="49"/>
        <item m="1" x="39"/>
        <item x="27"/>
        <item x="12"/>
        <item m="1" x="44"/>
        <item x="13"/>
        <item x="14"/>
        <item x="23"/>
        <item x="24"/>
        <item m="1" x="46"/>
        <item x="33"/>
        <item x="29"/>
        <item x="28"/>
        <item x="15"/>
        <item x="17"/>
        <item x="16"/>
        <item x="19"/>
        <item x="25"/>
        <item x="26"/>
        <item t="default"/>
      </items>
    </pivotField>
    <pivotField numFmtId="3" showAll="0"/>
    <pivotField numFmtId="14" showAll="0"/>
    <pivotField numFmtId="4" showAll="0"/>
    <pivotField showAll="0"/>
    <pivotField showAll="0"/>
    <pivotField showAll="0"/>
    <pivotField dataField="1" showAll="0"/>
    <pivotField showAll="0"/>
    <pivotField showAll="0">
      <items count="53">
        <item m="1" x="45"/>
        <item m="1" x="50"/>
        <item m="1" x="49"/>
        <item x="37"/>
        <item m="1" x="46"/>
        <item x="38"/>
        <item x="36"/>
        <item x="0"/>
        <item x="1"/>
        <item x="2"/>
        <item x="3"/>
        <item x="4"/>
        <item x="5"/>
        <item x="6"/>
        <item x="7"/>
        <item x="23"/>
        <item x="8"/>
        <item x="9"/>
        <item m="1" x="51"/>
        <item x="24"/>
        <item x="39"/>
        <item x="25"/>
        <item m="1" x="47"/>
        <item x="40"/>
        <item m="1" x="43"/>
        <item x="13"/>
        <item x="14"/>
        <item x="15"/>
        <item x="26"/>
        <item x="16"/>
        <item m="1" x="44"/>
        <item m="1" x="48"/>
        <item m="1" x="42"/>
        <item x="22"/>
        <item x="12"/>
        <item x="20"/>
        <item x="21"/>
        <item x="29"/>
        <item x="10"/>
        <item x="27"/>
        <item x="35"/>
        <item x="17"/>
        <item x="28"/>
        <item x="19"/>
        <item x="30"/>
        <item x="31"/>
        <item x="32"/>
        <item x="34"/>
        <item m="1" x="41"/>
        <item x="11"/>
        <item x="18"/>
        <item x="33"/>
        <item t="default"/>
      </items>
    </pivotField>
    <pivotField dataField="1" showAll="0"/>
    <pivotField dataField="1" showAll="0"/>
    <pivotField axis="axisPage" multipleItemSelectionAllowed="1" showAll="0">
      <items count="4">
        <item x="1"/>
        <item h="1" x="2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</pivotFields>
  <rowFields count="2">
    <field x="1"/>
    <field x="3"/>
  </rowFields>
  <rowItems count="31">
    <i>
      <x v="1"/>
    </i>
    <i r="1">
      <x v="1"/>
    </i>
    <i r="1">
      <x v="2"/>
    </i>
    <i r="1">
      <x v="4"/>
    </i>
    <i r="1">
      <x v="5"/>
    </i>
    <i r="1">
      <x v="6"/>
    </i>
    <i>
      <x v="3"/>
    </i>
    <i r="1">
      <x v="16"/>
    </i>
    <i r="1">
      <x v="91"/>
    </i>
    <i r="1">
      <x v="92"/>
    </i>
    <i r="1">
      <x v="93"/>
    </i>
    <i r="1">
      <x v="94"/>
    </i>
    <i r="1">
      <x v="95"/>
    </i>
    <i r="1">
      <x v="96"/>
    </i>
    <i>
      <x v="5"/>
    </i>
    <i r="1">
      <x v="82"/>
    </i>
    <i>
      <x v="7"/>
    </i>
    <i r="1">
      <x v="85"/>
    </i>
    <i r="1">
      <x v="111"/>
    </i>
    <i>
      <x v="8"/>
    </i>
    <i r="1">
      <x v="115"/>
    </i>
    <i>
      <x v="10"/>
    </i>
    <i r="1">
      <x v="117"/>
    </i>
    <i r="1">
      <x v="118"/>
    </i>
    <i>
      <x v="24"/>
    </i>
    <i r="1">
      <x v="112"/>
    </i>
    <i>
      <x v="25"/>
    </i>
    <i r="1">
      <x v="113"/>
    </i>
    <i>
      <x v="26"/>
    </i>
    <i r="1">
      <x v="11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Suma de DÍAS VENCIDOS" fld="12" baseField="0" baseItem="0"/>
    <dataField name="Suma de DÍAS ATRASADOS" fld="16" baseField="0" baseItem="0"/>
    <dataField name="Suma de USD HOMOL" fld="15" baseField="0" baseItem="0"/>
  </dataFields>
  <formats count="3">
    <format dxfId="2">
      <pivotArea outline="0" collapsedLevelsAreSubtotals="1" fieldPosition="0"/>
    </format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08E16-C5B0-4DF7-BC87-5B758E7A603A}" name="TablaDinámica4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7" firstHeaderRow="0" firstDataRow="1" firstDataCol="1" rowPageCount="2" colPageCount="1"/>
  <pivotFields count="24">
    <pivotField showAll="0"/>
    <pivotField axis="axisRow" showAll="0">
      <items count="28">
        <item x="0"/>
        <item x="1"/>
        <item x="2"/>
        <item x="3"/>
        <item x="5"/>
        <item x="6"/>
        <item x="8"/>
        <item x="9"/>
        <item x="12"/>
        <item x="13"/>
        <item x="15"/>
        <item x="16"/>
        <item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x="4"/>
        <item x="7"/>
        <item x="10"/>
        <item x="11"/>
        <item x="14"/>
        <item t="default"/>
      </items>
    </pivotField>
    <pivotField showAll="0"/>
    <pivotField axis="axisRow" showAll="0">
      <items count="124">
        <item x="37"/>
        <item x="17"/>
        <item x="18"/>
        <item m="1" x="90"/>
        <item x="19"/>
        <item x="20"/>
        <item x="21"/>
        <item m="1" x="98"/>
        <item m="1" x="99"/>
        <item m="1" x="118"/>
        <item m="1" x="119"/>
        <item m="1" x="120"/>
        <item m="1" x="121"/>
        <item m="1" x="122"/>
        <item m="1" x="91"/>
        <item m="1" x="92"/>
        <item x="27"/>
        <item m="1" x="109"/>
        <item x="81"/>
        <item x="82"/>
        <item x="83"/>
        <item x="73"/>
        <item x="74"/>
        <item x="75"/>
        <item x="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41"/>
        <item x="42"/>
        <item x="14"/>
        <item x="15"/>
        <item x="16"/>
        <item x="43"/>
        <item x="44"/>
        <item x="45"/>
        <item x="46"/>
        <item m="1" x="100"/>
        <item m="1" x="101"/>
        <item x="22"/>
        <item x="23"/>
        <item x="47"/>
        <item x="48"/>
        <item x="24"/>
        <item m="1" x="102"/>
        <item m="1" x="103"/>
        <item x="49"/>
        <item x="50"/>
        <item x="51"/>
        <item x="52"/>
        <item x="53"/>
        <item x="54"/>
        <item m="1" x="113"/>
        <item m="1" x="114"/>
        <item m="1" x="111"/>
        <item m="1" x="104"/>
        <item m="1" x="105"/>
        <item m="1" x="116"/>
        <item m="1" x="117"/>
        <item m="1" x="112"/>
        <item x="25"/>
        <item x="55"/>
        <item x="56"/>
        <item x="84"/>
        <item x="85"/>
        <item m="1" x="93"/>
        <item x="26"/>
        <item m="1" x="95"/>
        <item m="1" x="94"/>
        <item m="1" x="96"/>
        <item m="1" x="97"/>
        <item x="38"/>
        <item m="1" x="110"/>
        <item m="1" x="106"/>
        <item x="67"/>
        <item m="1" x="108"/>
        <item m="1" x="107"/>
        <item x="80"/>
        <item m="1" x="115"/>
        <item x="34"/>
        <item x="28"/>
        <item x="29"/>
        <item x="30"/>
        <item x="31"/>
        <item x="32"/>
        <item x="33"/>
        <item x="35"/>
        <item x="36"/>
        <item x="39"/>
        <item x="40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7"/>
        <item x="78"/>
        <item x="79"/>
        <item x="86"/>
        <item x="87"/>
        <item x="88"/>
        <item x="89"/>
        <item t="default"/>
      </items>
    </pivotField>
    <pivotField axis="axisPage" showAll="0">
      <items count="8">
        <item m="1" x="6"/>
        <item m="1" x="5"/>
        <item x="1"/>
        <item x="0"/>
        <item x="2"/>
        <item x="3"/>
        <item x="4"/>
        <item t="default"/>
      </items>
    </pivotField>
    <pivotField numFmtId="14" showAll="0">
      <items count="51">
        <item m="1" x="40"/>
        <item m="1" x="45"/>
        <item m="1" x="47"/>
        <item x="34"/>
        <item x="30"/>
        <item x="35"/>
        <item x="31"/>
        <item x="0"/>
        <item x="1"/>
        <item x="2"/>
        <item x="3"/>
        <item x="4"/>
        <item x="5"/>
        <item x="6"/>
        <item x="7"/>
        <item x="20"/>
        <item x="8"/>
        <item x="9"/>
        <item x="21"/>
        <item x="36"/>
        <item x="18"/>
        <item m="1" x="48"/>
        <item x="22"/>
        <item m="1" x="41"/>
        <item m="1" x="42"/>
        <item x="10"/>
        <item m="1" x="43"/>
        <item x="11"/>
        <item x="37"/>
        <item x="32"/>
        <item m="1" x="38"/>
        <item m="1" x="49"/>
        <item m="1" x="39"/>
        <item x="27"/>
        <item x="12"/>
        <item m="1" x="44"/>
        <item x="13"/>
        <item x="14"/>
        <item x="23"/>
        <item x="24"/>
        <item m="1" x="46"/>
        <item x="33"/>
        <item x="29"/>
        <item x="28"/>
        <item x="15"/>
        <item x="17"/>
        <item x="16"/>
        <item x="19"/>
        <item x="25"/>
        <item x="26"/>
        <item t="default"/>
      </items>
    </pivotField>
    <pivotField numFmtId="3" showAll="0"/>
    <pivotField numFmtId="14" showAll="0"/>
    <pivotField numFmtId="4" showAll="0"/>
    <pivotField showAll="0"/>
    <pivotField showAll="0"/>
    <pivotField showAll="0"/>
    <pivotField dataField="1" showAll="0"/>
    <pivotField showAll="0"/>
    <pivotField showAll="0">
      <items count="53">
        <item m="1" x="45"/>
        <item m="1" x="50"/>
        <item m="1" x="49"/>
        <item x="37"/>
        <item m="1" x="46"/>
        <item x="38"/>
        <item x="36"/>
        <item x="0"/>
        <item x="1"/>
        <item x="2"/>
        <item x="3"/>
        <item x="4"/>
        <item x="5"/>
        <item x="6"/>
        <item x="7"/>
        <item x="23"/>
        <item x="8"/>
        <item x="9"/>
        <item m="1" x="51"/>
        <item x="24"/>
        <item x="39"/>
        <item x="25"/>
        <item m="1" x="47"/>
        <item x="40"/>
        <item m="1" x="43"/>
        <item x="13"/>
        <item x="14"/>
        <item x="15"/>
        <item x="26"/>
        <item x="16"/>
        <item m="1" x="44"/>
        <item m="1" x="48"/>
        <item m="1" x="42"/>
        <item x="22"/>
        <item x="12"/>
        <item x="20"/>
        <item x="21"/>
        <item x="29"/>
        <item x="10"/>
        <item x="27"/>
        <item x="35"/>
        <item x="17"/>
        <item x="28"/>
        <item x="19"/>
        <item x="30"/>
        <item x="31"/>
        <item x="32"/>
        <item x="34"/>
        <item m="1" x="41"/>
        <item x="11"/>
        <item x="18"/>
        <item x="33"/>
        <item t="default"/>
      </items>
    </pivotField>
    <pivotField dataField="1" showAll="0"/>
    <pivotField dataField="1" showAll="0"/>
    <pivotField axis="axisPage" multipleItemSelectionAllowed="1" showAll="0">
      <items count="4">
        <item h="1" x="1"/>
        <item x="2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</pivotFields>
  <rowFields count="2">
    <field x="1"/>
    <field x="3"/>
  </rowFields>
  <rowItems count="3">
    <i>
      <x v="4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Suma de DÍAS VENCIDOS" fld="12" baseField="0" baseItem="0"/>
    <dataField name="Suma de DÍAS ATRASADOS" fld="16" baseField="0" baseItem="0"/>
    <dataField name="Suma de USD HOMOL" fld="15" baseField="0" baseItem="0"/>
  </dataFields>
  <formats count="3"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B63A-6460-4120-8688-5177A0FCC239}">
  <dimension ref="A1:U23"/>
  <sheetViews>
    <sheetView showGridLines="0" topLeftCell="B1" workbookViewId="0">
      <selection activeCell="S30" sqref="S30"/>
    </sheetView>
  </sheetViews>
  <sheetFormatPr baseColWidth="10" defaultRowHeight="13.2" x14ac:dyDescent="0.25"/>
  <cols>
    <col min="1" max="1" width="38.33203125" bestFit="1" customWidth="1"/>
    <col min="2" max="2" width="22.109375" bestFit="1" customWidth="1"/>
    <col min="3" max="5" width="10.109375" bestFit="1" customWidth="1"/>
    <col min="6" max="6" width="9.77734375" bestFit="1" customWidth="1"/>
    <col min="7" max="7" width="10.109375" bestFit="1" customWidth="1"/>
    <col min="8" max="8" width="9.109375" bestFit="1" customWidth="1"/>
    <col min="9" max="13" width="10.109375" bestFit="1" customWidth="1"/>
    <col min="14" max="14" width="11.6640625" bestFit="1" customWidth="1"/>
    <col min="15" max="15" width="10.109375" bestFit="1" customWidth="1"/>
    <col min="16" max="16" width="9.109375" bestFit="1" customWidth="1"/>
    <col min="17" max="17" width="11.6640625" bestFit="1" customWidth="1"/>
    <col min="18" max="19" width="10.109375" bestFit="1" customWidth="1"/>
    <col min="20" max="20" width="11.6640625" bestFit="1" customWidth="1"/>
    <col min="21" max="21" width="12.33203125" bestFit="1" customWidth="1"/>
    <col min="22" max="22" width="9.109375" bestFit="1" customWidth="1"/>
    <col min="23" max="23" width="10.109375" bestFit="1" customWidth="1"/>
    <col min="24" max="24" width="9.109375" bestFit="1" customWidth="1"/>
    <col min="25" max="31" width="10.109375" bestFit="1" customWidth="1"/>
    <col min="32" max="33" width="9.109375" bestFit="1" customWidth="1"/>
    <col min="34" max="34" width="10.109375" bestFit="1" customWidth="1"/>
    <col min="35" max="37" width="9.109375" bestFit="1" customWidth="1"/>
    <col min="38" max="42" width="10.109375" bestFit="1" customWidth="1"/>
    <col min="43" max="43" width="9.109375" bestFit="1" customWidth="1"/>
    <col min="44" max="44" width="10.77734375" bestFit="1" customWidth="1"/>
    <col min="45" max="45" width="12.33203125" bestFit="1" customWidth="1"/>
  </cols>
  <sheetData>
    <row r="1" spans="1:21" x14ac:dyDescent="0.25">
      <c r="A1" s="6" t="s">
        <v>196</v>
      </c>
      <c r="B1" t="s">
        <v>220</v>
      </c>
    </row>
    <row r="2" spans="1:21" x14ac:dyDescent="0.25">
      <c r="A2" s="6" t="s">
        <v>224</v>
      </c>
      <c r="B2" t="s">
        <v>204</v>
      </c>
    </row>
    <row r="4" spans="1:21" x14ac:dyDescent="0.25">
      <c r="A4" s="6" t="s">
        <v>207</v>
      </c>
      <c r="B4" s="6" t="s">
        <v>209</v>
      </c>
    </row>
    <row r="5" spans="1:21" x14ac:dyDescent="0.25">
      <c r="B5" t="s">
        <v>343</v>
      </c>
      <c r="C5" t="s">
        <v>210</v>
      </c>
      <c r="F5" t="s">
        <v>344</v>
      </c>
      <c r="G5" t="s">
        <v>341</v>
      </c>
      <c r="N5" t="s">
        <v>345</v>
      </c>
      <c r="O5" t="s">
        <v>342</v>
      </c>
      <c r="T5" t="s">
        <v>346</v>
      </c>
      <c r="U5" t="s">
        <v>208</v>
      </c>
    </row>
    <row r="6" spans="1:21" x14ac:dyDescent="0.25">
      <c r="A6" s="6" t="s">
        <v>206</v>
      </c>
      <c r="C6" s="13">
        <v>46098</v>
      </c>
      <c r="D6" s="13">
        <v>46107</v>
      </c>
      <c r="E6" s="13">
        <v>46112</v>
      </c>
      <c r="G6" s="13">
        <v>46118</v>
      </c>
      <c r="H6" s="13">
        <v>46119</v>
      </c>
      <c r="I6" s="13">
        <v>46122</v>
      </c>
      <c r="J6" s="13">
        <v>46126</v>
      </c>
      <c r="K6" s="13">
        <v>46133</v>
      </c>
      <c r="L6" s="13">
        <v>46136</v>
      </c>
      <c r="M6" s="13">
        <v>46141</v>
      </c>
      <c r="O6" s="13">
        <v>46144</v>
      </c>
      <c r="P6" s="13">
        <v>46147</v>
      </c>
      <c r="Q6" s="13">
        <v>46154</v>
      </c>
      <c r="R6" s="13">
        <v>46155</v>
      </c>
      <c r="S6" s="13">
        <v>46156</v>
      </c>
    </row>
    <row r="7" spans="1:21" x14ac:dyDescent="0.25">
      <c r="A7" s="7" t="s">
        <v>39</v>
      </c>
      <c r="B7" s="8"/>
      <c r="C7" s="8"/>
      <c r="D7" s="8"/>
      <c r="E7" s="8"/>
      <c r="F7" s="8"/>
      <c r="G7" s="8">
        <v>175500</v>
      </c>
      <c r="H7" s="8"/>
      <c r="I7" s="8">
        <v>648000</v>
      </c>
      <c r="J7" s="8"/>
      <c r="K7" s="8"/>
      <c r="L7" s="8">
        <v>70200</v>
      </c>
      <c r="M7" s="8"/>
      <c r="N7" s="8">
        <v>893700</v>
      </c>
      <c r="O7" s="8"/>
      <c r="P7" s="8"/>
      <c r="Q7" s="8"/>
      <c r="R7" s="8"/>
      <c r="S7" s="8"/>
      <c r="T7" s="8"/>
      <c r="U7" s="8">
        <v>893700</v>
      </c>
    </row>
    <row r="8" spans="1:21" x14ac:dyDescent="0.25">
      <c r="A8" s="7" t="s">
        <v>63</v>
      </c>
      <c r="B8" s="8"/>
      <c r="C8" s="8"/>
      <c r="D8" s="8"/>
      <c r="E8" s="8">
        <v>-22683.010000000002</v>
      </c>
      <c r="F8" s="8">
        <v>-22683.010000000002</v>
      </c>
      <c r="G8" s="8"/>
      <c r="H8" s="8"/>
      <c r="I8" s="8"/>
      <c r="J8" s="8"/>
      <c r="K8" s="8"/>
      <c r="L8" s="8"/>
      <c r="M8" s="8"/>
      <c r="N8" s="8"/>
      <c r="O8" s="8"/>
      <c r="P8" s="8">
        <v>24860</v>
      </c>
      <c r="Q8" s="8"/>
      <c r="R8" s="8">
        <v>161480</v>
      </c>
      <c r="S8" s="8"/>
      <c r="T8" s="8">
        <v>186340</v>
      </c>
      <c r="U8" s="8">
        <v>163656.99</v>
      </c>
    </row>
    <row r="9" spans="1:21" x14ac:dyDescent="0.25">
      <c r="A9" s="7" t="s">
        <v>72</v>
      </c>
      <c r="B9" s="8"/>
      <c r="C9" s="8"/>
      <c r="D9" s="8"/>
      <c r="E9" s="8"/>
      <c r="F9" s="8"/>
      <c r="G9" s="8"/>
      <c r="H9" s="8">
        <v>77585</v>
      </c>
      <c r="I9" s="8"/>
      <c r="J9" s="8"/>
      <c r="K9" s="8"/>
      <c r="L9" s="8"/>
      <c r="M9" s="8"/>
      <c r="N9" s="8">
        <v>77585</v>
      </c>
      <c r="O9" s="8"/>
      <c r="P9" s="8"/>
      <c r="Q9" s="8"/>
      <c r="R9" s="8"/>
      <c r="S9" s="8"/>
      <c r="T9" s="8"/>
      <c r="U9" s="8">
        <v>77585</v>
      </c>
    </row>
    <row r="10" spans="1:21" x14ac:dyDescent="0.25">
      <c r="A10" s="7" t="s">
        <v>76</v>
      </c>
      <c r="B10" s="8"/>
      <c r="C10" s="8"/>
      <c r="D10" s="8"/>
      <c r="E10" s="8"/>
      <c r="F10" s="8"/>
      <c r="G10" s="8"/>
      <c r="H10" s="8"/>
      <c r="I10" s="8"/>
      <c r="J10" s="8">
        <v>53862.5</v>
      </c>
      <c r="K10" s="8"/>
      <c r="L10" s="8"/>
      <c r="M10" s="8"/>
      <c r="N10" s="8">
        <v>53862.5</v>
      </c>
      <c r="O10" s="8"/>
      <c r="P10" s="8"/>
      <c r="Q10" s="8"/>
      <c r="R10" s="8"/>
      <c r="S10" s="8"/>
      <c r="T10" s="8"/>
      <c r="U10" s="8">
        <v>53862.5</v>
      </c>
    </row>
    <row r="11" spans="1:21" x14ac:dyDescent="0.25">
      <c r="A11" s="7" t="s">
        <v>114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>
        <v>147743.07</v>
      </c>
      <c r="N11" s="8">
        <v>147743.07</v>
      </c>
      <c r="O11" s="8"/>
      <c r="P11" s="8"/>
      <c r="Q11" s="8">
        <v>177221.7</v>
      </c>
      <c r="R11" s="8"/>
      <c r="S11" s="8"/>
      <c r="T11" s="8">
        <v>177221.7</v>
      </c>
      <c r="U11" s="8">
        <v>324964.77</v>
      </c>
    </row>
    <row r="12" spans="1:21" x14ac:dyDescent="0.25">
      <c r="A12" s="7" t="s">
        <v>118</v>
      </c>
      <c r="B12" s="8"/>
      <c r="C12" s="8">
        <v>-7410</v>
      </c>
      <c r="D12" s="8"/>
      <c r="E12" s="8">
        <v>-35590</v>
      </c>
      <c r="F12" s="8">
        <v>-43000</v>
      </c>
      <c r="G12" s="8">
        <v>35553</v>
      </c>
      <c r="H12" s="8"/>
      <c r="I12" s="8"/>
      <c r="J12" s="8"/>
      <c r="K12" s="8"/>
      <c r="L12" s="8"/>
      <c r="M12" s="8"/>
      <c r="N12" s="8">
        <v>35553</v>
      </c>
      <c r="O12" s="8"/>
      <c r="P12" s="8"/>
      <c r="Q12" s="8"/>
      <c r="R12" s="8"/>
      <c r="S12" s="8"/>
      <c r="T12" s="8"/>
      <c r="U12" s="8">
        <v>-7447</v>
      </c>
    </row>
    <row r="13" spans="1:21" x14ac:dyDescent="0.25">
      <c r="A13" s="7" t="s">
        <v>131</v>
      </c>
      <c r="B13" s="8"/>
      <c r="C13" s="8"/>
      <c r="D13" s="8">
        <v>-20590</v>
      </c>
      <c r="E13" s="8"/>
      <c r="F13" s="8">
        <v>-20590</v>
      </c>
      <c r="G13" s="8"/>
      <c r="H13" s="8"/>
      <c r="I13" s="8"/>
      <c r="J13" s="8"/>
      <c r="K13" s="8">
        <v>81372</v>
      </c>
      <c r="L13" s="8"/>
      <c r="M13" s="8"/>
      <c r="N13" s="8">
        <v>81372</v>
      </c>
      <c r="O13" s="8"/>
      <c r="P13" s="8"/>
      <c r="Q13" s="8"/>
      <c r="R13" s="8"/>
      <c r="S13" s="8"/>
      <c r="T13" s="8"/>
      <c r="U13" s="8">
        <v>60782</v>
      </c>
    </row>
    <row r="14" spans="1:21" x14ac:dyDescent="0.25">
      <c r="A14" s="7" t="s">
        <v>149</v>
      </c>
      <c r="B14" s="8"/>
      <c r="C14" s="8"/>
      <c r="D14" s="8"/>
      <c r="E14" s="8"/>
      <c r="F14" s="8"/>
      <c r="G14" s="8"/>
      <c r="H14" s="8"/>
      <c r="I14" s="8"/>
      <c r="J14" s="8"/>
      <c r="K14" s="8">
        <v>156680</v>
      </c>
      <c r="L14" s="8"/>
      <c r="M14" s="8"/>
      <c r="N14" s="8">
        <v>156680</v>
      </c>
      <c r="O14" s="8">
        <v>125360</v>
      </c>
      <c r="P14" s="8"/>
      <c r="Q14" s="8"/>
      <c r="R14" s="8"/>
      <c r="S14" s="8"/>
      <c r="T14" s="8">
        <v>125360</v>
      </c>
      <c r="U14" s="8">
        <v>282040</v>
      </c>
    </row>
    <row r="15" spans="1:21" x14ac:dyDescent="0.25">
      <c r="A15" s="7" t="s">
        <v>155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>
        <v>31275</v>
      </c>
      <c r="P15" s="8"/>
      <c r="Q15" s="8"/>
      <c r="R15" s="8"/>
      <c r="S15" s="8"/>
      <c r="T15" s="8">
        <v>31275</v>
      </c>
      <c r="U15" s="8">
        <v>31275</v>
      </c>
    </row>
    <row r="16" spans="1:21" x14ac:dyDescent="0.25">
      <c r="A16" s="7" t="s">
        <v>163</v>
      </c>
      <c r="B16" s="8"/>
      <c r="C16" s="8"/>
      <c r="D16" s="8"/>
      <c r="E16" s="8"/>
      <c r="F16" s="8"/>
      <c r="G16" s="8"/>
      <c r="H16" s="8"/>
      <c r="I16" s="8"/>
      <c r="J16" s="8">
        <v>73490</v>
      </c>
      <c r="K16" s="8"/>
      <c r="L16" s="8"/>
      <c r="M16" s="8"/>
      <c r="N16" s="8">
        <v>73490</v>
      </c>
      <c r="O16" s="8"/>
      <c r="P16" s="8"/>
      <c r="Q16" s="8"/>
      <c r="R16" s="8"/>
      <c r="S16" s="8"/>
      <c r="T16" s="8"/>
      <c r="U16" s="8">
        <v>73490</v>
      </c>
    </row>
    <row r="17" spans="1:21" x14ac:dyDescent="0.25">
      <c r="A17" s="7" t="s">
        <v>185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>
        <v>263680</v>
      </c>
      <c r="M17" s="8"/>
      <c r="N17" s="8">
        <v>263680</v>
      </c>
      <c r="O17" s="8">
        <v>216000</v>
      </c>
      <c r="P17" s="8"/>
      <c r="Q17" s="8">
        <v>350240</v>
      </c>
      <c r="R17" s="8">
        <v>140160</v>
      </c>
      <c r="S17" s="8"/>
      <c r="T17" s="8">
        <v>706400</v>
      </c>
      <c r="U17" s="8">
        <v>970080</v>
      </c>
    </row>
    <row r="18" spans="1:21" x14ac:dyDescent="0.25">
      <c r="A18" s="7" t="s">
        <v>274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>
        <v>334800</v>
      </c>
      <c r="R18" s="8"/>
      <c r="S18" s="8"/>
      <c r="T18" s="8">
        <v>334800</v>
      </c>
      <c r="U18" s="8">
        <v>334800</v>
      </c>
    </row>
    <row r="19" spans="1:21" x14ac:dyDescent="0.25">
      <c r="A19" s="7" t="s">
        <v>278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>
        <v>669600</v>
      </c>
      <c r="R19" s="8"/>
      <c r="S19" s="8"/>
      <c r="T19" s="8">
        <v>669600</v>
      </c>
      <c r="U19" s="8">
        <v>669600</v>
      </c>
    </row>
    <row r="20" spans="1:21" x14ac:dyDescent="0.25">
      <c r="A20" s="7" t="s">
        <v>286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>
        <v>76700</v>
      </c>
      <c r="S20" s="8"/>
      <c r="T20" s="8">
        <v>76700</v>
      </c>
      <c r="U20" s="8">
        <v>76700</v>
      </c>
    </row>
    <row r="21" spans="1:21" x14ac:dyDescent="0.25">
      <c r="A21" s="7" t="s">
        <v>316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>
        <v>70200</v>
      </c>
      <c r="T21" s="8">
        <v>70200</v>
      </c>
      <c r="U21" s="8">
        <v>70200</v>
      </c>
    </row>
    <row r="22" spans="1:21" x14ac:dyDescent="0.25">
      <c r="A22" s="7" t="s">
        <v>338</v>
      </c>
      <c r="B22" s="8">
        <v>-84100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>
        <v>-84100</v>
      </c>
    </row>
    <row r="23" spans="1:21" x14ac:dyDescent="0.25">
      <c r="A23" s="7" t="s">
        <v>208</v>
      </c>
      <c r="B23" s="8">
        <v>-84100</v>
      </c>
      <c r="C23" s="8">
        <v>-7410</v>
      </c>
      <c r="D23" s="8">
        <v>-20590</v>
      </c>
      <c r="E23" s="8">
        <v>-58273.01</v>
      </c>
      <c r="F23" s="8">
        <v>-86273.010000000009</v>
      </c>
      <c r="G23" s="8">
        <v>211053</v>
      </c>
      <c r="H23" s="8">
        <v>77585</v>
      </c>
      <c r="I23" s="8">
        <v>648000</v>
      </c>
      <c r="J23" s="8">
        <v>127352.5</v>
      </c>
      <c r="K23" s="8">
        <v>238052</v>
      </c>
      <c r="L23" s="8">
        <v>333880</v>
      </c>
      <c r="M23" s="8">
        <v>147743.07</v>
      </c>
      <c r="N23" s="8">
        <v>1783665.57</v>
      </c>
      <c r="O23" s="8">
        <v>372635</v>
      </c>
      <c r="P23" s="8">
        <v>24860</v>
      </c>
      <c r="Q23" s="8">
        <v>1531861.7</v>
      </c>
      <c r="R23" s="8">
        <v>378340</v>
      </c>
      <c r="S23" s="8">
        <v>70200</v>
      </c>
      <c r="T23" s="8">
        <v>2377896.7000000002</v>
      </c>
      <c r="U23" s="8">
        <v>3991189.26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B7BF-B53C-4463-9F09-BE047D304334}">
  <dimension ref="A1:B43"/>
  <sheetViews>
    <sheetView workbookViewId="0">
      <selection activeCell="A11" sqref="A11"/>
    </sheetView>
  </sheetViews>
  <sheetFormatPr baseColWidth="10" defaultRowHeight="13.2" x14ac:dyDescent="0.25"/>
  <cols>
    <col min="1" max="1" width="41.77734375" bestFit="1" customWidth="1"/>
    <col min="2" max="2" width="20.44140625" bestFit="1" customWidth="1"/>
    <col min="3" max="3" width="13" bestFit="1" customWidth="1"/>
    <col min="4" max="4" width="10.44140625" bestFit="1" customWidth="1"/>
    <col min="5" max="5" width="13" bestFit="1" customWidth="1"/>
  </cols>
  <sheetData>
    <row r="1" spans="1:2" x14ac:dyDescent="0.25">
      <c r="A1" s="6" t="s">
        <v>197</v>
      </c>
      <c r="B1" t="s">
        <v>220</v>
      </c>
    </row>
    <row r="2" spans="1:2" x14ac:dyDescent="0.25">
      <c r="A2" s="6" t="s">
        <v>224</v>
      </c>
      <c r="B2" t="s">
        <v>204</v>
      </c>
    </row>
    <row r="3" spans="1:2" x14ac:dyDescent="0.25">
      <c r="A3" s="6" t="s">
        <v>196</v>
      </c>
      <c r="B3" t="s">
        <v>220</v>
      </c>
    </row>
    <row r="5" spans="1:2" x14ac:dyDescent="0.25">
      <c r="A5" s="6" t="s">
        <v>206</v>
      </c>
      <c r="B5" t="s">
        <v>221</v>
      </c>
    </row>
    <row r="6" spans="1:2" x14ac:dyDescent="0.25">
      <c r="A6" s="7" t="s">
        <v>39</v>
      </c>
      <c r="B6" s="18">
        <v>893700</v>
      </c>
    </row>
    <row r="7" spans="1:2" x14ac:dyDescent="0.25">
      <c r="A7" s="9" t="s">
        <v>41</v>
      </c>
      <c r="B7" s="18">
        <v>70200</v>
      </c>
    </row>
    <row r="8" spans="1:2" x14ac:dyDescent="0.25">
      <c r="A8" s="9" t="s">
        <v>45</v>
      </c>
      <c r="B8" s="18">
        <v>121500</v>
      </c>
    </row>
    <row r="9" spans="1:2" x14ac:dyDescent="0.25">
      <c r="A9" s="9" t="s">
        <v>47</v>
      </c>
      <c r="B9" s="18">
        <v>175500</v>
      </c>
    </row>
    <row r="10" spans="1:2" x14ac:dyDescent="0.25">
      <c r="A10" s="9" t="s">
        <v>49</v>
      </c>
      <c r="B10" s="18">
        <v>70200</v>
      </c>
    </row>
    <row r="11" spans="1:2" x14ac:dyDescent="0.25">
      <c r="A11" s="9" t="s">
        <v>51</v>
      </c>
      <c r="B11" s="18">
        <v>456300</v>
      </c>
    </row>
    <row r="12" spans="1:2" x14ac:dyDescent="0.25">
      <c r="A12" s="7" t="s">
        <v>63</v>
      </c>
      <c r="B12" s="18">
        <v>163656.99</v>
      </c>
    </row>
    <row r="13" spans="1:2" x14ac:dyDescent="0.25">
      <c r="A13" s="9" t="s">
        <v>70</v>
      </c>
      <c r="B13" s="18">
        <v>24860</v>
      </c>
    </row>
    <row r="14" spans="1:2" x14ac:dyDescent="0.25">
      <c r="A14" s="9" t="s">
        <v>64</v>
      </c>
      <c r="B14" s="18">
        <v>-8700</v>
      </c>
    </row>
    <row r="15" spans="1:2" x14ac:dyDescent="0.25">
      <c r="A15" s="9" t="s">
        <v>66</v>
      </c>
      <c r="B15" s="18">
        <v>-13983.01</v>
      </c>
    </row>
    <row r="16" spans="1:2" x14ac:dyDescent="0.25">
      <c r="A16" s="9" t="s">
        <v>226</v>
      </c>
      <c r="B16" s="18">
        <v>24860</v>
      </c>
    </row>
    <row r="17" spans="1:2" x14ac:dyDescent="0.25">
      <c r="A17" s="9" t="s">
        <v>228</v>
      </c>
      <c r="B17" s="18">
        <v>24860</v>
      </c>
    </row>
    <row r="18" spans="1:2" x14ac:dyDescent="0.25">
      <c r="A18" s="9" t="s">
        <v>230</v>
      </c>
      <c r="B18" s="18">
        <v>24860</v>
      </c>
    </row>
    <row r="19" spans="1:2" x14ac:dyDescent="0.25">
      <c r="A19" s="9" t="s">
        <v>232</v>
      </c>
      <c r="B19" s="18">
        <v>28800</v>
      </c>
    </row>
    <row r="20" spans="1:2" x14ac:dyDescent="0.25">
      <c r="A20" s="9" t="s">
        <v>234</v>
      </c>
      <c r="B20" s="18">
        <v>28800</v>
      </c>
    </row>
    <row r="21" spans="1:2" x14ac:dyDescent="0.25">
      <c r="A21" s="9" t="s">
        <v>236</v>
      </c>
      <c r="B21" s="18">
        <v>29300</v>
      </c>
    </row>
    <row r="22" spans="1:2" x14ac:dyDescent="0.25">
      <c r="A22" s="7" t="s">
        <v>72</v>
      </c>
      <c r="B22" s="18">
        <v>77585</v>
      </c>
    </row>
    <row r="23" spans="1:2" x14ac:dyDescent="0.25">
      <c r="A23" s="9" t="s">
        <v>74</v>
      </c>
      <c r="B23" s="18">
        <v>77585</v>
      </c>
    </row>
    <row r="24" spans="1:2" x14ac:dyDescent="0.25">
      <c r="A24" s="7" t="s">
        <v>76</v>
      </c>
      <c r="B24" s="18">
        <v>53862.5</v>
      </c>
    </row>
    <row r="25" spans="1:2" x14ac:dyDescent="0.25">
      <c r="A25" s="9" t="s">
        <v>78</v>
      </c>
      <c r="B25" s="18">
        <v>53862.5</v>
      </c>
    </row>
    <row r="26" spans="1:2" x14ac:dyDescent="0.25">
      <c r="A26" s="7" t="s">
        <v>114</v>
      </c>
      <c r="B26" s="18">
        <v>324964.77</v>
      </c>
    </row>
    <row r="27" spans="1:2" x14ac:dyDescent="0.25">
      <c r="A27" s="9" t="s">
        <v>116</v>
      </c>
      <c r="B27" s="18">
        <v>147743.07</v>
      </c>
    </row>
    <row r="28" spans="1:2" x14ac:dyDescent="0.25">
      <c r="A28" s="9" t="s">
        <v>272</v>
      </c>
      <c r="B28" s="18">
        <v>177221.7</v>
      </c>
    </row>
    <row r="29" spans="1:2" x14ac:dyDescent="0.25">
      <c r="A29" s="7" t="s">
        <v>118</v>
      </c>
      <c r="B29" s="18">
        <v>-7447</v>
      </c>
    </row>
    <row r="30" spans="1:2" x14ac:dyDescent="0.25">
      <c r="A30" s="9" t="s">
        <v>66</v>
      </c>
      <c r="B30" s="18">
        <v>-7410</v>
      </c>
    </row>
    <row r="31" spans="1:2" x14ac:dyDescent="0.25">
      <c r="A31" s="9" t="s">
        <v>282</v>
      </c>
      <c r="B31" s="18">
        <v>-35590</v>
      </c>
    </row>
    <row r="32" spans="1:2" x14ac:dyDescent="0.25">
      <c r="A32" s="9" t="s">
        <v>284</v>
      </c>
      <c r="B32" s="18">
        <v>35553</v>
      </c>
    </row>
    <row r="33" spans="1:2" x14ac:dyDescent="0.25">
      <c r="A33" s="7" t="s">
        <v>131</v>
      </c>
      <c r="B33" s="18">
        <v>60782</v>
      </c>
    </row>
    <row r="34" spans="1:2" x14ac:dyDescent="0.25">
      <c r="A34" s="9" t="s">
        <v>66</v>
      </c>
      <c r="B34" s="18">
        <v>-20590</v>
      </c>
    </row>
    <row r="35" spans="1:2" x14ac:dyDescent="0.25">
      <c r="A35" s="9" t="s">
        <v>290</v>
      </c>
      <c r="B35" s="18">
        <v>40636</v>
      </c>
    </row>
    <row r="36" spans="1:2" x14ac:dyDescent="0.25">
      <c r="A36" s="9" t="s">
        <v>292</v>
      </c>
      <c r="B36" s="18">
        <v>40736</v>
      </c>
    </row>
    <row r="37" spans="1:2" x14ac:dyDescent="0.25">
      <c r="A37" s="7" t="s">
        <v>274</v>
      </c>
      <c r="B37" s="18">
        <v>334800</v>
      </c>
    </row>
    <row r="38" spans="1:2" x14ac:dyDescent="0.25">
      <c r="A38" s="9" t="s">
        <v>276</v>
      </c>
      <c r="B38" s="18">
        <v>334800</v>
      </c>
    </row>
    <row r="39" spans="1:2" x14ac:dyDescent="0.25">
      <c r="A39" s="7" t="s">
        <v>278</v>
      </c>
      <c r="B39" s="18">
        <v>669600</v>
      </c>
    </row>
    <row r="40" spans="1:2" x14ac:dyDescent="0.25">
      <c r="A40" s="9" t="s">
        <v>280</v>
      </c>
      <c r="B40" s="18">
        <v>669600</v>
      </c>
    </row>
    <row r="41" spans="1:2" x14ac:dyDescent="0.25">
      <c r="A41" s="7" t="s">
        <v>286</v>
      </c>
      <c r="B41" s="18">
        <v>76700</v>
      </c>
    </row>
    <row r="42" spans="1:2" x14ac:dyDescent="0.25">
      <c r="A42" s="9" t="s">
        <v>288</v>
      </c>
      <c r="B42" s="18">
        <v>76700</v>
      </c>
    </row>
    <row r="43" spans="1:2" x14ac:dyDescent="0.25">
      <c r="A43" s="7" t="s">
        <v>208</v>
      </c>
      <c r="B43" s="18">
        <v>2648204.2599999998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4F1D-D545-4B68-967C-45132E36B4C4}">
  <dimension ref="A1:I35"/>
  <sheetViews>
    <sheetView workbookViewId="0">
      <selection activeCell="F5" sqref="F5"/>
    </sheetView>
  </sheetViews>
  <sheetFormatPr baseColWidth="10" defaultRowHeight="13.2" x14ac:dyDescent="0.25"/>
  <cols>
    <col min="1" max="1" width="41.77734375" bestFit="1" customWidth="1"/>
    <col min="2" max="3" width="13.33203125" bestFit="1" customWidth="1"/>
    <col min="4" max="4" width="13" bestFit="1" customWidth="1"/>
    <col min="6" max="6" width="36.109375" bestFit="1" customWidth="1"/>
    <col min="7" max="8" width="13.33203125" bestFit="1" customWidth="1"/>
    <col min="9" max="9" width="13" bestFit="1" customWidth="1"/>
  </cols>
  <sheetData>
    <row r="1" spans="1:9" x14ac:dyDescent="0.25">
      <c r="A1" s="6" t="s">
        <v>196</v>
      </c>
      <c r="B1" t="s">
        <v>220</v>
      </c>
      <c r="F1" s="6" t="s">
        <v>196</v>
      </c>
      <c r="G1" t="s">
        <v>220</v>
      </c>
    </row>
    <row r="2" spans="1:9" x14ac:dyDescent="0.25">
      <c r="A2" s="6" t="s">
        <v>217</v>
      </c>
      <c r="B2" t="s">
        <v>218</v>
      </c>
      <c r="F2" s="6" t="s">
        <v>217</v>
      </c>
      <c r="G2" t="s">
        <v>219</v>
      </c>
    </row>
    <row r="4" spans="1:9" ht="26.4" x14ac:dyDescent="0.25">
      <c r="A4" s="19" t="s">
        <v>206</v>
      </c>
      <c r="B4" s="10" t="s">
        <v>222</v>
      </c>
      <c r="C4" s="10" t="s">
        <v>223</v>
      </c>
      <c r="D4" s="10" t="s">
        <v>221</v>
      </c>
      <c r="F4" s="19" t="s">
        <v>206</v>
      </c>
      <c r="G4" s="10" t="s">
        <v>222</v>
      </c>
      <c r="H4" s="10" t="s">
        <v>223</v>
      </c>
      <c r="I4" s="10" t="s">
        <v>221</v>
      </c>
    </row>
    <row r="5" spans="1:9" x14ac:dyDescent="0.25">
      <c r="A5" s="7" t="s">
        <v>39</v>
      </c>
      <c r="B5" s="18">
        <v>6</v>
      </c>
      <c r="C5" s="18">
        <v>195</v>
      </c>
      <c r="D5" s="18">
        <v>893700</v>
      </c>
      <c r="F5" s="7" t="s">
        <v>72</v>
      </c>
      <c r="G5" s="18">
        <v>-6</v>
      </c>
      <c r="H5" s="18">
        <v>64</v>
      </c>
      <c r="I5" s="18">
        <v>77585</v>
      </c>
    </row>
    <row r="6" spans="1:9" x14ac:dyDescent="0.25">
      <c r="A6" s="9" t="s">
        <v>41</v>
      </c>
      <c r="B6" s="18">
        <v>18</v>
      </c>
      <c r="C6" s="18">
        <v>42</v>
      </c>
      <c r="D6" s="18">
        <v>70200</v>
      </c>
      <c r="F6" s="9" t="s">
        <v>74</v>
      </c>
      <c r="G6" s="18">
        <v>-6</v>
      </c>
      <c r="H6" s="18">
        <v>64</v>
      </c>
      <c r="I6" s="18">
        <v>77585</v>
      </c>
    </row>
    <row r="7" spans="1:9" x14ac:dyDescent="0.25">
      <c r="A7" s="9" t="s">
        <v>45</v>
      </c>
      <c r="B7" s="18">
        <v>-3</v>
      </c>
      <c r="C7" s="18">
        <v>42</v>
      </c>
      <c r="D7" s="18">
        <v>121500</v>
      </c>
      <c r="F7" s="7" t="s">
        <v>208</v>
      </c>
      <c r="G7" s="18">
        <v>-6</v>
      </c>
      <c r="H7" s="18">
        <v>64</v>
      </c>
      <c r="I7" s="18">
        <v>77585</v>
      </c>
    </row>
    <row r="8" spans="1:9" x14ac:dyDescent="0.25">
      <c r="A8" s="9" t="s">
        <v>47</v>
      </c>
      <c r="B8" s="18">
        <v>-3</v>
      </c>
      <c r="C8" s="18">
        <v>37</v>
      </c>
      <c r="D8" s="18">
        <v>175500</v>
      </c>
    </row>
    <row r="9" spans="1:9" x14ac:dyDescent="0.25">
      <c r="A9" s="9" t="s">
        <v>49</v>
      </c>
      <c r="B9" s="18">
        <v>-3</v>
      </c>
      <c r="C9" s="18">
        <v>37</v>
      </c>
      <c r="D9" s="18">
        <v>70200</v>
      </c>
    </row>
    <row r="10" spans="1:9" x14ac:dyDescent="0.25">
      <c r="A10" s="9" t="s">
        <v>51</v>
      </c>
      <c r="B10" s="18">
        <v>-3</v>
      </c>
      <c r="C10" s="18">
        <v>37</v>
      </c>
      <c r="D10" s="18">
        <v>456300</v>
      </c>
    </row>
    <row r="11" spans="1:9" x14ac:dyDescent="0.25">
      <c r="A11" s="7" t="s">
        <v>63</v>
      </c>
      <c r="B11" s="18">
        <v>251</v>
      </c>
      <c r="C11" s="18">
        <v>64</v>
      </c>
      <c r="D11" s="18">
        <v>186340</v>
      </c>
    </row>
    <row r="12" spans="1:9" x14ac:dyDescent="0.25">
      <c r="A12" s="9" t="s">
        <v>70</v>
      </c>
      <c r="B12" s="18">
        <v>29</v>
      </c>
      <c r="C12" s="18">
        <v>16</v>
      </c>
      <c r="D12" s="18">
        <v>24860</v>
      </c>
    </row>
    <row r="13" spans="1:9" x14ac:dyDescent="0.25">
      <c r="A13" s="9" t="s">
        <v>226</v>
      </c>
      <c r="B13" s="18">
        <v>37</v>
      </c>
      <c r="C13" s="18">
        <v>8</v>
      </c>
      <c r="D13" s="18">
        <v>24860</v>
      </c>
    </row>
    <row r="14" spans="1:9" x14ac:dyDescent="0.25">
      <c r="A14" s="9" t="s">
        <v>228</v>
      </c>
      <c r="B14" s="18">
        <v>37</v>
      </c>
      <c r="C14" s="18">
        <v>8</v>
      </c>
      <c r="D14" s="18">
        <v>24860</v>
      </c>
    </row>
    <row r="15" spans="1:9" x14ac:dyDescent="0.25">
      <c r="A15" s="9" t="s">
        <v>230</v>
      </c>
      <c r="B15" s="18">
        <v>37</v>
      </c>
      <c r="C15" s="18">
        <v>8</v>
      </c>
      <c r="D15" s="18">
        <v>24860</v>
      </c>
    </row>
    <row r="16" spans="1:9" x14ac:dyDescent="0.25">
      <c r="A16" s="9" t="s">
        <v>232</v>
      </c>
      <c r="B16" s="18">
        <v>37</v>
      </c>
      <c r="C16" s="18">
        <v>8</v>
      </c>
      <c r="D16" s="18">
        <v>28800</v>
      </c>
    </row>
    <row r="17" spans="1:4" x14ac:dyDescent="0.25">
      <c r="A17" s="9" t="s">
        <v>234</v>
      </c>
      <c r="B17" s="18">
        <v>37</v>
      </c>
      <c r="C17" s="18">
        <v>8</v>
      </c>
      <c r="D17" s="18">
        <v>28800</v>
      </c>
    </row>
    <row r="18" spans="1:4" x14ac:dyDescent="0.25">
      <c r="A18" s="9" t="s">
        <v>236</v>
      </c>
      <c r="B18" s="18">
        <v>37</v>
      </c>
      <c r="C18" s="18">
        <v>8</v>
      </c>
      <c r="D18" s="18">
        <v>29300</v>
      </c>
    </row>
    <row r="19" spans="1:4" x14ac:dyDescent="0.25">
      <c r="A19" s="7" t="s">
        <v>76</v>
      </c>
      <c r="B19" s="18">
        <v>8</v>
      </c>
      <c r="C19" s="18">
        <v>37</v>
      </c>
      <c r="D19" s="18">
        <v>53862.5</v>
      </c>
    </row>
    <row r="20" spans="1:4" x14ac:dyDescent="0.25">
      <c r="A20" s="9" t="s">
        <v>78</v>
      </c>
      <c r="B20" s="18">
        <v>8</v>
      </c>
      <c r="C20" s="18">
        <v>37</v>
      </c>
      <c r="D20" s="18">
        <v>53862.5</v>
      </c>
    </row>
    <row r="21" spans="1:4" x14ac:dyDescent="0.25">
      <c r="A21" s="7" t="s">
        <v>114</v>
      </c>
      <c r="B21" s="18"/>
      <c r="C21" s="18">
        <v>31</v>
      </c>
      <c r="D21" s="18">
        <v>324964.77</v>
      </c>
    </row>
    <row r="22" spans="1:4" x14ac:dyDescent="0.25">
      <c r="A22" s="9" t="s">
        <v>116</v>
      </c>
      <c r="B22" s="18"/>
      <c r="C22" s="18">
        <v>22</v>
      </c>
      <c r="D22" s="18">
        <v>147743.07</v>
      </c>
    </row>
    <row r="23" spans="1:4" x14ac:dyDescent="0.25">
      <c r="A23" s="9" t="s">
        <v>272</v>
      </c>
      <c r="B23" s="18"/>
      <c r="C23" s="18">
        <v>9</v>
      </c>
      <c r="D23" s="18">
        <v>177221.7</v>
      </c>
    </row>
    <row r="24" spans="1:4" x14ac:dyDescent="0.25">
      <c r="A24" s="7" t="s">
        <v>118</v>
      </c>
      <c r="B24" s="18"/>
      <c r="C24" s="18">
        <v>8</v>
      </c>
      <c r="D24" s="18">
        <v>35553</v>
      </c>
    </row>
    <row r="25" spans="1:4" x14ac:dyDescent="0.25">
      <c r="A25" s="9" t="s">
        <v>284</v>
      </c>
      <c r="B25" s="18"/>
      <c r="C25" s="18">
        <v>8</v>
      </c>
      <c r="D25" s="18">
        <v>35553</v>
      </c>
    </row>
    <row r="26" spans="1:4" x14ac:dyDescent="0.25">
      <c r="A26" s="7" t="s">
        <v>131</v>
      </c>
      <c r="B26" s="18">
        <v>30</v>
      </c>
      <c r="C26" s="18">
        <v>60</v>
      </c>
      <c r="D26" s="18">
        <v>81372</v>
      </c>
    </row>
    <row r="27" spans="1:4" x14ac:dyDescent="0.25">
      <c r="A27" s="9" t="s">
        <v>290</v>
      </c>
      <c r="B27" s="18">
        <v>15</v>
      </c>
      <c r="C27" s="18">
        <v>30</v>
      </c>
      <c r="D27" s="18">
        <v>40636</v>
      </c>
    </row>
    <row r="28" spans="1:4" x14ac:dyDescent="0.25">
      <c r="A28" s="9" t="s">
        <v>292</v>
      </c>
      <c r="B28" s="18">
        <v>15</v>
      </c>
      <c r="C28" s="18">
        <v>30</v>
      </c>
      <c r="D28" s="18">
        <v>40736</v>
      </c>
    </row>
    <row r="29" spans="1:4" x14ac:dyDescent="0.25">
      <c r="A29" s="7" t="s">
        <v>274</v>
      </c>
      <c r="B29" s="18"/>
      <c r="C29" s="18">
        <v>9</v>
      </c>
      <c r="D29" s="18">
        <v>334800</v>
      </c>
    </row>
    <row r="30" spans="1:4" x14ac:dyDescent="0.25">
      <c r="A30" s="9" t="s">
        <v>276</v>
      </c>
      <c r="B30" s="18"/>
      <c r="C30" s="18">
        <v>9</v>
      </c>
      <c r="D30" s="18">
        <v>334800</v>
      </c>
    </row>
    <row r="31" spans="1:4" x14ac:dyDescent="0.25">
      <c r="A31" s="7" t="s">
        <v>278</v>
      </c>
      <c r="B31" s="18"/>
      <c r="C31" s="18">
        <v>9</v>
      </c>
      <c r="D31" s="18">
        <v>669600</v>
      </c>
    </row>
    <row r="32" spans="1:4" x14ac:dyDescent="0.25">
      <c r="A32" s="9" t="s">
        <v>280</v>
      </c>
      <c r="B32" s="18"/>
      <c r="C32" s="18">
        <v>9</v>
      </c>
      <c r="D32" s="18">
        <v>669600</v>
      </c>
    </row>
    <row r="33" spans="1:4" x14ac:dyDescent="0.25">
      <c r="A33" s="7" t="s">
        <v>286</v>
      </c>
      <c r="B33" s="18"/>
      <c r="C33" s="18">
        <v>8</v>
      </c>
      <c r="D33" s="18">
        <v>76700</v>
      </c>
    </row>
    <row r="34" spans="1:4" x14ac:dyDescent="0.25">
      <c r="A34" s="9" t="s">
        <v>288</v>
      </c>
      <c r="B34" s="18"/>
      <c r="C34" s="18">
        <v>8</v>
      </c>
      <c r="D34" s="18">
        <v>76700</v>
      </c>
    </row>
    <row r="35" spans="1:4" x14ac:dyDescent="0.25">
      <c r="A35" s="7" t="s">
        <v>208</v>
      </c>
      <c r="B35" s="18">
        <v>295</v>
      </c>
      <c r="C35" s="18">
        <v>421</v>
      </c>
      <c r="D35" s="18">
        <v>2656892.27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23"/>
  <sheetViews>
    <sheetView tabSelected="1" workbookViewId="0">
      <selection activeCell="F33" sqref="F33"/>
    </sheetView>
  </sheetViews>
  <sheetFormatPr baseColWidth="10" defaultColWidth="8.88671875" defaultRowHeight="13.2" outlineLevelRow="2" x14ac:dyDescent="0.25"/>
  <cols>
    <col min="1" max="1" width="12" bestFit="1" customWidth="1"/>
    <col min="2" max="2" width="37" bestFit="1" customWidth="1"/>
    <col min="3" max="3" width="14" bestFit="1" customWidth="1"/>
    <col min="4" max="4" width="18" bestFit="1" customWidth="1"/>
    <col min="5" max="5" width="12" bestFit="1" customWidth="1"/>
    <col min="6" max="6" width="20" customWidth="1"/>
    <col min="7" max="7" width="18" customWidth="1"/>
    <col min="8" max="8" width="15" customWidth="1"/>
    <col min="9" max="9" width="12" customWidth="1"/>
    <col min="10" max="10" width="14" customWidth="1"/>
    <col min="11" max="11" width="26" customWidth="1"/>
    <col min="12" max="13" width="11.44140625" customWidth="1"/>
    <col min="14" max="14" width="10.88671875" bestFit="1" customWidth="1"/>
    <col min="15" max="15" width="12.77734375" bestFit="1" customWidth="1"/>
    <col min="16" max="16" width="12.21875" bestFit="1" customWidth="1"/>
    <col min="17" max="17" width="14.109375" customWidth="1"/>
    <col min="18" max="18" width="12.6640625" bestFit="1" customWidth="1"/>
  </cols>
  <sheetData>
    <row r="1" spans="1:18" ht="52.8" x14ac:dyDescent="0.25">
      <c r="A1" s="1" t="s">
        <v>192</v>
      </c>
      <c r="B1" s="1" t="s">
        <v>193</v>
      </c>
      <c r="C1" s="1" t="s">
        <v>194</v>
      </c>
      <c r="D1" s="1" t="s">
        <v>195</v>
      </c>
      <c r="E1" s="5" t="s">
        <v>196</v>
      </c>
      <c r="F1" s="1" t="s">
        <v>197</v>
      </c>
      <c r="G1" s="5" t="s">
        <v>198</v>
      </c>
      <c r="H1" s="1" t="s">
        <v>199</v>
      </c>
      <c r="I1" s="5" t="s">
        <v>200</v>
      </c>
      <c r="J1" s="5" t="s">
        <v>201</v>
      </c>
      <c r="K1" s="1" t="s">
        <v>224</v>
      </c>
      <c r="L1" s="22" t="s">
        <v>211</v>
      </c>
      <c r="M1" s="10" t="s">
        <v>212</v>
      </c>
      <c r="N1" s="22" t="s">
        <v>213</v>
      </c>
      <c r="O1" s="23" t="s">
        <v>214</v>
      </c>
      <c r="P1" s="23" t="s">
        <v>215</v>
      </c>
      <c r="Q1" s="11" t="s">
        <v>216</v>
      </c>
      <c r="R1" s="12" t="s">
        <v>217</v>
      </c>
    </row>
    <row r="2" spans="1:18" hidden="1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45980</v>
      </c>
      <c r="G2" s="3">
        <v>131</v>
      </c>
      <c r="H2" s="2">
        <v>45987</v>
      </c>
      <c r="I2" s="4">
        <v>42.48</v>
      </c>
      <c r="J2" t="s">
        <v>5</v>
      </c>
      <c r="K2" t="s">
        <v>202</v>
      </c>
      <c r="O2" s="13">
        <f>H2</f>
        <v>45987</v>
      </c>
      <c r="P2" s="14">
        <f>I2/3.467</f>
        <v>12.252668012691085</v>
      </c>
    </row>
    <row r="3" spans="1:18" hidden="1" outlineLevel="2" x14ac:dyDescent="0.25">
      <c r="A3" t="s">
        <v>0</v>
      </c>
      <c r="B3" t="s">
        <v>1</v>
      </c>
      <c r="C3" t="s">
        <v>6</v>
      </c>
      <c r="D3" t="s">
        <v>7</v>
      </c>
      <c r="E3" t="s">
        <v>4</v>
      </c>
      <c r="F3" s="2">
        <v>45980</v>
      </c>
      <c r="G3" s="3">
        <v>131</v>
      </c>
      <c r="H3" s="2">
        <v>45987</v>
      </c>
      <c r="I3" s="4">
        <v>14.16</v>
      </c>
      <c r="J3" t="s">
        <v>5</v>
      </c>
      <c r="K3" t="s">
        <v>202</v>
      </c>
      <c r="O3" s="13">
        <f t="shared" ref="O3:O18" si="0">H3</f>
        <v>45987</v>
      </c>
      <c r="P3" s="14">
        <f t="shared" ref="P3:P18" si="1">I3/3.467</f>
        <v>4.0842226708970291</v>
      </c>
    </row>
    <row r="4" spans="1:18" hidden="1" outlineLevel="2" x14ac:dyDescent="0.25">
      <c r="A4" t="s">
        <v>0</v>
      </c>
      <c r="B4" t="s">
        <v>1</v>
      </c>
      <c r="C4" t="s">
        <v>8</v>
      </c>
      <c r="D4" t="s">
        <v>9</v>
      </c>
      <c r="E4" t="s">
        <v>4</v>
      </c>
      <c r="F4" s="2">
        <v>45980</v>
      </c>
      <c r="G4" s="3">
        <v>131</v>
      </c>
      <c r="H4" s="2">
        <v>45987</v>
      </c>
      <c r="I4" s="4">
        <v>14.16</v>
      </c>
      <c r="J4" t="s">
        <v>5</v>
      </c>
      <c r="K4" t="s">
        <v>202</v>
      </c>
      <c r="O4" s="13">
        <f t="shared" si="0"/>
        <v>45987</v>
      </c>
      <c r="P4" s="14">
        <f t="shared" si="1"/>
        <v>4.0842226708970291</v>
      </c>
    </row>
    <row r="5" spans="1:18" hidden="1" outlineLevel="2" x14ac:dyDescent="0.25">
      <c r="A5" t="s">
        <v>0</v>
      </c>
      <c r="B5" t="s">
        <v>1</v>
      </c>
      <c r="C5" t="s">
        <v>10</v>
      </c>
      <c r="D5" t="s">
        <v>11</v>
      </c>
      <c r="E5" t="s">
        <v>4</v>
      </c>
      <c r="F5" s="2">
        <v>45981</v>
      </c>
      <c r="G5" s="3">
        <v>130</v>
      </c>
      <c r="H5" s="2">
        <v>45988</v>
      </c>
      <c r="I5" s="4">
        <v>28.32</v>
      </c>
      <c r="J5" t="s">
        <v>5</v>
      </c>
      <c r="K5" t="s">
        <v>202</v>
      </c>
      <c r="O5" s="13">
        <f t="shared" si="0"/>
        <v>45988</v>
      </c>
      <c r="P5" s="14">
        <f t="shared" si="1"/>
        <v>8.1684453417940581</v>
      </c>
    </row>
    <row r="6" spans="1:18" hidden="1" outlineLevel="2" x14ac:dyDescent="0.25">
      <c r="A6" t="s">
        <v>0</v>
      </c>
      <c r="B6" t="s">
        <v>1</v>
      </c>
      <c r="C6" t="s">
        <v>12</v>
      </c>
      <c r="D6" t="s">
        <v>13</v>
      </c>
      <c r="E6" t="s">
        <v>4</v>
      </c>
      <c r="F6" s="2">
        <v>45981</v>
      </c>
      <c r="G6" s="3">
        <v>130</v>
      </c>
      <c r="H6" s="2">
        <v>45988</v>
      </c>
      <c r="I6" s="4">
        <v>14.16</v>
      </c>
      <c r="J6" t="s">
        <v>5</v>
      </c>
      <c r="K6" t="s">
        <v>202</v>
      </c>
      <c r="O6" s="13">
        <f t="shared" si="0"/>
        <v>45988</v>
      </c>
      <c r="P6" s="14">
        <f t="shared" si="1"/>
        <v>4.0842226708970291</v>
      </c>
    </row>
    <row r="7" spans="1:18" hidden="1" outlineLevel="2" x14ac:dyDescent="0.25">
      <c r="A7" t="s">
        <v>0</v>
      </c>
      <c r="B7" t="s">
        <v>1</v>
      </c>
      <c r="C7" t="s">
        <v>14</v>
      </c>
      <c r="D7" t="s">
        <v>15</v>
      </c>
      <c r="E7" t="s">
        <v>4</v>
      </c>
      <c r="F7" s="2">
        <v>45982</v>
      </c>
      <c r="G7" s="3">
        <v>129</v>
      </c>
      <c r="H7" s="2">
        <v>45989</v>
      </c>
      <c r="I7" s="4">
        <v>28.32</v>
      </c>
      <c r="J7" t="s">
        <v>5</v>
      </c>
      <c r="K7" t="s">
        <v>202</v>
      </c>
      <c r="O7" s="13">
        <f t="shared" si="0"/>
        <v>45989</v>
      </c>
      <c r="P7" s="14">
        <f t="shared" si="1"/>
        <v>8.1684453417940581</v>
      </c>
    </row>
    <row r="8" spans="1:18" hidden="1" outlineLevel="2" x14ac:dyDescent="0.25">
      <c r="A8" t="s">
        <v>0</v>
      </c>
      <c r="B8" t="s">
        <v>1</v>
      </c>
      <c r="C8" t="s">
        <v>16</v>
      </c>
      <c r="D8" t="s">
        <v>17</v>
      </c>
      <c r="E8" t="s">
        <v>4</v>
      </c>
      <c r="F8" s="2">
        <v>45982</v>
      </c>
      <c r="G8" s="3">
        <v>129</v>
      </c>
      <c r="H8" s="2">
        <v>45989</v>
      </c>
      <c r="I8" s="4">
        <v>42.48</v>
      </c>
      <c r="J8" t="s">
        <v>5</v>
      </c>
      <c r="K8" t="s">
        <v>202</v>
      </c>
      <c r="O8" s="13">
        <f t="shared" si="0"/>
        <v>45989</v>
      </c>
      <c r="P8" s="14">
        <f t="shared" si="1"/>
        <v>12.252668012691085</v>
      </c>
    </row>
    <row r="9" spans="1:18" hidden="1" outlineLevel="2" x14ac:dyDescent="0.25">
      <c r="A9" t="s">
        <v>0</v>
      </c>
      <c r="B9" t="s">
        <v>1</v>
      </c>
      <c r="C9" t="s">
        <v>18</v>
      </c>
      <c r="D9" t="s">
        <v>19</v>
      </c>
      <c r="E9" t="s">
        <v>4</v>
      </c>
      <c r="F9" s="2">
        <v>45982</v>
      </c>
      <c r="G9" s="3">
        <v>129</v>
      </c>
      <c r="H9" s="2">
        <v>45989</v>
      </c>
      <c r="I9" s="4">
        <v>42.48</v>
      </c>
      <c r="J9" t="s">
        <v>5</v>
      </c>
      <c r="K9" t="s">
        <v>202</v>
      </c>
      <c r="O9" s="13">
        <f t="shared" si="0"/>
        <v>45989</v>
      </c>
      <c r="P9" s="14">
        <f t="shared" si="1"/>
        <v>12.252668012691085</v>
      </c>
    </row>
    <row r="10" spans="1:18" hidden="1" outlineLevel="2" x14ac:dyDescent="0.25">
      <c r="A10" t="s">
        <v>0</v>
      </c>
      <c r="B10" t="s">
        <v>1</v>
      </c>
      <c r="C10" t="s">
        <v>20</v>
      </c>
      <c r="D10" t="s">
        <v>21</v>
      </c>
      <c r="E10" t="s">
        <v>4</v>
      </c>
      <c r="F10" s="2">
        <v>45982</v>
      </c>
      <c r="G10" s="3">
        <v>129</v>
      </c>
      <c r="H10" s="2">
        <v>45989</v>
      </c>
      <c r="I10" s="4">
        <v>14.16</v>
      </c>
      <c r="J10" t="s">
        <v>5</v>
      </c>
      <c r="K10" t="s">
        <v>202</v>
      </c>
      <c r="O10" s="13">
        <f t="shared" si="0"/>
        <v>45989</v>
      </c>
      <c r="P10" s="14">
        <f t="shared" si="1"/>
        <v>4.0842226708970291</v>
      </c>
    </row>
    <row r="11" spans="1:18" hidden="1" outlineLevel="2" x14ac:dyDescent="0.25">
      <c r="A11" t="s">
        <v>0</v>
      </c>
      <c r="B11" t="s">
        <v>1</v>
      </c>
      <c r="C11" t="s">
        <v>22</v>
      </c>
      <c r="D11" t="s">
        <v>23</v>
      </c>
      <c r="E11" t="s">
        <v>4</v>
      </c>
      <c r="F11" s="2">
        <v>45983</v>
      </c>
      <c r="G11" s="3">
        <v>128</v>
      </c>
      <c r="H11" s="2">
        <v>45990</v>
      </c>
      <c r="I11" s="4">
        <v>28.32</v>
      </c>
      <c r="J11" t="s">
        <v>5</v>
      </c>
      <c r="K11" t="s">
        <v>202</v>
      </c>
      <c r="O11" s="13">
        <f t="shared" si="0"/>
        <v>45990</v>
      </c>
      <c r="P11" s="14">
        <f t="shared" si="1"/>
        <v>8.1684453417940581</v>
      </c>
    </row>
    <row r="12" spans="1:18" hidden="1" outlineLevel="2" x14ac:dyDescent="0.25">
      <c r="A12" t="s">
        <v>0</v>
      </c>
      <c r="B12" t="s">
        <v>1</v>
      </c>
      <c r="C12" t="s">
        <v>24</v>
      </c>
      <c r="D12" t="s">
        <v>25</v>
      </c>
      <c r="E12" t="s">
        <v>4</v>
      </c>
      <c r="F12" s="2">
        <v>45988</v>
      </c>
      <c r="G12" s="3">
        <v>123</v>
      </c>
      <c r="H12" s="2">
        <v>45995</v>
      </c>
      <c r="I12" s="4">
        <v>14.16</v>
      </c>
      <c r="J12" t="s">
        <v>5</v>
      </c>
      <c r="K12" t="s">
        <v>202</v>
      </c>
      <c r="O12" s="13">
        <f t="shared" si="0"/>
        <v>45995</v>
      </c>
      <c r="P12" s="14">
        <f t="shared" si="1"/>
        <v>4.0842226708970291</v>
      </c>
    </row>
    <row r="13" spans="1:18" hidden="1" outlineLevel="2" x14ac:dyDescent="0.25">
      <c r="A13" t="s">
        <v>0</v>
      </c>
      <c r="B13" t="s">
        <v>1</v>
      </c>
      <c r="C13" t="s">
        <v>26</v>
      </c>
      <c r="D13" t="s">
        <v>27</v>
      </c>
      <c r="E13" t="s">
        <v>4</v>
      </c>
      <c r="F13" s="2">
        <v>46028</v>
      </c>
      <c r="G13" s="3">
        <v>83</v>
      </c>
      <c r="H13" s="2">
        <v>46035</v>
      </c>
      <c r="I13" s="4">
        <v>14.16</v>
      </c>
      <c r="J13" t="s">
        <v>5</v>
      </c>
      <c r="K13" t="s">
        <v>202</v>
      </c>
      <c r="O13" s="13">
        <f t="shared" si="0"/>
        <v>46035</v>
      </c>
      <c r="P13" s="14">
        <f t="shared" si="1"/>
        <v>4.0842226708970291</v>
      </c>
    </row>
    <row r="14" spans="1:18" hidden="1" outlineLevel="2" x14ac:dyDescent="0.25">
      <c r="A14" t="s">
        <v>0</v>
      </c>
      <c r="B14" t="s">
        <v>1</v>
      </c>
      <c r="C14" t="s">
        <v>28</v>
      </c>
      <c r="D14" t="s">
        <v>29</v>
      </c>
      <c r="E14" t="s">
        <v>4</v>
      </c>
      <c r="F14" s="2">
        <v>46030</v>
      </c>
      <c r="G14" s="3">
        <v>81</v>
      </c>
      <c r="H14" s="2">
        <v>46037</v>
      </c>
      <c r="I14" s="4">
        <v>14.16</v>
      </c>
      <c r="J14" t="s">
        <v>5</v>
      </c>
      <c r="K14" t="s">
        <v>202</v>
      </c>
      <c r="O14" s="13">
        <f t="shared" si="0"/>
        <v>46037</v>
      </c>
      <c r="P14" s="14">
        <f t="shared" si="1"/>
        <v>4.0842226708970291</v>
      </c>
    </row>
    <row r="15" spans="1:18" hidden="1" outlineLevel="2" x14ac:dyDescent="0.25">
      <c r="A15" t="s">
        <v>0</v>
      </c>
      <c r="B15" t="s">
        <v>1</v>
      </c>
      <c r="C15" t="s">
        <v>30</v>
      </c>
      <c r="D15" t="s">
        <v>31</v>
      </c>
      <c r="E15" t="s">
        <v>4</v>
      </c>
      <c r="F15" s="2">
        <v>46032</v>
      </c>
      <c r="G15" s="3">
        <v>79</v>
      </c>
      <c r="H15" s="2">
        <v>46039</v>
      </c>
      <c r="I15" s="4">
        <v>14.16</v>
      </c>
      <c r="J15" t="s">
        <v>5</v>
      </c>
      <c r="K15" t="s">
        <v>202</v>
      </c>
      <c r="O15" s="13">
        <f t="shared" si="0"/>
        <v>46039</v>
      </c>
      <c r="P15" s="14">
        <f t="shared" si="1"/>
        <v>4.0842226708970291</v>
      </c>
    </row>
    <row r="16" spans="1:18" hidden="1" outlineLevel="2" x14ac:dyDescent="0.25">
      <c r="A16" t="s">
        <v>0</v>
      </c>
      <c r="B16" t="s">
        <v>1</v>
      </c>
      <c r="C16" t="s">
        <v>32</v>
      </c>
      <c r="D16" t="s">
        <v>33</v>
      </c>
      <c r="E16" t="s">
        <v>4</v>
      </c>
      <c r="F16" s="2">
        <v>46038</v>
      </c>
      <c r="G16" s="3">
        <v>73</v>
      </c>
      <c r="H16" s="2">
        <v>46045</v>
      </c>
      <c r="I16" s="4">
        <v>14.16</v>
      </c>
      <c r="J16" t="s">
        <v>5</v>
      </c>
      <c r="K16" t="s">
        <v>202</v>
      </c>
      <c r="O16" s="13">
        <f t="shared" si="0"/>
        <v>46045</v>
      </c>
      <c r="P16" s="14">
        <f t="shared" si="1"/>
        <v>4.0842226708970291</v>
      </c>
    </row>
    <row r="17" spans="1:18" hidden="1" outlineLevel="2" x14ac:dyDescent="0.25">
      <c r="A17" t="s">
        <v>0</v>
      </c>
      <c r="B17" t="s">
        <v>1</v>
      </c>
      <c r="C17" t="s">
        <v>34</v>
      </c>
      <c r="D17" t="s">
        <v>35</v>
      </c>
      <c r="E17" t="s">
        <v>4</v>
      </c>
      <c r="F17" s="2">
        <v>46038</v>
      </c>
      <c r="G17" s="3">
        <v>73</v>
      </c>
      <c r="H17" s="2">
        <v>46045</v>
      </c>
      <c r="I17" s="4">
        <v>14.16</v>
      </c>
      <c r="J17" t="s">
        <v>5</v>
      </c>
      <c r="K17" t="s">
        <v>202</v>
      </c>
      <c r="O17" s="13">
        <f t="shared" si="0"/>
        <v>46045</v>
      </c>
      <c r="P17" s="14">
        <f t="shared" si="1"/>
        <v>4.0842226708970291</v>
      </c>
    </row>
    <row r="18" spans="1:18" hidden="1" outlineLevel="2" x14ac:dyDescent="0.25">
      <c r="A18" t="s">
        <v>0</v>
      </c>
      <c r="B18" t="s">
        <v>1</v>
      </c>
      <c r="C18" t="s">
        <v>36</v>
      </c>
      <c r="D18" t="s">
        <v>37</v>
      </c>
      <c r="E18" t="s">
        <v>4</v>
      </c>
      <c r="F18" s="2">
        <v>46041</v>
      </c>
      <c r="G18" s="3">
        <v>70</v>
      </c>
      <c r="H18" s="2">
        <v>46048</v>
      </c>
      <c r="I18" s="4">
        <v>14.16</v>
      </c>
      <c r="J18" t="s">
        <v>5</v>
      </c>
      <c r="K18" t="s">
        <v>202</v>
      </c>
      <c r="O18" s="13">
        <f t="shared" si="0"/>
        <v>46048</v>
      </c>
      <c r="P18" s="14">
        <f t="shared" si="1"/>
        <v>4.0842226708970291</v>
      </c>
    </row>
    <row r="19" spans="1:18" outlineLevel="2" x14ac:dyDescent="0.25">
      <c r="A19" t="s">
        <v>38</v>
      </c>
      <c r="B19" t="s">
        <v>39</v>
      </c>
      <c r="C19" t="s">
        <v>40</v>
      </c>
      <c r="D19" t="s">
        <v>41</v>
      </c>
      <c r="E19" t="s">
        <v>42</v>
      </c>
      <c r="F19" s="2">
        <v>46076</v>
      </c>
      <c r="G19" s="3">
        <v>-3</v>
      </c>
      <c r="H19" s="2">
        <v>46121</v>
      </c>
      <c r="I19" s="4">
        <v>70200</v>
      </c>
      <c r="J19" t="s">
        <v>43</v>
      </c>
      <c r="K19" t="s">
        <v>204</v>
      </c>
      <c r="L19" s="13">
        <f>F19+45</f>
        <v>46121</v>
      </c>
      <c r="M19" s="15">
        <f ca="1">N19-TODAY()</f>
        <v>17</v>
      </c>
      <c r="N19" s="13">
        <v>46136</v>
      </c>
      <c r="O19" s="24">
        <v>46136</v>
      </c>
      <c r="P19" s="25">
        <f>I19</f>
        <v>70200</v>
      </c>
      <c r="Q19" s="16">
        <f ca="1">TODAY()-F19</f>
        <v>43</v>
      </c>
      <c r="R19" s="17" t="s">
        <v>218</v>
      </c>
    </row>
    <row r="20" spans="1:18" outlineLevel="2" x14ac:dyDescent="0.25">
      <c r="A20" t="s">
        <v>38</v>
      </c>
      <c r="B20" t="s">
        <v>39</v>
      </c>
      <c r="C20" t="s">
        <v>44</v>
      </c>
      <c r="D20" t="s">
        <v>45</v>
      </c>
      <c r="E20" t="s">
        <v>42</v>
      </c>
      <c r="F20" s="2">
        <v>46076</v>
      </c>
      <c r="G20" s="3">
        <v>-3</v>
      </c>
      <c r="H20" s="2">
        <v>46121</v>
      </c>
      <c r="I20" s="4">
        <v>121500</v>
      </c>
      <c r="J20" t="s">
        <v>43</v>
      </c>
      <c r="K20" t="s">
        <v>204</v>
      </c>
      <c r="L20" s="13">
        <f t="shared" ref="L20:L23" si="2">F20+45</f>
        <v>46121</v>
      </c>
      <c r="M20" s="15">
        <f t="shared" ref="M20:M23" ca="1" si="3">N20-TODAY()</f>
        <v>-4</v>
      </c>
      <c r="N20" s="13">
        <v>46115</v>
      </c>
      <c r="O20" s="24">
        <v>46122</v>
      </c>
      <c r="P20" s="25">
        <f t="shared" ref="P20:P23" si="4">I20</f>
        <v>121500</v>
      </c>
      <c r="Q20" s="16">
        <f t="shared" ref="Q20:Q23" ca="1" si="5">TODAY()-F20</f>
        <v>43</v>
      </c>
      <c r="R20" s="17" t="s">
        <v>218</v>
      </c>
    </row>
    <row r="21" spans="1:18" outlineLevel="2" x14ac:dyDescent="0.25">
      <c r="A21" t="s">
        <v>38</v>
      </c>
      <c r="B21" t="s">
        <v>39</v>
      </c>
      <c r="C21" t="s">
        <v>46</v>
      </c>
      <c r="D21" s="20" t="s">
        <v>47</v>
      </c>
      <c r="E21" t="s">
        <v>42</v>
      </c>
      <c r="F21" s="2">
        <v>46081</v>
      </c>
      <c r="G21" s="3">
        <v>-8</v>
      </c>
      <c r="H21" s="2">
        <v>46126</v>
      </c>
      <c r="I21" s="4">
        <v>175500</v>
      </c>
      <c r="J21" t="s">
        <v>43</v>
      </c>
      <c r="K21" t="s">
        <v>204</v>
      </c>
      <c r="L21" s="13">
        <f t="shared" si="2"/>
        <v>46126</v>
      </c>
      <c r="M21" s="15">
        <f t="shared" ca="1" si="3"/>
        <v>-4</v>
      </c>
      <c r="N21" s="13">
        <v>46115</v>
      </c>
      <c r="O21" s="24">
        <v>46118</v>
      </c>
      <c r="P21" s="25">
        <f t="shared" si="4"/>
        <v>175500</v>
      </c>
      <c r="Q21" s="16">
        <f t="shared" ca="1" si="5"/>
        <v>38</v>
      </c>
      <c r="R21" s="17" t="s">
        <v>218</v>
      </c>
    </row>
    <row r="22" spans="1:18" outlineLevel="2" x14ac:dyDescent="0.25">
      <c r="A22" t="s">
        <v>38</v>
      </c>
      <c r="B22" t="s">
        <v>39</v>
      </c>
      <c r="C22" t="s">
        <v>48</v>
      </c>
      <c r="D22" t="s">
        <v>49</v>
      </c>
      <c r="E22" t="s">
        <v>42</v>
      </c>
      <c r="F22" s="2">
        <v>46081</v>
      </c>
      <c r="G22" s="3">
        <v>-8</v>
      </c>
      <c r="H22" s="2">
        <v>46126</v>
      </c>
      <c r="I22" s="4">
        <v>70200</v>
      </c>
      <c r="J22" t="s">
        <v>43</v>
      </c>
      <c r="K22" t="s">
        <v>204</v>
      </c>
      <c r="L22" s="13">
        <f t="shared" si="2"/>
        <v>46126</v>
      </c>
      <c r="M22" s="15">
        <f t="shared" ca="1" si="3"/>
        <v>-4</v>
      </c>
      <c r="N22" s="13">
        <v>46115</v>
      </c>
      <c r="O22" s="24">
        <v>46122</v>
      </c>
      <c r="P22" s="25">
        <f t="shared" si="4"/>
        <v>70200</v>
      </c>
      <c r="Q22" s="16">
        <f t="shared" ca="1" si="5"/>
        <v>38</v>
      </c>
      <c r="R22" s="17" t="s">
        <v>218</v>
      </c>
    </row>
    <row r="23" spans="1:18" outlineLevel="2" x14ac:dyDescent="0.25">
      <c r="A23" t="s">
        <v>38</v>
      </c>
      <c r="B23" t="s">
        <v>39</v>
      </c>
      <c r="C23" t="s">
        <v>50</v>
      </c>
      <c r="D23" t="s">
        <v>51</v>
      </c>
      <c r="E23" t="s">
        <v>42</v>
      </c>
      <c r="F23" s="2">
        <v>46081</v>
      </c>
      <c r="G23" s="3">
        <v>-8</v>
      </c>
      <c r="H23" s="2">
        <v>46126</v>
      </c>
      <c r="I23" s="4">
        <v>456300</v>
      </c>
      <c r="J23" t="s">
        <v>43</v>
      </c>
      <c r="K23" t="s">
        <v>204</v>
      </c>
      <c r="L23" s="13">
        <f t="shared" si="2"/>
        <v>46126</v>
      </c>
      <c r="M23" s="15">
        <f t="shared" ca="1" si="3"/>
        <v>-4</v>
      </c>
      <c r="N23" s="13">
        <v>46115</v>
      </c>
      <c r="O23" s="24">
        <v>46122</v>
      </c>
      <c r="P23" s="25">
        <f t="shared" si="4"/>
        <v>456300</v>
      </c>
      <c r="Q23" s="16">
        <f t="shared" ca="1" si="5"/>
        <v>38</v>
      </c>
      <c r="R23" s="17" t="s">
        <v>218</v>
      </c>
    </row>
    <row r="24" spans="1:18" hidden="1" outlineLevel="2" x14ac:dyDescent="0.25">
      <c r="A24" t="s">
        <v>52</v>
      </c>
      <c r="B24" t="s">
        <v>53</v>
      </c>
      <c r="C24" t="s">
        <v>54</v>
      </c>
      <c r="D24" t="s">
        <v>55</v>
      </c>
      <c r="E24" t="s">
        <v>4</v>
      </c>
      <c r="F24" s="2">
        <v>46098</v>
      </c>
      <c r="G24" s="3">
        <v>13</v>
      </c>
      <c r="H24" s="2">
        <v>46105</v>
      </c>
      <c r="I24" s="4">
        <v>424.8</v>
      </c>
      <c r="J24" t="s">
        <v>5</v>
      </c>
      <c r="K24" t="s">
        <v>202</v>
      </c>
      <c r="O24" s="13">
        <f t="shared" ref="O24:O27" si="6">H24</f>
        <v>46105</v>
      </c>
      <c r="P24" s="14">
        <f t="shared" ref="P24:P27" si="7">I24/3.467</f>
        <v>122.52668012691088</v>
      </c>
    </row>
    <row r="25" spans="1:18" hidden="1" outlineLevel="2" x14ac:dyDescent="0.25">
      <c r="A25" t="s">
        <v>52</v>
      </c>
      <c r="B25" t="s">
        <v>53</v>
      </c>
      <c r="C25" t="s">
        <v>56</v>
      </c>
      <c r="D25" t="s">
        <v>57</v>
      </c>
      <c r="E25" t="s">
        <v>4</v>
      </c>
      <c r="F25" s="2">
        <v>46100</v>
      </c>
      <c r="G25" s="3">
        <v>11</v>
      </c>
      <c r="H25" s="2">
        <v>46107</v>
      </c>
      <c r="I25" s="4">
        <v>283.2</v>
      </c>
      <c r="J25" t="s">
        <v>5</v>
      </c>
      <c r="K25" t="s">
        <v>202</v>
      </c>
      <c r="O25" s="13">
        <f t="shared" si="6"/>
        <v>46107</v>
      </c>
      <c r="P25" s="14">
        <f t="shared" si="7"/>
        <v>81.684453417940574</v>
      </c>
    </row>
    <row r="26" spans="1:18" hidden="1" outlineLevel="2" x14ac:dyDescent="0.25">
      <c r="A26" t="s">
        <v>52</v>
      </c>
      <c r="B26" t="s">
        <v>53</v>
      </c>
      <c r="C26" t="s">
        <v>58</v>
      </c>
      <c r="D26" t="s">
        <v>59</v>
      </c>
      <c r="E26" t="s">
        <v>4</v>
      </c>
      <c r="F26" s="2">
        <v>46102</v>
      </c>
      <c r="G26" s="3">
        <v>9</v>
      </c>
      <c r="H26" s="2">
        <v>46109</v>
      </c>
      <c r="I26" s="4">
        <v>354</v>
      </c>
      <c r="J26" t="s">
        <v>5</v>
      </c>
      <c r="K26" t="s">
        <v>202</v>
      </c>
      <c r="O26" s="13">
        <f t="shared" si="6"/>
        <v>46109</v>
      </c>
      <c r="P26" s="14">
        <f t="shared" si="7"/>
        <v>102.10556677242573</v>
      </c>
    </row>
    <row r="27" spans="1:18" hidden="1" outlineLevel="2" x14ac:dyDescent="0.25">
      <c r="A27" t="s">
        <v>52</v>
      </c>
      <c r="B27" t="s">
        <v>53</v>
      </c>
      <c r="C27" t="s">
        <v>60</v>
      </c>
      <c r="D27" t="s">
        <v>61</v>
      </c>
      <c r="E27" t="s">
        <v>4</v>
      </c>
      <c r="F27" s="2">
        <v>46111</v>
      </c>
      <c r="G27" s="3">
        <v>0</v>
      </c>
      <c r="H27" s="2">
        <v>46118</v>
      </c>
      <c r="I27" s="4">
        <v>283.2</v>
      </c>
      <c r="J27" t="s">
        <v>5</v>
      </c>
      <c r="K27" t="s">
        <v>202</v>
      </c>
      <c r="O27" s="13">
        <f t="shared" si="6"/>
        <v>46118</v>
      </c>
      <c r="P27" s="14">
        <f t="shared" si="7"/>
        <v>81.684453417940574</v>
      </c>
    </row>
    <row r="28" spans="1:18" hidden="1" outlineLevel="2" x14ac:dyDescent="0.25">
      <c r="A28" t="s">
        <v>62</v>
      </c>
      <c r="B28" t="s">
        <v>63</v>
      </c>
      <c r="C28" t="s">
        <v>68</v>
      </c>
      <c r="D28" t="s">
        <v>64</v>
      </c>
      <c r="E28" t="s">
        <v>65</v>
      </c>
      <c r="F28" s="2">
        <v>46098</v>
      </c>
      <c r="G28" s="3">
        <v>0</v>
      </c>
      <c r="H28" s="2">
        <v>46112</v>
      </c>
      <c r="I28" s="4">
        <v>-8700</v>
      </c>
      <c r="J28" t="s">
        <v>43</v>
      </c>
      <c r="K28" t="s">
        <v>204</v>
      </c>
      <c r="O28" s="13">
        <f>H28</f>
        <v>46112</v>
      </c>
      <c r="P28" s="8">
        <f t="shared" ref="P28:P35" si="8">I28</f>
        <v>-8700</v>
      </c>
    </row>
    <row r="29" spans="1:18" outlineLevel="2" x14ac:dyDescent="0.25">
      <c r="A29" t="s">
        <v>62</v>
      </c>
      <c r="B29" t="s">
        <v>63</v>
      </c>
      <c r="C29" t="s">
        <v>69</v>
      </c>
      <c r="D29" t="s">
        <v>70</v>
      </c>
      <c r="E29" t="s">
        <v>42</v>
      </c>
      <c r="F29" s="2">
        <v>46102</v>
      </c>
      <c r="G29" s="3">
        <v>-29</v>
      </c>
      <c r="H29" s="2">
        <v>46147</v>
      </c>
      <c r="I29" s="4">
        <v>24860</v>
      </c>
      <c r="J29" t="s">
        <v>43</v>
      </c>
      <c r="K29" t="s">
        <v>204</v>
      </c>
      <c r="L29" s="13">
        <f t="shared" ref="L29:L35" si="9">F29+45</f>
        <v>46147</v>
      </c>
      <c r="M29" s="15">
        <f t="shared" ref="M29:M34" ca="1" si="10">N29-TODAY()</f>
        <v>28</v>
      </c>
      <c r="N29" s="13">
        <v>46147</v>
      </c>
      <c r="O29" s="24">
        <v>46147</v>
      </c>
      <c r="P29" s="25">
        <f t="shared" si="8"/>
        <v>24860</v>
      </c>
      <c r="Q29" s="16">
        <f t="shared" ref="Q29:Q35" ca="1" si="11">TODAY()-F29</f>
        <v>17</v>
      </c>
      <c r="R29" s="17" t="s">
        <v>218</v>
      </c>
    </row>
    <row r="30" spans="1:18" outlineLevel="2" x14ac:dyDescent="0.25">
      <c r="A30" t="s">
        <v>62</v>
      </c>
      <c r="B30" t="s">
        <v>63</v>
      </c>
      <c r="C30" t="s">
        <v>225</v>
      </c>
      <c r="D30" t="s">
        <v>226</v>
      </c>
      <c r="E30" t="s">
        <v>42</v>
      </c>
      <c r="F30" s="2">
        <v>46110</v>
      </c>
      <c r="G30" s="3">
        <v>-37</v>
      </c>
      <c r="H30" s="2">
        <v>46155</v>
      </c>
      <c r="I30" s="4">
        <v>24860</v>
      </c>
      <c r="J30" t="s">
        <v>43</v>
      </c>
      <c r="K30" t="s">
        <v>204</v>
      </c>
      <c r="L30" s="13">
        <f t="shared" si="9"/>
        <v>46155</v>
      </c>
      <c r="M30" s="15">
        <f t="shared" ca="1" si="10"/>
        <v>36</v>
      </c>
      <c r="N30" s="13">
        <v>46155</v>
      </c>
      <c r="O30" s="24">
        <v>46155</v>
      </c>
      <c r="P30" s="25">
        <f t="shared" si="8"/>
        <v>24860</v>
      </c>
      <c r="Q30" s="16">
        <f t="shared" ca="1" si="11"/>
        <v>9</v>
      </c>
      <c r="R30" s="17" t="s">
        <v>218</v>
      </c>
    </row>
    <row r="31" spans="1:18" outlineLevel="2" x14ac:dyDescent="0.25">
      <c r="A31" t="s">
        <v>62</v>
      </c>
      <c r="B31" t="s">
        <v>63</v>
      </c>
      <c r="C31" t="s">
        <v>227</v>
      </c>
      <c r="D31" t="s">
        <v>228</v>
      </c>
      <c r="E31" t="s">
        <v>42</v>
      </c>
      <c r="F31" s="2">
        <v>46110</v>
      </c>
      <c r="G31" s="3">
        <v>-37</v>
      </c>
      <c r="H31" s="2">
        <v>46155</v>
      </c>
      <c r="I31" s="4">
        <v>24860</v>
      </c>
      <c r="J31" t="s">
        <v>43</v>
      </c>
      <c r="K31" t="s">
        <v>204</v>
      </c>
      <c r="L31" s="13">
        <f t="shared" si="9"/>
        <v>46155</v>
      </c>
      <c r="M31" s="15">
        <f t="shared" ca="1" si="10"/>
        <v>36</v>
      </c>
      <c r="N31" s="13">
        <v>46155</v>
      </c>
      <c r="O31" s="24">
        <v>46155</v>
      </c>
      <c r="P31" s="25">
        <f t="shared" si="8"/>
        <v>24860</v>
      </c>
      <c r="Q31" s="16">
        <f t="shared" ca="1" si="11"/>
        <v>9</v>
      </c>
      <c r="R31" s="17" t="s">
        <v>218</v>
      </c>
    </row>
    <row r="32" spans="1:18" outlineLevel="2" x14ac:dyDescent="0.25">
      <c r="A32" t="s">
        <v>62</v>
      </c>
      <c r="B32" t="s">
        <v>63</v>
      </c>
      <c r="C32" t="s">
        <v>229</v>
      </c>
      <c r="D32" t="s">
        <v>230</v>
      </c>
      <c r="E32" t="s">
        <v>42</v>
      </c>
      <c r="F32" s="2">
        <v>46110</v>
      </c>
      <c r="G32" s="3">
        <v>-37</v>
      </c>
      <c r="H32" s="2">
        <v>46155</v>
      </c>
      <c r="I32" s="4">
        <v>24860</v>
      </c>
      <c r="J32" t="s">
        <v>43</v>
      </c>
      <c r="K32" t="s">
        <v>204</v>
      </c>
      <c r="L32" s="13">
        <f t="shared" si="9"/>
        <v>46155</v>
      </c>
      <c r="M32" s="15">
        <f t="shared" ca="1" si="10"/>
        <v>36</v>
      </c>
      <c r="N32" s="13">
        <v>46155</v>
      </c>
      <c r="O32" s="24">
        <v>46155</v>
      </c>
      <c r="P32" s="25">
        <f t="shared" si="8"/>
        <v>24860</v>
      </c>
      <c r="Q32" s="16">
        <f t="shared" ca="1" si="11"/>
        <v>9</v>
      </c>
      <c r="R32" s="17" t="s">
        <v>218</v>
      </c>
    </row>
    <row r="33" spans="1:18" outlineLevel="2" x14ac:dyDescent="0.25">
      <c r="A33" t="s">
        <v>62</v>
      </c>
      <c r="B33" t="s">
        <v>63</v>
      </c>
      <c r="C33" t="s">
        <v>231</v>
      </c>
      <c r="D33" t="s">
        <v>232</v>
      </c>
      <c r="E33" t="s">
        <v>42</v>
      </c>
      <c r="F33" s="2">
        <v>46110</v>
      </c>
      <c r="G33" s="3">
        <v>-37</v>
      </c>
      <c r="H33" s="2">
        <v>46155</v>
      </c>
      <c r="I33" s="4">
        <v>28800</v>
      </c>
      <c r="J33" t="s">
        <v>43</v>
      </c>
      <c r="K33" t="s">
        <v>204</v>
      </c>
      <c r="L33" s="13">
        <f t="shared" si="9"/>
        <v>46155</v>
      </c>
      <c r="M33" s="15">
        <f t="shared" ca="1" si="10"/>
        <v>36</v>
      </c>
      <c r="N33" s="13">
        <v>46155</v>
      </c>
      <c r="O33" s="24">
        <v>46155</v>
      </c>
      <c r="P33" s="25">
        <f t="shared" si="8"/>
        <v>28800</v>
      </c>
      <c r="Q33" s="16">
        <f t="shared" ca="1" si="11"/>
        <v>9</v>
      </c>
      <c r="R33" s="17" t="s">
        <v>218</v>
      </c>
    </row>
    <row r="34" spans="1:18" outlineLevel="2" x14ac:dyDescent="0.25">
      <c r="A34" t="s">
        <v>62</v>
      </c>
      <c r="B34" t="s">
        <v>63</v>
      </c>
      <c r="C34" t="s">
        <v>233</v>
      </c>
      <c r="D34" t="s">
        <v>234</v>
      </c>
      <c r="E34" t="s">
        <v>42</v>
      </c>
      <c r="F34" s="2">
        <v>46110</v>
      </c>
      <c r="G34" s="3">
        <v>-37</v>
      </c>
      <c r="H34" s="2">
        <v>46155</v>
      </c>
      <c r="I34" s="4">
        <v>28800</v>
      </c>
      <c r="J34" t="s">
        <v>43</v>
      </c>
      <c r="K34" t="s">
        <v>204</v>
      </c>
      <c r="L34" s="13">
        <f t="shared" si="9"/>
        <v>46155</v>
      </c>
      <c r="M34" s="15">
        <f t="shared" ca="1" si="10"/>
        <v>36</v>
      </c>
      <c r="N34" s="13">
        <v>46155</v>
      </c>
      <c r="O34" s="24">
        <v>46155</v>
      </c>
      <c r="P34" s="25">
        <f t="shared" si="8"/>
        <v>28800</v>
      </c>
      <c r="Q34" s="16">
        <f t="shared" ca="1" si="11"/>
        <v>9</v>
      </c>
      <c r="R34" s="17" t="s">
        <v>218</v>
      </c>
    </row>
    <row r="35" spans="1:18" outlineLevel="2" x14ac:dyDescent="0.25">
      <c r="A35" t="s">
        <v>62</v>
      </c>
      <c r="B35" t="s">
        <v>63</v>
      </c>
      <c r="C35" t="s">
        <v>235</v>
      </c>
      <c r="D35" t="s">
        <v>236</v>
      </c>
      <c r="E35" t="s">
        <v>42</v>
      </c>
      <c r="F35" s="2">
        <v>46110</v>
      </c>
      <c r="G35" s="3">
        <v>-37</v>
      </c>
      <c r="H35" s="2">
        <v>46155</v>
      </c>
      <c r="I35" s="4">
        <v>29300</v>
      </c>
      <c r="J35" t="s">
        <v>43</v>
      </c>
      <c r="K35" t="s">
        <v>204</v>
      </c>
      <c r="L35" s="13">
        <f t="shared" si="9"/>
        <v>46155</v>
      </c>
      <c r="M35" s="15">
        <f ca="1">N35-TODAY()</f>
        <v>36</v>
      </c>
      <c r="N35" s="13">
        <v>46155</v>
      </c>
      <c r="O35" s="24">
        <v>46155</v>
      </c>
      <c r="P35" s="25">
        <f t="shared" si="8"/>
        <v>29300</v>
      </c>
      <c r="Q35" s="16">
        <f t="shared" ca="1" si="11"/>
        <v>9</v>
      </c>
      <c r="R35" s="17" t="s">
        <v>218</v>
      </c>
    </row>
    <row r="36" spans="1:18" hidden="1" outlineLevel="2" x14ac:dyDescent="0.25">
      <c r="A36" t="s">
        <v>62</v>
      </c>
      <c r="B36" t="s">
        <v>63</v>
      </c>
      <c r="C36" t="s">
        <v>237</v>
      </c>
      <c r="D36" t="s">
        <v>66</v>
      </c>
      <c r="E36" t="s">
        <v>67</v>
      </c>
      <c r="F36" s="2">
        <v>46112</v>
      </c>
      <c r="G36" s="3">
        <v>0</v>
      </c>
      <c r="H36" s="2">
        <v>46112</v>
      </c>
      <c r="I36" s="4">
        <v>-13983.01</v>
      </c>
      <c r="J36" t="s">
        <v>43</v>
      </c>
      <c r="K36" t="s">
        <v>204</v>
      </c>
      <c r="L36" s="13"/>
      <c r="M36" s="15"/>
      <c r="N36" s="13"/>
      <c r="O36" s="13">
        <f>H36</f>
        <v>46112</v>
      </c>
      <c r="P36" s="8">
        <f>I36</f>
        <v>-13983.01</v>
      </c>
      <c r="Q36" s="16"/>
      <c r="R36" s="17"/>
    </row>
    <row r="37" spans="1:18" hidden="1" outlineLevel="2" x14ac:dyDescent="0.25">
      <c r="A37" t="s">
        <v>238</v>
      </c>
      <c r="B37" t="s">
        <v>239</v>
      </c>
      <c r="C37" t="s">
        <v>240</v>
      </c>
      <c r="D37" t="s">
        <v>241</v>
      </c>
      <c r="E37" t="s">
        <v>242</v>
      </c>
      <c r="F37" s="2">
        <v>46112</v>
      </c>
      <c r="G37" s="3">
        <v>-1</v>
      </c>
      <c r="H37" s="2">
        <v>46119</v>
      </c>
      <c r="I37" s="4">
        <v>771.72</v>
      </c>
      <c r="J37" t="s">
        <v>5</v>
      </c>
      <c r="K37" t="s">
        <v>202</v>
      </c>
      <c r="L37" s="13"/>
      <c r="M37" s="15"/>
      <c r="N37" s="13"/>
      <c r="O37" s="13">
        <f t="shared" ref="O37" si="12">H37+45</f>
        <v>46164</v>
      </c>
      <c r="P37" s="14">
        <f t="shared" ref="P37:P38" si="13">I37/3.467</f>
        <v>222.59013556388808</v>
      </c>
      <c r="Q37" s="16"/>
      <c r="R37" s="17"/>
    </row>
    <row r="38" spans="1:18" hidden="1" outlineLevel="2" x14ac:dyDescent="0.25">
      <c r="A38" t="s">
        <v>238</v>
      </c>
      <c r="B38" t="s">
        <v>239</v>
      </c>
      <c r="C38" t="s">
        <v>243</v>
      </c>
      <c r="D38" t="s">
        <v>244</v>
      </c>
      <c r="E38" t="s">
        <v>242</v>
      </c>
      <c r="F38" s="2">
        <v>46112</v>
      </c>
      <c r="G38" s="3">
        <v>-1</v>
      </c>
      <c r="H38" s="2">
        <v>46119</v>
      </c>
      <c r="I38" s="4">
        <v>94.4</v>
      </c>
      <c r="J38" t="s">
        <v>5</v>
      </c>
      <c r="K38" t="s">
        <v>202</v>
      </c>
      <c r="O38" s="13">
        <f t="shared" ref="O38:O52" si="14">H38</f>
        <v>46119</v>
      </c>
      <c r="P38" s="14">
        <f t="shared" si="13"/>
        <v>27.228151139313528</v>
      </c>
    </row>
    <row r="39" spans="1:18" outlineLevel="2" x14ac:dyDescent="0.25">
      <c r="A39" t="s">
        <v>71</v>
      </c>
      <c r="B39" t="s">
        <v>72</v>
      </c>
      <c r="C39" t="s">
        <v>73</v>
      </c>
      <c r="D39" t="s">
        <v>74</v>
      </c>
      <c r="E39" t="s">
        <v>42</v>
      </c>
      <c r="F39" s="2">
        <v>46054</v>
      </c>
      <c r="G39" s="3">
        <v>4</v>
      </c>
      <c r="H39" s="2">
        <v>46114</v>
      </c>
      <c r="I39" s="4">
        <v>77585</v>
      </c>
      <c r="J39" t="s">
        <v>43</v>
      </c>
      <c r="K39" t="s">
        <v>204</v>
      </c>
      <c r="L39" s="13">
        <f>F39+45</f>
        <v>46099</v>
      </c>
      <c r="M39" s="15">
        <f ca="1">N39-TODAY()</f>
        <v>-7</v>
      </c>
      <c r="N39" s="13">
        <v>46112</v>
      </c>
      <c r="O39" s="24">
        <v>46119</v>
      </c>
      <c r="P39" s="25">
        <f t="shared" ref="P39:P40" si="15">I39</f>
        <v>77585</v>
      </c>
      <c r="Q39" s="16">
        <f ca="1">TODAY()-F39</f>
        <v>65</v>
      </c>
      <c r="R39" s="17" t="s">
        <v>219</v>
      </c>
    </row>
    <row r="40" spans="1:18" outlineLevel="2" x14ac:dyDescent="0.25">
      <c r="A40" t="s">
        <v>75</v>
      </c>
      <c r="B40" t="s">
        <v>76</v>
      </c>
      <c r="C40" t="s">
        <v>77</v>
      </c>
      <c r="D40" t="s">
        <v>78</v>
      </c>
      <c r="E40" t="s">
        <v>67</v>
      </c>
      <c r="F40" s="2">
        <v>46081</v>
      </c>
      <c r="G40" s="3">
        <v>37</v>
      </c>
      <c r="H40" s="2">
        <v>46081</v>
      </c>
      <c r="I40" s="4">
        <v>53862.5</v>
      </c>
      <c r="J40" t="s">
        <v>43</v>
      </c>
      <c r="K40" t="s">
        <v>204</v>
      </c>
      <c r="L40" s="13">
        <f>F40+45</f>
        <v>46126</v>
      </c>
      <c r="M40" s="15">
        <f ca="1">N40-TODAY()</f>
        <v>7</v>
      </c>
      <c r="N40" s="13">
        <v>46126</v>
      </c>
      <c r="O40" s="24">
        <v>46126</v>
      </c>
      <c r="P40" s="25">
        <f t="shared" si="15"/>
        <v>53862.5</v>
      </c>
      <c r="Q40" s="16">
        <f ca="1">TODAY()-F40</f>
        <v>38</v>
      </c>
      <c r="R40" s="17" t="s">
        <v>218</v>
      </c>
    </row>
    <row r="41" spans="1:18" hidden="1" outlineLevel="2" x14ac:dyDescent="0.25">
      <c r="A41" t="s">
        <v>245</v>
      </c>
      <c r="B41" t="s">
        <v>246</v>
      </c>
      <c r="C41" t="s">
        <v>247</v>
      </c>
      <c r="D41" t="s">
        <v>248</v>
      </c>
      <c r="E41" t="s">
        <v>4</v>
      </c>
      <c r="F41" s="2">
        <v>46116</v>
      </c>
      <c r="G41" s="3">
        <v>2</v>
      </c>
      <c r="H41" s="2">
        <v>46116</v>
      </c>
      <c r="I41" s="4">
        <v>484.04</v>
      </c>
      <c r="J41" t="s">
        <v>5</v>
      </c>
      <c r="K41" t="s">
        <v>202</v>
      </c>
      <c r="O41" s="13">
        <f t="shared" si="14"/>
        <v>46116</v>
      </c>
      <c r="P41" s="14">
        <f t="shared" ref="P41:P68" si="16">I41/3.467</f>
        <v>139.61349870204788</v>
      </c>
    </row>
    <row r="42" spans="1:18" hidden="1" outlineLevel="2" x14ac:dyDescent="0.25">
      <c r="A42" t="s">
        <v>245</v>
      </c>
      <c r="B42" t="s">
        <v>246</v>
      </c>
      <c r="C42" t="s">
        <v>249</v>
      </c>
      <c r="D42" t="s">
        <v>250</v>
      </c>
      <c r="E42" t="s">
        <v>4</v>
      </c>
      <c r="F42" s="2">
        <v>46116</v>
      </c>
      <c r="G42" s="3">
        <v>2</v>
      </c>
      <c r="H42" s="2">
        <v>46116</v>
      </c>
      <c r="I42" s="4">
        <v>123.9</v>
      </c>
      <c r="J42" t="s">
        <v>5</v>
      </c>
      <c r="K42" t="s">
        <v>202</v>
      </c>
      <c r="O42" s="13">
        <f t="shared" si="14"/>
        <v>46116</v>
      </c>
      <c r="P42" s="14">
        <f t="shared" si="16"/>
        <v>35.736948370349005</v>
      </c>
    </row>
    <row r="43" spans="1:18" hidden="1" outlineLevel="2" x14ac:dyDescent="0.25">
      <c r="A43" t="s">
        <v>79</v>
      </c>
      <c r="B43" t="s">
        <v>80</v>
      </c>
      <c r="C43" t="s">
        <v>81</v>
      </c>
      <c r="D43" t="s">
        <v>82</v>
      </c>
      <c r="E43" t="s">
        <v>4</v>
      </c>
      <c r="F43" s="2">
        <v>46036</v>
      </c>
      <c r="G43" s="3">
        <v>75</v>
      </c>
      <c r="H43" s="2">
        <v>46043</v>
      </c>
      <c r="I43" s="4">
        <v>231.52</v>
      </c>
      <c r="J43" t="s">
        <v>5</v>
      </c>
      <c r="K43" t="s">
        <v>202</v>
      </c>
      <c r="O43" s="13">
        <f t="shared" si="14"/>
        <v>46043</v>
      </c>
      <c r="P43" s="14">
        <f t="shared" si="16"/>
        <v>66.778194404384195</v>
      </c>
    </row>
    <row r="44" spans="1:18" hidden="1" outlineLevel="2" x14ac:dyDescent="0.25">
      <c r="A44" t="s">
        <v>79</v>
      </c>
      <c r="B44" t="s">
        <v>80</v>
      </c>
      <c r="C44" t="s">
        <v>83</v>
      </c>
      <c r="D44" t="s">
        <v>84</v>
      </c>
      <c r="E44" t="s">
        <v>4</v>
      </c>
      <c r="F44" s="2">
        <v>46036</v>
      </c>
      <c r="G44" s="3">
        <v>75</v>
      </c>
      <c r="H44" s="2">
        <v>46043</v>
      </c>
      <c r="I44" s="4">
        <v>23.6</v>
      </c>
      <c r="J44" t="s">
        <v>5</v>
      </c>
      <c r="K44" t="s">
        <v>202</v>
      </c>
      <c r="O44" s="13">
        <f t="shared" si="14"/>
        <v>46043</v>
      </c>
      <c r="P44" s="14">
        <f t="shared" si="16"/>
        <v>6.8070377848283821</v>
      </c>
    </row>
    <row r="45" spans="1:18" hidden="1" outlineLevel="2" x14ac:dyDescent="0.25">
      <c r="A45" t="s">
        <v>79</v>
      </c>
      <c r="B45" t="s">
        <v>80</v>
      </c>
      <c r="C45" t="s">
        <v>85</v>
      </c>
      <c r="D45" t="s">
        <v>86</v>
      </c>
      <c r="E45" t="s">
        <v>4</v>
      </c>
      <c r="F45" s="2">
        <v>46051</v>
      </c>
      <c r="G45" s="3">
        <v>60</v>
      </c>
      <c r="H45" s="2">
        <v>46058</v>
      </c>
      <c r="I45" s="4">
        <v>251.1</v>
      </c>
      <c r="J45" t="s">
        <v>5</v>
      </c>
      <c r="K45" t="s">
        <v>202</v>
      </c>
      <c r="O45" s="13">
        <f t="shared" si="14"/>
        <v>46058</v>
      </c>
      <c r="P45" s="14">
        <f t="shared" si="16"/>
        <v>72.425728295356208</v>
      </c>
    </row>
    <row r="46" spans="1:18" hidden="1" outlineLevel="2" x14ac:dyDescent="0.25">
      <c r="A46" t="s">
        <v>79</v>
      </c>
      <c r="B46" t="s">
        <v>80</v>
      </c>
      <c r="C46" t="s">
        <v>87</v>
      </c>
      <c r="D46" t="s">
        <v>88</v>
      </c>
      <c r="E46" t="s">
        <v>4</v>
      </c>
      <c r="F46" s="2">
        <v>46051</v>
      </c>
      <c r="G46" s="3">
        <v>60</v>
      </c>
      <c r="H46" s="2">
        <v>46058</v>
      </c>
      <c r="I46" s="4">
        <v>47.2</v>
      </c>
      <c r="J46" t="s">
        <v>5</v>
      </c>
      <c r="K46" t="s">
        <v>202</v>
      </c>
      <c r="O46" s="13">
        <f t="shared" si="14"/>
        <v>46058</v>
      </c>
      <c r="P46" s="14">
        <f t="shared" si="16"/>
        <v>13.614075569656764</v>
      </c>
    </row>
    <row r="47" spans="1:18" hidden="1" outlineLevel="2" x14ac:dyDescent="0.25">
      <c r="A47" t="s">
        <v>79</v>
      </c>
      <c r="B47" t="s">
        <v>80</v>
      </c>
      <c r="C47" t="s">
        <v>89</v>
      </c>
      <c r="D47" t="s">
        <v>90</v>
      </c>
      <c r="E47" t="s">
        <v>4</v>
      </c>
      <c r="F47" s="2">
        <v>46058</v>
      </c>
      <c r="G47" s="3">
        <v>53</v>
      </c>
      <c r="H47" s="2">
        <v>46065</v>
      </c>
      <c r="I47" s="4">
        <v>333.94</v>
      </c>
      <c r="J47" t="s">
        <v>5</v>
      </c>
      <c r="K47" t="s">
        <v>202</v>
      </c>
      <c r="O47" s="13">
        <f t="shared" si="14"/>
        <v>46065</v>
      </c>
      <c r="P47" s="14">
        <f t="shared" si="16"/>
        <v>96.319584655321606</v>
      </c>
    </row>
    <row r="48" spans="1:18" hidden="1" outlineLevel="2" x14ac:dyDescent="0.25">
      <c r="A48" t="s">
        <v>79</v>
      </c>
      <c r="B48" t="s">
        <v>80</v>
      </c>
      <c r="C48" t="s">
        <v>91</v>
      </c>
      <c r="D48" t="s">
        <v>92</v>
      </c>
      <c r="E48" t="s">
        <v>4</v>
      </c>
      <c r="F48" s="2">
        <v>46058</v>
      </c>
      <c r="G48" s="3">
        <v>53</v>
      </c>
      <c r="H48" s="2">
        <v>46065</v>
      </c>
      <c r="I48" s="4">
        <v>47.2</v>
      </c>
      <c r="J48" t="s">
        <v>5</v>
      </c>
      <c r="K48" t="s">
        <v>202</v>
      </c>
      <c r="O48" s="13">
        <f t="shared" si="14"/>
        <v>46065</v>
      </c>
      <c r="P48" s="14">
        <f t="shared" si="16"/>
        <v>13.614075569656764</v>
      </c>
    </row>
    <row r="49" spans="1:18" hidden="1" outlineLevel="2" x14ac:dyDescent="0.25">
      <c r="A49" t="s">
        <v>79</v>
      </c>
      <c r="B49" t="s">
        <v>80</v>
      </c>
      <c r="C49" t="s">
        <v>93</v>
      </c>
      <c r="D49" t="s">
        <v>94</v>
      </c>
      <c r="E49" t="s">
        <v>4</v>
      </c>
      <c r="F49" s="2">
        <v>46102</v>
      </c>
      <c r="G49" s="3">
        <v>9</v>
      </c>
      <c r="H49" s="2">
        <v>46109</v>
      </c>
      <c r="I49" s="4">
        <v>367.07</v>
      </c>
      <c r="J49" t="s">
        <v>5</v>
      </c>
      <c r="K49" t="s">
        <v>202</v>
      </c>
      <c r="O49" s="13">
        <f t="shared" si="14"/>
        <v>46109</v>
      </c>
      <c r="P49" s="14">
        <f t="shared" si="16"/>
        <v>105.87539659648111</v>
      </c>
    </row>
    <row r="50" spans="1:18" hidden="1" outlineLevel="2" x14ac:dyDescent="0.25">
      <c r="A50" t="s">
        <v>79</v>
      </c>
      <c r="B50" t="s">
        <v>80</v>
      </c>
      <c r="C50" t="s">
        <v>95</v>
      </c>
      <c r="D50" t="s">
        <v>96</v>
      </c>
      <c r="E50" t="s">
        <v>4</v>
      </c>
      <c r="F50" s="2">
        <v>46102</v>
      </c>
      <c r="G50" s="3">
        <v>9</v>
      </c>
      <c r="H50" s="2">
        <v>46109</v>
      </c>
      <c r="I50" s="4">
        <v>135.69999999999999</v>
      </c>
      <c r="J50" t="s">
        <v>5</v>
      </c>
      <c r="K50" t="s">
        <v>202</v>
      </c>
      <c r="O50" s="13">
        <f t="shared" si="14"/>
        <v>46109</v>
      </c>
      <c r="P50" s="14">
        <f t="shared" si="16"/>
        <v>39.140467262763188</v>
      </c>
    </row>
    <row r="51" spans="1:18" hidden="1" outlineLevel="2" x14ac:dyDescent="0.25">
      <c r="A51" t="s">
        <v>79</v>
      </c>
      <c r="B51" t="s">
        <v>80</v>
      </c>
      <c r="C51" t="s">
        <v>97</v>
      </c>
      <c r="D51" t="s">
        <v>98</v>
      </c>
      <c r="E51" t="s">
        <v>4</v>
      </c>
      <c r="F51" s="2">
        <v>46104</v>
      </c>
      <c r="G51" s="3">
        <v>7</v>
      </c>
      <c r="H51" s="2">
        <v>46111</v>
      </c>
      <c r="I51" s="4">
        <v>257</v>
      </c>
      <c r="J51" t="s">
        <v>5</v>
      </c>
      <c r="K51" t="s">
        <v>202</v>
      </c>
      <c r="O51" s="13">
        <f t="shared" si="14"/>
        <v>46111</v>
      </c>
      <c r="P51" s="14">
        <f t="shared" si="16"/>
        <v>74.127487741563314</v>
      </c>
    </row>
    <row r="52" spans="1:18" hidden="1" outlineLevel="2" x14ac:dyDescent="0.25">
      <c r="A52" t="s">
        <v>79</v>
      </c>
      <c r="B52" t="s">
        <v>80</v>
      </c>
      <c r="C52" t="s">
        <v>99</v>
      </c>
      <c r="D52" t="s">
        <v>100</v>
      </c>
      <c r="E52" t="s">
        <v>4</v>
      </c>
      <c r="F52" s="2">
        <v>46104</v>
      </c>
      <c r="G52" s="3">
        <v>7</v>
      </c>
      <c r="H52" s="2">
        <v>46111</v>
      </c>
      <c r="I52" s="4">
        <v>35.4</v>
      </c>
      <c r="J52" t="s">
        <v>5</v>
      </c>
      <c r="K52" t="s">
        <v>202</v>
      </c>
      <c r="O52" s="13">
        <f t="shared" si="14"/>
        <v>46111</v>
      </c>
      <c r="P52" s="14">
        <f t="shared" si="16"/>
        <v>10.210556677242572</v>
      </c>
    </row>
    <row r="53" spans="1:18" hidden="1" outlineLevel="2" x14ac:dyDescent="0.25">
      <c r="A53" t="s">
        <v>79</v>
      </c>
      <c r="B53" t="s">
        <v>80</v>
      </c>
      <c r="C53" t="s">
        <v>101</v>
      </c>
      <c r="D53" t="s">
        <v>102</v>
      </c>
      <c r="E53" t="s">
        <v>4</v>
      </c>
      <c r="F53" s="2">
        <v>46105</v>
      </c>
      <c r="G53" s="3">
        <v>6</v>
      </c>
      <c r="H53" s="2">
        <v>46112</v>
      </c>
      <c r="I53" s="4">
        <v>262.67</v>
      </c>
      <c r="J53" t="s">
        <v>5</v>
      </c>
      <c r="K53" t="s">
        <v>202</v>
      </c>
      <c r="L53" s="13"/>
      <c r="O53" s="13">
        <v>46141</v>
      </c>
      <c r="P53" s="14">
        <f t="shared" si="16"/>
        <v>75.762907412748774</v>
      </c>
      <c r="Q53" s="16"/>
      <c r="R53" s="17"/>
    </row>
    <row r="54" spans="1:18" hidden="1" outlineLevel="2" x14ac:dyDescent="0.25">
      <c r="A54" t="s">
        <v>79</v>
      </c>
      <c r="B54" t="s">
        <v>80</v>
      </c>
      <c r="C54" t="s">
        <v>103</v>
      </c>
      <c r="D54" t="s">
        <v>104</v>
      </c>
      <c r="E54" t="s">
        <v>4</v>
      </c>
      <c r="F54" s="2">
        <v>46105</v>
      </c>
      <c r="G54" s="3">
        <v>6</v>
      </c>
      <c r="H54" s="2">
        <v>46112</v>
      </c>
      <c r="I54" s="4">
        <v>47.2</v>
      </c>
      <c r="J54" t="s">
        <v>5</v>
      </c>
      <c r="K54" t="s">
        <v>202</v>
      </c>
      <c r="O54" s="13"/>
      <c r="P54" s="14">
        <f t="shared" si="16"/>
        <v>13.614075569656764</v>
      </c>
    </row>
    <row r="55" spans="1:18" hidden="1" outlineLevel="2" x14ac:dyDescent="0.25">
      <c r="A55" t="s">
        <v>79</v>
      </c>
      <c r="B55" t="s">
        <v>80</v>
      </c>
      <c r="C55" t="s">
        <v>105</v>
      </c>
      <c r="D55" t="s">
        <v>106</v>
      </c>
      <c r="E55" t="s">
        <v>4</v>
      </c>
      <c r="F55" s="2">
        <v>46105</v>
      </c>
      <c r="G55" s="3">
        <v>6</v>
      </c>
      <c r="H55" s="2">
        <v>46112</v>
      </c>
      <c r="I55" s="4">
        <v>181.01</v>
      </c>
      <c r="J55" t="s">
        <v>5</v>
      </c>
      <c r="K55" t="s">
        <v>202</v>
      </c>
      <c r="L55" s="13"/>
      <c r="M55" s="15"/>
      <c r="O55" s="13"/>
      <c r="P55" s="14">
        <f t="shared" si="16"/>
        <v>52.209402942024802</v>
      </c>
      <c r="Q55" s="16"/>
      <c r="R55" s="17"/>
    </row>
    <row r="56" spans="1:18" hidden="1" outlineLevel="2" x14ac:dyDescent="0.25">
      <c r="A56" t="s">
        <v>79</v>
      </c>
      <c r="B56" t="s">
        <v>80</v>
      </c>
      <c r="C56" t="s">
        <v>107</v>
      </c>
      <c r="D56" t="s">
        <v>108</v>
      </c>
      <c r="E56" t="s">
        <v>4</v>
      </c>
      <c r="F56" s="2">
        <v>46105</v>
      </c>
      <c r="G56" s="3">
        <v>6</v>
      </c>
      <c r="H56" s="2">
        <v>46112</v>
      </c>
      <c r="I56" s="4">
        <v>35.4</v>
      </c>
      <c r="J56" t="s">
        <v>5</v>
      </c>
      <c r="K56" t="s">
        <v>202</v>
      </c>
      <c r="O56" s="13">
        <f t="shared" ref="O56:O59" si="17">H56</f>
        <v>46112</v>
      </c>
      <c r="P56" s="14">
        <f t="shared" si="16"/>
        <v>10.210556677242572</v>
      </c>
    </row>
    <row r="57" spans="1:18" hidden="1" outlineLevel="2" x14ac:dyDescent="0.25">
      <c r="A57" t="s">
        <v>79</v>
      </c>
      <c r="B57" t="s">
        <v>80</v>
      </c>
      <c r="C57" t="s">
        <v>109</v>
      </c>
      <c r="D57" t="s">
        <v>110</v>
      </c>
      <c r="E57" t="s">
        <v>4</v>
      </c>
      <c r="F57" s="2">
        <v>46111</v>
      </c>
      <c r="G57" s="3">
        <v>0</v>
      </c>
      <c r="H57" s="2">
        <v>46118</v>
      </c>
      <c r="I57" s="4">
        <v>293.35000000000002</v>
      </c>
      <c r="J57" t="s">
        <v>5</v>
      </c>
      <c r="K57" t="s">
        <v>202</v>
      </c>
      <c r="O57" s="13">
        <f t="shared" si="17"/>
        <v>46118</v>
      </c>
      <c r="P57" s="14">
        <f t="shared" si="16"/>
        <v>84.61205653302568</v>
      </c>
    </row>
    <row r="58" spans="1:18" hidden="1" outlineLevel="2" x14ac:dyDescent="0.25">
      <c r="A58" t="s">
        <v>79</v>
      </c>
      <c r="B58" t="s">
        <v>80</v>
      </c>
      <c r="C58" t="s">
        <v>111</v>
      </c>
      <c r="D58" t="s">
        <v>112</v>
      </c>
      <c r="E58" t="s">
        <v>4</v>
      </c>
      <c r="F58" s="2">
        <v>46111</v>
      </c>
      <c r="G58" s="3">
        <v>0</v>
      </c>
      <c r="H58" s="2">
        <v>46118</v>
      </c>
      <c r="I58" s="4">
        <v>47.2</v>
      </c>
      <c r="J58" t="s">
        <v>5</v>
      </c>
      <c r="K58" t="s">
        <v>202</v>
      </c>
      <c r="O58" s="13">
        <f t="shared" si="17"/>
        <v>46118</v>
      </c>
      <c r="P58" s="14">
        <f t="shared" si="16"/>
        <v>13.614075569656764</v>
      </c>
    </row>
    <row r="59" spans="1:18" hidden="1" outlineLevel="2" x14ac:dyDescent="0.25">
      <c r="A59" t="s">
        <v>79</v>
      </c>
      <c r="B59" t="s">
        <v>80</v>
      </c>
      <c r="C59" t="s">
        <v>251</v>
      </c>
      <c r="D59" t="s">
        <v>252</v>
      </c>
      <c r="E59" t="s">
        <v>4</v>
      </c>
      <c r="F59" s="2">
        <v>46112</v>
      </c>
      <c r="G59" s="3">
        <v>-1</v>
      </c>
      <c r="H59" s="2">
        <v>46119</v>
      </c>
      <c r="I59" s="4">
        <v>670.71</v>
      </c>
      <c r="J59" t="s">
        <v>5</v>
      </c>
      <c r="K59" t="s">
        <v>202</v>
      </c>
      <c r="O59" s="13">
        <f t="shared" si="17"/>
        <v>46119</v>
      </c>
      <c r="P59" s="14">
        <f t="shared" si="16"/>
        <v>193.45543697721374</v>
      </c>
    </row>
    <row r="60" spans="1:18" hidden="1" outlineLevel="2" x14ac:dyDescent="0.25">
      <c r="A60" t="s">
        <v>79</v>
      </c>
      <c r="B60" t="s">
        <v>80</v>
      </c>
      <c r="C60" t="s">
        <v>253</v>
      </c>
      <c r="D60" t="s">
        <v>254</v>
      </c>
      <c r="E60" t="s">
        <v>4</v>
      </c>
      <c r="F60" s="2">
        <v>46112</v>
      </c>
      <c r="G60" s="3">
        <v>-1</v>
      </c>
      <c r="H60" s="2">
        <v>46119</v>
      </c>
      <c r="I60" s="4">
        <v>70.8</v>
      </c>
      <c r="J60" t="s">
        <v>5</v>
      </c>
      <c r="K60" t="s">
        <v>202</v>
      </c>
      <c r="L60" s="13"/>
      <c r="M60" s="15"/>
      <c r="N60" s="13"/>
      <c r="O60" s="13">
        <v>46119</v>
      </c>
      <c r="P60" s="14">
        <f t="shared" si="16"/>
        <v>20.421113354485144</v>
      </c>
      <c r="Q60" s="16"/>
      <c r="R60" s="17"/>
    </row>
    <row r="61" spans="1:18" hidden="1" outlineLevel="2" x14ac:dyDescent="0.25">
      <c r="A61" t="s">
        <v>79</v>
      </c>
      <c r="B61" t="s">
        <v>80</v>
      </c>
      <c r="C61" t="s">
        <v>255</v>
      </c>
      <c r="D61" t="s">
        <v>256</v>
      </c>
      <c r="E61" t="s">
        <v>4</v>
      </c>
      <c r="F61" s="2">
        <v>46112</v>
      </c>
      <c r="G61" s="3">
        <v>-1</v>
      </c>
      <c r="H61" s="2">
        <v>46119</v>
      </c>
      <c r="I61" s="4">
        <v>268.10000000000002</v>
      </c>
      <c r="J61" t="s">
        <v>5</v>
      </c>
      <c r="K61" t="s">
        <v>202</v>
      </c>
      <c r="L61" s="13"/>
      <c r="M61" s="15"/>
      <c r="N61" s="13"/>
      <c r="O61" s="13">
        <v>46119</v>
      </c>
      <c r="P61" s="14">
        <f t="shared" si="16"/>
        <v>77.329102970868192</v>
      </c>
      <c r="Q61" s="16"/>
      <c r="R61" s="17"/>
    </row>
    <row r="62" spans="1:18" hidden="1" outlineLevel="2" x14ac:dyDescent="0.25">
      <c r="A62" t="s">
        <v>79</v>
      </c>
      <c r="B62" t="s">
        <v>80</v>
      </c>
      <c r="C62" t="s">
        <v>257</v>
      </c>
      <c r="D62" t="s">
        <v>258</v>
      </c>
      <c r="E62" t="s">
        <v>4</v>
      </c>
      <c r="F62" s="2">
        <v>46112</v>
      </c>
      <c r="G62" s="3">
        <v>-1</v>
      </c>
      <c r="H62" s="2">
        <v>46119</v>
      </c>
      <c r="I62" s="4">
        <v>47.2</v>
      </c>
      <c r="J62" t="s">
        <v>5</v>
      </c>
      <c r="K62" t="s">
        <v>202</v>
      </c>
      <c r="L62" s="13"/>
      <c r="M62" s="15"/>
      <c r="N62" s="13"/>
      <c r="O62" s="13">
        <v>46133</v>
      </c>
      <c r="P62" s="14">
        <f t="shared" si="16"/>
        <v>13.614075569656764</v>
      </c>
      <c r="Q62" s="16"/>
      <c r="R62" s="17"/>
    </row>
    <row r="63" spans="1:18" hidden="1" outlineLevel="2" x14ac:dyDescent="0.25">
      <c r="A63" t="s">
        <v>79</v>
      </c>
      <c r="B63" t="s">
        <v>80</v>
      </c>
      <c r="C63" t="s">
        <v>259</v>
      </c>
      <c r="D63" t="s">
        <v>260</v>
      </c>
      <c r="E63" t="s">
        <v>4</v>
      </c>
      <c r="F63" s="2">
        <v>46113</v>
      </c>
      <c r="G63" s="3">
        <v>-2</v>
      </c>
      <c r="H63" s="2">
        <v>46120</v>
      </c>
      <c r="I63" s="4">
        <v>1010.32</v>
      </c>
      <c r="J63" t="s">
        <v>5</v>
      </c>
      <c r="K63" t="s">
        <v>202</v>
      </c>
      <c r="L63" s="13"/>
      <c r="M63" s="15"/>
      <c r="N63" s="13"/>
      <c r="O63" s="13">
        <v>46133</v>
      </c>
      <c r="P63" s="14">
        <f t="shared" si="16"/>
        <v>291.4104413037208</v>
      </c>
      <c r="Q63" s="16"/>
      <c r="R63" s="17"/>
    </row>
    <row r="64" spans="1:18" hidden="1" outlineLevel="2" x14ac:dyDescent="0.25">
      <c r="A64" t="s">
        <v>79</v>
      </c>
      <c r="B64" t="s">
        <v>80</v>
      </c>
      <c r="C64" t="s">
        <v>261</v>
      </c>
      <c r="D64" t="s">
        <v>262</v>
      </c>
      <c r="E64" t="s">
        <v>4</v>
      </c>
      <c r="F64" s="2">
        <v>46113</v>
      </c>
      <c r="G64" s="3">
        <v>-2</v>
      </c>
      <c r="H64" s="2">
        <v>46120</v>
      </c>
      <c r="I64" s="4">
        <v>94.4</v>
      </c>
      <c r="J64" t="s">
        <v>5</v>
      </c>
      <c r="K64" t="s">
        <v>202</v>
      </c>
      <c r="O64" s="13">
        <f>H64</f>
        <v>46120</v>
      </c>
      <c r="P64" s="14">
        <f t="shared" si="16"/>
        <v>27.228151139313528</v>
      </c>
    </row>
    <row r="65" spans="1:18" hidden="1" outlineLevel="2" x14ac:dyDescent="0.25">
      <c r="A65" t="s">
        <v>79</v>
      </c>
      <c r="B65" t="s">
        <v>80</v>
      </c>
      <c r="C65" t="s">
        <v>263</v>
      </c>
      <c r="D65" t="s">
        <v>264</v>
      </c>
      <c r="E65" t="s">
        <v>4</v>
      </c>
      <c r="F65" s="2">
        <v>46116</v>
      </c>
      <c r="G65" s="3">
        <v>-5</v>
      </c>
      <c r="H65" s="2">
        <v>46123</v>
      </c>
      <c r="I65" s="4">
        <v>849.84</v>
      </c>
      <c r="J65" t="s">
        <v>5</v>
      </c>
      <c r="K65" t="s">
        <v>202</v>
      </c>
      <c r="O65" s="13">
        <f t="shared" ref="O65:O68" si="18">H65</f>
        <v>46123</v>
      </c>
      <c r="P65" s="14">
        <f t="shared" si="16"/>
        <v>245.12258436688779</v>
      </c>
    </row>
    <row r="66" spans="1:18" hidden="1" outlineLevel="2" x14ac:dyDescent="0.25">
      <c r="A66" t="s">
        <v>79</v>
      </c>
      <c r="B66" t="s">
        <v>80</v>
      </c>
      <c r="C66" t="s">
        <v>265</v>
      </c>
      <c r="D66" t="s">
        <v>266</v>
      </c>
      <c r="E66" t="s">
        <v>4</v>
      </c>
      <c r="F66" s="2">
        <v>46116</v>
      </c>
      <c r="G66" s="3">
        <v>-5</v>
      </c>
      <c r="H66" s="2">
        <v>46123</v>
      </c>
      <c r="I66" s="4">
        <v>94.4</v>
      </c>
      <c r="J66" t="s">
        <v>5</v>
      </c>
      <c r="K66" t="s">
        <v>202</v>
      </c>
      <c r="O66" s="13">
        <f t="shared" si="18"/>
        <v>46123</v>
      </c>
      <c r="P66" s="14">
        <f t="shared" si="16"/>
        <v>27.228151139313528</v>
      </c>
    </row>
    <row r="67" spans="1:18" hidden="1" outlineLevel="2" x14ac:dyDescent="0.25">
      <c r="A67" t="s">
        <v>79</v>
      </c>
      <c r="B67" t="s">
        <v>80</v>
      </c>
      <c r="C67" t="s">
        <v>267</v>
      </c>
      <c r="D67" t="s">
        <v>268</v>
      </c>
      <c r="E67" t="s">
        <v>4</v>
      </c>
      <c r="F67" s="2">
        <v>46117</v>
      </c>
      <c r="G67" s="3">
        <v>-6</v>
      </c>
      <c r="H67" s="2">
        <v>46124</v>
      </c>
      <c r="I67" s="4">
        <v>188.33</v>
      </c>
      <c r="J67" t="s">
        <v>5</v>
      </c>
      <c r="K67" t="s">
        <v>202</v>
      </c>
      <c r="O67" s="13">
        <f t="shared" si="18"/>
        <v>46124</v>
      </c>
      <c r="P67" s="14">
        <f t="shared" si="16"/>
        <v>54.320738390539375</v>
      </c>
    </row>
    <row r="68" spans="1:18" hidden="1" outlineLevel="2" x14ac:dyDescent="0.25">
      <c r="A68" t="s">
        <v>79</v>
      </c>
      <c r="B68" t="s">
        <v>80</v>
      </c>
      <c r="C68" t="s">
        <v>269</v>
      </c>
      <c r="D68" t="s">
        <v>270</v>
      </c>
      <c r="E68" t="s">
        <v>4</v>
      </c>
      <c r="F68" s="2">
        <v>46117</v>
      </c>
      <c r="G68" s="3">
        <v>-6</v>
      </c>
      <c r="H68" s="2">
        <v>46124</v>
      </c>
      <c r="I68" s="4">
        <v>47.2</v>
      </c>
      <c r="J68" t="s">
        <v>5</v>
      </c>
      <c r="K68" t="s">
        <v>202</v>
      </c>
      <c r="O68" s="13">
        <f t="shared" si="18"/>
        <v>46124</v>
      </c>
      <c r="P68" s="14">
        <f t="shared" si="16"/>
        <v>13.614075569656764</v>
      </c>
    </row>
    <row r="69" spans="1:18" outlineLevel="2" x14ac:dyDescent="0.25">
      <c r="A69" t="s">
        <v>113</v>
      </c>
      <c r="B69" t="s">
        <v>114</v>
      </c>
      <c r="C69" t="s">
        <v>115</v>
      </c>
      <c r="D69" t="s">
        <v>116</v>
      </c>
      <c r="E69" t="s">
        <v>67</v>
      </c>
      <c r="F69" s="2">
        <v>46096</v>
      </c>
      <c r="G69" s="3">
        <v>22</v>
      </c>
      <c r="H69" s="2">
        <v>46096</v>
      </c>
      <c r="I69" s="4">
        <v>147743.07</v>
      </c>
      <c r="J69" t="s">
        <v>43</v>
      </c>
      <c r="K69" t="s">
        <v>204</v>
      </c>
      <c r="L69" s="13">
        <f>F69+45</f>
        <v>46141</v>
      </c>
      <c r="N69" s="13">
        <v>46141</v>
      </c>
      <c r="O69" s="24">
        <v>46141</v>
      </c>
      <c r="P69" s="25">
        <f t="shared" ref="P69:P75" si="19">I69</f>
        <v>147743.07</v>
      </c>
      <c r="Q69" s="16">
        <f ca="1">TODAY()-F69</f>
        <v>23</v>
      </c>
      <c r="R69" s="17" t="s">
        <v>218</v>
      </c>
    </row>
    <row r="70" spans="1:18" outlineLevel="2" x14ac:dyDescent="0.25">
      <c r="A70" t="s">
        <v>113</v>
      </c>
      <c r="B70" t="s">
        <v>114</v>
      </c>
      <c r="C70" t="s">
        <v>271</v>
      </c>
      <c r="D70" t="s">
        <v>272</v>
      </c>
      <c r="E70" t="s">
        <v>42</v>
      </c>
      <c r="F70" s="2">
        <v>46109</v>
      </c>
      <c r="G70" s="3">
        <v>-36</v>
      </c>
      <c r="H70" s="2">
        <v>46154</v>
      </c>
      <c r="I70" s="4">
        <v>177221.7</v>
      </c>
      <c r="J70" t="s">
        <v>43</v>
      </c>
      <c r="K70" t="s">
        <v>204</v>
      </c>
      <c r="L70" s="13">
        <f>F70+45</f>
        <v>46154</v>
      </c>
      <c r="N70" s="13"/>
      <c r="O70" s="24">
        <f>H70</f>
        <v>46154</v>
      </c>
      <c r="P70" s="25">
        <f t="shared" si="19"/>
        <v>177221.7</v>
      </c>
      <c r="Q70" s="16">
        <f ca="1">TODAY()-F70</f>
        <v>10</v>
      </c>
      <c r="R70" s="17" t="s">
        <v>218</v>
      </c>
    </row>
    <row r="71" spans="1:18" outlineLevel="2" x14ac:dyDescent="0.25">
      <c r="A71" t="s">
        <v>273</v>
      </c>
      <c r="B71" t="s">
        <v>274</v>
      </c>
      <c r="C71" t="s">
        <v>275</v>
      </c>
      <c r="D71" t="s">
        <v>276</v>
      </c>
      <c r="E71" t="s">
        <v>42</v>
      </c>
      <c r="F71" s="2">
        <v>46109</v>
      </c>
      <c r="G71" s="3">
        <v>-36</v>
      </c>
      <c r="H71" s="2">
        <v>46154</v>
      </c>
      <c r="I71" s="4">
        <v>334800</v>
      </c>
      <c r="J71" t="s">
        <v>43</v>
      </c>
      <c r="K71" t="s">
        <v>204</v>
      </c>
      <c r="L71" s="13">
        <f>F71+45</f>
        <v>46154</v>
      </c>
      <c r="O71" s="24">
        <f>H71</f>
        <v>46154</v>
      </c>
      <c r="P71" s="25">
        <f t="shared" si="19"/>
        <v>334800</v>
      </c>
      <c r="Q71" s="16">
        <f ca="1">TODAY()-F71</f>
        <v>10</v>
      </c>
      <c r="R71" s="17" t="s">
        <v>218</v>
      </c>
    </row>
    <row r="72" spans="1:18" outlineLevel="2" x14ac:dyDescent="0.25">
      <c r="A72" t="s">
        <v>277</v>
      </c>
      <c r="B72" t="s">
        <v>278</v>
      </c>
      <c r="C72" t="s">
        <v>279</v>
      </c>
      <c r="D72" t="s">
        <v>280</v>
      </c>
      <c r="E72" t="s">
        <v>42</v>
      </c>
      <c r="F72" s="2">
        <v>46109</v>
      </c>
      <c r="G72" s="3">
        <v>-36</v>
      </c>
      <c r="H72" s="2">
        <v>46154</v>
      </c>
      <c r="I72" s="4">
        <v>669600</v>
      </c>
      <c r="J72" t="s">
        <v>43</v>
      </c>
      <c r="K72" t="s">
        <v>204</v>
      </c>
      <c r="L72" s="13">
        <f>F72+45</f>
        <v>46154</v>
      </c>
      <c r="O72" s="24">
        <f>H72</f>
        <v>46154</v>
      </c>
      <c r="P72" s="25">
        <f t="shared" si="19"/>
        <v>669600</v>
      </c>
      <c r="Q72" s="16">
        <f ca="1">TODAY()-F72</f>
        <v>10</v>
      </c>
      <c r="R72" s="17" t="s">
        <v>218</v>
      </c>
    </row>
    <row r="73" spans="1:18" hidden="1" outlineLevel="2" x14ac:dyDescent="0.25">
      <c r="A73" t="s">
        <v>117</v>
      </c>
      <c r="B73" t="s">
        <v>118</v>
      </c>
      <c r="C73" t="s">
        <v>119</v>
      </c>
      <c r="D73" t="s">
        <v>66</v>
      </c>
      <c r="E73" t="s">
        <v>67</v>
      </c>
      <c r="F73" s="2">
        <v>46098</v>
      </c>
      <c r="G73" s="3">
        <v>0</v>
      </c>
      <c r="H73" s="2">
        <v>46098</v>
      </c>
      <c r="I73" s="4">
        <v>-7410</v>
      </c>
      <c r="J73" t="s">
        <v>43</v>
      </c>
      <c r="K73" t="s">
        <v>204</v>
      </c>
      <c r="O73" s="13">
        <f>H73</f>
        <v>46098</v>
      </c>
      <c r="P73" s="8">
        <f t="shared" si="19"/>
        <v>-7410</v>
      </c>
    </row>
    <row r="74" spans="1:18" hidden="1" outlineLevel="2" x14ac:dyDescent="0.25">
      <c r="A74" t="s">
        <v>117</v>
      </c>
      <c r="B74" t="s">
        <v>118</v>
      </c>
      <c r="C74" t="s">
        <v>281</v>
      </c>
      <c r="D74" t="s">
        <v>282</v>
      </c>
      <c r="E74" t="s">
        <v>65</v>
      </c>
      <c r="F74" s="2">
        <v>46108</v>
      </c>
      <c r="G74" s="3">
        <v>0</v>
      </c>
      <c r="H74" s="2">
        <v>46112</v>
      </c>
      <c r="I74" s="4">
        <v>-35590</v>
      </c>
      <c r="J74" t="s">
        <v>43</v>
      </c>
      <c r="K74" t="s">
        <v>204</v>
      </c>
      <c r="O74" s="13">
        <f>H74</f>
        <v>46112</v>
      </c>
      <c r="P74" s="8">
        <f t="shared" si="19"/>
        <v>-35590</v>
      </c>
    </row>
    <row r="75" spans="1:18" outlineLevel="2" x14ac:dyDescent="0.25">
      <c r="A75" t="s">
        <v>117</v>
      </c>
      <c r="B75" t="s">
        <v>118</v>
      </c>
      <c r="C75" t="s">
        <v>283</v>
      </c>
      <c r="D75" s="21" t="s">
        <v>284</v>
      </c>
      <c r="E75" t="s">
        <v>42</v>
      </c>
      <c r="F75" s="2">
        <v>46110</v>
      </c>
      <c r="G75" s="3">
        <v>-37</v>
      </c>
      <c r="H75" s="2">
        <v>46155</v>
      </c>
      <c r="I75" s="4">
        <v>35553</v>
      </c>
      <c r="J75" t="s">
        <v>43</v>
      </c>
      <c r="K75" t="s">
        <v>204</v>
      </c>
      <c r="L75" s="13">
        <f>F75+45</f>
        <v>46155</v>
      </c>
      <c r="O75" s="24">
        <v>46118</v>
      </c>
      <c r="P75" s="25">
        <f t="shared" si="19"/>
        <v>35553</v>
      </c>
      <c r="Q75" s="16">
        <f ca="1">TODAY()-F75</f>
        <v>9</v>
      </c>
      <c r="R75" s="17" t="s">
        <v>218</v>
      </c>
    </row>
    <row r="76" spans="1:18" hidden="1" outlineLevel="2" x14ac:dyDescent="0.25">
      <c r="A76" t="s">
        <v>120</v>
      </c>
      <c r="B76" t="s">
        <v>121</v>
      </c>
      <c r="C76" t="s">
        <v>122</v>
      </c>
      <c r="D76" t="s">
        <v>123</v>
      </c>
      <c r="E76" t="s">
        <v>4</v>
      </c>
      <c r="F76" s="2">
        <v>45964</v>
      </c>
      <c r="G76" s="3">
        <v>147</v>
      </c>
      <c r="H76" s="2">
        <v>45971</v>
      </c>
      <c r="I76" s="4">
        <v>1403.26</v>
      </c>
      <c r="J76" t="s">
        <v>5</v>
      </c>
      <c r="K76" t="s">
        <v>202</v>
      </c>
      <c r="L76" s="13"/>
      <c r="M76" s="15"/>
      <c r="N76" s="13"/>
      <c r="O76" s="13">
        <v>46133</v>
      </c>
      <c r="P76" s="14">
        <f t="shared" ref="P76:P79" si="20">I76/3.467</f>
        <v>404.74762042111337</v>
      </c>
      <c r="Q76" s="16"/>
      <c r="R76" s="17"/>
    </row>
    <row r="77" spans="1:18" hidden="1" outlineLevel="2" x14ac:dyDescent="0.25">
      <c r="A77" t="s">
        <v>120</v>
      </c>
      <c r="B77" t="s">
        <v>121</v>
      </c>
      <c r="C77" t="s">
        <v>124</v>
      </c>
      <c r="D77" t="s">
        <v>125</v>
      </c>
      <c r="E77" t="s">
        <v>4</v>
      </c>
      <c r="F77" s="2">
        <v>45964</v>
      </c>
      <c r="G77" s="3">
        <v>147</v>
      </c>
      <c r="H77" s="2">
        <v>45971</v>
      </c>
      <c r="I77" s="4">
        <v>141.6</v>
      </c>
      <c r="J77" t="s">
        <v>5</v>
      </c>
      <c r="K77" t="s">
        <v>202</v>
      </c>
      <c r="L77" s="13"/>
      <c r="M77" s="15"/>
      <c r="N77" s="13"/>
      <c r="O77" s="13">
        <v>46144</v>
      </c>
      <c r="P77" s="14">
        <f t="shared" si="20"/>
        <v>40.842226708970287</v>
      </c>
      <c r="Q77" s="16"/>
      <c r="R77" s="17"/>
    </row>
    <row r="78" spans="1:18" hidden="1" outlineLevel="2" x14ac:dyDescent="0.25">
      <c r="A78" t="s">
        <v>120</v>
      </c>
      <c r="B78" t="s">
        <v>121</v>
      </c>
      <c r="C78" t="s">
        <v>126</v>
      </c>
      <c r="D78" t="s">
        <v>127</v>
      </c>
      <c r="E78" t="s">
        <v>4</v>
      </c>
      <c r="F78" s="2">
        <v>45967</v>
      </c>
      <c r="G78" s="3">
        <v>144</v>
      </c>
      <c r="H78" s="2">
        <v>45974</v>
      </c>
      <c r="I78" s="4">
        <v>1193.22</v>
      </c>
      <c r="J78" t="s">
        <v>5</v>
      </c>
      <c r="K78" t="s">
        <v>202</v>
      </c>
      <c r="L78" s="13"/>
      <c r="M78" s="15"/>
      <c r="O78" s="13">
        <v>46144</v>
      </c>
      <c r="P78" s="14">
        <f t="shared" si="20"/>
        <v>344.16498413614073</v>
      </c>
      <c r="Q78" s="16"/>
      <c r="R78" s="17"/>
    </row>
    <row r="79" spans="1:18" hidden="1" outlineLevel="2" x14ac:dyDescent="0.25">
      <c r="A79" t="s">
        <v>120</v>
      </c>
      <c r="B79" t="s">
        <v>121</v>
      </c>
      <c r="C79" t="s">
        <v>128</v>
      </c>
      <c r="D79" t="s">
        <v>129</v>
      </c>
      <c r="E79" t="s">
        <v>4</v>
      </c>
      <c r="F79" s="2">
        <v>45967</v>
      </c>
      <c r="G79" s="3">
        <v>144</v>
      </c>
      <c r="H79" s="2">
        <v>45974</v>
      </c>
      <c r="I79" s="4">
        <v>106.2</v>
      </c>
      <c r="J79" t="s">
        <v>5</v>
      </c>
      <c r="K79" t="s">
        <v>202</v>
      </c>
      <c r="O79" s="13">
        <f>H79</f>
        <v>45974</v>
      </c>
      <c r="P79" s="14">
        <f t="shared" si="20"/>
        <v>30.631670031727719</v>
      </c>
    </row>
    <row r="80" spans="1:18" outlineLevel="2" x14ac:dyDescent="0.25">
      <c r="A80" t="s">
        <v>285</v>
      </c>
      <c r="B80" t="s">
        <v>286</v>
      </c>
      <c r="C80" t="s">
        <v>287</v>
      </c>
      <c r="D80" t="s">
        <v>288</v>
      </c>
      <c r="E80" t="s">
        <v>42</v>
      </c>
      <c r="F80" s="2">
        <v>46110</v>
      </c>
      <c r="G80" s="3">
        <v>-37</v>
      </c>
      <c r="H80" s="2">
        <v>46155</v>
      </c>
      <c r="I80" s="4">
        <v>76700</v>
      </c>
      <c r="J80" t="s">
        <v>43</v>
      </c>
      <c r="K80" t="s">
        <v>204</v>
      </c>
      <c r="L80" s="13">
        <f>F80+45</f>
        <v>46155</v>
      </c>
      <c r="M80" s="15"/>
      <c r="N80" s="13"/>
      <c r="O80" s="24">
        <f>H80</f>
        <v>46155</v>
      </c>
      <c r="P80" s="25">
        <f t="shared" ref="P80:P83" si="21">I80</f>
        <v>76700</v>
      </c>
      <c r="Q80" s="16">
        <f ca="1">TODAY()-F80</f>
        <v>9</v>
      </c>
      <c r="R80" s="17" t="s">
        <v>218</v>
      </c>
    </row>
    <row r="81" spans="1:18" outlineLevel="2" x14ac:dyDescent="0.25">
      <c r="A81" t="s">
        <v>130</v>
      </c>
      <c r="B81" t="s">
        <v>131</v>
      </c>
      <c r="C81" t="s">
        <v>289</v>
      </c>
      <c r="D81" t="s">
        <v>290</v>
      </c>
      <c r="E81" t="s">
        <v>67</v>
      </c>
      <c r="F81" s="2">
        <v>46088</v>
      </c>
      <c r="G81" s="3">
        <v>30</v>
      </c>
      <c r="H81" s="2">
        <v>46088</v>
      </c>
      <c r="I81" s="4">
        <v>40636</v>
      </c>
      <c r="J81" t="s">
        <v>43</v>
      </c>
      <c r="K81" t="s">
        <v>204</v>
      </c>
      <c r="L81" s="13">
        <f t="shared" ref="L81:L82" si="22">F81+45</f>
        <v>46133</v>
      </c>
      <c r="M81" s="15">
        <f ca="1">N81-TODAY()</f>
        <v>14</v>
      </c>
      <c r="N81" s="13">
        <v>46133</v>
      </c>
      <c r="O81" s="24">
        <v>46133</v>
      </c>
      <c r="P81" s="25">
        <f t="shared" si="21"/>
        <v>40636</v>
      </c>
      <c r="Q81" s="16">
        <f t="shared" ref="Q81:Q82" ca="1" si="23">TODAY()-F81</f>
        <v>31</v>
      </c>
      <c r="R81" s="17" t="s">
        <v>218</v>
      </c>
    </row>
    <row r="82" spans="1:18" outlineLevel="2" x14ac:dyDescent="0.25">
      <c r="A82" t="s">
        <v>130</v>
      </c>
      <c r="B82" t="s">
        <v>131</v>
      </c>
      <c r="C82" t="s">
        <v>291</v>
      </c>
      <c r="D82" t="s">
        <v>292</v>
      </c>
      <c r="E82" t="s">
        <v>67</v>
      </c>
      <c r="F82" s="2">
        <v>46088</v>
      </c>
      <c r="G82" s="3">
        <v>30</v>
      </c>
      <c r="H82" s="2">
        <v>46088</v>
      </c>
      <c r="I82" s="4">
        <v>40736</v>
      </c>
      <c r="J82" t="s">
        <v>43</v>
      </c>
      <c r="K82" t="s">
        <v>204</v>
      </c>
      <c r="L82" s="13">
        <f t="shared" si="22"/>
        <v>46133</v>
      </c>
      <c r="M82" s="15">
        <f ca="1">N82-TODAY()</f>
        <v>14</v>
      </c>
      <c r="N82" s="13">
        <v>46133</v>
      </c>
      <c r="O82" s="24">
        <v>46133</v>
      </c>
      <c r="P82" s="25">
        <f t="shared" si="21"/>
        <v>40736</v>
      </c>
      <c r="Q82" s="16">
        <f t="shared" ca="1" si="23"/>
        <v>31</v>
      </c>
      <c r="R82" s="17" t="s">
        <v>218</v>
      </c>
    </row>
    <row r="83" spans="1:18" hidden="1" outlineLevel="2" x14ac:dyDescent="0.25">
      <c r="A83" t="s">
        <v>130</v>
      </c>
      <c r="B83" t="s">
        <v>131</v>
      </c>
      <c r="C83" t="s">
        <v>293</v>
      </c>
      <c r="D83" t="s">
        <v>66</v>
      </c>
      <c r="E83" t="s">
        <v>67</v>
      </c>
      <c r="F83" s="2">
        <v>46107</v>
      </c>
      <c r="G83" s="3">
        <v>0</v>
      </c>
      <c r="H83" s="2">
        <v>46107</v>
      </c>
      <c r="I83" s="4">
        <v>-20590</v>
      </c>
      <c r="J83" t="s">
        <v>43</v>
      </c>
      <c r="K83" t="s">
        <v>204</v>
      </c>
      <c r="O83" s="13">
        <f t="shared" ref="O83:O88" si="24">H83</f>
        <v>46107</v>
      </c>
      <c r="P83" s="8">
        <f t="shared" si="21"/>
        <v>-20590</v>
      </c>
    </row>
    <row r="84" spans="1:18" hidden="1" outlineLevel="2" x14ac:dyDescent="0.25">
      <c r="A84" t="s">
        <v>132</v>
      </c>
      <c r="B84" t="s">
        <v>133</v>
      </c>
      <c r="C84" t="s">
        <v>134</v>
      </c>
      <c r="D84" t="s">
        <v>135</v>
      </c>
      <c r="E84" t="s">
        <v>67</v>
      </c>
      <c r="F84" s="2">
        <v>45951</v>
      </c>
      <c r="G84" s="3">
        <v>167</v>
      </c>
      <c r="H84" s="2">
        <v>45951</v>
      </c>
      <c r="I84" s="4">
        <v>4460</v>
      </c>
      <c r="J84" t="s">
        <v>5</v>
      </c>
      <c r="K84" t="s">
        <v>203</v>
      </c>
      <c r="O84" s="13">
        <f t="shared" si="24"/>
        <v>45951</v>
      </c>
      <c r="P84" s="14">
        <f>I84/3.467</f>
        <v>1286.4147678107875</v>
      </c>
    </row>
    <row r="85" spans="1:18" hidden="1" outlineLevel="2" x14ac:dyDescent="0.25">
      <c r="A85" t="s">
        <v>132</v>
      </c>
      <c r="B85" t="s">
        <v>133</v>
      </c>
      <c r="C85" t="s">
        <v>136</v>
      </c>
      <c r="D85" t="s">
        <v>137</v>
      </c>
      <c r="E85" t="s">
        <v>4</v>
      </c>
      <c r="F85" s="2">
        <v>45965</v>
      </c>
      <c r="G85" s="3">
        <v>146</v>
      </c>
      <c r="H85" s="2">
        <v>45972</v>
      </c>
      <c r="I85" s="4">
        <v>7097.98</v>
      </c>
      <c r="J85" t="s">
        <v>5</v>
      </c>
      <c r="K85" t="s">
        <v>203</v>
      </c>
      <c r="O85" s="13">
        <f t="shared" si="24"/>
        <v>45972</v>
      </c>
      <c r="P85" s="14">
        <f t="shared" ref="P85:P87" si="25">I85/3.467</f>
        <v>2047.2973752523794</v>
      </c>
    </row>
    <row r="86" spans="1:18" hidden="1" outlineLevel="2" x14ac:dyDescent="0.25">
      <c r="A86" t="s">
        <v>132</v>
      </c>
      <c r="B86" t="s">
        <v>133</v>
      </c>
      <c r="C86" t="s">
        <v>138</v>
      </c>
      <c r="D86" t="s">
        <v>139</v>
      </c>
      <c r="E86" t="s">
        <v>4</v>
      </c>
      <c r="F86" s="2">
        <v>46053</v>
      </c>
      <c r="G86" s="3">
        <v>58</v>
      </c>
      <c r="H86" s="2">
        <v>46060</v>
      </c>
      <c r="I86" s="4">
        <v>4003.46</v>
      </c>
      <c r="J86" t="s">
        <v>5</v>
      </c>
      <c r="K86" t="s">
        <v>203</v>
      </c>
      <c r="O86" s="13">
        <f t="shared" si="24"/>
        <v>46060</v>
      </c>
      <c r="P86" s="14">
        <f t="shared" si="25"/>
        <v>1154.7331987308912</v>
      </c>
    </row>
    <row r="87" spans="1:18" hidden="1" outlineLevel="2" x14ac:dyDescent="0.25">
      <c r="A87" t="s">
        <v>132</v>
      </c>
      <c r="B87" t="s">
        <v>133</v>
      </c>
      <c r="C87" t="s">
        <v>140</v>
      </c>
      <c r="D87" t="s">
        <v>141</v>
      </c>
      <c r="E87" t="s">
        <v>4</v>
      </c>
      <c r="F87" s="2">
        <v>46084</v>
      </c>
      <c r="G87" s="3">
        <v>27</v>
      </c>
      <c r="H87" s="2">
        <v>46091</v>
      </c>
      <c r="I87" s="4">
        <v>4956</v>
      </c>
      <c r="J87" t="s">
        <v>5</v>
      </c>
      <c r="K87" t="s">
        <v>203</v>
      </c>
      <c r="O87" s="13">
        <f t="shared" si="24"/>
        <v>46091</v>
      </c>
      <c r="P87" s="14">
        <f t="shared" si="25"/>
        <v>1429.4779348139602</v>
      </c>
    </row>
    <row r="88" spans="1:18" hidden="1" outlineLevel="2" x14ac:dyDescent="0.25">
      <c r="A88" t="s">
        <v>142</v>
      </c>
      <c r="B88" t="s">
        <v>143</v>
      </c>
      <c r="C88" t="s">
        <v>144</v>
      </c>
      <c r="D88" t="s">
        <v>145</v>
      </c>
      <c r="E88" t="s">
        <v>4</v>
      </c>
      <c r="F88" s="2">
        <v>46112</v>
      </c>
      <c r="G88" s="3">
        <v>-1</v>
      </c>
      <c r="H88" s="2">
        <v>46119</v>
      </c>
      <c r="I88" s="4">
        <v>643.95000000000005</v>
      </c>
      <c r="J88" t="s">
        <v>5</v>
      </c>
      <c r="K88" t="s">
        <v>202</v>
      </c>
      <c r="O88" s="13">
        <f t="shared" si="24"/>
        <v>46119</v>
      </c>
      <c r="P88" s="14">
        <f t="shared" ref="P88:P93" si="26">I88/3.467</f>
        <v>185.73694837034901</v>
      </c>
    </row>
    <row r="89" spans="1:18" hidden="1" outlineLevel="2" x14ac:dyDescent="0.25">
      <c r="A89" t="s">
        <v>142</v>
      </c>
      <c r="B89" t="s">
        <v>143</v>
      </c>
      <c r="C89" t="s">
        <v>146</v>
      </c>
      <c r="D89" t="s">
        <v>147</v>
      </c>
      <c r="E89" t="s">
        <v>4</v>
      </c>
      <c r="F89" s="2">
        <v>46112</v>
      </c>
      <c r="G89" s="3">
        <v>-1</v>
      </c>
      <c r="H89" s="2">
        <v>46119</v>
      </c>
      <c r="I89" s="4">
        <v>194.7</v>
      </c>
      <c r="J89" t="s">
        <v>5</v>
      </c>
      <c r="K89" t="s">
        <v>202</v>
      </c>
      <c r="L89" s="13"/>
      <c r="M89" s="15"/>
      <c r="N89" s="13"/>
      <c r="O89" s="13">
        <v>46133</v>
      </c>
      <c r="P89" s="14">
        <f t="shared" si="26"/>
        <v>56.158061724834148</v>
      </c>
      <c r="Q89" s="16"/>
      <c r="R89" s="17"/>
    </row>
    <row r="90" spans="1:18" hidden="1" outlineLevel="2" x14ac:dyDescent="0.25">
      <c r="A90" t="s">
        <v>142</v>
      </c>
      <c r="B90" t="s">
        <v>143</v>
      </c>
      <c r="C90" t="s">
        <v>294</v>
      </c>
      <c r="D90" t="s">
        <v>295</v>
      </c>
      <c r="E90" t="s">
        <v>4</v>
      </c>
      <c r="F90" s="2">
        <v>46112</v>
      </c>
      <c r="G90" s="3">
        <v>-1</v>
      </c>
      <c r="H90" s="2">
        <v>46119</v>
      </c>
      <c r="I90" s="4">
        <v>376.33</v>
      </c>
      <c r="J90" t="s">
        <v>5</v>
      </c>
      <c r="K90" t="s">
        <v>202</v>
      </c>
      <c r="L90" s="13"/>
      <c r="M90" s="15"/>
      <c r="N90" s="13"/>
      <c r="O90" s="13">
        <v>46133</v>
      </c>
      <c r="P90" s="14">
        <f t="shared" si="26"/>
        <v>108.54629362561292</v>
      </c>
      <c r="Q90" s="16"/>
      <c r="R90" s="17"/>
    </row>
    <row r="91" spans="1:18" hidden="1" outlineLevel="2" x14ac:dyDescent="0.25">
      <c r="A91" t="s">
        <v>142</v>
      </c>
      <c r="B91" t="s">
        <v>143</v>
      </c>
      <c r="C91" t="s">
        <v>296</v>
      </c>
      <c r="D91" t="s">
        <v>297</v>
      </c>
      <c r="E91" t="s">
        <v>4</v>
      </c>
      <c r="F91" s="2">
        <v>46112</v>
      </c>
      <c r="G91" s="3">
        <v>-1</v>
      </c>
      <c r="H91" s="2">
        <v>46119</v>
      </c>
      <c r="I91" s="4">
        <v>153.4</v>
      </c>
      <c r="J91" t="s">
        <v>5</v>
      </c>
      <c r="K91" t="s">
        <v>202</v>
      </c>
      <c r="L91" s="13"/>
      <c r="M91" s="15"/>
      <c r="N91" s="13"/>
      <c r="O91" s="13">
        <v>46136</v>
      </c>
      <c r="P91" s="14">
        <f t="shared" si="26"/>
        <v>44.245745601384485</v>
      </c>
      <c r="Q91" s="16"/>
      <c r="R91" s="17"/>
    </row>
    <row r="92" spans="1:18" hidden="1" outlineLevel="2" x14ac:dyDescent="0.25">
      <c r="A92" t="s">
        <v>142</v>
      </c>
      <c r="B92" t="s">
        <v>143</v>
      </c>
      <c r="C92" t="s">
        <v>298</v>
      </c>
      <c r="D92" t="s">
        <v>299</v>
      </c>
      <c r="E92" t="s">
        <v>4</v>
      </c>
      <c r="F92" s="2">
        <v>46116</v>
      </c>
      <c r="G92" s="3">
        <v>-5</v>
      </c>
      <c r="H92" s="2">
        <v>46123</v>
      </c>
      <c r="I92" s="4">
        <v>1053.98</v>
      </c>
      <c r="J92" t="s">
        <v>5</v>
      </c>
      <c r="K92" t="s">
        <v>202</v>
      </c>
      <c r="L92" s="13"/>
      <c r="M92" s="15"/>
      <c r="N92" s="13"/>
      <c r="O92" s="13">
        <v>46136</v>
      </c>
      <c r="P92" s="14">
        <f t="shared" si="26"/>
        <v>304.00346120565331</v>
      </c>
      <c r="Q92" s="16"/>
      <c r="R92" s="17"/>
    </row>
    <row r="93" spans="1:18" hidden="1" outlineLevel="2" x14ac:dyDescent="0.25">
      <c r="A93" t="s">
        <v>142</v>
      </c>
      <c r="B93" t="s">
        <v>143</v>
      </c>
      <c r="C93" t="s">
        <v>300</v>
      </c>
      <c r="D93" t="s">
        <v>301</v>
      </c>
      <c r="E93" t="s">
        <v>4</v>
      </c>
      <c r="F93" s="2">
        <v>46116</v>
      </c>
      <c r="G93" s="3">
        <v>-5</v>
      </c>
      <c r="H93" s="2">
        <v>46123</v>
      </c>
      <c r="I93" s="4">
        <v>348.1</v>
      </c>
      <c r="J93" t="s">
        <v>5</v>
      </c>
      <c r="K93" t="s">
        <v>202</v>
      </c>
      <c r="L93" s="13"/>
      <c r="M93" s="15"/>
      <c r="N93" s="13"/>
      <c r="O93" s="13">
        <f>H93</f>
        <v>46123</v>
      </c>
      <c r="P93" s="14">
        <f t="shared" si="26"/>
        <v>100.40380732621864</v>
      </c>
      <c r="Q93" s="16"/>
      <c r="R93" s="17"/>
    </row>
    <row r="94" spans="1:18" x14ac:dyDescent="0.25">
      <c r="A94" t="s">
        <v>148</v>
      </c>
      <c r="B94" t="s">
        <v>149</v>
      </c>
      <c r="C94" t="s">
        <v>150</v>
      </c>
      <c r="D94" t="s">
        <v>151</v>
      </c>
      <c r="E94" t="s">
        <v>67</v>
      </c>
      <c r="F94" s="2">
        <v>46088</v>
      </c>
      <c r="G94" s="3">
        <v>30</v>
      </c>
      <c r="H94" s="2">
        <v>46088</v>
      </c>
      <c r="I94" s="4">
        <v>156680</v>
      </c>
      <c r="J94" t="s">
        <v>43</v>
      </c>
      <c r="K94" t="s">
        <v>204</v>
      </c>
      <c r="L94" s="13">
        <v>46133</v>
      </c>
      <c r="M94" s="15">
        <f t="shared" ref="M94" ca="1" si="27">N94-TODAY()</f>
        <v>14</v>
      </c>
      <c r="N94" s="13">
        <v>46133</v>
      </c>
      <c r="O94" s="24">
        <v>46133</v>
      </c>
      <c r="P94" s="25">
        <f t="shared" ref="P94:P96" si="28">I94</f>
        <v>156680</v>
      </c>
      <c r="Q94" s="16">
        <f ca="1">TODAY()-F94</f>
        <v>31</v>
      </c>
      <c r="R94" s="17" t="s">
        <v>218</v>
      </c>
    </row>
    <row r="95" spans="1:18" x14ac:dyDescent="0.25">
      <c r="A95" t="s">
        <v>148</v>
      </c>
      <c r="B95" t="s">
        <v>149</v>
      </c>
      <c r="C95" t="s">
        <v>152</v>
      </c>
      <c r="D95" t="s">
        <v>153</v>
      </c>
      <c r="E95" t="s">
        <v>67</v>
      </c>
      <c r="F95" s="2">
        <v>46099</v>
      </c>
      <c r="G95" s="3">
        <v>19</v>
      </c>
      <c r="H95" s="2">
        <v>46099</v>
      </c>
      <c r="I95" s="4">
        <v>125360</v>
      </c>
      <c r="J95" t="s">
        <v>43</v>
      </c>
      <c r="K95" t="s">
        <v>204</v>
      </c>
      <c r="L95" s="13">
        <v>46144</v>
      </c>
      <c r="N95" s="13">
        <v>46144</v>
      </c>
      <c r="O95" s="24">
        <v>46144</v>
      </c>
      <c r="P95" s="25">
        <f t="shared" si="28"/>
        <v>125360</v>
      </c>
      <c r="Q95" s="16">
        <f t="shared" ref="Q95:Q96" ca="1" si="29">TODAY()-F95</f>
        <v>20</v>
      </c>
      <c r="R95" s="17" t="s">
        <v>218</v>
      </c>
    </row>
    <row r="96" spans="1:18" x14ac:dyDescent="0.25">
      <c r="A96" t="s">
        <v>154</v>
      </c>
      <c r="B96" t="s">
        <v>155</v>
      </c>
      <c r="C96" t="s">
        <v>156</v>
      </c>
      <c r="D96" t="s">
        <v>157</v>
      </c>
      <c r="E96" t="s">
        <v>67</v>
      </c>
      <c r="F96" s="2">
        <v>46099</v>
      </c>
      <c r="G96" s="3">
        <v>19</v>
      </c>
      <c r="H96" s="2">
        <v>46099</v>
      </c>
      <c r="I96" s="4">
        <v>31275</v>
      </c>
      <c r="J96" t="s">
        <v>43</v>
      </c>
      <c r="K96" t="s">
        <v>204</v>
      </c>
      <c r="L96" s="13">
        <f>F96+45</f>
        <v>46144</v>
      </c>
      <c r="N96" s="13">
        <v>46144</v>
      </c>
      <c r="O96" s="24">
        <v>46144</v>
      </c>
      <c r="P96" s="25">
        <f t="shared" si="28"/>
        <v>31275</v>
      </c>
      <c r="Q96" s="16">
        <f t="shared" ca="1" si="29"/>
        <v>20</v>
      </c>
      <c r="R96" s="17" t="s">
        <v>218</v>
      </c>
    </row>
    <row r="97" spans="1:18" hidden="1" x14ac:dyDescent="0.25">
      <c r="A97" t="s">
        <v>158</v>
      </c>
      <c r="B97" t="s">
        <v>159</v>
      </c>
      <c r="C97" t="s">
        <v>160</v>
      </c>
      <c r="D97" t="s">
        <v>161</v>
      </c>
      <c r="E97" t="s">
        <v>4</v>
      </c>
      <c r="F97" s="2">
        <v>45937</v>
      </c>
      <c r="G97" s="3">
        <v>174</v>
      </c>
      <c r="H97" s="2">
        <v>45944</v>
      </c>
      <c r="I97" s="4">
        <v>790</v>
      </c>
      <c r="J97" t="s">
        <v>5</v>
      </c>
      <c r="K97" t="s">
        <v>205</v>
      </c>
      <c r="P97" s="14">
        <f>I97/3.467</f>
        <v>227.86270550908566</v>
      </c>
    </row>
    <row r="98" spans="1:18" hidden="1" x14ac:dyDescent="0.25">
      <c r="A98" t="s">
        <v>302</v>
      </c>
      <c r="B98" t="s">
        <v>303</v>
      </c>
      <c r="C98" t="s">
        <v>304</v>
      </c>
      <c r="D98" t="s">
        <v>305</v>
      </c>
      <c r="E98" t="s">
        <v>4</v>
      </c>
      <c r="F98" s="2">
        <v>46112</v>
      </c>
      <c r="G98" s="3">
        <v>3</v>
      </c>
      <c r="H98" s="2">
        <v>46115</v>
      </c>
      <c r="I98" s="4">
        <v>21201.77</v>
      </c>
      <c r="J98" t="s">
        <v>5</v>
      </c>
      <c r="K98" t="s">
        <v>306</v>
      </c>
      <c r="O98" s="13">
        <f>H98</f>
        <v>46115</v>
      </c>
      <c r="P98" s="14">
        <f>I98/3.467</f>
        <v>6115.3071820017303</v>
      </c>
    </row>
    <row r="99" spans="1:18" hidden="1" x14ac:dyDescent="0.25">
      <c r="A99" t="s">
        <v>302</v>
      </c>
      <c r="B99" t="s">
        <v>303</v>
      </c>
      <c r="C99" t="s">
        <v>307</v>
      </c>
      <c r="D99" t="s">
        <v>308</v>
      </c>
      <c r="E99" t="s">
        <v>4</v>
      </c>
      <c r="F99" s="2">
        <v>46112</v>
      </c>
      <c r="G99" s="3">
        <v>3</v>
      </c>
      <c r="H99" s="2">
        <v>46115</v>
      </c>
      <c r="I99" s="4">
        <v>41169.49</v>
      </c>
      <c r="J99" t="s">
        <v>5</v>
      </c>
      <c r="K99" t="s">
        <v>306</v>
      </c>
      <c r="O99" s="13">
        <f>H99</f>
        <v>46115</v>
      </c>
      <c r="P99" s="14">
        <f>I99/3.467</f>
        <v>11874.672627631957</v>
      </c>
    </row>
    <row r="100" spans="1:18" x14ac:dyDescent="0.25">
      <c r="A100" t="s">
        <v>162</v>
      </c>
      <c r="B100" t="s">
        <v>163</v>
      </c>
      <c r="C100" t="s">
        <v>164</v>
      </c>
      <c r="D100" t="s">
        <v>165</v>
      </c>
      <c r="E100" t="s">
        <v>67</v>
      </c>
      <c r="F100" s="2">
        <v>46081</v>
      </c>
      <c r="G100" s="3">
        <v>37</v>
      </c>
      <c r="H100" s="2">
        <v>46081</v>
      </c>
      <c r="I100" s="4">
        <v>73490</v>
      </c>
      <c r="J100" t="s">
        <v>43</v>
      </c>
      <c r="K100" t="s">
        <v>204</v>
      </c>
      <c r="L100" s="13">
        <f>F100+45</f>
        <v>46126</v>
      </c>
      <c r="M100" s="15">
        <f ca="1">N100-TODAY()</f>
        <v>7</v>
      </c>
      <c r="N100" s="13">
        <v>46126</v>
      </c>
      <c r="O100" s="24">
        <v>46126</v>
      </c>
      <c r="P100" s="25">
        <f>I100</f>
        <v>73490</v>
      </c>
      <c r="Q100" s="16">
        <f ca="1">TODAY()-F100</f>
        <v>38</v>
      </c>
      <c r="R100" s="17" t="s">
        <v>218</v>
      </c>
    </row>
    <row r="101" spans="1:18" hidden="1" x14ac:dyDescent="0.25">
      <c r="A101" t="s">
        <v>166</v>
      </c>
      <c r="B101" t="s">
        <v>167</v>
      </c>
      <c r="C101" t="s">
        <v>168</v>
      </c>
      <c r="D101" t="s">
        <v>169</v>
      </c>
      <c r="E101" t="s">
        <v>4</v>
      </c>
      <c r="F101" s="2">
        <v>46106</v>
      </c>
      <c r="G101" s="3">
        <v>5</v>
      </c>
      <c r="H101" s="2">
        <v>46113</v>
      </c>
      <c r="I101" s="4">
        <v>590</v>
      </c>
      <c r="J101" t="s">
        <v>5</v>
      </c>
      <c r="K101" t="s">
        <v>202</v>
      </c>
      <c r="O101" s="13">
        <f t="shared" ref="O101:O105" si="30">H101</f>
        <v>46113</v>
      </c>
      <c r="P101" s="14">
        <f t="shared" ref="P101:P105" si="31">I101/3.467</f>
        <v>170.17594462070954</v>
      </c>
    </row>
    <row r="102" spans="1:18" hidden="1" x14ac:dyDescent="0.25">
      <c r="A102" t="s">
        <v>166</v>
      </c>
      <c r="B102" t="s">
        <v>167</v>
      </c>
      <c r="C102" t="s">
        <v>170</v>
      </c>
      <c r="D102" t="s">
        <v>171</v>
      </c>
      <c r="E102" t="s">
        <v>4</v>
      </c>
      <c r="F102" s="2">
        <v>46109</v>
      </c>
      <c r="G102" s="3">
        <v>2</v>
      </c>
      <c r="H102" s="2">
        <v>46116</v>
      </c>
      <c r="I102" s="4">
        <v>590</v>
      </c>
      <c r="J102" t="s">
        <v>5</v>
      </c>
      <c r="K102" t="s">
        <v>202</v>
      </c>
      <c r="O102" s="13">
        <f t="shared" si="30"/>
        <v>46116</v>
      </c>
      <c r="P102" s="14">
        <f t="shared" si="31"/>
        <v>170.17594462070954</v>
      </c>
    </row>
    <row r="103" spans="1:18" hidden="1" x14ac:dyDescent="0.25">
      <c r="A103" t="s">
        <v>166</v>
      </c>
      <c r="B103" t="s">
        <v>167</v>
      </c>
      <c r="C103" t="s">
        <v>309</v>
      </c>
      <c r="D103" t="s">
        <v>310</v>
      </c>
      <c r="E103" t="s">
        <v>4</v>
      </c>
      <c r="F103" s="2">
        <v>46112</v>
      </c>
      <c r="G103" s="3">
        <v>-1</v>
      </c>
      <c r="H103" s="2">
        <v>46119</v>
      </c>
      <c r="I103" s="4">
        <v>590</v>
      </c>
      <c r="J103" t="s">
        <v>5</v>
      </c>
      <c r="K103" t="s">
        <v>202</v>
      </c>
      <c r="O103" s="13">
        <f t="shared" si="30"/>
        <v>46119</v>
      </c>
      <c r="P103" s="14">
        <f t="shared" si="31"/>
        <v>170.17594462070954</v>
      </c>
    </row>
    <row r="104" spans="1:18" hidden="1" x14ac:dyDescent="0.25">
      <c r="A104" t="s">
        <v>166</v>
      </c>
      <c r="B104" t="s">
        <v>167</v>
      </c>
      <c r="C104" t="s">
        <v>311</v>
      </c>
      <c r="D104" t="s">
        <v>312</v>
      </c>
      <c r="E104" t="s">
        <v>4</v>
      </c>
      <c r="F104" s="2">
        <v>46116</v>
      </c>
      <c r="G104" s="3">
        <v>-5</v>
      </c>
      <c r="H104" s="2">
        <v>46123</v>
      </c>
      <c r="I104" s="4">
        <v>590</v>
      </c>
      <c r="J104" t="s">
        <v>5</v>
      </c>
      <c r="K104" t="s">
        <v>202</v>
      </c>
      <c r="O104" s="13">
        <f t="shared" si="30"/>
        <v>46123</v>
      </c>
      <c r="P104" s="14">
        <f t="shared" si="31"/>
        <v>170.17594462070954</v>
      </c>
    </row>
    <row r="105" spans="1:18" hidden="1" x14ac:dyDescent="0.25">
      <c r="A105" t="s">
        <v>166</v>
      </c>
      <c r="B105" t="s">
        <v>167</v>
      </c>
      <c r="C105" t="s">
        <v>313</v>
      </c>
      <c r="D105" t="s">
        <v>314</v>
      </c>
      <c r="E105" t="s">
        <v>4</v>
      </c>
      <c r="F105" s="2">
        <v>46116</v>
      </c>
      <c r="G105" s="3">
        <v>-5</v>
      </c>
      <c r="H105" s="2">
        <v>46123</v>
      </c>
      <c r="I105" s="4">
        <v>590</v>
      </c>
      <c r="J105" t="s">
        <v>5</v>
      </c>
      <c r="K105" t="s">
        <v>202</v>
      </c>
      <c r="O105" s="13">
        <f t="shared" si="30"/>
        <v>46123</v>
      </c>
      <c r="P105" s="14">
        <f t="shared" si="31"/>
        <v>170.17594462070954</v>
      </c>
    </row>
    <row r="106" spans="1:18" x14ac:dyDescent="0.25">
      <c r="A106" t="s">
        <v>315</v>
      </c>
      <c r="B106" t="s">
        <v>316</v>
      </c>
      <c r="C106" t="s">
        <v>317</v>
      </c>
      <c r="D106" t="s">
        <v>318</v>
      </c>
      <c r="E106" t="s">
        <v>42</v>
      </c>
      <c r="F106" s="2">
        <v>46111</v>
      </c>
      <c r="G106" s="3">
        <v>-38</v>
      </c>
      <c r="H106" s="2">
        <v>46156</v>
      </c>
      <c r="I106" s="4">
        <v>70200</v>
      </c>
      <c r="J106" t="s">
        <v>43</v>
      </c>
      <c r="K106" t="s">
        <v>204</v>
      </c>
      <c r="L106" s="13">
        <f>F106+45</f>
        <v>46156</v>
      </c>
      <c r="M106" s="15"/>
      <c r="N106" s="13"/>
      <c r="O106" s="24">
        <v>46156</v>
      </c>
      <c r="P106" s="25">
        <f>I106</f>
        <v>70200</v>
      </c>
    </row>
    <row r="107" spans="1:18" hidden="1" x14ac:dyDescent="0.25">
      <c r="A107" t="s">
        <v>172</v>
      </c>
      <c r="B107" t="s">
        <v>173</v>
      </c>
      <c r="C107" t="s">
        <v>319</v>
      </c>
      <c r="D107" t="s">
        <v>320</v>
      </c>
      <c r="E107" t="s">
        <v>4</v>
      </c>
      <c r="F107" s="2">
        <v>46116</v>
      </c>
      <c r="G107" s="3">
        <v>-5</v>
      </c>
      <c r="H107" s="2">
        <v>46123</v>
      </c>
      <c r="I107" s="4">
        <v>593.29999999999995</v>
      </c>
      <c r="J107" t="s">
        <v>5</v>
      </c>
      <c r="K107" t="s">
        <v>202</v>
      </c>
      <c r="O107" s="13">
        <f t="shared" ref="O107:O112" si="32">H107</f>
        <v>46123</v>
      </c>
      <c r="P107" s="14">
        <f t="shared" ref="P107:P112" si="33">I107/3.467</f>
        <v>171.12777617536773</v>
      </c>
    </row>
    <row r="108" spans="1:18" hidden="1" x14ac:dyDescent="0.25">
      <c r="A108" t="s">
        <v>172</v>
      </c>
      <c r="B108" t="s">
        <v>173</v>
      </c>
      <c r="C108" t="s">
        <v>321</v>
      </c>
      <c r="D108" t="s">
        <v>322</v>
      </c>
      <c r="E108" t="s">
        <v>4</v>
      </c>
      <c r="F108" s="2">
        <v>46116</v>
      </c>
      <c r="G108" s="3">
        <v>-5</v>
      </c>
      <c r="H108" s="2">
        <v>46123</v>
      </c>
      <c r="I108" s="4">
        <v>123.9</v>
      </c>
      <c r="J108" t="s">
        <v>5</v>
      </c>
      <c r="K108" t="s">
        <v>202</v>
      </c>
      <c r="O108" s="13">
        <f t="shared" si="32"/>
        <v>46123</v>
      </c>
      <c r="P108" s="14">
        <f t="shared" si="33"/>
        <v>35.736948370349005</v>
      </c>
    </row>
    <row r="109" spans="1:18" hidden="1" x14ac:dyDescent="0.25">
      <c r="A109" t="s">
        <v>174</v>
      </c>
      <c r="B109" t="s">
        <v>175</v>
      </c>
      <c r="C109" t="s">
        <v>176</v>
      </c>
      <c r="D109" t="s">
        <v>177</v>
      </c>
      <c r="E109" t="s">
        <v>65</v>
      </c>
      <c r="F109" s="2">
        <v>45942</v>
      </c>
      <c r="G109" s="3">
        <v>176</v>
      </c>
      <c r="H109" s="2">
        <v>45942</v>
      </c>
      <c r="I109" s="4">
        <v>56.64</v>
      </c>
      <c r="J109" t="s">
        <v>5</v>
      </c>
      <c r="K109" t="s">
        <v>202</v>
      </c>
      <c r="O109" s="13">
        <f t="shared" si="32"/>
        <v>45942</v>
      </c>
      <c r="P109" s="14">
        <f t="shared" si="33"/>
        <v>16.336890683588116</v>
      </c>
    </row>
    <row r="110" spans="1:18" hidden="1" x14ac:dyDescent="0.25">
      <c r="A110" t="s">
        <v>178</v>
      </c>
      <c r="B110" t="s">
        <v>179</v>
      </c>
      <c r="C110" t="s">
        <v>180</v>
      </c>
      <c r="D110" t="s">
        <v>181</v>
      </c>
      <c r="E110" t="s">
        <v>4</v>
      </c>
      <c r="F110" s="2">
        <v>46108</v>
      </c>
      <c r="G110" s="3">
        <v>3</v>
      </c>
      <c r="H110" s="2">
        <v>46115</v>
      </c>
      <c r="I110" s="4">
        <v>424.8</v>
      </c>
      <c r="J110" t="s">
        <v>5</v>
      </c>
      <c r="K110" t="s">
        <v>202</v>
      </c>
      <c r="O110" s="13">
        <f t="shared" si="32"/>
        <v>46115</v>
      </c>
      <c r="P110" s="14">
        <f t="shared" si="33"/>
        <v>122.52668012691088</v>
      </c>
    </row>
    <row r="111" spans="1:18" hidden="1" x14ac:dyDescent="0.25">
      <c r="A111" t="s">
        <v>178</v>
      </c>
      <c r="B111" t="s">
        <v>179</v>
      </c>
      <c r="C111" t="s">
        <v>182</v>
      </c>
      <c r="D111" t="s">
        <v>183</v>
      </c>
      <c r="E111" t="s">
        <v>4</v>
      </c>
      <c r="F111" s="2">
        <v>46109</v>
      </c>
      <c r="G111" s="3">
        <v>2</v>
      </c>
      <c r="H111" s="2">
        <v>46116</v>
      </c>
      <c r="I111" s="4">
        <v>849.6</v>
      </c>
      <c r="J111" t="s">
        <v>5</v>
      </c>
      <c r="K111" t="s">
        <v>202</v>
      </c>
      <c r="O111" s="13">
        <f t="shared" si="32"/>
        <v>46116</v>
      </c>
      <c r="P111" s="14">
        <f t="shared" si="33"/>
        <v>245.05336025382175</v>
      </c>
    </row>
    <row r="112" spans="1:18" hidden="1" x14ac:dyDescent="0.25">
      <c r="A112" t="s">
        <v>178</v>
      </c>
      <c r="B112" t="s">
        <v>179</v>
      </c>
      <c r="C112" t="s">
        <v>323</v>
      </c>
      <c r="D112" t="s">
        <v>324</v>
      </c>
      <c r="E112" t="s">
        <v>4</v>
      </c>
      <c r="F112" s="2">
        <v>46113</v>
      </c>
      <c r="G112" s="3">
        <v>-2</v>
      </c>
      <c r="H112" s="2">
        <v>46120</v>
      </c>
      <c r="I112" s="4">
        <v>1699.2</v>
      </c>
      <c r="J112" t="s">
        <v>5</v>
      </c>
      <c r="K112" t="s">
        <v>202</v>
      </c>
      <c r="O112" s="13">
        <f t="shared" si="32"/>
        <v>46120</v>
      </c>
      <c r="P112" s="14">
        <f t="shared" si="33"/>
        <v>490.1067205076435</v>
      </c>
    </row>
    <row r="113" spans="1:18" x14ac:dyDescent="0.25">
      <c r="A113" t="s">
        <v>184</v>
      </c>
      <c r="B113" t="s">
        <v>185</v>
      </c>
      <c r="C113" t="s">
        <v>186</v>
      </c>
      <c r="D113" t="s">
        <v>187</v>
      </c>
      <c r="E113" t="s">
        <v>42</v>
      </c>
      <c r="F113" s="2">
        <v>46091</v>
      </c>
      <c r="G113" s="3">
        <v>-18</v>
      </c>
      <c r="H113" s="2">
        <v>46136</v>
      </c>
      <c r="I113" s="4">
        <v>76800</v>
      </c>
      <c r="J113" t="s">
        <v>43</v>
      </c>
      <c r="K113" t="s">
        <v>204</v>
      </c>
      <c r="L113" s="13">
        <f t="shared" ref="L113:L121" si="34">F113+45</f>
        <v>46136</v>
      </c>
      <c r="M113" s="15">
        <f t="shared" ref="M113:M114" ca="1" si="35">N113-TODAY()</f>
        <v>17</v>
      </c>
      <c r="N113" s="13">
        <v>46136</v>
      </c>
      <c r="O113" s="24">
        <v>46136</v>
      </c>
      <c r="P113" s="25">
        <f t="shared" ref="P113:P122" si="36">I113</f>
        <v>76800</v>
      </c>
      <c r="Q113" s="16">
        <f t="shared" ref="Q113:Q121" ca="1" si="37">TODAY()-F113</f>
        <v>28</v>
      </c>
      <c r="R113" s="17" t="s">
        <v>218</v>
      </c>
    </row>
    <row r="114" spans="1:18" x14ac:dyDescent="0.25">
      <c r="A114" t="s">
        <v>184</v>
      </c>
      <c r="B114" t="s">
        <v>185</v>
      </c>
      <c r="C114" t="s">
        <v>188</v>
      </c>
      <c r="D114" t="s">
        <v>189</v>
      </c>
      <c r="E114" t="s">
        <v>42</v>
      </c>
      <c r="F114" s="2">
        <v>46091</v>
      </c>
      <c r="G114" s="3">
        <v>-18</v>
      </c>
      <c r="H114" s="2">
        <v>46136</v>
      </c>
      <c r="I114" s="4">
        <v>186880</v>
      </c>
      <c r="J114" t="s">
        <v>43</v>
      </c>
      <c r="K114" t="s">
        <v>204</v>
      </c>
      <c r="L114" s="13">
        <f t="shared" si="34"/>
        <v>46136</v>
      </c>
      <c r="M114" s="15">
        <f t="shared" ca="1" si="35"/>
        <v>17</v>
      </c>
      <c r="N114" s="13">
        <v>46136</v>
      </c>
      <c r="O114" s="24">
        <v>46136</v>
      </c>
      <c r="P114" s="25">
        <f t="shared" si="36"/>
        <v>186880</v>
      </c>
      <c r="Q114" s="16">
        <f t="shared" ca="1" si="37"/>
        <v>28</v>
      </c>
      <c r="R114" s="17" t="s">
        <v>218</v>
      </c>
    </row>
    <row r="115" spans="1:18" x14ac:dyDescent="0.25">
      <c r="A115" t="s">
        <v>184</v>
      </c>
      <c r="B115" t="s">
        <v>185</v>
      </c>
      <c r="C115" t="s">
        <v>190</v>
      </c>
      <c r="D115" t="s">
        <v>191</v>
      </c>
      <c r="E115" t="s">
        <v>42</v>
      </c>
      <c r="F115" s="2">
        <v>46099</v>
      </c>
      <c r="G115" s="3">
        <v>-26</v>
      </c>
      <c r="H115" s="2">
        <v>46144</v>
      </c>
      <c r="I115" s="4">
        <v>216000</v>
      </c>
      <c r="J115" t="s">
        <v>43</v>
      </c>
      <c r="K115" t="s">
        <v>204</v>
      </c>
      <c r="L115" s="13">
        <f t="shared" si="34"/>
        <v>46144</v>
      </c>
      <c r="M115" s="15">
        <f ca="1">N115-TODAY()</f>
        <v>25</v>
      </c>
      <c r="N115" s="13">
        <v>46144</v>
      </c>
      <c r="O115" s="24">
        <v>46144</v>
      </c>
      <c r="P115" s="25">
        <f t="shared" si="36"/>
        <v>216000</v>
      </c>
      <c r="Q115" s="16">
        <f t="shared" ca="1" si="37"/>
        <v>20</v>
      </c>
      <c r="R115" s="17" t="s">
        <v>218</v>
      </c>
    </row>
    <row r="116" spans="1:18" x14ac:dyDescent="0.25">
      <c r="A116" t="s">
        <v>184</v>
      </c>
      <c r="B116" t="s">
        <v>185</v>
      </c>
      <c r="C116" t="s">
        <v>325</v>
      </c>
      <c r="D116" t="s">
        <v>326</v>
      </c>
      <c r="E116" t="s">
        <v>42</v>
      </c>
      <c r="F116" s="2">
        <v>46109</v>
      </c>
      <c r="G116" s="3">
        <v>-36</v>
      </c>
      <c r="H116" s="2">
        <v>46154</v>
      </c>
      <c r="I116" s="4">
        <v>76800</v>
      </c>
      <c r="J116" t="s">
        <v>43</v>
      </c>
      <c r="K116" t="s">
        <v>204</v>
      </c>
      <c r="L116" s="13">
        <f t="shared" si="34"/>
        <v>46154</v>
      </c>
      <c r="M116" s="15"/>
      <c r="O116" s="24">
        <f>H116</f>
        <v>46154</v>
      </c>
      <c r="P116" s="25">
        <f t="shared" si="36"/>
        <v>76800</v>
      </c>
      <c r="Q116" s="16">
        <f t="shared" ca="1" si="37"/>
        <v>10</v>
      </c>
      <c r="R116" s="17" t="s">
        <v>218</v>
      </c>
    </row>
    <row r="117" spans="1:18" x14ac:dyDescent="0.25">
      <c r="A117" t="s">
        <v>184</v>
      </c>
      <c r="B117" t="s">
        <v>185</v>
      </c>
      <c r="C117" t="s">
        <v>327</v>
      </c>
      <c r="D117" t="s">
        <v>328</v>
      </c>
      <c r="E117" t="s">
        <v>42</v>
      </c>
      <c r="F117" s="2">
        <v>46109</v>
      </c>
      <c r="G117" s="3">
        <v>-36</v>
      </c>
      <c r="H117" s="2">
        <v>46154</v>
      </c>
      <c r="I117" s="4">
        <v>86240</v>
      </c>
      <c r="J117" t="s">
        <v>43</v>
      </c>
      <c r="K117" t="s">
        <v>204</v>
      </c>
      <c r="L117" s="13">
        <f t="shared" si="34"/>
        <v>46154</v>
      </c>
      <c r="M117" s="15"/>
      <c r="O117" s="24">
        <f t="shared" ref="O117:O121" si="38">H117</f>
        <v>46154</v>
      </c>
      <c r="P117" s="25">
        <f t="shared" si="36"/>
        <v>86240</v>
      </c>
      <c r="Q117" s="16">
        <f t="shared" ca="1" si="37"/>
        <v>10</v>
      </c>
      <c r="R117" s="17" t="s">
        <v>218</v>
      </c>
    </row>
    <row r="118" spans="1:18" x14ac:dyDescent="0.25">
      <c r="A118" t="s">
        <v>184</v>
      </c>
      <c r="B118" t="s">
        <v>185</v>
      </c>
      <c r="C118" t="s">
        <v>329</v>
      </c>
      <c r="D118" t="s">
        <v>330</v>
      </c>
      <c r="E118" t="s">
        <v>42</v>
      </c>
      <c r="F118" s="2">
        <v>46109</v>
      </c>
      <c r="G118" s="3">
        <v>-36</v>
      </c>
      <c r="H118" s="2">
        <v>46154</v>
      </c>
      <c r="I118" s="4">
        <v>57600</v>
      </c>
      <c r="J118" t="s">
        <v>43</v>
      </c>
      <c r="K118" t="s">
        <v>204</v>
      </c>
      <c r="L118" s="13">
        <f t="shared" si="34"/>
        <v>46154</v>
      </c>
      <c r="M118" s="15"/>
      <c r="O118" s="24">
        <f t="shared" si="38"/>
        <v>46154</v>
      </c>
      <c r="P118" s="25">
        <f t="shared" si="36"/>
        <v>57600</v>
      </c>
      <c r="Q118" s="16">
        <f t="shared" ca="1" si="37"/>
        <v>10</v>
      </c>
      <c r="R118" s="17" t="s">
        <v>218</v>
      </c>
    </row>
    <row r="119" spans="1:18" x14ac:dyDescent="0.25">
      <c r="A119" t="s">
        <v>184</v>
      </c>
      <c r="B119" t="s">
        <v>185</v>
      </c>
      <c r="C119" t="s">
        <v>331</v>
      </c>
      <c r="D119" t="s">
        <v>332</v>
      </c>
      <c r="E119" t="s">
        <v>42</v>
      </c>
      <c r="F119" s="2">
        <v>46109</v>
      </c>
      <c r="G119" s="3">
        <v>-36</v>
      </c>
      <c r="H119" s="2">
        <v>46154</v>
      </c>
      <c r="I119" s="4">
        <v>129600</v>
      </c>
      <c r="J119" t="s">
        <v>43</v>
      </c>
      <c r="K119" t="s">
        <v>204</v>
      </c>
      <c r="L119" s="13">
        <f t="shared" si="34"/>
        <v>46154</v>
      </c>
      <c r="M119" s="15"/>
      <c r="O119" s="24">
        <f t="shared" si="38"/>
        <v>46154</v>
      </c>
      <c r="P119" s="25">
        <f t="shared" si="36"/>
        <v>129600</v>
      </c>
      <c r="Q119" s="16">
        <f t="shared" ca="1" si="37"/>
        <v>10</v>
      </c>
      <c r="R119" s="17" t="s">
        <v>218</v>
      </c>
    </row>
    <row r="120" spans="1:18" x14ac:dyDescent="0.25">
      <c r="A120" t="s">
        <v>184</v>
      </c>
      <c r="B120" t="s">
        <v>185</v>
      </c>
      <c r="C120" t="s">
        <v>333</v>
      </c>
      <c r="D120" t="s">
        <v>334</v>
      </c>
      <c r="E120" t="s">
        <v>42</v>
      </c>
      <c r="F120" s="2">
        <v>46110</v>
      </c>
      <c r="G120" s="3">
        <v>-37</v>
      </c>
      <c r="H120" s="2">
        <v>46155</v>
      </c>
      <c r="I120" s="4">
        <v>67200</v>
      </c>
      <c r="J120" t="s">
        <v>43</v>
      </c>
      <c r="K120" t="s">
        <v>204</v>
      </c>
      <c r="L120" s="13">
        <f t="shared" si="34"/>
        <v>46155</v>
      </c>
      <c r="M120" s="15"/>
      <c r="O120" s="24">
        <f t="shared" si="38"/>
        <v>46155</v>
      </c>
      <c r="P120" s="25">
        <f t="shared" si="36"/>
        <v>67200</v>
      </c>
      <c r="Q120" s="16">
        <f t="shared" ca="1" si="37"/>
        <v>9</v>
      </c>
      <c r="R120" s="17" t="s">
        <v>218</v>
      </c>
    </row>
    <row r="121" spans="1:18" x14ac:dyDescent="0.25">
      <c r="A121" t="s">
        <v>184</v>
      </c>
      <c r="B121" t="s">
        <v>185</v>
      </c>
      <c r="C121" t="s">
        <v>335</v>
      </c>
      <c r="D121" t="s">
        <v>336</v>
      </c>
      <c r="E121" t="s">
        <v>42</v>
      </c>
      <c r="F121" s="2">
        <v>46110</v>
      </c>
      <c r="G121" s="3">
        <v>-37</v>
      </c>
      <c r="H121" s="2">
        <v>46155</v>
      </c>
      <c r="I121" s="4">
        <v>72960</v>
      </c>
      <c r="J121" t="s">
        <v>43</v>
      </c>
      <c r="K121" t="s">
        <v>204</v>
      </c>
      <c r="L121" s="13">
        <f t="shared" si="34"/>
        <v>46155</v>
      </c>
      <c r="M121" s="15"/>
      <c r="O121" s="24">
        <f t="shared" si="38"/>
        <v>46155</v>
      </c>
      <c r="P121" s="25">
        <f t="shared" si="36"/>
        <v>72960</v>
      </c>
      <c r="Q121" s="16">
        <f t="shared" ca="1" si="37"/>
        <v>9</v>
      </c>
      <c r="R121" s="17" t="s">
        <v>218</v>
      </c>
    </row>
    <row r="122" spans="1:18" hidden="1" x14ac:dyDescent="0.25">
      <c r="A122" t="s">
        <v>337</v>
      </c>
      <c r="B122" t="s">
        <v>338</v>
      </c>
      <c r="C122" t="s">
        <v>339</v>
      </c>
      <c r="D122" t="s">
        <v>340</v>
      </c>
      <c r="E122" t="s">
        <v>65</v>
      </c>
      <c r="F122" s="2">
        <v>46098</v>
      </c>
      <c r="G122" s="3">
        <v>0</v>
      </c>
      <c r="H122" s="2">
        <v>46112</v>
      </c>
      <c r="I122" s="4">
        <v>-84100</v>
      </c>
      <c r="J122" t="s">
        <v>43</v>
      </c>
      <c r="K122" t="s">
        <v>204</v>
      </c>
      <c r="L122" s="13"/>
      <c r="P122" s="8">
        <f t="shared" si="36"/>
        <v>-84100</v>
      </c>
    </row>
    <row r="123" spans="1:18" x14ac:dyDescent="0.25">
      <c r="Q123" s="15"/>
    </row>
  </sheetData>
  <autoFilter ref="A1:R122" xr:uid="{00000000-0001-0000-0000-000000000000}">
    <filterColumn colId="8">
      <filters>
        <filter val="121,500.00"/>
        <filter val="125,360.00"/>
        <filter val="129,600.00"/>
        <filter val="147,743.07"/>
        <filter val="156,680.00"/>
        <filter val="175,500.00"/>
        <filter val="177,221.70"/>
        <filter val="186,880.00"/>
        <filter val="216,000.00"/>
        <filter val="24,860.00"/>
        <filter val="28,800.00"/>
        <filter val="29,300.00"/>
        <filter val="31,275.00"/>
        <filter val="334,800.00"/>
        <filter val="35,553.00"/>
        <filter val="40,636.00"/>
        <filter val="40,736.00"/>
        <filter val="456,300.00"/>
        <filter val="53,862.50"/>
        <filter val="57,600.00"/>
        <filter val="669,600.00"/>
        <filter val="67,200.00"/>
        <filter val="70,200.00"/>
        <filter val="72,960.00"/>
        <filter val="73,490.00"/>
        <filter val="76,700.00"/>
        <filter val="76,800.00"/>
        <filter val="77,585.00"/>
        <filter val="86,240.00"/>
      </filters>
    </filterColumn>
    <filterColumn colId="10">
      <filters>
        <filter val="EXPORTACIÓ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Hoja3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2026-04-07T03:14:51Z</dcterms:created>
  <dcterms:modified xsi:type="dcterms:W3CDTF">2026-04-07T14:58:40Z</dcterms:modified>
  <cp:category/>
</cp:coreProperties>
</file>