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AD2BF3C3-EEBE-465E-B380-A211D88B4F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r:id="rId2"/>
    <sheet name="DÍAS" sheetId="5" r:id="rId3"/>
    <sheet name="Data" sheetId="1" r:id="rId4"/>
  </sheets>
  <definedNames>
    <definedName name="_xlnm._FilterDatabase" localSheetId="3" hidden="1">Data!$A$1:$R$114</definedName>
  </definedNames>
  <calcPr calcId="191029" iterate="1"/>
  <pivotCaches>
    <pivotCache cacheId="40" r:id="rId5"/>
    <pivotCache cacheId="41" r:id="rId6"/>
    <pivotCache cacheId="6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1" l="1"/>
  <c r="O107" i="1"/>
  <c r="P104" i="1"/>
  <c r="P105" i="1"/>
  <c r="P106" i="1"/>
  <c r="P107" i="1"/>
  <c r="P108" i="1"/>
  <c r="P109" i="1"/>
  <c r="P110" i="1"/>
  <c r="P111" i="1"/>
  <c r="P112" i="1"/>
  <c r="P113" i="1"/>
  <c r="P114" i="1"/>
  <c r="O105" i="1"/>
  <c r="O106" i="1"/>
  <c r="O108" i="1"/>
  <c r="O110" i="1"/>
  <c r="O111" i="1"/>
  <c r="O112" i="1"/>
  <c r="O113" i="1"/>
  <c r="O114" i="1"/>
  <c r="M23" i="1"/>
  <c r="Q104" i="1"/>
  <c r="Q99" i="1"/>
  <c r="Q98" i="1"/>
  <c r="Q97" i="1"/>
  <c r="Q90" i="1"/>
  <c r="Q60" i="1"/>
  <c r="Q41" i="1"/>
  <c r="Q40" i="1"/>
  <c r="Q23" i="1"/>
  <c r="Q22" i="1"/>
  <c r="Q21" i="1"/>
  <c r="Q20" i="1"/>
  <c r="M104" i="1"/>
  <c r="M99" i="1"/>
  <c r="M98" i="1"/>
  <c r="M60" i="1"/>
  <c r="M41" i="1"/>
  <c r="M40" i="1"/>
  <c r="M22" i="1"/>
  <c r="M21" i="1"/>
  <c r="M20" i="1"/>
  <c r="L104" i="1"/>
  <c r="L99" i="1"/>
  <c r="L98" i="1"/>
  <c r="L97" i="1"/>
  <c r="L90" i="1"/>
  <c r="L60" i="1"/>
  <c r="L41" i="1"/>
  <c r="L40" i="1"/>
  <c r="L23" i="1"/>
  <c r="L22" i="1"/>
  <c r="L21" i="1"/>
  <c r="L20" i="1"/>
  <c r="P99" i="1"/>
  <c r="P98" i="1"/>
  <c r="P97" i="1"/>
  <c r="P90" i="1"/>
  <c r="P60" i="1"/>
  <c r="P41" i="1"/>
  <c r="P40" i="1"/>
  <c r="P23" i="1"/>
  <c r="P22" i="1"/>
  <c r="P21" i="1"/>
  <c r="P20" i="1"/>
  <c r="O104" i="1"/>
  <c r="O99" i="1"/>
  <c r="O98" i="1"/>
  <c r="O97" i="1"/>
  <c r="O90" i="1"/>
  <c r="O41" i="1"/>
  <c r="O23" i="1"/>
  <c r="O22" i="1"/>
  <c r="O21" i="1"/>
  <c r="O20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61" i="1"/>
  <c r="P91" i="1"/>
  <c r="O91" i="1"/>
  <c r="P89" i="1"/>
  <c r="O89" i="1"/>
  <c r="P103" i="1"/>
  <c r="P102" i="1"/>
  <c r="P101" i="1"/>
  <c r="P100" i="1"/>
  <c r="P96" i="1"/>
  <c r="P95" i="1"/>
  <c r="P94" i="1"/>
  <c r="P93" i="1"/>
  <c r="P92" i="1"/>
  <c r="P84" i="1"/>
  <c r="P83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3" i="1"/>
  <c r="P42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03" i="1"/>
  <c r="O102" i="1"/>
  <c r="O101" i="1"/>
  <c r="O100" i="1"/>
  <c r="O96" i="1"/>
  <c r="O95" i="1"/>
  <c r="O94" i="1"/>
  <c r="O93" i="1"/>
  <c r="O92" i="1"/>
  <c r="O84" i="1"/>
  <c r="O83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3" i="1"/>
  <c r="O42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86" i="1"/>
  <c r="P87" i="1"/>
  <c r="P88" i="1"/>
  <c r="P85" i="1"/>
  <c r="O86" i="1"/>
  <c r="O87" i="1"/>
  <c r="O88" i="1"/>
  <c r="O85" i="1"/>
  <c r="P45" i="1"/>
  <c r="P46" i="1"/>
  <c r="P44" i="1"/>
  <c r="O45" i="1"/>
  <c r="O46" i="1"/>
  <c r="O44" i="1"/>
</calcChain>
</file>

<file path=xl/sharedStrings.xml><?xml version="1.0" encoding="utf-8"?>
<sst xmlns="http://schemas.openxmlformats.org/spreadsheetml/2006/main" count="944" uniqueCount="405">
  <si>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</si>
  <si>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</si>
  <si>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</si>
  <si>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</si>
  <si>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</si>
  <si>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</si>
  <si>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</si>
  <si>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</si>
  <si>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</si>
  <si>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</si>
  <si>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DF</t>
  </si>
  <si>
    <t>PEN</t>
  </si>
  <si>
    <t>1000000434</t>
  </si>
  <si>
    <t>ACUA DIESEL EIRL</t>
  </si>
  <si>
    <t>1200004263</t>
  </si>
  <si>
    <t>01-0F101-0008267</t>
  </si>
  <si>
    <t>1000013966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</si>
  <si>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</si>
  <si>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</si>
  <si>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</si>
  <si>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</si>
  <si>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</si>
  <si>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</si>
  <si>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</si>
  <si>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</si>
  <si>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</si>
  <si>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</si>
  <si>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</si>
  <si>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</si>
  <si>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</si>
  <si>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</si>
  <si>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</si>
  <si>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</si>
  <si>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</si>
  <si>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</si>
  <si>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</si>
  <si>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</si>
  <si>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</si>
  <si>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</si>
  <si>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</si>
  <si>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</si>
  <si>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</si>
  <si>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</si>
  <si>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</si>
  <si>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</si>
  <si>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</si>
  <si>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</si>
  <si>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</si>
  <si>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</si>
  <si>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</si>
  <si>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</si>
  <si>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</si>
  <si>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</si>
  <si>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</si>
  <si>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</si>
  <si>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</si>
  <si>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</si>
  <si>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</si>
  <si>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</si>
  <si>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</si>
  <si>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</si>
  <si>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</si>
  <si>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</si>
  <si>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</si>
  <si>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</si>
  <si>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</si>
  <si>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</si>
  <si>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</si>
  <si>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AVANCE GROUP LTD</t>
  </si>
  <si>
    <t>FT-0F002-0000411</t>
  </si>
  <si>
    <t>ZV</t>
  </si>
  <si>
    <t>USD</t>
  </si>
  <si>
    <t>01-0F002-0000415</t>
  </si>
  <si>
    <t>DE</t>
  </si>
  <si>
    <t>DB</t>
  </si>
  <si>
    <t>2000001381</t>
  </si>
  <si>
    <t>DAIRECK SA</t>
  </si>
  <si>
    <t>DZ</t>
  </si>
  <si>
    <t>DAIRECK SA</t>
  </si>
  <si>
    <t>1200003575</t>
  </si>
  <si>
    <t>DAIRECK SA</t>
  </si>
  <si>
    <t>1300008534</t>
  </si>
  <si>
    <t>FP-278</t>
  </si>
  <si>
    <t>DAIRECK SA</t>
  </si>
  <si>
    <t>1200004199</t>
  </si>
  <si>
    <t>01-0F002-0000427</t>
  </si>
  <si>
    <t>2000001478</t>
  </si>
  <si>
    <t>Dexianhui Technology (Dalian) Co.,</t>
  </si>
  <si>
    <t>1300009246</t>
  </si>
  <si>
    <t>FP-290</t>
  </si>
  <si>
    <t>1000013754</t>
  </si>
  <si>
    <t>ELMER SIXTO SOJO ACARO</t>
  </si>
  <si>
    <t>1200004228</t>
  </si>
  <si>
    <t>03-0B001-0004980</t>
  </si>
  <si>
    <t>ELMER SIXTO SOJO ACARO</t>
  </si>
  <si>
    <t>1200004229</t>
  </si>
  <si>
    <t>03-0B001-0004981</t>
  </si>
  <si>
    <t>ELMER SIXTO SOJO ACARO</t>
  </si>
  <si>
    <t>1200004233</t>
  </si>
  <si>
    <t>03-0B001-0004982</t>
  </si>
  <si>
    <t>ELMER SIXTO SOJO ACARO</t>
  </si>
  <si>
    <t>1200004234</t>
  </si>
  <si>
    <t>03-0B001-0004983</t>
  </si>
  <si>
    <t>ELMER SIXTO SOJO ACARO</t>
  </si>
  <si>
    <t>1200004237</t>
  </si>
  <si>
    <t>03-0B001-0004984</t>
  </si>
  <si>
    <t>ELMER SIXTO SOJO ACARO</t>
  </si>
  <si>
    <t>1200004238</t>
  </si>
  <si>
    <t>03-0B001-0004985</t>
  </si>
  <si>
    <t>ELMER SIXTO SOJO ACARO</t>
  </si>
  <si>
    <t>1200004272</t>
  </si>
  <si>
    <t>03-0B001-0004988</t>
  </si>
  <si>
    <t>ELMER SIXTO SOJO ACARO</t>
  </si>
  <si>
    <t>1200004273</t>
  </si>
  <si>
    <t>03-0B001-0004989</t>
  </si>
  <si>
    <t>ELMER SIXTO SOJO ACARO</t>
  </si>
  <si>
    <t>1200004289</t>
  </si>
  <si>
    <t>03-0B001-0004990</t>
  </si>
  <si>
    <t>ELMER SIXTO SOJO ACARO</t>
  </si>
  <si>
    <t>1200004290</t>
  </si>
  <si>
    <t>03-0B001-0004991</t>
  </si>
  <si>
    <t>ELMER SIXTO SOJO ACARO</t>
  </si>
  <si>
    <t>1200004311</t>
  </si>
  <si>
    <t>03-0B001-0004992</t>
  </si>
  <si>
    <t>ELMER SIXTO SOJO ACARO</t>
  </si>
  <si>
    <t>1200004312</t>
  </si>
  <si>
    <t>03-0B001-0004993</t>
  </si>
  <si>
    <t>ELMER SIXTO SOJO ACARO</t>
  </si>
  <si>
    <t>1200004316</t>
  </si>
  <si>
    <t>03-0B001-0004994</t>
  </si>
  <si>
    <t>ELMER SIXTO SOJO ACARO</t>
  </si>
  <si>
    <t>1200004317</t>
  </si>
  <si>
    <t>03-0B001-0004995</t>
  </si>
  <si>
    <t>ELMER SIXTO SOJO ACARO</t>
  </si>
  <si>
    <t>1200004336</t>
  </si>
  <si>
    <t>03-0B001-0004996</t>
  </si>
  <si>
    <t>ELMER SIXTO SOJO ACARO</t>
  </si>
  <si>
    <t>1200004337</t>
  </si>
  <si>
    <t>03-0B001-0004997</t>
  </si>
  <si>
    <t>2000001368</t>
  </si>
  <si>
    <t>FOOD &amp; BEVERAGES TRADERS, S.L.</t>
  </si>
  <si>
    <t>1300004854</t>
  </si>
  <si>
    <t>FT-0F002-0000311</t>
  </si>
  <si>
    <t>2000001439</t>
  </si>
  <si>
    <t>GOLDEN SEAFOOD PTE. LTD.</t>
  </si>
  <si>
    <t>1300009227</t>
  </si>
  <si>
    <t>FP-284</t>
  </si>
  <si>
    <t>1000015742</t>
  </si>
  <si>
    <t>HERMANOS VITTORIA RODRIGUEZ E.I.R.L</t>
  </si>
  <si>
    <t>1200004298</t>
  </si>
  <si>
    <t>01-0F101-0008298</t>
  </si>
  <si>
    <t>HERMANOS VITTORIA RODRIGUEZ E.I.R.L</t>
  </si>
  <si>
    <t>1200004299</t>
  </si>
  <si>
    <t>01-0F101-0008299</t>
  </si>
  <si>
    <t>6002186</t>
  </si>
  <si>
    <t>INDUSTRIAL PESQUERA SANTA MONICA S.</t>
  </si>
  <si>
    <t>1200003523</t>
  </si>
  <si>
    <t>01-0F101-0007720</t>
  </si>
  <si>
    <t>INDUSTRIAL PESQUERA SANTA MONICA S.</t>
  </si>
  <si>
    <t>1200003618</t>
  </si>
  <si>
    <t>01-0F101-0007779</t>
  </si>
  <si>
    <t>INDUSTRIAL PESQUERA SANTA MONICA S.</t>
  </si>
  <si>
    <t>1200004214</t>
  </si>
  <si>
    <t>01-0F003-0000203</t>
  </si>
  <si>
    <t>1000006830</t>
  </si>
  <si>
    <t>JAHFISH E.I.R.L.</t>
  </si>
  <si>
    <t>1300009864</t>
  </si>
  <si>
    <t>FT-0F101-0008206</t>
  </si>
  <si>
    <t>JAHFISH E.I.R.L.</t>
  </si>
  <si>
    <t>1200004230</t>
  </si>
  <si>
    <t>01-0F101-0008240</t>
  </si>
  <si>
    <t>JAHFISH E.I.R.L.</t>
  </si>
  <si>
    <t>1200004231</t>
  </si>
  <si>
    <t>01-0F101-0008241</t>
  </si>
  <si>
    <t>JAHFISH E.I.R.L.</t>
  </si>
  <si>
    <t>1200004270</t>
  </si>
  <si>
    <t>01-0F101-0008274</t>
  </si>
  <si>
    <t>JAHFISH E.I.R.L.</t>
  </si>
  <si>
    <t>1200004271</t>
  </si>
  <si>
    <t>01-0F101-0008275</t>
  </si>
  <si>
    <t>JAHFISH E.I.R.L.</t>
  </si>
  <si>
    <t>1200004285</t>
  </si>
  <si>
    <t>01-0F101-0008287</t>
  </si>
  <si>
    <t>JAHFISH E.I.R.L.</t>
  </si>
  <si>
    <t>1200004286</t>
  </si>
  <si>
    <t>01-0F101-0008288</t>
  </si>
  <si>
    <t>JAHFISH E.I.R.L.</t>
  </si>
  <si>
    <t>1200004306</t>
  </si>
  <si>
    <t>01-0F101-0008306</t>
  </si>
  <si>
    <t>JAHFISH E.I.R.L.</t>
  </si>
  <si>
    <t>1200004307</t>
  </si>
  <si>
    <t>01-0F101-0008307</t>
  </si>
  <si>
    <t>JAHFISH E.I.R.L.</t>
  </si>
  <si>
    <t>1200004318</t>
  </si>
  <si>
    <t>01-0F101-0008314</t>
  </si>
  <si>
    <t>JAHFISH E.I.R.L.</t>
  </si>
  <si>
    <t>1200004319</t>
  </si>
  <si>
    <t>01-0F101-0008315</t>
  </si>
  <si>
    <t>JAHFISH E.I.R.L.</t>
  </si>
  <si>
    <t>1200004332</t>
  </si>
  <si>
    <t>01-0F101-0008328</t>
  </si>
  <si>
    <t>JAHFISH E.I.R.L.</t>
  </si>
  <si>
    <t>1200004333</t>
  </si>
  <si>
    <t>01-0F101-0008329</t>
  </si>
  <si>
    <t>2000001172</t>
  </si>
  <si>
    <t>KULALIA SL</t>
  </si>
  <si>
    <t>1300008527</t>
  </si>
  <si>
    <t>FT-0F002-0000389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</si>
  <si>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</si>
  <si>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</si>
  <si>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</si>
  <si>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</si>
  <si>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</si>
  <si>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</si>
  <si>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</si>
  <si>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</si>
  <si>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</si>
  <si>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</si>
  <si>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</si>
  <si>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</si>
  <si>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</si>
  <si>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</si>
  <si>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</si>
  <si>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</si>
  <si>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</si>
  <si>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</si>
  <si>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</si>
  <si>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</si>
  <si>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</si>
  <si>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</si>
  <si>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</si>
  <si>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</si>
  <si>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</si>
  <si>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</si>
  <si>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</si>
  <si>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</si>
  <si>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</si>
  <si>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</si>
  <si>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</si>
  <si>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</si>
  <si>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</si>
  <si>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</si>
  <si>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</si>
  <si>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</si>
  <si>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</si>
  <si>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</si>
  <si>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</si>
  <si>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</si>
  <si>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</si>
  <si>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</si>
  <si>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</si>
  <si>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</si>
  <si>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</si>
  <si>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</si>
  <si>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</si>
  <si>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</si>
  <si>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</si>
  <si>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</si>
  <si>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</si>
  <si>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</si>
  <si>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</si>
  <si>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</si>
  <si>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</si>
  <si>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</si>
  <si>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</si>
  <si>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</si>
  <si>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</si>
  <si>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</si>
  <si>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</si>
  <si>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</si>
  <si>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</si>
  <si>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</si>
  <si>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</si>
  <si>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</si>
  <si>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</si>
  <si>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</si>
  <si>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</si>
  <si>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1300007099</t>
  </si>
  <si>
    <t>FT-0F101-0007507</t>
  </si>
  <si>
    <t>1000015723</t>
  </si>
  <si>
    <t>OCEANO SEAFOOD S.A.</t>
  </si>
  <si>
    <t>1200004180</t>
  </si>
  <si>
    <t>01-0F101-0008207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</si>
  <si>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</si>
  <si>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</si>
  <si>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</si>
  <si>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</si>
  <si>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</si>
  <si>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</si>
  <si>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</si>
  <si>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</si>
  <si>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</si>
  <si>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</si>
  <si>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</si>
  <si>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</si>
  <si>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</si>
  <si>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PESCIRO SLU</t>
  </si>
  <si>
    <t>01-0F002-0000430</t>
  </si>
  <si>
    <t>6000434</t>
  </si>
  <si>
    <t>PESQUERA HAYDUK S.A.</t>
  </si>
  <si>
    <t>1200004540</t>
  </si>
  <si>
    <t>01-0F003-0000083</t>
  </si>
  <si>
    <t>2000001382</t>
  </si>
  <si>
    <t>QINGDAO OCEAN FISHERY COMPANY LIMIT</t>
  </si>
  <si>
    <t>1300009377</t>
  </si>
  <si>
    <t>FP-295</t>
  </si>
  <si>
    <t>SEBGUSTA FISH S.R.L.</t>
  </si>
  <si>
    <t>FT-0F003-0000192</t>
  </si>
  <si>
    <t>1000001965</t>
  </si>
  <si>
    <t>SERVICIOS DIESEL EXPRESS E.I.R.L.</t>
  </si>
  <si>
    <t>1200004220</t>
  </si>
  <si>
    <t>01-0F101-0008232</t>
  </si>
  <si>
    <t>SERVICIOS DIESEL EXPRESS E.I.R.L.</t>
  </si>
  <si>
    <t>1200004261</t>
  </si>
  <si>
    <t>01-0F101-0008265</t>
  </si>
  <si>
    <t>SERVICIOS DIESEL EXPRESS E.I.R.L.</t>
  </si>
  <si>
    <t>1200004320</t>
  </si>
  <si>
    <t>01-0F101-0008316</t>
  </si>
  <si>
    <t>SERVICIOS DIESEL EXPRESS E.I.R.L.</t>
  </si>
  <si>
    <t>1200004345</t>
  </si>
  <si>
    <t>01-0F101-0008337</t>
  </si>
  <si>
    <t>SERVICIOS DIESEL EXPRESS E.I.R.L.</t>
  </si>
  <si>
    <t>1200004364</t>
  </si>
  <si>
    <t>01-0F101-0008356</t>
  </si>
  <si>
    <t>2000001440</t>
  </si>
  <si>
    <t>Shenzhen Yueshi Supply Chain</t>
  </si>
  <si>
    <t>1300009218</t>
  </si>
  <si>
    <t>FP-285</t>
  </si>
  <si>
    <t>Shenzhen Yueshi Supply Chain</t>
  </si>
  <si>
    <t>1300009245</t>
  </si>
  <si>
    <t>FP-289</t>
  </si>
  <si>
    <t>Shenzhen Yueshi Supply Chain</t>
  </si>
  <si>
    <t>1200004209</t>
  </si>
  <si>
    <t>01-0F002-0000431</t>
  </si>
  <si>
    <t>1000013801</t>
  </si>
  <si>
    <t>STL 5.0 S.A.C.</t>
  </si>
  <si>
    <t>1200004368</t>
  </si>
  <si>
    <t>01-0F101-0008360</t>
  </si>
  <si>
    <t>STL 5.0 S.A.C.</t>
  </si>
  <si>
    <t>1200004369</t>
  </si>
  <si>
    <t>01-0F101-0008361</t>
  </si>
  <si>
    <t>1000013686</t>
  </si>
  <si>
    <t>TRANSPORTES O Y G S.A.C.</t>
  </si>
  <si>
    <t>1200004265</t>
  </si>
  <si>
    <t>01-0F101-0008269</t>
  </si>
  <si>
    <t>TRANSPORTES O Y G S.A.C.</t>
  </si>
  <si>
    <t>1200004363</t>
  </si>
  <si>
    <t>01-0F101-0008355</t>
  </si>
  <si>
    <t>2000001446</t>
  </si>
  <si>
    <t>ZHEJIANG ZHOUFU FOOD CO.,LTD</t>
  </si>
  <si>
    <t>1300008536</t>
  </si>
  <si>
    <t>FP-279</t>
  </si>
  <si>
    <t>UNIDAD DE NEGOCIO</t>
  </si>
  <si>
    <t>NACIONAL</t>
  </si>
  <si>
    <t>CISTERNA COMBUSTIBLE</t>
  </si>
  <si>
    <t>OTROS</t>
  </si>
  <si>
    <t>REEMBOLSO POR LIMPIEZA (DESCONTAR DE FACTURACIÓN)</t>
  </si>
  <si>
    <t>EXPORTACIÓN</t>
  </si>
  <si>
    <t>ALMACENAMIENTO</t>
  </si>
  <si>
    <t>RODRIGO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</si>
  <si>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</si>
  <si>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</si>
  <si>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</si>
  <si>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</si>
  <si>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</si>
  <si>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</si>
  <si>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</si>
  <si>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</si>
  <si>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</si>
  <si>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</si>
  <si>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</si>
  <si>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</si>
  <si>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</si>
  <si>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 xml:space="preserve">90- a mas </t>
  </si>
  <si>
    <t>FT-0F002-0000420</t>
  </si>
  <si>
    <t>FT-0F002-0000429</t>
  </si>
  <si>
    <t>Suma de USD HOMOL</t>
  </si>
  <si>
    <t>(Todas)</t>
  </si>
  <si>
    <t>(Varios elementos)</t>
  </si>
  <si>
    <t>Suma de DÍAS ATRASADOS</t>
  </si>
  <si>
    <t>Cuenta de DÍAS VENCIDOS</t>
  </si>
  <si>
    <t>1200004406</t>
  </si>
  <si>
    <t>01-0F002-0000437</t>
  </si>
  <si>
    <t>1200004390</t>
  </si>
  <si>
    <t>01-0F002-0000435</t>
  </si>
  <si>
    <t>2000000231</t>
  </si>
  <si>
    <t>LONGKOU JIABAO AQUATIC FOODSTUFFS</t>
  </si>
  <si>
    <t>1200004410</t>
  </si>
  <si>
    <t>01-0F002-0000439</t>
  </si>
  <si>
    <t>2000001438</t>
  </si>
  <si>
    <t>Qingdao Haiyujia International Trad</t>
  </si>
  <si>
    <t>1300009895</t>
  </si>
  <si>
    <t>FP-301</t>
  </si>
  <si>
    <t>1200004407</t>
  </si>
  <si>
    <t>01-0F002-0000438</t>
  </si>
  <si>
    <t>1200004405</t>
  </si>
  <si>
    <t>01-0F002-0000436</t>
  </si>
  <si>
    <t>2000000786</t>
  </si>
  <si>
    <t>TSUJINO &amp; CO., LTD</t>
  </si>
  <si>
    <t>1200004382</t>
  </si>
  <si>
    <t>01-0F002-0000432</t>
  </si>
  <si>
    <t>1200004388</t>
  </si>
  <si>
    <t>01-0F002-0000433</t>
  </si>
  <si>
    <t>1200004389</t>
  </si>
  <si>
    <t>01-0F002-0000434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</si>
</sst>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3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5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4" borderId="0" xfId="2" applyFont="1" applyFill="1" applyAlignment="1">
      <alignment vertical="top" wrapText="1"/>
    </xf>
    <xf numFmtId="0" fontId="5" fillId="5" borderId="0" xfId="2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14" fontId="3" fillId="0" borderId="0" xfId="0" applyNumberFormat="1" applyFont="1" applyAlignment="1">
      <alignment vertical="top"/>
    </xf>
    <xf numFmtId="43" fontId="0" fillId="0" borderId="0" xfId="0" applyNumberFormat="1" applyAlignment="1">
      <alignment vertical="top"/>
    </xf>
    <xf numFmtId="4" fontId="3" fillId="0" borderId="0" xfId="0" applyNumberFormat="1" applyFont="1" applyAlignment="1">
      <alignment vertical="top"/>
    </xf>
    <xf numFmtId="14" fontId="1" fillId="5" borderId="0" xfId="0" applyNumberFormat="1" applyFont="1" applyFill="1" applyAlignment="1">
      <alignment vertical="top"/>
    </xf>
    <xf numFmtId="4" fontId="1" fillId="5" borderId="0" xfId="0" applyNumberFormat="1" applyFont="1" applyFill="1" applyAlignment="1">
      <alignment vertical="top"/>
    </xf>
    <xf numFmtId="4" fontId="1" fillId="5" borderId="0" xfId="0" quotePrefix="1" applyNumberFormat="1" applyFont="1" applyFill="1" applyAlignment="1">
      <alignment vertical="top"/>
    </xf>
    <xf numFmtId="165" fontId="0" fillId="0" borderId="0" xfId="0" applyNumberFormat="1" applyAlignment="1">
      <alignment vertical="top"/>
    </xf>
  </cellXfs>
  <cellStyles count="3">
    <cellStyle name="Millares" xfId="1" builtinId="3"/>
    <cellStyle name="Normal" xfId="0" builtinId="0"/>
    <cellStyle name="Normal 2" xfId="2" xr:uid="{4C3CEB6D-B9E2-4BDD-9A23-6456CA040326}"/>
  </cellStyles>
  <dxfs count="7"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307.539455787039" createdVersion="8" refreshedVersion="8" minRefreshableVersion="3" recordCount="107" xr:uid="{FD095ECD-C70C-4891-8B9A-C12E6148BB27}">
  <cacheSource type="worksheet">
    <worksheetSource ref="A1:R104" sheet="Data"/>
  </cacheSource>
  <cacheFields count="18">
    <cacheField name="Cliente" numFmtId="0">
      <sharedItems containsMixedTypes="1" containsNumber="1" containsInteger="1" minValue="1000015392" maxValue="1000015392"/>
    </cacheField>
    <cacheField name="Nombre de cliente" numFmtId="0">
      <sharedItems count="25">
        <s v="ACUA DIESEL EIRL"/>
        <s v="ARKANO TRADING SOCIEDAD ANONIMA CER"/>
        <s v="AVANCE GROUP LTD"/>
        <s v="DAIRECK SA"/>
        <s v="Dexianhui Technology (Dalian) Co.,"/>
        <s v="ELMER SIXTO SOJO ACARO"/>
        <s v="FOOD &amp; BEVERAGES TRADERS, S.L."/>
        <s v="GOLDEN SEAFOOD PTE. LTD."/>
        <s v="HERMANOS VITTORIA RODRIGUEZ E.I.R.L"/>
        <s v="INDUSTRIAL PESQUERA SANTA MONICA S."/>
        <s v="JAHFISH E.I.R.L."/>
        <s v="KULALIA SL"/>
        <s v="NAVAPEZ E.I.R.L."/>
        <s v="NEGOCIOS PESQUEROS AARON EIRL"/>
        <s v="OCEANO SEAFOOD S.A."/>
        <s v="PEGASUS ENTERPRISE S.A.C."/>
        <s v="PESCIRO SLU"/>
        <s v="PESQUERA HAYDUK S.A."/>
        <s v="QINGDAO OCEAN FISHERY COMPANY LIMIT"/>
        <s v="SEBGUSTA FISH S.R.L."/>
        <s v="SERVICIOS DIESEL EXPRESS E.I.R.L."/>
        <s v="Shenzhen Yueshi Supply Chain"/>
        <s v="STL 5.0 S.A.C."/>
        <s v="TRANSPORTES O Y G S.A.C."/>
        <s v="ZHEJIANG ZHOUFU FOOD CO.,LTD"/>
      </sharedItems>
    </cacheField>
    <cacheField name="Nº documento" numFmtId="0">
      <sharedItems containsMixedTypes="1" containsNumber="1" containsInteger="1" minValue="1100016416" maxValue="1100016416"/>
    </cacheField>
    <cacheField name="Referencia" numFmtId="0">
      <sharedItems count="107">
        <s v="01-0F101-000826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411"/>
        <s v="01-0F002-0000415"/>
        <s v="FT-0F002-0000420"/>
        <s v="FP-278"/>
        <s v="01-0F002-0000427"/>
        <s v="FP-290"/>
        <s v="03-0B001-0004980"/>
        <s v="03-0B001-0004981"/>
        <s v="03-0B001-0004982"/>
        <s v="03-0B001-0004983"/>
        <s v="03-0B001-0004984"/>
        <s v="03-0B001-0004985"/>
        <s v="03-0B001-0004988"/>
        <s v="03-0B001-0004989"/>
        <s v="03-0B001-0004990"/>
        <s v="03-0B001-0004991"/>
        <s v="03-0B001-0004992"/>
        <s v="03-0B001-0004993"/>
        <s v="03-0B001-0004994"/>
        <s v="03-0B001-0004995"/>
        <s v="03-0B001-0004996"/>
        <s v="03-0B001-0004997"/>
        <s v="FT-0F002-0000311"/>
        <s v="FP-284"/>
        <s v="01-0F101-0008298"/>
        <s v="01-0F101-0008299"/>
        <s v="01-0F101-0007720"/>
        <s v="01-0F101-0007779"/>
        <s v="01-0F003-0000203"/>
        <s v="FT-0F101-0008206"/>
        <s v="01-0F101-0008240"/>
        <s v="01-0F101-0008241"/>
        <s v="01-0F101-0008274"/>
        <s v="01-0F101-0008275"/>
        <s v="01-0F101-0008287"/>
        <s v="01-0F101-0008288"/>
        <s v="01-0F101-0008306"/>
        <s v="01-0F101-0008307"/>
        <s v="01-0F101-0008314"/>
        <s v="01-0F101-0008315"/>
        <s v="01-0F101-0008328"/>
        <s v="01-0F101-0008329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FT-0F101-0007507"/>
        <s v="01-0F101-0008207"/>
        <s v="FT-0F003-0000101"/>
        <s v="01-0F003-0000129"/>
        <s v="01-0F003-0000168"/>
        <s v="01-0F003-0000174"/>
        <s v="01-0F002-0000430"/>
        <s v="FT-0F002-0000429"/>
        <s v="01-0F003-0000083"/>
        <s v="FP-295"/>
        <s v="FT-0F003-0000192"/>
        <s v="01-0F101-0008232"/>
        <s v="01-0F101-0008265"/>
        <s v="01-0F101-0008316"/>
        <s v="01-0F101-0008337"/>
        <s v="01-0F101-0008356"/>
        <s v="FP-285"/>
        <s v="FP-289"/>
        <s v="01-0F002-0000431"/>
        <s v="01-0F101-0008360"/>
        <s v="01-0F101-0008361"/>
        <s v="01-0F101-0008269"/>
        <s v="01-0F101-0008355"/>
        <s v="FP-279"/>
      </sharedItems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10-11T00:00:00" count="48">
        <d v="2026-10-06T00:00:00"/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8-15T00:00:00"/>
        <d v="2026-08-16T00:00:00"/>
        <d v="2026-08-31T00:00:00"/>
        <d v="2026-09-08T00:00:00"/>
        <d v="2026-09-26T00:00:00"/>
        <d v="2026-09-23T00:00:00"/>
        <d v="2026-10-03T00:00:00"/>
        <d v="2026-10-05T00:00:00"/>
        <d v="2026-10-07T00:00:00"/>
        <d v="2026-10-09T00:00:00"/>
        <d v="2026-04-27T00:00:00"/>
        <d v="2026-09-15T00:00:00"/>
        <d v="2026-08-28T00:00:00"/>
        <d v="2026-09-02T00:00:00"/>
        <d v="2026-09-30T00:00:00"/>
        <d v="2026-09-22T00:00:00"/>
        <d v="2026-07-1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7-15T00:00:00"/>
        <d v="2026-09-25T00:00:00"/>
        <d v="2025-10-21T00:00:00"/>
        <d v="2025-11-04T00:00:00"/>
        <d v="2026-01-31T00:00:00"/>
        <d v="2026-03-03T00:00:00"/>
        <d v="2026-09-28T00:00:00"/>
        <d v="2026-09-29T00:00:00"/>
        <d v="2025-10-07T00:00:00"/>
        <d v="2026-06-30T00:00:00"/>
        <d v="2026-10-10T00:00:00"/>
      </sharedItems>
    </cacheField>
    <cacheField name="Demora tras vencimiento neto" numFmtId="3">
      <sharedItems containsSemiMixedTypes="0" containsString="0" containsNumber="1" containsInteger="1" minValue="-46" maxValue="363"/>
    </cacheField>
    <cacheField name="Fecha de pago" numFmtId="14">
      <sharedItems containsSemiMixedTypes="0" containsNonDate="0" containsDate="1" containsString="0" minDate="2025-10-14T00:00:00" maxDate="2026-11-28T00:00:00"/>
    </cacheField>
    <cacheField name="Importe en moneda doc." numFmtId="4">
      <sharedItems containsSemiMixedTypes="0" containsString="0" containsNumber="1" minValue="-15245" maxValue="72964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 COMBUSTIBLE"/>
        <s v="OTROS"/>
        <s v="REEMBOLSO POR LIMPIEZA (DESCONTAR DE FACTURACIÓN)"/>
      </sharedItems>
    </cacheField>
    <cacheField name="FECHA IDEAL DE PAGO" numFmtId="0">
      <sharedItems containsNonDate="0" containsDate="1" containsString="0" containsBlank="1" minDate="2026-06-26T00:00:00" maxDate="2026-11-29T00:00:00"/>
    </cacheField>
    <cacheField name="DÍAS VENCIDOS" numFmtId="0">
      <sharedItems containsString="0" containsBlank="1" containsNumber="1" containsInteger="1" minValue="-47" maxValue="27"/>
    </cacheField>
    <cacheField name="Vcto finanzas SEMANA PASADA" numFmtId="0">
      <sharedItems containsNonDate="0" containsDate="1" containsString="0" containsBlank="1" minDate="2026-09-15T00:00:00" maxDate="2026-11-29T00:00:00"/>
    </cacheField>
    <cacheField name="Vcto finanzas" numFmtId="14">
      <sharedItems containsSemiMixedTypes="0" containsNonDate="0" containsDate="1" containsString="0" minDate="2025-10-14T00:00:00" maxDate="2026-11-29T00:00:00"/>
    </cacheField>
    <cacheField name="USD HOMOL" numFmtId="0">
      <sharedItems containsSemiMixedTypes="0" containsString="0" containsNumber="1" minValue="-15245" maxValue="72964"/>
    </cacheField>
    <cacheField name="DÍAS ATRASADOS" numFmtId="0">
      <sharedItems containsString="0" containsBlank="1" containsNumber="1" containsInteger="1" minValue="13" maxValue="168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307.540061458334" createdVersion="8" refreshedVersion="8" minRefreshableVersion="3" recordCount="107" xr:uid="{51874B54-6388-4B34-B077-DAABDFAC0153}">
  <cacheSource type="worksheet">
    <worksheetSource ref="A1:R104" sheet="Data"/>
  </cacheSource>
  <cacheFields count="18">
    <cacheField name="Cliente" numFmtId="0">
      <sharedItems containsMixedTypes="1" containsNumber="1" containsInteger="1" minValue="1000015392" maxValue="1000015392"/>
    </cacheField>
    <cacheField name="Nombre de cliente" numFmtId="0">
      <sharedItems count="25">
        <s v="ACUA DIESEL EIRL"/>
        <s v="ARKANO TRADING SOCIEDAD ANONIMA CER"/>
        <s v="AVANCE GROUP LTD"/>
        <s v="DAIRECK SA"/>
        <s v="Dexianhui Technology (Dalian) Co.,"/>
        <s v="ELMER SIXTO SOJO ACARO"/>
        <s v="FOOD &amp; BEVERAGES TRADERS, S.L."/>
        <s v="GOLDEN SEAFOOD PTE. LTD."/>
        <s v="HERMANOS VITTORIA RODRIGUEZ E.I.R.L"/>
        <s v="INDUSTRIAL PESQUERA SANTA MONICA S."/>
        <s v="JAHFISH E.I.R.L."/>
        <s v="KULALIA SL"/>
        <s v="NAVAPEZ E.I.R.L."/>
        <s v="NEGOCIOS PESQUEROS AARON EIRL"/>
        <s v="OCEANO SEAFOOD S.A."/>
        <s v="PEGASUS ENTERPRISE S.A.C."/>
        <s v="PESCIRO SLU"/>
        <s v="PESQUERA HAYDUK S.A."/>
        <s v="QINGDAO OCEAN FISHERY COMPANY LIMIT"/>
        <s v="SEBGUSTA FISH S.R.L."/>
        <s v="SERVICIOS DIESEL EXPRESS E.I.R.L."/>
        <s v="Shenzhen Yueshi Supply Chain"/>
        <s v="STL 5.0 S.A.C."/>
        <s v="TRANSPORTES O Y G S.A.C."/>
        <s v="ZHEJIANG ZHOUFU FOOD CO.,LTD"/>
      </sharedItems>
    </cacheField>
    <cacheField name="Nº documento" numFmtId="0">
      <sharedItems containsMixedTypes="1" containsNumber="1" containsInteger="1" minValue="1100016416" maxValue="1100016416"/>
    </cacheField>
    <cacheField name="Referencia" numFmtId="0">
      <sharedItems count="107">
        <s v="01-0F101-000826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411"/>
        <s v="01-0F002-0000415"/>
        <s v="FT-0F002-0000420"/>
        <s v="FP-278"/>
        <s v="01-0F002-0000427"/>
        <s v="FP-290"/>
        <s v="03-0B001-0004980"/>
        <s v="03-0B001-0004981"/>
        <s v="03-0B001-0004982"/>
        <s v="03-0B001-0004983"/>
        <s v="03-0B001-0004984"/>
        <s v="03-0B001-0004985"/>
        <s v="03-0B001-0004988"/>
        <s v="03-0B001-0004989"/>
        <s v="03-0B001-0004990"/>
        <s v="03-0B001-0004991"/>
        <s v="03-0B001-0004992"/>
        <s v="03-0B001-0004993"/>
        <s v="03-0B001-0004994"/>
        <s v="03-0B001-0004995"/>
        <s v="03-0B001-0004996"/>
        <s v="03-0B001-0004997"/>
        <s v="FT-0F002-0000311"/>
        <s v="FP-284"/>
        <s v="01-0F101-0008298"/>
        <s v="01-0F101-0008299"/>
        <s v="01-0F101-0007720"/>
        <s v="01-0F101-0007779"/>
        <s v="01-0F003-0000203"/>
        <s v="FT-0F101-0008206"/>
        <s v="01-0F101-0008240"/>
        <s v="01-0F101-0008241"/>
        <s v="01-0F101-0008274"/>
        <s v="01-0F101-0008275"/>
        <s v="01-0F101-0008287"/>
        <s v="01-0F101-0008288"/>
        <s v="01-0F101-0008306"/>
        <s v="01-0F101-0008307"/>
        <s v="01-0F101-0008314"/>
        <s v="01-0F101-0008315"/>
        <s v="01-0F101-0008328"/>
        <s v="01-0F101-0008329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FT-0F101-0007507"/>
        <s v="01-0F101-0008207"/>
        <s v="FT-0F003-0000101"/>
        <s v="01-0F003-0000129"/>
        <s v="01-0F003-0000168"/>
        <s v="01-0F003-0000174"/>
        <s v="01-0F002-0000430"/>
        <s v="FT-0F002-0000429"/>
        <s v="01-0F003-0000083"/>
        <s v="FP-295"/>
        <s v="FT-0F003-0000192"/>
        <s v="01-0F101-0008232"/>
        <s v="01-0F101-0008265"/>
        <s v="01-0F101-0008316"/>
        <s v="01-0F101-0008337"/>
        <s v="01-0F101-0008356"/>
        <s v="FP-285"/>
        <s v="FP-289"/>
        <s v="01-0F002-0000431"/>
        <s v="01-0F101-0008360"/>
        <s v="01-0F101-0008361"/>
        <s v="01-0F101-0008269"/>
        <s v="01-0F101-0008355"/>
        <s v="FP-279"/>
      </sharedItems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10-11T00:00:00"/>
    </cacheField>
    <cacheField name="Demora tras vencimiento neto" numFmtId="3">
      <sharedItems containsSemiMixedTypes="0" containsString="0" containsNumber="1" containsInteger="1" minValue="-46" maxValue="363"/>
    </cacheField>
    <cacheField name="Fecha de pago" numFmtId="14">
      <sharedItems containsSemiMixedTypes="0" containsNonDate="0" containsDate="1" containsString="0" minDate="2025-10-14T00:00:00" maxDate="2026-11-28T00:00:00"/>
    </cacheField>
    <cacheField name="Importe en moneda doc." numFmtId="4">
      <sharedItems containsSemiMixedTypes="0" containsString="0" containsNumber="1" minValue="-15245" maxValue="72964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 COMBUSTIBLE"/>
        <s v="OTROS"/>
        <s v="REEMBOLSO POR LIMPIEZA (DESCONTAR DE FACTURACIÓN)"/>
      </sharedItems>
    </cacheField>
    <cacheField name="FECHA IDEAL DE PAGO" numFmtId="0">
      <sharedItems containsNonDate="0" containsDate="1" containsString="0" containsBlank="1" minDate="2026-06-26T00:00:00" maxDate="2026-11-29T00:00:00"/>
    </cacheField>
    <cacheField name="DÍAS VENCIDOS" numFmtId="0">
      <sharedItems containsString="0" containsBlank="1" containsNumber="1" containsInteger="1" minValue="-47" maxValue="27"/>
    </cacheField>
    <cacheField name="Vcto finanzas SEMANA PASADA" numFmtId="0">
      <sharedItems containsNonDate="0" containsDate="1" containsString="0" containsBlank="1" minDate="2026-09-15T00:00:00" maxDate="2026-11-29T00:00:00"/>
    </cacheField>
    <cacheField name="Vcto finanzas" numFmtId="14">
      <sharedItems containsSemiMixedTypes="0" containsNonDate="0" containsDate="1" containsString="0" minDate="2025-10-14T00:00:00" maxDate="2026-11-29T00:00:00"/>
    </cacheField>
    <cacheField name="USD HOMOL" numFmtId="0">
      <sharedItems containsSemiMixedTypes="0" containsString="0" containsNumber="1" minValue="-15245" maxValue="72964"/>
    </cacheField>
    <cacheField name="DÍAS ATRASADOS" numFmtId="0">
      <sharedItems containsString="0" containsBlank="1" containsNumber="1" containsInteger="1" minValue="13" maxValue="168"/>
    </cacheField>
    <cacheField name="ANTIGÜEDAD" numFmtId="0">
      <sharedItems containsBlank="1" count="5">
        <m/>
        <s v="46-60"/>
        <s v="0-45"/>
        <s v="90- a mas "/>
        <s v="61-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314.545020370373" createdVersion="8" refreshedVersion="8" minRefreshableVersion="3" recordCount="113" xr:uid="{C62D71AE-E00A-484F-807D-CCFF34F28F1F}">
  <cacheSource type="worksheet">
    <worksheetSource ref="A1:R114" sheet="Data"/>
  </cacheSource>
  <cacheFields count="21">
    <cacheField name="Cliente" numFmtId="0">
      <sharedItems containsMixedTypes="1" containsNumber="1" containsInteger="1" minValue="1000015392" maxValue="1000015392"/>
    </cacheField>
    <cacheField name="Nombre de cliente" numFmtId="0">
      <sharedItems count="26">
        <s v="ACUA DIESEL EIRL"/>
        <s v="ARKANO TRADING SOCIEDAD ANONIMA CER"/>
        <s v="DAIRECK SA"/>
        <s v="Dexianhui Technology (Dalian) Co.,"/>
        <s v="ELMER SIXTO SOJO ACARO"/>
        <s v="FOOD &amp; BEVERAGES TRADERS, S.L."/>
        <s v="GOLDEN SEAFOOD PTE. LTD."/>
        <s v="HERMANOS VITTORIA RODRIGUEZ E.I.R.L"/>
        <s v="INDUSTRIAL PESQUERA SANTA MONICA S."/>
        <s v="JAHFISH E.I.R.L."/>
        <s v="KULALIA SL"/>
        <s v="NAVAPEZ E.I.R.L."/>
        <s v="NEGOCIOS PESQUEROS AARON EIRL"/>
        <s v="OCEANO SEAFOOD S.A."/>
        <s v="PEGASUS ENTERPRISE S.A.C."/>
        <s v="PESQUERA HAYDUK S.A."/>
        <s v="QINGDAO OCEAN FISHERY COMPANY LIMIT"/>
        <s v="SEBGUSTA FISH S.R.L."/>
        <s v="SERVICIOS DIESEL EXPRESS E.I.R.L."/>
        <s v="Shenzhen Yueshi Supply Chain"/>
        <s v="STL 5.0 S.A.C."/>
        <s v="TRANSPORTES O Y G S.A.C."/>
        <s v="ZHEJIANG ZHOUFU FOOD CO.,LTD"/>
        <s v="LONGKOU JIABAO AQUATIC FOODSTUFFS"/>
        <s v="Qingdao Haiyujia International Trad"/>
        <s v="TSUJINO &amp; CO., LTD"/>
      </sharedItems>
    </cacheField>
    <cacheField name="Nº documento" numFmtId="0">
      <sharedItems containsMixedTypes="1" containsNumber="1" containsInteger="1" minValue="1100016416" maxValue="1100016416"/>
    </cacheField>
    <cacheField name="Referencia" numFmtId="0">
      <sharedItems/>
    </cacheField>
    <cacheField name="Clase de documento" numFmtId="0">
      <sharedItems count="5">
        <s v="DF"/>
        <s v="ZV"/>
        <s v="DZ"/>
        <s v="DE"/>
        <s v="DB"/>
      </sharedItems>
    </cacheField>
    <cacheField name="Fecha de documento" numFmtId="14">
      <sharedItems containsSemiMixedTypes="0" containsNonDate="0" containsDate="1" containsString="0" minDate="2025-10-07T00:00:00" maxDate="2026-10-16T00:00:00"/>
    </cacheField>
    <cacheField name="Demora tras vencimiento neto" numFmtId="3">
      <sharedItems containsSemiMixedTypes="0" containsString="0" containsNumber="1" containsInteger="1" minValue="-56" maxValue="363"/>
    </cacheField>
    <cacheField name="Fecha de pago" numFmtId="14">
      <sharedItems containsSemiMixedTypes="0" containsNonDate="0" containsDate="1" containsString="0" minDate="2025-10-14T00:00:00" maxDate="2026-12-14T00:00:00"/>
    </cacheField>
    <cacheField name="Importe en moneda doc." numFmtId="4">
      <sharedItems containsSemiMixedTypes="0" containsString="0" containsNumber="1" minValue="-372452" maxValue="45801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 COMBUSTIBLE"/>
        <s v="OTROS"/>
        <s v="REEMBOLSO POR LIMPIEZA (DESCONTAR DE FACTURACIÓN)"/>
      </sharedItems>
    </cacheField>
    <cacheField name="FECHA IDEAL DE PAGO" numFmtId="0">
      <sharedItems containsNonDate="0" containsDate="1" containsString="0" containsBlank="1" minDate="2026-06-26T00:00:00" maxDate="2026-11-29T00:00:00"/>
    </cacheField>
    <cacheField name="DÍAS VENCIDOS" numFmtId="0">
      <sharedItems containsString="0" containsBlank="1" containsNumber="1" containsInteger="1" minValue="-39" maxValue="34"/>
    </cacheField>
    <cacheField name="Vcto finanzas SEMANA PASADA" numFmtId="0">
      <sharedItems containsNonDate="0" containsDate="1" containsString="0" containsBlank="1" minDate="2026-09-15T00:00:00" maxDate="2026-11-28T00:00:00"/>
    </cacheField>
    <cacheField name="Vcto finanzas" numFmtId="14">
      <sharedItems containsSemiMixedTypes="0" containsNonDate="0" containsDate="1" containsString="0" minDate="2025-10-14T00:00:00" maxDate="2026-12-14T00:00:00" count="49">
        <d v="2026-10-06T00:00:00"/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10-30T00:00:00"/>
        <d v="2026-09-30T00:00:00"/>
        <d v="2026-11-25T00:00:00"/>
        <d v="2026-10-10T00:00:00"/>
        <d v="2026-10-12T00:00:00"/>
        <d v="2026-10-13T00:00:00"/>
        <d v="2026-10-14T00:00:00"/>
        <d v="2026-10-16T00:00:00"/>
        <d v="2026-10-15T00:00:00"/>
        <d v="2026-09-15T00:00:00"/>
        <d v="2026-09-04T00:00:00"/>
        <d v="2026-09-09T00:00:00"/>
        <d v="2026-10-07T00:00:00"/>
        <d v="2026-09-22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7-24T00:00:00"/>
        <d v="2026-07-15T00:00:00"/>
        <d v="2026-10-02T00:00:00"/>
        <d v="2025-10-21T00:00:00"/>
        <d v="2025-11-11T00:00:00"/>
        <d v="2026-02-07T00:00:00"/>
        <d v="2026-03-10T00:00:00"/>
        <d v="2025-10-14T00:00:00"/>
        <d v="2026-06-30T00:00:00"/>
        <d v="2026-11-27T00:00:00"/>
        <d v="2026-12-13T00:00:00"/>
        <d v="2026-11-09T00:00:00"/>
        <d v="2026-11-18T00:00:00"/>
        <d v="2026-11-08T00:00:00"/>
        <d v="2026-11-23T00:00:00"/>
      </sharedItems>
      <fieldGroup par="20"/>
    </cacheField>
    <cacheField name="USD HOMOL" numFmtId="0">
      <sharedItems containsSemiMixedTypes="0" containsString="0" containsNumber="1" minValue="-372452" maxValue="458010"/>
    </cacheField>
    <cacheField name="DÍAS ATRASADOS" numFmtId="0">
      <sharedItems containsString="0" containsBlank="1" containsNumber="1" containsInteger="1" minValue="20" maxValue="175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4T00:00:00" endDate="2026-12-14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12/2026"/>
        </groupItems>
      </fieldGroup>
    </cacheField>
    <cacheField name="Trimestres (Vcto finanzas)" numFmtId="0" databaseField="0">
      <fieldGroup base="14">
        <rangePr groupBy="quarters" startDate="2025-10-14T00:00:00" endDate="2026-12-14T00:00:00"/>
        <groupItems count="6">
          <s v="&lt;14/10/2025"/>
          <s v="Trim.1"/>
          <s v="Trim.2"/>
          <s v="Trim.3"/>
          <s v="Trim.4"/>
          <s v="&gt;14/12/2026"/>
        </groupItems>
      </fieldGroup>
    </cacheField>
    <cacheField name="Años (Vcto finanzas)" numFmtId="0" databaseField="0">
      <fieldGroup base="14">
        <rangePr groupBy="years" startDate="2025-10-14T00:00:00" endDate="2026-12-14T00:00:00"/>
        <groupItems count="4">
          <s v="&lt;14/10/2025"/>
          <s v="2025"/>
          <s v="2026"/>
          <s v="&gt;14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1000000434"/>
    <x v="0"/>
    <s v="1200004263"/>
    <x v="0"/>
    <x v="0"/>
    <x v="0"/>
    <n v="6"/>
    <d v="2026-10-06T00:00:00"/>
    <n v="590"/>
    <s v="PEN"/>
    <x v="0"/>
    <m/>
    <m/>
    <m/>
    <d v="2026-10-06T00:00:00"/>
    <n v="170.66820943014176"/>
    <m/>
    <m/>
  </r>
  <r>
    <s v="1000013966"/>
    <x v="1"/>
    <s v="1200005220"/>
    <x v="1"/>
    <x v="0"/>
    <x v="1"/>
    <n v="320"/>
    <d v="2025-11-26T00:00:00"/>
    <n v="42.48"/>
    <s v="PEN"/>
    <x v="0"/>
    <m/>
    <m/>
    <m/>
    <d v="2025-11-26T00:00:00"/>
    <n v="12.288111078970205"/>
    <m/>
    <m/>
  </r>
  <r>
    <s v="1000013966"/>
    <x v="1"/>
    <s v="1200005228"/>
    <x v="2"/>
    <x v="0"/>
    <x v="1"/>
    <n v="320"/>
    <d v="2025-11-26T00:00:00"/>
    <n v="14.16"/>
    <s v="PEN"/>
    <x v="0"/>
    <m/>
    <m/>
    <m/>
    <d v="2025-11-26T00:00:00"/>
    <n v="4.0960370263234021"/>
    <m/>
    <m/>
  </r>
  <r>
    <s v="1000013966"/>
    <x v="1"/>
    <s v="1200005242"/>
    <x v="3"/>
    <x v="0"/>
    <x v="1"/>
    <n v="320"/>
    <d v="2025-11-26T00:00:00"/>
    <n v="14.16"/>
    <s v="PEN"/>
    <x v="0"/>
    <m/>
    <m/>
    <m/>
    <d v="2025-11-26T00:00:00"/>
    <n v="4.0960370263234021"/>
    <m/>
    <m/>
  </r>
  <r>
    <s v="1000013966"/>
    <x v="1"/>
    <s v="1200005264"/>
    <x v="4"/>
    <x v="0"/>
    <x v="2"/>
    <n v="319"/>
    <d v="2025-11-27T00:00:00"/>
    <n v="28.32"/>
    <s v="PEN"/>
    <x v="0"/>
    <m/>
    <m/>
    <m/>
    <d v="2025-11-27T00:00:00"/>
    <n v="8.1920740526468041"/>
    <m/>
    <m/>
  </r>
  <r>
    <s v="1000013966"/>
    <x v="1"/>
    <s v="1200005271"/>
    <x v="5"/>
    <x v="0"/>
    <x v="2"/>
    <n v="319"/>
    <d v="2025-11-27T00:00:00"/>
    <n v="14.16"/>
    <s v="PEN"/>
    <x v="0"/>
    <m/>
    <m/>
    <m/>
    <d v="2025-11-27T00:00:00"/>
    <n v="4.0960370263234021"/>
    <m/>
    <m/>
  </r>
  <r>
    <s v="1000013966"/>
    <x v="1"/>
    <s v="1200005296"/>
    <x v="6"/>
    <x v="0"/>
    <x v="3"/>
    <n v="318"/>
    <d v="2025-11-28T00:00:00"/>
    <n v="28.32"/>
    <s v="PEN"/>
    <x v="0"/>
    <m/>
    <m/>
    <m/>
    <d v="2025-11-28T00:00:00"/>
    <n v="8.1920740526468041"/>
    <m/>
    <m/>
  </r>
  <r>
    <s v="1000013966"/>
    <x v="1"/>
    <s v="1200005302"/>
    <x v="7"/>
    <x v="0"/>
    <x v="3"/>
    <n v="318"/>
    <d v="2025-11-28T00:00:00"/>
    <n v="42.48"/>
    <s v="PEN"/>
    <x v="0"/>
    <m/>
    <m/>
    <m/>
    <d v="2025-11-28T00:00:00"/>
    <n v="12.288111078970205"/>
    <m/>
    <m/>
  </r>
  <r>
    <s v="1000013966"/>
    <x v="1"/>
    <s v="1200005304"/>
    <x v="8"/>
    <x v="0"/>
    <x v="3"/>
    <n v="318"/>
    <d v="2025-11-28T00:00:00"/>
    <n v="42.48"/>
    <s v="PEN"/>
    <x v="0"/>
    <m/>
    <m/>
    <m/>
    <d v="2025-11-28T00:00:00"/>
    <n v="12.288111078970205"/>
    <m/>
    <m/>
  </r>
  <r>
    <s v="1000013966"/>
    <x v="1"/>
    <s v="1200005313"/>
    <x v="9"/>
    <x v="0"/>
    <x v="3"/>
    <n v="318"/>
    <d v="2025-11-28T00:00:00"/>
    <n v="14.16"/>
    <s v="PEN"/>
    <x v="0"/>
    <m/>
    <m/>
    <m/>
    <d v="2025-11-28T00:00:00"/>
    <n v="4.0960370263234021"/>
    <m/>
    <m/>
  </r>
  <r>
    <s v="1000013966"/>
    <x v="1"/>
    <s v="1200005346"/>
    <x v="10"/>
    <x v="0"/>
    <x v="4"/>
    <n v="317"/>
    <d v="2025-11-29T00:00:00"/>
    <n v="28.32"/>
    <s v="PEN"/>
    <x v="0"/>
    <m/>
    <m/>
    <m/>
    <d v="2025-11-29T00:00:00"/>
    <n v="8.1920740526468041"/>
    <m/>
    <m/>
  </r>
  <r>
    <s v="1000013966"/>
    <x v="1"/>
    <s v="1200005422"/>
    <x v="11"/>
    <x v="0"/>
    <x v="5"/>
    <n v="312"/>
    <d v="2025-12-04T00:00:00"/>
    <n v="14.16"/>
    <s v="PEN"/>
    <x v="0"/>
    <m/>
    <m/>
    <m/>
    <d v="2025-12-04T00:00:00"/>
    <n v="4.0960370263234021"/>
    <m/>
    <m/>
  </r>
  <r>
    <s v="1000013966"/>
    <x v="1"/>
    <s v="1200000045"/>
    <x v="12"/>
    <x v="0"/>
    <x v="6"/>
    <n v="272"/>
    <d v="2026-01-13T00:00:00"/>
    <n v="14.16"/>
    <s v="PEN"/>
    <x v="0"/>
    <m/>
    <m/>
    <m/>
    <d v="2026-01-13T00:00:00"/>
    <n v="4.0960370263234021"/>
    <m/>
    <m/>
  </r>
  <r>
    <s v="1000013966"/>
    <x v="1"/>
    <s v="1200000090"/>
    <x v="13"/>
    <x v="0"/>
    <x v="7"/>
    <n v="270"/>
    <d v="2026-01-15T00:00:00"/>
    <n v="14.16"/>
    <s v="PEN"/>
    <x v="0"/>
    <m/>
    <m/>
    <m/>
    <d v="2026-01-15T00:00:00"/>
    <n v="4.0960370263234021"/>
    <m/>
    <m/>
  </r>
  <r>
    <s v="1000013966"/>
    <x v="1"/>
    <s v="1200000113"/>
    <x v="14"/>
    <x v="0"/>
    <x v="8"/>
    <n v="268"/>
    <d v="2026-01-17T00:00:00"/>
    <n v="14.16"/>
    <s v="PEN"/>
    <x v="0"/>
    <m/>
    <m/>
    <m/>
    <d v="2026-01-17T00:00:00"/>
    <n v="4.0960370263234021"/>
    <m/>
    <m/>
  </r>
  <r>
    <s v="1000013966"/>
    <x v="1"/>
    <s v="1200000132"/>
    <x v="15"/>
    <x v="0"/>
    <x v="9"/>
    <n v="262"/>
    <d v="2026-01-23T00:00:00"/>
    <n v="14.16"/>
    <s v="PEN"/>
    <x v="0"/>
    <m/>
    <m/>
    <m/>
    <d v="2026-01-23T00:00:00"/>
    <n v="4.0960370263234021"/>
    <m/>
    <m/>
  </r>
  <r>
    <s v="1000013966"/>
    <x v="1"/>
    <s v="1200000133"/>
    <x v="16"/>
    <x v="0"/>
    <x v="9"/>
    <n v="262"/>
    <d v="2026-01-23T00:00:00"/>
    <n v="14.16"/>
    <s v="PEN"/>
    <x v="0"/>
    <m/>
    <m/>
    <m/>
    <d v="2026-01-23T00:00:00"/>
    <n v="4.0960370263234021"/>
    <m/>
    <m/>
  </r>
  <r>
    <s v="1000013966"/>
    <x v="1"/>
    <s v="1200000141"/>
    <x v="17"/>
    <x v="0"/>
    <x v="10"/>
    <n v="259"/>
    <d v="2026-01-26T00:00:00"/>
    <n v="14.16"/>
    <s v="PEN"/>
    <x v="0"/>
    <m/>
    <m/>
    <m/>
    <d v="2026-01-26T00:00:00"/>
    <n v="4.0960370263234021"/>
    <m/>
    <m/>
  </r>
  <r>
    <s v="2000001028"/>
    <x v="2"/>
    <s v="1300009870"/>
    <x v="18"/>
    <x v="1"/>
    <x v="11"/>
    <n v="58"/>
    <d v="2026-08-15T00:00:00"/>
    <n v="16811.400000000001"/>
    <s v="USD"/>
    <x v="1"/>
    <d v="2026-10-14T00:00:00"/>
    <n v="-2"/>
    <d v="2026-10-14T00:00:00"/>
    <d v="2026-10-14T00:00:00"/>
    <n v="16811.400000000001"/>
    <n v="58"/>
    <s v="46-60"/>
  </r>
  <r>
    <s v="2000001028"/>
    <x v="2"/>
    <s v="1200003508"/>
    <x v="19"/>
    <x v="2"/>
    <x v="12"/>
    <n v="-3"/>
    <d v="2026-10-15T00:00:00"/>
    <n v="41064"/>
    <s v="USD"/>
    <x v="1"/>
    <d v="2026-10-15T00:00:00"/>
    <n v="-3"/>
    <d v="2026-10-15T00:00:00"/>
    <d v="2026-10-15T00:00:00"/>
    <n v="41064"/>
    <n v="57"/>
    <s v="46-60"/>
  </r>
  <r>
    <s v="2000001381"/>
    <x v="3"/>
    <s v="1200003575"/>
    <x v="20"/>
    <x v="1"/>
    <x v="13"/>
    <n v="-18"/>
    <d v="2026-10-30T00:00:00"/>
    <n v="58743"/>
    <s v="USD"/>
    <x v="1"/>
    <d v="2026-10-30T00:00:00"/>
    <n v="-18"/>
    <d v="2026-10-30T00:00:00"/>
    <d v="2026-10-30T00:00:00"/>
    <n v="58743"/>
    <n v="42"/>
    <s v="0-45"/>
  </r>
  <r>
    <s v="2000001381"/>
    <x v="3"/>
    <s v="1300008534"/>
    <x v="21"/>
    <x v="3"/>
    <x v="14"/>
    <n v="0"/>
    <d v="2026-09-30T00:00:00"/>
    <n v="-13310"/>
    <s v="USD"/>
    <x v="1"/>
    <d v="2026-11-07T00:00:00"/>
    <n v="12"/>
    <d v="2026-09-30T00:00:00"/>
    <d v="2026-09-30T00:00:00"/>
    <n v="-13310"/>
    <n v="34"/>
    <s v="0-45"/>
  </r>
  <r>
    <s v="2000001381"/>
    <x v="3"/>
    <s v="1200004199"/>
    <x v="22"/>
    <x v="2"/>
    <x v="15"/>
    <n v="-44"/>
    <d v="2026-11-25T00:00:00"/>
    <n v="39060"/>
    <s v="USD"/>
    <x v="1"/>
    <d v="2026-11-25T00:00:00"/>
    <n v="-44"/>
    <d v="2026-11-25T00:00:00"/>
    <d v="2026-11-25T00:00:00"/>
    <n v="39060"/>
    <n v="16"/>
    <s v="0-45"/>
  </r>
  <r>
    <s v="2000001478"/>
    <x v="4"/>
    <s v="1300009246"/>
    <x v="23"/>
    <x v="3"/>
    <x v="16"/>
    <n v="0"/>
    <d v="2026-09-30T00:00:00"/>
    <n v="-9110"/>
    <s v="USD"/>
    <x v="1"/>
    <d v="2026-11-22T00:00:00"/>
    <n v="12"/>
    <d v="2026-09-30T00:00:00"/>
    <d v="2026-09-30T00:00:00"/>
    <n v="-9110"/>
    <n v="19"/>
    <s v="0-45"/>
  </r>
  <r>
    <s v="1000013754"/>
    <x v="5"/>
    <s v="1200004228"/>
    <x v="24"/>
    <x v="4"/>
    <x v="17"/>
    <n v="2"/>
    <d v="2026-10-10T00:00:00"/>
    <n v="1234.28"/>
    <s v="PEN"/>
    <x v="0"/>
    <m/>
    <m/>
    <m/>
    <d v="2026-10-10T00:00:00"/>
    <n v="357.03789412785653"/>
    <m/>
    <m/>
  </r>
  <r>
    <s v="1000013754"/>
    <x v="5"/>
    <s v="1200004229"/>
    <x v="25"/>
    <x v="4"/>
    <x v="17"/>
    <n v="2"/>
    <d v="2026-10-10T00:00:00"/>
    <n v="118"/>
    <s v="PEN"/>
    <x v="0"/>
    <m/>
    <m/>
    <m/>
    <d v="2026-10-10T00:00:00"/>
    <n v="34.13364188602835"/>
    <m/>
    <m/>
  </r>
  <r>
    <s v="1000013754"/>
    <x v="5"/>
    <s v="1200004233"/>
    <x v="26"/>
    <x v="4"/>
    <x v="18"/>
    <n v="0"/>
    <d v="2026-10-12T00:00:00"/>
    <n v="662.22"/>
    <s v="PEN"/>
    <x v="0"/>
    <m/>
    <m/>
    <m/>
    <d v="2026-10-12T00:00:00"/>
    <n v="191.55915533699741"/>
    <m/>
    <m/>
  </r>
  <r>
    <s v="1000013754"/>
    <x v="5"/>
    <s v="1200004234"/>
    <x v="27"/>
    <x v="4"/>
    <x v="18"/>
    <n v="0"/>
    <d v="2026-10-12T00:00:00"/>
    <n v="70.8"/>
    <s v="PEN"/>
    <x v="0"/>
    <m/>
    <m/>
    <m/>
    <d v="2026-10-12T00:00:00"/>
    <n v="20.480185131617009"/>
    <m/>
    <m/>
  </r>
  <r>
    <s v="1000013754"/>
    <x v="5"/>
    <s v="1200004237"/>
    <x v="28"/>
    <x v="4"/>
    <x v="18"/>
    <n v="0"/>
    <d v="2026-10-12T00:00:00"/>
    <n v="500.56"/>
    <s v="PEN"/>
    <x v="0"/>
    <m/>
    <m/>
    <m/>
    <d v="2026-10-12T00:00:00"/>
    <n v="144.79606595313857"/>
    <m/>
    <m/>
  </r>
  <r>
    <s v="1000013754"/>
    <x v="5"/>
    <s v="1200004238"/>
    <x v="29"/>
    <x v="4"/>
    <x v="18"/>
    <n v="0"/>
    <d v="2026-10-12T00:00:00"/>
    <n v="70.8"/>
    <s v="PEN"/>
    <x v="0"/>
    <m/>
    <m/>
    <m/>
    <d v="2026-10-12T00:00:00"/>
    <n v="20.480185131617009"/>
    <m/>
    <m/>
  </r>
  <r>
    <s v="1000013754"/>
    <x v="5"/>
    <s v="1200004272"/>
    <x v="30"/>
    <x v="4"/>
    <x v="0"/>
    <n v="-1"/>
    <d v="2026-10-13T00:00:00"/>
    <n v="711.07"/>
    <s v="PEN"/>
    <x v="0"/>
    <m/>
    <m/>
    <m/>
    <d v="2026-10-13T00:00:00"/>
    <n v="205.68990454151"/>
    <m/>
    <m/>
  </r>
  <r>
    <s v="1000013754"/>
    <x v="5"/>
    <s v="1200004273"/>
    <x v="31"/>
    <x v="4"/>
    <x v="0"/>
    <n v="-1"/>
    <d v="2026-10-13T00:00:00"/>
    <n v="70.8"/>
    <s v="PEN"/>
    <x v="0"/>
    <m/>
    <m/>
    <m/>
    <d v="2026-10-13T00:00:00"/>
    <n v="20.480185131617009"/>
    <m/>
    <m/>
  </r>
  <r>
    <s v="1000013754"/>
    <x v="5"/>
    <s v="1200004289"/>
    <x v="32"/>
    <x v="4"/>
    <x v="0"/>
    <n v="-1"/>
    <d v="2026-10-13T00:00:00"/>
    <n v="1129.5"/>
    <s v="PEN"/>
    <x v="0"/>
    <m/>
    <m/>
    <m/>
    <d v="2026-10-13T00:00:00"/>
    <n v="326.72837720566969"/>
    <m/>
    <m/>
  </r>
  <r>
    <s v="1000013754"/>
    <x v="5"/>
    <s v="1200004290"/>
    <x v="33"/>
    <x v="4"/>
    <x v="0"/>
    <n v="-1"/>
    <d v="2026-10-13T00:00:00"/>
    <n v="118"/>
    <s v="PEN"/>
    <x v="0"/>
    <m/>
    <m/>
    <m/>
    <d v="2026-10-13T00:00:00"/>
    <n v="34.13364188602835"/>
    <m/>
    <m/>
  </r>
  <r>
    <s v="1000013754"/>
    <x v="5"/>
    <s v="1200004311"/>
    <x v="34"/>
    <x v="4"/>
    <x v="19"/>
    <n v="-2"/>
    <d v="2026-10-14T00:00:00"/>
    <n v="737.26"/>
    <s v="PEN"/>
    <x v="0"/>
    <m/>
    <m/>
    <m/>
    <d v="2026-10-14T00:00:00"/>
    <n v="213.26583743129882"/>
    <m/>
    <m/>
  </r>
  <r>
    <s v="1000013754"/>
    <x v="5"/>
    <s v="1200004312"/>
    <x v="35"/>
    <x v="4"/>
    <x v="19"/>
    <n v="-2"/>
    <d v="2026-10-14T00:00:00"/>
    <n v="70.8"/>
    <s v="PEN"/>
    <x v="0"/>
    <m/>
    <m/>
    <m/>
    <d v="2026-10-14T00:00:00"/>
    <n v="20.480185131617009"/>
    <m/>
    <m/>
  </r>
  <r>
    <s v="1000013754"/>
    <x v="5"/>
    <s v="1200004316"/>
    <x v="36"/>
    <x v="4"/>
    <x v="19"/>
    <n v="-2"/>
    <d v="2026-10-14T00:00:00"/>
    <n v="560.26"/>
    <s v="PEN"/>
    <x v="0"/>
    <m/>
    <m/>
    <m/>
    <d v="2026-10-14T00:00:00"/>
    <n v="162.0653746022563"/>
    <m/>
    <m/>
  </r>
  <r>
    <s v="1000013754"/>
    <x v="5"/>
    <s v="1200004317"/>
    <x v="37"/>
    <x v="4"/>
    <x v="19"/>
    <n v="-2"/>
    <d v="2026-10-14T00:00:00"/>
    <n v="70.8"/>
    <s v="PEN"/>
    <x v="0"/>
    <m/>
    <m/>
    <m/>
    <d v="2026-10-14T00:00:00"/>
    <n v="20.480185131617009"/>
    <m/>
    <m/>
  </r>
  <r>
    <s v="1000013754"/>
    <x v="5"/>
    <s v="1200004336"/>
    <x v="38"/>
    <x v="4"/>
    <x v="20"/>
    <n v="-4"/>
    <d v="2026-10-16T00:00:00"/>
    <n v="408.28"/>
    <s v="PEN"/>
    <x v="0"/>
    <m/>
    <m/>
    <m/>
    <d v="2026-10-16T00:00:00"/>
    <n v="118.10240092565809"/>
    <m/>
    <m/>
  </r>
  <r>
    <s v="1000013754"/>
    <x v="5"/>
    <s v="1200004337"/>
    <x v="39"/>
    <x v="4"/>
    <x v="20"/>
    <n v="-4"/>
    <d v="2026-10-16T00:00:00"/>
    <n v="70.8"/>
    <s v="PEN"/>
    <x v="0"/>
    <m/>
    <m/>
    <m/>
    <d v="2026-10-16T00:00:00"/>
    <n v="20.480185131617009"/>
    <m/>
    <m/>
  </r>
  <r>
    <s v="2000001368"/>
    <x v="6"/>
    <s v="1300004854"/>
    <x v="40"/>
    <x v="1"/>
    <x v="21"/>
    <n v="168"/>
    <d v="2026-04-27T00:00:00"/>
    <n v="15163"/>
    <s v="USD"/>
    <x v="1"/>
    <d v="2026-06-26T00:00:00"/>
    <n v="-3"/>
    <d v="2026-10-15T00:00:00"/>
    <d v="2026-10-15T00:00:00"/>
    <n v="15163"/>
    <n v="168"/>
    <s v="90- a mas "/>
  </r>
  <r>
    <s v="2000001439"/>
    <x v="7"/>
    <s v="1300009227"/>
    <x v="41"/>
    <x v="1"/>
    <x v="22"/>
    <n v="0"/>
    <d v="2026-09-15T00:00:00"/>
    <n v="-13448"/>
    <s v="USD"/>
    <x v="1"/>
    <d v="2026-11-14T00:00:00"/>
    <n v="27"/>
    <d v="2026-09-15T00:00:00"/>
    <d v="2026-09-15T00:00:00"/>
    <n v="-13448"/>
    <n v="27"/>
    <s v="0-45"/>
  </r>
  <r>
    <s v="1000015742"/>
    <x v="8"/>
    <s v="1200004298"/>
    <x v="42"/>
    <x v="0"/>
    <x v="19"/>
    <n v="2"/>
    <d v="2026-10-10T00:00:00"/>
    <n v="2453.14"/>
    <s v="PEN"/>
    <x v="0"/>
    <m/>
    <m/>
    <m/>
    <d v="2026-10-10T00:00:00"/>
    <n v="709.61527335840321"/>
    <m/>
    <m/>
  </r>
  <r>
    <s v="1000015742"/>
    <x v="8"/>
    <s v="1200004299"/>
    <x v="43"/>
    <x v="0"/>
    <x v="19"/>
    <n v="2"/>
    <d v="2026-10-10T00:00:00"/>
    <n v="176.93"/>
    <s v="PEN"/>
    <x v="0"/>
    <m/>
    <m/>
    <m/>
    <d v="2026-10-10T00:00:00"/>
    <n v="51.180214058432171"/>
    <m/>
    <m/>
  </r>
  <r>
    <s v="6002186"/>
    <x v="9"/>
    <s v="1200003523"/>
    <x v="44"/>
    <x v="0"/>
    <x v="23"/>
    <n v="38"/>
    <d v="2026-09-04T00:00:00"/>
    <n v="4293.67"/>
    <s v="USD"/>
    <x v="2"/>
    <m/>
    <m/>
    <m/>
    <d v="2026-09-04T00:00:00"/>
    <n v="4293.67"/>
    <m/>
    <m/>
  </r>
  <r>
    <s v="6002186"/>
    <x v="9"/>
    <s v="1200003618"/>
    <x v="45"/>
    <x v="0"/>
    <x v="24"/>
    <n v="33"/>
    <d v="2026-09-09T00:00:00"/>
    <n v="20060"/>
    <s v="USD"/>
    <x v="2"/>
    <m/>
    <m/>
    <m/>
    <d v="2026-09-09T00:00:00"/>
    <n v="20060"/>
    <m/>
    <m/>
  </r>
  <r>
    <s v="6002186"/>
    <x v="9"/>
    <s v="1200004214"/>
    <x v="46"/>
    <x v="0"/>
    <x v="25"/>
    <n v="5"/>
    <d v="2026-10-07T00:00:00"/>
    <n v="20060"/>
    <s v="USD"/>
    <x v="2"/>
    <m/>
    <m/>
    <m/>
    <d v="2026-10-07T00:00:00"/>
    <n v="20060"/>
    <m/>
    <m/>
  </r>
  <r>
    <s v="1000006830"/>
    <x v="10"/>
    <s v="1300009864"/>
    <x v="47"/>
    <x v="1"/>
    <x v="26"/>
    <n v="20"/>
    <d v="2026-09-22T00:00:00"/>
    <n v="40"/>
    <s v="PEN"/>
    <x v="0"/>
    <m/>
    <m/>
    <m/>
    <d v="2026-09-22T00:00:00"/>
    <n v="11.570726063060457"/>
    <m/>
    <m/>
  </r>
  <r>
    <s v="1000006830"/>
    <x v="10"/>
    <s v="1200004230"/>
    <x v="48"/>
    <x v="0"/>
    <x v="18"/>
    <n v="0"/>
    <d v="2026-10-12T00:00:00"/>
    <n v="914.74"/>
    <s v="PEN"/>
    <x v="0"/>
    <m/>
    <m/>
    <m/>
    <d v="2026-10-12T00:00:00"/>
    <n v="264.6051489730981"/>
    <m/>
    <m/>
  </r>
  <r>
    <s v="1000006830"/>
    <x v="10"/>
    <s v="1200004231"/>
    <x v="49"/>
    <x v="0"/>
    <x v="18"/>
    <n v="0"/>
    <d v="2026-10-12T00:00:00"/>
    <n v="118"/>
    <s v="PEN"/>
    <x v="0"/>
    <m/>
    <m/>
    <m/>
    <d v="2026-10-12T00:00:00"/>
    <n v="34.13364188602835"/>
    <m/>
    <m/>
  </r>
  <r>
    <s v="1000006830"/>
    <x v="10"/>
    <s v="1200004270"/>
    <x v="50"/>
    <x v="0"/>
    <x v="0"/>
    <n v="-1"/>
    <d v="2026-10-13T00:00:00"/>
    <n v="1223.19"/>
    <s v="PEN"/>
    <x v="0"/>
    <m/>
    <m/>
    <m/>
    <d v="2026-10-13T00:00:00"/>
    <n v="353.82991032687306"/>
    <m/>
    <m/>
  </r>
  <r>
    <s v="1000006830"/>
    <x v="10"/>
    <s v="1200004271"/>
    <x v="51"/>
    <x v="0"/>
    <x v="0"/>
    <n v="-1"/>
    <d v="2026-10-13T00:00:00"/>
    <n v="118"/>
    <s v="PEN"/>
    <x v="0"/>
    <m/>
    <m/>
    <m/>
    <d v="2026-10-13T00:00:00"/>
    <n v="34.13364188602835"/>
    <m/>
    <m/>
  </r>
  <r>
    <s v="1000006830"/>
    <x v="10"/>
    <s v="1200004285"/>
    <x v="52"/>
    <x v="0"/>
    <x v="0"/>
    <n v="-1"/>
    <d v="2026-10-13T00:00:00"/>
    <n v="310.81"/>
    <s v="PEN"/>
    <x v="0"/>
    <m/>
    <m/>
    <m/>
    <d v="2026-10-13T00:00:00"/>
    <n v="89.907434191495526"/>
    <m/>
    <m/>
  </r>
  <r>
    <s v="1000006830"/>
    <x v="10"/>
    <s v="1200004286"/>
    <x v="53"/>
    <x v="0"/>
    <x v="0"/>
    <n v="-1"/>
    <d v="2026-10-13T00:00:00"/>
    <n v="47.2"/>
    <s v="PEN"/>
    <x v="0"/>
    <m/>
    <m/>
    <m/>
    <d v="2026-10-13T00:00:00"/>
    <n v="13.653456754411341"/>
    <m/>
    <m/>
  </r>
  <r>
    <s v="1000006830"/>
    <x v="10"/>
    <s v="1200004306"/>
    <x v="54"/>
    <x v="0"/>
    <x v="19"/>
    <n v="-2"/>
    <d v="2026-10-14T00:00:00"/>
    <n v="742.69"/>
    <s v="PEN"/>
    <x v="0"/>
    <m/>
    <m/>
    <m/>
    <d v="2026-10-14T00:00:00"/>
    <n v="214.8365634943593"/>
    <m/>
    <m/>
  </r>
  <r>
    <s v="1000006830"/>
    <x v="10"/>
    <s v="1200004307"/>
    <x v="55"/>
    <x v="0"/>
    <x v="19"/>
    <n v="-2"/>
    <d v="2026-10-14T00:00:00"/>
    <n v="70.8"/>
    <s v="PEN"/>
    <x v="0"/>
    <m/>
    <m/>
    <m/>
    <d v="2026-10-14T00:00:00"/>
    <n v="20.480185131617009"/>
    <m/>
    <m/>
  </r>
  <r>
    <s v="1000006830"/>
    <x v="10"/>
    <s v="1200004318"/>
    <x v="56"/>
    <x v="0"/>
    <x v="19"/>
    <n v="-2"/>
    <d v="2026-10-14T00:00:00"/>
    <n v="915.92"/>
    <s v="PEN"/>
    <x v="0"/>
    <m/>
    <m/>
    <m/>
    <d v="2026-10-14T00:00:00"/>
    <n v="264.94648539195833"/>
    <m/>
    <m/>
  </r>
  <r>
    <s v="1000006830"/>
    <x v="10"/>
    <s v="1200004319"/>
    <x v="57"/>
    <x v="0"/>
    <x v="19"/>
    <n v="-2"/>
    <d v="2026-10-14T00:00:00"/>
    <n v="118"/>
    <s v="PEN"/>
    <x v="0"/>
    <m/>
    <m/>
    <m/>
    <d v="2026-10-14T00:00:00"/>
    <n v="34.13364188602835"/>
    <m/>
    <m/>
  </r>
  <r>
    <s v="1000006830"/>
    <x v="10"/>
    <s v="1200004332"/>
    <x v="58"/>
    <x v="0"/>
    <x v="20"/>
    <n v="-4"/>
    <d v="2026-10-16T00:00:00"/>
    <n v="329.93"/>
    <s v="PEN"/>
    <x v="0"/>
    <m/>
    <m/>
    <m/>
    <d v="2026-10-16T00:00:00"/>
    <n v="95.438241249638423"/>
    <m/>
    <m/>
  </r>
  <r>
    <s v="1000006830"/>
    <x v="10"/>
    <s v="1200004333"/>
    <x v="59"/>
    <x v="0"/>
    <x v="20"/>
    <n v="-4"/>
    <d v="2026-10-16T00:00:00"/>
    <n v="47.2"/>
    <s v="PEN"/>
    <x v="0"/>
    <m/>
    <m/>
    <m/>
    <d v="2026-10-16T00:00:00"/>
    <n v="13.653456754411341"/>
    <m/>
    <m/>
  </r>
  <r>
    <s v="2000001172"/>
    <x v="11"/>
    <s v="1300008527"/>
    <x v="60"/>
    <x v="1"/>
    <x v="27"/>
    <n v="87"/>
    <d v="2026-07-17T00:00:00"/>
    <n v="921.06"/>
    <s v="USD"/>
    <x v="1"/>
    <d v="2026-09-15T00:00:00"/>
    <n v="-3"/>
    <d v="2026-10-15T00:00:00"/>
    <d v="2026-10-15T00:00:00"/>
    <n v="921.06"/>
    <n v="87"/>
    <s v="61-90"/>
  </r>
  <r>
    <s v="6002007"/>
    <x v="12"/>
    <s v="1200005141"/>
    <x v="61"/>
    <x v="0"/>
    <x v="28"/>
    <n v="336"/>
    <d v="2025-11-10T00:00:00"/>
    <n v="1403.26"/>
    <s v="PEN"/>
    <x v="3"/>
    <m/>
    <m/>
    <m/>
    <d v="2025-11-10T00:00:00"/>
    <n v="405.91842638125541"/>
    <m/>
    <m/>
  </r>
  <r>
    <s v="6002007"/>
    <x v="12"/>
    <s v="1200005142"/>
    <x v="62"/>
    <x v="0"/>
    <x v="28"/>
    <n v="336"/>
    <d v="2025-11-10T00:00:00"/>
    <n v="141.6"/>
    <s v="PEN"/>
    <x v="3"/>
    <m/>
    <m/>
    <m/>
    <d v="2025-11-10T00:00:00"/>
    <n v="40.960370263234019"/>
    <m/>
    <m/>
  </r>
  <r>
    <s v="6002007"/>
    <x v="12"/>
    <s v="1200005158"/>
    <x v="63"/>
    <x v="0"/>
    <x v="29"/>
    <n v="333"/>
    <d v="2025-11-13T00:00:00"/>
    <n v="1193.22"/>
    <s v="PEN"/>
    <x v="3"/>
    <m/>
    <m/>
    <m/>
    <d v="2025-11-13T00:00:00"/>
    <n v="345.160543824125"/>
    <m/>
    <m/>
  </r>
  <r>
    <s v="6002007"/>
    <x v="12"/>
    <s v="1200005159"/>
    <x v="64"/>
    <x v="0"/>
    <x v="29"/>
    <n v="333"/>
    <d v="2025-11-13T00:00:00"/>
    <n v="106.2"/>
    <s v="PEN"/>
    <x v="3"/>
    <m/>
    <m/>
    <m/>
    <d v="2025-11-13T00:00:00"/>
    <n v="30.720277697425516"/>
    <m/>
    <m/>
  </r>
  <r>
    <s v="6002007"/>
    <x v="12"/>
    <s v="1200001503"/>
    <x v="65"/>
    <x v="0"/>
    <x v="30"/>
    <n v="152"/>
    <d v="2026-05-13T00:00:00"/>
    <n v="23.6"/>
    <s v="PEN"/>
    <x v="3"/>
    <m/>
    <m/>
    <m/>
    <d v="2026-05-13T00:00:00"/>
    <n v="6.8267283772056704"/>
    <m/>
    <m/>
  </r>
  <r>
    <s v="6002007"/>
    <x v="12"/>
    <s v="1200001504"/>
    <x v="66"/>
    <x v="0"/>
    <x v="30"/>
    <n v="152"/>
    <d v="2026-05-13T00:00:00"/>
    <n v="261.49"/>
    <s v="PEN"/>
    <x v="3"/>
    <m/>
    <m/>
    <m/>
    <d v="2026-05-13T00:00:00"/>
    <n v="75.640728955741977"/>
    <m/>
    <m/>
  </r>
  <r>
    <s v="6002007"/>
    <x v="12"/>
    <s v="1200001509"/>
    <x v="67"/>
    <x v="0"/>
    <x v="30"/>
    <n v="152"/>
    <d v="2026-05-13T00:00:00"/>
    <n v="387.51"/>
    <s v="PEN"/>
    <x v="3"/>
    <m/>
    <m/>
    <m/>
    <d v="2026-05-13T00:00:00"/>
    <n v="112.09430141741394"/>
    <m/>
    <m/>
  </r>
  <r>
    <s v="6002007"/>
    <x v="12"/>
    <s v="1200001510"/>
    <x v="68"/>
    <x v="0"/>
    <x v="30"/>
    <n v="152"/>
    <d v="2026-05-13T00:00:00"/>
    <n v="35.4"/>
    <s v="PEN"/>
    <x v="3"/>
    <m/>
    <m/>
    <m/>
    <d v="2026-05-13T00:00:00"/>
    <n v="10.240092565808505"/>
    <m/>
    <m/>
  </r>
  <r>
    <s v="6002007"/>
    <x v="12"/>
    <s v="1200001609"/>
    <x v="69"/>
    <x v="0"/>
    <x v="31"/>
    <n v="146"/>
    <d v="2026-05-19T00:00:00"/>
    <n v="482.86"/>
    <s v="PEN"/>
    <x v="3"/>
    <m/>
    <m/>
    <m/>
    <d v="2026-05-19T00:00:00"/>
    <n v="139.67601967023433"/>
    <m/>
    <m/>
  </r>
  <r>
    <s v="6002007"/>
    <x v="12"/>
    <s v="1200001610"/>
    <x v="70"/>
    <x v="0"/>
    <x v="31"/>
    <n v="146"/>
    <d v="2026-05-19T00:00:00"/>
    <n v="47.2"/>
    <s v="PEN"/>
    <x v="3"/>
    <m/>
    <m/>
    <m/>
    <d v="2026-05-19T00:00:00"/>
    <n v="13.653456754411341"/>
    <m/>
    <m/>
  </r>
  <r>
    <s v="6002007"/>
    <x v="12"/>
    <s v="1200001789"/>
    <x v="71"/>
    <x v="0"/>
    <x v="32"/>
    <n v="142"/>
    <d v="2026-05-23T00:00:00"/>
    <n v="544.45000000000005"/>
    <s v="PEN"/>
    <x v="3"/>
    <m/>
    <m/>
    <m/>
    <d v="2026-05-23T00:00:00"/>
    <n v="157.49204512583165"/>
    <m/>
    <m/>
  </r>
  <r>
    <s v="6002007"/>
    <x v="12"/>
    <s v="1200001790"/>
    <x v="72"/>
    <x v="0"/>
    <x v="32"/>
    <n v="142"/>
    <d v="2026-05-23T00:00:00"/>
    <n v="47.2"/>
    <s v="PEN"/>
    <x v="3"/>
    <m/>
    <m/>
    <m/>
    <d v="2026-05-23T00:00:00"/>
    <n v="13.653456754411341"/>
    <m/>
    <m/>
  </r>
  <r>
    <s v="6002007"/>
    <x v="12"/>
    <s v="1200002045"/>
    <x v="73"/>
    <x v="0"/>
    <x v="33"/>
    <n v="131"/>
    <d v="2026-06-03T00:00:00"/>
    <n v="591.65"/>
    <s v="PEN"/>
    <x v="3"/>
    <m/>
    <m/>
    <m/>
    <d v="2026-06-03T00:00:00"/>
    <n v="171.14550188024299"/>
    <m/>
    <m/>
  </r>
  <r>
    <s v="6002007"/>
    <x v="12"/>
    <s v="1200002046"/>
    <x v="74"/>
    <x v="0"/>
    <x v="33"/>
    <n v="131"/>
    <d v="2026-06-03T00:00:00"/>
    <n v="70.8"/>
    <s v="PEN"/>
    <x v="3"/>
    <m/>
    <m/>
    <m/>
    <d v="2026-06-03T00:00:00"/>
    <n v="20.480185131617009"/>
    <m/>
    <m/>
  </r>
  <r>
    <s v="6002007"/>
    <x v="12"/>
    <s v="1200002186"/>
    <x v="75"/>
    <x v="0"/>
    <x v="34"/>
    <n v="125"/>
    <d v="2026-06-09T00:00:00"/>
    <n v="185.97"/>
    <s v="PEN"/>
    <x v="3"/>
    <m/>
    <m/>
    <m/>
    <d v="2026-06-09T00:00:00"/>
    <n v="53.795198148683831"/>
    <m/>
    <m/>
  </r>
  <r>
    <s v="6002007"/>
    <x v="12"/>
    <s v="1200002187"/>
    <x v="76"/>
    <x v="0"/>
    <x v="34"/>
    <n v="125"/>
    <d v="2026-06-09T00:00:00"/>
    <n v="23.6"/>
    <s v="PEN"/>
    <x v="3"/>
    <m/>
    <m/>
    <m/>
    <d v="2026-06-09T00:00:00"/>
    <n v="6.8267283772056704"/>
    <m/>
    <m/>
  </r>
  <r>
    <s v="6002007"/>
    <x v="12"/>
    <s v="1200002487"/>
    <x v="77"/>
    <x v="0"/>
    <x v="35"/>
    <n v="114"/>
    <d v="2026-06-20T00:00:00"/>
    <n v="535.25"/>
    <s v="PEN"/>
    <x v="3"/>
    <m/>
    <m/>
    <m/>
    <d v="2026-06-20T00:00:00"/>
    <n v="154.83077813132775"/>
    <m/>
    <m/>
  </r>
  <r>
    <s v="6002007"/>
    <x v="12"/>
    <s v="1200002488"/>
    <x v="78"/>
    <x v="0"/>
    <x v="35"/>
    <n v="114"/>
    <d v="2026-06-20T00:00:00"/>
    <n v="70.8"/>
    <s v="PEN"/>
    <x v="3"/>
    <m/>
    <m/>
    <m/>
    <d v="2026-06-20T00:00:00"/>
    <n v="20.480185131617009"/>
    <m/>
    <m/>
  </r>
  <r>
    <s v="6002007"/>
    <x v="12"/>
    <s v="1200002956"/>
    <x v="79"/>
    <x v="0"/>
    <x v="36"/>
    <n v="94"/>
    <d v="2026-07-10T00:00:00"/>
    <n v="449.11"/>
    <s v="PEN"/>
    <x v="3"/>
    <m/>
    <m/>
    <m/>
    <d v="2026-07-10T00:00:00"/>
    <n v="129.91321955452705"/>
    <m/>
    <m/>
  </r>
  <r>
    <s v="6002007"/>
    <x v="12"/>
    <s v="1200002957"/>
    <x v="80"/>
    <x v="0"/>
    <x v="36"/>
    <n v="94"/>
    <d v="2026-07-10T00:00:00"/>
    <n v="35.4"/>
    <s v="PEN"/>
    <x v="3"/>
    <m/>
    <m/>
    <m/>
    <d v="2026-07-10T00:00:00"/>
    <n v="10.240092565808505"/>
    <m/>
    <m/>
  </r>
  <r>
    <s v="6002007"/>
    <x v="12"/>
    <s v="1200003319"/>
    <x v="81"/>
    <x v="0"/>
    <x v="27"/>
    <n v="80"/>
    <d v="2026-07-24T00:00:00"/>
    <n v="355.65"/>
    <s v="PEN"/>
    <x v="3"/>
    <m/>
    <m/>
    <m/>
    <d v="2026-07-24T00:00:00"/>
    <n v="102.87821810818629"/>
    <m/>
    <m/>
  </r>
  <r>
    <s v="6002007"/>
    <x v="12"/>
    <s v="1200003320"/>
    <x v="82"/>
    <x v="0"/>
    <x v="27"/>
    <n v="80"/>
    <d v="2026-07-24T00:00:00"/>
    <n v="47.2"/>
    <s v="PEN"/>
    <x v="3"/>
    <m/>
    <m/>
    <m/>
    <d v="2026-07-24T00:00:00"/>
    <n v="13.653456754411341"/>
    <m/>
    <m/>
  </r>
  <r>
    <s v="6001105"/>
    <x v="13"/>
    <s v="1300007099"/>
    <x v="83"/>
    <x v="1"/>
    <x v="37"/>
    <n v="89"/>
    <d v="2026-07-15T00:00:00"/>
    <n v="23.6"/>
    <s v="PEN"/>
    <x v="0"/>
    <m/>
    <m/>
    <m/>
    <d v="2026-07-15T00:00:00"/>
    <n v="6.8267283772056704"/>
    <m/>
    <m/>
  </r>
  <r>
    <s v="1000015723"/>
    <x v="14"/>
    <s v="1200004180"/>
    <x v="84"/>
    <x v="0"/>
    <x v="38"/>
    <n v="10"/>
    <d v="2026-10-02T00:00:00"/>
    <n v="1515.12"/>
    <s v="PEN"/>
    <x v="0"/>
    <m/>
    <m/>
    <m/>
    <d v="2026-10-02T00:00:00"/>
    <n v="438.27596181660397"/>
    <m/>
    <m/>
  </r>
  <r>
    <s v="1000013925"/>
    <x v="15"/>
    <s v="1300006898"/>
    <x v="85"/>
    <x v="1"/>
    <x v="39"/>
    <n v="356"/>
    <d v="2025-10-21T00:00:00"/>
    <n v="4460"/>
    <s v="PEN"/>
    <x v="4"/>
    <m/>
    <m/>
    <m/>
    <d v="2025-10-21T00:00:00"/>
    <n v="1290.135956031241"/>
    <m/>
    <m/>
  </r>
  <r>
    <s v="1000013925"/>
    <x v="15"/>
    <s v="1200005124"/>
    <x v="86"/>
    <x v="0"/>
    <x v="40"/>
    <n v="335"/>
    <d v="2025-11-11T00:00:00"/>
    <n v="7097.98"/>
    <s v="PEN"/>
    <x v="4"/>
    <m/>
    <m/>
    <m/>
    <d v="2025-11-11T00:00:00"/>
    <n v="2053.2195545270465"/>
    <m/>
    <m/>
  </r>
  <r>
    <s v="1000013925"/>
    <x v="15"/>
    <s v="1200000182"/>
    <x v="87"/>
    <x v="0"/>
    <x v="41"/>
    <n v="247"/>
    <d v="2026-02-07T00:00:00"/>
    <n v="4003.46"/>
    <s v="PEN"/>
    <x v="4"/>
    <m/>
    <m/>
    <m/>
    <d v="2026-02-07T00:00:00"/>
    <n v="1158.0734741105005"/>
    <m/>
    <m/>
  </r>
  <r>
    <s v="1000013925"/>
    <x v="15"/>
    <s v="1200000382"/>
    <x v="88"/>
    <x v="0"/>
    <x v="42"/>
    <n v="216"/>
    <d v="2026-03-10T00:00:00"/>
    <n v="4956"/>
    <s v="PEN"/>
    <x v="4"/>
    <m/>
    <m/>
    <m/>
    <d v="2026-03-10T00:00:00"/>
    <n v="1433.6129592131906"/>
    <m/>
    <m/>
  </r>
  <r>
    <s v="2000000267"/>
    <x v="16"/>
    <s v="1200004207"/>
    <x v="89"/>
    <x v="2"/>
    <x v="43"/>
    <n v="-31"/>
    <d v="2026-11-12T00:00:00"/>
    <n v="47150"/>
    <s v="USD"/>
    <x v="1"/>
    <d v="2026-11-27T00:00:00"/>
    <n v="-46"/>
    <d v="2026-11-27T00:00:00"/>
    <d v="2026-11-27T00:00:00"/>
    <n v="47150"/>
    <n v="14"/>
    <s v="0-45"/>
  </r>
  <r>
    <s v="2000000267"/>
    <x v="16"/>
    <s v="1200004206"/>
    <x v="90"/>
    <x v="1"/>
    <x v="44"/>
    <n v="-32"/>
    <d v="2026-11-13T00:00:00"/>
    <n v="23625"/>
    <s v="USD"/>
    <x v="1"/>
    <d v="2026-11-28T00:00:00"/>
    <n v="-47"/>
    <d v="2026-11-28T00:00:00"/>
    <d v="2026-11-28T00:00:00"/>
    <n v="23625"/>
    <n v="13"/>
    <s v="0-45"/>
  </r>
  <r>
    <s v="6000434"/>
    <x v="17"/>
    <s v="1200004540"/>
    <x v="91"/>
    <x v="0"/>
    <x v="45"/>
    <n v="363"/>
    <d v="2025-10-14T00:00:00"/>
    <n v="790"/>
    <s v="PEN"/>
    <x v="5"/>
    <m/>
    <m/>
    <m/>
    <d v="2025-10-14T00:00:00"/>
    <n v="228.52183974544403"/>
    <m/>
    <m/>
  </r>
  <r>
    <s v="2000001382"/>
    <x v="18"/>
    <s v="1300009377"/>
    <x v="92"/>
    <x v="3"/>
    <x v="44"/>
    <n v="0"/>
    <d v="2026-09-30T00:00:00"/>
    <n v="-7510"/>
    <s v="USD"/>
    <x v="1"/>
    <d v="2026-11-28T00:00:00"/>
    <m/>
    <m/>
    <d v="2026-09-30T00:00:00"/>
    <n v="-7510"/>
    <n v="13"/>
    <s v="0-45"/>
  </r>
  <r>
    <n v="1000015392"/>
    <x v="19"/>
    <n v="1100016416"/>
    <x v="93"/>
    <x v="0"/>
    <x v="46"/>
    <n v="104"/>
    <d v="2026-06-30T00:00:00"/>
    <n v="590"/>
    <s v="PEN"/>
    <x v="6"/>
    <m/>
    <m/>
    <m/>
    <d v="2026-06-30T00:00:00"/>
    <n v="170.66820943014176"/>
    <m/>
    <m/>
  </r>
  <r>
    <s v="1000001965"/>
    <x v="20"/>
    <s v="1200004220"/>
    <x v="94"/>
    <x v="0"/>
    <x v="17"/>
    <n v="2"/>
    <d v="2026-10-10T00:00:00"/>
    <n v="590"/>
    <s v="PEN"/>
    <x v="0"/>
    <m/>
    <m/>
    <m/>
    <d v="2026-10-10T00:00:00"/>
    <n v="170.66820943014176"/>
    <m/>
    <m/>
  </r>
  <r>
    <s v="1000001965"/>
    <x v="20"/>
    <s v="1200004261"/>
    <x v="95"/>
    <x v="0"/>
    <x v="0"/>
    <n v="-1"/>
    <d v="2026-10-13T00:00:00"/>
    <n v="590"/>
    <s v="PEN"/>
    <x v="0"/>
    <m/>
    <m/>
    <m/>
    <d v="2026-10-13T00:00:00"/>
    <n v="170.66820943014176"/>
    <m/>
    <m/>
  </r>
  <r>
    <s v="1000001965"/>
    <x v="20"/>
    <s v="1200004320"/>
    <x v="96"/>
    <x v="0"/>
    <x v="19"/>
    <n v="-2"/>
    <d v="2026-10-14T00:00:00"/>
    <n v="590"/>
    <s v="PEN"/>
    <x v="0"/>
    <m/>
    <m/>
    <m/>
    <d v="2026-10-14T00:00:00"/>
    <n v="170.66820943014176"/>
    <m/>
    <m/>
  </r>
  <r>
    <s v="1000001965"/>
    <x v="20"/>
    <s v="1200004345"/>
    <x v="97"/>
    <x v="0"/>
    <x v="20"/>
    <n v="-4"/>
    <d v="2026-10-16T00:00:00"/>
    <n v="590"/>
    <s v="PEN"/>
    <x v="0"/>
    <m/>
    <m/>
    <m/>
    <d v="2026-10-16T00:00:00"/>
    <n v="170.66820943014176"/>
    <m/>
    <m/>
  </r>
  <r>
    <s v="1000001965"/>
    <x v="20"/>
    <s v="1200004364"/>
    <x v="98"/>
    <x v="0"/>
    <x v="20"/>
    <n v="-4"/>
    <d v="2026-10-16T00:00:00"/>
    <n v="590"/>
    <s v="PEN"/>
    <x v="0"/>
    <m/>
    <m/>
    <m/>
    <d v="2026-10-16T00:00:00"/>
    <n v="170.66820943014176"/>
    <m/>
    <m/>
  </r>
  <r>
    <s v="2000001440"/>
    <x v="21"/>
    <s v="1300009218"/>
    <x v="99"/>
    <x v="3"/>
    <x v="22"/>
    <n v="0"/>
    <d v="2026-09-30T00:00:00"/>
    <n v="-14455"/>
    <s v="USD"/>
    <x v="1"/>
    <d v="2026-11-14T00:00:00"/>
    <m/>
    <m/>
    <d v="2026-09-30T00:00:00"/>
    <n v="-14455"/>
    <n v="27"/>
    <s v="0-45"/>
  </r>
  <r>
    <s v="2000001440"/>
    <x v="21"/>
    <s v="1300009245"/>
    <x v="100"/>
    <x v="3"/>
    <x v="16"/>
    <n v="0"/>
    <d v="2026-09-30T00:00:00"/>
    <n v="-9110"/>
    <s v="USD"/>
    <x v="1"/>
    <d v="2026-11-22T00:00:00"/>
    <n v="12"/>
    <d v="2026-09-30T00:00:00"/>
    <d v="2026-09-30T00:00:00"/>
    <n v="-9110"/>
    <n v="19"/>
    <s v="0-45"/>
  </r>
  <r>
    <s v="2000001440"/>
    <x v="21"/>
    <s v="1200004209"/>
    <x v="101"/>
    <x v="2"/>
    <x v="43"/>
    <n v="-46"/>
    <d v="2026-11-27T00:00:00"/>
    <n v="72964"/>
    <s v="USD"/>
    <x v="1"/>
    <d v="2026-11-27T00:00:00"/>
    <n v="-46"/>
    <d v="2026-11-27T00:00:00"/>
    <d v="2026-11-27T00:00:00"/>
    <n v="72964"/>
    <n v="14"/>
    <s v="0-45"/>
  </r>
  <r>
    <s v="1000013801"/>
    <x v="22"/>
    <s v="1200004368"/>
    <x v="102"/>
    <x v="0"/>
    <x v="47"/>
    <n v="2"/>
    <d v="2026-10-10T00:00:00"/>
    <n v="662.69"/>
    <s v="PEN"/>
    <x v="0"/>
    <m/>
    <m/>
    <m/>
    <d v="2026-10-10T00:00:00"/>
    <n v="191.69511136823837"/>
    <m/>
    <m/>
  </r>
  <r>
    <s v="1000013801"/>
    <x v="22"/>
    <s v="1200004369"/>
    <x v="103"/>
    <x v="0"/>
    <x v="47"/>
    <n v="2"/>
    <d v="2026-10-10T00:00:00"/>
    <n v="123.9"/>
    <s v="PEN"/>
    <x v="0"/>
    <m/>
    <m/>
    <m/>
    <d v="2026-10-10T00:00:00"/>
    <n v="35.840323980329771"/>
    <m/>
    <m/>
  </r>
  <r>
    <s v="1000013686"/>
    <x v="23"/>
    <s v="1200004265"/>
    <x v="104"/>
    <x v="0"/>
    <x v="0"/>
    <n v="-1"/>
    <d v="2026-10-13T00:00:00"/>
    <n v="2208.96"/>
    <s v="PEN"/>
    <x v="0"/>
    <m/>
    <m/>
    <m/>
    <d v="2026-10-13T00:00:00"/>
    <n v="638.98177610645075"/>
    <m/>
    <m/>
  </r>
  <r>
    <s v="1000013686"/>
    <x v="23"/>
    <s v="1200004363"/>
    <x v="105"/>
    <x v="0"/>
    <x v="20"/>
    <n v="-4"/>
    <d v="2026-10-16T00:00:00"/>
    <n v="368.16"/>
    <s v="PEN"/>
    <x v="0"/>
    <m/>
    <m/>
    <m/>
    <d v="2026-10-16T00:00:00"/>
    <n v="106.49696268440846"/>
    <m/>
    <m/>
  </r>
  <r>
    <s v="2000001446"/>
    <x v="24"/>
    <s v="1300008536"/>
    <x v="106"/>
    <x v="3"/>
    <x v="14"/>
    <n v="0"/>
    <d v="2026-09-30T00:00:00"/>
    <n v="-15245"/>
    <s v="USD"/>
    <x v="1"/>
    <d v="2026-11-07T00:00:00"/>
    <n v="12"/>
    <d v="2026-09-30T00:00:00"/>
    <d v="2026-09-30T00:00:00"/>
    <n v="-15245"/>
    <n v="34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1000000434"/>
    <x v="0"/>
    <s v="1200004263"/>
    <x v="0"/>
    <x v="0"/>
    <d v="2026-10-06T00:00:00"/>
    <n v="6"/>
    <d v="2026-10-06T00:00:00"/>
    <n v="590"/>
    <s v="PEN"/>
    <x v="0"/>
    <m/>
    <m/>
    <m/>
    <d v="2026-10-06T00:00:00"/>
    <n v="170.66820943014176"/>
    <m/>
    <x v="0"/>
  </r>
  <r>
    <s v="1000013966"/>
    <x v="1"/>
    <s v="1200005220"/>
    <x v="1"/>
    <x v="0"/>
    <d v="2025-11-19T00:00:00"/>
    <n v="320"/>
    <d v="2025-11-26T00:00:00"/>
    <n v="42.48"/>
    <s v="PEN"/>
    <x v="0"/>
    <m/>
    <m/>
    <m/>
    <d v="2025-11-26T00:00:00"/>
    <n v="12.288111078970205"/>
    <m/>
    <x v="0"/>
  </r>
  <r>
    <s v="1000013966"/>
    <x v="1"/>
    <s v="1200005228"/>
    <x v="2"/>
    <x v="0"/>
    <d v="2025-11-19T00:00:00"/>
    <n v="320"/>
    <d v="2025-11-26T00:00:00"/>
    <n v="14.16"/>
    <s v="PEN"/>
    <x v="0"/>
    <m/>
    <m/>
    <m/>
    <d v="2025-11-26T00:00:00"/>
    <n v="4.0960370263234021"/>
    <m/>
    <x v="0"/>
  </r>
  <r>
    <s v="1000013966"/>
    <x v="1"/>
    <s v="1200005242"/>
    <x v="3"/>
    <x v="0"/>
    <d v="2025-11-19T00:00:00"/>
    <n v="320"/>
    <d v="2025-11-26T00:00:00"/>
    <n v="14.16"/>
    <s v="PEN"/>
    <x v="0"/>
    <m/>
    <m/>
    <m/>
    <d v="2025-11-26T00:00:00"/>
    <n v="4.0960370263234021"/>
    <m/>
    <x v="0"/>
  </r>
  <r>
    <s v="1000013966"/>
    <x v="1"/>
    <s v="1200005264"/>
    <x v="4"/>
    <x v="0"/>
    <d v="2025-11-20T00:00:00"/>
    <n v="319"/>
    <d v="2025-11-27T00:00:00"/>
    <n v="28.32"/>
    <s v="PEN"/>
    <x v="0"/>
    <m/>
    <m/>
    <m/>
    <d v="2025-11-27T00:00:00"/>
    <n v="8.1920740526468041"/>
    <m/>
    <x v="0"/>
  </r>
  <r>
    <s v="1000013966"/>
    <x v="1"/>
    <s v="1200005271"/>
    <x v="5"/>
    <x v="0"/>
    <d v="2025-11-20T00:00:00"/>
    <n v="319"/>
    <d v="2025-11-27T00:00:00"/>
    <n v="14.16"/>
    <s v="PEN"/>
    <x v="0"/>
    <m/>
    <m/>
    <m/>
    <d v="2025-11-27T00:00:00"/>
    <n v="4.0960370263234021"/>
    <m/>
    <x v="0"/>
  </r>
  <r>
    <s v="1000013966"/>
    <x v="1"/>
    <s v="1200005296"/>
    <x v="6"/>
    <x v="0"/>
    <d v="2025-11-21T00:00:00"/>
    <n v="318"/>
    <d v="2025-11-28T00:00:00"/>
    <n v="28.32"/>
    <s v="PEN"/>
    <x v="0"/>
    <m/>
    <m/>
    <m/>
    <d v="2025-11-28T00:00:00"/>
    <n v="8.1920740526468041"/>
    <m/>
    <x v="0"/>
  </r>
  <r>
    <s v="1000013966"/>
    <x v="1"/>
    <s v="1200005302"/>
    <x v="7"/>
    <x v="0"/>
    <d v="2025-11-21T00:00:00"/>
    <n v="318"/>
    <d v="2025-11-28T00:00:00"/>
    <n v="42.48"/>
    <s v="PEN"/>
    <x v="0"/>
    <m/>
    <m/>
    <m/>
    <d v="2025-11-28T00:00:00"/>
    <n v="12.288111078970205"/>
    <m/>
    <x v="0"/>
  </r>
  <r>
    <s v="1000013966"/>
    <x v="1"/>
    <s v="1200005304"/>
    <x v="8"/>
    <x v="0"/>
    <d v="2025-11-21T00:00:00"/>
    <n v="318"/>
    <d v="2025-11-28T00:00:00"/>
    <n v="42.48"/>
    <s v="PEN"/>
    <x v="0"/>
    <m/>
    <m/>
    <m/>
    <d v="2025-11-28T00:00:00"/>
    <n v="12.288111078970205"/>
    <m/>
    <x v="0"/>
  </r>
  <r>
    <s v="1000013966"/>
    <x v="1"/>
    <s v="1200005313"/>
    <x v="9"/>
    <x v="0"/>
    <d v="2025-11-21T00:00:00"/>
    <n v="318"/>
    <d v="2025-11-28T00:00:00"/>
    <n v="14.16"/>
    <s v="PEN"/>
    <x v="0"/>
    <m/>
    <m/>
    <m/>
    <d v="2025-11-28T00:00:00"/>
    <n v="4.0960370263234021"/>
    <m/>
    <x v="0"/>
  </r>
  <r>
    <s v="1000013966"/>
    <x v="1"/>
    <s v="1200005346"/>
    <x v="10"/>
    <x v="0"/>
    <d v="2025-11-22T00:00:00"/>
    <n v="317"/>
    <d v="2025-11-29T00:00:00"/>
    <n v="28.32"/>
    <s v="PEN"/>
    <x v="0"/>
    <m/>
    <m/>
    <m/>
    <d v="2025-11-29T00:00:00"/>
    <n v="8.1920740526468041"/>
    <m/>
    <x v="0"/>
  </r>
  <r>
    <s v="1000013966"/>
    <x v="1"/>
    <s v="1200005422"/>
    <x v="11"/>
    <x v="0"/>
    <d v="2025-11-27T00:00:00"/>
    <n v="312"/>
    <d v="2025-12-04T00:00:00"/>
    <n v="14.16"/>
    <s v="PEN"/>
    <x v="0"/>
    <m/>
    <m/>
    <m/>
    <d v="2025-12-04T00:00:00"/>
    <n v="4.0960370263234021"/>
    <m/>
    <x v="0"/>
  </r>
  <r>
    <s v="1000013966"/>
    <x v="1"/>
    <s v="1200000045"/>
    <x v="12"/>
    <x v="0"/>
    <d v="2026-01-06T00:00:00"/>
    <n v="272"/>
    <d v="2026-01-13T00:00:00"/>
    <n v="14.16"/>
    <s v="PEN"/>
    <x v="0"/>
    <m/>
    <m/>
    <m/>
    <d v="2026-01-13T00:00:00"/>
    <n v="4.0960370263234021"/>
    <m/>
    <x v="0"/>
  </r>
  <r>
    <s v="1000013966"/>
    <x v="1"/>
    <s v="1200000090"/>
    <x v="13"/>
    <x v="0"/>
    <d v="2026-01-08T00:00:00"/>
    <n v="270"/>
    <d v="2026-01-15T00:00:00"/>
    <n v="14.16"/>
    <s v="PEN"/>
    <x v="0"/>
    <m/>
    <m/>
    <m/>
    <d v="2026-01-15T00:00:00"/>
    <n v="4.0960370263234021"/>
    <m/>
    <x v="0"/>
  </r>
  <r>
    <s v="1000013966"/>
    <x v="1"/>
    <s v="1200000113"/>
    <x v="14"/>
    <x v="0"/>
    <d v="2026-01-10T00:00:00"/>
    <n v="268"/>
    <d v="2026-01-17T00:00:00"/>
    <n v="14.16"/>
    <s v="PEN"/>
    <x v="0"/>
    <m/>
    <m/>
    <m/>
    <d v="2026-01-17T00:00:00"/>
    <n v="4.0960370263234021"/>
    <m/>
    <x v="0"/>
  </r>
  <r>
    <s v="1000013966"/>
    <x v="1"/>
    <s v="1200000132"/>
    <x v="15"/>
    <x v="0"/>
    <d v="2026-01-16T00:00:00"/>
    <n v="262"/>
    <d v="2026-01-23T00:00:00"/>
    <n v="14.16"/>
    <s v="PEN"/>
    <x v="0"/>
    <m/>
    <m/>
    <m/>
    <d v="2026-01-23T00:00:00"/>
    <n v="4.0960370263234021"/>
    <m/>
    <x v="0"/>
  </r>
  <r>
    <s v="1000013966"/>
    <x v="1"/>
    <s v="1200000133"/>
    <x v="16"/>
    <x v="0"/>
    <d v="2026-01-16T00:00:00"/>
    <n v="262"/>
    <d v="2026-01-23T00:00:00"/>
    <n v="14.16"/>
    <s v="PEN"/>
    <x v="0"/>
    <m/>
    <m/>
    <m/>
    <d v="2026-01-23T00:00:00"/>
    <n v="4.0960370263234021"/>
    <m/>
    <x v="0"/>
  </r>
  <r>
    <s v="1000013966"/>
    <x v="1"/>
    <s v="1200000141"/>
    <x v="17"/>
    <x v="0"/>
    <d v="2026-01-19T00:00:00"/>
    <n v="259"/>
    <d v="2026-01-26T00:00:00"/>
    <n v="14.16"/>
    <s v="PEN"/>
    <x v="0"/>
    <m/>
    <m/>
    <m/>
    <d v="2026-01-26T00:00:00"/>
    <n v="4.0960370263234021"/>
    <m/>
    <x v="0"/>
  </r>
  <r>
    <s v="2000001028"/>
    <x v="2"/>
    <s v="1300009870"/>
    <x v="18"/>
    <x v="1"/>
    <d v="2026-08-15T00:00:00"/>
    <n v="58"/>
    <d v="2026-08-15T00:00:00"/>
    <n v="16811.400000000001"/>
    <s v="USD"/>
    <x v="1"/>
    <d v="2026-10-14T00:00:00"/>
    <n v="-2"/>
    <d v="2026-10-14T00:00:00"/>
    <d v="2026-10-14T00:00:00"/>
    <n v="16811.400000000001"/>
    <n v="58"/>
    <x v="1"/>
  </r>
  <r>
    <s v="2000001028"/>
    <x v="2"/>
    <s v="1200003508"/>
    <x v="19"/>
    <x v="2"/>
    <d v="2026-08-16T00:00:00"/>
    <n v="-3"/>
    <d v="2026-10-15T00:00:00"/>
    <n v="41064"/>
    <s v="USD"/>
    <x v="1"/>
    <d v="2026-10-15T00:00:00"/>
    <n v="-3"/>
    <d v="2026-10-15T00:00:00"/>
    <d v="2026-10-15T00:00:00"/>
    <n v="41064"/>
    <n v="57"/>
    <x v="1"/>
  </r>
  <r>
    <s v="2000001381"/>
    <x v="3"/>
    <s v="1200003575"/>
    <x v="20"/>
    <x v="1"/>
    <d v="2026-08-31T00:00:00"/>
    <n v="-18"/>
    <d v="2026-10-30T00:00:00"/>
    <n v="58743"/>
    <s v="USD"/>
    <x v="1"/>
    <d v="2026-10-30T00:00:00"/>
    <n v="-18"/>
    <d v="2026-10-30T00:00:00"/>
    <d v="2026-10-30T00:00:00"/>
    <n v="58743"/>
    <n v="42"/>
    <x v="2"/>
  </r>
  <r>
    <s v="2000001381"/>
    <x v="3"/>
    <s v="1300008534"/>
    <x v="21"/>
    <x v="3"/>
    <d v="2026-09-08T00:00:00"/>
    <n v="0"/>
    <d v="2026-09-30T00:00:00"/>
    <n v="-13310"/>
    <s v="USD"/>
    <x v="1"/>
    <d v="2026-11-07T00:00:00"/>
    <n v="12"/>
    <d v="2026-09-30T00:00:00"/>
    <d v="2026-09-30T00:00:00"/>
    <n v="-13310"/>
    <n v="34"/>
    <x v="2"/>
  </r>
  <r>
    <s v="2000001381"/>
    <x v="3"/>
    <s v="1200004199"/>
    <x v="22"/>
    <x v="2"/>
    <d v="2026-09-26T00:00:00"/>
    <n v="-44"/>
    <d v="2026-11-25T00:00:00"/>
    <n v="39060"/>
    <s v="USD"/>
    <x v="1"/>
    <d v="2026-11-25T00:00:00"/>
    <n v="-44"/>
    <d v="2026-11-25T00:00:00"/>
    <d v="2026-11-25T00:00:00"/>
    <n v="39060"/>
    <n v="16"/>
    <x v="2"/>
  </r>
  <r>
    <s v="2000001478"/>
    <x v="4"/>
    <s v="1300009246"/>
    <x v="23"/>
    <x v="3"/>
    <d v="2026-09-23T00:00:00"/>
    <n v="0"/>
    <d v="2026-09-30T00:00:00"/>
    <n v="-9110"/>
    <s v="USD"/>
    <x v="1"/>
    <d v="2026-11-22T00:00:00"/>
    <n v="12"/>
    <d v="2026-09-30T00:00:00"/>
    <d v="2026-09-30T00:00:00"/>
    <n v="-9110"/>
    <n v="19"/>
    <x v="2"/>
  </r>
  <r>
    <s v="1000013754"/>
    <x v="5"/>
    <s v="1200004228"/>
    <x v="24"/>
    <x v="4"/>
    <d v="2026-10-03T00:00:00"/>
    <n v="2"/>
    <d v="2026-10-10T00:00:00"/>
    <n v="1234.28"/>
    <s v="PEN"/>
    <x v="0"/>
    <m/>
    <m/>
    <m/>
    <d v="2026-10-10T00:00:00"/>
    <n v="357.03789412785653"/>
    <m/>
    <x v="0"/>
  </r>
  <r>
    <s v="1000013754"/>
    <x v="5"/>
    <s v="1200004229"/>
    <x v="25"/>
    <x v="4"/>
    <d v="2026-10-03T00:00:00"/>
    <n v="2"/>
    <d v="2026-10-10T00:00:00"/>
    <n v="118"/>
    <s v="PEN"/>
    <x v="0"/>
    <m/>
    <m/>
    <m/>
    <d v="2026-10-10T00:00:00"/>
    <n v="34.13364188602835"/>
    <m/>
    <x v="0"/>
  </r>
  <r>
    <s v="1000013754"/>
    <x v="5"/>
    <s v="1200004233"/>
    <x v="26"/>
    <x v="4"/>
    <d v="2026-10-05T00:00:00"/>
    <n v="0"/>
    <d v="2026-10-12T00:00:00"/>
    <n v="662.22"/>
    <s v="PEN"/>
    <x v="0"/>
    <m/>
    <m/>
    <m/>
    <d v="2026-10-12T00:00:00"/>
    <n v="191.55915533699741"/>
    <m/>
    <x v="0"/>
  </r>
  <r>
    <s v="1000013754"/>
    <x v="5"/>
    <s v="1200004234"/>
    <x v="27"/>
    <x v="4"/>
    <d v="2026-10-05T00:00:00"/>
    <n v="0"/>
    <d v="2026-10-12T00:00:00"/>
    <n v="70.8"/>
    <s v="PEN"/>
    <x v="0"/>
    <m/>
    <m/>
    <m/>
    <d v="2026-10-12T00:00:00"/>
    <n v="20.480185131617009"/>
    <m/>
    <x v="0"/>
  </r>
  <r>
    <s v="1000013754"/>
    <x v="5"/>
    <s v="1200004237"/>
    <x v="28"/>
    <x v="4"/>
    <d v="2026-10-05T00:00:00"/>
    <n v="0"/>
    <d v="2026-10-12T00:00:00"/>
    <n v="500.56"/>
    <s v="PEN"/>
    <x v="0"/>
    <m/>
    <m/>
    <m/>
    <d v="2026-10-12T00:00:00"/>
    <n v="144.79606595313857"/>
    <m/>
    <x v="0"/>
  </r>
  <r>
    <s v="1000013754"/>
    <x v="5"/>
    <s v="1200004238"/>
    <x v="29"/>
    <x v="4"/>
    <d v="2026-10-05T00:00:00"/>
    <n v="0"/>
    <d v="2026-10-12T00:00:00"/>
    <n v="70.8"/>
    <s v="PEN"/>
    <x v="0"/>
    <m/>
    <m/>
    <m/>
    <d v="2026-10-12T00:00:00"/>
    <n v="20.480185131617009"/>
    <m/>
    <x v="0"/>
  </r>
  <r>
    <s v="1000013754"/>
    <x v="5"/>
    <s v="1200004272"/>
    <x v="30"/>
    <x v="4"/>
    <d v="2026-10-06T00:00:00"/>
    <n v="-1"/>
    <d v="2026-10-13T00:00:00"/>
    <n v="711.07"/>
    <s v="PEN"/>
    <x v="0"/>
    <m/>
    <m/>
    <m/>
    <d v="2026-10-13T00:00:00"/>
    <n v="205.68990454151"/>
    <m/>
    <x v="0"/>
  </r>
  <r>
    <s v="1000013754"/>
    <x v="5"/>
    <s v="1200004273"/>
    <x v="31"/>
    <x v="4"/>
    <d v="2026-10-06T00:00:00"/>
    <n v="-1"/>
    <d v="2026-10-13T00:00:00"/>
    <n v="70.8"/>
    <s v="PEN"/>
    <x v="0"/>
    <m/>
    <m/>
    <m/>
    <d v="2026-10-13T00:00:00"/>
    <n v="20.480185131617009"/>
    <m/>
    <x v="0"/>
  </r>
  <r>
    <s v="1000013754"/>
    <x v="5"/>
    <s v="1200004289"/>
    <x v="32"/>
    <x v="4"/>
    <d v="2026-10-06T00:00:00"/>
    <n v="-1"/>
    <d v="2026-10-13T00:00:00"/>
    <n v="1129.5"/>
    <s v="PEN"/>
    <x v="0"/>
    <m/>
    <m/>
    <m/>
    <d v="2026-10-13T00:00:00"/>
    <n v="326.72837720566969"/>
    <m/>
    <x v="0"/>
  </r>
  <r>
    <s v="1000013754"/>
    <x v="5"/>
    <s v="1200004290"/>
    <x v="33"/>
    <x v="4"/>
    <d v="2026-10-06T00:00:00"/>
    <n v="-1"/>
    <d v="2026-10-13T00:00:00"/>
    <n v="118"/>
    <s v="PEN"/>
    <x v="0"/>
    <m/>
    <m/>
    <m/>
    <d v="2026-10-13T00:00:00"/>
    <n v="34.13364188602835"/>
    <m/>
    <x v="0"/>
  </r>
  <r>
    <s v="1000013754"/>
    <x v="5"/>
    <s v="1200004311"/>
    <x v="34"/>
    <x v="4"/>
    <d v="2026-10-07T00:00:00"/>
    <n v="-2"/>
    <d v="2026-10-14T00:00:00"/>
    <n v="737.26"/>
    <s v="PEN"/>
    <x v="0"/>
    <m/>
    <m/>
    <m/>
    <d v="2026-10-14T00:00:00"/>
    <n v="213.26583743129882"/>
    <m/>
    <x v="0"/>
  </r>
  <r>
    <s v="1000013754"/>
    <x v="5"/>
    <s v="1200004312"/>
    <x v="35"/>
    <x v="4"/>
    <d v="2026-10-07T00:00:00"/>
    <n v="-2"/>
    <d v="2026-10-14T00:00:00"/>
    <n v="70.8"/>
    <s v="PEN"/>
    <x v="0"/>
    <m/>
    <m/>
    <m/>
    <d v="2026-10-14T00:00:00"/>
    <n v="20.480185131617009"/>
    <m/>
    <x v="0"/>
  </r>
  <r>
    <s v="1000013754"/>
    <x v="5"/>
    <s v="1200004316"/>
    <x v="36"/>
    <x v="4"/>
    <d v="2026-10-07T00:00:00"/>
    <n v="-2"/>
    <d v="2026-10-14T00:00:00"/>
    <n v="560.26"/>
    <s v="PEN"/>
    <x v="0"/>
    <m/>
    <m/>
    <m/>
    <d v="2026-10-14T00:00:00"/>
    <n v="162.0653746022563"/>
    <m/>
    <x v="0"/>
  </r>
  <r>
    <s v="1000013754"/>
    <x v="5"/>
    <s v="1200004317"/>
    <x v="37"/>
    <x v="4"/>
    <d v="2026-10-07T00:00:00"/>
    <n v="-2"/>
    <d v="2026-10-14T00:00:00"/>
    <n v="70.8"/>
    <s v="PEN"/>
    <x v="0"/>
    <m/>
    <m/>
    <m/>
    <d v="2026-10-14T00:00:00"/>
    <n v="20.480185131617009"/>
    <m/>
    <x v="0"/>
  </r>
  <r>
    <s v="1000013754"/>
    <x v="5"/>
    <s v="1200004336"/>
    <x v="38"/>
    <x v="4"/>
    <d v="2026-10-09T00:00:00"/>
    <n v="-4"/>
    <d v="2026-10-16T00:00:00"/>
    <n v="408.28"/>
    <s v="PEN"/>
    <x v="0"/>
    <m/>
    <m/>
    <m/>
    <d v="2026-10-16T00:00:00"/>
    <n v="118.10240092565809"/>
    <m/>
    <x v="0"/>
  </r>
  <r>
    <s v="1000013754"/>
    <x v="5"/>
    <s v="1200004337"/>
    <x v="39"/>
    <x v="4"/>
    <d v="2026-10-09T00:00:00"/>
    <n v="-4"/>
    <d v="2026-10-16T00:00:00"/>
    <n v="70.8"/>
    <s v="PEN"/>
    <x v="0"/>
    <m/>
    <m/>
    <m/>
    <d v="2026-10-16T00:00:00"/>
    <n v="20.480185131617009"/>
    <m/>
    <x v="0"/>
  </r>
  <r>
    <s v="2000001368"/>
    <x v="6"/>
    <s v="1300004854"/>
    <x v="40"/>
    <x v="1"/>
    <d v="2026-04-27T00:00:00"/>
    <n v="168"/>
    <d v="2026-04-27T00:00:00"/>
    <n v="15163"/>
    <s v="USD"/>
    <x v="1"/>
    <d v="2026-06-26T00:00:00"/>
    <n v="-3"/>
    <d v="2026-10-15T00:00:00"/>
    <d v="2026-10-15T00:00:00"/>
    <n v="15163"/>
    <n v="168"/>
    <x v="3"/>
  </r>
  <r>
    <s v="2000001439"/>
    <x v="7"/>
    <s v="1300009227"/>
    <x v="41"/>
    <x v="1"/>
    <d v="2026-09-15T00:00:00"/>
    <n v="0"/>
    <d v="2026-09-15T00:00:00"/>
    <n v="-13448"/>
    <s v="USD"/>
    <x v="1"/>
    <d v="2026-11-14T00:00:00"/>
    <n v="27"/>
    <d v="2026-09-15T00:00:00"/>
    <d v="2026-09-15T00:00:00"/>
    <n v="-13448"/>
    <n v="27"/>
    <x v="2"/>
  </r>
  <r>
    <s v="1000015742"/>
    <x v="8"/>
    <s v="1200004298"/>
    <x v="42"/>
    <x v="0"/>
    <d v="2026-10-07T00:00:00"/>
    <n v="2"/>
    <d v="2026-10-10T00:00:00"/>
    <n v="2453.14"/>
    <s v="PEN"/>
    <x v="0"/>
    <m/>
    <m/>
    <m/>
    <d v="2026-10-10T00:00:00"/>
    <n v="709.61527335840321"/>
    <m/>
    <x v="0"/>
  </r>
  <r>
    <s v="1000015742"/>
    <x v="8"/>
    <s v="1200004299"/>
    <x v="43"/>
    <x v="0"/>
    <d v="2026-10-07T00:00:00"/>
    <n v="2"/>
    <d v="2026-10-10T00:00:00"/>
    <n v="176.93"/>
    <s v="PEN"/>
    <x v="0"/>
    <m/>
    <m/>
    <m/>
    <d v="2026-10-10T00:00:00"/>
    <n v="51.180214058432171"/>
    <m/>
    <x v="0"/>
  </r>
  <r>
    <s v="6002186"/>
    <x v="9"/>
    <s v="1200003523"/>
    <x v="44"/>
    <x v="0"/>
    <d v="2026-08-28T00:00:00"/>
    <n v="38"/>
    <d v="2026-09-04T00:00:00"/>
    <n v="4293.67"/>
    <s v="USD"/>
    <x v="2"/>
    <m/>
    <m/>
    <m/>
    <d v="2026-09-04T00:00:00"/>
    <n v="4293.67"/>
    <m/>
    <x v="0"/>
  </r>
  <r>
    <s v="6002186"/>
    <x v="9"/>
    <s v="1200003618"/>
    <x v="45"/>
    <x v="0"/>
    <d v="2026-09-02T00:00:00"/>
    <n v="33"/>
    <d v="2026-09-09T00:00:00"/>
    <n v="20060"/>
    <s v="USD"/>
    <x v="2"/>
    <m/>
    <m/>
    <m/>
    <d v="2026-09-09T00:00:00"/>
    <n v="20060"/>
    <m/>
    <x v="0"/>
  </r>
  <r>
    <s v="6002186"/>
    <x v="9"/>
    <s v="1200004214"/>
    <x v="46"/>
    <x v="0"/>
    <d v="2026-09-30T00:00:00"/>
    <n v="5"/>
    <d v="2026-10-07T00:00:00"/>
    <n v="20060"/>
    <s v="USD"/>
    <x v="2"/>
    <m/>
    <m/>
    <m/>
    <d v="2026-10-07T00:00:00"/>
    <n v="20060"/>
    <m/>
    <x v="0"/>
  </r>
  <r>
    <s v="1000006830"/>
    <x v="10"/>
    <s v="1300009864"/>
    <x v="47"/>
    <x v="1"/>
    <d v="2026-09-22T00:00:00"/>
    <n v="20"/>
    <d v="2026-09-22T00:00:00"/>
    <n v="40"/>
    <s v="PEN"/>
    <x v="0"/>
    <m/>
    <m/>
    <m/>
    <d v="2026-09-22T00:00:00"/>
    <n v="11.570726063060457"/>
    <m/>
    <x v="0"/>
  </r>
  <r>
    <s v="1000006830"/>
    <x v="10"/>
    <s v="1200004230"/>
    <x v="48"/>
    <x v="0"/>
    <d v="2026-10-05T00:00:00"/>
    <n v="0"/>
    <d v="2026-10-12T00:00:00"/>
    <n v="914.74"/>
    <s v="PEN"/>
    <x v="0"/>
    <m/>
    <m/>
    <m/>
    <d v="2026-10-12T00:00:00"/>
    <n v="264.6051489730981"/>
    <m/>
    <x v="0"/>
  </r>
  <r>
    <s v="1000006830"/>
    <x v="10"/>
    <s v="1200004231"/>
    <x v="49"/>
    <x v="0"/>
    <d v="2026-10-05T00:00:00"/>
    <n v="0"/>
    <d v="2026-10-12T00:00:00"/>
    <n v="118"/>
    <s v="PEN"/>
    <x v="0"/>
    <m/>
    <m/>
    <m/>
    <d v="2026-10-12T00:00:00"/>
    <n v="34.13364188602835"/>
    <m/>
    <x v="0"/>
  </r>
  <r>
    <s v="1000006830"/>
    <x v="10"/>
    <s v="1200004270"/>
    <x v="50"/>
    <x v="0"/>
    <d v="2026-10-06T00:00:00"/>
    <n v="-1"/>
    <d v="2026-10-13T00:00:00"/>
    <n v="1223.19"/>
    <s v="PEN"/>
    <x v="0"/>
    <m/>
    <m/>
    <m/>
    <d v="2026-10-13T00:00:00"/>
    <n v="353.82991032687306"/>
    <m/>
    <x v="0"/>
  </r>
  <r>
    <s v="1000006830"/>
    <x v="10"/>
    <s v="1200004271"/>
    <x v="51"/>
    <x v="0"/>
    <d v="2026-10-06T00:00:00"/>
    <n v="-1"/>
    <d v="2026-10-13T00:00:00"/>
    <n v="118"/>
    <s v="PEN"/>
    <x v="0"/>
    <m/>
    <m/>
    <m/>
    <d v="2026-10-13T00:00:00"/>
    <n v="34.13364188602835"/>
    <m/>
    <x v="0"/>
  </r>
  <r>
    <s v="1000006830"/>
    <x v="10"/>
    <s v="1200004285"/>
    <x v="52"/>
    <x v="0"/>
    <d v="2026-10-06T00:00:00"/>
    <n v="-1"/>
    <d v="2026-10-13T00:00:00"/>
    <n v="310.81"/>
    <s v="PEN"/>
    <x v="0"/>
    <m/>
    <m/>
    <m/>
    <d v="2026-10-13T00:00:00"/>
    <n v="89.907434191495526"/>
    <m/>
    <x v="0"/>
  </r>
  <r>
    <s v="1000006830"/>
    <x v="10"/>
    <s v="1200004286"/>
    <x v="53"/>
    <x v="0"/>
    <d v="2026-10-06T00:00:00"/>
    <n v="-1"/>
    <d v="2026-10-13T00:00:00"/>
    <n v="47.2"/>
    <s v="PEN"/>
    <x v="0"/>
    <m/>
    <m/>
    <m/>
    <d v="2026-10-13T00:00:00"/>
    <n v="13.653456754411341"/>
    <m/>
    <x v="0"/>
  </r>
  <r>
    <s v="1000006830"/>
    <x v="10"/>
    <s v="1200004306"/>
    <x v="54"/>
    <x v="0"/>
    <d v="2026-10-07T00:00:00"/>
    <n v="-2"/>
    <d v="2026-10-14T00:00:00"/>
    <n v="742.69"/>
    <s v="PEN"/>
    <x v="0"/>
    <m/>
    <m/>
    <m/>
    <d v="2026-10-14T00:00:00"/>
    <n v="214.8365634943593"/>
    <m/>
    <x v="0"/>
  </r>
  <r>
    <s v="1000006830"/>
    <x v="10"/>
    <s v="1200004307"/>
    <x v="55"/>
    <x v="0"/>
    <d v="2026-10-07T00:00:00"/>
    <n v="-2"/>
    <d v="2026-10-14T00:00:00"/>
    <n v="70.8"/>
    <s v="PEN"/>
    <x v="0"/>
    <m/>
    <m/>
    <m/>
    <d v="2026-10-14T00:00:00"/>
    <n v="20.480185131617009"/>
    <m/>
    <x v="0"/>
  </r>
  <r>
    <s v="1000006830"/>
    <x v="10"/>
    <s v="1200004318"/>
    <x v="56"/>
    <x v="0"/>
    <d v="2026-10-07T00:00:00"/>
    <n v="-2"/>
    <d v="2026-10-14T00:00:00"/>
    <n v="915.92"/>
    <s v="PEN"/>
    <x v="0"/>
    <m/>
    <m/>
    <m/>
    <d v="2026-10-14T00:00:00"/>
    <n v="264.94648539195833"/>
    <m/>
    <x v="0"/>
  </r>
  <r>
    <s v="1000006830"/>
    <x v="10"/>
    <s v="1200004319"/>
    <x v="57"/>
    <x v="0"/>
    <d v="2026-10-07T00:00:00"/>
    <n v="-2"/>
    <d v="2026-10-14T00:00:00"/>
    <n v="118"/>
    <s v="PEN"/>
    <x v="0"/>
    <m/>
    <m/>
    <m/>
    <d v="2026-10-14T00:00:00"/>
    <n v="34.13364188602835"/>
    <m/>
    <x v="0"/>
  </r>
  <r>
    <s v="1000006830"/>
    <x v="10"/>
    <s v="1200004332"/>
    <x v="58"/>
    <x v="0"/>
    <d v="2026-10-09T00:00:00"/>
    <n v="-4"/>
    <d v="2026-10-16T00:00:00"/>
    <n v="329.93"/>
    <s v="PEN"/>
    <x v="0"/>
    <m/>
    <m/>
    <m/>
    <d v="2026-10-16T00:00:00"/>
    <n v="95.438241249638423"/>
    <m/>
    <x v="0"/>
  </r>
  <r>
    <s v="1000006830"/>
    <x v="10"/>
    <s v="1200004333"/>
    <x v="59"/>
    <x v="0"/>
    <d v="2026-10-09T00:00:00"/>
    <n v="-4"/>
    <d v="2026-10-16T00:00:00"/>
    <n v="47.2"/>
    <s v="PEN"/>
    <x v="0"/>
    <m/>
    <m/>
    <m/>
    <d v="2026-10-16T00:00:00"/>
    <n v="13.653456754411341"/>
    <m/>
    <x v="0"/>
  </r>
  <r>
    <s v="2000001172"/>
    <x v="11"/>
    <s v="1300008527"/>
    <x v="60"/>
    <x v="1"/>
    <d v="2026-07-17T00:00:00"/>
    <n v="87"/>
    <d v="2026-07-17T00:00:00"/>
    <n v="921.06"/>
    <s v="USD"/>
    <x v="1"/>
    <d v="2026-09-15T00:00:00"/>
    <n v="-3"/>
    <d v="2026-10-15T00:00:00"/>
    <d v="2026-10-15T00:00:00"/>
    <n v="921.06"/>
    <n v="87"/>
    <x v="4"/>
  </r>
  <r>
    <s v="6002007"/>
    <x v="12"/>
    <s v="1200005141"/>
    <x v="61"/>
    <x v="0"/>
    <d v="2025-11-03T00:00:00"/>
    <n v="336"/>
    <d v="2025-11-10T00:00:00"/>
    <n v="1403.26"/>
    <s v="PEN"/>
    <x v="3"/>
    <m/>
    <m/>
    <m/>
    <d v="2025-11-10T00:00:00"/>
    <n v="405.91842638125541"/>
    <m/>
    <x v="0"/>
  </r>
  <r>
    <s v="6002007"/>
    <x v="12"/>
    <s v="1200005142"/>
    <x v="62"/>
    <x v="0"/>
    <d v="2025-11-03T00:00:00"/>
    <n v="336"/>
    <d v="2025-11-10T00:00:00"/>
    <n v="141.6"/>
    <s v="PEN"/>
    <x v="3"/>
    <m/>
    <m/>
    <m/>
    <d v="2025-11-10T00:00:00"/>
    <n v="40.960370263234019"/>
    <m/>
    <x v="0"/>
  </r>
  <r>
    <s v="6002007"/>
    <x v="12"/>
    <s v="1200005158"/>
    <x v="63"/>
    <x v="0"/>
    <d v="2025-11-06T00:00:00"/>
    <n v="333"/>
    <d v="2025-11-13T00:00:00"/>
    <n v="1193.22"/>
    <s v="PEN"/>
    <x v="3"/>
    <m/>
    <m/>
    <m/>
    <d v="2025-11-13T00:00:00"/>
    <n v="345.160543824125"/>
    <m/>
    <x v="0"/>
  </r>
  <r>
    <s v="6002007"/>
    <x v="12"/>
    <s v="1200005159"/>
    <x v="64"/>
    <x v="0"/>
    <d v="2025-11-06T00:00:00"/>
    <n v="333"/>
    <d v="2025-11-13T00:00:00"/>
    <n v="106.2"/>
    <s v="PEN"/>
    <x v="3"/>
    <m/>
    <m/>
    <m/>
    <d v="2025-11-13T00:00:00"/>
    <n v="30.720277697425516"/>
    <m/>
    <x v="0"/>
  </r>
  <r>
    <s v="6002007"/>
    <x v="12"/>
    <s v="1200001503"/>
    <x v="65"/>
    <x v="0"/>
    <d v="2026-05-06T00:00:00"/>
    <n v="152"/>
    <d v="2026-05-13T00:00:00"/>
    <n v="23.6"/>
    <s v="PEN"/>
    <x v="3"/>
    <m/>
    <m/>
    <m/>
    <d v="2026-05-13T00:00:00"/>
    <n v="6.8267283772056704"/>
    <m/>
    <x v="0"/>
  </r>
  <r>
    <s v="6002007"/>
    <x v="12"/>
    <s v="1200001504"/>
    <x v="66"/>
    <x v="0"/>
    <d v="2026-05-06T00:00:00"/>
    <n v="152"/>
    <d v="2026-05-13T00:00:00"/>
    <n v="261.49"/>
    <s v="PEN"/>
    <x v="3"/>
    <m/>
    <m/>
    <m/>
    <d v="2026-05-13T00:00:00"/>
    <n v="75.640728955741977"/>
    <m/>
    <x v="0"/>
  </r>
  <r>
    <s v="6002007"/>
    <x v="12"/>
    <s v="1200001509"/>
    <x v="67"/>
    <x v="0"/>
    <d v="2026-05-06T00:00:00"/>
    <n v="152"/>
    <d v="2026-05-13T00:00:00"/>
    <n v="387.51"/>
    <s v="PEN"/>
    <x v="3"/>
    <m/>
    <m/>
    <m/>
    <d v="2026-05-13T00:00:00"/>
    <n v="112.09430141741394"/>
    <m/>
    <x v="0"/>
  </r>
  <r>
    <s v="6002007"/>
    <x v="12"/>
    <s v="1200001510"/>
    <x v="68"/>
    <x v="0"/>
    <d v="2026-05-06T00:00:00"/>
    <n v="152"/>
    <d v="2026-05-13T00:00:00"/>
    <n v="35.4"/>
    <s v="PEN"/>
    <x v="3"/>
    <m/>
    <m/>
    <m/>
    <d v="2026-05-13T00:00:00"/>
    <n v="10.240092565808505"/>
    <m/>
    <x v="0"/>
  </r>
  <r>
    <s v="6002007"/>
    <x v="12"/>
    <s v="1200001609"/>
    <x v="69"/>
    <x v="0"/>
    <d v="2026-05-12T00:00:00"/>
    <n v="146"/>
    <d v="2026-05-19T00:00:00"/>
    <n v="482.86"/>
    <s v="PEN"/>
    <x v="3"/>
    <m/>
    <m/>
    <m/>
    <d v="2026-05-19T00:00:00"/>
    <n v="139.67601967023433"/>
    <m/>
    <x v="0"/>
  </r>
  <r>
    <s v="6002007"/>
    <x v="12"/>
    <s v="1200001610"/>
    <x v="70"/>
    <x v="0"/>
    <d v="2026-05-12T00:00:00"/>
    <n v="146"/>
    <d v="2026-05-19T00:00:00"/>
    <n v="47.2"/>
    <s v="PEN"/>
    <x v="3"/>
    <m/>
    <m/>
    <m/>
    <d v="2026-05-19T00:00:00"/>
    <n v="13.653456754411341"/>
    <m/>
    <x v="0"/>
  </r>
  <r>
    <s v="6002007"/>
    <x v="12"/>
    <s v="1200001789"/>
    <x v="71"/>
    <x v="0"/>
    <d v="2026-05-16T00:00:00"/>
    <n v="142"/>
    <d v="2026-05-23T00:00:00"/>
    <n v="544.45000000000005"/>
    <s v="PEN"/>
    <x v="3"/>
    <m/>
    <m/>
    <m/>
    <d v="2026-05-23T00:00:00"/>
    <n v="157.49204512583165"/>
    <m/>
    <x v="0"/>
  </r>
  <r>
    <s v="6002007"/>
    <x v="12"/>
    <s v="1200001790"/>
    <x v="72"/>
    <x v="0"/>
    <d v="2026-05-16T00:00:00"/>
    <n v="142"/>
    <d v="2026-05-23T00:00:00"/>
    <n v="47.2"/>
    <s v="PEN"/>
    <x v="3"/>
    <m/>
    <m/>
    <m/>
    <d v="2026-05-23T00:00:00"/>
    <n v="13.653456754411341"/>
    <m/>
    <x v="0"/>
  </r>
  <r>
    <s v="6002007"/>
    <x v="12"/>
    <s v="1200002045"/>
    <x v="73"/>
    <x v="0"/>
    <d v="2026-05-27T00:00:00"/>
    <n v="131"/>
    <d v="2026-06-03T00:00:00"/>
    <n v="591.65"/>
    <s v="PEN"/>
    <x v="3"/>
    <m/>
    <m/>
    <m/>
    <d v="2026-06-03T00:00:00"/>
    <n v="171.14550188024299"/>
    <m/>
    <x v="0"/>
  </r>
  <r>
    <s v="6002007"/>
    <x v="12"/>
    <s v="1200002046"/>
    <x v="74"/>
    <x v="0"/>
    <d v="2026-05-27T00:00:00"/>
    <n v="131"/>
    <d v="2026-06-03T00:00:00"/>
    <n v="70.8"/>
    <s v="PEN"/>
    <x v="3"/>
    <m/>
    <m/>
    <m/>
    <d v="2026-06-03T00:00:00"/>
    <n v="20.480185131617009"/>
    <m/>
    <x v="0"/>
  </r>
  <r>
    <s v="6002007"/>
    <x v="12"/>
    <s v="1200002186"/>
    <x v="75"/>
    <x v="0"/>
    <d v="2026-06-02T00:00:00"/>
    <n v="125"/>
    <d v="2026-06-09T00:00:00"/>
    <n v="185.97"/>
    <s v="PEN"/>
    <x v="3"/>
    <m/>
    <m/>
    <m/>
    <d v="2026-06-09T00:00:00"/>
    <n v="53.795198148683831"/>
    <m/>
    <x v="0"/>
  </r>
  <r>
    <s v="6002007"/>
    <x v="12"/>
    <s v="1200002187"/>
    <x v="76"/>
    <x v="0"/>
    <d v="2026-06-02T00:00:00"/>
    <n v="125"/>
    <d v="2026-06-09T00:00:00"/>
    <n v="23.6"/>
    <s v="PEN"/>
    <x v="3"/>
    <m/>
    <m/>
    <m/>
    <d v="2026-06-09T00:00:00"/>
    <n v="6.8267283772056704"/>
    <m/>
    <x v="0"/>
  </r>
  <r>
    <s v="6002007"/>
    <x v="12"/>
    <s v="1200002487"/>
    <x v="77"/>
    <x v="0"/>
    <d v="2026-06-13T00:00:00"/>
    <n v="114"/>
    <d v="2026-06-20T00:00:00"/>
    <n v="535.25"/>
    <s v="PEN"/>
    <x v="3"/>
    <m/>
    <m/>
    <m/>
    <d v="2026-06-20T00:00:00"/>
    <n v="154.83077813132775"/>
    <m/>
    <x v="0"/>
  </r>
  <r>
    <s v="6002007"/>
    <x v="12"/>
    <s v="1200002488"/>
    <x v="78"/>
    <x v="0"/>
    <d v="2026-06-13T00:00:00"/>
    <n v="114"/>
    <d v="2026-06-20T00:00:00"/>
    <n v="70.8"/>
    <s v="PEN"/>
    <x v="3"/>
    <m/>
    <m/>
    <m/>
    <d v="2026-06-20T00:00:00"/>
    <n v="20.480185131617009"/>
    <m/>
    <x v="0"/>
  </r>
  <r>
    <s v="6002007"/>
    <x v="12"/>
    <s v="1200002956"/>
    <x v="79"/>
    <x v="0"/>
    <d v="2026-07-03T00:00:00"/>
    <n v="94"/>
    <d v="2026-07-10T00:00:00"/>
    <n v="449.11"/>
    <s v="PEN"/>
    <x v="3"/>
    <m/>
    <m/>
    <m/>
    <d v="2026-07-10T00:00:00"/>
    <n v="129.91321955452705"/>
    <m/>
    <x v="0"/>
  </r>
  <r>
    <s v="6002007"/>
    <x v="12"/>
    <s v="1200002957"/>
    <x v="80"/>
    <x v="0"/>
    <d v="2026-07-03T00:00:00"/>
    <n v="94"/>
    <d v="2026-07-10T00:00:00"/>
    <n v="35.4"/>
    <s v="PEN"/>
    <x v="3"/>
    <m/>
    <m/>
    <m/>
    <d v="2026-07-10T00:00:00"/>
    <n v="10.240092565808505"/>
    <m/>
    <x v="0"/>
  </r>
  <r>
    <s v="6002007"/>
    <x v="12"/>
    <s v="1200003319"/>
    <x v="81"/>
    <x v="0"/>
    <d v="2026-07-17T00:00:00"/>
    <n v="80"/>
    <d v="2026-07-24T00:00:00"/>
    <n v="355.65"/>
    <s v="PEN"/>
    <x v="3"/>
    <m/>
    <m/>
    <m/>
    <d v="2026-07-24T00:00:00"/>
    <n v="102.87821810818629"/>
    <m/>
    <x v="0"/>
  </r>
  <r>
    <s v="6002007"/>
    <x v="12"/>
    <s v="1200003320"/>
    <x v="82"/>
    <x v="0"/>
    <d v="2026-07-17T00:00:00"/>
    <n v="80"/>
    <d v="2026-07-24T00:00:00"/>
    <n v="47.2"/>
    <s v="PEN"/>
    <x v="3"/>
    <m/>
    <m/>
    <m/>
    <d v="2026-07-24T00:00:00"/>
    <n v="13.653456754411341"/>
    <m/>
    <x v="0"/>
  </r>
  <r>
    <s v="6001105"/>
    <x v="13"/>
    <s v="1300007099"/>
    <x v="83"/>
    <x v="1"/>
    <d v="2026-07-15T00:00:00"/>
    <n v="89"/>
    <d v="2026-07-15T00:00:00"/>
    <n v="23.6"/>
    <s v="PEN"/>
    <x v="0"/>
    <m/>
    <m/>
    <m/>
    <d v="2026-07-15T00:00:00"/>
    <n v="6.8267283772056704"/>
    <m/>
    <x v="0"/>
  </r>
  <r>
    <s v="1000015723"/>
    <x v="14"/>
    <s v="1200004180"/>
    <x v="84"/>
    <x v="0"/>
    <d v="2026-09-25T00:00:00"/>
    <n v="10"/>
    <d v="2026-10-02T00:00:00"/>
    <n v="1515.12"/>
    <s v="PEN"/>
    <x v="0"/>
    <m/>
    <m/>
    <m/>
    <d v="2026-10-02T00:00:00"/>
    <n v="438.27596181660397"/>
    <m/>
    <x v="0"/>
  </r>
  <r>
    <s v="1000013925"/>
    <x v="15"/>
    <s v="1300006898"/>
    <x v="85"/>
    <x v="1"/>
    <d v="2025-10-21T00:00:00"/>
    <n v="356"/>
    <d v="2025-10-21T00:00:00"/>
    <n v="4460"/>
    <s v="PEN"/>
    <x v="4"/>
    <m/>
    <m/>
    <m/>
    <d v="2025-10-21T00:00:00"/>
    <n v="1290.135956031241"/>
    <m/>
    <x v="0"/>
  </r>
  <r>
    <s v="1000013925"/>
    <x v="15"/>
    <s v="1200005124"/>
    <x v="86"/>
    <x v="0"/>
    <d v="2025-11-04T00:00:00"/>
    <n v="335"/>
    <d v="2025-11-11T00:00:00"/>
    <n v="7097.98"/>
    <s v="PEN"/>
    <x v="4"/>
    <m/>
    <m/>
    <m/>
    <d v="2025-11-11T00:00:00"/>
    <n v="2053.2195545270465"/>
    <m/>
    <x v="0"/>
  </r>
  <r>
    <s v="1000013925"/>
    <x v="15"/>
    <s v="1200000182"/>
    <x v="87"/>
    <x v="0"/>
    <d v="2026-01-31T00:00:00"/>
    <n v="247"/>
    <d v="2026-02-07T00:00:00"/>
    <n v="4003.46"/>
    <s v="PEN"/>
    <x v="4"/>
    <m/>
    <m/>
    <m/>
    <d v="2026-02-07T00:00:00"/>
    <n v="1158.0734741105005"/>
    <m/>
    <x v="0"/>
  </r>
  <r>
    <s v="1000013925"/>
    <x v="15"/>
    <s v="1200000382"/>
    <x v="88"/>
    <x v="0"/>
    <d v="2026-03-03T00:00:00"/>
    <n v="216"/>
    <d v="2026-03-10T00:00:00"/>
    <n v="4956"/>
    <s v="PEN"/>
    <x v="4"/>
    <m/>
    <m/>
    <m/>
    <d v="2026-03-10T00:00:00"/>
    <n v="1433.6129592131906"/>
    <m/>
    <x v="0"/>
  </r>
  <r>
    <s v="2000000267"/>
    <x v="16"/>
    <s v="1200004207"/>
    <x v="89"/>
    <x v="2"/>
    <d v="2026-09-28T00:00:00"/>
    <n v="-31"/>
    <d v="2026-11-12T00:00:00"/>
    <n v="47150"/>
    <s v="USD"/>
    <x v="1"/>
    <d v="2026-11-27T00:00:00"/>
    <n v="-46"/>
    <d v="2026-11-27T00:00:00"/>
    <d v="2026-11-27T00:00:00"/>
    <n v="47150"/>
    <n v="14"/>
    <x v="2"/>
  </r>
  <r>
    <s v="2000000267"/>
    <x v="16"/>
    <s v="1200004206"/>
    <x v="90"/>
    <x v="1"/>
    <d v="2026-09-29T00:00:00"/>
    <n v="-32"/>
    <d v="2026-11-13T00:00:00"/>
    <n v="23625"/>
    <s v="USD"/>
    <x v="1"/>
    <d v="2026-11-28T00:00:00"/>
    <n v="-47"/>
    <d v="2026-11-28T00:00:00"/>
    <d v="2026-11-28T00:00:00"/>
    <n v="23625"/>
    <n v="13"/>
    <x v="2"/>
  </r>
  <r>
    <s v="6000434"/>
    <x v="17"/>
    <s v="1200004540"/>
    <x v="91"/>
    <x v="0"/>
    <d v="2025-10-07T00:00:00"/>
    <n v="363"/>
    <d v="2025-10-14T00:00:00"/>
    <n v="790"/>
    <s v="PEN"/>
    <x v="5"/>
    <m/>
    <m/>
    <m/>
    <d v="2025-10-14T00:00:00"/>
    <n v="228.52183974544403"/>
    <m/>
    <x v="0"/>
  </r>
  <r>
    <s v="2000001382"/>
    <x v="18"/>
    <s v="1300009377"/>
    <x v="92"/>
    <x v="3"/>
    <d v="2026-09-29T00:00:00"/>
    <n v="0"/>
    <d v="2026-09-30T00:00:00"/>
    <n v="-7510"/>
    <s v="USD"/>
    <x v="1"/>
    <d v="2026-11-28T00:00:00"/>
    <m/>
    <m/>
    <d v="2026-09-30T00:00:00"/>
    <n v="-7510"/>
    <n v="13"/>
    <x v="2"/>
  </r>
  <r>
    <n v="1000015392"/>
    <x v="19"/>
    <n v="1100016416"/>
    <x v="93"/>
    <x v="0"/>
    <d v="2026-06-30T00:00:00"/>
    <n v="104"/>
    <d v="2026-06-30T00:00:00"/>
    <n v="590"/>
    <s v="PEN"/>
    <x v="6"/>
    <m/>
    <m/>
    <m/>
    <d v="2026-06-30T00:00:00"/>
    <n v="170.66820943014176"/>
    <m/>
    <x v="0"/>
  </r>
  <r>
    <s v="1000001965"/>
    <x v="20"/>
    <s v="1200004220"/>
    <x v="94"/>
    <x v="0"/>
    <d v="2026-10-03T00:00:00"/>
    <n v="2"/>
    <d v="2026-10-10T00:00:00"/>
    <n v="590"/>
    <s v="PEN"/>
    <x v="0"/>
    <m/>
    <m/>
    <m/>
    <d v="2026-10-10T00:00:00"/>
    <n v="170.66820943014176"/>
    <m/>
    <x v="0"/>
  </r>
  <r>
    <s v="1000001965"/>
    <x v="20"/>
    <s v="1200004261"/>
    <x v="95"/>
    <x v="0"/>
    <d v="2026-10-06T00:00:00"/>
    <n v="-1"/>
    <d v="2026-10-13T00:00:00"/>
    <n v="590"/>
    <s v="PEN"/>
    <x v="0"/>
    <m/>
    <m/>
    <m/>
    <d v="2026-10-13T00:00:00"/>
    <n v="170.66820943014176"/>
    <m/>
    <x v="0"/>
  </r>
  <r>
    <s v="1000001965"/>
    <x v="20"/>
    <s v="1200004320"/>
    <x v="96"/>
    <x v="0"/>
    <d v="2026-10-07T00:00:00"/>
    <n v="-2"/>
    <d v="2026-10-14T00:00:00"/>
    <n v="590"/>
    <s v="PEN"/>
    <x v="0"/>
    <m/>
    <m/>
    <m/>
    <d v="2026-10-14T00:00:00"/>
    <n v="170.66820943014176"/>
    <m/>
    <x v="0"/>
  </r>
  <r>
    <s v="1000001965"/>
    <x v="20"/>
    <s v="1200004345"/>
    <x v="97"/>
    <x v="0"/>
    <d v="2026-10-09T00:00:00"/>
    <n v="-4"/>
    <d v="2026-10-16T00:00:00"/>
    <n v="590"/>
    <s v="PEN"/>
    <x v="0"/>
    <m/>
    <m/>
    <m/>
    <d v="2026-10-16T00:00:00"/>
    <n v="170.66820943014176"/>
    <m/>
    <x v="0"/>
  </r>
  <r>
    <s v="1000001965"/>
    <x v="20"/>
    <s v="1200004364"/>
    <x v="98"/>
    <x v="0"/>
    <d v="2026-10-09T00:00:00"/>
    <n v="-4"/>
    <d v="2026-10-16T00:00:00"/>
    <n v="590"/>
    <s v="PEN"/>
    <x v="0"/>
    <m/>
    <m/>
    <m/>
    <d v="2026-10-16T00:00:00"/>
    <n v="170.66820943014176"/>
    <m/>
    <x v="0"/>
  </r>
  <r>
    <s v="2000001440"/>
    <x v="21"/>
    <s v="1300009218"/>
    <x v="99"/>
    <x v="3"/>
    <d v="2026-09-15T00:00:00"/>
    <n v="0"/>
    <d v="2026-09-30T00:00:00"/>
    <n v="-14455"/>
    <s v="USD"/>
    <x v="1"/>
    <d v="2026-11-14T00:00:00"/>
    <m/>
    <m/>
    <d v="2026-09-30T00:00:00"/>
    <n v="-14455"/>
    <n v="27"/>
    <x v="2"/>
  </r>
  <r>
    <s v="2000001440"/>
    <x v="21"/>
    <s v="1300009245"/>
    <x v="100"/>
    <x v="3"/>
    <d v="2026-09-23T00:00:00"/>
    <n v="0"/>
    <d v="2026-09-30T00:00:00"/>
    <n v="-9110"/>
    <s v="USD"/>
    <x v="1"/>
    <d v="2026-11-22T00:00:00"/>
    <n v="12"/>
    <d v="2026-09-30T00:00:00"/>
    <d v="2026-09-30T00:00:00"/>
    <n v="-9110"/>
    <n v="19"/>
    <x v="2"/>
  </r>
  <r>
    <s v="2000001440"/>
    <x v="21"/>
    <s v="1200004209"/>
    <x v="101"/>
    <x v="2"/>
    <d v="2026-09-28T00:00:00"/>
    <n v="-46"/>
    <d v="2026-11-27T00:00:00"/>
    <n v="72964"/>
    <s v="USD"/>
    <x v="1"/>
    <d v="2026-11-27T00:00:00"/>
    <n v="-46"/>
    <d v="2026-11-27T00:00:00"/>
    <d v="2026-11-27T00:00:00"/>
    <n v="72964"/>
    <n v="14"/>
    <x v="2"/>
  </r>
  <r>
    <s v="1000013801"/>
    <x v="22"/>
    <s v="1200004368"/>
    <x v="102"/>
    <x v="0"/>
    <d v="2026-10-10T00:00:00"/>
    <n v="2"/>
    <d v="2026-10-10T00:00:00"/>
    <n v="662.69"/>
    <s v="PEN"/>
    <x v="0"/>
    <m/>
    <m/>
    <m/>
    <d v="2026-10-10T00:00:00"/>
    <n v="191.69511136823837"/>
    <m/>
    <x v="0"/>
  </r>
  <r>
    <s v="1000013801"/>
    <x v="22"/>
    <s v="1200004369"/>
    <x v="103"/>
    <x v="0"/>
    <d v="2026-10-10T00:00:00"/>
    <n v="2"/>
    <d v="2026-10-10T00:00:00"/>
    <n v="123.9"/>
    <s v="PEN"/>
    <x v="0"/>
    <m/>
    <m/>
    <m/>
    <d v="2026-10-10T00:00:00"/>
    <n v="35.840323980329771"/>
    <m/>
    <x v="0"/>
  </r>
  <r>
    <s v="1000013686"/>
    <x v="23"/>
    <s v="1200004265"/>
    <x v="104"/>
    <x v="0"/>
    <d v="2026-10-06T00:00:00"/>
    <n v="-1"/>
    <d v="2026-10-13T00:00:00"/>
    <n v="2208.96"/>
    <s v="PEN"/>
    <x v="0"/>
    <m/>
    <m/>
    <m/>
    <d v="2026-10-13T00:00:00"/>
    <n v="638.98177610645075"/>
    <m/>
    <x v="0"/>
  </r>
  <r>
    <s v="1000013686"/>
    <x v="23"/>
    <s v="1200004363"/>
    <x v="105"/>
    <x v="0"/>
    <d v="2026-10-09T00:00:00"/>
    <n v="-4"/>
    <d v="2026-10-16T00:00:00"/>
    <n v="368.16"/>
    <s v="PEN"/>
    <x v="0"/>
    <m/>
    <m/>
    <m/>
    <d v="2026-10-16T00:00:00"/>
    <n v="106.49696268440846"/>
    <m/>
    <x v="0"/>
  </r>
  <r>
    <s v="2000001446"/>
    <x v="24"/>
    <s v="1300008536"/>
    <x v="106"/>
    <x v="3"/>
    <d v="2026-09-08T00:00:00"/>
    <n v="0"/>
    <d v="2026-09-30T00:00:00"/>
    <n v="-15245"/>
    <s v="USD"/>
    <x v="1"/>
    <d v="2026-11-07T00:00:00"/>
    <n v="12"/>
    <d v="2026-09-30T00:00:00"/>
    <d v="2026-09-30T00:00:00"/>
    <n v="-15245"/>
    <n v="34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1000000434"/>
    <x v="0"/>
    <s v="1200004263"/>
    <s v="01-0F101-0008267"/>
    <x v="0"/>
    <d v="2026-10-06T00:00:00"/>
    <n v="6"/>
    <d v="2026-10-06T00:00:00"/>
    <n v="590"/>
    <s v="PEN"/>
    <x v="0"/>
    <m/>
    <m/>
    <m/>
    <x v="0"/>
    <n v="170.66820943014176"/>
    <m/>
    <m/>
  </r>
  <r>
    <s v="1000013966"/>
    <x v="1"/>
    <s v="1200005220"/>
    <s v="01-0F101-0004694"/>
    <x v="0"/>
    <d v="2025-11-19T00:00:00"/>
    <n v="320"/>
    <d v="2025-11-26T00:00:00"/>
    <n v="42.48"/>
    <s v="PEN"/>
    <x v="0"/>
    <m/>
    <m/>
    <m/>
    <x v="1"/>
    <n v="12.288111078970205"/>
    <m/>
    <m/>
  </r>
  <r>
    <s v="1000013966"/>
    <x v="1"/>
    <s v="1200005228"/>
    <s v="01-0F101-0004700"/>
    <x v="0"/>
    <d v="2025-11-19T00:00:00"/>
    <n v="320"/>
    <d v="2025-11-26T00:00:00"/>
    <n v="14.16"/>
    <s v="PEN"/>
    <x v="0"/>
    <m/>
    <m/>
    <m/>
    <x v="1"/>
    <n v="4.0960370263234021"/>
    <m/>
    <m/>
  </r>
  <r>
    <s v="1000013966"/>
    <x v="1"/>
    <s v="1200005242"/>
    <s v="01-0F101-0004710"/>
    <x v="0"/>
    <d v="2025-11-19T00:00:00"/>
    <n v="320"/>
    <d v="2025-11-26T00:00:00"/>
    <n v="14.16"/>
    <s v="PEN"/>
    <x v="0"/>
    <m/>
    <m/>
    <m/>
    <x v="1"/>
    <n v="4.0960370263234021"/>
    <m/>
    <m/>
  </r>
  <r>
    <s v="1000013966"/>
    <x v="1"/>
    <s v="1200005264"/>
    <s v="01-0F101-0004729"/>
    <x v="0"/>
    <d v="2025-11-20T00:00:00"/>
    <n v="319"/>
    <d v="2025-11-27T00:00:00"/>
    <n v="28.32"/>
    <s v="PEN"/>
    <x v="0"/>
    <m/>
    <m/>
    <m/>
    <x v="2"/>
    <n v="8.1920740526468041"/>
    <m/>
    <m/>
  </r>
  <r>
    <s v="1000013966"/>
    <x v="1"/>
    <s v="1200005271"/>
    <s v="01-0F101-0004736"/>
    <x v="0"/>
    <d v="2025-11-20T00:00:00"/>
    <n v="319"/>
    <d v="2025-11-27T00:00:00"/>
    <n v="14.16"/>
    <s v="PEN"/>
    <x v="0"/>
    <m/>
    <m/>
    <m/>
    <x v="2"/>
    <n v="4.0960370263234021"/>
    <m/>
    <m/>
  </r>
  <r>
    <s v="1000013966"/>
    <x v="1"/>
    <s v="1200005296"/>
    <s v="01-0F101-0004758"/>
    <x v="0"/>
    <d v="2025-11-21T00:00:00"/>
    <n v="318"/>
    <d v="2025-11-28T00:00:00"/>
    <n v="28.32"/>
    <s v="PEN"/>
    <x v="0"/>
    <m/>
    <m/>
    <m/>
    <x v="3"/>
    <n v="8.1920740526468041"/>
    <m/>
    <m/>
  </r>
  <r>
    <s v="1000013966"/>
    <x v="1"/>
    <s v="1200005302"/>
    <s v="01-0F101-0004762"/>
    <x v="0"/>
    <d v="2025-11-21T00:00:00"/>
    <n v="318"/>
    <d v="2025-11-28T00:00:00"/>
    <n v="42.48"/>
    <s v="PEN"/>
    <x v="0"/>
    <m/>
    <m/>
    <m/>
    <x v="3"/>
    <n v="12.288111078970205"/>
    <m/>
    <m/>
  </r>
  <r>
    <s v="1000013966"/>
    <x v="1"/>
    <s v="1200005304"/>
    <s v="01-0F101-0004763"/>
    <x v="0"/>
    <d v="2025-11-21T00:00:00"/>
    <n v="318"/>
    <d v="2025-11-28T00:00:00"/>
    <n v="42.48"/>
    <s v="PEN"/>
    <x v="0"/>
    <m/>
    <m/>
    <m/>
    <x v="3"/>
    <n v="12.288111078970205"/>
    <m/>
    <m/>
  </r>
  <r>
    <s v="1000013966"/>
    <x v="1"/>
    <s v="1200005313"/>
    <s v="01-0F101-0004772"/>
    <x v="0"/>
    <d v="2025-11-21T00:00:00"/>
    <n v="318"/>
    <d v="2025-11-28T00:00:00"/>
    <n v="14.16"/>
    <s v="PEN"/>
    <x v="0"/>
    <m/>
    <m/>
    <m/>
    <x v="3"/>
    <n v="4.0960370263234021"/>
    <m/>
    <m/>
  </r>
  <r>
    <s v="1000013966"/>
    <x v="1"/>
    <s v="1200005346"/>
    <s v="01-0F101-0004803"/>
    <x v="0"/>
    <d v="2025-11-22T00:00:00"/>
    <n v="317"/>
    <d v="2025-11-29T00:00:00"/>
    <n v="28.32"/>
    <s v="PEN"/>
    <x v="0"/>
    <m/>
    <m/>
    <m/>
    <x v="4"/>
    <n v="8.1920740526468041"/>
    <m/>
    <m/>
  </r>
  <r>
    <s v="1000013966"/>
    <x v="1"/>
    <s v="1200005422"/>
    <s v="01-0F101-0004855"/>
    <x v="0"/>
    <d v="2025-11-27T00:00:00"/>
    <n v="312"/>
    <d v="2025-12-04T00:00:00"/>
    <n v="14.16"/>
    <s v="PEN"/>
    <x v="0"/>
    <m/>
    <m/>
    <m/>
    <x v="5"/>
    <n v="4.0960370263234021"/>
    <m/>
    <m/>
  </r>
  <r>
    <s v="1000013966"/>
    <x v="1"/>
    <s v="1200000045"/>
    <s v="01-0F101-0005160"/>
    <x v="0"/>
    <d v="2026-01-06T00:00:00"/>
    <n v="272"/>
    <d v="2026-01-13T00:00:00"/>
    <n v="14.16"/>
    <s v="PEN"/>
    <x v="0"/>
    <m/>
    <m/>
    <m/>
    <x v="6"/>
    <n v="4.0960370263234021"/>
    <m/>
    <m/>
  </r>
  <r>
    <s v="1000013966"/>
    <x v="1"/>
    <s v="1200000090"/>
    <s v="01-0F101-0005198"/>
    <x v="0"/>
    <d v="2026-01-08T00:00:00"/>
    <n v="270"/>
    <d v="2026-01-15T00:00:00"/>
    <n v="14.16"/>
    <s v="PEN"/>
    <x v="0"/>
    <m/>
    <m/>
    <m/>
    <x v="7"/>
    <n v="4.0960370263234021"/>
    <m/>
    <m/>
  </r>
  <r>
    <s v="1000013966"/>
    <x v="1"/>
    <s v="1200000113"/>
    <s v="01-0F101-0005211"/>
    <x v="0"/>
    <d v="2026-01-10T00:00:00"/>
    <n v="268"/>
    <d v="2026-01-17T00:00:00"/>
    <n v="14.16"/>
    <s v="PEN"/>
    <x v="0"/>
    <m/>
    <m/>
    <m/>
    <x v="8"/>
    <n v="4.0960370263234021"/>
    <m/>
    <m/>
  </r>
  <r>
    <s v="1000013966"/>
    <x v="1"/>
    <s v="1200000132"/>
    <s v="01-0F101-0005224"/>
    <x v="0"/>
    <d v="2026-01-16T00:00:00"/>
    <n v="262"/>
    <d v="2026-01-23T00:00:00"/>
    <n v="14.16"/>
    <s v="PEN"/>
    <x v="0"/>
    <m/>
    <m/>
    <m/>
    <x v="9"/>
    <n v="4.0960370263234021"/>
    <m/>
    <m/>
  </r>
  <r>
    <s v="1000013966"/>
    <x v="1"/>
    <s v="1200000133"/>
    <s v="01-0F101-0005225"/>
    <x v="0"/>
    <d v="2026-01-16T00:00:00"/>
    <n v="262"/>
    <d v="2026-01-23T00:00:00"/>
    <n v="14.16"/>
    <s v="PEN"/>
    <x v="0"/>
    <m/>
    <m/>
    <m/>
    <x v="9"/>
    <n v="4.0960370263234021"/>
    <m/>
    <m/>
  </r>
  <r>
    <s v="1000013966"/>
    <x v="1"/>
    <s v="1200000141"/>
    <s v="01-0F101-0005231"/>
    <x v="0"/>
    <d v="2026-01-19T00:00:00"/>
    <n v="259"/>
    <d v="2026-01-26T00:00:00"/>
    <n v="14.16"/>
    <s v="PEN"/>
    <x v="0"/>
    <m/>
    <m/>
    <m/>
    <x v="10"/>
    <n v="4.0960370263234021"/>
    <m/>
    <m/>
  </r>
  <r>
    <s v="2000001381"/>
    <x v="2"/>
    <s v="1200003575"/>
    <s v="FT-0F002-0000420"/>
    <x v="1"/>
    <d v="2026-08-31T00:00:00"/>
    <n v="-18"/>
    <d v="2026-10-30T00:00:00"/>
    <n v="58743"/>
    <s v="USD"/>
    <x v="1"/>
    <d v="2026-10-30T00:00:00"/>
    <n v="-11"/>
    <d v="2026-10-30T00:00:00"/>
    <x v="11"/>
    <n v="58743"/>
    <n v="49"/>
    <s v="0-45"/>
  </r>
  <r>
    <s v="2000001381"/>
    <x v="2"/>
    <s v="1300008534"/>
    <s v="FP-278"/>
    <x v="2"/>
    <d v="2026-09-08T00:00:00"/>
    <n v="0"/>
    <d v="2026-09-30T00:00:00"/>
    <n v="-13310"/>
    <s v="USD"/>
    <x v="1"/>
    <d v="2026-11-07T00:00:00"/>
    <n v="19"/>
    <d v="2026-09-30T00:00:00"/>
    <x v="12"/>
    <n v="-13310"/>
    <n v="41"/>
    <s v="0-45"/>
  </r>
  <r>
    <s v="2000001381"/>
    <x v="2"/>
    <s v="1200004199"/>
    <s v="01-0F002-0000427"/>
    <x v="3"/>
    <d v="2026-09-26T00:00:00"/>
    <n v="-44"/>
    <d v="2026-11-25T00:00:00"/>
    <n v="39060"/>
    <s v="USD"/>
    <x v="1"/>
    <d v="2026-11-25T00:00:00"/>
    <n v="-37"/>
    <d v="2026-11-25T00:00:00"/>
    <x v="13"/>
    <n v="39060"/>
    <n v="23"/>
    <s v="0-45"/>
  </r>
  <r>
    <s v="2000001478"/>
    <x v="3"/>
    <s v="1300009246"/>
    <s v="FP-290"/>
    <x v="2"/>
    <d v="2026-09-23T00:00:00"/>
    <n v="0"/>
    <d v="2026-09-30T00:00:00"/>
    <n v="-9110"/>
    <s v="USD"/>
    <x v="1"/>
    <d v="2026-11-22T00:00:00"/>
    <n v="19"/>
    <d v="2026-09-30T00:00:00"/>
    <x v="12"/>
    <n v="-9110"/>
    <n v="26"/>
    <s v="0-45"/>
  </r>
  <r>
    <s v="1000013754"/>
    <x v="4"/>
    <s v="1200004228"/>
    <s v="03-0B001-0004980"/>
    <x v="4"/>
    <d v="2026-10-03T00:00:00"/>
    <n v="2"/>
    <d v="2026-10-10T00:00:00"/>
    <n v="1234.28"/>
    <s v="PEN"/>
    <x v="0"/>
    <m/>
    <m/>
    <m/>
    <x v="14"/>
    <n v="357.03789412785653"/>
    <m/>
    <m/>
  </r>
  <r>
    <s v="1000013754"/>
    <x v="4"/>
    <s v="1200004229"/>
    <s v="03-0B001-0004981"/>
    <x v="4"/>
    <d v="2026-10-03T00:00:00"/>
    <n v="2"/>
    <d v="2026-10-10T00:00:00"/>
    <n v="118"/>
    <s v="PEN"/>
    <x v="0"/>
    <m/>
    <m/>
    <m/>
    <x v="14"/>
    <n v="34.13364188602835"/>
    <m/>
    <m/>
  </r>
  <r>
    <s v="1000013754"/>
    <x v="4"/>
    <s v="1200004233"/>
    <s v="03-0B001-0004982"/>
    <x v="4"/>
    <d v="2026-10-05T00:00:00"/>
    <n v="0"/>
    <d v="2026-10-12T00:00:00"/>
    <n v="662.22"/>
    <s v="PEN"/>
    <x v="0"/>
    <m/>
    <m/>
    <m/>
    <x v="15"/>
    <n v="191.55915533699741"/>
    <m/>
    <m/>
  </r>
  <r>
    <s v="1000013754"/>
    <x v="4"/>
    <s v="1200004234"/>
    <s v="03-0B001-0004983"/>
    <x v="4"/>
    <d v="2026-10-05T00:00:00"/>
    <n v="0"/>
    <d v="2026-10-12T00:00:00"/>
    <n v="70.8"/>
    <s v="PEN"/>
    <x v="0"/>
    <m/>
    <m/>
    <m/>
    <x v="15"/>
    <n v="20.480185131617009"/>
    <m/>
    <m/>
  </r>
  <r>
    <s v="1000013754"/>
    <x v="4"/>
    <s v="1200004237"/>
    <s v="03-0B001-0004984"/>
    <x v="4"/>
    <d v="2026-10-05T00:00:00"/>
    <n v="0"/>
    <d v="2026-10-12T00:00:00"/>
    <n v="500.56"/>
    <s v="PEN"/>
    <x v="0"/>
    <m/>
    <m/>
    <m/>
    <x v="15"/>
    <n v="144.79606595313857"/>
    <m/>
    <m/>
  </r>
  <r>
    <s v="1000013754"/>
    <x v="4"/>
    <s v="1200004238"/>
    <s v="03-0B001-0004985"/>
    <x v="4"/>
    <d v="2026-10-05T00:00:00"/>
    <n v="0"/>
    <d v="2026-10-12T00:00:00"/>
    <n v="70.8"/>
    <s v="PEN"/>
    <x v="0"/>
    <m/>
    <m/>
    <m/>
    <x v="15"/>
    <n v="20.480185131617009"/>
    <m/>
    <m/>
  </r>
  <r>
    <s v="1000013754"/>
    <x v="4"/>
    <s v="1200004272"/>
    <s v="03-0B001-0004988"/>
    <x v="4"/>
    <d v="2026-10-06T00:00:00"/>
    <n v="-1"/>
    <d v="2026-10-13T00:00:00"/>
    <n v="711.07"/>
    <s v="PEN"/>
    <x v="0"/>
    <m/>
    <m/>
    <m/>
    <x v="16"/>
    <n v="205.68990454151"/>
    <m/>
    <m/>
  </r>
  <r>
    <s v="1000013754"/>
    <x v="4"/>
    <s v="1200004273"/>
    <s v="03-0B001-0004989"/>
    <x v="4"/>
    <d v="2026-10-06T00:00:00"/>
    <n v="-1"/>
    <d v="2026-10-13T00:00:00"/>
    <n v="70.8"/>
    <s v="PEN"/>
    <x v="0"/>
    <m/>
    <m/>
    <m/>
    <x v="16"/>
    <n v="20.480185131617009"/>
    <m/>
    <m/>
  </r>
  <r>
    <s v="1000013754"/>
    <x v="4"/>
    <s v="1200004289"/>
    <s v="03-0B001-0004990"/>
    <x v="4"/>
    <d v="2026-10-06T00:00:00"/>
    <n v="-1"/>
    <d v="2026-10-13T00:00:00"/>
    <n v="1129.5"/>
    <s v="PEN"/>
    <x v="0"/>
    <m/>
    <m/>
    <m/>
    <x v="16"/>
    <n v="326.72837720566969"/>
    <m/>
    <m/>
  </r>
  <r>
    <s v="1000013754"/>
    <x v="4"/>
    <s v="1200004290"/>
    <s v="03-0B001-0004991"/>
    <x v="4"/>
    <d v="2026-10-06T00:00:00"/>
    <n v="-1"/>
    <d v="2026-10-13T00:00:00"/>
    <n v="118"/>
    <s v="PEN"/>
    <x v="0"/>
    <m/>
    <m/>
    <m/>
    <x v="16"/>
    <n v="34.13364188602835"/>
    <m/>
    <m/>
  </r>
  <r>
    <s v="1000013754"/>
    <x v="4"/>
    <s v="1200004311"/>
    <s v="03-0B001-0004992"/>
    <x v="4"/>
    <d v="2026-10-07T00:00:00"/>
    <n v="-2"/>
    <d v="2026-10-14T00:00:00"/>
    <n v="737.26"/>
    <s v="PEN"/>
    <x v="0"/>
    <m/>
    <m/>
    <m/>
    <x v="17"/>
    <n v="213.26583743129882"/>
    <m/>
    <m/>
  </r>
  <r>
    <s v="1000013754"/>
    <x v="4"/>
    <s v="1200004312"/>
    <s v="03-0B001-0004993"/>
    <x v="4"/>
    <d v="2026-10-07T00:00:00"/>
    <n v="-2"/>
    <d v="2026-10-14T00:00:00"/>
    <n v="70.8"/>
    <s v="PEN"/>
    <x v="0"/>
    <m/>
    <m/>
    <m/>
    <x v="17"/>
    <n v="20.480185131617009"/>
    <m/>
    <m/>
  </r>
  <r>
    <s v="1000013754"/>
    <x v="4"/>
    <s v="1200004316"/>
    <s v="03-0B001-0004994"/>
    <x v="4"/>
    <d v="2026-10-07T00:00:00"/>
    <n v="-2"/>
    <d v="2026-10-14T00:00:00"/>
    <n v="560.26"/>
    <s v="PEN"/>
    <x v="0"/>
    <m/>
    <m/>
    <m/>
    <x v="17"/>
    <n v="162.0653746022563"/>
    <m/>
    <m/>
  </r>
  <r>
    <s v="1000013754"/>
    <x v="4"/>
    <s v="1200004317"/>
    <s v="03-0B001-0004995"/>
    <x v="4"/>
    <d v="2026-10-07T00:00:00"/>
    <n v="-2"/>
    <d v="2026-10-14T00:00:00"/>
    <n v="70.8"/>
    <s v="PEN"/>
    <x v="0"/>
    <m/>
    <m/>
    <m/>
    <x v="17"/>
    <n v="20.480185131617009"/>
    <m/>
    <m/>
  </r>
  <r>
    <s v="1000013754"/>
    <x v="4"/>
    <s v="1200004336"/>
    <s v="03-0B001-0004996"/>
    <x v="4"/>
    <d v="2026-10-09T00:00:00"/>
    <n v="-4"/>
    <d v="2026-10-16T00:00:00"/>
    <n v="408.28"/>
    <s v="PEN"/>
    <x v="0"/>
    <m/>
    <m/>
    <m/>
    <x v="18"/>
    <n v="118.10240092565809"/>
    <m/>
    <m/>
  </r>
  <r>
    <s v="1000013754"/>
    <x v="4"/>
    <s v="1200004337"/>
    <s v="03-0B001-0004997"/>
    <x v="4"/>
    <d v="2026-10-09T00:00:00"/>
    <n v="-4"/>
    <d v="2026-10-16T00:00:00"/>
    <n v="70.8"/>
    <s v="PEN"/>
    <x v="0"/>
    <m/>
    <m/>
    <m/>
    <x v="18"/>
    <n v="20.480185131617009"/>
    <m/>
    <m/>
  </r>
  <r>
    <s v="2000001368"/>
    <x v="5"/>
    <s v="1300004854"/>
    <s v="FT-0F002-0000311"/>
    <x v="1"/>
    <d v="2026-04-27T00:00:00"/>
    <n v="168"/>
    <d v="2026-04-27T00:00:00"/>
    <n v="15163"/>
    <s v="USD"/>
    <x v="1"/>
    <d v="2026-06-26T00:00:00"/>
    <n v="4"/>
    <d v="2026-10-15T00:00:00"/>
    <x v="19"/>
    <n v="15163"/>
    <n v="175"/>
    <s v="90- a mas "/>
  </r>
  <r>
    <s v="2000001439"/>
    <x v="6"/>
    <s v="1300009227"/>
    <s v="FP-284"/>
    <x v="1"/>
    <d v="2026-09-15T00:00:00"/>
    <n v="0"/>
    <d v="2026-09-15T00:00:00"/>
    <n v="-13448"/>
    <s v="USD"/>
    <x v="1"/>
    <d v="2026-11-14T00:00:00"/>
    <n v="34"/>
    <d v="2026-09-15T00:00:00"/>
    <x v="20"/>
    <n v="-13448"/>
    <n v="34"/>
    <s v="0-45"/>
  </r>
  <r>
    <s v="1000015742"/>
    <x v="7"/>
    <s v="1200004298"/>
    <s v="01-0F101-0008298"/>
    <x v="0"/>
    <d v="2026-10-07T00:00:00"/>
    <n v="2"/>
    <d v="2026-10-10T00:00:00"/>
    <n v="2453.14"/>
    <s v="PEN"/>
    <x v="0"/>
    <m/>
    <m/>
    <m/>
    <x v="14"/>
    <n v="709.61527335840321"/>
    <m/>
    <m/>
  </r>
  <r>
    <s v="1000015742"/>
    <x v="7"/>
    <s v="1200004299"/>
    <s v="01-0F101-0008299"/>
    <x v="0"/>
    <d v="2026-10-07T00:00:00"/>
    <n v="2"/>
    <d v="2026-10-10T00:00:00"/>
    <n v="176.93"/>
    <s v="PEN"/>
    <x v="0"/>
    <m/>
    <m/>
    <m/>
    <x v="14"/>
    <n v="51.180214058432171"/>
    <m/>
    <m/>
  </r>
  <r>
    <s v="6002186"/>
    <x v="8"/>
    <s v="1200003523"/>
    <s v="01-0F101-0007720"/>
    <x v="0"/>
    <d v="2026-08-28T00:00:00"/>
    <n v="38"/>
    <d v="2026-09-04T00:00:00"/>
    <n v="4293.67"/>
    <s v="USD"/>
    <x v="2"/>
    <m/>
    <m/>
    <m/>
    <x v="21"/>
    <n v="4293.67"/>
    <m/>
    <m/>
  </r>
  <r>
    <s v="6002186"/>
    <x v="8"/>
    <s v="1200003618"/>
    <s v="01-0F101-0007779"/>
    <x v="0"/>
    <d v="2026-09-02T00:00:00"/>
    <n v="33"/>
    <d v="2026-09-09T00:00:00"/>
    <n v="20060"/>
    <s v="USD"/>
    <x v="2"/>
    <m/>
    <m/>
    <m/>
    <x v="22"/>
    <n v="20060"/>
    <m/>
    <m/>
  </r>
  <r>
    <s v="6002186"/>
    <x v="8"/>
    <s v="1200004214"/>
    <s v="01-0F003-0000203"/>
    <x v="0"/>
    <d v="2026-09-30T00:00:00"/>
    <n v="5"/>
    <d v="2026-10-07T00:00:00"/>
    <n v="20060"/>
    <s v="USD"/>
    <x v="2"/>
    <m/>
    <m/>
    <m/>
    <x v="23"/>
    <n v="20060"/>
    <m/>
    <m/>
  </r>
  <r>
    <s v="1000006830"/>
    <x v="9"/>
    <s v="1300009864"/>
    <s v="FT-0F101-0008206"/>
    <x v="1"/>
    <d v="2026-09-22T00:00:00"/>
    <n v="20"/>
    <d v="2026-09-22T00:00:00"/>
    <n v="40"/>
    <s v="PEN"/>
    <x v="0"/>
    <m/>
    <m/>
    <m/>
    <x v="24"/>
    <n v="11.570726063060457"/>
    <m/>
    <m/>
  </r>
  <r>
    <s v="1000006830"/>
    <x v="9"/>
    <s v="1200004230"/>
    <s v="01-0F101-0008240"/>
    <x v="0"/>
    <d v="2026-10-05T00:00:00"/>
    <n v="0"/>
    <d v="2026-10-12T00:00:00"/>
    <n v="914.74"/>
    <s v="PEN"/>
    <x v="0"/>
    <m/>
    <m/>
    <m/>
    <x v="15"/>
    <n v="264.6051489730981"/>
    <m/>
    <m/>
  </r>
  <r>
    <s v="1000006830"/>
    <x v="9"/>
    <s v="1200004231"/>
    <s v="01-0F101-0008241"/>
    <x v="0"/>
    <d v="2026-10-05T00:00:00"/>
    <n v="0"/>
    <d v="2026-10-12T00:00:00"/>
    <n v="118"/>
    <s v="PEN"/>
    <x v="0"/>
    <m/>
    <m/>
    <m/>
    <x v="15"/>
    <n v="34.13364188602835"/>
    <m/>
    <m/>
  </r>
  <r>
    <s v="1000006830"/>
    <x v="9"/>
    <s v="1200004270"/>
    <s v="01-0F101-0008274"/>
    <x v="0"/>
    <d v="2026-10-06T00:00:00"/>
    <n v="-1"/>
    <d v="2026-10-13T00:00:00"/>
    <n v="1223.19"/>
    <s v="PEN"/>
    <x v="0"/>
    <m/>
    <m/>
    <m/>
    <x v="16"/>
    <n v="353.82991032687306"/>
    <m/>
    <m/>
  </r>
  <r>
    <s v="1000006830"/>
    <x v="9"/>
    <s v="1200004271"/>
    <s v="01-0F101-0008275"/>
    <x v="0"/>
    <d v="2026-10-06T00:00:00"/>
    <n v="-1"/>
    <d v="2026-10-13T00:00:00"/>
    <n v="118"/>
    <s v="PEN"/>
    <x v="0"/>
    <m/>
    <m/>
    <m/>
    <x v="16"/>
    <n v="34.13364188602835"/>
    <m/>
    <m/>
  </r>
  <r>
    <s v="1000006830"/>
    <x v="9"/>
    <s v="1200004285"/>
    <s v="01-0F101-0008287"/>
    <x v="0"/>
    <d v="2026-10-06T00:00:00"/>
    <n v="-1"/>
    <d v="2026-10-13T00:00:00"/>
    <n v="310.81"/>
    <s v="PEN"/>
    <x v="0"/>
    <m/>
    <m/>
    <m/>
    <x v="16"/>
    <n v="89.907434191495526"/>
    <m/>
    <m/>
  </r>
  <r>
    <s v="1000006830"/>
    <x v="9"/>
    <s v="1200004286"/>
    <s v="01-0F101-0008288"/>
    <x v="0"/>
    <d v="2026-10-06T00:00:00"/>
    <n v="-1"/>
    <d v="2026-10-13T00:00:00"/>
    <n v="47.2"/>
    <s v="PEN"/>
    <x v="0"/>
    <m/>
    <m/>
    <m/>
    <x v="16"/>
    <n v="13.653456754411341"/>
    <m/>
    <m/>
  </r>
  <r>
    <s v="1000006830"/>
    <x v="9"/>
    <s v="1200004306"/>
    <s v="01-0F101-0008306"/>
    <x v="0"/>
    <d v="2026-10-07T00:00:00"/>
    <n v="-2"/>
    <d v="2026-10-14T00:00:00"/>
    <n v="742.69"/>
    <s v="PEN"/>
    <x v="0"/>
    <m/>
    <m/>
    <m/>
    <x v="17"/>
    <n v="214.8365634943593"/>
    <m/>
    <m/>
  </r>
  <r>
    <s v="1000006830"/>
    <x v="9"/>
    <s v="1200004307"/>
    <s v="01-0F101-0008307"/>
    <x v="0"/>
    <d v="2026-10-07T00:00:00"/>
    <n v="-2"/>
    <d v="2026-10-14T00:00:00"/>
    <n v="70.8"/>
    <s v="PEN"/>
    <x v="0"/>
    <m/>
    <m/>
    <m/>
    <x v="17"/>
    <n v="20.480185131617009"/>
    <m/>
    <m/>
  </r>
  <r>
    <s v="1000006830"/>
    <x v="9"/>
    <s v="1200004318"/>
    <s v="01-0F101-0008314"/>
    <x v="0"/>
    <d v="2026-10-07T00:00:00"/>
    <n v="-2"/>
    <d v="2026-10-14T00:00:00"/>
    <n v="915.92"/>
    <s v="PEN"/>
    <x v="0"/>
    <m/>
    <m/>
    <m/>
    <x v="17"/>
    <n v="264.94648539195833"/>
    <m/>
    <m/>
  </r>
  <r>
    <s v="1000006830"/>
    <x v="9"/>
    <s v="1200004319"/>
    <s v="01-0F101-0008315"/>
    <x v="0"/>
    <d v="2026-10-07T00:00:00"/>
    <n v="-2"/>
    <d v="2026-10-14T00:00:00"/>
    <n v="118"/>
    <s v="PEN"/>
    <x v="0"/>
    <m/>
    <m/>
    <m/>
    <x v="17"/>
    <n v="34.13364188602835"/>
    <m/>
    <m/>
  </r>
  <r>
    <s v="1000006830"/>
    <x v="9"/>
    <s v="1200004332"/>
    <s v="01-0F101-0008328"/>
    <x v="0"/>
    <d v="2026-10-09T00:00:00"/>
    <n v="-4"/>
    <d v="2026-10-16T00:00:00"/>
    <n v="329.93"/>
    <s v="PEN"/>
    <x v="0"/>
    <m/>
    <m/>
    <m/>
    <x v="18"/>
    <n v="95.438241249638423"/>
    <m/>
    <m/>
  </r>
  <r>
    <s v="1000006830"/>
    <x v="9"/>
    <s v="1200004333"/>
    <s v="01-0F101-0008329"/>
    <x v="0"/>
    <d v="2026-10-09T00:00:00"/>
    <n v="-4"/>
    <d v="2026-10-16T00:00:00"/>
    <n v="47.2"/>
    <s v="PEN"/>
    <x v="0"/>
    <m/>
    <m/>
    <m/>
    <x v="18"/>
    <n v="13.653456754411341"/>
    <m/>
    <m/>
  </r>
  <r>
    <s v="2000001172"/>
    <x v="10"/>
    <s v="1300008527"/>
    <s v="FT-0F002-0000389"/>
    <x v="1"/>
    <d v="2026-07-17T00:00:00"/>
    <n v="87"/>
    <d v="2026-07-17T00:00:00"/>
    <n v="921.06"/>
    <s v="USD"/>
    <x v="1"/>
    <d v="2026-09-15T00:00:00"/>
    <n v="4"/>
    <d v="2026-10-15T00:00:00"/>
    <x v="19"/>
    <n v="921.06"/>
    <n v="94"/>
    <s v="61-90"/>
  </r>
  <r>
    <s v="6002007"/>
    <x v="11"/>
    <s v="1200005141"/>
    <s v="01-0F101-0004638"/>
    <x v="0"/>
    <d v="2025-11-03T00:00:00"/>
    <n v="336"/>
    <d v="2025-11-10T00:00:00"/>
    <n v="1403.26"/>
    <s v="PEN"/>
    <x v="3"/>
    <m/>
    <m/>
    <m/>
    <x v="25"/>
    <n v="405.91842638125541"/>
    <m/>
    <m/>
  </r>
  <r>
    <s v="6002007"/>
    <x v="11"/>
    <s v="1200005142"/>
    <s v="01-0F101-0004639"/>
    <x v="0"/>
    <d v="2025-11-03T00:00:00"/>
    <n v="336"/>
    <d v="2025-11-10T00:00:00"/>
    <n v="141.6"/>
    <s v="PEN"/>
    <x v="3"/>
    <m/>
    <m/>
    <m/>
    <x v="25"/>
    <n v="40.960370263234019"/>
    <m/>
    <m/>
  </r>
  <r>
    <s v="6002007"/>
    <x v="11"/>
    <s v="1200005158"/>
    <s v="01-0F101-0004653"/>
    <x v="0"/>
    <d v="2025-11-06T00:00:00"/>
    <n v="333"/>
    <d v="2025-11-13T00:00:00"/>
    <n v="1193.22"/>
    <s v="PEN"/>
    <x v="3"/>
    <m/>
    <m/>
    <m/>
    <x v="26"/>
    <n v="345.160543824125"/>
    <m/>
    <m/>
  </r>
  <r>
    <s v="6002007"/>
    <x v="11"/>
    <s v="1200005159"/>
    <s v="01-0F101-0004654"/>
    <x v="0"/>
    <d v="2025-11-06T00:00:00"/>
    <n v="333"/>
    <d v="2025-11-13T00:00:00"/>
    <n v="106.2"/>
    <s v="PEN"/>
    <x v="3"/>
    <m/>
    <m/>
    <m/>
    <x v="26"/>
    <n v="30.720277697425516"/>
    <m/>
    <m/>
  </r>
  <r>
    <s v="6002007"/>
    <x v="11"/>
    <s v="1200001503"/>
    <s v="01-0F101-0006226"/>
    <x v="0"/>
    <d v="2026-05-06T00:00:00"/>
    <n v="152"/>
    <d v="2026-05-13T00:00:00"/>
    <n v="23.6"/>
    <s v="PEN"/>
    <x v="3"/>
    <m/>
    <m/>
    <m/>
    <x v="27"/>
    <n v="6.8267283772056704"/>
    <m/>
    <m/>
  </r>
  <r>
    <s v="6002007"/>
    <x v="11"/>
    <s v="1200001504"/>
    <s v="01-0F101-0006227"/>
    <x v="0"/>
    <d v="2026-05-06T00:00:00"/>
    <n v="152"/>
    <d v="2026-05-13T00:00:00"/>
    <n v="261.49"/>
    <s v="PEN"/>
    <x v="3"/>
    <m/>
    <m/>
    <m/>
    <x v="27"/>
    <n v="75.640728955741977"/>
    <m/>
    <m/>
  </r>
  <r>
    <s v="6002007"/>
    <x v="11"/>
    <s v="1200001509"/>
    <s v="01-0F101-0006232"/>
    <x v="0"/>
    <d v="2026-05-06T00:00:00"/>
    <n v="152"/>
    <d v="2026-05-13T00:00:00"/>
    <n v="387.51"/>
    <s v="PEN"/>
    <x v="3"/>
    <m/>
    <m/>
    <m/>
    <x v="27"/>
    <n v="112.09430141741394"/>
    <m/>
    <m/>
  </r>
  <r>
    <s v="6002007"/>
    <x v="11"/>
    <s v="1200001510"/>
    <s v="01-0F101-0006233"/>
    <x v="0"/>
    <d v="2026-05-06T00:00:00"/>
    <n v="152"/>
    <d v="2026-05-13T00:00:00"/>
    <n v="35.4"/>
    <s v="PEN"/>
    <x v="3"/>
    <m/>
    <m/>
    <m/>
    <x v="27"/>
    <n v="10.240092565808505"/>
    <m/>
    <m/>
  </r>
  <r>
    <s v="6002007"/>
    <x v="11"/>
    <s v="1200001609"/>
    <s v="01-0F101-0006311"/>
    <x v="0"/>
    <d v="2026-05-12T00:00:00"/>
    <n v="146"/>
    <d v="2026-05-19T00:00:00"/>
    <n v="482.86"/>
    <s v="PEN"/>
    <x v="3"/>
    <m/>
    <m/>
    <m/>
    <x v="28"/>
    <n v="139.67601967023433"/>
    <m/>
    <m/>
  </r>
  <r>
    <s v="6002007"/>
    <x v="11"/>
    <s v="1200001610"/>
    <s v="01-0F101-0006312"/>
    <x v="0"/>
    <d v="2026-05-12T00:00:00"/>
    <n v="146"/>
    <d v="2026-05-19T00:00:00"/>
    <n v="47.2"/>
    <s v="PEN"/>
    <x v="3"/>
    <m/>
    <m/>
    <m/>
    <x v="28"/>
    <n v="13.653456754411341"/>
    <m/>
    <m/>
  </r>
  <r>
    <s v="6002007"/>
    <x v="11"/>
    <s v="1200001789"/>
    <s v="01-0F101-0006447"/>
    <x v="0"/>
    <d v="2026-05-16T00:00:00"/>
    <n v="142"/>
    <d v="2026-05-23T00:00:00"/>
    <n v="544.45000000000005"/>
    <s v="PEN"/>
    <x v="3"/>
    <m/>
    <m/>
    <m/>
    <x v="29"/>
    <n v="157.49204512583165"/>
    <m/>
    <m/>
  </r>
  <r>
    <s v="6002007"/>
    <x v="11"/>
    <s v="1200001790"/>
    <s v="01-0F101-0006448"/>
    <x v="0"/>
    <d v="2026-05-16T00:00:00"/>
    <n v="142"/>
    <d v="2026-05-23T00:00:00"/>
    <n v="47.2"/>
    <s v="PEN"/>
    <x v="3"/>
    <m/>
    <m/>
    <m/>
    <x v="29"/>
    <n v="13.653456754411341"/>
    <m/>
    <m/>
  </r>
  <r>
    <s v="6002007"/>
    <x v="11"/>
    <s v="1200002045"/>
    <s v="01-0F101-0006626"/>
    <x v="0"/>
    <d v="2026-05-27T00:00:00"/>
    <n v="131"/>
    <d v="2026-06-03T00:00:00"/>
    <n v="591.65"/>
    <s v="PEN"/>
    <x v="3"/>
    <m/>
    <m/>
    <m/>
    <x v="30"/>
    <n v="171.14550188024299"/>
    <m/>
    <m/>
  </r>
  <r>
    <s v="6002007"/>
    <x v="11"/>
    <s v="1200002046"/>
    <s v="01-0F101-0006627"/>
    <x v="0"/>
    <d v="2026-05-27T00:00:00"/>
    <n v="131"/>
    <d v="2026-06-03T00:00:00"/>
    <n v="70.8"/>
    <s v="PEN"/>
    <x v="3"/>
    <m/>
    <m/>
    <m/>
    <x v="30"/>
    <n v="20.480185131617009"/>
    <m/>
    <m/>
  </r>
  <r>
    <s v="6002007"/>
    <x v="11"/>
    <s v="1200002186"/>
    <s v="01-0F101-0006716"/>
    <x v="0"/>
    <d v="2026-06-02T00:00:00"/>
    <n v="125"/>
    <d v="2026-06-09T00:00:00"/>
    <n v="185.97"/>
    <s v="PEN"/>
    <x v="3"/>
    <m/>
    <m/>
    <m/>
    <x v="31"/>
    <n v="53.795198148683831"/>
    <m/>
    <m/>
  </r>
  <r>
    <s v="6002007"/>
    <x v="11"/>
    <s v="1200002187"/>
    <s v="01-0F101-0006717"/>
    <x v="0"/>
    <d v="2026-06-02T00:00:00"/>
    <n v="125"/>
    <d v="2026-06-09T00:00:00"/>
    <n v="23.6"/>
    <s v="PEN"/>
    <x v="3"/>
    <m/>
    <m/>
    <m/>
    <x v="31"/>
    <n v="6.8267283772056704"/>
    <m/>
    <m/>
  </r>
  <r>
    <s v="6002007"/>
    <x v="11"/>
    <s v="1200002487"/>
    <s v="01-0F101-0006948"/>
    <x v="0"/>
    <d v="2026-06-13T00:00:00"/>
    <n v="114"/>
    <d v="2026-06-20T00:00:00"/>
    <n v="535.25"/>
    <s v="PEN"/>
    <x v="3"/>
    <m/>
    <m/>
    <m/>
    <x v="32"/>
    <n v="154.83077813132775"/>
    <m/>
    <m/>
  </r>
  <r>
    <s v="6002007"/>
    <x v="11"/>
    <s v="1200002488"/>
    <s v="01-0F101-0006949"/>
    <x v="0"/>
    <d v="2026-06-13T00:00:00"/>
    <n v="114"/>
    <d v="2026-06-20T00:00:00"/>
    <n v="70.8"/>
    <s v="PEN"/>
    <x v="3"/>
    <m/>
    <m/>
    <m/>
    <x v="32"/>
    <n v="20.480185131617009"/>
    <m/>
    <m/>
  </r>
  <r>
    <s v="6002007"/>
    <x v="11"/>
    <s v="1200002956"/>
    <s v="01-0F101-0007286"/>
    <x v="0"/>
    <d v="2026-07-03T00:00:00"/>
    <n v="94"/>
    <d v="2026-07-10T00:00:00"/>
    <n v="449.11"/>
    <s v="PEN"/>
    <x v="3"/>
    <m/>
    <m/>
    <m/>
    <x v="33"/>
    <n v="129.91321955452705"/>
    <m/>
    <m/>
  </r>
  <r>
    <s v="6002007"/>
    <x v="11"/>
    <s v="1200002957"/>
    <s v="01-0F101-0007287"/>
    <x v="0"/>
    <d v="2026-07-03T00:00:00"/>
    <n v="94"/>
    <d v="2026-07-10T00:00:00"/>
    <n v="35.4"/>
    <s v="PEN"/>
    <x v="3"/>
    <m/>
    <m/>
    <m/>
    <x v="33"/>
    <n v="10.240092565808505"/>
    <m/>
    <m/>
  </r>
  <r>
    <s v="6002007"/>
    <x v="11"/>
    <s v="1200003319"/>
    <s v="01-0F101-0007590"/>
    <x v="0"/>
    <d v="2026-07-17T00:00:00"/>
    <n v="80"/>
    <d v="2026-07-24T00:00:00"/>
    <n v="355.65"/>
    <s v="PEN"/>
    <x v="3"/>
    <m/>
    <m/>
    <m/>
    <x v="34"/>
    <n v="102.87821810818629"/>
    <m/>
    <m/>
  </r>
  <r>
    <s v="6002007"/>
    <x v="11"/>
    <s v="1200003320"/>
    <s v="01-0F101-0007591"/>
    <x v="0"/>
    <d v="2026-07-17T00:00:00"/>
    <n v="80"/>
    <d v="2026-07-24T00:00:00"/>
    <n v="47.2"/>
    <s v="PEN"/>
    <x v="3"/>
    <m/>
    <m/>
    <m/>
    <x v="34"/>
    <n v="13.653456754411341"/>
    <m/>
    <m/>
  </r>
  <r>
    <s v="6001105"/>
    <x v="12"/>
    <s v="1300007099"/>
    <s v="FT-0F101-0007507"/>
    <x v="1"/>
    <d v="2026-07-15T00:00:00"/>
    <n v="89"/>
    <d v="2026-07-15T00:00:00"/>
    <n v="23.6"/>
    <s v="PEN"/>
    <x v="0"/>
    <m/>
    <m/>
    <m/>
    <x v="35"/>
    <n v="6.8267283772056704"/>
    <m/>
    <m/>
  </r>
  <r>
    <s v="1000015723"/>
    <x v="13"/>
    <s v="1200004180"/>
    <s v="01-0F101-0008207"/>
    <x v="0"/>
    <d v="2026-09-25T00:00:00"/>
    <n v="10"/>
    <d v="2026-10-02T00:00:00"/>
    <n v="1515.12"/>
    <s v="PEN"/>
    <x v="0"/>
    <m/>
    <m/>
    <m/>
    <x v="36"/>
    <n v="438.27596181660397"/>
    <m/>
    <m/>
  </r>
  <r>
    <s v="1000013925"/>
    <x v="14"/>
    <s v="1300006898"/>
    <s v="FT-0F003-0000101"/>
    <x v="1"/>
    <d v="2025-10-21T00:00:00"/>
    <n v="356"/>
    <d v="2025-10-21T00:00:00"/>
    <n v="4460"/>
    <s v="PEN"/>
    <x v="4"/>
    <m/>
    <m/>
    <m/>
    <x v="37"/>
    <n v="1290.135956031241"/>
    <m/>
    <m/>
  </r>
  <r>
    <s v="1000013925"/>
    <x v="14"/>
    <s v="1200005124"/>
    <s v="01-0F003-0000129"/>
    <x v="0"/>
    <d v="2025-11-04T00:00:00"/>
    <n v="335"/>
    <d v="2025-11-11T00:00:00"/>
    <n v="7097.98"/>
    <s v="PEN"/>
    <x v="4"/>
    <m/>
    <m/>
    <m/>
    <x v="38"/>
    <n v="2053.2195545270465"/>
    <m/>
    <m/>
  </r>
  <r>
    <s v="1000013925"/>
    <x v="14"/>
    <s v="1200000182"/>
    <s v="01-0F003-0000168"/>
    <x v="0"/>
    <d v="2026-01-31T00:00:00"/>
    <n v="247"/>
    <d v="2026-02-07T00:00:00"/>
    <n v="4003.46"/>
    <s v="PEN"/>
    <x v="4"/>
    <m/>
    <m/>
    <m/>
    <x v="39"/>
    <n v="1158.0734741105005"/>
    <m/>
    <m/>
  </r>
  <r>
    <s v="1000013925"/>
    <x v="14"/>
    <s v="1200000382"/>
    <s v="01-0F003-0000174"/>
    <x v="0"/>
    <d v="2026-03-03T00:00:00"/>
    <n v="216"/>
    <d v="2026-03-10T00:00:00"/>
    <n v="4956"/>
    <s v="PEN"/>
    <x v="4"/>
    <m/>
    <m/>
    <m/>
    <x v="40"/>
    <n v="1433.6129592131906"/>
    <m/>
    <m/>
  </r>
  <r>
    <s v="6000434"/>
    <x v="15"/>
    <s v="1200004540"/>
    <s v="01-0F003-0000083"/>
    <x v="0"/>
    <d v="2025-10-07T00:00:00"/>
    <n v="363"/>
    <d v="2025-10-14T00:00:00"/>
    <n v="790"/>
    <s v="PEN"/>
    <x v="5"/>
    <m/>
    <m/>
    <m/>
    <x v="41"/>
    <n v="228.52183974544403"/>
    <m/>
    <m/>
  </r>
  <r>
    <s v="2000001382"/>
    <x v="16"/>
    <s v="1300009377"/>
    <s v="FP-295"/>
    <x v="2"/>
    <d v="2026-09-29T00:00:00"/>
    <n v="0"/>
    <d v="2026-09-30T00:00:00"/>
    <n v="-7510"/>
    <s v="USD"/>
    <x v="1"/>
    <d v="2026-11-28T00:00:00"/>
    <m/>
    <m/>
    <x v="12"/>
    <n v="-7510"/>
    <n v="20"/>
    <s v="0-45"/>
  </r>
  <r>
    <n v="1000015392"/>
    <x v="17"/>
    <n v="1100016416"/>
    <s v="FT-0F003-0000192"/>
    <x v="0"/>
    <d v="2026-06-30T00:00:00"/>
    <n v="104"/>
    <d v="2026-06-30T00:00:00"/>
    <n v="590"/>
    <s v="PEN"/>
    <x v="6"/>
    <m/>
    <m/>
    <m/>
    <x v="42"/>
    <n v="170.66820943014176"/>
    <m/>
    <m/>
  </r>
  <r>
    <s v="1000001965"/>
    <x v="18"/>
    <s v="1200004220"/>
    <s v="01-0F101-0008232"/>
    <x v="0"/>
    <d v="2026-10-03T00:00:00"/>
    <n v="2"/>
    <d v="2026-10-10T00:00:00"/>
    <n v="590"/>
    <s v="PEN"/>
    <x v="0"/>
    <m/>
    <m/>
    <m/>
    <x v="14"/>
    <n v="170.66820943014176"/>
    <m/>
    <m/>
  </r>
  <r>
    <s v="1000001965"/>
    <x v="18"/>
    <s v="1200004261"/>
    <s v="01-0F101-0008265"/>
    <x v="0"/>
    <d v="2026-10-06T00:00:00"/>
    <n v="-1"/>
    <d v="2026-10-13T00:00:00"/>
    <n v="590"/>
    <s v="PEN"/>
    <x v="0"/>
    <m/>
    <m/>
    <m/>
    <x v="16"/>
    <n v="170.66820943014176"/>
    <m/>
    <m/>
  </r>
  <r>
    <s v="1000001965"/>
    <x v="18"/>
    <s v="1200004320"/>
    <s v="01-0F101-0008316"/>
    <x v="0"/>
    <d v="2026-10-07T00:00:00"/>
    <n v="-2"/>
    <d v="2026-10-14T00:00:00"/>
    <n v="590"/>
    <s v="PEN"/>
    <x v="0"/>
    <m/>
    <m/>
    <m/>
    <x v="17"/>
    <n v="170.66820943014176"/>
    <m/>
    <m/>
  </r>
  <r>
    <s v="1000001965"/>
    <x v="18"/>
    <s v="1200004345"/>
    <s v="01-0F101-0008337"/>
    <x v="0"/>
    <d v="2026-10-09T00:00:00"/>
    <n v="-4"/>
    <d v="2026-10-16T00:00:00"/>
    <n v="590"/>
    <s v="PEN"/>
    <x v="0"/>
    <m/>
    <m/>
    <m/>
    <x v="18"/>
    <n v="170.66820943014176"/>
    <m/>
    <m/>
  </r>
  <r>
    <s v="1000001965"/>
    <x v="18"/>
    <s v="1200004364"/>
    <s v="01-0F101-0008356"/>
    <x v="0"/>
    <d v="2026-10-09T00:00:00"/>
    <n v="-4"/>
    <d v="2026-10-16T00:00:00"/>
    <n v="590"/>
    <s v="PEN"/>
    <x v="0"/>
    <m/>
    <m/>
    <m/>
    <x v="18"/>
    <n v="170.66820943014176"/>
    <m/>
    <m/>
  </r>
  <r>
    <s v="2000001440"/>
    <x v="19"/>
    <s v="1300009218"/>
    <s v="FP-285"/>
    <x v="2"/>
    <d v="2026-09-15T00:00:00"/>
    <n v="0"/>
    <d v="2026-09-30T00:00:00"/>
    <n v="-14455"/>
    <s v="USD"/>
    <x v="1"/>
    <d v="2026-11-14T00:00:00"/>
    <m/>
    <m/>
    <x v="12"/>
    <n v="-14455"/>
    <n v="34"/>
    <s v="0-45"/>
  </r>
  <r>
    <s v="2000001440"/>
    <x v="19"/>
    <s v="1300009245"/>
    <s v="FP-289"/>
    <x v="2"/>
    <d v="2026-09-23T00:00:00"/>
    <n v="0"/>
    <d v="2026-09-30T00:00:00"/>
    <n v="-9110"/>
    <s v="USD"/>
    <x v="1"/>
    <d v="2026-11-22T00:00:00"/>
    <n v="19"/>
    <d v="2026-09-30T00:00:00"/>
    <x v="12"/>
    <n v="-9110"/>
    <n v="26"/>
    <s v="0-45"/>
  </r>
  <r>
    <s v="2000001440"/>
    <x v="19"/>
    <s v="1200004209"/>
    <s v="01-0F002-0000431"/>
    <x v="3"/>
    <d v="2026-09-28T00:00:00"/>
    <n v="-46"/>
    <d v="2026-11-27T00:00:00"/>
    <n v="72964"/>
    <s v="USD"/>
    <x v="1"/>
    <d v="2026-11-27T00:00:00"/>
    <n v="-39"/>
    <d v="2026-11-27T00:00:00"/>
    <x v="43"/>
    <n v="72964"/>
    <n v="21"/>
    <s v="0-45"/>
  </r>
  <r>
    <s v="1000013801"/>
    <x v="20"/>
    <s v="1200004368"/>
    <s v="01-0F101-0008360"/>
    <x v="0"/>
    <d v="2026-10-10T00:00:00"/>
    <n v="2"/>
    <d v="2026-10-10T00:00:00"/>
    <n v="662.69"/>
    <s v="PEN"/>
    <x v="0"/>
    <m/>
    <m/>
    <m/>
    <x v="14"/>
    <n v="191.69511136823837"/>
    <m/>
    <m/>
  </r>
  <r>
    <s v="1000013801"/>
    <x v="20"/>
    <s v="1200004369"/>
    <s v="01-0F101-0008361"/>
    <x v="0"/>
    <d v="2026-10-10T00:00:00"/>
    <n v="2"/>
    <d v="2026-10-10T00:00:00"/>
    <n v="123.9"/>
    <s v="PEN"/>
    <x v="0"/>
    <m/>
    <m/>
    <m/>
    <x v="14"/>
    <n v="35.840323980329771"/>
    <m/>
    <m/>
  </r>
  <r>
    <s v="1000013686"/>
    <x v="21"/>
    <s v="1200004265"/>
    <s v="01-0F101-0008269"/>
    <x v="0"/>
    <d v="2026-10-06T00:00:00"/>
    <n v="-1"/>
    <d v="2026-10-13T00:00:00"/>
    <n v="2208.96"/>
    <s v="PEN"/>
    <x v="0"/>
    <m/>
    <m/>
    <m/>
    <x v="16"/>
    <n v="638.98177610645075"/>
    <m/>
    <m/>
  </r>
  <r>
    <s v="1000013686"/>
    <x v="21"/>
    <s v="1200004363"/>
    <s v="01-0F101-0008355"/>
    <x v="0"/>
    <d v="2026-10-09T00:00:00"/>
    <n v="-4"/>
    <d v="2026-10-16T00:00:00"/>
    <n v="368.16"/>
    <s v="PEN"/>
    <x v="0"/>
    <m/>
    <m/>
    <m/>
    <x v="18"/>
    <n v="106.49696268440846"/>
    <m/>
    <m/>
  </r>
  <r>
    <s v="2000001446"/>
    <x v="22"/>
    <s v="1300008536"/>
    <s v="FP-279"/>
    <x v="2"/>
    <d v="2026-09-08T00:00:00"/>
    <n v="0"/>
    <d v="2026-09-30T00:00:00"/>
    <n v="-15245"/>
    <s v="USD"/>
    <x v="1"/>
    <d v="2026-11-07T00:00:00"/>
    <n v="19"/>
    <d v="2026-09-30T00:00:00"/>
    <x v="12"/>
    <n v="-15245"/>
    <n v="41"/>
    <s v="0-45"/>
  </r>
  <r>
    <s v="2000001478"/>
    <x v="3"/>
    <s v="1200004406"/>
    <s v="01-0F002-0000437"/>
    <x v="3"/>
    <d v="2026-10-14T00:00:00"/>
    <n v="-55"/>
    <d v="2026-12-13T00:00:00"/>
    <n v="45900"/>
    <s v="USD"/>
    <x v="1"/>
    <m/>
    <m/>
    <m/>
    <x v="44"/>
    <n v="45900"/>
    <m/>
    <m/>
  </r>
  <r>
    <s v="2000001439"/>
    <x v="6"/>
    <s v="1200004390"/>
    <s v="01-0F002-0000435"/>
    <x v="3"/>
    <d v="2026-10-10T00:00:00"/>
    <n v="-21"/>
    <d v="2026-11-09T00:00:00"/>
    <n v="66780"/>
    <s v="USD"/>
    <x v="1"/>
    <m/>
    <m/>
    <m/>
    <x v="45"/>
    <n v="66780"/>
    <m/>
    <m/>
  </r>
  <r>
    <s v="2000000231"/>
    <x v="23"/>
    <s v="1200004410"/>
    <s v="01-0F002-0000439"/>
    <x v="3"/>
    <d v="2026-10-15T00:00:00"/>
    <n v="-56"/>
    <d v="2026-10-15T00:00:00"/>
    <n v="-300000"/>
    <s v="USD"/>
    <x v="1"/>
    <m/>
    <m/>
    <m/>
    <x v="46"/>
    <n v="-300000"/>
    <m/>
    <m/>
  </r>
  <r>
    <s v="2000000231"/>
    <x v="23"/>
    <s v="1200004410"/>
    <s v="01-0F002-0000439"/>
    <x v="3"/>
    <d v="2026-10-15T00:00:00"/>
    <n v="-56"/>
    <d v="2026-11-18T00:00:00"/>
    <n v="458010"/>
    <s v="USD"/>
    <x v="1"/>
    <m/>
    <m/>
    <m/>
    <x v="46"/>
    <n v="458010"/>
    <m/>
    <m/>
  </r>
  <r>
    <s v="2000001438"/>
    <x v="24"/>
    <s v="1300009895"/>
    <s v="FP-301"/>
    <x v="2"/>
    <d v="2026-10-13T00:00:00"/>
    <n v="0"/>
    <d v="2026-10-13T00:00:00"/>
    <n v="-372452"/>
    <s v="USD"/>
    <x v="1"/>
    <m/>
    <m/>
    <m/>
    <x v="46"/>
    <n v="-372452"/>
    <m/>
    <m/>
  </r>
  <r>
    <s v="2000001438"/>
    <x v="24"/>
    <s v="1200004407"/>
    <s v="01-0F002-0000438"/>
    <x v="3"/>
    <d v="2026-10-14T00:00:00"/>
    <n v="-10"/>
    <d v="2026-11-18T00:00:00"/>
    <n v="451467"/>
    <s v="USD"/>
    <x v="1"/>
    <m/>
    <m/>
    <m/>
    <x v="46"/>
    <n v="451467"/>
    <m/>
    <m/>
  </r>
  <r>
    <s v="2000001440"/>
    <x v="19"/>
    <s v="1200004405"/>
    <s v="01-0F002-0000436"/>
    <x v="3"/>
    <d v="2026-10-14T00:00:00"/>
    <n v="-55"/>
    <d v="2026-12-13T00:00:00"/>
    <n v="45900"/>
    <s v="USD"/>
    <x v="1"/>
    <m/>
    <m/>
    <m/>
    <x v="44"/>
    <n v="45900"/>
    <m/>
    <m/>
  </r>
  <r>
    <s v="2000000786"/>
    <x v="25"/>
    <s v="1200004382"/>
    <s v="01-0F002-0000432"/>
    <x v="3"/>
    <d v="2026-10-09T00:00:00"/>
    <n v="-20"/>
    <d v="2026-11-08T00:00:00"/>
    <n v="78200"/>
    <s v="USD"/>
    <x v="1"/>
    <m/>
    <m/>
    <m/>
    <x v="47"/>
    <n v="78200"/>
    <m/>
    <m/>
  </r>
  <r>
    <s v="2000000786"/>
    <x v="25"/>
    <s v="1200004388"/>
    <s v="01-0F002-0000433"/>
    <x v="3"/>
    <d v="2026-10-09T00:00:00"/>
    <n v="-35"/>
    <d v="2026-11-23T00:00:00"/>
    <n v="133650"/>
    <s v="USD"/>
    <x v="1"/>
    <m/>
    <m/>
    <m/>
    <x v="48"/>
    <n v="133650"/>
    <m/>
    <m/>
  </r>
  <r>
    <s v="2000000786"/>
    <x v="25"/>
    <s v="1200004389"/>
    <s v="01-0F002-0000434"/>
    <x v="3"/>
    <d v="2026-10-09T00:00:00"/>
    <n v="-35"/>
    <d v="2026-11-23T00:00:00"/>
    <n v="89100"/>
    <s v="USD"/>
    <x v="1"/>
    <m/>
    <m/>
    <m/>
    <x v="48"/>
    <n v="891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C8B45-9D7F-4AC9-AF63-BFF64F0B208F}" name="TablaDinámica2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M17" firstHeaderRow="1" firstDataRow="2" firstDataCol="1" rowPageCount="2" colPageCount="1"/>
  <pivotFields count="21"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0"/>
        <item h="1" x="5"/>
        <item h="1" x="6"/>
        <item h="1" x="3"/>
        <item t="default"/>
      </items>
    </pivotField>
    <pivotField showAll="0"/>
    <pivotField showAll="0"/>
    <pivotField showAll="0"/>
    <pivotField axis="axisCol" numFmtId="14" showAll="0">
      <items count="50">
        <item x="41"/>
        <item x="37"/>
        <item x="25"/>
        <item x="38"/>
        <item x="26"/>
        <item x="1"/>
        <item x="2"/>
        <item x="3"/>
        <item x="4"/>
        <item x="5"/>
        <item x="6"/>
        <item x="7"/>
        <item x="8"/>
        <item x="9"/>
        <item x="10"/>
        <item x="39"/>
        <item x="40"/>
        <item x="27"/>
        <item x="28"/>
        <item x="29"/>
        <item x="30"/>
        <item x="31"/>
        <item x="32"/>
        <item x="42"/>
        <item x="33"/>
        <item x="35"/>
        <item x="34"/>
        <item x="21"/>
        <item x="22"/>
        <item x="20"/>
        <item x="24"/>
        <item x="12"/>
        <item x="36"/>
        <item x="0"/>
        <item x="23"/>
        <item x="14"/>
        <item x="15"/>
        <item x="16"/>
        <item x="17"/>
        <item x="19"/>
        <item x="18"/>
        <item x="11"/>
        <item x="47"/>
        <item x="45"/>
        <item x="46"/>
        <item x="48"/>
        <item x="13"/>
        <item x="43"/>
        <item x="44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12">
    <i>
      <x v="2"/>
    </i>
    <i>
      <x v="3"/>
    </i>
    <i>
      <x v="5"/>
    </i>
    <i>
      <x v="6"/>
    </i>
    <i>
      <x v="10"/>
    </i>
    <i>
      <x v="16"/>
    </i>
    <i>
      <x v="19"/>
    </i>
    <i>
      <x v="22"/>
    </i>
    <i>
      <x v="23"/>
    </i>
    <i>
      <x v="24"/>
    </i>
    <i>
      <x v="25"/>
    </i>
    <i t="grand">
      <x/>
    </i>
  </rowItems>
  <colFields count="1">
    <field x="14"/>
  </colFields>
  <colItems count="12">
    <i>
      <x v="29"/>
    </i>
    <i>
      <x v="31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colItems>
  <pageFields count="2">
    <pageField fld="4" hier="-1"/>
    <pageField fld="10" hier="-1"/>
  </pageFields>
  <dataFields count="1">
    <dataField name="Suma de USD HOMOL" fld="15" baseField="0" baseItem="0" numFmtId="165"/>
  </dataFields>
  <formats count="2">
    <format dxfId="1">
      <pivotArea collapsedLevelsAreSubtotals="1" fieldPosition="0">
        <references count="2">
          <reference field="1" count="11">
            <x v="2"/>
            <x v="3"/>
            <x v="5"/>
            <x v="6"/>
            <x v="10"/>
            <x v="16"/>
            <x v="19"/>
            <x v="22"/>
            <x v="23"/>
            <x v="24"/>
            <x v="25"/>
          </reference>
          <reference field="14" count="12" selected="0">
            <x v="29"/>
            <x v="31"/>
            <x v="37"/>
            <x v="39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D29EE-5172-486F-8757-05BC04851006}" name="TablaDinámica4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32" firstHeaderRow="1" firstDataRow="1" firstDataCol="1" rowPageCount="3" colPageCount="1"/>
  <pivotFields count="18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108">
        <item x="19"/>
        <item x="22"/>
        <item x="89"/>
        <item x="101"/>
        <item x="91"/>
        <item x="86"/>
        <item x="87"/>
        <item x="88"/>
        <item x="46"/>
        <item x="61"/>
        <item x="62"/>
        <item x="63"/>
        <item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44"/>
        <item x="45"/>
        <item x="84"/>
        <item x="94"/>
        <item x="48"/>
        <item x="49"/>
        <item x="95"/>
        <item x="0"/>
        <item x="104"/>
        <item x="50"/>
        <item x="51"/>
        <item x="52"/>
        <item x="53"/>
        <item x="42"/>
        <item x="43"/>
        <item x="54"/>
        <item x="55"/>
        <item x="56"/>
        <item x="57"/>
        <item x="96"/>
        <item x="58"/>
        <item x="59"/>
        <item x="97"/>
        <item x="105"/>
        <item x="98"/>
        <item x="102"/>
        <item x="10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1"/>
        <item x="106"/>
        <item x="41"/>
        <item x="99"/>
        <item x="100"/>
        <item x="23"/>
        <item x="92"/>
        <item x="40"/>
        <item x="60"/>
        <item x="18"/>
        <item x="20"/>
        <item x="90"/>
        <item x="85"/>
        <item x="93"/>
        <item x="83"/>
        <item x="47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axis="axisPage" numFmtId="14" showAll="0">
      <items count="49">
        <item x="45"/>
        <item x="39"/>
        <item x="28"/>
        <item x="40"/>
        <item x="29"/>
        <item x="1"/>
        <item x="2"/>
        <item x="3"/>
        <item x="4"/>
        <item x="5"/>
        <item x="6"/>
        <item x="7"/>
        <item x="8"/>
        <item x="9"/>
        <item x="10"/>
        <item x="41"/>
        <item x="42"/>
        <item x="21"/>
        <item x="30"/>
        <item x="31"/>
        <item x="32"/>
        <item x="33"/>
        <item x="34"/>
        <item x="35"/>
        <item x="46"/>
        <item x="36"/>
        <item x="37"/>
        <item x="27"/>
        <item x="11"/>
        <item x="12"/>
        <item x="23"/>
        <item x="13"/>
        <item x="24"/>
        <item x="14"/>
        <item x="22"/>
        <item x="26"/>
        <item x="16"/>
        <item x="38"/>
        <item x="15"/>
        <item x="43"/>
        <item x="44"/>
        <item x="25"/>
        <item x="17"/>
        <item x="18"/>
        <item x="0"/>
        <item x="19"/>
        <item x="20"/>
        <item x="47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0"/>
        <item h="1" x="5"/>
        <item h="1" x="6"/>
        <item h="1" x="3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27">
    <i>
      <x v="2"/>
    </i>
    <i r="1">
      <x/>
    </i>
    <i r="1">
      <x v="100"/>
    </i>
    <i>
      <x v="3"/>
    </i>
    <i r="1">
      <x v="1"/>
    </i>
    <i r="1">
      <x v="91"/>
    </i>
    <i r="1">
      <x v="101"/>
    </i>
    <i>
      <x v="4"/>
    </i>
    <i r="1">
      <x v="96"/>
    </i>
    <i>
      <x v="6"/>
    </i>
    <i r="1">
      <x v="98"/>
    </i>
    <i>
      <x v="7"/>
    </i>
    <i r="1">
      <x v="93"/>
    </i>
    <i>
      <x v="11"/>
    </i>
    <i r="1">
      <x v="99"/>
    </i>
    <i>
      <x v="16"/>
    </i>
    <i r="1">
      <x v="2"/>
    </i>
    <i r="1">
      <x v="102"/>
    </i>
    <i>
      <x v="18"/>
    </i>
    <i r="1">
      <x v="97"/>
    </i>
    <i>
      <x v="21"/>
    </i>
    <i r="1">
      <x v="3"/>
    </i>
    <i r="1">
      <x v="94"/>
    </i>
    <i r="1">
      <x v="95"/>
    </i>
    <i>
      <x v="24"/>
    </i>
    <i r="1">
      <x v="92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AD98D-7039-45F9-A076-8426D5ED12C5}" name="TablaDinámica6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25" firstHeaderRow="0" firstDataRow="1" firstDataCol="1" rowPageCount="3" colPageCount="1"/>
  <pivotFields count="18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108">
        <item x="19"/>
        <item x="22"/>
        <item x="89"/>
        <item x="101"/>
        <item x="91"/>
        <item x="86"/>
        <item x="87"/>
        <item x="88"/>
        <item x="46"/>
        <item x="61"/>
        <item x="62"/>
        <item x="63"/>
        <item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44"/>
        <item x="45"/>
        <item x="84"/>
        <item x="94"/>
        <item x="48"/>
        <item x="49"/>
        <item x="95"/>
        <item x="0"/>
        <item x="104"/>
        <item x="50"/>
        <item x="51"/>
        <item x="52"/>
        <item x="53"/>
        <item x="42"/>
        <item x="43"/>
        <item x="54"/>
        <item x="55"/>
        <item x="56"/>
        <item x="57"/>
        <item x="96"/>
        <item x="58"/>
        <item x="59"/>
        <item x="97"/>
        <item x="105"/>
        <item x="98"/>
        <item x="102"/>
        <item x="10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1"/>
        <item x="106"/>
        <item x="41"/>
        <item x="99"/>
        <item x="100"/>
        <item x="23"/>
        <item x="92"/>
        <item x="40"/>
        <item x="60"/>
        <item x="18"/>
        <item x="20"/>
        <item x="90"/>
        <item x="85"/>
        <item x="93"/>
        <item x="83"/>
        <item x="47"/>
        <item t="default"/>
      </items>
    </pivotField>
    <pivotField axis="axisPage" showAll="0">
      <items count="6">
        <item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x="2"/>
        <item h="1" x="1"/>
        <item h="1" x="4"/>
        <item h="1" x="3"/>
        <item h="1" x="0"/>
        <item t="default"/>
      </items>
    </pivotField>
  </pivotFields>
  <rowFields count="2">
    <field x="1"/>
    <field x="3"/>
  </rowFields>
  <rowItems count="20">
    <i>
      <x v="3"/>
    </i>
    <i r="1">
      <x v="1"/>
    </i>
    <i r="1">
      <x v="91"/>
    </i>
    <i r="1">
      <x v="101"/>
    </i>
    <i>
      <x v="4"/>
    </i>
    <i r="1">
      <x v="96"/>
    </i>
    <i>
      <x v="7"/>
    </i>
    <i r="1">
      <x v="93"/>
    </i>
    <i>
      <x v="16"/>
    </i>
    <i r="1">
      <x v="2"/>
    </i>
    <i r="1">
      <x v="102"/>
    </i>
    <i>
      <x v="18"/>
    </i>
    <i r="1">
      <x v="97"/>
    </i>
    <i>
      <x v="21"/>
    </i>
    <i r="1">
      <x v="3"/>
    </i>
    <i r="1">
      <x v="94"/>
    </i>
    <i r="1">
      <x v="95"/>
    </i>
    <i>
      <x v="24"/>
    </i>
    <i r="1"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914A3-06C5-4FDB-A09A-F64F5A23C6B5}" name="TablaDinámica9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4:I27" firstHeaderRow="0" firstDataRow="1" firstDataCol="1" rowPageCount="3" colPageCount="1"/>
  <pivotFields count="18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108">
        <item x="19"/>
        <item x="22"/>
        <item x="89"/>
        <item x="101"/>
        <item x="91"/>
        <item x="86"/>
        <item x="87"/>
        <item x="88"/>
        <item x="46"/>
        <item x="61"/>
        <item x="62"/>
        <item x="63"/>
        <item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44"/>
        <item x="45"/>
        <item x="84"/>
        <item x="94"/>
        <item x="48"/>
        <item x="49"/>
        <item x="95"/>
        <item x="0"/>
        <item x="104"/>
        <item x="50"/>
        <item x="51"/>
        <item x="52"/>
        <item x="53"/>
        <item x="42"/>
        <item x="43"/>
        <item x="54"/>
        <item x="55"/>
        <item x="56"/>
        <item x="57"/>
        <item x="96"/>
        <item x="58"/>
        <item x="59"/>
        <item x="97"/>
        <item x="105"/>
        <item x="98"/>
        <item x="102"/>
        <item x="10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1"/>
        <item x="106"/>
        <item x="41"/>
        <item x="99"/>
        <item x="100"/>
        <item x="23"/>
        <item x="92"/>
        <item x="40"/>
        <item x="60"/>
        <item x="18"/>
        <item x="20"/>
        <item x="90"/>
        <item x="85"/>
        <item x="93"/>
        <item x="83"/>
        <item x="47"/>
        <item t="default"/>
      </items>
    </pivotField>
    <pivotField axis="axisPage" showAll="0">
      <items count="6">
        <item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1"/>
        <item h="1" x="4"/>
        <item x="3"/>
        <item h="1" x="0"/>
        <item t="default"/>
      </items>
    </pivotField>
  </pivotFields>
  <rowFields count="2">
    <field x="1"/>
    <field x="3"/>
  </rowFields>
  <rowItems count="3">
    <i>
      <x v="6"/>
    </i>
    <i r="1">
      <x v="9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96D4E-A2BA-4295-A83B-10686176CB09}" name="TablaDinámica8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5:I18" firstHeaderRow="0" firstDataRow="1" firstDataCol="1" rowPageCount="3" colPageCount="1"/>
  <pivotFields count="18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108">
        <item x="19"/>
        <item x="22"/>
        <item x="89"/>
        <item x="101"/>
        <item x="91"/>
        <item x="86"/>
        <item x="87"/>
        <item x="88"/>
        <item x="46"/>
        <item x="61"/>
        <item x="62"/>
        <item x="63"/>
        <item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44"/>
        <item x="45"/>
        <item x="84"/>
        <item x="94"/>
        <item x="48"/>
        <item x="49"/>
        <item x="95"/>
        <item x="0"/>
        <item x="104"/>
        <item x="50"/>
        <item x="51"/>
        <item x="52"/>
        <item x="53"/>
        <item x="42"/>
        <item x="43"/>
        <item x="54"/>
        <item x="55"/>
        <item x="56"/>
        <item x="57"/>
        <item x="96"/>
        <item x="58"/>
        <item x="59"/>
        <item x="97"/>
        <item x="105"/>
        <item x="98"/>
        <item x="102"/>
        <item x="10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1"/>
        <item x="106"/>
        <item x="41"/>
        <item x="99"/>
        <item x="100"/>
        <item x="23"/>
        <item x="92"/>
        <item x="40"/>
        <item x="60"/>
        <item x="18"/>
        <item x="20"/>
        <item x="90"/>
        <item x="85"/>
        <item x="93"/>
        <item x="83"/>
        <item x="47"/>
        <item t="default"/>
      </items>
    </pivotField>
    <pivotField axis="axisPage" showAll="0">
      <items count="6">
        <item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1"/>
        <item x="4"/>
        <item h="1" x="3"/>
        <item h="1" x="0"/>
        <item t="default"/>
      </items>
    </pivotField>
  </pivotFields>
  <rowFields count="2">
    <field x="1"/>
    <field x="3"/>
  </rowFields>
  <rowItems count="3">
    <i>
      <x v="11"/>
    </i>
    <i r="1">
      <x v="9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6BCB5-45BA-48FA-997C-F044D00BB57C}" name="TablaDinámica7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9" firstHeaderRow="0" firstDataRow="1" firstDataCol="1" rowPageCount="3" colPageCount="1"/>
  <pivotFields count="18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108">
        <item x="19"/>
        <item x="22"/>
        <item x="89"/>
        <item x="101"/>
        <item x="91"/>
        <item x="86"/>
        <item x="87"/>
        <item x="88"/>
        <item x="46"/>
        <item x="61"/>
        <item x="62"/>
        <item x="63"/>
        <item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44"/>
        <item x="45"/>
        <item x="84"/>
        <item x="94"/>
        <item x="48"/>
        <item x="49"/>
        <item x="95"/>
        <item x="0"/>
        <item x="104"/>
        <item x="50"/>
        <item x="51"/>
        <item x="52"/>
        <item x="53"/>
        <item x="42"/>
        <item x="43"/>
        <item x="54"/>
        <item x="55"/>
        <item x="56"/>
        <item x="57"/>
        <item x="96"/>
        <item x="58"/>
        <item x="59"/>
        <item x="97"/>
        <item x="105"/>
        <item x="98"/>
        <item x="102"/>
        <item x="10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1"/>
        <item x="106"/>
        <item x="41"/>
        <item x="99"/>
        <item x="100"/>
        <item x="23"/>
        <item x="92"/>
        <item x="40"/>
        <item x="60"/>
        <item x="18"/>
        <item x="20"/>
        <item x="90"/>
        <item x="85"/>
        <item x="93"/>
        <item x="83"/>
        <item x="47"/>
        <item t="default"/>
      </items>
    </pivotField>
    <pivotField axis="axisPage" showAll="0">
      <items count="6">
        <item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x="1"/>
        <item h="1" x="4"/>
        <item h="1" x="3"/>
        <item h="1" x="0"/>
        <item t="default"/>
      </items>
    </pivotField>
  </pivotFields>
  <rowFields count="2">
    <field x="1"/>
    <field x="3"/>
  </rowFields>
  <rowItems count="4">
    <i>
      <x v="2"/>
    </i>
    <i r="1">
      <x/>
    </i>
    <i r="1">
      <x v="10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0D37-E1BD-4A0B-B402-6904D79991DE}">
  <dimension ref="A1:M17"/>
  <sheetViews>
    <sheetView tabSelected="1" zoomScale="90" zoomScaleNormal="90" workbookViewId="0">
      <selection activeCell="J29" sqref="J29"/>
    </sheetView>
  </sheetViews>
  <sheetFormatPr baseColWidth="10" defaultRowHeight="14.4" x14ac:dyDescent="0.3"/>
  <cols>
    <col min="1" max="1" width="38" bestFit="1" customWidth="1"/>
    <col min="2" max="2" width="22.44140625" bestFit="1" customWidth="1"/>
    <col min="3" max="5" width="11.44140625" bestFit="1" customWidth="1"/>
    <col min="6" max="7" width="10.33203125" bestFit="1" customWidth="1"/>
    <col min="8" max="12" width="11.44140625" bestFit="1" customWidth="1"/>
    <col min="13" max="14" width="12.44140625" bestFit="1" customWidth="1"/>
    <col min="15" max="21" width="12" bestFit="1" customWidth="1"/>
    <col min="22" max="22" width="11" bestFit="1" customWidth="1"/>
    <col min="23" max="28" width="12" bestFit="1" customWidth="1"/>
    <col min="29" max="30" width="9.33203125" bestFit="1" customWidth="1"/>
    <col min="31" max="31" width="10.33203125" bestFit="1" customWidth="1"/>
    <col min="32" max="32" width="12" bestFit="1" customWidth="1"/>
    <col min="33" max="33" width="10.33203125" bestFit="1" customWidth="1"/>
    <col min="34" max="35" width="12" bestFit="1" customWidth="1"/>
    <col min="36" max="36" width="9.33203125" bestFit="1" customWidth="1"/>
    <col min="37" max="40" width="12" bestFit="1" customWidth="1"/>
    <col min="41" max="41" width="10.33203125" bestFit="1" customWidth="1"/>
    <col min="42" max="42" width="12" bestFit="1" customWidth="1"/>
    <col min="43" max="46" width="10.33203125" bestFit="1" customWidth="1"/>
    <col min="47" max="47" width="12" bestFit="1" customWidth="1"/>
  </cols>
  <sheetData>
    <row r="1" spans="1:13" x14ac:dyDescent="0.3">
      <c r="A1" s="11" t="s">
        <v>4</v>
      </c>
      <c r="B1" t="s">
        <v>377</v>
      </c>
    </row>
    <row r="2" spans="1:13" x14ac:dyDescent="0.3">
      <c r="A2" s="11" t="s">
        <v>352</v>
      </c>
      <c r="B2" t="s">
        <v>357</v>
      </c>
    </row>
    <row r="4" spans="1:13" x14ac:dyDescent="0.3">
      <c r="A4" s="11" t="s">
        <v>376</v>
      </c>
      <c r="B4" s="11" t="s">
        <v>360</v>
      </c>
    </row>
    <row r="5" spans="1:13" x14ac:dyDescent="0.3">
      <c r="A5" s="11" t="s">
        <v>361</v>
      </c>
      <c r="B5" s="21">
        <v>46280</v>
      </c>
      <c r="C5" s="21">
        <v>46295</v>
      </c>
      <c r="D5" s="21">
        <v>46310</v>
      </c>
      <c r="E5" s="21">
        <v>46325</v>
      </c>
      <c r="F5" s="21">
        <v>46334</v>
      </c>
      <c r="G5" s="21">
        <v>46335</v>
      </c>
      <c r="H5" s="21">
        <v>46344</v>
      </c>
      <c r="I5" s="21">
        <v>46349</v>
      </c>
      <c r="J5" s="21">
        <v>46351</v>
      </c>
      <c r="K5" s="21">
        <v>46353</v>
      </c>
      <c r="L5" s="21">
        <v>46369</v>
      </c>
      <c r="M5" s="21" t="s">
        <v>362</v>
      </c>
    </row>
    <row r="6" spans="1:13" x14ac:dyDescent="0.3">
      <c r="A6" s="12" t="s">
        <v>76</v>
      </c>
      <c r="B6" s="30"/>
      <c r="C6" s="30">
        <v>-13310</v>
      </c>
      <c r="D6" s="30"/>
      <c r="E6" s="30">
        <v>58743</v>
      </c>
      <c r="F6" s="30"/>
      <c r="G6" s="30"/>
      <c r="H6" s="30"/>
      <c r="I6" s="30"/>
      <c r="J6" s="30">
        <v>39060</v>
      </c>
      <c r="K6" s="30"/>
      <c r="L6" s="30"/>
      <c r="M6" s="30">
        <v>84493</v>
      </c>
    </row>
    <row r="7" spans="1:13" x14ac:dyDescent="0.3">
      <c r="A7" s="12" t="s">
        <v>87</v>
      </c>
      <c r="B7" s="30"/>
      <c r="C7" s="30">
        <v>-9110</v>
      </c>
      <c r="D7" s="30"/>
      <c r="E7" s="30"/>
      <c r="F7" s="30"/>
      <c r="G7" s="30"/>
      <c r="H7" s="30"/>
      <c r="I7" s="30"/>
      <c r="J7" s="30"/>
      <c r="K7" s="30"/>
      <c r="L7" s="30">
        <v>45900</v>
      </c>
      <c r="M7" s="30">
        <v>36790</v>
      </c>
    </row>
    <row r="8" spans="1:13" x14ac:dyDescent="0.3">
      <c r="A8" s="12" t="s">
        <v>140</v>
      </c>
      <c r="B8" s="30"/>
      <c r="C8" s="30"/>
      <c r="D8" s="30">
        <v>15163</v>
      </c>
      <c r="E8" s="30"/>
      <c r="F8" s="30"/>
      <c r="G8" s="30"/>
      <c r="H8" s="30"/>
      <c r="I8" s="30"/>
      <c r="J8" s="30"/>
      <c r="K8" s="30"/>
      <c r="L8" s="30"/>
      <c r="M8" s="30">
        <v>15163</v>
      </c>
    </row>
    <row r="9" spans="1:13" x14ac:dyDescent="0.3">
      <c r="A9" s="12" t="s">
        <v>144</v>
      </c>
      <c r="B9" s="30">
        <v>-13448</v>
      </c>
      <c r="C9" s="30"/>
      <c r="D9" s="30"/>
      <c r="E9" s="30"/>
      <c r="F9" s="30"/>
      <c r="G9" s="30">
        <v>66780</v>
      </c>
      <c r="H9" s="30"/>
      <c r="I9" s="30"/>
      <c r="J9" s="30"/>
      <c r="K9" s="30"/>
      <c r="L9" s="30"/>
      <c r="M9" s="30">
        <v>53332</v>
      </c>
    </row>
    <row r="10" spans="1:13" x14ac:dyDescent="0.3">
      <c r="A10" s="12" t="s">
        <v>205</v>
      </c>
      <c r="B10" s="30"/>
      <c r="C10" s="30"/>
      <c r="D10" s="30">
        <v>921.06</v>
      </c>
      <c r="E10" s="30"/>
      <c r="F10" s="30"/>
      <c r="G10" s="30"/>
      <c r="H10" s="30"/>
      <c r="I10" s="30"/>
      <c r="J10" s="30"/>
      <c r="K10" s="30"/>
      <c r="L10" s="30"/>
      <c r="M10" s="30">
        <v>921.06</v>
      </c>
    </row>
    <row r="11" spans="1:13" x14ac:dyDescent="0.3">
      <c r="A11" s="12" t="s">
        <v>303</v>
      </c>
      <c r="B11" s="30"/>
      <c r="C11" s="30">
        <v>-7510</v>
      </c>
      <c r="D11" s="30"/>
      <c r="E11" s="30"/>
      <c r="F11" s="30"/>
      <c r="G11" s="30"/>
      <c r="H11" s="30"/>
      <c r="I11" s="30"/>
      <c r="J11" s="30"/>
      <c r="K11" s="30"/>
      <c r="L11" s="30"/>
      <c r="M11" s="30">
        <v>-7510</v>
      </c>
    </row>
    <row r="12" spans="1:13" x14ac:dyDescent="0.3">
      <c r="A12" s="12" t="s">
        <v>325</v>
      </c>
      <c r="B12" s="30"/>
      <c r="C12" s="30">
        <v>-23565</v>
      </c>
      <c r="D12" s="30"/>
      <c r="E12" s="30"/>
      <c r="F12" s="30"/>
      <c r="G12" s="30"/>
      <c r="H12" s="30"/>
      <c r="I12" s="30"/>
      <c r="J12" s="30"/>
      <c r="K12" s="30">
        <v>72964</v>
      </c>
      <c r="L12" s="30">
        <v>45900</v>
      </c>
      <c r="M12" s="30">
        <v>95299</v>
      </c>
    </row>
    <row r="13" spans="1:13" x14ac:dyDescent="0.3">
      <c r="A13" s="12" t="s">
        <v>349</v>
      </c>
      <c r="B13" s="30"/>
      <c r="C13" s="30">
        <v>-15245</v>
      </c>
      <c r="D13" s="30"/>
      <c r="E13" s="30"/>
      <c r="F13" s="30"/>
      <c r="G13" s="30"/>
      <c r="H13" s="30"/>
      <c r="I13" s="30"/>
      <c r="J13" s="30"/>
      <c r="K13" s="30"/>
      <c r="L13" s="30"/>
      <c r="M13" s="30">
        <v>-15245</v>
      </c>
    </row>
    <row r="14" spans="1:13" x14ac:dyDescent="0.3">
      <c r="A14" s="12" t="s">
        <v>386</v>
      </c>
      <c r="B14" s="30"/>
      <c r="C14" s="30"/>
      <c r="D14" s="30"/>
      <c r="E14" s="30"/>
      <c r="F14" s="30"/>
      <c r="G14" s="30"/>
      <c r="H14" s="30">
        <v>158010</v>
      </c>
      <c r="I14" s="30"/>
      <c r="J14" s="30"/>
      <c r="K14" s="30"/>
      <c r="L14" s="30"/>
      <c r="M14" s="30">
        <v>158010</v>
      </c>
    </row>
    <row r="15" spans="1:13" x14ac:dyDescent="0.3">
      <c r="A15" s="12" t="s">
        <v>390</v>
      </c>
      <c r="B15" s="30"/>
      <c r="C15" s="30"/>
      <c r="D15" s="30"/>
      <c r="E15" s="30"/>
      <c r="F15" s="30"/>
      <c r="G15" s="30"/>
      <c r="H15" s="30">
        <v>79015</v>
      </c>
      <c r="I15" s="30"/>
      <c r="J15" s="30"/>
      <c r="K15" s="30"/>
      <c r="L15" s="30"/>
      <c r="M15" s="30">
        <v>79015</v>
      </c>
    </row>
    <row r="16" spans="1:13" x14ac:dyDescent="0.3">
      <c r="A16" s="12" t="s">
        <v>398</v>
      </c>
      <c r="B16" s="30"/>
      <c r="C16" s="30"/>
      <c r="D16" s="30"/>
      <c r="E16" s="30"/>
      <c r="F16" s="30">
        <v>78200</v>
      </c>
      <c r="G16" s="30"/>
      <c r="H16" s="30"/>
      <c r="I16" s="30">
        <v>222750</v>
      </c>
      <c r="J16" s="30"/>
      <c r="K16" s="30"/>
      <c r="L16" s="30"/>
      <c r="M16" s="30">
        <v>300950</v>
      </c>
    </row>
    <row r="17" spans="1:13" x14ac:dyDescent="0.3">
      <c r="A17" s="12" t="s">
        <v>362</v>
      </c>
      <c r="B17" s="30">
        <v>-13448</v>
      </c>
      <c r="C17" s="30">
        <v>-68740</v>
      </c>
      <c r="D17" s="30">
        <v>16084.06</v>
      </c>
      <c r="E17" s="30">
        <v>58743</v>
      </c>
      <c r="F17" s="30">
        <v>78200</v>
      </c>
      <c r="G17" s="30">
        <v>66780</v>
      </c>
      <c r="H17" s="30">
        <v>237025</v>
      </c>
      <c r="I17" s="30">
        <v>222750</v>
      </c>
      <c r="J17" s="30">
        <v>39060</v>
      </c>
      <c r="K17" s="30">
        <v>72964</v>
      </c>
      <c r="L17" s="30">
        <v>91800</v>
      </c>
      <c r="M17" s="30">
        <v>801218.06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56DC-F1E7-4810-B341-451786A1718F}">
  <dimension ref="A1:B32"/>
  <sheetViews>
    <sheetView workbookViewId="0">
      <selection activeCell="B3" sqref="B3"/>
    </sheetView>
  </sheetViews>
  <sheetFormatPr baseColWidth="10" defaultRowHeight="14.4" x14ac:dyDescent="0.3"/>
  <cols>
    <col min="1" max="1" width="38.77734375" bestFit="1" customWidth="1"/>
    <col min="2" max="2" width="18.88671875" bestFit="1" customWidth="1"/>
  </cols>
  <sheetData>
    <row r="1" spans="1:2" x14ac:dyDescent="0.3">
      <c r="A1" s="11" t="s">
        <v>5</v>
      </c>
      <c r="B1" t="s">
        <v>377</v>
      </c>
    </row>
    <row r="2" spans="1:2" x14ac:dyDescent="0.3">
      <c r="A2" s="11" t="s">
        <v>352</v>
      </c>
      <c r="B2" t="s">
        <v>357</v>
      </c>
    </row>
    <row r="3" spans="1:2" x14ac:dyDescent="0.3">
      <c r="A3" s="11" t="s">
        <v>4</v>
      </c>
      <c r="B3" t="s">
        <v>378</v>
      </c>
    </row>
    <row r="5" spans="1:2" x14ac:dyDescent="0.3">
      <c r="A5" s="11" t="s">
        <v>361</v>
      </c>
      <c r="B5" t="s">
        <v>376</v>
      </c>
    </row>
    <row r="6" spans="1:2" x14ac:dyDescent="0.3">
      <c r="A6" s="12" t="s">
        <v>68</v>
      </c>
      <c r="B6" s="25">
        <v>57875.4</v>
      </c>
    </row>
    <row r="7" spans="1:2" x14ac:dyDescent="0.3">
      <c r="A7" s="14" t="s">
        <v>72</v>
      </c>
      <c r="B7" s="25">
        <v>41064</v>
      </c>
    </row>
    <row r="8" spans="1:2" x14ac:dyDescent="0.3">
      <c r="A8" s="14" t="s">
        <v>69</v>
      </c>
      <c r="B8" s="25">
        <v>16811.400000000001</v>
      </c>
    </row>
    <row r="9" spans="1:2" x14ac:dyDescent="0.3">
      <c r="A9" s="12" t="s">
        <v>76</v>
      </c>
      <c r="B9" s="25">
        <v>84493</v>
      </c>
    </row>
    <row r="10" spans="1:2" x14ac:dyDescent="0.3">
      <c r="A10" s="14" t="s">
        <v>85</v>
      </c>
      <c r="B10" s="25">
        <v>39060</v>
      </c>
    </row>
    <row r="11" spans="1:2" x14ac:dyDescent="0.3">
      <c r="A11" s="14" t="s">
        <v>82</v>
      </c>
      <c r="B11" s="25">
        <v>-13310</v>
      </c>
    </row>
    <row r="12" spans="1:2" x14ac:dyDescent="0.3">
      <c r="A12" s="14" t="s">
        <v>374</v>
      </c>
      <c r="B12" s="25">
        <v>58743</v>
      </c>
    </row>
    <row r="13" spans="1:2" x14ac:dyDescent="0.3">
      <c r="A13" s="12" t="s">
        <v>87</v>
      </c>
      <c r="B13" s="25">
        <v>-9110</v>
      </c>
    </row>
    <row r="14" spans="1:2" x14ac:dyDescent="0.3">
      <c r="A14" s="14" t="s">
        <v>89</v>
      </c>
      <c r="B14" s="25">
        <v>-9110</v>
      </c>
    </row>
    <row r="15" spans="1:2" x14ac:dyDescent="0.3">
      <c r="A15" s="12" t="s">
        <v>140</v>
      </c>
      <c r="B15" s="25">
        <v>15163</v>
      </c>
    </row>
    <row r="16" spans="1:2" x14ac:dyDescent="0.3">
      <c r="A16" s="14" t="s">
        <v>142</v>
      </c>
      <c r="B16" s="25">
        <v>15163</v>
      </c>
    </row>
    <row r="17" spans="1:2" x14ac:dyDescent="0.3">
      <c r="A17" s="12" t="s">
        <v>144</v>
      </c>
      <c r="B17" s="25">
        <v>-13448</v>
      </c>
    </row>
    <row r="18" spans="1:2" x14ac:dyDescent="0.3">
      <c r="A18" s="14" t="s">
        <v>146</v>
      </c>
      <c r="B18" s="25">
        <v>-13448</v>
      </c>
    </row>
    <row r="19" spans="1:2" x14ac:dyDescent="0.3">
      <c r="A19" s="12" t="s">
        <v>205</v>
      </c>
      <c r="B19" s="25">
        <v>921.06</v>
      </c>
    </row>
    <row r="20" spans="1:2" x14ac:dyDescent="0.3">
      <c r="A20" s="14" t="s">
        <v>207</v>
      </c>
      <c r="B20" s="25">
        <v>921.06</v>
      </c>
    </row>
    <row r="21" spans="1:2" x14ac:dyDescent="0.3">
      <c r="A21" s="12" t="s">
        <v>296</v>
      </c>
      <c r="B21" s="25">
        <v>70775</v>
      </c>
    </row>
    <row r="22" spans="1:2" x14ac:dyDescent="0.3">
      <c r="A22" s="14" t="s">
        <v>297</v>
      </c>
      <c r="B22" s="25">
        <v>47150</v>
      </c>
    </row>
    <row r="23" spans="1:2" x14ac:dyDescent="0.3">
      <c r="A23" s="14" t="s">
        <v>375</v>
      </c>
      <c r="B23" s="25">
        <v>23625</v>
      </c>
    </row>
    <row r="24" spans="1:2" x14ac:dyDescent="0.3">
      <c r="A24" s="12" t="s">
        <v>303</v>
      </c>
      <c r="B24" s="25">
        <v>-7510</v>
      </c>
    </row>
    <row r="25" spans="1:2" x14ac:dyDescent="0.3">
      <c r="A25" s="14" t="s">
        <v>305</v>
      </c>
      <c r="B25" s="25">
        <v>-7510</v>
      </c>
    </row>
    <row r="26" spans="1:2" x14ac:dyDescent="0.3">
      <c r="A26" s="12" t="s">
        <v>325</v>
      </c>
      <c r="B26" s="25">
        <v>49399</v>
      </c>
    </row>
    <row r="27" spans="1:2" x14ac:dyDescent="0.3">
      <c r="A27" s="14" t="s">
        <v>333</v>
      </c>
      <c r="B27" s="25">
        <v>72964</v>
      </c>
    </row>
    <row r="28" spans="1:2" x14ac:dyDescent="0.3">
      <c r="A28" s="14" t="s">
        <v>327</v>
      </c>
      <c r="B28" s="25">
        <v>-14455</v>
      </c>
    </row>
    <row r="29" spans="1:2" x14ac:dyDescent="0.3">
      <c r="A29" s="14" t="s">
        <v>330</v>
      </c>
      <c r="B29" s="25">
        <v>-9110</v>
      </c>
    </row>
    <row r="30" spans="1:2" x14ac:dyDescent="0.3">
      <c r="A30" s="12" t="s">
        <v>349</v>
      </c>
      <c r="B30" s="25">
        <v>-15245</v>
      </c>
    </row>
    <row r="31" spans="1:2" x14ac:dyDescent="0.3">
      <c r="A31" s="14" t="s">
        <v>351</v>
      </c>
      <c r="B31" s="25">
        <v>-15245</v>
      </c>
    </row>
    <row r="32" spans="1:2" x14ac:dyDescent="0.3">
      <c r="A32" s="12" t="s">
        <v>362</v>
      </c>
      <c r="B32" s="25">
        <v>233313.45999999996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5237-74A9-48E1-BD0A-4710FC22972F}">
  <dimension ref="A1:I27"/>
  <sheetViews>
    <sheetView workbookViewId="0">
      <selection activeCell="F20" sqref="F20:I44"/>
    </sheetView>
  </sheetViews>
  <sheetFormatPr baseColWidth="10" defaultRowHeight="14.4" x14ac:dyDescent="0.3"/>
  <cols>
    <col min="1" max="1" width="38.777343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554687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11" t="s">
        <v>4</v>
      </c>
      <c r="B1" t="s">
        <v>377</v>
      </c>
      <c r="F1" s="11" t="s">
        <v>4</v>
      </c>
      <c r="G1" t="s">
        <v>377</v>
      </c>
    </row>
    <row r="2" spans="1:9" x14ac:dyDescent="0.3">
      <c r="A2" s="11" t="s">
        <v>369</v>
      </c>
      <c r="B2" t="s">
        <v>370</v>
      </c>
      <c r="F2" s="11" t="s">
        <v>369</v>
      </c>
      <c r="G2" t="s">
        <v>371</v>
      </c>
    </row>
    <row r="3" spans="1:9" x14ac:dyDescent="0.3">
      <c r="A3" s="11" t="s">
        <v>352</v>
      </c>
      <c r="B3" t="s">
        <v>357</v>
      </c>
      <c r="F3" s="11" t="s">
        <v>352</v>
      </c>
      <c r="G3" t="s">
        <v>357</v>
      </c>
    </row>
    <row r="5" spans="1:9" x14ac:dyDescent="0.3">
      <c r="A5" s="11" t="s">
        <v>361</v>
      </c>
      <c r="B5" t="s">
        <v>380</v>
      </c>
      <c r="C5" t="s">
        <v>379</v>
      </c>
      <c r="D5" t="s">
        <v>376</v>
      </c>
      <c r="F5" s="11" t="s">
        <v>361</v>
      </c>
      <c r="G5" t="s">
        <v>380</v>
      </c>
      <c r="H5" t="s">
        <v>379</v>
      </c>
      <c r="I5" t="s">
        <v>376</v>
      </c>
    </row>
    <row r="6" spans="1:9" x14ac:dyDescent="0.3">
      <c r="A6" s="12" t="s">
        <v>76</v>
      </c>
      <c r="B6" s="25">
        <v>3</v>
      </c>
      <c r="C6" s="25">
        <v>92</v>
      </c>
      <c r="D6" s="25">
        <v>84493</v>
      </c>
      <c r="F6" s="12" t="s">
        <v>68</v>
      </c>
      <c r="G6" s="25">
        <v>2</v>
      </c>
      <c r="H6" s="25">
        <v>115</v>
      </c>
      <c r="I6" s="25">
        <v>57875.4</v>
      </c>
    </row>
    <row r="7" spans="1:9" x14ac:dyDescent="0.3">
      <c r="A7" s="14" t="s">
        <v>85</v>
      </c>
      <c r="B7" s="25">
        <v>1</v>
      </c>
      <c r="C7" s="25">
        <v>16</v>
      </c>
      <c r="D7" s="25">
        <v>39060</v>
      </c>
      <c r="F7" s="14" t="s">
        <v>72</v>
      </c>
      <c r="G7" s="25">
        <v>1</v>
      </c>
      <c r="H7" s="25">
        <v>57</v>
      </c>
      <c r="I7" s="25">
        <v>41064</v>
      </c>
    </row>
    <row r="8" spans="1:9" x14ac:dyDescent="0.3">
      <c r="A8" s="14" t="s">
        <v>82</v>
      </c>
      <c r="B8" s="25">
        <v>1</v>
      </c>
      <c r="C8" s="25">
        <v>34</v>
      </c>
      <c r="D8" s="25">
        <v>-13310</v>
      </c>
      <c r="F8" s="14" t="s">
        <v>69</v>
      </c>
      <c r="G8" s="25">
        <v>1</v>
      </c>
      <c r="H8" s="25">
        <v>58</v>
      </c>
      <c r="I8" s="25">
        <v>16811.400000000001</v>
      </c>
    </row>
    <row r="9" spans="1:9" x14ac:dyDescent="0.3">
      <c r="A9" s="14" t="s">
        <v>374</v>
      </c>
      <c r="B9" s="25">
        <v>1</v>
      </c>
      <c r="C9" s="25">
        <v>42</v>
      </c>
      <c r="D9" s="25">
        <v>58743</v>
      </c>
      <c r="F9" s="12" t="s">
        <v>362</v>
      </c>
      <c r="G9" s="25">
        <v>2</v>
      </c>
      <c r="H9" s="25">
        <v>115</v>
      </c>
      <c r="I9" s="25">
        <v>57875.4</v>
      </c>
    </row>
    <row r="10" spans="1:9" x14ac:dyDescent="0.3">
      <c r="A10" s="12" t="s">
        <v>87</v>
      </c>
      <c r="B10" s="25">
        <v>1</v>
      </c>
      <c r="C10" s="25">
        <v>19</v>
      </c>
      <c r="D10" s="25">
        <v>-9110</v>
      </c>
    </row>
    <row r="11" spans="1:9" x14ac:dyDescent="0.3">
      <c r="A11" s="14" t="s">
        <v>89</v>
      </c>
      <c r="B11" s="25">
        <v>1</v>
      </c>
      <c r="C11" s="25">
        <v>19</v>
      </c>
      <c r="D11" s="25">
        <v>-9110</v>
      </c>
      <c r="F11" s="11" t="s">
        <v>4</v>
      </c>
      <c r="G11" t="s">
        <v>377</v>
      </c>
    </row>
    <row r="12" spans="1:9" x14ac:dyDescent="0.3">
      <c r="A12" s="12" t="s">
        <v>144</v>
      </c>
      <c r="B12" s="25">
        <v>1</v>
      </c>
      <c r="C12" s="25">
        <v>27</v>
      </c>
      <c r="D12" s="25">
        <v>-13448</v>
      </c>
      <c r="F12" s="11" t="s">
        <v>369</v>
      </c>
      <c r="G12" t="s">
        <v>372</v>
      </c>
    </row>
    <row r="13" spans="1:9" x14ac:dyDescent="0.3">
      <c r="A13" s="14" t="s">
        <v>146</v>
      </c>
      <c r="B13" s="25">
        <v>1</v>
      </c>
      <c r="C13" s="25">
        <v>27</v>
      </c>
      <c r="D13" s="25">
        <v>-13448</v>
      </c>
      <c r="F13" s="11" t="s">
        <v>352</v>
      </c>
      <c r="G13" t="s">
        <v>357</v>
      </c>
    </row>
    <row r="14" spans="1:9" x14ac:dyDescent="0.3">
      <c r="A14" s="12" t="s">
        <v>296</v>
      </c>
      <c r="B14" s="25">
        <v>2</v>
      </c>
      <c r="C14" s="25">
        <v>27</v>
      </c>
      <c r="D14" s="25">
        <v>70775</v>
      </c>
    </row>
    <row r="15" spans="1:9" x14ac:dyDescent="0.3">
      <c r="A15" s="14" t="s">
        <v>297</v>
      </c>
      <c r="B15" s="25">
        <v>1</v>
      </c>
      <c r="C15" s="25">
        <v>14</v>
      </c>
      <c r="D15" s="25">
        <v>47150</v>
      </c>
      <c r="F15" s="11" t="s">
        <v>361</v>
      </c>
      <c r="G15" t="s">
        <v>380</v>
      </c>
      <c r="H15" t="s">
        <v>379</v>
      </c>
      <c r="I15" t="s">
        <v>376</v>
      </c>
    </row>
    <row r="16" spans="1:9" x14ac:dyDescent="0.3">
      <c r="A16" s="14" t="s">
        <v>375</v>
      </c>
      <c r="B16" s="25">
        <v>1</v>
      </c>
      <c r="C16" s="25">
        <v>13</v>
      </c>
      <c r="D16" s="25">
        <v>23625</v>
      </c>
      <c r="F16" s="12" t="s">
        <v>205</v>
      </c>
      <c r="G16" s="25">
        <v>1</v>
      </c>
      <c r="H16" s="25">
        <v>87</v>
      </c>
      <c r="I16" s="25">
        <v>921.06</v>
      </c>
    </row>
    <row r="17" spans="1:9" x14ac:dyDescent="0.3">
      <c r="A17" s="12" t="s">
        <v>303</v>
      </c>
      <c r="B17" s="25"/>
      <c r="C17" s="25">
        <v>13</v>
      </c>
      <c r="D17" s="25">
        <v>-7510</v>
      </c>
      <c r="F17" s="14" t="s">
        <v>207</v>
      </c>
      <c r="G17" s="25">
        <v>1</v>
      </c>
      <c r="H17" s="25">
        <v>87</v>
      </c>
      <c r="I17" s="25">
        <v>921.06</v>
      </c>
    </row>
    <row r="18" spans="1:9" x14ac:dyDescent="0.3">
      <c r="A18" s="14" t="s">
        <v>305</v>
      </c>
      <c r="B18" s="25"/>
      <c r="C18" s="25">
        <v>13</v>
      </c>
      <c r="D18" s="25">
        <v>-7510</v>
      </c>
      <c r="F18" s="12" t="s">
        <v>362</v>
      </c>
      <c r="G18" s="25">
        <v>1</v>
      </c>
      <c r="H18" s="25">
        <v>87</v>
      </c>
      <c r="I18" s="25">
        <v>921.06</v>
      </c>
    </row>
    <row r="19" spans="1:9" x14ac:dyDescent="0.3">
      <c r="A19" s="12" t="s">
        <v>325</v>
      </c>
      <c r="B19" s="25">
        <v>2</v>
      </c>
      <c r="C19" s="25">
        <v>60</v>
      </c>
      <c r="D19" s="25">
        <v>49399</v>
      </c>
    </row>
    <row r="20" spans="1:9" x14ac:dyDescent="0.3">
      <c r="A20" s="14" t="s">
        <v>333</v>
      </c>
      <c r="B20" s="25">
        <v>1</v>
      </c>
      <c r="C20" s="25">
        <v>14</v>
      </c>
      <c r="D20" s="25">
        <v>72964</v>
      </c>
      <c r="F20" s="11" t="s">
        <v>4</v>
      </c>
      <c r="G20" t="s">
        <v>377</v>
      </c>
    </row>
    <row r="21" spans="1:9" x14ac:dyDescent="0.3">
      <c r="A21" s="14" t="s">
        <v>327</v>
      </c>
      <c r="B21" s="25"/>
      <c r="C21" s="25">
        <v>27</v>
      </c>
      <c r="D21" s="25">
        <v>-14455</v>
      </c>
      <c r="F21" s="11" t="s">
        <v>369</v>
      </c>
      <c r="G21" t="s">
        <v>373</v>
      </c>
    </row>
    <row r="22" spans="1:9" x14ac:dyDescent="0.3">
      <c r="A22" s="14" t="s">
        <v>330</v>
      </c>
      <c r="B22" s="25">
        <v>1</v>
      </c>
      <c r="C22" s="25">
        <v>19</v>
      </c>
      <c r="D22" s="25">
        <v>-9110</v>
      </c>
      <c r="F22" s="11" t="s">
        <v>352</v>
      </c>
      <c r="G22" t="s">
        <v>357</v>
      </c>
    </row>
    <row r="23" spans="1:9" x14ac:dyDescent="0.3">
      <c r="A23" s="12" t="s">
        <v>349</v>
      </c>
      <c r="B23" s="25">
        <v>1</v>
      </c>
      <c r="C23" s="25">
        <v>34</v>
      </c>
      <c r="D23" s="25">
        <v>-15245</v>
      </c>
    </row>
    <row r="24" spans="1:9" x14ac:dyDescent="0.3">
      <c r="A24" s="14" t="s">
        <v>351</v>
      </c>
      <c r="B24" s="25">
        <v>1</v>
      </c>
      <c r="C24" s="25">
        <v>34</v>
      </c>
      <c r="D24" s="25">
        <v>-15245</v>
      </c>
      <c r="F24" s="11" t="s">
        <v>361</v>
      </c>
      <c r="G24" t="s">
        <v>380</v>
      </c>
      <c r="H24" t="s">
        <v>379</v>
      </c>
      <c r="I24" t="s">
        <v>376</v>
      </c>
    </row>
    <row r="25" spans="1:9" x14ac:dyDescent="0.3">
      <c r="A25" s="12" t="s">
        <v>362</v>
      </c>
      <c r="B25" s="25">
        <v>10</v>
      </c>
      <c r="C25" s="25">
        <v>272</v>
      </c>
      <c r="D25" s="25">
        <v>159354</v>
      </c>
      <c r="F25" s="12" t="s">
        <v>140</v>
      </c>
      <c r="G25" s="25">
        <v>1</v>
      </c>
      <c r="H25" s="25">
        <v>168</v>
      </c>
      <c r="I25" s="25">
        <v>15163</v>
      </c>
    </row>
    <row r="26" spans="1:9" x14ac:dyDescent="0.3">
      <c r="F26" s="14" t="s">
        <v>142</v>
      </c>
      <c r="G26" s="25">
        <v>1</v>
      </c>
      <c r="H26" s="25">
        <v>168</v>
      </c>
      <c r="I26" s="25">
        <v>15163</v>
      </c>
    </row>
    <row r="27" spans="1:9" x14ac:dyDescent="0.3">
      <c r="F27" s="12" t="s">
        <v>362</v>
      </c>
      <c r="G27" s="25">
        <v>1</v>
      </c>
      <c r="H27" s="25">
        <v>168</v>
      </c>
      <c r="I27" s="25">
        <v>15163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14"/>
  <sheetViews>
    <sheetView workbookViewId="0">
      <pane ySplit="1" topLeftCell="A105" activePane="bottomLeft" state="frozen"/>
      <selection pane="bottomLeft" activeCell="G122" sqref="G122"/>
    </sheetView>
  </sheetViews>
  <sheetFormatPr baseColWidth="10" defaultColWidth="8.88671875" defaultRowHeight="14.4" x14ac:dyDescent="0.3"/>
  <cols>
    <col min="1" max="1" width="11" bestFit="1" customWidth="1"/>
    <col min="2" max="2" width="36" bestFit="1" customWidth="1"/>
    <col min="3" max="3" width="13" style="10" bestFit="1" customWidth="1"/>
    <col min="4" max="4" width="17" bestFit="1" customWidth="1"/>
    <col min="5" max="6" width="19" bestFit="1" customWidth="1"/>
    <col min="7" max="7" width="29" bestFit="1" customWidth="1"/>
    <col min="8" max="8" width="14" bestFit="1" customWidth="1"/>
    <col min="9" max="9" width="23" bestFit="1" customWidth="1"/>
    <col min="10" max="10" width="21" bestFit="1" customWidth="1"/>
    <col min="11" max="11" width="25" bestFit="1" customWidth="1"/>
    <col min="12" max="12" width="11.44140625" customWidth="1"/>
    <col min="13" max="13" width="11.21875" customWidth="1"/>
    <col min="14" max="14" width="10.88671875" bestFit="1" customWidth="1"/>
    <col min="15" max="15" width="12.77734375" bestFit="1" customWidth="1"/>
    <col min="16" max="16" width="12.21875" bestFit="1" customWidth="1"/>
    <col min="17" max="17" width="12.6640625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352</v>
      </c>
      <c r="L1" s="15" t="s">
        <v>363</v>
      </c>
      <c r="M1" s="16" t="s">
        <v>364</v>
      </c>
      <c r="N1" s="17" t="s">
        <v>365</v>
      </c>
      <c r="O1" s="18" t="s">
        <v>366</v>
      </c>
      <c r="P1" s="18" t="s">
        <v>367</v>
      </c>
      <c r="Q1" s="19" t="s">
        <v>368</v>
      </c>
      <c r="R1" s="20" t="s">
        <v>369</v>
      </c>
    </row>
    <row r="2" spans="1:18" hidden="1" x14ac:dyDescent="0.3">
      <c r="A2" s="2" t="s">
        <v>12</v>
      </c>
      <c r="B2" s="2" t="s">
        <v>13</v>
      </c>
      <c r="C2" s="9" t="s">
        <v>14</v>
      </c>
      <c r="D2" s="2" t="s">
        <v>15</v>
      </c>
      <c r="E2" s="2" t="s">
        <v>10</v>
      </c>
      <c r="F2" s="3">
        <v>46301</v>
      </c>
      <c r="G2" s="4">
        <v>6</v>
      </c>
      <c r="H2" s="3">
        <v>46301</v>
      </c>
      <c r="I2" s="5">
        <v>590</v>
      </c>
      <c r="J2" s="2" t="s">
        <v>11</v>
      </c>
      <c r="K2" s="2" t="s">
        <v>353</v>
      </c>
      <c r="O2" s="21">
        <f>H2</f>
        <v>46301</v>
      </c>
      <c r="P2" s="22">
        <f>I2/3.457</f>
        <v>170.66820943014176</v>
      </c>
    </row>
    <row r="3" spans="1:18" hidden="1" x14ac:dyDescent="0.3">
      <c r="A3" s="2" t="s">
        <v>16</v>
      </c>
      <c r="B3" s="2" t="s">
        <v>17</v>
      </c>
      <c r="C3" s="9" t="s">
        <v>18</v>
      </c>
      <c r="D3" s="2" t="s">
        <v>19</v>
      </c>
      <c r="E3" s="2" t="s">
        <v>10</v>
      </c>
      <c r="F3" s="3">
        <v>45980</v>
      </c>
      <c r="G3" s="4">
        <v>320</v>
      </c>
      <c r="H3" s="3">
        <v>45987</v>
      </c>
      <c r="I3" s="5">
        <v>42.48</v>
      </c>
      <c r="J3" s="2" t="s">
        <v>11</v>
      </c>
      <c r="K3" s="2" t="s">
        <v>353</v>
      </c>
      <c r="O3" s="21">
        <f t="shared" ref="O3:O19" si="0">H3</f>
        <v>45987</v>
      </c>
      <c r="P3" s="22">
        <f t="shared" ref="P3:P19" si="1">I3/3.457</f>
        <v>12.288111078970205</v>
      </c>
    </row>
    <row r="4" spans="1:18" hidden="1" x14ac:dyDescent="0.3">
      <c r="A4" s="2" t="s">
        <v>16</v>
      </c>
      <c r="B4" s="2" t="s">
        <v>20</v>
      </c>
      <c r="C4" s="9" t="s">
        <v>21</v>
      </c>
      <c r="D4" s="2" t="s">
        <v>22</v>
      </c>
      <c r="E4" s="2" t="s">
        <v>10</v>
      </c>
      <c r="F4" s="3">
        <v>45980</v>
      </c>
      <c r="G4" s="4">
        <v>320</v>
      </c>
      <c r="H4" s="3">
        <v>45987</v>
      </c>
      <c r="I4" s="5">
        <v>14.16</v>
      </c>
      <c r="J4" s="2" t="s">
        <v>11</v>
      </c>
      <c r="K4" s="2" t="s">
        <v>353</v>
      </c>
      <c r="O4" s="21">
        <f t="shared" si="0"/>
        <v>45987</v>
      </c>
      <c r="P4" s="22">
        <f t="shared" si="1"/>
        <v>4.0960370263234021</v>
      </c>
    </row>
    <row r="5" spans="1:18" hidden="1" x14ac:dyDescent="0.3">
      <c r="A5" s="2" t="s">
        <v>16</v>
      </c>
      <c r="B5" s="2" t="s">
        <v>23</v>
      </c>
      <c r="C5" s="9" t="s">
        <v>24</v>
      </c>
      <c r="D5" s="2" t="s">
        <v>25</v>
      </c>
      <c r="E5" s="2" t="s">
        <v>10</v>
      </c>
      <c r="F5" s="3">
        <v>45980</v>
      </c>
      <c r="G5" s="4">
        <v>320</v>
      </c>
      <c r="H5" s="3">
        <v>45987</v>
      </c>
      <c r="I5" s="5">
        <v>14.16</v>
      </c>
      <c r="J5" s="2" t="s">
        <v>11</v>
      </c>
      <c r="K5" s="2" t="s">
        <v>353</v>
      </c>
      <c r="O5" s="21">
        <f t="shared" si="0"/>
        <v>45987</v>
      </c>
      <c r="P5" s="22">
        <f t="shared" si="1"/>
        <v>4.0960370263234021</v>
      </c>
    </row>
    <row r="6" spans="1:18" hidden="1" x14ac:dyDescent="0.3">
      <c r="A6" s="2" t="s">
        <v>16</v>
      </c>
      <c r="B6" s="2" t="s">
        <v>26</v>
      </c>
      <c r="C6" s="9" t="s">
        <v>27</v>
      </c>
      <c r="D6" s="2" t="s">
        <v>28</v>
      </c>
      <c r="E6" s="2" t="s">
        <v>10</v>
      </c>
      <c r="F6" s="3">
        <v>45981</v>
      </c>
      <c r="G6" s="4">
        <v>319</v>
      </c>
      <c r="H6" s="3">
        <v>45988</v>
      </c>
      <c r="I6" s="5">
        <v>28.32</v>
      </c>
      <c r="J6" s="2" t="s">
        <v>11</v>
      </c>
      <c r="K6" s="2" t="s">
        <v>353</v>
      </c>
      <c r="O6" s="21">
        <f t="shared" si="0"/>
        <v>45988</v>
      </c>
      <c r="P6" s="22">
        <f t="shared" si="1"/>
        <v>8.1920740526468041</v>
      </c>
    </row>
    <row r="7" spans="1:18" hidden="1" x14ac:dyDescent="0.3">
      <c r="A7" s="2" t="s">
        <v>16</v>
      </c>
      <c r="B7" s="2" t="s">
        <v>29</v>
      </c>
      <c r="C7" s="9" t="s">
        <v>30</v>
      </c>
      <c r="D7" s="2" t="s">
        <v>31</v>
      </c>
      <c r="E7" s="2" t="s">
        <v>10</v>
      </c>
      <c r="F7" s="3">
        <v>45981</v>
      </c>
      <c r="G7" s="4">
        <v>319</v>
      </c>
      <c r="H7" s="3">
        <v>45988</v>
      </c>
      <c r="I7" s="5">
        <v>14.16</v>
      </c>
      <c r="J7" s="2" t="s">
        <v>11</v>
      </c>
      <c r="K7" s="2" t="s">
        <v>353</v>
      </c>
      <c r="O7" s="21">
        <f t="shared" si="0"/>
        <v>45988</v>
      </c>
      <c r="P7" s="22">
        <f t="shared" si="1"/>
        <v>4.0960370263234021</v>
      </c>
    </row>
    <row r="8" spans="1:18" hidden="1" x14ac:dyDescent="0.3">
      <c r="A8" s="2" t="s">
        <v>16</v>
      </c>
      <c r="B8" s="2" t="s">
        <v>32</v>
      </c>
      <c r="C8" s="9" t="s">
        <v>33</v>
      </c>
      <c r="D8" s="2" t="s">
        <v>34</v>
      </c>
      <c r="E8" s="2" t="s">
        <v>10</v>
      </c>
      <c r="F8" s="3">
        <v>45982</v>
      </c>
      <c r="G8" s="4">
        <v>318</v>
      </c>
      <c r="H8" s="3">
        <v>45989</v>
      </c>
      <c r="I8" s="5">
        <v>28.32</v>
      </c>
      <c r="J8" s="2" t="s">
        <v>11</v>
      </c>
      <c r="K8" s="2" t="s">
        <v>353</v>
      </c>
      <c r="O8" s="21">
        <f t="shared" si="0"/>
        <v>45989</v>
      </c>
      <c r="P8" s="22">
        <f t="shared" si="1"/>
        <v>8.1920740526468041</v>
      </c>
    </row>
    <row r="9" spans="1:18" hidden="1" x14ac:dyDescent="0.3">
      <c r="A9" s="2" t="s">
        <v>16</v>
      </c>
      <c r="B9" s="2" t="s">
        <v>35</v>
      </c>
      <c r="C9" s="9" t="s">
        <v>36</v>
      </c>
      <c r="D9" s="2" t="s">
        <v>37</v>
      </c>
      <c r="E9" s="2" t="s">
        <v>10</v>
      </c>
      <c r="F9" s="3">
        <v>45982</v>
      </c>
      <c r="G9" s="4">
        <v>318</v>
      </c>
      <c r="H9" s="3">
        <v>45989</v>
      </c>
      <c r="I9" s="5">
        <v>42.48</v>
      </c>
      <c r="J9" s="2" t="s">
        <v>11</v>
      </c>
      <c r="K9" s="2" t="s">
        <v>353</v>
      </c>
      <c r="O9" s="21">
        <f t="shared" si="0"/>
        <v>45989</v>
      </c>
      <c r="P9" s="22">
        <f t="shared" si="1"/>
        <v>12.288111078970205</v>
      </c>
    </row>
    <row r="10" spans="1:18" hidden="1" x14ac:dyDescent="0.3">
      <c r="A10" s="2" t="s">
        <v>16</v>
      </c>
      <c r="B10" s="2" t="s">
        <v>38</v>
      </c>
      <c r="C10" s="9" t="s">
        <v>39</v>
      </c>
      <c r="D10" s="2" t="s">
        <v>40</v>
      </c>
      <c r="E10" s="2" t="s">
        <v>10</v>
      </c>
      <c r="F10" s="3">
        <v>45982</v>
      </c>
      <c r="G10" s="4">
        <v>318</v>
      </c>
      <c r="H10" s="3">
        <v>45989</v>
      </c>
      <c r="I10" s="5">
        <v>42.48</v>
      </c>
      <c r="J10" s="2" t="s">
        <v>11</v>
      </c>
      <c r="K10" s="2" t="s">
        <v>353</v>
      </c>
      <c r="O10" s="21">
        <f t="shared" si="0"/>
        <v>45989</v>
      </c>
      <c r="P10" s="22">
        <f t="shared" si="1"/>
        <v>12.288111078970205</v>
      </c>
    </row>
    <row r="11" spans="1:18" hidden="1" x14ac:dyDescent="0.3">
      <c r="A11" s="2" t="s">
        <v>16</v>
      </c>
      <c r="B11" s="2" t="s">
        <v>41</v>
      </c>
      <c r="C11" s="9" t="s">
        <v>42</v>
      </c>
      <c r="D11" s="2" t="s">
        <v>43</v>
      </c>
      <c r="E11" s="2" t="s">
        <v>10</v>
      </c>
      <c r="F11" s="3">
        <v>45982</v>
      </c>
      <c r="G11" s="4">
        <v>318</v>
      </c>
      <c r="H11" s="3">
        <v>45989</v>
      </c>
      <c r="I11" s="5">
        <v>14.16</v>
      </c>
      <c r="J11" s="2" t="s">
        <v>11</v>
      </c>
      <c r="K11" s="2" t="s">
        <v>353</v>
      </c>
      <c r="O11" s="21">
        <f t="shared" si="0"/>
        <v>45989</v>
      </c>
      <c r="P11" s="22">
        <f t="shared" si="1"/>
        <v>4.0960370263234021</v>
      </c>
    </row>
    <row r="12" spans="1:18" hidden="1" x14ac:dyDescent="0.3">
      <c r="A12" s="2" t="s">
        <v>16</v>
      </c>
      <c r="B12" s="2" t="s">
        <v>44</v>
      </c>
      <c r="C12" s="9" t="s">
        <v>45</v>
      </c>
      <c r="D12" s="2" t="s">
        <v>46</v>
      </c>
      <c r="E12" s="2" t="s">
        <v>10</v>
      </c>
      <c r="F12" s="3">
        <v>45983</v>
      </c>
      <c r="G12" s="4">
        <v>317</v>
      </c>
      <c r="H12" s="3">
        <v>45990</v>
      </c>
      <c r="I12" s="5">
        <v>28.32</v>
      </c>
      <c r="J12" s="2" t="s">
        <v>11</v>
      </c>
      <c r="K12" s="2" t="s">
        <v>353</v>
      </c>
      <c r="O12" s="21">
        <f t="shared" si="0"/>
        <v>45990</v>
      </c>
      <c r="P12" s="22">
        <f t="shared" si="1"/>
        <v>8.1920740526468041</v>
      </c>
    </row>
    <row r="13" spans="1:18" hidden="1" x14ac:dyDescent="0.3">
      <c r="A13" s="2" t="s">
        <v>16</v>
      </c>
      <c r="B13" s="2" t="s">
        <v>47</v>
      </c>
      <c r="C13" s="9" t="s">
        <v>48</v>
      </c>
      <c r="D13" s="2" t="s">
        <v>49</v>
      </c>
      <c r="E13" s="2" t="s">
        <v>10</v>
      </c>
      <c r="F13" s="3">
        <v>45988</v>
      </c>
      <c r="G13" s="4">
        <v>312</v>
      </c>
      <c r="H13" s="3">
        <v>45995</v>
      </c>
      <c r="I13" s="5">
        <v>14.16</v>
      </c>
      <c r="J13" s="2" t="s">
        <v>11</v>
      </c>
      <c r="K13" s="2" t="s">
        <v>353</v>
      </c>
      <c r="O13" s="21">
        <f t="shared" si="0"/>
        <v>45995</v>
      </c>
      <c r="P13" s="22">
        <f t="shared" si="1"/>
        <v>4.0960370263234021</v>
      </c>
    </row>
    <row r="14" spans="1:18" hidden="1" x14ac:dyDescent="0.3">
      <c r="A14" s="2" t="s">
        <v>16</v>
      </c>
      <c r="B14" s="2" t="s">
        <v>50</v>
      </c>
      <c r="C14" s="9" t="s">
        <v>51</v>
      </c>
      <c r="D14" s="2" t="s">
        <v>52</v>
      </c>
      <c r="E14" s="2" t="s">
        <v>10</v>
      </c>
      <c r="F14" s="3">
        <v>46028</v>
      </c>
      <c r="G14" s="4">
        <v>272</v>
      </c>
      <c r="H14" s="3">
        <v>46035</v>
      </c>
      <c r="I14" s="5">
        <v>14.16</v>
      </c>
      <c r="J14" s="2" t="s">
        <v>11</v>
      </c>
      <c r="K14" s="2" t="s">
        <v>353</v>
      </c>
      <c r="O14" s="21">
        <f t="shared" si="0"/>
        <v>46035</v>
      </c>
      <c r="P14" s="22">
        <f t="shared" si="1"/>
        <v>4.0960370263234021</v>
      </c>
    </row>
    <row r="15" spans="1:18" hidden="1" x14ac:dyDescent="0.3">
      <c r="A15" s="2" t="s">
        <v>16</v>
      </c>
      <c r="B15" s="2" t="s">
        <v>53</v>
      </c>
      <c r="C15" s="9" t="s">
        <v>54</v>
      </c>
      <c r="D15" s="2" t="s">
        <v>55</v>
      </c>
      <c r="E15" s="2" t="s">
        <v>10</v>
      </c>
      <c r="F15" s="3">
        <v>46030</v>
      </c>
      <c r="G15" s="4">
        <v>270</v>
      </c>
      <c r="H15" s="3">
        <v>46037</v>
      </c>
      <c r="I15" s="5">
        <v>14.16</v>
      </c>
      <c r="J15" s="2" t="s">
        <v>11</v>
      </c>
      <c r="K15" s="2" t="s">
        <v>353</v>
      </c>
      <c r="O15" s="21">
        <f t="shared" si="0"/>
        <v>46037</v>
      </c>
      <c r="P15" s="22">
        <f t="shared" si="1"/>
        <v>4.0960370263234021</v>
      </c>
    </row>
    <row r="16" spans="1:18" hidden="1" x14ac:dyDescent="0.3">
      <c r="A16" s="2" t="s">
        <v>16</v>
      </c>
      <c r="B16" s="2" t="s">
        <v>56</v>
      </c>
      <c r="C16" s="9" t="s">
        <v>57</v>
      </c>
      <c r="D16" s="2" t="s">
        <v>58</v>
      </c>
      <c r="E16" s="2" t="s">
        <v>10</v>
      </c>
      <c r="F16" s="3">
        <v>46032</v>
      </c>
      <c r="G16" s="4">
        <v>268</v>
      </c>
      <c r="H16" s="3">
        <v>46039</v>
      </c>
      <c r="I16" s="5">
        <v>14.16</v>
      </c>
      <c r="J16" s="2" t="s">
        <v>11</v>
      </c>
      <c r="K16" s="2" t="s">
        <v>353</v>
      </c>
      <c r="O16" s="21">
        <f t="shared" si="0"/>
        <v>46039</v>
      </c>
      <c r="P16" s="22">
        <f t="shared" si="1"/>
        <v>4.0960370263234021</v>
      </c>
    </row>
    <row r="17" spans="1:18" hidden="1" x14ac:dyDescent="0.3">
      <c r="A17" s="2" t="s">
        <v>16</v>
      </c>
      <c r="B17" s="2" t="s">
        <v>59</v>
      </c>
      <c r="C17" s="9" t="s">
        <v>60</v>
      </c>
      <c r="D17" s="2" t="s">
        <v>61</v>
      </c>
      <c r="E17" s="2" t="s">
        <v>10</v>
      </c>
      <c r="F17" s="3">
        <v>46038</v>
      </c>
      <c r="G17" s="4">
        <v>262</v>
      </c>
      <c r="H17" s="3">
        <v>46045</v>
      </c>
      <c r="I17" s="5">
        <v>14.16</v>
      </c>
      <c r="J17" s="2" t="s">
        <v>11</v>
      </c>
      <c r="K17" s="2" t="s">
        <v>353</v>
      </c>
      <c r="O17" s="21">
        <f t="shared" si="0"/>
        <v>46045</v>
      </c>
      <c r="P17" s="22">
        <f t="shared" si="1"/>
        <v>4.0960370263234021</v>
      </c>
    </row>
    <row r="18" spans="1:18" hidden="1" x14ac:dyDescent="0.3">
      <c r="A18" s="2" t="s">
        <v>16</v>
      </c>
      <c r="B18" s="2" t="s">
        <v>62</v>
      </c>
      <c r="C18" s="9" t="s">
        <v>63</v>
      </c>
      <c r="D18" s="2" t="s">
        <v>64</v>
      </c>
      <c r="E18" s="2" t="s">
        <v>10</v>
      </c>
      <c r="F18" s="3">
        <v>46038</v>
      </c>
      <c r="G18" s="4">
        <v>262</v>
      </c>
      <c r="H18" s="3">
        <v>46045</v>
      </c>
      <c r="I18" s="5">
        <v>14.16</v>
      </c>
      <c r="J18" s="2" t="s">
        <v>11</v>
      </c>
      <c r="K18" s="2" t="s">
        <v>353</v>
      </c>
      <c r="O18" s="21">
        <f t="shared" si="0"/>
        <v>46045</v>
      </c>
      <c r="P18" s="22">
        <f t="shared" si="1"/>
        <v>4.0960370263234021</v>
      </c>
    </row>
    <row r="19" spans="1:18" hidden="1" x14ac:dyDescent="0.3">
      <c r="A19" s="2" t="s">
        <v>16</v>
      </c>
      <c r="B19" s="2" t="s">
        <v>65</v>
      </c>
      <c r="C19" s="9" t="s">
        <v>66</v>
      </c>
      <c r="D19" s="2" t="s">
        <v>67</v>
      </c>
      <c r="E19" s="2" t="s">
        <v>10</v>
      </c>
      <c r="F19" s="3">
        <v>46041</v>
      </c>
      <c r="G19" s="4">
        <v>259</v>
      </c>
      <c r="H19" s="3">
        <v>46048</v>
      </c>
      <c r="I19" s="5">
        <v>14.16</v>
      </c>
      <c r="J19" s="2" t="s">
        <v>11</v>
      </c>
      <c r="K19" s="2" t="s">
        <v>353</v>
      </c>
      <c r="O19" s="21">
        <f t="shared" si="0"/>
        <v>46048</v>
      </c>
      <c r="P19" s="22">
        <f t="shared" si="1"/>
        <v>4.0960370263234021</v>
      </c>
    </row>
    <row r="20" spans="1:18" hidden="1" x14ac:dyDescent="0.3">
      <c r="A20" s="2" t="s">
        <v>75</v>
      </c>
      <c r="B20" s="2" t="s">
        <v>78</v>
      </c>
      <c r="C20" s="2" t="s">
        <v>79</v>
      </c>
      <c r="D20" s="2" t="s">
        <v>374</v>
      </c>
      <c r="E20" s="2" t="s">
        <v>70</v>
      </c>
      <c r="F20" s="3">
        <v>46265</v>
      </c>
      <c r="G20" s="6">
        <v>-18</v>
      </c>
      <c r="H20" s="3">
        <v>46325</v>
      </c>
      <c r="I20" s="5">
        <v>58743</v>
      </c>
      <c r="J20" s="2" t="s">
        <v>71</v>
      </c>
      <c r="K20" s="2" t="s">
        <v>357</v>
      </c>
      <c r="L20" s="21">
        <f t="shared" ref="L20:L23" si="2">F20+60</f>
        <v>46325</v>
      </c>
      <c r="M20" s="23">
        <f t="shared" ref="M20:M22" ca="1" si="3">TODAY()-N20</f>
        <v>-11</v>
      </c>
      <c r="N20" s="21">
        <v>46325</v>
      </c>
      <c r="O20" s="21">
        <f t="shared" ref="O20:O23" si="4">H20</f>
        <v>46325</v>
      </c>
      <c r="P20" s="13">
        <f t="shared" ref="P20:P23" si="5">I20</f>
        <v>58743</v>
      </c>
      <c r="Q20" s="23">
        <f t="shared" ref="Q20:Q23" ca="1" si="6">TODAY()-F20</f>
        <v>49</v>
      </c>
      <c r="R20" t="s">
        <v>370</v>
      </c>
    </row>
    <row r="21" spans="1:18" hidden="1" x14ac:dyDescent="0.3">
      <c r="A21" s="2" t="s">
        <v>75</v>
      </c>
      <c r="B21" s="2" t="s">
        <v>80</v>
      </c>
      <c r="C21" s="2" t="s">
        <v>81</v>
      </c>
      <c r="D21" s="2" t="s">
        <v>82</v>
      </c>
      <c r="E21" s="2" t="s">
        <v>77</v>
      </c>
      <c r="F21" s="3">
        <v>46273</v>
      </c>
      <c r="G21" s="4">
        <v>0</v>
      </c>
      <c r="H21" s="3">
        <v>46295</v>
      </c>
      <c r="I21" s="7">
        <v>-13310</v>
      </c>
      <c r="J21" s="2" t="s">
        <v>71</v>
      </c>
      <c r="K21" s="2" t="s">
        <v>357</v>
      </c>
      <c r="L21" s="21">
        <f t="shared" si="2"/>
        <v>46333</v>
      </c>
      <c r="M21" s="23">
        <f t="shared" ca="1" si="3"/>
        <v>19</v>
      </c>
      <c r="N21" s="21">
        <v>46295</v>
      </c>
      <c r="O21" s="21">
        <f t="shared" si="4"/>
        <v>46295</v>
      </c>
      <c r="P21" s="13">
        <f t="shared" si="5"/>
        <v>-13310</v>
      </c>
      <c r="Q21" s="23">
        <f t="shared" ca="1" si="6"/>
        <v>41</v>
      </c>
      <c r="R21" t="s">
        <v>370</v>
      </c>
    </row>
    <row r="22" spans="1:18" hidden="1" x14ac:dyDescent="0.3">
      <c r="A22" s="2" t="s">
        <v>75</v>
      </c>
      <c r="B22" s="2" t="s">
        <v>83</v>
      </c>
      <c r="C22" s="2" t="s">
        <v>84</v>
      </c>
      <c r="D22" s="2" t="s">
        <v>85</v>
      </c>
      <c r="E22" s="2" t="s">
        <v>73</v>
      </c>
      <c r="F22" s="3">
        <v>46291</v>
      </c>
      <c r="G22" s="6">
        <v>-44</v>
      </c>
      <c r="H22" s="3">
        <v>46351</v>
      </c>
      <c r="I22" s="5">
        <v>39060</v>
      </c>
      <c r="J22" s="2" t="s">
        <v>71</v>
      </c>
      <c r="K22" s="2" t="s">
        <v>357</v>
      </c>
      <c r="L22" s="21">
        <f t="shared" si="2"/>
        <v>46351</v>
      </c>
      <c r="M22" s="23">
        <f t="shared" ca="1" si="3"/>
        <v>-37</v>
      </c>
      <c r="N22" s="21">
        <v>46351</v>
      </c>
      <c r="O22" s="21">
        <f t="shared" si="4"/>
        <v>46351</v>
      </c>
      <c r="P22" s="13">
        <f t="shared" si="5"/>
        <v>39060</v>
      </c>
      <c r="Q22" s="23">
        <f t="shared" ca="1" si="6"/>
        <v>23</v>
      </c>
      <c r="R22" t="s">
        <v>370</v>
      </c>
    </row>
    <row r="23" spans="1:18" hidden="1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77</v>
      </c>
      <c r="F23" s="3">
        <v>46288</v>
      </c>
      <c r="G23" s="4">
        <v>0</v>
      </c>
      <c r="H23" s="3">
        <v>46295</v>
      </c>
      <c r="I23" s="7">
        <v>-9110</v>
      </c>
      <c r="J23" s="2" t="s">
        <v>71</v>
      </c>
      <c r="K23" s="2" t="s">
        <v>357</v>
      </c>
      <c r="L23" s="21">
        <f t="shared" si="2"/>
        <v>46348</v>
      </c>
      <c r="M23" s="23">
        <f ca="1">TODAY()-N23</f>
        <v>19</v>
      </c>
      <c r="N23" s="21">
        <v>46295</v>
      </c>
      <c r="O23" s="21">
        <f t="shared" si="4"/>
        <v>46295</v>
      </c>
      <c r="P23" s="13">
        <f t="shared" si="5"/>
        <v>-9110</v>
      </c>
      <c r="Q23" s="23">
        <f t="shared" ca="1" si="6"/>
        <v>26</v>
      </c>
      <c r="R23" t="s">
        <v>370</v>
      </c>
    </row>
    <row r="24" spans="1:18" hidden="1" x14ac:dyDescent="0.3">
      <c r="A24" s="2" t="s">
        <v>90</v>
      </c>
      <c r="B24" s="2" t="s">
        <v>91</v>
      </c>
      <c r="C24" s="9" t="s">
        <v>92</v>
      </c>
      <c r="D24" s="2" t="s">
        <v>93</v>
      </c>
      <c r="E24" s="2" t="s">
        <v>74</v>
      </c>
      <c r="F24" s="3">
        <v>46298</v>
      </c>
      <c r="G24" s="4">
        <v>2</v>
      </c>
      <c r="H24" s="3">
        <v>46305</v>
      </c>
      <c r="I24" s="5">
        <v>1234.28</v>
      </c>
      <c r="J24" s="2" t="s">
        <v>11</v>
      </c>
      <c r="K24" s="2" t="s">
        <v>353</v>
      </c>
      <c r="O24" s="21">
        <f t="shared" ref="O24:O41" si="7">H24</f>
        <v>46305</v>
      </c>
      <c r="P24" s="22">
        <f t="shared" ref="P24:P39" si="8">I24/3.457</f>
        <v>357.03789412785653</v>
      </c>
    </row>
    <row r="25" spans="1:18" hidden="1" x14ac:dyDescent="0.3">
      <c r="A25" s="2" t="s">
        <v>90</v>
      </c>
      <c r="B25" s="2" t="s">
        <v>94</v>
      </c>
      <c r="C25" s="9" t="s">
        <v>95</v>
      </c>
      <c r="D25" s="2" t="s">
        <v>96</v>
      </c>
      <c r="E25" s="2" t="s">
        <v>74</v>
      </c>
      <c r="F25" s="3">
        <v>46298</v>
      </c>
      <c r="G25" s="4">
        <v>2</v>
      </c>
      <c r="H25" s="3">
        <v>46305</v>
      </c>
      <c r="I25" s="5">
        <v>118</v>
      </c>
      <c r="J25" s="2" t="s">
        <v>11</v>
      </c>
      <c r="K25" s="2" t="s">
        <v>353</v>
      </c>
      <c r="O25" s="21">
        <f t="shared" si="7"/>
        <v>46305</v>
      </c>
      <c r="P25" s="22">
        <f t="shared" si="8"/>
        <v>34.13364188602835</v>
      </c>
    </row>
    <row r="26" spans="1:18" hidden="1" x14ac:dyDescent="0.3">
      <c r="A26" s="2" t="s">
        <v>90</v>
      </c>
      <c r="B26" s="2" t="s">
        <v>97</v>
      </c>
      <c r="C26" s="9" t="s">
        <v>98</v>
      </c>
      <c r="D26" s="2" t="s">
        <v>99</v>
      </c>
      <c r="E26" s="2" t="s">
        <v>74</v>
      </c>
      <c r="F26" s="3">
        <v>46300</v>
      </c>
      <c r="G26" s="4">
        <v>0</v>
      </c>
      <c r="H26" s="3">
        <v>46307</v>
      </c>
      <c r="I26" s="5">
        <v>662.22</v>
      </c>
      <c r="J26" s="2" t="s">
        <v>11</v>
      </c>
      <c r="K26" s="2" t="s">
        <v>353</v>
      </c>
      <c r="O26" s="21">
        <f t="shared" si="7"/>
        <v>46307</v>
      </c>
      <c r="P26" s="22">
        <f t="shared" si="8"/>
        <v>191.55915533699741</v>
      </c>
    </row>
    <row r="27" spans="1:18" hidden="1" x14ac:dyDescent="0.3">
      <c r="A27" s="2" t="s">
        <v>90</v>
      </c>
      <c r="B27" s="2" t="s">
        <v>100</v>
      </c>
      <c r="C27" s="9" t="s">
        <v>101</v>
      </c>
      <c r="D27" s="2" t="s">
        <v>102</v>
      </c>
      <c r="E27" s="2" t="s">
        <v>74</v>
      </c>
      <c r="F27" s="3">
        <v>46300</v>
      </c>
      <c r="G27" s="4">
        <v>0</v>
      </c>
      <c r="H27" s="3">
        <v>46307</v>
      </c>
      <c r="I27" s="5">
        <v>70.8</v>
      </c>
      <c r="J27" s="2" t="s">
        <v>11</v>
      </c>
      <c r="K27" s="2" t="s">
        <v>353</v>
      </c>
      <c r="O27" s="21">
        <f t="shared" si="7"/>
        <v>46307</v>
      </c>
      <c r="P27" s="22">
        <f t="shared" si="8"/>
        <v>20.480185131617009</v>
      </c>
    </row>
    <row r="28" spans="1:18" hidden="1" x14ac:dyDescent="0.3">
      <c r="A28" s="2" t="s">
        <v>90</v>
      </c>
      <c r="B28" s="2" t="s">
        <v>103</v>
      </c>
      <c r="C28" s="9" t="s">
        <v>104</v>
      </c>
      <c r="D28" s="2" t="s">
        <v>105</v>
      </c>
      <c r="E28" s="2" t="s">
        <v>74</v>
      </c>
      <c r="F28" s="3">
        <v>46300</v>
      </c>
      <c r="G28" s="4">
        <v>0</v>
      </c>
      <c r="H28" s="3">
        <v>46307</v>
      </c>
      <c r="I28" s="5">
        <v>500.56</v>
      </c>
      <c r="J28" s="2" t="s">
        <v>11</v>
      </c>
      <c r="K28" s="2" t="s">
        <v>353</v>
      </c>
      <c r="O28" s="21">
        <f t="shared" si="7"/>
        <v>46307</v>
      </c>
      <c r="P28" s="22">
        <f t="shared" si="8"/>
        <v>144.79606595313857</v>
      </c>
    </row>
    <row r="29" spans="1:18" hidden="1" x14ac:dyDescent="0.3">
      <c r="A29" s="2" t="s">
        <v>90</v>
      </c>
      <c r="B29" s="2" t="s">
        <v>106</v>
      </c>
      <c r="C29" s="9" t="s">
        <v>107</v>
      </c>
      <c r="D29" s="2" t="s">
        <v>108</v>
      </c>
      <c r="E29" s="2" t="s">
        <v>74</v>
      </c>
      <c r="F29" s="3">
        <v>46300</v>
      </c>
      <c r="G29" s="4">
        <v>0</v>
      </c>
      <c r="H29" s="3">
        <v>46307</v>
      </c>
      <c r="I29" s="5">
        <v>70.8</v>
      </c>
      <c r="J29" s="2" t="s">
        <v>11</v>
      </c>
      <c r="K29" s="2" t="s">
        <v>353</v>
      </c>
      <c r="O29" s="21">
        <f t="shared" si="7"/>
        <v>46307</v>
      </c>
      <c r="P29" s="22">
        <f t="shared" si="8"/>
        <v>20.480185131617009</v>
      </c>
    </row>
    <row r="30" spans="1:18" hidden="1" x14ac:dyDescent="0.3">
      <c r="A30" s="2" t="s">
        <v>90</v>
      </c>
      <c r="B30" s="2" t="s">
        <v>109</v>
      </c>
      <c r="C30" s="9" t="s">
        <v>110</v>
      </c>
      <c r="D30" s="2" t="s">
        <v>111</v>
      </c>
      <c r="E30" s="2" t="s">
        <v>74</v>
      </c>
      <c r="F30" s="3">
        <v>46301</v>
      </c>
      <c r="G30" s="6">
        <v>-1</v>
      </c>
      <c r="H30" s="3">
        <v>46308</v>
      </c>
      <c r="I30" s="5">
        <v>711.07</v>
      </c>
      <c r="J30" s="2" t="s">
        <v>11</v>
      </c>
      <c r="K30" s="2" t="s">
        <v>353</v>
      </c>
      <c r="O30" s="21">
        <f t="shared" si="7"/>
        <v>46308</v>
      </c>
      <c r="P30" s="22">
        <f t="shared" si="8"/>
        <v>205.68990454151</v>
      </c>
    </row>
    <row r="31" spans="1:18" hidden="1" x14ac:dyDescent="0.3">
      <c r="A31" s="2" t="s">
        <v>90</v>
      </c>
      <c r="B31" s="2" t="s">
        <v>112</v>
      </c>
      <c r="C31" s="9" t="s">
        <v>113</v>
      </c>
      <c r="D31" s="2" t="s">
        <v>114</v>
      </c>
      <c r="E31" s="2" t="s">
        <v>74</v>
      </c>
      <c r="F31" s="3">
        <v>46301</v>
      </c>
      <c r="G31" s="6">
        <v>-1</v>
      </c>
      <c r="H31" s="3">
        <v>46308</v>
      </c>
      <c r="I31" s="5">
        <v>70.8</v>
      </c>
      <c r="J31" s="2" t="s">
        <v>11</v>
      </c>
      <c r="K31" s="2" t="s">
        <v>353</v>
      </c>
      <c r="O31" s="21">
        <f t="shared" si="7"/>
        <v>46308</v>
      </c>
      <c r="P31" s="22">
        <f t="shared" si="8"/>
        <v>20.480185131617009</v>
      </c>
    </row>
    <row r="32" spans="1:18" hidden="1" x14ac:dyDescent="0.3">
      <c r="A32" s="2" t="s">
        <v>90</v>
      </c>
      <c r="B32" s="2" t="s">
        <v>115</v>
      </c>
      <c r="C32" s="9" t="s">
        <v>116</v>
      </c>
      <c r="D32" s="2" t="s">
        <v>117</v>
      </c>
      <c r="E32" s="2" t="s">
        <v>74</v>
      </c>
      <c r="F32" s="3">
        <v>46301</v>
      </c>
      <c r="G32" s="6">
        <v>-1</v>
      </c>
      <c r="H32" s="3">
        <v>46308</v>
      </c>
      <c r="I32" s="5">
        <v>1129.5</v>
      </c>
      <c r="J32" s="2" t="s">
        <v>11</v>
      </c>
      <c r="K32" s="2" t="s">
        <v>353</v>
      </c>
      <c r="O32" s="21">
        <f t="shared" si="7"/>
        <v>46308</v>
      </c>
      <c r="P32" s="22">
        <f t="shared" si="8"/>
        <v>326.72837720566969</v>
      </c>
    </row>
    <row r="33" spans="1:18" hidden="1" x14ac:dyDescent="0.3">
      <c r="A33" s="2" t="s">
        <v>90</v>
      </c>
      <c r="B33" s="2" t="s">
        <v>118</v>
      </c>
      <c r="C33" s="9" t="s">
        <v>119</v>
      </c>
      <c r="D33" s="2" t="s">
        <v>120</v>
      </c>
      <c r="E33" s="2" t="s">
        <v>74</v>
      </c>
      <c r="F33" s="3">
        <v>46301</v>
      </c>
      <c r="G33" s="6">
        <v>-1</v>
      </c>
      <c r="H33" s="3">
        <v>46308</v>
      </c>
      <c r="I33" s="5">
        <v>118</v>
      </c>
      <c r="J33" s="2" t="s">
        <v>11</v>
      </c>
      <c r="K33" s="2" t="s">
        <v>353</v>
      </c>
      <c r="O33" s="21">
        <f t="shared" si="7"/>
        <v>46308</v>
      </c>
      <c r="P33" s="22">
        <f t="shared" si="8"/>
        <v>34.13364188602835</v>
      </c>
    </row>
    <row r="34" spans="1:18" hidden="1" x14ac:dyDescent="0.3">
      <c r="A34" s="2" t="s">
        <v>90</v>
      </c>
      <c r="B34" s="2" t="s">
        <v>121</v>
      </c>
      <c r="C34" s="9" t="s">
        <v>122</v>
      </c>
      <c r="D34" s="2" t="s">
        <v>123</v>
      </c>
      <c r="E34" s="2" t="s">
        <v>74</v>
      </c>
      <c r="F34" s="3">
        <v>46302</v>
      </c>
      <c r="G34" s="6">
        <v>-2</v>
      </c>
      <c r="H34" s="3">
        <v>46309</v>
      </c>
      <c r="I34" s="5">
        <v>737.26</v>
      </c>
      <c r="J34" s="2" t="s">
        <v>11</v>
      </c>
      <c r="K34" s="2" t="s">
        <v>353</v>
      </c>
      <c r="O34" s="21">
        <f t="shared" si="7"/>
        <v>46309</v>
      </c>
      <c r="P34" s="22">
        <f t="shared" si="8"/>
        <v>213.26583743129882</v>
      </c>
    </row>
    <row r="35" spans="1:18" hidden="1" x14ac:dyDescent="0.3">
      <c r="A35" s="2" t="s">
        <v>90</v>
      </c>
      <c r="B35" s="2" t="s">
        <v>124</v>
      </c>
      <c r="C35" s="9" t="s">
        <v>125</v>
      </c>
      <c r="D35" s="2" t="s">
        <v>126</v>
      </c>
      <c r="E35" s="2" t="s">
        <v>74</v>
      </c>
      <c r="F35" s="3">
        <v>46302</v>
      </c>
      <c r="G35" s="6">
        <v>-2</v>
      </c>
      <c r="H35" s="3">
        <v>46309</v>
      </c>
      <c r="I35" s="5">
        <v>70.8</v>
      </c>
      <c r="J35" s="2" t="s">
        <v>11</v>
      </c>
      <c r="K35" s="2" t="s">
        <v>353</v>
      </c>
      <c r="O35" s="21">
        <f t="shared" si="7"/>
        <v>46309</v>
      </c>
      <c r="P35" s="22">
        <f t="shared" si="8"/>
        <v>20.480185131617009</v>
      </c>
    </row>
    <row r="36" spans="1:18" hidden="1" x14ac:dyDescent="0.3">
      <c r="A36" s="2" t="s">
        <v>90</v>
      </c>
      <c r="B36" s="2" t="s">
        <v>127</v>
      </c>
      <c r="C36" s="9" t="s">
        <v>128</v>
      </c>
      <c r="D36" s="2" t="s">
        <v>129</v>
      </c>
      <c r="E36" s="2" t="s">
        <v>74</v>
      </c>
      <c r="F36" s="3">
        <v>46302</v>
      </c>
      <c r="G36" s="6">
        <v>-2</v>
      </c>
      <c r="H36" s="3">
        <v>46309</v>
      </c>
      <c r="I36" s="5">
        <v>560.26</v>
      </c>
      <c r="J36" s="2" t="s">
        <v>11</v>
      </c>
      <c r="K36" s="2" t="s">
        <v>353</v>
      </c>
      <c r="O36" s="21">
        <f t="shared" si="7"/>
        <v>46309</v>
      </c>
      <c r="P36" s="22">
        <f t="shared" si="8"/>
        <v>162.0653746022563</v>
      </c>
    </row>
    <row r="37" spans="1:18" hidden="1" x14ac:dyDescent="0.3">
      <c r="A37" s="2" t="s">
        <v>90</v>
      </c>
      <c r="B37" s="2" t="s">
        <v>130</v>
      </c>
      <c r="C37" s="9" t="s">
        <v>131</v>
      </c>
      <c r="D37" s="2" t="s">
        <v>132</v>
      </c>
      <c r="E37" s="2" t="s">
        <v>74</v>
      </c>
      <c r="F37" s="3">
        <v>46302</v>
      </c>
      <c r="G37" s="6">
        <v>-2</v>
      </c>
      <c r="H37" s="3">
        <v>46309</v>
      </c>
      <c r="I37" s="5">
        <v>70.8</v>
      </c>
      <c r="J37" s="2" t="s">
        <v>11</v>
      </c>
      <c r="K37" s="2" t="s">
        <v>353</v>
      </c>
      <c r="O37" s="21">
        <f t="shared" si="7"/>
        <v>46309</v>
      </c>
      <c r="P37" s="22">
        <f t="shared" si="8"/>
        <v>20.480185131617009</v>
      </c>
    </row>
    <row r="38" spans="1:18" hidden="1" x14ac:dyDescent="0.3">
      <c r="A38" s="2" t="s">
        <v>90</v>
      </c>
      <c r="B38" s="2" t="s">
        <v>133</v>
      </c>
      <c r="C38" s="9" t="s">
        <v>134</v>
      </c>
      <c r="D38" s="2" t="s">
        <v>135</v>
      </c>
      <c r="E38" s="2" t="s">
        <v>74</v>
      </c>
      <c r="F38" s="3">
        <v>46304</v>
      </c>
      <c r="G38" s="6">
        <v>-4</v>
      </c>
      <c r="H38" s="3">
        <v>46311</v>
      </c>
      <c r="I38" s="5">
        <v>408.28</v>
      </c>
      <c r="J38" s="2" t="s">
        <v>11</v>
      </c>
      <c r="K38" s="2" t="s">
        <v>353</v>
      </c>
      <c r="O38" s="21">
        <f t="shared" si="7"/>
        <v>46311</v>
      </c>
      <c r="P38" s="22">
        <f t="shared" si="8"/>
        <v>118.10240092565809</v>
      </c>
    </row>
    <row r="39" spans="1:18" hidden="1" x14ac:dyDescent="0.3">
      <c r="A39" s="2" t="s">
        <v>90</v>
      </c>
      <c r="B39" s="2" t="s">
        <v>136</v>
      </c>
      <c r="C39" s="9" t="s">
        <v>137</v>
      </c>
      <c r="D39" s="2" t="s">
        <v>138</v>
      </c>
      <c r="E39" s="2" t="s">
        <v>74</v>
      </c>
      <c r="F39" s="3">
        <v>46304</v>
      </c>
      <c r="G39" s="6">
        <v>-4</v>
      </c>
      <c r="H39" s="3">
        <v>46311</v>
      </c>
      <c r="I39" s="5">
        <v>70.8</v>
      </c>
      <c r="J39" s="2" t="s">
        <v>11</v>
      </c>
      <c r="K39" s="2" t="s">
        <v>353</v>
      </c>
      <c r="O39" s="21">
        <f t="shared" si="7"/>
        <v>46311</v>
      </c>
      <c r="P39" s="22">
        <f t="shared" si="8"/>
        <v>20.480185131617009</v>
      </c>
    </row>
    <row r="40" spans="1:18" hidden="1" x14ac:dyDescent="0.3">
      <c r="A40" s="2" t="s">
        <v>139</v>
      </c>
      <c r="B40" s="2" t="s">
        <v>140</v>
      </c>
      <c r="C40" s="2" t="s">
        <v>141</v>
      </c>
      <c r="D40" s="2" t="s">
        <v>142</v>
      </c>
      <c r="E40" s="2" t="s">
        <v>70</v>
      </c>
      <c r="F40" s="3">
        <v>46139</v>
      </c>
      <c r="G40" s="4">
        <v>168</v>
      </c>
      <c r="H40" s="3">
        <v>46139</v>
      </c>
      <c r="I40" s="5">
        <v>15163</v>
      </c>
      <c r="J40" s="2" t="s">
        <v>71</v>
      </c>
      <c r="K40" s="2" t="s">
        <v>357</v>
      </c>
      <c r="L40" s="21">
        <f t="shared" ref="L40:L41" si="9">F40+60</f>
        <v>46199</v>
      </c>
      <c r="M40" s="23">
        <f t="shared" ref="M40:M41" ca="1" si="10">TODAY()-N40</f>
        <v>4</v>
      </c>
      <c r="N40" s="21">
        <v>46310</v>
      </c>
      <c r="O40" s="24">
        <v>46310</v>
      </c>
      <c r="P40" s="26">
        <f t="shared" ref="P40:P41" si="11">I40</f>
        <v>15163</v>
      </c>
      <c r="Q40" s="23">
        <f t="shared" ref="Q40:Q41" ca="1" si="12">TODAY()-F40</f>
        <v>175</v>
      </c>
      <c r="R40" t="s">
        <v>373</v>
      </c>
    </row>
    <row r="41" spans="1:18" hidden="1" x14ac:dyDescent="0.3">
      <c r="A41" s="2" t="s">
        <v>143</v>
      </c>
      <c r="B41" s="2" t="s">
        <v>144</v>
      </c>
      <c r="C41" s="2" t="s">
        <v>145</v>
      </c>
      <c r="D41" s="2" t="s">
        <v>146</v>
      </c>
      <c r="E41" s="2" t="s">
        <v>70</v>
      </c>
      <c r="F41" s="3">
        <v>46280</v>
      </c>
      <c r="G41" s="4">
        <v>0</v>
      </c>
      <c r="H41" s="3">
        <v>46280</v>
      </c>
      <c r="I41" s="7">
        <v>-13448</v>
      </c>
      <c r="J41" s="2" t="s">
        <v>71</v>
      </c>
      <c r="K41" s="2" t="s">
        <v>357</v>
      </c>
      <c r="L41" s="21">
        <f t="shared" si="9"/>
        <v>46340</v>
      </c>
      <c r="M41" s="23">
        <f t="shared" ca="1" si="10"/>
        <v>34</v>
      </c>
      <c r="N41" s="21">
        <v>46280</v>
      </c>
      <c r="O41" s="21">
        <f t="shared" si="7"/>
        <v>46280</v>
      </c>
      <c r="P41" s="13">
        <f t="shared" si="11"/>
        <v>-13448</v>
      </c>
      <c r="Q41" s="23">
        <f t="shared" ca="1" si="12"/>
        <v>34</v>
      </c>
      <c r="R41" t="s">
        <v>370</v>
      </c>
    </row>
    <row r="42" spans="1:18" hidden="1" x14ac:dyDescent="0.3">
      <c r="A42" s="2" t="s">
        <v>147</v>
      </c>
      <c r="B42" s="2" t="s">
        <v>148</v>
      </c>
      <c r="C42" s="9" t="s">
        <v>149</v>
      </c>
      <c r="D42" s="2" t="s">
        <v>150</v>
      </c>
      <c r="E42" s="2" t="s">
        <v>10</v>
      </c>
      <c r="F42" s="3">
        <v>46302</v>
      </c>
      <c r="G42" s="4">
        <v>2</v>
      </c>
      <c r="H42" s="3">
        <v>46305</v>
      </c>
      <c r="I42" s="5">
        <v>2453.14</v>
      </c>
      <c r="J42" s="2" t="s">
        <v>11</v>
      </c>
      <c r="K42" s="2" t="s">
        <v>353</v>
      </c>
      <c r="O42" s="21">
        <f t="shared" ref="O42:O43" si="13">H42</f>
        <v>46305</v>
      </c>
      <c r="P42" s="22">
        <f t="shared" ref="P42:P43" si="14">I42/3.457</f>
        <v>709.61527335840321</v>
      </c>
    </row>
    <row r="43" spans="1:18" hidden="1" x14ac:dyDescent="0.3">
      <c r="A43" s="2" t="s">
        <v>147</v>
      </c>
      <c r="B43" s="2" t="s">
        <v>151</v>
      </c>
      <c r="C43" s="9" t="s">
        <v>152</v>
      </c>
      <c r="D43" s="2" t="s">
        <v>153</v>
      </c>
      <c r="E43" s="2" t="s">
        <v>10</v>
      </c>
      <c r="F43" s="3">
        <v>46302</v>
      </c>
      <c r="G43" s="4">
        <v>2</v>
      </c>
      <c r="H43" s="3">
        <v>46305</v>
      </c>
      <c r="I43" s="5">
        <v>176.93</v>
      </c>
      <c r="J43" s="2" t="s">
        <v>11</v>
      </c>
      <c r="K43" s="2" t="s">
        <v>353</v>
      </c>
      <c r="O43" s="21">
        <f t="shared" si="13"/>
        <v>46305</v>
      </c>
      <c r="P43" s="22">
        <f t="shared" si="14"/>
        <v>51.180214058432171</v>
      </c>
    </row>
    <row r="44" spans="1:18" hidden="1" x14ac:dyDescent="0.3">
      <c r="A44" s="2" t="s">
        <v>154</v>
      </c>
      <c r="B44" s="2" t="s">
        <v>155</v>
      </c>
      <c r="C44" s="2" t="s">
        <v>156</v>
      </c>
      <c r="D44" s="2" t="s">
        <v>157</v>
      </c>
      <c r="E44" s="2" t="s">
        <v>10</v>
      </c>
      <c r="F44" s="3">
        <v>46262</v>
      </c>
      <c r="G44" s="4">
        <v>38</v>
      </c>
      <c r="H44" s="3">
        <v>46269</v>
      </c>
      <c r="I44" s="5">
        <v>4293.67</v>
      </c>
      <c r="J44" s="2" t="s">
        <v>71</v>
      </c>
      <c r="K44" s="2" t="s">
        <v>358</v>
      </c>
      <c r="O44" s="21">
        <f>H44</f>
        <v>46269</v>
      </c>
      <c r="P44" s="13">
        <f>I44</f>
        <v>4293.67</v>
      </c>
    </row>
    <row r="45" spans="1:18" hidden="1" x14ac:dyDescent="0.3">
      <c r="A45" s="2" t="s">
        <v>154</v>
      </c>
      <c r="B45" s="2" t="s">
        <v>158</v>
      </c>
      <c r="C45" s="2" t="s">
        <v>159</v>
      </c>
      <c r="D45" s="2" t="s">
        <v>160</v>
      </c>
      <c r="E45" s="2" t="s">
        <v>10</v>
      </c>
      <c r="F45" s="3">
        <v>46267</v>
      </c>
      <c r="G45" s="4">
        <v>33</v>
      </c>
      <c r="H45" s="3">
        <v>46274</v>
      </c>
      <c r="I45" s="5">
        <v>20060</v>
      </c>
      <c r="J45" s="2" t="s">
        <v>71</v>
      </c>
      <c r="K45" s="2" t="s">
        <v>358</v>
      </c>
      <c r="O45" s="21">
        <f t="shared" ref="O45:O59" si="15">H45</f>
        <v>46274</v>
      </c>
      <c r="P45" s="13">
        <f t="shared" ref="P45:P46" si="16">I45</f>
        <v>20060</v>
      </c>
    </row>
    <row r="46" spans="1:18" hidden="1" x14ac:dyDescent="0.3">
      <c r="A46" s="2" t="s">
        <v>154</v>
      </c>
      <c r="B46" s="2" t="s">
        <v>161</v>
      </c>
      <c r="C46" s="2" t="s">
        <v>162</v>
      </c>
      <c r="D46" s="2" t="s">
        <v>163</v>
      </c>
      <c r="E46" s="2" t="s">
        <v>10</v>
      </c>
      <c r="F46" s="3">
        <v>46295</v>
      </c>
      <c r="G46" s="4">
        <v>5</v>
      </c>
      <c r="H46" s="3">
        <v>46302</v>
      </c>
      <c r="I46" s="5">
        <v>20060</v>
      </c>
      <c r="J46" s="2" t="s">
        <v>71</v>
      </c>
      <c r="K46" s="2" t="s">
        <v>358</v>
      </c>
      <c r="O46" s="21">
        <f t="shared" si="15"/>
        <v>46302</v>
      </c>
      <c r="P46" s="13">
        <f t="shared" si="16"/>
        <v>20060</v>
      </c>
    </row>
    <row r="47" spans="1:18" hidden="1" x14ac:dyDescent="0.3">
      <c r="A47" s="2" t="s">
        <v>164</v>
      </c>
      <c r="B47" s="2" t="s">
        <v>165</v>
      </c>
      <c r="C47" s="9" t="s">
        <v>166</v>
      </c>
      <c r="D47" s="2" t="s">
        <v>167</v>
      </c>
      <c r="E47" s="2" t="s">
        <v>70</v>
      </c>
      <c r="F47" s="3">
        <v>46287</v>
      </c>
      <c r="G47" s="4">
        <v>20</v>
      </c>
      <c r="H47" s="3">
        <v>46287</v>
      </c>
      <c r="I47" s="5">
        <v>40</v>
      </c>
      <c r="J47" s="2" t="s">
        <v>11</v>
      </c>
      <c r="K47" s="2" t="s">
        <v>353</v>
      </c>
      <c r="O47" s="21">
        <f t="shared" si="15"/>
        <v>46287</v>
      </c>
      <c r="P47" s="22">
        <f t="shared" ref="P47:P59" si="17">I47/3.457</f>
        <v>11.570726063060457</v>
      </c>
    </row>
    <row r="48" spans="1:18" hidden="1" x14ac:dyDescent="0.3">
      <c r="A48" s="2" t="s">
        <v>164</v>
      </c>
      <c r="B48" s="2" t="s">
        <v>168</v>
      </c>
      <c r="C48" s="9" t="s">
        <v>169</v>
      </c>
      <c r="D48" s="2" t="s">
        <v>170</v>
      </c>
      <c r="E48" s="2" t="s">
        <v>10</v>
      </c>
      <c r="F48" s="3">
        <v>46300</v>
      </c>
      <c r="G48" s="4">
        <v>0</v>
      </c>
      <c r="H48" s="3">
        <v>46307</v>
      </c>
      <c r="I48" s="5">
        <v>914.74</v>
      </c>
      <c r="J48" s="2" t="s">
        <v>11</v>
      </c>
      <c r="K48" s="2" t="s">
        <v>353</v>
      </c>
      <c r="O48" s="21">
        <f t="shared" si="15"/>
        <v>46307</v>
      </c>
      <c r="P48" s="22">
        <f t="shared" si="17"/>
        <v>264.6051489730981</v>
      </c>
    </row>
    <row r="49" spans="1:18" hidden="1" x14ac:dyDescent="0.3">
      <c r="A49" s="2" t="s">
        <v>164</v>
      </c>
      <c r="B49" s="2" t="s">
        <v>171</v>
      </c>
      <c r="C49" s="9" t="s">
        <v>172</v>
      </c>
      <c r="D49" s="2" t="s">
        <v>173</v>
      </c>
      <c r="E49" s="2" t="s">
        <v>10</v>
      </c>
      <c r="F49" s="3">
        <v>46300</v>
      </c>
      <c r="G49" s="4">
        <v>0</v>
      </c>
      <c r="H49" s="3">
        <v>46307</v>
      </c>
      <c r="I49" s="5">
        <v>118</v>
      </c>
      <c r="J49" s="2" t="s">
        <v>11</v>
      </c>
      <c r="K49" s="2" t="s">
        <v>353</v>
      </c>
      <c r="O49" s="21">
        <f t="shared" si="15"/>
        <v>46307</v>
      </c>
      <c r="P49" s="22">
        <f t="shared" si="17"/>
        <v>34.13364188602835</v>
      </c>
    </row>
    <row r="50" spans="1:18" hidden="1" x14ac:dyDescent="0.3">
      <c r="A50" s="2" t="s">
        <v>164</v>
      </c>
      <c r="B50" s="2" t="s">
        <v>174</v>
      </c>
      <c r="C50" s="9" t="s">
        <v>175</v>
      </c>
      <c r="D50" s="2" t="s">
        <v>176</v>
      </c>
      <c r="E50" s="2" t="s">
        <v>10</v>
      </c>
      <c r="F50" s="3">
        <v>46301</v>
      </c>
      <c r="G50" s="6">
        <v>-1</v>
      </c>
      <c r="H50" s="3">
        <v>46308</v>
      </c>
      <c r="I50" s="5">
        <v>1223.19</v>
      </c>
      <c r="J50" s="2" t="s">
        <v>11</v>
      </c>
      <c r="K50" s="2" t="s">
        <v>353</v>
      </c>
      <c r="O50" s="21">
        <f t="shared" si="15"/>
        <v>46308</v>
      </c>
      <c r="P50" s="22">
        <f t="shared" si="17"/>
        <v>353.82991032687306</v>
      </c>
    </row>
    <row r="51" spans="1:18" hidden="1" x14ac:dyDescent="0.3">
      <c r="A51" s="2" t="s">
        <v>164</v>
      </c>
      <c r="B51" s="2" t="s">
        <v>177</v>
      </c>
      <c r="C51" s="9" t="s">
        <v>178</v>
      </c>
      <c r="D51" s="2" t="s">
        <v>179</v>
      </c>
      <c r="E51" s="2" t="s">
        <v>10</v>
      </c>
      <c r="F51" s="3">
        <v>46301</v>
      </c>
      <c r="G51" s="6">
        <v>-1</v>
      </c>
      <c r="H51" s="3">
        <v>46308</v>
      </c>
      <c r="I51" s="5">
        <v>118</v>
      </c>
      <c r="J51" s="2" t="s">
        <v>11</v>
      </c>
      <c r="K51" s="2" t="s">
        <v>353</v>
      </c>
      <c r="O51" s="21">
        <f t="shared" si="15"/>
        <v>46308</v>
      </c>
      <c r="P51" s="22">
        <f t="shared" si="17"/>
        <v>34.13364188602835</v>
      </c>
    </row>
    <row r="52" spans="1:18" hidden="1" x14ac:dyDescent="0.3">
      <c r="A52" s="2" t="s">
        <v>164</v>
      </c>
      <c r="B52" s="2" t="s">
        <v>180</v>
      </c>
      <c r="C52" s="9" t="s">
        <v>181</v>
      </c>
      <c r="D52" s="2" t="s">
        <v>182</v>
      </c>
      <c r="E52" s="2" t="s">
        <v>10</v>
      </c>
      <c r="F52" s="3">
        <v>46301</v>
      </c>
      <c r="G52" s="6">
        <v>-1</v>
      </c>
      <c r="H52" s="3">
        <v>46308</v>
      </c>
      <c r="I52" s="5">
        <v>310.81</v>
      </c>
      <c r="J52" s="2" t="s">
        <v>11</v>
      </c>
      <c r="K52" s="2" t="s">
        <v>353</v>
      </c>
      <c r="O52" s="21">
        <f t="shared" si="15"/>
        <v>46308</v>
      </c>
      <c r="P52" s="22">
        <f t="shared" si="17"/>
        <v>89.907434191495526</v>
      </c>
    </row>
    <row r="53" spans="1:18" hidden="1" x14ac:dyDescent="0.3">
      <c r="A53" s="2" t="s">
        <v>164</v>
      </c>
      <c r="B53" s="2" t="s">
        <v>183</v>
      </c>
      <c r="C53" s="9" t="s">
        <v>184</v>
      </c>
      <c r="D53" s="2" t="s">
        <v>185</v>
      </c>
      <c r="E53" s="2" t="s">
        <v>10</v>
      </c>
      <c r="F53" s="3">
        <v>46301</v>
      </c>
      <c r="G53" s="6">
        <v>-1</v>
      </c>
      <c r="H53" s="3">
        <v>46308</v>
      </c>
      <c r="I53" s="5">
        <v>47.2</v>
      </c>
      <c r="J53" s="2" t="s">
        <v>11</v>
      </c>
      <c r="K53" s="2" t="s">
        <v>353</v>
      </c>
      <c r="O53" s="21">
        <f t="shared" si="15"/>
        <v>46308</v>
      </c>
      <c r="P53" s="22">
        <f t="shared" si="17"/>
        <v>13.653456754411341</v>
      </c>
    </row>
    <row r="54" spans="1:18" hidden="1" x14ac:dyDescent="0.3">
      <c r="A54" s="2" t="s">
        <v>164</v>
      </c>
      <c r="B54" s="2" t="s">
        <v>186</v>
      </c>
      <c r="C54" s="9" t="s">
        <v>187</v>
      </c>
      <c r="D54" s="2" t="s">
        <v>188</v>
      </c>
      <c r="E54" s="2" t="s">
        <v>10</v>
      </c>
      <c r="F54" s="3">
        <v>46302</v>
      </c>
      <c r="G54" s="6">
        <v>-2</v>
      </c>
      <c r="H54" s="3">
        <v>46309</v>
      </c>
      <c r="I54" s="5">
        <v>742.69</v>
      </c>
      <c r="J54" s="2" t="s">
        <v>11</v>
      </c>
      <c r="K54" s="2" t="s">
        <v>353</v>
      </c>
      <c r="O54" s="21">
        <f t="shared" si="15"/>
        <v>46309</v>
      </c>
      <c r="P54" s="22">
        <f t="shared" si="17"/>
        <v>214.8365634943593</v>
      </c>
    </row>
    <row r="55" spans="1:18" hidden="1" x14ac:dyDescent="0.3">
      <c r="A55" s="2" t="s">
        <v>164</v>
      </c>
      <c r="B55" s="2" t="s">
        <v>189</v>
      </c>
      <c r="C55" s="9" t="s">
        <v>190</v>
      </c>
      <c r="D55" s="2" t="s">
        <v>191</v>
      </c>
      <c r="E55" s="2" t="s">
        <v>10</v>
      </c>
      <c r="F55" s="3">
        <v>46302</v>
      </c>
      <c r="G55" s="6">
        <v>-2</v>
      </c>
      <c r="H55" s="3">
        <v>46309</v>
      </c>
      <c r="I55" s="5">
        <v>70.8</v>
      </c>
      <c r="J55" s="2" t="s">
        <v>11</v>
      </c>
      <c r="K55" s="2" t="s">
        <v>353</v>
      </c>
      <c r="O55" s="21">
        <f t="shared" si="15"/>
        <v>46309</v>
      </c>
      <c r="P55" s="22">
        <f t="shared" si="17"/>
        <v>20.480185131617009</v>
      </c>
    </row>
    <row r="56" spans="1:18" hidden="1" x14ac:dyDescent="0.3">
      <c r="A56" s="2" t="s">
        <v>164</v>
      </c>
      <c r="B56" s="2" t="s">
        <v>192</v>
      </c>
      <c r="C56" s="9" t="s">
        <v>193</v>
      </c>
      <c r="D56" s="2" t="s">
        <v>194</v>
      </c>
      <c r="E56" s="2" t="s">
        <v>10</v>
      </c>
      <c r="F56" s="3">
        <v>46302</v>
      </c>
      <c r="G56" s="6">
        <v>-2</v>
      </c>
      <c r="H56" s="3">
        <v>46309</v>
      </c>
      <c r="I56" s="5">
        <v>915.92</v>
      </c>
      <c r="J56" s="2" t="s">
        <v>11</v>
      </c>
      <c r="K56" s="2" t="s">
        <v>353</v>
      </c>
      <c r="O56" s="21">
        <f t="shared" si="15"/>
        <v>46309</v>
      </c>
      <c r="P56" s="22">
        <f t="shared" si="17"/>
        <v>264.94648539195833</v>
      </c>
    </row>
    <row r="57" spans="1:18" hidden="1" x14ac:dyDescent="0.3">
      <c r="A57" s="2" t="s">
        <v>164</v>
      </c>
      <c r="B57" s="2" t="s">
        <v>195</v>
      </c>
      <c r="C57" s="9" t="s">
        <v>196</v>
      </c>
      <c r="D57" s="2" t="s">
        <v>197</v>
      </c>
      <c r="E57" s="2" t="s">
        <v>10</v>
      </c>
      <c r="F57" s="3">
        <v>46302</v>
      </c>
      <c r="G57" s="6">
        <v>-2</v>
      </c>
      <c r="H57" s="3">
        <v>46309</v>
      </c>
      <c r="I57" s="5">
        <v>118</v>
      </c>
      <c r="J57" s="2" t="s">
        <v>11</v>
      </c>
      <c r="K57" s="2" t="s">
        <v>353</v>
      </c>
      <c r="O57" s="21">
        <f t="shared" si="15"/>
        <v>46309</v>
      </c>
      <c r="P57" s="22">
        <f t="shared" si="17"/>
        <v>34.13364188602835</v>
      </c>
    </row>
    <row r="58" spans="1:18" hidden="1" x14ac:dyDescent="0.3">
      <c r="A58" s="2" t="s">
        <v>164</v>
      </c>
      <c r="B58" s="2" t="s">
        <v>198</v>
      </c>
      <c r="C58" s="9" t="s">
        <v>199</v>
      </c>
      <c r="D58" s="2" t="s">
        <v>200</v>
      </c>
      <c r="E58" s="2" t="s">
        <v>10</v>
      </c>
      <c r="F58" s="3">
        <v>46304</v>
      </c>
      <c r="G58" s="6">
        <v>-4</v>
      </c>
      <c r="H58" s="3">
        <v>46311</v>
      </c>
      <c r="I58" s="5">
        <v>329.93</v>
      </c>
      <c r="J58" s="2" t="s">
        <v>11</v>
      </c>
      <c r="K58" s="2" t="s">
        <v>353</v>
      </c>
      <c r="O58" s="21">
        <f t="shared" si="15"/>
        <v>46311</v>
      </c>
      <c r="P58" s="22">
        <f t="shared" si="17"/>
        <v>95.438241249638423</v>
      </c>
    </row>
    <row r="59" spans="1:18" hidden="1" x14ac:dyDescent="0.3">
      <c r="A59" s="2" t="s">
        <v>164</v>
      </c>
      <c r="B59" s="2" t="s">
        <v>201</v>
      </c>
      <c r="C59" s="9" t="s">
        <v>202</v>
      </c>
      <c r="D59" s="2" t="s">
        <v>203</v>
      </c>
      <c r="E59" s="2" t="s">
        <v>10</v>
      </c>
      <c r="F59" s="3">
        <v>46304</v>
      </c>
      <c r="G59" s="6">
        <v>-4</v>
      </c>
      <c r="H59" s="3">
        <v>46311</v>
      </c>
      <c r="I59" s="5">
        <v>47.2</v>
      </c>
      <c r="J59" s="2" t="s">
        <v>11</v>
      </c>
      <c r="K59" s="2" t="s">
        <v>353</v>
      </c>
      <c r="O59" s="21">
        <f t="shared" si="15"/>
        <v>46311</v>
      </c>
      <c r="P59" s="22">
        <f t="shared" si="17"/>
        <v>13.653456754411341</v>
      </c>
    </row>
    <row r="60" spans="1:18" hidden="1" x14ac:dyDescent="0.3">
      <c r="A60" s="2" t="s">
        <v>204</v>
      </c>
      <c r="B60" s="2" t="s">
        <v>205</v>
      </c>
      <c r="C60" s="2" t="s">
        <v>206</v>
      </c>
      <c r="D60" s="2" t="s">
        <v>207</v>
      </c>
      <c r="E60" s="2" t="s">
        <v>70</v>
      </c>
      <c r="F60" s="3">
        <v>46220</v>
      </c>
      <c r="G60" s="4">
        <v>87</v>
      </c>
      <c r="H60" s="3">
        <v>46220</v>
      </c>
      <c r="I60" s="5">
        <v>921.06</v>
      </c>
      <c r="J60" s="2" t="s">
        <v>71</v>
      </c>
      <c r="K60" s="2" t="s">
        <v>357</v>
      </c>
      <c r="L60" s="21">
        <f>F60+60</f>
        <v>46280</v>
      </c>
      <c r="M60" s="23">
        <f ca="1">TODAY()-N60</f>
        <v>4</v>
      </c>
      <c r="N60" s="21">
        <v>46310</v>
      </c>
      <c r="O60" s="24">
        <v>46310</v>
      </c>
      <c r="P60" s="26">
        <f>I60</f>
        <v>921.06</v>
      </c>
      <c r="Q60" s="23">
        <f ca="1">TODAY()-F60</f>
        <v>94</v>
      </c>
      <c r="R60" t="s">
        <v>372</v>
      </c>
    </row>
    <row r="61" spans="1:18" hidden="1" x14ac:dyDescent="0.3">
      <c r="A61" s="2" t="s">
        <v>208</v>
      </c>
      <c r="B61" s="2" t="s">
        <v>209</v>
      </c>
      <c r="C61" s="9" t="s">
        <v>210</v>
      </c>
      <c r="D61" s="2" t="s">
        <v>211</v>
      </c>
      <c r="E61" s="2" t="s">
        <v>10</v>
      </c>
      <c r="F61" s="3">
        <v>45964</v>
      </c>
      <c r="G61" s="4">
        <v>336</v>
      </c>
      <c r="H61" s="3">
        <v>45971</v>
      </c>
      <c r="I61" s="5">
        <v>1403.26</v>
      </c>
      <c r="J61" s="2" t="s">
        <v>11</v>
      </c>
      <c r="K61" s="2" t="s">
        <v>359</v>
      </c>
      <c r="O61" s="21">
        <f>H61</f>
        <v>45971</v>
      </c>
      <c r="P61" s="22">
        <f>I61/3.457</f>
        <v>405.91842638125541</v>
      </c>
    </row>
    <row r="62" spans="1:18" hidden="1" x14ac:dyDescent="0.3">
      <c r="A62" s="2" t="s">
        <v>208</v>
      </c>
      <c r="B62" s="2" t="s">
        <v>212</v>
      </c>
      <c r="C62" s="9" t="s">
        <v>213</v>
      </c>
      <c r="D62" s="2" t="s">
        <v>214</v>
      </c>
      <c r="E62" s="2" t="s">
        <v>10</v>
      </c>
      <c r="F62" s="3">
        <v>45964</v>
      </c>
      <c r="G62" s="4">
        <v>336</v>
      </c>
      <c r="H62" s="3">
        <v>45971</v>
      </c>
      <c r="I62" s="5">
        <v>141.6</v>
      </c>
      <c r="J62" s="2" t="s">
        <v>11</v>
      </c>
      <c r="K62" s="2" t="s">
        <v>359</v>
      </c>
      <c r="O62" s="21">
        <f t="shared" ref="O62:O82" si="18">H62</f>
        <v>45971</v>
      </c>
      <c r="P62" s="22">
        <f t="shared" ref="P62:P82" si="19">I62/3.457</f>
        <v>40.960370263234019</v>
      </c>
    </row>
    <row r="63" spans="1:18" hidden="1" x14ac:dyDescent="0.3">
      <c r="A63" s="2" t="s">
        <v>208</v>
      </c>
      <c r="B63" s="2" t="s">
        <v>215</v>
      </c>
      <c r="C63" s="9" t="s">
        <v>216</v>
      </c>
      <c r="D63" s="2" t="s">
        <v>217</v>
      </c>
      <c r="E63" s="2" t="s">
        <v>10</v>
      </c>
      <c r="F63" s="3">
        <v>45967</v>
      </c>
      <c r="G63" s="4">
        <v>333</v>
      </c>
      <c r="H63" s="3">
        <v>45974</v>
      </c>
      <c r="I63" s="5">
        <v>1193.22</v>
      </c>
      <c r="J63" s="2" t="s">
        <v>11</v>
      </c>
      <c r="K63" s="2" t="s">
        <v>359</v>
      </c>
      <c r="O63" s="21">
        <f t="shared" si="18"/>
        <v>45974</v>
      </c>
      <c r="P63" s="22">
        <f t="shared" si="19"/>
        <v>345.160543824125</v>
      </c>
    </row>
    <row r="64" spans="1:18" hidden="1" x14ac:dyDescent="0.3">
      <c r="A64" s="2" t="s">
        <v>208</v>
      </c>
      <c r="B64" s="2" t="s">
        <v>218</v>
      </c>
      <c r="C64" s="9" t="s">
        <v>219</v>
      </c>
      <c r="D64" s="2" t="s">
        <v>220</v>
      </c>
      <c r="E64" s="2" t="s">
        <v>10</v>
      </c>
      <c r="F64" s="3">
        <v>45967</v>
      </c>
      <c r="G64" s="4">
        <v>333</v>
      </c>
      <c r="H64" s="3">
        <v>45974</v>
      </c>
      <c r="I64" s="5">
        <v>106.2</v>
      </c>
      <c r="J64" s="2" t="s">
        <v>11</v>
      </c>
      <c r="K64" s="2" t="s">
        <v>359</v>
      </c>
      <c r="O64" s="21">
        <f t="shared" si="18"/>
        <v>45974</v>
      </c>
      <c r="P64" s="22">
        <f t="shared" si="19"/>
        <v>30.720277697425516</v>
      </c>
    </row>
    <row r="65" spans="1:16" hidden="1" x14ac:dyDescent="0.3">
      <c r="A65" s="2" t="s">
        <v>208</v>
      </c>
      <c r="B65" s="2" t="s">
        <v>221</v>
      </c>
      <c r="C65" s="9" t="s">
        <v>222</v>
      </c>
      <c r="D65" s="2" t="s">
        <v>223</v>
      </c>
      <c r="E65" s="2" t="s">
        <v>10</v>
      </c>
      <c r="F65" s="3">
        <v>46148</v>
      </c>
      <c r="G65" s="4">
        <v>152</v>
      </c>
      <c r="H65" s="3">
        <v>46155</v>
      </c>
      <c r="I65" s="5">
        <v>23.6</v>
      </c>
      <c r="J65" s="2" t="s">
        <v>11</v>
      </c>
      <c r="K65" s="2" t="s">
        <v>359</v>
      </c>
      <c r="O65" s="21">
        <f t="shared" si="18"/>
        <v>46155</v>
      </c>
      <c r="P65" s="22">
        <f t="shared" si="19"/>
        <v>6.8267283772056704</v>
      </c>
    </row>
    <row r="66" spans="1:16" hidden="1" x14ac:dyDescent="0.3">
      <c r="A66" s="2" t="s">
        <v>208</v>
      </c>
      <c r="B66" s="2" t="s">
        <v>224</v>
      </c>
      <c r="C66" s="9" t="s">
        <v>225</v>
      </c>
      <c r="D66" s="2" t="s">
        <v>226</v>
      </c>
      <c r="E66" s="2" t="s">
        <v>10</v>
      </c>
      <c r="F66" s="3">
        <v>46148</v>
      </c>
      <c r="G66" s="4">
        <v>152</v>
      </c>
      <c r="H66" s="3">
        <v>46155</v>
      </c>
      <c r="I66" s="5">
        <v>261.49</v>
      </c>
      <c r="J66" s="2" t="s">
        <v>11</v>
      </c>
      <c r="K66" s="2" t="s">
        <v>359</v>
      </c>
      <c r="O66" s="21">
        <f t="shared" si="18"/>
        <v>46155</v>
      </c>
      <c r="P66" s="22">
        <f t="shared" si="19"/>
        <v>75.640728955741977</v>
      </c>
    </row>
    <row r="67" spans="1:16" hidden="1" x14ac:dyDescent="0.3">
      <c r="A67" s="2" t="s">
        <v>208</v>
      </c>
      <c r="B67" s="2" t="s">
        <v>227</v>
      </c>
      <c r="C67" s="9" t="s">
        <v>228</v>
      </c>
      <c r="D67" s="2" t="s">
        <v>229</v>
      </c>
      <c r="E67" s="2" t="s">
        <v>10</v>
      </c>
      <c r="F67" s="3">
        <v>46148</v>
      </c>
      <c r="G67" s="4">
        <v>152</v>
      </c>
      <c r="H67" s="3">
        <v>46155</v>
      </c>
      <c r="I67" s="5">
        <v>387.51</v>
      </c>
      <c r="J67" s="2" t="s">
        <v>11</v>
      </c>
      <c r="K67" s="2" t="s">
        <v>359</v>
      </c>
      <c r="O67" s="21">
        <f t="shared" si="18"/>
        <v>46155</v>
      </c>
      <c r="P67" s="22">
        <f t="shared" si="19"/>
        <v>112.09430141741394</v>
      </c>
    </row>
    <row r="68" spans="1:16" hidden="1" x14ac:dyDescent="0.3">
      <c r="A68" s="2" t="s">
        <v>208</v>
      </c>
      <c r="B68" s="2" t="s">
        <v>230</v>
      </c>
      <c r="C68" s="9" t="s">
        <v>231</v>
      </c>
      <c r="D68" s="2" t="s">
        <v>232</v>
      </c>
      <c r="E68" s="2" t="s">
        <v>10</v>
      </c>
      <c r="F68" s="3">
        <v>46148</v>
      </c>
      <c r="G68" s="4">
        <v>152</v>
      </c>
      <c r="H68" s="3">
        <v>46155</v>
      </c>
      <c r="I68" s="5">
        <v>35.4</v>
      </c>
      <c r="J68" s="2" t="s">
        <v>11</v>
      </c>
      <c r="K68" s="2" t="s">
        <v>359</v>
      </c>
      <c r="O68" s="21">
        <f t="shared" si="18"/>
        <v>46155</v>
      </c>
      <c r="P68" s="22">
        <f t="shared" si="19"/>
        <v>10.240092565808505</v>
      </c>
    </row>
    <row r="69" spans="1:16" hidden="1" x14ac:dyDescent="0.3">
      <c r="A69" s="2" t="s">
        <v>208</v>
      </c>
      <c r="B69" s="2" t="s">
        <v>233</v>
      </c>
      <c r="C69" s="9" t="s">
        <v>234</v>
      </c>
      <c r="D69" s="2" t="s">
        <v>235</v>
      </c>
      <c r="E69" s="2" t="s">
        <v>10</v>
      </c>
      <c r="F69" s="3">
        <v>46154</v>
      </c>
      <c r="G69" s="4">
        <v>146</v>
      </c>
      <c r="H69" s="3">
        <v>46161</v>
      </c>
      <c r="I69" s="5">
        <v>482.86</v>
      </c>
      <c r="J69" s="2" t="s">
        <v>11</v>
      </c>
      <c r="K69" s="2" t="s">
        <v>359</v>
      </c>
      <c r="O69" s="21">
        <f t="shared" si="18"/>
        <v>46161</v>
      </c>
      <c r="P69" s="22">
        <f t="shared" si="19"/>
        <v>139.67601967023433</v>
      </c>
    </row>
    <row r="70" spans="1:16" hidden="1" x14ac:dyDescent="0.3">
      <c r="A70" s="2" t="s">
        <v>208</v>
      </c>
      <c r="B70" s="2" t="s">
        <v>236</v>
      </c>
      <c r="C70" s="9" t="s">
        <v>237</v>
      </c>
      <c r="D70" s="2" t="s">
        <v>238</v>
      </c>
      <c r="E70" s="2" t="s">
        <v>10</v>
      </c>
      <c r="F70" s="3">
        <v>46154</v>
      </c>
      <c r="G70" s="4">
        <v>146</v>
      </c>
      <c r="H70" s="3">
        <v>46161</v>
      </c>
      <c r="I70" s="5">
        <v>47.2</v>
      </c>
      <c r="J70" s="2" t="s">
        <v>11</v>
      </c>
      <c r="K70" s="2" t="s">
        <v>359</v>
      </c>
      <c r="O70" s="21">
        <f t="shared" si="18"/>
        <v>46161</v>
      </c>
      <c r="P70" s="22">
        <f t="shared" si="19"/>
        <v>13.653456754411341</v>
      </c>
    </row>
    <row r="71" spans="1:16" hidden="1" x14ac:dyDescent="0.3">
      <c r="A71" s="2" t="s">
        <v>208</v>
      </c>
      <c r="B71" s="2" t="s">
        <v>239</v>
      </c>
      <c r="C71" s="9" t="s">
        <v>240</v>
      </c>
      <c r="D71" s="2" t="s">
        <v>241</v>
      </c>
      <c r="E71" s="2" t="s">
        <v>10</v>
      </c>
      <c r="F71" s="3">
        <v>46158</v>
      </c>
      <c r="G71" s="4">
        <v>142</v>
      </c>
      <c r="H71" s="3">
        <v>46165</v>
      </c>
      <c r="I71" s="5">
        <v>544.45000000000005</v>
      </c>
      <c r="J71" s="2" t="s">
        <v>11</v>
      </c>
      <c r="K71" s="2" t="s">
        <v>359</v>
      </c>
      <c r="O71" s="21">
        <f t="shared" si="18"/>
        <v>46165</v>
      </c>
      <c r="P71" s="22">
        <f t="shared" si="19"/>
        <v>157.49204512583165</v>
      </c>
    </row>
    <row r="72" spans="1:16" hidden="1" x14ac:dyDescent="0.3">
      <c r="A72" s="2" t="s">
        <v>208</v>
      </c>
      <c r="B72" s="2" t="s">
        <v>242</v>
      </c>
      <c r="C72" s="9" t="s">
        <v>243</v>
      </c>
      <c r="D72" s="2" t="s">
        <v>244</v>
      </c>
      <c r="E72" s="2" t="s">
        <v>10</v>
      </c>
      <c r="F72" s="3">
        <v>46158</v>
      </c>
      <c r="G72" s="4">
        <v>142</v>
      </c>
      <c r="H72" s="3">
        <v>46165</v>
      </c>
      <c r="I72" s="5">
        <v>47.2</v>
      </c>
      <c r="J72" s="2" t="s">
        <v>11</v>
      </c>
      <c r="K72" s="2" t="s">
        <v>359</v>
      </c>
      <c r="O72" s="21">
        <f t="shared" si="18"/>
        <v>46165</v>
      </c>
      <c r="P72" s="22">
        <f t="shared" si="19"/>
        <v>13.653456754411341</v>
      </c>
    </row>
    <row r="73" spans="1:16" hidden="1" x14ac:dyDescent="0.3">
      <c r="A73" s="2" t="s">
        <v>208</v>
      </c>
      <c r="B73" s="2" t="s">
        <v>245</v>
      </c>
      <c r="C73" s="9" t="s">
        <v>246</v>
      </c>
      <c r="D73" s="2" t="s">
        <v>247</v>
      </c>
      <c r="E73" s="2" t="s">
        <v>10</v>
      </c>
      <c r="F73" s="3">
        <v>46169</v>
      </c>
      <c r="G73" s="4">
        <v>131</v>
      </c>
      <c r="H73" s="3">
        <v>46176</v>
      </c>
      <c r="I73" s="5">
        <v>591.65</v>
      </c>
      <c r="J73" s="2" t="s">
        <v>11</v>
      </c>
      <c r="K73" s="2" t="s">
        <v>359</v>
      </c>
      <c r="O73" s="21">
        <f t="shared" si="18"/>
        <v>46176</v>
      </c>
      <c r="P73" s="22">
        <f t="shared" si="19"/>
        <v>171.14550188024299</v>
      </c>
    </row>
    <row r="74" spans="1:16" hidden="1" x14ac:dyDescent="0.3">
      <c r="A74" s="2" t="s">
        <v>208</v>
      </c>
      <c r="B74" s="2" t="s">
        <v>248</v>
      </c>
      <c r="C74" s="9" t="s">
        <v>249</v>
      </c>
      <c r="D74" s="2" t="s">
        <v>250</v>
      </c>
      <c r="E74" s="2" t="s">
        <v>10</v>
      </c>
      <c r="F74" s="3">
        <v>46169</v>
      </c>
      <c r="G74" s="4">
        <v>131</v>
      </c>
      <c r="H74" s="3">
        <v>46176</v>
      </c>
      <c r="I74" s="5">
        <v>70.8</v>
      </c>
      <c r="J74" s="2" t="s">
        <v>11</v>
      </c>
      <c r="K74" s="2" t="s">
        <v>359</v>
      </c>
      <c r="O74" s="21">
        <f t="shared" si="18"/>
        <v>46176</v>
      </c>
      <c r="P74" s="22">
        <f t="shared" si="19"/>
        <v>20.480185131617009</v>
      </c>
    </row>
    <row r="75" spans="1:16" hidden="1" x14ac:dyDescent="0.3">
      <c r="A75" s="2" t="s">
        <v>208</v>
      </c>
      <c r="B75" s="2" t="s">
        <v>251</v>
      </c>
      <c r="C75" s="9" t="s">
        <v>252</v>
      </c>
      <c r="D75" s="2" t="s">
        <v>253</v>
      </c>
      <c r="E75" s="2" t="s">
        <v>10</v>
      </c>
      <c r="F75" s="3">
        <v>46175</v>
      </c>
      <c r="G75" s="4">
        <v>125</v>
      </c>
      <c r="H75" s="3">
        <v>46182</v>
      </c>
      <c r="I75" s="5">
        <v>185.97</v>
      </c>
      <c r="J75" s="2" t="s">
        <v>11</v>
      </c>
      <c r="K75" s="2" t="s">
        <v>359</v>
      </c>
      <c r="O75" s="21">
        <f t="shared" si="18"/>
        <v>46182</v>
      </c>
      <c r="P75" s="22">
        <f t="shared" si="19"/>
        <v>53.795198148683831</v>
      </c>
    </row>
    <row r="76" spans="1:16" hidden="1" x14ac:dyDescent="0.3">
      <c r="A76" s="2" t="s">
        <v>208</v>
      </c>
      <c r="B76" s="2" t="s">
        <v>254</v>
      </c>
      <c r="C76" s="9" t="s">
        <v>255</v>
      </c>
      <c r="D76" s="2" t="s">
        <v>256</v>
      </c>
      <c r="E76" s="2" t="s">
        <v>10</v>
      </c>
      <c r="F76" s="3">
        <v>46175</v>
      </c>
      <c r="G76" s="4">
        <v>125</v>
      </c>
      <c r="H76" s="3">
        <v>46182</v>
      </c>
      <c r="I76" s="5">
        <v>23.6</v>
      </c>
      <c r="J76" s="2" t="s">
        <v>11</v>
      </c>
      <c r="K76" s="2" t="s">
        <v>359</v>
      </c>
      <c r="O76" s="21">
        <f t="shared" si="18"/>
        <v>46182</v>
      </c>
      <c r="P76" s="22">
        <f t="shared" si="19"/>
        <v>6.8267283772056704</v>
      </c>
    </row>
    <row r="77" spans="1:16" hidden="1" x14ac:dyDescent="0.3">
      <c r="A77" s="2" t="s">
        <v>208</v>
      </c>
      <c r="B77" s="2" t="s">
        <v>257</v>
      </c>
      <c r="C77" s="9" t="s">
        <v>258</v>
      </c>
      <c r="D77" s="2" t="s">
        <v>259</v>
      </c>
      <c r="E77" s="2" t="s">
        <v>10</v>
      </c>
      <c r="F77" s="3">
        <v>46186</v>
      </c>
      <c r="G77" s="4">
        <v>114</v>
      </c>
      <c r="H77" s="3">
        <v>46193</v>
      </c>
      <c r="I77" s="5">
        <v>535.25</v>
      </c>
      <c r="J77" s="2" t="s">
        <v>11</v>
      </c>
      <c r="K77" s="2" t="s">
        <v>359</v>
      </c>
      <c r="O77" s="21">
        <f t="shared" si="18"/>
        <v>46193</v>
      </c>
      <c r="P77" s="22">
        <f t="shared" si="19"/>
        <v>154.83077813132775</v>
      </c>
    </row>
    <row r="78" spans="1:16" hidden="1" x14ac:dyDescent="0.3">
      <c r="A78" s="2" t="s">
        <v>208</v>
      </c>
      <c r="B78" s="2" t="s">
        <v>260</v>
      </c>
      <c r="C78" s="9" t="s">
        <v>261</v>
      </c>
      <c r="D78" s="2" t="s">
        <v>262</v>
      </c>
      <c r="E78" s="2" t="s">
        <v>10</v>
      </c>
      <c r="F78" s="3">
        <v>46186</v>
      </c>
      <c r="G78" s="4">
        <v>114</v>
      </c>
      <c r="H78" s="3">
        <v>46193</v>
      </c>
      <c r="I78" s="5">
        <v>70.8</v>
      </c>
      <c r="J78" s="2" t="s">
        <v>11</v>
      </c>
      <c r="K78" s="2" t="s">
        <v>359</v>
      </c>
      <c r="O78" s="21">
        <f t="shared" si="18"/>
        <v>46193</v>
      </c>
      <c r="P78" s="22">
        <f t="shared" si="19"/>
        <v>20.480185131617009</v>
      </c>
    </row>
    <row r="79" spans="1:16" hidden="1" x14ac:dyDescent="0.3">
      <c r="A79" s="2" t="s">
        <v>208</v>
      </c>
      <c r="B79" s="2" t="s">
        <v>263</v>
      </c>
      <c r="C79" s="9" t="s">
        <v>264</v>
      </c>
      <c r="D79" s="2" t="s">
        <v>265</v>
      </c>
      <c r="E79" s="2" t="s">
        <v>10</v>
      </c>
      <c r="F79" s="3">
        <v>46206</v>
      </c>
      <c r="G79" s="4">
        <v>94</v>
      </c>
      <c r="H79" s="3">
        <v>46213</v>
      </c>
      <c r="I79" s="5">
        <v>449.11</v>
      </c>
      <c r="J79" s="2" t="s">
        <v>11</v>
      </c>
      <c r="K79" s="2" t="s">
        <v>359</v>
      </c>
      <c r="O79" s="21">
        <f t="shared" si="18"/>
        <v>46213</v>
      </c>
      <c r="P79" s="22">
        <f t="shared" si="19"/>
        <v>129.91321955452705</v>
      </c>
    </row>
    <row r="80" spans="1:16" hidden="1" x14ac:dyDescent="0.3">
      <c r="A80" s="2" t="s">
        <v>208</v>
      </c>
      <c r="B80" s="2" t="s">
        <v>266</v>
      </c>
      <c r="C80" s="9" t="s">
        <v>267</v>
      </c>
      <c r="D80" s="2" t="s">
        <v>268</v>
      </c>
      <c r="E80" s="2" t="s">
        <v>10</v>
      </c>
      <c r="F80" s="3">
        <v>46206</v>
      </c>
      <c r="G80" s="4">
        <v>94</v>
      </c>
      <c r="H80" s="3">
        <v>46213</v>
      </c>
      <c r="I80" s="5">
        <v>35.4</v>
      </c>
      <c r="J80" s="2" t="s">
        <v>11</v>
      </c>
      <c r="K80" s="2" t="s">
        <v>359</v>
      </c>
      <c r="O80" s="21">
        <f t="shared" si="18"/>
        <v>46213</v>
      </c>
      <c r="P80" s="22">
        <f t="shared" si="19"/>
        <v>10.240092565808505</v>
      </c>
    </row>
    <row r="81" spans="1:18" hidden="1" x14ac:dyDescent="0.3">
      <c r="A81" s="2" t="s">
        <v>208</v>
      </c>
      <c r="B81" s="2" t="s">
        <v>269</v>
      </c>
      <c r="C81" s="9" t="s">
        <v>270</v>
      </c>
      <c r="D81" s="2" t="s">
        <v>271</v>
      </c>
      <c r="E81" s="2" t="s">
        <v>10</v>
      </c>
      <c r="F81" s="3">
        <v>46220</v>
      </c>
      <c r="G81" s="4">
        <v>80</v>
      </c>
      <c r="H81" s="3">
        <v>46227</v>
      </c>
      <c r="I81" s="5">
        <v>355.65</v>
      </c>
      <c r="J81" s="2" t="s">
        <v>11</v>
      </c>
      <c r="K81" s="2" t="s">
        <v>359</v>
      </c>
      <c r="O81" s="21">
        <f t="shared" si="18"/>
        <v>46227</v>
      </c>
      <c r="P81" s="22">
        <f t="shared" si="19"/>
        <v>102.87821810818629</v>
      </c>
    </row>
    <row r="82" spans="1:18" hidden="1" x14ac:dyDescent="0.3">
      <c r="A82" s="2" t="s">
        <v>208</v>
      </c>
      <c r="B82" s="2" t="s">
        <v>272</v>
      </c>
      <c r="C82" s="9" t="s">
        <v>273</v>
      </c>
      <c r="D82" s="2" t="s">
        <v>274</v>
      </c>
      <c r="E82" s="2" t="s">
        <v>10</v>
      </c>
      <c r="F82" s="3">
        <v>46220</v>
      </c>
      <c r="G82" s="4">
        <v>80</v>
      </c>
      <c r="H82" s="3">
        <v>46227</v>
      </c>
      <c r="I82" s="5">
        <v>47.2</v>
      </c>
      <c r="J82" s="2" t="s">
        <v>11</v>
      </c>
      <c r="K82" s="2" t="s">
        <v>359</v>
      </c>
      <c r="O82" s="21">
        <f t="shared" si="18"/>
        <v>46227</v>
      </c>
      <c r="P82" s="22">
        <f t="shared" si="19"/>
        <v>13.653456754411341</v>
      </c>
    </row>
    <row r="83" spans="1:18" hidden="1" x14ac:dyDescent="0.3">
      <c r="A83" s="2" t="s">
        <v>275</v>
      </c>
      <c r="B83" s="2" t="s">
        <v>276</v>
      </c>
      <c r="C83" s="9" t="s">
        <v>277</v>
      </c>
      <c r="D83" s="2" t="s">
        <v>278</v>
      </c>
      <c r="E83" s="2" t="s">
        <v>70</v>
      </c>
      <c r="F83" s="3">
        <v>46218</v>
      </c>
      <c r="G83" s="4">
        <v>89</v>
      </c>
      <c r="H83" s="3">
        <v>46218</v>
      </c>
      <c r="I83" s="5">
        <v>23.6</v>
      </c>
      <c r="J83" s="2" t="s">
        <v>11</v>
      </c>
      <c r="K83" s="2" t="s">
        <v>353</v>
      </c>
      <c r="O83" s="21">
        <f t="shared" ref="O83:O84" si="20">H83</f>
        <v>46218</v>
      </c>
      <c r="P83" s="22">
        <f t="shared" ref="P83:P84" si="21">I83/3.457</f>
        <v>6.8267283772056704</v>
      </c>
    </row>
    <row r="84" spans="1:18" hidden="1" x14ac:dyDescent="0.3">
      <c r="A84" s="2" t="s">
        <v>279</v>
      </c>
      <c r="B84" s="2" t="s">
        <v>280</v>
      </c>
      <c r="C84" s="9" t="s">
        <v>281</v>
      </c>
      <c r="D84" s="2" t="s">
        <v>282</v>
      </c>
      <c r="E84" s="2" t="s">
        <v>10</v>
      </c>
      <c r="F84" s="3">
        <v>46290</v>
      </c>
      <c r="G84" s="4">
        <v>10</v>
      </c>
      <c r="H84" s="3">
        <v>46297</v>
      </c>
      <c r="I84" s="5">
        <v>1515.12</v>
      </c>
      <c r="J84" s="2" t="s">
        <v>11</v>
      </c>
      <c r="K84" s="2" t="s">
        <v>353</v>
      </c>
      <c r="O84" s="21">
        <f t="shared" si="20"/>
        <v>46297</v>
      </c>
      <c r="P84" s="22">
        <f t="shared" si="21"/>
        <v>438.27596181660397</v>
      </c>
    </row>
    <row r="85" spans="1:18" hidden="1" x14ac:dyDescent="0.3">
      <c r="A85" s="2" t="s">
        <v>283</v>
      </c>
      <c r="B85" s="2" t="s">
        <v>284</v>
      </c>
      <c r="C85" s="9" t="s">
        <v>285</v>
      </c>
      <c r="D85" s="2" t="s">
        <v>286</v>
      </c>
      <c r="E85" s="2" t="s">
        <v>70</v>
      </c>
      <c r="F85" s="3">
        <v>45951</v>
      </c>
      <c r="G85" s="4">
        <v>356</v>
      </c>
      <c r="H85" s="3">
        <v>45951</v>
      </c>
      <c r="I85" s="5">
        <v>4460</v>
      </c>
      <c r="J85" s="2" t="s">
        <v>11</v>
      </c>
      <c r="K85" s="2" t="s">
        <v>354</v>
      </c>
      <c r="O85" s="21">
        <f>H85</f>
        <v>45951</v>
      </c>
      <c r="P85" s="22">
        <f>I85/3.457</f>
        <v>1290.135956031241</v>
      </c>
    </row>
    <row r="86" spans="1:18" hidden="1" x14ac:dyDescent="0.3">
      <c r="A86" s="2" t="s">
        <v>283</v>
      </c>
      <c r="B86" s="2" t="s">
        <v>287</v>
      </c>
      <c r="C86" s="9" t="s">
        <v>288</v>
      </c>
      <c r="D86" s="2" t="s">
        <v>289</v>
      </c>
      <c r="E86" s="2" t="s">
        <v>10</v>
      </c>
      <c r="F86" s="3">
        <v>45965</v>
      </c>
      <c r="G86" s="4">
        <v>335</v>
      </c>
      <c r="H86" s="3">
        <v>45972</v>
      </c>
      <c r="I86" s="5">
        <v>7097.98</v>
      </c>
      <c r="J86" s="2" t="s">
        <v>11</v>
      </c>
      <c r="K86" s="2" t="s">
        <v>354</v>
      </c>
      <c r="O86" s="21">
        <f t="shared" ref="O86:O88" si="22">H86</f>
        <v>45972</v>
      </c>
      <c r="P86" s="22">
        <f t="shared" ref="P86:P88" si="23">I86/3.457</f>
        <v>2053.2195545270465</v>
      </c>
    </row>
    <row r="87" spans="1:18" hidden="1" x14ac:dyDescent="0.3">
      <c r="A87" s="2" t="s">
        <v>283</v>
      </c>
      <c r="B87" s="2" t="s">
        <v>290</v>
      </c>
      <c r="C87" s="9" t="s">
        <v>291</v>
      </c>
      <c r="D87" s="2" t="s">
        <v>292</v>
      </c>
      <c r="E87" s="2" t="s">
        <v>10</v>
      </c>
      <c r="F87" s="3">
        <v>46053</v>
      </c>
      <c r="G87" s="4">
        <v>247</v>
      </c>
      <c r="H87" s="3">
        <v>46060</v>
      </c>
      <c r="I87" s="5">
        <v>4003.46</v>
      </c>
      <c r="J87" s="2" t="s">
        <v>11</v>
      </c>
      <c r="K87" s="2" t="s">
        <v>354</v>
      </c>
      <c r="O87" s="21">
        <f t="shared" si="22"/>
        <v>46060</v>
      </c>
      <c r="P87" s="22">
        <f t="shared" si="23"/>
        <v>1158.0734741105005</v>
      </c>
    </row>
    <row r="88" spans="1:18" hidden="1" x14ac:dyDescent="0.3">
      <c r="A88" s="2" t="s">
        <v>283</v>
      </c>
      <c r="B88" s="2" t="s">
        <v>293</v>
      </c>
      <c r="C88" s="9" t="s">
        <v>294</v>
      </c>
      <c r="D88" s="2" t="s">
        <v>295</v>
      </c>
      <c r="E88" s="2" t="s">
        <v>10</v>
      </c>
      <c r="F88" s="3">
        <v>46084</v>
      </c>
      <c r="G88" s="4">
        <v>216</v>
      </c>
      <c r="H88" s="3">
        <v>46091</v>
      </c>
      <c r="I88" s="5">
        <v>4956</v>
      </c>
      <c r="J88" s="2" t="s">
        <v>11</v>
      </c>
      <c r="K88" s="2" t="s">
        <v>354</v>
      </c>
      <c r="O88" s="21">
        <f t="shared" si="22"/>
        <v>46091</v>
      </c>
      <c r="P88" s="22">
        <f t="shared" si="23"/>
        <v>1433.6129592131906</v>
      </c>
    </row>
    <row r="89" spans="1:18" hidden="1" x14ac:dyDescent="0.3">
      <c r="A89" s="2" t="s">
        <v>298</v>
      </c>
      <c r="B89" s="2" t="s">
        <v>299</v>
      </c>
      <c r="C89" s="9" t="s">
        <v>300</v>
      </c>
      <c r="D89" s="2" t="s">
        <v>301</v>
      </c>
      <c r="E89" s="2" t="s">
        <v>10</v>
      </c>
      <c r="F89" s="3">
        <v>45937</v>
      </c>
      <c r="G89" s="4">
        <v>363</v>
      </c>
      <c r="H89" s="3">
        <v>45944</v>
      </c>
      <c r="I89" s="5">
        <v>790</v>
      </c>
      <c r="J89" s="2" t="s">
        <v>11</v>
      </c>
      <c r="K89" s="2" t="s">
        <v>355</v>
      </c>
      <c r="O89" s="21">
        <f>H89</f>
        <v>45944</v>
      </c>
      <c r="P89" s="22">
        <f>I89/3.457</f>
        <v>228.52183974544403</v>
      </c>
    </row>
    <row r="90" spans="1:18" hidden="1" x14ac:dyDescent="0.3">
      <c r="A90" s="2" t="s">
        <v>302</v>
      </c>
      <c r="B90" s="2" t="s">
        <v>303</v>
      </c>
      <c r="C90" s="2" t="s">
        <v>304</v>
      </c>
      <c r="D90" s="2" t="s">
        <v>305</v>
      </c>
      <c r="E90" s="2" t="s">
        <v>77</v>
      </c>
      <c r="F90" s="3">
        <v>46294</v>
      </c>
      <c r="G90" s="4">
        <v>0</v>
      </c>
      <c r="H90" s="3">
        <v>46295</v>
      </c>
      <c r="I90" s="7">
        <v>-7510</v>
      </c>
      <c r="J90" s="2" t="s">
        <v>71</v>
      </c>
      <c r="K90" s="2" t="s">
        <v>357</v>
      </c>
      <c r="L90" s="21">
        <f>F90+60</f>
        <v>46354</v>
      </c>
      <c r="M90" s="23"/>
      <c r="N90" s="21"/>
      <c r="O90" s="21">
        <f>H90</f>
        <v>46295</v>
      </c>
      <c r="P90" s="13">
        <f>I90</f>
        <v>-7510</v>
      </c>
      <c r="Q90" s="23">
        <f ca="1">TODAY()-F90</f>
        <v>20</v>
      </c>
      <c r="R90" t="s">
        <v>370</v>
      </c>
    </row>
    <row r="91" spans="1:18" hidden="1" x14ac:dyDescent="0.3">
      <c r="A91" s="2">
        <v>1000015392</v>
      </c>
      <c r="B91" s="2" t="s">
        <v>306</v>
      </c>
      <c r="C91" s="9">
        <v>1100016416</v>
      </c>
      <c r="D91" s="2" t="s">
        <v>307</v>
      </c>
      <c r="E91" s="2" t="s">
        <v>10</v>
      </c>
      <c r="F91" s="3">
        <v>46203</v>
      </c>
      <c r="G91" s="4">
        <v>104</v>
      </c>
      <c r="H91" s="3">
        <v>46203</v>
      </c>
      <c r="I91" s="7">
        <v>590</v>
      </c>
      <c r="J91" s="2" t="s">
        <v>11</v>
      </c>
      <c r="K91" s="2" t="s">
        <v>356</v>
      </c>
      <c r="O91" s="21">
        <f>H91</f>
        <v>46203</v>
      </c>
      <c r="P91" s="22">
        <f>I91/3.457</f>
        <v>170.66820943014176</v>
      </c>
    </row>
    <row r="92" spans="1:18" hidden="1" x14ac:dyDescent="0.3">
      <c r="A92" s="2" t="s">
        <v>308</v>
      </c>
      <c r="B92" s="2" t="s">
        <v>309</v>
      </c>
      <c r="C92" s="9" t="s">
        <v>310</v>
      </c>
      <c r="D92" s="2" t="s">
        <v>311</v>
      </c>
      <c r="E92" s="2" t="s">
        <v>10</v>
      </c>
      <c r="F92" s="3">
        <v>46298</v>
      </c>
      <c r="G92" s="4">
        <v>2</v>
      </c>
      <c r="H92" s="3">
        <v>46305</v>
      </c>
      <c r="I92" s="5">
        <v>590</v>
      </c>
      <c r="J92" s="2" t="s">
        <v>11</v>
      </c>
      <c r="K92" s="2" t="s">
        <v>353</v>
      </c>
      <c r="O92" s="21">
        <f t="shared" ref="O92:O99" si="24">H92</f>
        <v>46305</v>
      </c>
      <c r="P92" s="22">
        <f t="shared" ref="P92:P96" si="25">I92/3.457</f>
        <v>170.66820943014176</v>
      </c>
    </row>
    <row r="93" spans="1:18" hidden="1" x14ac:dyDescent="0.3">
      <c r="A93" s="2" t="s">
        <v>308</v>
      </c>
      <c r="B93" s="2" t="s">
        <v>312</v>
      </c>
      <c r="C93" s="9" t="s">
        <v>313</v>
      </c>
      <c r="D93" s="2" t="s">
        <v>314</v>
      </c>
      <c r="E93" s="2" t="s">
        <v>10</v>
      </c>
      <c r="F93" s="3">
        <v>46301</v>
      </c>
      <c r="G93" s="6">
        <v>-1</v>
      </c>
      <c r="H93" s="3">
        <v>46308</v>
      </c>
      <c r="I93" s="5">
        <v>590</v>
      </c>
      <c r="J93" s="2" t="s">
        <v>11</v>
      </c>
      <c r="K93" s="2" t="s">
        <v>353</v>
      </c>
      <c r="O93" s="21">
        <f t="shared" si="24"/>
        <v>46308</v>
      </c>
      <c r="P93" s="22">
        <f t="shared" si="25"/>
        <v>170.66820943014176</v>
      </c>
    </row>
    <row r="94" spans="1:18" hidden="1" x14ac:dyDescent="0.3">
      <c r="A94" s="2" t="s">
        <v>308</v>
      </c>
      <c r="B94" s="2" t="s">
        <v>315</v>
      </c>
      <c r="C94" s="9" t="s">
        <v>316</v>
      </c>
      <c r="D94" s="2" t="s">
        <v>317</v>
      </c>
      <c r="E94" s="2" t="s">
        <v>10</v>
      </c>
      <c r="F94" s="3">
        <v>46302</v>
      </c>
      <c r="G94" s="6">
        <v>-2</v>
      </c>
      <c r="H94" s="3">
        <v>46309</v>
      </c>
      <c r="I94" s="5">
        <v>590</v>
      </c>
      <c r="J94" s="2" t="s">
        <v>11</v>
      </c>
      <c r="K94" s="2" t="s">
        <v>353</v>
      </c>
      <c r="O94" s="21">
        <f t="shared" si="24"/>
        <v>46309</v>
      </c>
      <c r="P94" s="22">
        <f t="shared" si="25"/>
        <v>170.66820943014176</v>
      </c>
    </row>
    <row r="95" spans="1:18" hidden="1" x14ac:dyDescent="0.3">
      <c r="A95" s="2" t="s">
        <v>308</v>
      </c>
      <c r="B95" s="2" t="s">
        <v>318</v>
      </c>
      <c r="C95" s="9" t="s">
        <v>319</v>
      </c>
      <c r="D95" s="2" t="s">
        <v>320</v>
      </c>
      <c r="E95" s="2" t="s">
        <v>10</v>
      </c>
      <c r="F95" s="3">
        <v>46304</v>
      </c>
      <c r="G95" s="6">
        <v>-4</v>
      </c>
      <c r="H95" s="3">
        <v>46311</v>
      </c>
      <c r="I95" s="5">
        <v>590</v>
      </c>
      <c r="J95" s="2" t="s">
        <v>11</v>
      </c>
      <c r="K95" s="2" t="s">
        <v>353</v>
      </c>
      <c r="O95" s="21">
        <f t="shared" si="24"/>
        <v>46311</v>
      </c>
      <c r="P95" s="22">
        <f t="shared" si="25"/>
        <v>170.66820943014176</v>
      </c>
    </row>
    <row r="96" spans="1:18" hidden="1" x14ac:dyDescent="0.3">
      <c r="A96" s="2" t="s">
        <v>308</v>
      </c>
      <c r="B96" s="2" t="s">
        <v>321</v>
      </c>
      <c r="C96" s="9" t="s">
        <v>322</v>
      </c>
      <c r="D96" s="2" t="s">
        <v>323</v>
      </c>
      <c r="E96" s="2" t="s">
        <v>10</v>
      </c>
      <c r="F96" s="3">
        <v>46304</v>
      </c>
      <c r="G96" s="6">
        <v>-4</v>
      </c>
      <c r="H96" s="3">
        <v>46311</v>
      </c>
      <c r="I96" s="5">
        <v>590</v>
      </c>
      <c r="J96" s="2" t="s">
        <v>11</v>
      </c>
      <c r="K96" s="2" t="s">
        <v>353</v>
      </c>
      <c r="O96" s="21">
        <f t="shared" si="24"/>
        <v>46311</v>
      </c>
      <c r="P96" s="22">
        <f t="shared" si="25"/>
        <v>170.66820943014176</v>
      </c>
    </row>
    <row r="97" spans="1:18" hidden="1" x14ac:dyDescent="0.3">
      <c r="A97" s="2" t="s">
        <v>324</v>
      </c>
      <c r="B97" s="2" t="s">
        <v>325</v>
      </c>
      <c r="C97" s="2" t="s">
        <v>326</v>
      </c>
      <c r="D97" s="2" t="s">
        <v>327</v>
      </c>
      <c r="E97" s="2" t="s">
        <v>77</v>
      </c>
      <c r="F97" s="3">
        <v>46280</v>
      </c>
      <c r="G97" s="4">
        <v>0</v>
      </c>
      <c r="H97" s="3">
        <v>46295</v>
      </c>
      <c r="I97" s="7">
        <v>-14455</v>
      </c>
      <c r="J97" s="2" t="s">
        <v>71</v>
      </c>
      <c r="K97" s="2" t="s">
        <v>357</v>
      </c>
      <c r="L97" s="21">
        <f t="shared" ref="L97:L99" si="26">F97+60</f>
        <v>46340</v>
      </c>
      <c r="M97" s="23"/>
      <c r="N97" s="21"/>
      <c r="O97" s="21">
        <f t="shared" si="24"/>
        <v>46295</v>
      </c>
      <c r="P97" s="13">
        <f t="shared" ref="P97:P99" si="27">I97</f>
        <v>-14455</v>
      </c>
      <c r="Q97" s="23">
        <f t="shared" ref="Q97:Q99" ca="1" si="28">TODAY()-F97</f>
        <v>34</v>
      </c>
      <c r="R97" t="s">
        <v>370</v>
      </c>
    </row>
    <row r="98" spans="1:18" hidden="1" x14ac:dyDescent="0.3">
      <c r="A98" s="2" t="s">
        <v>324</v>
      </c>
      <c r="B98" s="2" t="s">
        <v>328</v>
      </c>
      <c r="C98" s="2" t="s">
        <v>329</v>
      </c>
      <c r="D98" s="2" t="s">
        <v>330</v>
      </c>
      <c r="E98" s="2" t="s">
        <v>77</v>
      </c>
      <c r="F98" s="3">
        <v>46288</v>
      </c>
      <c r="G98" s="4">
        <v>0</v>
      </c>
      <c r="H98" s="3">
        <v>46295</v>
      </c>
      <c r="I98" s="7">
        <v>-9110</v>
      </c>
      <c r="J98" s="2" t="s">
        <v>71</v>
      </c>
      <c r="K98" s="2" t="s">
        <v>357</v>
      </c>
      <c r="L98" s="21">
        <f t="shared" si="26"/>
        <v>46348</v>
      </c>
      <c r="M98" s="23">
        <f t="shared" ref="M98:M99" ca="1" si="29">TODAY()-N98</f>
        <v>19</v>
      </c>
      <c r="N98" s="21">
        <v>46295</v>
      </c>
      <c r="O98" s="21">
        <f t="shared" si="24"/>
        <v>46295</v>
      </c>
      <c r="P98" s="13">
        <f t="shared" si="27"/>
        <v>-9110</v>
      </c>
      <c r="Q98" s="23">
        <f t="shared" ca="1" si="28"/>
        <v>26</v>
      </c>
      <c r="R98" t="s">
        <v>370</v>
      </c>
    </row>
    <row r="99" spans="1:18" hidden="1" x14ac:dyDescent="0.3">
      <c r="A99" s="2" t="s">
        <v>324</v>
      </c>
      <c r="B99" s="2" t="s">
        <v>331</v>
      </c>
      <c r="C99" s="2" t="s">
        <v>332</v>
      </c>
      <c r="D99" s="2" t="s">
        <v>333</v>
      </c>
      <c r="E99" s="2" t="s">
        <v>73</v>
      </c>
      <c r="F99" s="3">
        <v>46293</v>
      </c>
      <c r="G99" s="6">
        <v>-46</v>
      </c>
      <c r="H99" s="3">
        <v>46353</v>
      </c>
      <c r="I99" s="5">
        <v>72964</v>
      </c>
      <c r="J99" s="2" t="s">
        <v>71</v>
      </c>
      <c r="K99" s="2" t="s">
        <v>357</v>
      </c>
      <c r="L99" s="21">
        <f t="shared" si="26"/>
        <v>46353</v>
      </c>
      <c r="M99" s="23">
        <f t="shared" ca="1" si="29"/>
        <v>-39</v>
      </c>
      <c r="N99" s="21">
        <v>46353</v>
      </c>
      <c r="O99" s="21">
        <f t="shared" si="24"/>
        <v>46353</v>
      </c>
      <c r="P99" s="13">
        <f t="shared" si="27"/>
        <v>72964</v>
      </c>
      <c r="Q99" s="23">
        <f t="shared" ca="1" si="28"/>
        <v>21</v>
      </c>
      <c r="R99" t="s">
        <v>370</v>
      </c>
    </row>
    <row r="100" spans="1:18" hidden="1" x14ac:dyDescent="0.3">
      <c r="A100" s="2" t="s">
        <v>334</v>
      </c>
      <c r="B100" s="2" t="s">
        <v>335</v>
      </c>
      <c r="C100" s="9" t="s">
        <v>336</v>
      </c>
      <c r="D100" s="2" t="s">
        <v>337</v>
      </c>
      <c r="E100" s="2" t="s">
        <v>10</v>
      </c>
      <c r="F100" s="3">
        <v>46305</v>
      </c>
      <c r="G100" s="4">
        <v>2</v>
      </c>
      <c r="H100" s="3">
        <v>46305</v>
      </c>
      <c r="I100" s="5">
        <v>662.69</v>
      </c>
      <c r="J100" s="2" t="s">
        <v>11</v>
      </c>
      <c r="K100" s="2" t="s">
        <v>353</v>
      </c>
      <c r="O100" s="21">
        <f t="shared" ref="O100:O104" si="30">H100</f>
        <v>46305</v>
      </c>
      <c r="P100" s="22">
        <f t="shared" ref="P100:P103" si="31">I100/3.457</f>
        <v>191.69511136823837</v>
      </c>
    </row>
    <row r="101" spans="1:18" hidden="1" x14ac:dyDescent="0.3">
      <c r="A101" s="2" t="s">
        <v>334</v>
      </c>
      <c r="B101" s="2" t="s">
        <v>338</v>
      </c>
      <c r="C101" s="9" t="s">
        <v>339</v>
      </c>
      <c r="D101" s="2" t="s">
        <v>340</v>
      </c>
      <c r="E101" s="2" t="s">
        <v>10</v>
      </c>
      <c r="F101" s="3">
        <v>46305</v>
      </c>
      <c r="G101" s="4">
        <v>2</v>
      </c>
      <c r="H101" s="3">
        <v>46305</v>
      </c>
      <c r="I101" s="5">
        <v>123.9</v>
      </c>
      <c r="J101" s="2" t="s">
        <v>11</v>
      </c>
      <c r="K101" s="2" t="s">
        <v>353</v>
      </c>
      <c r="O101" s="21">
        <f t="shared" si="30"/>
        <v>46305</v>
      </c>
      <c r="P101" s="22">
        <f t="shared" si="31"/>
        <v>35.840323980329771</v>
      </c>
    </row>
    <row r="102" spans="1:18" hidden="1" x14ac:dyDescent="0.3">
      <c r="A102" s="2" t="s">
        <v>341</v>
      </c>
      <c r="B102" s="2" t="s">
        <v>342</v>
      </c>
      <c r="C102" s="9" t="s">
        <v>343</v>
      </c>
      <c r="D102" s="2" t="s">
        <v>344</v>
      </c>
      <c r="E102" s="2" t="s">
        <v>10</v>
      </c>
      <c r="F102" s="3">
        <v>46301</v>
      </c>
      <c r="G102" s="6">
        <v>-1</v>
      </c>
      <c r="H102" s="3">
        <v>46308</v>
      </c>
      <c r="I102" s="5">
        <v>2208.96</v>
      </c>
      <c r="J102" s="2" t="s">
        <v>11</v>
      </c>
      <c r="K102" s="2" t="s">
        <v>353</v>
      </c>
      <c r="O102" s="21">
        <f t="shared" si="30"/>
        <v>46308</v>
      </c>
      <c r="P102" s="22">
        <f t="shared" si="31"/>
        <v>638.98177610645075</v>
      </c>
    </row>
    <row r="103" spans="1:18" hidden="1" x14ac:dyDescent="0.3">
      <c r="A103" s="2" t="s">
        <v>341</v>
      </c>
      <c r="B103" s="2" t="s">
        <v>345</v>
      </c>
      <c r="C103" s="9" t="s">
        <v>346</v>
      </c>
      <c r="D103" s="2" t="s">
        <v>347</v>
      </c>
      <c r="E103" s="2" t="s">
        <v>10</v>
      </c>
      <c r="F103" s="3">
        <v>46304</v>
      </c>
      <c r="G103" s="6">
        <v>-4</v>
      </c>
      <c r="H103" s="3">
        <v>46311</v>
      </c>
      <c r="I103" s="5">
        <v>368.16</v>
      </c>
      <c r="J103" s="2" t="s">
        <v>11</v>
      </c>
      <c r="K103" s="2" t="s">
        <v>353</v>
      </c>
      <c r="O103" s="21">
        <f t="shared" si="30"/>
        <v>46311</v>
      </c>
      <c r="P103" s="22">
        <f t="shared" si="31"/>
        <v>106.49696268440846</v>
      </c>
    </row>
    <row r="104" spans="1:18" hidden="1" x14ac:dyDescent="0.3">
      <c r="A104" s="2" t="s">
        <v>348</v>
      </c>
      <c r="B104" s="2" t="s">
        <v>349</v>
      </c>
      <c r="C104" s="2" t="s">
        <v>350</v>
      </c>
      <c r="D104" s="2" t="s">
        <v>351</v>
      </c>
      <c r="E104" s="2" t="s">
        <v>77</v>
      </c>
      <c r="F104" s="3">
        <v>46273</v>
      </c>
      <c r="G104" s="4">
        <v>0</v>
      </c>
      <c r="H104" s="3">
        <v>46295</v>
      </c>
      <c r="I104" s="7">
        <v>-15245</v>
      </c>
      <c r="J104" s="2" t="s">
        <v>71</v>
      </c>
      <c r="K104" s="2" t="s">
        <v>357</v>
      </c>
      <c r="L104" s="21">
        <f t="shared" ref="L104" si="32">F104+60</f>
        <v>46333</v>
      </c>
      <c r="M104" s="23">
        <f t="shared" ref="M104" ca="1" si="33">TODAY()-N104</f>
        <v>19</v>
      </c>
      <c r="N104" s="21">
        <v>46295</v>
      </c>
      <c r="O104" s="21">
        <f t="shared" si="30"/>
        <v>46295</v>
      </c>
      <c r="P104" s="13">
        <f t="shared" ref="P104:P114" si="34">I104</f>
        <v>-15245</v>
      </c>
      <c r="Q104" s="23">
        <f t="shared" ref="Q104" ca="1" si="35">TODAY()-F104</f>
        <v>41</v>
      </c>
      <c r="R104" t="s">
        <v>370</v>
      </c>
    </row>
    <row r="105" spans="1:18" x14ac:dyDescent="0.3">
      <c r="A105" s="2" t="s">
        <v>86</v>
      </c>
      <c r="B105" s="2" t="s">
        <v>87</v>
      </c>
      <c r="C105" s="2" t="s">
        <v>381</v>
      </c>
      <c r="D105" s="2" t="s">
        <v>382</v>
      </c>
      <c r="E105" s="2" t="s">
        <v>73</v>
      </c>
      <c r="F105" s="3">
        <v>46309</v>
      </c>
      <c r="G105" s="6">
        <v>-55</v>
      </c>
      <c r="H105" s="27">
        <v>46369</v>
      </c>
      <c r="I105" s="5">
        <v>45900</v>
      </c>
      <c r="J105" s="2" t="s">
        <v>71</v>
      </c>
      <c r="K105" s="2" t="s">
        <v>357</v>
      </c>
      <c r="O105" s="21">
        <f t="shared" ref="O105:O114" si="36">H105</f>
        <v>46369</v>
      </c>
      <c r="P105" s="13">
        <f t="shared" si="34"/>
        <v>45900</v>
      </c>
    </row>
    <row r="106" spans="1:18" x14ac:dyDescent="0.3">
      <c r="A106" s="2" t="s">
        <v>143</v>
      </c>
      <c r="B106" s="2" t="s">
        <v>144</v>
      </c>
      <c r="C106" s="2" t="s">
        <v>383</v>
      </c>
      <c r="D106" s="2" t="s">
        <v>384</v>
      </c>
      <c r="E106" s="2" t="s">
        <v>73</v>
      </c>
      <c r="F106" s="3">
        <v>46305</v>
      </c>
      <c r="G106" s="6">
        <v>-21</v>
      </c>
      <c r="H106" s="27">
        <v>46335</v>
      </c>
      <c r="I106" s="5">
        <v>66780</v>
      </c>
      <c r="J106" s="2" t="s">
        <v>71</v>
      </c>
      <c r="K106" s="2" t="s">
        <v>357</v>
      </c>
      <c r="O106" s="21">
        <f t="shared" si="36"/>
        <v>46335</v>
      </c>
      <c r="P106" s="13">
        <f t="shared" si="34"/>
        <v>66780</v>
      </c>
    </row>
    <row r="107" spans="1:18" x14ac:dyDescent="0.3">
      <c r="A107" s="2" t="s">
        <v>385</v>
      </c>
      <c r="B107" s="2" t="s">
        <v>386</v>
      </c>
      <c r="C107" s="2" t="s">
        <v>387</v>
      </c>
      <c r="D107" s="2" t="s">
        <v>388</v>
      </c>
      <c r="E107" s="2" t="s">
        <v>73</v>
      </c>
      <c r="F107" s="3">
        <v>46310</v>
      </c>
      <c r="G107" s="6">
        <v>-56</v>
      </c>
      <c r="H107" s="27">
        <v>46310</v>
      </c>
      <c r="I107" s="28">
        <v>-300000</v>
      </c>
      <c r="J107" s="2" t="s">
        <v>71</v>
      </c>
      <c r="K107" s="2" t="s">
        <v>357</v>
      </c>
      <c r="O107" s="21">
        <f>O108</f>
        <v>46344</v>
      </c>
      <c r="P107" s="13">
        <f t="shared" si="34"/>
        <v>-300000</v>
      </c>
    </row>
    <row r="108" spans="1:18" x14ac:dyDescent="0.3">
      <c r="A108" s="2" t="s">
        <v>385</v>
      </c>
      <c r="B108" s="2" t="s">
        <v>386</v>
      </c>
      <c r="C108" s="2" t="s">
        <v>387</v>
      </c>
      <c r="D108" s="2" t="s">
        <v>388</v>
      </c>
      <c r="E108" s="2" t="s">
        <v>73</v>
      </c>
      <c r="F108" s="3">
        <v>46310</v>
      </c>
      <c r="G108" s="6">
        <v>-56</v>
      </c>
      <c r="H108" s="27">
        <v>46344</v>
      </c>
      <c r="I108" s="28">
        <v>458010</v>
      </c>
      <c r="J108" s="2" t="s">
        <v>71</v>
      </c>
      <c r="K108" s="2" t="s">
        <v>357</v>
      </c>
      <c r="O108" s="21">
        <f t="shared" si="36"/>
        <v>46344</v>
      </c>
      <c r="P108" s="13">
        <f t="shared" si="34"/>
        <v>458010</v>
      </c>
    </row>
    <row r="109" spans="1:18" x14ac:dyDescent="0.3">
      <c r="A109" s="2" t="s">
        <v>389</v>
      </c>
      <c r="B109" s="2" t="s">
        <v>390</v>
      </c>
      <c r="C109" s="2" t="s">
        <v>391</v>
      </c>
      <c r="D109" s="2" t="s">
        <v>392</v>
      </c>
      <c r="E109" s="2" t="s">
        <v>77</v>
      </c>
      <c r="F109" s="3">
        <v>46308</v>
      </c>
      <c r="G109" s="4">
        <v>0</v>
      </c>
      <c r="H109" s="27">
        <v>46308</v>
      </c>
      <c r="I109" s="29">
        <v>-372452</v>
      </c>
      <c r="J109" s="2" t="s">
        <v>71</v>
      </c>
      <c r="K109" s="2" t="s">
        <v>357</v>
      </c>
      <c r="O109" s="21">
        <f>O110</f>
        <v>46344</v>
      </c>
      <c r="P109" s="13">
        <f t="shared" si="34"/>
        <v>-372452</v>
      </c>
    </row>
    <row r="110" spans="1:18" x14ac:dyDescent="0.3">
      <c r="A110" s="2" t="s">
        <v>389</v>
      </c>
      <c r="B110" s="2" t="s">
        <v>390</v>
      </c>
      <c r="C110" s="2" t="s">
        <v>393</v>
      </c>
      <c r="D110" s="2" t="s">
        <v>394</v>
      </c>
      <c r="E110" s="2" t="s">
        <v>73</v>
      </c>
      <c r="F110" s="3">
        <v>46309</v>
      </c>
      <c r="G110" s="6">
        <v>-10</v>
      </c>
      <c r="H110" s="27">
        <v>46344</v>
      </c>
      <c r="I110" s="28">
        <v>451467</v>
      </c>
      <c r="J110" s="2" t="s">
        <v>71</v>
      </c>
      <c r="K110" s="2" t="s">
        <v>357</v>
      </c>
      <c r="O110" s="21">
        <f t="shared" si="36"/>
        <v>46344</v>
      </c>
      <c r="P110" s="13">
        <f t="shared" si="34"/>
        <v>451467</v>
      </c>
    </row>
    <row r="111" spans="1:18" x14ac:dyDescent="0.3">
      <c r="A111" s="2" t="s">
        <v>324</v>
      </c>
      <c r="B111" s="2" t="s">
        <v>325</v>
      </c>
      <c r="C111" s="2" t="s">
        <v>395</v>
      </c>
      <c r="D111" s="2" t="s">
        <v>396</v>
      </c>
      <c r="E111" s="2" t="s">
        <v>73</v>
      </c>
      <c r="F111" s="3">
        <v>46309</v>
      </c>
      <c r="G111" s="6">
        <v>-55</v>
      </c>
      <c r="H111" s="27">
        <v>46369</v>
      </c>
      <c r="I111" s="5">
        <v>45900</v>
      </c>
      <c r="J111" s="2" t="s">
        <v>71</v>
      </c>
      <c r="K111" s="2" t="s">
        <v>357</v>
      </c>
      <c r="O111" s="21">
        <f t="shared" si="36"/>
        <v>46369</v>
      </c>
      <c r="P111" s="13">
        <f t="shared" si="34"/>
        <v>45900</v>
      </c>
    </row>
    <row r="112" spans="1:18" x14ac:dyDescent="0.3">
      <c r="A112" s="2" t="s">
        <v>397</v>
      </c>
      <c r="B112" s="2" t="s">
        <v>398</v>
      </c>
      <c r="C112" s="2" t="s">
        <v>399</v>
      </c>
      <c r="D112" s="2" t="s">
        <v>400</v>
      </c>
      <c r="E112" s="2" t="s">
        <v>73</v>
      </c>
      <c r="F112" s="3">
        <v>46304</v>
      </c>
      <c r="G112" s="6">
        <v>-20</v>
      </c>
      <c r="H112" s="27">
        <v>46334</v>
      </c>
      <c r="I112" s="5">
        <v>78200</v>
      </c>
      <c r="J112" s="2" t="s">
        <v>71</v>
      </c>
      <c r="K112" s="2" t="s">
        <v>357</v>
      </c>
      <c r="O112" s="21">
        <f t="shared" si="36"/>
        <v>46334</v>
      </c>
      <c r="P112" s="13">
        <f t="shared" si="34"/>
        <v>78200</v>
      </c>
    </row>
    <row r="113" spans="1:16" x14ac:dyDescent="0.3">
      <c r="A113" s="2" t="s">
        <v>397</v>
      </c>
      <c r="B113" s="2" t="s">
        <v>398</v>
      </c>
      <c r="C113" s="2" t="s">
        <v>401</v>
      </c>
      <c r="D113" s="2" t="s">
        <v>402</v>
      </c>
      <c r="E113" s="2" t="s">
        <v>73</v>
      </c>
      <c r="F113" s="3">
        <v>46304</v>
      </c>
      <c r="G113" s="6">
        <v>-35</v>
      </c>
      <c r="H113" s="27">
        <v>46349</v>
      </c>
      <c r="I113" s="5">
        <v>133650</v>
      </c>
      <c r="J113" s="2" t="s">
        <v>71</v>
      </c>
      <c r="K113" s="2" t="s">
        <v>357</v>
      </c>
      <c r="O113" s="21">
        <f t="shared" si="36"/>
        <v>46349</v>
      </c>
      <c r="P113" s="13">
        <f t="shared" si="34"/>
        <v>133650</v>
      </c>
    </row>
    <row r="114" spans="1:16" x14ac:dyDescent="0.3">
      <c r="A114" s="2" t="s">
        <v>397</v>
      </c>
      <c r="B114" s="2" t="s">
        <v>398</v>
      </c>
      <c r="C114" s="2" t="s">
        <v>403</v>
      </c>
      <c r="D114" s="2" t="s">
        <v>404</v>
      </c>
      <c r="E114" s="2" t="s">
        <v>73</v>
      </c>
      <c r="F114" s="3">
        <v>46304</v>
      </c>
      <c r="G114" s="6">
        <v>-35</v>
      </c>
      <c r="H114" s="27">
        <v>46349</v>
      </c>
      <c r="I114" s="5">
        <v>89100</v>
      </c>
      <c r="J114" s="2" t="s">
        <v>71</v>
      </c>
      <c r="K114" s="2" t="s">
        <v>357</v>
      </c>
      <c r="O114" s="21">
        <f t="shared" si="36"/>
        <v>46349</v>
      </c>
      <c r="P114" s="13">
        <f t="shared" si="34"/>
        <v>89100</v>
      </c>
    </row>
  </sheetData>
  <autoFilter ref="A1:R114" xr:uid="{00000000-0001-0000-0000-000000000000}">
    <filterColumn colId="5">
      <filters>
        <dateGroupItem year="2026" month="10" dateTimeGrouping="month"/>
      </filters>
    </filterColumn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2026-10-19T17:55:49Z</dcterms:created>
  <dcterms:modified xsi:type="dcterms:W3CDTF">2026-10-19T21:14:32Z</dcterms:modified>
  <cp:category/>
</cp:coreProperties>
</file>