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DBD63AF2-6A5E-4B2E-B9AF-40E8549A84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2" sheetId="4" state="hidden" r:id="rId2"/>
    <sheet name="DÍAS" sheetId="5" state="hidden" r:id="rId3"/>
    <sheet name="Data" sheetId="1" r:id="rId4"/>
  </sheets>
  <definedNames>
    <definedName name="_xlnm._FilterDatabase" localSheetId="3" hidden="1">Data!$A$1:$R$178</definedName>
  </definedNames>
  <calcPr calcId="191029"/>
  <pivotCaches>
    <pivotCache cacheId="0" r:id="rId5"/>
    <pivotCache cacheId="1" r:id="rId6"/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" i="1" l="1"/>
  <c r="M56" i="1"/>
  <c r="Q56" i="1"/>
  <c r="L57" i="1"/>
  <c r="M57" i="1"/>
  <c r="Q57" i="1"/>
  <c r="L58" i="1"/>
  <c r="M58" i="1"/>
  <c r="O58" i="1"/>
  <c r="Q58" i="1"/>
  <c r="P110" i="1"/>
  <c r="P109" i="1"/>
  <c r="P108" i="1"/>
  <c r="P107" i="1"/>
  <c r="P106" i="1"/>
  <c r="P105" i="1"/>
  <c r="P104" i="1"/>
  <c r="M103" i="1"/>
  <c r="Q103" i="1"/>
  <c r="O109" i="1" l="1"/>
  <c r="Q109" i="1"/>
  <c r="L109" i="1"/>
  <c r="O21" i="1"/>
  <c r="O55" i="1"/>
  <c r="O97" i="1"/>
  <c r="O98" i="1"/>
  <c r="O99" i="1"/>
  <c r="O101" i="1"/>
  <c r="O102" i="1"/>
  <c r="O113" i="1"/>
  <c r="O144" i="1"/>
  <c r="O148" i="1"/>
  <c r="O153" i="1"/>
  <c r="O159" i="1"/>
  <c r="Q178" i="1" l="1"/>
  <c r="Q177" i="1"/>
  <c r="Q176" i="1"/>
  <c r="Q175" i="1"/>
  <c r="Q174" i="1"/>
  <c r="Q173" i="1"/>
  <c r="Q172" i="1"/>
  <c r="Q171" i="1"/>
  <c r="Q166" i="1"/>
  <c r="Q165" i="1"/>
  <c r="Q164" i="1"/>
  <c r="Q159" i="1"/>
  <c r="Q158" i="1"/>
  <c r="Q157" i="1"/>
  <c r="Q154" i="1"/>
  <c r="Q153" i="1"/>
  <c r="Q148" i="1"/>
  <c r="Q147" i="1"/>
  <c r="Q146" i="1"/>
  <c r="Q145" i="1"/>
  <c r="Q144" i="1"/>
  <c r="Q119" i="1"/>
  <c r="Q118" i="1"/>
  <c r="Q117" i="1"/>
  <c r="Q116" i="1"/>
  <c r="Q115" i="1"/>
  <c r="Q114" i="1"/>
  <c r="Q113" i="1"/>
  <c r="Q112" i="1"/>
  <c r="Q111" i="1"/>
  <c r="Q110" i="1"/>
  <c r="Q108" i="1"/>
  <c r="Q107" i="1"/>
  <c r="Q106" i="1"/>
  <c r="Q105" i="1"/>
  <c r="Q104" i="1"/>
  <c r="Q102" i="1"/>
  <c r="Q101" i="1"/>
  <c r="Q100" i="1"/>
  <c r="Q99" i="1"/>
  <c r="Q98" i="1"/>
  <c r="Q97" i="1"/>
  <c r="Q55" i="1"/>
  <c r="Q54" i="1"/>
  <c r="Q53" i="1"/>
  <c r="Q52" i="1"/>
  <c r="Q51" i="1"/>
  <c r="Q50" i="1"/>
  <c r="Q33" i="1"/>
  <c r="Q32" i="1"/>
  <c r="Q23" i="1"/>
  <c r="Q22" i="1"/>
  <c r="Q21" i="1"/>
  <c r="Q20" i="1"/>
  <c r="Q19" i="1"/>
  <c r="M178" i="1"/>
  <c r="M177" i="1"/>
  <c r="M176" i="1"/>
  <c r="M175" i="1"/>
  <c r="M174" i="1"/>
  <c r="M173" i="1"/>
  <c r="M172" i="1"/>
  <c r="M166" i="1"/>
  <c r="M165" i="1"/>
  <c r="M164" i="1"/>
  <c r="M158" i="1"/>
  <c r="M157" i="1"/>
  <c r="M147" i="1"/>
  <c r="M146" i="1"/>
  <c r="M145" i="1"/>
  <c r="M119" i="1"/>
  <c r="M118" i="1"/>
  <c r="M117" i="1"/>
  <c r="M116" i="1"/>
  <c r="M115" i="1"/>
  <c r="M112" i="1"/>
  <c r="M111" i="1"/>
  <c r="M108" i="1"/>
  <c r="M107" i="1"/>
  <c r="M106" i="1"/>
  <c r="M105" i="1"/>
  <c r="M104" i="1"/>
  <c r="M100" i="1"/>
  <c r="M54" i="1"/>
  <c r="M53" i="1"/>
  <c r="M52" i="1"/>
  <c r="M51" i="1"/>
  <c r="M50" i="1"/>
  <c r="M33" i="1"/>
  <c r="M32" i="1"/>
  <c r="M23" i="1"/>
  <c r="M22" i="1"/>
  <c r="M20" i="1"/>
  <c r="M19" i="1"/>
  <c r="L178" i="1"/>
  <c r="L177" i="1"/>
  <c r="L176" i="1"/>
  <c r="L175" i="1"/>
  <c r="L174" i="1"/>
  <c r="L173" i="1"/>
  <c r="L172" i="1"/>
  <c r="L171" i="1"/>
  <c r="L166" i="1"/>
  <c r="L165" i="1"/>
  <c r="L164" i="1"/>
  <c r="L159" i="1"/>
  <c r="L158" i="1"/>
  <c r="L157" i="1"/>
  <c r="L154" i="1"/>
  <c r="L153" i="1"/>
  <c r="L148" i="1"/>
  <c r="L147" i="1"/>
  <c r="L146" i="1"/>
  <c r="L145" i="1"/>
  <c r="L144" i="1"/>
  <c r="L119" i="1"/>
  <c r="L118" i="1"/>
  <c r="L117" i="1"/>
  <c r="L116" i="1"/>
  <c r="L115" i="1"/>
  <c r="L114" i="1"/>
  <c r="L113" i="1"/>
  <c r="L112" i="1"/>
  <c r="L111" i="1"/>
  <c r="L110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55" i="1"/>
  <c r="L54" i="1"/>
  <c r="L53" i="1"/>
  <c r="L52" i="1"/>
  <c r="L51" i="1"/>
  <c r="L50" i="1"/>
  <c r="L33" i="1"/>
  <c r="L32" i="1"/>
  <c r="L23" i="1"/>
  <c r="L22" i="1"/>
  <c r="L21" i="1"/>
  <c r="L20" i="1"/>
  <c r="L19" i="1"/>
  <c r="P178" i="1"/>
  <c r="P177" i="1"/>
  <c r="P176" i="1"/>
  <c r="P175" i="1"/>
  <c r="P174" i="1"/>
  <c r="P173" i="1"/>
  <c r="P172" i="1"/>
  <c r="P171" i="1"/>
  <c r="P166" i="1"/>
  <c r="P165" i="1"/>
  <c r="P164" i="1"/>
  <c r="P159" i="1"/>
  <c r="P158" i="1"/>
  <c r="P157" i="1"/>
  <c r="P154" i="1"/>
  <c r="P153" i="1"/>
  <c r="P148" i="1"/>
  <c r="P147" i="1"/>
  <c r="P146" i="1"/>
  <c r="P145" i="1"/>
  <c r="P144" i="1"/>
  <c r="P119" i="1"/>
  <c r="P118" i="1"/>
  <c r="P117" i="1"/>
  <c r="P116" i="1"/>
  <c r="P115" i="1"/>
  <c r="P114" i="1"/>
  <c r="P113" i="1"/>
  <c r="P112" i="1"/>
  <c r="P111" i="1"/>
  <c r="P103" i="1"/>
  <c r="P102" i="1"/>
  <c r="P101" i="1"/>
  <c r="P100" i="1"/>
  <c r="P99" i="1"/>
  <c r="P98" i="1"/>
  <c r="P97" i="1"/>
  <c r="P55" i="1"/>
  <c r="P52" i="1"/>
  <c r="P50" i="1"/>
  <c r="P33" i="1"/>
  <c r="P32" i="1"/>
  <c r="P23" i="1"/>
  <c r="P22" i="1"/>
  <c r="P21" i="1"/>
  <c r="P20" i="1"/>
  <c r="P19" i="1"/>
  <c r="O175" i="1"/>
  <c r="O171" i="1"/>
  <c r="O158" i="1"/>
  <c r="O154" i="1"/>
  <c r="O147" i="1"/>
  <c r="O119" i="1"/>
  <c r="O118" i="1"/>
  <c r="O117" i="1"/>
  <c r="O116" i="1"/>
  <c r="O114" i="1"/>
  <c r="O112" i="1"/>
  <c r="O110" i="1"/>
  <c r="O108" i="1"/>
  <c r="O107" i="1"/>
  <c r="O105" i="1"/>
  <c r="O104" i="1"/>
  <c r="O103" i="1"/>
  <c r="O100" i="1"/>
  <c r="O54" i="1"/>
  <c r="O53" i="1"/>
  <c r="O32" i="1"/>
  <c r="O22" i="1"/>
  <c r="O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20" i="1"/>
  <c r="P156" i="1"/>
  <c r="O156" i="1"/>
  <c r="P155" i="1"/>
  <c r="O155" i="1"/>
  <c r="P170" i="1"/>
  <c r="P169" i="1"/>
  <c r="P168" i="1"/>
  <c r="P167" i="1"/>
  <c r="P163" i="1"/>
  <c r="P162" i="1"/>
  <c r="P161" i="1"/>
  <c r="P160" i="1"/>
  <c r="P143" i="1"/>
  <c r="P142" i="1"/>
  <c r="P141" i="1"/>
  <c r="P140" i="1"/>
  <c r="P139" i="1"/>
  <c r="P138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1" i="1"/>
  <c r="P30" i="1"/>
  <c r="P29" i="1"/>
  <c r="P28" i="1"/>
  <c r="P27" i="1"/>
  <c r="P26" i="1"/>
  <c r="P25" i="1"/>
  <c r="P24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70" i="1"/>
  <c r="O169" i="1"/>
  <c r="O168" i="1"/>
  <c r="O167" i="1"/>
  <c r="O163" i="1"/>
  <c r="O162" i="1"/>
  <c r="O161" i="1"/>
  <c r="O160" i="1"/>
  <c r="O143" i="1"/>
  <c r="O142" i="1"/>
  <c r="O141" i="1"/>
  <c r="O140" i="1"/>
  <c r="O139" i="1"/>
  <c r="O138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1" i="1"/>
  <c r="O30" i="1"/>
  <c r="O29" i="1"/>
  <c r="O28" i="1"/>
  <c r="O27" i="1"/>
  <c r="O26" i="1"/>
  <c r="O25" i="1"/>
  <c r="O24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150" i="1"/>
  <c r="P151" i="1"/>
  <c r="P152" i="1"/>
  <c r="P149" i="1"/>
  <c r="O150" i="1"/>
  <c r="O151" i="1"/>
  <c r="O152" i="1"/>
  <c r="O149" i="1"/>
</calcChain>
</file>

<file path=xl/sharedStrings.xml><?xml version="1.0" encoding="utf-8"?>
<sst xmlns="http://schemas.openxmlformats.org/spreadsheetml/2006/main" count="1587" uniqueCount="626">
  <si>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</si>
  <si>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</si>
  <si>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</si>
  <si>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</si>
  <si>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</si>
  <si>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</si>
  <si>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</si>
  <si>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</si>
  <si>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</si>
  <si>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</si>
  <si>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</si>
  <si>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</si>
  <si>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1200005220</t>
  </si>
  <si>
    <t>01-0F101-0004694</t>
  </si>
  <si>
    <t>DF</t>
  </si>
  <si>
    <t>PEN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</si>
  <si>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</si>
  <si>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</si>
  <si>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</si>
  <si>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</si>
  <si>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</si>
  <si>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</si>
  <si>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</si>
  <si>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</si>
  <si>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</si>
  <si>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</si>
  <si>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</si>
  <si>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</si>
  <si>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</si>
  <si>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</si>
  <si>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</si>
  <si>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</si>
  <si>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</si>
  <si>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</si>
  <si>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</si>
  <si>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</si>
  <si>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</si>
  <si>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</si>
  <si>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</si>
  <si>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</si>
  <si>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</si>
  <si>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</si>
  <si>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</si>
  <si>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</si>
  <si>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</si>
  <si>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</si>
  <si>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</si>
  <si>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</si>
  <si>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</si>
  <si>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</si>
  <si>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</si>
  <si>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</si>
  <si>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</si>
  <si>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</si>
  <si>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</si>
  <si>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</si>
  <si>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</si>
  <si>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</si>
  <si>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</si>
  <si>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</si>
  <si>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</si>
  <si>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</si>
  <si>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</si>
  <si>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</si>
  <si>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2000001028</t>
  </si>
  <si>
    <t>AVANCE GROUP LTD</t>
  </si>
  <si>
    <t>1300004710</t>
  </si>
  <si>
    <t>FT-0F002-0000339</t>
  </si>
  <si>
    <t>ZV</t>
  </si>
  <si>
    <t>USD</t>
  </si>
  <si>
    <t>AVANCE GROUP LTD</t>
  </si>
  <si>
    <t>1200002081</t>
  </si>
  <si>
    <t>01-0F002-0000353</t>
  </si>
  <si>
    <t>DE</t>
  </si>
  <si>
    <t>AVANCE GROUP LTD</t>
  </si>
  <si>
    <t>1300004722</t>
  </si>
  <si>
    <t>ANTICIPO</t>
  </si>
  <si>
    <t>DZ</t>
  </si>
  <si>
    <t>AVANCE GROUP LTD</t>
  </si>
  <si>
    <t>1200002135</t>
  </si>
  <si>
    <t>01-0F002-0000359</t>
  </si>
  <si>
    <t>AVANCE GROUP LTD</t>
  </si>
  <si>
    <t>1300004711</t>
  </si>
  <si>
    <t>FT-0F002-0000360</t>
  </si>
  <si>
    <t>1000013676</t>
  </si>
  <si>
    <t>CARLOS ALBERTO MARTINEZ QUEREVALU</t>
  </si>
  <si>
    <t>1200001798</t>
  </si>
  <si>
    <t>03-0B001-0004567</t>
  </si>
  <si>
    <t>DB</t>
  </si>
  <si>
    <t>CARLOS ALBERTO MARTINEZ QUEREVALU</t>
  </si>
  <si>
    <t>1200001799</t>
  </si>
  <si>
    <t>03-0B001-0004568</t>
  </si>
  <si>
    <t>1000013678</t>
  </si>
  <si>
    <t>CORPORACION NACIONAL PERU EXPORTACI</t>
  </si>
  <si>
    <t>1200002424</t>
  </si>
  <si>
    <t>01-0F101-0006893</t>
  </si>
  <si>
    <t>CORPORACION NACIONAL PERU EXPORTACI</t>
  </si>
  <si>
    <t>1200002581</t>
  </si>
  <si>
    <t>01-0F101-0007022</t>
  </si>
  <si>
    <t>1000002057</t>
  </si>
  <si>
    <t>CRISTO DE LA VICTORIA S.A.C.</t>
  </si>
  <si>
    <t>1200002149</t>
  </si>
  <si>
    <t>01-0F101-0006687</t>
  </si>
  <si>
    <t>CRISTO DE LA VICTORIA S.A.C.</t>
  </si>
  <si>
    <t>1200002150</t>
  </si>
  <si>
    <t>01-0F101-0006688</t>
  </si>
  <si>
    <t>CRISTO DE LA VICTORIA S.A.C.</t>
  </si>
  <si>
    <t>1200002207</t>
  </si>
  <si>
    <t>01-0F101-0006735</t>
  </si>
  <si>
    <t>CRISTO DE LA VICTORIA S.A.C.</t>
  </si>
  <si>
    <t>1200002208</t>
  </si>
  <si>
    <t>01-0F101-0006736</t>
  </si>
  <si>
    <t>2000001381</t>
  </si>
  <si>
    <t>DAIRECK SA</t>
  </si>
  <si>
    <t>1200001893</t>
  </si>
  <si>
    <t>01-0F002-0000333</t>
  </si>
  <si>
    <t>DAIRECK SA</t>
  </si>
  <si>
    <t>1300004208</t>
  </si>
  <si>
    <t>FT-0F002-0000329</t>
  </si>
  <si>
    <t>SALDO A FAVOR</t>
  </si>
  <si>
    <t>1000013754</t>
  </si>
  <si>
    <t>ELMER SIXTO SOJO ACARO</t>
  </si>
  <si>
    <t>1200002379</t>
  </si>
  <si>
    <t>03-0B001-0004669</t>
  </si>
  <si>
    <t>ELMER SIXTO SOJO ACARO</t>
  </si>
  <si>
    <t>1200002380</t>
  </si>
  <si>
    <t>03-0B001-0004670</t>
  </si>
  <si>
    <t>ELMER SIXTO SOJO ACARO</t>
  </si>
  <si>
    <t>1200002385</t>
  </si>
  <si>
    <t>03-0B001-0004671</t>
  </si>
  <si>
    <t>ELMER SIXTO SOJO ACARO</t>
  </si>
  <si>
    <t>1200002386</t>
  </si>
  <si>
    <t>03-0B001-0004672</t>
  </si>
  <si>
    <t>ELMER SIXTO SOJO ACARO</t>
  </si>
  <si>
    <t>1200002399</t>
  </si>
  <si>
    <t>03-0B001-0004675</t>
  </si>
  <si>
    <t>ELMER SIXTO SOJO ACARO</t>
  </si>
  <si>
    <t>1200002400</t>
  </si>
  <si>
    <t>03-0B001-0004676</t>
  </si>
  <si>
    <t>ELMER SIXTO SOJO ACARO</t>
  </si>
  <si>
    <t>1200002402</t>
  </si>
  <si>
    <t>03-0B001-0004677</t>
  </si>
  <si>
    <t>ELMER SIXTO SOJO ACARO</t>
  </si>
  <si>
    <t>1200002403</t>
  </si>
  <si>
    <t>03-0B001-0004678</t>
  </si>
  <si>
    <t>ELMER SIXTO SOJO ACARO</t>
  </si>
  <si>
    <t>1200002447</t>
  </si>
  <si>
    <t>03-0B001-0004688</t>
  </si>
  <si>
    <t>ELMER SIXTO SOJO ACARO</t>
  </si>
  <si>
    <t>1200002448</t>
  </si>
  <si>
    <t>03-0B001-0004689</t>
  </si>
  <si>
    <t>ELMER SIXTO SOJO ACARO</t>
  </si>
  <si>
    <t>1200002454</t>
  </si>
  <si>
    <t>03-0B001-0004690</t>
  </si>
  <si>
    <t>ELMER SIXTO SOJO ACARO</t>
  </si>
  <si>
    <t>1200002455</t>
  </si>
  <si>
    <t>03-0B001-0004691</t>
  </si>
  <si>
    <t>ELMER SIXTO SOJO ACARO</t>
  </si>
  <si>
    <t>1200002530</t>
  </si>
  <si>
    <t>03-0B001-0004700</t>
  </si>
  <si>
    <t>ELMER SIXTO SOJO ACARO</t>
  </si>
  <si>
    <t>1200002531</t>
  </si>
  <si>
    <t>03-0B001-0004701</t>
  </si>
  <si>
    <t>ELMER SIXTO SOJO ACARO</t>
  </si>
  <si>
    <t>1200002563</t>
  </si>
  <si>
    <t>03-0B001-0004708</t>
  </si>
  <si>
    <t>ELMER SIXTO SOJO ACARO</t>
  </si>
  <si>
    <t>1200002564</t>
  </si>
  <si>
    <t>03-0B001-0004709</t>
  </si>
  <si>
    <t>2000001368</t>
  </si>
  <si>
    <t>FOOD &amp; BEVERAGES TRADERS, S.L.</t>
  </si>
  <si>
    <t>1300004854</t>
  </si>
  <si>
    <t>FT-0F002-0000311</t>
  </si>
  <si>
    <t>2000001441</t>
  </si>
  <si>
    <t>Giant Ocean Food Company Limited</t>
  </si>
  <si>
    <t>1300004712</t>
  </si>
  <si>
    <t>FT-0F002-0000327</t>
  </si>
  <si>
    <t>2000001361</t>
  </si>
  <si>
    <t>GLOBAL OCEAN FLEXTRADING, S. L</t>
  </si>
  <si>
    <t>GLOBAL OCEAN FLEXTRADING, S. L</t>
  </si>
  <si>
    <t>1300004210</t>
  </si>
  <si>
    <t>FT-0F002-0000295</t>
  </si>
  <si>
    <t>GLOBAL OCEAN FLEXTRADING, S. L</t>
  </si>
  <si>
    <t>1200002007</t>
  </si>
  <si>
    <t>01-0F002-0000342</t>
  </si>
  <si>
    <t>GLOBAL OCEAN FLEXTRADING, S. L</t>
  </si>
  <si>
    <t>1200002041</t>
  </si>
  <si>
    <t>01-0F002-0000351</t>
  </si>
  <si>
    <t>2000001439</t>
  </si>
  <si>
    <t>GOLDEN SEAFOOD PTE. LTD.</t>
  </si>
  <si>
    <t>1300004856</t>
  </si>
  <si>
    <t>ANTICIPO FP-251</t>
  </si>
  <si>
    <t>2000001398</t>
  </si>
  <si>
    <t>Hunan Jinyueyang Import and Export</t>
  </si>
  <si>
    <t>1300002661</t>
  </si>
  <si>
    <t>FT-0F002-0000315</t>
  </si>
  <si>
    <t>Hunan Jinyueyang Import and Export</t>
  </si>
  <si>
    <t>1300002662</t>
  </si>
  <si>
    <t>FT-0F002-0000323</t>
  </si>
  <si>
    <t>Hunan Jinyueyang Import and Export</t>
  </si>
  <si>
    <t>1200001877</t>
  </si>
  <si>
    <t>01-0F002-0000331</t>
  </si>
  <si>
    <t>1000006830</t>
  </si>
  <si>
    <t>JAHFISH E.I.R.L.</t>
  </si>
  <si>
    <t>1200002153</t>
  </si>
  <si>
    <t>01-0F101-0006689</t>
  </si>
  <si>
    <t>JAHFISH E.I.R.L.</t>
  </si>
  <si>
    <t>1200002154</t>
  </si>
  <si>
    <t>01-0F101-0006690</t>
  </si>
  <si>
    <t>JAHFISH E.I.R.L.</t>
  </si>
  <si>
    <t>1200002168</t>
  </si>
  <si>
    <t>01-0F101-0006702</t>
  </si>
  <si>
    <t>JAHFISH E.I.R.L.</t>
  </si>
  <si>
    <t>1200002169</t>
  </si>
  <si>
    <t>01-0F101-0006703</t>
  </si>
  <si>
    <t>JAHFISH E.I.R.L.</t>
  </si>
  <si>
    <t>1200002197</t>
  </si>
  <si>
    <t>01-0F101-0006725</t>
  </si>
  <si>
    <t>JAHFISH E.I.R.L.</t>
  </si>
  <si>
    <t>1200002204</t>
  </si>
  <si>
    <t>01-0F101-0006732</t>
  </si>
  <si>
    <t>JAHFISH E.I.R.L.</t>
  </si>
  <si>
    <t>1200002235</t>
  </si>
  <si>
    <t>01-0F101-0006751</t>
  </si>
  <si>
    <t>JAHFISH E.I.R.L.</t>
  </si>
  <si>
    <t>1200002236</t>
  </si>
  <si>
    <t>01-0F101-0006752</t>
  </si>
  <si>
    <t>JAHFISH E.I.R.L.</t>
  </si>
  <si>
    <t>1200002251</t>
  </si>
  <si>
    <t>01-0F101-0006765</t>
  </si>
  <si>
    <t>JAHFISH E.I.R.L.</t>
  </si>
  <si>
    <t>1200002252</t>
  </si>
  <si>
    <t>01-0F101-0006766</t>
  </si>
  <si>
    <t>JAHFISH E.I.R.L.</t>
  </si>
  <si>
    <t>1200002255</t>
  </si>
  <si>
    <t>01-0F101-0006769</t>
  </si>
  <si>
    <t>JAHFISH E.I.R.L.</t>
  </si>
  <si>
    <t>1200002256</t>
  </si>
  <si>
    <t>01-0F101-0006770</t>
  </si>
  <si>
    <t>JAHFISH E.I.R.L.</t>
  </si>
  <si>
    <t>1200002263</t>
  </si>
  <si>
    <t>01-0F101-0006775</t>
  </si>
  <si>
    <t>JAHFISH E.I.R.L.</t>
  </si>
  <si>
    <t>1200002264</t>
  </si>
  <si>
    <t>01-0F101-0006776</t>
  </si>
  <si>
    <t>JAHFISH E.I.R.L.</t>
  </si>
  <si>
    <t>1200002314</t>
  </si>
  <si>
    <t>01-0F101-0006820</t>
  </si>
  <si>
    <t>JAHFISH E.I.R.L.</t>
  </si>
  <si>
    <t>1200002315</t>
  </si>
  <si>
    <t>01-0F101-0006821</t>
  </si>
  <si>
    <t>JAHFISH E.I.R.L.</t>
  </si>
  <si>
    <t>1200002375</t>
  </si>
  <si>
    <t>01-0F101-0006865</t>
  </si>
  <si>
    <t>JAHFISH E.I.R.L.</t>
  </si>
  <si>
    <t>1200002376</t>
  </si>
  <si>
    <t>01-0F101-0006866</t>
  </si>
  <si>
    <t>JAHFISH E.I.R.L.</t>
  </si>
  <si>
    <t>1200002418</t>
  </si>
  <si>
    <t>01-0F101-0006889</t>
  </si>
  <si>
    <t>JAHFISH E.I.R.L.</t>
  </si>
  <si>
    <t>1200002419</t>
  </si>
  <si>
    <t>01-0F101-0006890</t>
  </si>
  <si>
    <t>JAHFISH E.I.R.L.</t>
  </si>
  <si>
    <t>1200002439</t>
  </si>
  <si>
    <t>01-0F101-0006908</t>
  </si>
  <si>
    <t>JAHFISH E.I.R.L.</t>
  </si>
  <si>
    <t>1200002440</t>
  </si>
  <si>
    <t>01-0F101-0006909</t>
  </si>
  <si>
    <t>JAHFISH E.I.R.L.</t>
  </si>
  <si>
    <t>1200002464</t>
  </si>
  <si>
    <t>01-0F101-0006927</t>
  </si>
  <si>
    <t>JAHFISH E.I.R.L.</t>
  </si>
  <si>
    <t>1200002465</t>
  </si>
  <si>
    <t>01-0F101-0006928</t>
  </si>
  <si>
    <t>JAHFISH E.I.R.L.</t>
  </si>
  <si>
    <t>1200002467</t>
  </si>
  <si>
    <t>01-0F101-0006930</t>
  </si>
  <si>
    <t>JAHFISH E.I.R.L.</t>
  </si>
  <si>
    <t>1200002468</t>
  </si>
  <si>
    <t>01-0F101-0006931</t>
  </si>
  <si>
    <t>JAHFISH E.I.R.L.</t>
  </si>
  <si>
    <t>1200002512</t>
  </si>
  <si>
    <t>01-0F101-0006973</t>
  </si>
  <si>
    <t>JAHFISH E.I.R.L.</t>
  </si>
  <si>
    <t>1200002513</t>
  </si>
  <si>
    <t>01-0F101-0006974</t>
  </si>
  <si>
    <t>JAHFISH E.I.R.L.</t>
  </si>
  <si>
    <t>1200002523</t>
  </si>
  <si>
    <t>01-0F101-0006982</t>
  </si>
  <si>
    <t>JAHFISH E.I.R.L.</t>
  </si>
  <si>
    <t>1200002524</t>
  </si>
  <si>
    <t>01-0F101-0006983</t>
  </si>
  <si>
    <t>JAHFISH E.I.R.L.</t>
  </si>
  <si>
    <t>1200002558</t>
  </si>
  <si>
    <t>01-0F101-0007006</t>
  </si>
  <si>
    <t>JAHFISH E.I.R.L.</t>
  </si>
  <si>
    <t>1200002559</t>
  </si>
  <si>
    <t>01-0F101-0007007</t>
  </si>
  <si>
    <t>JAHFISH E.I.R.L.</t>
  </si>
  <si>
    <t>1200002575</t>
  </si>
  <si>
    <t>01-0F101-0007016</t>
  </si>
  <si>
    <t>JAHFISH E.I.R.L.</t>
  </si>
  <si>
    <t>1200002576</t>
  </si>
  <si>
    <t>01-0F101-0007017</t>
  </si>
  <si>
    <t>JAHFISH E.I.R.L.</t>
  </si>
  <si>
    <t>1200002612</t>
  </si>
  <si>
    <t>01-0F101-0007047</t>
  </si>
  <si>
    <t>JAHFISH E.I.R.L.</t>
  </si>
  <si>
    <t>1200002613</t>
  </si>
  <si>
    <t>01-0F101-0007048</t>
  </si>
  <si>
    <t>JAHFISH E.I.R.L.</t>
  </si>
  <si>
    <t>1200002624</t>
  </si>
  <si>
    <t>01-0F101-0007059</t>
  </si>
  <si>
    <t>JAHFISH E.I.R.L.</t>
  </si>
  <si>
    <t>1200002625</t>
  </si>
  <si>
    <t>01-0F101-0007060</t>
  </si>
  <si>
    <t>2000001459</t>
  </si>
  <si>
    <t>KS FROZEN COMPANY LIMITED</t>
  </si>
  <si>
    <t>1300004230</t>
  </si>
  <si>
    <t>ANTICIPO FP242</t>
  </si>
  <si>
    <t>2000001172</t>
  </si>
  <si>
    <t>KULALIA SL</t>
  </si>
  <si>
    <t>1300004713</t>
  </si>
  <si>
    <t>SALDO A FAVOR</t>
  </si>
  <si>
    <t>KULALIA SL</t>
  </si>
  <si>
    <t>1300004024</t>
  </si>
  <si>
    <t>ANTICIPO FP238</t>
  </si>
  <si>
    <t>KULALIA SL</t>
  </si>
  <si>
    <t>1200002324</t>
  </si>
  <si>
    <t>01-0F002-0000366</t>
  </si>
  <si>
    <t>KULALIA SL</t>
  </si>
  <si>
    <t>1300004844</t>
  </si>
  <si>
    <t>ANTICIPO FP-248</t>
  </si>
  <si>
    <t>KULALIA SL</t>
  </si>
  <si>
    <t>1300004857</t>
  </si>
  <si>
    <t>ANTICIPO FP-228</t>
  </si>
  <si>
    <t>2000000231</t>
  </si>
  <si>
    <t>LONGKOU JIABAO AQUATIC FOODSTUFFS</t>
  </si>
  <si>
    <t>1200001730</t>
  </si>
  <si>
    <t>01-0F002-0000326</t>
  </si>
  <si>
    <t>LONGKOU JIABAO AQUATIC FOODSTUFFS</t>
  </si>
  <si>
    <t>1200001990</t>
  </si>
  <si>
    <t>01-0F002-0000337</t>
  </si>
  <si>
    <t>LONGKOU JIABAO AQUATIC FOODSTUFFS</t>
  </si>
  <si>
    <t>1200002034</t>
  </si>
  <si>
    <t>01-0F002-0000344</t>
  </si>
  <si>
    <t>LONGKOU JIABAO AQUATIC FOODSTUFFS</t>
  </si>
  <si>
    <t>1300004860</t>
  </si>
  <si>
    <t>FT-0F002-0000346</t>
  </si>
  <si>
    <t>LONGKOU JIABAO AQUATIC FOODSTUFFS</t>
  </si>
  <si>
    <t>1200002130</t>
  </si>
  <si>
    <t>01-0F002-0000354</t>
  </si>
  <si>
    <t>LONGKOU JIABAO AQUATIC FOODSTUFFS</t>
  </si>
  <si>
    <t>1200002133</t>
  </si>
  <si>
    <t>01-0F002-0000357</t>
  </si>
  <si>
    <t>LONGKOU JIABAO AQUATIC FOODSTUFFS</t>
  </si>
  <si>
    <t>1200002635</t>
  </si>
  <si>
    <t>01-0F002-0000371</t>
  </si>
  <si>
    <t>2000000233</t>
  </si>
  <si>
    <t>LONGKOU SANMING AQUATIC</t>
  </si>
  <si>
    <t>1300004714</t>
  </si>
  <si>
    <t>FT-0F002-0000350</t>
  </si>
  <si>
    <t>LONGKOU SANMING AQUATIC</t>
  </si>
  <si>
    <t>1200002140</t>
  </si>
  <si>
    <t>01-0F002-0000364</t>
  </si>
  <si>
    <t>LONGKOU SANMING AQUATIC</t>
  </si>
  <si>
    <t>1300004855</t>
  </si>
  <si>
    <t>ANTICIPO FP-249</t>
  </si>
  <si>
    <t>LONGKOU SANMING AQUATIC</t>
  </si>
  <si>
    <t>1200002541</t>
  </si>
  <si>
    <t>01-0F002-0000367</t>
  </si>
  <si>
    <t>2000001409</t>
  </si>
  <si>
    <t>Longkou Yunfeng Aquatic Food Co.,Lt</t>
  </si>
  <si>
    <t>Longkou Yunfeng Aquatic Food Co.,Lt</t>
  </si>
  <si>
    <t>1300004861</t>
  </si>
  <si>
    <t>FT-0F002-0000319</t>
  </si>
  <si>
    <t>Longkou Yunfeng Aquatic Food Co.,Lt</t>
  </si>
  <si>
    <t>1200001874</t>
  </si>
  <si>
    <t>01-0F002-0000328</t>
  </si>
  <si>
    <t>Longkou Yunfeng Aquatic Food Co.,Lt</t>
  </si>
  <si>
    <t>1200001989</t>
  </si>
  <si>
    <t>01-0F002-0000336</t>
  </si>
  <si>
    <t>Longkou Yunfeng Aquatic Food Co.,Lt</t>
  </si>
  <si>
    <t>1200002038</t>
  </si>
  <si>
    <t>01-0F002-0000348</t>
  </si>
  <si>
    <t>Longkou Yunfeng Aquatic Food Co.,Lt</t>
  </si>
  <si>
    <t>1200002132</t>
  </si>
  <si>
    <t>01-0F002-0000356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</si>
  <si>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</si>
  <si>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</si>
  <si>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</si>
  <si>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</si>
  <si>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</si>
  <si>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</si>
  <si>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</si>
  <si>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</si>
  <si>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</si>
  <si>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</si>
  <si>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</si>
  <si>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</si>
  <si>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</si>
  <si>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</si>
  <si>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</si>
  <si>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</si>
  <si>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</si>
  <si>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</si>
  <si>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</si>
  <si>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</si>
  <si>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</si>
  <si>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</si>
  <si>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</si>
  <si>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</si>
  <si>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</si>
  <si>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</si>
  <si>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</si>
  <si>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</si>
  <si>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</si>
  <si>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</si>
  <si>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</si>
  <si>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</si>
  <si>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</si>
  <si>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</si>
  <si>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</si>
  <si>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</si>
  <si>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</si>
  <si>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</si>
  <si>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</si>
  <si>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</si>
  <si>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</si>
  <si>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</si>
  <si>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</si>
  <si>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</si>
  <si>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</si>
  <si>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</si>
  <si>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</si>
  <si>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</si>
  <si>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</si>
  <si>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</si>
  <si>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</si>
  <si>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</si>
  <si>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</si>
  <si>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</si>
  <si>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</si>
  <si>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6001105</t>
  </si>
  <si>
    <t>NEGOCIOS PESQUEROS AARON EIRL</t>
  </si>
  <si>
    <t>1200001300</t>
  </si>
  <si>
    <t>01-0F101-0006073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</si>
  <si>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</si>
  <si>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</si>
  <si>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</si>
  <si>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</si>
  <si>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</si>
  <si>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</si>
  <si>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</si>
  <si>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</si>
  <si>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</si>
  <si>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</si>
  <si>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</si>
  <si>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</si>
  <si>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</si>
  <si>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</si>
  <si>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</si>
  <si>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2000001443</t>
  </si>
  <si>
    <t>NINGBO JUN TAO IMPORT AND</t>
  </si>
  <si>
    <t>1300002821</t>
  </si>
  <si>
    <t>ANTICIPO NINGBO</t>
  </si>
  <si>
    <t>NINGBO JUN TAO IMPORT AND</t>
  </si>
  <si>
    <t>1300004715</t>
  </si>
  <si>
    <t>FT-0F002-0000355</t>
  </si>
  <si>
    <t>2000001359</t>
  </si>
  <si>
    <t>OCEANUS FISH S.L.</t>
  </si>
  <si>
    <t>1200001321</t>
  </si>
  <si>
    <t>01-0F002-0000309</t>
  </si>
  <si>
    <t>OCEANUS FISH S.L.</t>
  </si>
  <si>
    <t>1200002006</t>
  </si>
  <si>
    <t>01-0F002-0000341</t>
  </si>
  <si>
    <t>2000001468</t>
  </si>
  <si>
    <t>OPTIMIZE INTEGRATION GROUP INC</t>
  </si>
  <si>
    <t>1300004843</t>
  </si>
  <si>
    <t>ANTICIPO FP-247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</si>
  <si>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</si>
  <si>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</si>
  <si>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</si>
  <si>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</si>
  <si>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</si>
  <si>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</si>
  <si>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</si>
  <si>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</si>
  <si>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</si>
  <si>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</si>
  <si>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</si>
  <si>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</si>
  <si>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</si>
  <si>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2000001380</t>
  </si>
  <si>
    <t>PELAGICS INTERNATIONAL CORP SAS</t>
  </si>
  <si>
    <t>1300004799</t>
  </si>
  <si>
    <t>ANTICIPO FP-243</t>
  </si>
  <si>
    <t>PELAGICS INTERNATIONAL CORP SAS</t>
  </si>
  <si>
    <t>1200002542</t>
  </si>
  <si>
    <t>01-0F002-0000368</t>
  </si>
  <si>
    <t>6000434</t>
  </si>
  <si>
    <t>PESQUERA HAYDUK S.A.</t>
  </si>
  <si>
    <t>1200004540</t>
  </si>
  <si>
    <t>01-0F003-0000083</t>
  </si>
  <si>
    <t>1000001607</t>
  </si>
  <si>
    <t>PROVEEDORA DE PRODUCTOS MARINOS</t>
  </si>
  <si>
    <t>1200002528</t>
  </si>
  <si>
    <t>01-0F003-0000190</t>
  </si>
  <si>
    <t>2000001438</t>
  </si>
  <si>
    <t>Qingdao Haiyujia International Trad</t>
  </si>
  <si>
    <t>1300002731</t>
  </si>
  <si>
    <t>FT-0F002-0000324</t>
  </si>
  <si>
    <t>Qingdao Haiyujia International Trad</t>
  </si>
  <si>
    <t>1200001892</t>
  </si>
  <si>
    <t>01-0F002-0000332</t>
  </si>
  <si>
    <t>2000001460</t>
  </si>
  <si>
    <t>SERENE OCEAN TRADING LIMITED</t>
  </si>
  <si>
    <t>1300004801</t>
  </si>
  <si>
    <t>ANTICIPO FP-246</t>
  </si>
  <si>
    <t>1000001965</t>
  </si>
  <si>
    <t>SERVICIOS DIESEL EXPRESS E.I.R.L.</t>
  </si>
  <si>
    <t>1200002503</t>
  </si>
  <si>
    <t>01-0F101-0006964</t>
  </si>
  <si>
    <t>SERVICIOS DIESEL EXPRESS E.I.R.L.</t>
  </si>
  <si>
    <t>1200002569</t>
  </si>
  <si>
    <t>01-0F101-0007010</t>
  </si>
  <si>
    <t>SERVICIOS DIESEL EXPRESS E.I.R.L.</t>
  </si>
  <si>
    <t>1200002582</t>
  </si>
  <si>
    <t>01-0F101-0007023</t>
  </si>
  <si>
    <t>SERVICIOS DIESEL EXPRESS E.I.R.L.</t>
  </si>
  <si>
    <t>1200002619</t>
  </si>
  <si>
    <t>01-0F101-0007054</t>
  </si>
  <si>
    <t>2000001418</t>
  </si>
  <si>
    <t>Shandong Sheenier Food Co., Ltd.</t>
  </si>
  <si>
    <t>1300002670</t>
  </si>
  <si>
    <t>FT-0F002-0000314</t>
  </si>
  <si>
    <t>2000001440</t>
  </si>
  <si>
    <t>Shenzhen Yueshi Supply Chain</t>
  </si>
  <si>
    <t>1300002671</t>
  </si>
  <si>
    <t>FT-0F002-0000321</t>
  </si>
  <si>
    <t>Shenzhen Yueshi Supply Chain</t>
  </si>
  <si>
    <t>1300004716</t>
  </si>
  <si>
    <t>FT-0F002-0000361</t>
  </si>
  <si>
    <t>1000013801</t>
  </si>
  <si>
    <t>STL 5.0 S.A.C.</t>
  </si>
  <si>
    <t>1200002198</t>
  </si>
  <si>
    <t>01-0F101-0006726</t>
  </si>
  <si>
    <t>STL 5.0 S.A.C.</t>
  </si>
  <si>
    <t>1200002199</t>
  </si>
  <si>
    <t>01-0F101-0006727</t>
  </si>
  <si>
    <t>1000013686</t>
  </si>
  <si>
    <t>TRANSPORTES O Y G S.A.C.</t>
  </si>
  <si>
    <t>1200002347</t>
  </si>
  <si>
    <t>01-0F101-0006842</t>
  </si>
  <si>
    <t>TRANSPORTES O Y G S.A.C.</t>
  </si>
  <si>
    <t>1200002502</t>
  </si>
  <si>
    <t>01-0F101-0006963</t>
  </si>
  <si>
    <t>2000000786</t>
  </si>
  <si>
    <t>TSUJINO &amp; CO., LTD</t>
  </si>
  <si>
    <t>TSUJINO &amp; CO., LTD</t>
  </si>
  <si>
    <t>1200002633</t>
  </si>
  <si>
    <t>01-0F002-0000369</t>
  </si>
  <si>
    <t>2000000590</t>
  </si>
  <si>
    <t>TT Interbiz Company Limited</t>
  </si>
  <si>
    <t>1300004717</t>
  </si>
  <si>
    <t>FT-0F002-0000338</t>
  </si>
  <si>
    <t>2000001442</t>
  </si>
  <si>
    <t>YANTAI HIZEN INTERNATIONAL TRADE CO</t>
  </si>
  <si>
    <t>1300004718</t>
  </si>
  <si>
    <t>FT-0F002-0000358</t>
  </si>
  <si>
    <t>2000001444</t>
  </si>
  <si>
    <t>YANTAI HONGCHANG IMPORT AND EXPORT</t>
  </si>
  <si>
    <t>1300004719</t>
  </si>
  <si>
    <t>FT-0F002-0000345</t>
  </si>
  <si>
    <t>YANTAI HONGCHANG IMPORT AND EXPORT</t>
  </si>
  <si>
    <t>1200002637</t>
  </si>
  <si>
    <t>01-0F002-0000370</t>
  </si>
  <si>
    <t>2000001069</t>
  </si>
  <si>
    <t>YANTAI TAIXI FOODSTUFF CO., LTD</t>
  </si>
  <si>
    <t>1300004190</t>
  </si>
  <si>
    <t>FT-0F002-0000300</t>
  </si>
  <si>
    <t>2000001446</t>
  </si>
  <si>
    <t>ZHEJIANG ZHOUFU FOOD CO.,LTD</t>
  </si>
  <si>
    <t>1300004720</t>
  </si>
  <si>
    <t>FT-0F002-0000352</t>
  </si>
  <si>
    <t>2000001449</t>
  </si>
  <si>
    <t>ZHOUSHAN EAST CHINA SEA RURAL FOOD</t>
  </si>
  <si>
    <t>1300004721</t>
  </si>
  <si>
    <t>FT-0F002-0000365</t>
  </si>
  <si>
    <t>UNIDAD DE NEGOCIO</t>
  </si>
  <si>
    <t>NACIONAL</t>
  </si>
  <si>
    <t>RODRIGO</t>
  </si>
  <si>
    <t>CISTERNA</t>
  </si>
  <si>
    <t>OTROS</t>
  </si>
  <si>
    <t>RESIDUOS</t>
  </si>
  <si>
    <t>Etiquetas de columna</t>
  </si>
  <si>
    <t>Etiquetas de fila</t>
  </si>
  <si>
    <t>Total general</t>
  </si>
  <si>
    <t>EXPORTACIÓN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</si>
  <si>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</si>
  <si>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</si>
  <si>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</si>
  <si>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</si>
  <si>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</si>
  <si>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</si>
  <si>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</si>
  <si>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</si>
  <si>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</si>
  <si>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61-90</t>
  </si>
  <si>
    <t>Suma de USD HOMOL</t>
  </si>
  <si>
    <t>(Todas)</t>
  </si>
  <si>
    <t>(Varios elementos)</t>
  </si>
  <si>
    <t>Suma de DÍAS ATRASADOS</t>
  </si>
  <si>
    <t>Cuenta de DÍAS VENCIDOS</t>
  </si>
  <si>
    <t>FT-0F002-0000333</t>
  </si>
  <si>
    <t>2026</t>
  </si>
  <si>
    <t>Total 2026</t>
  </si>
  <si>
    <t>Abr</t>
  </si>
  <si>
    <t>May</t>
  </si>
  <si>
    <t>Jun</t>
  </si>
  <si>
    <t>Jul</t>
  </si>
  <si>
    <t>Ago</t>
  </si>
  <si>
    <t>Total Jun</t>
  </si>
  <si>
    <t>Total Jul</t>
  </si>
  <si>
    <t>Total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</si>
</sst>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</cellStyleXfs>
  <cellXfs count="33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3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4" fillId="0" borderId="0" xfId="3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3" fontId="5" fillId="0" borderId="0" xfId="0" quotePrefix="1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2" fontId="5" fillId="0" borderId="0" xfId="0" applyNumberFormat="1" applyFont="1" applyAlignment="1">
      <alignment vertical="top"/>
    </xf>
    <xf numFmtId="3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3" fontId="0" fillId="3" borderId="0" xfId="0" applyNumberFormat="1" applyFill="1" applyAlignment="1">
      <alignment vertical="top"/>
    </xf>
    <xf numFmtId="3" fontId="0" fillId="4" borderId="0" xfId="0" applyNumberFormat="1" applyFill="1" applyAlignment="1">
      <alignment vertical="top"/>
    </xf>
    <xf numFmtId="3" fontId="0" fillId="0" borderId="0" xfId="0" applyNumberFormat="1" applyFill="1" applyAlignment="1">
      <alignment vertical="top"/>
    </xf>
  </cellXfs>
  <cellStyles count="4">
    <cellStyle name="Millares" xfId="1" builtinId="3"/>
    <cellStyle name="Millares 2" xfId="2" xr:uid="{3C4A6EAA-7A17-445F-855A-C95A823BD80D}"/>
    <cellStyle name="Normal" xfId="0" builtinId="0"/>
    <cellStyle name="Normal 2" xfId="3" xr:uid="{0235AF6B-FE69-480A-B208-83E67B39A888}"/>
  </cellStyles>
  <dxfs count="23">
    <dxf>
      <fill>
        <patternFill>
          <fgColor theme="7" tint="0.59999389629810485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7" tint="0.5999938962981048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95.687039236109" createdVersion="8" refreshedVersion="8" minRefreshableVersion="3" recordCount="177" xr:uid="{42160628-6E44-432B-B359-38DE9E83014D}">
  <cacheSource type="worksheet">
    <worksheetSource ref="A1:R178" sheet="Data"/>
  </cacheSource>
  <cacheFields count="18">
    <cacheField name="Cliente" numFmtId="0">
      <sharedItems/>
    </cacheField>
    <cacheField name="Nombre de cliente" numFmtId="0">
      <sharedItems count="41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GOLDEN SEAFOOD PTE. LTD."/>
        <s v="Hunan Jinyueyang Import and Export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PROVEEDORA DE PRODUCTOS MARINOS"/>
        <s v="Qingdao Haiyujia International Trad"/>
        <s v="SERENE OCEAN TRADING LIMITE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TAIXI FOODSTUFF CO., LTD"/>
        <s v="ZHEJIANG ZHOUFU FOOD CO.,LTD"/>
        <s v="ZHOUSHAN EAST CHINA SEA RURAL FOOD"/>
      </sharedItems>
    </cacheField>
    <cacheField name="Nº documento" numFmtId="0">
      <sharedItems/>
    </cacheField>
    <cacheField name="Referencia" numFmtId="0">
      <sharedItems count="176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39"/>
        <s v="01-0F002-0000353"/>
        <s v="ANTICIPO"/>
        <s v="01-0F002-0000359"/>
        <s v="FT-0F002-0000360"/>
        <s v="03-0B001-0004567"/>
        <s v="03-0B001-0004568"/>
        <s v="01-0F101-0006893"/>
        <s v="01-0F101-0007022"/>
        <s v="01-0F101-0006687"/>
        <s v="01-0F101-0006688"/>
        <s v="01-0F101-0006735"/>
        <s v="01-0F101-0006736"/>
        <s v="01-0F002-0000333"/>
        <s v="FT-0F002-0000329"/>
        <s v="SALDO A FAVOR"/>
        <s v="03-0B001-0004669"/>
        <s v="03-0B001-0004670"/>
        <s v="03-0B001-0004671"/>
        <s v="03-0B001-0004672"/>
        <s v="03-0B001-0004675"/>
        <s v="03-0B001-0004676"/>
        <s v="03-0B001-0004677"/>
        <s v="03-0B001-0004678"/>
        <s v="03-0B001-0004688"/>
        <s v="03-0B001-0004689"/>
        <s v="03-0B001-0004690"/>
        <s v="03-0B001-0004691"/>
        <s v="03-0B001-0004700"/>
        <s v="03-0B001-0004701"/>
        <s v="03-0B001-0004708"/>
        <s v="03-0B001-0004709"/>
        <s v="FT-0F002-0000311"/>
        <s v="FT-0F002-0000327"/>
        <s v="FT-0F002-0000295"/>
        <s v="01-0F002-0000342"/>
        <s v="01-0F002-0000351"/>
        <s v="ANTICIPO FP-251"/>
        <s v="FT-0F002-0000315"/>
        <s v="FT-0F002-0000323"/>
        <s v="01-0F002-0000331"/>
        <s v="01-0F101-0006689"/>
        <s v="01-0F101-0006690"/>
        <s v="01-0F101-0006702"/>
        <s v="01-0F101-0006703"/>
        <s v="01-0F101-0006725"/>
        <s v="01-0F101-0006732"/>
        <s v="01-0F101-0006751"/>
        <s v="01-0F101-0006752"/>
        <s v="01-0F101-0006765"/>
        <s v="01-0F101-0006766"/>
        <s v="01-0F101-0006769"/>
        <s v="01-0F101-0006770"/>
        <s v="01-0F101-0006775"/>
        <s v="01-0F101-0006776"/>
        <s v="01-0F101-0006820"/>
        <s v="01-0F101-0006821"/>
        <s v="01-0F101-0006865"/>
        <s v="01-0F101-0006866"/>
        <s v="01-0F101-0006889"/>
        <s v="01-0F101-0006890"/>
        <s v="01-0F101-0006908"/>
        <s v="01-0F101-0006909"/>
        <s v="01-0F101-0006927"/>
        <s v="01-0F101-0006928"/>
        <s v="01-0F101-0006930"/>
        <s v="01-0F101-0006931"/>
        <s v="01-0F101-0006973"/>
        <s v="01-0F101-0006974"/>
        <s v="01-0F101-0006982"/>
        <s v="01-0F101-0006983"/>
        <s v="01-0F101-0007006"/>
        <s v="01-0F101-0007007"/>
        <s v="01-0F101-0007016"/>
        <s v="01-0F101-0007017"/>
        <s v="01-0F101-0007047"/>
        <s v="01-0F101-0007048"/>
        <s v="01-0F101-0007059"/>
        <s v="01-0F101-0007060"/>
        <s v="ANTICIPO FP242"/>
        <s v="ANTICIPO FP238"/>
        <s v="01-0F002-0000366"/>
        <s v="ANTICIPO FP-248"/>
        <s v="ANTICIPO FP-228"/>
        <s v="01-0F002-0000326"/>
        <s v="01-0F002-0000337"/>
        <s v="01-0F002-0000344"/>
        <s v="FT-0F002-0000346"/>
        <s v="01-0F002-0000354"/>
        <s v="01-0F002-0000357"/>
        <s v="01-0F002-0000371"/>
        <s v="FT-0F002-0000350"/>
        <s v="01-0F002-0000364"/>
        <s v="ANTICIPO FP-249"/>
        <s v="01-0F002-0000367"/>
        <s v="FT-0F002-0000319"/>
        <s v="01-0F002-0000328"/>
        <s v="01-0F002-0000336"/>
        <s v="01-0F002-0000348"/>
        <s v="01-0F002-000035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6073"/>
        <s v="01-0F101-0006074"/>
        <s v="01-0F101-0006075"/>
        <s v="FT-0F101-0006072"/>
        <s v="01-0F101-0006336"/>
        <s v="01-0F101-0006337"/>
        <s v="ANTICIPO NINGBO"/>
        <s v="FT-0F002-0000355"/>
        <s v="01-0F002-0000309"/>
        <s v="01-0F002-0000341"/>
        <s v="ANTICIPO FP-247"/>
        <s v="FT-0F003-0000101"/>
        <s v="01-0F003-0000129"/>
        <s v="01-0F003-0000168"/>
        <s v="01-0F003-0000174"/>
        <s v="ANTICIPO FP-243"/>
        <s v="01-0F002-0000368"/>
        <s v="01-0F003-0000083"/>
        <s v="01-0F003-0000190"/>
        <s v="FT-0F002-0000324"/>
        <s v="01-0F002-0000332"/>
        <s v="ANTICIPO FP-246"/>
        <s v="01-0F101-0006964"/>
        <s v="01-0F101-0007010"/>
        <s v="01-0F101-0007023"/>
        <s v="01-0F101-0007054"/>
        <s v="FT-0F002-0000314"/>
        <s v="FT-0F002-0000321"/>
        <s v="FT-0F002-0000361"/>
        <s v="01-0F101-0006726"/>
        <s v="01-0F101-0006727"/>
        <s v="01-0F101-0006842"/>
        <s v="01-0F101-0006963"/>
        <s v="01-0F002-0000369"/>
        <s v="FT-0F002-0000338"/>
        <s v="FT-0F002-0000358"/>
        <s v="FT-0F002-0000345"/>
        <s v="01-0F002-0000370"/>
        <s v="FT-0F002-0000300"/>
        <s v="FT-0F002-0000352"/>
        <s v="FT-0F002-0000365"/>
      </sharedItems>
    </cacheField>
    <cacheField name="Clase de documento" numFmtId="0">
      <sharedItems count="5">
        <s v="DF"/>
        <s v="ZV"/>
        <s v="DE"/>
        <s v="DZ"/>
        <s v="DB"/>
      </sharedItems>
    </cacheField>
    <cacheField name="Fecha de documento" numFmtId="14">
      <sharedItems containsSemiMixedTypes="0" containsNonDate="0" containsDate="1" containsString="0" minDate="2025-10-07T00:00:00" maxDate="2026-06-21T00:00:00" count="51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5-22T00:00:00"/>
        <d v="2026-05-26T00:00:00"/>
        <d v="2026-05-27T00:00:00"/>
        <d v="2026-05-29T00:00:00"/>
        <d v="2026-05-17T00:00:00"/>
        <d v="2026-06-11T00:00:00"/>
        <d v="2026-06-17T00:00:00"/>
        <d v="2026-06-01T00:00:00"/>
        <d v="2026-06-03T00:00:00"/>
        <d v="2026-05-19T00:00:00"/>
        <d v="2026-06-10T00:00:00"/>
        <d v="2026-06-12T00:00:00"/>
        <d v="2026-06-15T00:00:00"/>
        <d v="2026-06-16T00:00:00"/>
        <d v="2026-04-27T00:00:00"/>
        <d v="2026-05-16T00:00:00"/>
        <d v="2026-04-12T00:00:00"/>
        <d v="2026-04-29T00:00:00"/>
        <d v="2026-06-02T00:00:00"/>
        <d v="2026-06-04T00:00:00"/>
        <d v="2026-06-08T00:00:00"/>
        <d v="2026-06-13T00:00:00"/>
        <d v="2026-06-14T00:00:00"/>
        <d v="2026-06-19T00:00:00"/>
        <d v="2026-06-20T00:00:00"/>
        <d v="2026-04-28T00:00:00"/>
        <d v="2026-05-13T00:00:00"/>
        <d v="2026-06-05T00:00:00"/>
        <d v="2026-05-12T00:00:00"/>
        <d v="2026-05-24T00:00:00"/>
        <d v="2026-06-09T00:00:00"/>
        <d v="2025-11-03T00:00:00"/>
        <d v="2025-11-06T00:00:00"/>
        <d v="2026-05-06T00:00:00"/>
        <d v="2025-10-21T00:00:00"/>
        <d v="2025-11-04T00:00:00"/>
        <d v="2026-01-31T00:00:00"/>
        <d v="2026-03-03T00:00:00"/>
        <d v="2025-10-07T00:00:00"/>
        <d v="2026-04-22T00:00:00"/>
        <d v="2026-05-31T00:00:00"/>
      </sharedItems>
    </cacheField>
    <cacheField name="Demora tras vencimiento neto" numFmtId="3">
      <sharedItems containsSemiMixedTypes="0" containsString="0" containsNumber="1" containsInteger="1" minValue="-42" maxValue="251"/>
    </cacheField>
    <cacheField name="Fecha de pago" numFmtId="14">
      <sharedItems containsSemiMixedTypes="0" containsNonDate="0" containsDate="1" containsString="0" minDate="2025-10-14T00:00:00" maxDate="2026-08-04T00:00:00"/>
    </cacheField>
    <cacheField name="Importe en moneda doc." numFmtId="4">
      <sharedItems containsSemiMixedTypes="0" containsString="0" containsNumber="1" minValue="-159925" maxValue="421200"/>
    </cacheField>
    <cacheField name="Moneda del documento" numFmtId="0">
      <sharedItems/>
    </cacheField>
    <cacheField name="UNIDAD DE NEGOCIO" numFmtId="0">
      <sharedItems count="6">
        <s v="NACIONAL"/>
        <s v="EXPORTACIÓN"/>
        <s v="RODRIGO"/>
        <s v="CISTERNA"/>
        <s v="OTROS"/>
        <s v="RESIDUOS"/>
      </sharedItems>
    </cacheField>
    <cacheField name="FECHA IDEAL DE PAGO" numFmtId="0">
      <sharedItems containsNonDate="0" containsDate="1" containsString="0" containsBlank="1" minDate="2026-05-27T00:00:00" maxDate="2026-08-04T00:00:00"/>
    </cacheField>
    <cacheField name="DÍAS VENCIDOS" numFmtId="0">
      <sharedItems containsString="0" containsBlank="1" containsNumber="1" containsInteger="1" minValue="-28" maxValue="46195"/>
    </cacheField>
    <cacheField name="Vcto finanzas SEMANA PASADA" numFmtId="0">
      <sharedItems containsNonDate="0" containsDate="1" containsString="0" containsBlank="1" minDate="2026-06-26T00:00:00" maxDate="2026-07-21T00:00:00"/>
    </cacheField>
    <cacheField name="Vcto finanzas" numFmtId="14">
      <sharedItems containsSemiMixedTypes="0" containsNonDate="0" containsDate="1" containsString="0" minDate="2025-10-14T00:00:00" maxDate="2026-08-04T00:00:00"/>
    </cacheField>
    <cacheField name="USD HOMOL" numFmtId="0">
      <sharedItems containsSemiMixedTypes="0" containsString="0" containsNumber="1" minValue="-159925" maxValue="421200"/>
    </cacheField>
    <cacheField name="DÍAS ATRASADOS" numFmtId="0">
      <sharedItems containsString="0" containsBlank="1" containsNumber="1" containsInteger="1" minValue="3" maxValue="71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95.687756250001" createdVersion="8" refreshedVersion="8" minRefreshableVersion="3" recordCount="177" xr:uid="{2445C6A7-C48F-472E-A866-F228D4C60EFB}">
  <cacheSource type="worksheet">
    <worksheetSource ref="A1:R178" sheet="Data"/>
  </cacheSource>
  <cacheFields count="18">
    <cacheField name="Cliente" numFmtId="0">
      <sharedItems/>
    </cacheField>
    <cacheField name="Nombre de cliente" numFmtId="0">
      <sharedItems count="41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GOLDEN SEAFOOD PTE. LTD."/>
        <s v="Hunan Jinyueyang Import and Export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PROVEEDORA DE PRODUCTOS MARINOS"/>
        <s v="Qingdao Haiyujia International Trad"/>
        <s v="SERENE OCEAN TRADING LIMITE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TAIXI FOODSTUFF CO., LTD"/>
        <s v="ZHEJIANG ZHOUFU FOOD CO.,LTD"/>
        <s v="ZHOUSHAN EAST CHINA SEA RURAL FOOD"/>
      </sharedItems>
    </cacheField>
    <cacheField name="Nº documento" numFmtId="0">
      <sharedItems/>
    </cacheField>
    <cacheField name="Referencia" numFmtId="0">
      <sharedItems count="176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39"/>
        <s v="01-0F002-0000353"/>
        <s v="ANTICIPO"/>
        <s v="01-0F002-0000359"/>
        <s v="FT-0F002-0000360"/>
        <s v="03-0B001-0004567"/>
        <s v="03-0B001-0004568"/>
        <s v="01-0F101-0006893"/>
        <s v="01-0F101-0007022"/>
        <s v="01-0F101-0006687"/>
        <s v="01-0F101-0006688"/>
        <s v="01-0F101-0006735"/>
        <s v="01-0F101-0006736"/>
        <s v="01-0F002-0000333"/>
        <s v="FT-0F002-0000329"/>
        <s v="SALDO A FAVOR"/>
        <s v="03-0B001-0004669"/>
        <s v="03-0B001-0004670"/>
        <s v="03-0B001-0004671"/>
        <s v="03-0B001-0004672"/>
        <s v="03-0B001-0004675"/>
        <s v="03-0B001-0004676"/>
        <s v="03-0B001-0004677"/>
        <s v="03-0B001-0004678"/>
        <s v="03-0B001-0004688"/>
        <s v="03-0B001-0004689"/>
        <s v="03-0B001-0004690"/>
        <s v="03-0B001-0004691"/>
        <s v="03-0B001-0004700"/>
        <s v="03-0B001-0004701"/>
        <s v="03-0B001-0004708"/>
        <s v="03-0B001-0004709"/>
        <s v="FT-0F002-0000311"/>
        <s v="FT-0F002-0000327"/>
        <s v="FT-0F002-0000295"/>
        <s v="01-0F002-0000342"/>
        <s v="01-0F002-0000351"/>
        <s v="ANTICIPO FP-251"/>
        <s v="FT-0F002-0000315"/>
        <s v="FT-0F002-0000323"/>
        <s v="01-0F002-0000331"/>
        <s v="01-0F101-0006689"/>
        <s v="01-0F101-0006690"/>
        <s v="01-0F101-0006702"/>
        <s v="01-0F101-0006703"/>
        <s v="01-0F101-0006725"/>
        <s v="01-0F101-0006732"/>
        <s v="01-0F101-0006751"/>
        <s v="01-0F101-0006752"/>
        <s v="01-0F101-0006765"/>
        <s v="01-0F101-0006766"/>
        <s v="01-0F101-0006769"/>
        <s v="01-0F101-0006770"/>
        <s v="01-0F101-0006775"/>
        <s v="01-0F101-0006776"/>
        <s v="01-0F101-0006820"/>
        <s v="01-0F101-0006821"/>
        <s v="01-0F101-0006865"/>
        <s v="01-0F101-0006866"/>
        <s v="01-0F101-0006889"/>
        <s v="01-0F101-0006890"/>
        <s v="01-0F101-0006908"/>
        <s v="01-0F101-0006909"/>
        <s v="01-0F101-0006927"/>
        <s v="01-0F101-0006928"/>
        <s v="01-0F101-0006930"/>
        <s v="01-0F101-0006931"/>
        <s v="01-0F101-0006973"/>
        <s v="01-0F101-0006974"/>
        <s v="01-0F101-0006982"/>
        <s v="01-0F101-0006983"/>
        <s v="01-0F101-0007006"/>
        <s v="01-0F101-0007007"/>
        <s v="01-0F101-0007016"/>
        <s v="01-0F101-0007017"/>
        <s v="01-0F101-0007047"/>
        <s v="01-0F101-0007048"/>
        <s v="01-0F101-0007059"/>
        <s v="01-0F101-0007060"/>
        <s v="ANTICIPO FP242"/>
        <s v="ANTICIPO FP238"/>
        <s v="01-0F002-0000366"/>
        <s v="ANTICIPO FP-248"/>
        <s v="ANTICIPO FP-228"/>
        <s v="01-0F002-0000326"/>
        <s v="01-0F002-0000337"/>
        <s v="01-0F002-0000344"/>
        <s v="FT-0F002-0000346"/>
        <s v="01-0F002-0000354"/>
        <s v="01-0F002-0000357"/>
        <s v="01-0F002-0000371"/>
        <s v="FT-0F002-0000350"/>
        <s v="01-0F002-0000364"/>
        <s v="ANTICIPO FP-249"/>
        <s v="01-0F002-0000367"/>
        <s v="FT-0F002-0000319"/>
        <s v="01-0F002-0000328"/>
        <s v="01-0F002-0000336"/>
        <s v="01-0F002-0000348"/>
        <s v="01-0F002-000035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6073"/>
        <s v="01-0F101-0006074"/>
        <s v="01-0F101-0006075"/>
        <s v="FT-0F101-0006072"/>
        <s v="01-0F101-0006336"/>
        <s v="01-0F101-0006337"/>
        <s v="ANTICIPO NINGBO"/>
        <s v="FT-0F002-0000355"/>
        <s v="01-0F002-0000309"/>
        <s v="01-0F002-0000341"/>
        <s v="ANTICIPO FP-247"/>
        <s v="FT-0F003-0000101"/>
        <s v="01-0F003-0000129"/>
        <s v="01-0F003-0000168"/>
        <s v="01-0F003-0000174"/>
        <s v="ANTICIPO FP-243"/>
        <s v="01-0F002-0000368"/>
        <s v="01-0F003-0000083"/>
        <s v="01-0F003-0000190"/>
        <s v="FT-0F002-0000324"/>
        <s v="01-0F002-0000332"/>
        <s v="ANTICIPO FP-246"/>
        <s v="01-0F101-0006964"/>
        <s v="01-0F101-0007010"/>
        <s v="01-0F101-0007023"/>
        <s v="01-0F101-0007054"/>
        <s v="FT-0F002-0000314"/>
        <s v="FT-0F002-0000321"/>
        <s v="FT-0F002-0000361"/>
        <s v="01-0F101-0006726"/>
        <s v="01-0F101-0006727"/>
        <s v="01-0F101-0006842"/>
        <s v="01-0F101-0006963"/>
        <s v="01-0F002-0000369"/>
        <s v="FT-0F002-0000338"/>
        <s v="FT-0F002-0000358"/>
        <s v="FT-0F002-0000345"/>
        <s v="01-0F002-0000370"/>
        <s v="FT-0F002-0000300"/>
        <s v="FT-0F002-0000352"/>
        <s v="FT-0F002-0000365"/>
      </sharedItems>
    </cacheField>
    <cacheField name="Clase de documento" numFmtId="0">
      <sharedItems count="5">
        <s v="DF"/>
        <s v="ZV"/>
        <s v="DE"/>
        <s v="DZ"/>
        <s v="DB"/>
      </sharedItems>
    </cacheField>
    <cacheField name="Fecha de documento" numFmtId="14">
      <sharedItems containsSemiMixedTypes="0" containsNonDate="0" containsDate="1" containsString="0" minDate="2025-10-07T00:00:00" maxDate="2026-06-21T00:00:00"/>
    </cacheField>
    <cacheField name="Demora tras vencimiento neto" numFmtId="3">
      <sharedItems containsSemiMixedTypes="0" containsString="0" containsNumber="1" containsInteger="1" minValue="-42" maxValue="251"/>
    </cacheField>
    <cacheField name="Fecha de pago" numFmtId="14">
      <sharedItems containsSemiMixedTypes="0" containsNonDate="0" containsDate="1" containsString="0" minDate="2025-10-14T00:00:00" maxDate="2026-08-04T00:00:00"/>
    </cacheField>
    <cacheField name="Importe en moneda doc." numFmtId="4">
      <sharedItems containsSemiMixedTypes="0" containsString="0" containsNumber="1" minValue="-159925" maxValue="421200"/>
    </cacheField>
    <cacheField name="Moneda del documento" numFmtId="0">
      <sharedItems/>
    </cacheField>
    <cacheField name="UNIDAD DE NEGOCIO" numFmtId="0">
      <sharedItems count="6">
        <s v="NACIONAL"/>
        <s v="EXPORTACIÓN"/>
        <s v="RODRIGO"/>
        <s v="CISTERNA"/>
        <s v="OTROS"/>
        <s v="RESIDUOS"/>
      </sharedItems>
    </cacheField>
    <cacheField name="FECHA IDEAL DE PAGO" numFmtId="0">
      <sharedItems containsNonDate="0" containsDate="1" containsString="0" containsBlank="1" minDate="2026-05-27T00:00:00" maxDate="2026-08-04T00:00:00"/>
    </cacheField>
    <cacheField name="DÍAS VENCIDOS" numFmtId="0">
      <sharedItems containsString="0" containsBlank="1" containsNumber="1" containsInteger="1" minValue="-28" maxValue="46195"/>
    </cacheField>
    <cacheField name="Vcto finanzas SEMANA PASADA" numFmtId="0">
      <sharedItems containsNonDate="0" containsDate="1" containsString="0" containsBlank="1" minDate="2026-06-26T00:00:00" maxDate="2026-07-21T00:00:00"/>
    </cacheField>
    <cacheField name="Vcto finanzas" numFmtId="14">
      <sharedItems containsSemiMixedTypes="0" containsNonDate="0" containsDate="1" containsString="0" minDate="2025-10-14T00:00:00" maxDate="2026-08-04T00:00:00"/>
    </cacheField>
    <cacheField name="USD HOMOL" numFmtId="0">
      <sharedItems containsSemiMixedTypes="0" containsString="0" containsNumber="1" minValue="-159925" maxValue="421200"/>
    </cacheField>
    <cacheField name="DÍAS ATRASADOS" numFmtId="0">
      <sharedItems containsString="0" containsBlank="1" containsNumber="1" containsInteger="1" minValue="3" maxValue="71"/>
    </cacheField>
    <cacheField name="ANTIGÜEDAD" numFmtId="0">
      <sharedItems containsBlank="1" count="4">
        <m/>
        <s v="0-45"/>
        <s v="46-60"/>
        <s v="61-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02.486644212964" createdVersion="8" refreshedVersion="8" minRefreshableVersion="3" recordCount="177" xr:uid="{F61A908A-E2DA-4D74-8090-AD6A27AC5E69}">
  <cacheSource type="worksheet">
    <worksheetSource ref="A1:R178" sheet="Data"/>
  </cacheSource>
  <cacheFields count="21">
    <cacheField name="Cliente" numFmtId="0">
      <sharedItems/>
    </cacheField>
    <cacheField name="Nombre de cliente" numFmtId="0">
      <sharedItems count="41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GOLDEN SEAFOOD PTE. LTD."/>
        <s v="Hunan Jinyueyang Import and Export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PROVEEDORA DE PRODUCTOS MARINOS"/>
        <s v="Qingdao Haiyujia International Trad"/>
        <s v="SERENE OCEAN TRADING LIMITE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TAIXI FOODSTUFF CO., LTD"/>
        <s v="ZHEJIANG ZHOUFU FOOD CO.,LTD"/>
        <s v="ZHOUSHAN EAST CHINA SEA RURAL FOOD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5">
        <s v="DF"/>
        <s v="ZV"/>
        <s v="DE"/>
        <s v="DZ"/>
        <s v="DB"/>
      </sharedItems>
    </cacheField>
    <cacheField name="Fecha de documento" numFmtId="14">
      <sharedItems containsSemiMixedTypes="0" containsNonDate="0" containsDate="1" containsString="0" minDate="2025-10-07T00:00:00" maxDate="2026-06-21T00:00:00"/>
    </cacheField>
    <cacheField name="Demora tras vencimiento neto" numFmtId="3">
      <sharedItems containsSemiMixedTypes="0" containsString="0" containsNumber="1" containsInteger="1" minValue="-42" maxValue="251"/>
    </cacheField>
    <cacheField name="Fecha de pago" numFmtId="14">
      <sharedItems containsSemiMixedTypes="0" containsNonDate="0" containsDate="1" containsString="0" minDate="2025-10-14T00:00:00" maxDate="2026-08-04T00:00:00"/>
    </cacheField>
    <cacheField name="Importe en moneda doc." numFmtId="4">
      <sharedItems containsSemiMixedTypes="0" containsString="0" containsNumber="1" minValue="-159925" maxValue="421200"/>
    </cacheField>
    <cacheField name="Moneda del documento" numFmtId="0">
      <sharedItems/>
    </cacheField>
    <cacheField name="UNIDAD DE NEGOCIO" numFmtId="0">
      <sharedItems count="6">
        <s v="NACIONAL"/>
        <s v="EXPORTACIÓN"/>
        <s v="RODRIGO"/>
        <s v="CISTERNA"/>
        <s v="OTROS"/>
        <s v="RESIDUOS"/>
      </sharedItems>
    </cacheField>
    <cacheField name="FECHA IDEAL DE PAGO" numFmtId="0">
      <sharedItems containsNonDate="0" containsDate="1" containsString="0" containsBlank="1" minDate="2026-05-27T00:00:00" maxDate="2026-08-04T00:00:00"/>
    </cacheField>
    <cacheField name="DÍAS VENCIDOS" numFmtId="0">
      <sharedItems containsString="0" containsBlank="1" containsNumber="1" containsInteger="1" minValue="-35" maxValue="3"/>
    </cacheField>
    <cacheField name="Vcto finanzas SEMANA PASADA" numFmtId="14">
      <sharedItems containsSemiMixedTypes="0" containsNonDate="0" containsDate="1" containsString="0" minDate="2025-10-14T00:00:00" maxDate="2026-08-04T00:00:00"/>
    </cacheField>
    <cacheField name="Vcto finanzas" numFmtId="14">
      <sharedItems containsSemiMixedTypes="0" containsNonDate="0" containsDate="1" containsString="0" minDate="2025-10-14T00:00:00" maxDate="2026-08-04T00:00:00" count="55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7-06T00:00:00"/>
        <d v="2026-07-10T00:00:00"/>
        <d v="2026-05-27T00:00:00"/>
        <d v="2026-07-13T00:00:00"/>
        <d v="2026-05-24T00:00:00"/>
        <d v="2026-06-18T00:00:00"/>
        <d v="2026-06-24T00:00:00"/>
        <d v="2026-06-08T00:00:00"/>
        <d v="2026-06-10T00:00:00"/>
        <d v="2026-07-01T00:00:00"/>
        <d v="2026-06-30T00:00:00"/>
        <d v="2026-06-17T00:00:00"/>
        <d v="2026-06-19T00:00:00"/>
        <d v="2026-06-22T00:00:00"/>
        <d v="2026-06-23T00:00:00"/>
        <d v="2026-06-09T00:00:00"/>
        <d v="2026-06-11T00:00:00"/>
        <d v="2026-06-15T00:00:00"/>
        <d v="2026-06-20T00:00:00"/>
        <d v="2026-06-21T00:00:00"/>
        <d v="2026-06-26T00:00:00"/>
        <d v="2026-06-27T00:00:00"/>
        <d v="2026-05-26T00:00:00"/>
        <d v="2026-04-28T00:00:00"/>
        <d v="2026-05-13T00:00:00"/>
        <d v="2026-07-20T00:00:00"/>
        <d v="2026-07-08T00:00:00"/>
        <d v="2026-07-04T00:00:00"/>
        <d v="2026-08-03T00:00:00"/>
        <d v="2026-07-28T00:00:00"/>
        <d v="2025-11-10T00:00:00"/>
        <d v="2025-11-13T00:00:00"/>
        <d v="2026-05-19T00:00:00"/>
        <d v="2026-05-23T00:00:00"/>
        <d v="2026-06-03T00:00:00"/>
        <d v="2026-05-12T00:00:00"/>
        <d v="2026-05-06T00:00:00"/>
        <d v="2026-06-05T00:00:00"/>
        <d v="2025-10-21T00:00:00"/>
        <d v="2025-11-11T00:00:00"/>
        <d v="2026-02-07T00:00:00"/>
        <d v="2026-03-10T00:00:00"/>
        <d v="2026-06-02T00:00:00"/>
        <d v="2025-10-14T00:00:00"/>
        <d v="2026-06-16T00:00:00"/>
      </sharedItems>
      <fieldGroup par="20"/>
    </cacheField>
    <cacheField name="USD HOMOL" numFmtId="0">
      <sharedItems containsSemiMixedTypes="0" containsString="0" containsNumber="1" minValue="-159925" maxValue="420417"/>
    </cacheField>
    <cacheField name="DÍAS ATRASADOS" numFmtId="0">
      <sharedItems containsString="0" containsBlank="1" containsNumber="1" containsInteger="1" minValue="10" maxValue="78"/>
    </cacheField>
    <cacheField name="ANTIGÜEDAD" numFmtId="0">
      <sharedItems containsBlank="1"/>
    </cacheField>
    <cacheField name="Meses (Vcto finanzas)" numFmtId="0" databaseField="0">
      <fieldGroup base="14">
        <rangePr groupBy="months" startDate="2025-10-14T00:00:00" endDate="2026-08-04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4/08/2026"/>
        </groupItems>
      </fieldGroup>
    </cacheField>
    <cacheField name="Trimestres (Vcto finanzas)" numFmtId="0" databaseField="0">
      <fieldGroup base="14">
        <rangePr groupBy="quarters" startDate="2025-10-14T00:00:00" endDate="2026-08-04T00:00:00"/>
        <groupItems count="6">
          <s v="&lt;14/10/2025"/>
          <s v="Trim.1"/>
          <s v="Trim.2"/>
          <s v="Trim.3"/>
          <s v="Trim.4"/>
          <s v="&gt;4/08/2026"/>
        </groupItems>
      </fieldGroup>
    </cacheField>
    <cacheField name="Años (Vcto finanzas)" numFmtId="0" databaseField="0">
      <fieldGroup base="14">
        <rangePr groupBy="years" startDate="2025-10-14T00:00:00" endDate="2026-08-04T00:00:00"/>
        <groupItems count="4">
          <s v="&lt;14/10/2025"/>
          <s v="2025"/>
          <s v="2026"/>
          <s v="&gt;4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1000013966"/>
    <x v="0"/>
    <s v="1200005220"/>
    <x v="0"/>
    <x v="0"/>
    <x v="0"/>
    <n v="208"/>
    <d v="2025-11-26T00:00:00"/>
    <n v="42.48"/>
    <s v="PEN"/>
    <x v="0"/>
    <m/>
    <m/>
    <m/>
    <d v="2025-11-26T00:00:00"/>
    <n v="12.545776727702302"/>
    <m/>
    <m/>
  </r>
  <r>
    <s v="1000013966"/>
    <x v="0"/>
    <s v="1200005228"/>
    <x v="1"/>
    <x v="0"/>
    <x v="0"/>
    <n v="208"/>
    <d v="2025-11-26T00:00:00"/>
    <n v="14.16"/>
    <s v="PEN"/>
    <x v="0"/>
    <m/>
    <m/>
    <m/>
    <d v="2025-11-26T00:00:00"/>
    <n v="4.1819255759007676"/>
    <m/>
    <m/>
  </r>
  <r>
    <s v="1000013966"/>
    <x v="0"/>
    <s v="1200005242"/>
    <x v="2"/>
    <x v="0"/>
    <x v="0"/>
    <n v="208"/>
    <d v="2025-11-26T00:00:00"/>
    <n v="14.16"/>
    <s v="PEN"/>
    <x v="0"/>
    <m/>
    <m/>
    <m/>
    <d v="2025-11-26T00:00:00"/>
    <n v="4.1819255759007676"/>
    <m/>
    <m/>
  </r>
  <r>
    <s v="1000013966"/>
    <x v="0"/>
    <s v="1200005264"/>
    <x v="3"/>
    <x v="0"/>
    <x v="1"/>
    <n v="207"/>
    <d v="2025-11-27T00:00:00"/>
    <n v="28.32"/>
    <s v="PEN"/>
    <x v="0"/>
    <m/>
    <m/>
    <m/>
    <d v="2025-11-27T00:00:00"/>
    <n v="8.3638511518015353"/>
    <m/>
    <m/>
  </r>
  <r>
    <s v="1000013966"/>
    <x v="0"/>
    <s v="1200005271"/>
    <x v="4"/>
    <x v="0"/>
    <x v="1"/>
    <n v="207"/>
    <d v="2025-11-27T00:00:00"/>
    <n v="14.16"/>
    <s v="PEN"/>
    <x v="0"/>
    <m/>
    <m/>
    <m/>
    <d v="2025-11-27T00:00:00"/>
    <n v="4.1819255759007676"/>
    <m/>
    <m/>
  </r>
  <r>
    <s v="1000013966"/>
    <x v="0"/>
    <s v="1200005296"/>
    <x v="5"/>
    <x v="0"/>
    <x v="2"/>
    <n v="206"/>
    <d v="2025-11-28T00:00:00"/>
    <n v="28.32"/>
    <s v="PEN"/>
    <x v="0"/>
    <m/>
    <m/>
    <m/>
    <d v="2025-11-28T00:00:00"/>
    <n v="8.3638511518015353"/>
    <m/>
    <m/>
  </r>
  <r>
    <s v="1000013966"/>
    <x v="0"/>
    <s v="1200005302"/>
    <x v="6"/>
    <x v="0"/>
    <x v="2"/>
    <n v="206"/>
    <d v="2025-11-28T00:00:00"/>
    <n v="42.48"/>
    <s v="PEN"/>
    <x v="0"/>
    <m/>
    <m/>
    <m/>
    <d v="2025-11-28T00:00:00"/>
    <n v="12.545776727702302"/>
    <m/>
    <m/>
  </r>
  <r>
    <s v="1000013966"/>
    <x v="0"/>
    <s v="1200005304"/>
    <x v="7"/>
    <x v="0"/>
    <x v="2"/>
    <n v="206"/>
    <d v="2025-11-28T00:00:00"/>
    <n v="42.48"/>
    <s v="PEN"/>
    <x v="0"/>
    <m/>
    <m/>
    <m/>
    <d v="2025-11-28T00:00:00"/>
    <n v="12.545776727702302"/>
    <m/>
    <m/>
  </r>
  <r>
    <s v="1000013966"/>
    <x v="0"/>
    <s v="1200005313"/>
    <x v="8"/>
    <x v="0"/>
    <x v="2"/>
    <n v="206"/>
    <d v="2025-11-28T00:00:00"/>
    <n v="14.16"/>
    <s v="PEN"/>
    <x v="0"/>
    <m/>
    <m/>
    <m/>
    <d v="2025-11-28T00:00:00"/>
    <n v="4.1819255759007676"/>
    <m/>
    <m/>
  </r>
  <r>
    <s v="1000013966"/>
    <x v="0"/>
    <s v="1200005346"/>
    <x v="9"/>
    <x v="0"/>
    <x v="3"/>
    <n v="205"/>
    <d v="2025-11-29T00:00:00"/>
    <n v="28.32"/>
    <s v="PEN"/>
    <x v="0"/>
    <m/>
    <m/>
    <m/>
    <d v="2025-11-29T00:00:00"/>
    <n v="8.3638511518015353"/>
    <m/>
    <m/>
  </r>
  <r>
    <s v="1000013966"/>
    <x v="0"/>
    <s v="1200005422"/>
    <x v="10"/>
    <x v="0"/>
    <x v="4"/>
    <n v="200"/>
    <d v="2025-12-04T00:00:00"/>
    <n v="14.16"/>
    <s v="PEN"/>
    <x v="0"/>
    <m/>
    <m/>
    <m/>
    <d v="2025-12-04T00:00:00"/>
    <n v="4.1819255759007676"/>
    <m/>
    <m/>
  </r>
  <r>
    <s v="1000013966"/>
    <x v="0"/>
    <s v="1200000045"/>
    <x v="11"/>
    <x v="0"/>
    <x v="5"/>
    <n v="160"/>
    <d v="2026-01-13T00:00:00"/>
    <n v="14.16"/>
    <s v="PEN"/>
    <x v="0"/>
    <m/>
    <m/>
    <m/>
    <d v="2026-01-13T00:00:00"/>
    <n v="4.1819255759007676"/>
    <m/>
    <m/>
  </r>
  <r>
    <s v="1000013966"/>
    <x v="0"/>
    <s v="1200000090"/>
    <x v="12"/>
    <x v="0"/>
    <x v="6"/>
    <n v="158"/>
    <d v="2026-01-15T00:00:00"/>
    <n v="14.16"/>
    <s v="PEN"/>
    <x v="0"/>
    <m/>
    <m/>
    <m/>
    <d v="2026-01-15T00:00:00"/>
    <n v="4.1819255759007676"/>
    <m/>
    <m/>
  </r>
  <r>
    <s v="1000013966"/>
    <x v="0"/>
    <s v="1200000113"/>
    <x v="13"/>
    <x v="0"/>
    <x v="7"/>
    <n v="156"/>
    <d v="2026-01-17T00:00:00"/>
    <n v="14.16"/>
    <s v="PEN"/>
    <x v="0"/>
    <m/>
    <m/>
    <m/>
    <d v="2026-01-17T00:00:00"/>
    <n v="4.1819255759007676"/>
    <m/>
    <m/>
  </r>
  <r>
    <s v="1000013966"/>
    <x v="0"/>
    <s v="1200000132"/>
    <x v="14"/>
    <x v="0"/>
    <x v="8"/>
    <n v="150"/>
    <d v="2026-01-23T00:00:00"/>
    <n v="14.16"/>
    <s v="PEN"/>
    <x v="0"/>
    <m/>
    <m/>
    <m/>
    <d v="2026-01-23T00:00:00"/>
    <n v="4.1819255759007676"/>
    <m/>
    <m/>
  </r>
  <r>
    <s v="1000013966"/>
    <x v="0"/>
    <s v="1200000133"/>
    <x v="15"/>
    <x v="0"/>
    <x v="8"/>
    <n v="150"/>
    <d v="2026-01-23T00:00:00"/>
    <n v="14.16"/>
    <s v="PEN"/>
    <x v="0"/>
    <m/>
    <m/>
    <m/>
    <d v="2026-01-23T00:00:00"/>
    <n v="4.1819255759007676"/>
    <m/>
    <m/>
  </r>
  <r>
    <s v="1000013966"/>
    <x v="0"/>
    <s v="1200000141"/>
    <x v="16"/>
    <x v="0"/>
    <x v="9"/>
    <n v="147"/>
    <d v="2026-01-26T00:00:00"/>
    <n v="14.16"/>
    <s v="PEN"/>
    <x v="0"/>
    <m/>
    <m/>
    <m/>
    <d v="2026-01-26T00:00:00"/>
    <n v="4.1819255759007676"/>
    <m/>
    <m/>
  </r>
  <r>
    <s v="2000001028"/>
    <x v="1"/>
    <s v="1300004710"/>
    <x v="17"/>
    <x v="1"/>
    <x v="10"/>
    <n v="31"/>
    <d v="2026-05-22T00:00:00"/>
    <n v="109650"/>
    <s v="USD"/>
    <x v="1"/>
    <d v="2026-07-06T00:00:00"/>
    <n v="-14"/>
    <d v="2026-07-06T00:00:00"/>
    <d v="2026-07-06T00:00:00"/>
    <n v="109650"/>
    <n v="31"/>
    <s v="0-45"/>
  </r>
  <r>
    <s v="2000001028"/>
    <x v="1"/>
    <s v="1200002081"/>
    <x v="18"/>
    <x v="2"/>
    <x v="11"/>
    <n v="-18"/>
    <d v="2026-07-10T00:00:00"/>
    <n v="156600"/>
    <s v="USD"/>
    <x v="1"/>
    <d v="2026-07-10T00:00:00"/>
    <n v="-18"/>
    <d v="2026-07-10T00:00:00"/>
    <d v="2026-07-10T00:00:00"/>
    <n v="156600"/>
    <n v="27"/>
    <s v="0-45"/>
  </r>
  <r>
    <s v="2000001028"/>
    <x v="1"/>
    <s v="1300004722"/>
    <x v="19"/>
    <x v="3"/>
    <x v="12"/>
    <n v="0"/>
    <d v="2026-05-31T00:00:00"/>
    <n v="-30220"/>
    <s v="USD"/>
    <x v="1"/>
    <d v="2026-07-11T00:00:00"/>
    <m/>
    <m/>
    <d v="2026-05-31T00:00:00"/>
    <n v="-30220"/>
    <n v="26"/>
    <s v="0-45"/>
  </r>
  <r>
    <s v="2000001028"/>
    <x v="1"/>
    <s v="1200002135"/>
    <x v="20"/>
    <x v="2"/>
    <x v="13"/>
    <n v="-21"/>
    <d v="2026-07-13T00:00:00"/>
    <n v="234900"/>
    <s v="USD"/>
    <x v="1"/>
    <d v="2026-07-13T00:00:00"/>
    <n v="-21"/>
    <d v="2026-07-13T00:00:00"/>
    <d v="2026-07-13T00:00:00"/>
    <n v="234900"/>
    <n v="24"/>
    <s v="0-45"/>
  </r>
  <r>
    <s v="2000001028"/>
    <x v="1"/>
    <s v="1300004711"/>
    <x v="21"/>
    <x v="1"/>
    <x v="13"/>
    <n v="24"/>
    <d v="2026-05-29T00:00:00"/>
    <n v="336990"/>
    <s v="USD"/>
    <x v="1"/>
    <d v="2026-07-13T00:00:00"/>
    <n v="-21"/>
    <d v="2026-07-13T00:00:00"/>
    <d v="2026-07-13T00:00:00"/>
    <n v="336990"/>
    <n v="24"/>
    <s v="0-45"/>
  </r>
  <r>
    <s v="1000013676"/>
    <x v="2"/>
    <s v="1200001798"/>
    <x v="22"/>
    <x v="4"/>
    <x v="14"/>
    <n v="29"/>
    <d v="2026-05-24T00:00:00"/>
    <n v="365.8"/>
    <s v="PEN"/>
    <x v="0"/>
    <m/>
    <m/>
    <m/>
    <d v="2026-05-24T00:00:00"/>
    <n v="108.0330773774365"/>
    <m/>
    <m/>
  </r>
  <r>
    <s v="1000013676"/>
    <x v="2"/>
    <s v="1200001799"/>
    <x v="23"/>
    <x v="4"/>
    <x v="14"/>
    <n v="29"/>
    <d v="2026-05-24T00:00:00"/>
    <n v="47.2"/>
    <s v="PEN"/>
    <x v="0"/>
    <m/>
    <m/>
    <m/>
    <d v="2026-05-24T00:00:00"/>
    <n v="13.939751919669227"/>
    <m/>
    <m/>
  </r>
  <r>
    <s v="1000013678"/>
    <x v="3"/>
    <s v="1200002424"/>
    <x v="24"/>
    <x v="0"/>
    <x v="15"/>
    <n v="4"/>
    <d v="2026-06-18T00:00:00"/>
    <n v="68.400000000000006"/>
    <s v="PEN"/>
    <x v="0"/>
    <m/>
    <m/>
    <m/>
    <d v="2026-06-18T00:00:00"/>
    <n v="20.200826934435913"/>
    <m/>
    <m/>
  </r>
  <r>
    <s v="1000013678"/>
    <x v="3"/>
    <s v="1200002581"/>
    <x v="25"/>
    <x v="0"/>
    <x v="16"/>
    <n v="-2"/>
    <d v="2026-06-24T00:00:00"/>
    <n v="141.6"/>
    <s v="PEN"/>
    <x v="0"/>
    <m/>
    <m/>
    <m/>
    <d v="2026-06-24T00:00:00"/>
    <n v="41.819255759007675"/>
    <m/>
    <m/>
  </r>
  <r>
    <s v="1000002057"/>
    <x v="4"/>
    <s v="1200002149"/>
    <x v="26"/>
    <x v="0"/>
    <x v="17"/>
    <n v="14"/>
    <d v="2026-06-08T00:00:00"/>
    <n v="49.89"/>
    <s v="PEN"/>
    <x v="0"/>
    <m/>
    <m/>
    <m/>
    <d v="2026-06-08T00:00:00"/>
    <n v="14.734199645599528"/>
    <m/>
    <m/>
  </r>
  <r>
    <s v="1000002057"/>
    <x v="4"/>
    <s v="1200002150"/>
    <x v="27"/>
    <x v="0"/>
    <x v="17"/>
    <n v="14"/>
    <d v="2026-06-08T00:00:00"/>
    <n v="106.2"/>
    <s v="PEN"/>
    <x v="0"/>
    <m/>
    <m/>
    <m/>
    <d v="2026-06-08T00:00:00"/>
    <n v="31.364441819255759"/>
    <m/>
    <m/>
  </r>
  <r>
    <s v="1000002057"/>
    <x v="4"/>
    <s v="1200002207"/>
    <x v="28"/>
    <x v="0"/>
    <x v="18"/>
    <n v="12"/>
    <d v="2026-06-10T00:00:00"/>
    <n v="1061.58"/>
    <s v="PEN"/>
    <x v="0"/>
    <m/>
    <m/>
    <m/>
    <d v="2026-06-10T00:00:00"/>
    <n v="313.52037802717069"/>
    <m/>
    <m/>
  </r>
  <r>
    <s v="1000002057"/>
    <x v="4"/>
    <s v="1200002208"/>
    <x v="29"/>
    <x v="0"/>
    <x v="18"/>
    <n v="12"/>
    <d v="2026-06-10T00:00:00"/>
    <n v="460.2"/>
    <s v="PEN"/>
    <x v="0"/>
    <m/>
    <m/>
    <m/>
    <d v="2026-06-10T00:00:00"/>
    <n v="135.91258121677495"/>
    <m/>
    <m/>
  </r>
  <r>
    <s v="2000001381"/>
    <x v="5"/>
    <s v="1200001893"/>
    <x v="30"/>
    <x v="2"/>
    <x v="14"/>
    <n v="-9"/>
    <d v="2026-07-01T00:00:00"/>
    <n v="28150"/>
    <s v="USD"/>
    <x v="1"/>
    <d v="2026-07-01T00:00:00"/>
    <n v="-9"/>
    <d v="2026-07-01T00:00:00"/>
    <d v="2026-07-01T00:00:00"/>
    <n v="28150"/>
    <n v="36"/>
    <s v="0-45"/>
  </r>
  <r>
    <s v="2000001381"/>
    <x v="5"/>
    <s v="1300004208"/>
    <x v="31"/>
    <x v="1"/>
    <x v="14"/>
    <n v="36"/>
    <d v="2026-05-17T00:00:00"/>
    <n v="6821"/>
    <s v="USD"/>
    <x v="1"/>
    <d v="2026-07-01T00:00:00"/>
    <n v="-8"/>
    <d v="2026-06-30T00:00:00"/>
    <d v="2026-06-30T00:00:00"/>
    <n v="6821"/>
    <n v="36"/>
    <s v="0-45"/>
  </r>
  <r>
    <s v="2000001381"/>
    <x v="5"/>
    <s v="1300004162"/>
    <x v="32"/>
    <x v="1"/>
    <x v="19"/>
    <n v="0"/>
    <d v="2026-05-19T00:00:00"/>
    <n v="-361.01"/>
    <s v="USD"/>
    <x v="1"/>
    <d v="2026-07-03T00:00:00"/>
    <n v="46195"/>
    <m/>
    <d v="2026-05-19T00:00:00"/>
    <n v="-361.01"/>
    <n v="34"/>
    <s v="0-45"/>
  </r>
  <r>
    <s v="1000013754"/>
    <x v="6"/>
    <s v="1200002379"/>
    <x v="33"/>
    <x v="4"/>
    <x v="20"/>
    <n v="5"/>
    <d v="2026-06-17T00:00:00"/>
    <n v="495.13"/>
    <s v="PEN"/>
    <x v="0"/>
    <m/>
    <m/>
    <m/>
    <d v="2026-06-17T00:00:00"/>
    <n v="146.22858830478441"/>
    <m/>
    <m/>
  </r>
  <r>
    <s v="1000013754"/>
    <x v="6"/>
    <s v="1200002380"/>
    <x v="34"/>
    <x v="4"/>
    <x v="20"/>
    <n v="5"/>
    <d v="2026-06-17T00:00:00"/>
    <n v="47.2"/>
    <s v="PEN"/>
    <x v="0"/>
    <m/>
    <m/>
    <m/>
    <d v="2026-06-17T00:00:00"/>
    <n v="13.939751919669227"/>
    <m/>
    <m/>
  </r>
  <r>
    <s v="1000013754"/>
    <x v="6"/>
    <s v="1200002385"/>
    <x v="35"/>
    <x v="4"/>
    <x v="20"/>
    <n v="5"/>
    <d v="2026-06-17T00:00:00"/>
    <n v="469.64"/>
    <s v="PEN"/>
    <x v="0"/>
    <m/>
    <m/>
    <m/>
    <d v="2026-06-17T00:00:00"/>
    <n v="138.70053160070879"/>
    <m/>
    <m/>
  </r>
  <r>
    <s v="1000013754"/>
    <x v="6"/>
    <s v="1200002386"/>
    <x v="36"/>
    <x v="4"/>
    <x v="20"/>
    <n v="5"/>
    <d v="2026-06-17T00:00:00"/>
    <n v="47.2"/>
    <s v="PEN"/>
    <x v="0"/>
    <m/>
    <m/>
    <m/>
    <d v="2026-06-17T00:00:00"/>
    <n v="13.939751919669227"/>
    <m/>
    <m/>
  </r>
  <r>
    <s v="1000013754"/>
    <x v="6"/>
    <s v="1200002399"/>
    <x v="37"/>
    <x v="4"/>
    <x v="20"/>
    <n v="5"/>
    <d v="2026-06-17T00:00:00"/>
    <n v="371.7"/>
    <s v="PEN"/>
    <x v="0"/>
    <m/>
    <m/>
    <m/>
    <d v="2026-06-17T00:00:00"/>
    <n v="109.77554636739515"/>
    <m/>
    <m/>
  </r>
  <r>
    <s v="1000013754"/>
    <x v="6"/>
    <s v="1200002400"/>
    <x v="38"/>
    <x v="4"/>
    <x v="20"/>
    <n v="5"/>
    <d v="2026-06-17T00:00:00"/>
    <n v="47.2"/>
    <s v="PEN"/>
    <x v="0"/>
    <m/>
    <m/>
    <m/>
    <d v="2026-06-17T00:00:00"/>
    <n v="13.939751919669227"/>
    <m/>
    <m/>
  </r>
  <r>
    <s v="1000013754"/>
    <x v="6"/>
    <s v="1200002402"/>
    <x v="39"/>
    <x v="4"/>
    <x v="20"/>
    <n v="5"/>
    <d v="2026-06-17T00:00:00"/>
    <n v="217.83"/>
    <s v="PEN"/>
    <x v="0"/>
    <m/>
    <m/>
    <m/>
    <d v="2026-06-17T00:00:00"/>
    <n v="64.332545776727699"/>
    <m/>
    <m/>
  </r>
  <r>
    <s v="1000013754"/>
    <x v="6"/>
    <s v="1200002403"/>
    <x v="40"/>
    <x v="4"/>
    <x v="20"/>
    <n v="5"/>
    <d v="2026-06-17T00:00:00"/>
    <n v="47.2"/>
    <s v="PEN"/>
    <x v="0"/>
    <m/>
    <m/>
    <m/>
    <d v="2026-06-17T00:00:00"/>
    <n v="13.939751919669227"/>
    <m/>
    <m/>
  </r>
  <r>
    <s v="1000013754"/>
    <x v="6"/>
    <s v="1200002447"/>
    <x v="41"/>
    <x v="4"/>
    <x v="21"/>
    <n v="3"/>
    <d v="2026-06-19T00:00:00"/>
    <n v="560.5"/>
    <s v="PEN"/>
    <x v="0"/>
    <m/>
    <m/>
    <m/>
    <d v="2026-06-19T00:00:00"/>
    <n v="165.53455404607206"/>
    <m/>
    <m/>
  </r>
  <r>
    <s v="1000013754"/>
    <x v="6"/>
    <s v="1200002448"/>
    <x v="42"/>
    <x v="4"/>
    <x v="21"/>
    <n v="3"/>
    <d v="2026-06-19T00:00:00"/>
    <n v="94.4"/>
    <s v="PEN"/>
    <x v="0"/>
    <m/>
    <m/>
    <m/>
    <d v="2026-06-19T00:00:00"/>
    <n v="27.879503839338454"/>
    <m/>
    <m/>
  </r>
  <r>
    <s v="1000013754"/>
    <x v="6"/>
    <s v="1200002454"/>
    <x v="43"/>
    <x v="4"/>
    <x v="21"/>
    <n v="3"/>
    <d v="2026-06-19T00:00:00"/>
    <n v="499.85"/>
    <s v="PEN"/>
    <x v="0"/>
    <m/>
    <m/>
    <m/>
    <d v="2026-06-19T00:00:00"/>
    <n v="147.62256349675133"/>
    <m/>
    <m/>
  </r>
  <r>
    <s v="1000013754"/>
    <x v="6"/>
    <s v="1200002455"/>
    <x v="44"/>
    <x v="4"/>
    <x v="21"/>
    <n v="3"/>
    <d v="2026-06-19T00:00:00"/>
    <n v="47.2"/>
    <s v="PEN"/>
    <x v="0"/>
    <m/>
    <m/>
    <m/>
    <d v="2026-06-19T00:00:00"/>
    <n v="13.939751919669227"/>
    <m/>
    <m/>
  </r>
  <r>
    <s v="1000013754"/>
    <x v="6"/>
    <s v="1200002530"/>
    <x v="45"/>
    <x v="4"/>
    <x v="22"/>
    <n v="0"/>
    <d v="2026-06-22T00:00:00"/>
    <n v="339.6"/>
    <s v="PEN"/>
    <x v="0"/>
    <m/>
    <m/>
    <m/>
    <d v="2026-06-22T00:00:00"/>
    <n v="100.29533372711164"/>
    <m/>
    <m/>
  </r>
  <r>
    <s v="1000013754"/>
    <x v="6"/>
    <s v="1200002531"/>
    <x v="46"/>
    <x v="4"/>
    <x v="22"/>
    <n v="0"/>
    <d v="2026-06-22T00:00:00"/>
    <n v="47.2"/>
    <s v="PEN"/>
    <x v="0"/>
    <m/>
    <m/>
    <m/>
    <d v="2026-06-22T00:00:00"/>
    <n v="13.939751919669227"/>
    <m/>
    <m/>
  </r>
  <r>
    <s v="1000013754"/>
    <x v="6"/>
    <s v="1200002563"/>
    <x v="47"/>
    <x v="4"/>
    <x v="23"/>
    <n v="-1"/>
    <d v="2026-06-23T00:00:00"/>
    <n v="360.37"/>
    <s v="PEN"/>
    <x v="0"/>
    <m/>
    <m/>
    <m/>
    <d v="2026-06-23T00:00:00"/>
    <n v="106.42941523922032"/>
    <m/>
    <m/>
  </r>
  <r>
    <s v="1000013754"/>
    <x v="6"/>
    <s v="1200002564"/>
    <x v="48"/>
    <x v="4"/>
    <x v="23"/>
    <n v="-1"/>
    <d v="2026-06-23T00:00:00"/>
    <n v="47.2"/>
    <s v="PEN"/>
    <x v="0"/>
    <m/>
    <m/>
    <m/>
    <d v="2026-06-23T00:00:00"/>
    <n v="13.939751919669227"/>
    <m/>
    <m/>
  </r>
  <r>
    <s v="2000001368"/>
    <x v="7"/>
    <s v="1300004854"/>
    <x v="49"/>
    <x v="1"/>
    <x v="24"/>
    <n v="56"/>
    <d v="2026-04-27T00:00:00"/>
    <n v="15163"/>
    <s v="USD"/>
    <x v="1"/>
    <d v="2026-06-11T00:00:00"/>
    <n v="-8"/>
    <d v="2026-06-30T00:00:00"/>
    <d v="2026-06-30T00:00:00"/>
    <n v="15163"/>
    <n v="56"/>
    <s v="46-60"/>
  </r>
  <r>
    <s v="2000001441"/>
    <x v="8"/>
    <s v="1300004712"/>
    <x v="50"/>
    <x v="1"/>
    <x v="25"/>
    <n v="37"/>
    <d v="2026-05-16T00:00:00"/>
    <n v="37935"/>
    <s v="USD"/>
    <x v="1"/>
    <d v="2026-06-30T00:00:00"/>
    <n v="-8"/>
    <d v="2026-06-30T00:00:00"/>
    <d v="2026-06-30T00:00:00"/>
    <n v="37935"/>
    <n v="37"/>
    <s v="0-45"/>
  </r>
  <r>
    <s v="2000001361"/>
    <x v="9"/>
    <s v="1300004210"/>
    <x v="51"/>
    <x v="1"/>
    <x v="26"/>
    <n v="71"/>
    <d v="2026-04-12T00:00:00"/>
    <n v="16355.92"/>
    <s v="USD"/>
    <x v="1"/>
    <d v="2026-05-27T00:00:00"/>
    <n v="-8"/>
    <d v="2026-06-30T00:00:00"/>
    <d v="2026-06-30T00:00:00"/>
    <n v="16355.92"/>
    <n v="71"/>
    <s v="61-90"/>
  </r>
  <r>
    <s v="2000001361"/>
    <x v="9"/>
    <s v="1200002007"/>
    <x v="52"/>
    <x v="2"/>
    <x v="10"/>
    <n v="-14"/>
    <d v="2026-07-06T00:00:00"/>
    <n v="60536"/>
    <s v="USD"/>
    <x v="1"/>
    <d v="2026-07-06T00:00:00"/>
    <n v="-14"/>
    <d v="2026-07-06T00:00:00"/>
    <d v="2026-07-06T00:00:00"/>
    <n v="60536"/>
    <n v="31"/>
    <s v="0-45"/>
  </r>
  <r>
    <s v="2000001361"/>
    <x v="9"/>
    <s v="1200002041"/>
    <x v="53"/>
    <x v="2"/>
    <x v="11"/>
    <n v="-18"/>
    <d v="2026-07-10T00:00:00"/>
    <n v="74100"/>
    <s v="USD"/>
    <x v="1"/>
    <d v="2026-07-10T00:00:00"/>
    <n v="-18"/>
    <d v="2026-07-10T00:00:00"/>
    <d v="2026-07-10T00:00:00"/>
    <n v="74100"/>
    <n v="27"/>
    <s v="0-45"/>
  </r>
  <r>
    <s v="2000001439"/>
    <x v="10"/>
    <s v="1300004856"/>
    <x v="54"/>
    <x v="3"/>
    <x v="20"/>
    <n v="0"/>
    <d v="2026-06-30T00:00:00"/>
    <n v="-11970"/>
    <s v="USD"/>
    <x v="1"/>
    <d v="2026-07-25T00:00:00"/>
    <m/>
    <m/>
    <d v="2026-06-30T00:00:00"/>
    <n v="-11970"/>
    <n v="12"/>
    <s v="0-45"/>
  </r>
  <r>
    <s v="2000001398"/>
    <x v="11"/>
    <s v="1300002661"/>
    <x v="55"/>
    <x v="1"/>
    <x v="24"/>
    <n v="56"/>
    <d v="2026-04-27T00:00:00"/>
    <n v="19830"/>
    <s v="USD"/>
    <x v="1"/>
    <d v="2026-06-11T00:00:00"/>
    <n v="-8"/>
    <d v="2026-06-30T00:00:00"/>
    <d v="2026-06-30T00:00:00"/>
    <n v="19830"/>
    <n v="56"/>
    <s v="46-60"/>
  </r>
  <r>
    <s v="2000001398"/>
    <x v="11"/>
    <s v="1300002662"/>
    <x v="56"/>
    <x v="1"/>
    <x v="27"/>
    <n v="54"/>
    <d v="2026-04-29T00:00:00"/>
    <n v="36040"/>
    <s v="USD"/>
    <x v="1"/>
    <d v="2026-06-13T00:00:00"/>
    <n v="-8"/>
    <d v="2026-06-30T00:00:00"/>
    <d v="2026-06-30T00:00:00"/>
    <n v="36040"/>
    <n v="54"/>
    <s v="46-60"/>
  </r>
  <r>
    <s v="2000001398"/>
    <x v="11"/>
    <s v="1200001877"/>
    <x v="57"/>
    <x v="2"/>
    <x v="14"/>
    <n v="-9"/>
    <d v="2026-07-01T00:00:00"/>
    <n v="53812.5"/>
    <s v="USD"/>
    <x v="1"/>
    <d v="2026-07-01T00:00:00"/>
    <n v="-9"/>
    <d v="2026-07-01T00:00:00"/>
    <d v="2026-07-01T00:00:00"/>
    <n v="53812.5"/>
    <n v="36"/>
    <s v="0-45"/>
  </r>
  <r>
    <s v="1000006830"/>
    <x v="12"/>
    <s v="1200002153"/>
    <x v="58"/>
    <x v="0"/>
    <x v="17"/>
    <n v="14"/>
    <d v="2026-06-08T00:00:00"/>
    <n v="442.41"/>
    <s v="PEN"/>
    <x v="0"/>
    <m/>
    <m/>
    <m/>
    <d v="2026-06-08T00:00:00"/>
    <n v="130.65859421145896"/>
    <m/>
    <m/>
  </r>
  <r>
    <s v="1000006830"/>
    <x v="12"/>
    <s v="1200002154"/>
    <x v="59"/>
    <x v="0"/>
    <x v="17"/>
    <n v="14"/>
    <d v="2026-06-08T00:00:00"/>
    <n v="159.30000000000001"/>
    <s v="PEN"/>
    <x v="0"/>
    <m/>
    <m/>
    <m/>
    <d v="2026-06-08T00:00:00"/>
    <n v="47.046662728883639"/>
    <m/>
    <m/>
  </r>
  <r>
    <s v="1000006830"/>
    <x v="12"/>
    <s v="1200002168"/>
    <x v="60"/>
    <x v="0"/>
    <x v="17"/>
    <n v="14"/>
    <d v="2026-06-08T00:00:00"/>
    <n v="991.2"/>
    <s v="PEN"/>
    <x v="0"/>
    <m/>
    <m/>
    <m/>
    <d v="2026-06-08T00:00:00"/>
    <n v="292.73479031305374"/>
    <m/>
    <m/>
  </r>
  <r>
    <s v="1000006830"/>
    <x v="12"/>
    <s v="1200002169"/>
    <x v="61"/>
    <x v="0"/>
    <x v="17"/>
    <n v="14"/>
    <d v="2026-06-08T00:00:00"/>
    <n v="106.2"/>
    <s v="PEN"/>
    <x v="0"/>
    <m/>
    <m/>
    <m/>
    <d v="2026-06-08T00:00:00"/>
    <n v="31.364441819255759"/>
    <m/>
    <m/>
  </r>
  <r>
    <s v="1000006830"/>
    <x v="12"/>
    <s v="1200002197"/>
    <x v="62"/>
    <x v="0"/>
    <x v="28"/>
    <n v="13"/>
    <d v="2026-06-09T00:00:00"/>
    <n v="70.8"/>
    <s v="PEN"/>
    <x v="0"/>
    <m/>
    <m/>
    <m/>
    <d v="2026-06-09T00:00:00"/>
    <n v="20.909627879503837"/>
    <m/>
    <m/>
  </r>
  <r>
    <s v="1000006830"/>
    <x v="12"/>
    <s v="1200002204"/>
    <x v="63"/>
    <x v="0"/>
    <x v="28"/>
    <n v="13"/>
    <d v="2026-06-09T00:00:00"/>
    <n v="316.24"/>
    <s v="PEN"/>
    <x v="0"/>
    <m/>
    <m/>
    <m/>
    <d v="2026-06-09T00:00:00"/>
    <n v="93.39633786178382"/>
    <m/>
    <m/>
  </r>
  <r>
    <s v="1000006830"/>
    <x v="12"/>
    <s v="1200002235"/>
    <x v="64"/>
    <x v="0"/>
    <x v="18"/>
    <n v="12"/>
    <d v="2026-06-10T00:00:00"/>
    <n v="1306.97"/>
    <s v="PEN"/>
    <x v="0"/>
    <m/>
    <m/>
    <m/>
    <d v="2026-06-10T00:00:00"/>
    <n v="385.9923213230951"/>
    <m/>
    <m/>
  </r>
  <r>
    <s v="1000006830"/>
    <x v="12"/>
    <s v="1200002236"/>
    <x v="65"/>
    <x v="0"/>
    <x v="18"/>
    <n v="12"/>
    <d v="2026-06-10T00:00:00"/>
    <n v="118"/>
    <s v="PEN"/>
    <x v="0"/>
    <m/>
    <m/>
    <m/>
    <d v="2026-06-10T00:00:00"/>
    <n v="34.849379799173064"/>
    <m/>
    <m/>
  </r>
  <r>
    <s v="1000006830"/>
    <x v="12"/>
    <s v="1200002251"/>
    <x v="66"/>
    <x v="0"/>
    <x v="29"/>
    <n v="11"/>
    <d v="2026-06-11T00:00:00"/>
    <n v="689.21"/>
    <s v="PEN"/>
    <x v="0"/>
    <m/>
    <m/>
    <m/>
    <d v="2026-06-11T00:00:00"/>
    <n v="203.54695806261074"/>
    <m/>
    <m/>
  </r>
  <r>
    <s v="1000006830"/>
    <x v="12"/>
    <s v="1200002252"/>
    <x v="67"/>
    <x v="0"/>
    <x v="29"/>
    <n v="11"/>
    <d v="2026-06-11T00:00:00"/>
    <n v="194.7"/>
    <s v="PEN"/>
    <x v="0"/>
    <m/>
    <m/>
    <m/>
    <d v="2026-06-11T00:00:00"/>
    <n v="57.501476668635554"/>
    <m/>
    <m/>
  </r>
  <r>
    <s v="1000006830"/>
    <x v="12"/>
    <s v="1200002255"/>
    <x v="68"/>
    <x v="0"/>
    <x v="29"/>
    <n v="11"/>
    <d v="2026-06-11T00:00:00"/>
    <n v="589.29"/>
    <s v="PEN"/>
    <x v="0"/>
    <m/>
    <m/>
    <m/>
    <d v="2026-06-11T00:00:00"/>
    <n v="174.03721204961604"/>
    <m/>
    <m/>
  </r>
  <r>
    <s v="1000006830"/>
    <x v="12"/>
    <s v="1200002256"/>
    <x v="69"/>
    <x v="0"/>
    <x v="29"/>
    <n v="11"/>
    <d v="2026-06-11T00:00:00"/>
    <n v="70.8"/>
    <s v="PEN"/>
    <x v="0"/>
    <m/>
    <m/>
    <m/>
    <d v="2026-06-11T00:00:00"/>
    <n v="20.909627879503837"/>
    <m/>
    <m/>
  </r>
  <r>
    <s v="1000006830"/>
    <x v="12"/>
    <s v="1200002263"/>
    <x v="70"/>
    <x v="0"/>
    <x v="29"/>
    <n v="11"/>
    <d v="2026-06-11T00:00:00"/>
    <n v="415.97"/>
    <s v="PEN"/>
    <x v="0"/>
    <m/>
    <m/>
    <m/>
    <d v="2026-06-11T00:00:00"/>
    <n v="122.8499704666273"/>
    <m/>
    <m/>
  </r>
  <r>
    <s v="1000006830"/>
    <x v="12"/>
    <s v="1200002264"/>
    <x v="71"/>
    <x v="0"/>
    <x v="29"/>
    <n v="11"/>
    <d v="2026-06-11T00:00:00"/>
    <n v="135.69999999999999"/>
    <s v="PEN"/>
    <x v="0"/>
    <m/>
    <m/>
    <m/>
    <d v="2026-06-11T00:00:00"/>
    <n v="40.076786769049022"/>
    <m/>
    <m/>
  </r>
  <r>
    <s v="1000006830"/>
    <x v="12"/>
    <s v="1200002314"/>
    <x v="72"/>
    <x v="0"/>
    <x v="30"/>
    <n v="7"/>
    <d v="2026-06-15T00:00:00"/>
    <n v="352.54"/>
    <s v="PEN"/>
    <x v="0"/>
    <m/>
    <m/>
    <m/>
    <d v="2026-06-15T00:00:00"/>
    <n v="104.1169521559362"/>
    <m/>
    <m/>
  </r>
  <r>
    <s v="1000006830"/>
    <x v="12"/>
    <s v="1200002315"/>
    <x v="73"/>
    <x v="0"/>
    <x v="30"/>
    <n v="7"/>
    <d v="2026-06-15T00:00:00"/>
    <n v="153.4"/>
    <s v="PEN"/>
    <x v="0"/>
    <m/>
    <m/>
    <m/>
    <d v="2026-06-15T00:00:00"/>
    <n v="45.304193738924987"/>
    <m/>
    <m/>
  </r>
  <r>
    <s v="1000006830"/>
    <x v="12"/>
    <s v="1200002375"/>
    <x v="74"/>
    <x v="0"/>
    <x v="20"/>
    <n v="5"/>
    <d v="2026-06-17T00:00:00"/>
    <n v="880.28"/>
    <s v="PEN"/>
    <x v="0"/>
    <m/>
    <m/>
    <m/>
    <d v="2026-06-17T00:00:00"/>
    <n v="259.97637330183107"/>
    <m/>
    <m/>
  </r>
  <r>
    <s v="1000006830"/>
    <x v="12"/>
    <s v="1200002376"/>
    <x v="75"/>
    <x v="0"/>
    <x v="20"/>
    <n v="5"/>
    <d v="2026-06-17T00:00:00"/>
    <n v="118"/>
    <s v="PEN"/>
    <x v="0"/>
    <m/>
    <m/>
    <m/>
    <d v="2026-06-17T00:00:00"/>
    <n v="34.849379799173064"/>
    <m/>
    <m/>
  </r>
  <r>
    <s v="1000006830"/>
    <x v="12"/>
    <s v="1200002418"/>
    <x v="76"/>
    <x v="0"/>
    <x v="15"/>
    <n v="4"/>
    <d v="2026-06-18T00:00:00"/>
    <n v="308.69"/>
    <s v="PEN"/>
    <x v="0"/>
    <m/>
    <m/>
    <m/>
    <d v="2026-06-18T00:00:00"/>
    <n v="91.166568222090959"/>
    <m/>
    <m/>
  </r>
  <r>
    <s v="1000006830"/>
    <x v="12"/>
    <s v="1200002419"/>
    <x v="77"/>
    <x v="0"/>
    <x v="15"/>
    <n v="4"/>
    <d v="2026-06-18T00:00:00"/>
    <n v="70.8"/>
    <s v="PEN"/>
    <x v="0"/>
    <m/>
    <m/>
    <m/>
    <d v="2026-06-18T00:00:00"/>
    <n v="20.909627879503837"/>
    <m/>
    <m/>
  </r>
  <r>
    <s v="1000006830"/>
    <x v="12"/>
    <s v="1200002439"/>
    <x v="78"/>
    <x v="0"/>
    <x v="15"/>
    <n v="4"/>
    <d v="2026-06-18T00:00:00"/>
    <n v="553.75"/>
    <s v="PEN"/>
    <x v="0"/>
    <m/>
    <m/>
    <m/>
    <d v="2026-06-18T00:00:00"/>
    <n v="163.54105138806852"/>
    <m/>
    <m/>
  </r>
  <r>
    <s v="1000006830"/>
    <x v="12"/>
    <s v="1200002440"/>
    <x v="79"/>
    <x v="0"/>
    <x v="15"/>
    <n v="4"/>
    <d v="2026-06-18T00:00:00"/>
    <n v="177"/>
    <s v="PEN"/>
    <x v="0"/>
    <m/>
    <m/>
    <m/>
    <d v="2026-06-18T00:00:00"/>
    <n v="52.274069698759597"/>
    <m/>
    <m/>
  </r>
  <r>
    <s v="1000006830"/>
    <x v="12"/>
    <s v="1200002464"/>
    <x v="80"/>
    <x v="0"/>
    <x v="21"/>
    <n v="3"/>
    <d v="2026-06-19T00:00:00"/>
    <n v="731.84"/>
    <s v="PEN"/>
    <x v="0"/>
    <m/>
    <m/>
    <m/>
    <d v="2026-06-19T00:00:00"/>
    <n v="216.1370348493798"/>
    <m/>
    <m/>
  </r>
  <r>
    <s v="1000006830"/>
    <x v="12"/>
    <s v="1200002465"/>
    <x v="81"/>
    <x v="0"/>
    <x v="21"/>
    <n v="3"/>
    <d v="2026-06-19T00:00:00"/>
    <n v="70.8"/>
    <s v="PEN"/>
    <x v="0"/>
    <m/>
    <m/>
    <m/>
    <d v="2026-06-19T00:00:00"/>
    <n v="20.909627879503837"/>
    <m/>
    <m/>
  </r>
  <r>
    <s v="1000006830"/>
    <x v="12"/>
    <s v="1200002467"/>
    <x v="82"/>
    <x v="0"/>
    <x v="21"/>
    <n v="3"/>
    <d v="2026-06-19T00:00:00"/>
    <n v="296.89"/>
    <s v="PEN"/>
    <x v="0"/>
    <m/>
    <m/>
    <m/>
    <d v="2026-06-19T00:00:00"/>
    <n v="87.681630242173654"/>
    <m/>
    <m/>
  </r>
  <r>
    <s v="1000006830"/>
    <x v="12"/>
    <s v="1200002468"/>
    <x v="83"/>
    <x v="0"/>
    <x v="21"/>
    <n v="3"/>
    <d v="2026-06-19T00:00:00"/>
    <n v="35.4"/>
    <s v="PEN"/>
    <x v="0"/>
    <m/>
    <m/>
    <m/>
    <d v="2026-06-19T00:00:00"/>
    <n v="10.454813939751919"/>
    <m/>
    <m/>
  </r>
  <r>
    <s v="1000006830"/>
    <x v="12"/>
    <s v="1200002512"/>
    <x v="84"/>
    <x v="0"/>
    <x v="31"/>
    <n v="2"/>
    <d v="2026-06-20T00:00:00"/>
    <n v="616.20000000000005"/>
    <s v="PEN"/>
    <x v="0"/>
    <m/>
    <m/>
    <m/>
    <d v="2026-06-20T00:00:00"/>
    <n v="181.9846426461902"/>
    <m/>
    <m/>
  </r>
  <r>
    <s v="1000006830"/>
    <x v="12"/>
    <s v="1200002513"/>
    <x v="85"/>
    <x v="0"/>
    <x v="31"/>
    <n v="2"/>
    <d v="2026-06-20T00:00:00"/>
    <n v="194.7"/>
    <s v="PEN"/>
    <x v="0"/>
    <m/>
    <m/>
    <m/>
    <d v="2026-06-20T00:00:00"/>
    <n v="57.501476668635554"/>
    <m/>
    <m/>
  </r>
  <r>
    <s v="1000006830"/>
    <x v="12"/>
    <s v="1200002523"/>
    <x v="86"/>
    <x v="0"/>
    <x v="32"/>
    <n v="1"/>
    <d v="2026-06-21T00:00:00"/>
    <n v="952.5"/>
    <s v="PEN"/>
    <x v="0"/>
    <m/>
    <m/>
    <m/>
    <d v="2026-06-21T00:00:00"/>
    <n v="281.30537507383343"/>
    <m/>
    <m/>
  </r>
  <r>
    <s v="1000006830"/>
    <x v="12"/>
    <s v="1200002524"/>
    <x v="87"/>
    <x v="0"/>
    <x v="32"/>
    <n v="1"/>
    <d v="2026-06-21T00:00:00"/>
    <n v="118"/>
    <s v="PEN"/>
    <x v="0"/>
    <m/>
    <m/>
    <m/>
    <d v="2026-06-21T00:00:00"/>
    <n v="34.849379799173064"/>
    <m/>
    <m/>
  </r>
  <r>
    <s v="1000006830"/>
    <x v="12"/>
    <s v="1200002558"/>
    <x v="88"/>
    <x v="0"/>
    <x v="23"/>
    <n v="-1"/>
    <d v="2026-06-23T00:00:00"/>
    <n v="402.14"/>
    <s v="PEN"/>
    <x v="0"/>
    <m/>
    <m/>
    <m/>
    <d v="2026-06-23T00:00:00"/>
    <n v="118.76550502067336"/>
    <m/>
    <m/>
  </r>
  <r>
    <s v="1000006830"/>
    <x v="12"/>
    <s v="1200002559"/>
    <x v="89"/>
    <x v="0"/>
    <x v="23"/>
    <n v="-1"/>
    <d v="2026-06-23T00:00:00"/>
    <n v="47.2"/>
    <s v="PEN"/>
    <x v="0"/>
    <m/>
    <m/>
    <m/>
    <d v="2026-06-23T00:00:00"/>
    <n v="13.939751919669227"/>
    <m/>
    <m/>
  </r>
  <r>
    <s v="1000006830"/>
    <x v="12"/>
    <s v="1200002575"/>
    <x v="90"/>
    <x v="0"/>
    <x v="16"/>
    <n v="-2"/>
    <d v="2026-06-24T00:00:00"/>
    <n v="763.88"/>
    <s v="PEN"/>
    <x v="0"/>
    <m/>
    <m/>
    <m/>
    <d v="2026-06-24T00:00:00"/>
    <n v="225.59952746603662"/>
    <m/>
    <m/>
  </r>
  <r>
    <s v="1000006830"/>
    <x v="12"/>
    <s v="1200002576"/>
    <x v="91"/>
    <x v="0"/>
    <x v="16"/>
    <n v="-2"/>
    <d v="2026-06-24T00:00:00"/>
    <n v="177"/>
    <s v="PEN"/>
    <x v="0"/>
    <m/>
    <m/>
    <m/>
    <d v="2026-06-24T00:00:00"/>
    <n v="52.274069698759597"/>
    <m/>
    <m/>
  </r>
  <r>
    <s v="1000006830"/>
    <x v="12"/>
    <s v="1200002612"/>
    <x v="92"/>
    <x v="0"/>
    <x v="33"/>
    <n v="-4"/>
    <d v="2026-06-26T00:00:00"/>
    <n v="372.41"/>
    <s v="PEN"/>
    <x v="0"/>
    <m/>
    <m/>
    <m/>
    <d v="2026-06-26T00:00:00"/>
    <n v="109.98523331364443"/>
    <m/>
    <m/>
  </r>
  <r>
    <s v="1000006830"/>
    <x v="12"/>
    <s v="1200002613"/>
    <x v="93"/>
    <x v="0"/>
    <x v="33"/>
    <n v="-4"/>
    <d v="2026-06-26T00:00:00"/>
    <n v="47.2"/>
    <s v="PEN"/>
    <x v="0"/>
    <m/>
    <m/>
    <m/>
    <d v="2026-06-26T00:00:00"/>
    <n v="13.939751919669227"/>
    <m/>
    <m/>
  </r>
  <r>
    <s v="1000006830"/>
    <x v="12"/>
    <s v="1200002624"/>
    <x v="94"/>
    <x v="0"/>
    <x v="34"/>
    <n v="-5"/>
    <d v="2026-06-27T00:00:00"/>
    <n v="687.89"/>
    <s v="PEN"/>
    <x v="0"/>
    <m/>
    <m/>
    <m/>
    <d v="2026-06-27T00:00:00"/>
    <n v="203.15711754282339"/>
    <m/>
    <m/>
  </r>
  <r>
    <s v="1000006830"/>
    <x v="12"/>
    <s v="1200002625"/>
    <x v="95"/>
    <x v="0"/>
    <x v="34"/>
    <n v="-5"/>
    <d v="2026-06-27T00:00:00"/>
    <n v="194.7"/>
    <s v="PEN"/>
    <x v="0"/>
    <m/>
    <m/>
    <m/>
    <d v="2026-06-27T00:00:00"/>
    <n v="57.501476668635554"/>
    <m/>
    <m/>
  </r>
  <r>
    <s v="2000001459"/>
    <x v="13"/>
    <s v="1300004230"/>
    <x v="96"/>
    <x v="3"/>
    <x v="11"/>
    <n v="0"/>
    <d v="2026-05-31T00:00:00"/>
    <n v="-34580"/>
    <s v="USD"/>
    <x v="1"/>
    <d v="2026-07-10T00:00:00"/>
    <m/>
    <m/>
    <d v="2026-05-31T00:00:00"/>
    <n v="-34580"/>
    <n v="27"/>
    <s v="0-45"/>
  </r>
  <r>
    <s v="2000001172"/>
    <x v="14"/>
    <s v="1300004713"/>
    <x v="32"/>
    <x v="1"/>
    <x v="35"/>
    <n v="0"/>
    <d v="2026-04-28T00:00:00"/>
    <n v="-1504"/>
    <s v="USD"/>
    <x v="1"/>
    <d v="2026-06-12T00:00:00"/>
    <m/>
    <m/>
    <d v="2026-04-28T00:00:00"/>
    <n v="-1504"/>
    <n v="55"/>
    <s v="46-60"/>
  </r>
  <r>
    <s v="2000001172"/>
    <x v="14"/>
    <s v="1300004024"/>
    <x v="97"/>
    <x v="3"/>
    <x v="36"/>
    <n v="0"/>
    <d v="2026-05-31T00:00:00"/>
    <n v="-36370"/>
    <s v="USD"/>
    <x v="1"/>
    <d v="2026-06-27T00:00:00"/>
    <m/>
    <m/>
    <d v="2026-05-31T00:00:00"/>
    <n v="-36370"/>
    <n v="40"/>
    <s v="0-45"/>
  </r>
  <r>
    <s v="2000001172"/>
    <x v="14"/>
    <s v="1200002324"/>
    <x v="98"/>
    <x v="2"/>
    <x v="37"/>
    <n v="-28"/>
    <d v="2026-07-20T00:00:00"/>
    <n v="35224"/>
    <s v="USD"/>
    <x v="1"/>
    <d v="2026-07-20T00:00:00"/>
    <n v="-28"/>
    <d v="2026-07-20T00:00:00"/>
    <d v="2026-07-20T00:00:00"/>
    <n v="35224"/>
    <n v="17"/>
    <s v="0-45"/>
  </r>
  <r>
    <s v="2000001172"/>
    <x v="14"/>
    <s v="1300004844"/>
    <x v="99"/>
    <x v="3"/>
    <x v="30"/>
    <n v="0"/>
    <d v="2026-06-30T00:00:00"/>
    <n v="-33677"/>
    <s v="USD"/>
    <x v="1"/>
    <d v="2026-07-23T00:00:00"/>
    <m/>
    <m/>
    <d v="2026-06-30T00:00:00"/>
    <n v="-33677"/>
    <n v="14"/>
    <s v="0-45"/>
  </r>
  <r>
    <s v="2000001172"/>
    <x v="14"/>
    <s v="1300004857"/>
    <x v="100"/>
    <x v="3"/>
    <x v="15"/>
    <n v="0"/>
    <d v="2026-06-30T00:00:00"/>
    <n v="-20250"/>
    <s v="USD"/>
    <x v="1"/>
    <d v="2026-07-26T00:00:00"/>
    <m/>
    <m/>
    <d v="2026-06-30T00:00:00"/>
    <n v="-20250"/>
    <n v="11"/>
    <s v="0-45"/>
  </r>
  <r>
    <s v="2000000231"/>
    <x v="15"/>
    <s v="1200001730"/>
    <x v="101"/>
    <x v="2"/>
    <x v="38"/>
    <n v="-4"/>
    <d v="2026-06-26T00:00:00"/>
    <n v="420417"/>
    <s v="USD"/>
    <x v="1"/>
    <d v="2026-06-26T00:00:00"/>
    <n v="-4"/>
    <d v="2026-06-26T00:00:00"/>
    <d v="2026-06-26T00:00:00"/>
    <n v="420417"/>
    <n v="41"/>
    <s v="0-45"/>
  </r>
  <r>
    <s v="2000000231"/>
    <x v="15"/>
    <s v="1200001990"/>
    <x v="102"/>
    <x v="2"/>
    <x v="10"/>
    <n v="-14"/>
    <d v="2026-07-06T00:00:00"/>
    <n v="103806"/>
    <s v="USD"/>
    <x v="1"/>
    <d v="2026-07-06T00:00:00"/>
    <n v="-14"/>
    <d v="2026-07-06T00:00:00"/>
    <d v="2026-07-06T00:00:00"/>
    <n v="103806"/>
    <n v="31"/>
    <s v="0-45"/>
  </r>
  <r>
    <s v="2000000231"/>
    <x v="15"/>
    <s v="1200002034"/>
    <x v="103"/>
    <x v="2"/>
    <x v="39"/>
    <n v="-16"/>
    <d v="2026-07-08T00:00:00"/>
    <n v="104872.5"/>
    <s v="USD"/>
    <x v="1"/>
    <d v="2026-07-08T00:00:00"/>
    <n v="-16"/>
    <d v="2026-07-08T00:00:00"/>
    <d v="2026-07-08T00:00:00"/>
    <n v="104872.5"/>
    <n v="29"/>
    <s v="0-45"/>
  </r>
  <r>
    <s v="2000000231"/>
    <x v="15"/>
    <s v="1300004860"/>
    <x v="104"/>
    <x v="1"/>
    <x v="39"/>
    <n v="29"/>
    <d v="2026-05-24T00:00:00"/>
    <n v="157950"/>
    <s v="USD"/>
    <x v="1"/>
    <d v="2026-07-08T00:00:00"/>
    <n v="-16"/>
    <d v="2026-07-08T00:00:00"/>
    <d v="2026-07-08T00:00:00"/>
    <n v="157950"/>
    <n v="29"/>
    <s v="0-45"/>
  </r>
  <r>
    <s v="2000000231"/>
    <x v="15"/>
    <s v="1200002130"/>
    <x v="105"/>
    <x v="2"/>
    <x v="13"/>
    <n v="-21"/>
    <d v="2026-07-13T00:00:00"/>
    <n v="104161.5"/>
    <s v="USD"/>
    <x v="1"/>
    <d v="2026-07-13T00:00:00"/>
    <n v="-21"/>
    <d v="2026-07-13T00:00:00"/>
    <d v="2026-07-13T00:00:00"/>
    <n v="104161.5"/>
    <n v="24"/>
    <s v="0-45"/>
  </r>
  <r>
    <s v="2000000231"/>
    <x v="15"/>
    <s v="1200002133"/>
    <x v="106"/>
    <x v="2"/>
    <x v="13"/>
    <n v="-21"/>
    <d v="2026-07-13T00:00:00"/>
    <n v="105300"/>
    <s v="USD"/>
    <x v="1"/>
    <d v="2026-07-13T00:00:00"/>
    <n v="-21"/>
    <d v="2026-07-13T00:00:00"/>
    <d v="2026-07-13T00:00:00"/>
    <n v="105300"/>
    <n v="24"/>
    <s v="0-45"/>
  </r>
  <r>
    <s v="2000000231"/>
    <x v="15"/>
    <s v="1200002635"/>
    <x v="107"/>
    <x v="2"/>
    <x v="33"/>
    <n v="-42"/>
    <d v="2026-08-03T00:00:00"/>
    <n v="421200"/>
    <s v="USD"/>
    <x v="1"/>
    <d v="2026-08-03T00:00:00"/>
    <m/>
    <m/>
    <d v="2026-08-03T00:00:00"/>
    <n v="421200"/>
    <n v="3"/>
    <s v="0-45"/>
  </r>
  <r>
    <s v="2000000233"/>
    <x v="16"/>
    <s v="1300004714"/>
    <x v="108"/>
    <x v="1"/>
    <x v="39"/>
    <n v="29"/>
    <d v="2026-05-24T00:00:00"/>
    <n v="212594"/>
    <s v="USD"/>
    <x v="1"/>
    <d v="2026-07-08T00:00:00"/>
    <n v="-16"/>
    <d v="2026-07-08T00:00:00"/>
    <d v="2026-07-08T00:00:00"/>
    <n v="212594"/>
    <n v="29"/>
    <s v="0-45"/>
  </r>
  <r>
    <s v="2000000233"/>
    <x v="16"/>
    <s v="1200002140"/>
    <x v="109"/>
    <x v="2"/>
    <x v="13"/>
    <n v="-21"/>
    <d v="2026-07-13T00:00:00"/>
    <n v="54540"/>
    <s v="USD"/>
    <x v="1"/>
    <d v="2026-07-13T00:00:00"/>
    <n v="-21"/>
    <d v="2026-07-13T00:00:00"/>
    <d v="2026-07-13T00:00:00"/>
    <n v="54540"/>
    <n v="24"/>
    <s v="0-45"/>
  </r>
  <r>
    <s v="2000000233"/>
    <x v="16"/>
    <s v="1300004855"/>
    <x v="110"/>
    <x v="3"/>
    <x v="40"/>
    <n v="0"/>
    <d v="2026-06-30T00:00:00"/>
    <n v="-159925"/>
    <s v="USD"/>
    <x v="1"/>
    <d v="2026-07-24T00:00:00"/>
    <m/>
    <m/>
    <d v="2026-06-30T00:00:00"/>
    <n v="-159925"/>
    <n v="13"/>
    <s v="0-45"/>
  </r>
  <r>
    <s v="2000000233"/>
    <x v="16"/>
    <s v="1200002541"/>
    <x v="111"/>
    <x v="2"/>
    <x v="31"/>
    <n v="-36"/>
    <d v="2026-07-28T00:00:00"/>
    <n v="113004"/>
    <s v="USD"/>
    <x v="1"/>
    <d v="2026-07-28T00:00:00"/>
    <m/>
    <m/>
    <d v="2026-07-28T00:00:00"/>
    <n v="113004"/>
    <n v="9"/>
    <s v="0-45"/>
  </r>
  <r>
    <s v="2000001409"/>
    <x v="17"/>
    <s v="1300004861"/>
    <x v="112"/>
    <x v="1"/>
    <x v="27"/>
    <n v="54"/>
    <d v="2026-04-29T00:00:00"/>
    <n v="254390"/>
    <s v="USD"/>
    <x v="1"/>
    <d v="2026-06-13T00:00:00"/>
    <n v="-8"/>
    <d v="2026-06-30T00:00:00"/>
    <d v="2026-06-30T00:00:00"/>
    <n v="254390"/>
    <n v="54"/>
    <s v="46-60"/>
  </r>
  <r>
    <s v="2000001409"/>
    <x v="17"/>
    <s v="1200001874"/>
    <x v="113"/>
    <x v="2"/>
    <x v="14"/>
    <n v="-9"/>
    <d v="2026-07-01T00:00:00"/>
    <n v="113820"/>
    <s v="USD"/>
    <x v="1"/>
    <d v="2026-07-01T00:00:00"/>
    <n v="-9"/>
    <d v="2026-07-01T00:00:00"/>
    <d v="2026-07-01T00:00:00"/>
    <n v="113820"/>
    <n v="36"/>
    <s v="0-45"/>
  </r>
  <r>
    <s v="2000001409"/>
    <x v="17"/>
    <s v="1200001989"/>
    <x v="114"/>
    <x v="2"/>
    <x v="10"/>
    <n v="-14"/>
    <d v="2026-07-06T00:00:00"/>
    <n v="56280"/>
    <s v="USD"/>
    <x v="1"/>
    <d v="2026-07-06T00:00:00"/>
    <n v="-14"/>
    <d v="2026-07-06T00:00:00"/>
    <d v="2026-07-06T00:00:00"/>
    <n v="56280"/>
    <n v="31"/>
    <s v="0-45"/>
  </r>
  <r>
    <s v="2000001409"/>
    <x v="17"/>
    <s v="1200002038"/>
    <x v="115"/>
    <x v="2"/>
    <x v="39"/>
    <n v="-16"/>
    <d v="2026-07-08T00:00:00"/>
    <n v="113400"/>
    <s v="USD"/>
    <x v="1"/>
    <d v="2026-07-08T00:00:00"/>
    <n v="-16"/>
    <d v="2026-07-08T00:00:00"/>
    <d v="2026-07-08T00:00:00"/>
    <n v="113400"/>
    <n v="29"/>
    <s v="0-45"/>
  </r>
  <r>
    <s v="2000001409"/>
    <x v="17"/>
    <s v="1200002132"/>
    <x v="116"/>
    <x v="2"/>
    <x v="13"/>
    <n v="-21"/>
    <d v="2026-07-13T00:00:00"/>
    <n v="56700"/>
    <s v="USD"/>
    <x v="1"/>
    <d v="2026-07-13T00:00:00"/>
    <n v="-21"/>
    <d v="2026-07-13T00:00:00"/>
    <d v="2026-07-13T00:00:00"/>
    <n v="56700"/>
    <n v="24"/>
    <s v="0-45"/>
  </r>
  <r>
    <s v="6002007"/>
    <x v="18"/>
    <s v="1200005141"/>
    <x v="117"/>
    <x v="0"/>
    <x v="41"/>
    <n v="224"/>
    <d v="2025-11-10T00:00:00"/>
    <n v="1403.26"/>
    <s v="PEN"/>
    <x v="2"/>
    <m/>
    <m/>
    <m/>
    <d v="2025-11-10T00:00:00"/>
    <n v="414.43000590667452"/>
    <m/>
    <m/>
  </r>
  <r>
    <s v="6002007"/>
    <x v="18"/>
    <s v="1200005142"/>
    <x v="118"/>
    <x v="0"/>
    <x v="41"/>
    <n v="224"/>
    <d v="2025-11-10T00:00:00"/>
    <n v="141.6"/>
    <s v="PEN"/>
    <x v="2"/>
    <m/>
    <m/>
    <m/>
    <d v="2025-11-10T00:00:00"/>
    <n v="41.819255759007675"/>
    <m/>
    <m/>
  </r>
  <r>
    <s v="6002007"/>
    <x v="18"/>
    <s v="1200005158"/>
    <x v="119"/>
    <x v="0"/>
    <x v="42"/>
    <n v="221"/>
    <d v="2025-11-13T00:00:00"/>
    <n v="1193.22"/>
    <s v="PEN"/>
    <x v="2"/>
    <m/>
    <m/>
    <m/>
    <d v="2025-11-13T00:00:00"/>
    <n v="352.39810986414648"/>
    <m/>
    <m/>
  </r>
  <r>
    <s v="6002007"/>
    <x v="18"/>
    <s v="1200005159"/>
    <x v="120"/>
    <x v="0"/>
    <x v="42"/>
    <n v="221"/>
    <d v="2025-11-13T00:00:00"/>
    <n v="106.2"/>
    <s v="PEN"/>
    <x v="2"/>
    <m/>
    <m/>
    <m/>
    <d v="2025-11-13T00:00:00"/>
    <n v="31.364441819255759"/>
    <m/>
    <m/>
  </r>
  <r>
    <s v="6002007"/>
    <x v="18"/>
    <s v="1200001503"/>
    <x v="121"/>
    <x v="0"/>
    <x v="43"/>
    <n v="40"/>
    <d v="2026-05-13T00:00:00"/>
    <n v="23.6"/>
    <s v="PEN"/>
    <x v="2"/>
    <m/>
    <m/>
    <m/>
    <d v="2026-05-13T00:00:00"/>
    <n v="6.9698759598346136"/>
    <m/>
    <m/>
  </r>
  <r>
    <s v="6002007"/>
    <x v="18"/>
    <s v="1200001504"/>
    <x v="122"/>
    <x v="0"/>
    <x v="43"/>
    <n v="40"/>
    <d v="2026-05-13T00:00:00"/>
    <n v="261.49"/>
    <s v="PEN"/>
    <x v="2"/>
    <m/>
    <m/>
    <m/>
    <d v="2026-05-13T00:00:00"/>
    <n v="77.226816302421739"/>
    <m/>
    <m/>
  </r>
  <r>
    <s v="6002007"/>
    <x v="18"/>
    <s v="1200001509"/>
    <x v="123"/>
    <x v="0"/>
    <x v="43"/>
    <n v="40"/>
    <d v="2026-05-13T00:00:00"/>
    <n v="387.51"/>
    <s v="PEN"/>
    <x v="2"/>
    <m/>
    <m/>
    <m/>
    <d v="2026-05-13T00:00:00"/>
    <n v="114.44477259303012"/>
    <m/>
    <m/>
  </r>
  <r>
    <s v="6002007"/>
    <x v="18"/>
    <s v="1200001510"/>
    <x v="124"/>
    <x v="0"/>
    <x v="43"/>
    <n v="40"/>
    <d v="2026-05-13T00:00:00"/>
    <n v="35.4"/>
    <s v="PEN"/>
    <x v="2"/>
    <m/>
    <m/>
    <m/>
    <d v="2026-05-13T00:00:00"/>
    <n v="10.454813939751919"/>
    <m/>
    <m/>
  </r>
  <r>
    <s v="6002007"/>
    <x v="18"/>
    <s v="1200001609"/>
    <x v="125"/>
    <x v="0"/>
    <x v="38"/>
    <n v="34"/>
    <d v="2026-05-19T00:00:00"/>
    <n v="482.86"/>
    <s v="PEN"/>
    <x v="2"/>
    <m/>
    <m/>
    <m/>
    <d v="2026-05-19T00:00:00"/>
    <n v="142.60484347312462"/>
    <m/>
    <m/>
  </r>
  <r>
    <s v="6002007"/>
    <x v="18"/>
    <s v="1200001610"/>
    <x v="126"/>
    <x v="0"/>
    <x v="38"/>
    <n v="34"/>
    <d v="2026-05-19T00:00:00"/>
    <n v="47.2"/>
    <s v="PEN"/>
    <x v="2"/>
    <m/>
    <m/>
    <m/>
    <d v="2026-05-19T00:00:00"/>
    <n v="13.939751919669227"/>
    <m/>
    <m/>
  </r>
  <r>
    <s v="6002007"/>
    <x v="18"/>
    <s v="1200001789"/>
    <x v="127"/>
    <x v="0"/>
    <x v="25"/>
    <n v="30"/>
    <d v="2026-05-23T00:00:00"/>
    <n v="544.45000000000005"/>
    <s v="PEN"/>
    <x v="2"/>
    <m/>
    <m/>
    <m/>
    <d v="2026-05-23T00:00:00"/>
    <n v="160.7944477259303"/>
    <m/>
    <m/>
  </r>
  <r>
    <s v="6002007"/>
    <x v="18"/>
    <s v="1200001790"/>
    <x v="128"/>
    <x v="0"/>
    <x v="25"/>
    <n v="30"/>
    <d v="2026-05-23T00:00:00"/>
    <n v="47.2"/>
    <s v="PEN"/>
    <x v="2"/>
    <m/>
    <m/>
    <m/>
    <d v="2026-05-23T00:00:00"/>
    <n v="13.939751919669227"/>
    <m/>
    <m/>
  </r>
  <r>
    <s v="6002007"/>
    <x v="18"/>
    <s v="1200002045"/>
    <x v="129"/>
    <x v="0"/>
    <x v="12"/>
    <n v="19"/>
    <d v="2026-06-03T00:00:00"/>
    <n v="591.65"/>
    <s v="PEN"/>
    <x v="2"/>
    <m/>
    <m/>
    <m/>
    <d v="2026-06-03T00:00:00"/>
    <n v="174.73419964559952"/>
    <m/>
    <m/>
  </r>
  <r>
    <s v="6002007"/>
    <x v="18"/>
    <s v="1200002046"/>
    <x v="130"/>
    <x v="0"/>
    <x v="12"/>
    <n v="19"/>
    <d v="2026-06-03T00:00:00"/>
    <n v="70.8"/>
    <s v="PEN"/>
    <x v="2"/>
    <m/>
    <m/>
    <m/>
    <d v="2026-06-03T00:00:00"/>
    <n v="20.909627879503837"/>
    <m/>
    <m/>
  </r>
  <r>
    <s v="6002007"/>
    <x v="18"/>
    <s v="1200002186"/>
    <x v="131"/>
    <x v="0"/>
    <x v="28"/>
    <n v="13"/>
    <d v="2026-06-09T00:00:00"/>
    <n v="185.97"/>
    <s v="PEN"/>
    <x v="2"/>
    <m/>
    <m/>
    <m/>
    <d v="2026-06-09T00:00:00"/>
    <n v="54.923213230950971"/>
    <m/>
    <m/>
  </r>
  <r>
    <s v="6002007"/>
    <x v="18"/>
    <s v="1200002187"/>
    <x v="132"/>
    <x v="0"/>
    <x v="28"/>
    <n v="13"/>
    <d v="2026-06-09T00:00:00"/>
    <n v="23.6"/>
    <s v="PEN"/>
    <x v="2"/>
    <m/>
    <m/>
    <m/>
    <d v="2026-06-09T00:00:00"/>
    <n v="6.9698759598346136"/>
    <m/>
    <m/>
  </r>
  <r>
    <s v="6002007"/>
    <x v="18"/>
    <s v="1200002487"/>
    <x v="133"/>
    <x v="0"/>
    <x v="31"/>
    <n v="2"/>
    <d v="2026-06-20T00:00:00"/>
    <n v="535.25"/>
    <s v="PEN"/>
    <x v="2"/>
    <m/>
    <m/>
    <m/>
    <d v="2026-06-20T00:00:00"/>
    <n v="158.07737743650324"/>
    <m/>
    <m/>
  </r>
  <r>
    <s v="6002007"/>
    <x v="18"/>
    <s v="1200002488"/>
    <x v="134"/>
    <x v="0"/>
    <x v="31"/>
    <n v="2"/>
    <d v="2026-06-20T00:00:00"/>
    <n v="70.8"/>
    <s v="PEN"/>
    <x v="2"/>
    <m/>
    <m/>
    <m/>
    <d v="2026-06-20T00:00:00"/>
    <n v="20.909627879503837"/>
    <m/>
    <m/>
  </r>
  <r>
    <s v="6001105"/>
    <x v="19"/>
    <s v="1200001300"/>
    <x v="135"/>
    <x v="0"/>
    <x v="35"/>
    <n v="55"/>
    <d v="2026-04-28T00:00:00"/>
    <n v="59"/>
    <s v="PEN"/>
    <x v="0"/>
    <m/>
    <m/>
    <m/>
    <d v="2026-04-28T00:00:00"/>
    <n v="17.424689899586532"/>
    <m/>
    <m/>
  </r>
  <r>
    <s v="6001105"/>
    <x v="19"/>
    <s v="1200001301"/>
    <x v="136"/>
    <x v="0"/>
    <x v="35"/>
    <n v="55"/>
    <d v="2026-04-28T00:00:00"/>
    <n v="716.71"/>
    <s v="PEN"/>
    <x v="0"/>
    <m/>
    <m/>
    <m/>
    <d v="2026-04-28T00:00:00"/>
    <n v="211.66863555818074"/>
    <m/>
    <m/>
  </r>
  <r>
    <s v="6001105"/>
    <x v="19"/>
    <s v="1200001302"/>
    <x v="137"/>
    <x v="0"/>
    <x v="35"/>
    <n v="55"/>
    <d v="2026-04-28T00:00:00"/>
    <n v="129.80000000000001"/>
    <s v="PEN"/>
    <x v="0"/>
    <m/>
    <m/>
    <m/>
    <d v="2026-04-28T00:00:00"/>
    <n v="38.334317779090377"/>
    <m/>
    <m/>
  </r>
  <r>
    <s v="6001105"/>
    <x v="19"/>
    <s v="1300004037"/>
    <x v="138"/>
    <x v="1"/>
    <x v="35"/>
    <n v="55"/>
    <d v="2026-04-28T00:00:00"/>
    <n v="422.56"/>
    <s v="PEN"/>
    <x v="0"/>
    <m/>
    <m/>
    <m/>
    <d v="2026-04-28T00:00:00"/>
    <n v="124.79621972829297"/>
    <m/>
    <m/>
  </r>
  <r>
    <s v="6001105"/>
    <x v="19"/>
    <s v="1200001648"/>
    <x v="139"/>
    <x v="0"/>
    <x v="38"/>
    <n v="41"/>
    <d v="2026-05-12T00:00:00"/>
    <n v="404.98"/>
    <s v="PEN"/>
    <x v="0"/>
    <m/>
    <m/>
    <m/>
    <d v="2026-05-12T00:00:00"/>
    <n v="119.60425280567041"/>
    <m/>
    <m/>
  </r>
  <r>
    <s v="6001105"/>
    <x v="19"/>
    <s v="1200001649"/>
    <x v="140"/>
    <x v="0"/>
    <x v="38"/>
    <n v="41"/>
    <d v="2026-05-12T00:00:00"/>
    <n v="59"/>
    <s v="PEN"/>
    <x v="0"/>
    <m/>
    <m/>
    <m/>
    <d v="2026-05-12T00:00:00"/>
    <n v="17.424689899586532"/>
    <m/>
    <m/>
  </r>
  <r>
    <s v="2000001443"/>
    <x v="20"/>
    <s v="1300002821"/>
    <x v="141"/>
    <x v="3"/>
    <x v="43"/>
    <n v="0"/>
    <d v="2026-05-31T00:00:00"/>
    <n v="-33334"/>
    <s v="USD"/>
    <x v="1"/>
    <d v="2026-06-20T00:00:00"/>
    <m/>
    <m/>
    <d v="2026-05-31T00:00:00"/>
    <n v="-33334"/>
    <n v="47"/>
    <s v="46-60"/>
  </r>
  <r>
    <s v="2000001443"/>
    <x v="20"/>
    <s v="1300004715"/>
    <x v="142"/>
    <x v="1"/>
    <x v="13"/>
    <n v="24"/>
    <d v="2026-05-29T00:00:00"/>
    <n v="67008"/>
    <s v="USD"/>
    <x v="1"/>
    <d v="2026-07-13T00:00:00"/>
    <n v="-21"/>
    <d v="2026-07-13T00:00:00"/>
    <d v="2026-07-13T00:00:00"/>
    <n v="67008"/>
    <n v="24"/>
    <s v="0-45"/>
  </r>
  <r>
    <s v="2000001359"/>
    <x v="21"/>
    <s v="1200001321"/>
    <x v="143"/>
    <x v="2"/>
    <x v="24"/>
    <n v="11"/>
    <d v="2026-06-11T00:00:00"/>
    <n v="36400"/>
    <s v="USD"/>
    <x v="1"/>
    <d v="2026-06-11T00:00:00"/>
    <n v="-8"/>
    <d v="2026-06-30T00:00:00"/>
    <d v="2026-06-30T00:00:00"/>
    <n v="36400"/>
    <n v="56"/>
    <s v="46-60"/>
  </r>
  <r>
    <s v="2000001359"/>
    <x v="21"/>
    <s v="1200002006"/>
    <x v="144"/>
    <x v="2"/>
    <x v="10"/>
    <n v="-14"/>
    <d v="2026-07-06T00:00:00"/>
    <n v="80600"/>
    <s v="USD"/>
    <x v="1"/>
    <d v="2026-07-06T00:00:00"/>
    <n v="-14"/>
    <d v="2026-07-06T00:00:00"/>
    <d v="2026-07-06T00:00:00"/>
    <n v="80600"/>
    <n v="31"/>
    <s v="0-45"/>
  </r>
  <r>
    <s v="2000001468"/>
    <x v="22"/>
    <s v="1300004843"/>
    <x v="145"/>
    <x v="3"/>
    <x v="37"/>
    <n v="0"/>
    <d v="2026-06-30T00:00:00"/>
    <n v="-13728"/>
    <s v="USD"/>
    <x v="1"/>
    <d v="2026-07-20T00:00:00"/>
    <m/>
    <m/>
    <d v="2026-06-30T00:00:00"/>
    <n v="-13728"/>
    <n v="17"/>
    <s v="0-45"/>
  </r>
  <r>
    <s v="1000013925"/>
    <x v="23"/>
    <s v="1300006898"/>
    <x v="146"/>
    <x v="1"/>
    <x v="44"/>
    <n v="244"/>
    <d v="2025-10-21T00:00:00"/>
    <n v="4460"/>
    <s v="PEN"/>
    <x v="3"/>
    <m/>
    <m/>
    <m/>
    <d v="2025-10-21T00:00:00"/>
    <n v="1317.1884229178972"/>
    <m/>
    <m/>
  </r>
  <r>
    <s v="1000013925"/>
    <x v="23"/>
    <s v="1200005124"/>
    <x v="147"/>
    <x v="0"/>
    <x v="45"/>
    <n v="223"/>
    <d v="2025-11-11T00:00:00"/>
    <n v="7097.98"/>
    <s v="PEN"/>
    <x v="3"/>
    <m/>
    <m/>
    <m/>
    <d v="2025-11-11T00:00:00"/>
    <n v="2096.2728883638511"/>
    <m/>
    <m/>
  </r>
  <r>
    <s v="1000013925"/>
    <x v="23"/>
    <s v="1200000182"/>
    <x v="148"/>
    <x v="0"/>
    <x v="46"/>
    <n v="135"/>
    <d v="2026-02-07T00:00:00"/>
    <n v="4003.46"/>
    <s v="PEN"/>
    <x v="3"/>
    <m/>
    <m/>
    <m/>
    <d v="2026-02-07T00:00:00"/>
    <n v="1182.3567631423509"/>
    <m/>
    <m/>
  </r>
  <r>
    <s v="1000013925"/>
    <x v="23"/>
    <s v="1200000382"/>
    <x v="149"/>
    <x v="0"/>
    <x v="47"/>
    <n v="104"/>
    <d v="2026-03-10T00:00:00"/>
    <n v="4956"/>
    <s v="PEN"/>
    <x v="3"/>
    <m/>
    <m/>
    <m/>
    <d v="2026-03-10T00:00:00"/>
    <n v="1463.6739515652687"/>
    <m/>
    <m/>
  </r>
  <r>
    <s v="2000001380"/>
    <x v="24"/>
    <s v="1300004799"/>
    <x v="150"/>
    <x v="3"/>
    <x v="28"/>
    <n v="0"/>
    <d v="2026-06-30T00:00:00"/>
    <n v="-6470"/>
    <s v="USD"/>
    <x v="1"/>
    <d v="2026-07-17T00:00:00"/>
    <m/>
    <m/>
    <d v="2026-06-30T00:00:00"/>
    <n v="-6470"/>
    <n v="20"/>
    <s v="0-45"/>
  </r>
  <r>
    <s v="2000001380"/>
    <x v="24"/>
    <s v="1200002542"/>
    <x v="151"/>
    <x v="2"/>
    <x v="31"/>
    <n v="-36"/>
    <d v="2026-07-28T00:00:00"/>
    <n v="29250"/>
    <s v="USD"/>
    <x v="1"/>
    <d v="2026-07-28T00:00:00"/>
    <m/>
    <m/>
    <d v="2026-07-28T00:00:00"/>
    <n v="29250"/>
    <n v="9"/>
    <s v="0-45"/>
  </r>
  <r>
    <s v="6000434"/>
    <x v="25"/>
    <s v="1200004540"/>
    <x v="152"/>
    <x v="0"/>
    <x v="48"/>
    <n v="251"/>
    <d v="2025-10-14T00:00:00"/>
    <n v="790"/>
    <s v="PEN"/>
    <x v="4"/>
    <m/>
    <m/>
    <m/>
    <d v="2025-10-14T00:00:00"/>
    <n v="233.31364441819255"/>
    <m/>
    <m/>
  </r>
  <r>
    <s v="1000001607"/>
    <x v="26"/>
    <s v="1200002528"/>
    <x v="153"/>
    <x v="0"/>
    <x v="22"/>
    <n v="4"/>
    <d v="2026-06-18T00:00:00"/>
    <n v="46429.79"/>
    <s v="PEN"/>
    <x v="5"/>
    <m/>
    <m/>
    <m/>
    <d v="2026-06-18T00:00:00"/>
    <n v="13712.282929710573"/>
    <m/>
    <m/>
  </r>
  <r>
    <s v="2000001438"/>
    <x v="27"/>
    <s v="1300002731"/>
    <x v="154"/>
    <x v="1"/>
    <x v="27"/>
    <n v="54"/>
    <d v="2026-04-29T00:00:00"/>
    <n v="162355"/>
    <s v="USD"/>
    <x v="1"/>
    <d v="2026-06-13T00:00:00"/>
    <n v="-8"/>
    <d v="2026-06-30T00:00:00"/>
    <d v="2026-06-30T00:00:00"/>
    <n v="162355"/>
    <n v="54"/>
    <s v="46-60"/>
  </r>
  <r>
    <s v="2000001438"/>
    <x v="27"/>
    <s v="1200001892"/>
    <x v="155"/>
    <x v="2"/>
    <x v="14"/>
    <n v="-9"/>
    <d v="2026-07-01T00:00:00"/>
    <n v="230850"/>
    <s v="USD"/>
    <x v="1"/>
    <d v="2026-07-01T00:00:00"/>
    <n v="-9"/>
    <d v="2026-07-01T00:00:00"/>
    <d v="2026-07-01T00:00:00"/>
    <n v="230850"/>
    <n v="36"/>
    <s v="0-45"/>
  </r>
  <r>
    <s v="2000001460"/>
    <x v="28"/>
    <s v="1300004801"/>
    <x v="156"/>
    <x v="3"/>
    <x v="28"/>
    <n v="0"/>
    <d v="2026-06-30T00:00:00"/>
    <n v="-9287"/>
    <s v="USD"/>
    <x v="1"/>
    <d v="2026-07-17T00:00:00"/>
    <m/>
    <m/>
    <d v="2026-06-30T00:00:00"/>
    <n v="-9287"/>
    <n v="20"/>
    <s v="0-45"/>
  </r>
  <r>
    <s v="1000001965"/>
    <x v="29"/>
    <s v="1200002503"/>
    <x v="157"/>
    <x v="0"/>
    <x v="31"/>
    <n v="2"/>
    <d v="2026-06-20T00:00:00"/>
    <n v="590"/>
    <s v="PEN"/>
    <x v="0"/>
    <m/>
    <m/>
    <m/>
    <d v="2026-06-20T00:00:00"/>
    <n v="174.24689899586531"/>
    <m/>
    <m/>
  </r>
  <r>
    <s v="1000001965"/>
    <x v="29"/>
    <s v="1200002569"/>
    <x v="158"/>
    <x v="0"/>
    <x v="23"/>
    <n v="-1"/>
    <d v="2026-06-23T00:00:00"/>
    <n v="590"/>
    <s v="PEN"/>
    <x v="0"/>
    <m/>
    <m/>
    <m/>
    <d v="2026-06-23T00:00:00"/>
    <n v="174.24689899586531"/>
    <m/>
    <m/>
  </r>
  <r>
    <s v="1000001965"/>
    <x v="29"/>
    <s v="1200002582"/>
    <x v="159"/>
    <x v="0"/>
    <x v="16"/>
    <n v="-2"/>
    <d v="2026-06-24T00:00:00"/>
    <n v="590"/>
    <s v="PEN"/>
    <x v="0"/>
    <m/>
    <m/>
    <m/>
    <d v="2026-06-24T00:00:00"/>
    <n v="174.24689899586531"/>
    <m/>
    <m/>
  </r>
  <r>
    <s v="1000001965"/>
    <x v="29"/>
    <s v="1200002619"/>
    <x v="160"/>
    <x v="0"/>
    <x v="33"/>
    <n v="-4"/>
    <d v="2026-06-26T00:00:00"/>
    <n v="590"/>
    <s v="PEN"/>
    <x v="0"/>
    <m/>
    <m/>
    <m/>
    <d v="2026-06-26T00:00:00"/>
    <n v="174.24689899586531"/>
    <m/>
    <m/>
  </r>
  <r>
    <s v="2000001418"/>
    <x v="30"/>
    <s v="1300002670"/>
    <x v="161"/>
    <x v="1"/>
    <x v="24"/>
    <n v="56"/>
    <d v="2026-04-27T00:00:00"/>
    <n v="116670"/>
    <s v="USD"/>
    <x v="1"/>
    <d v="2026-06-11T00:00:00"/>
    <n v="-8"/>
    <d v="2026-06-30T00:00:00"/>
    <d v="2026-06-30T00:00:00"/>
    <n v="116670"/>
    <n v="56"/>
    <s v="46-60"/>
  </r>
  <r>
    <s v="2000001440"/>
    <x v="31"/>
    <s v="1300002671"/>
    <x v="162"/>
    <x v="1"/>
    <x v="27"/>
    <n v="54"/>
    <d v="2026-04-29T00:00:00"/>
    <n v="56785"/>
    <s v="USD"/>
    <x v="1"/>
    <d v="2026-06-13T00:00:00"/>
    <n v="-8"/>
    <d v="2026-06-30T00:00:00"/>
    <d v="2026-06-30T00:00:00"/>
    <n v="56785"/>
    <n v="54"/>
    <s v="46-60"/>
  </r>
  <r>
    <s v="2000001440"/>
    <x v="31"/>
    <s v="1300004716"/>
    <x v="163"/>
    <x v="1"/>
    <x v="13"/>
    <n v="24"/>
    <d v="2026-05-29T00:00:00"/>
    <n v="35725"/>
    <s v="USD"/>
    <x v="1"/>
    <d v="2026-07-13T00:00:00"/>
    <n v="-21"/>
    <d v="2026-07-13T00:00:00"/>
    <d v="2026-07-13T00:00:00"/>
    <n v="35725"/>
    <n v="24"/>
    <s v="0-45"/>
  </r>
  <r>
    <s v="1000013801"/>
    <x v="32"/>
    <s v="1200002198"/>
    <x v="164"/>
    <x v="0"/>
    <x v="28"/>
    <n v="13"/>
    <d v="2026-06-09T00:00:00"/>
    <n v="666.94"/>
    <s v="PEN"/>
    <x v="0"/>
    <m/>
    <m/>
    <m/>
    <d v="2026-06-09T00:00:00"/>
    <n v="196.96987595983461"/>
    <m/>
    <m/>
  </r>
  <r>
    <s v="1000013801"/>
    <x v="32"/>
    <s v="1200002199"/>
    <x v="165"/>
    <x v="0"/>
    <x v="28"/>
    <n v="13"/>
    <d v="2026-06-09T00:00:00"/>
    <n v="123.9"/>
    <s v="PEN"/>
    <x v="0"/>
    <m/>
    <m/>
    <m/>
    <d v="2026-06-09T00:00:00"/>
    <n v="36.591848789131717"/>
    <m/>
    <m/>
  </r>
  <r>
    <s v="1000013686"/>
    <x v="33"/>
    <s v="1200002347"/>
    <x v="166"/>
    <x v="0"/>
    <x v="40"/>
    <n v="6"/>
    <d v="2026-06-16T00:00:00"/>
    <n v="849.6"/>
    <s v="PEN"/>
    <x v="0"/>
    <m/>
    <m/>
    <m/>
    <d v="2026-06-16T00:00:00"/>
    <n v="250.91553455404608"/>
    <m/>
    <m/>
  </r>
  <r>
    <s v="1000013686"/>
    <x v="33"/>
    <s v="1200002502"/>
    <x v="167"/>
    <x v="0"/>
    <x v="31"/>
    <n v="2"/>
    <d v="2026-06-20T00:00:00"/>
    <n v="396.48"/>
    <s v="PEN"/>
    <x v="0"/>
    <m/>
    <m/>
    <m/>
    <d v="2026-06-20T00:00:00"/>
    <n v="117.0939161252215"/>
    <m/>
    <m/>
  </r>
  <r>
    <s v="2000000786"/>
    <x v="34"/>
    <s v="1200002633"/>
    <x v="168"/>
    <x v="2"/>
    <x v="33"/>
    <n v="-42"/>
    <d v="2026-08-03T00:00:00"/>
    <n v="144900"/>
    <s v="USD"/>
    <x v="1"/>
    <d v="2026-08-03T00:00:00"/>
    <m/>
    <m/>
    <d v="2026-08-03T00:00:00"/>
    <n v="144900"/>
    <n v="3"/>
    <s v="0-45"/>
  </r>
  <r>
    <s v="2000000590"/>
    <x v="35"/>
    <s v="1300004717"/>
    <x v="169"/>
    <x v="1"/>
    <x v="10"/>
    <n v="31"/>
    <d v="2026-05-22T00:00:00"/>
    <n v="22575"/>
    <s v="USD"/>
    <x v="1"/>
    <d v="2026-07-06T00:00:00"/>
    <n v="-14"/>
    <d v="2026-07-06T00:00:00"/>
    <d v="2026-07-06T00:00:00"/>
    <n v="22575"/>
    <n v="31"/>
    <s v="0-45"/>
  </r>
  <r>
    <s v="2000001442"/>
    <x v="36"/>
    <s v="1300004718"/>
    <x v="170"/>
    <x v="1"/>
    <x v="13"/>
    <n v="24"/>
    <d v="2026-05-29T00:00:00"/>
    <n v="52933.5"/>
    <s v="USD"/>
    <x v="1"/>
    <d v="2026-07-13T00:00:00"/>
    <n v="-21"/>
    <d v="2026-07-13T00:00:00"/>
    <d v="2026-07-13T00:00:00"/>
    <n v="52933.5"/>
    <n v="24"/>
    <s v="0-45"/>
  </r>
  <r>
    <s v="2000001444"/>
    <x v="37"/>
    <s v="1300004719"/>
    <x v="171"/>
    <x v="1"/>
    <x v="39"/>
    <n v="29"/>
    <d v="2026-05-24T00:00:00"/>
    <n v="90691"/>
    <s v="USD"/>
    <x v="1"/>
    <d v="2026-07-08T00:00:00"/>
    <n v="-16"/>
    <d v="2026-07-08T00:00:00"/>
    <d v="2026-07-08T00:00:00"/>
    <n v="90691"/>
    <n v="29"/>
    <s v="0-45"/>
  </r>
  <r>
    <s v="2000001444"/>
    <x v="37"/>
    <s v="1200002637"/>
    <x v="172"/>
    <x v="2"/>
    <x v="33"/>
    <n v="-42"/>
    <d v="2026-08-03T00:00:00"/>
    <n v="82350"/>
    <s v="USD"/>
    <x v="1"/>
    <d v="2026-08-03T00:00:00"/>
    <n v="46195"/>
    <m/>
    <d v="2026-08-03T00:00:00"/>
    <n v="82350"/>
    <n v="3"/>
    <s v="0-45"/>
  </r>
  <r>
    <s v="2000001069"/>
    <x v="38"/>
    <s v="1300004190"/>
    <x v="173"/>
    <x v="1"/>
    <x v="49"/>
    <n v="61"/>
    <d v="2026-04-22T00:00:00"/>
    <n v="67066"/>
    <s v="USD"/>
    <x v="1"/>
    <d v="2026-06-06T00:00:00"/>
    <n v="-8"/>
    <d v="2026-06-30T00:00:00"/>
    <d v="2026-06-30T00:00:00"/>
    <n v="67066"/>
    <n v="61"/>
    <s v="61-90"/>
  </r>
  <r>
    <s v="2000001446"/>
    <x v="39"/>
    <s v="1300004720"/>
    <x v="174"/>
    <x v="1"/>
    <x v="11"/>
    <n v="27"/>
    <d v="2026-05-26T00:00:00"/>
    <n v="72759"/>
    <s v="USD"/>
    <x v="1"/>
    <d v="2026-07-10T00:00:00"/>
    <n v="-18"/>
    <d v="2026-07-10T00:00:00"/>
    <d v="2026-07-10T00:00:00"/>
    <n v="72759"/>
    <n v="27"/>
    <s v="0-45"/>
  </r>
  <r>
    <s v="2000001449"/>
    <x v="40"/>
    <s v="1300004721"/>
    <x v="175"/>
    <x v="1"/>
    <x v="50"/>
    <n v="22"/>
    <d v="2026-05-31T00:00:00"/>
    <n v="115561"/>
    <s v="USD"/>
    <x v="1"/>
    <d v="2026-07-15T00:00:00"/>
    <n v="-8"/>
    <d v="2026-06-30T00:00:00"/>
    <d v="2026-06-30T00:00:00"/>
    <n v="115561"/>
    <n v="22"/>
    <s v="0-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1000013966"/>
    <x v="0"/>
    <s v="1200005220"/>
    <x v="0"/>
    <x v="0"/>
    <d v="2025-11-19T00:00:00"/>
    <n v="208"/>
    <d v="2025-11-26T00:00:00"/>
    <n v="42.48"/>
    <s v="PEN"/>
    <x v="0"/>
    <m/>
    <m/>
    <m/>
    <d v="2025-11-26T00:00:00"/>
    <n v="12.545776727702302"/>
    <m/>
    <x v="0"/>
  </r>
  <r>
    <s v="1000013966"/>
    <x v="0"/>
    <s v="1200005228"/>
    <x v="1"/>
    <x v="0"/>
    <d v="2025-11-19T00:00:00"/>
    <n v="208"/>
    <d v="2025-11-26T00:00:00"/>
    <n v="14.16"/>
    <s v="PEN"/>
    <x v="0"/>
    <m/>
    <m/>
    <m/>
    <d v="2025-11-26T00:00:00"/>
    <n v="4.1819255759007676"/>
    <m/>
    <x v="0"/>
  </r>
  <r>
    <s v="1000013966"/>
    <x v="0"/>
    <s v="1200005242"/>
    <x v="2"/>
    <x v="0"/>
    <d v="2025-11-19T00:00:00"/>
    <n v="208"/>
    <d v="2025-11-26T00:00:00"/>
    <n v="14.16"/>
    <s v="PEN"/>
    <x v="0"/>
    <m/>
    <m/>
    <m/>
    <d v="2025-11-26T00:00:00"/>
    <n v="4.1819255759007676"/>
    <m/>
    <x v="0"/>
  </r>
  <r>
    <s v="1000013966"/>
    <x v="0"/>
    <s v="1200005264"/>
    <x v="3"/>
    <x v="0"/>
    <d v="2025-11-20T00:00:00"/>
    <n v="207"/>
    <d v="2025-11-27T00:00:00"/>
    <n v="28.32"/>
    <s v="PEN"/>
    <x v="0"/>
    <m/>
    <m/>
    <m/>
    <d v="2025-11-27T00:00:00"/>
    <n v="8.3638511518015353"/>
    <m/>
    <x v="0"/>
  </r>
  <r>
    <s v="1000013966"/>
    <x v="0"/>
    <s v="1200005271"/>
    <x v="4"/>
    <x v="0"/>
    <d v="2025-11-20T00:00:00"/>
    <n v="207"/>
    <d v="2025-11-27T00:00:00"/>
    <n v="14.16"/>
    <s v="PEN"/>
    <x v="0"/>
    <m/>
    <m/>
    <m/>
    <d v="2025-11-27T00:00:00"/>
    <n v="4.1819255759007676"/>
    <m/>
    <x v="0"/>
  </r>
  <r>
    <s v="1000013966"/>
    <x v="0"/>
    <s v="1200005296"/>
    <x v="5"/>
    <x v="0"/>
    <d v="2025-11-21T00:00:00"/>
    <n v="206"/>
    <d v="2025-11-28T00:00:00"/>
    <n v="28.32"/>
    <s v="PEN"/>
    <x v="0"/>
    <m/>
    <m/>
    <m/>
    <d v="2025-11-28T00:00:00"/>
    <n v="8.3638511518015353"/>
    <m/>
    <x v="0"/>
  </r>
  <r>
    <s v="1000013966"/>
    <x v="0"/>
    <s v="1200005302"/>
    <x v="6"/>
    <x v="0"/>
    <d v="2025-11-21T00:00:00"/>
    <n v="206"/>
    <d v="2025-11-28T00:00:00"/>
    <n v="42.48"/>
    <s v="PEN"/>
    <x v="0"/>
    <m/>
    <m/>
    <m/>
    <d v="2025-11-28T00:00:00"/>
    <n v="12.545776727702302"/>
    <m/>
    <x v="0"/>
  </r>
  <r>
    <s v="1000013966"/>
    <x v="0"/>
    <s v="1200005304"/>
    <x v="7"/>
    <x v="0"/>
    <d v="2025-11-21T00:00:00"/>
    <n v="206"/>
    <d v="2025-11-28T00:00:00"/>
    <n v="42.48"/>
    <s v="PEN"/>
    <x v="0"/>
    <m/>
    <m/>
    <m/>
    <d v="2025-11-28T00:00:00"/>
    <n v="12.545776727702302"/>
    <m/>
    <x v="0"/>
  </r>
  <r>
    <s v="1000013966"/>
    <x v="0"/>
    <s v="1200005313"/>
    <x v="8"/>
    <x v="0"/>
    <d v="2025-11-21T00:00:00"/>
    <n v="206"/>
    <d v="2025-11-28T00:00:00"/>
    <n v="14.16"/>
    <s v="PEN"/>
    <x v="0"/>
    <m/>
    <m/>
    <m/>
    <d v="2025-11-28T00:00:00"/>
    <n v="4.1819255759007676"/>
    <m/>
    <x v="0"/>
  </r>
  <r>
    <s v="1000013966"/>
    <x v="0"/>
    <s v="1200005346"/>
    <x v="9"/>
    <x v="0"/>
    <d v="2025-11-22T00:00:00"/>
    <n v="205"/>
    <d v="2025-11-29T00:00:00"/>
    <n v="28.32"/>
    <s v="PEN"/>
    <x v="0"/>
    <m/>
    <m/>
    <m/>
    <d v="2025-11-29T00:00:00"/>
    <n v="8.3638511518015353"/>
    <m/>
    <x v="0"/>
  </r>
  <r>
    <s v="1000013966"/>
    <x v="0"/>
    <s v="1200005422"/>
    <x v="10"/>
    <x v="0"/>
    <d v="2025-11-27T00:00:00"/>
    <n v="200"/>
    <d v="2025-12-04T00:00:00"/>
    <n v="14.16"/>
    <s v="PEN"/>
    <x v="0"/>
    <m/>
    <m/>
    <m/>
    <d v="2025-12-04T00:00:00"/>
    <n v="4.1819255759007676"/>
    <m/>
    <x v="0"/>
  </r>
  <r>
    <s v="1000013966"/>
    <x v="0"/>
    <s v="1200000045"/>
    <x v="11"/>
    <x v="0"/>
    <d v="2026-01-06T00:00:00"/>
    <n v="160"/>
    <d v="2026-01-13T00:00:00"/>
    <n v="14.16"/>
    <s v="PEN"/>
    <x v="0"/>
    <m/>
    <m/>
    <m/>
    <d v="2026-01-13T00:00:00"/>
    <n v="4.1819255759007676"/>
    <m/>
    <x v="0"/>
  </r>
  <r>
    <s v="1000013966"/>
    <x v="0"/>
    <s v="1200000090"/>
    <x v="12"/>
    <x v="0"/>
    <d v="2026-01-08T00:00:00"/>
    <n v="158"/>
    <d v="2026-01-15T00:00:00"/>
    <n v="14.16"/>
    <s v="PEN"/>
    <x v="0"/>
    <m/>
    <m/>
    <m/>
    <d v="2026-01-15T00:00:00"/>
    <n v="4.1819255759007676"/>
    <m/>
    <x v="0"/>
  </r>
  <r>
    <s v="1000013966"/>
    <x v="0"/>
    <s v="1200000113"/>
    <x v="13"/>
    <x v="0"/>
    <d v="2026-01-10T00:00:00"/>
    <n v="156"/>
    <d v="2026-01-17T00:00:00"/>
    <n v="14.16"/>
    <s v="PEN"/>
    <x v="0"/>
    <m/>
    <m/>
    <m/>
    <d v="2026-01-17T00:00:00"/>
    <n v="4.1819255759007676"/>
    <m/>
    <x v="0"/>
  </r>
  <r>
    <s v="1000013966"/>
    <x v="0"/>
    <s v="1200000132"/>
    <x v="14"/>
    <x v="0"/>
    <d v="2026-01-16T00:00:00"/>
    <n v="150"/>
    <d v="2026-01-23T00:00:00"/>
    <n v="14.16"/>
    <s v="PEN"/>
    <x v="0"/>
    <m/>
    <m/>
    <m/>
    <d v="2026-01-23T00:00:00"/>
    <n v="4.1819255759007676"/>
    <m/>
    <x v="0"/>
  </r>
  <r>
    <s v="1000013966"/>
    <x v="0"/>
    <s v="1200000133"/>
    <x v="15"/>
    <x v="0"/>
    <d v="2026-01-16T00:00:00"/>
    <n v="150"/>
    <d v="2026-01-23T00:00:00"/>
    <n v="14.16"/>
    <s v="PEN"/>
    <x v="0"/>
    <m/>
    <m/>
    <m/>
    <d v="2026-01-23T00:00:00"/>
    <n v="4.1819255759007676"/>
    <m/>
    <x v="0"/>
  </r>
  <r>
    <s v="1000013966"/>
    <x v="0"/>
    <s v="1200000141"/>
    <x v="16"/>
    <x v="0"/>
    <d v="2026-01-19T00:00:00"/>
    <n v="147"/>
    <d v="2026-01-26T00:00:00"/>
    <n v="14.16"/>
    <s v="PEN"/>
    <x v="0"/>
    <m/>
    <m/>
    <m/>
    <d v="2026-01-26T00:00:00"/>
    <n v="4.1819255759007676"/>
    <m/>
    <x v="0"/>
  </r>
  <r>
    <s v="2000001028"/>
    <x v="1"/>
    <s v="1300004710"/>
    <x v="17"/>
    <x v="1"/>
    <d v="2026-05-22T00:00:00"/>
    <n v="31"/>
    <d v="2026-05-22T00:00:00"/>
    <n v="109650"/>
    <s v="USD"/>
    <x v="1"/>
    <d v="2026-07-06T00:00:00"/>
    <n v="-14"/>
    <d v="2026-07-06T00:00:00"/>
    <d v="2026-07-06T00:00:00"/>
    <n v="109650"/>
    <n v="31"/>
    <x v="1"/>
  </r>
  <r>
    <s v="2000001028"/>
    <x v="1"/>
    <s v="1200002081"/>
    <x v="18"/>
    <x v="2"/>
    <d v="2026-05-26T00:00:00"/>
    <n v="-18"/>
    <d v="2026-07-10T00:00:00"/>
    <n v="156600"/>
    <s v="USD"/>
    <x v="1"/>
    <d v="2026-07-10T00:00:00"/>
    <n v="-18"/>
    <d v="2026-07-10T00:00:00"/>
    <d v="2026-07-10T00:00:00"/>
    <n v="156600"/>
    <n v="27"/>
    <x v="1"/>
  </r>
  <r>
    <s v="2000001028"/>
    <x v="1"/>
    <s v="1300004722"/>
    <x v="19"/>
    <x v="3"/>
    <d v="2026-05-27T00:00:00"/>
    <n v="0"/>
    <d v="2026-05-31T00:00:00"/>
    <n v="-30220"/>
    <s v="USD"/>
    <x v="1"/>
    <d v="2026-07-11T00:00:00"/>
    <m/>
    <m/>
    <d v="2026-05-31T00:00:00"/>
    <n v="-30220"/>
    <n v="26"/>
    <x v="1"/>
  </r>
  <r>
    <s v="2000001028"/>
    <x v="1"/>
    <s v="1200002135"/>
    <x v="20"/>
    <x v="2"/>
    <d v="2026-05-29T00:00:00"/>
    <n v="-21"/>
    <d v="2026-07-13T00:00:00"/>
    <n v="234900"/>
    <s v="USD"/>
    <x v="1"/>
    <d v="2026-07-13T00:00:00"/>
    <n v="-21"/>
    <d v="2026-07-13T00:00:00"/>
    <d v="2026-07-13T00:00:00"/>
    <n v="234900"/>
    <n v="24"/>
    <x v="1"/>
  </r>
  <r>
    <s v="2000001028"/>
    <x v="1"/>
    <s v="1300004711"/>
    <x v="21"/>
    <x v="1"/>
    <d v="2026-05-29T00:00:00"/>
    <n v="24"/>
    <d v="2026-05-29T00:00:00"/>
    <n v="336990"/>
    <s v="USD"/>
    <x v="1"/>
    <d v="2026-07-13T00:00:00"/>
    <n v="-21"/>
    <d v="2026-07-13T00:00:00"/>
    <d v="2026-07-13T00:00:00"/>
    <n v="336990"/>
    <n v="24"/>
    <x v="1"/>
  </r>
  <r>
    <s v="1000013676"/>
    <x v="2"/>
    <s v="1200001798"/>
    <x v="22"/>
    <x v="4"/>
    <d v="2026-05-17T00:00:00"/>
    <n v="29"/>
    <d v="2026-05-24T00:00:00"/>
    <n v="365.8"/>
    <s v="PEN"/>
    <x v="0"/>
    <m/>
    <m/>
    <m/>
    <d v="2026-05-24T00:00:00"/>
    <n v="108.0330773774365"/>
    <m/>
    <x v="0"/>
  </r>
  <r>
    <s v="1000013676"/>
    <x v="2"/>
    <s v="1200001799"/>
    <x v="23"/>
    <x v="4"/>
    <d v="2026-05-17T00:00:00"/>
    <n v="29"/>
    <d v="2026-05-24T00:00:00"/>
    <n v="47.2"/>
    <s v="PEN"/>
    <x v="0"/>
    <m/>
    <m/>
    <m/>
    <d v="2026-05-24T00:00:00"/>
    <n v="13.939751919669227"/>
    <m/>
    <x v="0"/>
  </r>
  <r>
    <s v="1000013678"/>
    <x v="3"/>
    <s v="1200002424"/>
    <x v="24"/>
    <x v="0"/>
    <d v="2026-06-11T00:00:00"/>
    <n v="4"/>
    <d v="2026-06-18T00:00:00"/>
    <n v="68.400000000000006"/>
    <s v="PEN"/>
    <x v="0"/>
    <m/>
    <m/>
    <m/>
    <d v="2026-06-18T00:00:00"/>
    <n v="20.200826934435913"/>
    <m/>
    <x v="0"/>
  </r>
  <r>
    <s v="1000013678"/>
    <x v="3"/>
    <s v="1200002581"/>
    <x v="25"/>
    <x v="0"/>
    <d v="2026-06-17T00:00:00"/>
    <n v="-2"/>
    <d v="2026-06-24T00:00:00"/>
    <n v="141.6"/>
    <s v="PEN"/>
    <x v="0"/>
    <m/>
    <m/>
    <m/>
    <d v="2026-06-24T00:00:00"/>
    <n v="41.819255759007675"/>
    <m/>
    <x v="0"/>
  </r>
  <r>
    <s v="1000002057"/>
    <x v="4"/>
    <s v="1200002149"/>
    <x v="26"/>
    <x v="0"/>
    <d v="2026-06-01T00:00:00"/>
    <n v="14"/>
    <d v="2026-06-08T00:00:00"/>
    <n v="49.89"/>
    <s v="PEN"/>
    <x v="0"/>
    <m/>
    <m/>
    <m/>
    <d v="2026-06-08T00:00:00"/>
    <n v="14.734199645599528"/>
    <m/>
    <x v="0"/>
  </r>
  <r>
    <s v="1000002057"/>
    <x v="4"/>
    <s v="1200002150"/>
    <x v="27"/>
    <x v="0"/>
    <d v="2026-06-01T00:00:00"/>
    <n v="14"/>
    <d v="2026-06-08T00:00:00"/>
    <n v="106.2"/>
    <s v="PEN"/>
    <x v="0"/>
    <m/>
    <m/>
    <m/>
    <d v="2026-06-08T00:00:00"/>
    <n v="31.364441819255759"/>
    <m/>
    <x v="0"/>
  </r>
  <r>
    <s v="1000002057"/>
    <x v="4"/>
    <s v="1200002207"/>
    <x v="28"/>
    <x v="0"/>
    <d v="2026-06-03T00:00:00"/>
    <n v="12"/>
    <d v="2026-06-10T00:00:00"/>
    <n v="1061.58"/>
    <s v="PEN"/>
    <x v="0"/>
    <m/>
    <m/>
    <m/>
    <d v="2026-06-10T00:00:00"/>
    <n v="313.52037802717069"/>
    <m/>
    <x v="0"/>
  </r>
  <r>
    <s v="1000002057"/>
    <x v="4"/>
    <s v="1200002208"/>
    <x v="29"/>
    <x v="0"/>
    <d v="2026-06-03T00:00:00"/>
    <n v="12"/>
    <d v="2026-06-10T00:00:00"/>
    <n v="460.2"/>
    <s v="PEN"/>
    <x v="0"/>
    <m/>
    <m/>
    <m/>
    <d v="2026-06-10T00:00:00"/>
    <n v="135.91258121677495"/>
    <m/>
    <x v="0"/>
  </r>
  <r>
    <s v="2000001381"/>
    <x v="5"/>
    <s v="1200001893"/>
    <x v="30"/>
    <x v="2"/>
    <d v="2026-05-17T00:00:00"/>
    <n v="-9"/>
    <d v="2026-07-01T00:00:00"/>
    <n v="28150"/>
    <s v="USD"/>
    <x v="1"/>
    <d v="2026-07-01T00:00:00"/>
    <n v="-9"/>
    <d v="2026-07-01T00:00:00"/>
    <d v="2026-07-01T00:00:00"/>
    <n v="28150"/>
    <n v="36"/>
    <x v="1"/>
  </r>
  <r>
    <s v="2000001381"/>
    <x v="5"/>
    <s v="1300004208"/>
    <x v="31"/>
    <x v="1"/>
    <d v="2026-05-17T00:00:00"/>
    <n v="36"/>
    <d v="2026-05-17T00:00:00"/>
    <n v="6821"/>
    <s v="USD"/>
    <x v="1"/>
    <d v="2026-07-01T00:00:00"/>
    <n v="-8"/>
    <d v="2026-06-30T00:00:00"/>
    <d v="2026-06-30T00:00:00"/>
    <n v="6821"/>
    <n v="36"/>
    <x v="1"/>
  </r>
  <r>
    <s v="2000001381"/>
    <x v="5"/>
    <s v="1300004162"/>
    <x v="32"/>
    <x v="1"/>
    <d v="2026-05-19T00:00:00"/>
    <n v="0"/>
    <d v="2026-05-19T00:00:00"/>
    <n v="-361.01"/>
    <s v="USD"/>
    <x v="1"/>
    <d v="2026-07-03T00:00:00"/>
    <n v="46195"/>
    <m/>
    <d v="2026-05-19T00:00:00"/>
    <n v="-361.01"/>
    <n v="34"/>
    <x v="1"/>
  </r>
  <r>
    <s v="1000013754"/>
    <x v="6"/>
    <s v="1200002379"/>
    <x v="33"/>
    <x v="4"/>
    <d v="2026-06-10T00:00:00"/>
    <n v="5"/>
    <d v="2026-06-17T00:00:00"/>
    <n v="495.13"/>
    <s v="PEN"/>
    <x v="0"/>
    <m/>
    <m/>
    <m/>
    <d v="2026-06-17T00:00:00"/>
    <n v="146.22858830478441"/>
    <m/>
    <x v="0"/>
  </r>
  <r>
    <s v="1000013754"/>
    <x v="6"/>
    <s v="1200002380"/>
    <x v="34"/>
    <x v="4"/>
    <d v="2026-06-10T00:00:00"/>
    <n v="5"/>
    <d v="2026-06-17T00:00:00"/>
    <n v="47.2"/>
    <s v="PEN"/>
    <x v="0"/>
    <m/>
    <m/>
    <m/>
    <d v="2026-06-17T00:00:00"/>
    <n v="13.939751919669227"/>
    <m/>
    <x v="0"/>
  </r>
  <r>
    <s v="1000013754"/>
    <x v="6"/>
    <s v="1200002385"/>
    <x v="35"/>
    <x v="4"/>
    <d v="2026-06-10T00:00:00"/>
    <n v="5"/>
    <d v="2026-06-17T00:00:00"/>
    <n v="469.64"/>
    <s v="PEN"/>
    <x v="0"/>
    <m/>
    <m/>
    <m/>
    <d v="2026-06-17T00:00:00"/>
    <n v="138.70053160070879"/>
    <m/>
    <x v="0"/>
  </r>
  <r>
    <s v="1000013754"/>
    <x v="6"/>
    <s v="1200002386"/>
    <x v="36"/>
    <x v="4"/>
    <d v="2026-06-10T00:00:00"/>
    <n v="5"/>
    <d v="2026-06-17T00:00:00"/>
    <n v="47.2"/>
    <s v="PEN"/>
    <x v="0"/>
    <m/>
    <m/>
    <m/>
    <d v="2026-06-17T00:00:00"/>
    <n v="13.939751919669227"/>
    <m/>
    <x v="0"/>
  </r>
  <r>
    <s v="1000013754"/>
    <x v="6"/>
    <s v="1200002399"/>
    <x v="37"/>
    <x v="4"/>
    <d v="2026-06-10T00:00:00"/>
    <n v="5"/>
    <d v="2026-06-17T00:00:00"/>
    <n v="371.7"/>
    <s v="PEN"/>
    <x v="0"/>
    <m/>
    <m/>
    <m/>
    <d v="2026-06-17T00:00:00"/>
    <n v="109.77554636739515"/>
    <m/>
    <x v="0"/>
  </r>
  <r>
    <s v="1000013754"/>
    <x v="6"/>
    <s v="1200002400"/>
    <x v="38"/>
    <x v="4"/>
    <d v="2026-06-10T00:00:00"/>
    <n v="5"/>
    <d v="2026-06-17T00:00:00"/>
    <n v="47.2"/>
    <s v="PEN"/>
    <x v="0"/>
    <m/>
    <m/>
    <m/>
    <d v="2026-06-17T00:00:00"/>
    <n v="13.939751919669227"/>
    <m/>
    <x v="0"/>
  </r>
  <r>
    <s v="1000013754"/>
    <x v="6"/>
    <s v="1200002402"/>
    <x v="39"/>
    <x v="4"/>
    <d v="2026-06-10T00:00:00"/>
    <n v="5"/>
    <d v="2026-06-17T00:00:00"/>
    <n v="217.83"/>
    <s v="PEN"/>
    <x v="0"/>
    <m/>
    <m/>
    <m/>
    <d v="2026-06-17T00:00:00"/>
    <n v="64.332545776727699"/>
    <m/>
    <x v="0"/>
  </r>
  <r>
    <s v="1000013754"/>
    <x v="6"/>
    <s v="1200002403"/>
    <x v="40"/>
    <x v="4"/>
    <d v="2026-06-10T00:00:00"/>
    <n v="5"/>
    <d v="2026-06-17T00:00:00"/>
    <n v="47.2"/>
    <s v="PEN"/>
    <x v="0"/>
    <m/>
    <m/>
    <m/>
    <d v="2026-06-17T00:00:00"/>
    <n v="13.939751919669227"/>
    <m/>
    <x v="0"/>
  </r>
  <r>
    <s v="1000013754"/>
    <x v="6"/>
    <s v="1200002447"/>
    <x v="41"/>
    <x v="4"/>
    <d v="2026-06-12T00:00:00"/>
    <n v="3"/>
    <d v="2026-06-19T00:00:00"/>
    <n v="560.5"/>
    <s v="PEN"/>
    <x v="0"/>
    <m/>
    <m/>
    <m/>
    <d v="2026-06-19T00:00:00"/>
    <n v="165.53455404607206"/>
    <m/>
    <x v="0"/>
  </r>
  <r>
    <s v="1000013754"/>
    <x v="6"/>
    <s v="1200002448"/>
    <x v="42"/>
    <x v="4"/>
    <d v="2026-06-12T00:00:00"/>
    <n v="3"/>
    <d v="2026-06-19T00:00:00"/>
    <n v="94.4"/>
    <s v="PEN"/>
    <x v="0"/>
    <m/>
    <m/>
    <m/>
    <d v="2026-06-19T00:00:00"/>
    <n v="27.879503839338454"/>
    <m/>
    <x v="0"/>
  </r>
  <r>
    <s v="1000013754"/>
    <x v="6"/>
    <s v="1200002454"/>
    <x v="43"/>
    <x v="4"/>
    <d v="2026-06-12T00:00:00"/>
    <n v="3"/>
    <d v="2026-06-19T00:00:00"/>
    <n v="499.85"/>
    <s v="PEN"/>
    <x v="0"/>
    <m/>
    <m/>
    <m/>
    <d v="2026-06-19T00:00:00"/>
    <n v="147.62256349675133"/>
    <m/>
    <x v="0"/>
  </r>
  <r>
    <s v="1000013754"/>
    <x v="6"/>
    <s v="1200002455"/>
    <x v="44"/>
    <x v="4"/>
    <d v="2026-06-12T00:00:00"/>
    <n v="3"/>
    <d v="2026-06-19T00:00:00"/>
    <n v="47.2"/>
    <s v="PEN"/>
    <x v="0"/>
    <m/>
    <m/>
    <m/>
    <d v="2026-06-19T00:00:00"/>
    <n v="13.939751919669227"/>
    <m/>
    <x v="0"/>
  </r>
  <r>
    <s v="1000013754"/>
    <x v="6"/>
    <s v="1200002530"/>
    <x v="45"/>
    <x v="4"/>
    <d v="2026-06-15T00:00:00"/>
    <n v="0"/>
    <d v="2026-06-22T00:00:00"/>
    <n v="339.6"/>
    <s v="PEN"/>
    <x v="0"/>
    <m/>
    <m/>
    <m/>
    <d v="2026-06-22T00:00:00"/>
    <n v="100.29533372711164"/>
    <m/>
    <x v="0"/>
  </r>
  <r>
    <s v="1000013754"/>
    <x v="6"/>
    <s v="1200002531"/>
    <x v="46"/>
    <x v="4"/>
    <d v="2026-06-15T00:00:00"/>
    <n v="0"/>
    <d v="2026-06-22T00:00:00"/>
    <n v="47.2"/>
    <s v="PEN"/>
    <x v="0"/>
    <m/>
    <m/>
    <m/>
    <d v="2026-06-22T00:00:00"/>
    <n v="13.939751919669227"/>
    <m/>
    <x v="0"/>
  </r>
  <r>
    <s v="1000013754"/>
    <x v="6"/>
    <s v="1200002563"/>
    <x v="47"/>
    <x v="4"/>
    <d v="2026-06-16T00:00:00"/>
    <n v="-1"/>
    <d v="2026-06-23T00:00:00"/>
    <n v="360.37"/>
    <s v="PEN"/>
    <x v="0"/>
    <m/>
    <m/>
    <m/>
    <d v="2026-06-23T00:00:00"/>
    <n v="106.42941523922032"/>
    <m/>
    <x v="0"/>
  </r>
  <r>
    <s v="1000013754"/>
    <x v="6"/>
    <s v="1200002564"/>
    <x v="48"/>
    <x v="4"/>
    <d v="2026-06-16T00:00:00"/>
    <n v="-1"/>
    <d v="2026-06-23T00:00:00"/>
    <n v="47.2"/>
    <s v="PEN"/>
    <x v="0"/>
    <m/>
    <m/>
    <m/>
    <d v="2026-06-23T00:00:00"/>
    <n v="13.939751919669227"/>
    <m/>
    <x v="0"/>
  </r>
  <r>
    <s v="2000001368"/>
    <x v="7"/>
    <s v="1300004854"/>
    <x v="49"/>
    <x v="1"/>
    <d v="2026-04-27T00:00:00"/>
    <n v="56"/>
    <d v="2026-04-27T00:00:00"/>
    <n v="15163"/>
    <s v="USD"/>
    <x v="1"/>
    <d v="2026-06-11T00:00:00"/>
    <n v="-8"/>
    <d v="2026-06-30T00:00:00"/>
    <d v="2026-06-30T00:00:00"/>
    <n v="15163"/>
    <n v="56"/>
    <x v="2"/>
  </r>
  <r>
    <s v="2000001441"/>
    <x v="8"/>
    <s v="1300004712"/>
    <x v="50"/>
    <x v="1"/>
    <d v="2026-05-16T00:00:00"/>
    <n v="37"/>
    <d v="2026-05-16T00:00:00"/>
    <n v="37935"/>
    <s v="USD"/>
    <x v="1"/>
    <d v="2026-06-30T00:00:00"/>
    <n v="-8"/>
    <d v="2026-06-30T00:00:00"/>
    <d v="2026-06-30T00:00:00"/>
    <n v="37935"/>
    <n v="37"/>
    <x v="1"/>
  </r>
  <r>
    <s v="2000001361"/>
    <x v="9"/>
    <s v="1300004210"/>
    <x v="51"/>
    <x v="1"/>
    <d v="2026-04-12T00:00:00"/>
    <n v="71"/>
    <d v="2026-04-12T00:00:00"/>
    <n v="16355.92"/>
    <s v="USD"/>
    <x v="1"/>
    <d v="2026-05-27T00:00:00"/>
    <n v="-8"/>
    <d v="2026-06-30T00:00:00"/>
    <d v="2026-06-30T00:00:00"/>
    <n v="16355.92"/>
    <n v="71"/>
    <x v="3"/>
  </r>
  <r>
    <s v="2000001361"/>
    <x v="9"/>
    <s v="1200002007"/>
    <x v="52"/>
    <x v="2"/>
    <d v="2026-05-22T00:00:00"/>
    <n v="-14"/>
    <d v="2026-07-06T00:00:00"/>
    <n v="60536"/>
    <s v="USD"/>
    <x v="1"/>
    <d v="2026-07-06T00:00:00"/>
    <n v="-14"/>
    <d v="2026-07-06T00:00:00"/>
    <d v="2026-07-06T00:00:00"/>
    <n v="60536"/>
    <n v="31"/>
    <x v="1"/>
  </r>
  <r>
    <s v="2000001361"/>
    <x v="9"/>
    <s v="1200002041"/>
    <x v="53"/>
    <x v="2"/>
    <d v="2026-05-26T00:00:00"/>
    <n v="-18"/>
    <d v="2026-07-10T00:00:00"/>
    <n v="74100"/>
    <s v="USD"/>
    <x v="1"/>
    <d v="2026-07-10T00:00:00"/>
    <n v="-18"/>
    <d v="2026-07-10T00:00:00"/>
    <d v="2026-07-10T00:00:00"/>
    <n v="74100"/>
    <n v="27"/>
    <x v="1"/>
  </r>
  <r>
    <s v="2000001439"/>
    <x v="10"/>
    <s v="1300004856"/>
    <x v="54"/>
    <x v="3"/>
    <d v="2026-06-10T00:00:00"/>
    <n v="0"/>
    <d v="2026-06-30T00:00:00"/>
    <n v="-11970"/>
    <s v="USD"/>
    <x v="1"/>
    <d v="2026-07-25T00:00:00"/>
    <m/>
    <m/>
    <d v="2026-06-30T00:00:00"/>
    <n v="-11970"/>
    <n v="12"/>
    <x v="1"/>
  </r>
  <r>
    <s v="2000001398"/>
    <x v="11"/>
    <s v="1300002661"/>
    <x v="55"/>
    <x v="1"/>
    <d v="2026-04-27T00:00:00"/>
    <n v="56"/>
    <d v="2026-04-27T00:00:00"/>
    <n v="19830"/>
    <s v="USD"/>
    <x v="1"/>
    <d v="2026-06-11T00:00:00"/>
    <n v="-8"/>
    <d v="2026-06-30T00:00:00"/>
    <d v="2026-06-30T00:00:00"/>
    <n v="19830"/>
    <n v="56"/>
    <x v="2"/>
  </r>
  <r>
    <s v="2000001398"/>
    <x v="11"/>
    <s v="1300002662"/>
    <x v="56"/>
    <x v="1"/>
    <d v="2026-04-29T00:00:00"/>
    <n v="54"/>
    <d v="2026-04-29T00:00:00"/>
    <n v="36040"/>
    <s v="USD"/>
    <x v="1"/>
    <d v="2026-06-13T00:00:00"/>
    <n v="-8"/>
    <d v="2026-06-30T00:00:00"/>
    <d v="2026-06-30T00:00:00"/>
    <n v="36040"/>
    <n v="54"/>
    <x v="2"/>
  </r>
  <r>
    <s v="2000001398"/>
    <x v="11"/>
    <s v="1200001877"/>
    <x v="57"/>
    <x v="2"/>
    <d v="2026-05-17T00:00:00"/>
    <n v="-9"/>
    <d v="2026-07-01T00:00:00"/>
    <n v="53812.5"/>
    <s v="USD"/>
    <x v="1"/>
    <d v="2026-07-01T00:00:00"/>
    <n v="-9"/>
    <d v="2026-07-01T00:00:00"/>
    <d v="2026-07-01T00:00:00"/>
    <n v="53812.5"/>
    <n v="36"/>
    <x v="1"/>
  </r>
  <r>
    <s v="1000006830"/>
    <x v="12"/>
    <s v="1200002153"/>
    <x v="58"/>
    <x v="0"/>
    <d v="2026-06-01T00:00:00"/>
    <n v="14"/>
    <d v="2026-06-08T00:00:00"/>
    <n v="442.41"/>
    <s v="PEN"/>
    <x v="0"/>
    <m/>
    <m/>
    <m/>
    <d v="2026-06-08T00:00:00"/>
    <n v="130.65859421145896"/>
    <m/>
    <x v="0"/>
  </r>
  <r>
    <s v="1000006830"/>
    <x v="12"/>
    <s v="1200002154"/>
    <x v="59"/>
    <x v="0"/>
    <d v="2026-06-01T00:00:00"/>
    <n v="14"/>
    <d v="2026-06-08T00:00:00"/>
    <n v="159.30000000000001"/>
    <s v="PEN"/>
    <x v="0"/>
    <m/>
    <m/>
    <m/>
    <d v="2026-06-08T00:00:00"/>
    <n v="47.046662728883639"/>
    <m/>
    <x v="0"/>
  </r>
  <r>
    <s v="1000006830"/>
    <x v="12"/>
    <s v="1200002168"/>
    <x v="60"/>
    <x v="0"/>
    <d v="2026-06-01T00:00:00"/>
    <n v="14"/>
    <d v="2026-06-08T00:00:00"/>
    <n v="991.2"/>
    <s v="PEN"/>
    <x v="0"/>
    <m/>
    <m/>
    <m/>
    <d v="2026-06-08T00:00:00"/>
    <n v="292.73479031305374"/>
    <m/>
    <x v="0"/>
  </r>
  <r>
    <s v="1000006830"/>
    <x v="12"/>
    <s v="1200002169"/>
    <x v="61"/>
    <x v="0"/>
    <d v="2026-06-01T00:00:00"/>
    <n v="14"/>
    <d v="2026-06-08T00:00:00"/>
    <n v="106.2"/>
    <s v="PEN"/>
    <x v="0"/>
    <m/>
    <m/>
    <m/>
    <d v="2026-06-08T00:00:00"/>
    <n v="31.364441819255759"/>
    <m/>
    <x v="0"/>
  </r>
  <r>
    <s v="1000006830"/>
    <x v="12"/>
    <s v="1200002197"/>
    <x v="62"/>
    <x v="0"/>
    <d v="2026-06-02T00:00:00"/>
    <n v="13"/>
    <d v="2026-06-09T00:00:00"/>
    <n v="70.8"/>
    <s v="PEN"/>
    <x v="0"/>
    <m/>
    <m/>
    <m/>
    <d v="2026-06-09T00:00:00"/>
    <n v="20.909627879503837"/>
    <m/>
    <x v="0"/>
  </r>
  <r>
    <s v="1000006830"/>
    <x v="12"/>
    <s v="1200002204"/>
    <x v="63"/>
    <x v="0"/>
    <d v="2026-06-02T00:00:00"/>
    <n v="13"/>
    <d v="2026-06-09T00:00:00"/>
    <n v="316.24"/>
    <s v="PEN"/>
    <x v="0"/>
    <m/>
    <m/>
    <m/>
    <d v="2026-06-09T00:00:00"/>
    <n v="93.39633786178382"/>
    <m/>
    <x v="0"/>
  </r>
  <r>
    <s v="1000006830"/>
    <x v="12"/>
    <s v="1200002235"/>
    <x v="64"/>
    <x v="0"/>
    <d v="2026-06-03T00:00:00"/>
    <n v="12"/>
    <d v="2026-06-10T00:00:00"/>
    <n v="1306.97"/>
    <s v="PEN"/>
    <x v="0"/>
    <m/>
    <m/>
    <m/>
    <d v="2026-06-10T00:00:00"/>
    <n v="385.9923213230951"/>
    <m/>
    <x v="0"/>
  </r>
  <r>
    <s v="1000006830"/>
    <x v="12"/>
    <s v="1200002236"/>
    <x v="65"/>
    <x v="0"/>
    <d v="2026-06-03T00:00:00"/>
    <n v="12"/>
    <d v="2026-06-10T00:00:00"/>
    <n v="118"/>
    <s v="PEN"/>
    <x v="0"/>
    <m/>
    <m/>
    <m/>
    <d v="2026-06-10T00:00:00"/>
    <n v="34.849379799173064"/>
    <m/>
    <x v="0"/>
  </r>
  <r>
    <s v="1000006830"/>
    <x v="12"/>
    <s v="1200002251"/>
    <x v="66"/>
    <x v="0"/>
    <d v="2026-06-04T00:00:00"/>
    <n v="11"/>
    <d v="2026-06-11T00:00:00"/>
    <n v="689.21"/>
    <s v="PEN"/>
    <x v="0"/>
    <m/>
    <m/>
    <m/>
    <d v="2026-06-11T00:00:00"/>
    <n v="203.54695806261074"/>
    <m/>
    <x v="0"/>
  </r>
  <r>
    <s v="1000006830"/>
    <x v="12"/>
    <s v="1200002252"/>
    <x v="67"/>
    <x v="0"/>
    <d v="2026-06-04T00:00:00"/>
    <n v="11"/>
    <d v="2026-06-11T00:00:00"/>
    <n v="194.7"/>
    <s v="PEN"/>
    <x v="0"/>
    <m/>
    <m/>
    <m/>
    <d v="2026-06-11T00:00:00"/>
    <n v="57.501476668635554"/>
    <m/>
    <x v="0"/>
  </r>
  <r>
    <s v="1000006830"/>
    <x v="12"/>
    <s v="1200002255"/>
    <x v="68"/>
    <x v="0"/>
    <d v="2026-06-04T00:00:00"/>
    <n v="11"/>
    <d v="2026-06-11T00:00:00"/>
    <n v="589.29"/>
    <s v="PEN"/>
    <x v="0"/>
    <m/>
    <m/>
    <m/>
    <d v="2026-06-11T00:00:00"/>
    <n v="174.03721204961604"/>
    <m/>
    <x v="0"/>
  </r>
  <r>
    <s v="1000006830"/>
    <x v="12"/>
    <s v="1200002256"/>
    <x v="69"/>
    <x v="0"/>
    <d v="2026-06-04T00:00:00"/>
    <n v="11"/>
    <d v="2026-06-11T00:00:00"/>
    <n v="70.8"/>
    <s v="PEN"/>
    <x v="0"/>
    <m/>
    <m/>
    <m/>
    <d v="2026-06-11T00:00:00"/>
    <n v="20.909627879503837"/>
    <m/>
    <x v="0"/>
  </r>
  <r>
    <s v="1000006830"/>
    <x v="12"/>
    <s v="1200002263"/>
    <x v="70"/>
    <x v="0"/>
    <d v="2026-06-04T00:00:00"/>
    <n v="11"/>
    <d v="2026-06-11T00:00:00"/>
    <n v="415.97"/>
    <s v="PEN"/>
    <x v="0"/>
    <m/>
    <m/>
    <m/>
    <d v="2026-06-11T00:00:00"/>
    <n v="122.8499704666273"/>
    <m/>
    <x v="0"/>
  </r>
  <r>
    <s v="1000006830"/>
    <x v="12"/>
    <s v="1200002264"/>
    <x v="71"/>
    <x v="0"/>
    <d v="2026-06-04T00:00:00"/>
    <n v="11"/>
    <d v="2026-06-11T00:00:00"/>
    <n v="135.69999999999999"/>
    <s v="PEN"/>
    <x v="0"/>
    <m/>
    <m/>
    <m/>
    <d v="2026-06-11T00:00:00"/>
    <n v="40.076786769049022"/>
    <m/>
    <x v="0"/>
  </r>
  <r>
    <s v="1000006830"/>
    <x v="12"/>
    <s v="1200002314"/>
    <x v="72"/>
    <x v="0"/>
    <d v="2026-06-08T00:00:00"/>
    <n v="7"/>
    <d v="2026-06-15T00:00:00"/>
    <n v="352.54"/>
    <s v="PEN"/>
    <x v="0"/>
    <m/>
    <m/>
    <m/>
    <d v="2026-06-15T00:00:00"/>
    <n v="104.1169521559362"/>
    <m/>
    <x v="0"/>
  </r>
  <r>
    <s v="1000006830"/>
    <x v="12"/>
    <s v="1200002315"/>
    <x v="73"/>
    <x v="0"/>
    <d v="2026-06-08T00:00:00"/>
    <n v="7"/>
    <d v="2026-06-15T00:00:00"/>
    <n v="153.4"/>
    <s v="PEN"/>
    <x v="0"/>
    <m/>
    <m/>
    <m/>
    <d v="2026-06-15T00:00:00"/>
    <n v="45.304193738924987"/>
    <m/>
    <x v="0"/>
  </r>
  <r>
    <s v="1000006830"/>
    <x v="12"/>
    <s v="1200002375"/>
    <x v="74"/>
    <x v="0"/>
    <d v="2026-06-10T00:00:00"/>
    <n v="5"/>
    <d v="2026-06-17T00:00:00"/>
    <n v="880.28"/>
    <s v="PEN"/>
    <x v="0"/>
    <m/>
    <m/>
    <m/>
    <d v="2026-06-17T00:00:00"/>
    <n v="259.97637330183107"/>
    <m/>
    <x v="0"/>
  </r>
  <r>
    <s v="1000006830"/>
    <x v="12"/>
    <s v="1200002376"/>
    <x v="75"/>
    <x v="0"/>
    <d v="2026-06-10T00:00:00"/>
    <n v="5"/>
    <d v="2026-06-17T00:00:00"/>
    <n v="118"/>
    <s v="PEN"/>
    <x v="0"/>
    <m/>
    <m/>
    <m/>
    <d v="2026-06-17T00:00:00"/>
    <n v="34.849379799173064"/>
    <m/>
    <x v="0"/>
  </r>
  <r>
    <s v="1000006830"/>
    <x v="12"/>
    <s v="1200002418"/>
    <x v="76"/>
    <x v="0"/>
    <d v="2026-06-11T00:00:00"/>
    <n v="4"/>
    <d v="2026-06-18T00:00:00"/>
    <n v="308.69"/>
    <s v="PEN"/>
    <x v="0"/>
    <m/>
    <m/>
    <m/>
    <d v="2026-06-18T00:00:00"/>
    <n v="91.166568222090959"/>
    <m/>
    <x v="0"/>
  </r>
  <r>
    <s v="1000006830"/>
    <x v="12"/>
    <s v="1200002419"/>
    <x v="77"/>
    <x v="0"/>
    <d v="2026-06-11T00:00:00"/>
    <n v="4"/>
    <d v="2026-06-18T00:00:00"/>
    <n v="70.8"/>
    <s v="PEN"/>
    <x v="0"/>
    <m/>
    <m/>
    <m/>
    <d v="2026-06-18T00:00:00"/>
    <n v="20.909627879503837"/>
    <m/>
    <x v="0"/>
  </r>
  <r>
    <s v="1000006830"/>
    <x v="12"/>
    <s v="1200002439"/>
    <x v="78"/>
    <x v="0"/>
    <d v="2026-06-11T00:00:00"/>
    <n v="4"/>
    <d v="2026-06-18T00:00:00"/>
    <n v="553.75"/>
    <s v="PEN"/>
    <x v="0"/>
    <m/>
    <m/>
    <m/>
    <d v="2026-06-18T00:00:00"/>
    <n v="163.54105138806852"/>
    <m/>
    <x v="0"/>
  </r>
  <r>
    <s v="1000006830"/>
    <x v="12"/>
    <s v="1200002440"/>
    <x v="79"/>
    <x v="0"/>
    <d v="2026-06-11T00:00:00"/>
    <n v="4"/>
    <d v="2026-06-18T00:00:00"/>
    <n v="177"/>
    <s v="PEN"/>
    <x v="0"/>
    <m/>
    <m/>
    <m/>
    <d v="2026-06-18T00:00:00"/>
    <n v="52.274069698759597"/>
    <m/>
    <x v="0"/>
  </r>
  <r>
    <s v="1000006830"/>
    <x v="12"/>
    <s v="1200002464"/>
    <x v="80"/>
    <x v="0"/>
    <d v="2026-06-12T00:00:00"/>
    <n v="3"/>
    <d v="2026-06-19T00:00:00"/>
    <n v="731.84"/>
    <s v="PEN"/>
    <x v="0"/>
    <m/>
    <m/>
    <m/>
    <d v="2026-06-19T00:00:00"/>
    <n v="216.1370348493798"/>
    <m/>
    <x v="0"/>
  </r>
  <r>
    <s v="1000006830"/>
    <x v="12"/>
    <s v="1200002465"/>
    <x v="81"/>
    <x v="0"/>
    <d v="2026-06-12T00:00:00"/>
    <n v="3"/>
    <d v="2026-06-19T00:00:00"/>
    <n v="70.8"/>
    <s v="PEN"/>
    <x v="0"/>
    <m/>
    <m/>
    <m/>
    <d v="2026-06-19T00:00:00"/>
    <n v="20.909627879503837"/>
    <m/>
    <x v="0"/>
  </r>
  <r>
    <s v="1000006830"/>
    <x v="12"/>
    <s v="1200002467"/>
    <x v="82"/>
    <x v="0"/>
    <d v="2026-06-12T00:00:00"/>
    <n v="3"/>
    <d v="2026-06-19T00:00:00"/>
    <n v="296.89"/>
    <s v="PEN"/>
    <x v="0"/>
    <m/>
    <m/>
    <m/>
    <d v="2026-06-19T00:00:00"/>
    <n v="87.681630242173654"/>
    <m/>
    <x v="0"/>
  </r>
  <r>
    <s v="1000006830"/>
    <x v="12"/>
    <s v="1200002468"/>
    <x v="83"/>
    <x v="0"/>
    <d v="2026-06-12T00:00:00"/>
    <n v="3"/>
    <d v="2026-06-19T00:00:00"/>
    <n v="35.4"/>
    <s v="PEN"/>
    <x v="0"/>
    <m/>
    <m/>
    <m/>
    <d v="2026-06-19T00:00:00"/>
    <n v="10.454813939751919"/>
    <m/>
    <x v="0"/>
  </r>
  <r>
    <s v="1000006830"/>
    <x v="12"/>
    <s v="1200002512"/>
    <x v="84"/>
    <x v="0"/>
    <d v="2026-06-13T00:00:00"/>
    <n v="2"/>
    <d v="2026-06-20T00:00:00"/>
    <n v="616.20000000000005"/>
    <s v="PEN"/>
    <x v="0"/>
    <m/>
    <m/>
    <m/>
    <d v="2026-06-20T00:00:00"/>
    <n v="181.9846426461902"/>
    <m/>
    <x v="0"/>
  </r>
  <r>
    <s v="1000006830"/>
    <x v="12"/>
    <s v="1200002513"/>
    <x v="85"/>
    <x v="0"/>
    <d v="2026-06-13T00:00:00"/>
    <n v="2"/>
    <d v="2026-06-20T00:00:00"/>
    <n v="194.7"/>
    <s v="PEN"/>
    <x v="0"/>
    <m/>
    <m/>
    <m/>
    <d v="2026-06-20T00:00:00"/>
    <n v="57.501476668635554"/>
    <m/>
    <x v="0"/>
  </r>
  <r>
    <s v="1000006830"/>
    <x v="12"/>
    <s v="1200002523"/>
    <x v="86"/>
    <x v="0"/>
    <d v="2026-06-14T00:00:00"/>
    <n v="1"/>
    <d v="2026-06-21T00:00:00"/>
    <n v="952.5"/>
    <s v="PEN"/>
    <x v="0"/>
    <m/>
    <m/>
    <m/>
    <d v="2026-06-21T00:00:00"/>
    <n v="281.30537507383343"/>
    <m/>
    <x v="0"/>
  </r>
  <r>
    <s v="1000006830"/>
    <x v="12"/>
    <s v="1200002524"/>
    <x v="87"/>
    <x v="0"/>
    <d v="2026-06-14T00:00:00"/>
    <n v="1"/>
    <d v="2026-06-21T00:00:00"/>
    <n v="118"/>
    <s v="PEN"/>
    <x v="0"/>
    <m/>
    <m/>
    <m/>
    <d v="2026-06-21T00:00:00"/>
    <n v="34.849379799173064"/>
    <m/>
    <x v="0"/>
  </r>
  <r>
    <s v="1000006830"/>
    <x v="12"/>
    <s v="1200002558"/>
    <x v="88"/>
    <x v="0"/>
    <d v="2026-06-16T00:00:00"/>
    <n v="-1"/>
    <d v="2026-06-23T00:00:00"/>
    <n v="402.14"/>
    <s v="PEN"/>
    <x v="0"/>
    <m/>
    <m/>
    <m/>
    <d v="2026-06-23T00:00:00"/>
    <n v="118.76550502067336"/>
    <m/>
    <x v="0"/>
  </r>
  <r>
    <s v="1000006830"/>
    <x v="12"/>
    <s v="1200002559"/>
    <x v="89"/>
    <x v="0"/>
    <d v="2026-06-16T00:00:00"/>
    <n v="-1"/>
    <d v="2026-06-23T00:00:00"/>
    <n v="47.2"/>
    <s v="PEN"/>
    <x v="0"/>
    <m/>
    <m/>
    <m/>
    <d v="2026-06-23T00:00:00"/>
    <n v="13.939751919669227"/>
    <m/>
    <x v="0"/>
  </r>
  <r>
    <s v="1000006830"/>
    <x v="12"/>
    <s v="1200002575"/>
    <x v="90"/>
    <x v="0"/>
    <d v="2026-06-17T00:00:00"/>
    <n v="-2"/>
    <d v="2026-06-24T00:00:00"/>
    <n v="763.88"/>
    <s v="PEN"/>
    <x v="0"/>
    <m/>
    <m/>
    <m/>
    <d v="2026-06-24T00:00:00"/>
    <n v="225.59952746603662"/>
    <m/>
    <x v="0"/>
  </r>
  <r>
    <s v="1000006830"/>
    <x v="12"/>
    <s v="1200002576"/>
    <x v="91"/>
    <x v="0"/>
    <d v="2026-06-17T00:00:00"/>
    <n v="-2"/>
    <d v="2026-06-24T00:00:00"/>
    <n v="177"/>
    <s v="PEN"/>
    <x v="0"/>
    <m/>
    <m/>
    <m/>
    <d v="2026-06-24T00:00:00"/>
    <n v="52.274069698759597"/>
    <m/>
    <x v="0"/>
  </r>
  <r>
    <s v="1000006830"/>
    <x v="12"/>
    <s v="1200002612"/>
    <x v="92"/>
    <x v="0"/>
    <d v="2026-06-19T00:00:00"/>
    <n v="-4"/>
    <d v="2026-06-26T00:00:00"/>
    <n v="372.41"/>
    <s v="PEN"/>
    <x v="0"/>
    <m/>
    <m/>
    <m/>
    <d v="2026-06-26T00:00:00"/>
    <n v="109.98523331364443"/>
    <m/>
    <x v="0"/>
  </r>
  <r>
    <s v="1000006830"/>
    <x v="12"/>
    <s v="1200002613"/>
    <x v="93"/>
    <x v="0"/>
    <d v="2026-06-19T00:00:00"/>
    <n v="-4"/>
    <d v="2026-06-26T00:00:00"/>
    <n v="47.2"/>
    <s v="PEN"/>
    <x v="0"/>
    <m/>
    <m/>
    <m/>
    <d v="2026-06-26T00:00:00"/>
    <n v="13.939751919669227"/>
    <m/>
    <x v="0"/>
  </r>
  <r>
    <s v="1000006830"/>
    <x v="12"/>
    <s v="1200002624"/>
    <x v="94"/>
    <x v="0"/>
    <d v="2026-06-20T00:00:00"/>
    <n v="-5"/>
    <d v="2026-06-27T00:00:00"/>
    <n v="687.89"/>
    <s v="PEN"/>
    <x v="0"/>
    <m/>
    <m/>
    <m/>
    <d v="2026-06-27T00:00:00"/>
    <n v="203.15711754282339"/>
    <m/>
    <x v="0"/>
  </r>
  <r>
    <s v="1000006830"/>
    <x v="12"/>
    <s v="1200002625"/>
    <x v="95"/>
    <x v="0"/>
    <d v="2026-06-20T00:00:00"/>
    <n v="-5"/>
    <d v="2026-06-27T00:00:00"/>
    <n v="194.7"/>
    <s v="PEN"/>
    <x v="0"/>
    <m/>
    <m/>
    <m/>
    <d v="2026-06-27T00:00:00"/>
    <n v="57.501476668635554"/>
    <m/>
    <x v="0"/>
  </r>
  <r>
    <s v="2000001459"/>
    <x v="13"/>
    <s v="1300004230"/>
    <x v="96"/>
    <x v="3"/>
    <d v="2026-05-26T00:00:00"/>
    <n v="0"/>
    <d v="2026-05-31T00:00:00"/>
    <n v="-34580"/>
    <s v="USD"/>
    <x v="1"/>
    <d v="2026-07-10T00:00:00"/>
    <m/>
    <m/>
    <d v="2026-05-31T00:00:00"/>
    <n v="-34580"/>
    <n v="27"/>
    <x v="1"/>
  </r>
  <r>
    <s v="2000001172"/>
    <x v="14"/>
    <s v="1300004713"/>
    <x v="32"/>
    <x v="1"/>
    <d v="2026-04-28T00:00:00"/>
    <n v="0"/>
    <d v="2026-04-28T00:00:00"/>
    <n v="-1504"/>
    <s v="USD"/>
    <x v="1"/>
    <d v="2026-06-12T00:00:00"/>
    <m/>
    <m/>
    <d v="2026-04-28T00:00:00"/>
    <n v="-1504"/>
    <n v="55"/>
    <x v="2"/>
  </r>
  <r>
    <s v="2000001172"/>
    <x v="14"/>
    <s v="1300004024"/>
    <x v="97"/>
    <x v="3"/>
    <d v="2026-05-13T00:00:00"/>
    <n v="0"/>
    <d v="2026-05-31T00:00:00"/>
    <n v="-36370"/>
    <s v="USD"/>
    <x v="1"/>
    <d v="2026-06-27T00:00:00"/>
    <m/>
    <m/>
    <d v="2026-05-31T00:00:00"/>
    <n v="-36370"/>
    <n v="40"/>
    <x v="1"/>
  </r>
  <r>
    <s v="2000001172"/>
    <x v="14"/>
    <s v="1200002324"/>
    <x v="98"/>
    <x v="2"/>
    <d v="2026-06-05T00:00:00"/>
    <n v="-28"/>
    <d v="2026-07-20T00:00:00"/>
    <n v="35224"/>
    <s v="USD"/>
    <x v="1"/>
    <d v="2026-07-20T00:00:00"/>
    <n v="-28"/>
    <d v="2026-07-20T00:00:00"/>
    <d v="2026-07-20T00:00:00"/>
    <n v="35224"/>
    <n v="17"/>
    <x v="1"/>
  </r>
  <r>
    <s v="2000001172"/>
    <x v="14"/>
    <s v="1300004844"/>
    <x v="99"/>
    <x v="3"/>
    <d v="2026-06-08T00:00:00"/>
    <n v="0"/>
    <d v="2026-06-30T00:00:00"/>
    <n v="-33677"/>
    <s v="USD"/>
    <x v="1"/>
    <d v="2026-07-23T00:00:00"/>
    <m/>
    <m/>
    <d v="2026-06-30T00:00:00"/>
    <n v="-33677"/>
    <n v="14"/>
    <x v="1"/>
  </r>
  <r>
    <s v="2000001172"/>
    <x v="14"/>
    <s v="1300004857"/>
    <x v="100"/>
    <x v="3"/>
    <d v="2026-06-11T00:00:00"/>
    <n v="0"/>
    <d v="2026-06-30T00:00:00"/>
    <n v="-20250"/>
    <s v="USD"/>
    <x v="1"/>
    <d v="2026-07-26T00:00:00"/>
    <m/>
    <m/>
    <d v="2026-06-30T00:00:00"/>
    <n v="-20250"/>
    <n v="11"/>
    <x v="1"/>
  </r>
  <r>
    <s v="2000000231"/>
    <x v="15"/>
    <s v="1200001730"/>
    <x v="101"/>
    <x v="2"/>
    <d v="2026-05-12T00:00:00"/>
    <n v="-4"/>
    <d v="2026-06-26T00:00:00"/>
    <n v="420417"/>
    <s v="USD"/>
    <x v="1"/>
    <d v="2026-06-26T00:00:00"/>
    <n v="-4"/>
    <d v="2026-06-26T00:00:00"/>
    <d v="2026-06-26T00:00:00"/>
    <n v="420417"/>
    <n v="41"/>
    <x v="1"/>
  </r>
  <r>
    <s v="2000000231"/>
    <x v="15"/>
    <s v="1200001990"/>
    <x v="102"/>
    <x v="2"/>
    <d v="2026-05-22T00:00:00"/>
    <n v="-14"/>
    <d v="2026-07-06T00:00:00"/>
    <n v="103806"/>
    <s v="USD"/>
    <x v="1"/>
    <d v="2026-07-06T00:00:00"/>
    <n v="-14"/>
    <d v="2026-07-06T00:00:00"/>
    <d v="2026-07-06T00:00:00"/>
    <n v="103806"/>
    <n v="31"/>
    <x v="1"/>
  </r>
  <r>
    <s v="2000000231"/>
    <x v="15"/>
    <s v="1200002034"/>
    <x v="103"/>
    <x v="2"/>
    <d v="2026-05-24T00:00:00"/>
    <n v="-16"/>
    <d v="2026-07-08T00:00:00"/>
    <n v="104872.5"/>
    <s v="USD"/>
    <x v="1"/>
    <d v="2026-07-08T00:00:00"/>
    <n v="-16"/>
    <d v="2026-07-08T00:00:00"/>
    <d v="2026-07-08T00:00:00"/>
    <n v="104872.5"/>
    <n v="29"/>
    <x v="1"/>
  </r>
  <r>
    <s v="2000000231"/>
    <x v="15"/>
    <s v="1300004860"/>
    <x v="104"/>
    <x v="1"/>
    <d v="2026-05-24T00:00:00"/>
    <n v="29"/>
    <d v="2026-05-24T00:00:00"/>
    <n v="157950"/>
    <s v="USD"/>
    <x v="1"/>
    <d v="2026-07-08T00:00:00"/>
    <n v="-16"/>
    <d v="2026-07-08T00:00:00"/>
    <d v="2026-07-08T00:00:00"/>
    <n v="157950"/>
    <n v="29"/>
    <x v="1"/>
  </r>
  <r>
    <s v="2000000231"/>
    <x v="15"/>
    <s v="1200002130"/>
    <x v="105"/>
    <x v="2"/>
    <d v="2026-05-29T00:00:00"/>
    <n v="-21"/>
    <d v="2026-07-13T00:00:00"/>
    <n v="104161.5"/>
    <s v="USD"/>
    <x v="1"/>
    <d v="2026-07-13T00:00:00"/>
    <n v="-21"/>
    <d v="2026-07-13T00:00:00"/>
    <d v="2026-07-13T00:00:00"/>
    <n v="104161.5"/>
    <n v="24"/>
    <x v="1"/>
  </r>
  <r>
    <s v="2000000231"/>
    <x v="15"/>
    <s v="1200002133"/>
    <x v="106"/>
    <x v="2"/>
    <d v="2026-05-29T00:00:00"/>
    <n v="-21"/>
    <d v="2026-07-13T00:00:00"/>
    <n v="105300"/>
    <s v="USD"/>
    <x v="1"/>
    <d v="2026-07-13T00:00:00"/>
    <n v="-21"/>
    <d v="2026-07-13T00:00:00"/>
    <d v="2026-07-13T00:00:00"/>
    <n v="105300"/>
    <n v="24"/>
    <x v="1"/>
  </r>
  <r>
    <s v="2000000231"/>
    <x v="15"/>
    <s v="1200002635"/>
    <x v="107"/>
    <x v="2"/>
    <d v="2026-06-19T00:00:00"/>
    <n v="-42"/>
    <d v="2026-08-03T00:00:00"/>
    <n v="421200"/>
    <s v="USD"/>
    <x v="1"/>
    <d v="2026-08-03T00:00:00"/>
    <m/>
    <m/>
    <d v="2026-08-03T00:00:00"/>
    <n v="421200"/>
    <n v="3"/>
    <x v="1"/>
  </r>
  <r>
    <s v="2000000233"/>
    <x v="16"/>
    <s v="1300004714"/>
    <x v="108"/>
    <x v="1"/>
    <d v="2026-05-24T00:00:00"/>
    <n v="29"/>
    <d v="2026-05-24T00:00:00"/>
    <n v="212594"/>
    <s v="USD"/>
    <x v="1"/>
    <d v="2026-07-08T00:00:00"/>
    <n v="-16"/>
    <d v="2026-07-08T00:00:00"/>
    <d v="2026-07-08T00:00:00"/>
    <n v="212594"/>
    <n v="29"/>
    <x v="1"/>
  </r>
  <r>
    <s v="2000000233"/>
    <x v="16"/>
    <s v="1200002140"/>
    <x v="109"/>
    <x v="2"/>
    <d v="2026-05-29T00:00:00"/>
    <n v="-21"/>
    <d v="2026-07-13T00:00:00"/>
    <n v="54540"/>
    <s v="USD"/>
    <x v="1"/>
    <d v="2026-07-13T00:00:00"/>
    <n v="-21"/>
    <d v="2026-07-13T00:00:00"/>
    <d v="2026-07-13T00:00:00"/>
    <n v="54540"/>
    <n v="24"/>
    <x v="1"/>
  </r>
  <r>
    <s v="2000000233"/>
    <x v="16"/>
    <s v="1300004855"/>
    <x v="110"/>
    <x v="3"/>
    <d v="2026-06-09T00:00:00"/>
    <n v="0"/>
    <d v="2026-06-30T00:00:00"/>
    <n v="-159925"/>
    <s v="USD"/>
    <x v="1"/>
    <d v="2026-07-24T00:00:00"/>
    <m/>
    <m/>
    <d v="2026-06-30T00:00:00"/>
    <n v="-159925"/>
    <n v="13"/>
    <x v="1"/>
  </r>
  <r>
    <s v="2000000233"/>
    <x v="16"/>
    <s v="1200002541"/>
    <x v="111"/>
    <x v="2"/>
    <d v="2026-06-13T00:00:00"/>
    <n v="-36"/>
    <d v="2026-07-28T00:00:00"/>
    <n v="113004"/>
    <s v="USD"/>
    <x v="1"/>
    <d v="2026-07-28T00:00:00"/>
    <m/>
    <m/>
    <d v="2026-07-28T00:00:00"/>
    <n v="113004"/>
    <n v="9"/>
    <x v="1"/>
  </r>
  <r>
    <s v="2000001409"/>
    <x v="17"/>
    <s v="1300004861"/>
    <x v="112"/>
    <x v="1"/>
    <d v="2026-04-29T00:00:00"/>
    <n v="54"/>
    <d v="2026-04-29T00:00:00"/>
    <n v="254390"/>
    <s v="USD"/>
    <x v="1"/>
    <d v="2026-06-13T00:00:00"/>
    <n v="-8"/>
    <d v="2026-06-30T00:00:00"/>
    <d v="2026-06-30T00:00:00"/>
    <n v="254390"/>
    <n v="54"/>
    <x v="2"/>
  </r>
  <r>
    <s v="2000001409"/>
    <x v="17"/>
    <s v="1200001874"/>
    <x v="113"/>
    <x v="2"/>
    <d v="2026-05-17T00:00:00"/>
    <n v="-9"/>
    <d v="2026-07-01T00:00:00"/>
    <n v="113820"/>
    <s v="USD"/>
    <x v="1"/>
    <d v="2026-07-01T00:00:00"/>
    <n v="-9"/>
    <d v="2026-07-01T00:00:00"/>
    <d v="2026-07-01T00:00:00"/>
    <n v="113820"/>
    <n v="36"/>
    <x v="1"/>
  </r>
  <r>
    <s v="2000001409"/>
    <x v="17"/>
    <s v="1200001989"/>
    <x v="114"/>
    <x v="2"/>
    <d v="2026-05-22T00:00:00"/>
    <n v="-14"/>
    <d v="2026-07-06T00:00:00"/>
    <n v="56280"/>
    <s v="USD"/>
    <x v="1"/>
    <d v="2026-07-06T00:00:00"/>
    <n v="-14"/>
    <d v="2026-07-06T00:00:00"/>
    <d v="2026-07-06T00:00:00"/>
    <n v="56280"/>
    <n v="31"/>
    <x v="1"/>
  </r>
  <r>
    <s v="2000001409"/>
    <x v="17"/>
    <s v="1200002038"/>
    <x v="115"/>
    <x v="2"/>
    <d v="2026-05-24T00:00:00"/>
    <n v="-16"/>
    <d v="2026-07-08T00:00:00"/>
    <n v="113400"/>
    <s v="USD"/>
    <x v="1"/>
    <d v="2026-07-08T00:00:00"/>
    <n v="-16"/>
    <d v="2026-07-08T00:00:00"/>
    <d v="2026-07-08T00:00:00"/>
    <n v="113400"/>
    <n v="29"/>
    <x v="1"/>
  </r>
  <r>
    <s v="2000001409"/>
    <x v="17"/>
    <s v="1200002132"/>
    <x v="116"/>
    <x v="2"/>
    <d v="2026-05-29T00:00:00"/>
    <n v="-21"/>
    <d v="2026-07-13T00:00:00"/>
    <n v="56700"/>
    <s v="USD"/>
    <x v="1"/>
    <d v="2026-07-13T00:00:00"/>
    <n v="-21"/>
    <d v="2026-07-13T00:00:00"/>
    <d v="2026-07-13T00:00:00"/>
    <n v="56700"/>
    <n v="24"/>
    <x v="1"/>
  </r>
  <r>
    <s v="6002007"/>
    <x v="18"/>
    <s v="1200005141"/>
    <x v="117"/>
    <x v="0"/>
    <d v="2025-11-03T00:00:00"/>
    <n v="224"/>
    <d v="2025-11-10T00:00:00"/>
    <n v="1403.26"/>
    <s v="PEN"/>
    <x v="2"/>
    <m/>
    <m/>
    <m/>
    <d v="2025-11-10T00:00:00"/>
    <n v="414.43000590667452"/>
    <m/>
    <x v="0"/>
  </r>
  <r>
    <s v="6002007"/>
    <x v="18"/>
    <s v="1200005142"/>
    <x v="118"/>
    <x v="0"/>
    <d v="2025-11-03T00:00:00"/>
    <n v="224"/>
    <d v="2025-11-10T00:00:00"/>
    <n v="141.6"/>
    <s v="PEN"/>
    <x v="2"/>
    <m/>
    <m/>
    <m/>
    <d v="2025-11-10T00:00:00"/>
    <n v="41.819255759007675"/>
    <m/>
    <x v="0"/>
  </r>
  <r>
    <s v="6002007"/>
    <x v="18"/>
    <s v="1200005158"/>
    <x v="119"/>
    <x v="0"/>
    <d v="2025-11-06T00:00:00"/>
    <n v="221"/>
    <d v="2025-11-13T00:00:00"/>
    <n v="1193.22"/>
    <s v="PEN"/>
    <x v="2"/>
    <m/>
    <m/>
    <m/>
    <d v="2025-11-13T00:00:00"/>
    <n v="352.39810986414648"/>
    <m/>
    <x v="0"/>
  </r>
  <r>
    <s v="6002007"/>
    <x v="18"/>
    <s v="1200005159"/>
    <x v="120"/>
    <x v="0"/>
    <d v="2025-11-06T00:00:00"/>
    <n v="221"/>
    <d v="2025-11-13T00:00:00"/>
    <n v="106.2"/>
    <s v="PEN"/>
    <x v="2"/>
    <m/>
    <m/>
    <m/>
    <d v="2025-11-13T00:00:00"/>
    <n v="31.364441819255759"/>
    <m/>
    <x v="0"/>
  </r>
  <r>
    <s v="6002007"/>
    <x v="18"/>
    <s v="1200001503"/>
    <x v="121"/>
    <x v="0"/>
    <d v="2026-05-06T00:00:00"/>
    <n v="40"/>
    <d v="2026-05-13T00:00:00"/>
    <n v="23.6"/>
    <s v="PEN"/>
    <x v="2"/>
    <m/>
    <m/>
    <m/>
    <d v="2026-05-13T00:00:00"/>
    <n v="6.9698759598346136"/>
    <m/>
    <x v="0"/>
  </r>
  <r>
    <s v="6002007"/>
    <x v="18"/>
    <s v="1200001504"/>
    <x v="122"/>
    <x v="0"/>
    <d v="2026-05-06T00:00:00"/>
    <n v="40"/>
    <d v="2026-05-13T00:00:00"/>
    <n v="261.49"/>
    <s v="PEN"/>
    <x v="2"/>
    <m/>
    <m/>
    <m/>
    <d v="2026-05-13T00:00:00"/>
    <n v="77.226816302421739"/>
    <m/>
    <x v="0"/>
  </r>
  <r>
    <s v="6002007"/>
    <x v="18"/>
    <s v="1200001509"/>
    <x v="123"/>
    <x v="0"/>
    <d v="2026-05-06T00:00:00"/>
    <n v="40"/>
    <d v="2026-05-13T00:00:00"/>
    <n v="387.51"/>
    <s v="PEN"/>
    <x v="2"/>
    <m/>
    <m/>
    <m/>
    <d v="2026-05-13T00:00:00"/>
    <n v="114.44477259303012"/>
    <m/>
    <x v="0"/>
  </r>
  <r>
    <s v="6002007"/>
    <x v="18"/>
    <s v="1200001510"/>
    <x v="124"/>
    <x v="0"/>
    <d v="2026-05-06T00:00:00"/>
    <n v="40"/>
    <d v="2026-05-13T00:00:00"/>
    <n v="35.4"/>
    <s v="PEN"/>
    <x v="2"/>
    <m/>
    <m/>
    <m/>
    <d v="2026-05-13T00:00:00"/>
    <n v="10.454813939751919"/>
    <m/>
    <x v="0"/>
  </r>
  <r>
    <s v="6002007"/>
    <x v="18"/>
    <s v="1200001609"/>
    <x v="125"/>
    <x v="0"/>
    <d v="2026-05-12T00:00:00"/>
    <n v="34"/>
    <d v="2026-05-19T00:00:00"/>
    <n v="482.86"/>
    <s v="PEN"/>
    <x v="2"/>
    <m/>
    <m/>
    <m/>
    <d v="2026-05-19T00:00:00"/>
    <n v="142.60484347312462"/>
    <m/>
    <x v="0"/>
  </r>
  <r>
    <s v="6002007"/>
    <x v="18"/>
    <s v="1200001610"/>
    <x v="126"/>
    <x v="0"/>
    <d v="2026-05-12T00:00:00"/>
    <n v="34"/>
    <d v="2026-05-19T00:00:00"/>
    <n v="47.2"/>
    <s v="PEN"/>
    <x v="2"/>
    <m/>
    <m/>
    <m/>
    <d v="2026-05-19T00:00:00"/>
    <n v="13.939751919669227"/>
    <m/>
    <x v="0"/>
  </r>
  <r>
    <s v="6002007"/>
    <x v="18"/>
    <s v="1200001789"/>
    <x v="127"/>
    <x v="0"/>
    <d v="2026-05-16T00:00:00"/>
    <n v="30"/>
    <d v="2026-05-23T00:00:00"/>
    <n v="544.45000000000005"/>
    <s v="PEN"/>
    <x v="2"/>
    <m/>
    <m/>
    <m/>
    <d v="2026-05-23T00:00:00"/>
    <n v="160.7944477259303"/>
    <m/>
    <x v="0"/>
  </r>
  <r>
    <s v="6002007"/>
    <x v="18"/>
    <s v="1200001790"/>
    <x v="128"/>
    <x v="0"/>
    <d v="2026-05-16T00:00:00"/>
    <n v="30"/>
    <d v="2026-05-23T00:00:00"/>
    <n v="47.2"/>
    <s v="PEN"/>
    <x v="2"/>
    <m/>
    <m/>
    <m/>
    <d v="2026-05-23T00:00:00"/>
    <n v="13.939751919669227"/>
    <m/>
    <x v="0"/>
  </r>
  <r>
    <s v="6002007"/>
    <x v="18"/>
    <s v="1200002045"/>
    <x v="129"/>
    <x v="0"/>
    <d v="2026-05-27T00:00:00"/>
    <n v="19"/>
    <d v="2026-06-03T00:00:00"/>
    <n v="591.65"/>
    <s v="PEN"/>
    <x v="2"/>
    <m/>
    <m/>
    <m/>
    <d v="2026-06-03T00:00:00"/>
    <n v="174.73419964559952"/>
    <m/>
    <x v="0"/>
  </r>
  <r>
    <s v="6002007"/>
    <x v="18"/>
    <s v="1200002046"/>
    <x v="130"/>
    <x v="0"/>
    <d v="2026-05-27T00:00:00"/>
    <n v="19"/>
    <d v="2026-06-03T00:00:00"/>
    <n v="70.8"/>
    <s v="PEN"/>
    <x v="2"/>
    <m/>
    <m/>
    <m/>
    <d v="2026-06-03T00:00:00"/>
    <n v="20.909627879503837"/>
    <m/>
    <x v="0"/>
  </r>
  <r>
    <s v="6002007"/>
    <x v="18"/>
    <s v="1200002186"/>
    <x v="131"/>
    <x v="0"/>
    <d v="2026-06-02T00:00:00"/>
    <n v="13"/>
    <d v="2026-06-09T00:00:00"/>
    <n v="185.97"/>
    <s v="PEN"/>
    <x v="2"/>
    <m/>
    <m/>
    <m/>
    <d v="2026-06-09T00:00:00"/>
    <n v="54.923213230950971"/>
    <m/>
    <x v="0"/>
  </r>
  <r>
    <s v="6002007"/>
    <x v="18"/>
    <s v="1200002187"/>
    <x v="132"/>
    <x v="0"/>
    <d v="2026-06-02T00:00:00"/>
    <n v="13"/>
    <d v="2026-06-09T00:00:00"/>
    <n v="23.6"/>
    <s v="PEN"/>
    <x v="2"/>
    <m/>
    <m/>
    <m/>
    <d v="2026-06-09T00:00:00"/>
    <n v="6.9698759598346136"/>
    <m/>
    <x v="0"/>
  </r>
  <r>
    <s v="6002007"/>
    <x v="18"/>
    <s v="1200002487"/>
    <x v="133"/>
    <x v="0"/>
    <d v="2026-06-13T00:00:00"/>
    <n v="2"/>
    <d v="2026-06-20T00:00:00"/>
    <n v="535.25"/>
    <s v="PEN"/>
    <x v="2"/>
    <m/>
    <m/>
    <m/>
    <d v="2026-06-20T00:00:00"/>
    <n v="158.07737743650324"/>
    <m/>
    <x v="0"/>
  </r>
  <r>
    <s v="6002007"/>
    <x v="18"/>
    <s v="1200002488"/>
    <x v="134"/>
    <x v="0"/>
    <d v="2026-06-13T00:00:00"/>
    <n v="2"/>
    <d v="2026-06-20T00:00:00"/>
    <n v="70.8"/>
    <s v="PEN"/>
    <x v="2"/>
    <m/>
    <m/>
    <m/>
    <d v="2026-06-20T00:00:00"/>
    <n v="20.909627879503837"/>
    <m/>
    <x v="0"/>
  </r>
  <r>
    <s v="6001105"/>
    <x v="19"/>
    <s v="1200001300"/>
    <x v="135"/>
    <x v="0"/>
    <d v="2026-04-28T00:00:00"/>
    <n v="55"/>
    <d v="2026-04-28T00:00:00"/>
    <n v="59"/>
    <s v="PEN"/>
    <x v="0"/>
    <m/>
    <m/>
    <m/>
    <d v="2026-04-28T00:00:00"/>
    <n v="17.424689899586532"/>
    <m/>
    <x v="0"/>
  </r>
  <r>
    <s v="6001105"/>
    <x v="19"/>
    <s v="1200001301"/>
    <x v="136"/>
    <x v="0"/>
    <d v="2026-04-28T00:00:00"/>
    <n v="55"/>
    <d v="2026-04-28T00:00:00"/>
    <n v="716.71"/>
    <s v="PEN"/>
    <x v="0"/>
    <m/>
    <m/>
    <m/>
    <d v="2026-04-28T00:00:00"/>
    <n v="211.66863555818074"/>
    <m/>
    <x v="0"/>
  </r>
  <r>
    <s v="6001105"/>
    <x v="19"/>
    <s v="1200001302"/>
    <x v="137"/>
    <x v="0"/>
    <d v="2026-04-28T00:00:00"/>
    <n v="55"/>
    <d v="2026-04-28T00:00:00"/>
    <n v="129.80000000000001"/>
    <s v="PEN"/>
    <x v="0"/>
    <m/>
    <m/>
    <m/>
    <d v="2026-04-28T00:00:00"/>
    <n v="38.334317779090377"/>
    <m/>
    <x v="0"/>
  </r>
  <r>
    <s v="6001105"/>
    <x v="19"/>
    <s v="1300004037"/>
    <x v="138"/>
    <x v="1"/>
    <d v="2026-04-28T00:00:00"/>
    <n v="55"/>
    <d v="2026-04-28T00:00:00"/>
    <n v="422.56"/>
    <s v="PEN"/>
    <x v="0"/>
    <m/>
    <m/>
    <m/>
    <d v="2026-04-28T00:00:00"/>
    <n v="124.79621972829297"/>
    <m/>
    <x v="0"/>
  </r>
  <r>
    <s v="6001105"/>
    <x v="19"/>
    <s v="1200001648"/>
    <x v="139"/>
    <x v="0"/>
    <d v="2026-05-12T00:00:00"/>
    <n v="41"/>
    <d v="2026-05-12T00:00:00"/>
    <n v="404.98"/>
    <s v="PEN"/>
    <x v="0"/>
    <m/>
    <m/>
    <m/>
    <d v="2026-05-12T00:00:00"/>
    <n v="119.60425280567041"/>
    <m/>
    <x v="0"/>
  </r>
  <r>
    <s v="6001105"/>
    <x v="19"/>
    <s v="1200001649"/>
    <x v="140"/>
    <x v="0"/>
    <d v="2026-05-12T00:00:00"/>
    <n v="41"/>
    <d v="2026-05-12T00:00:00"/>
    <n v="59"/>
    <s v="PEN"/>
    <x v="0"/>
    <m/>
    <m/>
    <m/>
    <d v="2026-05-12T00:00:00"/>
    <n v="17.424689899586532"/>
    <m/>
    <x v="0"/>
  </r>
  <r>
    <s v="2000001443"/>
    <x v="20"/>
    <s v="1300002821"/>
    <x v="141"/>
    <x v="3"/>
    <d v="2026-05-06T00:00:00"/>
    <n v="0"/>
    <d v="2026-05-31T00:00:00"/>
    <n v="-33334"/>
    <s v="USD"/>
    <x v="1"/>
    <d v="2026-06-20T00:00:00"/>
    <m/>
    <m/>
    <d v="2026-05-31T00:00:00"/>
    <n v="-33334"/>
    <n v="47"/>
    <x v="2"/>
  </r>
  <r>
    <s v="2000001443"/>
    <x v="20"/>
    <s v="1300004715"/>
    <x v="142"/>
    <x v="1"/>
    <d v="2026-05-29T00:00:00"/>
    <n v="24"/>
    <d v="2026-05-29T00:00:00"/>
    <n v="67008"/>
    <s v="USD"/>
    <x v="1"/>
    <d v="2026-07-13T00:00:00"/>
    <n v="-21"/>
    <d v="2026-07-13T00:00:00"/>
    <d v="2026-07-13T00:00:00"/>
    <n v="67008"/>
    <n v="24"/>
    <x v="1"/>
  </r>
  <r>
    <s v="2000001359"/>
    <x v="21"/>
    <s v="1200001321"/>
    <x v="143"/>
    <x v="2"/>
    <d v="2026-04-27T00:00:00"/>
    <n v="11"/>
    <d v="2026-06-11T00:00:00"/>
    <n v="36400"/>
    <s v="USD"/>
    <x v="1"/>
    <d v="2026-06-11T00:00:00"/>
    <n v="-8"/>
    <d v="2026-06-30T00:00:00"/>
    <d v="2026-06-30T00:00:00"/>
    <n v="36400"/>
    <n v="56"/>
    <x v="2"/>
  </r>
  <r>
    <s v="2000001359"/>
    <x v="21"/>
    <s v="1200002006"/>
    <x v="144"/>
    <x v="2"/>
    <d v="2026-05-22T00:00:00"/>
    <n v="-14"/>
    <d v="2026-07-06T00:00:00"/>
    <n v="80600"/>
    <s v="USD"/>
    <x v="1"/>
    <d v="2026-07-06T00:00:00"/>
    <n v="-14"/>
    <d v="2026-07-06T00:00:00"/>
    <d v="2026-07-06T00:00:00"/>
    <n v="80600"/>
    <n v="31"/>
    <x v="1"/>
  </r>
  <r>
    <s v="2000001468"/>
    <x v="22"/>
    <s v="1300004843"/>
    <x v="145"/>
    <x v="3"/>
    <d v="2026-06-05T00:00:00"/>
    <n v="0"/>
    <d v="2026-06-30T00:00:00"/>
    <n v="-13728"/>
    <s v="USD"/>
    <x v="1"/>
    <d v="2026-07-20T00:00:00"/>
    <m/>
    <m/>
    <d v="2026-06-30T00:00:00"/>
    <n v="-13728"/>
    <n v="17"/>
    <x v="1"/>
  </r>
  <r>
    <s v="1000013925"/>
    <x v="23"/>
    <s v="1300006898"/>
    <x v="146"/>
    <x v="1"/>
    <d v="2025-10-21T00:00:00"/>
    <n v="244"/>
    <d v="2025-10-21T00:00:00"/>
    <n v="4460"/>
    <s v="PEN"/>
    <x v="3"/>
    <m/>
    <m/>
    <m/>
    <d v="2025-10-21T00:00:00"/>
    <n v="1317.1884229178972"/>
    <m/>
    <x v="0"/>
  </r>
  <r>
    <s v="1000013925"/>
    <x v="23"/>
    <s v="1200005124"/>
    <x v="147"/>
    <x v="0"/>
    <d v="2025-11-04T00:00:00"/>
    <n v="223"/>
    <d v="2025-11-11T00:00:00"/>
    <n v="7097.98"/>
    <s v="PEN"/>
    <x v="3"/>
    <m/>
    <m/>
    <m/>
    <d v="2025-11-11T00:00:00"/>
    <n v="2096.2728883638511"/>
    <m/>
    <x v="0"/>
  </r>
  <r>
    <s v="1000013925"/>
    <x v="23"/>
    <s v="1200000182"/>
    <x v="148"/>
    <x v="0"/>
    <d v="2026-01-31T00:00:00"/>
    <n v="135"/>
    <d v="2026-02-07T00:00:00"/>
    <n v="4003.46"/>
    <s v="PEN"/>
    <x v="3"/>
    <m/>
    <m/>
    <m/>
    <d v="2026-02-07T00:00:00"/>
    <n v="1182.3567631423509"/>
    <m/>
    <x v="0"/>
  </r>
  <r>
    <s v="1000013925"/>
    <x v="23"/>
    <s v="1200000382"/>
    <x v="149"/>
    <x v="0"/>
    <d v="2026-03-03T00:00:00"/>
    <n v="104"/>
    <d v="2026-03-10T00:00:00"/>
    <n v="4956"/>
    <s v="PEN"/>
    <x v="3"/>
    <m/>
    <m/>
    <m/>
    <d v="2026-03-10T00:00:00"/>
    <n v="1463.6739515652687"/>
    <m/>
    <x v="0"/>
  </r>
  <r>
    <s v="2000001380"/>
    <x v="24"/>
    <s v="1300004799"/>
    <x v="150"/>
    <x v="3"/>
    <d v="2026-06-02T00:00:00"/>
    <n v="0"/>
    <d v="2026-06-30T00:00:00"/>
    <n v="-6470"/>
    <s v="USD"/>
    <x v="1"/>
    <d v="2026-07-17T00:00:00"/>
    <m/>
    <m/>
    <d v="2026-06-30T00:00:00"/>
    <n v="-6470"/>
    <n v="20"/>
    <x v="1"/>
  </r>
  <r>
    <s v="2000001380"/>
    <x v="24"/>
    <s v="1200002542"/>
    <x v="151"/>
    <x v="2"/>
    <d v="2026-06-13T00:00:00"/>
    <n v="-36"/>
    <d v="2026-07-28T00:00:00"/>
    <n v="29250"/>
    <s v="USD"/>
    <x v="1"/>
    <d v="2026-07-28T00:00:00"/>
    <m/>
    <m/>
    <d v="2026-07-28T00:00:00"/>
    <n v="29250"/>
    <n v="9"/>
    <x v="1"/>
  </r>
  <r>
    <s v="6000434"/>
    <x v="25"/>
    <s v="1200004540"/>
    <x v="152"/>
    <x v="0"/>
    <d v="2025-10-07T00:00:00"/>
    <n v="251"/>
    <d v="2025-10-14T00:00:00"/>
    <n v="790"/>
    <s v="PEN"/>
    <x v="4"/>
    <m/>
    <m/>
    <m/>
    <d v="2025-10-14T00:00:00"/>
    <n v="233.31364441819255"/>
    <m/>
    <x v="0"/>
  </r>
  <r>
    <s v="1000001607"/>
    <x v="26"/>
    <s v="1200002528"/>
    <x v="153"/>
    <x v="0"/>
    <d v="2026-06-15T00:00:00"/>
    <n v="4"/>
    <d v="2026-06-18T00:00:00"/>
    <n v="46429.79"/>
    <s v="PEN"/>
    <x v="5"/>
    <m/>
    <m/>
    <m/>
    <d v="2026-06-18T00:00:00"/>
    <n v="13712.282929710573"/>
    <m/>
    <x v="0"/>
  </r>
  <r>
    <s v="2000001438"/>
    <x v="27"/>
    <s v="1300002731"/>
    <x v="154"/>
    <x v="1"/>
    <d v="2026-04-29T00:00:00"/>
    <n v="54"/>
    <d v="2026-04-29T00:00:00"/>
    <n v="162355"/>
    <s v="USD"/>
    <x v="1"/>
    <d v="2026-06-13T00:00:00"/>
    <n v="-8"/>
    <d v="2026-06-30T00:00:00"/>
    <d v="2026-06-30T00:00:00"/>
    <n v="162355"/>
    <n v="54"/>
    <x v="2"/>
  </r>
  <r>
    <s v="2000001438"/>
    <x v="27"/>
    <s v="1200001892"/>
    <x v="155"/>
    <x v="2"/>
    <d v="2026-05-17T00:00:00"/>
    <n v="-9"/>
    <d v="2026-07-01T00:00:00"/>
    <n v="230850"/>
    <s v="USD"/>
    <x v="1"/>
    <d v="2026-07-01T00:00:00"/>
    <n v="-9"/>
    <d v="2026-07-01T00:00:00"/>
    <d v="2026-07-01T00:00:00"/>
    <n v="230850"/>
    <n v="36"/>
    <x v="1"/>
  </r>
  <r>
    <s v="2000001460"/>
    <x v="28"/>
    <s v="1300004801"/>
    <x v="156"/>
    <x v="3"/>
    <d v="2026-06-02T00:00:00"/>
    <n v="0"/>
    <d v="2026-06-30T00:00:00"/>
    <n v="-9287"/>
    <s v="USD"/>
    <x v="1"/>
    <d v="2026-07-17T00:00:00"/>
    <m/>
    <m/>
    <d v="2026-06-30T00:00:00"/>
    <n v="-9287"/>
    <n v="20"/>
    <x v="1"/>
  </r>
  <r>
    <s v="1000001965"/>
    <x v="29"/>
    <s v="1200002503"/>
    <x v="157"/>
    <x v="0"/>
    <d v="2026-06-13T00:00:00"/>
    <n v="2"/>
    <d v="2026-06-20T00:00:00"/>
    <n v="590"/>
    <s v="PEN"/>
    <x v="0"/>
    <m/>
    <m/>
    <m/>
    <d v="2026-06-20T00:00:00"/>
    <n v="174.24689899586531"/>
    <m/>
    <x v="0"/>
  </r>
  <r>
    <s v="1000001965"/>
    <x v="29"/>
    <s v="1200002569"/>
    <x v="158"/>
    <x v="0"/>
    <d v="2026-06-16T00:00:00"/>
    <n v="-1"/>
    <d v="2026-06-23T00:00:00"/>
    <n v="590"/>
    <s v="PEN"/>
    <x v="0"/>
    <m/>
    <m/>
    <m/>
    <d v="2026-06-23T00:00:00"/>
    <n v="174.24689899586531"/>
    <m/>
    <x v="0"/>
  </r>
  <r>
    <s v="1000001965"/>
    <x v="29"/>
    <s v="1200002582"/>
    <x v="159"/>
    <x v="0"/>
    <d v="2026-06-17T00:00:00"/>
    <n v="-2"/>
    <d v="2026-06-24T00:00:00"/>
    <n v="590"/>
    <s v="PEN"/>
    <x v="0"/>
    <m/>
    <m/>
    <m/>
    <d v="2026-06-24T00:00:00"/>
    <n v="174.24689899586531"/>
    <m/>
    <x v="0"/>
  </r>
  <r>
    <s v="1000001965"/>
    <x v="29"/>
    <s v="1200002619"/>
    <x v="160"/>
    <x v="0"/>
    <d v="2026-06-19T00:00:00"/>
    <n v="-4"/>
    <d v="2026-06-26T00:00:00"/>
    <n v="590"/>
    <s v="PEN"/>
    <x v="0"/>
    <m/>
    <m/>
    <m/>
    <d v="2026-06-26T00:00:00"/>
    <n v="174.24689899586531"/>
    <m/>
    <x v="0"/>
  </r>
  <r>
    <s v="2000001418"/>
    <x v="30"/>
    <s v="1300002670"/>
    <x v="161"/>
    <x v="1"/>
    <d v="2026-04-27T00:00:00"/>
    <n v="56"/>
    <d v="2026-04-27T00:00:00"/>
    <n v="116670"/>
    <s v="USD"/>
    <x v="1"/>
    <d v="2026-06-11T00:00:00"/>
    <n v="-8"/>
    <d v="2026-06-30T00:00:00"/>
    <d v="2026-06-30T00:00:00"/>
    <n v="116670"/>
    <n v="56"/>
    <x v="2"/>
  </r>
  <r>
    <s v="2000001440"/>
    <x v="31"/>
    <s v="1300002671"/>
    <x v="162"/>
    <x v="1"/>
    <d v="2026-04-29T00:00:00"/>
    <n v="54"/>
    <d v="2026-04-29T00:00:00"/>
    <n v="56785"/>
    <s v="USD"/>
    <x v="1"/>
    <d v="2026-06-13T00:00:00"/>
    <n v="-8"/>
    <d v="2026-06-30T00:00:00"/>
    <d v="2026-06-30T00:00:00"/>
    <n v="56785"/>
    <n v="54"/>
    <x v="2"/>
  </r>
  <r>
    <s v="2000001440"/>
    <x v="31"/>
    <s v="1300004716"/>
    <x v="163"/>
    <x v="1"/>
    <d v="2026-05-29T00:00:00"/>
    <n v="24"/>
    <d v="2026-05-29T00:00:00"/>
    <n v="35725"/>
    <s v="USD"/>
    <x v="1"/>
    <d v="2026-07-13T00:00:00"/>
    <n v="-21"/>
    <d v="2026-07-13T00:00:00"/>
    <d v="2026-07-13T00:00:00"/>
    <n v="35725"/>
    <n v="24"/>
    <x v="1"/>
  </r>
  <r>
    <s v="1000013801"/>
    <x v="32"/>
    <s v="1200002198"/>
    <x v="164"/>
    <x v="0"/>
    <d v="2026-06-02T00:00:00"/>
    <n v="13"/>
    <d v="2026-06-09T00:00:00"/>
    <n v="666.94"/>
    <s v="PEN"/>
    <x v="0"/>
    <m/>
    <m/>
    <m/>
    <d v="2026-06-09T00:00:00"/>
    <n v="196.96987595983461"/>
    <m/>
    <x v="0"/>
  </r>
  <r>
    <s v="1000013801"/>
    <x v="32"/>
    <s v="1200002199"/>
    <x v="165"/>
    <x v="0"/>
    <d v="2026-06-02T00:00:00"/>
    <n v="13"/>
    <d v="2026-06-09T00:00:00"/>
    <n v="123.9"/>
    <s v="PEN"/>
    <x v="0"/>
    <m/>
    <m/>
    <m/>
    <d v="2026-06-09T00:00:00"/>
    <n v="36.591848789131717"/>
    <m/>
    <x v="0"/>
  </r>
  <r>
    <s v="1000013686"/>
    <x v="33"/>
    <s v="1200002347"/>
    <x v="166"/>
    <x v="0"/>
    <d v="2026-06-09T00:00:00"/>
    <n v="6"/>
    <d v="2026-06-16T00:00:00"/>
    <n v="849.6"/>
    <s v="PEN"/>
    <x v="0"/>
    <m/>
    <m/>
    <m/>
    <d v="2026-06-16T00:00:00"/>
    <n v="250.91553455404608"/>
    <m/>
    <x v="0"/>
  </r>
  <r>
    <s v="1000013686"/>
    <x v="33"/>
    <s v="1200002502"/>
    <x v="167"/>
    <x v="0"/>
    <d v="2026-06-13T00:00:00"/>
    <n v="2"/>
    <d v="2026-06-20T00:00:00"/>
    <n v="396.48"/>
    <s v="PEN"/>
    <x v="0"/>
    <m/>
    <m/>
    <m/>
    <d v="2026-06-20T00:00:00"/>
    <n v="117.0939161252215"/>
    <m/>
    <x v="0"/>
  </r>
  <r>
    <s v="2000000786"/>
    <x v="34"/>
    <s v="1200002633"/>
    <x v="168"/>
    <x v="2"/>
    <d v="2026-06-19T00:00:00"/>
    <n v="-42"/>
    <d v="2026-08-03T00:00:00"/>
    <n v="144900"/>
    <s v="USD"/>
    <x v="1"/>
    <d v="2026-08-03T00:00:00"/>
    <m/>
    <m/>
    <d v="2026-08-03T00:00:00"/>
    <n v="144900"/>
    <n v="3"/>
    <x v="1"/>
  </r>
  <r>
    <s v="2000000590"/>
    <x v="35"/>
    <s v="1300004717"/>
    <x v="169"/>
    <x v="1"/>
    <d v="2026-05-22T00:00:00"/>
    <n v="31"/>
    <d v="2026-05-22T00:00:00"/>
    <n v="22575"/>
    <s v="USD"/>
    <x v="1"/>
    <d v="2026-07-06T00:00:00"/>
    <n v="-14"/>
    <d v="2026-07-06T00:00:00"/>
    <d v="2026-07-06T00:00:00"/>
    <n v="22575"/>
    <n v="31"/>
    <x v="1"/>
  </r>
  <r>
    <s v="2000001442"/>
    <x v="36"/>
    <s v="1300004718"/>
    <x v="170"/>
    <x v="1"/>
    <d v="2026-05-29T00:00:00"/>
    <n v="24"/>
    <d v="2026-05-29T00:00:00"/>
    <n v="52933.5"/>
    <s v="USD"/>
    <x v="1"/>
    <d v="2026-07-13T00:00:00"/>
    <n v="-21"/>
    <d v="2026-07-13T00:00:00"/>
    <d v="2026-07-13T00:00:00"/>
    <n v="52933.5"/>
    <n v="24"/>
    <x v="1"/>
  </r>
  <r>
    <s v="2000001444"/>
    <x v="37"/>
    <s v="1300004719"/>
    <x v="171"/>
    <x v="1"/>
    <d v="2026-05-24T00:00:00"/>
    <n v="29"/>
    <d v="2026-05-24T00:00:00"/>
    <n v="90691"/>
    <s v="USD"/>
    <x v="1"/>
    <d v="2026-07-08T00:00:00"/>
    <n v="-16"/>
    <d v="2026-07-08T00:00:00"/>
    <d v="2026-07-08T00:00:00"/>
    <n v="90691"/>
    <n v="29"/>
    <x v="1"/>
  </r>
  <r>
    <s v="2000001444"/>
    <x v="37"/>
    <s v="1200002637"/>
    <x v="172"/>
    <x v="2"/>
    <d v="2026-06-19T00:00:00"/>
    <n v="-42"/>
    <d v="2026-08-03T00:00:00"/>
    <n v="82350"/>
    <s v="USD"/>
    <x v="1"/>
    <d v="2026-08-03T00:00:00"/>
    <n v="46195"/>
    <m/>
    <d v="2026-08-03T00:00:00"/>
    <n v="82350"/>
    <n v="3"/>
    <x v="1"/>
  </r>
  <r>
    <s v="2000001069"/>
    <x v="38"/>
    <s v="1300004190"/>
    <x v="173"/>
    <x v="1"/>
    <d v="2026-04-22T00:00:00"/>
    <n v="61"/>
    <d v="2026-04-22T00:00:00"/>
    <n v="67066"/>
    <s v="USD"/>
    <x v="1"/>
    <d v="2026-06-06T00:00:00"/>
    <n v="-8"/>
    <d v="2026-06-30T00:00:00"/>
    <d v="2026-06-30T00:00:00"/>
    <n v="67066"/>
    <n v="61"/>
    <x v="3"/>
  </r>
  <r>
    <s v="2000001446"/>
    <x v="39"/>
    <s v="1300004720"/>
    <x v="174"/>
    <x v="1"/>
    <d v="2026-05-26T00:00:00"/>
    <n v="27"/>
    <d v="2026-05-26T00:00:00"/>
    <n v="72759"/>
    <s v="USD"/>
    <x v="1"/>
    <d v="2026-07-10T00:00:00"/>
    <n v="-18"/>
    <d v="2026-07-10T00:00:00"/>
    <d v="2026-07-10T00:00:00"/>
    <n v="72759"/>
    <n v="27"/>
    <x v="1"/>
  </r>
  <r>
    <s v="2000001449"/>
    <x v="40"/>
    <s v="1300004721"/>
    <x v="175"/>
    <x v="1"/>
    <d v="2026-05-31T00:00:00"/>
    <n v="22"/>
    <d v="2026-05-31T00:00:00"/>
    <n v="115561"/>
    <s v="USD"/>
    <x v="1"/>
    <d v="2026-07-15T00:00:00"/>
    <n v="-8"/>
    <d v="2026-06-30T00:00:00"/>
    <d v="2026-06-30T00:00:00"/>
    <n v="115561"/>
    <n v="2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1000013966"/>
    <x v="0"/>
    <s v="1200005220"/>
    <s v="01-0F101-0004694"/>
    <x v="0"/>
    <d v="2025-11-19T00:00:00"/>
    <n v="208"/>
    <d v="2025-11-26T00:00:00"/>
    <n v="42.48"/>
    <s v="PEN"/>
    <x v="0"/>
    <m/>
    <m/>
    <d v="2025-11-26T00:00:00"/>
    <x v="0"/>
    <n v="12.545776727702302"/>
    <m/>
    <m/>
  </r>
  <r>
    <s v="1000013966"/>
    <x v="0"/>
    <s v="1200005228"/>
    <s v="01-0F101-0004700"/>
    <x v="0"/>
    <d v="2025-11-19T00:00:00"/>
    <n v="208"/>
    <d v="2025-11-26T00:00:00"/>
    <n v="14.16"/>
    <s v="PEN"/>
    <x v="0"/>
    <m/>
    <m/>
    <d v="2025-11-26T00:00:00"/>
    <x v="0"/>
    <n v="4.1819255759007676"/>
    <m/>
    <m/>
  </r>
  <r>
    <s v="1000013966"/>
    <x v="0"/>
    <s v="1200005242"/>
    <s v="01-0F101-0004710"/>
    <x v="0"/>
    <d v="2025-11-19T00:00:00"/>
    <n v="208"/>
    <d v="2025-11-26T00:00:00"/>
    <n v="14.16"/>
    <s v="PEN"/>
    <x v="0"/>
    <m/>
    <m/>
    <d v="2025-11-26T00:00:00"/>
    <x v="0"/>
    <n v="4.1819255759007676"/>
    <m/>
    <m/>
  </r>
  <r>
    <s v="1000013966"/>
    <x v="0"/>
    <s v="1200005264"/>
    <s v="01-0F101-0004729"/>
    <x v="0"/>
    <d v="2025-11-20T00:00:00"/>
    <n v="207"/>
    <d v="2025-11-27T00:00:00"/>
    <n v="28.32"/>
    <s v="PEN"/>
    <x v="0"/>
    <m/>
    <m/>
    <d v="2025-11-27T00:00:00"/>
    <x v="1"/>
    <n v="8.3638511518015353"/>
    <m/>
    <m/>
  </r>
  <r>
    <s v="1000013966"/>
    <x v="0"/>
    <s v="1200005271"/>
    <s v="01-0F101-0004736"/>
    <x v="0"/>
    <d v="2025-11-20T00:00:00"/>
    <n v="207"/>
    <d v="2025-11-27T00:00:00"/>
    <n v="14.16"/>
    <s v="PEN"/>
    <x v="0"/>
    <m/>
    <m/>
    <d v="2025-11-27T00:00:00"/>
    <x v="1"/>
    <n v="4.1819255759007676"/>
    <m/>
    <m/>
  </r>
  <r>
    <s v="1000013966"/>
    <x v="0"/>
    <s v="1200005296"/>
    <s v="01-0F101-0004758"/>
    <x v="0"/>
    <d v="2025-11-21T00:00:00"/>
    <n v="206"/>
    <d v="2025-11-28T00:00:00"/>
    <n v="28.32"/>
    <s v="PEN"/>
    <x v="0"/>
    <m/>
    <m/>
    <d v="2025-11-28T00:00:00"/>
    <x v="2"/>
    <n v="8.3638511518015353"/>
    <m/>
    <m/>
  </r>
  <r>
    <s v="1000013966"/>
    <x v="0"/>
    <s v="1200005302"/>
    <s v="01-0F101-0004762"/>
    <x v="0"/>
    <d v="2025-11-21T00:00:00"/>
    <n v="206"/>
    <d v="2025-11-28T00:00:00"/>
    <n v="42.48"/>
    <s v="PEN"/>
    <x v="0"/>
    <m/>
    <m/>
    <d v="2025-11-28T00:00:00"/>
    <x v="2"/>
    <n v="12.545776727702302"/>
    <m/>
    <m/>
  </r>
  <r>
    <s v="1000013966"/>
    <x v="0"/>
    <s v="1200005304"/>
    <s v="01-0F101-0004763"/>
    <x v="0"/>
    <d v="2025-11-21T00:00:00"/>
    <n v="206"/>
    <d v="2025-11-28T00:00:00"/>
    <n v="42.48"/>
    <s v="PEN"/>
    <x v="0"/>
    <m/>
    <m/>
    <d v="2025-11-28T00:00:00"/>
    <x v="2"/>
    <n v="12.545776727702302"/>
    <m/>
    <m/>
  </r>
  <r>
    <s v="1000013966"/>
    <x v="0"/>
    <s v="1200005313"/>
    <s v="01-0F101-0004772"/>
    <x v="0"/>
    <d v="2025-11-21T00:00:00"/>
    <n v="206"/>
    <d v="2025-11-28T00:00:00"/>
    <n v="14.16"/>
    <s v="PEN"/>
    <x v="0"/>
    <m/>
    <m/>
    <d v="2025-11-28T00:00:00"/>
    <x v="2"/>
    <n v="4.1819255759007676"/>
    <m/>
    <m/>
  </r>
  <r>
    <s v="1000013966"/>
    <x v="0"/>
    <s v="1200005346"/>
    <s v="01-0F101-0004803"/>
    <x v="0"/>
    <d v="2025-11-22T00:00:00"/>
    <n v="205"/>
    <d v="2025-11-29T00:00:00"/>
    <n v="28.32"/>
    <s v="PEN"/>
    <x v="0"/>
    <m/>
    <m/>
    <d v="2025-11-29T00:00:00"/>
    <x v="3"/>
    <n v="8.3638511518015353"/>
    <m/>
    <m/>
  </r>
  <r>
    <s v="1000013966"/>
    <x v="0"/>
    <s v="1200005422"/>
    <s v="01-0F101-0004855"/>
    <x v="0"/>
    <d v="2025-11-27T00:00:00"/>
    <n v="200"/>
    <d v="2025-12-04T00:00:00"/>
    <n v="14.16"/>
    <s v="PEN"/>
    <x v="0"/>
    <m/>
    <m/>
    <d v="2025-12-04T00:00:00"/>
    <x v="4"/>
    <n v="4.1819255759007676"/>
    <m/>
    <m/>
  </r>
  <r>
    <s v="1000013966"/>
    <x v="0"/>
    <s v="1200000045"/>
    <s v="01-0F101-0005160"/>
    <x v="0"/>
    <d v="2026-01-06T00:00:00"/>
    <n v="160"/>
    <d v="2026-01-13T00:00:00"/>
    <n v="14.16"/>
    <s v="PEN"/>
    <x v="0"/>
    <m/>
    <m/>
    <d v="2026-01-13T00:00:00"/>
    <x v="5"/>
    <n v="4.1819255759007676"/>
    <m/>
    <m/>
  </r>
  <r>
    <s v="1000013966"/>
    <x v="0"/>
    <s v="1200000090"/>
    <s v="01-0F101-0005198"/>
    <x v="0"/>
    <d v="2026-01-08T00:00:00"/>
    <n v="158"/>
    <d v="2026-01-15T00:00:00"/>
    <n v="14.16"/>
    <s v="PEN"/>
    <x v="0"/>
    <m/>
    <m/>
    <d v="2026-01-15T00:00:00"/>
    <x v="6"/>
    <n v="4.1819255759007676"/>
    <m/>
    <m/>
  </r>
  <r>
    <s v="1000013966"/>
    <x v="0"/>
    <s v="1200000113"/>
    <s v="01-0F101-0005211"/>
    <x v="0"/>
    <d v="2026-01-10T00:00:00"/>
    <n v="156"/>
    <d v="2026-01-17T00:00:00"/>
    <n v="14.16"/>
    <s v="PEN"/>
    <x v="0"/>
    <m/>
    <m/>
    <d v="2026-01-17T00:00:00"/>
    <x v="7"/>
    <n v="4.1819255759007676"/>
    <m/>
    <m/>
  </r>
  <r>
    <s v="1000013966"/>
    <x v="0"/>
    <s v="1200000132"/>
    <s v="01-0F101-0005224"/>
    <x v="0"/>
    <d v="2026-01-16T00:00:00"/>
    <n v="150"/>
    <d v="2026-01-23T00:00:00"/>
    <n v="14.16"/>
    <s v="PEN"/>
    <x v="0"/>
    <m/>
    <m/>
    <d v="2026-01-23T00:00:00"/>
    <x v="8"/>
    <n v="4.1819255759007676"/>
    <m/>
    <m/>
  </r>
  <r>
    <s v="1000013966"/>
    <x v="0"/>
    <s v="1200000133"/>
    <s v="01-0F101-0005225"/>
    <x v="0"/>
    <d v="2026-01-16T00:00:00"/>
    <n v="150"/>
    <d v="2026-01-23T00:00:00"/>
    <n v="14.16"/>
    <s v="PEN"/>
    <x v="0"/>
    <m/>
    <m/>
    <d v="2026-01-23T00:00:00"/>
    <x v="8"/>
    <n v="4.1819255759007676"/>
    <m/>
    <m/>
  </r>
  <r>
    <s v="1000013966"/>
    <x v="0"/>
    <s v="1200000141"/>
    <s v="01-0F101-0005231"/>
    <x v="0"/>
    <d v="2026-01-19T00:00:00"/>
    <n v="147"/>
    <d v="2026-01-26T00:00:00"/>
    <n v="14.16"/>
    <s v="PEN"/>
    <x v="0"/>
    <m/>
    <m/>
    <d v="2026-01-26T00:00:00"/>
    <x v="9"/>
    <n v="4.1819255759007676"/>
    <m/>
    <m/>
  </r>
  <r>
    <s v="2000001028"/>
    <x v="1"/>
    <s v="1300004710"/>
    <s v="FT-0F002-0000339"/>
    <x v="1"/>
    <d v="2026-05-22T00:00:00"/>
    <n v="31"/>
    <d v="2026-05-22T00:00:00"/>
    <n v="109650"/>
    <s v="USD"/>
    <x v="1"/>
    <d v="2026-07-06T00:00:00"/>
    <n v="-7"/>
    <d v="2026-07-06T00:00:00"/>
    <x v="10"/>
    <n v="109650"/>
    <n v="38"/>
    <s v="0-45"/>
  </r>
  <r>
    <s v="2000001028"/>
    <x v="1"/>
    <s v="1200002081"/>
    <s v="01-0F002-0000353"/>
    <x v="2"/>
    <d v="2026-05-26T00:00:00"/>
    <n v="-18"/>
    <d v="2026-07-10T00:00:00"/>
    <n v="156600"/>
    <s v="USD"/>
    <x v="1"/>
    <d v="2026-07-10T00:00:00"/>
    <n v="-11"/>
    <d v="2026-07-10T00:00:00"/>
    <x v="11"/>
    <n v="156600"/>
    <n v="34"/>
    <s v="0-45"/>
  </r>
  <r>
    <s v="2000001028"/>
    <x v="1"/>
    <s v="1300004722"/>
    <s v="ANTICIPO"/>
    <x v="3"/>
    <d v="2026-05-27T00:00:00"/>
    <n v="0"/>
    <d v="2026-05-31T00:00:00"/>
    <n v="-30220"/>
    <s v="USD"/>
    <x v="1"/>
    <d v="2026-07-11T00:00:00"/>
    <m/>
    <d v="2026-05-27T00:00:00"/>
    <x v="12"/>
    <n v="-30220"/>
    <n v="33"/>
    <s v="0-45"/>
  </r>
  <r>
    <s v="2000001028"/>
    <x v="1"/>
    <s v="1200002135"/>
    <s v="01-0F002-0000359"/>
    <x v="2"/>
    <d v="2026-05-29T00:00:00"/>
    <n v="-21"/>
    <d v="2026-07-13T00:00:00"/>
    <n v="234900"/>
    <s v="USD"/>
    <x v="1"/>
    <d v="2026-07-13T00:00:00"/>
    <n v="-14"/>
    <d v="2026-07-13T00:00:00"/>
    <x v="13"/>
    <n v="234900"/>
    <n v="31"/>
    <s v="0-45"/>
  </r>
  <r>
    <s v="2000001028"/>
    <x v="1"/>
    <s v="1300004711"/>
    <s v="FT-0F002-0000360"/>
    <x v="1"/>
    <d v="2026-05-29T00:00:00"/>
    <n v="24"/>
    <d v="2026-05-29T00:00:00"/>
    <n v="336990"/>
    <s v="USD"/>
    <x v="1"/>
    <d v="2026-07-13T00:00:00"/>
    <n v="-14"/>
    <d v="2026-07-13T00:00:00"/>
    <x v="13"/>
    <n v="336990"/>
    <n v="31"/>
    <s v="0-45"/>
  </r>
  <r>
    <s v="1000013676"/>
    <x v="2"/>
    <s v="1200001798"/>
    <s v="03-0B001-0004567"/>
    <x v="4"/>
    <d v="2026-05-17T00:00:00"/>
    <n v="29"/>
    <d v="2026-05-24T00:00:00"/>
    <n v="365.8"/>
    <s v="PEN"/>
    <x v="0"/>
    <m/>
    <m/>
    <d v="2026-05-24T00:00:00"/>
    <x v="14"/>
    <n v="108.0330773774365"/>
    <m/>
    <m/>
  </r>
  <r>
    <s v="1000013676"/>
    <x v="2"/>
    <s v="1200001799"/>
    <s v="03-0B001-0004568"/>
    <x v="4"/>
    <d v="2026-05-17T00:00:00"/>
    <n v="29"/>
    <d v="2026-05-24T00:00:00"/>
    <n v="47.2"/>
    <s v="PEN"/>
    <x v="0"/>
    <m/>
    <m/>
    <d v="2026-05-24T00:00:00"/>
    <x v="14"/>
    <n v="13.939751919669227"/>
    <m/>
    <m/>
  </r>
  <r>
    <s v="1000013678"/>
    <x v="3"/>
    <s v="1200002424"/>
    <s v="01-0F101-0006893"/>
    <x v="0"/>
    <d v="2026-06-11T00:00:00"/>
    <n v="4"/>
    <d v="2026-06-18T00:00:00"/>
    <n v="68.400000000000006"/>
    <s v="PEN"/>
    <x v="0"/>
    <m/>
    <m/>
    <d v="2026-06-18T00:00:00"/>
    <x v="15"/>
    <n v="20.200826934435913"/>
    <m/>
    <m/>
  </r>
  <r>
    <s v="1000013678"/>
    <x v="3"/>
    <s v="1200002581"/>
    <s v="01-0F101-0007022"/>
    <x v="0"/>
    <d v="2026-06-17T00:00:00"/>
    <n v="-2"/>
    <d v="2026-06-24T00:00:00"/>
    <n v="141.6"/>
    <s v="PEN"/>
    <x v="0"/>
    <m/>
    <m/>
    <d v="2026-06-24T00:00:00"/>
    <x v="16"/>
    <n v="41.819255759007675"/>
    <m/>
    <m/>
  </r>
  <r>
    <s v="1000002057"/>
    <x v="4"/>
    <s v="1200002149"/>
    <s v="01-0F101-0006687"/>
    <x v="0"/>
    <d v="2026-06-01T00:00:00"/>
    <n v="14"/>
    <d v="2026-06-08T00:00:00"/>
    <n v="49.89"/>
    <s v="PEN"/>
    <x v="0"/>
    <m/>
    <m/>
    <d v="2026-06-08T00:00:00"/>
    <x v="17"/>
    <n v="14.734199645599528"/>
    <m/>
    <m/>
  </r>
  <r>
    <s v="1000002057"/>
    <x v="4"/>
    <s v="1200002150"/>
    <s v="01-0F101-0006688"/>
    <x v="0"/>
    <d v="2026-06-01T00:00:00"/>
    <n v="14"/>
    <d v="2026-06-08T00:00:00"/>
    <n v="106.2"/>
    <s v="PEN"/>
    <x v="0"/>
    <m/>
    <m/>
    <d v="2026-06-08T00:00:00"/>
    <x v="17"/>
    <n v="31.364441819255759"/>
    <m/>
    <m/>
  </r>
  <r>
    <s v="1000002057"/>
    <x v="4"/>
    <s v="1200002207"/>
    <s v="01-0F101-0006735"/>
    <x v="0"/>
    <d v="2026-06-03T00:00:00"/>
    <n v="12"/>
    <d v="2026-06-10T00:00:00"/>
    <n v="1061.58"/>
    <s v="PEN"/>
    <x v="0"/>
    <m/>
    <m/>
    <d v="2026-06-10T00:00:00"/>
    <x v="18"/>
    <n v="313.52037802717069"/>
    <m/>
    <m/>
  </r>
  <r>
    <s v="1000002057"/>
    <x v="4"/>
    <s v="1200002208"/>
    <s v="01-0F101-0006736"/>
    <x v="0"/>
    <d v="2026-06-03T00:00:00"/>
    <n v="12"/>
    <d v="2026-06-10T00:00:00"/>
    <n v="460.2"/>
    <s v="PEN"/>
    <x v="0"/>
    <m/>
    <m/>
    <d v="2026-06-10T00:00:00"/>
    <x v="18"/>
    <n v="135.91258121677495"/>
    <m/>
    <m/>
  </r>
  <r>
    <s v="2000001381"/>
    <x v="5"/>
    <s v="1200001893"/>
    <s v="FT-0F002-0000333"/>
    <x v="2"/>
    <d v="2026-05-17T00:00:00"/>
    <n v="-9"/>
    <d v="2026-07-01T00:00:00"/>
    <n v="9208.99"/>
    <s v="USD"/>
    <x v="1"/>
    <d v="2026-07-01T00:00:00"/>
    <n v="-2"/>
    <d v="2026-07-01T00:00:00"/>
    <x v="19"/>
    <n v="9208.99"/>
    <n v="43"/>
    <s v="0-45"/>
  </r>
  <r>
    <s v="2000001381"/>
    <x v="5"/>
    <s v="1300004208"/>
    <s v="FT-0F002-0000329"/>
    <x v="1"/>
    <d v="2026-05-17T00:00:00"/>
    <n v="36"/>
    <d v="2026-05-17T00:00:00"/>
    <n v="6821"/>
    <s v="USD"/>
    <x v="1"/>
    <d v="2026-07-01T00:00:00"/>
    <n v="-1"/>
    <d v="2026-06-30T00:00:00"/>
    <x v="20"/>
    <n v="6821"/>
    <n v="43"/>
    <s v="0-45"/>
  </r>
  <r>
    <s v="1000013754"/>
    <x v="6"/>
    <s v="1200002379"/>
    <s v="03-0B001-0004669"/>
    <x v="4"/>
    <d v="2026-06-10T00:00:00"/>
    <n v="5"/>
    <d v="2026-06-17T00:00:00"/>
    <n v="495.13"/>
    <s v="PEN"/>
    <x v="0"/>
    <m/>
    <m/>
    <d v="2026-06-17T00:00:00"/>
    <x v="21"/>
    <n v="146.22858830478441"/>
    <m/>
    <m/>
  </r>
  <r>
    <s v="1000013754"/>
    <x v="6"/>
    <s v="1200002380"/>
    <s v="03-0B001-0004670"/>
    <x v="4"/>
    <d v="2026-06-10T00:00:00"/>
    <n v="5"/>
    <d v="2026-06-17T00:00:00"/>
    <n v="47.2"/>
    <s v="PEN"/>
    <x v="0"/>
    <m/>
    <m/>
    <d v="2026-06-17T00:00:00"/>
    <x v="21"/>
    <n v="13.939751919669227"/>
    <m/>
    <m/>
  </r>
  <r>
    <s v="1000013754"/>
    <x v="6"/>
    <s v="1200002385"/>
    <s v="03-0B001-0004671"/>
    <x v="4"/>
    <d v="2026-06-10T00:00:00"/>
    <n v="5"/>
    <d v="2026-06-17T00:00:00"/>
    <n v="469.64"/>
    <s v="PEN"/>
    <x v="0"/>
    <m/>
    <m/>
    <d v="2026-06-17T00:00:00"/>
    <x v="21"/>
    <n v="138.70053160070879"/>
    <m/>
    <m/>
  </r>
  <r>
    <s v="1000013754"/>
    <x v="6"/>
    <s v="1200002386"/>
    <s v="03-0B001-0004672"/>
    <x v="4"/>
    <d v="2026-06-10T00:00:00"/>
    <n v="5"/>
    <d v="2026-06-17T00:00:00"/>
    <n v="47.2"/>
    <s v="PEN"/>
    <x v="0"/>
    <m/>
    <m/>
    <d v="2026-06-17T00:00:00"/>
    <x v="21"/>
    <n v="13.939751919669227"/>
    <m/>
    <m/>
  </r>
  <r>
    <s v="1000013754"/>
    <x v="6"/>
    <s v="1200002399"/>
    <s v="03-0B001-0004675"/>
    <x v="4"/>
    <d v="2026-06-10T00:00:00"/>
    <n v="5"/>
    <d v="2026-06-17T00:00:00"/>
    <n v="371.7"/>
    <s v="PEN"/>
    <x v="0"/>
    <m/>
    <m/>
    <d v="2026-06-17T00:00:00"/>
    <x v="21"/>
    <n v="109.77554636739515"/>
    <m/>
    <m/>
  </r>
  <r>
    <s v="1000013754"/>
    <x v="6"/>
    <s v="1200002400"/>
    <s v="03-0B001-0004676"/>
    <x v="4"/>
    <d v="2026-06-10T00:00:00"/>
    <n v="5"/>
    <d v="2026-06-17T00:00:00"/>
    <n v="47.2"/>
    <s v="PEN"/>
    <x v="0"/>
    <m/>
    <m/>
    <d v="2026-06-17T00:00:00"/>
    <x v="21"/>
    <n v="13.939751919669227"/>
    <m/>
    <m/>
  </r>
  <r>
    <s v="1000013754"/>
    <x v="6"/>
    <s v="1200002402"/>
    <s v="03-0B001-0004677"/>
    <x v="4"/>
    <d v="2026-06-10T00:00:00"/>
    <n v="5"/>
    <d v="2026-06-17T00:00:00"/>
    <n v="217.83"/>
    <s v="PEN"/>
    <x v="0"/>
    <m/>
    <m/>
    <d v="2026-06-17T00:00:00"/>
    <x v="21"/>
    <n v="64.332545776727699"/>
    <m/>
    <m/>
  </r>
  <r>
    <s v="1000013754"/>
    <x v="6"/>
    <s v="1200002403"/>
    <s v="03-0B001-0004678"/>
    <x v="4"/>
    <d v="2026-06-10T00:00:00"/>
    <n v="5"/>
    <d v="2026-06-17T00:00:00"/>
    <n v="47.2"/>
    <s v="PEN"/>
    <x v="0"/>
    <m/>
    <m/>
    <d v="2026-06-17T00:00:00"/>
    <x v="21"/>
    <n v="13.939751919669227"/>
    <m/>
    <m/>
  </r>
  <r>
    <s v="1000013754"/>
    <x v="6"/>
    <s v="1200002447"/>
    <s v="03-0B001-0004688"/>
    <x v="4"/>
    <d v="2026-06-12T00:00:00"/>
    <n v="3"/>
    <d v="2026-06-19T00:00:00"/>
    <n v="560.5"/>
    <s v="PEN"/>
    <x v="0"/>
    <m/>
    <m/>
    <d v="2026-06-19T00:00:00"/>
    <x v="22"/>
    <n v="165.53455404607206"/>
    <m/>
    <m/>
  </r>
  <r>
    <s v="1000013754"/>
    <x v="6"/>
    <s v="1200002448"/>
    <s v="03-0B001-0004689"/>
    <x v="4"/>
    <d v="2026-06-12T00:00:00"/>
    <n v="3"/>
    <d v="2026-06-19T00:00:00"/>
    <n v="94.4"/>
    <s v="PEN"/>
    <x v="0"/>
    <m/>
    <m/>
    <d v="2026-06-19T00:00:00"/>
    <x v="22"/>
    <n v="27.879503839338454"/>
    <m/>
    <m/>
  </r>
  <r>
    <s v="1000013754"/>
    <x v="6"/>
    <s v="1200002454"/>
    <s v="03-0B001-0004690"/>
    <x v="4"/>
    <d v="2026-06-12T00:00:00"/>
    <n v="3"/>
    <d v="2026-06-19T00:00:00"/>
    <n v="499.85"/>
    <s v="PEN"/>
    <x v="0"/>
    <m/>
    <m/>
    <d v="2026-06-19T00:00:00"/>
    <x v="22"/>
    <n v="147.62256349675133"/>
    <m/>
    <m/>
  </r>
  <r>
    <s v="1000013754"/>
    <x v="6"/>
    <s v="1200002455"/>
    <s v="03-0B001-0004691"/>
    <x v="4"/>
    <d v="2026-06-12T00:00:00"/>
    <n v="3"/>
    <d v="2026-06-19T00:00:00"/>
    <n v="47.2"/>
    <s v="PEN"/>
    <x v="0"/>
    <m/>
    <m/>
    <d v="2026-06-19T00:00:00"/>
    <x v="22"/>
    <n v="13.939751919669227"/>
    <m/>
    <m/>
  </r>
  <r>
    <s v="1000013754"/>
    <x v="6"/>
    <s v="1200002530"/>
    <s v="03-0B001-0004700"/>
    <x v="4"/>
    <d v="2026-06-15T00:00:00"/>
    <n v="0"/>
    <d v="2026-06-22T00:00:00"/>
    <n v="339.6"/>
    <s v="PEN"/>
    <x v="0"/>
    <m/>
    <m/>
    <d v="2026-06-22T00:00:00"/>
    <x v="23"/>
    <n v="100.29533372711164"/>
    <m/>
    <m/>
  </r>
  <r>
    <s v="1000013754"/>
    <x v="6"/>
    <s v="1200002531"/>
    <s v="03-0B001-0004701"/>
    <x v="4"/>
    <d v="2026-06-15T00:00:00"/>
    <n v="0"/>
    <d v="2026-06-22T00:00:00"/>
    <n v="47.2"/>
    <s v="PEN"/>
    <x v="0"/>
    <m/>
    <m/>
    <d v="2026-06-22T00:00:00"/>
    <x v="23"/>
    <n v="13.939751919669227"/>
    <m/>
    <m/>
  </r>
  <r>
    <s v="1000013754"/>
    <x v="6"/>
    <s v="1200002563"/>
    <s v="03-0B001-0004708"/>
    <x v="4"/>
    <d v="2026-06-16T00:00:00"/>
    <n v="-1"/>
    <d v="2026-06-23T00:00:00"/>
    <n v="360.37"/>
    <s v="PEN"/>
    <x v="0"/>
    <m/>
    <m/>
    <d v="2026-06-23T00:00:00"/>
    <x v="24"/>
    <n v="106.42941523922032"/>
    <m/>
    <m/>
  </r>
  <r>
    <s v="1000013754"/>
    <x v="6"/>
    <s v="1200002564"/>
    <s v="03-0B001-0004709"/>
    <x v="4"/>
    <d v="2026-06-16T00:00:00"/>
    <n v="-1"/>
    <d v="2026-06-23T00:00:00"/>
    <n v="47.2"/>
    <s v="PEN"/>
    <x v="0"/>
    <m/>
    <m/>
    <d v="2026-06-23T00:00:00"/>
    <x v="24"/>
    <n v="13.939751919669227"/>
    <m/>
    <m/>
  </r>
  <r>
    <s v="2000001368"/>
    <x v="7"/>
    <s v="1300004854"/>
    <s v="FT-0F002-0000311"/>
    <x v="1"/>
    <d v="2026-04-27T00:00:00"/>
    <n v="56"/>
    <d v="2026-04-27T00:00:00"/>
    <n v="15163"/>
    <s v="USD"/>
    <x v="1"/>
    <d v="2026-06-11T00:00:00"/>
    <n v="-1"/>
    <d v="2026-06-30T00:00:00"/>
    <x v="20"/>
    <n v="15163"/>
    <n v="63"/>
    <s v="46-60"/>
  </r>
  <r>
    <s v="2000001441"/>
    <x v="8"/>
    <s v="1300004712"/>
    <s v="FT-0F002-0000327"/>
    <x v="1"/>
    <d v="2026-05-16T00:00:00"/>
    <n v="37"/>
    <d v="2026-05-16T00:00:00"/>
    <n v="37935"/>
    <s v="USD"/>
    <x v="1"/>
    <d v="2026-06-30T00:00:00"/>
    <n v="-1"/>
    <d v="2026-06-30T00:00:00"/>
    <x v="20"/>
    <n v="0"/>
    <n v="44"/>
    <s v="0-45"/>
  </r>
  <r>
    <s v="2000001361"/>
    <x v="9"/>
    <s v="1300004210"/>
    <s v="FT-0F002-0000295"/>
    <x v="1"/>
    <d v="2026-04-12T00:00:00"/>
    <n v="71"/>
    <d v="2026-04-12T00:00:00"/>
    <n v="16355.92"/>
    <s v="USD"/>
    <x v="1"/>
    <d v="2026-05-27T00:00:00"/>
    <n v="-1"/>
    <d v="2026-06-30T00:00:00"/>
    <x v="20"/>
    <n v="16355.92"/>
    <n v="78"/>
    <s v="61-90"/>
  </r>
  <r>
    <s v="2000001361"/>
    <x v="9"/>
    <s v="1200002007"/>
    <s v="01-0F002-0000342"/>
    <x v="2"/>
    <d v="2026-05-22T00:00:00"/>
    <n v="-14"/>
    <d v="2026-07-06T00:00:00"/>
    <n v="60536"/>
    <s v="USD"/>
    <x v="1"/>
    <d v="2026-07-06T00:00:00"/>
    <n v="-7"/>
    <d v="2026-07-06T00:00:00"/>
    <x v="10"/>
    <n v="0"/>
    <n v="38"/>
    <s v="0-45"/>
  </r>
  <r>
    <s v="2000001361"/>
    <x v="9"/>
    <s v="1200002041"/>
    <s v="01-0F002-0000351"/>
    <x v="2"/>
    <d v="2026-05-26T00:00:00"/>
    <n v="-18"/>
    <d v="2026-07-10T00:00:00"/>
    <n v="74100"/>
    <s v="USD"/>
    <x v="1"/>
    <d v="2026-07-10T00:00:00"/>
    <n v="-11"/>
    <d v="2026-07-10T00:00:00"/>
    <x v="11"/>
    <n v="0"/>
    <n v="34"/>
    <s v="0-45"/>
  </r>
  <r>
    <s v="2000001439"/>
    <x v="10"/>
    <s v="1300004856"/>
    <s v="ANTICIPO FP-251"/>
    <x v="3"/>
    <d v="2026-06-10T00:00:00"/>
    <n v="0"/>
    <d v="2026-06-30T00:00:00"/>
    <n v="-11970"/>
    <s v="USD"/>
    <x v="1"/>
    <d v="2026-07-25T00:00:00"/>
    <m/>
    <d v="2026-06-10T00:00:00"/>
    <x v="18"/>
    <n v="-11970"/>
    <n v="19"/>
    <s v="0-45"/>
  </r>
  <r>
    <s v="2000001398"/>
    <x v="11"/>
    <s v="1300002661"/>
    <s v="FT-0F002-0000315"/>
    <x v="1"/>
    <d v="2026-04-27T00:00:00"/>
    <n v="56"/>
    <d v="2026-04-27T00:00:00"/>
    <n v="19830"/>
    <s v="USD"/>
    <x v="1"/>
    <d v="2026-06-11T00:00:00"/>
    <n v="-1"/>
    <d v="2026-06-30T00:00:00"/>
    <x v="20"/>
    <n v="0"/>
    <n v="63"/>
    <s v="46-60"/>
  </r>
  <r>
    <s v="2000001398"/>
    <x v="11"/>
    <s v="1300002662"/>
    <s v="FT-0F002-0000323"/>
    <x v="1"/>
    <d v="2026-04-29T00:00:00"/>
    <n v="54"/>
    <d v="2026-04-29T00:00:00"/>
    <n v="36040"/>
    <s v="USD"/>
    <x v="1"/>
    <d v="2026-06-13T00:00:00"/>
    <n v="-1"/>
    <d v="2026-06-30T00:00:00"/>
    <x v="20"/>
    <n v="0"/>
    <n v="61"/>
    <s v="46-60"/>
  </r>
  <r>
    <s v="2000001398"/>
    <x v="11"/>
    <s v="1200001877"/>
    <s v="01-0F002-0000331"/>
    <x v="2"/>
    <d v="2026-05-17T00:00:00"/>
    <n v="-9"/>
    <d v="2026-07-01T00:00:00"/>
    <n v="53812.5"/>
    <s v="USD"/>
    <x v="1"/>
    <d v="2026-07-01T00:00:00"/>
    <n v="-2"/>
    <d v="2026-07-01T00:00:00"/>
    <x v="19"/>
    <n v="0"/>
    <n v="43"/>
    <s v="0-45"/>
  </r>
  <r>
    <s v="1000006830"/>
    <x v="12"/>
    <s v="1200002153"/>
    <s v="01-0F101-0006689"/>
    <x v="0"/>
    <d v="2026-06-01T00:00:00"/>
    <n v="14"/>
    <d v="2026-06-08T00:00:00"/>
    <n v="442.41"/>
    <s v="PEN"/>
    <x v="0"/>
    <m/>
    <m/>
    <d v="2026-06-08T00:00:00"/>
    <x v="17"/>
    <n v="130.65859421145896"/>
    <m/>
    <m/>
  </r>
  <r>
    <s v="1000006830"/>
    <x v="12"/>
    <s v="1200002154"/>
    <s v="01-0F101-0006690"/>
    <x v="0"/>
    <d v="2026-06-01T00:00:00"/>
    <n v="14"/>
    <d v="2026-06-08T00:00:00"/>
    <n v="159.30000000000001"/>
    <s v="PEN"/>
    <x v="0"/>
    <m/>
    <m/>
    <d v="2026-06-08T00:00:00"/>
    <x v="17"/>
    <n v="47.046662728883639"/>
    <m/>
    <m/>
  </r>
  <r>
    <s v="1000006830"/>
    <x v="12"/>
    <s v="1200002168"/>
    <s v="01-0F101-0006702"/>
    <x v="0"/>
    <d v="2026-06-01T00:00:00"/>
    <n v="14"/>
    <d v="2026-06-08T00:00:00"/>
    <n v="991.2"/>
    <s v="PEN"/>
    <x v="0"/>
    <m/>
    <m/>
    <d v="2026-06-08T00:00:00"/>
    <x v="17"/>
    <n v="292.73479031305374"/>
    <m/>
    <m/>
  </r>
  <r>
    <s v="1000006830"/>
    <x v="12"/>
    <s v="1200002169"/>
    <s v="01-0F101-0006703"/>
    <x v="0"/>
    <d v="2026-06-01T00:00:00"/>
    <n v="14"/>
    <d v="2026-06-08T00:00:00"/>
    <n v="106.2"/>
    <s v="PEN"/>
    <x v="0"/>
    <m/>
    <m/>
    <d v="2026-06-08T00:00:00"/>
    <x v="17"/>
    <n v="31.364441819255759"/>
    <m/>
    <m/>
  </r>
  <r>
    <s v="1000006830"/>
    <x v="12"/>
    <s v="1200002197"/>
    <s v="01-0F101-0006725"/>
    <x v="0"/>
    <d v="2026-06-02T00:00:00"/>
    <n v="13"/>
    <d v="2026-06-09T00:00:00"/>
    <n v="70.8"/>
    <s v="PEN"/>
    <x v="0"/>
    <m/>
    <m/>
    <d v="2026-06-09T00:00:00"/>
    <x v="25"/>
    <n v="20.909627879503837"/>
    <m/>
    <m/>
  </r>
  <r>
    <s v="1000006830"/>
    <x v="12"/>
    <s v="1200002204"/>
    <s v="01-0F101-0006732"/>
    <x v="0"/>
    <d v="2026-06-02T00:00:00"/>
    <n v="13"/>
    <d v="2026-06-09T00:00:00"/>
    <n v="316.24"/>
    <s v="PEN"/>
    <x v="0"/>
    <m/>
    <m/>
    <d v="2026-06-09T00:00:00"/>
    <x v="25"/>
    <n v="93.39633786178382"/>
    <m/>
    <m/>
  </r>
  <r>
    <s v="1000006830"/>
    <x v="12"/>
    <s v="1200002235"/>
    <s v="01-0F101-0006751"/>
    <x v="0"/>
    <d v="2026-06-03T00:00:00"/>
    <n v="12"/>
    <d v="2026-06-10T00:00:00"/>
    <n v="1306.97"/>
    <s v="PEN"/>
    <x v="0"/>
    <m/>
    <m/>
    <d v="2026-06-10T00:00:00"/>
    <x v="18"/>
    <n v="385.9923213230951"/>
    <m/>
    <m/>
  </r>
  <r>
    <s v="1000006830"/>
    <x v="12"/>
    <s v="1200002236"/>
    <s v="01-0F101-0006752"/>
    <x v="0"/>
    <d v="2026-06-03T00:00:00"/>
    <n v="12"/>
    <d v="2026-06-10T00:00:00"/>
    <n v="118"/>
    <s v="PEN"/>
    <x v="0"/>
    <m/>
    <m/>
    <d v="2026-06-10T00:00:00"/>
    <x v="18"/>
    <n v="34.849379799173064"/>
    <m/>
    <m/>
  </r>
  <r>
    <s v="1000006830"/>
    <x v="12"/>
    <s v="1200002251"/>
    <s v="01-0F101-0006765"/>
    <x v="0"/>
    <d v="2026-06-04T00:00:00"/>
    <n v="11"/>
    <d v="2026-06-11T00:00:00"/>
    <n v="689.21"/>
    <s v="PEN"/>
    <x v="0"/>
    <m/>
    <m/>
    <d v="2026-06-11T00:00:00"/>
    <x v="26"/>
    <n v="203.54695806261074"/>
    <m/>
    <m/>
  </r>
  <r>
    <s v="1000006830"/>
    <x v="12"/>
    <s v="1200002252"/>
    <s v="01-0F101-0006766"/>
    <x v="0"/>
    <d v="2026-06-04T00:00:00"/>
    <n v="11"/>
    <d v="2026-06-11T00:00:00"/>
    <n v="194.7"/>
    <s v="PEN"/>
    <x v="0"/>
    <m/>
    <m/>
    <d v="2026-06-11T00:00:00"/>
    <x v="26"/>
    <n v="57.501476668635554"/>
    <m/>
    <m/>
  </r>
  <r>
    <s v="1000006830"/>
    <x v="12"/>
    <s v="1200002255"/>
    <s v="01-0F101-0006769"/>
    <x v="0"/>
    <d v="2026-06-04T00:00:00"/>
    <n v="11"/>
    <d v="2026-06-11T00:00:00"/>
    <n v="589.29"/>
    <s v="PEN"/>
    <x v="0"/>
    <m/>
    <m/>
    <d v="2026-06-11T00:00:00"/>
    <x v="26"/>
    <n v="174.03721204961604"/>
    <m/>
    <m/>
  </r>
  <r>
    <s v="1000006830"/>
    <x v="12"/>
    <s v="1200002256"/>
    <s v="01-0F101-0006770"/>
    <x v="0"/>
    <d v="2026-06-04T00:00:00"/>
    <n v="11"/>
    <d v="2026-06-11T00:00:00"/>
    <n v="70.8"/>
    <s v="PEN"/>
    <x v="0"/>
    <m/>
    <m/>
    <d v="2026-06-11T00:00:00"/>
    <x v="26"/>
    <n v="20.909627879503837"/>
    <m/>
    <m/>
  </r>
  <r>
    <s v="1000006830"/>
    <x v="12"/>
    <s v="1200002263"/>
    <s v="01-0F101-0006775"/>
    <x v="0"/>
    <d v="2026-06-04T00:00:00"/>
    <n v="11"/>
    <d v="2026-06-11T00:00:00"/>
    <n v="415.97"/>
    <s v="PEN"/>
    <x v="0"/>
    <m/>
    <m/>
    <d v="2026-06-11T00:00:00"/>
    <x v="26"/>
    <n v="122.8499704666273"/>
    <m/>
    <m/>
  </r>
  <r>
    <s v="1000006830"/>
    <x v="12"/>
    <s v="1200002264"/>
    <s v="01-0F101-0006776"/>
    <x v="0"/>
    <d v="2026-06-04T00:00:00"/>
    <n v="11"/>
    <d v="2026-06-11T00:00:00"/>
    <n v="135.69999999999999"/>
    <s v="PEN"/>
    <x v="0"/>
    <m/>
    <m/>
    <d v="2026-06-11T00:00:00"/>
    <x v="26"/>
    <n v="40.076786769049022"/>
    <m/>
    <m/>
  </r>
  <r>
    <s v="1000006830"/>
    <x v="12"/>
    <s v="1200002314"/>
    <s v="01-0F101-0006820"/>
    <x v="0"/>
    <d v="2026-06-08T00:00:00"/>
    <n v="7"/>
    <d v="2026-06-15T00:00:00"/>
    <n v="352.54"/>
    <s v="PEN"/>
    <x v="0"/>
    <m/>
    <m/>
    <d v="2026-06-15T00:00:00"/>
    <x v="27"/>
    <n v="104.1169521559362"/>
    <m/>
    <m/>
  </r>
  <r>
    <s v="1000006830"/>
    <x v="12"/>
    <s v="1200002315"/>
    <s v="01-0F101-0006821"/>
    <x v="0"/>
    <d v="2026-06-08T00:00:00"/>
    <n v="7"/>
    <d v="2026-06-15T00:00:00"/>
    <n v="153.4"/>
    <s v="PEN"/>
    <x v="0"/>
    <m/>
    <m/>
    <d v="2026-06-15T00:00:00"/>
    <x v="27"/>
    <n v="45.304193738924987"/>
    <m/>
    <m/>
  </r>
  <r>
    <s v="1000006830"/>
    <x v="12"/>
    <s v="1200002375"/>
    <s v="01-0F101-0006865"/>
    <x v="0"/>
    <d v="2026-06-10T00:00:00"/>
    <n v="5"/>
    <d v="2026-06-17T00:00:00"/>
    <n v="880.28"/>
    <s v="PEN"/>
    <x v="0"/>
    <m/>
    <m/>
    <d v="2026-06-17T00:00:00"/>
    <x v="21"/>
    <n v="259.97637330183107"/>
    <m/>
    <m/>
  </r>
  <r>
    <s v="1000006830"/>
    <x v="12"/>
    <s v="1200002376"/>
    <s v="01-0F101-0006866"/>
    <x v="0"/>
    <d v="2026-06-10T00:00:00"/>
    <n v="5"/>
    <d v="2026-06-17T00:00:00"/>
    <n v="118"/>
    <s v="PEN"/>
    <x v="0"/>
    <m/>
    <m/>
    <d v="2026-06-17T00:00:00"/>
    <x v="21"/>
    <n v="34.849379799173064"/>
    <m/>
    <m/>
  </r>
  <r>
    <s v="1000006830"/>
    <x v="12"/>
    <s v="1200002418"/>
    <s v="01-0F101-0006889"/>
    <x v="0"/>
    <d v="2026-06-11T00:00:00"/>
    <n v="4"/>
    <d v="2026-06-18T00:00:00"/>
    <n v="308.69"/>
    <s v="PEN"/>
    <x v="0"/>
    <m/>
    <m/>
    <d v="2026-06-18T00:00:00"/>
    <x v="15"/>
    <n v="91.166568222090959"/>
    <m/>
    <m/>
  </r>
  <r>
    <s v="1000006830"/>
    <x v="12"/>
    <s v="1200002419"/>
    <s v="01-0F101-0006890"/>
    <x v="0"/>
    <d v="2026-06-11T00:00:00"/>
    <n v="4"/>
    <d v="2026-06-18T00:00:00"/>
    <n v="70.8"/>
    <s v="PEN"/>
    <x v="0"/>
    <m/>
    <m/>
    <d v="2026-06-18T00:00:00"/>
    <x v="15"/>
    <n v="20.909627879503837"/>
    <m/>
    <m/>
  </r>
  <r>
    <s v="1000006830"/>
    <x v="12"/>
    <s v="1200002439"/>
    <s v="01-0F101-0006908"/>
    <x v="0"/>
    <d v="2026-06-11T00:00:00"/>
    <n v="4"/>
    <d v="2026-06-18T00:00:00"/>
    <n v="553.75"/>
    <s v="PEN"/>
    <x v="0"/>
    <m/>
    <m/>
    <d v="2026-06-18T00:00:00"/>
    <x v="15"/>
    <n v="163.54105138806852"/>
    <m/>
    <m/>
  </r>
  <r>
    <s v="1000006830"/>
    <x v="12"/>
    <s v="1200002440"/>
    <s v="01-0F101-0006909"/>
    <x v="0"/>
    <d v="2026-06-11T00:00:00"/>
    <n v="4"/>
    <d v="2026-06-18T00:00:00"/>
    <n v="177"/>
    <s v="PEN"/>
    <x v="0"/>
    <m/>
    <m/>
    <d v="2026-06-18T00:00:00"/>
    <x v="15"/>
    <n v="52.274069698759597"/>
    <m/>
    <m/>
  </r>
  <r>
    <s v="1000006830"/>
    <x v="12"/>
    <s v="1200002464"/>
    <s v="01-0F101-0006927"/>
    <x v="0"/>
    <d v="2026-06-12T00:00:00"/>
    <n v="3"/>
    <d v="2026-06-19T00:00:00"/>
    <n v="731.84"/>
    <s v="PEN"/>
    <x v="0"/>
    <m/>
    <m/>
    <d v="2026-06-19T00:00:00"/>
    <x v="22"/>
    <n v="216.1370348493798"/>
    <m/>
    <m/>
  </r>
  <r>
    <s v="1000006830"/>
    <x v="12"/>
    <s v="1200002465"/>
    <s v="01-0F101-0006928"/>
    <x v="0"/>
    <d v="2026-06-12T00:00:00"/>
    <n v="3"/>
    <d v="2026-06-19T00:00:00"/>
    <n v="70.8"/>
    <s v="PEN"/>
    <x v="0"/>
    <m/>
    <m/>
    <d v="2026-06-19T00:00:00"/>
    <x v="22"/>
    <n v="20.909627879503837"/>
    <m/>
    <m/>
  </r>
  <r>
    <s v="1000006830"/>
    <x v="12"/>
    <s v="1200002467"/>
    <s v="01-0F101-0006930"/>
    <x v="0"/>
    <d v="2026-06-12T00:00:00"/>
    <n v="3"/>
    <d v="2026-06-19T00:00:00"/>
    <n v="296.89"/>
    <s v="PEN"/>
    <x v="0"/>
    <m/>
    <m/>
    <d v="2026-06-19T00:00:00"/>
    <x v="22"/>
    <n v="87.681630242173654"/>
    <m/>
    <m/>
  </r>
  <r>
    <s v="1000006830"/>
    <x v="12"/>
    <s v="1200002468"/>
    <s v="01-0F101-0006931"/>
    <x v="0"/>
    <d v="2026-06-12T00:00:00"/>
    <n v="3"/>
    <d v="2026-06-19T00:00:00"/>
    <n v="35.4"/>
    <s v="PEN"/>
    <x v="0"/>
    <m/>
    <m/>
    <d v="2026-06-19T00:00:00"/>
    <x v="22"/>
    <n v="10.454813939751919"/>
    <m/>
    <m/>
  </r>
  <r>
    <s v="1000006830"/>
    <x v="12"/>
    <s v="1200002512"/>
    <s v="01-0F101-0006973"/>
    <x v="0"/>
    <d v="2026-06-13T00:00:00"/>
    <n v="2"/>
    <d v="2026-06-20T00:00:00"/>
    <n v="616.20000000000005"/>
    <s v="PEN"/>
    <x v="0"/>
    <m/>
    <m/>
    <d v="2026-06-20T00:00:00"/>
    <x v="28"/>
    <n v="181.9846426461902"/>
    <m/>
    <m/>
  </r>
  <r>
    <s v="1000006830"/>
    <x v="12"/>
    <s v="1200002513"/>
    <s v="01-0F101-0006974"/>
    <x v="0"/>
    <d v="2026-06-13T00:00:00"/>
    <n v="2"/>
    <d v="2026-06-20T00:00:00"/>
    <n v="194.7"/>
    <s v="PEN"/>
    <x v="0"/>
    <m/>
    <m/>
    <d v="2026-06-20T00:00:00"/>
    <x v="28"/>
    <n v="57.501476668635554"/>
    <m/>
    <m/>
  </r>
  <r>
    <s v="1000006830"/>
    <x v="12"/>
    <s v="1200002523"/>
    <s v="01-0F101-0006982"/>
    <x v="0"/>
    <d v="2026-06-14T00:00:00"/>
    <n v="1"/>
    <d v="2026-06-21T00:00:00"/>
    <n v="952.5"/>
    <s v="PEN"/>
    <x v="0"/>
    <m/>
    <m/>
    <d v="2026-06-21T00:00:00"/>
    <x v="29"/>
    <n v="281.30537507383343"/>
    <m/>
    <m/>
  </r>
  <r>
    <s v="1000006830"/>
    <x v="12"/>
    <s v="1200002524"/>
    <s v="01-0F101-0006983"/>
    <x v="0"/>
    <d v="2026-06-14T00:00:00"/>
    <n v="1"/>
    <d v="2026-06-21T00:00:00"/>
    <n v="118"/>
    <s v="PEN"/>
    <x v="0"/>
    <m/>
    <m/>
    <d v="2026-06-21T00:00:00"/>
    <x v="29"/>
    <n v="34.849379799173064"/>
    <m/>
    <m/>
  </r>
  <r>
    <s v="1000006830"/>
    <x v="12"/>
    <s v="1200002558"/>
    <s v="01-0F101-0007006"/>
    <x v="0"/>
    <d v="2026-06-16T00:00:00"/>
    <n v="-1"/>
    <d v="2026-06-23T00:00:00"/>
    <n v="402.14"/>
    <s v="PEN"/>
    <x v="0"/>
    <m/>
    <m/>
    <d v="2026-06-23T00:00:00"/>
    <x v="24"/>
    <n v="118.76550502067336"/>
    <m/>
    <m/>
  </r>
  <r>
    <s v="1000006830"/>
    <x v="12"/>
    <s v="1200002559"/>
    <s v="01-0F101-0007007"/>
    <x v="0"/>
    <d v="2026-06-16T00:00:00"/>
    <n v="-1"/>
    <d v="2026-06-23T00:00:00"/>
    <n v="47.2"/>
    <s v="PEN"/>
    <x v="0"/>
    <m/>
    <m/>
    <d v="2026-06-23T00:00:00"/>
    <x v="24"/>
    <n v="13.939751919669227"/>
    <m/>
    <m/>
  </r>
  <r>
    <s v="1000006830"/>
    <x v="12"/>
    <s v="1200002575"/>
    <s v="01-0F101-0007016"/>
    <x v="0"/>
    <d v="2026-06-17T00:00:00"/>
    <n v="-2"/>
    <d v="2026-06-24T00:00:00"/>
    <n v="763.88"/>
    <s v="PEN"/>
    <x v="0"/>
    <m/>
    <m/>
    <d v="2026-06-24T00:00:00"/>
    <x v="16"/>
    <n v="225.59952746603662"/>
    <m/>
    <m/>
  </r>
  <r>
    <s v="1000006830"/>
    <x v="12"/>
    <s v="1200002576"/>
    <s v="01-0F101-0007017"/>
    <x v="0"/>
    <d v="2026-06-17T00:00:00"/>
    <n v="-2"/>
    <d v="2026-06-24T00:00:00"/>
    <n v="177"/>
    <s v="PEN"/>
    <x v="0"/>
    <m/>
    <m/>
    <d v="2026-06-24T00:00:00"/>
    <x v="16"/>
    <n v="52.274069698759597"/>
    <m/>
    <m/>
  </r>
  <r>
    <s v="1000006830"/>
    <x v="12"/>
    <s v="1200002612"/>
    <s v="01-0F101-0007047"/>
    <x v="0"/>
    <d v="2026-06-19T00:00:00"/>
    <n v="-4"/>
    <d v="2026-06-26T00:00:00"/>
    <n v="372.41"/>
    <s v="PEN"/>
    <x v="0"/>
    <m/>
    <m/>
    <d v="2026-06-26T00:00:00"/>
    <x v="30"/>
    <n v="109.98523331364443"/>
    <m/>
    <m/>
  </r>
  <r>
    <s v="1000006830"/>
    <x v="12"/>
    <s v="1200002613"/>
    <s v="01-0F101-0007048"/>
    <x v="0"/>
    <d v="2026-06-19T00:00:00"/>
    <n v="-4"/>
    <d v="2026-06-26T00:00:00"/>
    <n v="47.2"/>
    <s v="PEN"/>
    <x v="0"/>
    <m/>
    <m/>
    <d v="2026-06-26T00:00:00"/>
    <x v="30"/>
    <n v="13.939751919669227"/>
    <m/>
    <m/>
  </r>
  <r>
    <s v="1000006830"/>
    <x v="12"/>
    <s v="1200002624"/>
    <s v="01-0F101-0007059"/>
    <x v="0"/>
    <d v="2026-06-20T00:00:00"/>
    <n v="-5"/>
    <d v="2026-06-27T00:00:00"/>
    <n v="687.89"/>
    <s v="PEN"/>
    <x v="0"/>
    <m/>
    <m/>
    <d v="2026-06-27T00:00:00"/>
    <x v="31"/>
    <n v="203.15711754282339"/>
    <m/>
    <m/>
  </r>
  <r>
    <s v="1000006830"/>
    <x v="12"/>
    <s v="1200002625"/>
    <s v="01-0F101-0007060"/>
    <x v="0"/>
    <d v="2026-06-20T00:00:00"/>
    <n v="-5"/>
    <d v="2026-06-27T00:00:00"/>
    <n v="194.7"/>
    <s v="PEN"/>
    <x v="0"/>
    <m/>
    <m/>
    <d v="2026-06-27T00:00:00"/>
    <x v="31"/>
    <n v="57.501476668635554"/>
    <m/>
    <m/>
  </r>
  <r>
    <s v="2000001459"/>
    <x v="13"/>
    <s v="1300004230"/>
    <s v="ANTICIPO FP242"/>
    <x v="3"/>
    <d v="2026-05-26T00:00:00"/>
    <n v="0"/>
    <d v="2026-05-31T00:00:00"/>
    <n v="-34580"/>
    <s v="USD"/>
    <x v="1"/>
    <d v="2026-07-10T00:00:00"/>
    <m/>
    <d v="2026-05-26T00:00:00"/>
    <x v="32"/>
    <n v="-34580"/>
    <n v="34"/>
    <s v="0-45"/>
  </r>
  <r>
    <s v="2000001172"/>
    <x v="14"/>
    <s v="1300004713"/>
    <s v="SALDO A FAVOR"/>
    <x v="1"/>
    <d v="2026-04-28T00:00:00"/>
    <n v="0"/>
    <d v="2026-04-28T00:00:00"/>
    <n v="-1504"/>
    <s v="USD"/>
    <x v="1"/>
    <d v="2026-06-12T00:00:00"/>
    <m/>
    <d v="2026-04-28T00:00:00"/>
    <x v="33"/>
    <n v="-1504"/>
    <n v="62"/>
    <s v="46-60"/>
  </r>
  <r>
    <s v="2000001172"/>
    <x v="14"/>
    <s v="1300004024"/>
    <s v="ANTICIPO FP238"/>
    <x v="3"/>
    <d v="2026-05-13T00:00:00"/>
    <n v="0"/>
    <d v="2026-05-31T00:00:00"/>
    <n v="-36370"/>
    <s v="USD"/>
    <x v="1"/>
    <d v="2026-06-27T00:00:00"/>
    <m/>
    <d v="2026-05-13T00:00:00"/>
    <x v="34"/>
    <n v="-36370"/>
    <n v="47"/>
    <s v="0-45"/>
  </r>
  <r>
    <s v="2000001172"/>
    <x v="14"/>
    <s v="1200002324"/>
    <s v="01-0F002-0000366"/>
    <x v="2"/>
    <d v="2026-06-05T00:00:00"/>
    <n v="-28"/>
    <d v="2026-07-20T00:00:00"/>
    <n v="35224"/>
    <s v="USD"/>
    <x v="1"/>
    <d v="2026-07-20T00:00:00"/>
    <n v="-21"/>
    <d v="2026-07-20T00:00:00"/>
    <x v="35"/>
    <n v="35224"/>
    <n v="24"/>
    <s v="0-45"/>
  </r>
  <r>
    <s v="2000001172"/>
    <x v="14"/>
    <s v="1300004844"/>
    <s v="ANTICIPO FP-248"/>
    <x v="3"/>
    <d v="2026-06-08T00:00:00"/>
    <n v="0"/>
    <d v="2026-06-30T00:00:00"/>
    <n v="-33677"/>
    <s v="USD"/>
    <x v="1"/>
    <d v="2026-07-23T00:00:00"/>
    <m/>
    <d v="2026-06-08T00:00:00"/>
    <x v="17"/>
    <n v="-33677"/>
    <n v="21"/>
    <s v="0-45"/>
  </r>
  <r>
    <s v="2000001172"/>
    <x v="14"/>
    <s v="1300004857"/>
    <s v="ANTICIPO FP-228"/>
    <x v="3"/>
    <d v="2026-06-11T00:00:00"/>
    <n v="0"/>
    <d v="2026-06-30T00:00:00"/>
    <n v="-20250"/>
    <s v="USD"/>
    <x v="1"/>
    <d v="2026-07-26T00:00:00"/>
    <m/>
    <d v="2026-06-11T00:00:00"/>
    <x v="26"/>
    <n v="-20250"/>
    <n v="18"/>
    <s v="0-45"/>
  </r>
  <r>
    <s v="2000000231"/>
    <x v="15"/>
    <s v="1200001730"/>
    <s v="01-0F002-0000326"/>
    <x v="2"/>
    <d v="2026-05-12T00:00:00"/>
    <n v="-4"/>
    <d v="2026-06-26T00:00:00"/>
    <n v="420417"/>
    <s v="USD"/>
    <x v="1"/>
    <d v="2026-06-26T00:00:00"/>
    <n v="3"/>
    <d v="2026-06-26T00:00:00"/>
    <x v="30"/>
    <n v="420417"/>
    <n v="48"/>
    <s v="0-45"/>
  </r>
  <r>
    <s v="2000000231"/>
    <x v="15"/>
    <s v="1200001990"/>
    <s v="01-0F002-0000337"/>
    <x v="2"/>
    <d v="2026-05-22T00:00:00"/>
    <n v="-14"/>
    <d v="2026-07-06T00:00:00"/>
    <n v="103806"/>
    <s v="USD"/>
    <x v="1"/>
    <d v="2026-07-06T00:00:00"/>
    <n v="-7"/>
    <d v="2026-07-06T00:00:00"/>
    <x v="10"/>
    <n v="103806"/>
    <n v="38"/>
    <s v="0-45"/>
  </r>
  <r>
    <s v="2000000231"/>
    <x v="15"/>
    <s v="1200002034"/>
    <s v="01-0F002-0000344"/>
    <x v="2"/>
    <d v="2026-05-24T00:00:00"/>
    <n v="-16"/>
    <d v="2026-07-08T00:00:00"/>
    <n v="104872.5"/>
    <s v="USD"/>
    <x v="1"/>
    <d v="2026-07-08T00:00:00"/>
    <n v="-9"/>
    <d v="2026-07-08T00:00:00"/>
    <x v="36"/>
    <n v="104872.5"/>
    <n v="36"/>
    <s v="0-45"/>
  </r>
  <r>
    <s v="2000000231"/>
    <x v="15"/>
    <s v="1300004860"/>
    <s v="FT-0F002-0000346"/>
    <x v="1"/>
    <d v="2026-05-24T00:00:00"/>
    <n v="29"/>
    <d v="2026-05-24T00:00:00"/>
    <n v="157950"/>
    <s v="USD"/>
    <x v="1"/>
    <d v="2026-07-08T00:00:00"/>
    <n v="-9"/>
    <d v="2026-07-08T00:00:00"/>
    <x v="36"/>
    <n v="157950"/>
    <n v="36"/>
    <s v="0-45"/>
  </r>
  <r>
    <s v="2000000231"/>
    <x v="15"/>
    <s v="1200002130"/>
    <s v="01-0F002-0000354"/>
    <x v="2"/>
    <d v="2026-05-29T00:00:00"/>
    <n v="-21"/>
    <d v="2026-07-13T00:00:00"/>
    <n v="104161.5"/>
    <s v="USD"/>
    <x v="1"/>
    <d v="2026-07-13T00:00:00"/>
    <n v="-14"/>
    <d v="2026-07-13T00:00:00"/>
    <x v="13"/>
    <n v="104161.5"/>
    <n v="31"/>
    <s v="0-45"/>
  </r>
  <r>
    <s v="2000000231"/>
    <x v="15"/>
    <s v="1200002133"/>
    <s v="01-0F002-0000357"/>
    <x v="2"/>
    <d v="2026-05-29T00:00:00"/>
    <n v="-21"/>
    <d v="2026-07-13T00:00:00"/>
    <n v="105300"/>
    <s v="USD"/>
    <x v="1"/>
    <d v="2026-07-13T00:00:00"/>
    <n v="-14"/>
    <d v="2026-07-13T00:00:00"/>
    <x v="13"/>
    <n v="105300"/>
    <n v="31"/>
    <s v="0-45"/>
  </r>
  <r>
    <s v="2000000231"/>
    <x v="15"/>
    <s v="1200002635"/>
    <s v="01-0F002-0000371"/>
    <x v="2"/>
    <d v="2026-06-19T00:00:00"/>
    <n v="-42"/>
    <d v="2026-08-03T00:00:00"/>
    <n v="421200"/>
    <s v="USD"/>
    <x v="1"/>
    <d v="2026-08-03T00:00:00"/>
    <m/>
    <d v="2026-07-04T00:00:00"/>
    <x v="37"/>
    <n v="210600"/>
    <n v="10"/>
    <s v="0-45"/>
  </r>
  <r>
    <s v="2000000231"/>
    <x v="15"/>
    <s v="1200002635"/>
    <s v="01-0F002-0000371"/>
    <x v="2"/>
    <d v="2026-06-19T00:00:00"/>
    <n v="-42"/>
    <d v="2026-08-03T00:00:00"/>
    <n v="421200"/>
    <s v="USD"/>
    <x v="1"/>
    <d v="2026-08-03T00:00:00"/>
    <m/>
    <d v="2026-08-03T00:00:00"/>
    <x v="38"/>
    <n v="210600"/>
    <n v="10"/>
    <s v="0-45"/>
  </r>
  <r>
    <s v="2000000233"/>
    <x v="16"/>
    <s v="1300004714"/>
    <s v="FT-0F002-0000350"/>
    <x v="1"/>
    <d v="2026-05-24T00:00:00"/>
    <n v="29"/>
    <d v="2026-05-24T00:00:00"/>
    <n v="212594"/>
    <s v="USD"/>
    <x v="1"/>
    <d v="2026-07-08T00:00:00"/>
    <n v="-9"/>
    <d v="2026-07-08T00:00:00"/>
    <x v="36"/>
    <n v="212594"/>
    <n v="36"/>
    <s v="0-45"/>
  </r>
  <r>
    <s v="2000000233"/>
    <x v="16"/>
    <s v="1200002140"/>
    <s v="01-0F002-0000364"/>
    <x v="2"/>
    <d v="2026-05-29T00:00:00"/>
    <n v="-21"/>
    <d v="2026-07-13T00:00:00"/>
    <n v="54540"/>
    <s v="USD"/>
    <x v="1"/>
    <d v="2026-07-13T00:00:00"/>
    <n v="-14"/>
    <d v="2026-07-13T00:00:00"/>
    <x v="13"/>
    <n v="54540"/>
    <n v="31"/>
    <s v="0-45"/>
  </r>
  <r>
    <s v="2000000233"/>
    <x v="16"/>
    <s v="1300004855"/>
    <s v="ANTICIPO FP-249"/>
    <x v="3"/>
    <d v="2026-06-09T00:00:00"/>
    <n v="0"/>
    <d v="2026-06-30T00:00:00"/>
    <n v="-159925"/>
    <s v="USD"/>
    <x v="1"/>
    <d v="2026-07-24T00:00:00"/>
    <m/>
    <d v="2026-06-09T00:00:00"/>
    <x v="25"/>
    <n v="-159925"/>
    <n v="20"/>
    <s v="0-45"/>
  </r>
  <r>
    <s v="2000000233"/>
    <x v="16"/>
    <s v="1200002541"/>
    <s v="01-0F002-0000367"/>
    <x v="2"/>
    <d v="2026-06-13T00:00:00"/>
    <n v="-36"/>
    <d v="2026-07-28T00:00:00"/>
    <n v="113004"/>
    <s v="USD"/>
    <x v="1"/>
    <d v="2026-07-28T00:00:00"/>
    <m/>
    <d v="2026-07-28T00:00:00"/>
    <x v="39"/>
    <n v="113004"/>
    <n v="16"/>
    <s v="0-45"/>
  </r>
  <r>
    <s v="2000001409"/>
    <x v="17"/>
    <s v="1300004861"/>
    <s v="FT-0F002-0000319"/>
    <x v="1"/>
    <d v="2026-04-29T00:00:00"/>
    <n v="54"/>
    <d v="2026-04-29T00:00:00"/>
    <n v="254390"/>
    <s v="USD"/>
    <x v="1"/>
    <d v="2026-06-13T00:00:00"/>
    <n v="-1"/>
    <d v="2026-06-30T00:00:00"/>
    <x v="20"/>
    <n v="254390"/>
    <n v="61"/>
    <s v="46-60"/>
  </r>
  <r>
    <s v="2000001409"/>
    <x v="17"/>
    <s v="1200001874"/>
    <s v="01-0F002-0000328"/>
    <x v="2"/>
    <d v="2026-05-17T00:00:00"/>
    <n v="-9"/>
    <d v="2026-07-01T00:00:00"/>
    <n v="113820"/>
    <s v="USD"/>
    <x v="1"/>
    <d v="2026-07-01T00:00:00"/>
    <n v="-2"/>
    <d v="2026-07-01T00:00:00"/>
    <x v="19"/>
    <n v="113820"/>
    <n v="43"/>
    <s v="0-45"/>
  </r>
  <r>
    <s v="2000001409"/>
    <x v="17"/>
    <s v="1200001989"/>
    <s v="01-0F002-0000336"/>
    <x v="2"/>
    <d v="2026-05-22T00:00:00"/>
    <n v="-14"/>
    <d v="2026-07-06T00:00:00"/>
    <n v="56280"/>
    <s v="USD"/>
    <x v="1"/>
    <d v="2026-07-06T00:00:00"/>
    <n v="-7"/>
    <d v="2026-07-06T00:00:00"/>
    <x v="10"/>
    <n v="56280"/>
    <n v="38"/>
    <s v="0-45"/>
  </r>
  <r>
    <s v="2000001409"/>
    <x v="17"/>
    <s v="1200002038"/>
    <s v="01-0F002-0000348"/>
    <x v="2"/>
    <d v="2026-05-24T00:00:00"/>
    <n v="-16"/>
    <d v="2026-07-08T00:00:00"/>
    <n v="113400"/>
    <s v="USD"/>
    <x v="1"/>
    <d v="2026-07-08T00:00:00"/>
    <n v="-9"/>
    <d v="2026-07-08T00:00:00"/>
    <x v="36"/>
    <n v="113400"/>
    <n v="36"/>
    <s v="0-45"/>
  </r>
  <r>
    <s v="2000001409"/>
    <x v="17"/>
    <s v="1200002132"/>
    <s v="01-0F002-0000356"/>
    <x v="2"/>
    <d v="2026-05-29T00:00:00"/>
    <n v="-21"/>
    <d v="2026-07-13T00:00:00"/>
    <n v="56700"/>
    <s v="USD"/>
    <x v="1"/>
    <d v="2026-07-13T00:00:00"/>
    <n v="-14"/>
    <d v="2026-07-13T00:00:00"/>
    <x v="13"/>
    <n v="56700"/>
    <n v="31"/>
    <s v="0-45"/>
  </r>
  <r>
    <s v="6002007"/>
    <x v="18"/>
    <s v="1200005141"/>
    <s v="01-0F101-0004638"/>
    <x v="0"/>
    <d v="2025-11-03T00:00:00"/>
    <n v="224"/>
    <d v="2025-11-10T00:00:00"/>
    <n v="1403.26"/>
    <s v="PEN"/>
    <x v="2"/>
    <m/>
    <m/>
    <d v="2025-11-10T00:00:00"/>
    <x v="40"/>
    <n v="414.43000590667452"/>
    <m/>
    <m/>
  </r>
  <r>
    <s v="6002007"/>
    <x v="18"/>
    <s v="1200005142"/>
    <s v="01-0F101-0004639"/>
    <x v="0"/>
    <d v="2025-11-03T00:00:00"/>
    <n v="224"/>
    <d v="2025-11-10T00:00:00"/>
    <n v="141.6"/>
    <s v="PEN"/>
    <x v="2"/>
    <m/>
    <m/>
    <d v="2025-11-10T00:00:00"/>
    <x v="40"/>
    <n v="41.819255759007675"/>
    <m/>
    <m/>
  </r>
  <r>
    <s v="6002007"/>
    <x v="18"/>
    <s v="1200005158"/>
    <s v="01-0F101-0004653"/>
    <x v="0"/>
    <d v="2025-11-06T00:00:00"/>
    <n v="221"/>
    <d v="2025-11-13T00:00:00"/>
    <n v="1193.22"/>
    <s v="PEN"/>
    <x v="2"/>
    <m/>
    <m/>
    <d v="2025-11-13T00:00:00"/>
    <x v="41"/>
    <n v="352.39810986414648"/>
    <m/>
    <m/>
  </r>
  <r>
    <s v="6002007"/>
    <x v="18"/>
    <s v="1200005159"/>
    <s v="01-0F101-0004654"/>
    <x v="0"/>
    <d v="2025-11-06T00:00:00"/>
    <n v="221"/>
    <d v="2025-11-13T00:00:00"/>
    <n v="106.2"/>
    <s v="PEN"/>
    <x v="2"/>
    <m/>
    <m/>
    <d v="2025-11-13T00:00:00"/>
    <x v="41"/>
    <n v="31.364441819255759"/>
    <m/>
    <m/>
  </r>
  <r>
    <s v="6002007"/>
    <x v="18"/>
    <s v="1200001503"/>
    <s v="01-0F101-0006226"/>
    <x v="0"/>
    <d v="2026-05-06T00:00:00"/>
    <n v="40"/>
    <d v="2026-05-13T00:00:00"/>
    <n v="23.6"/>
    <s v="PEN"/>
    <x v="2"/>
    <m/>
    <m/>
    <d v="2026-05-13T00:00:00"/>
    <x v="34"/>
    <n v="6.9698759598346136"/>
    <m/>
    <m/>
  </r>
  <r>
    <s v="6002007"/>
    <x v="18"/>
    <s v="1200001504"/>
    <s v="01-0F101-0006227"/>
    <x v="0"/>
    <d v="2026-05-06T00:00:00"/>
    <n v="40"/>
    <d v="2026-05-13T00:00:00"/>
    <n v="261.49"/>
    <s v="PEN"/>
    <x v="2"/>
    <m/>
    <m/>
    <d v="2026-05-13T00:00:00"/>
    <x v="34"/>
    <n v="77.226816302421739"/>
    <m/>
    <m/>
  </r>
  <r>
    <s v="6002007"/>
    <x v="18"/>
    <s v="1200001509"/>
    <s v="01-0F101-0006232"/>
    <x v="0"/>
    <d v="2026-05-06T00:00:00"/>
    <n v="40"/>
    <d v="2026-05-13T00:00:00"/>
    <n v="387.51"/>
    <s v="PEN"/>
    <x v="2"/>
    <m/>
    <m/>
    <d v="2026-05-13T00:00:00"/>
    <x v="34"/>
    <n v="114.44477259303012"/>
    <m/>
    <m/>
  </r>
  <r>
    <s v="6002007"/>
    <x v="18"/>
    <s v="1200001510"/>
    <s v="01-0F101-0006233"/>
    <x v="0"/>
    <d v="2026-05-06T00:00:00"/>
    <n v="40"/>
    <d v="2026-05-13T00:00:00"/>
    <n v="35.4"/>
    <s v="PEN"/>
    <x v="2"/>
    <m/>
    <m/>
    <d v="2026-05-13T00:00:00"/>
    <x v="34"/>
    <n v="10.454813939751919"/>
    <m/>
    <m/>
  </r>
  <r>
    <s v="6002007"/>
    <x v="18"/>
    <s v="1200001609"/>
    <s v="01-0F101-0006311"/>
    <x v="0"/>
    <d v="2026-05-12T00:00:00"/>
    <n v="34"/>
    <d v="2026-05-19T00:00:00"/>
    <n v="482.86"/>
    <s v="PEN"/>
    <x v="2"/>
    <m/>
    <m/>
    <d v="2026-05-19T00:00:00"/>
    <x v="42"/>
    <n v="142.60484347312462"/>
    <m/>
    <m/>
  </r>
  <r>
    <s v="6002007"/>
    <x v="18"/>
    <s v="1200001610"/>
    <s v="01-0F101-0006312"/>
    <x v="0"/>
    <d v="2026-05-12T00:00:00"/>
    <n v="34"/>
    <d v="2026-05-19T00:00:00"/>
    <n v="47.2"/>
    <s v="PEN"/>
    <x v="2"/>
    <m/>
    <m/>
    <d v="2026-05-19T00:00:00"/>
    <x v="42"/>
    <n v="13.939751919669227"/>
    <m/>
    <m/>
  </r>
  <r>
    <s v="6002007"/>
    <x v="18"/>
    <s v="1200001789"/>
    <s v="01-0F101-0006447"/>
    <x v="0"/>
    <d v="2026-05-16T00:00:00"/>
    <n v="30"/>
    <d v="2026-05-23T00:00:00"/>
    <n v="544.45000000000005"/>
    <s v="PEN"/>
    <x v="2"/>
    <m/>
    <m/>
    <d v="2026-05-23T00:00:00"/>
    <x v="43"/>
    <n v="160.7944477259303"/>
    <m/>
    <m/>
  </r>
  <r>
    <s v="6002007"/>
    <x v="18"/>
    <s v="1200001790"/>
    <s v="01-0F101-0006448"/>
    <x v="0"/>
    <d v="2026-05-16T00:00:00"/>
    <n v="30"/>
    <d v="2026-05-23T00:00:00"/>
    <n v="47.2"/>
    <s v="PEN"/>
    <x v="2"/>
    <m/>
    <m/>
    <d v="2026-05-23T00:00:00"/>
    <x v="43"/>
    <n v="13.939751919669227"/>
    <m/>
    <m/>
  </r>
  <r>
    <s v="6002007"/>
    <x v="18"/>
    <s v="1200002045"/>
    <s v="01-0F101-0006626"/>
    <x v="0"/>
    <d v="2026-05-27T00:00:00"/>
    <n v="19"/>
    <d v="2026-06-03T00:00:00"/>
    <n v="591.65"/>
    <s v="PEN"/>
    <x v="2"/>
    <m/>
    <m/>
    <d v="2026-06-03T00:00:00"/>
    <x v="44"/>
    <n v="174.73419964559952"/>
    <m/>
    <m/>
  </r>
  <r>
    <s v="6002007"/>
    <x v="18"/>
    <s v="1200002046"/>
    <s v="01-0F101-0006627"/>
    <x v="0"/>
    <d v="2026-05-27T00:00:00"/>
    <n v="19"/>
    <d v="2026-06-03T00:00:00"/>
    <n v="70.8"/>
    <s v="PEN"/>
    <x v="2"/>
    <m/>
    <m/>
    <d v="2026-06-03T00:00:00"/>
    <x v="44"/>
    <n v="20.909627879503837"/>
    <m/>
    <m/>
  </r>
  <r>
    <s v="6002007"/>
    <x v="18"/>
    <s v="1200002186"/>
    <s v="01-0F101-0006716"/>
    <x v="0"/>
    <d v="2026-06-02T00:00:00"/>
    <n v="13"/>
    <d v="2026-06-09T00:00:00"/>
    <n v="185.97"/>
    <s v="PEN"/>
    <x v="2"/>
    <m/>
    <m/>
    <d v="2026-06-09T00:00:00"/>
    <x v="25"/>
    <n v="54.923213230950971"/>
    <m/>
    <m/>
  </r>
  <r>
    <s v="6002007"/>
    <x v="18"/>
    <s v="1200002187"/>
    <s v="01-0F101-0006717"/>
    <x v="0"/>
    <d v="2026-06-02T00:00:00"/>
    <n v="13"/>
    <d v="2026-06-09T00:00:00"/>
    <n v="23.6"/>
    <s v="PEN"/>
    <x v="2"/>
    <m/>
    <m/>
    <d v="2026-06-09T00:00:00"/>
    <x v="25"/>
    <n v="6.9698759598346136"/>
    <m/>
    <m/>
  </r>
  <r>
    <s v="6002007"/>
    <x v="18"/>
    <s v="1200002487"/>
    <s v="01-0F101-0006948"/>
    <x v="0"/>
    <d v="2026-06-13T00:00:00"/>
    <n v="2"/>
    <d v="2026-06-20T00:00:00"/>
    <n v="535.25"/>
    <s v="PEN"/>
    <x v="2"/>
    <m/>
    <m/>
    <d v="2026-06-20T00:00:00"/>
    <x v="28"/>
    <n v="158.07737743650324"/>
    <m/>
    <m/>
  </r>
  <r>
    <s v="6002007"/>
    <x v="18"/>
    <s v="1200002488"/>
    <s v="01-0F101-0006949"/>
    <x v="0"/>
    <d v="2026-06-13T00:00:00"/>
    <n v="2"/>
    <d v="2026-06-20T00:00:00"/>
    <n v="70.8"/>
    <s v="PEN"/>
    <x v="2"/>
    <m/>
    <m/>
    <d v="2026-06-20T00:00:00"/>
    <x v="28"/>
    <n v="20.909627879503837"/>
    <m/>
    <m/>
  </r>
  <r>
    <s v="6001105"/>
    <x v="19"/>
    <s v="1200001300"/>
    <s v="01-0F101-0006073"/>
    <x v="0"/>
    <d v="2026-04-28T00:00:00"/>
    <n v="55"/>
    <d v="2026-04-28T00:00:00"/>
    <n v="59"/>
    <s v="PEN"/>
    <x v="0"/>
    <m/>
    <m/>
    <d v="2026-04-28T00:00:00"/>
    <x v="33"/>
    <n v="17.424689899586532"/>
    <m/>
    <m/>
  </r>
  <r>
    <s v="6001105"/>
    <x v="19"/>
    <s v="1200001301"/>
    <s v="01-0F101-0006074"/>
    <x v="0"/>
    <d v="2026-04-28T00:00:00"/>
    <n v="55"/>
    <d v="2026-04-28T00:00:00"/>
    <n v="716.71"/>
    <s v="PEN"/>
    <x v="0"/>
    <m/>
    <m/>
    <d v="2026-04-28T00:00:00"/>
    <x v="33"/>
    <n v="211.66863555818074"/>
    <m/>
    <m/>
  </r>
  <r>
    <s v="6001105"/>
    <x v="19"/>
    <s v="1200001302"/>
    <s v="01-0F101-0006075"/>
    <x v="0"/>
    <d v="2026-04-28T00:00:00"/>
    <n v="55"/>
    <d v="2026-04-28T00:00:00"/>
    <n v="129.80000000000001"/>
    <s v="PEN"/>
    <x v="0"/>
    <m/>
    <m/>
    <d v="2026-04-28T00:00:00"/>
    <x v="33"/>
    <n v="38.334317779090377"/>
    <m/>
    <m/>
  </r>
  <r>
    <s v="6001105"/>
    <x v="19"/>
    <s v="1300004037"/>
    <s v="FT-0F101-0006072"/>
    <x v="1"/>
    <d v="2026-04-28T00:00:00"/>
    <n v="55"/>
    <d v="2026-04-28T00:00:00"/>
    <n v="422.56"/>
    <s v="PEN"/>
    <x v="0"/>
    <m/>
    <m/>
    <d v="2026-04-28T00:00:00"/>
    <x v="33"/>
    <n v="124.79621972829297"/>
    <m/>
    <m/>
  </r>
  <r>
    <s v="6001105"/>
    <x v="19"/>
    <s v="1200001648"/>
    <s v="01-0F101-0006336"/>
    <x v="0"/>
    <d v="2026-05-12T00:00:00"/>
    <n v="41"/>
    <d v="2026-05-12T00:00:00"/>
    <n v="404.98"/>
    <s v="PEN"/>
    <x v="0"/>
    <m/>
    <m/>
    <d v="2026-05-12T00:00:00"/>
    <x v="45"/>
    <n v="119.60425280567041"/>
    <m/>
    <m/>
  </r>
  <r>
    <s v="6001105"/>
    <x v="19"/>
    <s v="1200001649"/>
    <s v="01-0F101-0006337"/>
    <x v="0"/>
    <d v="2026-05-12T00:00:00"/>
    <n v="41"/>
    <d v="2026-05-12T00:00:00"/>
    <n v="59"/>
    <s v="PEN"/>
    <x v="0"/>
    <m/>
    <m/>
    <d v="2026-05-12T00:00:00"/>
    <x v="45"/>
    <n v="17.424689899586532"/>
    <m/>
    <m/>
  </r>
  <r>
    <s v="2000001443"/>
    <x v="20"/>
    <s v="1300002821"/>
    <s v="ANTICIPO NINGBO"/>
    <x v="3"/>
    <d v="2026-05-06T00:00:00"/>
    <n v="0"/>
    <d v="2026-05-31T00:00:00"/>
    <n v="-33334"/>
    <s v="USD"/>
    <x v="1"/>
    <d v="2026-06-20T00:00:00"/>
    <m/>
    <d v="2026-05-06T00:00:00"/>
    <x v="46"/>
    <n v="-33334"/>
    <n v="54"/>
    <s v="46-60"/>
  </r>
  <r>
    <s v="2000001443"/>
    <x v="20"/>
    <s v="1300004715"/>
    <s v="FT-0F002-0000355"/>
    <x v="1"/>
    <d v="2026-05-29T00:00:00"/>
    <n v="24"/>
    <d v="2026-05-29T00:00:00"/>
    <n v="67008"/>
    <s v="USD"/>
    <x v="1"/>
    <d v="2026-07-13T00:00:00"/>
    <n v="-14"/>
    <d v="2026-07-13T00:00:00"/>
    <x v="13"/>
    <n v="67008"/>
    <n v="31"/>
    <s v="0-45"/>
  </r>
  <r>
    <s v="2000001359"/>
    <x v="21"/>
    <s v="1200001321"/>
    <s v="01-0F002-0000309"/>
    <x v="2"/>
    <d v="2026-04-27T00:00:00"/>
    <n v="11"/>
    <d v="2026-06-11T00:00:00"/>
    <n v="36400"/>
    <s v="USD"/>
    <x v="1"/>
    <d v="2026-06-11T00:00:00"/>
    <n v="-1"/>
    <d v="2026-06-30T00:00:00"/>
    <x v="20"/>
    <n v="36400"/>
    <n v="63"/>
    <s v="46-60"/>
  </r>
  <r>
    <s v="2000001359"/>
    <x v="21"/>
    <s v="1200002006"/>
    <s v="01-0F002-0000341"/>
    <x v="2"/>
    <d v="2026-05-22T00:00:00"/>
    <n v="-14"/>
    <d v="2026-07-06T00:00:00"/>
    <n v="80600"/>
    <s v="USD"/>
    <x v="1"/>
    <d v="2026-07-06T00:00:00"/>
    <n v="-7"/>
    <d v="2026-07-06T00:00:00"/>
    <x v="10"/>
    <n v="80600"/>
    <n v="38"/>
    <s v="0-45"/>
  </r>
  <r>
    <s v="2000001468"/>
    <x v="22"/>
    <s v="1300004843"/>
    <s v="ANTICIPO FP-247"/>
    <x v="3"/>
    <d v="2026-06-05T00:00:00"/>
    <n v="0"/>
    <d v="2026-06-30T00:00:00"/>
    <n v="-13728"/>
    <s v="USD"/>
    <x v="1"/>
    <d v="2026-07-20T00:00:00"/>
    <m/>
    <d v="2026-06-05T00:00:00"/>
    <x v="47"/>
    <n v="-13728"/>
    <n v="24"/>
    <s v="0-45"/>
  </r>
  <r>
    <s v="1000013925"/>
    <x v="23"/>
    <s v="1300006898"/>
    <s v="FT-0F003-0000101"/>
    <x v="1"/>
    <d v="2025-10-21T00:00:00"/>
    <n v="244"/>
    <d v="2025-10-21T00:00:00"/>
    <n v="4460"/>
    <s v="PEN"/>
    <x v="3"/>
    <m/>
    <m/>
    <d v="2025-10-21T00:00:00"/>
    <x v="48"/>
    <n v="1317.1884229178972"/>
    <m/>
    <m/>
  </r>
  <r>
    <s v="1000013925"/>
    <x v="23"/>
    <s v="1200005124"/>
    <s v="01-0F003-0000129"/>
    <x v="0"/>
    <d v="2025-11-04T00:00:00"/>
    <n v="223"/>
    <d v="2025-11-11T00:00:00"/>
    <n v="7097.98"/>
    <s v="PEN"/>
    <x v="3"/>
    <m/>
    <m/>
    <d v="2025-11-11T00:00:00"/>
    <x v="49"/>
    <n v="2096.2728883638511"/>
    <m/>
    <m/>
  </r>
  <r>
    <s v="1000013925"/>
    <x v="23"/>
    <s v="1200000182"/>
    <s v="01-0F003-0000168"/>
    <x v="0"/>
    <d v="2026-01-31T00:00:00"/>
    <n v="135"/>
    <d v="2026-02-07T00:00:00"/>
    <n v="4003.46"/>
    <s v="PEN"/>
    <x v="3"/>
    <m/>
    <m/>
    <d v="2026-02-07T00:00:00"/>
    <x v="50"/>
    <n v="1182.3567631423509"/>
    <m/>
    <m/>
  </r>
  <r>
    <s v="1000013925"/>
    <x v="23"/>
    <s v="1200000382"/>
    <s v="01-0F003-0000174"/>
    <x v="0"/>
    <d v="2026-03-03T00:00:00"/>
    <n v="104"/>
    <d v="2026-03-10T00:00:00"/>
    <n v="4956"/>
    <s v="PEN"/>
    <x v="3"/>
    <m/>
    <m/>
    <d v="2026-03-10T00:00:00"/>
    <x v="51"/>
    <n v="1463.6739515652687"/>
    <m/>
    <m/>
  </r>
  <r>
    <s v="2000001380"/>
    <x v="24"/>
    <s v="1300004799"/>
    <s v="ANTICIPO FP-243"/>
    <x v="3"/>
    <d v="2026-06-02T00:00:00"/>
    <n v="0"/>
    <d v="2026-06-30T00:00:00"/>
    <n v="-6470"/>
    <s v="USD"/>
    <x v="1"/>
    <d v="2026-07-17T00:00:00"/>
    <m/>
    <d v="2026-06-02T00:00:00"/>
    <x v="52"/>
    <n v="-6470"/>
    <n v="27"/>
    <s v="0-45"/>
  </r>
  <r>
    <s v="2000001380"/>
    <x v="24"/>
    <s v="1200002542"/>
    <s v="01-0F002-0000368"/>
    <x v="2"/>
    <d v="2026-06-13T00:00:00"/>
    <n v="-36"/>
    <d v="2026-07-28T00:00:00"/>
    <n v="29250"/>
    <s v="USD"/>
    <x v="1"/>
    <d v="2026-07-28T00:00:00"/>
    <m/>
    <d v="2026-07-28T00:00:00"/>
    <x v="39"/>
    <n v="29250"/>
    <n v="16"/>
    <s v="0-45"/>
  </r>
  <r>
    <s v="6000434"/>
    <x v="25"/>
    <s v="1200004540"/>
    <s v="01-0F003-0000083"/>
    <x v="0"/>
    <d v="2025-10-07T00:00:00"/>
    <n v="251"/>
    <d v="2025-10-14T00:00:00"/>
    <n v="790"/>
    <s v="PEN"/>
    <x v="4"/>
    <m/>
    <m/>
    <d v="2025-10-14T00:00:00"/>
    <x v="53"/>
    <n v="233.31364441819255"/>
    <m/>
    <m/>
  </r>
  <r>
    <s v="1000001607"/>
    <x v="26"/>
    <s v="1200002528"/>
    <s v="01-0F003-0000190"/>
    <x v="0"/>
    <d v="2026-06-15T00:00:00"/>
    <n v="4"/>
    <d v="2026-06-18T00:00:00"/>
    <n v="46429.79"/>
    <s v="PEN"/>
    <x v="5"/>
    <m/>
    <m/>
    <d v="2026-06-18T00:00:00"/>
    <x v="15"/>
    <n v="13712.282929710573"/>
    <m/>
    <m/>
  </r>
  <r>
    <s v="2000001438"/>
    <x v="27"/>
    <s v="1300002731"/>
    <s v="FT-0F002-0000324"/>
    <x v="1"/>
    <d v="2026-04-29T00:00:00"/>
    <n v="54"/>
    <d v="2026-04-29T00:00:00"/>
    <n v="162355"/>
    <s v="USD"/>
    <x v="1"/>
    <d v="2026-06-13T00:00:00"/>
    <n v="-1"/>
    <d v="2026-06-30T00:00:00"/>
    <x v="20"/>
    <n v="162355"/>
    <n v="61"/>
    <s v="46-60"/>
  </r>
  <r>
    <s v="2000001438"/>
    <x v="27"/>
    <s v="1200001892"/>
    <s v="01-0F002-0000332"/>
    <x v="2"/>
    <d v="2026-05-17T00:00:00"/>
    <n v="-9"/>
    <d v="2026-07-01T00:00:00"/>
    <n v="230850"/>
    <s v="USD"/>
    <x v="1"/>
    <d v="2026-07-01T00:00:00"/>
    <n v="-2"/>
    <d v="2026-07-01T00:00:00"/>
    <x v="19"/>
    <n v="230850"/>
    <n v="43"/>
    <s v="0-45"/>
  </r>
  <r>
    <s v="2000001460"/>
    <x v="28"/>
    <s v="1300004801"/>
    <s v="ANTICIPO FP-246"/>
    <x v="3"/>
    <d v="2026-06-02T00:00:00"/>
    <n v="0"/>
    <d v="2026-06-30T00:00:00"/>
    <n v="-9287"/>
    <s v="USD"/>
    <x v="1"/>
    <d v="2026-07-17T00:00:00"/>
    <m/>
    <d v="2026-06-02T00:00:00"/>
    <x v="52"/>
    <n v="-9287"/>
    <n v="27"/>
    <s v="0-45"/>
  </r>
  <r>
    <s v="1000001965"/>
    <x v="29"/>
    <s v="1200002503"/>
    <s v="01-0F101-0006964"/>
    <x v="0"/>
    <d v="2026-06-13T00:00:00"/>
    <n v="2"/>
    <d v="2026-06-20T00:00:00"/>
    <n v="590"/>
    <s v="PEN"/>
    <x v="0"/>
    <m/>
    <m/>
    <d v="2026-06-20T00:00:00"/>
    <x v="28"/>
    <n v="174.24689899586531"/>
    <m/>
    <m/>
  </r>
  <r>
    <s v="1000001965"/>
    <x v="29"/>
    <s v="1200002569"/>
    <s v="01-0F101-0007010"/>
    <x v="0"/>
    <d v="2026-06-16T00:00:00"/>
    <n v="-1"/>
    <d v="2026-06-23T00:00:00"/>
    <n v="590"/>
    <s v="PEN"/>
    <x v="0"/>
    <m/>
    <m/>
    <d v="2026-06-23T00:00:00"/>
    <x v="24"/>
    <n v="174.24689899586531"/>
    <m/>
    <m/>
  </r>
  <r>
    <s v="1000001965"/>
    <x v="29"/>
    <s v="1200002582"/>
    <s v="01-0F101-0007023"/>
    <x v="0"/>
    <d v="2026-06-17T00:00:00"/>
    <n v="-2"/>
    <d v="2026-06-24T00:00:00"/>
    <n v="590"/>
    <s v="PEN"/>
    <x v="0"/>
    <m/>
    <m/>
    <d v="2026-06-24T00:00:00"/>
    <x v="16"/>
    <n v="174.24689899586531"/>
    <m/>
    <m/>
  </r>
  <r>
    <s v="1000001965"/>
    <x v="29"/>
    <s v="1200002619"/>
    <s v="01-0F101-0007054"/>
    <x v="0"/>
    <d v="2026-06-19T00:00:00"/>
    <n v="-4"/>
    <d v="2026-06-26T00:00:00"/>
    <n v="590"/>
    <s v="PEN"/>
    <x v="0"/>
    <m/>
    <m/>
    <d v="2026-06-26T00:00:00"/>
    <x v="30"/>
    <n v="174.24689899586531"/>
    <m/>
    <m/>
  </r>
  <r>
    <s v="2000001418"/>
    <x v="30"/>
    <s v="1300002670"/>
    <s v="FT-0F002-0000314"/>
    <x v="1"/>
    <d v="2026-04-27T00:00:00"/>
    <n v="56"/>
    <d v="2026-04-27T00:00:00"/>
    <n v="116670"/>
    <s v="USD"/>
    <x v="1"/>
    <d v="2026-06-11T00:00:00"/>
    <n v="-1"/>
    <d v="2026-06-30T00:00:00"/>
    <x v="20"/>
    <n v="116670"/>
    <n v="63"/>
    <s v="46-60"/>
  </r>
  <r>
    <s v="2000001440"/>
    <x v="31"/>
    <s v="1300002671"/>
    <s v="FT-0F002-0000321"/>
    <x v="1"/>
    <d v="2026-04-29T00:00:00"/>
    <n v="54"/>
    <d v="2026-04-29T00:00:00"/>
    <n v="56785"/>
    <s v="USD"/>
    <x v="1"/>
    <d v="2026-06-13T00:00:00"/>
    <n v="-1"/>
    <d v="2026-06-30T00:00:00"/>
    <x v="20"/>
    <n v="56785"/>
    <n v="61"/>
    <s v="46-60"/>
  </r>
  <r>
    <s v="2000001440"/>
    <x v="31"/>
    <s v="1300004716"/>
    <s v="FT-0F002-0000361"/>
    <x v="1"/>
    <d v="2026-05-29T00:00:00"/>
    <n v="24"/>
    <d v="2026-05-29T00:00:00"/>
    <n v="35725"/>
    <s v="USD"/>
    <x v="1"/>
    <d v="2026-07-13T00:00:00"/>
    <n v="-14"/>
    <d v="2026-07-13T00:00:00"/>
    <x v="13"/>
    <n v="35725"/>
    <n v="31"/>
    <s v="0-45"/>
  </r>
  <r>
    <s v="1000013801"/>
    <x v="32"/>
    <s v="1200002198"/>
    <s v="01-0F101-0006726"/>
    <x v="0"/>
    <d v="2026-06-02T00:00:00"/>
    <n v="13"/>
    <d v="2026-06-09T00:00:00"/>
    <n v="666.94"/>
    <s v="PEN"/>
    <x v="0"/>
    <m/>
    <m/>
    <d v="2026-06-09T00:00:00"/>
    <x v="25"/>
    <n v="196.96987595983461"/>
    <m/>
    <m/>
  </r>
  <r>
    <s v="1000013801"/>
    <x v="32"/>
    <s v="1200002199"/>
    <s v="01-0F101-0006727"/>
    <x v="0"/>
    <d v="2026-06-02T00:00:00"/>
    <n v="13"/>
    <d v="2026-06-09T00:00:00"/>
    <n v="123.9"/>
    <s v="PEN"/>
    <x v="0"/>
    <m/>
    <m/>
    <d v="2026-06-09T00:00:00"/>
    <x v="25"/>
    <n v="36.591848789131717"/>
    <m/>
    <m/>
  </r>
  <r>
    <s v="1000013686"/>
    <x v="33"/>
    <s v="1200002347"/>
    <s v="01-0F101-0006842"/>
    <x v="0"/>
    <d v="2026-06-09T00:00:00"/>
    <n v="6"/>
    <d v="2026-06-16T00:00:00"/>
    <n v="849.6"/>
    <s v="PEN"/>
    <x v="0"/>
    <m/>
    <m/>
    <d v="2026-06-16T00:00:00"/>
    <x v="54"/>
    <n v="250.91553455404608"/>
    <m/>
    <m/>
  </r>
  <r>
    <s v="1000013686"/>
    <x v="33"/>
    <s v="1200002502"/>
    <s v="01-0F101-0006963"/>
    <x v="0"/>
    <d v="2026-06-13T00:00:00"/>
    <n v="2"/>
    <d v="2026-06-20T00:00:00"/>
    <n v="396.48"/>
    <s v="PEN"/>
    <x v="0"/>
    <m/>
    <m/>
    <d v="2026-06-20T00:00:00"/>
    <x v="28"/>
    <n v="117.0939161252215"/>
    <m/>
    <m/>
  </r>
  <r>
    <s v="2000000786"/>
    <x v="34"/>
    <s v="1200002633"/>
    <s v="01-0F002-0000369"/>
    <x v="2"/>
    <d v="2026-06-19T00:00:00"/>
    <n v="-42"/>
    <d v="2026-08-03T00:00:00"/>
    <n v="144900"/>
    <s v="USD"/>
    <x v="1"/>
    <d v="2026-08-03T00:00:00"/>
    <m/>
    <d v="2026-08-03T00:00:00"/>
    <x v="38"/>
    <n v="144900"/>
    <n v="10"/>
    <s v="0-45"/>
  </r>
  <r>
    <s v="2000000590"/>
    <x v="35"/>
    <s v="1300004717"/>
    <s v="FT-0F002-0000338"/>
    <x v="1"/>
    <d v="2026-05-22T00:00:00"/>
    <n v="31"/>
    <d v="2026-05-22T00:00:00"/>
    <n v="22575"/>
    <s v="USD"/>
    <x v="1"/>
    <d v="2026-07-06T00:00:00"/>
    <n v="-7"/>
    <d v="2026-07-06T00:00:00"/>
    <x v="10"/>
    <n v="22575"/>
    <n v="38"/>
    <s v="0-45"/>
  </r>
  <r>
    <s v="2000001442"/>
    <x v="36"/>
    <s v="1300004718"/>
    <s v="FT-0F002-0000358"/>
    <x v="1"/>
    <d v="2026-05-29T00:00:00"/>
    <n v="24"/>
    <d v="2026-05-29T00:00:00"/>
    <n v="52933.5"/>
    <s v="USD"/>
    <x v="1"/>
    <d v="2026-07-13T00:00:00"/>
    <n v="-14"/>
    <d v="2026-07-13T00:00:00"/>
    <x v="13"/>
    <n v="52933.5"/>
    <n v="31"/>
    <s v="0-45"/>
  </r>
  <r>
    <s v="2000001444"/>
    <x v="37"/>
    <s v="1300004719"/>
    <s v="FT-0F002-0000345"/>
    <x v="1"/>
    <d v="2026-05-24T00:00:00"/>
    <n v="29"/>
    <d v="2026-05-24T00:00:00"/>
    <n v="90691"/>
    <s v="USD"/>
    <x v="1"/>
    <d v="2026-07-08T00:00:00"/>
    <n v="-9"/>
    <d v="2026-07-08T00:00:00"/>
    <x v="36"/>
    <n v="90691"/>
    <n v="36"/>
    <s v="0-45"/>
  </r>
  <r>
    <s v="2000001444"/>
    <x v="37"/>
    <s v="1200002637"/>
    <s v="01-0F002-0000370"/>
    <x v="2"/>
    <d v="2026-06-19T00:00:00"/>
    <n v="-42"/>
    <d v="2026-08-03T00:00:00"/>
    <n v="82350"/>
    <s v="USD"/>
    <x v="1"/>
    <d v="2026-08-03T00:00:00"/>
    <n v="-35"/>
    <d v="2026-08-03T00:00:00"/>
    <x v="38"/>
    <n v="82350"/>
    <n v="10"/>
    <s v="0-45"/>
  </r>
  <r>
    <s v="2000001069"/>
    <x v="38"/>
    <s v="1300004190"/>
    <s v="FT-0F002-0000300"/>
    <x v="1"/>
    <d v="2026-04-22T00:00:00"/>
    <n v="61"/>
    <d v="2026-04-22T00:00:00"/>
    <n v="67066"/>
    <s v="USD"/>
    <x v="1"/>
    <d v="2026-06-06T00:00:00"/>
    <n v="-1"/>
    <d v="2026-06-30T00:00:00"/>
    <x v="20"/>
    <n v="67066"/>
    <n v="68"/>
    <s v="61-90"/>
  </r>
  <r>
    <s v="2000001446"/>
    <x v="39"/>
    <s v="1300004720"/>
    <s v="FT-0F002-0000352"/>
    <x v="1"/>
    <d v="2026-05-26T00:00:00"/>
    <n v="27"/>
    <d v="2026-05-26T00:00:00"/>
    <n v="72759"/>
    <s v="USD"/>
    <x v="1"/>
    <d v="2026-07-10T00:00:00"/>
    <n v="-11"/>
    <d v="2026-07-10T00:00:00"/>
    <x v="11"/>
    <n v="72759"/>
    <n v="34"/>
    <s v="0-45"/>
  </r>
  <r>
    <s v="2000001449"/>
    <x v="40"/>
    <s v="1300004721"/>
    <s v="FT-0F002-0000365"/>
    <x v="1"/>
    <d v="2026-05-31T00:00:00"/>
    <n v="22"/>
    <d v="2026-05-31T00:00:00"/>
    <n v="115561"/>
    <s v="USD"/>
    <x v="1"/>
    <d v="2026-07-15T00:00:00"/>
    <n v="-1"/>
    <d v="2026-06-30T00:00:00"/>
    <x v="20"/>
    <n v="115561"/>
    <n v="29"/>
    <s v="0-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35C80-1447-4B02-9E14-4125CF3ADE89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Y35" firstHeaderRow="1" firstDataRow="4" firstDataCol="1" rowPageCount="2" colPageCount="1"/>
  <pivotFields count="21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axis="axisPage" multipleItemSelectionAllowed="1" showAll="0">
      <items count="6">
        <item x="4"/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showAll="0"/>
    <pivotField showAll="0"/>
    <pivotField axis="axisCol" numFmtId="14" showAll="0">
      <items count="56">
        <item x="53"/>
        <item x="48"/>
        <item x="40"/>
        <item x="49"/>
        <item x="41"/>
        <item x="0"/>
        <item x="1"/>
        <item x="2"/>
        <item x="3"/>
        <item x="4"/>
        <item x="5"/>
        <item x="6"/>
        <item x="7"/>
        <item x="8"/>
        <item x="9"/>
        <item x="50"/>
        <item x="51"/>
        <item x="33"/>
        <item x="45"/>
        <item x="46"/>
        <item x="34"/>
        <item x="42"/>
        <item x="43"/>
        <item x="14"/>
        <item x="44"/>
        <item x="52"/>
        <item x="47"/>
        <item x="17"/>
        <item x="25"/>
        <item x="18"/>
        <item x="26"/>
        <item x="27"/>
        <item x="54"/>
        <item x="21"/>
        <item x="15"/>
        <item x="22"/>
        <item x="28"/>
        <item x="29"/>
        <item x="23"/>
        <item x="24"/>
        <item x="16"/>
        <item x="30"/>
        <item x="31"/>
        <item x="20"/>
        <item x="19"/>
        <item x="37"/>
        <item x="10"/>
        <item x="36"/>
        <item x="11"/>
        <item x="13"/>
        <item x="35"/>
        <item x="39"/>
        <item x="38"/>
        <item x="12"/>
        <item x="32"/>
        <item t="default"/>
      </items>
    </pivotField>
    <pivotField dataField="1"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x="6"/>
        <item x="7"/>
        <item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</pivotFields>
  <rowFields count="1">
    <field x="1"/>
  </rowFields>
  <rowItems count="28">
    <i>
      <x v="1"/>
    </i>
    <i>
      <x v="5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20"/>
    </i>
    <i>
      <x v="21"/>
    </i>
    <i>
      <x v="22"/>
    </i>
    <i>
      <x v="24"/>
    </i>
    <i>
      <x v="27"/>
    </i>
    <i>
      <x v="28"/>
    </i>
    <i>
      <x v="30"/>
    </i>
    <i>
      <x v="31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3">
    <field x="20"/>
    <field x="18"/>
    <field x="14"/>
  </colFields>
  <colItems count="24">
    <i>
      <x v="2"/>
      <x v="4"/>
    </i>
    <i r="1">
      <x v="5"/>
    </i>
    <i r="1">
      <x v="6"/>
      <x v="25"/>
    </i>
    <i r="2">
      <x v="26"/>
    </i>
    <i r="2">
      <x v="27"/>
    </i>
    <i r="2">
      <x v="28"/>
    </i>
    <i r="2">
      <x v="29"/>
    </i>
    <i r="2">
      <x v="30"/>
    </i>
    <i r="2">
      <x v="41"/>
    </i>
    <i r="2">
      <x v="43"/>
    </i>
    <i t="default" r="1">
      <x v="6"/>
    </i>
    <i r="1">
      <x v="7"/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t="default" r="1">
      <x v="7"/>
    </i>
    <i r="1">
      <x v="8"/>
      <x v="52"/>
    </i>
    <i t="default" r="1">
      <x v="8"/>
    </i>
    <i t="default">
      <x v="2"/>
    </i>
    <i t="grand">
      <x/>
    </i>
  </colItems>
  <pageFields count="2">
    <pageField fld="4" hier="-1"/>
    <pageField fld="10" hier="-1"/>
  </pageFields>
  <dataFields count="1">
    <dataField name="Suma de USD HOMOL" fld="15" baseField="0" baseItem="0"/>
  </dataFields>
  <formats count="17">
    <format dxfId="22">
      <pivotArea outline="0" collapsedLevelsAreSubtotals="1" fieldPosition="0"/>
    </format>
    <format dxfId="21">
      <pivotArea field="20" grandRow="1" outline="0" collapsedLevelsAreSubtotals="1" axis="axisCol" fieldPosition="0">
        <references count="3">
          <reference field="14" count="2" selected="0">
            <x v="41"/>
            <x v="43"/>
          </reference>
          <reference field="18" count="1" selected="0">
            <x v="6"/>
          </reference>
          <reference field="20" count="1" selected="0">
            <x v="2"/>
          </reference>
        </references>
      </pivotArea>
    </format>
    <format dxfId="20">
      <pivotArea collapsedLevelsAreSubtotals="1" fieldPosition="0">
        <references count="4">
          <reference field="1" count="1">
            <x v="15"/>
          </reference>
          <reference field="14" count="1" selected="0">
            <x v="45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  <format dxfId="15">
      <pivotArea collapsedLevelsAreSubtotals="1" fieldPosition="0">
        <references count="4">
          <reference field="1" count="1">
            <x v="15"/>
          </reference>
          <reference field="14" count="1" selected="0">
            <x v="45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  <format dxfId="14">
      <pivotArea collapsedLevelsAreSubtotals="1" fieldPosition="0">
        <references count="4">
          <reference field="1" count="1">
            <x v="14"/>
          </reference>
          <reference field="14" count="1" selected="0">
            <x v="50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  <format dxfId="13">
      <pivotArea collapsedLevelsAreSubtotals="1" fieldPosition="0">
        <references count="4">
          <reference field="1" count="1">
            <x v="15"/>
          </reference>
          <reference field="14" count="1" selected="0">
            <x v="52"/>
          </reference>
          <reference field="18" count="1" selected="0">
            <x v="8"/>
          </reference>
          <reference field="20" count="1" selected="0">
            <x v="2"/>
          </reference>
        </references>
      </pivotArea>
    </format>
    <format dxfId="12">
      <pivotArea collapsedLevelsAreSubtotals="1" fieldPosition="0">
        <references count="4">
          <reference field="1" count="1">
            <x v="16"/>
          </reference>
          <reference field="14" count="1" selected="0">
            <x v="51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  <format dxfId="11">
      <pivotArea collapsedLevelsAreSubtotals="1" fieldPosition="0">
        <references count="4">
          <reference field="1" count="1">
            <x v="24"/>
          </reference>
          <reference field="14" count="1" selected="0">
            <x v="51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  <format dxfId="10">
      <pivotArea collapsedLevelsAreSubtotals="1" fieldPosition="0">
        <references count="4">
          <reference field="1" count="1">
            <x v="34"/>
          </reference>
          <reference field="14" count="1" selected="0">
            <x v="52"/>
          </reference>
          <reference field="18" count="1" selected="0">
            <x v="8"/>
          </reference>
          <reference field="20" count="1" selected="0">
            <x v="2"/>
          </reference>
        </references>
      </pivotArea>
    </format>
    <format dxfId="9">
      <pivotArea collapsedLevelsAreSubtotals="1" fieldPosition="0">
        <references count="4">
          <reference field="1" count="1">
            <x v="37"/>
          </reference>
          <reference field="14" count="1" selected="0">
            <x v="52"/>
          </reference>
          <reference field="18" count="1" selected="0">
            <x v="8"/>
          </reference>
          <reference field="20" count="1" selected="0">
            <x v="2"/>
          </reference>
        </references>
      </pivotArea>
    </format>
    <format dxfId="8">
      <pivotArea collapsedLevelsAreSubtotals="1" fieldPosition="0">
        <references count="3">
          <reference field="1" count="13">
            <x v="9"/>
            <x v="10"/>
            <x v="11"/>
            <x v="13"/>
            <x v="14"/>
            <x v="15"/>
            <x v="16"/>
            <x v="17"/>
            <x v="20"/>
            <x v="21"/>
            <x v="22"/>
            <x v="24"/>
            <x v="27"/>
          </reference>
          <reference field="18" count="1" selected="0" defaultSubtotal="1">
            <x v="6"/>
          </reference>
          <reference field="20" count="1" selected="0">
            <x v="2"/>
          </reference>
        </references>
      </pivotArea>
    </format>
    <format dxfId="7">
      <pivotArea collapsedLevelsAreSubtotals="1" fieldPosition="0">
        <references count="4">
          <reference field="1" count="1">
            <x v="1"/>
          </reference>
          <reference field="14" count="4" selected="0">
            <x v="46"/>
            <x v="47"/>
            <x v="48"/>
            <x v="49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  <format dxfId="6">
      <pivotArea field="20" grandRow="1" outline="0" collapsedLevelsAreSubtotals="1" axis="axisCol" fieldPosition="0">
        <references count="3">
          <reference field="14" count="1" selected="0">
            <x v="44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  <format dxfId="5">
      <pivotArea collapsedLevelsAreSubtotals="1" fieldPosition="0">
        <references count="4">
          <reference field="1" count="27">
            <x v="1"/>
            <x v="5"/>
            <x v="7"/>
            <x v="8"/>
            <x v="9"/>
            <x v="10"/>
            <x v="11"/>
            <x v="13"/>
            <x v="14"/>
            <x v="15"/>
            <x v="16"/>
            <x v="17"/>
            <x v="20"/>
            <x v="21"/>
            <x v="22"/>
            <x v="24"/>
            <x v="27"/>
            <x v="28"/>
            <x v="30"/>
            <x v="31"/>
            <x v="34"/>
            <x v="35"/>
            <x v="36"/>
            <x v="37"/>
            <x v="38"/>
            <x v="39"/>
            <x v="40"/>
          </reference>
          <reference field="14" count="2" selected="0">
            <x v="41"/>
            <x v="43"/>
          </reference>
          <reference field="18" count="1" selected="0">
            <x v="6"/>
          </reference>
          <reference field="20" count="1" selected="0">
            <x v="2"/>
          </reference>
        </references>
      </pivotArea>
    </format>
    <format dxfId="3">
      <pivotArea collapsedLevelsAreSubtotals="1" fieldPosition="0">
        <references count="4">
          <reference field="1" count="27">
            <x v="1"/>
            <x v="5"/>
            <x v="7"/>
            <x v="8"/>
            <x v="9"/>
            <x v="10"/>
            <x v="11"/>
            <x v="13"/>
            <x v="14"/>
            <x v="15"/>
            <x v="16"/>
            <x v="17"/>
            <x v="20"/>
            <x v="21"/>
            <x v="22"/>
            <x v="24"/>
            <x v="27"/>
            <x v="28"/>
            <x v="30"/>
            <x v="31"/>
            <x v="34"/>
            <x v="35"/>
            <x v="36"/>
            <x v="37"/>
            <x v="38"/>
            <x v="39"/>
            <x v="40"/>
          </reference>
          <reference field="14" count="1" selected="0">
            <x v="44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  <format dxfId="1">
      <pivotArea outline="0" collapsedLevelsAreSubtotals="1" fieldPosition="0">
        <references count="3">
          <reference field="14" count="2" selected="0">
            <x v="45"/>
            <x v="46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  <format dxfId="0">
      <pivotArea collapsedLevelsAreSubtotals="1" fieldPosition="0">
        <references count="4">
          <reference field="1" count="1">
            <x v="15"/>
          </reference>
          <reference field="14" count="1" selected="0">
            <x v="45"/>
          </reference>
          <reference field="18" count="1" selected="0">
            <x v="7"/>
          </reference>
          <reference field="2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0B4F6-8C6C-43CA-BF39-1FA8F9CF7EDC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93" firstHeaderRow="1" firstDataRow="1" firstDataCol="1" rowPageCount="3" colPageCount="1"/>
  <pivotFields count="18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177">
        <item x="143"/>
        <item x="101"/>
        <item x="113"/>
        <item x="57"/>
        <item x="155"/>
        <item x="30"/>
        <item x="114"/>
        <item x="102"/>
        <item x="144"/>
        <item x="52"/>
        <item x="103"/>
        <item x="115"/>
        <item x="53"/>
        <item x="18"/>
        <item x="105"/>
        <item x="116"/>
        <item x="106"/>
        <item x="20"/>
        <item x="109"/>
        <item x="98"/>
        <item x="111"/>
        <item x="151"/>
        <item x="168"/>
        <item x="172"/>
        <item x="107"/>
        <item x="152"/>
        <item x="147"/>
        <item x="148"/>
        <item x="149"/>
        <item x="153"/>
        <item x="117"/>
        <item x="118"/>
        <item x="119"/>
        <item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5"/>
        <item x="136"/>
        <item x="137"/>
        <item x="121"/>
        <item x="122"/>
        <item x="123"/>
        <item x="124"/>
        <item x="125"/>
        <item x="126"/>
        <item x="139"/>
        <item x="140"/>
        <item x="127"/>
        <item x="128"/>
        <item x="129"/>
        <item x="130"/>
        <item x="26"/>
        <item x="27"/>
        <item x="58"/>
        <item x="59"/>
        <item x="60"/>
        <item x="61"/>
        <item x="131"/>
        <item x="132"/>
        <item x="62"/>
        <item x="164"/>
        <item x="165"/>
        <item x="63"/>
        <item x="28"/>
        <item x="29"/>
        <item x="64"/>
        <item x="65"/>
        <item x="66"/>
        <item x="67"/>
        <item x="68"/>
        <item x="69"/>
        <item x="70"/>
        <item x="71"/>
        <item x="72"/>
        <item x="73"/>
        <item x="166"/>
        <item x="74"/>
        <item x="75"/>
        <item x="76"/>
        <item x="77"/>
        <item x="24"/>
        <item x="78"/>
        <item x="79"/>
        <item x="80"/>
        <item x="81"/>
        <item x="82"/>
        <item x="83"/>
        <item x="133"/>
        <item x="134"/>
        <item x="167"/>
        <item x="157"/>
        <item x="84"/>
        <item x="85"/>
        <item x="86"/>
        <item x="87"/>
        <item x="88"/>
        <item x="89"/>
        <item x="158"/>
        <item x="90"/>
        <item x="91"/>
        <item x="25"/>
        <item x="159"/>
        <item x="92"/>
        <item x="93"/>
        <item x="160"/>
        <item x="94"/>
        <item x="95"/>
        <item x="2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9"/>
        <item x="100"/>
        <item x="97"/>
        <item x="96"/>
        <item x="150"/>
        <item x="156"/>
        <item x="145"/>
        <item x="99"/>
        <item x="110"/>
        <item x="54"/>
        <item x="141"/>
        <item x="51"/>
        <item x="173"/>
        <item x="49"/>
        <item x="161"/>
        <item x="55"/>
        <item x="112"/>
        <item x="162"/>
        <item x="56"/>
        <item x="154"/>
        <item x="50"/>
        <item x="31"/>
        <item x="169"/>
        <item x="17"/>
        <item x="171"/>
        <item x="104"/>
        <item x="108"/>
        <item x="174"/>
        <item x="142"/>
        <item x="170"/>
        <item x="21"/>
        <item x="163"/>
        <item x="175"/>
        <item x="146"/>
        <item x="138"/>
        <item x="32"/>
        <item t="default"/>
      </items>
    </pivotField>
    <pivotField axis="axisPage" multipleItemSelectionAllowed="1" showAll="0">
      <items count="6">
        <item h="1" x="4"/>
        <item x="2"/>
        <item h="1" x="0"/>
        <item x="3"/>
        <item x="1"/>
        <item t="default"/>
      </items>
    </pivotField>
    <pivotField axis="axisPage" numFmtId="14" showAll="0">
      <items count="52">
        <item x="48"/>
        <item x="44"/>
        <item x="41"/>
        <item x="45"/>
        <item x="42"/>
        <item x="0"/>
        <item x="1"/>
        <item x="2"/>
        <item x="3"/>
        <item x="4"/>
        <item x="5"/>
        <item x="6"/>
        <item x="7"/>
        <item x="8"/>
        <item x="9"/>
        <item x="46"/>
        <item x="47"/>
        <item x="26"/>
        <item x="49"/>
        <item x="24"/>
        <item x="35"/>
        <item x="27"/>
        <item x="43"/>
        <item x="38"/>
        <item x="36"/>
        <item x="25"/>
        <item x="14"/>
        <item x="19"/>
        <item x="10"/>
        <item x="39"/>
        <item x="11"/>
        <item x="12"/>
        <item x="13"/>
        <item x="50"/>
        <item x="17"/>
        <item x="28"/>
        <item x="18"/>
        <item x="29"/>
        <item x="37"/>
        <item x="30"/>
        <item x="40"/>
        <item x="20"/>
        <item x="15"/>
        <item x="21"/>
        <item x="31"/>
        <item x="32"/>
        <item x="22"/>
        <item x="23"/>
        <item x="16"/>
        <item x="33"/>
        <item x="34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</pivotFields>
  <rowFields count="2">
    <field x="1"/>
    <field x="3"/>
  </rowFields>
  <rowItems count="88">
    <i>
      <x v="1"/>
    </i>
    <i r="1">
      <x v="13"/>
    </i>
    <i r="1">
      <x v="17"/>
    </i>
    <i r="1">
      <x v="140"/>
    </i>
    <i r="1">
      <x v="163"/>
    </i>
    <i r="1">
      <x v="170"/>
    </i>
    <i>
      <x v="5"/>
    </i>
    <i r="1">
      <x v="5"/>
    </i>
    <i r="1">
      <x v="161"/>
    </i>
    <i r="1">
      <x v="175"/>
    </i>
    <i>
      <x v="7"/>
    </i>
    <i r="1">
      <x v="153"/>
    </i>
    <i>
      <x v="8"/>
    </i>
    <i r="1">
      <x v="160"/>
    </i>
    <i>
      <x v="9"/>
    </i>
    <i r="1">
      <x v="9"/>
    </i>
    <i r="1">
      <x v="12"/>
    </i>
    <i r="1">
      <x v="151"/>
    </i>
    <i>
      <x v="10"/>
    </i>
    <i r="1">
      <x v="149"/>
    </i>
    <i>
      <x v="11"/>
    </i>
    <i r="1">
      <x v="3"/>
    </i>
    <i r="1">
      <x v="155"/>
    </i>
    <i r="1">
      <x v="158"/>
    </i>
    <i>
      <x v="13"/>
    </i>
    <i r="1">
      <x v="143"/>
    </i>
    <i>
      <x v="14"/>
    </i>
    <i r="1">
      <x v="19"/>
    </i>
    <i r="1">
      <x v="141"/>
    </i>
    <i r="1">
      <x v="142"/>
    </i>
    <i r="1">
      <x v="147"/>
    </i>
    <i r="1">
      <x v="175"/>
    </i>
    <i>
      <x v="15"/>
    </i>
    <i r="1">
      <x v="1"/>
    </i>
    <i r="1">
      <x v="7"/>
    </i>
    <i r="1">
      <x v="10"/>
    </i>
    <i r="1">
      <x v="14"/>
    </i>
    <i r="1">
      <x v="16"/>
    </i>
    <i r="1">
      <x v="24"/>
    </i>
    <i r="1">
      <x v="165"/>
    </i>
    <i>
      <x v="16"/>
    </i>
    <i r="1">
      <x v="18"/>
    </i>
    <i r="1">
      <x v="20"/>
    </i>
    <i r="1">
      <x v="148"/>
    </i>
    <i r="1">
      <x v="166"/>
    </i>
    <i>
      <x v="17"/>
    </i>
    <i r="1">
      <x v="2"/>
    </i>
    <i r="1">
      <x v="6"/>
    </i>
    <i r="1">
      <x v="11"/>
    </i>
    <i r="1">
      <x v="15"/>
    </i>
    <i r="1">
      <x v="156"/>
    </i>
    <i>
      <x v="20"/>
    </i>
    <i r="1">
      <x v="150"/>
    </i>
    <i r="1">
      <x v="168"/>
    </i>
    <i>
      <x v="21"/>
    </i>
    <i r="1">
      <x/>
    </i>
    <i r="1">
      <x v="8"/>
    </i>
    <i>
      <x v="22"/>
    </i>
    <i r="1">
      <x v="146"/>
    </i>
    <i>
      <x v="24"/>
    </i>
    <i r="1">
      <x v="21"/>
    </i>
    <i r="1">
      <x v="144"/>
    </i>
    <i>
      <x v="27"/>
    </i>
    <i r="1">
      <x v="4"/>
    </i>
    <i r="1">
      <x v="159"/>
    </i>
    <i>
      <x v="28"/>
    </i>
    <i r="1">
      <x v="145"/>
    </i>
    <i>
      <x v="30"/>
    </i>
    <i r="1">
      <x v="154"/>
    </i>
    <i>
      <x v="31"/>
    </i>
    <i r="1">
      <x v="157"/>
    </i>
    <i r="1">
      <x v="171"/>
    </i>
    <i>
      <x v="34"/>
    </i>
    <i r="1">
      <x v="22"/>
    </i>
    <i>
      <x v="35"/>
    </i>
    <i r="1">
      <x v="162"/>
    </i>
    <i>
      <x v="36"/>
    </i>
    <i r="1">
      <x v="169"/>
    </i>
    <i>
      <x v="37"/>
    </i>
    <i r="1">
      <x v="23"/>
    </i>
    <i r="1">
      <x v="164"/>
    </i>
    <i>
      <x v="38"/>
    </i>
    <i r="1">
      <x v="152"/>
    </i>
    <i>
      <x v="39"/>
    </i>
    <i r="1">
      <x v="167"/>
    </i>
    <i>
      <x v="40"/>
    </i>
    <i r="1">
      <x v="172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FD2DB-BBC4-441F-B3EF-19E5DE356B6A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25" firstHeaderRow="0" firstDataRow="1" firstDataCol="1" rowPageCount="3" colPageCount="1"/>
  <pivotFields count="18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177">
        <item x="143"/>
        <item x="101"/>
        <item x="113"/>
        <item x="57"/>
        <item x="155"/>
        <item x="30"/>
        <item x="114"/>
        <item x="102"/>
        <item x="144"/>
        <item x="52"/>
        <item x="103"/>
        <item x="115"/>
        <item x="53"/>
        <item x="18"/>
        <item x="105"/>
        <item x="116"/>
        <item x="106"/>
        <item x="20"/>
        <item x="109"/>
        <item x="98"/>
        <item x="111"/>
        <item x="151"/>
        <item x="168"/>
        <item x="172"/>
        <item x="107"/>
        <item x="152"/>
        <item x="147"/>
        <item x="148"/>
        <item x="149"/>
        <item x="153"/>
        <item x="117"/>
        <item x="118"/>
        <item x="119"/>
        <item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5"/>
        <item x="136"/>
        <item x="137"/>
        <item x="121"/>
        <item x="122"/>
        <item x="123"/>
        <item x="124"/>
        <item x="125"/>
        <item x="126"/>
        <item x="139"/>
        <item x="140"/>
        <item x="127"/>
        <item x="128"/>
        <item x="129"/>
        <item x="130"/>
        <item x="26"/>
        <item x="27"/>
        <item x="58"/>
        <item x="59"/>
        <item x="60"/>
        <item x="61"/>
        <item x="131"/>
        <item x="132"/>
        <item x="62"/>
        <item x="164"/>
        <item x="165"/>
        <item x="63"/>
        <item x="28"/>
        <item x="29"/>
        <item x="64"/>
        <item x="65"/>
        <item x="66"/>
        <item x="67"/>
        <item x="68"/>
        <item x="69"/>
        <item x="70"/>
        <item x="71"/>
        <item x="72"/>
        <item x="73"/>
        <item x="166"/>
        <item x="74"/>
        <item x="75"/>
        <item x="76"/>
        <item x="77"/>
        <item x="24"/>
        <item x="78"/>
        <item x="79"/>
        <item x="80"/>
        <item x="81"/>
        <item x="82"/>
        <item x="83"/>
        <item x="133"/>
        <item x="134"/>
        <item x="167"/>
        <item x="157"/>
        <item x="84"/>
        <item x="85"/>
        <item x="86"/>
        <item x="87"/>
        <item x="88"/>
        <item x="89"/>
        <item x="158"/>
        <item x="90"/>
        <item x="91"/>
        <item x="25"/>
        <item x="159"/>
        <item x="92"/>
        <item x="93"/>
        <item x="160"/>
        <item x="94"/>
        <item x="95"/>
        <item x="2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9"/>
        <item x="100"/>
        <item x="97"/>
        <item x="96"/>
        <item x="150"/>
        <item x="156"/>
        <item x="145"/>
        <item x="99"/>
        <item x="110"/>
        <item x="54"/>
        <item x="141"/>
        <item x="51"/>
        <item x="173"/>
        <item x="49"/>
        <item x="161"/>
        <item x="55"/>
        <item x="112"/>
        <item x="162"/>
        <item x="56"/>
        <item x="154"/>
        <item x="50"/>
        <item x="31"/>
        <item x="169"/>
        <item x="17"/>
        <item x="171"/>
        <item x="104"/>
        <item x="108"/>
        <item x="174"/>
        <item x="142"/>
        <item x="170"/>
        <item x="21"/>
        <item x="163"/>
        <item x="175"/>
        <item x="146"/>
        <item x="138"/>
        <item x="32"/>
        <item t="default"/>
      </items>
    </pivotField>
    <pivotField axis="axisPage" multipleItemSelectionAllowed="1" showAll="0">
      <items count="6">
        <item h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h="1" x="1"/>
        <item x="2"/>
        <item h="1" x="3"/>
        <item h="1" x="0"/>
        <item t="default"/>
      </items>
    </pivotField>
  </pivotFields>
  <rowFields count="2">
    <field x="1"/>
    <field x="3"/>
  </rowFields>
  <rowItems count="20">
    <i>
      <x v="7"/>
    </i>
    <i r="1">
      <x v="153"/>
    </i>
    <i>
      <x v="11"/>
    </i>
    <i r="1">
      <x v="155"/>
    </i>
    <i r="1">
      <x v="158"/>
    </i>
    <i>
      <x v="14"/>
    </i>
    <i r="1">
      <x v="175"/>
    </i>
    <i>
      <x v="17"/>
    </i>
    <i r="1">
      <x v="156"/>
    </i>
    <i>
      <x v="20"/>
    </i>
    <i r="1">
      <x v="150"/>
    </i>
    <i>
      <x v="21"/>
    </i>
    <i r="1">
      <x/>
    </i>
    <i>
      <x v="27"/>
    </i>
    <i r="1">
      <x v="159"/>
    </i>
    <i>
      <x v="30"/>
    </i>
    <i r="1">
      <x v="154"/>
    </i>
    <i>
      <x v="31"/>
    </i>
    <i r="1">
      <x v="15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37408-8430-40F5-B05E-E072A088B687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78" firstHeaderRow="0" firstDataRow="1" firstDataCol="1" rowPageCount="3" colPageCount="1"/>
  <pivotFields count="18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177">
        <item x="143"/>
        <item x="101"/>
        <item x="113"/>
        <item x="57"/>
        <item x="155"/>
        <item x="30"/>
        <item x="114"/>
        <item x="102"/>
        <item x="144"/>
        <item x="52"/>
        <item x="103"/>
        <item x="115"/>
        <item x="53"/>
        <item x="18"/>
        <item x="105"/>
        <item x="116"/>
        <item x="106"/>
        <item x="20"/>
        <item x="109"/>
        <item x="98"/>
        <item x="111"/>
        <item x="151"/>
        <item x="168"/>
        <item x="172"/>
        <item x="107"/>
        <item x="152"/>
        <item x="147"/>
        <item x="148"/>
        <item x="149"/>
        <item x="153"/>
        <item x="117"/>
        <item x="118"/>
        <item x="119"/>
        <item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5"/>
        <item x="136"/>
        <item x="137"/>
        <item x="121"/>
        <item x="122"/>
        <item x="123"/>
        <item x="124"/>
        <item x="125"/>
        <item x="126"/>
        <item x="139"/>
        <item x="140"/>
        <item x="127"/>
        <item x="128"/>
        <item x="129"/>
        <item x="130"/>
        <item x="26"/>
        <item x="27"/>
        <item x="58"/>
        <item x="59"/>
        <item x="60"/>
        <item x="61"/>
        <item x="131"/>
        <item x="132"/>
        <item x="62"/>
        <item x="164"/>
        <item x="165"/>
        <item x="63"/>
        <item x="28"/>
        <item x="29"/>
        <item x="64"/>
        <item x="65"/>
        <item x="66"/>
        <item x="67"/>
        <item x="68"/>
        <item x="69"/>
        <item x="70"/>
        <item x="71"/>
        <item x="72"/>
        <item x="73"/>
        <item x="166"/>
        <item x="74"/>
        <item x="75"/>
        <item x="76"/>
        <item x="77"/>
        <item x="24"/>
        <item x="78"/>
        <item x="79"/>
        <item x="80"/>
        <item x="81"/>
        <item x="82"/>
        <item x="83"/>
        <item x="133"/>
        <item x="134"/>
        <item x="167"/>
        <item x="157"/>
        <item x="84"/>
        <item x="85"/>
        <item x="86"/>
        <item x="87"/>
        <item x="88"/>
        <item x="89"/>
        <item x="158"/>
        <item x="90"/>
        <item x="91"/>
        <item x="25"/>
        <item x="159"/>
        <item x="92"/>
        <item x="93"/>
        <item x="160"/>
        <item x="94"/>
        <item x="95"/>
        <item x="2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9"/>
        <item x="100"/>
        <item x="97"/>
        <item x="96"/>
        <item x="150"/>
        <item x="156"/>
        <item x="145"/>
        <item x="99"/>
        <item x="110"/>
        <item x="54"/>
        <item x="141"/>
        <item x="51"/>
        <item x="173"/>
        <item x="49"/>
        <item x="161"/>
        <item x="55"/>
        <item x="112"/>
        <item x="162"/>
        <item x="56"/>
        <item x="154"/>
        <item x="50"/>
        <item x="31"/>
        <item x="169"/>
        <item x="17"/>
        <item x="171"/>
        <item x="104"/>
        <item x="108"/>
        <item x="174"/>
        <item x="142"/>
        <item x="170"/>
        <item x="21"/>
        <item x="163"/>
        <item x="175"/>
        <item x="146"/>
        <item x="138"/>
        <item x="32"/>
        <item t="default"/>
      </items>
    </pivotField>
    <pivotField axis="axisPage" multipleItemSelectionAllowed="1" showAll="0">
      <items count="6">
        <item h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x="1"/>
        <item h="1" x="2"/>
        <item h="1" x="3"/>
        <item h="1" x="0"/>
        <item t="default"/>
      </items>
    </pivotField>
  </pivotFields>
  <rowFields count="2">
    <field x="1"/>
    <field x="3"/>
  </rowFields>
  <rowItems count="73">
    <i>
      <x v="1"/>
    </i>
    <i r="1">
      <x v="13"/>
    </i>
    <i r="1">
      <x v="17"/>
    </i>
    <i r="1">
      <x v="140"/>
    </i>
    <i r="1">
      <x v="163"/>
    </i>
    <i r="1">
      <x v="170"/>
    </i>
    <i>
      <x v="5"/>
    </i>
    <i r="1">
      <x v="5"/>
    </i>
    <i r="1">
      <x v="161"/>
    </i>
    <i r="1">
      <x v="175"/>
    </i>
    <i>
      <x v="8"/>
    </i>
    <i r="1">
      <x v="160"/>
    </i>
    <i>
      <x v="9"/>
    </i>
    <i r="1">
      <x v="9"/>
    </i>
    <i r="1">
      <x v="12"/>
    </i>
    <i>
      <x v="10"/>
    </i>
    <i r="1">
      <x v="149"/>
    </i>
    <i>
      <x v="11"/>
    </i>
    <i r="1">
      <x v="3"/>
    </i>
    <i>
      <x v="13"/>
    </i>
    <i r="1">
      <x v="143"/>
    </i>
    <i>
      <x v="14"/>
    </i>
    <i r="1">
      <x v="19"/>
    </i>
    <i r="1">
      <x v="141"/>
    </i>
    <i r="1">
      <x v="142"/>
    </i>
    <i r="1">
      <x v="147"/>
    </i>
    <i>
      <x v="15"/>
    </i>
    <i r="1">
      <x v="1"/>
    </i>
    <i r="1">
      <x v="7"/>
    </i>
    <i r="1">
      <x v="10"/>
    </i>
    <i r="1">
      <x v="14"/>
    </i>
    <i r="1">
      <x v="16"/>
    </i>
    <i r="1">
      <x v="24"/>
    </i>
    <i r="1">
      <x v="165"/>
    </i>
    <i>
      <x v="16"/>
    </i>
    <i r="1">
      <x v="18"/>
    </i>
    <i r="1">
      <x v="20"/>
    </i>
    <i r="1">
      <x v="148"/>
    </i>
    <i r="1">
      <x v="166"/>
    </i>
    <i>
      <x v="17"/>
    </i>
    <i r="1">
      <x v="2"/>
    </i>
    <i r="1">
      <x v="6"/>
    </i>
    <i r="1">
      <x v="11"/>
    </i>
    <i r="1">
      <x v="15"/>
    </i>
    <i>
      <x v="20"/>
    </i>
    <i r="1">
      <x v="168"/>
    </i>
    <i>
      <x v="21"/>
    </i>
    <i r="1">
      <x v="8"/>
    </i>
    <i>
      <x v="22"/>
    </i>
    <i r="1">
      <x v="146"/>
    </i>
    <i>
      <x v="24"/>
    </i>
    <i r="1">
      <x v="21"/>
    </i>
    <i r="1">
      <x v="144"/>
    </i>
    <i>
      <x v="27"/>
    </i>
    <i r="1">
      <x v="4"/>
    </i>
    <i>
      <x v="28"/>
    </i>
    <i r="1">
      <x v="145"/>
    </i>
    <i>
      <x v="31"/>
    </i>
    <i r="1">
      <x v="171"/>
    </i>
    <i>
      <x v="34"/>
    </i>
    <i r="1">
      <x v="22"/>
    </i>
    <i>
      <x v="35"/>
    </i>
    <i r="1">
      <x v="162"/>
    </i>
    <i>
      <x v="36"/>
    </i>
    <i r="1">
      <x v="169"/>
    </i>
    <i>
      <x v="37"/>
    </i>
    <i r="1">
      <x v="23"/>
    </i>
    <i r="1">
      <x v="164"/>
    </i>
    <i>
      <x v="39"/>
    </i>
    <i r="1">
      <x v="167"/>
    </i>
    <i>
      <x v="40"/>
    </i>
    <i r="1">
      <x v="17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76CBC-677C-4CA8-BCE2-42D68BA1BB2C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1:I36" firstHeaderRow="0" firstDataRow="1" firstDataCol="1" rowPageCount="3" colPageCount="1"/>
  <pivotFields count="18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177">
        <item x="143"/>
        <item x="101"/>
        <item x="113"/>
        <item x="57"/>
        <item x="155"/>
        <item x="30"/>
        <item x="114"/>
        <item x="102"/>
        <item x="144"/>
        <item x="52"/>
        <item x="103"/>
        <item x="115"/>
        <item x="53"/>
        <item x="18"/>
        <item x="105"/>
        <item x="116"/>
        <item x="106"/>
        <item x="20"/>
        <item x="109"/>
        <item x="98"/>
        <item x="111"/>
        <item x="151"/>
        <item x="168"/>
        <item x="172"/>
        <item x="107"/>
        <item x="152"/>
        <item x="147"/>
        <item x="148"/>
        <item x="149"/>
        <item x="153"/>
        <item x="117"/>
        <item x="118"/>
        <item x="119"/>
        <item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5"/>
        <item x="136"/>
        <item x="137"/>
        <item x="121"/>
        <item x="122"/>
        <item x="123"/>
        <item x="124"/>
        <item x="125"/>
        <item x="126"/>
        <item x="139"/>
        <item x="140"/>
        <item x="127"/>
        <item x="128"/>
        <item x="129"/>
        <item x="130"/>
        <item x="26"/>
        <item x="27"/>
        <item x="58"/>
        <item x="59"/>
        <item x="60"/>
        <item x="61"/>
        <item x="131"/>
        <item x="132"/>
        <item x="62"/>
        <item x="164"/>
        <item x="165"/>
        <item x="63"/>
        <item x="28"/>
        <item x="29"/>
        <item x="64"/>
        <item x="65"/>
        <item x="66"/>
        <item x="67"/>
        <item x="68"/>
        <item x="69"/>
        <item x="70"/>
        <item x="71"/>
        <item x="72"/>
        <item x="73"/>
        <item x="166"/>
        <item x="74"/>
        <item x="75"/>
        <item x="76"/>
        <item x="77"/>
        <item x="24"/>
        <item x="78"/>
        <item x="79"/>
        <item x="80"/>
        <item x="81"/>
        <item x="82"/>
        <item x="83"/>
        <item x="133"/>
        <item x="134"/>
        <item x="167"/>
        <item x="157"/>
        <item x="84"/>
        <item x="85"/>
        <item x="86"/>
        <item x="87"/>
        <item x="88"/>
        <item x="89"/>
        <item x="158"/>
        <item x="90"/>
        <item x="91"/>
        <item x="25"/>
        <item x="159"/>
        <item x="92"/>
        <item x="93"/>
        <item x="160"/>
        <item x="94"/>
        <item x="95"/>
        <item x="2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9"/>
        <item x="100"/>
        <item x="97"/>
        <item x="96"/>
        <item x="150"/>
        <item x="156"/>
        <item x="145"/>
        <item x="99"/>
        <item x="110"/>
        <item x="54"/>
        <item x="141"/>
        <item x="51"/>
        <item x="173"/>
        <item x="49"/>
        <item x="161"/>
        <item x="55"/>
        <item x="112"/>
        <item x="162"/>
        <item x="56"/>
        <item x="154"/>
        <item x="50"/>
        <item x="31"/>
        <item x="169"/>
        <item x="17"/>
        <item x="171"/>
        <item x="104"/>
        <item x="108"/>
        <item x="174"/>
        <item x="142"/>
        <item x="170"/>
        <item x="21"/>
        <item x="163"/>
        <item x="175"/>
        <item x="146"/>
        <item x="138"/>
        <item x="32"/>
        <item t="default"/>
      </items>
    </pivotField>
    <pivotField axis="axisPage" multipleItemSelectionAllowed="1" showAll="0">
      <items count="6">
        <item h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h="1" x="1"/>
        <item h="1" x="2"/>
        <item x="3"/>
        <item h="1" x="0"/>
        <item t="default"/>
      </items>
    </pivotField>
  </pivotFields>
  <rowFields count="2">
    <field x="1"/>
    <field x="3"/>
  </rowFields>
  <rowItems count="5">
    <i>
      <x v="9"/>
    </i>
    <i r="1">
      <x v="151"/>
    </i>
    <i>
      <x v="38"/>
    </i>
    <i r="1">
      <x v="15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01C1-FE88-4FB4-BEAB-E58B62388990}">
  <dimension ref="A1:AD48"/>
  <sheetViews>
    <sheetView showGridLines="0" tabSelected="1" zoomScale="80" zoomScaleNormal="80" workbookViewId="0">
      <pane xSplit="1" ySplit="7" topLeftCell="I8" activePane="bottomRight" state="frozen"/>
      <selection pane="topRight" activeCell="B1" sqref="B1"/>
      <selection pane="bottomLeft" activeCell="A8" sqref="A8"/>
      <selection pane="bottomRight" activeCell="AB21" sqref="AB21"/>
    </sheetView>
  </sheetViews>
  <sheetFormatPr baseColWidth="10" defaultRowHeight="14.4" x14ac:dyDescent="0.3"/>
  <cols>
    <col min="1" max="1" width="37.88671875" bestFit="1" customWidth="1"/>
    <col min="2" max="2" width="22.77734375" bestFit="1" customWidth="1"/>
    <col min="3" max="3" width="8.21875" bestFit="1" customWidth="1"/>
    <col min="4" max="7" width="9.33203125" bestFit="1" customWidth="1"/>
    <col min="8" max="11" width="10.33203125" bestFit="1" customWidth="1"/>
    <col min="12" max="12" width="9.109375" bestFit="1" customWidth="1"/>
    <col min="13" max="16" width="9.33203125" bestFit="1" customWidth="1"/>
    <col min="17" max="20" width="10.33203125" bestFit="1" customWidth="1"/>
    <col min="21" max="21" width="9.109375" bestFit="1" customWidth="1"/>
    <col min="22" max="22" width="9.33203125" bestFit="1" customWidth="1"/>
    <col min="23" max="23" width="8.88671875" bestFit="1" customWidth="1"/>
    <col min="24" max="24" width="9.5546875" bestFit="1" customWidth="1"/>
    <col min="25" max="26" width="12.21875" bestFit="1" customWidth="1"/>
    <col min="27" max="27" width="9.33203125" bestFit="1" customWidth="1"/>
    <col min="28" max="28" width="8.88671875" bestFit="1" customWidth="1"/>
    <col min="29" max="29" width="9.5546875" bestFit="1" customWidth="1"/>
    <col min="30" max="30" width="12.21875" bestFit="1" customWidth="1"/>
    <col min="31" max="42" width="10.33203125" bestFit="1" customWidth="1"/>
    <col min="43" max="43" width="10.77734375" bestFit="1" customWidth="1"/>
    <col min="44" max="46" width="10.109375" bestFit="1" customWidth="1"/>
    <col min="47" max="47" width="10.33203125" bestFit="1" customWidth="1"/>
    <col min="48" max="48" width="11.6640625" bestFit="1" customWidth="1"/>
    <col min="49" max="50" width="10.33203125" bestFit="1" customWidth="1"/>
    <col min="51" max="51" width="10.109375" bestFit="1" customWidth="1"/>
    <col min="52" max="52" width="11.6640625" bestFit="1" customWidth="1"/>
  </cols>
  <sheetData>
    <row r="1" spans="1:25" x14ac:dyDescent="0.3">
      <c r="A1" s="10" t="s">
        <v>4</v>
      </c>
      <c r="B1" t="s">
        <v>611</v>
      </c>
    </row>
    <row r="2" spans="1:25" x14ac:dyDescent="0.3">
      <c r="A2" s="10" t="s">
        <v>590</v>
      </c>
      <c r="B2" t="s">
        <v>599</v>
      </c>
    </row>
    <row r="4" spans="1:25" x14ac:dyDescent="0.3">
      <c r="A4" s="10" t="s">
        <v>610</v>
      </c>
      <c r="B4" s="10" t="s">
        <v>596</v>
      </c>
    </row>
    <row r="5" spans="1:25" x14ac:dyDescent="0.3">
      <c r="B5" t="s">
        <v>616</v>
      </c>
      <c r="X5" t="s">
        <v>617</v>
      </c>
      <c r="Y5" t="s">
        <v>598</v>
      </c>
    </row>
    <row r="6" spans="1:25" x14ac:dyDescent="0.3">
      <c r="B6" t="s">
        <v>618</v>
      </c>
      <c r="C6" t="s">
        <v>619</v>
      </c>
      <c r="D6" t="s">
        <v>620</v>
      </c>
      <c r="L6" t="s">
        <v>623</v>
      </c>
      <c r="M6" t="s">
        <v>621</v>
      </c>
      <c r="U6" t="s">
        <v>624</v>
      </c>
      <c r="V6" t="s">
        <v>622</v>
      </c>
      <c r="W6" t="s">
        <v>625</v>
      </c>
    </row>
    <row r="7" spans="1:25" x14ac:dyDescent="0.3">
      <c r="A7" s="10" t="s">
        <v>597</v>
      </c>
      <c r="D7" s="17">
        <v>46175</v>
      </c>
      <c r="E7" s="17">
        <v>46178</v>
      </c>
      <c r="F7" s="17">
        <v>46181</v>
      </c>
      <c r="G7" s="17">
        <v>46182</v>
      </c>
      <c r="H7" s="17">
        <v>46183</v>
      </c>
      <c r="I7" s="17">
        <v>46184</v>
      </c>
      <c r="J7" s="17">
        <v>46199</v>
      </c>
      <c r="K7" s="17">
        <v>46203</v>
      </c>
      <c r="M7" s="17">
        <v>46204</v>
      </c>
      <c r="N7" s="17">
        <v>46207</v>
      </c>
      <c r="O7" s="17">
        <v>46209</v>
      </c>
      <c r="P7" s="17">
        <v>46211</v>
      </c>
      <c r="Q7" s="17">
        <v>46213</v>
      </c>
      <c r="R7" s="17">
        <v>46216</v>
      </c>
      <c r="S7" s="17">
        <v>46223</v>
      </c>
      <c r="T7" s="17">
        <v>46231</v>
      </c>
      <c r="V7" s="17">
        <v>46237</v>
      </c>
    </row>
    <row r="8" spans="1:25" x14ac:dyDescent="0.3">
      <c r="A8" s="11" t="s">
        <v>65</v>
      </c>
      <c r="B8" s="20"/>
      <c r="C8" s="20">
        <v>-30220</v>
      </c>
      <c r="D8" s="20"/>
      <c r="E8" s="20"/>
      <c r="F8" s="20"/>
      <c r="G8" s="20"/>
      <c r="H8" s="20"/>
      <c r="I8" s="20"/>
      <c r="J8" s="30"/>
      <c r="K8" s="30"/>
      <c r="L8" s="20"/>
      <c r="M8" s="30"/>
      <c r="N8" s="30"/>
      <c r="O8" s="30">
        <v>109650</v>
      </c>
      <c r="P8" s="32"/>
      <c r="Q8" s="32">
        <v>156600</v>
      </c>
      <c r="R8" s="32">
        <v>571890</v>
      </c>
      <c r="S8" s="20"/>
      <c r="T8" s="20"/>
      <c r="U8" s="20">
        <v>838140</v>
      </c>
      <c r="V8" s="20"/>
      <c r="W8" s="20"/>
      <c r="X8" s="20">
        <v>807920</v>
      </c>
      <c r="Y8" s="20">
        <v>807920</v>
      </c>
    </row>
    <row r="9" spans="1:25" x14ac:dyDescent="0.3">
      <c r="A9" s="11" t="s">
        <v>113</v>
      </c>
      <c r="B9" s="20"/>
      <c r="C9" s="20"/>
      <c r="D9" s="20"/>
      <c r="E9" s="20"/>
      <c r="F9" s="20"/>
      <c r="G9" s="20"/>
      <c r="H9" s="20"/>
      <c r="I9" s="20"/>
      <c r="J9" s="30"/>
      <c r="K9" s="30">
        <v>6821</v>
      </c>
      <c r="L9" s="20">
        <v>6821</v>
      </c>
      <c r="M9" s="30">
        <v>9208.99</v>
      </c>
      <c r="N9" s="30"/>
      <c r="O9" s="30"/>
      <c r="P9" s="20"/>
      <c r="Q9" s="20"/>
      <c r="R9" s="20"/>
      <c r="S9" s="20"/>
      <c r="T9" s="20"/>
      <c r="U9" s="20">
        <v>9208.99</v>
      </c>
      <c r="V9" s="20"/>
      <c r="W9" s="20"/>
      <c r="X9" s="20">
        <v>16029.99</v>
      </c>
      <c r="Y9" s="20">
        <v>16029.99</v>
      </c>
    </row>
    <row r="10" spans="1:25" x14ac:dyDescent="0.3">
      <c r="A10" s="11" t="s">
        <v>170</v>
      </c>
      <c r="B10" s="20"/>
      <c r="C10" s="20"/>
      <c r="D10" s="20"/>
      <c r="E10" s="20"/>
      <c r="F10" s="20"/>
      <c r="G10" s="20"/>
      <c r="H10" s="20"/>
      <c r="I10" s="20"/>
      <c r="J10" s="30"/>
      <c r="K10" s="30">
        <v>15163</v>
      </c>
      <c r="L10" s="20">
        <v>15163</v>
      </c>
      <c r="M10" s="30"/>
      <c r="N10" s="30"/>
      <c r="O10" s="30"/>
      <c r="P10" s="20"/>
      <c r="Q10" s="20"/>
      <c r="R10" s="20"/>
      <c r="S10" s="20"/>
      <c r="T10" s="20"/>
      <c r="U10" s="20"/>
      <c r="V10" s="20"/>
      <c r="W10" s="20"/>
      <c r="X10" s="20">
        <v>15163</v>
      </c>
      <c r="Y10" s="20">
        <v>15163</v>
      </c>
    </row>
    <row r="11" spans="1:25" x14ac:dyDescent="0.3">
      <c r="A11" s="11" t="s">
        <v>174</v>
      </c>
      <c r="B11" s="20"/>
      <c r="C11" s="20"/>
      <c r="D11" s="20"/>
      <c r="E11" s="20"/>
      <c r="F11" s="20"/>
      <c r="G11" s="20"/>
      <c r="H11" s="20"/>
      <c r="I11" s="20"/>
      <c r="J11" s="30"/>
      <c r="K11" s="30">
        <v>0</v>
      </c>
      <c r="L11" s="20">
        <v>0</v>
      </c>
      <c r="M11" s="30"/>
      <c r="N11" s="30"/>
      <c r="O11" s="30"/>
      <c r="P11" s="20"/>
      <c r="Q11" s="20"/>
      <c r="R11" s="20"/>
      <c r="S11" s="20"/>
      <c r="T11" s="20"/>
      <c r="U11" s="20"/>
      <c r="V11" s="20"/>
      <c r="W11" s="20"/>
      <c r="X11" s="20">
        <v>0</v>
      </c>
      <c r="Y11" s="20">
        <v>0</v>
      </c>
    </row>
    <row r="12" spans="1:25" x14ac:dyDescent="0.3">
      <c r="A12" s="11" t="s">
        <v>178</v>
      </c>
      <c r="B12" s="20"/>
      <c r="C12" s="20"/>
      <c r="D12" s="20"/>
      <c r="E12" s="20"/>
      <c r="F12" s="20"/>
      <c r="G12" s="20"/>
      <c r="H12" s="20"/>
      <c r="I12" s="20"/>
      <c r="J12" s="30"/>
      <c r="K12" s="30">
        <v>16355.92</v>
      </c>
      <c r="L12" s="32">
        <v>16355.92</v>
      </c>
      <c r="M12" s="30"/>
      <c r="N12" s="30"/>
      <c r="O12" s="30">
        <v>0</v>
      </c>
      <c r="P12" s="20"/>
      <c r="Q12" s="20">
        <v>0</v>
      </c>
      <c r="R12" s="20"/>
      <c r="S12" s="20"/>
      <c r="T12" s="20"/>
      <c r="U12" s="20">
        <v>0</v>
      </c>
      <c r="V12" s="20"/>
      <c r="W12" s="20"/>
      <c r="X12" s="20">
        <v>16355.92</v>
      </c>
      <c r="Y12" s="20">
        <v>16355.92</v>
      </c>
    </row>
    <row r="13" spans="1:25" x14ac:dyDescent="0.3">
      <c r="A13" s="11" t="s">
        <v>189</v>
      </c>
      <c r="B13" s="20"/>
      <c r="C13" s="20"/>
      <c r="D13" s="20"/>
      <c r="E13" s="20"/>
      <c r="F13" s="20"/>
      <c r="G13" s="20"/>
      <c r="H13" s="20">
        <v>-11970</v>
      </c>
      <c r="I13" s="20"/>
      <c r="J13" s="30"/>
      <c r="K13" s="30"/>
      <c r="L13" s="32">
        <v>-11970</v>
      </c>
      <c r="M13" s="30"/>
      <c r="N13" s="30"/>
      <c r="O13" s="30"/>
      <c r="P13" s="20"/>
      <c r="Q13" s="20"/>
      <c r="R13" s="20"/>
      <c r="S13" s="20"/>
      <c r="T13" s="20"/>
      <c r="U13" s="20"/>
      <c r="V13" s="20"/>
      <c r="W13" s="20"/>
      <c r="X13" s="20">
        <v>-11970</v>
      </c>
      <c r="Y13" s="20">
        <v>-11970</v>
      </c>
    </row>
    <row r="14" spans="1:25" x14ac:dyDescent="0.3">
      <c r="A14" s="11" t="s">
        <v>193</v>
      </c>
      <c r="B14" s="20"/>
      <c r="C14" s="20"/>
      <c r="D14" s="20"/>
      <c r="E14" s="20"/>
      <c r="F14" s="20"/>
      <c r="G14" s="20"/>
      <c r="H14" s="20"/>
      <c r="I14" s="20"/>
      <c r="J14" s="30"/>
      <c r="K14" s="30">
        <v>0</v>
      </c>
      <c r="L14" s="32">
        <v>0</v>
      </c>
      <c r="M14" s="30">
        <v>0</v>
      </c>
      <c r="N14" s="30"/>
      <c r="O14" s="30"/>
      <c r="P14" s="20"/>
      <c r="Q14" s="20"/>
      <c r="R14" s="20"/>
      <c r="S14" s="20"/>
      <c r="T14" s="20"/>
      <c r="U14" s="20">
        <v>0</v>
      </c>
      <c r="V14" s="20"/>
      <c r="W14" s="20"/>
      <c r="X14" s="20">
        <v>0</v>
      </c>
      <c r="Y14" s="20">
        <v>0</v>
      </c>
    </row>
    <row r="15" spans="1:25" x14ac:dyDescent="0.3">
      <c r="A15" s="11" t="s">
        <v>318</v>
      </c>
      <c r="B15" s="20"/>
      <c r="C15" s="20">
        <v>-34580</v>
      </c>
      <c r="D15" s="20"/>
      <c r="E15" s="20"/>
      <c r="F15" s="20"/>
      <c r="G15" s="20"/>
      <c r="H15" s="20"/>
      <c r="I15" s="20"/>
      <c r="J15" s="30"/>
      <c r="K15" s="30"/>
      <c r="L15" s="32"/>
      <c r="M15" s="30"/>
      <c r="N15" s="30"/>
      <c r="O15" s="30"/>
      <c r="P15" s="20"/>
      <c r="Q15" s="20"/>
      <c r="R15" s="20"/>
      <c r="S15" s="20"/>
      <c r="T15" s="20"/>
      <c r="U15" s="20"/>
      <c r="V15" s="20"/>
      <c r="W15" s="20"/>
      <c r="X15" s="20">
        <v>-34580</v>
      </c>
      <c r="Y15" s="20">
        <v>-34580</v>
      </c>
    </row>
    <row r="16" spans="1:25" x14ac:dyDescent="0.3">
      <c r="A16" s="11" t="s">
        <v>322</v>
      </c>
      <c r="B16" s="20">
        <v>-1504</v>
      </c>
      <c r="C16" s="20">
        <v>-36370</v>
      </c>
      <c r="D16" s="20"/>
      <c r="E16" s="20"/>
      <c r="F16" s="20">
        <v>-33677</v>
      </c>
      <c r="G16" s="20"/>
      <c r="H16" s="20"/>
      <c r="I16" s="20">
        <v>-20250</v>
      </c>
      <c r="J16" s="30"/>
      <c r="K16" s="30"/>
      <c r="L16" s="32">
        <v>-53927</v>
      </c>
      <c r="M16" s="30"/>
      <c r="N16" s="30"/>
      <c r="O16" s="30"/>
      <c r="P16" s="20"/>
      <c r="Q16" s="20"/>
      <c r="R16" s="20"/>
      <c r="S16" s="31">
        <v>35224</v>
      </c>
      <c r="T16" s="20"/>
      <c r="U16" s="20">
        <v>35224</v>
      </c>
      <c r="V16" s="20"/>
      <c r="W16" s="20"/>
      <c r="X16" s="20">
        <v>-56577</v>
      </c>
      <c r="Y16" s="20">
        <v>-56577</v>
      </c>
    </row>
    <row r="17" spans="1:25" x14ac:dyDescent="0.3">
      <c r="A17" s="11" t="s">
        <v>338</v>
      </c>
      <c r="B17" s="20"/>
      <c r="C17" s="20"/>
      <c r="D17" s="20"/>
      <c r="E17" s="20"/>
      <c r="F17" s="20"/>
      <c r="G17" s="20"/>
      <c r="H17" s="20"/>
      <c r="I17" s="20"/>
      <c r="J17" s="30">
        <v>420417</v>
      </c>
      <c r="K17" s="30"/>
      <c r="L17" s="32">
        <v>420417</v>
      </c>
      <c r="M17" s="30"/>
      <c r="N17" s="31">
        <v>210600</v>
      </c>
      <c r="O17" s="30">
        <v>103806</v>
      </c>
      <c r="P17" s="20">
        <v>262822.5</v>
      </c>
      <c r="Q17" s="20"/>
      <c r="R17" s="20">
        <v>209461.5</v>
      </c>
      <c r="S17" s="20"/>
      <c r="T17" s="20"/>
      <c r="U17" s="20">
        <v>786690</v>
      </c>
      <c r="V17" s="31">
        <v>210600</v>
      </c>
      <c r="W17" s="20">
        <v>210600</v>
      </c>
      <c r="X17" s="20">
        <v>1417707</v>
      </c>
      <c r="Y17" s="20">
        <v>1417707</v>
      </c>
    </row>
    <row r="18" spans="1:25" x14ac:dyDescent="0.3">
      <c r="A18" s="11" t="s">
        <v>360</v>
      </c>
      <c r="B18" s="20"/>
      <c r="C18" s="20"/>
      <c r="D18" s="20"/>
      <c r="E18" s="20"/>
      <c r="F18" s="20"/>
      <c r="G18" s="20">
        <v>-159925</v>
      </c>
      <c r="H18" s="20"/>
      <c r="I18" s="20"/>
      <c r="J18" s="30"/>
      <c r="K18" s="30"/>
      <c r="L18" s="32">
        <v>-159925</v>
      </c>
      <c r="M18" s="30"/>
      <c r="N18" s="30"/>
      <c r="O18" s="30"/>
      <c r="P18" s="20">
        <v>212594</v>
      </c>
      <c r="Q18" s="20"/>
      <c r="R18" s="20">
        <v>54540</v>
      </c>
      <c r="S18" s="20"/>
      <c r="T18" s="31">
        <v>113004</v>
      </c>
      <c r="U18" s="20">
        <v>380138</v>
      </c>
      <c r="V18" s="20"/>
      <c r="W18" s="20"/>
      <c r="X18" s="20">
        <v>220213</v>
      </c>
      <c r="Y18" s="20">
        <v>220213</v>
      </c>
    </row>
    <row r="19" spans="1:25" x14ac:dyDescent="0.3">
      <c r="A19" s="11" t="s">
        <v>373</v>
      </c>
      <c r="B19" s="20"/>
      <c r="C19" s="20"/>
      <c r="D19" s="20"/>
      <c r="E19" s="20"/>
      <c r="F19" s="20"/>
      <c r="G19" s="20"/>
      <c r="H19" s="20"/>
      <c r="I19" s="20"/>
      <c r="J19" s="30"/>
      <c r="K19" s="30">
        <v>254390</v>
      </c>
      <c r="L19" s="32">
        <v>254390</v>
      </c>
      <c r="M19" s="30">
        <v>113820</v>
      </c>
      <c r="N19" s="30"/>
      <c r="O19" s="30">
        <v>56280</v>
      </c>
      <c r="P19" s="20">
        <v>113400</v>
      </c>
      <c r="Q19" s="20"/>
      <c r="R19" s="20">
        <v>56700</v>
      </c>
      <c r="S19" s="20"/>
      <c r="T19" s="20"/>
      <c r="U19" s="20">
        <v>340200</v>
      </c>
      <c r="V19" s="20"/>
      <c r="W19" s="20"/>
      <c r="X19" s="20">
        <v>594590</v>
      </c>
      <c r="Y19" s="20">
        <v>594590</v>
      </c>
    </row>
    <row r="20" spans="1:25" x14ac:dyDescent="0.3">
      <c r="A20" s="11" t="s">
        <v>464</v>
      </c>
      <c r="B20" s="20"/>
      <c r="C20" s="20">
        <v>-33334</v>
      </c>
      <c r="D20" s="20"/>
      <c r="E20" s="20"/>
      <c r="F20" s="20"/>
      <c r="G20" s="20"/>
      <c r="H20" s="20"/>
      <c r="I20" s="20"/>
      <c r="J20" s="30"/>
      <c r="K20" s="30"/>
      <c r="L20" s="32"/>
      <c r="M20" s="30"/>
      <c r="N20" s="30"/>
      <c r="O20" s="30"/>
      <c r="P20" s="20"/>
      <c r="Q20" s="20"/>
      <c r="R20" s="20">
        <v>67008</v>
      </c>
      <c r="S20" s="20"/>
      <c r="T20" s="20"/>
      <c r="U20" s="20">
        <v>67008</v>
      </c>
      <c r="V20" s="20"/>
      <c r="W20" s="20"/>
      <c r="X20" s="20">
        <v>33674</v>
      </c>
      <c r="Y20" s="20">
        <v>33674</v>
      </c>
    </row>
    <row r="21" spans="1:25" x14ac:dyDescent="0.3">
      <c r="A21" s="11" t="s">
        <v>471</v>
      </c>
      <c r="B21" s="20"/>
      <c r="C21" s="20"/>
      <c r="D21" s="20"/>
      <c r="E21" s="20"/>
      <c r="F21" s="20"/>
      <c r="G21" s="20"/>
      <c r="H21" s="20"/>
      <c r="I21" s="20"/>
      <c r="J21" s="30"/>
      <c r="K21" s="30">
        <v>36400</v>
      </c>
      <c r="L21" s="32">
        <v>36400</v>
      </c>
      <c r="M21" s="30"/>
      <c r="N21" s="30"/>
      <c r="O21" s="30">
        <v>80600</v>
      </c>
      <c r="P21" s="20"/>
      <c r="Q21" s="20"/>
      <c r="R21" s="20"/>
      <c r="S21" s="20"/>
      <c r="T21" s="20"/>
      <c r="U21" s="20">
        <v>80600</v>
      </c>
      <c r="V21" s="20"/>
      <c r="W21" s="20"/>
      <c r="X21" s="20">
        <v>117000</v>
      </c>
      <c r="Y21" s="20">
        <v>117000</v>
      </c>
    </row>
    <row r="22" spans="1:25" x14ac:dyDescent="0.3">
      <c r="A22" s="11" t="s">
        <v>478</v>
      </c>
      <c r="B22" s="20"/>
      <c r="C22" s="20"/>
      <c r="D22" s="20"/>
      <c r="E22" s="20">
        <v>-13728</v>
      </c>
      <c r="F22" s="20"/>
      <c r="G22" s="20"/>
      <c r="H22" s="20"/>
      <c r="I22" s="20"/>
      <c r="J22" s="30"/>
      <c r="K22" s="30"/>
      <c r="L22" s="32">
        <v>-13728</v>
      </c>
      <c r="M22" s="30"/>
      <c r="N22" s="30"/>
      <c r="O22" s="30"/>
      <c r="P22" s="20"/>
      <c r="Q22" s="20"/>
      <c r="R22" s="20"/>
      <c r="S22" s="20"/>
      <c r="T22" s="20"/>
      <c r="U22" s="20"/>
      <c r="V22" s="20"/>
      <c r="W22" s="20"/>
      <c r="X22" s="20">
        <v>-13728</v>
      </c>
      <c r="Y22" s="20">
        <v>-13728</v>
      </c>
    </row>
    <row r="23" spans="1:25" x14ac:dyDescent="0.3">
      <c r="A23" s="11" t="s">
        <v>495</v>
      </c>
      <c r="B23" s="20"/>
      <c r="C23" s="20"/>
      <c r="D23" s="20">
        <v>-6470</v>
      </c>
      <c r="E23" s="20"/>
      <c r="F23" s="20"/>
      <c r="G23" s="20"/>
      <c r="H23" s="20"/>
      <c r="I23" s="20"/>
      <c r="J23" s="30"/>
      <c r="K23" s="30"/>
      <c r="L23" s="32">
        <v>-6470</v>
      </c>
      <c r="M23" s="30"/>
      <c r="N23" s="30"/>
      <c r="O23" s="30"/>
      <c r="P23" s="20"/>
      <c r="Q23" s="20"/>
      <c r="R23" s="20"/>
      <c r="S23" s="20"/>
      <c r="T23" s="31">
        <v>29250</v>
      </c>
      <c r="U23" s="20">
        <v>29250</v>
      </c>
      <c r="V23" s="20"/>
      <c r="W23" s="20"/>
      <c r="X23" s="20">
        <v>22780</v>
      </c>
      <c r="Y23" s="20">
        <v>22780</v>
      </c>
    </row>
    <row r="24" spans="1:25" x14ac:dyDescent="0.3">
      <c r="A24" s="11" t="s">
        <v>510</v>
      </c>
      <c r="B24" s="20"/>
      <c r="C24" s="20"/>
      <c r="D24" s="20"/>
      <c r="E24" s="20"/>
      <c r="F24" s="20"/>
      <c r="G24" s="20"/>
      <c r="H24" s="20"/>
      <c r="I24" s="20"/>
      <c r="J24" s="30"/>
      <c r="K24" s="30">
        <v>162355</v>
      </c>
      <c r="L24" s="32">
        <v>162355</v>
      </c>
      <c r="M24" s="30">
        <v>230850</v>
      </c>
      <c r="N24" s="30"/>
      <c r="O24" s="30"/>
      <c r="P24" s="20"/>
      <c r="Q24" s="20"/>
      <c r="R24" s="20"/>
      <c r="S24" s="20"/>
      <c r="T24" s="20"/>
      <c r="U24" s="20">
        <v>230850</v>
      </c>
      <c r="V24" s="20"/>
      <c r="W24" s="20"/>
      <c r="X24" s="20">
        <v>393205</v>
      </c>
      <c r="Y24" s="20">
        <v>393205</v>
      </c>
    </row>
    <row r="25" spans="1:25" x14ac:dyDescent="0.3">
      <c r="A25" s="11" t="s">
        <v>517</v>
      </c>
      <c r="B25" s="20"/>
      <c r="C25" s="20"/>
      <c r="D25" s="20">
        <v>-9287</v>
      </c>
      <c r="E25" s="20"/>
      <c r="F25" s="20"/>
      <c r="G25" s="20"/>
      <c r="H25" s="20"/>
      <c r="I25" s="20"/>
      <c r="J25" s="30"/>
      <c r="K25" s="30"/>
      <c r="L25" s="20">
        <v>-9287</v>
      </c>
      <c r="M25" s="30"/>
      <c r="N25" s="30"/>
      <c r="O25" s="30"/>
      <c r="P25" s="20"/>
      <c r="Q25" s="20"/>
      <c r="R25" s="20"/>
      <c r="S25" s="20"/>
      <c r="T25" s="20"/>
      <c r="U25" s="20"/>
      <c r="V25" s="20"/>
      <c r="W25" s="20"/>
      <c r="X25" s="20">
        <v>-9287</v>
      </c>
      <c r="Y25" s="20">
        <v>-9287</v>
      </c>
    </row>
    <row r="26" spans="1:25" x14ac:dyDescent="0.3">
      <c r="A26" s="11" t="s">
        <v>534</v>
      </c>
      <c r="B26" s="20"/>
      <c r="C26" s="20"/>
      <c r="D26" s="20"/>
      <c r="E26" s="20"/>
      <c r="F26" s="20"/>
      <c r="G26" s="20"/>
      <c r="H26" s="20"/>
      <c r="I26" s="20"/>
      <c r="J26" s="30"/>
      <c r="K26" s="30">
        <v>116670</v>
      </c>
      <c r="L26" s="20">
        <v>116670</v>
      </c>
      <c r="M26" s="30"/>
      <c r="N26" s="30"/>
      <c r="O26" s="30"/>
      <c r="P26" s="20"/>
      <c r="Q26" s="20"/>
      <c r="R26" s="20"/>
      <c r="S26" s="20"/>
      <c r="T26" s="20"/>
      <c r="U26" s="20"/>
      <c r="V26" s="20"/>
      <c r="W26" s="20"/>
      <c r="X26" s="20">
        <v>116670</v>
      </c>
      <c r="Y26" s="20">
        <v>116670</v>
      </c>
    </row>
    <row r="27" spans="1:25" x14ac:dyDescent="0.3">
      <c r="A27" s="11" t="s">
        <v>538</v>
      </c>
      <c r="B27" s="20"/>
      <c r="C27" s="20"/>
      <c r="D27" s="20"/>
      <c r="E27" s="20"/>
      <c r="F27" s="20"/>
      <c r="G27" s="20"/>
      <c r="H27" s="20"/>
      <c r="I27" s="20"/>
      <c r="J27" s="30"/>
      <c r="K27" s="30">
        <v>56785</v>
      </c>
      <c r="L27" s="20">
        <v>56785</v>
      </c>
      <c r="M27" s="30"/>
      <c r="N27" s="30"/>
      <c r="O27" s="30"/>
      <c r="P27" s="20"/>
      <c r="Q27" s="20"/>
      <c r="R27" s="20">
        <v>35725</v>
      </c>
      <c r="S27" s="20"/>
      <c r="T27" s="20"/>
      <c r="U27" s="20">
        <v>35725</v>
      </c>
      <c r="V27" s="20"/>
      <c r="W27" s="20"/>
      <c r="X27" s="20">
        <v>92510</v>
      </c>
      <c r="Y27" s="20">
        <v>92510</v>
      </c>
    </row>
    <row r="28" spans="1:25" x14ac:dyDescent="0.3">
      <c r="A28" s="11" t="s">
        <v>559</v>
      </c>
      <c r="B28" s="20"/>
      <c r="C28" s="20"/>
      <c r="D28" s="20"/>
      <c r="E28" s="20"/>
      <c r="F28" s="20"/>
      <c r="G28" s="20"/>
      <c r="H28" s="20"/>
      <c r="I28" s="20"/>
      <c r="J28" s="30"/>
      <c r="K28" s="30"/>
      <c r="L28" s="20"/>
      <c r="M28" s="30"/>
      <c r="N28" s="30"/>
      <c r="O28" s="30"/>
      <c r="P28" s="20"/>
      <c r="Q28" s="20"/>
      <c r="R28" s="20"/>
      <c r="S28" s="20"/>
      <c r="T28" s="20"/>
      <c r="U28" s="20"/>
      <c r="V28" s="31">
        <v>144900</v>
      </c>
      <c r="W28" s="20">
        <v>144900</v>
      </c>
      <c r="X28" s="20">
        <v>144900</v>
      </c>
      <c r="Y28" s="20">
        <v>144900</v>
      </c>
    </row>
    <row r="29" spans="1:25" x14ac:dyDescent="0.3">
      <c r="A29" s="11" t="s">
        <v>564</v>
      </c>
      <c r="B29" s="20"/>
      <c r="C29" s="20"/>
      <c r="D29" s="20"/>
      <c r="E29" s="20"/>
      <c r="F29" s="20"/>
      <c r="G29" s="20"/>
      <c r="H29" s="20"/>
      <c r="I29" s="20"/>
      <c r="J29" s="30"/>
      <c r="K29" s="30"/>
      <c r="L29" s="20"/>
      <c r="M29" s="30"/>
      <c r="N29" s="30"/>
      <c r="O29" s="30">
        <v>22575</v>
      </c>
      <c r="P29" s="20"/>
      <c r="Q29" s="20"/>
      <c r="R29" s="20"/>
      <c r="S29" s="20"/>
      <c r="T29" s="20"/>
      <c r="U29" s="20">
        <v>22575</v>
      </c>
      <c r="V29" s="20"/>
      <c r="W29" s="20"/>
      <c r="X29" s="20">
        <v>22575</v>
      </c>
      <c r="Y29" s="20">
        <v>22575</v>
      </c>
    </row>
    <row r="30" spans="1:25" x14ac:dyDescent="0.3">
      <c r="A30" s="11" t="s">
        <v>568</v>
      </c>
      <c r="B30" s="20"/>
      <c r="C30" s="20"/>
      <c r="D30" s="20"/>
      <c r="E30" s="20"/>
      <c r="F30" s="20"/>
      <c r="G30" s="20"/>
      <c r="H30" s="20"/>
      <c r="I30" s="20"/>
      <c r="J30" s="30"/>
      <c r="K30" s="30"/>
      <c r="L30" s="20"/>
      <c r="M30" s="30"/>
      <c r="N30" s="30"/>
      <c r="O30" s="30"/>
      <c r="P30" s="20"/>
      <c r="Q30" s="20"/>
      <c r="R30" s="20">
        <v>52933.5</v>
      </c>
      <c r="S30" s="20"/>
      <c r="T30" s="20"/>
      <c r="U30" s="20">
        <v>52933.5</v>
      </c>
      <c r="V30" s="20"/>
      <c r="W30" s="20"/>
      <c r="X30" s="20">
        <v>52933.5</v>
      </c>
      <c r="Y30" s="20">
        <v>52933.5</v>
      </c>
    </row>
    <row r="31" spans="1:25" x14ac:dyDescent="0.3">
      <c r="A31" s="11" t="s">
        <v>572</v>
      </c>
      <c r="B31" s="20"/>
      <c r="C31" s="20"/>
      <c r="D31" s="20"/>
      <c r="E31" s="20"/>
      <c r="F31" s="20"/>
      <c r="G31" s="20"/>
      <c r="H31" s="20"/>
      <c r="I31" s="20"/>
      <c r="J31" s="30"/>
      <c r="K31" s="30"/>
      <c r="L31" s="20"/>
      <c r="M31" s="30"/>
      <c r="N31" s="30"/>
      <c r="O31" s="30"/>
      <c r="P31" s="20">
        <v>90691</v>
      </c>
      <c r="Q31" s="20"/>
      <c r="R31" s="20"/>
      <c r="S31" s="20"/>
      <c r="T31" s="20"/>
      <c r="U31" s="20">
        <v>90691</v>
      </c>
      <c r="V31" s="31">
        <v>82350</v>
      </c>
      <c r="W31" s="20">
        <v>82350</v>
      </c>
      <c r="X31" s="20">
        <v>173041</v>
      </c>
      <c r="Y31" s="20">
        <v>173041</v>
      </c>
    </row>
    <row r="32" spans="1:25" x14ac:dyDescent="0.3">
      <c r="A32" s="11" t="s">
        <v>579</v>
      </c>
      <c r="B32" s="20"/>
      <c r="C32" s="20"/>
      <c r="D32" s="20"/>
      <c r="E32" s="20"/>
      <c r="F32" s="20"/>
      <c r="G32" s="20"/>
      <c r="H32" s="20"/>
      <c r="I32" s="20"/>
      <c r="J32" s="30"/>
      <c r="K32" s="30">
        <v>67066</v>
      </c>
      <c r="L32" s="20">
        <v>67066</v>
      </c>
      <c r="M32" s="30"/>
      <c r="N32" s="30"/>
      <c r="O32" s="30"/>
      <c r="P32" s="20"/>
      <c r="Q32" s="20"/>
      <c r="R32" s="20"/>
      <c r="S32" s="20"/>
      <c r="T32" s="20"/>
      <c r="U32" s="20"/>
      <c r="V32" s="20"/>
      <c r="W32" s="20"/>
      <c r="X32" s="20">
        <v>67066</v>
      </c>
      <c r="Y32" s="20">
        <v>67066</v>
      </c>
    </row>
    <row r="33" spans="1:30" x14ac:dyDescent="0.3">
      <c r="A33" s="11" t="s">
        <v>583</v>
      </c>
      <c r="B33" s="20"/>
      <c r="C33" s="20"/>
      <c r="D33" s="20"/>
      <c r="E33" s="20"/>
      <c r="F33" s="20"/>
      <c r="G33" s="20"/>
      <c r="H33" s="20"/>
      <c r="I33" s="20"/>
      <c r="J33" s="30"/>
      <c r="K33" s="30"/>
      <c r="L33" s="20"/>
      <c r="M33" s="30"/>
      <c r="N33" s="30"/>
      <c r="O33" s="30"/>
      <c r="P33" s="20"/>
      <c r="Q33" s="20">
        <v>72759</v>
      </c>
      <c r="R33" s="20"/>
      <c r="S33" s="20"/>
      <c r="T33" s="20"/>
      <c r="U33" s="20">
        <v>72759</v>
      </c>
      <c r="V33" s="20"/>
      <c r="W33" s="20"/>
      <c r="X33" s="20">
        <v>72759</v>
      </c>
      <c r="Y33" s="20">
        <v>72759</v>
      </c>
    </row>
    <row r="34" spans="1:30" x14ac:dyDescent="0.3">
      <c r="A34" s="11" t="s">
        <v>587</v>
      </c>
      <c r="B34" s="20"/>
      <c r="C34" s="20"/>
      <c r="D34" s="20"/>
      <c r="E34" s="20"/>
      <c r="F34" s="20"/>
      <c r="G34" s="20"/>
      <c r="H34" s="20"/>
      <c r="I34" s="20"/>
      <c r="J34" s="30"/>
      <c r="K34" s="30">
        <v>115561</v>
      </c>
      <c r="L34" s="20">
        <v>115561</v>
      </c>
      <c r="M34" s="30"/>
      <c r="N34" s="30"/>
      <c r="O34" s="30"/>
      <c r="P34" s="20"/>
      <c r="Q34" s="20"/>
      <c r="R34" s="20"/>
      <c r="S34" s="20"/>
      <c r="T34" s="20"/>
      <c r="U34" s="20"/>
      <c r="V34" s="20"/>
      <c r="W34" s="20"/>
      <c r="X34" s="20">
        <v>115561</v>
      </c>
      <c r="Y34" s="20">
        <v>115561</v>
      </c>
    </row>
    <row r="35" spans="1:30" x14ac:dyDescent="0.3">
      <c r="A35" s="11" t="s">
        <v>598</v>
      </c>
      <c r="B35" s="20">
        <v>-1504</v>
      </c>
      <c r="C35" s="20">
        <v>-134504</v>
      </c>
      <c r="D35" s="20">
        <v>-15757</v>
      </c>
      <c r="E35" s="20">
        <v>-13728</v>
      </c>
      <c r="F35" s="20">
        <v>-33677</v>
      </c>
      <c r="G35" s="20">
        <v>-159925</v>
      </c>
      <c r="H35" s="20">
        <v>-11970</v>
      </c>
      <c r="I35" s="20">
        <v>-20250</v>
      </c>
      <c r="J35" s="30">
        <v>420417</v>
      </c>
      <c r="K35" s="30">
        <v>847566.91999999993</v>
      </c>
      <c r="L35" s="20">
        <v>1012676.9199999999</v>
      </c>
      <c r="M35" s="30">
        <v>353878.99</v>
      </c>
      <c r="N35" s="30">
        <v>210600</v>
      </c>
      <c r="O35" s="30">
        <v>372911</v>
      </c>
      <c r="P35" s="20">
        <v>679507.5</v>
      </c>
      <c r="Q35" s="20">
        <v>229359</v>
      </c>
      <c r="R35" s="20">
        <v>1048258</v>
      </c>
      <c r="S35" s="20">
        <v>35224</v>
      </c>
      <c r="T35" s="20">
        <v>142254</v>
      </c>
      <c r="U35" s="20">
        <v>3071992.49</v>
      </c>
      <c r="V35" s="20">
        <v>437850</v>
      </c>
      <c r="W35" s="20">
        <v>437850</v>
      </c>
      <c r="X35" s="20">
        <v>4386511.41</v>
      </c>
      <c r="Y35" s="20">
        <v>4386511.41</v>
      </c>
    </row>
    <row r="37" spans="1:30" x14ac:dyDescent="0.3">
      <c r="R37">
        <v>239155</v>
      </c>
      <c r="AD37" s="12"/>
    </row>
    <row r="39" spans="1:30" x14ac:dyDescent="0.3">
      <c r="AD39" s="20"/>
    </row>
    <row r="40" spans="1:30" x14ac:dyDescent="0.3">
      <c r="AD40" s="20"/>
    </row>
    <row r="43" spans="1:30" x14ac:dyDescent="0.3">
      <c r="AD43" s="29"/>
    </row>
    <row r="45" spans="1:30" x14ac:dyDescent="0.3">
      <c r="AD45" s="20"/>
    </row>
    <row r="46" spans="1:30" x14ac:dyDescent="0.3">
      <c r="AD46" s="20"/>
    </row>
    <row r="48" spans="1:30" x14ac:dyDescent="0.3">
      <c r="AD48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20F7-6293-4930-9A07-DDCDAAEE4A97}">
  <dimension ref="A1:B93"/>
  <sheetViews>
    <sheetView workbookViewId="0">
      <selection activeCell="B6" sqref="B6:B93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1" spans="1:2" x14ac:dyDescent="0.3">
      <c r="A1" s="10" t="s">
        <v>5</v>
      </c>
      <c r="B1" t="s">
        <v>611</v>
      </c>
    </row>
    <row r="2" spans="1:2" x14ac:dyDescent="0.3">
      <c r="A2" s="10" t="s">
        <v>590</v>
      </c>
      <c r="B2" t="s">
        <v>599</v>
      </c>
    </row>
    <row r="3" spans="1:2" x14ac:dyDescent="0.3">
      <c r="A3" s="10" t="s">
        <v>4</v>
      </c>
      <c r="B3" t="s">
        <v>612</v>
      </c>
    </row>
    <row r="5" spans="1:2" x14ac:dyDescent="0.3">
      <c r="A5" s="10" t="s">
        <v>597</v>
      </c>
      <c r="B5" t="s">
        <v>610</v>
      </c>
    </row>
    <row r="6" spans="1:2" x14ac:dyDescent="0.3">
      <c r="A6" s="11" t="s">
        <v>65</v>
      </c>
      <c r="B6" s="19">
        <v>807920</v>
      </c>
    </row>
    <row r="7" spans="1:2" x14ac:dyDescent="0.3">
      <c r="A7" s="13" t="s">
        <v>72</v>
      </c>
      <c r="B7" s="19">
        <v>156600</v>
      </c>
    </row>
    <row r="8" spans="1:2" x14ac:dyDescent="0.3">
      <c r="A8" s="13" t="s">
        <v>80</v>
      </c>
      <c r="B8" s="19">
        <v>234900</v>
      </c>
    </row>
    <row r="9" spans="1:2" x14ac:dyDescent="0.3">
      <c r="A9" s="13" t="s">
        <v>76</v>
      </c>
      <c r="B9" s="19">
        <v>-30220</v>
      </c>
    </row>
    <row r="10" spans="1:2" x14ac:dyDescent="0.3">
      <c r="A10" s="13" t="s">
        <v>67</v>
      </c>
      <c r="B10" s="19">
        <v>109650</v>
      </c>
    </row>
    <row r="11" spans="1:2" x14ac:dyDescent="0.3">
      <c r="A11" s="13" t="s">
        <v>83</v>
      </c>
      <c r="B11" s="19">
        <v>336990</v>
      </c>
    </row>
    <row r="12" spans="1:2" x14ac:dyDescent="0.3">
      <c r="A12" s="11" t="s">
        <v>113</v>
      </c>
      <c r="B12" s="19">
        <v>34609.99</v>
      </c>
    </row>
    <row r="13" spans="1:2" x14ac:dyDescent="0.3">
      <c r="A13" s="13" t="s">
        <v>115</v>
      </c>
      <c r="B13" s="19">
        <v>28150</v>
      </c>
    </row>
    <row r="14" spans="1:2" x14ac:dyDescent="0.3">
      <c r="A14" s="13" t="s">
        <v>118</v>
      </c>
      <c r="B14" s="19">
        <v>6821</v>
      </c>
    </row>
    <row r="15" spans="1:2" x14ac:dyDescent="0.3">
      <c r="A15" s="13" t="s">
        <v>119</v>
      </c>
      <c r="B15" s="19">
        <v>-361.01</v>
      </c>
    </row>
    <row r="16" spans="1:2" x14ac:dyDescent="0.3">
      <c r="A16" s="11" t="s">
        <v>170</v>
      </c>
      <c r="B16" s="19">
        <v>15163</v>
      </c>
    </row>
    <row r="17" spans="1:2" x14ac:dyDescent="0.3">
      <c r="A17" s="13" t="s">
        <v>172</v>
      </c>
      <c r="B17" s="19">
        <v>15163</v>
      </c>
    </row>
    <row r="18" spans="1:2" x14ac:dyDescent="0.3">
      <c r="A18" s="11" t="s">
        <v>174</v>
      </c>
      <c r="B18" s="19">
        <v>37935</v>
      </c>
    </row>
    <row r="19" spans="1:2" x14ac:dyDescent="0.3">
      <c r="A19" s="13" t="s">
        <v>176</v>
      </c>
      <c r="B19" s="19">
        <v>37935</v>
      </c>
    </row>
    <row r="20" spans="1:2" x14ac:dyDescent="0.3">
      <c r="A20" s="11" t="s">
        <v>178</v>
      </c>
      <c r="B20" s="19">
        <v>150991.92000000001</v>
      </c>
    </row>
    <row r="21" spans="1:2" x14ac:dyDescent="0.3">
      <c r="A21" s="13" t="s">
        <v>184</v>
      </c>
      <c r="B21" s="19">
        <v>60536</v>
      </c>
    </row>
    <row r="22" spans="1:2" x14ac:dyDescent="0.3">
      <c r="A22" s="13" t="s">
        <v>187</v>
      </c>
      <c r="B22" s="19">
        <v>74100</v>
      </c>
    </row>
    <row r="23" spans="1:2" x14ac:dyDescent="0.3">
      <c r="A23" s="13" t="s">
        <v>181</v>
      </c>
      <c r="B23" s="19">
        <v>16355.92</v>
      </c>
    </row>
    <row r="24" spans="1:2" x14ac:dyDescent="0.3">
      <c r="A24" s="11" t="s">
        <v>189</v>
      </c>
      <c r="B24" s="19">
        <v>-11970</v>
      </c>
    </row>
    <row r="25" spans="1:2" x14ac:dyDescent="0.3">
      <c r="A25" s="13" t="s">
        <v>191</v>
      </c>
      <c r="B25" s="19">
        <v>-11970</v>
      </c>
    </row>
    <row r="26" spans="1:2" x14ac:dyDescent="0.3">
      <c r="A26" s="11" t="s">
        <v>193</v>
      </c>
      <c r="B26" s="19">
        <v>109682.5</v>
      </c>
    </row>
    <row r="27" spans="1:2" x14ac:dyDescent="0.3">
      <c r="A27" s="13" t="s">
        <v>201</v>
      </c>
      <c r="B27" s="19">
        <v>53812.5</v>
      </c>
    </row>
    <row r="28" spans="1:2" x14ac:dyDescent="0.3">
      <c r="A28" s="13" t="s">
        <v>195</v>
      </c>
      <c r="B28" s="19">
        <v>19830</v>
      </c>
    </row>
    <row r="29" spans="1:2" x14ac:dyDescent="0.3">
      <c r="A29" s="13" t="s">
        <v>198</v>
      </c>
      <c r="B29" s="19">
        <v>36040</v>
      </c>
    </row>
    <row r="30" spans="1:2" x14ac:dyDescent="0.3">
      <c r="A30" s="11" t="s">
        <v>318</v>
      </c>
      <c r="B30" s="19">
        <v>-34580</v>
      </c>
    </row>
    <row r="31" spans="1:2" x14ac:dyDescent="0.3">
      <c r="A31" s="13" t="s">
        <v>320</v>
      </c>
      <c r="B31" s="19">
        <v>-34580</v>
      </c>
    </row>
    <row r="32" spans="1:2" x14ac:dyDescent="0.3">
      <c r="A32" s="11" t="s">
        <v>322</v>
      </c>
      <c r="B32" s="19">
        <v>-56577</v>
      </c>
    </row>
    <row r="33" spans="1:2" x14ac:dyDescent="0.3">
      <c r="A33" s="13" t="s">
        <v>330</v>
      </c>
      <c r="B33" s="19">
        <v>35224</v>
      </c>
    </row>
    <row r="34" spans="1:2" x14ac:dyDescent="0.3">
      <c r="A34" s="13" t="s">
        <v>336</v>
      </c>
      <c r="B34" s="19">
        <v>-20250</v>
      </c>
    </row>
    <row r="35" spans="1:2" x14ac:dyDescent="0.3">
      <c r="A35" s="13" t="s">
        <v>327</v>
      </c>
      <c r="B35" s="19">
        <v>-36370</v>
      </c>
    </row>
    <row r="36" spans="1:2" x14ac:dyDescent="0.3">
      <c r="A36" s="13" t="s">
        <v>333</v>
      </c>
      <c r="B36" s="19">
        <v>-33677</v>
      </c>
    </row>
    <row r="37" spans="1:2" x14ac:dyDescent="0.3">
      <c r="A37" s="13" t="s">
        <v>119</v>
      </c>
      <c r="B37" s="19">
        <v>-1504</v>
      </c>
    </row>
    <row r="38" spans="1:2" x14ac:dyDescent="0.3">
      <c r="A38" s="11" t="s">
        <v>338</v>
      </c>
      <c r="B38" s="19">
        <v>1417707</v>
      </c>
    </row>
    <row r="39" spans="1:2" x14ac:dyDescent="0.3">
      <c r="A39" s="13" t="s">
        <v>340</v>
      </c>
      <c r="B39" s="19">
        <v>420417</v>
      </c>
    </row>
    <row r="40" spans="1:2" x14ac:dyDescent="0.3">
      <c r="A40" s="13" t="s">
        <v>343</v>
      </c>
      <c r="B40" s="19">
        <v>103806</v>
      </c>
    </row>
    <row r="41" spans="1:2" x14ac:dyDescent="0.3">
      <c r="A41" s="13" t="s">
        <v>346</v>
      </c>
      <c r="B41" s="19">
        <v>104872.5</v>
      </c>
    </row>
    <row r="42" spans="1:2" x14ac:dyDescent="0.3">
      <c r="A42" s="13" t="s">
        <v>352</v>
      </c>
      <c r="B42" s="19">
        <v>104161.5</v>
      </c>
    </row>
    <row r="43" spans="1:2" x14ac:dyDescent="0.3">
      <c r="A43" s="13" t="s">
        <v>355</v>
      </c>
      <c r="B43" s="19">
        <v>105300</v>
      </c>
    </row>
    <row r="44" spans="1:2" x14ac:dyDescent="0.3">
      <c r="A44" s="13" t="s">
        <v>358</v>
      </c>
      <c r="B44" s="19">
        <v>421200</v>
      </c>
    </row>
    <row r="45" spans="1:2" x14ac:dyDescent="0.3">
      <c r="A45" s="13" t="s">
        <v>349</v>
      </c>
      <c r="B45" s="19">
        <v>157950</v>
      </c>
    </row>
    <row r="46" spans="1:2" x14ac:dyDescent="0.3">
      <c r="A46" s="11" t="s">
        <v>360</v>
      </c>
      <c r="B46" s="19">
        <v>220213</v>
      </c>
    </row>
    <row r="47" spans="1:2" x14ac:dyDescent="0.3">
      <c r="A47" s="13" t="s">
        <v>365</v>
      </c>
      <c r="B47" s="19">
        <v>54540</v>
      </c>
    </row>
    <row r="48" spans="1:2" x14ac:dyDescent="0.3">
      <c r="A48" s="13" t="s">
        <v>371</v>
      </c>
      <c r="B48" s="19">
        <v>113004</v>
      </c>
    </row>
    <row r="49" spans="1:2" x14ac:dyDescent="0.3">
      <c r="A49" s="13" t="s">
        <v>368</v>
      </c>
      <c r="B49" s="19">
        <v>-159925</v>
      </c>
    </row>
    <row r="50" spans="1:2" x14ac:dyDescent="0.3">
      <c r="A50" s="13" t="s">
        <v>362</v>
      </c>
      <c r="B50" s="19">
        <v>212594</v>
      </c>
    </row>
    <row r="51" spans="1:2" x14ac:dyDescent="0.3">
      <c r="A51" s="11" t="s">
        <v>373</v>
      </c>
      <c r="B51" s="19">
        <v>594590</v>
      </c>
    </row>
    <row r="52" spans="1:2" x14ac:dyDescent="0.3">
      <c r="A52" s="13" t="s">
        <v>379</v>
      </c>
      <c r="B52" s="19">
        <v>113820</v>
      </c>
    </row>
    <row r="53" spans="1:2" x14ac:dyDescent="0.3">
      <c r="A53" s="13" t="s">
        <v>382</v>
      </c>
      <c r="B53" s="19">
        <v>56280</v>
      </c>
    </row>
    <row r="54" spans="1:2" x14ac:dyDescent="0.3">
      <c r="A54" s="13" t="s">
        <v>385</v>
      </c>
      <c r="B54" s="19">
        <v>113400</v>
      </c>
    </row>
    <row r="55" spans="1:2" x14ac:dyDescent="0.3">
      <c r="A55" s="13" t="s">
        <v>388</v>
      </c>
      <c r="B55" s="19">
        <v>56700</v>
      </c>
    </row>
    <row r="56" spans="1:2" x14ac:dyDescent="0.3">
      <c r="A56" s="13" t="s">
        <v>376</v>
      </c>
      <c r="B56" s="19">
        <v>254390</v>
      </c>
    </row>
    <row r="57" spans="1:2" x14ac:dyDescent="0.3">
      <c r="A57" s="11" t="s">
        <v>464</v>
      </c>
      <c r="B57" s="19">
        <v>33674</v>
      </c>
    </row>
    <row r="58" spans="1:2" x14ac:dyDescent="0.3">
      <c r="A58" s="13" t="s">
        <v>466</v>
      </c>
      <c r="B58" s="19">
        <v>-33334</v>
      </c>
    </row>
    <row r="59" spans="1:2" x14ac:dyDescent="0.3">
      <c r="A59" s="13" t="s">
        <v>469</v>
      </c>
      <c r="B59" s="19">
        <v>67008</v>
      </c>
    </row>
    <row r="60" spans="1:2" x14ac:dyDescent="0.3">
      <c r="A60" s="11" t="s">
        <v>471</v>
      </c>
      <c r="B60" s="19">
        <v>117000</v>
      </c>
    </row>
    <row r="61" spans="1:2" x14ac:dyDescent="0.3">
      <c r="A61" s="13" t="s">
        <v>473</v>
      </c>
      <c r="B61" s="19">
        <v>36400</v>
      </c>
    </row>
    <row r="62" spans="1:2" x14ac:dyDescent="0.3">
      <c r="A62" s="13" t="s">
        <v>476</v>
      </c>
      <c r="B62" s="19">
        <v>80600</v>
      </c>
    </row>
    <row r="63" spans="1:2" x14ac:dyDescent="0.3">
      <c r="A63" s="11" t="s">
        <v>478</v>
      </c>
      <c r="B63" s="19">
        <v>-13728</v>
      </c>
    </row>
    <row r="64" spans="1:2" x14ac:dyDescent="0.3">
      <c r="A64" s="13" t="s">
        <v>480</v>
      </c>
      <c r="B64" s="19">
        <v>-13728</v>
      </c>
    </row>
    <row r="65" spans="1:2" x14ac:dyDescent="0.3">
      <c r="A65" s="11" t="s">
        <v>495</v>
      </c>
      <c r="B65" s="19">
        <v>22780</v>
      </c>
    </row>
    <row r="66" spans="1:2" x14ac:dyDescent="0.3">
      <c r="A66" s="13" t="s">
        <v>500</v>
      </c>
      <c r="B66" s="19">
        <v>29250</v>
      </c>
    </row>
    <row r="67" spans="1:2" x14ac:dyDescent="0.3">
      <c r="A67" s="13" t="s">
        <v>497</v>
      </c>
      <c r="B67" s="19">
        <v>-6470</v>
      </c>
    </row>
    <row r="68" spans="1:2" x14ac:dyDescent="0.3">
      <c r="A68" s="11" t="s">
        <v>510</v>
      </c>
      <c r="B68" s="19">
        <v>393205</v>
      </c>
    </row>
    <row r="69" spans="1:2" x14ac:dyDescent="0.3">
      <c r="A69" s="13" t="s">
        <v>515</v>
      </c>
      <c r="B69" s="19">
        <v>230850</v>
      </c>
    </row>
    <row r="70" spans="1:2" x14ac:dyDescent="0.3">
      <c r="A70" s="13" t="s">
        <v>512</v>
      </c>
      <c r="B70" s="19">
        <v>162355</v>
      </c>
    </row>
    <row r="71" spans="1:2" x14ac:dyDescent="0.3">
      <c r="A71" s="11" t="s">
        <v>517</v>
      </c>
      <c r="B71" s="19">
        <v>-9287</v>
      </c>
    </row>
    <row r="72" spans="1:2" x14ac:dyDescent="0.3">
      <c r="A72" s="13" t="s">
        <v>519</v>
      </c>
      <c r="B72" s="19">
        <v>-9287</v>
      </c>
    </row>
    <row r="73" spans="1:2" x14ac:dyDescent="0.3">
      <c r="A73" s="11" t="s">
        <v>534</v>
      </c>
      <c r="B73" s="19">
        <v>116670</v>
      </c>
    </row>
    <row r="74" spans="1:2" x14ac:dyDescent="0.3">
      <c r="A74" s="13" t="s">
        <v>536</v>
      </c>
      <c r="B74" s="19">
        <v>116670</v>
      </c>
    </row>
    <row r="75" spans="1:2" x14ac:dyDescent="0.3">
      <c r="A75" s="11" t="s">
        <v>538</v>
      </c>
      <c r="B75" s="19">
        <v>92510</v>
      </c>
    </row>
    <row r="76" spans="1:2" x14ac:dyDescent="0.3">
      <c r="A76" s="13" t="s">
        <v>540</v>
      </c>
      <c r="B76" s="19">
        <v>56785</v>
      </c>
    </row>
    <row r="77" spans="1:2" x14ac:dyDescent="0.3">
      <c r="A77" s="13" t="s">
        <v>543</v>
      </c>
      <c r="B77" s="19">
        <v>35725</v>
      </c>
    </row>
    <row r="78" spans="1:2" x14ac:dyDescent="0.3">
      <c r="A78" s="11" t="s">
        <v>559</v>
      </c>
      <c r="B78" s="19">
        <v>144900</v>
      </c>
    </row>
    <row r="79" spans="1:2" x14ac:dyDescent="0.3">
      <c r="A79" s="13" t="s">
        <v>562</v>
      </c>
      <c r="B79" s="19">
        <v>144900</v>
      </c>
    </row>
    <row r="80" spans="1:2" x14ac:dyDescent="0.3">
      <c r="A80" s="11" t="s">
        <v>564</v>
      </c>
      <c r="B80" s="19">
        <v>22575</v>
      </c>
    </row>
    <row r="81" spans="1:2" x14ac:dyDescent="0.3">
      <c r="A81" s="13" t="s">
        <v>566</v>
      </c>
      <c r="B81" s="19">
        <v>22575</v>
      </c>
    </row>
    <row r="82" spans="1:2" x14ac:dyDescent="0.3">
      <c r="A82" s="11" t="s">
        <v>568</v>
      </c>
      <c r="B82" s="19">
        <v>52933.5</v>
      </c>
    </row>
    <row r="83" spans="1:2" x14ac:dyDescent="0.3">
      <c r="A83" s="13" t="s">
        <v>570</v>
      </c>
      <c r="B83" s="19">
        <v>52933.5</v>
      </c>
    </row>
    <row r="84" spans="1:2" x14ac:dyDescent="0.3">
      <c r="A84" s="11" t="s">
        <v>572</v>
      </c>
      <c r="B84" s="19">
        <v>173041</v>
      </c>
    </row>
    <row r="85" spans="1:2" x14ac:dyDescent="0.3">
      <c r="A85" s="13" t="s">
        <v>577</v>
      </c>
      <c r="B85" s="19">
        <v>82350</v>
      </c>
    </row>
    <row r="86" spans="1:2" x14ac:dyDescent="0.3">
      <c r="A86" s="13" t="s">
        <v>574</v>
      </c>
      <c r="B86" s="19">
        <v>90691</v>
      </c>
    </row>
    <row r="87" spans="1:2" x14ac:dyDescent="0.3">
      <c r="A87" s="11" t="s">
        <v>579</v>
      </c>
      <c r="B87" s="19">
        <v>67066</v>
      </c>
    </row>
    <row r="88" spans="1:2" x14ac:dyDescent="0.3">
      <c r="A88" s="13" t="s">
        <v>581</v>
      </c>
      <c r="B88" s="19">
        <v>67066</v>
      </c>
    </row>
    <row r="89" spans="1:2" x14ac:dyDescent="0.3">
      <c r="A89" s="11" t="s">
        <v>583</v>
      </c>
      <c r="B89" s="19">
        <v>72759</v>
      </c>
    </row>
    <row r="90" spans="1:2" x14ac:dyDescent="0.3">
      <c r="A90" s="13" t="s">
        <v>585</v>
      </c>
      <c r="B90" s="19">
        <v>72759</v>
      </c>
    </row>
    <row r="91" spans="1:2" x14ac:dyDescent="0.3">
      <c r="A91" s="11" t="s">
        <v>587</v>
      </c>
      <c r="B91" s="19">
        <v>115561</v>
      </c>
    </row>
    <row r="92" spans="1:2" x14ac:dyDescent="0.3">
      <c r="A92" s="13" t="s">
        <v>589</v>
      </c>
      <c r="B92" s="19">
        <v>115561</v>
      </c>
    </row>
    <row r="93" spans="1:2" x14ac:dyDescent="0.3">
      <c r="A93" s="11" t="s">
        <v>598</v>
      </c>
      <c r="B93" s="19">
        <v>4687344.91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A5CB-190B-4556-B917-3F5466E6DA0C}">
  <dimension ref="A1:I78"/>
  <sheetViews>
    <sheetView workbookViewId="0">
      <selection activeCell="F27" sqref="F27:I51"/>
    </sheetView>
  </sheetViews>
  <sheetFormatPr baseColWidth="10" defaultRowHeight="14.4" x14ac:dyDescent="0.3"/>
  <cols>
    <col min="1" max="1" width="38.886718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1.664062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10" t="s">
        <v>4</v>
      </c>
      <c r="B1" t="s">
        <v>612</v>
      </c>
      <c r="F1" s="10" t="s">
        <v>4</v>
      </c>
      <c r="G1" t="s">
        <v>612</v>
      </c>
    </row>
    <row r="2" spans="1:9" x14ac:dyDescent="0.3">
      <c r="A2" s="10" t="s">
        <v>606</v>
      </c>
      <c r="B2" t="s">
        <v>607</v>
      </c>
      <c r="F2" s="10" t="s">
        <v>606</v>
      </c>
      <c r="G2" t="s">
        <v>608</v>
      </c>
    </row>
    <row r="3" spans="1:9" x14ac:dyDescent="0.3">
      <c r="A3" s="10" t="s">
        <v>590</v>
      </c>
      <c r="B3" t="s">
        <v>599</v>
      </c>
      <c r="F3" s="10" t="s">
        <v>590</v>
      </c>
      <c r="G3" t="s">
        <v>599</v>
      </c>
    </row>
    <row r="5" spans="1:9" x14ac:dyDescent="0.3">
      <c r="A5" s="10" t="s">
        <v>597</v>
      </c>
      <c r="B5" t="s">
        <v>614</v>
      </c>
      <c r="C5" t="s">
        <v>613</v>
      </c>
      <c r="D5" t="s">
        <v>610</v>
      </c>
      <c r="F5" s="10" t="s">
        <v>597</v>
      </c>
      <c r="G5" t="s">
        <v>614</v>
      </c>
      <c r="H5" t="s">
        <v>613</v>
      </c>
      <c r="I5" t="s">
        <v>610</v>
      </c>
    </row>
    <row r="6" spans="1:9" x14ac:dyDescent="0.3">
      <c r="A6" s="11" t="s">
        <v>65</v>
      </c>
      <c r="B6" s="19">
        <v>4</v>
      </c>
      <c r="C6" s="19">
        <v>132</v>
      </c>
      <c r="D6" s="19">
        <v>807920</v>
      </c>
      <c r="F6" s="11" t="s">
        <v>170</v>
      </c>
      <c r="G6" s="19">
        <v>1</v>
      </c>
      <c r="H6" s="19">
        <v>56</v>
      </c>
      <c r="I6" s="19">
        <v>15163</v>
      </c>
    </row>
    <row r="7" spans="1:9" x14ac:dyDescent="0.3">
      <c r="A7" s="13" t="s">
        <v>72</v>
      </c>
      <c r="B7" s="19">
        <v>1</v>
      </c>
      <c r="C7" s="19">
        <v>27</v>
      </c>
      <c r="D7" s="19">
        <v>156600</v>
      </c>
      <c r="F7" s="13" t="s">
        <v>172</v>
      </c>
      <c r="G7" s="19">
        <v>1</v>
      </c>
      <c r="H7" s="19">
        <v>56</v>
      </c>
      <c r="I7" s="19">
        <v>15163</v>
      </c>
    </row>
    <row r="8" spans="1:9" x14ac:dyDescent="0.3">
      <c r="A8" s="13" t="s">
        <v>80</v>
      </c>
      <c r="B8" s="19">
        <v>1</v>
      </c>
      <c r="C8" s="19">
        <v>24</v>
      </c>
      <c r="D8" s="19">
        <v>234900</v>
      </c>
      <c r="F8" s="11" t="s">
        <v>193</v>
      </c>
      <c r="G8" s="19">
        <v>2</v>
      </c>
      <c r="H8" s="19">
        <v>110</v>
      </c>
      <c r="I8" s="19">
        <v>55870</v>
      </c>
    </row>
    <row r="9" spans="1:9" x14ac:dyDescent="0.3">
      <c r="A9" s="13" t="s">
        <v>76</v>
      </c>
      <c r="B9" s="19"/>
      <c r="C9" s="19">
        <v>26</v>
      </c>
      <c r="D9" s="19">
        <v>-30220</v>
      </c>
      <c r="F9" s="13" t="s">
        <v>195</v>
      </c>
      <c r="G9" s="19">
        <v>1</v>
      </c>
      <c r="H9" s="19">
        <v>56</v>
      </c>
      <c r="I9" s="19">
        <v>19830</v>
      </c>
    </row>
    <row r="10" spans="1:9" x14ac:dyDescent="0.3">
      <c r="A10" s="13" t="s">
        <v>67</v>
      </c>
      <c r="B10" s="19">
        <v>1</v>
      </c>
      <c r="C10" s="19">
        <v>31</v>
      </c>
      <c r="D10" s="19">
        <v>109650</v>
      </c>
      <c r="F10" s="13" t="s">
        <v>198</v>
      </c>
      <c r="G10" s="19">
        <v>1</v>
      </c>
      <c r="H10" s="19">
        <v>54</v>
      </c>
      <c r="I10" s="19">
        <v>36040</v>
      </c>
    </row>
    <row r="11" spans="1:9" x14ac:dyDescent="0.3">
      <c r="A11" s="13" t="s">
        <v>83</v>
      </c>
      <c r="B11" s="19">
        <v>1</v>
      </c>
      <c r="C11" s="19">
        <v>24</v>
      </c>
      <c r="D11" s="19">
        <v>336990</v>
      </c>
      <c r="F11" s="11" t="s">
        <v>322</v>
      </c>
      <c r="G11" s="19"/>
      <c r="H11" s="19">
        <v>55</v>
      </c>
      <c r="I11" s="19">
        <v>-1504</v>
      </c>
    </row>
    <row r="12" spans="1:9" x14ac:dyDescent="0.3">
      <c r="A12" s="11" t="s">
        <v>113</v>
      </c>
      <c r="B12" s="19">
        <v>3</v>
      </c>
      <c r="C12" s="19">
        <v>106</v>
      </c>
      <c r="D12" s="19">
        <v>34609.99</v>
      </c>
      <c r="F12" s="13" t="s">
        <v>119</v>
      </c>
      <c r="G12" s="19"/>
      <c r="H12" s="19">
        <v>55</v>
      </c>
      <c r="I12" s="19">
        <v>-1504</v>
      </c>
    </row>
    <row r="13" spans="1:9" x14ac:dyDescent="0.3">
      <c r="A13" s="13" t="s">
        <v>115</v>
      </c>
      <c r="B13" s="19">
        <v>1</v>
      </c>
      <c r="C13" s="19">
        <v>36</v>
      </c>
      <c r="D13" s="19">
        <v>28150</v>
      </c>
      <c r="F13" s="11" t="s">
        <v>373</v>
      </c>
      <c r="G13" s="19">
        <v>1</v>
      </c>
      <c r="H13" s="19">
        <v>54</v>
      </c>
      <c r="I13" s="19">
        <v>254390</v>
      </c>
    </row>
    <row r="14" spans="1:9" x14ac:dyDescent="0.3">
      <c r="A14" s="13" t="s">
        <v>118</v>
      </c>
      <c r="B14" s="19">
        <v>1</v>
      </c>
      <c r="C14" s="19">
        <v>36</v>
      </c>
      <c r="D14" s="19">
        <v>6821</v>
      </c>
      <c r="F14" s="13" t="s">
        <v>376</v>
      </c>
      <c r="G14" s="19">
        <v>1</v>
      </c>
      <c r="H14" s="19">
        <v>54</v>
      </c>
      <c r="I14" s="19">
        <v>254390</v>
      </c>
    </row>
    <row r="15" spans="1:9" x14ac:dyDescent="0.3">
      <c r="A15" s="13" t="s">
        <v>119</v>
      </c>
      <c r="B15" s="19">
        <v>1</v>
      </c>
      <c r="C15" s="19">
        <v>34</v>
      </c>
      <c r="D15" s="19">
        <v>-361.01</v>
      </c>
      <c r="F15" s="11" t="s">
        <v>464</v>
      </c>
      <c r="G15" s="19"/>
      <c r="H15" s="19">
        <v>47</v>
      </c>
      <c r="I15" s="19">
        <v>-33334</v>
      </c>
    </row>
    <row r="16" spans="1:9" x14ac:dyDescent="0.3">
      <c r="A16" s="11" t="s">
        <v>174</v>
      </c>
      <c r="B16" s="19">
        <v>1</v>
      </c>
      <c r="C16" s="19">
        <v>37</v>
      </c>
      <c r="D16" s="19">
        <v>37935</v>
      </c>
      <c r="F16" s="13" t="s">
        <v>466</v>
      </c>
      <c r="G16" s="19"/>
      <c r="H16" s="19">
        <v>47</v>
      </c>
      <c r="I16" s="19">
        <v>-33334</v>
      </c>
    </row>
    <row r="17" spans="1:9" x14ac:dyDescent="0.3">
      <c r="A17" s="13" t="s">
        <v>176</v>
      </c>
      <c r="B17" s="19">
        <v>1</v>
      </c>
      <c r="C17" s="19">
        <v>37</v>
      </c>
      <c r="D17" s="19">
        <v>37935</v>
      </c>
      <c r="F17" s="11" t="s">
        <v>471</v>
      </c>
      <c r="G17" s="19">
        <v>1</v>
      </c>
      <c r="H17" s="19">
        <v>56</v>
      </c>
      <c r="I17" s="19">
        <v>36400</v>
      </c>
    </row>
    <row r="18" spans="1:9" x14ac:dyDescent="0.3">
      <c r="A18" s="11" t="s">
        <v>178</v>
      </c>
      <c r="B18" s="19">
        <v>2</v>
      </c>
      <c r="C18" s="19">
        <v>58</v>
      </c>
      <c r="D18" s="19">
        <v>134636</v>
      </c>
      <c r="F18" s="13" t="s">
        <v>473</v>
      </c>
      <c r="G18" s="19">
        <v>1</v>
      </c>
      <c r="H18" s="19">
        <v>56</v>
      </c>
      <c r="I18" s="19">
        <v>36400</v>
      </c>
    </row>
    <row r="19" spans="1:9" x14ac:dyDescent="0.3">
      <c r="A19" s="13" t="s">
        <v>184</v>
      </c>
      <c r="B19" s="19">
        <v>1</v>
      </c>
      <c r="C19" s="19">
        <v>31</v>
      </c>
      <c r="D19" s="19">
        <v>60536</v>
      </c>
      <c r="F19" s="11" t="s">
        <v>510</v>
      </c>
      <c r="G19" s="19">
        <v>1</v>
      </c>
      <c r="H19" s="19">
        <v>54</v>
      </c>
      <c r="I19" s="19">
        <v>162355</v>
      </c>
    </row>
    <row r="20" spans="1:9" x14ac:dyDescent="0.3">
      <c r="A20" s="13" t="s">
        <v>187</v>
      </c>
      <c r="B20" s="19">
        <v>1</v>
      </c>
      <c r="C20" s="19">
        <v>27</v>
      </c>
      <c r="D20" s="19">
        <v>74100</v>
      </c>
      <c r="F20" s="13" t="s">
        <v>512</v>
      </c>
      <c r="G20" s="19">
        <v>1</v>
      </c>
      <c r="H20" s="19">
        <v>54</v>
      </c>
      <c r="I20" s="19">
        <v>162355</v>
      </c>
    </row>
    <row r="21" spans="1:9" x14ac:dyDescent="0.3">
      <c r="A21" s="11" t="s">
        <v>189</v>
      </c>
      <c r="B21" s="19"/>
      <c r="C21" s="19">
        <v>12</v>
      </c>
      <c r="D21" s="19">
        <v>-11970</v>
      </c>
      <c r="F21" s="11" t="s">
        <v>534</v>
      </c>
      <c r="G21" s="19">
        <v>1</v>
      </c>
      <c r="H21" s="19">
        <v>56</v>
      </c>
      <c r="I21" s="19">
        <v>116670</v>
      </c>
    </row>
    <row r="22" spans="1:9" x14ac:dyDescent="0.3">
      <c r="A22" s="13" t="s">
        <v>191</v>
      </c>
      <c r="B22" s="19"/>
      <c r="C22" s="19">
        <v>12</v>
      </c>
      <c r="D22" s="19">
        <v>-11970</v>
      </c>
      <c r="F22" s="13" t="s">
        <v>536</v>
      </c>
      <c r="G22" s="19">
        <v>1</v>
      </c>
      <c r="H22" s="19">
        <v>56</v>
      </c>
      <c r="I22" s="19">
        <v>116670</v>
      </c>
    </row>
    <row r="23" spans="1:9" x14ac:dyDescent="0.3">
      <c r="A23" s="11" t="s">
        <v>193</v>
      </c>
      <c r="B23" s="19">
        <v>1</v>
      </c>
      <c r="C23" s="19">
        <v>36</v>
      </c>
      <c r="D23" s="19">
        <v>53812.5</v>
      </c>
      <c r="F23" s="11" t="s">
        <v>538</v>
      </c>
      <c r="G23" s="19">
        <v>1</v>
      </c>
      <c r="H23" s="19">
        <v>54</v>
      </c>
      <c r="I23" s="19">
        <v>56785</v>
      </c>
    </row>
    <row r="24" spans="1:9" x14ac:dyDescent="0.3">
      <c r="A24" s="13" t="s">
        <v>201</v>
      </c>
      <c r="B24" s="19">
        <v>1</v>
      </c>
      <c r="C24" s="19">
        <v>36</v>
      </c>
      <c r="D24" s="19">
        <v>53812.5</v>
      </c>
      <c r="F24" s="13" t="s">
        <v>540</v>
      </c>
      <c r="G24" s="19">
        <v>1</v>
      </c>
      <c r="H24" s="19">
        <v>54</v>
      </c>
      <c r="I24" s="19">
        <v>56785</v>
      </c>
    </row>
    <row r="25" spans="1:9" x14ac:dyDescent="0.3">
      <c r="A25" s="11" t="s">
        <v>318</v>
      </c>
      <c r="B25" s="19"/>
      <c r="C25" s="19">
        <v>27</v>
      </c>
      <c r="D25" s="19">
        <v>-34580</v>
      </c>
      <c r="F25" s="11" t="s">
        <v>598</v>
      </c>
      <c r="G25" s="19">
        <v>8</v>
      </c>
      <c r="H25" s="19">
        <v>542</v>
      </c>
      <c r="I25" s="19">
        <v>662795</v>
      </c>
    </row>
    <row r="26" spans="1:9" x14ac:dyDescent="0.3">
      <c r="A26" s="13" t="s">
        <v>320</v>
      </c>
      <c r="B26" s="19"/>
      <c r="C26" s="19">
        <v>27</v>
      </c>
      <c r="D26" s="19">
        <v>-34580</v>
      </c>
    </row>
    <row r="27" spans="1:9" x14ac:dyDescent="0.3">
      <c r="A27" s="11" t="s">
        <v>322</v>
      </c>
      <c r="B27" s="19">
        <v>1</v>
      </c>
      <c r="C27" s="19">
        <v>82</v>
      </c>
      <c r="D27" s="19">
        <v>-55073</v>
      </c>
      <c r="F27" s="10" t="s">
        <v>4</v>
      </c>
      <c r="G27" t="s">
        <v>612</v>
      </c>
    </row>
    <row r="28" spans="1:9" x14ac:dyDescent="0.3">
      <c r="A28" s="13" t="s">
        <v>330</v>
      </c>
      <c r="B28" s="19">
        <v>1</v>
      </c>
      <c r="C28" s="19">
        <v>17</v>
      </c>
      <c r="D28" s="19">
        <v>35224</v>
      </c>
      <c r="F28" s="10" t="s">
        <v>606</v>
      </c>
      <c r="G28" t="s">
        <v>609</v>
      </c>
    </row>
    <row r="29" spans="1:9" x14ac:dyDescent="0.3">
      <c r="A29" s="13" t="s">
        <v>336</v>
      </c>
      <c r="B29" s="19"/>
      <c r="C29" s="19">
        <v>11</v>
      </c>
      <c r="D29" s="19">
        <v>-20250</v>
      </c>
      <c r="F29" s="10" t="s">
        <v>590</v>
      </c>
      <c r="G29" t="s">
        <v>599</v>
      </c>
    </row>
    <row r="30" spans="1:9" x14ac:dyDescent="0.3">
      <c r="A30" s="13" t="s">
        <v>327</v>
      </c>
      <c r="B30" s="19"/>
      <c r="C30" s="19">
        <v>40</v>
      </c>
      <c r="D30" s="19">
        <v>-36370</v>
      </c>
    </row>
    <row r="31" spans="1:9" x14ac:dyDescent="0.3">
      <c r="A31" s="13" t="s">
        <v>333</v>
      </c>
      <c r="B31" s="19"/>
      <c r="C31" s="19">
        <v>14</v>
      </c>
      <c r="D31" s="19">
        <v>-33677</v>
      </c>
      <c r="F31" s="10" t="s">
        <v>597</v>
      </c>
      <c r="G31" t="s">
        <v>614</v>
      </c>
      <c r="H31" t="s">
        <v>613</v>
      </c>
      <c r="I31" t="s">
        <v>610</v>
      </c>
    </row>
    <row r="32" spans="1:9" x14ac:dyDescent="0.3">
      <c r="A32" s="11" t="s">
        <v>338</v>
      </c>
      <c r="B32" s="19">
        <v>6</v>
      </c>
      <c r="C32" s="19">
        <v>181</v>
      </c>
      <c r="D32" s="19">
        <v>1417707</v>
      </c>
      <c r="F32" s="11" t="s">
        <v>178</v>
      </c>
      <c r="G32" s="19">
        <v>1</v>
      </c>
      <c r="H32" s="19">
        <v>71</v>
      </c>
      <c r="I32" s="19">
        <v>16355.92</v>
      </c>
    </row>
    <row r="33" spans="1:9" x14ac:dyDescent="0.3">
      <c r="A33" s="13" t="s">
        <v>340</v>
      </c>
      <c r="B33" s="19">
        <v>1</v>
      </c>
      <c r="C33" s="19">
        <v>41</v>
      </c>
      <c r="D33" s="19">
        <v>420417</v>
      </c>
      <c r="F33" s="13" t="s">
        <v>181</v>
      </c>
      <c r="G33" s="19">
        <v>1</v>
      </c>
      <c r="H33" s="19">
        <v>71</v>
      </c>
      <c r="I33" s="19">
        <v>16355.92</v>
      </c>
    </row>
    <row r="34" spans="1:9" x14ac:dyDescent="0.3">
      <c r="A34" s="13" t="s">
        <v>343</v>
      </c>
      <c r="B34" s="19">
        <v>1</v>
      </c>
      <c r="C34" s="19">
        <v>31</v>
      </c>
      <c r="D34" s="19">
        <v>103806</v>
      </c>
      <c r="F34" s="11" t="s">
        <v>579</v>
      </c>
      <c r="G34" s="19">
        <v>1</v>
      </c>
      <c r="H34" s="19">
        <v>61</v>
      </c>
      <c r="I34" s="19">
        <v>67066</v>
      </c>
    </row>
    <row r="35" spans="1:9" x14ac:dyDescent="0.3">
      <c r="A35" s="13" t="s">
        <v>346</v>
      </c>
      <c r="B35" s="19">
        <v>1</v>
      </c>
      <c r="C35" s="19">
        <v>29</v>
      </c>
      <c r="D35" s="19">
        <v>104872.5</v>
      </c>
      <c r="F35" s="13" t="s">
        <v>581</v>
      </c>
      <c r="G35" s="19">
        <v>1</v>
      </c>
      <c r="H35" s="19">
        <v>61</v>
      </c>
      <c r="I35" s="19">
        <v>67066</v>
      </c>
    </row>
    <row r="36" spans="1:9" x14ac:dyDescent="0.3">
      <c r="A36" s="13" t="s">
        <v>352</v>
      </c>
      <c r="B36" s="19">
        <v>1</v>
      </c>
      <c r="C36" s="19">
        <v>24</v>
      </c>
      <c r="D36" s="19">
        <v>104161.5</v>
      </c>
      <c r="F36" s="11" t="s">
        <v>598</v>
      </c>
      <c r="G36" s="19">
        <v>2</v>
      </c>
      <c r="H36" s="19">
        <v>132</v>
      </c>
      <c r="I36" s="19">
        <v>83421.919999999998</v>
      </c>
    </row>
    <row r="37" spans="1:9" x14ac:dyDescent="0.3">
      <c r="A37" s="13" t="s">
        <v>355</v>
      </c>
      <c r="B37" s="19">
        <v>1</v>
      </c>
      <c r="C37" s="19">
        <v>24</v>
      </c>
      <c r="D37" s="19">
        <v>105300</v>
      </c>
    </row>
    <row r="38" spans="1:9" x14ac:dyDescent="0.3">
      <c r="A38" s="13" t="s">
        <v>358</v>
      </c>
      <c r="B38" s="19"/>
      <c r="C38" s="19">
        <v>3</v>
      </c>
      <c r="D38" s="19">
        <v>421200</v>
      </c>
    </row>
    <row r="39" spans="1:9" x14ac:dyDescent="0.3">
      <c r="A39" s="13" t="s">
        <v>349</v>
      </c>
      <c r="B39" s="19">
        <v>1</v>
      </c>
      <c r="C39" s="19">
        <v>29</v>
      </c>
      <c r="D39" s="19">
        <v>157950</v>
      </c>
    </row>
    <row r="40" spans="1:9" x14ac:dyDescent="0.3">
      <c r="A40" s="11" t="s">
        <v>360</v>
      </c>
      <c r="B40" s="19">
        <v>2</v>
      </c>
      <c r="C40" s="19">
        <v>75</v>
      </c>
      <c r="D40" s="19">
        <v>220213</v>
      </c>
    </row>
    <row r="41" spans="1:9" x14ac:dyDescent="0.3">
      <c r="A41" s="13" t="s">
        <v>365</v>
      </c>
      <c r="B41" s="19">
        <v>1</v>
      </c>
      <c r="C41" s="19">
        <v>24</v>
      </c>
      <c r="D41" s="19">
        <v>54540</v>
      </c>
    </row>
    <row r="42" spans="1:9" x14ac:dyDescent="0.3">
      <c r="A42" s="13" t="s">
        <v>371</v>
      </c>
      <c r="B42" s="19"/>
      <c r="C42" s="19">
        <v>9</v>
      </c>
      <c r="D42" s="19">
        <v>113004</v>
      </c>
    </row>
    <row r="43" spans="1:9" x14ac:dyDescent="0.3">
      <c r="A43" s="13" t="s">
        <v>368</v>
      </c>
      <c r="B43" s="19"/>
      <c r="C43" s="19">
        <v>13</v>
      </c>
      <c r="D43" s="19">
        <v>-159925</v>
      </c>
    </row>
    <row r="44" spans="1:9" x14ac:dyDescent="0.3">
      <c r="A44" s="13" t="s">
        <v>362</v>
      </c>
      <c r="B44" s="19">
        <v>1</v>
      </c>
      <c r="C44" s="19">
        <v>29</v>
      </c>
      <c r="D44" s="19">
        <v>212594</v>
      </c>
    </row>
    <row r="45" spans="1:9" x14ac:dyDescent="0.3">
      <c r="A45" s="11" t="s">
        <v>373</v>
      </c>
      <c r="B45" s="19">
        <v>4</v>
      </c>
      <c r="C45" s="19">
        <v>120</v>
      </c>
      <c r="D45" s="19">
        <v>340200</v>
      </c>
    </row>
    <row r="46" spans="1:9" x14ac:dyDescent="0.3">
      <c r="A46" s="13" t="s">
        <v>379</v>
      </c>
      <c r="B46" s="19">
        <v>1</v>
      </c>
      <c r="C46" s="19">
        <v>36</v>
      </c>
      <c r="D46" s="19">
        <v>113820</v>
      </c>
    </row>
    <row r="47" spans="1:9" x14ac:dyDescent="0.3">
      <c r="A47" s="13" t="s">
        <v>382</v>
      </c>
      <c r="B47" s="19">
        <v>1</v>
      </c>
      <c r="C47" s="19">
        <v>31</v>
      </c>
      <c r="D47" s="19">
        <v>56280</v>
      </c>
    </row>
    <row r="48" spans="1:9" x14ac:dyDescent="0.3">
      <c r="A48" s="13" t="s">
        <v>385</v>
      </c>
      <c r="B48" s="19">
        <v>1</v>
      </c>
      <c r="C48" s="19">
        <v>29</v>
      </c>
      <c r="D48" s="19">
        <v>113400</v>
      </c>
    </row>
    <row r="49" spans="1:4" x14ac:dyDescent="0.3">
      <c r="A49" s="13" t="s">
        <v>388</v>
      </c>
      <c r="B49" s="19">
        <v>1</v>
      </c>
      <c r="C49" s="19">
        <v>24</v>
      </c>
      <c r="D49" s="19">
        <v>56700</v>
      </c>
    </row>
    <row r="50" spans="1:4" x14ac:dyDescent="0.3">
      <c r="A50" s="11" t="s">
        <v>464</v>
      </c>
      <c r="B50" s="19">
        <v>1</v>
      </c>
      <c r="C50" s="19">
        <v>24</v>
      </c>
      <c r="D50" s="19">
        <v>67008</v>
      </c>
    </row>
    <row r="51" spans="1:4" x14ac:dyDescent="0.3">
      <c r="A51" s="13" t="s">
        <v>469</v>
      </c>
      <c r="B51" s="19">
        <v>1</v>
      </c>
      <c r="C51" s="19">
        <v>24</v>
      </c>
      <c r="D51" s="19">
        <v>67008</v>
      </c>
    </row>
    <row r="52" spans="1:4" x14ac:dyDescent="0.3">
      <c r="A52" s="11" t="s">
        <v>471</v>
      </c>
      <c r="B52" s="19">
        <v>1</v>
      </c>
      <c r="C52" s="19">
        <v>31</v>
      </c>
      <c r="D52" s="19">
        <v>80600</v>
      </c>
    </row>
    <row r="53" spans="1:4" x14ac:dyDescent="0.3">
      <c r="A53" s="13" t="s">
        <v>476</v>
      </c>
      <c r="B53" s="19">
        <v>1</v>
      </c>
      <c r="C53" s="19">
        <v>31</v>
      </c>
      <c r="D53" s="19">
        <v>80600</v>
      </c>
    </row>
    <row r="54" spans="1:4" x14ac:dyDescent="0.3">
      <c r="A54" s="11" t="s">
        <v>478</v>
      </c>
      <c r="B54" s="19"/>
      <c r="C54" s="19">
        <v>17</v>
      </c>
      <c r="D54" s="19">
        <v>-13728</v>
      </c>
    </row>
    <row r="55" spans="1:4" x14ac:dyDescent="0.3">
      <c r="A55" s="13" t="s">
        <v>480</v>
      </c>
      <c r="B55" s="19"/>
      <c r="C55" s="19">
        <v>17</v>
      </c>
      <c r="D55" s="19">
        <v>-13728</v>
      </c>
    </row>
    <row r="56" spans="1:4" x14ac:dyDescent="0.3">
      <c r="A56" s="11" t="s">
        <v>495</v>
      </c>
      <c r="B56" s="19"/>
      <c r="C56" s="19">
        <v>29</v>
      </c>
      <c r="D56" s="19">
        <v>22780</v>
      </c>
    </row>
    <row r="57" spans="1:4" x14ac:dyDescent="0.3">
      <c r="A57" s="13" t="s">
        <v>500</v>
      </c>
      <c r="B57" s="19"/>
      <c r="C57" s="19">
        <v>9</v>
      </c>
      <c r="D57" s="19">
        <v>29250</v>
      </c>
    </row>
    <row r="58" spans="1:4" x14ac:dyDescent="0.3">
      <c r="A58" s="13" t="s">
        <v>497</v>
      </c>
      <c r="B58" s="19"/>
      <c r="C58" s="19">
        <v>20</v>
      </c>
      <c r="D58" s="19">
        <v>-6470</v>
      </c>
    </row>
    <row r="59" spans="1:4" x14ac:dyDescent="0.3">
      <c r="A59" s="11" t="s">
        <v>510</v>
      </c>
      <c r="B59" s="19">
        <v>1</v>
      </c>
      <c r="C59" s="19">
        <v>36</v>
      </c>
      <c r="D59" s="19">
        <v>230850</v>
      </c>
    </row>
    <row r="60" spans="1:4" x14ac:dyDescent="0.3">
      <c r="A60" s="13" t="s">
        <v>515</v>
      </c>
      <c r="B60" s="19">
        <v>1</v>
      </c>
      <c r="C60" s="19">
        <v>36</v>
      </c>
      <c r="D60" s="19">
        <v>230850</v>
      </c>
    </row>
    <row r="61" spans="1:4" x14ac:dyDescent="0.3">
      <c r="A61" s="11" t="s">
        <v>517</v>
      </c>
      <c r="B61" s="19"/>
      <c r="C61" s="19">
        <v>20</v>
      </c>
      <c r="D61" s="19">
        <v>-9287</v>
      </c>
    </row>
    <row r="62" spans="1:4" x14ac:dyDescent="0.3">
      <c r="A62" s="13" t="s">
        <v>519</v>
      </c>
      <c r="B62" s="19"/>
      <c r="C62" s="19">
        <v>20</v>
      </c>
      <c r="D62" s="19">
        <v>-9287</v>
      </c>
    </row>
    <row r="63" spans="1:4" x14ac:dyDescent="0.3">
      <c r="A63" s="11" t="s">
        <v>538</v>
      </c>
      <c r="B63" s="19">
        <v>1</v>
      </c>
      <c r="C63" s="19">
        <v>24</v>
      </c>
      <c r="D63" s="19">
        <v>35725</v>
      </c>
    </row>
    <row r="64" spans="1:4" x14ac:dyDescent="0.3">
      <c r="A64" s="13" t="s">
        <v>543</v>
      </c>
      <c r="B64" s="19">
        <v>1</v>
      </c>
      <c r="C64" s="19">
        <v>24</v>
      </c>
      <c r="D64" s="19">
        <v>35725</v>
      </c>
    </row>
    <row r="65" spans="1:4" x14ac:dyDescent="0.3">
      <c r="A65" s="11" t="s">
        <v>559</v>
      </c>
      <c r="B65" s="19"/>
      <c r="C65" s="19">
        <v>3</v>
      </c>
      <c r="D65" s="19">
        <v>144900</v>
      </c>
    </row>
    <row r="66" spans="1:4" x14ac:dyDescent="0.3">
      <c r="A66" s="13" t="s">
        <v>562</v>
      </c>
      <c r="B66" s="19"/>
      <c r="C66" s="19">
        <v>3</v>
      </c>
      <c r="D66" s="19">
        <v>144900</v>
      </c>
    </row>
    <row r="67" spans="1:4" x14ac:dyDescent="0.3">
      <c r="A67" s="11" t="s">
        <v>564</v>
      </c>
      <c r="B67" s="19">
        <v>1</v>
      </c>
      <c r="C67" s="19">
        <v>31</v>
      </c>
      <c r="D67" s="19">
        <v>22575</v>
      </c>
    </row>
    <row r="68" spans="1:4" x14ac:dyDescent="0.3">
      <c r="A68" s="13" t="s">
        <v>566</v>
      </c>
      <c r="B68" s="19">
        <v>1</v>
      </c>
      <c r="C68" s="19">
        <v>31</v>
      </c>
      <c r="D68" s="19">
        <v>22575</v>
      </c>
    </row>
    <row r="69" spans="1:4" x14ac:dyDescent="0.3">
      <c r="A69" s="11" t="s">
        <v>568</v>
      </c>
      <c r="B69" s="19">
        <v>1</v>
      </c>
      <c r="C69" s="19">
        <v>24</v>
      </c>
      <c r="D69" s="19">
        <v>52933.5</v>
      </c>
    </row>
    <row r="70" spans="1:4" x14ac:dyDescent="0.3">
      <c r="A70" s="13" t="s">
        <v>570</v>
      </c>
      <c r="B70" s="19">
        <v>1</v>
      </c>
      <c r="C70" s="19">
        <v>24</v>
      </c>
      <c r="D70" s="19">
        <v>52933.5</v>
      </c>
    </row>
    <row r="71" spans="1:4" x14ac:dyDescent="0.3">
      <c r="A71" s="11" t="s">
        <v>572</v>
      </c>
      <c r="B71" s="19">
        <v>2</v>
      </c>
      <c r="C71" s="19">
        <v>32</v>
      </c>
      <c r="D71" s="19">
        <v>173041</v>
      </c>
    </row>
    <row r="72" spans="1:4" x14ac:dyDescent="0.3">
      <c r="A72" s="13" t="s">
        <v>577</v>
      </c>
      <c r="B72" s="19">
        <v>1</v>
      </c>
      <c r="C72" s="19">
        <v>3</v>
      </c>
      <c r="D72" s="19">
        <v>82350</v>
      </c>
    </row>
    <row r="73" spans="1:4" x14ac:dyDescent="0.3">
      <c r="A73" s="13" t="s">
        <v>574</v>
      </c>
      <c r="B73" s="19">
        <v>1</v>
      </c>
      <c r="C73" s="19">
        <v>29</v>
      </c>
      <c r="D73" s="19">
        <v>90691</v>
      </c>
    </row>
    <row r="74" spans="1:4" x14ac:dyDescent="0.3">
      <c r="A74" s="11" t="s">
        <v>583</v>
      </c>
      <c r="B74" s="19">
        <v>1</v>
      </c>
      <c r="C74" s="19">
        <v>27</v>
      </c>
      <c r="D74" s="19">
        <v>72759</v>
      </c>
    </row>
    <row r="75" spans="1:4" x14ac:dyDescent="0.3">
      <c r="A75" s="13" t="s">
        <v>585</v>
      </c>
      <c r="B75" s="19">
        <v>1</v>
      </c>
      <c r="C75" s="19">
        <v>27</v>
      </c>
      <c r="D75" s="19">
        <v>72759</v>
      </c>
    </row>
    <row r="76" spans="1:4" x14ac:dyDescent="0.3">
      <c r="A76" s="11" t="s">
        <v>587</v>
      </c>
      <c r="B76" s="19">
        <v>1</v>
      </c>
      <c r="C76" s="19">
        <v>22</v>
      </c>
      <c r="D76" s="19">
        <v>115561</v>
      </c>
    </row>
    <row r="77" spans="1:4" x14ac:dyDescent="0.3">
      <c r="A77" s="13" t="s">
        <v>589</v>
      </c>
      <c r="B77" s="19">
        <v>1</v>
      </c>
      <c r="C77" s="19">
        <v>22</v>
      </c>
      <c r="D77" s="19">
        <v>115561</v>
      </c>
    </row>
    <row r="78" spans="1:4" x14ac:dyDescent="0.3">
      <c r="A78" s="11" t="s">
        <v>598</v>
      </c>
      <c r="B78" s="19">
        <v>34</v>
      </c>
      <c r="C78" s="19">
        <v>1186</v>
      </c>
      <c r="D78" s="19">
        <v>3941127.99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6"/>
  <sheetViews>
    <sheetView topLeftCell="B1" workbookViewId="0">
      <pane ySplit="1" topLeftCell="A50" activePane="bottomLeft" state="frozen"/>
      <selection pane="bottomLeft" activeCell="O171" sqref="O171"/>
    </sheetView>
  </sheetViews>
  <sheetFormatPr baseColWidth="10" defaultColWidth="8.88671875" defaultRowHeight="14.4" outlineLevelRow="1" x14ac:dyDescent="0.3"/>
  <cols>
    <col min="1" max="1" width="11" bestFit="1" customWidth="1"/>
    <col min="2" max="2" width="38.77734375" customWidth="1"/>
    <col min="3" max="3" width="13" bestFit="1" customWidth="1"/>
    <col min="4" max="4" width="17" bestFit="1" customWidth="1"/>
    <col min="5" max="5" width="10" customWidth="1"/>
    <col min="6" max="10" width="15.77734375" customWidth="1"/>
    <col min="11" max="11" width="25" customWidth="1"/>
    <col min="12" max="12" width="11" customWidth="1"/>
    <col min="13" max="13" width="10.109375" customWidth="1"/>
    <col min="14" max="14" width="10.33203125" bestFit="1" customWidth="1"/>
    <col min="15" max="15" width="12.77734375" bestFit="1" customWidth="1"/>
    <col min="16" max="16" width="12.21875" bestFit="1" customWidth="1"/>
    <col min="17" max="17" width="11.77734375" customWidth="1"/>
    <col min="18" max="18" width="12.6640625" bestFit="1" customWidth="1"/>
  </cols>
  <sheetData>
    <row r="1" spans="1:18" s="8" customFormat="1" ht="52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590</v>
      </c>
      <c r="L1" s="21" t="s">
        <v>600</v>
      </c>
      <c r="M1" s="22" t="s">
        <v>601</v>
      </c>
      <c r="N1" s="21" t="s">
        <v>602</v>
      </c>
      <c r="O1" s="14" t="s">
        <v>603</v>
      </c>
      <c r="P1" s="14" t="s">
        <v>604</v>
      </c>
      <c r="Q1" s="15" t="s">
        <v>605</v>
      </c>
      <c r="R1" s="16" t="s">
        <v>606</v>
      </c>
    </row>
    <row r="2" spans="1:18" hidden="1" outlineLevel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45980</v>
      </c>
      <c r="G2" s="3">
        <v>208</v>
      </c>
      <c r="H2" s="2">
        <v>45987</v>
      </c>
      <c r="I2" s="4">
        <v>42.48</v>
      </c>
      <c r="J2" s="1" t="s">
        <v>15</v>
      </c>
      <c r="K2" s="1" t="s">
        <v>591</v>
      </c>
      <c r="N2" s="17">
        <v>45987</v>
      </c>
      <c r="O2" s="17">
        <f>H2</f>
        <v>45987</v>
      </c>
      <c r="P2" s="9">
        <f>I2/3.386</f>
        <v>12.545776727702302</v>
      </c>
    </row>
    <row r="3" spans="1:18" hidden="1" outlineLevel="1" x14ac:dyDescent="0.3">
      <c r="A3" s="1" t="s">
        <v>10</v>
      </c>
      <c r="B3" s="1" t="s">
        <v>16</v>
      </c>
      <c r="C3" s="1" t="s">
        <v>17</v>
      </c>
      <c r="D3" s="1" t="s">
        <v>18</v>
      </c>
      <c r="E3" s="1" t="s">
        <v>14</v>
      </c>
      <c r="F3" s="2">
        <v>45980</v>
      </c>
      <c r="G3" s="3">
        <v>208</v>
      </c>
      <c r="H3" s="2">
        <v>45987</v>
      </c>
      <c r="I3" s="4">
        <v>14.16</v>
      </c>
      <c r="J3" s="1" t="s">
        <v>15</v>
      </c>
      <c r="K3" s="1" t="s">
        <v>591</v>
      </c>
      <c r="N3" s="17">
        <v>45987</v>
      </c>
      <c r="O3" s="17">
        <f t="shared" ref="O3:O18" si="0">H3</f>
        <v>45987</v>
      </c>
      <c r="P3" s="9">
        <f t="shared" ref="P3:P18" si="1">I3/3.386</f>
        <v>4.1819255759007676</v>
      </c>
    </row>
    <row r="4" spans="1:18" hidden="1" outlineLevel="1" x14ac:dyDescent="0.3">
      <c r="A4" s="1" t="s">
        <v>10</v>
      </c>
      <c r="B4" s="1" t="s">
        <v>19</v>
      </c>
      <c r="C4" s="1" t="s">
        <v>20</v>
      </c>
      <c r="D4" s="1" t="s">
        <v>21</v>
      </c>
      <c r="E4" s="1" t="s">
        <v>14</v>
      </c>
      <c r="F4" s="2">
        <v>45980</v>
      </c>
      <c r="G4" s="3">
        <v>208</v>
      </c>
      <c r="H4" s="2">
        <v>45987</v>
      </c>
      <c r="I4" s="4">
        <v>14.16</v>
      </c>
      <c r="J4" s="1" t="s">
        <v>15</v>
      </c>
      <c r="K4" s="1" t="s">
        <v>591</v>
      </c>
      <c r="N4" s="17">
        <v>45987</v>
      </c>
      <c r="O4" s="17">
        <f t="shared" si="0"/>
        <v>45987</v>
      </c>
      <c r="P4" s="9">
        <f t="shared" si="1"/>
        <v>4.1819255759007676</v>
      </c>
    </row>
    <row r="5" spans="1:18" hidden="1" outlineLevel="1" x14ac:dyDescent="0.3">
      <c r="A5" s="1" t="s">
        <v>10</v>
      </c>
      <c r="B5" s="1" t="s">
        <v>22</v>
      </c>
      <c r="C5" s="1" t="s">
        <v>23</v>
      </c>
      <c r="D5" s="1" t="s">
        <v>24</v>
      </c>
      <c r="E5" s="1" t="s">
        <v>14</v>
      </c>
      <c r="F5" s="2">
        <v>45981</v>
      </c>
      <c r="G5" s="3">
        <v>207</v>
      </c>
      <c r="H5" s="2">
        <v>45988</v>
      </c>
      <c r="I5" s="4">
        <v>28.32</v>
      </c>
      <c r="J5" s="1" t="s">
        <v>15</v>
      </c>
      <c r="K5" s="1" t="s">
        <v>591</v>
      </c>
      <c r="N5" s="17">
        <v>45988</v>
      </c>
      <c r="O5" s="17">
        <f t="shared" si="0"/>
        <v>45988</v>
      </c>
      <c r="P5" s="9">
        <f t="shared" si="1"/>
        <v>8.3638511518015353</v>
      </c>
    </row>
    <row r="6" spans="1:18" hidden="1" outlineLevel="1" x14ac:dyDescent="0.3">
      <c r="A6" s="1" t="s">
        <v>10</v>
      </c>
      <c r="B6" s="1" t="s">
        <v>25</v>
      </c>
      <c r="C6" s="1" t="s">
        <v>26</v>
      </c>
      <c r="D6" s="1" t="s">
        <v>27</v>
      </c>
      <c r="E6" s="1" t="s">
        <v>14</v>
      </c>
      <c r="F6" s="2">
        <v>45981</v>
      </c>
      <c r="G6" s="3">
        <v>207</v>
      </c>
      <c r="H6" s="2">
        <v>45988</v>
      </c>
      <c r="I6" s="4">
        <v>14.16</v>
      </c>
      <c r="J6" s="1" t="s">
        <v>15</v>
      </c>
      <c r="K6" s="1" t="s">
        <v>591</v>
      </c>
      <c r="N6" s="17">
        <v>45988</v>
      </c>
      <c r="O6" s="17">
        <f t="shared" si="0"/>
        <v>45988</v>
      </c>
      <c r="P6" s="9">
        <f t="shared" si="1"/>
        <v>4.1819255759007676</v>
      </c>
    </row>
    <row r="7" spans="1:18" hidden="1" outlineLevel="1" x14ac:dyDescent="0.3">
      <c r="A7" s="1" t="s">
        <v>10</v>
      </c>
      <c r="B7" s="1" t="s">
        <v>28</v>
      </c>
      <c r="C7" s="1" t="s">
        <v>29</v>
      </c>
      <c r="D7" s="1" t="s">
        <v>30</v>
      </c>
      <c r="E7" s="1" t="s">
        <v>14</v>
      </c>
      <c r="F7" s="2">
        <v>45982</v>
      </c>
      <c r="G7" s="3">
        <v>206</v>
      </c>
      <c r="H7" s="2">
        <v>45989</v>
      </c>
      <c r="I7" s="4">
        <v>28.32</v>
      </c>
      <c r="J7" s="1" t="s">
        <v>15</v>
      </c>
      <c r="K7" s="1" t="s">
        <v>591</v>
      </c>
      <c r="N7" s="17">
        <v>45989</v>
      </c>
      <c r="O7" s="17">
        <f t="shared" si="0"/>
        <v>45989</v>
      </c>
      <c r="P7" s="9">
        <f t="shared" si="1"/>
        <v>8.3638511518015353</v>
      </c>
    </row>
    <row r="8" spans="1:18" hidden="1" outlineLevel="1" x14ac:dyDescent="0.3">
      <c r="A8" s="1" t="s">
        <v>10</v>
      </c>
      <c r="B8" s="1" t="s">
        <v>31</v>
      </c>
      <c r="C8" s="1" t="s">
        <v>32</v>
      </c>
      <c r="D8" s="1" t="s">
        <v>33</v>
      </c>
      <c r="E8" s="1" t="s">
        <v>14</v>
      </c>
      <c r="F8" s="2">
        <v>45982</v>
      </c>
      <c r="G8" s="3">
        <v>206</v>
      </c>
      <c r="H8" s="2">
        <v>45989</v>
      </c>
      <c r="I8" s="4">
        <v>42.48</v>
      </c>
      <c r="J8" s="1" t="s">
        <v>15</v>
      </c>
      <c r="K8" s="1" t="s">
        <v>591</v>
      </c>
      <c r="N8" s="17">
        <v>45989</v>
      </c>
      <c r="O8" s="17">
        <f t="shared" si="0"/>
        <v>45989</v>
      </c>
      <c r="P8" s="9">
        <f t="shared" si="1"/>
        <v>12.545776727702302</v>
      </c>
    </row>
    <row r="9" spans="1:18" hidden="1" outlineLevel="1" x14ac:dyDescent="0.3">
      <c r="A9" s="1" t="s">
        <v>10</v>
      </c>
      <c r="B9" s="1" t="s">
        <v>34</v>
      </c>
      <c r="C9" s="1" t="s">
        <v>35</v>
      </c>
      <c r="D9" s="1" t="s">
        <v>36</v>
      </c>
      <c r="E9" s="1" t="s">
        <v>14</v>
      </c>
      <c r="F9" s="2">
        <v>45982</v>
      </c>
      <c r="G9" s="3">
        <v>206</v>
      </c>
      <c r="H9" s="2">
        <v>45989</v>
      </c>
      <c r="I9" s="4">
        <v>42.48</v>
      </c>
      <c r="J9" s="1" t="s">
        <v>15</v>
      </c>
      <c r="K9" s="1" t="s">
        <v>591</v>
      </c>
      <c r="N9" s="17">
        <v>45989</v>
      </c>
      <c r="O9" s="17">
        <f t="shared" si="0"/>
        <v>45989</v>
      </c>
      <c r="P9" s="9">
        <f t="shared" si="1"/>
        <v>12.545776727702302</v>
      </c>
    </row>
    <row r="10" spans="1:18" hidden="1" outlineLevel="1" x14ac:dyDescent="0.3">
      <c r="A10" s="1" t="s">
        <v>10</v>
      </c>
      <c r="B10" s="1" t="s">
        <v>37</v>
      </c>
      <c r="C10" s="1" t="s">
        <v>38</v>
      </c>
      <c r="D10" s="1" t="s">
        <v>39</v>
      </c>
      <c r="E10" s="1" t="s">
        <v>14</v>
      </c>
      <c r="F10" s="2">
        <v>45982</v>
      </c>
      <c r="G10" s="3">
        <v>206</v>
      </c>
      <c r="H10" s="2">
        <v>45989</v>
      </c>
      <c r="I10" s="4">
        <v>14.16</v>
      </c>
      <c r="J10" s="1" t="s">
        <v>15</v>
      </c>
      <c r="K10" s="1" t="s">
        <v>591</v>
      </c>
      <c r="N10" s="17">
        <v>45989</v>
      </c>
      <c r="O10" s="17">
        <f t="shared" si="0"/>
        <v>45989</v>
      </c>
      <c r="P10" s="9">
        <f t="shared" si="1"/>
        <v>4.1819255759007676</v>
      </c>
    </row>
    <row r="11" spans="1:18" hidden="1" outlineLevel="1" x14ac:dyDescent="0.3">
      <c r="A11" s="1" t="s">
        <v>10</v>
      </c>
      <c r="B11" s="1" t="s">
        <v>40</v>
      </c>
      <c r="C11" s="1" t="s">
        <v>41</v>
      </c>
      <c r="D11" s="1" t="s">
        <v>42</v>
      </c>
      <c r="E11" s="1" t="s">
        <v>14</v>
      </c>
      <c r="F11" s="2">
        <v>45983</v>
      </c>
      <c r="G11" s="3">
        <v>205</v>
      </c>
      <c r="H11" s="2">
        <v>45990</v>
      </c>
      <c r="I11" s="4">
        <v>28.32</v>
      </c>
      <c r="J11" s="1" t="s">
        <v>15</v>
      </c>
      <c r="K11" s="1" t="s">
        <v>591</v>
      </c>
      <c r="N11" s="17">
        <v>45990</v>
      </c>
      <c r="O11" s="17">
        <f t="shared" si="0"/>
        <v>45990</v>
      </c>
      <c r="P11" s="9">
        <f t="shared" si="1"/>
        <v>8.3638511518015353</v>
      </c>
    </row>
    <row r="12" spans="1:18" hidden="1" outlineLevel="1" x14ac:dyDescent="0.3">
      <c r="A12" s="1" t="s">
        <v>10</v>
      </c>
      <c r="B12" s="1" t="s">
        <v>43</v>
      </c>
      <c r="C12" s="1" t="s">
        <v>44</v>
      </c>
      <c r="D12" s="1" t="s">
        <v>45</v>
      </c>
      <c r="E12" s="1" t="s">
        <v>14</v>
      </c>
      <c r="F12" s="2">
        <v>45988</v>
      </c>
      <c r="G12" s="3">
        <v>200</v>
      </c>
      <c r="H12" s="2">
        <v>45995</v>
      </c>
      <c r="I12" s="4">
        <v>14.16</v>
      </c>
      <c r="J12" s="1" t="s">
        <v>15</v>
      </c>
      <c r="K12" s="1" t="s">
        <v>591</v>
      </c>
      <c r="N12" s="17">
        <v>45995</v>
      </c>
      <c r="O12" s="17">
        <f t="shared" si="0"/>
        <v>45995</v>
      </c>
      <c r="P12" s="9">
        <f t="shared" si="1"/>
        <v>4.1819255759007676</v>
      </c>
    </row>
    <row r="13" spans="1:18" hidden="1" outlineLevel="1" x14ac:dyDescent="0.3">
      <c r="A13" s="1" t="s">
        <v>10</v>
      </c>
      <c r="B13" s="1" t="s">
        <v>46</v>
      </c>
      <c r="C13" s="1" t="s">
        <v>47</v>
      </c>
      <c r="D13" s="1" t="s">
        <v>48</v>
      </c>
      <c r="E13" s="1" t="s">
        <v>14</v>
      </c>
      <c r="F13" s="2">
        <v>46028</v>
      </c>
      <c r="G13" s="3">
        <v>160</v>
      </c>
      <c r="H13" s="2">
        <v>46035</v>
      </c>
      <c r="I13" s="4">
        <v>14.16</v>
      </c>
      <c r="J13" s="1" t="s">
        <v>15</v>
      </c>
      <c r="K13" s="1" t="s">
        <v>591</v>
      </c>
      <c r="N13" s="17">
        <v>46035</v>
      </c>
      <c r="O13" s="17">
        <f t="shared" si="0"/>
        <v>46035</v>
      </c>
      <c r="P13" s="9">
        <f t="shared" si="1"/>
        <v>4.1819255759007676</v>
      </c>
    </row>
    <row r="14" spans="1:18" hidden="1" outlineLevel="1" x14ac:dyDescent="0.3">
      <c r="A14" s="1" t="s">
        <v>10</v>
      </c>
      <c r="B14" s="1" t="s">
        <v>49</v>
      </c>
      <c r="C14" s="1" t="s">
        <v>50</v>
      </c>
      <c r="D14" s="1" t="s">
        <v>51</v>
      </c>
      <c r="E14" s="1" t="s">
        <v>14</v>
      </c>
      <c r="F14" s="2">
        <v>46030</v>
      </c>
      <c r="G14" s="3">
        <v>158</v>
      </c>
      <c r="H14" s="2">
        <v>46037</v>
      </c>
      <c r="I14" s="4">
        <v>14.16</v>
      </c>
      <c r="J14" s="1" t="s">
        <v>15</v>
      </c>
      <c r="K14" s="1" t="s">
        <v>591</v>
      </c>
      <c r="N14" s="17">
        <v>46037</v>
      </c>
      <c r="O14" s="17">
        <f t="shared" si="0"/>
        <v>46037</v>
      </c>
      <c r="P14" s="9">
        <f t="shared" si="1"/>
        <v>4.1819255759007676</v>
      </c>
    </row>
    <row r="15" spans="1:18" hidden="1" outlineLevel="1" x14ac:dyDescent="0.3">
      <c r="A15" s="1" t="s">
        <v>10</v>
      </c>
      <c r="B15" s="1" t="s">
        <v>52</v>
      </c>
      <c r="C15" s="1" t="s">
        <v>53</v>
      </c>
      <c r="D15" s="1" t="s">
        <v>54</v>
      </c>
      <c r="E15" s="1" t="s">
        <v>14</v>
      </c>
      <c r="F15" s="2">
        <v>46032</v>
      </c>
      <c r="G15" s="3">
        <v>156</v>
      </c>
      <c r="H15" s="2">
        <v>46039</v>
      </c>
      <c r="I15" s="4">
        <v>14.16</v>
      </c>
      <c r="J15" s="1" t="s">
        <v>15</v>
      </c>
      <c r="K15" s="1" t="s">
        <v>591</v>
      </c>
      <c r="N15" s="17">
        <v>46039</v>
      </c>
      <c r="O15" s="17">
        <f t="shared" si="0"/>
        <v>46039</v>
      </c>
      <c r="P15" s="9">
        <f t="shared" si="1"/>
        <v>4.1819255759007676</v>
      </c>
    </row>
    <row r="16" spans="1:18" hidden="1" outlineLevel="1" x14ac:dyDescent="0.3">
      <c r="A16" s="1" t="s">
        <v>10</v>
      </c>
      <c r="B16" s="1" t="s">
        <v>55</v>
      </c>
      <c r="C16" s="1" t="s">
        <v>56</v>
      </c>
      <c r="D16" s="1" t="s">
        <v>57</v>
      </c>
      <c r="E16" s="1" t="s">
        <v>14</v>
      </c>
      <c r="F16" s="2">
        <v>46038</v>
      </c>
      <c r="G16" s="3">
        <v>150</v>
      </c>
      <c r="H16" s="2">
        <v>46045</v>
      </c>
      <c r="I16" s="4">
        <v>14.16</v>
      </c>
      <c r="J16" s="1" t="s">
        <v>15</v>
      </c>
      <c r="K16" s="1" t="s">
        <v>591</v>
      </c>
      <c r="N16" s="17">
        <v>46045</v>
      </c>
      <c r="O16" s="17">
        <f t="shared" si="0"/>
        <v>46045</v>
      </c>
      <c r="P16" s="9">
        <f t="shared" si="1"/>
        <v>4.1819255759007676</v>
      </c>
    </row>
    <row r="17" spans="1:18" hidden="1" outlineLevel="1" x14ac:dyDescent="0.3">
      <c r="A17" s="1" t="s">
        <v>10</v>
      </c>
      <c r="B17" s="1" t="s">
        <v>58</v>
      </c>
      <c r="C17" s="1" t="s">
        <v>59</v>
      </c>
      <c r="D17" s="1" t="s">
        <v>60</v>
      </c>
      <c r="E17" s="1" t="s">
        <v>14</v>
      </c>
      <c r="F17" s="2">
        <v>46038</v>
      </c>
      <c r="G17" s="3">
        <v>150</v>
      </c>
      <c r="H17" s="2">
        <v>46045</v>
      </c>
      <c r="I17" s="4">
        <v>14.16</v>
      </c>
      <c r="J17" s="1" t="s">
        <v>15</v>
      </c>
      <c r="K17" s="1" t="s">
        <v>591</v>
      </c>
      <c r="N17" s="17">
        <v>46045</v>
      </c>
      <c r="O17" s="17">
        <f t="shared" si="0"/>
        <v>46045</v>
      </c>
      <c r="P17" s="9">
        <f t="shared" si="1"/>
        <v>4.1819255759007676</v>
      </c>
    </row>
    <row r="18" spans="1:18" hidden="1" outlineLevel="1" x14ac:dyDescent="0.3">
      <c r="A18" s="1" t="s">
        <v>10</v>
      </c>
      <c r="B18" s="1" t="s">
        <v>61</v>
      </c>
      <c r="C18" s="1" t="s">
        <v>62</v>
      </c>
      <c r="D18" s="1" t="s">
        <v>63</v>
      </c>
      <c r="E18" s="1" t="s">
        <v>14</v>
      </c>
      <c r="F18" s="2">
        <v>46041</v>
      </c>
      <c r="G18" s="3">
        <v>147</v>
      </c>
      <c r="H18" s="2">
        <v>46048</v>
      </c>
      <c r="I18" s="4">
        <v>14.16</v>
      </c>
      <c r="J18" s="1" t="s">
        <v>15</v>
      </c>
      <c r="K18" s="1" t="s">
        <v>591</v>
      </c>
      <c r="N18" s="17">
        <v>46048</v>
      </c>
      <c r="O18" s="17">
        <f t="shared" si="0"/>
        <v>46048</v>
      </c>
      <c r="P18" s="9">
        <f t="shared" si="1"/>
        <v>4.1819255759007676</v>
      </c>
    </row>
    <row r="19" spans="1:18" outlineLevel="1" x14ac:dyDescent="0.3">
      <c r="A19" s="1" t="s">
        <v>64</v>
      </c>
      <c r="B19" s="1" t="s">
        <v>65</v>
      </c>
      <c r="C19" s="1" t="s">
        <v>66</v>
      </c>
      <c r="D19" s="1" t="s">
        <v>67</v>
      </c>
      <c r="E19" s="1" t="s">
        <v>68</v>
      </c>
      <c r="F19" s="2">
        <v>46164</v>
      </c>
      <c r="G19" s="3">
        <v>31</v>
      </c>
      <c r="H19" s="2">
        <v>46164</v>
      </c>
      <c r="I19" s="4">
        <v>109650</v>
      </c>
      <c r="J19" s="1" t="s">
        <v>69</v>
      </c>
      <c r="K19" s="1" t="s">
        <v>599</v>
      </c>
      <c r="L19" s="17">
        <f>F19+45</f>
        <v>46209</v>
      </c>
      <c r="M19" s="18">
        <f ca="1">TODAY()-N19</f>
        <v>-7</v>
      </c>
      <c r="N19" s="17">
        <v>46209</v>
      </c>
      <c r="O19" s="17">
        <v>46209</v>
      </c>
      <c r="P19" s="12">
        <f>I19</f>
        <v>109650</v>
      </c>
      <c r="Q19" s="18">
        <f ca="1">TODAY()-F19</f>
        <v>38</v>
      </c>
      <c r="R19" t="s">
        <v>607</v>
      </c>
    </row>
    <row r="20" spans="1:18" outlineLevel="1" x14ac:dyDescent="0.3">
      <c r="A20" s="1" t="s">
        <v>64</v>
      </c>
      <c r="B20" s="1" t="s">
        <v>70</v>
      </c>
      <c r="C20" s="1" t="s">
        <v>71</v>
      </c>
      <c r="D20" s="1" t="s">
        <v>72</v>
      </c>
      <c r="E20" s="1" t="s">
        <v>73</v>
      </c>
      <c r="F20" s="2">
        <v>46168</v>
      </c>
      <c r="G20" s="5">
        <v>-18</v>
      </c>
      <c r="H20" s="2">
        <v>46213</v>
      </c>
      <c r="I20" s="4">
        <v>156600</v>
      </c>
      <c r="J20" s="1" t="s">
        <v>69</v>
      </c>
      <c r="K20" s="1" t="s">
        <v>599</v>
      </c>
      <c r="L20" s="17">
        <f t="shared" ref="L20:L23" si="2">F20+45</f>
        <v>46213</v>
      </c>
      <c r="M20" s="18">
        <f t="shared" ref="M20:M23" ca="1" si="3">TODAY()-N20</f>
        <v>-11</v>
      </c>
      <c r="N20" s="17">
        <v>46213</v>
      </c>
      <c r="O20" s="17">
        <f t="shared" ref="O20:O22" si="4">H20</f>
        <v>46213</v>
      </c>
      <c r="P20" s="12">
        <f t="shared" ref="P20:P23" si="5">I20</f>
        <v>156600</v>
      </c>
      <c r="Q20" s="18">
        <f t="shared" ref="Q20:Q23" ca="1" si="6">TODAY()-F20</f>
        <v>34</v>
      </c>
      <c r="R20" t="s">
        <v>607</v>
      </c>
    </row>
    <row r="21" spans="1:18" outlineLevel="1" x14ac:dyDescent="0.3">
      <c r="A21" s="1" t="s">
        <v>64</v>
      </c>
      <c r="B21" s="1" t="s">
        <v>74</v>
      </c>
      <c r="C21" s="1" t="s">
        <v>75</v>
      </c>
      <c r="D21" s="1" t="s">
        <v>76</v>
      </c>
      <c r="E21" s="1" t="s">
        <v>77</v>
      </c>
      <c r="F21" s="2">
        <v>46169</v>
      </c>
      <c r="G21" s="3">
        <v>0</v>
      </c>
      <c r="H21" s="2">
        <v>46173</v>
      </c>
      <c r="I21" s="6">
        <v>-30220</v>
      </c>
      <c r="J21" s="1" t="s">
        <v>69</v>
      </c>
      <c r="K21" s="1" t="s">
        <v>599</v>
      </c>
      <c r="L21" s="17">
        <f t="shared" si="2"/>
        <v>46214</v>
      </c>
      <c r="M21" s="18"/>
      <c r="N21" s="17">
        <v>46169</v>
      </c>
      <c r="O21" s="17">
        <f>F21</f>
        <v>46169</v>
      </c>
      <c r="P21" s="12">
        <f t="shared" si="5"/>
        <v>-30220</v>
      </c>
      <c r="Q21" s="18">
        <f t="shared" ca="1" si="6"/>
        <v>33</v>
      </c>
      <c r="R21" t="s">
        <v>607</v>
      </c>
    </row>
    <row r="22" spans="1:18" outlineLevel="1" x14ac:dyDescent="0.3">
      <c r="A22" s="1" t="s">
        <v>64</v>
      </c>
      <c r="B22" s="1" t="s">
        <v>78</v>
      </c>
      <c r="C22" s="1" t="s">
        <v>79</v>
      </c>
      <c r="D22" s="1" t="s">
        <v>80</v>
      </c>
      <c r="E22" s="1" t="s">
        <v>73</v>
      </c>
      <c r="F22" s="2">
        <v>46171</v>
      </c>
      <c r="G22" s="5">
        <v>-21</v>
      </c>
      <c r="H22" s="2">
        <v>46216</v>
      </c>
      <c r="I22" s="4">
        <v>234900</v>
      </c>
      <c r="J22" s="1" t="s">
        <v>69</v>
      </c>
      <c r="K22" s="1" t="s">
        <v>599</v>
      </c>
      <c r="L22" s="17">
        <f t="shared" si="2"/>
        <v>46216</v>
      </c>
      <c r="M22" s="18">
        <f t="shared" ca="1" si="3"/>
        <v>-14</v>
      </c>
      <c r="N22" s="17">
        <v>46216</v>
      </c>
      <c r="O22" s="17">
        <f t="shared" si="4"/>
        <v>46216</v>
      </c>
      <c r="P22" s="12">
        <f t="shared" si="5"/>
        <v>234900</v>
      </c>
      <c r="Q22" s="18">
        <f t="shared" ca="1" si="6"/>
        <v>31</v>
      </c>
      <c r="R22" t="s">
        <v>607</v>
      </c>
    </row>
    <row r="23" spans="1:18" outlineLevel="1" x14ac:dyDescent="0.3">
      <c r="A23" s="1" t="s">
        <v>64</v>
      </c>
      <c r="B23" s="1" t="s">
        <v>81</v>
      </c>
      <c r="C23" s="1" t="s">
        <v>82</v>
      </c>
      <c r="D23" s="1" t="s">
        <v>83</v>
      </c>
      <c r="E23" s="1" t="s">
        <v>68</v>
      </c>
      <c r="F23" s="2">
        <v>46171</v>
      </c>
      <c r="G23" s="3">
        <v>24</v>
      </c>
      <c r="H23" s="2">
        <v>46171</v>
      </c>
      <c r="I23" s="4">
        <v>336990</v>
      </c>
      <c r="J23" s="1" t="s">
        <v>69</v>
      </c>
      <c r="K23" s="1" t="s">
        <v>599</v>
      </c>
      <c r="L23" s="17">
        <f t="shared" si="2"/>
        <v>46216</v>
      </c>
      <c r="M23" s="18">
        <f t="shared" ca="1" si="3"/>
        <v>-14</v>
      </c>
      <c r="N23" s="17">
        <v>46216</v>
      </c>
      <c r="O23" s="17">
        <v>46216</v>
      </c>
      <c r="P23" s="12">
        <f t="shared" si="5"/>
        <v>336990</v>
      </c>
      <c r="Q23" s="18">
        <f t="shared" ca="1" si="6"/>
        <v>31</v>
      </c>
      <c r="R23" t="s">
        <v>607</v>
      </c>
    </row>
    <row r="24" spans="1:18" hidden="1" outlineLevel="1" x14ac:dyDescent="0.3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2">
        <v>46159</v>
      </c>
      <c r="G24" s="3">
        <v>29</v>
      </c>
      <c r="H24" s="2">
        <v>46166</v>
      </c>
      <c r="I24" s="4">
        <v>365.8</v>
      </c>
      <c r="J24" s="1" t="s">
        <v>15</v>
      </c>
      <c r="K24" s="1" t="s">
        <v>591</v>
      </c>
      <c r="N24" s="17">
        <v>46166</v>
      </c>
      <c r="O24" s="17">
        <f t="shared" ref="O24:O32" si="7">H24</f>
        <v>46166</v>
      </c>
      <c r="P24" s="9">
        <f t="shared" ref="P24:P31" si="8">I24/3.386</f>
        <v>108.0330773774365</v>
      </c>
    </row>
    <row r="25" spans="1:18" hidden="1" outlineLevel="1" x14ac:dyDescent="0.3">
      <c r="A25" s="1" t="s">
        <v>84</v>
      </c>
      <c r="B25" s="1" t="s">
        <v>89</v>
      </c>
      <c r="C25" s="1" t="s">
        <v>90</v>
      </c>
      <c r="D25" s="1" t="s">
        <v>91</v>
      </c>
      <c r="E25" s="1" t="s">
        <v>88</v>
      </c>
      <c r="F25" s="2">
        <v>46159</v>
      </c>
      <c r="G25" s="3">
        <v>29</v>
      </c>
      <c r="H25" s="2">
        <v>46166</v>
      </c>
      <c r="I25" s="4">
        <v>47.2</v>
      </c>
      <c r="J25" s="1" t="s">
        <v>15</v>
      </c>
      <c r="K25" s="1" t="s">
        <v>591</v>
      </c>
      <c r="N25" s="17">
        <v>46166</v>
      </c>
      <c r="O25" s="17">
        <f t="shared" si="7"/>
        <v>46166</v>
      </c>
      <c r="P25" s="9">
        <f t="shared" si="8"/>
        <v>13.939751919669227</v>
      </c>
    </row>
    <row r="26" spans="1:18" hidden="1" outlineLevel="1" x14ac:dyDescent="0.3">
      <c r="A26" s="1" t="s">
        <v>92</v>
      </c>
      <c r="B26" s="1" t="s">
        <v>93</v>
      </c>
      <c r="C26" s="1" t="s">
        <v>94</v>
      </c>
      <c r="D26" s="1" t="s">
        <v>95</v>
      </c>
      <c r="E26" s="1" t="s">
        <v>14</v>
      </c>
      <c r="F26" s="2">
        <v>46184</v>
      </c>
      <c r="G26" s="3">
        <v>4</v>
      </c>
      <c r="H26" s="2">
        <v>46191</v>
      </c>
      <c r="I26" s="4">
        <v>68.400000000000006</v>
      </c>
      <c r="J26" s="1" t="s">
        <v>15</v>
      </c>
      <c r="K26" s="1" t="s">
        <v>591</v>
      </c>
      <c r="N26" s="17">
        <v>46191</v>
      </c>
      <c r="O26" s="17">
        <f t="shared" si="7"/>
        <v>46191</v>
      </c>
      <c r="P26" s="9">
        <f t="shared" si="8"/>
        <v>20.200826934435913</v>
      </c>
    </row>
    <row r="27" spans="1:18" hidden="1" outlineLevel="1" x14ac:dyDescent="0.3">
      <c r="A27" s="1" t="s">
        <v>92</v>
      </c>
      <c r="B27" s="1" t="s">
        <v>96</v>
      </c>
      <c r="C27" s="1" t="s">
        <v>97</v>
      </c>
      <c r="D27" s="1" t="s">
        <v>98</v>
      </c>
      <c r="E27" s="1" t="s">
        <v>14</v>
      </c>
      <c r="F27" s="2">
        <v>46190</v>
      </c>
      <c r="G27" s="5">
        <v>-2</v>
      </c>
      <c r="H27" s="2">
        <v>46197</v>
      </c>
      <c r="I27" s="4">
        <v>141.6</v>
      </c>
      <c r="J27" s="1" t="s">
        <v>15</v>
      </c>
      <c r="K27" s="1" t="s">
        <v>591</v>
      </c>
      <c r="N27" s="17">
        <v>46197</v>
      </c>
      <c r="O27" s="17">
        <f t="shared" si="7"/>
        <v>46197</v>
      </c>
      <c r="P27" s="9">
        <f t="shared" si="8"/>
        <v>41.819255759007675</v>
      </c>
    </row>
    <row r="28" spans="1:18" hidden="1" outlineLevel="1" x14ac:dyDescent="0.3">
      <c r="A28" s="1" t="s">
        <v>99</v>
      </c>
      <c r="B28" s="1" t="s">
        <v>100</v>
      </c>
      <c r="C28" s="1" t="s">
        <v>101</v>
      </c>
      <c r="D28" s="1" t="s">
        <v>102</v>
      </c>
      <c r="E28" s="1" t="s">
        <v>14</v>
      </c>
      <c r="F28" s="2">
        <v>46174</v>
      </c>
      <c r="G28" s="3">
        <v>14</v>
      </c>
      <c r="H28" s="2">
        <v>46181</v>
      </c>
      <c r="I28" s="4">
        <v>49.89</v>
      </c>
      <c r="J28" s="1" t="s">
        <v>15</v>
      </c>
      <c r="K28" s="1" t="s">
        <v>591</v>
      </c>
      <c r="N28" s="17">
        <v>46181</v>
      </c>
      <c r="O28" s="17">
        <f t="shared" si="7"/>
        <v>46181</v>
      </c>
      <c r="P28" s="9">
        <f t="shared" si="8"/>
        <v>14.734199645599528</v>
      </c>
    </row>
    <row r="29" spans="1:18" hidden="1" outlineLevel="1" x14ac:dyDescent="0.3">
      <c r="A29" s="1" t="s">
        <v>99</v>
      </c>
      <c r="B29" s="1" t="s">
        <v>103</v>
      </c>
      <c r="C29" s="1" t="s">
        <v>104</v>
      </c>
      <c r="D29" s="1" t="s">
        <v>105</v>
      </c>
      <c r="E29" s="1" t="s">
        <v>14</v>
      </c>
      <c r="F29" s="2">
        <v>46174</v>
      </c>
      <c r="G29" s="3">
        <v>14</v>
      </c>
      <c r="H29" s="2">
        <v>46181</v>
      </c>
      <c r="I29" s="4">
        <v>106.2</v>
      </c>
      <c r="J29" s="1" t="s">
        <v>15</v>
      </c>
      <c r="K29" s="1" t="s">
        <v>591</v>
      </c>
      <c r="N29" s="17">
        <v>46181</v>
      </c>
      <c r="O29" s="17">
        <f t="shared" si="7"/>
        <v>46181</v>
      </c>
      <c r="P29" s="9">
        <f t="shared" si="8"/>
        <v>31.364441819255759</v>
      </c>
    </row>
    <row r="30" spans="1:18" hidden="1" outlineLevel="1" x14ac:dyDescent="0.3">
      <c r="A30" s="1" t="s">
        <v>99</v>
      </c>
      <c r="B30" s="1" t="s">
        <v>106</v>
      </c>
      <c r="C30" s="1" t="s">
        <v>107</v>
      </c>
      <c r="D30" s="1" t="s">
        <v>108</v>
      </c>
      <c r="E30" s="1" t="s">
        <v>14</v>
      </c>
      <c r="F30" s="2">
        <v>46176</v>
      </c>
      <c r="G30" s="3">
        <v>12</v>
      </c>
      <c r="H30" s="2">
        <v>46183</v>
      </c>
      <c r="I30" s="4">
        <v>1061.58</v>
      </c>
      <c r="J30" s="1" t="s">
        <v>15</v>
      </c>
      <c r="K30" s="1" t="s">
        <v>591</v>
      </c>
      <c r="N30" s="17">
        <v>46183</v>
      </c>
      <c r="O30" s="17">
        <f t="shared" si="7"/>
        <v>46183</v>
      </c>
      <c r="P30" s="9">
        <f t="shared" si="8"/>
        <v>313.52037802717069</v>
      </c>
    </row>
    <row r="31" spans="1:18" hidden="1" outlineLevel="1" x14ac:dyDescent="0.3">
      <c r="A31" s="1" t="s">
        <v>99</v>
      </c>
      <c r="B31" s="1" t="s">
        <v>109</v>
      </c>
      <c r="C31" s="1" t="s">
        <v>110</v>
      </c>
      <c r="D31" s="1" t="s">
        <v>111</v>
      </c>
      <c r="E31" s="1" t="s">
        <v>14</v>
      </c>
      <c r="F31" s="2">
        <v>46176</v>
      </c>
      <c r="G31" s="3">
        <v>12</v>
      </c>
      <c r="H31" s="2">
        <v>46183</v>
      </c>
      <c r="I31" s="4">
        <v>460.2</v>
      </c>
      <c r="J31" s="1" t="s">
        <v>15</v>
      </c>
      <c r="K31" s="1" t="s">
        <v>591</v>
      </c>
      <c r="N31" s="17">
        <v>46183</v>
      </c>
      <c r="O31" s="17">
        <f t="shared" si="7"/>
        <v>46183</v>
      </c>
      <c r="P31" s="9">
        <f t="shared" si="8"/>
        <v>135.91258121677495</v>
      </c>
    </row>
    <row r="32" spans="1:18" outlineLevel="1" x14ac:dyDescent="0.3">
      <c r="A32" s="1" t="s">
        <v>112</v>
      </c>
      <c r="B32" s="1" t="s">
        <v>113</v>
      </c>
      <c r="C32" s="1" t="s">
        <v>114</v>
      </c>
      <c r="D32" s="1" t="s">
        <v>615</v>
      </c>
      <c r="E32" s="1" t="s">
        <v>73</v>
      </c>
      <c r="F32" s="2">
        <v>46159</v>
      </c>
      <c r="G32" s="5">
        <v>-9</v>
      </c>
      <c r="H32" s="2">
        <v>46204</v>
      </c>
      <c r="I32" s="4">
        <v>9208.99</v>
      </c>
      <c r="J32" s="1" t="s">
        <v>69</v>
      </c>
      <c r="K32" s="1" t="s">
        <v>599</v>
      </c>
      <c r="L32" s="17">
        <f t="shared" ref="L32:L33" si="9">F32+45</f>
        <v>46204</v>
      </c>
      <c r="M32" s="18">
        <f t="shared" ref="M32:M33" ca="1" si="10">TODAY()-N32</f>
        <v>-2</v>
      </c>
      <c r="N32" s="17">
        <v>46204</v>
      </c>
      <c r="O32" s="17">
        <f t="shared" si="7"/>
        <v>46204</v>
      </c>
      <c r="P32" s="12">
        <f t="shared" ref="P32:P33" si="11">I32</f>
        <v>9208.99</v>
      </c>
      <c r="Q32" s="18">
        <f t="shared" ref="Q32:Q33" ca="1" si="12">TODAY()-F32</f>
        <v>43</v>
      </c>
      <c r="R32" t="s">
        <v>607</v>
      </c>
    </row>
    <row r="33" spans="1:18" outlineLevel="1" x14ac:dyDescent="0.3">
      <c r="A33" s="1" t="s">
        <v>112</v>
      </c>
      <c r="B33" s="1" t="s">
        <v>116</v>
      </c>
      <c r="C33" s="1" t="s">
        <v>117</v>
      </c>
      <c r="D33" s="1" t="s">
        <v>118</v>
      </c>
      <c r="E33" s="1" t="s">
        <v>68</v>
      </c>
      <c r="F33" s="2">
        <v>46159</v>
      </c>
      <c r="G33" s="3">
        <v>36</v>
      </c>
      <c r="H33" s="2">
        <v>46159</v>
      </c>
      <c r="I33" s="4">
        <v>6821</v>
      </c>
      <c r="J33" s="1" t="s">
        <v>69</v>
      </c>
      <c r="K33" s="1" t="s">
        <v>599</v>
      </c>
      <c r="L33" s="17">
        <f t="shared" si="9"/>
        <v>46204</v>
      </c>
      <c r="M33" s="18">
        <f t="shared" ca="1" si="10"/>
        <v>-1</v>
      </c>
      <c r="N33" s="17">
        <v>46203</v>
      </c>
      <c r="O33" s="17">
        <v>46203</v>
      </c>
      <c r="P33" s="12">
        <f t="shared" si="11"/>
        <v>6821</v>
      </c>
      <c r="Q33" s="18">
        <f t="shared" ca="1" si="12"/>
        <v>43</v>
      </c>
      <c r="R33" t="s">
        <v>607</v>
      </c>
    </row>
    <row r="34" spans="1:18" hidden="1" outlineLevel="1" x14ac:dyDescent="0.3">
      <c r="A34" s="1" t="s">
        <v>120</v>
      </c>
      <c r="B34" s="1" t="s">
        <v>121</v>
      </c>
      <c r="C34" s="1" t="s">
        <v>122</v>
      </c>
      <c r="D34" s="1" t="s">
        <v>123</v>
      </c>
      <c r="E34" s="1" t="s">
        <v>88</v>
      </c>
      <c r="F34" s="2">
        <v>46183</v>
      </c>
      <c r="G34" s="3">
        <v>5</v>
      </c>
      <c r="H34" s="2">
        <v>46190</v>
      </c>
      <c r="I34" s="4">
        <v>495.13</v>
      </c>
      <c r="J34" s="1" t="s">
        <v>15</v>
      </c>
      <c r="K34" s="1" t="s">
        <v>591</v>
      </c>
      <c r="N34" s="17">
        <v>46190</v>
      </c>
      <c r="O34" s="17">
        <f t="shared" ref="O34:O58" si="13">H34</f>
        <v>46190</v>
      </c>
      <c r="P34" s="9">
        <f t="shared" ref="P34:P49" si="14">I34/3.386</f>
        <v>146.22858830478441</v>
      </c>
    </row>
    <row r="35" spans="1:18" hidden="1" outlineLevel="1" x14ac:dyDescent="0.3">
      <c r="A35" s="1" t="s">
        <v>120</v>
      </c>
      <c r="B35" s="1" t="s">
        <v>124</v>
      </c>
      <c r="C35" s="1" t="s">
        <v>125</v>
      </c>
      <c r="D35" s="1" t="s">
        <v>126</v>
      </c>
      <c r="E35" s="1" t="s">
        <v>88</v>
      </c>
      <c r="F35" s="2">
        <v>46183</v>
      </c>
      <c r="G35" s="3">
        <v>5</v>
      </c>
      <c r="H35" s="2">
        <v>46190</v>
      </c>
      <c r="I35" s="4">
        <v>47.2</v>
      </c>
      <c r="J35" s="1" t="s">
        <v>15</v>
      </c>
      <c r="K35" s="1" t="s">
        <v>591</v>
      </c>
      <c r="N35" s="17">
        <v>46190</v>
      </c>
      <c r="O35" s="17">
        <f t="shared" si="13"/>
        <v>46190</v>
      </c>
      <c r="P35" s="9">
        <f t="shared" si="14"/>
        <v>13.939751919669227</v>
      </c>
    </row>
    <row r="36" spans="1:18" hidden="1" outlineLevel="1" x14ac:dyDescent="0.3">
      <c r="A36" s="1" t="s">
        <v>120</v>
      </c>
      <c r="B36" s="1" t="s">
        <v>127</v>
      </c>
      <c r="C36" s="1" t="s">
        <v>128</v>
      </c>
      <c r="D36" s="1" t="s">
        <v>129</v>
      </c>
      <c r="E36" s="1" t="s">
        <v>88</v>
      </c>
      <c r="F36" s="2">
        <v>46183</v>
      </c>
      <c r="G36" s="3">
        <v>5</v>
      </c>
      <c r="H36" s="2">
        <v>46190</v>
      </c>
      <c r="I36" s="4">
        <v>469.64</v>
      </c>
      <c r="J36" s="1" t="s">
        <v>15</v>
      </c>
      <c r="K36" s="1" t="s">
        <v>591</v>
      </c>
      <c r="N36" s="17">
        <v>46190</v>
      </c>
      <c r="O36" s="17">
        <f t="shared" si="13"/>
        <v>46190</v>
      </c>
      <c r="P36" s="9">
        <f t="shared" si="14"/>
        <v>138.70053160070879</v>
      </c>
    </row>
    <row r="37" spans="1:18" hidden="1" outlineLevel="1" x14ac:dyDescent="0.3">
      <c r="A37" s="1" t="s">
        <v>120</v>
      </c>
      <c r="B37" s="1" t="s">
        <v>130</v>
      </c>
      <c r="C37" s="1" t="s">
        <v>131</v>
      </c>
      <c r="D37" s="1" t="s">
        <v>132</v>
      </c>
      <c r="E37" s="1" t="s">
        <v>88</v>
      </c>
      <c r="F37" s="2">
        <v>46183</v>
      </c>
      <c r="G37" s="3">
        <v>5</v>
      </c>
      <c r="H37" s="2">
        <v>46190</v>
      </c>
      <c r="I37" s="4">
        <v>47.2</v>
      </c>
      <c r="J37" s="1" t="s">
        <v>15</v>
      </c>
      <c r="K37" s="1" t="s">
        <v>591</v>
      </c>
      <c r="N37" s="17">
        <v>46190</v>
      </c>
      <c r="O37" s="17">
        <f t="shared" si="13"/>
        <v>46190</v>
      </c>
      <c r="P37" s="9">
        <f t="shared" si="14"/>
        <v>13.939751919669227</v>
      </c>
    </row>
    <row r="38" spans="1:18" hidden="1" outlineLevel="1" x14ac:dyDescent="0.3">
      <c r="A38" s="1" t="s">
        <v>120</v>
      </c>
      <c r="B38" s="1" t="s">
        <v>133</v>
      </c>
      <c r="C38" s="1" t="s">
        <v>134</v>
      </c>
      <c r="D38" s="1" t="s">
        <v>135</v>
      </c>
      <c r="E38" s="1" t="s">
        <v>88</v>
      </c>
      <c r="F38" s="2">
        <v>46183</v>
      </c>
      <c r="G38" s="3">
        <v>5</v>
      </c>
      <c r="H38" s="2">
        <v>46190</v>
      </c>
      <c r="I38" s="4">
        <v>371.7</v>
      </c>
      <c r="J38" s="1" t="s">
        <v>15</v>
      </c>
      <c r="K38" s="1" t="s">
        <v>591</v>
      </c>
      <c r="N38" s="17">
        <v>46190</v>
      </c>
      <c r="O38" s="17">
        <f t="shared" si="13"/>
        <v>46190</v>
      </c>
      <c r="P38" s="9">
        <f t="shared" si="14"/>
        <v>109.77554636739515</v>
      </c>
    </row>
    <row r="39" spans="1:18" hidden="1" outlineLevel="1" x14ac:dyDescent="0.3">
      <c r="A39" s="1" t="s">
        <v>120</v>
      </c>
      <c r="B39" s="1" t="s">
        <v>136</v>
      </c>
      <c r="C39" s="1" t="s">
        <v>137</v>
      </c>
      <c r="D39" s="1" t="s">
        <v>138</v>
      </c>
      <c r="E39" s="1" t="s">
        <v>88</v>
      </c>
      <c r="F39" s="2">
        <v>46183</v>
      </c>
      <c r="G39" s="3">
        <v>5</v>
      </c>
      <c r="H39" s="2">
        <v>46190</v>
      </c>
      <c r="I39" s="4">
        <v>47.2</v>
      </c>
      <c r="J39" s="1" t="s">
        <v>15</v>
      </c>
      <c r="K39" s="1" t="s">
        <v>591</v>
      </c>
      <c r="N39" s="17">
        <v>46190</v>
      </c>
      <c r="O39" s="17">
        <f t="shared" si="13"/>
        <v>46190</v>
      </c>
      <c r="P39" s="9">
        <f t="shared" si="14"/>
        <v>13.939751919669227</v>
      </c>
    </row>
    <row r="40" spans="1:18" hidden="1" outlineLevel="1" x14ac:dyDescent="0.3">
      <c r="A40" s="1" t="s">
        <v>120</v>
      </c>
      <c r="B40" s="1" t="s">
        <v>139</v>
      </c>
      <c r="C40" s="1" t="s">
        <v>140</v>
      </c>
      <c r="D40" s="1" t="s">
        <v>141</v>
      </c>
      <c r="E40" s="1" t="s">
        <v>88</v>
      </c>
      <c r="F40" s="2">
        <v>46183</v>
      </c>
      <c r="G40" s="3">
        <v>5</v>
      </c>
      <c r="H40" s="2">
        <v>46190</v>
      </c>
      <c r="I40" s="4">
        <v>217.83</v>
      </c>
      <c r="J40" s="1" t="s">
        <v>15</v>
      </c>
      <c r="K40" s="1" t="s">
        <v>591</v>
      </c>
      <c r="N40" s="17">
        <v>46190</v>
      </c>
      <c r="O40" s="17">
        <f t="shared" si="13"/>
        <v>46190</v>
      </c>
      <c r="P40" s="9">
        <f t="shared" si="14"/>
        <v>64.332545776727699</v>
      </c>
    </row>
    <row r="41" spans="1:18" hidden="1" outlineLevel="1" x14ac:dyDescent="0.3">
      <c r="A41" s="1" t="s">
        <v>120</v>
      </c>
      <c r="B41" s="1" t="s">
        <v>142</v>
      </c>
      <c r="C41" s="1" t="s">
        <v>143</v>
      </c>
      <c r="D41" s="1" t="s">
        <v>144</v>
      </c>
      <c r="E41" s="1" t="s">
        <v>88</v>
      </c>
      <c r="F41" s="2">
        <v>46183</v>
      </c>
      <c r="G41" s="3">
        <v>5</v>
      </c>
      <c r="H41" s="2">
        <v>46190</v>
      </c>
      <c r="I41" s="4">
        <v>47.2</v>
      </c>
      <c r="J41" s="1" t="s">
        <v>15</v>
      </c>
      <c r="K41" s="1" t="s">
        <v>591</v>
      </c>
      <c r="N41" s="17">
        <v>46190</v>
      </c>
      <c r="O41" s="17">
        <f t="shared" si="13"/>
        <v>46190</v>
      </c>
      <c r="P41" s="9">
        <f t="shared" si="14"/>
        <v>13.939751919669227</v>
      </c>
    </row>
    <row r="42" spans="1:18" hidden="1" outlineLevel="1" x14ac:dyDescent="0.3">
      <c r="A42" s="1" t="s">
        <v>120</v>
      </c>
      <c r="B42" s="1" t="s">
        <v>145</v>
      </c>
      <c r="C42" s="1" t="s">
        <v>146</v>
      </c>
      <c r="D42" s="1" t="s">
        <v>147</v>
      </c>
      <c r="E42" s="1" t="s">
        <v>88</v>
      </c>
      <c r="F42" s="2">
        <v>46185</v>
      </c>
      <c r="G42" s="3">
        <v>3</v>
      </c>
      <c r="H42" s="2">
        <v>46192</v>
      </c>
      <c r="I42" s="4">
        <v>560.5</v>
      </c>
      <c r="J42" s="1" t="s">
        <v>15</v>
      </c>
      <c r="K42" s="1" t="s">
        <v>591</v>
      </c>
      <c r="N42" s="17">
        <v>46192</v>
      </c>
      <c r="O42" s="17">
        <f t="shared" si="13"/>
        <v>46192</v>
      </c>
      <c r="P42" s="9">
        <f t="shared" si="14"/>
        <v>165.53455404607206</v>
      </c>
    </row>
    <row r="43" spans="1:18" hidden="1" outlineLevel="1" x14ac:dyDescent="0.3">
      <c r="A43" s="1" t="s">
        <v>120</v>
      </c>
      <c r="B43" s="1" t="s">
        <v>148</v>
      </c>
      <c r="C43" s="1" t="s">
        <v>149</v>
      </c>
      <c r="D43" s="1" t="s">
        <v>150</v>
      </c>
      <c r="E43" s="1" t="s">
        <v>88</v>
      </c>
      <c r="F43" s="2">
        <v>46185</v>
      </c>
      <c r="G43" s="3">
        <v>3</v>
      </c>
      <c r="H43" s="2">
        <v>46192</v>
      </c>
      <c r="I43" s="4">
        <v>94.4</v>
      </c>
      <c r="J43" s="1" t="s">
        <v>15</v>
      </c>
      <c r="K43" s="1" t="s">
        <v>591</v>
      </c>
      <c r="N43" s="17">
        <v>46192</v>
      </c>
      <c r="O43" s="17">
        <f t="shared" si="13"/>
        <v>46192</v>
      </c>
      <c r="P43" s="9">
        <f t="shared" si="14"/>
        <v>27.879503839338454</v>
      </c>
    </row>
    <row r="44" spans="1:18" hidden="1" outlineLevel="1" x14ac:dyDescent="0.3">
      <c r="A44" s="1" t="s">
        <v>120</v>
      </c>
      <c r="B44" s="1" t="s">
        <v>151</v>
      </c>
      <c r="C44" s="1" t="s">
        <v>152</v>
      </c>
      <c r="D44" s="1" t="s">
        <v>153</v>
      </c>
      <c r="E44" s="1" t="s">
        <v>88</v>
      </c>
      <c r="F44" s="2">
        <v>46185</v>
      </c>
      <c r="G44" s="3">
        <v>3</v>
      </c>
      <c r="H44" s="2">
        <v>46192</v>
      </c>
      <c r="I44" s="4">
        <v>499.85</v>
      </c>
      <c r="J44" s="1" t="s">
        <v>15</v>
      </c>
      <c r="K44" s="1" t="s">
        <v>591</v>
      </c>
      <c r="N44" s="17">
        <v>46192</v>
      </c>
      <c r="O44" s="17">
        <f t="shared" si="13"/>
        <v>46192</v>
      </c>
      <c r="P44" s="9">
        <f t="shared" si="14"/>
        <v>147.62256349675133</v>
      </c>
    </row>
    <row r="45" spans="1:18" hidden="1" outlineLevel="1" x14ac:dyDescent="0.3">
      <c r="A45" s="1" t="s">
        <v>120</v>
      </c>
      <c r="B45" s="1" t="s">
        <v>154</v>
      </c>
      <c r="C45" s="1" t="s">
        <v>155</v>
      </c>
      <c r="D45" s="1" t="s">
        <v>156</v>
      </c>
      <c r="E45" s="1" t="s">
        <v>88</v>
      </c>
      <c r="F45" s="2">
        <v>46185</v>
      </c>
      <c r="G45" s="3">
        <v>3</v>
      </c>
      <c r="H45" s="2">
        <v>46192</v>
      </c>
      <c r="I45" s="4">
        <v>47.2</v>
      </c>
      <c r="J45" s="1" t="s">
        <v>15</v>
      </c>
      <c r="K45" s="1" t="s">
        <v>591</v>
      </c>
      <c r="N45" s="17">
        <v>46192</v>
      </c>
      <c r="O45" s="17">
        <f t="shared" si="13"/>
        <v>46192</v>
      </c>
      <c r="P45" s="9">
        <f t="shared" si="14"/>
        <v>13.939751919669227</v>
      </c>
    </row>
    <row r="46" spans="1:18" hidden="1" outlineLevel="1" x14ac:dyDescent="0.3">
      <c r="A46" s="1" t="s">
        <v>120</v>
      </c>
      <c r="B46" s="1" t="s">
        <v>157</v>
      </c>
      <c r="C46" s="1" t="s">
        <v>158</v>
      </c>
      <c r="D46" s="1" t="s">
        <v>159</v>
      </c>
      <c r="E46" s="1" t="s">
        <v>88</v>
      </c>
      <c r="F46" s="2">
        <v>46188</v>
      </c>
      <c r="G46" s="3">
        <v>0</v>
      </c>
      <c r="H46" s="2">
        <v>46195</v>
      </c>
      <c r="I46" s="4">
        <v>339.6</v>
      </c>
      <c r="J46" s="1" t="s">
        <v>15</v>
      </c>
      <c r="K46" s="1" t="s">
        <v>591</v>
      </c>
      <c r="N46" s="17">
        <v>46195</v>
      </c>
      <c r="O46" s="17">
        <f t="shared" si="13"/>
        <v>46195</v>
      </c>
      <c r="P46" s="9">
        <f t="shared" si="14"/>
        <v>100.29533372711164</v>
      </c>
    </row>
    <row r="47" spans="1:18" hidden="1" outlineLevel="1" x14ac:dyDescent="0.3">
      <c r="A47" s="1" t="s">
        <v>120</v>
      </c>
      <c r="B47" s="1" t="s">
        <v>160</v>
      </c>
      <c r="C47" s="1" t="s">
        <v>161</v>
      </c>
      <c r="D47" s="1" t="s">
        <v>162</v>
      </c>
      <c r="E47" s="1" t="s">
        <v>88</v>
      </c>
      <c r="F47" s="2">
        <v>46188</v>
      </c>
      <c r="G47" s="3">
        <v>0</v>
      </c>
      <c r="H47" s="2">
        <v>46195</v>
      </c>
      <c r="I47" s="4">
        <v>47.2</v>
      </c>
      <c r="J47" s="1" t="s">
        <v>15</v>
      </c>
      <c r="K47" s="1" t="s">
        <v>591</v>
      </c>
      <c r="N47" s="17">
        <v>46195</v>
      </c>
      <c r="O47" s="17">
        <f t="shared" si="13"/>
        <v>46195</v>
      </c>
      <c r="P47" s="9">
        <f t="shared" si="14"/>
        <v>13.939751919669227</v>
      </c>
    </row>
    <row r="48" spans="1:18" hidden="1" outlineLevel="1" x14ac:dyDescent="0.3">
      <c r="A48" s="1" t="s">
        <v>120</v>
      </c>
      <c r="B48" s="1" t="s">
        <v>163</v>
      </c>
      <c r="C48" s="1" t="s">
        <v>164</v>
      </c>
      <c r="D48" s="1" t="s">
        <v>165</v>
      </c>
      <c r="E48" s="1" t="s">
        <v>88</v>
      </c>
      <c r="F48" s="2">
        <v>46189</v>
      </c>
      <c r="G48" s="5">
        <v>-1</v>
      </c>
      <c r="H48" s="2">
        <v>46196</v>
      </c>
      <c r="I48" s="4">
        <v>360.37</v>
      </c>
      <c r="J48" s="1" t="s">
        <v>15</v>
      </c>
      <c r="K48" s="1" t="s">
        <v>591</v>
      </c>
      <c r="N48" s="17">
        <v>46196</v>
      </c>
      <c r="O48" s="17">
        <f t="shared" si="13"/>
        <v>46196</v>
      </c>
      <c r="P48" s="9">
        <f t="shared" si="14"/>
        <v>106.42941523922032</v>
      </c>
    </row>
    <row r="49" spans="1:18" hidden="1" outlineLevel="1" x14ac:dyDescent="0.3">
      <c r="A49" s="1" t="s">
        <v>120</v>
      </c>
      <c r="B49" s="1" t="s">
        <v>166</v>
      </c>
      <c r="C49" s="1" t="s">
        <v>167</v>
      </c>
      <c r="D49" s="1" t="s">
        <v>168</v>
      </c>
      <c r="E49" s="1" t="s">
        <v>88</v>
      </c>
      <c r="F49" s="2">
        <v>46189</v>
      </c>
      <c r="G49" s="5">
        <v>-1</v>
      </c>
      <c r="H49" s="2">
        <v>46196</v>
      </c>
      <c r="I49" s="4">
        <v>47.2</v>
      </c>
      <c r="J49" s="1" t="s">
        <v>15</v>
      </c>
      <c r="K49" s="1" t="s">
        <v>591</v>
      </c>
      <c r="N49" s="17">
        <v>46196</v>
      </c>
      <c r="O49" s="17">
        <f t="shared" si="13"/>
        <v>46196</v>
      </c>
      <c r="P49" s="9">
        <f t="shared" si="14"/>
        <v>13.939751919669227</v>
      </c>
    </row>
    <row r="50" spans="1:18" outlineLevel="1" x14ac:dyDescent="0.3">
      <c r="A50" s="1" t="s">
        <v>169</v>
      </c>
      <c r="B50" s="1" t="s">
        <v>170</v>
      </c>
      <c r="C50" s="1" t="s">
        <v>171</v>
      </c>
      <c r="D50" s="1" t="s">
        <v>172</v>
      </c>
      <c r="E50" s="1" t="s">
        <v>68</v>
      </c>
      <c r="F50" s="2">
        <v>46139</v>
      </c>
      <c r="G50" s="3">
        <v>56</v>
      </c>
      <c r="H50" s="2">
        <v>46139</v>
      </c>
      <c r="I50" s="4">
        <v>15163</v>
      </c>
      <c r="J50" s="1" t="s">
        <v>69</v>
      </c>
      <c r="K50" s="1" t="s">
        <v>599</v>
      </c>
      <c r="L50" s="17">
        <f t="shared" ref="L50:L58" si="15">F50+45</f>
        <v>46184</v>
      </c>
      <c r="M50" s="18">
        <f t="shared" ref="M50:M58" ca="1" si="16">TODAY()-N50</f>
        <v>-1</v>
      </c>
      <c r="N50" s="17">
        <v>46203</v>
      </c>
      <c r="O50" s="17">
        <v>46203</v>
      </c>
      <c r="P50" s="12">
        <f t="shared" ref="P50:P58" si="17">I50</f>
        <v>15163</v>
      </c>
      <c r="Q50" s="18">
        <f t="shared" ref="Q50:Q58" ca="1" si="18">TODAY()-F50</f>
        <v>63</v>
      </c>
      <c r="R50" t="s">
        <v>608</v>
      </c>
    </row>
    <row r="51" spans="1:18" outlineLevel="1" x14ac:dyDescent="0.3">
      <c r="A51" s="1" t="s">
        <v>173</v>
      </c>
      <c r="B51" s="1" t="s">
        <v>174</v>
      </c>
      <c r="C51" s="1" t="s">
        <v>175</v>
      </c>
      <c r="D51" s="1" t="s">
        <v>176</v>
      </c>
      <c r="E51" s="1" t="s">
        <v>68</v>
      </c>
      <c r="F51" s="2">
        <v>46158</v>
      </c>
      <c r="G51" s="3">
        <v>37</v>
      </c>
      <c r="H51" s="2">
        <v>46158</v>
      </c>
      <c r="I51" s="4">
        <v>37935</v>
      </c>
      <c r="J51" s="1" t="s">
        <v>69</v>
      </c>
      <c r="K51" s="1" t="s">
        <v>599</v>
      </c>
      <c r="L51" s="17">
        <f t="shared" si="15"/>
        <v>46203</v>
      </c>
      <c r="M51" s="18">
        <f t="shared" ca="1" si="16"/>
        <v>-1</v>
      </c>
      <c r="N51" s="17">
        <v>46203</v>
      </c>
      <c r="O51" s="17">
        <v>46203</v>
      </c>
      <c r="P51" s="12">
        <v>0</v>
      </c>
      <c r="Q51" s="18">
        <f t="shared" ca="1" si="18"/>
        <v>44</v>
      </c>
      <c r="R51" t="s">
        <v>607</v>
      </c>
    </row>
    <row r="52" spans="1:18" outlineLevel="1" x14ac:dyDescent="0.3">
      <c r="A52" s="1" t="s">
        <v>177</v>
      </c>
      <c r="B52" s="1" t="s">
        <v>179</v>
      </c>
      <c r="C52" s="1" t="s">
        <v>180</v>
      </c>
      <c r="D52" s="1" t="s">
        <v>181</v>
      </c>
      <c r="E52" s="1" t="s">
        <v>68</v>
      </c>
      <c r="F52" s="2">
        <v>46124</v>
      </c>
      <c r="G52" s="3">
        <v>71</v>
      </c>
      <c r="H52" s="2">
        <v>46124</v>
      </c>
      <c r="I52" s="4">
        <v>16355.92</v>
      </c>
      <c r="J52" s="1" t="s">
        <v>69</v>
      </c>
      <c r="K52" s="1" t="s">
        <v>599</v>
      </c>
      <c r="L52" s="17">
        <f t="shared" si="15"/>
        <v>46169</v>
      </c>
      <c r="M52" s="18">
        <f t="shared" ca="1" si="16"/>
        <v>-1</v>
      </c>
      <c r="N52" s="17">
        <v>46203</v>
      </c>
      <c r="O52" s="17">
        <v>46203</v>
      </c>
      <c r="P52" s="12">
        <f t="shared" si="17"/>
        <v>16355.92</v>
      </c>
      <c r="Q52" s="18">
        <f t="shared" ca="1" si="18"/>
        <v>78</v>
      </c>
      <c r="R52" t="s">
        <v>609</v>
      </c>
    </row>
    <row r="53" spans="1:18" outlineLevel="1" x14ac:dyDescent="0.3">
      <c r="A53" s="1" t="s">
        <v>177</v>
      </c>
      <c r="B53" s="1" t="s">
        <v>182</v>
      </c>
      <c r="C53" s="1" t="s">
        <v>183</v>
      </c>
      <c r="D53" s="1" t="s">
        <v>184</v>
      </c>
      <c r="E53" s="1" t="s">
        <v>73</v>
      </c>
      <c r="F53" s="2">
        <v>46164</v>
      </c>
      <c r="G53" s="5">
        <v>-14</v>
      </c>
      <c r="H53" s="2">
        <v>46209</v>
      </c>
      <c r="I53" s="4">
        <v>60536</v>
      </c>
      <c r="J53" s="1" t="s">
        <v>69</v>
      </c>
      <c r="K53" s="1" t="s">
        <v>599</v>
      </c>
      <c r="L53" s="17">
        <f t="shared" si="15"/>
        <v>46209</v>
      </c>
      <c r="M53" s="18">
        <f t="shared" ca="1" si="16"/>
        <v>-7</v>
      </c>
      <c r="N53" s="17">
        <v>46209</v>
      </c>
      <c r="O53" s="17">
        <f t="shared" si="13"/>
        <v>46209</v>
      </c>
      <c r="P53" s="12">
        <v>0</v>
      </c>
      <c r="Q53" s="18">
        <f t="shared" ca="1" si="18"/>
        <v>38</v>
      </c>
      <c r="R53" t="s">
        <v>607</v>
      </c>
    </row>
    <row r="54" spans="1:18" outlineLevel="1" x14ac:dyDescent="0.3">
      <c r="A54" s="1" t="s">
        <v>177</v>
      </c>
      <c r="B54" s="1" t="s">
        <v>185</v>
      </c>
      <c r="C54" s="1" t="s">
        <v>186</v>
      </c>
      <c r="D54" s="1" t="s">
        <v>187</v>
      </c>
      <c r="E54" s="1" t="s">
        <v>73</v>
      </c>
      <c r="F54" s="2">
        <v>46168</v>
      </c>
      <c r="G54" s="5">
        <v>-18</v>
      </c>
      <c r="H54" s="2">
        <v>46213</v>
      </c>
      <c r="I54" s="4">
        <v>74100</v>
      </c>
      <c r="J54" s="1" t="s">
        <v>69</v>
      </c>
      <c r="K54" s="1" t="s">
        <v>599</v>
      </c>
      <c r="L54" s="17">
        <f t="shared" si="15"/>
        <v>46213</v>
      </c>
      <c r="M54" s="18">
        <f t="shared" ca="1" si="16"/>
        <v>-11</v>
      </c>
      <c r="N54" s="17">
        <v>46213</v>
      </c>
      <c r="O54" s="17">
        <f t="shared" si="13"/>
        <v>46213</v>
      </c>
      <c r="P54" s="12">
        <v>0</v>
      </c>
      <c r="Q54" s="18">
        <f t="shared" ca="1" si="18"/>
        <v>34</v>
      </c>
      <c r="R54" t="s">
        <v>607</v>
      </c>
    </row>
    <row r="55" spans="1:18" outlineLevel="1" x14ac:dyDescent="0.3">
      <c r="A55" s="1" t="s">
        <v>188</v>
      </c>
      <c r="B55" s="1" t="s">
        <v>189</v>
      </c>
      <c r="C55" s="1" t="s">
        <v>190</v>
      </c>
      <c r="D55" s="1" t="s">
        <v>191</v>
      </c>
      <c r="E55" s="1" t="s">
        <v>77</v>
      </c>
      <c r="F55" s="2">
        <v>46183</v>
      </c>
      <c r="G55" s="3">
        <v>0</v>
      </c>
      <c r="H55" s="2">
        <v>46203</v>
      </c>
      <c r="I55" s="6">
        <v>-11970</v>
      </c>
      <c r="J55" s="1" t="s">
        <v>69</v>
      </c>
      <c r="K55" s="1" t="s">
        <v>599</v>
      </c>
      <c r="L55" s="17">
        <f t="shared" si="15"/>
        <v>46228</v>
      </c>
      <c r="M55" s="18"/>
      <c r="N55" s="17">
        <v>46183</v>
      </c>
      <c r="O55" s="17">
        <f>F55</f>
        <v>46183</v>
      </c>
      <c r="P55" s="12">
        <f t="shared" si="17"/>
        <v>-11970</v>
      </c>
      <c r="Q55" s="18">
        <f t="shared" ca="1" si="18"/>
        <v>19</v>
      </c>
      <c r="R55" t="s">
        <v>607</v>
      </c>
    </row>
    <row r="56" spans="1:18" outlineLevel="1" x14ac:dyDescent="0.3">
      <c r="A56" s="1" t="s">
        <v>192</v>
      </c>
      <c r="B56" s="1" t="s">
        <v>193</v>
      </c>
      <c r="C56" s="1" t="s">
        <v>194</v>
      </c>
      <c r="D56" s="1" t="s">
        <v>195</v>
      </c>
      <c r="E56" s="1" t="s">
        <v>68</v>
      </c>
      <c r="F56" s="2">
        <v>46139</v>
      </c>
      <c r="G56" s="3">
        <v>56</v>
      </c>
      <c r="H56" s="2">
        <v>46139</v>
      </c>
      <c r="I56" s="4">
        <v>19830</v>
      </c>
      <c r="J56" s="1" t="s">
        <v>69</v>
      </c>
      <c r="K56" s="1" t="s">
        <v>599</v>
      </c>
      <c r="L56" s="17">
        <f t="shared" si="15"/>
        <v>46184</v>
      </c>
      <c r="M56" s="18">
        <f t="shared" ca="1" si="16"/>
        <v>-1</v>
      </c>
      <c r="N56" s="17">
        <v>46203</v>
      </c>
      <c r="O56" s="17">
        <v>46203</v>
      </c>
      <c r="P56" s="12">
        <v>0</v>
      </c>
      <c r="Q56" s="18">
        <f t="shared" ca="1" si="18"/>
        <v>63</v>
      </c>
      <c r="R56" t="s">
        <v>608</v>
      </c>
    </row>
    <row r="57" spans="1:18" outlineLevel="1" x14ac:dyDescent="0.3">
      <c r="A57" s="1" t="s">
        <v>192</v>
      </c>
      <c r="B57" s="1" t="s">
        <v>196</v>
      </c>
      <c r="C57" s="1" t="s">
        <v>197</v>
      </c>
      <c r="D57" s="1" t="s">
        <v>198</v>
      </c>
      <c r="E57" s="1" t="s">
        <v>68</v>
      </c>
      <c r="F57" s="2">
        <v>46141</v>
      </c>
      <c r="G57" s="3">
        <v>54</v>
      </c>
      <c r="H57" s="2">
        <v>46141</v>
      </c>
      <c r="I57" s="4">
        <v>36040</v>
      </c>
      <c r="J57" s="1" t="s">
        <v>69</v>
      </c>
      <c r="K57" s="1" t="s">
        <v>599</v>
      </c>
      <c r="L57" s="17">
        <f t="shared" si="15"/>
        <v>46186</v>
      </c>
      <c r="M57" s="18">
        <f t="shared" ca="1" si="16"/>
        <v>-1</v>
      </c>
      <c r="N57" s="17">
        <v>46203</v>
      </c>
      <c r="O57" s="17">
        <v>46203</v>
      </c>
      <c r="P57" s="12">
        <v>0</v>
      </c>
      <c r="Q57" s="18">
        <f t="shared" ca="1" si="18"/>
        <v>61</v>
      </c>
      <c r="R57" t="s">
        <v>608</v>
      </c>
    </row>
    <row r="58" spans="1:18" outlineLevel="1" x14ac:dyDescent="0.3">
      <c r="A58" s="1" t="s">
        <v>192</v>
      </c>
      <c r="B58" s="1" t="s">
        <v>199</v>
      </c>
      <c r="C58" s="1" t="s">
        <v>200</v>
      </c>
      <c r="D58" s="1" t="s">
        <v>201</v>
      </c>
      <c r="E58" s="1" t="s">
        <v>73</v>
      </c>
      <c r="F58" s="2">
        <v>46159</v>
      </c>
      <c r="G58" s="5">
        <v>-9</v>
      </c>
      <c r="H58" s="2">
        <v>46204</v>
      </c>
      <c r="I58" s="4">
        <v>53812.5</v>
      </c>
      <c r="J58" s="1" t="s">
        <v>69</v>
      </c>
      <c r="K58" s="1" t="s">
        <v>599</v>
      </c>
      <c r="L58" s="17">
        <f t="shared" si="15"/>
        <v>46204</v>
      </c>
      <c r="M58" s="18">
        <f t="shared" ca="1" si="16"/>
        <v>-2</v>
      </c>
      <c r="N58" s="17">
        <v>46204</v>
      </c>
      <c r="O58" s="17">
        <f t="shared" si="13"/>
        <v>46204</v>
      </c>
      <c r="P58" s="12">
        <v>0</v>
      </c>
      <c r="Q58" s="18">
        <f t="shared" ca="1" si="18"/>
        <v>43</v>
      </c>
      <c r="R58" t="s">
        <v>607</v>
      </c>
    </row>
    <row r="59" spans="1:18" hidden="1" outlineLevel="1" x14ac:dyDescent="0.3">
      <c r="A59" s="1" t="s">
        <v>202</v>
      </c>
      <c r="B59" s="1" t="s">
        <v>203</v>
      </c>
      <c r="C59" s="1" t="s">
        <v>204</v>
      </c>
      <c r="D59" s="1" t="s">
        <v>205</v>
      </c>
      <c r="E59" s="1" t="s">
        <v>14</v>
      </c>
      <c r="F59" s="2">
        <v>46174</v>
      </c>
      <c r="G59" s="3">
        <v>14</v>
      </c>
      <c r="H59" s="2">
        <v>46181</v>
      </c>
      <c r="I59" s="4">
        <v>442.41</v>
      </c>
      <c r="J59" s="1" t="s">
        <v>15</v>
      </c>
      <c r="K59" s="1" t="s">
        <v>591</v>
      </c>
      <c r="N59" s="17">
        <v>46181</v>
      </c>
      <c r="O59" s="17">
        <f t="shared" ref="O59:O119" si="19">H59</f>
        <v>46181</v>
      </c>
      <c r="P59" s="9">
        <f t="shared" ref="P59:P96" si="20">I59/3.386</f>
        <v>130.65859421145896</v>
      </c>
    </row>
    <row r="60" spans="1:18" hidden="1" outlineLevel="1" x14ac:dyDescent="0.3">
      <c r="A60" s="1" t="s">
        <v>202</v>
      </c>
      <c r="B60" s="1" t="s">
        <v>206</v>
      </c>
      <c r="C60" s="1" t="s">
        <v>207</v>
      </c>
      <c r="D60" s="1" t="s">
        <v>208</v>
      </c>
      <c r="E60" s="1" t="s">
        <v>14</v>
      </c>
      <c r="F60" s="2">
        <v>46174</v>
      </c>
      <c r="G60" s="3">
        <v>14</v>
      </c>
      <c r="H60" s="2">
        <v>46181</v>
      </c>
      <c r="I60" s="4">
        <v>159.30000000000001</v>
      </c>
      <c r="J60" s="1" t="s">
        <v>15</v>
      </c>
      <c r="K60" s="1" t="s">
        <v>591</v>
      </c>
      <c r="N60" s="17">
        <v>46181</v>
      </c>
      <c r="O60" s="17">
        <f t="shared" si="19"/>
        <v>46181</v>
      </c>
      <c r="P60" s="9">
        <f t="shared" si="20"/>
        <v>47.046662728883639</v>
      </c>
    </row>
    <row r="61" spans="1:18" hidden="1" outlineLevel="1" x14ac:dyDescent="0.3">
      <c r="A61" s="1" t="s">
        <v>202</v>
      </c>
      <c r="B61" s="1" t="s">
        <v>209</v>
      </c>
      <c r="C61" s="1" t="s">
        <v>210</v>
      </c>
      <c r="D61" s="1" t="s">
        <v>211</v>
      </c>
      <c r="E61" s="1" t="s">
        <v>14</v>
      </c>
      <c r="F61" s="2">
        <v>46174</v>
      </c>
      <c r="G61" s="3">
        <v>14</v>
      </c>
      <c r="H61" s="2">
        <v>46181</v>
      </c>
      <c r="I61" s="4">
        <v>991.2</v>
      </c>
      <c r="J61" s="1" t="s">
        <v>15</v>
      </c>
      <c r="K61" s="1" t="s">
        <v>591</v>
      </c>
      <c r="N61" s="17">
        <v>46181</v>
      </c>
      <c r="O61" s="17">
        <f t="shared" si="19"/>
        <v>46181</v>
      </c>
      <c r="P61" s="9">
        <f t="shared" si="20"/>
        <v>292.73479031305374</v>
      </c>
    </row>
    <row r="62" spans="1:18" hidden="1" outlineLevel="1" x14ac:dyDescent="0.3">
      <c r="A62" s="1" t="s">
        <v>202</v>
      </c>
      <c r="B62" s="1" t="s">
        <v>212</v>
      </c>
      <c r="C62" s="1" t="s">
        <v>213</v>
      </c>
      <c r="D62" s="1" t="s">
        <v>214</v>
      </c>
      <c r="E62" s="1" t="s">
        <v>14</v>
      </c>
      <c r="F62" s="2">
        <v>46174</v>
      </c>
      <c r="G62" s="3">
        <v>14</v>
      </c>
      <c r="H62" s="2">
        <v>46181</v>
      </c>
      <c r="I62" s="4">
        <v>106.2</v>
      </c>
      <c r="J62" s="1" t="s">
        <v>15</v>
      </c>
      <c r="K62" s="1" t="s">
        <v>591</v>
      </c>
      <c r="N62" s="17">
        <v>46181</v>
      </c>
      <c r="O62" s="17">
        <f t="shared" si="19"/>
        <v>46181</v>
      </c>
      <c r="P62" s="9">
        <f t="shared" si="20"/>
        <v>31.364441819255759</v>
      </c>
    </row>
    <row r="63" spans="1:18" hidden="1" outlineLevel="1" x14ac:dyDescent="0.3">
      <c r="A63" s="1" t="s">
        <v>202</v>
      </c>
      <c r="B63" s="1" t="s">
        <v>215</v>
      </c>
      <c r="C63" s="1" t="s">
        <v>216</v>
      </c>
      <c r="D63" s="1" t="s">
        <v>217</v>
      </c>
      <c r="E63" s="1" t="s">
        <v>14</v>
      </c>
      <c r="F63" s="2">
        <v>46175</v>
      </c>
      <c r="G63" s="3">
        <v>13</v>
      </c>
      <c r="H63" s="2">
        <v>46182</v>
      </c>
      <c r="I63" s="4">
        <v>70.8</v>
      </c>
      <c r="J63" s="1" t="s">
        <v>15</v>
      </c>
      <c r="K63" s="1" t="s">
        <v>591</v>
      </c>
      <c r="N63" s="17">
        <v>46182</v>
      </c>
      <c r="O63" s="17">
        <f t="shared" si="19"/>
        <v>46182</v>
      </c>
      <c r="P63" s="9">
        <f t="shared" si="20"/>
        <v>20.909627879503837</v>
      </c>
    </row>
    <row r="64" spans="1:18" hidden="1" outlineLevel="1" x14ac:dyDescent="0.3">
      <c r="A64" s="1" t="s">
        <v>202</v>
      </c>
      <c r="B64" s="1" t="s">
        <v>218</v>
      </c>
      <c r="C64" s="1" t="s">
        <v>219</v>
      </c>
      <c r="D64" s="1" t="s">
        <v>220</v>
      </c>
      <c r="E64" s="1" t="s">
        <v>14</v>
      </c>
      <c r="F64" s="2">
        <v>46175</v>
      </c>
      <c r="G64" s="3">
        <v>13</v>
      </c>
      <c r="H64" s="2">
        <v>46182</v>
      </c>
      <c r="I64" s="4">
        <v>316.24</v>
      </c>
      <c r="J64" s="1" t="s">
        <v>15</v>
      </c>
      <c r="K64" s="1" t="s">
        <v>591</v>
      </c>
      <c r="N64" s="17">
        <v>46182</v>
      </c>
      <c r="O64" s="17">
        <f t="shared" si="19"/>
        <v>46182</v>
      </c>
      <c r="P64" s="9">
        <f t="shared" si="20"/>
        <v>93.39633786178382</v>
      </c>
    </row>
    <row r="65" spans="1:16" hidden="1" outlineLevel="1" x14ac:dyDescent="0.3">
      <c r="A65" s="1" t="s">
        <v>202</v>
      </c>
      <c r="B65" s="1" t="s">
        <v>221</v>
      </c>
      <c r="C65" s="1" t="s">
        <v>222</v>
      </c>
      <c r="D65" s="1" t="s">
        <v>223</v>
      </c>
      <c r="E65" s="1" t="s">
        <v>14</v>
      </c>
      <c r="F65" s="2">
        <v>46176</v>
      </c>
      <c r="G65" s="3">
        <v>12</v>
      </c>
      <c r="H65" s="2">
        <v>46183</v>
      </c>
      <c r="I65" s="4">
        <v>1306.97</v>
      </c>
      <c r="J65" s="1" t="s">
        <v>15</v>
      </c>
      <c r="K65" s="1" t="s">
        <v>591</v>
      </c>
      <c r="N65" s="17">
        <v>46183</v>
      </c>
      <c r="O65" s="17">
        <f t="shared" si="19"/>
        <v>46183</v>
      </c>
      <c r="P65" s="9">
        <f t="shared" si="20"/>
        <v>385.9923213230951</v>
      </c>
    </row>
    <row r="66" spans="1:16" hidden="1" outlineLevel="1" x14ac:dyDescent="0.3">
      <c r="A66" s="1" t="s">
        <v>202</v>
      </c>
      <c r="B66" s="1" t="s">
        <v>224</v>
      </c>
      <c r="C66" s="1" t="s">
        <v>225</v>
      </c>
      <c r="D66" s="1" t="s">
        <v>226</v>
      </c>
      <c r="E66" s="1" t="s">
        <v>14</v>
      </c>
      <c r="F66" s="2">
        <v>46176</v>
      </c>
      <c r="G66" s="3">
        <v>12</v>
      </c>
      <c r="H66" s="2">
        <v>46183</v>
      </c>
      <c r="I66" s="4">
        <v>118</v>
      </c>
      <c r="J66" s="1" t="s">
        <v>15</v>
      </c>
      <c r="K66" s="1" t="s">
        <v>591</v>
      </c>
      <c r="N66" s="17">
        <v>46183</v>
      </c>
      <c r="O66" s="17">
        <f t="shared" si="19"/>
        <v>46183</v>
      </c>
      <c r="P66" s="9">
        <f t="shared" si="20"/>
        <v>34.849379799173064</v>
      </c>
    </row>
    <row r="67" spans="1:16" hidden="1" outlineLevel="1" x14ac:dyDescent="0.3">
      <c r="A67" s="1" t="s">
        <v>202</v>
      </c>
      <c r="B67" s="1" t="s">
        <v>227</v>
      </c>
      <c r="C67" s="1" t="s">
        <v>228</v>
      </c>
      <c r="D67" s="1" t="s">
        <v>229</v>
      </c>
      <c r="E67" s="1" t="s">
        <v>14</v>
      </c>
      <c r="F67" s="2">
        <v>46177</v>
      </c>
      <c r="G67" s="3">
        <v>11</v>
      </c>
      <c r="H67" s="2">
        <v>46184</v>
      </c>
      <c r="I67" s="4">
        <v>689.21</v>
      </c>
      <c r="J67" s="1" t="s">
        <v>15</v>
      </c>
      <c r="K67" s="1" t="s">
        <v>591</v>
      </c>
      <c r="N67" s="17">
        <v>46184</v>
      </c>
      <c r="O67" s="17">
        <f t="shared" si="19"/>
        <v>46184</v>
      </c>
      <c r="P67" s="9">
        <f t="shared" si="20"/>
        <v>203.54695806261074</v>
      </c>
    </row>
    <row r="68" spans="1:16" hidden="1" outlineLevel="1" x14ac:dyDescent="0.3">
      <c r="A68" s="1" t="s">
        <v>202</v>
      </c>
      <c r="B68" s="1" t="s">
        <v>230</v>
      </c>
      <c r="C68" s="1" t="s">
        <v>231</v>
      </c>
      <c r="D68" s="1" t="s">
        <v>232</v>
      </c>
      <c r="E68" s="1" t="s">
        <v>14</v>
      </c>
      <c r="F68" s="2">
        <v>46177</v>
      </c>
      <c r="G68" s="3">
        <v>11</v>
      </c>
      <c r="H68" s="2">
        <v>46184</v>
      </c>
      <c r="I68" s="4">
        <v>194.7</v>
      </c>
      <c r="J68" s="1" t="s">
        <v>15</v>
      </c>
      <c r="K68" s="1" t="s">
        <v>591</v>
      </c>
      <c r="N68" s="17">
        <v>46184</v>
      </c>
      <c r="O68" s="17">
        <f t="shared" si="19"/>
        <v>46184</v>
      </c>
      <c r="P68" s="9">
        <f t="shared" si="20"/>
        <v>57.501476668635554</v>
      </c>
    </row>
    <row r="69" spans="1:16" hidden="1" outlineLevel="1" x14ac:dyDescent="0.3">
      <c r="A69" s="1" t="s">
        <v>202</v>
      </c>
      <c r="B69" s="1" t="s">
        <v>233</v>
      </c>
      <c r="C69" s="1" t="s">
        <v>234</v>
      </c>
      <c r="D69" s="1" t="s">
        <v>235</v>
      </c>
      <c r="E69" s="1" t="s">
        <v>14</v>
      </c>
      <c r="F69" s="2">
        <v>46177</v>
      </c>
      <c r="G69" s="3">
        <v>11</v>
      </c>
      <c r="H69" s="2">
        <v>46184</v>
      </c>
      <c r="I69" s="4">
        <v>589.29</v>
      </c>
      <c r="J69" s="1" t="s">
        <v>15</v>
      </c>
      <c r="K69" s="1" t="s">
        <v>591</v>
      </c>
      <c r="N69" s="17">
        <v>46184</v>
      </c>
      <c r="O69" s="17">
        <f t="shared" si="19"/>
        <v>46184</v>
      </c>
      <c r="P69" s="9">
        <f t="shared" si="20"/>
        <v>174.03721204961604</v>
      </c>
    </row>
    <row r="70" spans="1:16" hidden="1" outlineLevel="1" x14ac:dyDescent="0.3">
      <c r="A70" s="1" t="s">
        <v>202</v>
      </c>
      <c r="B70" s="1" t="s">
        <v>236</v>
      </c>
      <c r="C70" s="1" t="s">
        <v>237</v>
      </c>
      <c r="D70" s="1" t="s">
        <v>238</v>
      </c>
      <c r="E70" s="1" t="s">
        <v>14</v>
      </c>
      <c r="F70" s="2">
        <v>46177</v>
      </c>
      <c r="G70" s="3">
        <v>11</v>
      </c>
      <c r="H70" s="2">
        <v>46184</v>
      </c>
      <c r="I70" s="4">
        <v>70.8</v>
      </c>
      <c r="J70" s="1" t="s">
        <v>15</v>
      </c>
      <c r="K70" s="1" t="s">
        <v>591</v>
      </c>
      <c r="N70" s="17">
        <v>46184</v>
      </c>
      <c r="O70" s="17">
        <f t="shared" si="19"/>
        <v>46184</v>
      </c>
      <c r="P70" s="9">
        <f t="shared" si="20"/>
        <v>20.909627879503837</v>
      </c>
    </row>
    <row r="71" spans="1:16" hidden="1" outlineLevel="1" x14ac:dyDescent="0.3">
      <c r="A71" s="1" t="s">
        <v>202</v>
      </c>
      <c r="B71" s="1" t="s">
        <v>239</v>
      </c>
      <c r="C71" s="1" t="s">
        <v>240</v>
      </c>
      <c r="D71" s="1" t="s">
        <v>241</v>
      </c>
      <c r="E71" s="1" t="s">
        <v>14</v>
      </c>
      <c r="F71" s="2">
        <v>46177</v>
      </c>
      <c r="G71" s="3">
        <v>11</v>
      </c>
      <c r="H71" s="2">
        <v>46184</v>
      </c>
      <c r="I71" s="4">
        <v>415.97</v>
      </c>
      <c r="J71" s="1" t="s">
        <v>15</v>
      </c>
      <c r="K71" s="1" t="s">
        <v>591</v>
      </c>
      <c r="N71" s="17">
        <v>46184</v>
      </c>
      <c r="O71" s="17">
        <f t="shared" si="19"/>
        <v>46184</v>
      </c>
      <c r="P71" s="9">
        <f t="shared" si="20"/>
        <v>122.8499704666273</v>
      </c>
    </row>
    <row r="72" spans="1:16" hidden="1" outlineLevel="1" x14ac:dyDescent="0.3">
      <c r="A72" s="1" t="s">
        <v>202</v>
      </c>
      <c r="B72" s="1" t="s">
        <v>242</v>
      </c>
      <c r="C72" s="1" t="s">
        <v>243</v>
      </c>
      <c r="D72" s="1" t="s">
        <v>244</v>
      </c>
      <c r="E72" s="1" t="s">
        <v>14</v>
      </c>
      <c r="F72" s="2">
        <v>46177</v>
      </c>
      <c r="G72" s="3">
        <v>11</v>
      </c>
      <c r="H72" s="2">
        <v>46184</v>
      </c>
      <c r="I72" s="4">
        <v>135.69999999999999</v>
      </c>
      <c r="J72" s="1" t="s">
        <v>15</v>
      </c>
      <c r="K72" s="1" t="s">
        <v>591</v>
      </c>
      <c r="N72" s="17">
        <v>46184</v>
      </c>
      <c r="O72" s="17">
        <f t="shared" si="19"/>
        <v>46184</v>
      </c>
      <c r="P72" s="9">
        <f t="shared" si="20"/>
        <v>40.076786769049022</v>
      </c>
    </row>
    <row r="73" spans="1:16" hidden="1" outlineLevel="1" x14ac:dyDescent="0.3">
      <c r="A73" s="1" t="s">
        <v>202</v>
      </c>
      <c r="B73" s="1" t="s">
        <v>245</v>
      </c>
      <c r="C73" s="1" t="s">
        <v>246</v>
      </c>
      <c r="D73" s="1" t="s">
        <v>247</v>
      </c>
      <c r="E73" s="1" t="s">
        <v>14</v>
      </c>
      <c r="F73" s="2">
        <v>46181</v>
      </c>
      <c r="G73" s="3">
        <v>7</v>
      </c>
      <c r="H73" s="2">
        <v>46188</v>
      </c>
      <c r="I73" s="4">
        <v>352.54</v>
      </c>
      <c r="J73" s="1" t="s">
        <v>15</v>
      </c>
      <c r="K73" s="1" t="s">
        <v>591</v>
      </c>
      <c r="N73" s="17">
        <v>46188</v>
      </c>
      <c r="O73" s="17">
        <f t="shared" si="19"/>
        <v>46188</v>
      </c>
      <c r="P73" s="9">
        <f t="shared" si="20"/>
        <v>104.1169521559362</v>
      </c>
    </row>
    <row r="74" spans="1:16" hidden="1" outlineLevel="1" x14ac:dyDescent="0.3">
      <c r="A74" s="1" t="s">
        <v>202</v>
      </c>
      <c r="B74" s="1" t="s">
        <v>248</v>
      </c>
      <c r="C74" s="1" t="s">
        <v>249</v>
      </c>
      <c r="D74" s="1" t="s">
        <v>250</v>
      </c>
      <c r="E74" s="1" t="s">
        <v>14</v>
      </c>
      <c r="F74" s="2">
        <v>46181</v>
      </c>
      <c r="G74" s="3">
        <v>7</v>
      </c>
      <c r="H74" s="2">
        <v>46188</v>
      </c>
      <c r="I74" s="4">
        <v>153.4</v>
      </c>
      <c r="J74" s="1" t="s">
        <v>15</v>
      </c>
      <c r="K74" s="1" t="s">
        <v>591</v>
      </c>
      <c r="N74" s="17">
        <v>46188</v>
      </c>
      <c r="O74" s="17">
        <f t="shared" si="19"/>
        <v>46188</v>
      </c>
      <c r="P74" s="9">
        <f t="shared" si="20"/>
        <v>45.304193738924987</v>
      </c>
    </row>
    <row r="75" spans="1:16" hidden="1" outlineLevel="1" x14ac:dyDescent="0.3">
      <c r="A75" s="1" t="s">
        <v>202</v>
      </c>
      <c r="B75" s="1" t="s">
        <v>251</v>
      </c>
      <c r="C75" s="1" t="s">
        <v>252</v>
      </c>
      <c r="D75" s="1" t="s">
        <v>253</v>
      </c>
      <c r="E75" s="1" t="s">
        <v>14</v>
      </c>
      <c r="F75" s="2">
        <v>46183</v>
      </c>
      <c r="G75" s="3">
        <v>5</v>
      </c>
      <c r="H75" s="2">
        <v>46190</v>
      </c>
      <c r="I75" s="4">
        <v>880.28</v>
      </c>
      <c r="J75" s="1" t="s">
        <v>15</v>
      </c>
      <c r="K75" s="1" t="s">
        <v>591</v>
      </c>
      <c r="N75" s="17">
        <v>46190</v>
      </c>
      <c r="O75" s="17">
        <f t="shared" si="19"/>
        <v>46190</v>
      </c>
      <c r="P75" s="9">
        <f t="shared" si="20"/>
        <v>259.97637330183107</v>
      </c>
    </row>
    <row r="76" spans="1:16" hidden="1" outlineLevel="1" x14ac:dyDescent="0.3">
      <c r="A76" s="1" t="s">
        <v>202</v>
      </c>
      <c r="B76" s="1" t="s">
        <v>254</v>
      </c>
      <c r="C76" s="1" t="s">
        <v>255</v>
      </c>
      <c r="D76" s="1" t="s">
        <v>256</v>
      </c>
      <c r="E76" s="1" t="s">
        <v>14</v>
      </c>
      <c r="F76" s="2">
        <v>46183</v>
      </c>
      <c r="G76" s="3">
        <v>5</v>
      </c>
      <c r="H76" s="2">
        <v>46190</v>
      </c>
      <c r="I76" s="4">
        <v>118</v>
      </c>
      <c r="J76" s="1" t="s">
        <v>15</v>
      </c>
      <c r="K76" s="1" t="s">
        <v>591</v>
      </c>
      <c r="N76" s="17">
        <v>46190</v>
      </c>
      <c r="O76" s="17">
        <f t="shared" si="19"/>
        <v>46190</v>
      </c>
      <c r="P76" s="9">
        <f t="shared" si="20"/>
        <v>34.849379799173064</v>
      </c>
    </row>
    <row r="77" spans="1:16" hidden="1" outlineLevel="1" x14ac:dyDescent="0.3">
      <c r="A77" s="1" t="s">
        <v>202</v>
      </c>
      <c r="B77" s="1" t="s">
        <v>257</v>
      </c>
      <c r="C77" s="1" t="s">
        <v>258</v>
      </c>
      <c r="D77" s="1" t="s">
        <v>259</v>
      </c>
      <c r="E77" s="1" t="s">
        <v>14</v>
      </c>
      <c r="F77" s="2">
        <v>46184</v>
      </c>
      <c r="G77" s="3">
        <v>4</v>
      </c>
      <c r="H77" s="2">
        <v>46191</v>
      </c>
      <c r="I77" s="4">
        <v>308.69</v>
      </c>
      <c r="J77" s="1" t="s">
        <v>15</v>
      </c>
      <c r="K77" s="1" t="s">
        <v>591</v>
      </c>
      <c r="N77" s="17">
        <v>46191</v>
      </c>
      <c r="O77" s="17">
        <f t="shared" si="19"/>
        <v>46191</v>
      </c>
      <c r="P77" s="9">
        <f t="shared" si="20"/>
        <v>91.166568222090959</v>
      </c>
    </row>
    <row r="78" spans="1:16" hidden="1" outlineLevel="1" x14ac:dyDescent="0.3">
      <c r="A78" s="1" t="s">
        <v>202</v>
      </c>
      <c r="B78" s="1" t="s">
        <v>260</v>
      </c>
      <c r="C78" s="1" t="s">
        <v>261</v>
      </c>
      <c r="D78" s="1" t="s">
        <v>262</v>
      </c>
      <c r="E78" s="1" t="s">
        <v>14</v>
      </c>
      <c r="F78" s="2">
        <v>46184</v>
      </c>
      <c r="G78" s="3">
        <v>4</v>
      </c>
      <c r="H78" s="2">
        <v>46191</v>
      </c>
      <c r="I78" s="4">
        <v>70.8</v>
      </c>
      <c r="J78" s="1" t="s">
        <v>15</v>
      </c>
      <c r="K78" s="1" t="s">
        <v>591</v>
      </c>
      <c r="N78" s="17">
        <v>46191</v>
      </c>
      <c r="O78" s="17">
        <f t="shared" si="19"/>
        <v>46191</v>
      </c>
      <c r="P78" s="9">
        <f t="shared" si="20"/>
        <v>20.909627879503837</v>
      </c>
    </row>
    <row r="79" spans="1:16" hidden="1" outlineLevel="1" x14ac:dyDescent="0.3">
      <c r="A79" s="1" t="s">
        <v>202</v>
      </c>
      <c r="B79" s="1" t="s">
        <v>263</v>
      </c>
      <c r="C79" s="1" t="s">
        <v>264</v>
      </c>
      <c r="D79" s="1" t="s">
        <v>265</v>
      </c>
      <c r="E79" s="1" t="s">
        <v>14</v>
      </c>
      <c r="F79" s="2">
        <v>46184</v>
      </c>
      <c r="G79" s="3">
        <v>4</v>
      </c>
      <c r="H79" s="2">
        <v>46191</v>
      </c>
      <c r="I79" s="4">
        <v>553.75</v>
      </c>
      <c r="J79" s="1" t="s">
        <v>15</v>
      </c>
      <c r="K79" s="1" t="s">
        <v>591</v>
      </c>
      <c r="N79" s="17">
        <v>46191</v>
      </c>
      <c r="O79" s="17">
        <f t="shared" si="19"/>
        <v>46191</v>
      </c>
      <c r="P79" s="9">
        <f t="shared" si="20"/>
        <v>163.54105138806852</v>
      </c>
    </row>
    <row r="80" spans="1:16" hidden="1" outlineLevel="1" x14ac:dyDescent="0.3">
      <c r="A80" s="1" t="s">
        <v>202</v>
      </c>
      <c r="B80" s="1" t="s">
        <v>266</v>
      </c>
      <c r="C80" s="1" t="s">
        <v>267</v>
      </c>
      <c r="D80" s="1" t="s">
        <v>268</v>
      </c>
      <c r="E80" s="1" t="s">
        <v>14</v>
      </c>
      <c r="F80" s="2">
        <v>46184</v>
      </c>
      <c r="G80" s="3">
        <v>4</v>
      </c>
      <c r="H80" s="2">
        <v>46191</v>
      </c>
      <c r="I80" s="4">
        <v>177</v>
      </c>
      <c r="J80" s="1" t="s">
        <v>15</v>
      </c>
      <c r="K80" s="1" t="s">
        <v>591</v>
      </c>
      <c r="N80" s="17">
        <v>46191</v>
      </c>
      <c r="O80" s="17">
        <f t="shared" si="19"/>
        <v>46191</v>
      </c>
      <c r="P80" s="9">
        <f t="shared" si="20"/>
        <v>52.274069698759597</v>
      </c>
    </row>
    <row r="81" spans="1:16" hidden="1" outlineLevel="1" x14ac:dyDescent="0.3">
      <c r="A81" s="1" t="s">
        <v>202</v>
      </c>
      <c r="B81" s="1" t="s">
        <v>269</v>
      </c>
      <c r="C81" s="1" t="s">
        <v>270</v>
      </c>
      <c r="D81" s="1" t="s">
        <v>271</v>
      </c>
      <c r="E81" s="1" t="s">
        <v>14</v>
      </c>
      <c r="F81" s="2">
        <v>46185</v>
      </c>
      <c r="G81" s="3">
        <v>3</v>
      </c>
      <c r="H81" s="2">
        <v>46192</v>
      </c>
      <c r="I81" s="4">
        <v>731.84</v>
      </c>
      <c r="J81" s="1" t="s">
        <v>15</v>
      </c>
      <c r="K81" s="1" t="s">
        <v>591</v>
      </c>
      <c r="N81" s="17">
        <v>46192</v>
      </c>
      <c r="O81" s="17">
        <f t="shared" si="19"/>
        <v>46192</v>
      </c>
      <c r="P81" s="9">
        <f t="shared" si="20"/>
        <v>216.1370348493798</v>
      </c>
    </row>
    <row r="82" spans="1:16" hidden="1" outlineLevel="1" x14ac:dyDescent="0.3">
      <c r="A82" s="1" t="s">
        <v>202</v>
      </c>
      <c r="B82" s="1" t="s">
        <v>272</v>
      </c>
      <c r="C82" s="1" t="s">
        <v>273</v>
      </c>
      <c r="D82" s="1" t="s">
        <v>274</v>
      </c>
      <c r="E82" s="1" t="s">
        <v>14</v>
      </c>
      <c r="F82" s="2">
        <v>46185</v>
      </c>
      <c r="G82" s="3">
        <v>3</v>
      </c>
      <c r="H82" s="2">
        <v>46192</v>
      </c>
      <c r="I82" s="4">
        <v>70.8</v>
      </c>
      <c r="J82" s="1" t="s">
        <v>15</v>
      </c>
      <c r="K82" s="1" t="s">
        <v>591</v>
      </c>
      <c r="N82" s="17">
        <v>46192</v>
      </c>
      <c r="O82" s="17">
        <f t="shared" si="19"/>
        <v>46192</v>
      </c>
      <c r="P82" s="9">
        <f t="shared" si="20"/>
        <v>20.909627879503837</v>
      </c>
    </row>
    <row r="83" spans="1:16" hidden="1" outlineLevel="1" x14ac:dyDescent="0.3">
      <c r="A83" s="1" t="s">
        <v>202</v>
      </c>
      <c r="B83" s="1" t="s">
        <v>275</v>
      </c>
      <c r="C83" s="1" t="s">
        <v>276</v>
      </c>
      <c r="D83" s="1" t="s">
        <v>277</v>
      </c>
      <c r="E83" s="1" t="s">
        <v>14</v>
      </c>
      <c r="F83" s="2">
        <v>46185</v>
      </c>
      <c r="G83" s="3">
        <v>3</v>
      </c>
      <c r="H83" s="2">
        <v>46192</v>
      </c>
      <c r="I83" s="4">
        <v>296.89</v>
      </c>
      <c r="J83" s="1" t="s">
        <v>15</v>
      </c>
      <c r="K83" s="1" t="s">
        <v>591</v>
      </c>
      <c r="N83" s="17">
        <v>46192</v>
      </c>
      <c r="O83" s="17">
        <f t="shared" si="19"/>
        <v>46192</v>
      </c>
      <c r="P83" s="9">
        <f t="shared" si="20"/>
        <v>87.681630242173654</v>
      </c>
    </row>
    <row r="84" spans="1:16" hidden="1" outlineLevel="1" x14ac:dyDescent="0.3">
      <c r="A84" s="1" t="s">
        <v>202</v>
      </c>
      <c r="B84" s="1" t="s">
        <v>278</v>
      </c>
      <c r="C84" s="1" t="s">
        <v>279</v>
      </c>
      <c r="D84" s="1" t="s">
        <v>280</v>
      </c>
      <c r="E84" s="1" t="s">
        <v>14</v>
      </c>
      <c r="F84" s="2">
        <v>46185</v>
      </c>
      <c r="G84" s="3">
        <v>3</v>
      </c>
      <c r="H84" s="2">
        <v>46192</v>
      </c>
      <c r="I84" s="4">
        <v>35.4</v>
      </c>
      <c r="J84" s="1" t="s">
        <v>15</v>
      </c>
      <c r="K84" s="1" t="s">
        <v>591</v>
      </c>
      <c r="N84" s="17">
        <v>46192</v>
      </c>
      <c r="O84" s="17">
        <f t="shared" si="19"/>
        <v>46192</v>
      </c>
      <c r="P84" s="9">
        <f t="shared" si="20"/>
        <v>10.454813939751919</v>
      </c>
    </row>
    <row r="85" spans="1:16" hidden="1" outlineLevel="1" x14ac:dyDescent="0.3">
      <c r="A85" s="1" t="s">
        <v>202</v>
      </c>
      <c r="B85" s="1" t="s">
        <v>281</v>
      </c>
      <c r="C85" s="1" t="s">
        <v>282</v>
      </c>
      <c r="D85" s="1" t="s">
        <v>283</v>
      </c>
      <c r="E85" s="1" t="s">
        <v>14</v>
      </c>
      <c r="F85" s="2">
        <v>46186</v>
      </c>
      <c r="G85" s="3">
        <v>2</v>
      </c>
      <c r="H85" s="2">
        <v>46193</v>
      </c>
      <c r="I85" s="4">
        <v>616.20000000000005</v>
      </c>
      <c r="J85" s="1" t="s">
        <v>15</v>
      </c>
      <c r="K85" s="1" t="s">
        <v>591</v>
      </c>
      <c r="N85" s="17">
        <v>46193</v>
      </c>
      <c r="O85" s="17">
        <f t="shared" si="19"/>
        <v>46193</v>
      </c>
      <c r="P85" s="9">
        <f t="shared" si="20"/>
        <v>181.9846426461902</v>
      </c>
    </row>
    <row r="86" spans="1:16" hidden="1" outlineLevel="1" x14ac:dyDescent="0.3">
      <c r="A86" s="1" t="s">
        <v>202</v>
      </c>
      <c r="B86" s="1" t="s">
        <v>284</v>
      </c>
      <c r="C86" s="1" t="s">
        <v>285</v>
      </c>
      <c r="D86" s="1" t="s">
        <v>286</v>
      </c>
      <c r="E86" s="1" t="s">
        <v>14</v>
      </c>
      <c r="F86" s="2">
        <v>46186</v>
      </c>
      <c r="G86" s="3">
        <v>2</v>
      </c>
      <c r="H86" s="2">
        <v>46193</v>
      </c>
      <c r="I86" s="4">
        <v>194.7</v>
      </c>
      <c r="J86" s="1" t="s">
        <v>15</v>
      </c>
      <c r="K86" s="1" t="s">
        <v>591</v>
      </c>
      <c r="N86" s="17">
        <v>46193</v>
      </c>
      <c r="O86" s="17">
        <f t="shared" si="19"/>
        <v>46193</v>
      </c>
      <c r="P86" s="9">
        <f t="shared" si="20"/>
        <v>57.501476668635554</v>
      </c>
    </row>
    <row r="87" spans="1:16" hidden="1" outlineLevel="1" x14ac:dyDescent="0.3">
      <c r="A87" s="1" t="s">
        <v>202</v>
      </c>
      <c r="B87" s="1" t="s">
        <v>287</v>
      </c>
      <c r="C87" s="1" t="s">
        <v>288</v>
      </c>
      <c r="D87" s="1" t="s">
        <v>289</v>
      </c>
      <c r="E87" s="1" t="s">
        <v>14</v>
      </c>
      <c r="F87" s="2">
        <v>46187</v>
      </c>
      <c r="G87" s="3">
        <v>1</v>
      </c>
      <c r="H87" s="2">
        <v>46194</v>
      </c>
      <c r="I87" s="4">
        <v>952.5</v>
      </c>
      <c r="J87" s="1" t="s">
        <v>15</v>
      </c>
      <c r="K87" s="1" t="s">
        <v>591</v>
      </c>
      <c r="N87" s="17">
        <v>46194</v>
      </c>
      <c r="O87" s="17">
        <f t="shared" si="19"/>
        <v>46194</v>
      </c>
      <c r="P87" s="9">
        <f t="shared" si="20"/>
        <v>281.30537507383343</v>
      </c>
    </row>
    <row r="88" spans="1:16" hidden="1" outlineLevel="1" x14ac:dyDescent="0.3">
      <c r="A88" s="1" t="s">
        <v>202</v>
      </c>
      <c r="B88" s="1" t="s">
        <v>290</v>
      </c>
      <c r="C88" s="1" t="s">
        <v>291</v>
      </c>
      <c r="D88" s="1" t="s">
        <v>292</v>
      </c>
      <c r="E88" s="1" t="s">
        <v>14</v>
      </c>
      <c r="F88" s="2">
        <v>46187</v>
      </c>
      <c r="G88" s="3">
        <v>1</v>
      </c>
      <c r="H88" s="2">
        <v>46194</v>
      </c>
      <c r="I88" s="4">
        <v>118</v>
      </c>
      <c r="J88" s="1" t="s">
        <v>15</v>
      </c>
      <c r="K88" s="1" t="s">
        <v>591</v>
      </c>
      <c r="N88" s="17">
        <v>46194</v>
      </c>
      <c r="O88" s="17">
        <f t="shared" si="19"/>
        <v>46194</v>
      </c>
      <c r="P88" s="9">
        <f t="shared" si="20"/>
        <v>34.849379799173064</v>
      </c>
    </row>
    <row r="89" spans="1:16" hidden="1" outlineLevel="1" x14ac:dyDescent="0.3">
      <c r="A89" s="1" t="s">
        <v>202</v>
      </c>
      <c r="B89" s="1" t="s">
        <v>293</v>
      </c>
      <c r="C89" s="1" t="s">
        <v>294</v>
      </c>
      <c r="D89" s="1" t="s">
        <v>295</v>
      </c>
      <c r="E89" s="1" t="s">
        <v>14</v>
      </c>
      <c r="F89" s="2">
        <v>46189</v>
      </c>
      <c r="G89" s="5">
        <v>-1</v>
      </c>
      <c r="H89" s="2">
        <v>46196</v>
      </c>
      <c r="I89" s="4">
        <v>402.14</v>
      </c>
      <c r="J89" s="1" t="s">
        <v>15</v>
      </c>
      <c r="K89" s="1" t="s">
        <v>591</v>
      </c>
      <c r="N89" s="17">
        <v>46196</v>
      </c>
      <c r="O89" s="17">
        <f t="shared" si="19"/>
        <v>46196</v>
      </c>
      <c r="P89" s="9">
        <f t="shared" si="20"/>
        <v>118.76550502067336</v>
      </c>
    </row>
    <row r="90" spans="1:16" hidden="1" outlineLevel="1" x14ac:dyDescent="0.3">
      <c r="A90" s="1" t="s">
        <v>202</v>
      </c>
      <c r="B90" s="1" t="s">
        <v>296</v>
      </c>
      <c r="C90" s="1" t="s">
        <v>297</v>
      </c>
      <c r="D90" s="1" t="s">
        <v>298</v>
      </c>
      <c r="E90" s="1" t="s">
        <v>14</v>
      </c>
      <c r="F90" s="2">
        <v>46189</v>
      </c>
      <c r="G90" s="5">
        <v>-1</v>
      </c>
      <c r="H90" s="2">
        <v>46196</v>
      </c>
      <c r="I90" s="4">
        <v>47.2</v>
      </c>
      <c r="J90" s="1" t="s">
        <v>15</v>
      </c>
      <c r="K90" s="1" t="s">
        <v>591</v>
      </c>
      <c r="N90" s="17">
        <v>46196</v>
      </c>
      <c r="O90" s="17">
        <f t="shared" si="19"/>
        <v>46196</v>
      </c>
      <c r="P90" s="9">
        <f t="shared" si="20"/>
        <v>13.939751919669227</v>
      </c>
    </row>
    <row r="91" spans="1:16" hidden="1" outlineLevel="1" x14ac:dyDescent="0.3">
      <c r="A91" s="1" t="s">
        <v>202</v>
      </c>
      <c r="B91" s="1" t="s">
        <v>299</v>
      </c>
      <c r="C91" s="1" t="s">
        <v>300</v>
      </c>
      <c r="D91" s="1" t="s">
        <v>301</v>
      </c>
      <c r="E91" s="1" t="s">
        <v>14</v>
      </c>
      <c r="F91" s="2">
        <v>46190</v>
      </c>
      <c r="G91" s="5">
        <v>-2</v>
      </c>
      <c r="H91" s="2">
        <v>46197</v>
      </c>
      <c r="I91" s="4">
        <v>763.88</v>
      </c>
      <c r="J91" s="1" t="s">
        <v>15</v>
      </c>
      <c r="K91" s="1" t="s">
        <v>591</v>
      </c>
      <c r="N91" s="17">
        <v>46197</v>
      </c>
      <c r="O91" s="17">
        <f t="shared" si="19"/>
        <v>46197</v>
      </c>
      <c r="P91" s="9">
        <f t="shared" si="20"/>
        <v>225.59952746603662</v>
      </c>
    </row>
    <row r="92" spans="1:16" hidden="1" outlineLevel="1" x14ac:dyDescent="0.3">
      <c r="A92" s="1" t="s">
        <v>202</v>
      </c>
      <c r="B92" s="1" t="s">
        <v>302</v>
      </c>
      <c r="C92" s="1" t="s">
        <v>303</v>
      </c>
      <c r="D92" s="1" t="s">
        <v>304</v>
      </c>
      <c r="E92" s="1" t="s">
        <v>14</v>
      </c>
      <c r="F92" s="2">
        <v>46190</v>
      </c>
      <c r="G92" s="5">
        <v>-2</v>
      </c>
      <c r="H92" s="2">
        <v>46197</v>
      </c>
      <c r="I92" s="4">
        <v>177</v>
      </c>
      <c r="J92" s="1" t="s">
        <v>15</v>
      </c>
      <c r="K92" s="1" t="s">
        <v>591</v>
      </c>
      <c r="N92" s="17">
        <v>46197</v>
      </c>
      <c r="O92" s="17">
        <f t="shared" si="19"/>
        <v>46197</v>
      </c>
      <c r="P92" s="9">
        <f t="shared" si="20"/>
        <v>52.274069698759597</v>
      </c>
    </row>
    <row r="93" spans="1:16" hidden="1" outlineLevel="1" x14ac:dyDescent="0.3">
      <c r="A93" s="1" t="s">
        <v>202</v>
      </c>
      <c r="B93" s="1" t="s">
        <v>305</v>
      </c>
      <c r="C93" s="1" t="s">
        <v>306</v>
      </c>
      <c r="D93" s="1" t="s">
        <v>307</v>
      </c>
      <c r="E93" s="1" t="s">
        <v>14</v>
      </c>
      <c r="F93" s="2">
        <v>46192</v>
      </c>
      <c r="G93" s="5">
        <v>-4</v>
      </c>
      <c r="H93" s="2">
        <v>46199</v>
      </c>
      <c r="I93" s="4">
        <v>372.41</v>
      </c>
      <c r="J93" s="1" t="s">
        <v>15</v>
      </c>
      <c r="K93" s="1" t="s">
        <v>591</v>
      </c>
      <c r="N93" s="17">
        <v>46199</v>
      </c>
      <c r="O93" s="17">
        <f t="shared" si="19"/>
        <v>46199</v>
      </c>
      <c r="P93" s="9">
        <f t="shared" si="20"/>
        <v>109.98523331364443</v>
      </c>
    </row>
    <row r="94" spans="1:16" hidden="1" outlineLevel="1" x14ac:dyDescent="0.3">
      <c r="A94" s="1" t="s">
        <v>202</v>
      </c>
      <c r="B94" s="1" t="s">
        <v>308</v>
      </c>
      <c r="C94" s="1" t="s">
        <v>309</v>
      </c>
      <c r="D94" s="1" t="s">
        <v>310</v>
      </c>
      <c r="E94" s="1" t="s">
        <v>14</v>
      </c>
      <c r="F94" s="2">
        <v>46192</v>
      </c>
      <c r="G94" s="5">
        <v>-4</v>
      </c>
      <c r="H94" s="2">
        <v>46199</v>
      </c>
      <c r="I94" s="4">
        <v>47.2</v>
      </c>
      <c r="J94" s="1" t="s">
        <v>15</v>
      </c>
      <c r="K94" s="1" t="s">
        <v>591</v>
      </c>
      <c r="N94" s="17">
        <v>46199</v>
      </c>
      <c r="O94" s="17">
        <f t="shared" si="19"/>
        <v>46199</v>
      </c>
      <c r="P94" s="9">
        <f t="shared" si="20"/>
        <v>13.939751919669227</v>
      </c>
    </row>
    <row r="95" spans="1:16" hidden="1" outlineLevel="1" x14ac:dyDescent="0.3">
      <c r="A95" s="1" t="s">
        <v>202</v>
      </c>
      <c r="B95" s="1" t="s">
        <v>311</v>
      </c>
      <c r="C95" s="1" t="s">
        <v>312</v>
      </c>
      <c r="D95" s="1" t="s">
        <v>313</v>
      </c>
      <c r="E95" s="1" t="s">
        <v>14</v>
      </c>
      <c r="F95" s="2">
        <v>46193</v>
      </c>
      <c r="G95" s="5">
        <v>-5</v>
      </c>
      <c r="H95" s="2">
        <v>46200</v>
      </c>
      <c r="I95" s="4">
        <v>687.89</v>
      </c>
      <c r="J95" s="1" t="s">
        <v>15</v>
      </c>
      <c r="K95" s="1" t="s">
        <v>591</v>
      </c>
      <c r="N95" s="17">
        <v>46200</v>
      </c>
      <c r="O95" s="17">
        <f t="shared" si="19"/>
        <v>46200</v>
      </c>
      <c r="P95" s="9">
        <f t="shared" si="20"/>
        <v>203.15711754282339</v>
      </c>
    </row>
    <row r="96" spans="1:16" hidden="1" outlineLevel="1" x14ac:dyDescent="0.3">
      <c r="A96" s="1" t="s">
        <v>202</v>
      </c>
      <c r="B96" s="1" t="s">
        <v>314</v>
      </c>
      <c r="C96" s="1" t="s">
        <v>315</v>
      </c>
      <c r="D96" s="1" t="s">
        <v>316</v>
      </c>
      <c r="E96" s="1" t="s">
        <v>14</v>
      </c>
      <c r="F96" s="2">
        <v>46193</v>
      </c>
      <c r="G96" s="5">
        <v>-5</v>
      </c>
      <c r="H96" s="2">
        <v>46200</v>
      </c>
      <c r="I96" s="4">
        <v>194.7</v>
      </c>
      <c r="J96" s="1" t="s">
        <v>15</v>
      </c>
      <c r="K96" s="1" t="s">
        <v>591</v>
      </c>
      <c r="N96" s="17">
        <v>46200</v>
      </c>
      <c r="O96" s="17">
        <f t="shared" si="19"/>
        <v>46200</v>
      </c>
      <c r="P96" s="9">
        <f t="shared" si="20"/>
        <v>57.501476668635554</v>
      </c>
    </row>
    <row r="97" spans="1:18" outlineLevel="1" x14ac:dyDescent="0.3">
      <c r="A97" s="1" t="s">
        <v>317</v>
      </c>
      <c r="B97" s="1" t="s">
        <v>318</v>
      </c>
      <c r="C97" s="1" t="s">
        <v>319</v>
      </c>
      <c r="D97" s="1" t="s">
        <v>320</v>
      </c>
      <c r="E97" s="1" t="s">
        <v>77</v>
      </c>
      <c r="F97" s="2">
        <v>46168</v>
      </c>
      <c r="G97" s="3">
        <v>0</v>
      </c>
      <c r="H97" s="2">
        <v>46173</v>
      </c>
      <c r="I97" s="6">
        <v>-34580</v>
      </c>
      <c r="J97" s="1" t="s">
        <v>69</v>
      </c>
      <c r="K97" s="1" t="s">
        <v>599</v>
      </c>
      <c r="L97" s="17">
        <f t="shared" ref="L97:L119" si="21">F97+45</f>
        <v>46213</v>
      </c>
      <c r="M97" s="18"/>
      <c r="N97" s="17">
        <v>46168</v>
      </c>
      <c r="O97" s="17">
        <f t="shared" ref="O97:O99" si="22">F97</f>
        <v>46168</v>
      </c>
      <c r="P97" s="12">
        <f t="shared" ref="P97:P119" si="23">I97</f>
        <v>-34580</v>
      </c>
      <c r="Q97" s="18">
        <f t="shared" ref="Q97:Q119" ca="1" si="24">TODAY()-F97</f>
        <v>34</v>
      </c>
      <c r="R97" t="s">
        <v>607</v>
      </c>
    </row>
    <row r="98" spans="1:18" outlineLevel="1" x14ac:dyDescent="0.3">
      <c r="A98" s="1" t="s">
        <v>321</v>
      </c>
      <c r="B98" s="1" t="s">
        <v>322</v>
      </c>
      <c r="C98" s="1" t="s">
        <v>323</v>
      </c>
      <c r="D98" s="1" t="s">
        <v>324</v>
      </c>
      <c r="E98" s="1" t="s">
        <v>68</v>
      </c>
      <c r="F98" s="2">
        <v>46140</v>
      </c>
      <c r="G98" s="3">
        <v>0</v>
      </c>
      <c r="H98" s="2">
        <v>46140</v>
      </c>
      <c r="I98" s="6">
        <v>-1504</v>
      </c>
      <c r="J98" s="1" t="s">
        <v>69</v>
      </c>
      <c r="K98" s="1" t="s">
        <v>599</v>
      </c>
      <c r="L98" s="17">
        <f t="shared" si="21"/>
        <v>46185</v>
      </c>
      <c r="M98" s="18"/>
      <c r="N98" s="17">
        <v>46140</v>
      </c>
      <c r="O98" s="17">
        <f t="shared" si="22"/>
        <v>46140</v>
      </c>
      <c r="P98" s="12">
        <f t="shared" si="23"/>
        <v>-1504</v>
      </c>
      <c r="Q98" s="18">
        <f t="shared" ca="1" si="24"/>
        <v>62</v>
      </c>
      <c r="R98" t="s">
        <v>608</v>
      </c>
    </row>
    <row r="99" spans="1:18" outlineLevel="1" x14ac:dyDescent="0.3">
      <c r="A99" s="1" t="s">
        <v>321</v>
      </c>
      <c r="B99" s="1" t="s">
        <v>325</v>
      </c>
      <c r="C99" s="1" t="s">
        <v>326</v>
      </c>
      <c r="D99" s="1" t="s">
        <v>327</v>
      </c>
      <c r="E99" s="1" t="s">
        <v>77</v>
      </c>
      <c r="F99" s="2">
        <v>46155</v>
      </c>
      <c r="G99" s="3">
        <v>0</v>
      </c>
      <c r="H99" s="2">
        <v>46173</v>
      </c>
      <c r="I99" s="6">
        <v>-36370</v>
      </c>
      <c r="J99" s="1" t="s">
        <v>69</v>
      </c>
      <c r="K99" s="1" t="s">
        <v>599</v>
      </c>
      <c r="L99" s="17">
        <f t="shared" si="21"/>
        <v>46200</v>
      </c>
      <c r="M99" s="18"/>
      <c r="N99" s="17">
        <v>46155</v>
      </c>
      <c r="O99" s="17">
        <f t="shared" si="22"/>
        <v>46155</v>
      </c>
      <c r="P99" s="12">
        <f t="shared" si="23"/>
        <v>-36370</v>
      </c>
      <c r="Q99" s="18">
        <f t="shared" ca="1" si="24"/>
        <v>47</v>
      </c>
      <c r="R99" t="s">
        <v>607</v>
      </c>
    </row>
    <row r="100" spans="1:18" outlineLevel="1" x14ac:dyDescent="0.3">
      <c r="A100" s="1" t="s">
        <v>321</v>
      </c>
      <c r="B100" s="1" t="s">
        <v>328</v>
      </c>
      <c r="C100" s="1" t="s">
        <v>329</v>
      </c>
      <c r="D100" s="1" t="s">
        <v>330</v>
      </c>
      <c r="E100" s="1" t="s">
        <v>73</v>
      </c>
      <c r="F100" s="2">
        <v>46178</v>
      </c>
      <c r="G100" s="5">
        <v>-28</v>
      </c>
      <c r="H100" s="2">
        <v>46223</v>
      </c>
      <c r="I100" s="4">
        <v>35224</v>
      </c>
      <c r="J100" s="1" t="s">
        <v>69</v>
      </c>
      <c r="K100" s="1" t="s">
        <v>599</v>
      </c>
      <c r="L100" s="17">
        <f t="shared" si="21"/>
        <v>46223</v>
      </c>
      <c r="M100" s="18">
        <f t="shared" ref="M100:M119" ca="1" si="25">TODAY()-N100</f>
        <v>-21</v>
      </c>
      <c r="N100" s="17">
        <v>46223</v>
      </c>
      <c r="O100" s="17">
        <f t="shared" si="19"/>
        <v>46223</v>
      </c>
      <c r="P100" s="12">
        <f t="shared" si="23"/>
        <v>35224</v>
      </c>
      <c r="Q100" s="18">
        <f t="shared" ca="1" si="24"/>
        <v>24</v>
      </c>
      <c r="R100" t="s">
        <v>607</v>
      </c>
    </row>
    <row r="101" spans="1:18" outlineLevel="1" x14ac:dyDescent="0.3">
      <c r="A101" s="1" t="s">
        <v>321</v>
      </c>
      <c r="B101" s="1" t="s">
        <v>331</v>
      </c>
      <c r="C101" s="1" t="s">
        <v>332</v>
      </c>
      <c r="D101" s="1" t="s">
        <v>333</v>
      </c>
      <c r="E101" s="1" t="s">
        <v>77</v>
      </c>
      <c r="F101" s="2">
        <v>46181</v>
      </c>
      <c r="G101" s="3">
        <v>0</v>
      </c>
      <c r="H101" s="2">
        <v>46203</v>
      </c>
      <c r="I101" s="6">
        <v>-33677</v>
      </c>
      <c r="J101" s="1" t="s">
        <v>69</v>
      </c>
      <c r="K101" s="1" t="s">
        <v>599</v>
      </c>
      <c r="L101" s="17">
        <f t="shared" si="21"/>
        <v>46226</v>
      </c>
      <c r="M101" s="18"/>
      <c r="N101" s="17">
        <v>46181</v>
      </c>
      <c r="O101" s="17">
        <f t="shared" ref="O101:O102" si="26">F101</f>
        <v>46181</v>
      </c>
      <c r="P101" s="12">
        <f t="shared" si="23"/>
        <v>-33677</v>
      </c>
      <c r="Q101" s="18">
        <f t="shared" ca="1" si="24"/>
        <v>21</v>
      </c>
      <c r="R101" t="s">
        <v>607</v>
      </c>
    </row>
    <row r="102" spans="1:18" outlineLevel="1" x14ac:dyDescent="0.3">
      <c r="A102" s="1" t="s">
        <v>321</v>
      </c>
      <c r="B102" s="1" t="s">
        <v>334</v>
      </c>
      <c r="C102" s="1" t="s">
        <v>335</v>
      </c>
      <c r="D102" s="1" t="s">
        <v>336</v>
      </c>
      <c r="E102" s="1" t="s">
        <v>77</v>
      </c>
      <c r="F102" s="2">
        <v>46184</v>
      </c>
      <c r="G102" s="3">
        <v>0</v>
      </c>
      <c r="H102" s="2">
        <v>46203</v>
      </c>
      <c r="I102" s="6">
        <v>-20250</v>
      </c>
      <c r="J102" s="1" t="s">
        <v>69</v>
      </c>
      <c r="K102" s="1" t="s">
        <v>599</v>
      </c>
      <c r="L102" s="17">
        <f t="shared" si="21"/>
        <v>46229</v>
      </c>
      <c r="M102" s="18"/>
      <c r="N102" s="17">
        <v>46184</v>
      </c>
      <c r="O102" s="17">
        <f t="shared" si="26"/>
        <v>46184</v>
      </c>
      <c r="P102" s="12">
        <f t="shared" si="23"/>
        <v>-20250</v>
      </c>
      <c r="Q102" s="18">
        <f t="shared" ca="1" si="24"/>
        <v>18</v>
      </c>
      <c r="R102" t="s">
        <v>607</v>
      </c>
    </row>
    <row r="103" spans="1:18" outlineLevel="1" x14ac:dyDescent="0.3">
      <c r="A103" s="1" t="s">
        <v>337</v>
      </c>
      <c r="B103" s="1" t="s">
        <v>338</v>
      </c>
      <c r="C103" s="1" t="s">
        <v>339</v>
      </c>
      <c r="D103" s="1" t="s">
        <v>340</v>
      </c>
      <c r="E103" s="1" t="s">
        <v>73</v>
      </c>
      <c r="F103" s="2">
        <v>46154</v>
      </c>
      <c r="G103" s="5">
        <v>-4</v>
      </c>
      <c r="H103" s="2">
        <v>46199</v>
      </c>
      <c r="I103" s="4">
        <v>420417</v>
      </c>
      <c r="J103" s="1" t="s">
        <v>69</v>
      </c>
      <c r="K103" s="1" t="s">
        <v>599</v>
      </c>
      <c r="L103" s="17">
        <f t="shared" si="21"/>
        <v>46199</v>
      </c>
      <c r="M103" s="18">
        <f ca="1">TODAY()-N103</f>
        <v>3</v>
      </c>
      <c r="N103" s="17">
        <v>46199</v>
      </c>
      <c r="O103" s="17">
        <f t="shared" si="19"/>
        <v>46199</v>
      </c>
      <c r="P103" s="12">
        <f t="shared" si="23"/>
        <v>420417</v>
      </c>
      <c r="Q103" s="18">
        <f ca="1">TODAY()-F103</f>
        <v>48</v>
      </c>
      <c r="R103" t="s">
        <v>607</v>
      </c>
    </row>
    <row r="104" spans="1:18" outlineLevel="1" x14ac:dyDescent="0.3">
      <c r="A104" s="1" t="s">
        <v>337</v>
      </c>
      <c r="B104" s="1" t="s">
        <v>341</v>
      </c>
      <c r="C104" s="1" t="s">
        <v>342</v>
      </c>
      <c r="D104" s="1" t="s">
        <v>343</v>
      </c>
      <c r="E104" s="1" t="s">
        <v>73</v>
      </c>
      <c r="F104" s="2">
        <v>46164</v>
      </c>
      <c r="G104" s="5">
        <v>-14</v>
      </c>
      <c r="H104" s="2">
        <v>46209</v>
      </c>
      <c r="I104" s="4">
        <v>103806</v>
      </c>
      <c r="J104" s="1" t="s">
        <v>69</v>
      </c>
      <c r="K104" s="1" t="s">
        <v>599</v>
      </c>
      <c r="L104" s="17">
        <f t="shared" si="21"/>
        <v>46209</v>
      </c>
      <c r="M104" s="18">
        <f t="shared" ca="1" si="25"/>
        <v>-7</v>
      </c>
      <c r="N104" s="17">
        <v>46209</v>
      </c>
      <c r="O104" s="17">
        <f t="shared" si="19"/>
        <v>46209</v>
      </c>
      <c r="P104" s="12">
        <f>I104</f>
        <v>103806</v>
      </c>
      <c r="Q104" s="18">
        <f t="shared" ca="1" si="24"/>
        <v>38</v>
      </c>
      <c r="R104" t="s">
        <v>607</v>
      </c>
    </row>
    <row r="105" spans="1:18" outlineLevel="1" x14ac:dyDescent="0.3">
      <c r="A105" s="1" t="s">
        <v>337</v>
      </c>
      <c r="B105" s="1" t="s">
        <v>344</v>
      </c>
      <c r="C105" s="1" t="s">
        <v>345</v>
      </c>
      <c r="D105" s="1" t="s">
        <v>346</v>
      </c>
      <c r="E105" s="1" t="s">
        <v>73</v>
      </c>
      <c r="F105" s="2">
        <v>46166</v>
      </c>
      <c r="G105" s="5">
        <v>-16</v>
      </c>
      <c r="H105" s="2">
        <v>46211</v>
      </c>
      <c r="I105" s="4">
        <v>104872.5</v>
      </c>
      <c r="J105" s="1" t="s">
        <v>69</v>
      </c>
      <c r="K105" s="1" t="s">
        <v>599</v>
      </c>
      <c r="L105" s="17">
        <f t="shared" si="21"/>
        <v>46211</v>
      </c>
      <c r="M105" s="18">
        <f t="shared" ca="1" si="25"/>
        <v>-9</v>
      </c>
      <c r="N105" s="17">
        <v>46211</v>
      </c>
      <c r="O105" s="17">
        <f t="shared" si="19"/>
        <v>46211</v>
      </c>
      <c r="P105" s="12">
        <f>I105</f>
        <v>104872.5</v>
      </c>
      <c r="Q105" s="18">
        <f t="shared" ca="1" si="24"/>
        <v>36</v>
      </c>
      <c r="R105" t="s">
        <v>607</v>
      </c>
    </row>
    <row r="106" spans="1:18" outlineLevel="1" x14ac:dyDescent="0.3">
      <c r="A106" s="1" t="s">
        <v>337</v>
      </c>
      <c r="B106" s="1" t="s">
        <v>347</v>
      </c>
      <c r="C106" s="1" t="s">
        <v>348</v>
      </c>
      <c r="D106" s="1" t="s">
        <v>349</v>
      </c>
      <c r="E106" s="1" t="s">
        <v>68</v>
      </c>
      <c r="F106" s="2">
        <v>46166</v>
      </c>
      <c r="G106" s="3">
        <v>29</v>
      </c>
      <c r="H106" s="2">
        <v>46166</v>
      </c>
      <c r="I106" s="4">
        <v>157950</v>
      </c>
      <c r="J106" s="1" t="s">
        <v>69</v>
      </c>
      <c r="K106" s="1" t="s">
        <v>599</v>
      </c>
      <c r="L106" s="17">
        <f t="shared" si="21"/>
        <v>46211</v>
      </c>
      <c r="M106" s="18">
        <f t="shared" ca="1" si="25"/>
        <v>-9</v>
      </c>
      <c r="N106" s="17">
        <v>46211</v>
      </c>
      <c r="O106" s="17">
        <v>46211</v>
      </c>
      <c r="P106" s="12">
        <f>I106</f>
        <v>157950</v>
      </c>
      <c r="Q106" s="18">
        <f t="shared" ca="1" si="24"/>
        <v>36</v>
      </c>
      <c r="R106" t="s">
        <v>607</v>
      </c>
    </row>
    <row r="107" spans="1:18" outlineLevel="1" x14ac:dyDescent="0.3">
      <c r="A107" s="1" t="s">
        <v>337</v>
      </c>
      <c r="B107" s="1" t="s">
        <v>350</v>
      </c>
      <c r="C107" s="1" t="s">
        <v>351</v>
      </c>
      <c r="D107" s="1" t="s">
        <v>352</v>
      </c>
      <c r="E107" s="1" t="s">
        <v>73</v>
      </c>
      <c r="F107" s="2">
        <v>46171</v>
      </c>
      <c r="G107" s="5">
        <v>-21</v>
      </c>
      <c r="H107" s="2">
        <v>46216</v>
      </c>
      <c r="I107" s="4">
        <v>104161.5</v>
      </c>
      <c r="J107" s="1" t="s">
        <v>69</v>
      </c>
      <c r="K107" s="1" t="s">
        <v>599</v>
      </c>
      <c r="L107" s="17">
        <f t="shared" si="21"/>
        <v>46216</v>
      </c>
      <c r="M107" s="18">
        <f t="shared" ca="1" si="25"/>
        <v>-14</v>
      </c>
      <c r="N107" s="17">
        <v>46216</v>
      </c>
      <c r="O107" s="17">
        <f t="shared" si="19"/>
        <v>46216</v>
      </c>
      <c r="P107" s="12">
        <f>I107</f>
        <v>104161.5</v>
      </c>
      <c r="Q107" s="18">
        <f t="shared" ca="1" si="24"/>
        <v>31</v>
      </c>
      <c r="R107" t="s">
        <v>607</v>
      </c>
    </row>
    <row r="108" spans="1:18" outlineLevel="1" x14ac:dyDescent="0.3">
      <c r="A108" s="1" t="s">
        <v>337</v>
      </c>
      <c r="B108" s="1" t="s">
        <v>353</v>
      </c>
      <c r="C108" s="1" t="s">
        <v>354</v>
      </c>
      <c r="D108" s="1" t="s">
        <v>355</v>
      </c>
      <c r="E108" s="1" t="s">
        <v>73</v>
      </c>
      <c r="F108" s="2">
        <v>46171</v>
      </c>
      <c r="G108" s="5">
        <v>-21</v>
      </c>
      <c r="H108" s="2">
        <v>46216</v>
      </c>
      <c r="I108" s="4">
        <v>105300</v>
      </c>
      <c r="J108" s="1" t="s">
        <v>69</v>
      </c>
      <c r="K108" s="1" t="s">
        <v>599</v>
      </c>
      <c r="L108" s="17">
        <f t="shared" si="21"/>
        <v>46216</v>
      </c>
      <c r="M108" s="18">
        <f t="shared" ca="1" si="25"/>
        <v>-14</v>
      </c>
      <c r="N108" s="17">
        <v>46216</v>
      </c>
      <c r="O108" s="17">
        <f t="shared" si="19"/>
        <v>46216</v>
      </c>
      <c r="P108" s="12">
        <f>I108</f>
        <v>105300</v>
      </c>
      <c r="Q108" s="18">
        <f t="shared" ca="1" si="24"/>
        <v>31</v>
      </c>
      <c r="R108" t="s">
        <v>607</v>
      </c>
    </row>
    <row r="109" spans="1:18" outlineLevel="1" x14ac:dyDescent="0.3">
      <c r="A109" s="23" t="s">
        <v>337</v>
      </c>
      <c r="B109" s="23" t="s">
        <v>338</v>
      </c>
      <c r="C109" s="23" t="s">
        <v>357</v>
      </c>
      <c r="D109" s="23" t="s">
        <v>358</v>
      </c>
      <c r="E109" s="23" t="s">
        <v>73</v>
      </c>
      <c r="F109" s="24">
        <v>46192</v>
      </c>
      <c r="G109" s="25">
        <v>-42</v>
      </c>
      <c r="H109" s="24">
        <v>46237</v>
      </c>
      <c r="I109" s="26">
        <v>421200</v>
      </c>
      <c r="J109" s="23" t="s">
        <v>69</v>
      </c>
      <c r="K109" s="23" t="s">
        <v>599</v>
      </c>
      <c r="L109" s="24">
        <f t="shared" ref="L109" si="27">F109+45</f>
        <v>46237</v>
      </c>
      <c r="M109" s="27"/>
      <c r="N109" s="24">
        <v>46207</v>
      </c>
      <c r="O109" s="24">
        <f>F109+15</f>
        <v>46207</v>
      </c>
      <c r="P109" s="26">
        <f>I109*0.5</f>
        <v>210600</v>
      </c>
      <c r="Q109" s="27">
        <f t="shared" ref="Q109" ca="1" si="28">TODAY()-F109</f>
        <v>10</v>
      </c>
      <c r="R109" s="23" t="s">
        <v>607</v>
      </c>
    </row>
    <row r="110" spans="1:18" outlineLevel="1" x14ac:dyDescent="0.3">
      <c r="A110" s="23" t="s">
        <v>337</v>
      </c>
      <c r="B110" s="23" t="s">
        <v>356</v>
      </c>
      <c r="C110" s="23" t="s">
        <v>357</v>
      </c>
      <c r="D110" s="23" t="s">
        <v>358</v>
      </c>
      <c r="E110" s="23" t="s">
        <v>73</v>
      </c>
      <c r="F110" s="24">
        <v>46192</v>
      </c>
      <c r="G110" s="25">
        <v>-42</v>
      </c>
      <c r="H110" s="24">
        <v>46237</v>
      </c>
      <c r="I110" s="26">
        <v>421200</v>
      </c>
      <c r="J110" s="23" t="s">
        <v>69</v>
      </c>
      <c r="K110" s="23" t="s">
        <v>599</v>
      </c>
      <c r="L110" s="24">
        <f t="shared" si="21"/>
        <v>46237</v>
      </c>
      <c r="M110" s="27"/>
      <c r="N110" s="24">
        <v>46237</v>
      </c>
      <c r="O110" s="24">
        <f t="shared" si="19"/>
        <v>46237</v>
      </c>
      <c r="P110" s="26">
        <f>I110*0.5</f>
        <v>210600</v>
      </c>
      <c r="Q110" s="27">
        <f t="shared" ca="1" si="24"/>
        <v>10</v>
      </c>
      <c r="R110" s="23" t="s">
        <v>607</v>
      </c>
    </row>
    <row r="111" spans="1:18" outlineLevel="1" x14ac:dyDescent="0.3">
      <c r="A111" s="1" t="s">
        <v>359</v>
      </c>
      <c r="B111" s="1" t="s">
        <v>360</v>
      </c>
      <c r="C111" s="1" t="s">
        <v>361</v>
      </c>
      <c r="D111" s="1" t="s">
        <v>362</v>
      </c>
      <c r="E111" s="1" t="s">
        <v>68</v>
      </c>
      <c r="F111" s="2">
        <v>46166</v>
      </c>
      <c r="G111" s="3">
        <v>29</v>
      </c>
      <c r="H111" s="2">
        <v>46166</v>
      </c>
      <c r="I111" s="4">
        <v>212594</v>
      </c>
      <c r="J111" s="1" t="s">
        <v>69</v>
      </c>
      <c r="K111" s="1" t="s">
        <v>599</v>
      </c>
      <c r="L111" s="17">
        <f t="shared" si="21"/>
        <v>46211</v>
      </c>
      <c r="M111" s="18">
        <f t="shared" ca="1" si="25"/>
        <v>-9</v>
      </c>
      <c r="N111" s="17">
        <v>46211</v>
      </c>
      <c r="O111" s="17">
        <v>46211</v>
      </c>
      <c r="P111" s="12">
        <f t="shared" si="23"/>
        <v>212594</v>
      </c>
      <c r="Q111" s="18">
        <f t="shared" ca="1" si="24"/>
        <v>36</v>
      </c>
      <c r="R111" t="s">
        <v>607</v>
      </c>
    </row>
    <row r="112" spans="1:18" outlineLevel="1" x14ac:dyDescent="0.3">
      <c r="A112" s="1" t="s">
        <v>359</v>
      </c>
      <c r="B112" s="1" t="s">
        <v>363</v>
      </c>
      <c r="C112" s="1" t="s">
        <v>364</v>
      </c>
      <c r="D112" s="1" t="s">
        <v>365</v>
      </c>
      <c r="E112" s="1" t="s">
        <v>73</v>
      </c>
      <c r="F112" s="2">
        <v>46171</v>
      </c>
      <c r="G112" s="5">
        <v>-21</v>
      </c>
      <c r="H112" s="2">
        <v>46216</v>
      </c>
      <c r="I112" s="4">
        <v>54540</v>
      </c>
      <c r="J112" s="1" t="s">
        <v>69</v>
      </c>
      <c r="K112" s="1" t="s">
        <v>599</v>
      </c>
      <c r="L112" s="17">
        <f t="shared" si="21"/>
        <v>46216</v>
      </c>
      <c r="M112" s="18">
        <f t="shared" ca="1" si="25"/>
        <v>-14</v>
      </c>
      <c r="N112" s="17">
        <v>46216</v>
      </c>
      <c r="O112" s="17">
        <f t="shared" si="19"/>
        <v>46216</v>
      </c>
      <c r="P112" s="12">
        <f t="shared" si="23"/>
        <v>54540</v>
      </c>
      <c r="Q112" s="18">
        <f t="shared" ca="1" si="24"/>
        <v>31</v>
      </c>
      <c r="R112" t="s">
        <v>607</v>
      </c>
    </row>
    <row r="113" spans="1:18" outlineLevel="1" x14ac:dyDescent="0.3">
      <c r="A113" s="1" t="s">
        <v>359</v>
      </c>
      <c r="B113" s="1" t="s">
        <v>366</v>
      </c>
      <c r="C113" s="1" t="s">
        <v>367</v>
      </c>
      <c r="D113" s="1" t="s">
        <v>368</v>
      </c>
      <c r="E113" s="1" t="s">
        <v>77</v>
      </c>
      <c r="F113" s="2">
        <v>46182</v>
      </c>
      <c r="G113" s="3">
        <v>0</v>
      </c>
      <c r="H113" s="2">
        <v>46203</v>
      </c>
      <c r="I113" s="6">
        <v>-159925</v>
      </c>
      <c r="J113" s="1" t="s">
        <v>69</v>
      </c>
      <c r="K113" s="1" t="s">
        <v>599</v>
      </c>
      <c r="L113" s="17">
        <f t="shared" si="21"/>
        <v>46227</v>
      </c>
      <c r="M113" s="18"/>
      <c r="N113" s="17">
        <v>46182</v>
      </c>
      <c r="O113" s="17">
        <f>F113</f>
        <v>46182</v>
      </c>
      <c r="P113" s="12">
        <f t="shared" si="23"/>
        <v>-159925</v>
      </c>
      <c r="Q113" s="18">
        <f t="shared" ca="1" si="24"/>
        <v>20</v>
      </c>
      <c r="R113" t="s">
        <v>607</v>
      </c>
    </row>
    <row r="114" spans="1:18" outlineLevel="1" x14ac:dyDescent="0.3">
      <c r="A114" s="1" t="s">
        <v>359</v>
      </c>
      <c r="B114" s="1" t="s">
        <v>369</v>
      </c>
      <c r="C114" s="1" t="s">
        <v>370</v>
      </c>
      <c r="D114" s="1" t="s">
        <v>371</v>
      </c>
      <c r="E114" s="1" t="s">
        <v>73</v>
      </c>
      <c r="F114" s="2">
        <v>46186</v>
      </c>
      <c r="G114" s="5">
        <v>-36</v>
      </c>
      <c r="H114" s="2">
        <v>46231</v>
      </c>
      <c r="I114" s="4">
        <v>113004</v>
      </c>
      <c r="J114" s="1" t="s">
        <v>69</v>
      </c>
      <c r="K114" s="1" t="s">
        <v>599</v>
      </c>
      <c r="L114" s="17">
        <f t="shared" si="21"/>
        <v>46231</v>
      </c>
      <c r="M114" s="18"/>
      <c r="N114" s="17">
        <v>46231</v>
      </c>
      <c r="O114" s="17">
        <f t="shared" si="19"/>
        <v>46231</v>
      </c>
      <c r="P114" s="12">
        <f t="shared" si="23"/>
        <v>113004</v>
      </c>
      <c r="Q114" s="18">
        <f t="shared" ca="1" si="24"/>
        <v>16</v>
      </c>
      <c r="R114" t="s">
        <v>607</v>
      </c>
    </row>
    <row r="115" spans="1:18" outlineLevel="1" x14ac:dyDescent="0.3">
      <c r="A115" s="1" t="s">
        <v>372</v>
      </c>
      <c r="B115" s="1" t="s">
        <v>374</v>
      </c>
      <c r="C115" s="1" t="s">
        <v>375</v>
      </c>
      <c r="D115" s="1" t="s">
        <v>376</v>
      </c>
      <c r="E115" s="1" t="s">
        <v>68</v>
      </c>
      <c r="F115" s="2">
        <v>46141</v>
      </c>
      <c r="G115" s="3">
        <v>54</v>
      </c>
      <c r="H115" s="2">
        <v>46141</v>
      </c>
      <c r="I115" s="4">
        <v>254390</v>
      </c>
      <c r="J115" s="1" t="s">
        <v>69</v>
      </c>
      <c r="K115" s="1" t="s">
        <v>599</v>
      </c>
      <c r="L115" s="17">
        <f t="shared" si="21"/>
        <v>46186</v>
      </c>
      <c r="M115" s="18">
        <f t="shared" ca="1" si="25"/>
        <v>-1</v>
      </c>
      <c r="N115" s="17">
        <v>46203</v>
      </c>
      <c r="O115" s="17">
        <v>46203</v>
      </c>
      <c r="P115" s="12">
        <f t="shared" si="23"/>
        <v>254390</v>
      </c>
      <c r="Q115" s="18">
        <f t="shared" ca="1" si="24"/>
        <v>61</v>
      </c>
      <c r="R115" t="s">
        <v>608</v>
      </c>
    </row>
    <row r="116" spans="1:18" outlineLevel="1" x14ac:dyDescent="0.3">
      <c r="A116" s="1" t="s">
        <v>372</v>
      </c>
      <c r="B116" s="1" t="s">
        <v>377</v>
      </c>
      <c r="C116" s="1" t="s">
        <v>378</v>
      </c>
      <c r="D116" s="1" t="s">
        <v>379</v>
      </c>
      <c r="E116" s="1" t="s">
        <v>73</v>
      </c>
      <c r="F116" s="2">
        <v>46159</v>
      </c>
      <c r="G116" s="5">
        <v>-9</v>
      </c>
      <c r="H116" s="2">
        <v>46204</v>
      </c>
      <c r="I116" s="4">
        <v>113820</v>
      </c>
      <c r="J116" s="1" t="s">
        <v>69</v>
      </c>
      <c r="K116" s="1" t="s">
        <v>599</v>
      </c>
      <c r="L116" s="17">
        <f t="shared" si="21"/>
        <v>46204</v>
      </c>
      <c r="M116" s="18">
        <f t="shared" ca="1" si="25"/>
        <v>-2</v>
      </c>
      <c r="N116" s="17">
        <v>46204</v>
      </c>
      <c r="O116" s="17">
        <f t="shared" si="19"/>
        <v>46204</v>
      </c>
      <c r="P116" s="12">
        <f t="shared" si="23"/>
        <v>113820</v>
      </c>
      <c r="Q116" s="18">
        <f t="shared" ca="1" si="24"/>
        <v>43</v>
      </c>
      <c r="R116" t="s">
        <v>607</v>
      </c>
    </row>
    <row r="117" spans="1:18" outlineLevel="1" x14ac:dyDescent="0.3">
      <c r="A117" s="1" t="s">
        <v>372</v>
      </c>
      <c r="B117" s="1" t="s">
        <v>380</v>
      </c>
      <c r="C117" s="1" t="s">
        <v>381</v>
      </c>
      <c r="D117" s="1" t="s">
        <v>382</v>
      </c>
      <c r="E117" s="1" t="s">
        <v>73</v>
      </c>
      <c r="F117" s="2">
        <v>46164</v>
      </c>
      <c r="G117" s="5">
        <v>-14</v>
      </c>
      <c r="H117" s="2">
        <v>46209</v>
      </c>
      <c r="I117" s="4">
        <v>56280</v>
      </c>
      <c r="J117" s="1" t="s">
        <v>69</v>
      </c>
      <c r="K117" s="1" t="s">
        <v>599</v>
      </c>
      <c r="L117" s="17">
        <f t="shared" si="21"/>
        <v>46209</v>
      </c>
      <c r="M117" s="18">
        <f t="shared" ca="1" si="25"/>
        <v>-7</v>
      </c>
      <c r="N117" s="17">
        <v>46209</v>
      </c>
      <c r="O117" s="17">
        <f t="shared" si="19"/>
        <v>46209</v>
      </c>
      <c r="P117" s="12">
        <f t="shared" si="23"/>
        <v>56280</v>
      </c>
      <c r="Q117" s="18">
        <f t="shared" ca="1" si="24"/>
        <v>38</v>
      </c>
      <c r="R117" t="s">
        <v>607</v>
      </c>
    </row>
    <row r="118" spans="1:18" outlineLevel="1" x14ac:dyDescent="0.3">
      <c r="A118" s="1" t="s">
        <v>372</v>
      </c>
      <c r="B118" s="1" t="s">
        <v>383</v>
      </c>
      <c r="C118" s="1" t="s">
        <v>384</v>
      </c>
      <c r="D118" s="1" t="s">
        <v>385</v>
      </c>
      <c r="E118" s="1" t="s">
        <v>73</v>
      </c>
      <c r="F118" s="2">
        <v>46166</v>
      </c>
      <c r="G118" s="5">
        <v>-16</v>
      </c>
      <c r="H118" s="2">
        <v>46211</v>
      </c>
      <c r="I118" s="4">
        <v>113400</v>
      </c>
      <c r="J118" s="1" t="s">
        <v>69</v>
      </c>
      <c r="K118" s="1" t="s">
        <v>599</v>
      </c>
      <c r="L118" s="17">
        <f t="shared" si="21"/>
        <v>46211</v>
      </c>
      <c r="M118" s="18">
        <f t="shared" ca="1" si="25"/>
        <v>-9</v>
      </c>
      <c r="N118" s="17">
        <v>46211</v>
      </c>
      <c r="O118" s="17">
        <f t="shared" si="19"/>
        <v>46211</v>
      </c>
      <c r="P118" s="12">
        <f t="shared" si="23"/>
        <v>113400</v>
      </c>
      <c r="Q118" s="18">
        <f t="shared" ca="1" si="24"/>
        <v>36</v>
      </c>
      <c r="R118" t="s">
        <v>607</v>
      </c>
    </row>
    <row r="119" spans="1:18" outlineLevel="1" x14ac:dyDescent="0.3">
      <c r="A119" s="1" t="s">
        <v>372</v>
      </c>
      <c r="B119" s="1" t="s">
        <v>386</v>
      </c>
      <c r="C119" s="1" t="s">
        <v>387</v>
      </c>
      <c r="D119" s="1" t="s">
        <v>388</v>
      </c>
      <c r="E119" s="1" t="s">
        <v>73</v>
      </c>
      <c r="F119" s="2">
        <v>46171</v>
      </c>
      <c r="G119" s="5">
        <v>-21</v>
      </c>
      <c r="H119" s="2">
        <v>46216</v>
      </c>
      <c r="I119" s="4">
        <v>56700</v>
      </c>
      <c r="J119" s="1" t="s">
        <v>69</v>
      </c>
      <c r="K119" s="1" t="s">
        <v>599</v>
      </c>
      <c r="L119" s="17">
        <f t="shared" si="21"/>
        <v>46216</v>
      </c>
      <c r="M119" s="18">
        <f t="shared" ca="1" si="25"/>
        <v>-14</v>
      </c>
      <c r="N119" s="17">
        <v>46216</v>
      </c>
      <c r="O119" s="17">
        <f t="shared" si="19"/>
        <v>46216</v>
      </c>
      <c r="P119" s="12">
        <f t="shared" si="23"/>
        <v>56700</v>
      </c>
      <c r="Q119" s="18">
        <f t="shared" ca="1" si="24"/>
        <v>31</v>
      </c>
      <c r="R119" t="s">
        <v>607</v>
      </c>
    </row>
    <row r="120" spans="1:18" hidden="1" outlineLevel="1" x14ac:dyDescent="0.3">
      <c r="A120" s="1" t="s">
        <v>389</v>
      </c>
      <c r="B120" s="1" t="s">
        <v>390</v>
      </c>
      <c r="C120" s="1" t="s">
        <v>391</v>
      </c>
      <c r="D120" s="1" t="s">
        <v>392</v>
      </c>
      <c r="E120" s="1" t="s">
        <v>14</v>
      </c>
      <c r="F120" s="2">
        <v>45964</v>
      </c>
      <c r="G120" s="3">
        <v>224</v>
      </c>
      <c r="H120" s="2">
        <v>45971</v>
      </c>
      <c r="I120" s="4">
        <v>1403.26</v>
      </c>
      <c r="J120" s="1" t="s">
        <v>15</v>
      </c>
      <c r="K120" s="1" t="s">
        <v>592</v>
      </c>
      <c r="N120" s="17">
        <v>45971</v>
      </c>
      <c r="O120" s="17">
        <f>H120</f>
        <v>45971</v>
      </c>
      <c r="P120" s="9">
        <f>I120/3.386</f>
        <v>414.43000590667452</v>
      </c>
    </row>
    <row r="121" spans="1:18" hidden="1" outlineLevel="1" x14ac:dyDescent="0.3">
      <c r="A121" s="1" t="s">
        <v>389</v>
      </c>
      <c r="B121" s="1" t="s">
        <v>393</v>
      </c>
      <c r="C121" s="1" t="s">
        <v>394</v>
      </c>
      <c r="D121" s="1" t="s">
        <v>395</v>
      </c>
      <c r="E121" s="1" t="s">
        <v>14</v>
      </c>
      <c r="F121" s="2">
        <v>45964</v>
      </c>
      <c r="G121" s="3">
        <v>224</v>
      </c>
      <c r="H121" s="2">
        <v>45971</v>
      </c>
      <c r="I121" s="4">
        <v>141.6</v>
      </c>
      <c r="J121" s="1" t="s">
        <v>15</v>
      </c>
      <c r="K121" s="1" t="s">
        <v>592</v>
      </c>
      <c r="N121" s="17">
        <v>45971</v>
      </c>
      <c r="O121" s="17">
        <f t="shared" ref="O121:O137" si="29">H121</f>
        <v>45971</v>
      </c>
      <c r="P121" s="9">
        <f t="shared" ref="P121:P137" si="30">I121/3.386</f>
        <v>41.819255759007675</v>
      </c>
    </row>
    <row r="122" spans="1:18" hidden="1" outlineLevel="1" x14ac:dyDescent="0.3">
      <c r="A122" s="1" t="s">
        <v>389</v>
      </c>
      <c r="B122" s="1" t="s">
        <v>396</v>
      </c>
      <c r="C122" s="1" t="s">
        <v>397</v>
      </c>
      <c r="D122" s="1" t="s">
        <v>398</v>
      </c>
      <c r="E122" s="1" t="s">
        <v>14</v>
      </c>
      <c r="F122" s="2">
        <v>45967</v>
      </c>
      <c r="G122" s="3">
        <v>221</v>
      </c>
      <c r="H122" s="2">
        <v>45974</v>
      </c>
      <c r="I122" s="4">
        <v>1193.22</v>
      </c>
      <c r="J122" s="1" t="s">
        <v>15</v>
      </c>
      <c r="K122" s="1" t="s">
        <v>592</v>
      </c>
      <c r="N122" s="17">
        <v>45974</v>
      </c>
      <c r="O122" s="17">
        <f t="shared" si="29"/>
        <v>45974</v>
      </c>
      <c r="P122" s="9">
        <f t="shared" si="30"/>
        <v>352.39810986414648</v>
      </c>
    </row>
    <row r="123" spans="1:18" hidden="1" outlineLevel="1" x14ac:dyDescent="0.3">
      <c r="A123" s="1" t="s">
        <v>389</v>
      </c>
      <c r="B123" s="1" t="s">
        <v>399</v>
      </c>
      <c r="C123" s="1" t="s">
        <v>400</v>
      </c>
      <c r="D123" s="1" t="s">
        <v>401</v>
      </c>
      <c r="E123" s="1" t="s">
        <v>14</v>
      </c>
      <c r="F123" s="2">
        <v>45967</v>
      </c>
      <c r="G123" s="3">
        <v>221</v>
      </c>
      <c r="H123" s="2">
        <v>45974</v>
      </c>
      <c r="I123" s="4">
        <v>106.2</v>
      </c>
      <c r="J123" s="1" t="s">
        <v>15</v>
      </c>
      <c r="K123" s="1" t="s">
        <v>592</v>
      </c>
      <c r="N123" s="17">
        <v>45974</v>
      </c>
      <c r="O123" s="17">
        <f t="shared" si="29"/>
        <v>45974</v>
      </c>
      <c r="P123" s="9">
        <f t="shared" si="30"/>
        <v>31.364441819255759</v>
      </c>
    </row>
    <row r="124" spans="1:18" hidden="1" outlineLevel="1" x14ac:dyDescent="0.3">
      <c r="A124" s="1" t="s">
        <v>389</v>
      </c>
      <c r="B124" s="1" t="s">
        <v>402</v>
      </c>
      <c r="C124" s="1" t="s">
        <v>403</v>
      </c>
      <c r="D124" s="1" t="s">
        <v>404</v>
      </c>
      <c r="E124" s="1" t="s">
        <v>14</v>
      </c>
      <c r="F124" s="2">
        <v>46148</v>
      </c>
      <c r="G124" s="3">
        <v>40</v>
      </c>
      <c r="H124" s="2">
        <v>46155</v>
      </c>
      <c r="I124" s="4">
        <v>23.6</v>
      </c>
      <c r="J124" s="1" t="s">
        <v>15</v>
      </c>
      <c r="K124" s="1" t="s">
        <v>592</v>
      </c>
      <c r="N124" s="17">
        <v>46155</v>
      </c>
      <c r="O124" s="17">
        <f t="shared" si="29"/>
        <v>46155</v>
      </c>
      <c r="P124" s="9">
        <f t="shared" si="30"/>
        <v>6.9698759598346136</v>
      </c>
    </row>
    <row r="125" spans="1:18" hidden="1" outlineLevel="1" x14ac:dyDescent="0.3">
      <c r="A125" s="1" t="s">
        <v>389</v>
      </c>
      <c r="B125" s="1" t="s">
        <v>405</v>
      </c>
      <c r="C125" s="1" t="s">
        <v>406</v>
      </c>
      <c r="D125" s="1" t="s">
        <v>407</v>
      </c>
      <c r="E125" s="1" t="s">
        <v>14</v>
      </c>
      <c r="F125" s="2">
        <v>46148</v>
      </c>
      <c r="G125" s="3">
        <v>40</v>
      </c>
      <c r="H125" s="2">
        <v>46155</v>
      </c>
      <c r="I125" s="4">
        <v>261.49</v>
      </c>
      <c r="J125" s="1" t="s">
        <v>15</v>
      </c>
      <c r="K125" s="1" t="s">
        <v>592</v>
      </c>
      <c r="N125" s="17">
        <v>46155</v>
      </c>
      <c r="O125" s="17">
        <f t="shared" si="29"/>
        <v>46155</v>
      </c>
      <c r="P125" s="9">
        <f t="shared" si="30"/>
        <v>77.226816302421739</v>
      </c>
    </row>
    <row r="126" spans="1:18" hidden="1" outlineLevel="1" x14ac:dyDescent="0.3">
      <c r="A126" s="1" t="s">
        <v>389</v>
      </c>
      <c r="B126" s="1" t="s">
        <v>408</v>
      </c>
      <c r="C126" s="1" t="s">
        <v>409</v>
      </c>
      <c r="D126" s="1" t="s">
        <v>410</v>
      </c>
      <c r="E126" s="1" t="s">
        <v>14</v>
      </c>
      <c r="F126" s="2">
        <v>46148</v>
      </c>
      <c r="G126" s="3">
        <v>40</v>
      </c>
      <c r="H126" s="2">
        <v>46155</v>
      </c>
      <c r="I126" s="4">
        <v>387.51</v>
      </c>
      <c r="J126" s="1" t="s">
        <v>15</v>
      </c>
      <c r="K126" s="1" t="s">
        <v>592</v>
      </c>
      <c r="N126" s="17">
        <v>46155</v>
      </c>
      <c r="O126" s="17">
        <f t="shared" si="29"/>
        <v>46155</v>
      </c>
      <c r="P126" s="9">
        <f t="shared" si="30"/>
        <v>114.44477259303012</v>
      </c>
    </row>
    <row r="127" spans="1:18" hidden="1" outlineLevel="1" x14ac:dyDescent="0.3">
      <c r="A127" s="1" t="s">
        <v>389</v>
      </c>
      <c r="B127" s="1" t="s">
        <v>411</v>
      </c>
      <c r="C127" s="1" t="s">
        <v>412</v>
      </c>
      <c r="D127" s="1" t="s">
        <v>413</v>
      </c>
      <c r="E127" s="1" t="s">
        <v>14</v>
      </c>
      <c r="F127" s="2">
        <v>46148</v>
      </c>
      <c r="G127" s="3">
        <v>40</v>
      </c>
      <c r="H127" s="2">
        <v>46155</v>
      </c>
      <c r="I127" s="4">
        <v>35.4</v>
      </c>
      <c r="J127" s="1" t="s">
        <v>15</v>
      </c>
      <c r="K127" s="1" t="s">
        <v>592</v>
      </c>
      <c r="N127" s="17">
        <v>46155</v>
      </c>
      <c r="O127" s="17">
        <f t="shared" si="29"/>
        <v>46155</v>
      </c>
      <c r="P127" s="9">
        <f t="shared" si="30"/>
        <v>10.454813939751919</v>
      </c>
    </row>
    <row r="128" spans="1:18" hidden="1" outlineLevel="1" x14ac:dyDescent="0.3">
      <c r="A128" s="1" t="s">
        <v>389</v>
      </c>
      <c r="B128" s="1" t="s">
        <v>414</v>
      </c>
      <c r="C128" s="1" t="s">
        <v>415</v>
      </c>
      <c r="D128" s="1" t="s">
        <v>416</v>
      </c>
      <c r="E128" s="1" t="s">
        <v>14</v>
      </c>
      <c r="F128" s="2">
        <v>46154</v>
      </c>
      <c r="G128" s="3">
        <v>34</v>
      </c>
      <c r="H128" s="2">
        <v>46161</v>
      </c>
      <c r="I128" s="4">
        <v>482.86</v>
      </c>
      <c r="J128" s="1" t="s">
        <v>15</v>
      </c>
      <c r="K128" s="1" t="s">
        <v>592</v>
      </c>
      <c r="N128" s="17">
        <v>46161</v>
      </c>
      <c r="O128" s="17">
        <f t="shared" si="29"/>
        <v>46161</v>
      </c>
      <c r="P128" s="9">
        <f t="shared" si="30"/>
        <v>142.60484347312462</v>
      </c>
    </row>
    <row r="129" spans="1:18" hidden="1" outlineLevel="1" x14ac:dyDescent="0.3">
      <c r="A129" s="1" t="s">
        <v>389</v>
      </c>
      <c r="B129" s="1" t="s">
        <v>417</v>
      </c>
      <c r="C129" s="1" t="s">
        <v>418</v>
      </c>
      <c r="D129" s="1" t="s">
        <v>419</v>
      </c>
      <c r="E129" s="1" t="s">
        <v>14</v>
      </c>
      <c r="F129" s="2">
        <v>46154</v>
      </c>
      <c r="G129" s="3">
        <v>34</v>
      </c>
      <c r="H129" s="2">
        <v>46161</v>
      </c>
      <c r="I129" s="4">
        <v>47.2</v>
      </c>
      <c r="J129" s="1" t="s">
        <v>15</v>
      </c>
      <c r="K129" s="1" t="s">
        <v>592</v>
      </c>
      <c r="N129" s="17">
        <v>46161</v>
      </c>
      <c r="O129" s="17">
        <f t="shared" si="29"/>
        <v>46161</v>
      </c>
      <c r="P129" s="9">
        <f t="shared" si="30"/>
        <v>13.939751919669227</v>
      </c>
    </row>
    <row r="130" spans="1:18" hidden="1" outlineLevel="1" x14ac:dyDescent="0.3">
      <c r="A130" s="1" t="s">
        <v>389</v>
      </c>
      <c r="B130" s="1" t="s">
        <v>420</v>
      </c>
      <c r="C130" s="1" t="s">
        <v>421</v>
      </c>
      <c r="D130" s="1" t="s">
        <v>422</v>
      </c>
      <c r="E130" s="1" t="s">
        <v>14</v>
      </c>
      <c r="F130" s="2">
        <v>46158</v>
      </c>
      <c r="G130" s="3">
        <v>30</v>
      </c>
      <c r="H130" s="2">
        <v>46165</v>
      </c>
      <c r="I130" s="4">
        <v>544.45000000000005</v>
      </c>
      <c r="J130" s="1" t="s">
        <v>15</v>
      </c>
      <c r="K130" s="1" t="s">
        <v>592</v>
      </c>
      <c r="N130" s="17">
        <v>46165</v>
      </c>
      <c r="O130" s="17">
        <f t="shared" si="29"/>
        <v>46165</v>
      </c>
      <c r="P130" s="9">
        <f t="shared" si="30"/>
        <v>160.7944477259303</v>
      </c>
    </row>
    <row r="131" spans="1:18" hidden="1" outlineLevel="1" x14ac:dyDescent="0.3">
      <c r="A131" s="1" t="s">
        <v>389</v>
      </c>
      <c r="B131" s="1" t="s">
        <v>423</v>
      </c>
      <c r="C131" s="1" t="s">
        <v>424</v>
      </c>
      <c r="D131" s="1" t="s">
        <v>425</v>
      </c>
      <c r="E131" s="1" t="s">
        <v>14</v>
      </c>
      <c r="F131" s="2">
        <v>46158</v>
      </c>
      <c r="G131" s="3">
        <v>30</v>
      </c>
      <c r="H131" s="2">
        <v>46165</v>
      </c>
      <c r="I131" s="4">
        <v>47.2</v>
      </c>
      <c r="J131" s="1" t="s">
        <v>15</v>
      </c>
      <c r="K131" s="1" t="s">
        <v>592</v>
      </c>
      <c r="N131" s="17">
        <v>46165</v>
      </c>
      <c r="O131" s="17">
        <f t="shared" si="29"/>
        <v>46165</v>
      </c>
      <c r="P131" s="9">
        <f t="shared" si="30"/>
        <v>13.939751919669227</v>
      </c>
    </row>
    <row r="132" spans="1:18" hidden="1" outlineLevel="1" x14ac:dyDescent="0.3">
      <c r="A132" s="1" t="s">
        <v>389</v>
      </c>
      <c r="B132" s="1" t="s">
        <v>426</v>
      </c>
      <c r="C132" s="1" t="s">
        <v>427</v>
      </c>
      <c r="D132" s="1" t="s">
        <v>428</v>
      </c>
      <c r="E132" s="1" t="s">
        <v>14</v>
      </c>
      <c r="F132" s="2">
        <v>46169</v>
      </c>
      <c r="G132" s="3">
        <v>19</v>
      </c>
      <c r="H132" s="2">
        <v>46176</v>
      </c>
      <c r="I132" s="4">
        <v>591.65</v>
      </c>
      <c r="J132" s="1" t="s">
        <v>15</v>
      </c>
      <c r="K132" s="1" t="s">
        <v>592</v>
      </c>
      <c r="N132" s="17">
        <v>46176</v>
      </c>
      <c r="O132" s="17">
        <f t="shared" si="29"/>
        <v>46176</v>
      </c>
      <c r="P132" s="9">
        <f t="shared" si="30"/>
        <v>174.73419964559952</v>
      </c>
    </row>
    <row r="133" spans="1:18" hidden="1" outlineLevel="1" x14ac:dyDescent="0.3">
      <c r="A133" s="1" t="s">
        <v>389</v>
      </c>
      <c r="B133" s="1" t="s">
        <v>429</v>
      </c>
      <c r="C133" s="1" t="s">
        <v>430</v>
      </c>
      <c r="D133" s="1" t="s">
        <v>431</v>
      </c>
      <c r="E133" s="1" t="s">
        <v>14</v>
      </c>
      <c r="F133" s="2">
        <v>46169</v>
      </c>
      <c r="G133" s="3">
        <v>19</v>
      </c>
      <c r="H133" s="2">
        <v>46176</v>
      </c>
      <c r="I133" s="4">
        <v>70.8</v>
      </c>
      <c r="J133" s="1" t="s">
        <v>15</v>
      </c>
      <c r="K133" s="1" t="s">
        <v>592</v>
      </c>
      <c r="N133" s="17">
        <v>46176</v>
      </c>
      <c r="O133" s="17">
        <f t="shared" si="29"/>
        <v>46176</v>
      </c>
      <c r="P133" s="9">
        <f t="shared" si="30"/>
        <v>20.909627879503837</v>
      </c>
    </row>
    <row r="134" spans="1:18" hidden="1" outlineLevel="1" x14ac:dyDescent="0.3">
      <c r="A134" s="1" t="s">
        <v>389</v>
      </c>
      <c r="B134" s="1" t="s">
        <v>432</v>
      </c>
      <c r="C134" s="1" t="s">
        <v>433</v>
      </c>
      <c r="D134" s="1" t="s">
        <v>434</v>
      </c>
      <c r="E134" s="1" t="s">
        <v>14</v>
      </c>
      <c r="F134" s="2">
        <v>46175</v>
      </c>
      <c r="G134" s="3">
        <v>13</v>
      </c>
      <c r="H134" s="2">
        <v>46182</v>
      </c>
      <c r="I134" s="4">
        <v>185.97</v>
      </c>
      <c r="J134" s="1" t="s">
        <v>15</v>
      </c>
      <c r="K134" s="1" t="s">
        <v>592</v>
      </c>
      <c r="N134" s="17">
        <v>46182</v>
      </c>
      <c r="O134" s="17">
        <f t="shared" si="29"/>
        <v>46182</v>
      </c>
      <c r="P134" s="9">
        <f t="shared" si="30"/>
        <v>54.923213230950971</v>
      </c>
    </row>
    <row r="135" spans="1:18" hidden="1" outlineLevel="1" x14ac:dyDescent="0.3">
      <c r="A135" s="1" t="s">
        <v>389</v>
      </c>
      <c r="B135" s="1" t="s">
        <v>435</v>
      </c>
      <c r="C135" s="1" t="s">
        <v>436</v>
      </c>
      <c r="D135" s="1" t="s">
        <v>437</v>
      </c>
      <c r="E135" s="1" t="s">
        <v>14</v>
      </c>
      <c r="F135" s="2">
        <v>46175</v>
      </c>
      <c r="G135" s="3">
        <v>13</v>
      </c>
      <c r="H135" s="2">
        <v>46182</v>
      </c>
      <c r="I135" s="4">
        <v>23.6</v>
      </c>
      <c r="J135" s="1" t="s">
        <v>15</v>
      </c>
      <c r="K135" s="1" t="s">
        <v>592</v>
      </c>
      <c r="N135" s="17">
        <v>46182</v>
      </c>
      <c r="O135" s="17">
        <f t="shared" si="29"/>
        <v>46182</v>
      </c>
      <c r="P135" s="9">
        <f t="shared" si="30"/>
        <v>6.9698759598346136</v>
      </c>
    </row>
    <row r="136" spans="1:18" hidden="1" outlineLevel="1" x14ac:dyDescent="0.3">
      <c r="A136" s="1" t="s">
        <v>389</v>
      </c>
      <c r="B136" s="1" t="s">
        <v>438</v>
      </c>
      <c r="C136" s="1" t="s">
        <v>439</v>
      </c>
      <c r="D136" s="1" t="s">
        <v>440</v>
      </c>
      <c r="E136" s="1" t="s">
        <v>14</v>
      </c>
      <c r="F136" s="2">
        <v>46186</v>
      </c>
      <c r="G136" s="3">
        <v>2</v>
      </c>
      <c r="H136" s="2">
        <v>46193</v>
      </c>
      <c r="I136" s="4">
        <v>535.25</v>
      </c>
      <c r="J136" s="1" t="s">
        <v>15</v>
      </c>
      <c r="K136" s="1" t="s">
        <v>592</v>
      </c>
      <c r="N136" s="17">
        <v>46193</v>
      </c>
      <c r="O136" s="17">
        <f t="shared" si="29"/>
        <v>46193</v>
      </c>
      <c r="P136" s="9">
        <f t="shared" si="30"/>
        <v>158.07737743650324</v>
      </c>
    </row>
    <row r="137" spans="1:18" hidden="1" outlineLevel="1" x14ac:dyDescent="0.3">
      <c r="A137" s="1" t="s">
        <v>389</v>
      </c>
      <c r="B137" s="1" t="s">
        <v>441</v>
      </c>
      <c r="C137" s="1" t="s">
        <v>442</v>
      </c>
      <c r="D137" s="1" t="s">
        <v>443</v>
      </c>
      <c r="E137" s="1" t="s">
        <v>14</v>
      </c>
      <c r="F137" s="2">
        <v>46186</v>
      </c>
      <c r="G137" s="3">
        <v>2</v>
      </c>
      <c r="H137" s="2">
        <v>46193</v>
      </c>
      <c r="I137" s="4">
        <v>70.8</v>
      </c>
      <c r="J137" s="1" t="s">
        <v>15</v>
      </c>
      <c r="K137" s="1" t="s">
        <v>592</v>
      </c>
      <c r="N137" s="17">
        <v>46193</v>
      </c>
      <c r="O137" s="17">
        <f t="shared" si="29"/>
        <v>46193</v>
      </c>
      <c r="P137" s="9">
        <f t="shared" si="30"/>
        <v>20.909627879503837</v>
      </c>
    </row>
    <row r="138" spans="1:18" hidden="1" outlineLevel="1" x14ac:dyDescent="0.3">
      <c r="A138" s="1" t="s">
        <v>444</v>
      </c>
      <c r="B138" s="1" t="s">
        <v>445</v>
      </c>
      <c r="C138" s="1" t="s">
        <v>446</v>
      </c>
      <c r="D138" s="1" t="s">
        <v>447</v>
      </c>
      <c r="E138" s="1" t="s">
        <v>14</v>
      </c>
      <c r="F138" s="2">
        <v>46140</v>
      </c>
      <c r="G138" s="3">
        <v>55</v>
      </c>
      <c r="H138" s="2">
        <v>46140</v>
      </c>
      <c r="I138" s="4">
        <v>59</v>
      </c>
      <c r="J138" s="1" t="s">
        <v>15</v>
      </c>
      <c r="K138" s="1" t="s">
        <v>591</v>
      </c>
      <c r="N138" s="17">
        <v>46140</v>
      </c>
      <c r="O138" s="17">
        <f t="shared" ref="O138:O147" si="31">H138</f>
        <v>46140</v>
      </c>
      <c r="P138" s="9">
        <f t="shared" ref="P138:P143" si="32">I138/3.386</f>
        <v>17.424689899586532</v>
      </c>
    </row>
    <row r="139" spans="1:18" hidden="1" outlineLevel="1" x14ac:dyDescent="0.3">
      <c r="A139" s="1" t="s">
        <v>444</v>
      </c>
      <c r="B139" s="1" t="s">
        <v>448</v>
      </c>
      <c r="C139" s="1" t="s">
        <v>449</v>
      </c>
      <c r="D139" s="1" t="s">
        <v>450</v>
      </c>
      <c r="E139" s="1" t="s">
        <v>14</v>
      </c>
      <c r="F139" s="2">
        <v>46140</v>
      </c>
      <c r="G139" s="3">
        <v>55</v>
      </c>
      <c r="H139" s="2">
        <v>46140</v>
      </c>
      <c r="I139" s="4">
        <v>716.71</v>
      </c>
      <c r="J139" s="1" t="s">
        <v>15</v>
      </c>
      <c r="K139" s="1" t="s">
        <v>591</v>
      </c>
      <c r="N139" s="17">
        <v>46140</v>
      </c>
      <c r="O139" s="17">
        <f t="shared" si="31"/>
        <v>46140</v>
      </c>
      <c r="P139" s="9">
        <f t="shared" si="32"/>
        <v>211.66863555818074</v>
      </c>
    </row>
    <row r="140" spans="1:18" hidden="1" outlineLevel="1" x14ac:dyDescent="0.3">
      <c r="A140" s="1" t="s">
        <v>444</v>
      </c>
      <c r="B140" s="1" t="s">
        <v>451</v>
      </c>
      <c r="C140" s="1" t="s">
        <v>452</v>
      </c>
      <c r="D140" s="1" t="s">
        <v>453</v>
      </c>
      <c r="E140" s="1" t="s">
        <v>14</v>
      </c>
      <c r="F140" s="2">
        <v>46140</v>
      </c>
      <c r="G140" s="3">
        <v>55</v>
      </c>
      <c r="H140" s="2">
        <v>46140</v>
      </c>
      <c r="I140" s="4">
        <v>129.80000000000001</v>
      </c>
      <c r="J140" s="1" t="s">
        <v>15</v>
      </c>
      <c r="K140" s="1" t="s">
        <v>591</v>
      </c>
      <c r="N140" s="17">
        <v>46140</v>
      </c>
      <c r="O140" s="17">
        <f t="shared" si="31"/>
        <v>46140</v>
      </c>
      <c r="P140" s="9">
        <f t="shared" si="32"/>
        <v>38.334317779090377</v>
      </c>
    </row>
    <row r="141" spans="1:18" hidden="1" outlineLevel="1" x14ac:dyDescent="0.3">
      <c r="A141" s="1" t="s">
        <v>444</v>
      </c>
      <c r="B141" s="1" t="s">
        <v>454</v>
      </c>
      <c r="C141" s="1" t="s">
        <v>455</v>
      </c>
      <c r="D141" s="1" t="s">
        <v>456</v>
      </c>
      <c r="E141" s="1" t="s">
        <v>68</v>
      </c>
      <c r="F141" s="2">
        <v>46140</v>
      </c>
      <c r="G141" s="3">
        <v>55</v>
      </c>
      <c r="H141" s="2">
        <v>46140</v>
      </c>
      <c r="I141" s="4">
        <v>422.56</v>
      </c>
      <c r="J141" s="1" t="s">
        <v>15</v>
      </c>
      <c r="K141" s="1" t="s">
        <v>591</v>
      </c>
      <c r="N141" s="17">
        <v>46140</v>
      </c>
      <c r="O141" s="17">
        <f t="shared" si="31"/>
        <v>46140</v>
      </c>
      <c r="P141" s="9">
        <f t="shared" si="32"/>
        <v>124.79621972829297</v>
      </c>
    </row>
    <row r="142" spans="1:18" hidden="1" outlineLevel="1" x14ac:dyDescent="0.3">
      <c r="A142" s="1" t="s">
        <v>444</v>
      </c>
      <c r="B142" s="1" t="s">
        <v>457</v>
      </c>
      <c r="C142" s="1" t="s">
        <v>458</v>
      </c>
      <c r="D142" s="1" t="s">
        <v>459</v>
      </c>
      <c r="E142" s="1" t="s">
        <v>14</v>
      </c>
      <c r="F142" s="2">
        <v>46154</v>
      </c>
      <c r="G142" s="3">
        <v>41</v>
      </c>
      <c r="H142" s="2">
        <v>46154</v>
      </c>
      <c r="I142" s="4">
        <v>404.98</v>
      </c>
      <c r="J142" s="1" t="s">
        <v>15</v>
      </c>
      <c r="K142" s="1" t="s">
        <v>591</v>
      </c>
      <c r="N142" s="17">
        <v>46154</v>
      </c>
      <c r="O142" s="17">
        <f t="shared" si="31"/>
        <v>46154</v>
      </c>
      <c r="P142" s="9">
        <f t="shared" si="32"/>
        <v>119.60425280567041</v>
      </c>
    </row>
    <row r="143" spans="1:18" hidden="1" outlineLevel="1" x14ac:dyDescent="0.3">
      <c r="A143" s="1" t="s">
        <v>444</v>
      </c>
      <c r="B143" s="1" t="s">
        <v>460</v>
      </c>
      <c r="C143" s="1" t="s">
        <v>461</v>
      </c>
      <c r="D143" s="1" t="s">
        <v>462</v>
      </c>
      <c r="E143" s="1" t="s">
        <v>14</v>
      </c>
      <c r="F143" s="2">
        <v>46154</v>
      </c>
      <c r="G143" s="3">
        <v>41</v>
      </c>
      <c r="H143" s="2">
        <v>46154</v>
      </c>
      <c r="I143" s="4">
        <v>59</v>
      </c>
      <c r="J143" s="1" t="s">
        <v>15</v>
      </c>
      <c r="K143" s="1" t="s">
        <v>591</v>
      </c>
      <c r="N143" s="17">
        <v>46154</v>
      </c>
      <c r="O143" s="17">
        <f t="shared" si="31"/>
        <v>46154</v>
      </c>
      <c r="P143" s="9">
        <f t="shared" si="32"/>
        <v>17.424689899586532</v>
      </c>
    </row>
    <row r="144" spans="1:18" outlineLevel="1" x14ac:dyDescent="0.3">
      <c r="A144" s="1" t="s">
        <v>463</v>
      </c>
      <c r="B144" s="1" t="s">
        <v>464</v>
      </c>
      <c r="C144" s="1" t="s">
        <v>465</v>
      </c>
      <c r="D144" s="1" t="s">
        <v>466</v>
      </c>
      <c r="E144" s="1" t="s">
        <v>77</v>
      </c>
      <c r="F144" s="2">
        <v>46148</v>
      </c>
      <c r="G144" s="3">
        <v>0</v>
      </c>
      <c r="H144" s="2">
        <v>46173</v>
      </c>
      <c r="I144" s="6">
        <v>-33334</v>
      </c>
      <c r="J144" s="1" t="s">
        <v>69</v>
      </c>
      <c r="K144" s="1" t="s">
        <v>599</v>
      </c>
      <c r="L144" s="17">
        <f t="shared" ref="L144:L148" si="33">F144+45</f>
        <v>46193</v>
      </c>
      <c r="M144" s="18"/>
      <c r="N144" s="17">
        <v>46148</v>
      </c>
      <c r="O144" s="17">
        <f>F144</f>
        <v>46148</v>
      </c>
      <c r="P144" s="12">
        <f t="shared" ref="P144:P148" si="34">I144</f>
        <v>-33334</v>
      </c>
      <c r="Q144" s="18">
        <f t="shared" ref="Q144:Q148" ca="1" si="35">TODAY()-F144</f>
        <v>54</v>
      </c>
      <c r="R144" t="s">
        <v>608</v>
      </c>
    </row>
    <row r="145" spans="1:18" outlineLevel="1" x14ac:dyDescent="0.3">
      <c r="A145" s="1" t="s">
        <v>463</v>
      </c>
      <c r="B145" s="1" t="s">
        <v>467</v>
      </c>
      <c r="C145" s="1" t="s">
        <v>468</v>
      </c>
      <c r="D145" s="1" t="s">
        <v>469</v>
      </c>
      <c r="E145" s="1" t="s">
        <v>68</v>
      </c>
      <c r="F145" s="2">
        <v>46171</v>
      </c>
      <c r="G145" s="3">
        <v>24</v>
      </c>
      <c r="H145" s="2">
        <v>46171</v>
      </c>
      <c r="I145" s="4">
        <v>67008</v>
      </c>
      <c r="J145" s="1" t="s">
        <v>69</v>
      </c>
      <c r="K145" s="1" t="s">
        <v>599</v>
      </c>
      <c r="L145" s="17">
        <f t="shared" si="33"/>
        <v>46216</v>
      </c>
      <c r="M145" s="18">
        <f t="shared" ref="M145:M147" ca="1" si="36">TODAY()-N145</f>
        <v>-14</v>
      </c>
      <c r="N145" s="17">
        <v>46216</v>
      </c>
      <c r="O145" s="17">
        <v>46216</v>
      </c>
      <c r="P145" s="12">
        <f t="shared" si="34"/>
        <v>67008</v>
      </c>
      <c r="Q145" s="18">
        <f t="shared" ca="1" si="35"/>
        <v>31</v>
      </c>
      <c r="R145" t="s">
        <v>607</v>
      </c>
    </row>
    <row r="146" spans="1:18" outlineLevel="1" x14ac:dyDescent="0.3">
      <c r="A146" s="1" t="s">
        <v>470</v>
      </c>
      <c r="B146" s="1" t="s">
        <v>471</v>
      </c>
      <c r="C146" s="1" t="s">
        <v>472</v>
      </c>
      <c r="D146" s="1" t="s">
        <v>473</v>
      </c>
      <c r="E146" s="1" t="s">
        <v>73</v>
      </c>
      <c r="F146" s="2">
        <v>46139</v>
      </c>
      <c r="G146" s="3">
        <v>11</v>
      </c>
      <c r="H146" s="2">
        <v>46184</v>
      </c>
      <c r="I146" s="4">
        <v>36400</v>
      </c>
      <c r="J146" s="1" t="s">
        <v>69</v>
      </c>
      <c r="K146" s="1" t="s">
        <v>599</v>
      </c>
      <c r="L146" s="17">
        <f t="shared" si="33"/>
        <v>46184</v>
      </c>
      <c r="M146" s="18">
        <f t="shared" ca="1" si="36"/>
        <v>-1</v>
      </c>
      <c r="N146" s="17">
        <v>46203</v>
      </c>
      <c r="O146" s="17">
        <v>46203</v>
      </c>
      <c r="P146" s="12">
        <f t="shared" si="34"/>
        <v>36400</v>
      </c>
      <c r="Q146" s="18">
        <f t="shared" ca="1" si="35"/>
        <v>63</v>
      </c>
      <c r="R146" t="s">
        <v>608</v>
      </c>
    </row>
    <row r="147" spans="1:18" outlineLevel="1" x14ac:dyDescent="0.3">
      <c r="A147" s="1" t="s">
        <v>470</v>
      </c>
      <c r="B147" s="1" t="s">
        <v>474</v>
      </c>
      <c r="C147" s="1" t="s">
        <v>475</v>
      </c>
      <c r="D147" s="1" t="s">
        <v>476</v>
      </c>
      <c r="E147" s="1" t="s">
        <v>73</v>
      </c>
      <c r="F147" s="2">
        <v>46164</v>
      </c>
      <c r="G147" s="5">
        <v>-14</v>
      </c>
      <c r="H147" s="2">
        <v>46209</v>
      </c>
      <c r="I147" s="4">
        <v>80600</v>
      </c>
      <c r="J147" s="1" t="s">
        <v>69</v>
      </c>
      <c r="K147" s="1" t="s">
        <v>599</v>
      </c>
      <c r="L147" s="17">
        <f t="shared" si="33"/>
        <v>46209</v>
      </c>
      <c r="M147" s="18">
        <f t="shared" ca="1" si="36"/>
        <v>-7</v>
      </c>
      <c r="N147" s="17">
        <v>46209</v>
      </c>
      <c r="O147" s="17">
        <f t="shared" si="31"/>
        <v>46209</v>
      </c>
      <c r="P147" s="12">
        <f t="shared" si="34"/>
        <v>80600</v>
      </c>
      <c r="Q147" s="18">
        <f t="shared" ca="1" si="35"/>
        <v>38</v>
      </c>
      <c r="R147" t="s">
        <v>607</v>
      </c>
    </row>
    <row r="148" spans="1:18" outlineLevel="1" x14ac:dyDescent="0.3">
      <c r="A148" s="1" t="s">
        <v>477</v>
      </c>
      <c r="B148" s="1" t="s">
        <v>478</v>
      </c>
      <c r="C148" s="1" t="s">
        <v>479</v>
      </c>
      <c r="D148" s="1" t="s">
        <v>480</v>
      </c>
      <c r="E148" s="1" t="s">
        <v>77</v>
      </c>
      <c r="F148" s="2">
        <v>46178</v>
      </c>
      <c r="G148" s="3">
        <v>0</v>
      </c>
      <c r="H148" s="2">
        <v>46203</v>
      </c>
      <c r="I148" s="6">
        <v>-13728</v>
      </c>
      <c r="J148" s="1" t="s">
        <v>69</v>
      </c>
      <c r="K148" s="1" t="s">
        <v>599</v>
      </c>
      <c r="L148" s="17">
        <f t="shared" si="33"/>
        <v>46223</v>
      </c>
      <c r="M148" s="18"/>
      <c r="N148" s="17">
        <v>46178</v>
      </c>
      <c r="O148" s="17">
        <f>F148</f>
        <v>46178</v>
      </c>
      <c r="P148" s="12">
        <f t="shared" si="34"/>
        <v>-13728</v>
      </c>
      <c r="Q148" s="18">
        <f t="shared" ca="1" si="35"/>
        <v>24</v>
      </c>
      <c r="R148" t="s">
        <v>607</v>
      </c>
    </row>
    <row r="149" spans="1:18" hidden="1" outlineLevel="1" x14ac:dyDescent="0.3">
      <c r="A149" s="1" t="s">
        <v>481</v>
      </c>
      <c r="B149" s="1" t="s">
        <v>482</v>
      </c>
      <c r="C149" s="1" t="s">
        <v>483</v>
      </c>
      <c r="D149" s="1" t="s">
        <v>484</v>
      </c>
      <c r="E149" s="1" t="s">
        <v>68</v>
      </c>
      <c r="F149" s="2">
        <v>45951</v>
      </c>
      <c r="G149" s="3">
        <v>244</v>
      </c>
      <c r="H149" s="2">
        <v>45951</v>
      </c>
      <c r="I149" s="4">
        <v>4460</v>
      </c>
      <c r="J149" s="1" t="s">
        <v>15</v>
      </c>
      <c r="K149" s="1" t="s">
        <v>593</v>
      </c>
      <c r="N149" s="17">
        <v>45951</v>
      </c>
      <c r="O149" s="17">
        <f>H149</f>
        <v>45951</v>
      </c>
      <c r="P149" s="9">
        <f>I149/3.386</f>
        <v>1317.1884229178972</v>
      </c>
    </row>
    <row r="150" spans="1:18" hidden="1" outlineLevel="1" x14ac:dyDescent="0.3">
      <c r="A150" s="1" t="s">
        <v>481</v>
      </c>
      <c r="B150" s="1" t="s">
        <v>485</v>
      </c>
      <c r="C150" s="1" t="s">
        <v>486</v>
      </c>
      <c r="D150" s="1" t="s">
        <v>487</v>
      </c>
      <c r="E150" s="1" t="s">
        <v>14</v>
      </c>
      <c r="F150" s="2">
        <v>45965</v>
      </c>
      <c r="G150" s="3">
        <v>223</v>
      </c>
      <c r="H150" s="2">
        <v>45972</v>
      </c>
      <c r="I150" s="4">
        <v>7097.98</v>
      </c>
      <c r="J150" s="1" t="s">
        <v>15</v>
      </c>
      <c r="K150" s="1" t="s">
        <v>593</v>
      </c>
      <c r="N150" s="17">
        <v>45972</v>
      </c>
      <c r="O150" s="17">
        <f t="shared" ref="O150:O154" si="37">H150</f>
        <v>45972</v>
      </c>
      <c r="P150" s="9">
        <f t="shared" ref="P150:P152" si="38">I150/3.386</f>
        <v>2096.2728883638511</v>
      </c>
    </row>
    <row r="151" spans="1:18" hidden="1" outlineLevel="1" x14ac:dyDescent="0.3">
      <c r="A151" s="1" t="s">
        <v>481</v>
      </c>
      <c r="B151" s="1" t="s">
        <v>488</v>
      </c>
      <c r="C151" s="1" t="s">
        <v>489</v>
      </c>
      <c r="D151" s="1" t="s">
        <v>490</v>
      </c>
      <c r="E151" s="1" t="s">
        <v>14</v>
      </c>
      <c r="F151" s="2">
        <v>46053</v>
      </c>
      <c r="G151" s="3">
        <v>135</v>
      </c>
      <c r="H151" s="2">
        <v>46060</v>
      </c>
      <c r="I151" s="4">
        <v>4003.46</v>
      </c>
      <c r="J151" s="1" t="s">
        <v>15</v>
      </c>
      <c r="K151" s="1" t="s">
        <v>593</v>
      </c>
      <c r="N151" s="17">
        <v>46060</v>
      </c>
      <c r="O151" s="17">
        <f t="shared" si="37"/>
        <v>46060</v>
      </c>
      <c r="P151" s="9">
        <f t="shared" si="38"/>
        <v>1182.3567631423509</v>
      </c>
    </row>
    <row r="152" spans="1:18" hidden="1" outlineLevel="1" x14ac:dyDescent="0.3">
      <c r="A152" s="1" t="s">
        <v>481</v>
      </c>
      <c r="B152" s="1" t="s">
        <v>491</v>
      </c>
      <c r="C152" s="1" t="s">
        <v>492</v>
      </c>
      <c r="D152" s="1" t="s">
        <v>493</v>
      </c>
      <c r="E152" s="1" t="s">
        <v>14</v>
      </c>
      <c r="F152" s="2">
        <v>46084</v>
      </c>
      <c r="G152" s="3">
        <v>104</v>
      </c>
      <c r="H152" s="2">
        <v>46091</v>
      </c>
      <c r="I152" s="4">
        <v>4956</v>
      </c>
      <c r="J152" s="1" t="s">
        <v>15</v>
      </c>
      <c r="K152" s="1" t="s">
        <v>593</v>
      </c>
      <c r="N152" s="17">
        <v>46091</v>
      </c>
      <c r="O152" s="17">
        <f t="shared" si="37"/>
        <v>46091</v>
      </c>
      <c r="P152" s="9">
        <f t="shared" si="38"/>
        <v>1463.6739515652687</v>
      </c>
    </row>
    <row r="153" spans="1:18" outlineLevel="1" x14ac:dyDescent="0.3">
      <c r="A153" s="1" t="s">
        <v>494</v>
      </c>
      <c r="B153" s="1" t="s">
        <v>495</v>
      </c>
      <c r="C153" s="1" t="s">
        <v>496</v>
      </c>
      <c r="D153" s="1" t="s">
        <v>497</v>
      </c>
      <c r="E153" s="1" t="s">
        <v>77</v>
      </c>
      <c r="F153" s="2">
        <v>46175</v>
      </c>
      <c r="G153" s="3">
        <v>0</v>
      </c>
      <c r="H153" s="2">
        <v>46203</v>
      </c>
      <c r="I153" s="6">
        <v>-6470</v>
      </c>
      <c r="J153" s="1" t="s">
        <v>69</v>
      </c>
      <c r="K153" s="1" t="s">
        <v>599</v>
      </c>
      <c r="L153" s="17">
        <f t="shared" ref="L153:L154" si="39">F153+45</f>
        <v>46220</v>
      </c>
      <c r="M153" s="18"/>
      <c r="N153" s="17">
        <v>46175</v>
      </c>
      <c r="O153" s="17">
        <f>F153</f>
        <v>46175</v>
      </c>
      <c r="P153" s="12">
        <f t="shared" ref="P153:P154" si="40">I153</f>
        <v>-6470</v>
      </c>
      <c r="Q153" s="18">
        <f t="shared" ref="Q153:Q154" ca="1" si="41">TODAY()-F153</f>
        <v>27</v>
      </c>
      <c r="R153" t="s">
        <v>607</v>
      </c>
    </row>
    <row r="154" spans="1:18" outlineLevel="1" x14ac:dyDescent="0.3">
      <c r="A154" s="1" t="s">
        <v>494</v>
      </c>
      <c r="B154" s="1" t="s">
        <v>498</v>
      </c>
      <c r="C154" s="1" t="s">
        <v>499</v>
      </c>
      <c r="D154" s="1" t="s">
        <v>500</v>
      </c>
      <c r="E154" s="1" t="s">
        <v>73</v>
      </c>
      <c r="F154" s="2">
        <v>46186</v>
      </c>
      <c r="G154" s="5">
        <v>-36</v>
      </c>
      <c r="H154" s="2">
        <v>46231</v>
      </c>
      <c r="I154" s="4">
        <v>29250</v>
      </c>
      <c r="J154" s="1" t="s">
        <v>69</v>
      </c>
      <c r="K154" s="1" t="s">
        <v>599</v>
      </c>
      <c r="L154" s="17">
        <f t="shared" si="39"/>
        <v>46231</v>
      </c>
      <c r="M154" s="18"/>
      <c r="N154" s="17">
        <v>46231</v>
      </c>
      <c r="O154" s="17">
        <f t="shared" si="37"/>
        <v>46231</v>
      </c>
      <c r="P154" s="12">
        <f t="shared" si="40"/>
        <v>29250</v>
      </c>
      <c r="Q154" s="18">
        <f t="shared" ca="1" si="41"/>
        <v>16</v>
      </c>
      <c r="R154" t="s">
        <v>607</v>
      </c>
    </row>
    <row r="155" spans="1:18" hidden="1" outlineLevel="1" x14ac:dyDescent="0.3">
      <c r="A155" s="1" t="s">
        <v>501</v>
      </c>
      <c r="B155" s="1" t="s">
        <v>502</v>
      </c>
      <c r="C155" s="1" t="s">
        <v>503</v>
      </c>
      <c r="D155" s="1" t="s">
        <v>504</v>
      </c>
      <c r="E155" s="1" t="s">
        <v>14</v>
      </c>
      <c r="F155" s="2">
        <v>45937</v>
      </c>
      <c r="G155" s="3">
        <v>251</v>
      </c>
      <c r="H155" s="2">
        <v>45944</v>
      </c>
      <c r="I155" s="4">
        <v>790</v>
      </c>
      <c r="J155" s="1" t="s">
        <v>15</v>
      </c>
      <c r="K155" s="1" t="s">
        <v>594</v>
      </c>
      <c r="N155" s="17">
        <v>45944</v>
      </c>
      <c r="O155" s="17">
        <f>H155</f>
        <v>45944</v>
      </c>
      <c r="P155" s="9">
        <f>I155/3.386</f>
        <v>233.31364441819255</v>
      </c>
    </row>
    <row r="156" spans="1:18" hidden="1" outlineLevel="1" x14ac:dyDescent="0.3">
      <c r="A156" s="1" t="s">
        <v>505</v>
      </c>
      <c r="B156" s="1" t="s">
        <v>506</v>
      </c>
      <c r="C156" s="1" t="s">
        <v>507</v>
      </c>
      <c r="D156" s="1" t="s">
        <v>508</v>
      </c>
      <c r="E156" s="1" t="s">
        <v>14</v>
      </c>
      <c r="F156" s="2">
        <v>46188</v>
      </c>
      <c r="G156" s="3">
        <v>4</v>
      </c>
      <c r="H156" s="2">
        <v>46191</v>
      </c>
      <c r="I156" s="4">
        <v>46429.79</v>
      </c>
      <c r="J156" s="1" t="s">
        <v>15</v>
      </c>
      <c r="K156" s="1" t="s">
        <v>595</v>
      </c>
      <c r="N156" s="17">
        <v>46191</v>
      </c>
      <c r="O156" s="17">
        <f>H156</f>
        <v>46191</v>
      </c>
      <c r="P156" s="9">
        <f>I156/3.386</f>
        <v>13712.282929710573</v>
      </c>
    </row>
    <row r="157" spans="1:18" outlineLevel="1" x14ac:dyDescent="0.3">
      <c r="A157" s="1" t="s">
        <v>509</v>
      </c>
      <c r="B157" s="1" t="s">
        <v>510</v>
      </c>
      <c r="C157" s="1" t="s">
        <v>511</v>
      </c>
      <c r="D157" s="1" t="s">
        <v>512</v>
      </c>
      <c r="E157" s="1" t="s">
        <v>68</v>
      </c>
      <c r="F157" s="2">
        <v>46141</v>
      </c>
      <c r="G157" s="3">
        <v>54</v>
      </c>
      <c r="H157" s="2">
        <v>46141</v>
      </c>
      <c r="I157" s="4">
        <v>162355</v>
      </c>
      <c r="J157" s="1" t="s">
        <v>69</v>
      </c>
      <c r="K157" s="1" t="s">
        <v>599</v>
      </c>
      <c r="L157" s="17">
        <f t="shared" ref="L157:L159" si="42">F157+45</f>
        <v>46186</v>
      </c>
      <c r="M157" s="18">
        <f t="shared" ref="M157:M158" ca="1" si="43">TODAY()-N157</f>
        <v>-1</v>
      </c>
      <c r="N157" s="17">
        <v>46203</v>
      </c>
      <c r="O157" s="17">
        <v>46203</v>
      </c>
      <c r="P157" s="12">
        <f t="shared" ref="P157:P159" si="44">I157</f>
        <v>162355</v>
      </c>
      <c r="Q157" s="18">
        <f t="shared" ref="Q157:Q159" ca="1" si="45">TODAY()-F157</f>
        <v>61</v>
      </c>
      <c r="R157" t="s">
        <v>608</v>
      </c>
    </row>
    <row r="158" spans="1:18" outlineLevel="1" x14ac:dyDescent="0.3">
      <c r="A158" s="1" t="s">
        <v>509</v>
      </c>
      <c r="B158" s="1" t="s">
        <v>513</v>
      </c>
      <c r="C158" s="1" t="s">
        <v>514</v>
      </c>
      <c r="D158" s="1" t="s">
        <v>515</v>
      </c>
      <c r="E158" s="1" t="s">
        <v>73</v>
      </c>
      <c r="F158" s="2">
        <v>46159</v>
      </c>
      <c r="G158" s="5">
        <v>-9</v>
      </c>
      <c r="H158" s="2">
        <v>46204</v>
      </c>
      <c r="I158" s="4">
        <v>230850</v>
      </c>
      <c r="J158" s="1" t="s">
        <v>69</v>
      </c>
      <c r="K158" s="1" t="s">
        <v>599</v>
      </c>
      <c r="L158" s="17">
        <f t="shared" si="42"/>
        <v>46204</v>
      </c>
      <c r="M158" s="18">
        <f t="shared" ca="1" si="43"/>
        <v>-2</v>
      </c>
      <c r="N158" s="17">
        <v>46204</v>
      </c>
      <c r="O158" s="17">
        <f t="shared" ref="O158" si="46">H158</f>
        <v>46204</v>
      </c>
      <c r="P158" s="12">
        <f t="shared" si="44"/>
        <v>230850</v>
      </c>
      <c r="Q158" s="18">
        <f t="shared" ca="1" si="45"/>
        <v>43</v>
      </c>
      <c r="R158" t="s">
        <v>607</v>
      </c>
    </row>
    <row r="159" spans="1:18" outlineLevel="1" x14ac:dyDescent="0.3">
      <c r="A159" s="1" t="s">
        <v>516</v>
      </c>
      <c r="B159" s="1" t="s">
        <v>517</v>
      </c>
      <c r="C159" s="1" t="s">
        <v>518</v>
      </c>
      <c r="D159" s="1" t="s">
        <v>519</v>
      </c>
      <c r="E159" s="1" t="s">
        <v>77</v>
      </c>
      <c r="F159" s="2">
        <v>46175</v>
      </c>
      <c r="G159" s="3">
        <v>0</v>
      </c>
      <c r="H159" s="2">
        <v>46203</v>
      </c>
      <c r="I159" s="6">
        <v>-9287</v>
      </c>
      <c r="J159" s="1" t="s">
        <v>69</v>
      </c>
      <c r="K159" s="1" t="s">
        <v>599</v>
      </c>
      <c r="L159" s="17">
        <f t="shared" si="42"/>
        <v>46220</v>
      </c>
      <c r="M159" s="18"/>
      <c r="N159" s="17">
        <v>46175</v>
      </c>
      <c r="O159" s="17">
        <f>F159</f>
        <v>46175</v>
      </c>
      <c r="P159" s="12">
        <f t="shared" si="44"/>
        <v>-9287</v>
      </c>
      <c r="Q159" s="18">
        <f t="shared" ca="1" si="45"/>
        <v>27</v>
      </c>
      <c r="R159" t="s">
        <v>607</v>
      </c>
    </row>
    <row r="160" spans="1:18" hidden="1" outlineLevel="1" x14ac:dyDescent="0.3">
      <c r="A160" s="1" t="s">
        <v>520</v>
      </c>
      <c r="B160" s="1" t="s">
        <v>521</v>
      </c>
      <c r="C160" s="1" t="s">
        <v>522</v>
      </c>
      <c r="D160" s="1" t="s">
        <v>523</v>
      </c>
      <c r="E160" s="1" t="s">
        <v>14</v>
      </c>
      <c r="F160" s="2">
        <v>46186</v>
      </c>
      <c r="G160" s="3">
        <v>2</v>
      </c>
      <c r="H160" s="2">
        <v>46193</v>
      </c>
      <c r="I160" s="4">
        <v>590</v>
      </c>
      <c r="J160" s="1" t="s">
        <v>15</v>
      </c>
      <c r="K160" s="1" t="s">
        <v>591</v>
      </c>
      <c r="N160" s="17">
        <v>46193</v>
      </c>
      <c r="O160" s="17">
        <f t="shared" ref="O160:O163" si="47">H160</f>
        <v>46193</v>
      </c>
      <c r="P160" s="9">
        <f t="shared" ref="P160:P163" si="48">I160/3.386</f>
        <v>174.24689899586531</v>
      </c>
    </row>
    <row r="161" spans="1:18" hidden="1" outlineLevel="1" x14ac:dyDescent="0.3">
      <c r="A161" s="1" t="s">
        <v>520</v>
      </c>
      <c r="B161" s="1" t="s">
        <v>524</v>
      </c>
      <c r="C161" s="1" t="s">
        <v>525</v>
      </c>
      <c r="D161" s="1" t="s">
        <v>526</v>
      </c>
      <c r="E161" s="1" t="s">
        <v>14</v>
      </c>
      <c r="F161" s="2">
        <v>46189</v>
      </c>
      <c r="G161" s="5">
        <v>-1</v>
      </c>
      <c r="H161" s="2">
        <v>46196</v>
      </c>
      <c r="I161" s="4">
        <v>590</v>
      </c>
      <c r="J161" s="1" t="s">
        <v>15</v>
      </c>
      <c r="K161" s="1" t="s">
        <v>591</v>
      </c>
      <c r="N161" s="17">
        <v>46196</v>
      </c>
      <c r="O161" s="17">
        <f t="shared" si="47"/>
        <v>46196</v>
      </c>
      <c r="P161" s="9">
        <f t="shared" si="48"/>
        <v>174.24689899586531</v>
      </c>
    </row>
    <row r="162" spans="1:18" hidden="1" outlineLevel="1" x14ac:dyDescent="0.3">
      <c r="A162" s="1" t="s">
        <v>520</v>
      </c>
      <c r="B162" s="1" t="s">
        <v>527</v>
      </c>
      <c r="C162" s="1" t="s">
        <v>528</v>
      </c>
      <c r="D162" s="1" t="s">
        <v>529</v>
      </c>
      <c r="E162" s="1" t="s">
        <v>14</v>
      </c>
      <c r="F162" s="2">
        <v>46190</v>
      </c>
      <c r="G162" s="5">
        <v>-2</v>
      </c>
      <c r="H162" s="2">
        <v>46197</v>
      </c>
      <c r="I162" s="4">
        <v>590</v>
      </c>
      <c r="J162" s="1" t="s">
        <v>15</v>
      </c>
      <c r="K162" s="1" t="s">
        <v>591</v>
      </c>
      <c r="N162" s="17">
        <v>46197</v>
      </c>
      <c r="O162" s="17">
        <f t="shared" si="47"/>
        <v>46197</v>
      </c>
      <c r="P162" s="9">
        <f t="shared" si="48"/>
        <v>174.24689899586531</v>
      </c>
    </row>
    <row r="163" spans="1:18" hidden="1" outlineLevel="1" x14ac:dyDescent="0.3">
      <c r="A163" s="1" t="s">
        <v>520</v>
      </c>
      <c r="B163" s="1" t="s">
        <v>530</v>
      </c>
      <c r="C163" s="1" t="s">
        <v>531</v>
      </c>
      <c r="D163" s="1" t="s">
        <v>532</v>
      </c>
      <c r="E163" s="1" t="s">
        <v>14</v>
      </c>
      <c r="F163" s="2">
        <v>46192</v>
      </c>
      <c r="G163" s="5">
        <v>-4</v>
      </c>
      <c r="H163" s="2">
        <v>46199</v>
      </c>
      <c r="I163" s="4">
        <v>590</v>
      </c>
      <c r="J163" s="1" t="s">
        <v>15</v>
      </c>
      <c r="K163" s="1" t="s">
        <v>591</v>
      </c>
      <c r="N163" s="17">
        <v>46199</v>
      </c>
      <c r="O163" s="17">
        <f t="shared" si="47"/>
        <v>46199</v>
      </c>
      <c r="P163" s="9">
        <f t="shared" si="48"/>
        <v>174.24689899586531</v>
      </c>
    </row>
    <row r="164" spans="1:18" outlineLevel="1" x14ac:dyDescent="0.3">
      <c r="A164" s="1" t="s">
        <v>533</v>
      </c>
      <c r="B164" s="1" t="s">
        <v>534</v>
      </c>
      <c r="C164" s="1" t="s">
        <v>535</v>
      </c>
      <c r="D164" s="1" t="s">
        <v>536</v>
      </c>
      <c r="E164" s="1" t="s">
        <v>68</v>
      </c>
      <c r="F164" s="2">
        <v>46139</v>
      </c>
      <c r="G164" s="3">
        <v>56</v>
      </c>
      <c r="H164" s="2">
        <v>46139</v>
      </c>
      <c r="I164" s="4">
        <v>116670</v>
      </c>
      <c r="J164" s="1" t="s">
        <v>69</v>
      </c>
      <c r="K164" s="1" t="s">
        <v>599</v>
      </c>
      <c r="L164" s="17">
        <f t="shared" ref="L164:L166" si="49">F164+45</f>
        <v>46184</v>
      </c>
      <c r="M164" s="18">
        <f t="shared" ref="M164:M166" ca="1" si="50">TODAY()-N164</f>
        <v>-1</v>
      </c>
      <c r="N164" s="17">
        <v>46203</v>
      </c>
      <c r="O164" s="17">
        <v>46203</v>
      </c>
      <c r="P164" s="12">
        <f t="shared" ref="P164:P166" si="51">I164</f>
        <v>116670</v>
      </c>
      <c r="Q164" s="18">
        <f t="shared" ref="Q164:Q166" ca="1" si="52">TODAY()-F164</f>
        <v>63</v>
      </c>
      <c r="R164" t="s">
        <v>608</v>
      </c>
    </row>
    <row r="165" spans="1:18" outlineLevel="1" x14ac:dyDescent="0.3">
      <c r="A165" s="1" t="s">
        <v>537</v>
      </c>
      <c r="B165" s="1" t="s">
        <v>538</v>
      </c>
      <c r="C165" s="1" t="s">
        <v>539</v>
      </c>
      <c r="D165" s="1" t="s">
        <v>540</v>
      </c>
      <c r="E165" s="1" t="s">
        <v>68</v>
      </c>
      <c r="F165" s="2">
        <v>46141</v>
      </c>
      <c r="G165" s="3">
        <v>54</v>
      </c>
      <c r="H165" s="2">
        <v>46141</v>
      </c>
      <c r="I165" s="4">
        <v>56785</v>
      </c>
      <c r="J165" s="1" t="s">
        <v>69</v>
      </c>
      <c r="K165" s="1" t="s">
        <v>599</v>
      </c>
      <c r="L165" s="17">
        <f t="shared" si="49"/>
        <v>46186</v>
      </c>
      <c r="M165" s="18">
        <f t="shared" ca="1" si="50"/>
        <v>-1</v>
      </c>
      <c r="N165" s="17">
        <v>46203</v>
      </c>
      <c r="O165" s="17">
        <v>46203</v>
      </c>
      <c r="P165" s="12">
        <f t="shared" si="51"/>
        <v>56785</v>
      </c>
      <c r="Q165" s="18">
        <f t="shared" ca="1" si="52"/>
        <v>61</v>
      </c>
      <c r="R165" t="s">
        <v>608</v>
      </c>
    </row>
    <row r="166" spans="1:18" outlineLevel="1" x14ac:dyDescent="0.3">
      <c r="A166" s="1" t="s">
        <v>537</v>
      </c>
      <c r="B166" s="1" t="s">
        <v>541</v>
      </c>
      <c r="C166" s="1" t="s">
        <v>542</v>
      </c>
      <c r="D166" s="1" t="s">
        <v>543</v>
      </c>
      <c r="E166" s="1" t="s">
        <v>68</v>
      </c>
      <c r="F166" s="2">
        <v>46171</v>
      </c>
      <c r="G166" s="3">
        <v>24</v>
      </c>
      <c r="H166" s="2">
        <v>46171</v>
      </c>
      <c r="I166" s="4">
        <v>35725</v>
      </c>
      <c r="J166" s="1" t="s">
        <v>69</v>
      </c>
      <c r="K166" s="1" t="s">
        <v>599</v>
      </c>
      <c r="L166" s="17">
        <f t="shared" si="49"/>
        <v>46216</v>
      </c>
      <c r="M166" s="18">
        <f t="shared" ca="1" si="50"/>
        <v>-14</v>
      </c>
      <c r="N166" s="17">
        <v>46216</v>
      </c>
      <c r="O166" s="17">
        <v>46216</v>
      </c>
      <c r="P166" s="12">
        <f t="shared" si="51"/>
        <v>35725</v>
      </c>
      <c r="Q166" s="18">
        <f t="shared" ca="1" si="52"/>
        <v>31</v>
      </c>
      <c r="R166" t="s">
        <v>607</v>
      </c>
    </row>
    <row r="167" spans="1:18" hidden="1" outlineLevel="1" x14ac:dyDescent="0.3">
      <c r="A167" s="1" t="s">
        <v>544</v>
      </c>
      <c r="B167" s="1" t="s">
        <v>545</v>
      </c>
      <c r="C167" s="1" t="s">
        <v>546</v>
      </c>
      <c r="D167" s="1" t="s">
        <v>547</v>
      </c>
      <c r="E167" s="1" t="s">
        <v>14</v>
      </c>
      <c r="F167" s="2">
        <v>46175</v>
      </c>
      <c r="G167" s="3">
        <v>13</v>
      </c>
      <c r="H167" s="2">
        <v>46182</v>
      </c>
      <c r="I167" s="4">
        <v>666.94</v>
      </c>
      <c r="J167" s="1" t="s">
        <v>15</v>
      </c>
      <c r="K167" s="1" t="s">
        <v>591</v>
      </c>
      <c r="N167" s="17">
        <v>46182</v>
      </c>
      <c r="O167" s="17">
        <f t="shared" ref="O167:O175" si="53">H167</f>
        <v>46182</v>
      </c>
      <c r="P167" s="9">
        <f t="shared" ref="P167:P170" si="54">I167/3.386</f>
        <v>196.96987595983461</v>
      </c>
    </row>
    <row r="168" spans="1:18" hidden="1" outlineLevel="1" x14ac:dyDescent="0.3">
      <c r="A168" s="1" t="s">
        <v>544</v>
      </c>
      <c r="B168" s="1" t="s">
        <v>548</v>
      </c>
      <c r="C168" s="1" t="s">
        <v>549</v>
      </c>
      <c r="D168" s="1" t="s">
        <v>550</v>
      </c>
      <c r="E168" s="1" t="s">
        <v>14</v>
      </c>
      <c r="F168" s="2">
        <v>46175</v>
      </c>
      <c r="G168" s="3">
        <v>13</v>
      </c>
      <c r="H168" s="2">
        <v>46182</v>
      </c>
      <c r="I168" s="4">
        <v>123.9</v>
      </c>
      <c r="J168" s="1" t="s">
        <v>15</v>
      </c>
      <c r="K168" s="1" t="s">
        <v>591</v>
      </c>
      <c r="N168" s="17">
        <v>46182</v>
      </c>
      <c r="O168" s="17">
        <f t="shared" si="53"/>
        <v>46182</v>
      </c>
      <c r="P168" s="9">
        <f t="shared" si="54"/>
        <v>36.591848789131717</v>
      </c>
    </row>
    <row r="169" spans="1:18" hidden="1" outlineLevel="1" x14ac:dyDescent="0.3">
      <c r="A169" s="1" t="s">
        <v>551</v>
      </c>
      <c r="B169" s="1" t="s">
        <v>552</v>
      </c>
      <c r="C169" s="1" t="s">
        <v>553</v>
      </c>
      <c r="D169" s="1" t="s">
        <v>554</v>
      </c>
      <c r="E169" s="1" t="s">
        <v>14</v>
      </c>
      <c r="F169" s="2">
        <v>46182</v>
      </c>
      <c r="G169" s="3">
        <v>6</v>
      </c>
      <c r="H169" s="2">
        <v>46189</v>
      </c>
      <c r="I169" s="4">
        <v>849.6</v>
      </c>
      <c r="J169" s="1" t="s">
        <v>15</v>
      </c>
      <c r="K169" s="1" t="s">
        <v>591</v>
      </c>
      <c r="N169" s="17">
        <v>46189</v>
      </c>
      <c r="O169" s="17">
        <f t="shared" si="53"/>
        <v>46189</v>
      </c>
      <c r="P169" s="9">
        <f t="shared" si="54"/>
        <v>250.91553455404608</v>
      </c>
    </row>
    <row r="170" spans="1:18" hidden="1" outlineLevel="1" x14ac:dyDescent="0.3">
      <c r="A170" s="1" t="s">
        <v>551</v>
      </c>
      <c r="B170" s="1" t="s">
        <v>555</v>
      </c>
      <c r="C170" s="1" t="s">
        <v>556</v>
      </c>
      <c r="D170" s="1" t="s">
        <v>557</v>
      </c>
      <c r="E170" s="1" t="s">
        <v>14</v>
      </c>
      <c r="F170" s="2">
        <v>46186</v>
      </c>
      <c r="G170" s="3">
        <v>2</v>
      </c>
      <c r="H170" s="2">
        <v>46193</v>
      </c>
      <c r="I170" s="4">
        <v>396.48</v>
      </c>
      <c r="J170" s="1" t="s">
        <v>15</v>
      </c>
      <c r="K170" s="1" t="s">
        <v>591</v>
      </c>
      <c r="N170" s="17">
        <v>46193</v>
      </c>
      <c r="O170" s="17">
        <f t="shared" si="53"/>
        <v>46193</v>
      </c>
      <c r="P170" s="9">
        <f t="shared" si="54"/>
        <v>117.0939161252215</v>
      </c>
    </row>
    <row r="171" spans="1:18" outlineLevel="1" x14ac:dyDescent="0.3">
      <c r="A171" s="1" t="s">
        <v>558</v>
      </c>
      <c r="B171" s="1" t="s">
        <v>560</v>
      </c>
      <c r="C171" s="1" t="s">
        <v>561</v>
      </c>
      <c r="D171" s="1" t="s">
        <v>562</v>
      </c>
      <c r="E171" s="1" t="s">
        <v>73</v>
      </c>
      <c r="F171" s="2">
        <v>46192</v>
      </c>
      <c r="G171" s="5">
        <v>-42</v>
      </c>
      <c r="H171" s="2">
        <v>46237</v>
      </c>
      <c r="I171" s="4">
        <v>144900</v>
      </c>
      <c r="J171" s="1" t="s">
        <v>69</v>
      </c>
      <c r="K171" s="1" t="s">
        <v>599</v>
      </c>
      <c r="L171" s="17">
        <f t="shared" ref="L171:L178" si="55">F171+45</f>
        <v>46237</v>
      </c>
      <c r="M171" s="18"/>
      <c r="N171" s="17">
        <v>46237</v>
      </c>
      <c r="O171" s="17">
        <f t="shared" si="53"/>
        <v>46237</v>
      </c>
      <c r="P171" s="12">
        <f t="shared" ref="P171:P178" si="56">I171</f>
        <v>144900</v>
      </c>
      <c r="Q171" s="18">
        <f t="shared" ref="Q171:Q178" ca="1" si="57">TODAY()-F171</f>
        <v>10</v>
      </c>
      <c r="R171" t="s">
        <v>607</v>
      </c>
    </row>
    <row r="172" spans="1:18" outlineLevel="1" x14ac:dyDescent="0.3">
      <c r="A172" s="1" t="s">
        <v>563</v>
      </c>
      <c r="B172" s="1" t="s">
        <v>564</v>
      </c>
      <c r="C172" s="1" t="s">
        <v>565</v>
      </c>
      <c r="D172" s="1" t="s">
        <v>566</v>
      </c>
      <c r="E172" s="1" t="s">
        <v>68</v>
      </c>
      <c r="F172" s="2">
        <v>46164</v>
      </c>
      <c r="G172" s="3">
        <v>31</v>
      </c>
      <c r="H172" s="2">
        <v>46164</v>
      </c>
      <c r="I172" s="4">
        <v>22575</v>
      </c>
      <c r="J172" s="1" t="s">
        <v>69</v>
      </c>
      <c r="K172" s="1" t="s">
        <v>599</v>
      </c>
      <c r="L172" s="17">
        <f t="shared" si="55"/>
        <v>46209</v>
      </c>
      <c r="M172" s="18">
        <f t="shared" ref="M172:M178" ca="1" si="58">TODAY()-N172</f>
        <v>-7</v>
      </c>
      <c r="N172" s="17">
        <v>46209</v>
      </c>
      <c r="O172" s="17">
        <v>46209</v>
      </c>
      <c r="P172" s="12">
        <f t="shared" si="56"/>
        <v>22575</v>
      </c>
      <c r="Q172" s="18">
        <f t="shared" ca="1" si="57"/>
        <v>38</v>
      </c>
      <c r="R172" t="s">
        <v>607</v>
      </c>
    </row>
    <row r="173" spans="1:18" outlineLevel="1" x14ac:dyDescent="0.3">
      <c r="A173" s="1" t="s">
        <v>567</v>
      </c>
      <c r="B173" s="1" t="s">
        <v>568</v>
      </c>
      <c r="C173" s="1" t="s">
        <v>569</v>
      </c>
      <c r="D173" s="1" t="s">
        <v>570</v>
      </c>
      <c r="E173" s="1" t="s">
        <v>68</v>
      </c>
      <c r="F173" s="2">
        <v>46171</v>
      </c>
      <c r="G173" s="3">
        <v>24</v>
      </c>
      <c r="H173" s="2">
        <v>46171</v>
      </c>
      <c r="I173" s="4">
        <v>52933.5</v>
      </c>
      <c r="J173" s="1" t="s">
        <v>69</v>
      </c>
      <c r="K173" s="1" t="s">
        <v>599</v>
      </c>
      <c r="L173" s="17">
        <f t="shared" si="55"/>
        <v>46216</v>
      </c>
      <c r="M173" s="18">
        <f t="shared" ca="1" si="58"/>
        <v>-14</v>
      </c>
      <c r="N173" s="17">
        <v>46216</v>
      </c>
      <c r="O173" s="17">
        <v>46216</v>
      </c>
      <c r="P173" s="12">
        <f t="shared" si="56"/>
        <v>52933.5</v>
      </c>
      <c r="Q173" s="18">
        <f t="shared" ca="1" si="57"/>
        <v>31</v>
      </c>
      <c r="R173" t="s">
        <v>607</v>
      </c>
    </row>
    <row r="174" spans="1:18" outlineLevel="1" x14ac:dyDescent="0.3">
      <c r="A174" s="1" t="s">
        <v>571</v>
      </c>
      <c r="B174" s="1" t="s">
        <v>572</v>
      </c>
      <c r="C174" s="1" t="s">
        <v>573</v>
      </c>
      <c r="D174" s="1" t="s">
        <v>574</v>
      </c>
      <c r="E174" s="1" t="s">
        <v>68</v>
      </c>
      <c r="F174" s="2">
        <v>46166</v>
      </c>
      <c r="G174" s="3">
        <v>29</v>
      </c>
      <c r="H174" s="2">
        <v>46166</v>
      </c>
      <c r="I174" s="4">
        <v>90691</v>
      </c>
      <c r="J174" s="1" t="s">
        <v>69</v>
      </c>
      <c r="K174" s="1" t="s">
        <v>599</v>
      </c>
      <c r="L174" s="17">
        <f t="shared" si="55"/>
        <v>46211</v>
      </c>
      <c r="M174" s="18">
        <f t="shared" ca="1" si="58"/>
        <v>-9</v>
      </c>
      <c r="N174" s="17">
        <v>46211</v>
      </c>
      <c r="O174" s="17">
        <v>46211</v>
      </c>
      <c r="P174" s="12">
        <f t="shared" si="56"/>
        <v>90691</v>
      </c>
      <c r="Q174" s="18">
        <f t="shared" ca="1" si="57"/>
        <v>36</v>
      </c>
      <c r="R174" t="s">
        <v>607</v>
      </c>
    </row>
    <row r="175" spans="1:18" outlineLevel="1" x14ac:dyDescent="0.3">
      <c r="A175" s="1" t="s">
        <v>571</v>
      </c>
      <c r="B175" s="1" t="s">
        <v>575</v>
      </c>
      <c r="C175" s="1" t="s">
        <v>576</v>
      </c>
      <c r="D175" s="1" t="s">
        <v>577</v>
      </c>
      <c r="E175" s="1" t="s">
        <v>73</v>
      </c>
      <c r="F175" s="2">
        <v>46192</v>
      </c>
      <c r="G175" s="5">
        <v>-42</v>
      </c>
      <c r="H175" s="2">
        <v>46237</v>
      </c>
      <c r="I175" s="4">
        <v>82350</v>
      </c>
      <c r="J175" s="1" t="s">
        <v>69</v>
      </c>
      <c r="K175" s="1" t="s">
        <v>599</v>
      </c>
      <c r="L175" s="17">
        <f t="shared" si="55"/>
        <v>46237</v>
      </c>
      <c r="M175" s="18">
        <f t="shared" ca="1" si="58"/>
        <v>-35</v>
      </c>
      <c r="N175" s="17">
        <v>46237</v>
      </c>
      <c r="O175" s="17">
        <f t="shared" si="53"/>
        <v>46237</v>
      </c>
      <c r="P175" s="12">
        <f t="shared" si="56"/>
        <v>82350</v>
      </c>
      <c r="Q175" s="18">
        <f t="shared" ca="1" si="57"/>
        <v>10</v>
      </c>
      <c r="R175" t="s">
        <v>607</v>
      </c>
    </row>
    <row r="176" spans="1:18" outlineLevel="1" x14ac:dyDescent="0.3">
      <c r="A176" s="1" t="s">
        <v>578</v>
      </c>
      <c r="B176" s="1" t="s">
        <v>579</v>
      </c>
      <c r="C176" s="1" t="s">
        <v>580</v>
      </c>
      <c r="D176" s="1" t="s">
        <v>581</v>
      </c>
      <c r="E176" s="1" t="s">
        <v>68</v>
      </c>
      <c r="F176" s="2">
        <v>46134</v>
      </c>
      <c r="G176" s="3">
        <v>61</v>
      </c>
      <c r="H176" s="2">
        <v>46134</v>
      </c>
      <c r="I176" s="4">
        <v>67066</v>
      </c>
      <c r="J176" s="1" t="s">
        <v>69</v>
      </c>
      <c r="K176" s="1" t="s">
        <v>599</v>
      </c>
      <c r="L176" s="17">
        <f t="shared" si="55"/>
        <v>46179</v>
      </c>
      <c r="M176" s="18">
        <f t="shared" ca="1" si="58"/>
        <v>-1</v>
      </c>
      <c r="N176" s="17">
        <v>46203</v>
      </c>
      <c r="O176" s="17">
        <v>46203</v>
      </c>
      <c r="P176" s="12">
        <f t="shared" si="56"/>
        <v>67066</v>
      </c>
      <c r="Q176" s="18">
        <f t="shared" ca="1" si="57"/>
        <v>68</v>
      </c>
      <c r="R176" t="s">
        <v>609</v>
      </c>
    </row>
    <row r="177" spans="1:18" outlineLevel="1" x14ac:dyDescent="0.3">
      <c r="A177" s="1" t="s">
        <v>582</v>
      </c>
      <c r="B177" s="1" t="s">
        <v>583</v>
      </c>
      <c r="C177" s="1" t="s">
        <v>584</v>
      </c>
      <c r="D177" s="1" t="s">
        <v>585</v>
      </c>
      <c r="E177" s="1" t="s">
        <v>68</v>
      </c>
      <c r="F177" s="2">
        <v>46168</v>
      </c>
      <c r="G177" s="3">
        <v>27</v>
      </c>
      <c r="H177" s="2">
        <v>46168</v>
      </c>
      <c r="I177" s="4">
        <v>72759</v>
      </c>
      <c r="J177" s="1" t="s">
        <v>69</v>
      </c>
      <c r="K177" s="1" t="s">
        <v>599</v>
      </c>
      <c r="L177" s="17">
        <f t="shared" si="55"/>
        <v>46213</v>
      </c>
      <c r="M177" s="18">
        <f t="shared" ca="1" si="58"/>
        <v>-11</v>
      </c>
      <c r="N177" s="17">
        <v>46213</v>
      </c>
      <c r="O177" s="17">
        <v>46213</v>
      </c>
      <c r="P177" s="12">
        <f t="shared" si="56"/>
        <v>72759</v>
      </c>
      <c r="Q177" s="18">
        <f t="shared" ca="1" si="57"/>
        <v>34</v>
      </c>
      <c r="R177" t="s">
        <v>607</v>
      </c>
    </row>
    <row r="178" spans="1:18" outlineLevel="1" x14ac:dyDescent="0.3">
      <c r="A178" s="1" t="s">
        <v>586</v>
      </c>
      <c r="B178" s="1" t="s">
        <v>587</v>
      </c>
      <c r="C178" s="1" t="s">
        <v>588</v>
      </c>
      <c r="D178" s="1" t="s">
        <v>589</v>
      </c>
      <c r="E178" s="1" t="s">
        <v>68</v>
      </c>
      <c r="F178" s="2">
        <v>46173</v>
      </c>
      <c r="G178" s="3">
        <v>22</v>
      </c>
      <c r="H178" s="2">
        <v>46173</v>
      </c>
      <c r="I178" s="4">
        <v>115561</v>
      </c>
      <c r="J178" s="1" t="s">
        <v>69</v>
      </c>
      <c r="K178" s="1" t="s">
        <v>599</v>
      </c>
      <c r="L178" s="17">
        <f t="shared" si="55"/>
        <v>46218</v>
      </c>
      <c r="M178" s="18">
        <f t="shared" ca="1" si="58"/>
        <v>-1</v>
      </c>
      <c r="N178" s="17">
        <v>46203</v>
      </c>
      <c r="O178" s="17">
        <v>46203</v>
      </c>
      <c r="P178" s="12">
        <f t="shared" si="56"/>
        <v>115561</v>
      </c>
      <c r="Q178" s="18">
        <f t="shared" ca="1" si="57"/>
        <v>29</v>
      </c>
      <c r="R178" t="s">
        <v>607</v>
      </c>
    </row>
    <row r="184" spans="1:18" x14ac:dyDescent="0.3">
      <c r="I184">
        <v>35855</v>
      </c>
    </row>
    <row r="185" spans="1:18" x14ac:dyDescent="0.3">
      <c r="I185">
        <v>37062</v>
      </c>
    </row>
    <row r="186" spans="1:18" x14ac:dyDescent="0.3">
      <c r="I186">
        <v>36255</v>
      </c>
    </row>
  </sheetData>
  <autoFilter ref="A1:R178" xr:uid="{00000000-0001-0000-0000-000000000000}"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2026-06-22T22:26:31Z</dcterms:created>
  <dcterms:modified xsi:type="dcterms:W3CDTF">2026-06-29T17:04:58Z</dcterms:modified>
  <cp:category/>
</cp:coreProperties>
</file>