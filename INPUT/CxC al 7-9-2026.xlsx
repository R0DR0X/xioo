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3DCE1695-6682-42F4-9B38-9B0C3F0FE5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r:id="rId2"/>
    <sheet name="DÍAS" sheetId="5" r:id="rId3"/>
    <sheet name="Data" sheetId="1" r:id="rId4"/>
  </sheets>
  <definedNames>
    <definedName name="_xlnm._FilterDatabase" localSheetId="3" hidden="1">Data!$A$1:$R$172</definedName>
  </definedNames>
  <calcPr calcId="191029" iterate="1"/>
  <pivotCaches>
    <pivotCache cacheId="55" r:id="rId5"/>
    <pivotCache cacheId="56" r:id="rId6"/>
    <pivotCache cacheId="6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8" i="1" l="1"/>
  <c r="O63" i="1"/>
  <c r="O46" i="1"/>
  <c r="Q172" i="1"/>
  <c r="Q169" i="1"/>
  <c r="Q168" i="1"/>
  <c r="Q163" i="1"/>
  <c r="Q162" i="1"/>
  <c r="Q142" i="1"/>
  <c r="Q141" i="1"/>
  <c r="Q112" i="1"/>
  <c r="Q111" i="1"/>
  <c r="Q110" i="1"/>
  <c r="Q64" i="1"/>
  <c r="Q63" i="1"/>
  <c r="Q62" i="1"/>
  <c r="Q47" i="1"/>
  <c r="Q46" i="1"/>
  <c r="Q28" i="1"/>
  <c r="Q27" i="1"/>
  <c r="Q26" i="1"/>
  <c r="Q25" i="1"/>
  <c r="Q24" i="1"/>
  <c r="Q23" i="1"/>
  <c r="Q22" i="1"/>
  <c r="Q21" i="1"/>
  <c r="L172" i="1"/>
  <c r="L169" i="1"/>
  <c r="L168" i="1"/>
  <c r="L163" i="1"/>
  <c r="L162" i="1"/>
  <c r="L142" i="1"/>
  <c r="L141" i="1"/>
  <c r="L112" i="1"/>
  <c r="L111" i="1"/>
  <c r="L110" i="1"/>
  <c r="L64" i="1"/>
  <c r="L63" i="1"/>
  <c r="L62" i="1"/>
  <c r="L47" i="1"/>
  <c r="L46" i="1"/>
  <c r="L28" i="1"/>
  <c r="L27" i="1"/>
  <c r="L26" i="1"/>
  <c r="L25" i="1"/>
  <c r="L24" i="1"/>
  <c r="L23" i="1"/>
  <c r="L22" i="1"/>
  <c r="L21" i="1"/>
  <c r="M172" i="1"/>
  <c r="M169" i="1"/>
  <c r="M163" i="1"/>
  <c r="M162" i="1"/>
  <c r="M142" i="1"/>
  <c r="M141" i="1"/>
  <c r="M112" i="1"/>
  <c r="M111" i="1"/>
  <c r="M110" i="1"/>
  <c r="M64" i="1"/>
  <c r="M62" i="1"/>
  <c r="M47" i="1"/>
  <c r="M28" i="1"/>
  <c r="M27" i="1"/>
  <c r="M26" i="1"/>
  <c r="M25" i="1"/>
  <c r="M24" i="1"/>
  <c r="M23" i="1"/>
  <c r="M22" i="1"/>
  <c r="M21" i="1"/>
  <c r="P172" i="1"/>
  <c r="P169" i="1"/>
  <c r="P168" i="1"/>
  <c r="P163" i="1"/>
  <c r="P162" i="1"/>
  <c r="P142" i="1"/>
  <c r="P141" i="1"/>
  <c r="P112" i="1"/>
  <c r="P111" i="1"/>
  <c r="P110" i="1"/>
  <c r="P64" i="1"/>
  <c r="P63" i="1"/>
  <c r="P62" i="1"/>
  <c r="P47" i="1"/>
  <c r="P46" i="1"/>
  <c r="P28" i="1"/>
  <c r="P27" i="1"/>
  <c r="P26" i="1"/>
  <c r="P25" i="1"/>
  <c r="P24" i="1"/>
  <c r="P23" i="1"/>
  <c r="P22" i="1"/>
  <c r="P21" i="1"/>
  <c r="O169" i="1"/>
  <c r="O111" i="1"/>
  <c r="O47" i="1"/>
  <c r="O28" i="1"/>
  <c r="O23" i="1"/>
  <c r="O21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13" i="1"/>
  <c r="P161" i="1"/>
  <c r="O161" i="1"/>
  <c r="P171" i="1"/>
  <c r="P170" i="1"/>
  <c r="P167" i="1"/>
  <c r="P166" i="1"/>
  <c r="P165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0" i="1"/>
  <c r="P139" i="1"/>
  <c r="P138" i="1"/>
  <c r="P137" i="1"/>
  <c r="P136" i="1"/>
  <c r="P135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71" i="1"/>
  <c r="O170" i="1"/>
  <c r="O167" i="1"/>
  <c r="O166" i="1"/>
  <c r="O165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0" i="1"/>
  <c r="O139" i="1"/>
  <c r="O138" i="1"/>
  <c r="O137" i="1"/>
  <c r="O136" i="1"/>
  <c r="O135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64" i="1"/>
  <c r="O164" i="1"/>
  <c r="P144" i="1"/>
  <c r="P145" i="1"/>
  <c r="P146" i="1"/>
  <c r="P143" i="1"/>
  <c r="O144" i="1"/>
  <c r="O145" i="1"/>
  <c r="O146" i="1"/>
  <c r="O143" i="1"/>
  <c r="P66" i="1"/>
  <c r="P67" i="1"/>
  <c r="P65" i="1"/>
  <c r="O66" i="1"/>
  <c r="O67" i="1"/>
  <c r="O65" i="1"/>
</calcChain>
</file>

<file path=xl/sharedStrings.xml><?xml version="1.0" encoding="utf-8"?>
<sst xmlns="http://schemas.openxmlformats.org/spreadsheetml/2006/main" count="1367" uniqueCount="588">
  <si>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</si>
  <si>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</si>
  <si>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</si>
  <si>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</si>
  <si>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</si>
  <si>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</si>
  <si>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</si>
  <si>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</si>
  <si>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</si>
  <si>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</si>
  <si>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1000000434</t>
  </si>
  <si>
    <t>ACUA DIESEL EIRL</t>
  </si>
  <si>
    <t>1200003541</t>
  </si>
  <si>
    <t>01-0F101-0007733</t>
  </si>
  <si>
    <t>DF</t>
  </si>
  <si>
    <t>PEN</t>
  </si>
  <si>
    <t>ACUA DIESEL EIRL</t>
  </si>
  <si>
    <t>1200003588</t>
  </si>
  <si>
    <t>01-0F101-0007761</t>
  </si>
  <si>
    <t>1000013966</t>
  </si>
  <si>
    <t>ARKANO TRADING SOCIEDAD ANONIMA CER</t>
  </si>
  <si>
    <t>1200005220</t>
  </si>
  <si>
    <t>01-0F101-0004694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</si>
  <si>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</si>
  <si>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</si>
  <si>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</si>
  <si>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</si>
  <si>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</si>
  <si>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</si>
  <si>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</si>
  <si>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</si>
  <si>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</si>
  <si>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</si>
  <si>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</si>
  <si>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</si>
  <si>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</si>
  <si>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</si>
  <si>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</si>
  <si>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</si>
  <si>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</si>
  <si>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</si>
  <si>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</si>
  <si>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</si>
  <si>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</si>
  <si>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</si>
  <si>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</si>
  <si>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</si>
  <si>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</si>
  <si>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</si>
  <si>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</si>
  <si>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</si>
  <si>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</si>
  <si>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</si>
  <si>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</si>
  <si>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</si>
  <si>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</si>
  <si>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</si>
  <si>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</si>
  <si>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</si>
  <si>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</si>
  <si>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</si>
  <si>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</si>
  <si>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</si>
  <si>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</si>
  <si>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</si>
  <si>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</si>
  <si>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</si>
  <si>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</si>
  <si>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</si>
  <si>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</si>
  <si>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</si>
  <si>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ZV</t>
  </si>
  <si>
    <t>2000001028</t>
  </si>
  <si>
    <t>AVANCE GROUP LTD</t>
  </si>
  <si>
    <t>USD</t>
  </si>
  <si>
    <t>AVANCE GROUP LTD</t>
  </si>
  <si>
    <t>1200003451</t>
  </si>
  <si>
    <t>DE</t>
  </si>
  <si>
    <t>AVANCE GROUP LTD</t>
  </si>
  <si>
    <t>1200003454</t>
  </si>
  <si>
    <t>01-0F002-0000395</t>
  </si>
  <si>
    <t>AVANCE GROUP LTD</t>
  </si>
  <si>
    <t>1200003470</t>
  </si>
  <si>
    <t>01-0F002-0000403</t>
  </si>
  <si>
    <t>AVANCE GROUP LTD</t>
  </si>
  <si>
    <t>1300008499</t>
  </si>
  <si>
    <t>FT-0F002-0000410</t>
  </si>
  <si>
    <t>AVANCE GROUP LTD</t>
  </si>
  <si>
    <t>1300008500</t>
  </si>
  <si>
    <t>FT-0F002-0000413</t>
  </si>
  <si>
    <t>AVANCE GROUP LTD</t>
  </si>
  <si>
    <t>1300008501</t>
  </si>
  <si>
    <t>FT-0F002-0000412</t>
  </si>
  <si>
    <t>AVANCE GROUP LTD</t>
  </si>
  <si>
    <t>1300008502</t>
  </si>
  <si>
    <t>FT-0F002-0000411</t>
  </si>
  <si>
    <t>AVANCE GROUP LTD</t>
  </si>
  <si>
    <t>1200003508</t>
  </si>
  <si>
    <t>01-0F002-0000415</t>
  </si>
  <si>
    <t>1000013676</t>
  </si>
  <si>
    <t>CARLOS ALBERTO MARTINEZ QUEREVALU</t>
  </si>
  <si>
    <t>1200003566</t>
  </si>
  <si>
    <t>03-0B001-0004870</t>
  </si>
  <si>
    <t>DB</t>
  </si>
  <si>
    <t>CARLOS ALBERTO MARTINEZ QUEREVALU</t>
  </si>
  <si>
    <t>1200003567</t>
  </si>
  <si>
    <t>03-0B001-0004871</t>
  </si>
  <si>
    <t>SA</t>
  </si>
  <si>
    <t>DZ</t>
  </si>
  <si>
    <t>1000013678</t>
  </si>
  <si>
    <t>CORPORACION NACIONAL PERU EXPORTACI</t>
  </si>
  <si>
    <t>1200003522</t>
  </si>
  <si>
    <t>01-0F101-0007719</t>
  </si>
  <si>
    <t>1000002057</t>
  </si>
  <si>
    <t>CRISTO DE LA VICTORIA S.A.C.</t>
  </si>
  <si>
    <t>1200003574</t>
  </si>
  <si>
    <t>01-0F101-0007754</t>
  </si>
  <si>
    <t>CRISTO DE LA VICTORIA S.A.C.</t>
  </si>
  <si>
    <t>1200003593</t>
  </si>
  <si>
    <t>01-0F101-0007766</t>
  </si>
  <si>
    <t>CRISTO DE LA VICTORIA S.A.C.</t>
  </si>
  <si>
    <t>1200003594</t>
  </si>
  <si>
    <t>01-0F101-0007767</t>
  </si>
  <si>
    <t>CRISTO DE LA VICTORIA S.A.C.</t>
  </si>
  <si>
    <t>1200003602</t>
  </si>
  <si>
    <t>01-0F101-0007775</t>
  </si>
  <si>
    <t>CRISTO DE LA VICTORIA S.A.C.</t>
  </si>
  <si>
    <t>1200003641</t>
  </si>
  <si>
    <t>01-0F101-0007799</t>
  </si>
  <si>
    <t>CRISTO DE LA VICTORIA S.A.C.</t>
  </si>
  <si>
    <t>1200003642</t>
  </si>
  <si>
    <t>01-0F101-0007800</t>
  </si>
  <si>
    <t>CRISTO DE LA VICTORIA S.A.C.</t>
  </si>
  <si>
    <t>1200003708</t>
  </si>
  <si>
    <t>01-0F101-0007855</t>
  </si>
  <si>
    <t>CRISTO DE LA VICTORIA S.A.C.</t>
  </si>
  <si>
    <t>1200003709</t>
  </si>
  <si>
    <t>01-0F101-0007856</t>
  </si>
  <si>
    <t>CRISTO DE LA VICTORIA S.A.C.</t>
  </si>
  <si>
    <t>1200003714</t>
  </si>
  <si>
    <t>01-0F101-0007861</t>
  </si>
  <si>
    <t>CRISTO DE LA VICTORIA S.A.C.</t>
  </si>
  <si>
    <t>1200003715</t>
  </si>
  <si>
    <t>01-0F101-0007862</t>
  </si>
  <si>
    <t>CRISTO DE LA VICTORIA S.A.C.</t>
  </si>
  <si>
    <t>1200003724</t>
  </si>
  <si>
    <t>01-0F101-0007869</t>
  </si>
  <si>
    <t>CRISTO DE LA VICTORIA S.A.C.</t>
  </si>
  <si>
    <t>1200003725</t>
  </si>
  <si>
    <t>01-0F101-0007870</t>
  </si>
  <si>
    <t>CRISTO DE LA VICTORIA S.A.C.</t>
  </si>
  <si>
    <t>1200003772</t>
  </si>
  <si>
    <t>01-0F101-0007905</t>
  </si>
  <si>
    <t>CRISTO DE LA VICTORIA S.A.C.</t>
  </si>
  <si>
    <t>1200003773</t>
  </si>
  <si>
    <t>01-0F101-0007906</t>
  </si>
  <si>
    <t>2000001381</t>
  </si>
  <si>
    <t>DAIRECK SA</t>
  </si>
  <si>
    <t>DAIRECK SA</t>
  </si>
  <si>
    <t>1300008291</t>
  </si>
  <si>
    <t>FP-273</t>
  </si>
  <si>
    <t>DAIRECK SA</t>
  </si>
  <si>
    <t>1200003575</t>
  </si>
  <si>
    <t>01-0F002-0000420</t>
  </si>
  <si>
    <t>1000013754</t>
  </si>
  <si>
    <t>ELMER SIXTO SOJO ACARO</t>
  </si>
  <si>
    <t>1200003557</t>
  </si>
  <si>
    <t>03-0B001-0004867</t>
  </si>
  <si>
    <t>ELMER SIXTO SOJO ACARO</t>
  </si>
  <si>
    <t>1200003558</t>
  </si>
  <si>
    <t>03-0B001-0004868</t>
  </si>
  <si>
    <t>ELMER SIXTO SOJO ACARO</t>
  </si>
  <si>
    <t>1200003580</t>
  </si>
  <si>
    <t>03-0B001-0004876</t>
  </si>
  <si>
    <t>ELMER SIXTO SOJO ACARO</t>
  </si>
  <si>
    <t>1200003581</t>
  </si>
  <si>
    <t>03-0B001-0004877</t>
  </si>
  <si>
    <t>ELMER SIXTO SOJO ACARO</t>
  </si>
  <si>
    <t>1200003615</t>
  </si>
  <si>
    <t>03-0B001-0004878</t>
  </si>
  <si>
    <t>ELMER SIXTO SOJO ACARO</t>
  </si>
  <si>
    <t>1200003616</t>
  </si>
  <si>
    <t>03-0B001-0004879</t>
  </si>
  <si>
    <t>ELMER SIXTO SOJO ACARO</t>
  </si>
  <si>
    <t>1200003665</t>
  </si>
  <si>
    <t>03-0B001-0004885</t>
  </si>
  <si>
    <t>ELMER SIXTO SOJO ACARO</t>
  </si>
  <si>
    <t>1200003666</t>
  </si>
  <si>
    <t>03-0B001-0004886</t>
  </si>
  <si>
    <t>ELMER SIXTO SOJO ACARO</t>
  </si>
  <si>
    <t>1200003704</t>
  </si>
  <si>
    <t>03-0B001-0004891</t>
  </si>
  <si>
    <t>ELMER SIXTO SOJO ACARO</t>
  </si>
  <si>
    <t>1200003705</t>
  </si>
  <si>
    <t>03-0B001-0004892</t>
  </si>
  <si>
    <t>ELMER SIXTO SOJO ACARO</t>
  </si>
  <si>
    <t>1200003734</t>
  </si>
  <si>
    <t>03-0B001-0004897</t>
  </si>
  <si>
    <t>ELMER SIXTO SOJO ACARO</t>
  </si>
  <si>
    <t>1200003735</t>
  </si>
  <si>
    <t>03-0B001-0004898</t>
  </si>
  <si>
    <t>ELMER SIXTO SOJO ACARO</t>
  </si>
  <si>
    <t>1200003764</t>
  </si>
  <si>
    <t>03-0B001-0004903</t>
  </si>
  <si>
    <t>ELMER SIXTO SOJO ACARO</t>
  </si>
  <si>
    <t>1200003765</t>
  </si>
  <si>
    <t>03-0B001-0004904</t>
  </si>
  <si>
    <t>2000001368</t>
  </si>
  <si>
    <t>FOOD &amp; BEVERAGES TRADERS, S.L.</t>
  </si>
  <si>
    <t>1300004854</t>
  </si>
  <si>
    <t>FT-0F002-0000311</t>
  </si>
  <si>
    <t>2000001439</t>
  </si>
  <si>
    <t>GOLDEN SEAFOOD PTE. LTD.</t>
  </si>
  <si>
    <t>1300008491</t>
  </si>
  <si>
    <t>FP-276</t>
  </si>
  <si>
    <t>GOLDEN SEAFOOD PTE. LTD.</t>
  </si>
  <si>
    <t>1200003605</t>
  </si>
  <si>
    <t>01-0F002-0000422</t>
  </si>
  <si>
    <t>6002186</t>
  </si>
  <si>
    <t>INDUSTRIAL PESQUERA SANTA MONICA S.</t>
  </si>
  <si>
    <t>1200003488</t>
  </si>
  <si>
    <t>01-0F101-0007701</t>
  </si>
  <si>
    <t>INDUSTRIAL PESQUERA SANTA MONICA S.</t>
  </si>
  <si>
    <t>1200003523</t>
  </si>
  <si>
    <t>01-0F101-0007720</t>
  </si>
  <si>
    <t>INDUSTRIAL PESQUERA SANTA MONICA S.</t>
  </si>
  <si>
    <t>1200003618</t>
  </si>
  <si>
    <t>01-0F101-0007779</t>
  </si>
  <si>
    <t>1000006830</t>
  </si>
  <si>
    <t>JAHFISH E.I.R.L.</t>
  </si>
  <si>
    <t>1200003426</t>
  </si>
  <si>
    <t>01-0F101-0007676</t>
  </si>
  <si>
    <t>JAHFISH E.I.R.L.</t>
  </si>
  <si>
    <t>1200003427</t>
  </si>
  <si>
    <t>01-0F101-0007677</t>
  </si>
  <si>
    <t>JAHFISH E.I.R.L.</t>
  </si>
  <si>
    <t>1200003436</t>
  </si>
  <si>
    <t>01-0F101-0007682</t>
  </si>
  <si>
    <t>JAHFISH E.I.R.L.</t>
  </si>
  <si>
    <t>1200003437</t>
  </si>
  <si>
    <t>01-0F101-0007683</t>
  </si>
  <si>
    <t>JAHFISH E.I.R.L.</t>
  </si>
  <si>
    <t>1200003448</t>
  </si>
  <si>
    <t>01-0F101-0007690</t>
  </si>
  <si>
    <t>JAHFISH E.I.R.L.</t>
  </si>
  <si>
    <t>1200003449</t>
  </si>
  <si>
    <t>01-0F101-0007691</t>
  </si>
  <si>
    <t>JAHFISH E.I.R.L.</t>
  </si>
  <si>
    <t>1200003526</t>
  </si>
  <si>
    <t>01-0F101-0007722</t>
  </si>
  <si>
    <t>JAHFISH E.I.R.L.</t>
  </si>
  <si>
    <t>1200003527</t>
  </si>
  <si>
    <t>01-0F101-0007723</t>
  </si>
  <si>
    <t>JAHFISH E.I.R.L.</t>
  </si>
  <si>
    <t>1200003536</t>
  </si>
  <si>
    <t>01-0F101-0007730</t>
  </si>
  <si>
    <t>JAHFISH E.I.R.L.</t>
  </si>
  <si>
    <t>1200003537</t>
  </si>
  <si>
    <t>01-0F101-0007731</t>
  </si>
  <si>
    <t>JAHFISH E.I.R.L.</t>
  </si>
  <si>
    <t>1200003546</t>
  </si>
  <si>
    <t>01-0F101-0007734</t>
  </si>
  <si>
    <t>JAHFISH E.I.R.L.</t>
  </si>
  <si>
    <t>1200003547</t>
  </si>
  <si>
    <t>01-0F101-0007735</t>
  </si>
  <si>
    <t>JAHFISH E.I.R.L.</t>
  </si>
  <si>
    <t>1200003551</t>
  </si>
  <si>
    <t>01-0F101-0007739</t>
  </si>
  <si>
    <t>JAHFISH E.I.R.L.</t>
  </si>
  <si>
    <t>1200003552</t>
  </si>
  <si>
    <t>01-0F101-0007740</t>
  </si>
  <si>
    <t>JAHFISH E.I.R.L.</t>
  </si>
  <si>
    <t>1200003570</t>
  </si>
  <si>
    <t>01-0F101-0007750</t>
  </si>
  <si>
    <t>JAHFISH E.I.R.L.</t>
  </si>
  <si>
    <t>1200003571</t>
  </si>
  <si>
    <t>01-0F101-0007751</t>
  </si>
  <si>
    <t>JAHFISH E.I.R.L.</t>
  </si>
  <si>
    <t>1200003582</t>
  </si>
  <si>
    <t>01-0F101-0007755</t>
  </si>
  <si>
    <t>JAHFISH E.I.R.L.</t>
  </si>
  <si>
    <t>1200003583</t>
  </si>
  <si>
    <t>01-0F101-0007756</t>
  </si>
  <si>
    <t>JAHFISH E.I.R.L.</t>
  </si>
  <si>
    <t>1200003598</t>
  </si>
  <si>
    <t>01-0F101-0007771</t>
  </si>
  <si>
    <t>JAHFISH E.I.R.L.</t>
  </si>
  <si>
    <t>1200003599</t>
  </si>
  <si>
    <t>01-0F101-0007772</t>
  </si>
  <si>
    <t>JAHFISH E.I.R.L.</t>
  </si>
  <si>
    <t>1200003600</t>
  </si>
  <si>
    <t>01-0F101-0007773</t>
  </si>
  <si>
    <t>JAHFISH E.I.R.L.</t>
  </si>
  <si>
    <t>1200003601</t>
  </si>
  <si>
    <t>01-0F101-0007774</t>
  </si>
  <si>
    <t>JAHFISH E.I.R.L.</t>
  </si>
  <si>
    <t>1200003623</t>
  </si>
  <si>
    <t>01-0F101-0007788</t>
  </si>
  <si>
    <t>JAHFISH E.I.R.L.</t>
  </si>
  <si>
    <t>1200003624</t>
  </si>
  <si>
    <t>01-0F101-0007789</t>
  </si>
  <si>
    <t>JAHFISH E.I.R.L.</t>
  </si>
  <si>
    <t>1200003631</t>
  </si>
  <si>
    <t>01-0F101-0007794</t>
  </si>
  <si>
    <t>JAHFISH E.I.R.L.</t>
  </si>
  <si>
    <t>1200003632</t>
  </si>
  <si>
    <t>01-0F101-0007795</t>
  </si>
  <si>
    <t>JAHFISH E.I.R.L.</t>
  </si>
  <si>
    <t>1200003636</t>
  </si>
  <si>
    <t>01-0F101-0007797</t>
  </si>
  <si>
    <t>JAHFISH E.I.R.L.</t>
  </si>
  <si>
    <t>1200003637</t>
  </si>
  <si>
    <t>01-0F101-0007798</t>
  </si>
  <si>
    <t>JAHFISH E.I.R.L.</t>
  </si>
  <si>
    <t>1200003651</t>
  </si>
  <si>
    <t>01-0F101-0007807</t>
  </si>
  <si>
    <t>JAHFISH E.I.R.L.</t>
  </si>
  <si>
    <t>1200003652</t>
  </si>
  <si>
    <t>01-0F101-0007808</t>
  </si>
  <si>
    <t>JAHFISH E.I.R.L.</t>
  </si>
  <si>
    <t>1200003661</t>
  </si>
  <si>
    <t>01-0F101-0007817</t>
  </si>
  <si>
    <t>JAHFISH E.I.R.L.</t>
  </si>
  <si>
    <t>1200003662</t>
  </si>
  <si>
    <t>01-0F101-0007818</t>
  </si>
  <si>
    <t>JAHFISH E.I.R.L.</t>
  </si>
  <si>
    <t>1200003680</t>
  </si>
  <si>
    <t>01-0F101-0007831</t>
  </si>
  <si>
    <t>JAHFISH E.I.R.L.</t>
  </si>
  <si>
    <t>1200003681</t>
  </si>
  <si>
    <t>01-0F101-0007832</t>
  </si>
  <si>
    <t>JAHFISH E.I.R.L.</t>
  </si>
  <si>
    <t>1200003692</t>
  </si>
  <si>
    <t>01-0F101-0007843</t>
  </si>
  <si>
    <t>JAHFISH E.I.R.L.</t>
  </si>
  <si>
    <t>1200003693</t>
  </si>
  <si>
    <t>01-0F101-0007844</t>
  </si>
  <si>
    <t>JAHFISH E.I.R.L.</t>
  </si>
  <si>
    <t>1200003706</t>
  </si>
  <si>
    <t>01-0F101-0007853</t>
  </si>
  <si>
    <t>JAHFISH E.I.R.L.</t>
  </si>
  <si>
    <t>1200003707</t>
  </si>
  <si>
    <t>01-0F101-0007854</t>
  </si>
  <si>
    <t>JAHFISH E.I.R.L.</t>
  </si>
  <si>
    <t>1200003716</t>
  </si>
  <si>
    <t>01-0F101-0007863</t>
  </si>
  <si>
    <t>JAHFISH E.I.R.L.</t>
  </si>
  <si>
    <t>1200003717</t>
  </si>
  <si>
    <t>01-0F101-0007864</t>
  </si>
  <si>
    <t>JAHFISH E.I.R.L.</t>
  </si>
  <si>
    <t>1200003762</t>
  </si>
  <si>
    <t>01-0F101-0007899</t>
  </si>
  <si>
    <t>JAHFISH E.I.R.L.</t>
  </si>
  <si>
    <t>1200003763</t>
  </si>
  <si>
    <t>01-0F101-0007900</t>
  </si>
  <si>
    <t>2000001459</t>
  </si>
  <si>
    <t>KS FROZEN COMPANY LIMITED</t>
  </si>
  <si>
    <t>1300007198</t>
  </si>
  <si>
    <t>FT-0F002-0000393</t>
  </si>
  <si>
    <t>KS FROZEN COMPANY LIMITED</t>
  </si>
  <si>
    <t>1200003474</t>
  </si>
  <si>
    <t>01-0F002-0000407</t>
  </si>
  <si>
    <t>2000001172</t>
  </si>
  <si>
    <t>KULALIA SL</t>
  </si>
  <si>
    <t>1100015731</t>
  </si>
  <si>
    <t>FT-0F002-0000389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</si>
  <si>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</si>
  <si>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</si>
  <si>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</si>
  <si>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</si>
  <si>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</si>
  <si>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</si>
  <si>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</si>
  <si>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</si>
  <si>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</si>
  <si>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</si>
  <si>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</si>
  <si>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</si>
  <si>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</si>
  <si>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</si>
  <si>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</si>
  <si>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</si>
  <si>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</si>
  <si>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</si>
  <si>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</si>
  <si>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</si>
  <si>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</si>
  <si>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</si>
  <si>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</si>
  <si>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</si>
  <si>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</si>
  <si>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</si>
  <si>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</si>
  <si>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</si>
  <si>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</si>
  <si>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</si>
  <si>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</si>
  <si>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</si>
  <si>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</si>
  <si>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</si>
  <si>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</si>
  <si>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</si>
  <si>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</si>
  <si>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</si>
  <si>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</si>
  <si>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</si>
  <si>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</si>
  <si>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</si>
  <si>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</si>
  <si>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</si>
  <si>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</si>
  <si>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</si>
  <si>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</si>
  <si>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</si>
  <si>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</si>
  <si>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</si>
  <si>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</si>
  <si>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</si>
  <si>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</si>
  <si>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</si>
  <si>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</si>
  <si>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</si>
  <si>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</si>
  <si>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</si>
  <si>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</si>
  <si>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</si>
  <si>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</si>
  <si>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</si>
  <si>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</si>
  <si>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</si>
  <si>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</si>
  <si>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</si>
  <si>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</si>
  <si>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</si>
  <si>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</si>
  <si>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</si>
  <si>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</si>
  <si>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</si>
  <si>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</si>
  <si>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</si>
  <si>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</si>
  <si>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</si>
  <si>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</si>
  <si>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</si>
  <si>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</si>
  <si>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</si>
  <si>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</si>
  <si>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</si>
  <si>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</si>
  <si>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NEGOCIOS PESQUEROS AARON EIRL</t>
  </si>
  <si>
    <t>1300007099</t>
  </si>
  <si>
    <t>FT-0F101-0007507</t>
  </si>
  <si>
    <t>2000001359</t>
  </si>
  <si>
    <t>OCEANUS FISH S.L.</t>
  </si>
  <si>
    <t>1300005285</t>
  </si>
  <si>
    <t>FT-0F002-0000309</t>
  </si>
  <si>
    <t>2000001468</t>
  </si>
  <si>
    <t>OPTIMIZE INTEGRATION GROUP INC</t>
  </si>
  <si>
    <t>1300007199</t>
  </si>
  <si>
    <t>FT-0F002-0000387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</si>
  <si>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</si>
  <si>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</si>
  <si>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</si>
  <si>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</si>
  <si>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</si>
  <si>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</si>
  <si>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</si>
  <si>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</si>
  <si>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</si>
  <si>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</si>
  <si>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</si>
  <si>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</si>
  <si>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</si>
  <si>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</si>
  <si>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</si>
  <si>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1200003659</t>
  </si>
  <si>
    <t>01-0F101-0007815</t>
  </si>
  <si>
    <t>PESCACORD PERU SOCIEDAD ANONIMA CER</t>
  </si>
  <si>
    <t>1200003660</t>
  </si>
  <si>
    <t>01-0F101-0007816</t>
  </si>
  <si>
    <t>PESCACORD PERU SOCIEDAD ANONIMA CER</t>
  </si>
  <si>
    <t>1200003669</t>
  </si>
  <si>
    <t>01-0F101-0007823</t>
  </si>
  <si>
    <t>PESCACORD PERU SOCIEDAD ANONIMA CER</t>
  </si>
  <si>
    <t>1200003670</t>
  </si>
  <si>
    <t>01-0F101-0007824</t>
  </si>
  <si>
    <t>PESCACORD PERU SOCIEDAD ANONIMA CER</t>
  </si>
  <si>
    <t>1200003688</t>
  </si>
  <si>
    <t>01-0F101-0007839</t>
  </si>
  <si>
    <t>PESCACORD PERU SOCIEDAD ANONIMA CER</t>
  </si>
  <si>
    <t>1200003689</t>
  </si>
  <si>
    <t>01-0F101-0007840</t>
  </si>
  <si>
    <t>PESCACORD PERU SOCIEDAD ANONIMA CER</t>
  </si>
  <si>
    <t>1200003710</t>
  </si>
  <si>
    <t>01-0F101-0007857</t>
  </si>
  <si>
    <t>PESCACORD PERU SOCIEDAD ANONIMA CER</t>
  </si>
  <si>
    <t>1200003711</t>
  </si>
  <si>
    <t>01-0F101-0007858</t>
  </si>
  <si>
    <t>PESCACORD PERU SOCIEDAD ANONIMA CER</t>
  </si>
  <si>
    <t>1200003736</t>
  </si>
  <si>
    <t>01-0F101-0007877</t>
  </si>
  <si>
    <t>PESCACORD PERU SOCIEDAD ANONIMA CER</t>
  </si>
  <si>
    <t>1200003738</t>
  </si>
  <si>
    <t>01-0F101-0007879</t>
  </si>
  <si>
    <t>PESCACORD PERU SOCIEDAD ANONIMA CER</t>
  </si>
  <si>
    <t>1200003744</t>
  </si>
  <si>
    <t>01-0F101-0007883</t>
  </si>
  <si>
    <t>PESCACORD PERU SOCIEDAD ANONIMA CER</t>
  </si>
  <si>
    <t>1200003745</t>
  </si>
  <si>
    <t>01-0F101-0007884</t>
  </si>
  <si>
    <t>PESCACORD PERU SOCIEDAD ANONIMA CER</t>
  </si>
  <si>
    <t>1200003774</t>
  </si>
  <si>
    <t>01-0F101-0007907</t>
  </si>
  <si>
    <t>PESCACORD PERU SOCIEDAD ANONIMA CER</t>
  </si>
  <si>
    <t>1200003775</t>
  </si>
  <si>
    <t>01-0F101-0007908</t>
  </si>
  <si>
    <t>2000001382</t>
  </si>
  <si>
    <t>QINGDAO OCEAN FISHERY COMPANY LIMIT</t>
  </si>
  <si>
    <t>1300007200</t>
  </si>
  <si>
    <t>FT-0F002-0000394</t>
  </si>
  <si>
    <t>QINGDAO OCEAN FISHERY COMPANY LIMIT</t>
  </si>
  <si>
    <t>1300007201</t>
  </si>
  <si>
    <t>FT-0F002-0000404</t>
  </si>
  <si>
    <t>1000001965</t>
  </si>
  <si>
    <t>SERVICIOS DIESEL EXPRESS E.I.R.L.</t>
  </si>
  <si>
    <t>1200003535</t>
  </si>
  <si>
    <t>01-0F101-0007729</t>
  </si>
  <si>
    <t>SERVICIOS DIESEL EXPRESS E.I.R.L.</t>
  </si>
  <si>
    <t>1200003586</t>
  </si>
  <si>
    <t>01-0F101-0007759</t>
  </si>
  <si>
    <t>SERVICIOS DIESEL EXPRESS E.I.R.L.</t>
  </si>
  <si>
    <t>1200003597</t>
  </si>
  <si>
    <t>01-0F101-0007770</t>
  </si>
  <si>
    <t>2000001440</t>
  </si>
  <si>
    <t>Shenzhen Yueshi Supply Chain</t>
  </si>
  <si>
    <t>1300007151</t>
  </si>
  <si>
    <t>FP-266</t>
  </si>
  <si>
    <t>Shenzhen Yueshi Supply Chain</t>
  </si>
  <si>
    <t>1200003507</t>
  </si>
  <si>
    <t>01-0F002-0000414</t>
  </si>
  <si>
    <t>1000013801</t>
  </si>
  <si>
    <t>STL 5.0 S.A.C.</t>
  </si>
  <si>
    <t>1300007121</t>
  </si>
  <si>
    <t>FT-0F101-0007611</t>
  </si>
  <si>
    <t>1000013686</t>
  </si>
  <si>
    <t>TRANSPORTES O Y G S.A.C.</t>
  </si>
  <si>
    <t>1200003573</t>
  </si>
  <si>
    <t>01-0F101-0007753</t>
  </si>
  <si>
    <t>2000000786</t>
  </si>
  <si>
    <t>TSUJINO &amp; CO., LTD</t>
  </si>
  <si>
    <t>TSUJINO &amp; CO., LTD</t>
  </si>
  <si>
    <t>1200003577</t>
  </si>
  <si>
    <t>01-0F002-0000421</t>
  </si>
  <si>
    <t>UNIDAD DE NEGOCIO</t>
  </si>
  <si>
    <t>NACIONAL</t>
  </si>
  <si>
    <t>EXPORTACIÓN</t>
  </si>
  <si>
    <t>CISTERNA COMBUSTIBLE</t>
  </si>
  <si>
    <t>RODRIGO</t>
  </si>
  <si>
    <t>ALMACENAMIENTO</t>
  </si>
  <si>
    <t>1000015392</t>
  </si>
  <si>
    <t>SEBGUSTA FISH S.R.L.</t>
  </si>
  <si>
    <t>1200002881</t>
  </si>
  <si>
    <t>01-0F003-0000192</t>
  </si>
  <si>
    <t>LIMPIEZA</t>
  </si>
  <si>
    <t>6000434</t>
  </si>
  <si>
    <t>PESQUERA HAYDUK S.A.</t>
  </si>
  <si>
    <t>1200004540</t>
  </si>
  <si>
    <t>01-0F003-0000083</t>
  </si>
  <si>
    <t>OTROS</t>
  </si>
  <si>
    <t>Etiquetas de columna</t>
  </si>
  <si>
    <t>Etiquetas de fila</t>
  </si>
  <si>
    <t>Total general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</si>
  <si>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</si>
  <si>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</si>
  <si>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</si>
  <si>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</si>
  <si>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</si>
  <si>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</si>
  <si>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</si>
  <si>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</si>
  <si>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</si>
  <si>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91-a más</t>
  </si>
  <si>
    <t>FT-0F002-0000392</t>
  </si>
  <si>
    <t>Suma de USD HOMOL</t>
  </si>
  <si>
    <t>(Todas)</t>
  </si>
  <si>
    <t>(Varios elementos)</t>
  </si>
  <si>
    <t>Suma de DÍAS ATRASADOS</t>
  </si>
  <si>
    <t>Cuenta de DÍAS VENCIDOS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</si>
</sst>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3">
    <cellStyle name="Millares" xfId="1" builtinId="3"/>
    <cellStyle name="Normal" xfId="0" builtinId="0"/>
    <cellStyle name="Normal 2" xfId="2" xr:uid="{62A247FA-0DA3-48B8-9B5B-B40CDFD0D623}"/>
  </cellStyles>
  <dxfs count="26">
    <dxf>
      <numFmt numFmtId="164" formatCode="_-* #,##0.0_-;\-* #,##0.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72.758117013887" createdVersion="8" refreshedVersion="8" minRefreshableVersion="3" recordCount="171" xr:uid="{CC8FD8DF-FC27-431F-A69B-D953006602E3}">
  <cacheSource type="worksheet">
    <worksheetSource ref="A1:R172" sheet="Data"/>
  </cacheSource>
  <cacheFields count="18">
    <cacheField name="Cliente" numFmtId="0">
      <sharedItems/>
    </cacheField>
    <cacheField name="Nombre de cliente" numFmtId="0">
      <sharedItems count="28">
        <s v="ACUA DIESEL EIRL"/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OLDEN SEAFOOD PTE. LTD.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CACORD PERU SOCIEDAD ANONIMA CER"/>
        <s v="PESQUERA HAYDUK S.A."/>
        <s v="QINGDAO OCEAN FISHERY COMPANY LIMIT"/>
        <s v="SEBGUSTA FISH S.R.L."/>
        <s v="SERVICIOS DIESEL EXPRESS E.I.R.L."/>
        <s v="Shenzhen Yueshi Supply Chain"/>
        <s v="STL 5.0 S.A.C."/>
        <s v="TRANSPORTES O Y G S.A.C."/>
        <s v="TSUJINO &amp; CO., LTD"/>
      </sharedItems>
    </cacheField>
    <cacheField name="Nº documento" numFmtId="0">
      <sharedItems/>
    </cacheField>
    <cacheField name="Referencia" numFmtId="0">
      <sharedItems count="171">
        <s v="01-0F101-0007733"/>
        <s v="01-0F101-0007761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92"/>
        <s v="01-0F002-0000395"/>
        <s v="01-0F002-0000403"/>
        <s v="FT-0F002-0000410"/>
        <s v="FT-0F002-0000413"/>
        <s v="FT-0F002-0000412"/>
        <s v="FT-0F002-0000411"/>
        <s v="01-0F002-0000415"/>
        <s v="03-0B001-0004870"/>
        <s v="03-0B001-0004871"/>
        <s v="01-0F101-0007719"/>
        <s v="01-0F101-0007754"/>
        <s v="01-0F101-0007766"/>
        <s v="01-0F101-0007767"/>
        <s v="01-0F101-0007775"/>
        <s v="01-0F101-0007799"/>
        <s v="01-0F101-0007800"/>
        <s v="01-0F101-0007855"/>
        <s v="01-0F101-0007856"/>
        <s v="01-0F101-0007861"/>
        <s v="01-0F101-0007862"/>
        <s v="01-0F101-0007869"/>
        <s v="01-0F101-0007870"/>
        <s v="01-0F101-0007905"/>
        <s v="01-0F101-0007906"/>
        <s v="FP-273"/>
        <s v="01-0F002-0000420"/>
        <s v="03-0B001-0004867"/>
        <s v="03-0B001-0004868"/>
        <s v="03-0B001-0004876"/>
        <s v="03-0B001-0004877"/>
        <s v="03-0B001-0004878"/>
        <s v="03-0B001-0004879"/>
        <s v="03-0B001-0004885"/>
        <s v="03-0B001-0004886"/>
        <s v="03-0B001-0004891"/>
        <s v="03-0B001-0004892"/>
        <s v="03-0B001-0004897"/>
        <s v="03-0B001-0004898"/>
        <s v="03-0B001-0004903"/>
        <s v="03-0B001-0004904"/>
        <s v="FT-0F002-0000311"/>
        <s v="FP-276"/>
        <s v="01-0F002-0000422"/>
        <s v="01-0F101-0007701"/>
        <s v="01-0F101-0007720"/>
        <s v="01-0F101-0007779"/>
        <s v="01-0F101-0007676"/>
        <s v="01-0F101-0007677"/>
        <s v="01-0F101-0007682"/>
        <s v="01-0F101-0007683"/>
        <s v="01-0F101-0007690"/>
        <s v="01-0F101-0007691"/>
        <s v="01-0F101-0007722"/>
        <s v="01-0F101-0007723"/>
        <s v="01-0F101-0007730"/>
        <s v="01-0F101-0007731"/>
        <s v="01-0F101-0007734"/>
        <s v="01-0F101-0007735"/>
        <s v="01-0F101-0007739"/>
        <s v="01-0F101-0007740"/>
        <s v="01-0F101-0007750"/>
        <s v="01-0F101-0007751"/>
        <s v="01-0F101-0007755"/>
        <s v="01-0F101-0007756"/>
        <s v="01-0F101-0007771"/>
        <s v="01-0F101-0007772"/>
        <s v="01-0F101-0007773"/>
        <s v="01-0F101-0007774"/>
        <s v="01-0F101-0007788"/>
        <s v="01-0F101-0007789"/>
        <s v="01-0F101-0007794"/>
        <s v="01-0F101-0007795"/>
        <s v="01-0F101-0007797"/>
        <s v="01-0F101-0007798"/>
        <s v="01-0F101-0007807"/>
        <s v="01-0F101-0007808"/>
        <s v="01-0F101-0007817"/>
        <s v="01-0F101-0007818"/>
        <s v="01-0F101-0007831"/>
        <s v="01-0F101-0007832"/>
        <s v="01-0F101-0007843"/>
        <s v="01-0F101-0007844"/>
        <s v="01-0F101-0007853"/>
        <s v="01-0F101-0007854"/>
        <s v="01-0F101-0007863"/>
        <s v="01-0F101-0007864"/>
        <s v="01-0F101-0007899"/>
        <s v="01-0F101-0007900"/>
        <s v="FT-0F002-0000393"/>
        <s v="01-0F002-0000407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FT-0F002-0000387"/>
        <s v="FT-0F003-0000101"/>
        <s v="01-0F003-0000129"/>
        <s v="01-0F003-0000168"/>
        <s v="01-0F003-0000174"/>
        <s v="01-0F101-0007815"/>
        <s v="01-0F101-0007816"/>
        <s v="01-0F101-0007823"/>
        <s v="01-0F101-0007824"/>
        <s v="01-0F101-0007839"/>
        <s v="01-0F101-0007840"/>
        <s v="01-0F101-0007857"/>
        <s v="01-0F101-0007858"/>
        <s v="01-0F101-0007877"/>
        <s v="01-0F101-0007879"/>
        <s v="01-0F101-0007883"/>
        <s v="01-0F101-0007884"/>
        <s v="01-0F101-0007907"/>
        <s v="01-0F101-0007908"/>
        <s v="01-0F003-0000083"/>
        <s v="FT-0F002-0000394"/>
        <s v="FT-0F002-0000404"/>
        <s v="01-0F003-0000192"/>
        <s v="01-0F101-0007729"/>
        <s v="01-0F101-0007759"/>
        <s v="01-0F101-0007770"/>
        <s v="FP-266"/>
        <s v="01-0F002-0000414"/>
        <s v="FT-0F101-0007611"/>
        <s v="01-0F101-0007753"/>
        <s v="01-0F002-0000421"/>
      </sharedItems>
    </cacheField>
    <cacheField name="Clase de documento" numFmtId="0">
      <sharedItems count="6">
        <s v="DF"/>
        <s v="DE"/>
        <s v="ZV"/>
        <s v="DB"/>
        <s v="DZ"/>
        <s v="SA"/>
      </sharedItems>
    </cacheField>
    <cacheField name="Fecha de documento" numFmtId="14">
      <sharedItems containsSemiMixedTypes="0" containsNonDate="0" containsDate="1" containsString="0" minDate="2025-10-07T00:00:00" maxDate="2026-09-07T00:00:00" count="52">
        <d v="2026-08-31T00:00:00"/>
        <d v="2026-09-01T00:00:00"/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7-25T00:00:00"/>
        <d v="2026-07-27T00:00:00"/>
        <d v="2026-07-29T00:00:00"/>
        <d v="2026-08-15T00:00:00"/>
        <d v="2026-08-16T00:00:00"/>
        <d v="2026-08-27T00:00:00"/>
        <d v="2026-09-02T00:00:00"/>
        <d v="2026-09-03T00:00:00"/>
        <d v="2026-09-05T00:00:00"/>
        <d v="2026-09-06T00:00:00"/>
        <d v="2026-08-13T00:00:00"/>
        <d v="2026-04-27T00:00:00"/>
        <d v="2026-08-25T00:00:00"/>
        <d v="2026-08-08T00:00:00"/>
        <d v="2026-08-28T00:00:00"/>
        <d v="2026-07-24T00:00:00"/>
        <d v="2026-08-29T00:00:00"/>
        <d v="2026-09-04T00:00:00"/>
        <d v="2026-07-31T00:00:00"/>
        <d v="2026-07-17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6-13T00:00:00"/>
        <d v="2026-07-03T00:00:00"/>
        <d v="2026-04-28T00:00:00"/>
        <d v="2026-07-15T00:00:00"/>
        <d v="2026-07-13T00:00:00"/>
        <d v="2025-10-21T00:00:00"/>
        <d v="2025-11-04T00:00:00"/>
        <d v="2026-01-31T00:00:00"/>
        <d v="2026-03-03T00:00:00"/>
        <d v="2025-10-07T00:00:00"/>
        <d v="2026-06-30T00:00:00"/>
        <d v="2026-07-21T00:00:00"/>
        <d v="2026-07-18T00:00:00"/>
      </sharedItems>
    </cacheField>
    <cacheField name="Demora tras vencimiento neto" numFmtId="3">
      <sharedItems containsSemiMixedTypes="0" containsString="0" containsNumber="1" containsInteger="1" minValue="-78" maxValue="321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945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 COMBUSTIBLE"/>
        <s v="OTROS"/>
        <s v="LIMPIEZA"/>
      </sharedItems>
    </cacheField>
    <cacheField name="FECHA IDEAL DE PAGO" numFmtId="0">
      <sharedItems containsNonDate="0" containsDate="1" containsString="0" containsBlank="1" minDate="2026-06-26T00:00:00" maxDate="2026-10-31T00:00:00"/>
    </cacheField>
    <cacheField name="DÍAS VENCIDOS" numFmtId="0">
      <sharedItems containsString="0" containsBlank="1" containsNumber="1" containsInteger="1" minValue="-53" maxValue="-4"/>
    </cacheField>
    <cacheField name="Vcto finanzas SEMANA PASADA" numFmtId="0">
      <sharedItems containsNonDate="0" containsDate="1" containsString="0" containsBlank="1" minDate="2026-09-11T00:00:00" maxDate="2026-10-31T00:00:00"/>
    </cacheField>
    <cacheField name="Vcto finanzas" numFmtId="14">
      <sharedItems containsSemiMixedTypes="0" containsNonDate="0" containsDate="1" containsString="0" minDate="2025-10-14T00:00:00" maxDate="2026-10-31T00:00:00"/>
    </cacheField>
    <cacheField name="USD HOMOL" numFmtId="0">
      <sharedItems containsSemiMixedTypes="0" containsString="0" containsNumber="1" minValue="-31032" maxValue="94530"/>
    </cacheField>
    <cacheField name="DÍAS ATRASADOS" numFmtId="0">
      <sharedItems containsString="0" containsBlank="1" containsNumber="1" containsInteger="1" minValue="7" maxValue="133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72.758877199078" createdVersion="8" refreshedVersion="8" minRefreshableVersion="3" recordCount="171" xr:uid="{DA883698-75FD-4C7A-AF7E-8A7031A79B5A}">
  <cacheSource type="worksheet">
    <worksheetSource ref="A1:R172" sheet="Data"/>
  </cacheSource>
  <cacheFields count="18">
    <cacheField name="Cliente" numFmtId="0">
      <sharedItems count="28">
        <s v="1000000434"/>
        <s v="1000013966"/>
        <s v="2000001028"/>
        <s v="1000013676"/>
        <s v="1000013678"/>
        <s v="1000002057"/>
        <s v="2000001381"/>
        <s v="1000013754"/>
        <s v="2000001368"/>
        <s v="2000001439"/>
        <s v="6002186"/>
        <s v="1000006830"/>
        <s v="2000001459"/>
        <s v="2000001172"/>
        <s v="6002007"/>
        <s v="6001105"/>
        <s v="2000001359"/>
        <s v="2000001468"/>
        <s v="1000013925"/>
        <s v="1000015185"/>
        <s v="6000434"/>
        <s v="2000001382"/>
        <s v="1000015392"/>
        <s v="1000001965"/>
        <s v="2000001440"/>
        <s v="1000013801"/>
        <s v="1000013686"/>
        <s v="2000000786"/>
      </sharedItems>
    </cacheField>
    <cacheField name="Nombre de cliente" numFmtId="0">
      <sharedItems count="28">
        <s v="ACUA DIESEL EIRL"/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OLDEN SEAFOOD PTE. LTD.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CACORD PERU SOCIEDAD ANONIMA CER"/>
        <s v="PESQUERA HAYDUK S.A."/>
        <s v="QINGDAO OCEAN FISHERY COMPANY LIMIT"/>
        <s v="SEBGUSTA FISH S.R.L."/>
        <s v="SERVICIOS DIESEL EXPRESS E.I.R.L."/>
        <s v="Shenzhen Yueshi Supply Chain"/>
        <s v="STL 5.0 S.A.C."/>
        <s v="TRANSPORTES O Y G S.A.C."/>
        <s v="TSUJINO &amp; CO., LTD"/>
      </sharedItems>
    </cacheField>
    <cacheField name="Nº documento" numFmtId="0">
      <sharedItems/>
    </cacheField>
    <cacheField name="Referencia" numFmtId="0">
      <sharedItems count="171">
        <s v="01-0F101-0007733"/>
        <s v="01-0F101-0007761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92"/>
        <s v="01-0F002-0000395"/>
        <s v="01-0F002-0000403"/>
        <s v="FT-0F002-0000410"/>
        <s v="FT-0F002-0000413"/>
        <s v="FT-0F002-0000412"/>
        <s v="FT-0F002-0000411"/>
        <s v="01-0F002-0000415"/>
        <s v="03-0B001-0004870"/>
        <s v="03-0B001-0004871"/>
        <s v="01-0F101-0007719"/>
        <s v="01-0F101-0007754"/>
        <s v="01-0F101-0007766"/>
        <s v="01-0F101-0007767"/>
        <s v="01-0F101-0007775"/>
        <s v="01-0F101-0007799"/>
        <s v="01-0F101-0007800"/>
        <s v="01-0F101-0007855"/>
        <s v="01-0F101-0007856"/>
        <s v="01-0F101-0007861"/>
        <s v="01-0F101-0007862"/>
        <s v="01-0F101-0007869"/>
        <s v="01-0F101-0007870"/>
        <s v="01-0F101-0007905"/>
        <s v="01-0F101-0007906"/>
        <s v="FP-273"/>
        <s v="01-0F002-0000420"/>
        <s v="03-0B001-0004867"/>
        <s v="03-0B001-0004868"/>
        <s v="03-0B001-0004876"/>
        <s v="03-0B001-0004877"/>
        <s v="03-0B001-0004878"/>
        <s v="03-0B001-0004879"/>
        <s v="03-0B001-0004885"/>
        <s v="03-0B001-0004886"/>
        <s v="03-0B001-0004891"/>
        <s v="03-0B001-0004892"/>
        <s v="03-0B001-0004897"/>
        <s v="03-0B001-0004898"/>
        <s v="03-0B001-0004903"/>
        <s v="03-0B001-0004904"/>
        <s v="FT-0F002-0000311"/>
        <s v="FP-276"/>
        <s v="01-0F002-0000422"/>
        <s v="01-0F101-0007701"/>
        <s v="01-0F101-0007720"/>
        <s v="01-0F101-0007779"/>
        <s v="01-0F101-0007676"/>
        <s v="01-0F101-0007677"/>
        <s v="01-0F101-0007682"/>
        <s v="01-0F101-0007683"/>
        <s v="01-0F101-0007690"/>
        <s v="01-0F101-0007691"/>
        <s v="01-0F101-0007722"/>
        <s v="01-0F101-0007723"/>
        <s v="01-0F101-0007730"/>
        <s v="01-0F101-0007731"/>
        <s v="01-0F101-0007734"/>
        <s v="01-0F101-0007735"/>
        <s v="01-0F101-0007739"/>
        <s v="01-0F101-0007740"/>
        <s v="01-0F101-0007750"/>
        <s v="01-0F101-0007751"/>
        <s v="01-0F101-0007755"/>
        <s v="01-0F101-0007756"/>
        <s v="01-0F101-0007771"/>
        <s v="01-0F101-0007772"/>
        <s v="01-0F101-0007773"/>
        <s v="01-0F101-0007774"/>
        <s v="01-0F101-0007788"/>
        <s v="01-0F101-0007789"/>
        <s v="01-0F101-0007794"/>
        <s v="01-0F101-0007795"/>
        <s v="01-0F101-0007797"/>
        <s v="01-0F101-0007798"/>
        <s v="01-0F101-0007807"/>
        <s v="01-0F101-0007808"/>
        <s v="01-0F101-0007817"/>
        <s v="01-0F101-0007818"/>
        <s v="01-0F101-0007831"/>
        <s v="01-0F101-0007832"/>
        <s v="01-0F101-0007843"/>
        <s v="01-0F101-0007844"/>
        <s v="01-0F101-0007853"/>
        <s v="01-0F101-0007854"/>
        <s v="01-0F101-0007863"/>
        <s v="01-0F101-0007864"/>
        <s v="01-0F101-0007899"/>
        <s v="01-0F101-0007900"/>
        <s v="FT-0F002-0000393"/>
        <s v="01-0F002-0000407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FT-0F002-0000387"/>
        <s v="FT-0F003-0000101"/>
        <s v="01-0F003-0000129"/>
        <s v="01-0F003-0000168"/>
        <s v="01-0F003-0000174"/>
        <s v="01-0F101-0007815"/>
        <s v="01-0F101-0007816"/>
        <s v="01-0F101-0007823"/>
        <s v="01-0F101-0007824"/>
        <s v="01-0F101-0007839"/>
        <s v="01-0F101-0007840"/>
        <s v="01-0F101-0007857"/>
        <s v="01-0F101-0007858"/>
        <s v="01-0F101-0007877"/>
        <s v="01-0F101-0007879"/>
        <s v="01-0F101-0007883"/>
        <s v="01-0F101-0007884"/>
        <s v="01-0F101-0007907"/>
        <s v="01-0F101-0007908"/>
        <s v="01-0F003-0000083"/>
        <s v="FT-0F002-0000394"/>
        <s v="FT-0F002-0000404"/>
        <s v="01-0F003-0000192"/>
        <s v="01-0F101-0007729"/>
        <s v="01-0F101-0007759"/>
        <s v="01-0F101-0007770"/>
        <s v="FP-266"/>
        <s v="01-0F002-0000414"/>
        <s v="FT-0F101-0007611"/>
        <s v="01-0F101-0007753"/>
        <s v="01-0F002-0000421"/>
      </sharedItems>
    </cacheField>
    <cacheField name="Clase de documento" numFmtId="0">
      <sharedItems count="6">
        <s v="DF"/>
        <s v="DE"/>
        <s v="ZV"/>
        <s v="DB"/>
        <s v="DZ"/>
        <s v="SA"/>
      </sharedItems>
    </cacheField>
    <cacheField name="Fecha de documento" numFmtId="14">
      <sharedItems containsSemiMixedTypes="0" containsNonDate="0" containsDate="1" containsString="0" minDate="2025-10-07T00:00:00" maxDate="2026-09-07T00:00:00"/>
    </cacheField>
    <cacheField name="Demora tras vencimiento neto" numFmtId="3">
      <sharedItems containsSemiMixedTypes="0" containsString="0" containsNumber="1" containsInteger="1" minValue="-78" maxValue="321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945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 COMBUSTIBLE"/>
        <s v="OTROS"/>
        <s v="LIMPIEZA"/>
      </sharedItems>
    </cacheField>
    <cacheField name="FECHA IDEAL DE PAGO" numFmtId="0">
      <sharedItems containsNonDate="0" containsDate="1" containsString="0" containsBlank="1" minDate="2026-06-26T00:00:00" maxDate="2026-10-31T00:00:00"/>
    </cacheField>
    <cacheField name="DÍAS VENCIDOS" numFmtId="0">
      <sharedItems containsString="0" containsBlank="1" containsNumber="1" containsInteger="1" minValue="-53" maxValue="-4"/>
    </cacheField>
    <cacheField name="Vcto finanzas SEMANA PASADA" numFmtId="0">
      <sharedItems containsNonDate="0" containsDate="1" containsString="0" containsBlank="1" minDate="2026-09-11T00:00:00" maxDate="2026-10-31T00:00:00"/>
    </cacheField>
    <cacheField name="Vcto finanzas" numFmtId="14">
      <sharedItems containsSemiMixedTypes="0" containsNonDate="0" containsDate="1" containsString="0" minDate="2025-10-14T00:00:00" maxDate="2026-10-31T00:00:00"/>
    </cacheField>
    <cacheField name="USD HOMOL" numFmtId="0">
      <sharedItems containsSemiMixedTypes="0" containsString="0" containsNumber="1" minValue="-31032" maxValue="94530"/>
    </cacheField>
    <cacheField name="DÍAS ATRASADOS" numFmtId="0">
      <sharedItems containsString="0" containsBlank="1" containsNumber="1" containsInteger="1" minValue="7" maxValue="133"/>
    </cacheField>
    <cacheField name="ANTIGÜEDAD" numFmtId="0">
      <sharedItems containsBlank="1" count="4">
        <m/>
        <s v="0-45"/>
        <s v="91-a más"/>
        <s v="46-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72.825450810182" createdVersion="8" refreshedVersion="8" minRefreshableVersion="3" recordCount="171" xr:uid="{686054CC-AA94-4050-869B-F8000678CDE9}">
  <cacheSource type="worksheet">
    <worksheetSource ref="A1:R172" sheet="Data"/>
  </cacheSource>
  <cacheFields count="21">
    <cacheField name="Cliente" numFmtId="0">
      <sharedItems/>
    </cacheField>
    <cacheField name="Nombre de cliente" numFmtId="0">
      <sharedItems count="28">
        <s v="ACUA DIESEL EIRL"/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OLDEN SEAFOOD PTE. LTD.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CACORD PERU SOCIEDAD ANONIMA CER"/>
        <s v="PESQUERA HAYDUK S.A."/>
        <s v="QINGDAO OCEAN FISHERY COMPANY LIMIT"/>
        <s v="SEBGUSTA FISH S.R.L."/>
        <s v="SERVICIOS DIESEL EXPRESS E.I.R.L."/>
        <s v="Shenzhen Yueshi Supply Chain"/>
        <s v="STL 5.0 S.A.C."/>
        <s v="TRANSPORTES O Y G S.A.C."/>
        <s v="TSUJINO &amp; CO., LTD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6">
        <s v="DF"/>
        <s v="DE"/>
        <s v="ZV"/>
        <s v="DB"/>
        <s v="DZ"/>
        <s v="SA"/>
      </sharedItems>
    </cacheField>
    <cacheField name="Fecha de documento" numFmtId="14">
      <sharedItems containsSemiMixedTypes="0" containsNonDate="0" containsDate="1" containsString="0" minDate="2025-10-07T00:00:00" maxDate="2026-09-07T00:00:00"/>
    </cacheField>
    <cacheField name="Demora tras vencimiento neto" numFmtId="3">
      <sharedItems containsSemiMixedTypes="0" containsString="0" containsNumber="1" containsInteger="1" minValue="-78" maxValue="321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945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 COMBUSTIBLE"/>
        <s v="OTROS"/>
        <s v="LIMPIEZA"/>
      </sharedItems>
    </cacheField>
    <cacheField name="FECHA IDEAL DE PAGO" numFmtId="0">
      <sharedItems containsNonDate="0" containsDate="1" containsString="0" containsBlank="1" minDate="2026-06-26T00:00:00" maxDate="2026-10-31T00:00:00"/>
    </cacheField>
    <cacheField name="DÍAS VENCIDOS" numFmtId="0">
      <sharedItems containsString="0" containsBlank="1" containsNumber="1" containsInteger="1" minValue="-53" maxValue="-4"/>
    </cacheField>
    <cacheField name="Vcto finanzas SEMANA PASADA" numFmtId="0">
      <sharedItems containsNonDate="0" containsDate="1" containsString="0" containsBlank="1" minDate="2026-09-11T00:00:00" maxDate="2026-10-31T00:00:00"/>
    </cacheField>
    <cacheField name="Vcto finanzas" numFmtId="14">
      <sharedItems containsSemiMixedTypes="0" containsNonDate="0" containsDate="1" containsString="0" minDate="2025-10-14T00:00:00" maxDate="2026-10-31T00:00:00" count="53">
        <d v="2026-09-07T00:00:00"/>
        <d v="2026-09-08T00:00:00"/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9-23T00:00:00"/>
        <d v="2026-09-25T00:00:00"/>
        <d v="2026-09-27T00:00:00"/>
        <d v="2026-10-14T00:00:00"/>
        <d v="2026-10-15T00:00:00"/>
        <d v="2026-09-03T00:00:00"/>
        <d v="2026-09-09T00:00:00"/>
        <d v="2026-09-10T00:00:00"/>
        <d v="2026-09-12T00:00:00"/>
        <d v="2026-09-13T00:00:00"/>
        <d v="2026-08-13T00:00:00"/>
        <d v="2026-10-30T00:00:00"/>
        <d v="2026-08-25T00:00:00"/>
        <d v="2026-08-15T00:00:00"/>
        <d v="2026-09-04T00:00:00"/>
        <d v="2026-07-31T00:00:00"/>
        <d v="2026-08-03T00:00:00"/>
        <d v="2026-09-05T00:00:00"/>
        <d v="2026-09-11T00:00:00"/>
        <d v="2026-09-29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6-06-20T00:00:00"/>
        <d v="2026-07-10T00:00:00"/>
        <d v="2026-07-24T00:00:00"/>
        <d v="2026-04-28T00:00:00"/>
        <d v="2026-05-12T00:00:00"/>
        <d v="2026-07-15T00:00:00"/>
        <d v="2025-10-21T00:00:00"/>
        <d v="2025-11-11T00:00:00"/>
        <d v="2026-02-07T00:00:00"/>
        <d v="2026-03-10T00:00:00"/>
        <d v="2025-10-14T00:00:00"/>
        <d v="2026-07-07T00:00:00"/>
        <d v="2026-07-21T00:00:00"/>
        <d v="2026-07-18T00:00:00"/>
      </sharedItems>
      <fieldGroup par="20"/>
    </cacheField>
    <cacheField name="USD HOMOL" numFmtId="0">
      <sharedItems containsSemiMixedTypes="0" containsString="0" containsNumber="1" minValue="-31032" maxValue="94530"/>
    </cacheField>
    <cacheField name="DÍAS ATRASADOS" numFmtId="0">
      <sharedItems containsString="0" containsBlank="1" containsNumber="1" containsInteger="1" minValue="7" maxValue="133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10-14T00:00:00" endDate="2026-10-31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/10/2026"/>
        </groupItems>
      </fieldGroup>
    </cacheField>
    <cacheField name="Trimestres (Vcto finanzas)" numFmtId="0" databaseField="0">
      <fieldGroup base="14">
        <rangePr groupBy="quarters" startDate="2025-10-14T00:00:00" endDate="2026-10-31T00:00:00"/>
        <groupItems count="6">
          <s v="&lt;14/10/2025"/>
          <s v="Trim.1"/>
          <s v="Trim.2"/>
          <s v="Trim.3"/>
          <s v="Trim.4"/>
          <s v="&gt;31/10/2026"/>
        </groupItems>
      </fieldGroup>
    </cacheField>
    <cacheField name="Años (Vcto finanzas)" numFmtId="0" databaseField="0">
      <fieldGroup base="14">
        <rangePr groupBy="years" startDate="2025-10-14T00:00:00" endDate="2026-10-31T00:00:00"/>
        <groupItems count="4">
          <s v="&lt;14/10/2025"/>
          <s v="2025"/>
          <s v="2026"/>
          <s v="&gt;31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1000000434"/>
    <x v="0"/>
    <s v="1200003541"/>
    <x v="0"/>
    <x v="0"/>
    <x v="0"/>
    <n v="0"/>
    <d v="2026-09-07T00:00:00"/>
    <n v="590"/>
    <s v="PEN"/>
    <x v="0"/>
    <m/>
    <m/>
    <m/>
    <d v="2026-09-07T00:00:00"/>
    <n v="175.12615019293557"/>
    <m/>
    <m/>
  </r>
  <r>
    <s v="1000000434"/>
    <x v="0"/>
    <s v="1200003588"/>
    <x v="1"/>
    <x v="0"/>
    <x v="1"/>
    <n v="-1"/>
    <d v="2026-09-08T00:00:00"/>
    <n v="708"/>
    <s v="PEN"/>
    <x v="0"/>
    <m/>
    <m/>
    <m/>
    <d v="2026-09-08T00:00:00"/>
    <n v="210.15138023152269"/>
    <m/>
    <m/>
  </r>
  <r>
    <s v="1000013966"/>
    <x v="1"/>
    <s v="1200005220"/>
    <x v="2"/>
    <x v="0"/>
    <x v="2"/>
    <n v="285"/>
    <d v="2025-11-26T00:00:00"/>
    <n v="42.48"/>
    <s v="PEN"/>
    <x v="0"/>
    <m/>
    <m/>
    <m/>
    <d v="2025-11-26T00:00:00"/>
    <n v="12.60908281389136"/>
    <m/>
    <m/>
  </r>
  <r>
    <s v="1000013966"/>
    <x v="1"/>
    <s v="1200005228"/>
    <x v="3"/>
    <x v="0"/>
    <x v="2"/>
    <n v="285"/>
    <d v="2025-11-26T00:00:00"/>
    <n v="14.16"/>
    <s v="PEN"/>
    <x v="0"/>
    <m/>
    <m/>
    <m/>
    <d v="2025-11-26T00:00:00"/>
    <n v="4.2030276046304538"/>
    <m/>
    <m/>
  </r>
  <r>
    <s v="1000013966"/>
    <x v="1"/>
    <s v="1200005242"/>
    <x v="4"/>
    <x v="0"/>
    <x v="2"/>
    <n v="285"/>
    <d v="2025-11-26T00:00:00"/>
    <n v="14.16"/>
    <s v="PEN"/>
    <x v="0"/>
    <m/>
    <m/>
    <m/>
    <d v="2025-11-26T00:00:00"/>
    <n v="4.2030276046304538"/>
    <m/>
    <m/>
  </r>
  <r>
    <s v="1000013966"/>
    <x v="1"/>
    <s v="1200005264"/>
    <x v="5"/>
    <x v="0"/>
    <x v="3"/>
    <n v="284"/>
    <d v="2025-11-27T00:00:00"/>
    <n v="28.32"/>
    <s v="PEN"/>
    <x v="0"/>
    <m/>
    <m/>
    <m/>
    <d v="2025-11-27T00:00:00"/>
    <n v="8.4060552092609075"/>
    <m/>
    <m/>
  </r>
  <r>
    <s v="1000013966"/>
    <x v="1"/>
    <s v="1200005271"/>
    <x v="6"/>
    <x v="0"/>
    <x v="3"/>
    <n v="284"/>
    <d v="2025-11-27T00:00:00"/>
    <n v="14.16"/>
    <s v="PEN"/>
    <x v="0"/>
    <m/>
    <m/>
    <m/>
    <d v="2025-11-27T00:00:00"/>
    <n v="4.2030276046304538"/>
    <m/>
    <m/>
  </r>
  <r>
    <s v="1000013966"/>
    <x v="1"/>
    <s v="1200005296"/>
    <x v="7"/>
    <x v="0"/>
    <x v="4"/>
    <n v="283"/>
    <d v="2025-11-28T00:00:00"/>
    <n v="28.32"/>
    <s v="PEN"/>
    <x v="0"/>
    <m/>
    <m/>
    <m/>
    <d v="2025-11-28T00:00:00"/>
    <n v="8.4060552092609075"/>
    <m/>
    <m/>
  </r>
  <r>
    <s v="1000013966"/>
    <x v="1"/>
    <s v="1200005302"/>
    <x v="8"/>
    <x v="0"/>
    <x v="4"/>
    <n v="283"/>
    <d v="2025-11-28T00:00:00"/>
    <n v="42.48"/>
    <s v="PEN"/>
    <x v="0"/>
    <m/>
    <m/>
    <m/>
    <d v="2025-11-28T00:00:00"/>
    <n v="12.60908281389136"/>
    <m/>
    <m/>
  </r>
  <r>
    <s v="1000013966"/>
    <x v="1"/>
    <s v="1200005304"/>
    <x v="9"/>
    <x v="0"/>
    <x v="4"/>
    <n v="283"/>
    <d v="2025-11-28T00:00:00"/>
    <n v="42.48"/>
    <s v="PEN"/>
    <x v="0"/>
    <m/>
    <m/>
    <m/>
    <d v="2025-11-28T00:00:00"/>
    <n v="12.60908281389136"/>
    <m/>
    <m/>
  </r>
  <r>
    <s v="1000013966"/>
    <x v="1"/>
    <s v="1200005313"/>
    <x v="10"/>
    <x v="0"/>
    <x v="4"/>
    <n v="283"/>
    <d v="2025-11-28T00:00:00"/>
    <n v="14.16"/>
    <s v="PEN"/>
    <x v="0"/>
    <m/>
    <m/>
    <m/>
    <d v="2025-11-28T00:00:00"/>
    <n v="4.2030276046304538"/>
    <m/>
    <m/>
  </r>
  <r>
    <s v="1000013966"/>
    <x v="1"/>
    <s v="1200005346"/>
    <x v="11"/>
    <x v="0"/>
    <x v="5"/>
    <n v="282"/>
    <d v="2025-11-29T00:00:00"/>
    <n v="28.32"/>
    <s v="PEN"/>
    <x v="0"/>
    <m/>
    <m/>
    <m/>
    <d v="2025-11-29T00:00:00"/>
    <n v="8.4060552092609075"/>
    <m/>
    <m/>
  </r>
  <r>
    <s v="1000013966"/>
    <x v="1"/>
    <s v="1200005422"/>
    <x v="12"/>
    <x v="0"/>
    <x v="6"/>
    <n v="277"/>
    <d v="2025-12-04T00:00:00"/>
    <n v="14.16"/>
    <s v="PEN"/>
    <x v="0"/>
    <m/>
    <m/>
    <m/>
    <d v="2025-12-04T00:00:00"/>
    <n v="4.2030276046304538"/>
    <m/>
    <m/>
  </r>
  <r>
    <s v="1000013966"/>
    <x v="1"/>
    <s v="1200000045"/>
    <x v="13"/>
    <x v="0"/>
    <x v="7"/>
    <n v="237"/>
    <d v="2026-01-13T00:00:00"/>
    <n v="14.16"/>
    <s v="PEN"/>
    <x v="0"/>
    <m/>
    <m/>
    <m/>
    <d v="2026-01-13T00:00:00"/>
    <n v="4.2030276046304538"/>
    <m/>
    <m/>
  </r>
  <r>
    <s v="1000013966"/>
    <x v="1"/>
    <s v="1200000090"/>
    <x v="14"/>
    <x v="0"/>
    <x v="8"/>
    <n v="235"/>
    <d v="2026-01-15T00:00:00"/>
    <n v="14.16"/>
    <s v="PEN"/>
    <x v="0"/>
    <m/>
    <m/>
    <m/>
    <d v="2026-01-15T00:00:00"/>
    <n v="4.2030276046304538"/>
    <m/>
    <m/>
  </r>
  <r>
    <s v="1000013966"/>
    <x v="1"/>
    <s v="1200000113"/>
    <x v="15"/>
    <x v="0"/>
    <x v="9"/>
    <n v="233"/>
    <d v="2026-01-17T00:00:00"/>
    <n v="14.16"/>
    <s v="PEN"/>
    <x v="0"/>
    <m/>
    <m/>
    <m/>
    <d v="2026-01-17T00:00:00"/>
    <n v="4.2030276046304538"/>
    <m/>
    <m/>
  </r>
  <r>
    <s v="1000013966"/>
    <x v="1"/>
    <s v="1200000132"/>
    <x v="16"/>
    <x v="0"/>
    <x v="10"/>
    <n v="227"/>
    <d v="2026-01-23T00:00:00"/>
    <n v="14.16"/>
    <s v="PEN"/>
    <x v="0"/>
    <m/>
    <m/>
    <m/>
    <d v="2026-01-23T00:00:00"/>
    <n v="4.2030276046304538"/>
    <m/>
    <m/>
  </r>
  <r>
    <s v="1000013966"/>
    <x v="1"/>
    <s v="1200000133"/>
    <x v="17"/>
    <x v="0"/>
    <x v="10"/>
    <n v="227"/>
    <d v="2026-01-23T00:00:00"/>
    <n v="14.16"/>
    <s v="PEN"/>
    <x v="0"/>
    <m/>
    <m/>
    <m/>
    <d v="2026-01-23T00:00:00"/>
    <n v="4.2030276046304538"/>
    <m/>
    <m/>
  </r>
  <r>
    <s v="1000013966"/>
    <x v="1"/>
    <s v="1200000141"/>
    <x v="18"/>
    <x v="0"/>
    <x v="11"/>
    <n v="224"/>
    <d v="2026-01-26T00:00:00"/>
    <n v="14.16"/>
    <s v="PEN"/>
    <x v="0"/>
    <m/>
    <m/>
    <m/>
    <d v="2026-01-26T00:00:00"/>
    <n v="4.2030276046304538"/>
    <m/>
    <m/>
  </r>
  <r>
    <s v="2000001028"/>
    <x v="2"/>
    <s v="1200003451"/>
    <x v="19"/>
    <x v="1"/>
    <x v="12"/>
    <n v="-16"/>
    <d v="2026-09-23T00:00:00"/>
    <n v="8619"/>
    <s v="USD"/>
    <x v="1"/>
    <d v="2026-09-23T00:00:00"/>
    <n v="-16"/>
    <d v="2026-09-23T00:00:00"/>
    <d v="2026-09-23T00:00:00"/>
    <n v="8619"/>
    <n v="44"/>
    <s v="0-45"/>
  </r>
  <r>
    <s v="2000001028"/>
    <x v="2"/>
    <s v="1200003454"/>
    <x v="20"/>
    <x v="1"/>
    <x v="13"/>
    <n v="-78"/>
    <d v="2026-11-24T00:00:00"/>
    <n v="83280"/>
    <s v="USD"/>
    <x v="1"/>
    <d v="2026-09-25T00:00:00"/>
    <n v="-18"/>
    <d v="2026-09-25T00:00:00"/>
    <d v="2026-09-25T00:00:00"/>
    <n v="83280"/>
    <n v="42"/>
    <s v="0-45"/>
  </r>
  <r>
    <s v="2000001028"/>
    <x v="2"/>
    <s v="1200003470"/>
    <x v="21"/>
    <x v="1"/>
    <x v="14"/>
    <n v="-20"/>
    <d v="2026-09-27T00:00:00"/>
    <n v="41448"/>
    <s v="USD"/>
    <x v="1"/>
    <d v="2026-09-27T00:00:00"/>
    <n v="-20"/>
    <d v="2026-09-27T00:00:00"/>
    <d v="2026-09-27T00:00:00"/>
    <n v="41448"/>
    <n v="40"/>
    <s v="0-45"/>
  </r>
  <r>
    <s v="2000001028"/>
    <x v="2"/>
    <s v="1300008499"/>
    <x v="22"/>
    <x v="2"/>
    <x v="15"/>
    <n v="23"/>
    <d v="2026-08-15T00:00:00"/>
    <n v="94530"/>
    <s v="USD"/>
    <x v="1"/>
    <d v="2026-10-14T00:00:00"/>
    <n v="-37"/>
    <d v="2026-10-14T00:00:00"/>
    <d v="2026-10-14T00:00:00"/>
    <n v="94530"/>
    <n v="23"/>
    <s v="0-45"/>
  </r>
  <r>
    <s v="2000001028"/>
    <x v="2"/>
    <s v="1300008500"/>
    <x v="23"/>
    <x v="2"/>
    <x v="15"/>
    <n v="23"/>
    <d v="2026-08-15T00:00:00"/>
    <n v="29598"/>
    <s v="USD"/>
    <x v="1"/>
    <d v="2026-10-14T00:00:00"/>
    <n v="-37"/>
    <d v="2026-10-14T00:00:00"/>
    <d v="2026-10-14T00:00:00"/>
    <n v="29598"/>
    <n v="23"/>
    <s v="0-45"/>
  </r>
  <r>
    <s v="2000001028"/>
    <x v="2"/>
    <s v="1300008501"/>
    <x v="24"/>
    <x v="2"/>
    <x v="15"/>
    <n v="23"/>
    <d v="2026-08-15T00:00:00"/>
    <n v="54840"/>
    <s v="USD"/>
    <x v="1"/>
    <d v="2026-10-14T00:00:00"/>
    <n v="-37"/>
    <d v="2026-10-14T00:00:00"/>
    <d v="2026-10-14T00:00:00"/>
    <n v="54840"/>
    <n v="23"/>
    <s v="0-45"/>
  </r>
  <r>
    <s v="2000001028"/>
    <x v="2"/>
    <s v="1300008502"/>
    <x v="25"/>
    <x v="2"/>
    <x v="15"/>
    <n v="23"/>
    <d v="2026-08-15T00:00:00"/>
    <n v="29010"/>
    <s v="USD"/>
    <x v="1"/>
    <d v="2026-10-14T00:00:00"/>
    <n v="-37"/>
    <d v="2026-10-14T00:00:00"/>
    <d v="2026-10-14T00:00:00"/>
    <n v="29010"/>
    <n v="23"/>
    <s v="0-45"/>
  </r>
  <r>
    <s v="2000001028"/>
    <x v="2"/>
    <s v="1200003508"/>
    <x v="26"/>
    <x v="1"/>
    <x v="16"/>
    <n v="-38"/>
    <d v="2026-10-15T00:00:00"/>
    <n v="41064"/>
    <s v="USD"/>
    <x v="1"/>
    <d v="2026-10-15T00:00:00"/>
    <n v="-38"/>
    <d v="2026-10-15T00:00:00"/>
    <d v="2026-10-15T00:00:00"/>
    <n v="41064"/>
    <n v="22"/>
    <s v="0-45"/>
  </r>
  <r>
    <s v="1000013676"/>
    <x v="3"/>
    <s v="1200003566"/>
    <x v="27"/>
    <x v="3"/>
    <x v="1"/>
    <n v="-1"/>
    <d v="2026-09-08T00:00:00"/>
    <n v="325.68"/>
    <s v="PEN"/>
    <x v="0"/>
    <m/>
    <m/>
    <m/>
    <d v="2026-09-08T00:00:00"/>
    <n v="96.669634906500434"/>
    <m/>
    <m/>
  </r>
  <r>
    <s v="1000013676"/>
    <x v="3"/>
    <s v="1200003567"/>
    <x v="28"/>
    <x v="3"/>
    <x v="1"/>
    <n v="-1"/>
    <d v="2026-09-08T00:00:00"/>
    <n v="35.4"/>
    <s v="PEN"/>
    <x v="0"/>
    <m/>
    <m/>
    <m/>
    <d v="2026-09-08T00:00:00"/>
    <n v="10.507569011576134"/>
    <m/>
    <m/>
  </r>
  <r>
    <s v="1000013678"/>
    <x v="4"/>
    <s v="1200003522"/>
    <x v="29"/>
    <x v="0"/>
    <x v="17"/>
    <n v="4"/>
    <d v="2026-09-03T00:00:00"/>
    <n v="283.2"/>
    <s v="PEN"/>
    <x v="0"/>
    <m/>
    <m/>
    <m/>
    <d v="2026-09-03T00:00:00"/>
    <n v="84.060552092609072"/>
    <m/>
    <m/>
  </r>
  <r>
    <s v="1000002057"/>
    <x v="5"/>
    <s v="1200003574"/>
    <x v="30"/>
    <x v="0"/>
    <x v="1"/>
    <n v="-1"/>
    <d v="2026-09-08T00:00:00"/>
    <n v="59"/>
    <s v="PEN"/>
    <x v="0"/>
    <m/>
    <m/>
    <m/>
    <d v="2026-09-08T00:00:00"/>
    <n v="17.512615019293559"/>
    <m/>
    <m/>
  </r>
  <r>
    <s v="1000002057"/>
    <x v="5"/>
    <s v="1200003593"/>
    <x v="31"/>
    <x v="0"/>
    <x v="1"/>
    <n v="-1"/>
    <d v="2026-09-08T00:00:00"/>
    <n v="726.88"/>
    <s v="PEN"/>
    <x v="0"/>
    <m/>
    <m/>
    <m/>
    <d v="2026-09-08T00:00:00"/>
    <n v="215.75541703769662"/>
    <m/>
    <m/>
  </r>
  <r>
    <s v="1000002057"/>
    <x v="5"/>
    <s v="1200003594"/>
    <x v="32"/>
    <x v="0"/>
    <x v="1"/>
    <n v="-1"/>
    <d v="2026-09-08T00:00:00"/>
    <n v="106.2"/>
    <s v="PEN"/>
    <x v="0"/>
    <m/>
    <m/>
    <m/>
    <d v="2026-09-08T00:00:00"/>
    <n v="31.522707034728406"/>
    <m/>
    <m/>
  </r>
  <r>
    <s v="1000002057"/>
    <x v="5"/>
    <s v="1200003602"/>
    <x v="33"/>
    <x v="0"/>
    <x v="18"/>
    <n v="-2"/>
    <d v="2026-09-09T00:00:00"/>
    <n v="59"/>
    <s v="PEN"/>
    <x v="0"/>
    <m/>
    <m/>
    <m/>
    <d v="2026-09-09T00:00:00"/>
    <n v="17.512615019293559"/>
    <m/>
    <m/>
  </r>
  <r>
    <s v="1000002057"/>
    <x v="5"/>
    <s v="1200003641"/>
    <x v="34"/>
    <x v="0"/>
    <x v="19"/>
    <n v="-3"/>
    <d v="2026-09-10T00:00:00"/>
    <n v="540.67999999999995"/>
    <s v="PEN"/>
    <x v="0"/>
    <m/>
    <m/>
    <m/>
    <d v="2026-09-10T00:00:00"/>
    <n v="160.48679133273967"/>
    <m/>
    <m/>
  </r>
  <r>
    <s v="1000002057"/>
    <x v="5"/>
    <s v="1200003642"/>
    <x v="35"/>
    <x v="0"/>
    <x v="19"/>
    <n v="-3"/>
    <d v="2026-09-10T00:00:00"/>
    <n v="70.8"/>
    <s v="PEN"/>
    <x v="0"/>
    <m/>
    <m/>
    <m/>
    <d v="2026-09-10T00:00:00"/>
    <n v="21.015138023152268"/>
    <m/>
    <m/>
  </r>
  <r>
    <s v="1000002057"/>
    <x v="5"/>
    <s v="1200003708"/>
    <x v="36"/>
    <x v="0"/>
    <x v="20"/>
    <n v="-5"/>
    <d v="2026-09-12T00:00:00"/>
    <n v="186.02"/>
    <s v="PEN"/>
    <x v="0"/>
    <m/>
    <m/>
    <m/>
    <d v="2026-09-12T00:00:00"/>
    <n v="55.215197387948947"/>
    <m/>
    <m/>
  </r>
  <r>
    <s v="1000002057"/>
    <x v="5"/>
    <s v="1200003709"/>
    <x v="37"/>
    <x v="0"/>
    <x v="20"/>
    <n v="-5"/>
    <d v="2026-09-12T00:00:00"/>
    <n v="123.9"/>
    <s v="PEN"/>
    <x v="0"/>
    <m/>
    <m/>
    <m/>
    <d v="2026-09-12T00:00:00"/>
    <n v="36.776491540516474"/>
    <m/>
    <m/>
  </r>
  <r>
    <s v="1000002057"/>
    <x v="5"/>
    <s v="1200003714"/>
    <x v="38"/>
    <x v="0"/>
    <x v="20"/>
    <n v="-5"/>
    <d v="2026-09-12T00:00:00"/>
    <n v="730.84"/>
    <s v="PEN"/>
    <x v="0"/>
    <m/>
    <m/>
    <m/>
    <d v="2026-09-12T00:00:00"/>
    <n v="216.93084001187296"/>
    <m/>
    <m/>
  </r>
  <r>
    <s v="1000002057"/>
    <x v="5"/>
    <s v="1200003715"/>
    <x v="39"/>
    <x v="0"/>
    <x v="20"/>
    <n v="-5"/>
    <d v="2026-09-12T00:00:00"/>
    <n v="194.7"/>
    <s v="PEN"/>
    <x v="0"/>
    <m/>
    <m/>
    <m/>
    <d v="2026-09-12T00:00:00"/>
    <n v="57.791629563668735"/>
    <m/>
    <m/>
  </r>
  <r>
    <s v="1000002057"/>
    <x v="5"/>
    <s v="1200003724"/>
    <x v="40"/>
    <x v="0"/>
    <x v="20"/>
    <n v="-5"/>
    <d v="2026-09-12T00:00:00"/>
    <n v="323.13"/>
    <s v="PEN"/>
    <x v="0"/>
    <m/>
    <m/>
    <m/>
    <d v="2026-09-12T00:00:00"/>
    <n v="95.912733748886907"/>
    <m/>
    <m/>
  </r>
  <r>
    <s v="1000002057"/>
    <x v="5"/>
    <s v="1200003725"/>
    <x v="41"/>
    <x v="0"/>
    <x v="20"/>
    <n v="-5"/>
    <d v="2026-09-12T00:00:00"/>
    <n v="123.9"/>
    <s v="PEN"/>
    <x v="0"/>
    <m/>
    <m/>
    <m/>
    <d v="2026-09-12T00:00:00"/>
    <n v="36.776491540516474"/>
    <m/>
    <m/>
  </r>
  <r>
    <s v="1000002057"/>
    <x v="5"/>
    <s v="1200003772"/>
    <x v="42"/>
    <x v="0"/>
    <x v="21"/>
    <n v="-6"/>
    <d v="2026-09-13T00:00:00"/>
    <n v="446.04"/>
    <s v="PEN"/>
    <x v="0"/>
    <m/>
    <m/>
    <m/>
    <d v="2026-09-13T00:00:00"/>
    <n v="132.3953695458593"/>
    <m/>
    <m/>
  </r>
  <r>
    <s v="1000002057"/>
    <x v="5"/>
    <s v="1200003773"/>
    <x v="43"/>
    <x v="0"/>
    <x v="21"/>
    <n v="-6"/>
    <d v="2026-09-13T00:00:00"/>
    <n v="177"/>
    <s v="PEN"/>
    <x v="0"/>
    <m/>
    <m/>
    <m/>
    <d v="2026-09-13T00:00:00"/>
    <n v="52.537845057880673"/>
    <m/>
    <m/>
  </r>
  <r>
    <s v="2000001381"/>
    <x v="6"/>
    <s v="1300008291"/>
    <x v="44"/>
    <x v="4"/>
    <x v="22"/>
    <n v="0"/>
    <d v="2026-08-31T00:00:00"/>
    <n v="-31032"/>
    <s v="USD"/>
    <x v="1"/>
    <d v="2026-10-12T00:00:00"/>
    <m/>
    <m/>
    <d v="2026-08-31T00:00:00"/>
    <n v="-31032"/>
    <n v="25"/>
    <s v="0-45"/>
  </r>
  <r>
    <s v="2000001381"/>
    <x v="6"/>
    <s v="1200003575"/>
    <x v="45"/>
    <x v="1"/>
    <x v="0"/>
    <n v="-53"/>
    <d v="2026-10-30T00:00:00"/>
    <n v="89775"/>
    <s v="USD"/>
    <x v="1"/>
    <d v="2026-10-30T00:00:00"/>
    <n v="-53"/>
    <d v="2026-10-30T00:00:00"/>
    <d v="2026-10-30T00:00:00"/>
    <n v="89775"/>
    <n v="7"/>
    <s v="0-45"/>
  </r>
  <r>
    <s v="1000013754"/>
    <x v="7"/>
    <s v="1200003557"/>
    <x v="46"/>
    <x v="3"/>
    <x v="0"/>
    <n v="0"/>
    <d v="2026-09-07T00:00:00"/>
    <n v="997.57"/>
    <s v="PEN"/>
    <x v="0"/>
    <m/>
    <m/>
    <m/>
    <d v="2026-09-07T00:00:00"/>
    <n v="296.10270109824876"/>
    <m/>
    <m/>
  </r>
  <r>
    <s v="1000013754"/>
    <x v="7"/>
    <s v="1200003558"/>
    <x v="47"/>
    <x v="3"/>
    <x v="0"/>
    <n v="0"/>
    <d v="2026-09-07T00:00:00"/>
    <n v="141.6"/>
    <s v="PEN"/>
    <x v="0"/>
    <m/>
    <m/>
    <m/>
    <d v="2026-09-07T00:00:00"/>
    <n v="42.030276046304536"/>
    <m/>
    <m/>
  </r>
  <r>
    <s v="1000013754"/>
    <x v="7"/>
    <s v="1200003580"/>
    <x v="48"/>
    <x v="3"/>
    <x v="1"/>
    <n v="-1"/>
    <d v="2026-09-08T00:00:00"/>
    <n v="752.13"/>
    <s v="PEN"/>
    <x v="0"/>
    <m/>
    <m/>
    <m/>
    <d v="2026-09-08T00:00:00"/>
    <n v="223.2502226179875"/>
    <m/>
    <m/>
  </r>
  <r>
    <s v="1000013754"/>
    <x v="7"/>
    <s v="1200003581"/>
    <x v="49"/>
    <x v="3"/>
    <x v="1"/>
    <n v="-1"/>
    <d v="2026-09-08T00:00:00"/>
    <n v="70.8"/>
    <s v="PEN"/>
    <x v="0"/>
    <m/>
    <m/>
    <m/>
    <d v="2026-09-08T00:00:00"/>
    <n v="21.015138023152268"/>
    <m/>
    <m/>
  </r>
  <r>
    <s v="1000013754"/>
    <x v="7"/>
    <s v="1200003615"/>
    <x v="50"/>
    <x v="3"/>
    <x v="18"/>
    <n v="-2"/>
    <d v="2026-09-09T00:00:00"/>
    <n v="322.61"/>
    <s v="PEN"/>
    <x v="0"/>
    <m/>
    <m/>
    <m/>
    <d v="2026-09-09T00:00:00"/>
    <n v="95.758385277530422"/>
    <m/>
    <m/>
  </r>
  <r>
    <s v="1000013754"/>
    <x v="7"/>
    <s v="1200003616"/>
    <x v="51"/>
    <x v="3"/>
    <x v="18"/>
    <n v="-2"/>
    <d v="2026-09-09T00:00:00"/>
    <n v="70.8"/>
    <s v="PEN"/>
    <x v="0"/>
    <m/>
    <m/>
    <m/>
    <d v="2026-09-09T00:00:00"/>
    <n v="21.015138023152268"/>
    <m/>
    <m/>
  </r>
  <r>
    <s v="1000013754"/>
    <x v="7"/>
    <s v="1200003665"/>
    <x v="52"/>
    <x v="3"/>
    <x v="19"/>
    <n v="-3"/>
    <d v="2026-09-10T00:00:00"/>
    <n v="595.9"/>
    <s v="PEN"/>
    <x v="0"/>
    <m/>
    <m/>
    <m/>
    <d v="2026-09-10T00:00:00"/>
    <n v="176.87741169486492"/>
    <m/>
    <m/>
  </r>
  <r>
    <s v="1000013754"/>
    <x v="7"/>
    <s v="1200003666"/>
    <x v="53"/>
    <x v="3"/>
    <x v="19"/>
    <n v="-3"/>
    <d v="2026-09-10T00:00:00"/>
    <n v="70.8"/>
    <s v="PEN"/>
    <x v="0"/>
    <m/>
    <m/>
    <m/>
    <d v="2026-09-10T00:00:00"/>
    <n v="21.015138023152268"/>
    <m/>
    <m/>
  </r>
  <r>
    <s v="1000013754"/>
    <x v="7"/>
    <s v="1200003704"/>
    <x v="54"/>
    <x v="3"/>
    <x v="20"/>
    <n v="-5"/>
    <d v="2026-09-12T00:00:00"/>
    <n v="630.12"/>
    <s v="PEN"/>
    <x v="0"/>
    <m/>
    <m/>
    <m/>
    <d v="2026-09-12T00:00:00"/>
    <n v="187.03472840605519"/>
    <m/>
    <m/>
  </r>
  <r>
    <s v="1000013754"/>
    <x v="7"/>
    <s v="1200003705"/>
    <x v="55"/>
    <x v="3"/>
    <x v="20"/>
    <n v="-5"/>
    <d v="2026-09-12T00:00:00"/>
    <n v="70.8"/>
    <s v="PEN"/>
    <x v="0"/>
    <m/>
    <m/>
    <m/>
    <d v="2026-09-12T00:00:00"/>
    <n v="21.015138023152268"/>
    <m/>
    <m/>
  </r>
  <r>
    <s v="1000013754"/>
    <x v="7"/>
    <s v="1200003734"/>
    <x v="56"/>
    <x v="3"/>
    <x v="20"/>
    <n v="-5"/>
    <d v="2026-09-12T00:00:00"/>
    <n v="664.58"/>
    <s v="PEN"/>
    <x v="0"/>
    <m/>
    <m/>
    <m/>
    <d v="2026-09-12T00:00:00"/>
    <n v="197.26328287325614"/>
    <m/>
    <m/>
  </r>
  <r>
    <s v="1000013754"/>
    <x v="7"/>
    <s v="1200003735"/>
    <x v="57"/>
    <x v="3"/>
    <x v="20"/>
    <n v="-5"/>
    <d v="2026-09-12T00:00:00"/>
    <n v="70.8"/>
    <s v="PEN"/>
    <x v="0"/>
    <m/>
    <m/>
    <m/>
    <d v="2026-09-12T00:00:00"/>
    <n v="21.015138023152268"/>
    <m/>
    <m/>
  </r>
  <r>
    <s v="1000013754"/>
    <x v="7"/>
    <s v="1200003764"/>
    <x v="58"/>
    <x v="3"/>
    <x v="21"/>
    <n v="-6"/>
    <d v="2026-09-13T00:00:00"/>
    <n v="665.52"/>
    <s v="PEN"/>
    <x v="0"/>
    <m/>
    <m/>
    <m/>
    <d v="2026-09-13T00:00:00"/>
    <n v="197.54229741763132"/>
    <m/>
    <m/>
  </r>
  <r>
    <s v="1000013754"/>
    <x v="7"/>
    <s v="1200003765"/>
    <x v="59"/>
    <x v="3"/>
    <x v="21"/>
    <n v="-6"/>
    <d v="2026-09-13T00:00:00"/>
    <n v="70.8"/>
    <s v="PEN"/>
    <x v="0"/>
    <m/>
    <m/>
    <m/>
    <d v="2026-09-13T00:00:00"/>
    <n v="21.015138023152268"/>
    <m/>
    <m/>
  </r>
  <r>
    <s v="2000001368"/>
    <x v="8"/>
    <s v="1300004854"/>
    <x v="60"/>
    <x v="2"/>
    <x v="23"/>
    <n v="133"/>
    <d v="2026-04-27T00:00:00"/>
    <n v="15163"/>
    <s v="USD"/>
    <x v="1"/>
    <d v="2026-06-26T00:00:00"/>
    <n v="-38"/>
    <d v="2026-10-15T00:00:00"/>
    <d v="2026-10-15T00:00:00"/>
    <n v="15163"/>
    <n v="133"/>
    <s v="91-a más"/>
  </r>
  <r>
    <s v="2000001439"/>
    <x v="9"/>
    <s v="1300008491"/>
    <x v="61"/>
    <x v="4"/>
    <x v="24"/>
    <n v="0"/>
    <d v="2026-08-31T00:00:00"/>
    <n v="-13902"/>
    <s v="USD"/>
    <x v="1"/>
    <d v="2026-10-24T00:00:00"/>
    <m/>
    <m/>
    <d v="2026-08-31T00:00:00"/>
    <n v="-13902"/>
    <n v="13"/>
    <s v="0-45"/>
  </r>
  <r>
    <s v="2000001439"/>
    <x v="9"/>
    <s v="1200003605"/>
    <x v="62"/>
    <x v="1"/>
    <x v="0"/>
    <n v="-38"/>
    <d v="2026-10-15T00:00:00"/>
    <n v="69660"/>
    <s v="USD"/>
    <x v="1"/>
    <d v="2026-10-30T00:00:00"/>
    <n v="-53"/>
    <d v="2026-10-30T00:00:00"/>
    <d v="2026-10-30T00:00:00"/>
    <n v="69660"/>
    <n v="7"/>
    <s v="0-45"/>
  </r>
  <r>
    <s v="6002186"/>
    <x v="10"/>
    <s v="1200003488"/>
    <x v="63"/>
    <x v="0"/>
    <x v="25"/>
    <n v="23"/>
    <d v="2026-08-15T00:00:00"/>
    <n v="12626"/>
    <s v="USD"/>
    <x v="2"/>
    <m/>
    <m/>
    <m/>
    <d v="2026-08-15T00:00:00"/>
    <n v="12626"/>
    <m/>
    <m/>
  </r>
  <r>
    <s v="6002186"/>
    <x v="10"/>
    <s v="1200003523"/>
    <x v="64"/>
    <x v="0"/>
    <x v="26"/>
    <n v="3"/>
    <d v="2026-09-04T00:00:00"/>
    <n v="4293.67"/>
    <s v="USD"/>
    <x v="2"/>
    <m/>
    <m/>
    <m/>
    <d v="2026-09-04T00:00:00"/>
    <n v="4293.67"/>
    <m/>
    <m/>
  </r>
  <r>
    <s v="6002186"/>
    <x v="10"/>
    <s v="1200003618"/>
    <x v="65"/>
    <x v="0"/>
    <x v="18"/>
    <n v="-2"/>
    <d v="2026-09-09T00:00:00"/>
    <n v="20060"/>
    <s v="USD"/>
    <x v="2"/>
    <m/>
    <m/>
    <m/>
    <d v="2026-09-09T00:00:00"/>
    <n v="20060"/>
    <m/>
    <m/>
  </r>
  <r>
    <s v="1000006830"/>
    <x v="11"/>
    <s v="1200003426"/>
    <x v="66"/>
    <x v="0"/>
    <x v="27"/>
    <n v="38"/>
    <d v="2026-07-31T00:00:00"/>
    <n v="617.85"/>
    <s v="PEN"/>
    <x v="0"/>
    <m/>
    <m/>
    <m/>
    <d v="2026-07-31T00:00:00"/>
    <n v="183.39269813000891"/>
    <m/>
    <m/>
  </r>
  <r>
    <s v="1000006830"/>
    <x v="11"/>
    <s v="1200003427"/>
    <x v="67"/>
    <x v="0"/>
    <x v="27"/>
    <n v="38"/>
    <d v="2026-07-31T00:00:00"/>
    <n v="177"/>
    <s v="PEN"/>
    <x v="0"/>
    <m/>
    <m/>
    <m/>
    <d v="2026-07-31T00:00:00"/>
    <n v="52.537845057880673"/>
    <m/>
    <m/>
  </r>
  <r>
    <s v="1000006830"/>
    <x v="11"/>
    <s v="1200003436"/>
    <x v="68"/>
    <x v="0"/>
    <x v="27"/>
    <n v="38"/>
    <d v="2026-07-31T00:00:00"/>
    <n v="673.02"/>
    <s v="PEN"/>
    <x v="0"/>
    <m/>
    <m/>
    <m/>
    <d v="2026-07-31T00:00:00"/>
    <n v="199.76847729296526"/>
    <m/>
    <m/>
  </r>
  <r>
    <s v="1000006830"/>
    <x v="11"/>
    <s v="1200003437"/>
    <x v="69"/>
    <x v="0"/>
    <x v="27"/>
    <n v="38"/>
    <d v="2026-07-31T00:00:00"/>
    <n v="177"/>
    <s v="PEN"/>
    <x v="0"/>
    <m/>
    <m/>
    <m/>
    <d v="2026-07-31T00:00:00"/>
    <n v="52.537845057880673"/>
    <m/>
    <m/>
  </r>
  <r>
    <s v="1000006830"/>
    <x v="11"/>
    <s v="1200003448"/>
    <x v="70"/>
    <x v="0"/>
    <x v="13"/>
    <n v="35"/>
    <d v="2026-08-03T00:00:00"/>
    <n v="47.2"/>
    <s v="PEN"/>
    <x v="0"/>
    <m/>
    <m/>
    <m/>
    <d v="2026-08-03T00:00:00"/>
    <n v="14.010092015434847"/>
    <m/>
    <m/>
  </r>
  <r>
    <s v="1000006830"/>
    <x v="11"/>
    <s v="1200003449"/>
    <x v="71"/>
    <x v="0"/>
    <x v="13"/>
    <n v="35"/>
    <d v="2026-08-03T00:00:00"/>
    <n v="266.44"/>
    <s v="PEN"/>
    <x v="0"/>
    <m/>
    <m/>
    <m/>
    <d v="2026-08-03T00:00:00"/>
    <n v="79.085782131196197"/>
    <m/>
    <m/>
  </r>
  <r>
    <s v="1000006830"/>
    <x v="11"/>
    <s v="1200003526"/>
    <x v="72"/>
    <x v="0"/>
    <x v="26"/>
    <n v="3"/>
    <d v="2026-09-04T00:00:00"/>
    <n v="269.27999999999997"/>
    <s v="PEN"/>
    <x v="0"/>
    <m/>
    <m/>
    <m/>
    <d v="2026-09-04T00:00:00"/>
    <n v="79.928762243989297"/>
    <m/>
    <m/>
  </r>
  <r>
    <s v="1000006830"/>
    <x v="11"/>
    <s v="1200003527"/>
    <x v="73"/>
    <x v="0"/>
    <x v="26"/>
    <n v="3"/>
    <d v="2026-09-04T00:00:00"/>
    <n v="47.2"/>
    <s v="PEN"/>
    <x v="0"/>
    <m/>
    <m/>
    <m/>
    <d v="2026-09-04T00:00:00"/>
    <n v="14.010092015434847"/>
    <m/>
    <m/>
  </r>
  <r>
    <s v="1000006830"/>
    <x v="11"/>
    <s v="1200003536"/>
    <x v="74"/>
    <x v="0"/>
    <x v="28"/>
    <n v="2"/>
    <d v="2026-09-05T00:00:00"/>
    <n v="543.27"/>
    <s v="PEN"/>
    <x v="0"/>
    <m/>
    <m/>
    <m/>
    <d v="2026-09-05T00:00:00"/>
    <n v="161.25556544968831"/>
    <m/>
    <m/>
  </r>
  <r>
    <s v="1000006830"/>
    <x v="11"/>
    <s v="1200003537"/>
    <x v="75"/>
    <x v="0"/>
    <x v="28"/>
    <n v="2"/>
    <d v="2026-09-05T00:00:00"/>
    <n v="70.8"/>
    <s v="PEN"/>
    <x v="0"/>
    <m/>
    <m/>
    <m/>
    <d v="2026-09-05T00:00:00"/>
    <n v="21.015138023152268"/>
    <m/>
    <m/>
  </r>
  <r>
    <s v="1000006830"/>
    <x v="11"/>
    <s v="1200003546"/>
    <x v="76"/>
    <x v="0"/>
    <x v="0"/>
    <n v="0"/>
    <d v="2026-09-07T00:00:00"/>
    <n v="839.92"/>
    <s v="PEN"/>
    <x v="0"/>
    <m/>
    <m/>
    <m/>
    <d v="2026-09-07T00:00:00"/>
    <n v="249.30840011872957"/>
    <m/>
    <m/>
  </r>
  <r>
    <s v="1000006830"/>
    <x v="11"/>
    <s v="1200003547"/>
    <x v="77"/>
    <x v="0"/>
    <x v="0"/>
    <n v="0"/>
    <d v="2026-09-07T00:00:00"/>
    <n v="70.8"/>
    <s v="PEN"/>
    <x v="0"/>
    <m/>
    <m/>
    <m/>
    <d v="2026-09-07T00:00:00"/>
    <n v="21.015138023152268"/>
    <m/>
    <m/>
  </r>
  <r>
    <s v="1000006830"/>
    <x v="11"/>
    <s v="1200003551"/>
    <x v="78"/>
    <x v="0"/>
    <x v="0"/>
    <n v="0"/>
    <d v="2026-09-07T00:00:00"/>
    <n v="1102.83"/>
    <s v="PEN"/>
    <x v="0"/>
    <m/>
    <m/>
    <m/>
    <d v="2026-09-07T00:00:00"/>
    <n v="327.34639358860193"/>
    <m/>
    <m/>
  </r>
  <r>
    <s v="1000006830"/>
    <x v="11"/>
    <s v="1200003552"/>
    <x v="79"/>
    <x v="0"/>
    <x v="0"/>
    <n v="0"/>
    <d v="2026-09-07T00:00:00"/>
    <n v="141.6"/>
    <s v="PEN"/>
    <x v="0"/>
    <m/>
    <m/>
    <m/>
    <d v="2026-09-07T00:00:00"/>
    <n v="42.030276046304536"/>
    <m/>
    <m/>
  </r>
  <r>
    <s v="1000006830"/>
    <x v="11"/>
    <s v="1200003570"/>
    <x v="80"/>
    <x v="0"/>
    <x v="1"/>
    <n v="-1"/>
    <d v="2026-09-08T00:00:00"/>
    <n v="748.83"/>
    <s v="PEN"/>
    <x v="0"/>
    <m/>
    <m/>
    <m/>
    <d v="2026-09-08T00:00:00"/>
    <n v="222.27070347284061"/>
    <m/>
    <m/>
  </r>
  <r>
    <s v="1000006830"/>
    <x v="11"/>
    <s v="1200003571"/>
    <x v="81"/>
    <x v="0"/>
    <x v="1"/>
    <n v="-1"/>
    <d v="2026-09-08T00:00:00"/>
    <n v="70.8"/>
    <s v="PEN"/>
    <x v="0"/>
    <m/>
    <m/>
    <m/>
    <d v="2026-09-08T00:00:00"/>
    <n v="21.015138023152268"/>
    <m/>
    <m/>
  </r>
  <r>
    <s v="1000006830"/>
    <x v="11"/>
    <s v="1200003582"/>
    <x v="82"/>
    <x v="0"/>
    <x v="1"/>
    <n v="-1"/>
    <d v="2026-09-08T00:00:00"/>
    <n v="505.98"/>
    <s v="PEN"/>
    <x v="0"/>
    <m/>
    <m/>
    <m/>
    <d v="2026-09-08T00:00:00"/>
    <n v="150.18699910952805"/>
    <m/>
    <m/>
  </r>
  <r>
    <s v="1000006830"/>
    <x v="11"/>
    <s v="1200003583"/>
    <x v="83"/>
    <x v="0"/>
    <x v="1"/>
    <n v="-1"/>
    <d v="2026-09-08T00:00:00"/>
    <n v="47.2"/>
    <s v="PEN"/>
    <x v="0"/>
    <m/>
    <m/>
    <m/>
    <d v="2026-09-08T00:00:00"/>
    <n v="14.010092015434847"/>
    <m/>
    <m/>
  </r>
  <r>
    <s v="1000006830"/>
    <x v="11"/>
    <s v="1200003598"/>
    <x v="84"/>
    <x v="0"/>
    <x v="18"/>
    <n v="-2"/>
    <d v="2026-09-09T00:00:00"/>
    <n v="556.39"/>
    <s v="PEN"/>
    <x v="0"/>
    <m/>
    <m/>
    <m/>
    <d v="2026-09-09T00:00:00"/>
    <n v="165.14989611160581"/>
    <m/>
    <m/>
  </r>
  <r>
    <s v="1000006830"/>
    <x v="11"/>
    <s v="1200003599"/>
    <x v="85"/>
    <x v="0"/>
    <x v="18"/>
    <n v="-2"/>
    <d v="2026-09-09T00:00:00"/>
    <n v="177"/>
    <s v="PEN"/>
    <x v="0"/>
    <m/>
    <m/>
    <m/>
    <d v="2026-09-09T00:00:00"/>
    <n v="52.537845057880673"/>
    <m/>
    <m/>
  </r>
  <r>
    <s v="1000006830"/>
    <x v="11"/>
    <s v="1200003600"/>
    <x v="86"/>
    <x v="0"/>
    <x v="18"/>
    <n v="-2"/>
    <d v="2026-09-09T00:00:00"/>
    <n v="760.16"/>
    <s v="PEN"/>
    <x v="0"/>
    <m/>
    <m/>
    <m/>
    <d v="2026-09-09T00:00:00"/>
    <n v="225.63371920451169"/>
    <m/>
    <m/>
  </r>
  <r>
    <s v="1000006830"/>
    <x v="11"/>
    <s v="1200003601"/>
    <x v="87"/>
    <x v="0"/>
    <x v="18"/>
    <n v="-2"/>
    <d v="2026-09-09T00:00:00"/>
    <n v="70.8"/>
    <s v="PEN"/>
    <x v="0"/>
    <m/>
    <m/>
    <m/>
    <d v="2026-09-09T00:00:00"/>
    <n v="21.015138023152268"/>
    <m/>
    <m/>
  </r>
  <r>
    <s v="1000006830"/>
    <x v="11"/>
    <s v="1200003623"/>
    <x v="88"/>
    <x v="0"/>
    <x v="18"/>
    <n v="-2"/>
    <d v="2026-09-09T00:00:00"/>
    <n v="376.42"/>
    <s v="PEN"/>
    <x v="0"/>
    <m/>
    <m/>
    <m/>
    <d v="2026-09-09T00:00:00"/>
    <n v="111.7304838230929"/>
    <m/>
    <m/>
  </r>
  <r>
    <s v="1000006830"/>
    <x v="11"/>
    <s v="1200003624"/>
    <x v="89"/>
    <x v="0"/>
    <x v="18"/>
    <n v="-2"/>
    <d v="2026-09-09T00:00:00"/>
    <n v="70.8"/>
    <s v="PEN"/>
    <x v="0"/>
    <m/>
    <m/>
    <m/>
    <d v="2026-09-09T00:00:00"/>
    <n v="21.015138023152268"/>
    <m/>
    <m/>
  </r>
  <r>
    <s v="1000006830"/>
    <x v="11"/>
    <s v="1200003631"/>
    <x v="90"/>
    <x v="0"/>
    <x v="19"/>
    <n v="-3"/>
    <d v="2026-09-10T00:00:00"/>
    <n v="501.22"/>
    <s v="PEN"/>
    <x v="0"/>
    <m/>
    <m/>
    <m/>
    <d v="2026-09-10T00:00:00"/>
    <n v="148.77411694864944"/>
    <m/>
    <m/>
  </r>
  <r>
    <s v="1000006830"/>
    <x v="11"/>
    <s v="1200003632"/>
    <x v="91"/>
    <x v="0"/>
    <x v="19"/>
    <n v="-3"/>
    <d v="2026-09-10T00:00:00"/>
    <n v="153.4"/>
    <s v="PEN"/>
    <x v="0"/>
    <m/>
    <m/>
    <m/>
    <d v="2026-09-10T00:00:00"/>
    <n v="45.532799050163248"/>
    <m/>
    <m/>
  </r>
  <r>
    <s v="1000006830"/>
    <x v="11"/>
    <s v="1200003636"/>
    <x v="92"/>
    <x v="0"/>
    <x v="19"/>
    <n v="-3"/>
    <d v="2026-09-10T00:00:00"/>
    <n v="563.99"/>
    <s v="PEN"/>
    <x v="0"/>
    <m/>
    <m/>
    <m/>
    <d v="2026-09-10T00:00:00"/>
    <n v="167.40575838527752"/>
    <m/>
    <m/>
  </r>
  <r>
    <s v="1000006830"/>
    <x v="11"/>
    <s v="1200003637"/>
    <x v="93"/>
    <x v="0"/>
    <x v="19"/>
    <n v="-3"/>
    <d v="2026-09-10T00:00:00"/>
    <n v="135.69999999999999"/>
    <s v="PEN"/>
    <x v="0"/>
    <m/>
    <m/>
    <m/>
    <d v="2026-09-10T00:00:00"/>
    <n v="40.27901454437518"/>
    <m/>
    <m/>
  </r>
  <r>
    <s v="1000006830"/>
    <x v="11"/>
    <s v="1200003651"/>
    <x v="94"/>
    <x v="0"/>
    <x v="19"/>
    <n v="-3"/>
    <d v="2026-09-10T00:00:00"/>
    <n v="638.85"/>
    <s v="PEN"/>
    <x v="0"/>
    <m/>
    <m/>
    <m/>
    <d v="2026-09-10T00:00:00"/>
    <n v="189.62600178094388"/>
    <m/>
    <m/>
  </r>
  <r>
    <s v="1000006830"/>
    <x v="11"/>
    <s v="1200003652"/>
    <x v="95"/>
    <x v="0"/>
    <x v="19"/>
    <n v="-3"/>
    <d v="2026-09-10T00:00:00"/>
    <n v="70.8"/>
    <s v="PEN"/>
    <x v="0"/>
    <m/>
    <m/>
    <m/>
    <d v="2026-09-10T00:00:00"/>
    <n v="21.015138023152268"/>
    <m/>
    <m/>
  </r>
  <r>
    <s v="1000006830"/>
    <x v="11"/>
    <s v="1200003661"/>
    <x v="96"/>
    <x v="0"/>
    <x v="19"/>
    <n v="-3"/>
    <d v="2026-09-10T00:00:00"/>
    <n v="535.58000000000004"/>
    <s v="PEN"/>
    <x v="0"/>
    <m/>
    <m/>
    <m/>
    <d v="2026-09-10T00:00:00"/>
    <n v="158.97298901751262"/>
    <m/>
    <m/>
  </r>
  <r>
    <s v="1000006830"/>
    <x v="11"/>
    <s v="1200003662"/>
    <x v="97"/>
    <x v="0"/>
    <x v="19"/>
    <n v="-3"/>
    <d v="2026-09-10T00:00:00"/>
    <n v="153.4"/>
    <s v="PEN"/>
    <x v="0"/>
    <m/>
    <m/>
    <m/>
    <d v="2026-09-10T00:00:00"/>
    <n v="45.532799050163248"/>
    <m/>
    <m/>
  </r>
  <r>
    <s v="1000006830"/>
    <x v="11"/>
    <s v="1200003680"/>
    <x v="98"/>
    <x v="0"/>
    <x v="29"/>
    <n v="3"/>
    <d v="2026-09-04T00:00:00"/>
    <n v="679.96"/>
    <s v="PEN"/>
    <x v="0"/>
    <m/>
    <m/>
    <m/>
    <d v="2026-09-04T00:00:00"/>
    <n v="201.82843573760761"/>
    <m/>
    <m/>
  </r>
  <r>
    <s v="1000006830"/>
    <x v="11"/>
    <s v="1200003681"/>
    <x v="99"/>
    <x v="0"/>
    <x v="29"/>
    <n v="3"/>
    <d v="2026-09-04T00:00:00"/>
    <n v="194.7"/>
    <s v="PEN"/>
    <x v="0"/>
    <m/>
    <m/>
    <m/>
    <d v="2026-09-04T00:00:00"/>
    <n v="57.791629563668735"/>
    <m/>
    <m/>
  </r>
  <r>
    <s v="1000006830"/>
    <x v="11"/>
    <s v="1200003692"/>
    <x v="100"/>
    <x v="0"/>
    <x v="29"/>
    <n v="-4"/>
    <d v="2026-09-11T00:00:00"/>
    <n v="781.4"/>
    <s v="PEN"/>
    <x v="0"/>
    <m/>
    <m/>
    <m/>
    <d v="2026-09-11T00:00:00"/>
    <n v="231.93826061145739"/>
    <m/>
    <m/>
  </r>
  <r>
    <s v="1000006830"/>
    <x v="11"/>
    <s v="1200003693"/>
    <x v="101"/>
    <x v="0"/>
    <x v="29"/>
    <n v="-4"/>
    <d v="2026-09-11T00:00:00"/>
    <n v="247.8"/>
    <s v="PEN"/>
    <x v="0"/>
    <m/>
    <m/>
    <m/>
    <d v="2026-09-11T00:00:00"/>
    <n v="73.552983081032949"/>
    <m/>
    <m/>
  </r>
  <r>
    <s v="1000006830"/>
    <x v="11"/>
    <s v="1200003706"/>
    <x v="102"/>
    <x v="0"/>
    <x v="20"/>
    <n v="-5"/>
    <d v="2026-09-12T00:00:00"/>
    <n v="488.33"/>
    <s v="PEN"/>
    <x v="0"/>
    <m/>
    <m/>
    <m/>
    <d v="2026-09-12T00:00:00"/>
    <n v="144.94805580290887"/>
    <m/>
    <m/>
  </r>
  <r>
    <s v="1000006830"/>
    <x v="11"/>
    <s v="1200003707"/>
    <x v="103"/>
    <x v="0"/>
    <x v="20"/>
    <n v="-5"/>
    <d v="2026-09-12T00:00:00"/>
    <n v="153.4"/>
    <s v="PEN"/>
    <x v="0"/>
    <m/>
    <m/>
    <m/>
    <d v="2026-09-12T00:00:00"/>
    <n v="45.532799050163248"/>
    <m/>
    <m/>
  </r>
  <r>
    <s v="1000006830"/>
    <x v="11"/>
    <s v="1200003716"/>
    <x v="104"/>
    <x v="0"/>
    <x v="20"/>
    <n v="-5"/>
    <d v="2026-09-12T00:00:00"/>
    <n v="766.29"/>
    <s v="PEN"/>
    <x v="0"/>
    <m/>
    <m/>
    <m/>
    <d v="2026-09-12T00:00:00"/>
    <n v="227.45325022261795"/>
    <m/>
    <m/>
  </r>
  <r>
    <s v="1000006830"/>
    <x v="11"/>
    <s v="1200003717"/>
    <x v="105"/>
    <x v="0"/>
    <x v="20"/>
    <n v="-5"/>
    <d v="2026-09-12T00:00:00"/>
    <n v="70.8"/>
    <s v="PEN"/>
    <x v="0"/>
    <m/>
    <m/>
    <m/>
    <d v="2026-09-12T00:00:00"/>
    <n v="21.015138023152268"/>
    <m/>
    <m/>
  </r>
  <r>
    <s v="1000006830"/>
    <x v="11"/>
    <s v="1200003762"/>
    <x v="106"/>
    <x v="0"/>
    <x v="21"/>
    <n v="-6"/>
    <d v="2026-09-13T00:00:00"/>
    <n v="569"/>
    <s v="PEN"/>
    <x v="0"/>
    <m/>
    <m/>
    <m/>
    <d v="2026-09-13T00:00:00"/>
    <n v="168.89284654200057"/>
    <m/>
    <m/>
  </r>
  <r>
    <s v="1000006830"/>
    <x v="11"/>
    <s v="1200003763"/>
    <x v="107"/>
    <x v="0"/>
    <x v="21"/>
    <n v="-6"/>
    <d v="2026-09-13T00:00:00"/>
    <n v="70.8"/>
    <s v="PEN"/>
    <x v="0"/>
    <m/>
    <m/>
    <m/>
    <d v="2026-09-13T00:00:00"/>
    <n v="21.015138023152268"/>
    <m/>
    <m/>
  </r>
  <r>
    <s v="2000001459"/>
    <x v="12"/>
    <s v="1300007198"/>
    <x v="108"/>
    <x v="2"/>
    <x v="13"/>
    <n v="42"/>
    <d v="2026-07-27T00:00:00"/>
    <n v="55195"/>
    <s v="USD"/>
    <x v="1"/>
    <d v="2026-09-25T00:00:00"/>
    <n v="-18"/>
    <d v="2026-09-25T00:00:00"/>
    <d v="2026-09-25T00:00:00"/>
    <n v="55195"/>
    <n v="42"/>
    <s v="0-45"/>
  </r>
  <r>
    <s v="2000001459"/>
    <x v="12"/>
    <s v="1200003474"/>
    <x v="109"/>
    <x v="1"/>
    <x v="30"/>
    <n v="-22"/>
    <d v="2026-09-29T00:00:00"/>
    <n v="29925"/>
    <s v="USD"/>
    <x v="1"/>
    <d v="2026-09-29T00:00:00"/>
    <n v="-22"/>
    <d v="2026-09-29T00:00:00"/>
    <d v="2026-09-29T00:00:00"/>
    <n v="29925"/>
    <n v="38"/>
    <s v="0-45"/>
  </r>
  <r>
    <s v="2000001172"/>
    <x v="13"/>
    <s v="1100015731"/>
    <x v="110"/>
    <x v="5"/>
    <x v="31"/>
    <n v="52"/>
    <d v="2026-07-17T00:00:00"/>
    <n v="921.06"/>
    <s v="USD"/>
    <x v="1"/>
    <d v="2026-09-15T00:00:00"/>
    <n v="-38"/>
    <d v="2026-10-15T00:00:00"/>
    <d v="2026-10-15T00:00:00"/>
    <n v="921.06"/>
    <n v="52"/>
    <s v="46-60"/>
  </r>
  <r>
    <s v="6002007"/>
    <x v="14"/>
    <s v="1200005141"/>
    <x v="111"/>
    <x v="0"/>
    <x v="32"/>
    <n v="301"/>
    <d v="2025-11-10T00:00:00"/>
    <n v="1403.26"/>
    <s v="PEN"/>
    <x v="3"/>
    <m/>
    <m/>
    <m/>
    <d v="2025-11-10T00:00:00"/>
    <n v="416.52122291481146"/>
    <m/>
    <m/>
  </r>
  <r>
    <s v="6002007"/>
    <x v="14"/>
    <s v="1200005142"/>
    <x v="112"/>
    <x v="0"/>
    <x v="32"/>
    <n v="301"/>
    <d v="2025-11-10T00:00:00"/>
    <n v="141.6"/>
    <s v="PEN"/>
    <x v="3"/>
    <m/>
    <m/>
    <m/>
    <d v="2025-11-10T00:00:00"/>
    <n v="42.030276046304536"/>
    <m/>
    <m/>
  </r>
  <r>
    <s v="6002007"/>
    <x v="14"/>
    <s v="1200005158"/>
    <x v="113"/>
    <x v="0"/>
    <x v="33"/>
    <n v="298"/>
    <d v="2025-11-13T00:00:00"/>
    <n v="1193.22"/>
    <s v="PEN"/>
    <x v="3"/>
    <m/>
    <m/>
    <m/>
    <d v="2025-11-13T00:00:00"/>
    <n v="354.17631344612641"/>
    <m/>
    <m/>
  </r>
  <r>
    <s v="6002007"/>
    <x v="14"/>
    <s v="1200005159"/>
    <x v="114"/>
    <x v="0"/>
    <x v="33"/>
    <n v="298"/>
    <d v="2025-11-13T00:00:00"/>
    <n v="106.2"/>
    <s v="PEN"/>
    <x v="3"/>
    <m/>
    <m/>
    <m/>
    <d v="2025-11-13T00:00:00"/>
    <n v="31.522707034728406"/>
    <m/>
    <m/>
  </r>
  <r>
    <s v="6002007"/>
    <x v="14"/>
    <s v="1200001503"/>
    <x v="115"/>
    <x v="0"/>
    <x v="34"/>
    <n v="117"/>
    <d v="2026-05-13T00:00:00"/>
    <n v="23.6"/>
    <s v="PEN"/>
    <x v="3"/>
    <m/>
    <m/>
    <m/>
    <d v="2026-05-13T00:00:00"/>
    <n v="7.0050460077174233"/>
    <m/>
    <m/>
  </r>
  <r>
    <s v="6002007"/>
    <x v="14"/>
    <s v="1200001504"/>
    <x v="116"/>
    <x v="0"/>
    <x v="34"/>
    <n v="117"/>
    <d v="2026-05-13T00:00:00"/>
    <n v="261.49"/>
    <s v="PEN"/>
    <x v="3"/>
    <m/>
    <m/>
    <m/>
    <d v="2026-05-13T00:00:00"/>
    <n v="77.616503413475812"/>
    <m/>
    <m/>
  </r>
  <r>
    <s v="6002007"/>
    <x v="14"/>
    <s v="1200001509"/>
    <x v="117"/>
    <x v="0"/>
    <x v="34"/>
    <n v="117"/>
    <d v="2026-05-13T00:00:00"/>
    <n v="387.51"/>
    <s v="PEN"/>
    <x v="3"/>
    <m/>
    <m/>
    <m/>
    <d v="2026-05-13T00:00:00"/>
    <n v="115.02226179875333"/>
    <m/>
    <m/>
  </r>
  <r>
    <s v="6002007"/>
    <x v="14"/>
    <s v="1200001510"/>
    <x v="118"/>
    <x v="0"/>
    <x v="34"/>
    <n v="117"/>
    <d v="2026-05-13T00:00:00"/>
    <n v="35.4"/>
    <s v="PEN"/>
    <x v="3"/>
    <m/>
    <m/>
    <m/>
    <d v="2026-05-13T00:00:00"/>
    <n v="10.507569011576134"/>
    <m/>
    <m/>
  </r>
  <r>
    <s v="6002007"/>
    <x v="14"/>
    <s v="1200001609"/>
    <x v="119"/>
    <x v="0"/>
    <x v="35"/>
    <n v="111"/>
    <d v="2026-05-19T00:00:00"/>
    <n v="482.86"/>
    <s v="PEN"/>
    <x v="3"/>
    <m/>
    <m/>
    <m/>
    <d v="2026-05-19T00:00:00"/>
    <n v="143.324428613832"/>
    <m/>
    <m/>
  </r>
  <r>
    <s v="6002007"/>
    <x v="14"/>
    <s v="1200001610"/>
    <x v="120"/>
    <x v="0"/>
    <x v="35"/>
    <n v="111"/>
    <d v="2026-05-19T00:00:00"/>
    <n v="47.2"/>
    <s v="PEN"/>
    <x v="3"/>
    <m/>
    <m/>
    <m/>
    <d v="2026-05-19T00:00:00"/>
    <n v="14.010092015434847"/>
    <m/>
    <m/>
  </r>
  <r>
    <s v="6002007"/>
    <x v="14"/>
    <s v="1200001789"/>
    <x v="121"/>
    <x v="0"/>
    <x v="36"/>
    <n v="107"/>
    <d v="2026-05-23T00:00:00"/>
    <n v="544.45000000000005"/>
    <s v="PEN"/>
    <x v="3"/>
    <m/>
    <m/>
    <m/>
    <d v="2026-05-23T00:00:00"/>
    <n v="161.60581775007421"/>
    <m/>
    <m/>
  </r>
  <r>
    <s v="6002007"/>
    <x v="14"/>
    <s v="1200001790"/>
    <x v="122"/>
    <x v="0"/>
    <x v="36"/>
    <n v="107"/>
    <d v="2026-05-23T00:00:00"/>
    <n v="47.2"/>
    <s v="PEN"/>
    <x v="3"/>
    <m/>
    <m/>
    <m/>
    <d v="2026-05-23T00:00:00"/>
    <n v="14.010092015434847"/>
    <m/>
    <m/>
  </r>
  <r>
    <s v="6002007"/>
    <x v="14"/>
    <s v="1200002045"/>
    <x v="123"/>
    <x v="0"/>
    <x v="37"/>
    <n v="96"/>
    <d v="2026-06-03T00:00:00"/>
    <n v="591.65"/>
    <s v="PEN"/>
    <x v="3"/>
    <m/>
    <m/>
    <m/>
    <d v="2026-06-03T00:00:00"/>
    <n v="175.61590976550903"/>
    <m/>
    <m/>
  </r>
  <r>
    <s v="6002007"/>
    <x v="14"/>
    <s v="1200002046"/>
    <x v="124"/>
    <x v="0"/>
    <x v="37"/>
    <n v="96"/>
    <d v="2026-06-03T00:00:00"/>
    <n v="70.8"/>
    <s v="PEN"/>
    <x v="3"/>
    <m/>
    <m/>
    <m/>
    <d v="2026-06-03T00:00:00"/>
    <n v="21.015138023152268"/>
    <m/>
    <m/>
  </r>
  <r>
    <s v="6002007"/>
    <x v="14"/>
    <s v="1200002186"/>
    <x v="125"/>
    <x v="0"/>
    <x v="38"/>
    <n v="90"/>
    <d v="2026-06-09T00:00:00"/>
    <n v="185.97"/>
    <s v="PEN"/>
    <x v="3"/>
    <m/>
    <m/>
    <m/>
    <d v="2026-06-09T00:00:00"/>
    <n v="55.200356188780049"/>
    <m/>
    <m/>
  </r>
  <r>
    <s v="6002007"/>
    <x v="14"/>
    <s v="1200002187"/>
    <x v="126"/>
    <x v="0"/>
    <x v="38"/>
    <n v="90"/>
    <d v="2026-06-09T00:00:00"/>
    <n v="23.6"/>
    <s v="PEN"/>
    <x v="3"/>
    <m/>
    <m/>
    <m/>
    <d v="2026-06-09T00:00:00"/>
    <n v="7.0050460077174233"/>
    <m/>
    <m/>
  </r>
  <r>
    <s v="6002007"/>
    <x v="14"/>
    <s v="1200002487"/>
    <x v="127"/>
    <x v="0"/>
    <x v="39"/>
    <n v="79"/>
    <d v="2026-06-20T00:00:00"/>
    <n v="535.25"/>
    <s v="PEN"/>
    <x v="3"/>
    <m/>
    <m/>
    <m/>
    <d v="2026-06-20T00:00:00"/>
    <n v="158.87503710299791"/>
    <m/>
    <m/>
  </r>
  <r>
    <s v="6002007"/>
    <x v="14"/>
    <s v="1200002488"/>
    <x v="128"/>
    <x v="0"/>
    <x v="39"/>
    <n v="79"/>
    <d v="2026-06-20T00:00:00"/>
    <n v="70.8"/>
    <s v="PEN"/>
    <x v="3"/>
    <m/>
    <m/>
    <m/>
    <d v="2026-06-20T00:00:00"/>
    <n v="21.015138023152268"/>
    <m/>
    <m/>
  </r>
  <r>
    <s v="6002007"/>
    <x v="14"/>
    <s v="1200002956"/>
    <x v="129"/>
    <x v="0"/>
    <x v="40"/>
    <n v="59"/>
    <d v="2026-07-10T00:00:00"/>
    <n v="449.11"/>
    <s v="PEN"/>
    <x v="3"/>
    <m/>
    <m/>
    <m/>
    <d v="2026-07-10T00:00:00"/>
    <n v="133.30661917482931"/>
    <m/>
    <m/>
  </r>
  <r>
    <s v="6002007"/>
    <x v="14"/>
    <s v="1200002957"/>
    <x v="130"/>
    <x v="0"/>
    <x v="40"/>
    <n v="59"/>
    <d v="2026-07-10T00:00:00"/>
    <n v="35.4"/>
    <s v="PEN"/>
    <x v="3"/>
    <m/>
    <m/>
    <m/>
    <d v="2026-07-10T00:00:00"/>
    <n v="10.507569011576134"/>
    <m/>
    <m/>
  </r>
  <r>
    <s v="6002007"/>
    <x v="14"/>
    <s v="1200003319"/>
    <x v="131"/>
    <x v="0"/>
    <x v="31"/>
    <n v="45"/>
    <d v="2026-07-24T00:00:00"/>
    <n v="355.65"/>
    <s v="PEN"/>
    <x v="3"/>
    <m/>
    <m/>
    <m/>
    <d v="2026-07-24T00:00:00"/>
    <n v="105.56544968833481"/>
    <m/>
    <m/>
  </r>
  <r>
    <s v="6002007"/>
    <x v="14"/>
    <s v="1200003320"/>
    <x v="132"/>
    <x v="0"/>
    <x v="31"/>
    <n v="45"/>
    <d v="2026-07-24T00:00:00"/>
    <n v="47.2"/>
    <s v="PEN"/>
    <x v="3"/>
    <m/>
    <m/>
    <m/>
    <d v="2026-07-24T00:00:00"/>
    <n v="14.010092015434847"/>
    <m/>
    <m/>
  </r>
  <r>
    <s v="6001105"/>
    <x v="15"/>
    <s v="1200001301"/>
    <x v="133"/>
    <x v="0"/>
    <x v="41"/>
    <n v="132"/>
    <d v="2026-04-28T00:00:00"/>
    <n v="716.71"/>
    <s v="PEN"/>
    <x v="0"/>
    <m/>
    <m/>
    <m/>
    <d v="2026-04-28T00:00:00"/>
    <n v="212.73671712674383"/>
    <m/>
    <m/>
  </r>
  <r>
    <s v="6001105"/>
    <x v="15"/>
    <s v="1200001302"/>
    <x v="134"/>
    <x v="0"/>
    <x v="41"/>
    <n v="132"/>
    <d v="2026-04-28T00:00:00"/>
    <n v="129.80000000000001"/>
    <s v="PEN"/>
    <x v="0"/>
    <m/>
    <m/>
    <m/>
    <d v="2026-04-28T00:00:00"/>
    <n v="38.527753042445831"/>
    <m/>
    <m/>
  </r>
  <r>
    <s v="6001105"/>
    <x v="15"/>
    <s v="1300004037"/>
    <x v="135"/>
    <x v="2"/>
    <x v="41"/>
    <n v="132"/>
    <d v="2026-04-28T00:00:00"/>
    <n v="422.56"/>
    <s v="PEN"/>
    <x v="0"/>
    <m/>
    <m/>
    <m/>
    <d v="2026-04-28T00:00:00"/>
    <n v="125.42594241614722"/>
    <m/>
    <m/>
  </r>
  <r>
    <s v="6001105"/>
    <x v="15"/>
    <s v="1200001648"/>
    <x v="136"/>
    <x v="0"/>
    <x v="35"/>
    <n v="118"/>
    <d v="2026-05-12T00:00:00"/>
    <n v="404.98"/>
    <s v="PEN"/>
    <x v="0"/>
    <m/>
    <m/>
    <m/>
    <d v="2026-05-12T00:00:00"/>
    <n v="120.2077767883645"/>
    <m/>
    <m/>
  </r>
  <r>
    <s v="6001105"/>
    <x v="15"/>
    <s v="1200001649"/>
    <x v="137"/>
    <x v="0"/>
    <x v="35"/>
    <n v="118"/>
    <d v="2026-05-12T00:00:00"/>
    <n v="59"/>
    <s v="PEN"/>
    <x v="0"/>
    <m/>
    <m/>
    <m/>
    <d v="2026-05-12T00:00:00"/>
    <n v="17.512615019293559"/>
    <m/>
    <m/>
  </r>
  <r>
    <s v="6001105"/>
    <x v="15"/>
    <s v="1300007099"/>
    <x v="138"/>
    <x v="2"/>
    <x v="42"/>
    <n v="54"/>
    <d v="2026-07-15T00:00:00"/>
    <n v="23.6"/>
    <s v="PEN"/>
    <x v="0"/>
    <m/>
    <m/>
    <m/>
    <d v="2026-07-15T00:00:00"/>
    <n v="7.0050460077174233"/>
    <m/>
    <m/>
  </r>
  <r>
    <s v="2000001359"/>
    <x v="16"/>
    <s v="1300005285"/>
    <x v="139"/>
    <x v="2"/>
    <x v="23"/>
    <n v="133"/>
    <d v="2026-04-27T00:00:00"/>
    <n v="10284"/>
    <s v="USD"/>
    <x v="1"/>
    <d v="2026-06-26T00:00:00"/>
    <n v="-38"/>
    <d v="2026-10-15T00:00:00"/>
    <d v="2026-10-15T00:00:00"/>
    <n v="10284"/>
    <n v="133"/>
    <s v="91-a más"/>
  </r>
  <r>
    <s v="2000001468"/>
    <x v="17"/>
    <s v="1300007199"/>
    <x v="140"/>
    <x v="2"/>
    <x v="43"/>
    <n v="56"/>
    <d v="2026-07-13T00:00:00"/>
    <n v="54612"/>
    <s v="USD"/>
    <x v="1"/>
    <d v="2026-09-11T00:00:00"/>
    <n v="-4"/>
    <d v="2026-09-11T00:00:00"/>
    <d v="2026-09-11T00:00:00"/>
    <n v="54612"/>
    <n v="56"/>
    <s v="46-60"/>
  </r>
  <r>
    <s v="1000013925"/>
    <x v="18"/>
    <s v="1300006898"/>
    <x v="141"/>
    <x v="2"/>
    <x v="44"/>
    <n v="321"/>
    <d v="2025-10-21T00:00:00"/>
    <n v="4460"/>
    <s v="PEN"/>
    <x v="4"/>
    <m/>
    <m/>
    <m/>
    <d v="2025-10-21T00:00:00"/>
    <n v="1323.8349658652419"/>
    <m/>
    <m/>
  </r>
  <r>
    <s v="1000013925"/>
    <x v="18"/>
    <s v="1200005124"/>
    <x v="142"/>
    <x v="0"/>
    <x v="45"/>
    <n v="300"/>
    <d v="2025-11-11T00:00:00"/>
    <n v="7097.98"/>
    <s v="PEN"/>
    <x v="4"/>
    <m/>
    <m/>
    <m/>
    <d v="2025-11-11T00:00:00"/>
    <n v="2106.8506975363607"/>
    <m/>
    <m/>
  </r>
  <r>
    <s v="1000013925"/>
    <x v="18"/>
    <s v="1200000182"/>
    <x v="143"/>
    <x v="0"/>
    <x v="46"/>
    <n v="212"/>
    <d v="2026-02-07T00:00:00"/>
    <n v="4003.46"/>
    <s v="PEN"/>
    <x v="4"/>
    <m/>
    <m/>
    <m/>
    <d v="2026-02-07T00:00:00"/>
    <n v="1188.322944493915"/>
    <m/>
    <m/>
  </r>
  <r>
    <s v="1000013925"/>
    <x v="18"/>
    <s v="1200000382"/>
    <x v="144"/>
    <x v="0"/>
    <x v="47"/>
    <n v="181"/>
    <d v="2026-03-10T00:00:00"/>
    <n v="4956"/>
    <s v="PEN"/>
    <x v="4"/>
    <m/>
    <m/>
    <m/>
    <d v="2026-03-10T00:00:00"/>
    <n v="1471.0596616206587"/>
    <m/>
    <m/>
  </r>
  <r>
    <s v="1000015185"/>
    <x v="19"/>
    <s v="1200003659"/>
    <x v="145"/>
    <x v="0"/>
    <x v="19"/>
    <n v="-3"/>
    <d v="2026-09-10T00:00:00"/>
    <n v="488.99"/>
    <s v="PEN"/>
    <x v="0"/>
    <m/>
    <m/>
    <m/>
    <d v="2026-09-10T00:00:00"/>
    <n v="145.14395963193826"/>
    <m/>
    <m/>
  </r>
  <r>
    <s v="1000015185"/>
    <x v="19"/>
    <s v="1200003660"/>
    <x v="146"/>
    <x v="0"/>
    <x v="19"/>
    <n v="-3"/>
    <d v="2026-09-10T00:00:00"/>
    <n v="171.1"/>
    <s v="PEN"/>
    <x v="0"/>
    <m/>
    <m/>
    <m/>
    <d v="2026-09-10T00:00:00"/>
    <n v="50.786583555951317"/>
    <m/>
    <m/>
  </r>
  <r>
    <s v="1000015185"/>
    <x v="19"/>
    <s v="1200003669"/>
    <x v="147"/>
    <x v="0"/>
    <x v="29"/>
    <n v="-4"/>
    <d v="2026-09-11T00:00:00"/>
    <n v="864.99"/>
    <s v="PEN"/>
    <x v="0"/>
    <m/>
    <m/>
    <m/>
    <d v="2026-09-11T00:00:00"/>
    <n v="256.74977738201244"/>
    <m/>
    <m/>
  </r>
  <r>
    <s v="1000015185"/>
    <x v="19"/>
    <s v="1200003670"/>
    <x v="148"/>
    <x v="0"/>
    <x v="29"/>
    <n v="-4"/>
    <d v="2026-09-11T00:00:00"/>
    <n v="283.2"/>
    <s v="PEN"/>
    <x v="0"/>
    <m/>
    <m/>
    <m/>
    <d v="2026-09-11T00:00:00"/>
    <n v="84.060552092609072"/>
    <m/>
    <m/>
  </r>
  <r>
    <s v="1000015185"/>
    <x v="19"/>
    <s v="1200003688"/>
    <x v="149"/>
    <x v="0"/>
    <x v="29"/>
    <n v="-4"/>
    <d v="2026-09-11T00:00:00"/>
    <n v="422.25"/>
    <s v="PEN"/>
    <x v="0"/>
    <m/>
    <m/>
    <m/>
    <d v="2026-09-11T00:00:00"/>
    <n v="125.33392698130008"/>
    <m/>
    <m/>
  </r>
  <r>
    <s v="1000015185"/>
    <x v="19"/>
    <s v="1200003689"/>
    <x v="150"/>
    <x v="0"/>
    <x v="29"/>
    <n v="-4"/>
    <d v="2026-09-11T00:00:00"/>
    <n v="177"/>
    <s v="PEN"/>
    <x v="0"/>
    <m/>
    <m/>
    <m/>
    <d v="2026-09-11T00:00:00"/>
    <n v="52.537845057880673"/>
    <m/>
    <m/>
  </r>
  <r>
    <s v="1000015185"/>
    <x v="19"/>
    <s v="1200003710"/>
    <x v="151"/>
    <x v="0"/>
    <x v="20"/>
    <n v="-5"/>
    <d v="2026-09-12T00:00:00"/>
    <n v="1148.47"/>
    <s v="PEN"/>
    <x v="0"/>
    <m/>
    <m/>
    <m/>
    <d v="2026-09-12T00:00:00"/>
    <n v="340.89344018996735"/>
    <m/>
    <m/>
  </r>
  <r>
    <s v="1000015185"/>
    <x v="19"/>
    <s v="1200003711"/>
    <x v="152"/>
    <x v="0"/>
    <x v="20"/>
    <n v="-5"/>
    <d v="2026-09-12T00:00:00"/>
    <n v="348.1"/>
    <s v="PEN"/>
    <x v="0"/>
    <m/>
    <m/>
    <m/>
    <d v="2026-09-12T00:00:00"/>
    <n v="103.324428613832"/>
    <m/>
    <m/>
  </r>
  <r>
    <s v="1000015185"/>
    <x v="19"/>
    <s v="1200003736"/>
    <x v="153"/>
    <x v="0"/>
    <x v="20"/>
    <n v="-5"/>
    <d v="2026-09-12T00:00:00"/>
    <n v="212.4"/>
    <s v="PEN"/>
    <x v="0"/>
    <m/>
    <m/>
    <m/>
    <d v="2026-09-12T00:00:00"/>
    <n v="63.045414069456811"/>
    <m/>
    <m/>
  </r>
  <r>
    <s v="1000015185"/>
    <x v="19"/>
    <s v="1200003738"/>
    <x v="154"/>
    <x v="0"/>
    <x v="20"/>
    <n v="-5"/>
    <d v="2026-09-12T00:00:00"/>
    <n v="749.02"/>
    <s v="PEN"/>
    <x v="0"/>
    <m/>
    <m/>
    <m/>
    <d v="2026-09-12T00:00:00"/>
    <n v="222.32710002968238"/>
    <m/>
    <m/>
  </r>
  <r>
    <s v="1000015185"/>
    <x v="19"/>
    <s v="1200003744"/>
    <x v="155"/>
    <x v="0"/>
    <x v="21"/>
    <n v="-6"/>
    <d v="2026-09-13T00:00:00"/>
    <n v="690.87"/>
    <s v="PEN"/>
    <x v="0"/>
    <m/>
    <m/>
    <m/>
    <d v="2026-09-13T00:00:00"/>
    <n v="205.06678539626"/>
    <m/>
    <m/>
  </r>
  <r>
    <s v="1000015185"/>
    <x v="19"/>
    <s v="1200003745"/>
    <x v="156"/>
    <x v="0"/>
    <x v="21"/>
    <n v="-6"/>
    <d v="2026-09-13T00:00:00"/>
    <n v="283.2"/>
    <s v="PEN"/>
    <x v="0"/>
    <m/>
    <m/>
    <m/>
    <d v="2026-09-13T00:00:00"/>
    <n v="84.060552092609072"/>
    <m/>
    <m/>
  </r>
  <r>
    <s v="1000015185"/>
    <x v="19"/>
    <s v="1200003774"/>
    <x v="157"/>
    <x v="0"/>
    <x v="21"/>
    <n v="-6"/>
    <d v="2026-09-13T00:00:00"/>
    <n v="667.41"/>
    <s v="PEN"/>
    <x v="0"/>
    <m/>
    <m/>
    <m/>
    <d v="2026-09-13T00:00:00"/>
    <n v="198.10329474621548"/>
    <m/>
    <m/>
  </r>
  <r>
    <s v="1000015185"/>
    <x v="19"/>
    <s v="1200003775"/>
    <x v="158"/>
    <x v="0"/>
    <x v="21"/>
    <n v="-6"/>
    <d v="2026-09-13T00:00:00"/>
    <n v="194.7"/>
    <s v="PEN"/>
    <x v="0"/>
    <m/>
    <m/>
    <m/>
    <d v="2026-09-13T00:00:00"/>
    <n v="57.791629563668735"/>
    <m/>
    <m/>
  </r>
  <r>
    <s v="6000434"/>
    <x v="20"/>
    <s v="1200004540"/>
    <x v="159"/>
    <x v="0"/>
    <x v="48"/>
    <n v="318"/>
    <d v="2025-10-14T00:00:00"/>
    <n v="790"/>
    <s v="PEN"/>
    <x v="5"/>
    <m/>
    <m/>
    <m/>
    <d v="2025-10-14T00:00:00"/>
    <n v="234.49094686850697"/>
    <m/>
    <m/>
  </r>
  <r>
    <s v="2000001382"/>
    <x v="21"/>
    <s v="1300007200"/>
    <x v="160"/>
    <x v="2"/>
    <x v="13"/>
    <n v="42"/>
    <d v="2026-07-27T00:00:00"/>
    <n v="64640"/>
    <s v="USD"/>
    <x v="1"/>
    <d v="2026-09-25T00:00:00"/>
    <n v="-18"/>
    <d v="2026-09-25T00:00:00"/>
    <d v="2026-09-25T00:00:00"/>
    <n v="64640"/>
    <n v="42"/>
    <s v="0-45"/>
  </r>
  <r>
    <s v="2000001382"/>
    <x v="21"/>
    <s v="1300007201"/>
    <x v="161"/>
    <x v="2"/>
    <x v="14"/>
    <n v="40"/>
    <d v="2026-07-29T00:00:00"/>
    <n v="64850"/>
    <s v="USD"/>
    <x v="1"/>
    <d v="2026-09-27T00:00:00"/>
    <n v="-20"/>
    <d v="2026-09-27T00:00:00"/>
    <d v="2026-09-27T00:00:00"/>
    <n v="64850"/>
    <n v="40"/>
    <s v="0-45"/>
  </r>
  <r>
    <s v="1000015392"/>
    <x v="22"/>
    <s v="1200002881"/>
    <x v="162"/>
    <x v="0"/>
    <x v="49"/>
    <n v="52"/>
    <d v="2026-07-07T00:00:00"/>
    <n v="590"/>
    <s v="PEN"/>
    <x v="6"/>
    <m/>
    <m/>
    <m/>
    <d v="2026-07-07T00:00:00"/>
    <n v="175.12615019293557"/>
    <m/>
    <m/>
  </r>
  <r>
    <s v="1000001965"/>
    <x v="23"/>
    <s v="1200003535"/>
    <x v="163"/>
    <x v="0"/>
    <x v="28"/>
    <n v="2"/>
    <d v="2026-09-05T00:00:00"/>
    <n v="590"/>
    <s v="PEN"/>
    <x v="0"/>
    <m/>
    <m/>
    <m/>
    <d v="2026-09-05T00:00:00"/>
    <n v="175.12615019293557"/>
    <m/>
    <m/>
  </r>
  <r>
    <s v="1000001965"/>
    <x v="23"/>
    <s v="1200003586"/>
    <x v="164"/>
    <x v="0"/>
    <x v="1"/>
    <n v="-1"/>
    <d v="2026-09-08T00:00:00"/>
    <n v="590"/>
    <s v="PEN"/>
    <x v="0"/>
    <m/>
    <m/>
    <m/>
    <d v="2026-09-08T00:00:00"/>
    <n v="175.12615019293557"/>
    <m/>
    <m/>
  </r>
  <r>
    <s v="1000001965"/>
    <x v="23"/>
    <s v="1200003597"/>
    <x v="165"/>
    <x v="0"/>
    <x v="18"/>
    <n v="-2"/>
    <d v="2026-09-09T00:00:00"/>
    <n v="590"/>
    <s v="PEN"/>
    <x v="0"/>
    <m/>
    <m/>
    <m/>
    <d v="2026-09-09T00:00:00"/>
    <n v="175.12615019293557"/>
    <m/>
    <m/>
  </r>
  <r>
    <s v="2000001440"/>
    <x v="24"/>
    <s v="1300007151"/>
    <x v="166"/>
    <x v="4"/>
    <x v="50"/>
    <n v="0"/>
    <d v="2026-07-31T00:00:00"/>
    <n v="-9650"/>
    <s v="USD"/>
    <x v="1"/>
    <d v="2026-09-19T00:00:00"/>
    <m/>
    <m/>
    <d v="2026-07-31T00:00:00"/>
    <n v="-9650"/>
    <n v="48"/>
    <s v="46-60"/>
  </r>
  <r>
    <s v="2000001440"/>
    <x v="24"/>
    <s v="1200003507"/>
    <x v="167"/>
    <x v="1"/>
    <x v="15"/>
    <n v="-37"/>
    <d v="2026-10-14T00:00:00"/>
    <n v="48600"/>
    <s v="USD"/>
    <x v="1"/>
    <d v="2026-10-14T00:00:00"/>
    <n v="-37"/>
    <d v="2026-10-14T00:00:00"/>
    <d v="2026-10-14T00:00:00"/>
    <n v="48600"/>
    <n v="23"/>
    <s v="0-45"/>
  </r>
  <r>
    <s v="1000013801"/>
    <x v="25"/>
    <s v="1300007121"/>
    <x v="168"/>
    <x v="2"/>
    <x v="51"/>
    <n v="51"/>
    <d v="2026-07-18T00:00:00"/>
    <n v="203.67"/>
    <s v="PEN"/>
    <x v="0"/>
    <m/>
    <m/>
    <m/>
    <d v="2026-07-18T00:00:00"/>
    <n v="60.45414069456811"/>
    <m/>
    <m/>
  </r>
  <r>
    <s v="1000013686"/>
    <x v="26"/>
    <s v="1200003573"/>
    <x v="169"/>
    <x v="0"/>
    <x v="1"/>
    <n v="-1"/>
    <d v="2026-09-08T00:00:00"/>
    <n v="368.16"/>
    <s v="PEN"/>
    <x v="0"/>
    <m/>
    <m/>
    <m/>
    <d v="2026-09-08T00:00:00"/>
    <n v="109.27871772039181"/>
    <m/>
    <m/>
  </r>
  <r>
    <s v="2000000786"/>
    <x v="27"/>
    <s v="1200003577"/>
    <x v="170"/>
    <x v="1"/>
    <x v="0"/>
    <n v="-38"/>
    <d v="2026-10-15T00:00:00"/>
    <n v="36684"/>
    <s v="USD"/>
    <x v="1"/>
    <d v="2026-10-30T00:00:00"/>
    <n v="-53"/>
    <d v="2026-10-30T00:00:00"/>
    <d v="2026-10-30T00:00:00"/>
    <n v="36684"/>
    <n v="7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s v="1200003541"/>
    <x v="0"/>
    <x v="0"/>
    <d v="2026-08-31T00:00:00"/>
    <n v="0"/>
    <d v="2026-09-07T00:00:00"/>
    <n v="590"/>
    <s v="PEN"/>
    <x v="0"/>
    <m/>
    <m/>
    <m/>
    <d v="2026-09-07T00:00:00"/>
    <n v="175.12615019293557"/>
    <m/>
    <x v="0"/>
  </r>
  <r>
    <x v="0"/>
    <x v="0"/>
    <s v="1200003588"/>
    <x v="1"/>
    <x v="0"/>
    <d v="2026-09-01T00:00:00"/>
    <n v="-1"/>
    <d v="2026-09-08T00:00:00"/>
    <n v="708"/>
    <s v="PEN"/>
    <x v="0"/>
    <m/>
    <m/>
    <m/>
    <d v="2026-09-08T00:00:00"/>
    <n v="210.15138023152269"/>
    <m/>
    <x v="0"/>
  </r>
  <r>
    <x v="1"/>
    <x v="1"/>
    <s v="1200005220"/>
    <x v="2"/>
    <x v="0"/>
    <d v="2025-11-19T00:00:00"/>
    <n v="285"/>
    <d v="2025-11-26T00:00:00"/>
    <n v="42.48"/>
    <s v="PEN"/>
    <x v="0"/>
    <m/>
    <m/>
    <m/>
    <d v="2025-11-26T00:00:00"/>
    <n v="12.60908281389136"/>
    <m/>
    <x v="0"/>
  </r>
  <r>
    <x v="1"/>
    <x v="1"/>
    <s v="1200005228"/>
    <x v="3"/>
    <x v="0"/>
    <d v="2025-11-19T00:00:00"/>
    <n v="285"/>
    <d v="2025-11-26T00:00:00"/>
    <n v="14.16"/>
    <s v="PEN"/>
    <x v="0"/>
    <m/>
    <m/>
    <m/>
    <d v="2025-11-26T00:00:00"/>
    <n v="4.2030276046304538"/>
    <m/>
    <x v="0"/>
  </r>
  <r>
    <x v="1"/>
    <x v="1"/>
    <s v="1200005242"/>
    <x v="4"/>
    <x v="0"/>
    <d v="2025-11-19T00:00:00"/>
    <n v="285"/>
    <d v="2025-11-26T00:00:00"/>
    <n v="14.16"/>
    <s v="PEN"/>
    <x v="0"/>
    <m/>
    <m/>
    <m/>
    <d v="2025-11-26T00:00:00"/>
    <n v="4.2030276046304538"/>
    <m/>
    <x v="0"/>
  </r>
  <r>
    <x v="1"/>
    <x v="1"/>
    <s v="1200005264"/>
    <x v="5"/>
    <x v="0"/>
    <d v="2025-11-20T00:00:00"/>
    <n v="284"/>
    <d v="2025-11-27T00:00:00"/>
    <n v="28.32"/>
    <s v="PEN"/>
    <x v="0"/>
    <m/>
    <m/>
    <m/>
    <d v="2025-11-27T00:00:00"/>
    <n v="8.4060552092609075"/>
    <m/>
    <x v="0"/>
  </r>
  <r>
    <x v="1"/>
    <x v="1"/>
    <s v="1200005271"/>
    <x v="6"/>
    <x v="0"/>
    <d v="2025-11-20T00:00:00"/>
    <n v="284"/>
    <d v="2025-11-27T00:00:00"/>
    <n v="14.16"/>
    <s v="PEN"/>
    <x v="0"/>
    <m/>
    <m/>
    <m/>
    <d v="2025-11-27T00:00:00"/>
    <n v="4.2030276046304538"/>
    <m/>
    <x v="0"/>
  </r>
  <r>
    <x v="1"/>
    <x v="1"/>
    <s v="1200005296"/>
    <x v="7"/>
    <x v="0"/>
    <d v="2025-11-21T00:00:00"/>
    <n v="283"/>
    <d v="2025-11-28T00:00:00"/>
    <n v="28.32"/>
    <s v="PEN"/>
    <x v="0"/>
    <m/>
    <m/>
    <m/>
    <d v="2025-11-28T00:00:00"/>
    <n v="8.4060552092609075"/>
    <m/>
    <x v="0"/>
  </r>
  <r>
    <x v="1"/>
    <x v="1"/>
    <s v="1200005302"/>
    <x v="8"/>
    <x v="0"/>
    <d v="2025-11-21T00:00:00"/>
    <n v="283"/>
    <d v="2025-11-28T00:00:00"/>
    <n v="42.48"/>
    <s v="PEN"/>
    <x v="0"/>
    <m/>
    <m/>
    <m/>
    <d v="2025-11-28T00:00:00"/>
    <n v="12.60908281389136"/>
    <m/>
    <x v="0"/>
  </r>
  <r>
    <x v="1"/>
    <x v="1"/>
    <s v="1200005304"/>
    <x v="9"/>
    <x v="0"/>
    <d v="2025-11-21T00:00:00"/>
    <n v="283"/>
    <d v="2025-11-28T00:00:00"/>
    <n v="42.48"/>
    <s v="PEN"/>
    <x v="0"/>
    <m/>
    <m/>
    <m/>
    <d v="2025-11-28T00:00:00"/>
    <n v="12.60908281389136"/>
    <m/>
    <x v="0"/>
  </r>
  <r>
    <x v="1"/>
    <x v="1"/>
    <s v="1200005313"/>
    <x v="10"/>
    <x v="0"/>
    <d v="2025-11-21T00:00:00"/>
    <n v="283"/>
    <d v="2025-11-28T00:00:00"/>
    <n v="14.16"/>
    <s v="PEN"/>
    <x v="0"/>
    <m/>
    <m/>
    <m/>
    <d v="2025-11-28T00:00:00"/>
    <n v="4.2030276046304538"/>
    <m/>
    <x v="0"/>
  </r>
  <r>
    <x v="1"/>
    <x v="1"/>
    <s v="1200005346"/>
    <x v="11"/>
    <x v="0"/>
    <d v="2025-11-22T00:00:00"/>
    <n v="282"/>
    <d v="2025-11-29T00:00:00"/>
    <n v="28.32"/>
    <s v="PEN"/>
    <x v="0"/>
    <m/>
    <m/>
    <m/>
    <d v="2025-11-29T00:00:00"/>
    <n v="8.4060552092609075"/>
    <m/>
    <x v="0"/>
  </r>
  <r>
    <x v="1"/>
    <x v="1"/>
    <s v="1200005422"/>
    <x v="12"/>
    <x v="0"/>
    <d v="2025-11-27T00:00:00"/>
    <n v="277"/>
    <d v="2025-12-04T00:00:00"/>
    <n v="14.16"/>
    <s v="PEN"/>
    <x v="0"/>
    <m/>
    <m/>
    <m/>
    <d v="2025-12-04T00:00:00"/>
    <n v="4.2030276046304538"/>
    <m/>
    <x v="0"/>
  </r>
  <r>
    <x v="1"/>
    <x v="1"/>
    <s v="1200000045"/>
    <x v="13"/>
    <x v="0"/>
    <d v="2026-01-06T00:00:00"/>
    <n v="237"/>
    <d v="2026-01-13T00:00:00"/>
    <n v="14.16"/>
    <s v="PEN"/>
    <x v="0"/>
    <m/>
    <m/>
    <m/>
    <d v="2026-01-13T00:00:00"/>
    <n v="4.2030276046304538"/>
    <m/>
    <x v="0"/>
  </r>
  <r>
    <x v="1"/>
    <x v="1"/>
    <s v="1200000090"/>
    <x v="14"/>
    <x v="0"/>
    <d v="2026-01-08T00:00:00"/>
    <n v="235"/>
    <d v="2026-01-15T00:00:00"/>
    <n v="14.16"/>
    <s v="PEN"/>
    <x v="0"/>
    <m/>
    <m/>
    <m/>
    <d v="2026-01-15T00:00:00"/>
    <n v="4.2030276046304538"/>
    <m/>
    <x v="0"/>
  </r>
  <r>
    <x v="1"/>
    <x v="1"/>
    <s v="1200000113"/>
    <x v="15"/>
    <x v="0"/>
    <d v="2026-01-10T00:00:00"/>
    <n v="233"/>
    <d v="2026-01-17T00:00:00"/>
    <n v="14.16"/>
    <s v="PEN"/>
    <x v="0"/>
    <m/>
    <m/>
    <m/>
    <d v="2026-01-17T00:00:00"/>
    <n v="4.2030276046304538"/>
    <m/>
    <x v="0"/>
  </r>
  <r>
    <x v="1"/>
    <x v="1"/>
    <s v="1200000132"/>
    <x v="16"/>
    <x v="0"/>
    <d v="2026-01-16T00:00:00"/>
    <n v="227"/>
    <d v="2026-01-23T00:00:00"/>
    <n v="14.16"/>
    <s v="PEN"/>
    <x v="0"/>
    <m/>
    <m/>
    <m/>
    <d v="2026-01-23T00:00:00"/>
    <n v="4.2030276046304538"/>
    <m/>
    <x v="0"/>
  </r>
  <r>
    <x v="1"/>
    <x v="1"/>
    <s v="1200000133"/>
    <x v="17"/>
    <x v="0"/>
    <d v="2026-01-16T00:00:00"/>
    <n v="227"/>
    <d v="2026-01-23T00:00:00"/>
    <n v="14.16"/>
    <s v="PEN"/>
    <x v="0"/>
    <m/>
    <m/>
    <m/>
    <d v="2026-01-23T00:00:00"/>
    <n v="4.2030276046304538"/>
    <m/>
    <x v="0"/>
  </r>
  <r>
    <x v="1"/>
    <x v="1"/>
    <s v="1200000141"/>
    <x v="18"/>
    <x v="0"/>
    <d v="2026-01-19T00:00:00"/>
    <n v="224"/>
    <d v="2026-01-26T00:00:00"/>
    <n v="14.16"/>
    <s v="PEN"/>
    <x v="0"/>
    <m/>
    <m/>
    <m/>
    <d v="2026-01-26T00:00:00"/>
    <n v="4.2030276046304538"/>
    <m/>
    <x v="0"/>
  </r>
  <r>
    <x v="2"/>
    <x v="2"/>
    <s v="1200003451"/>
    <x v="19"/>
    <x v="1"/>
    <d v="2026-07-25T00:00:00"/>
    <n v="-16"/>
    <d v="2026-09-23T00:00:00"/>
    <n v="8619"/>
    <s v="USD"/>
    <x v="1"/>
    <d v="2026-09-23T00:00:00"/>
    <n v="-16"/>
    <d v="2026-09-23T00:00:00"/>
    <d v="2026-09-23T00:00:00"/>
    <n v="8619"/>
    <n v="44"/>
    <x v="1"/>
  </r>
  <r>
    <x v="2"/>
    <x v="2"/>
    <s v="1200003454"/>
    <x v="20"/>
    <x v="1"/>
    <d v="2026-07-27T00:00:00"/>
    <n v="-78"/>
    <d v="2026-11-24T00:00:00"/>
    <n v="83280"/>
    <s v="USD"/>
    <x v="1"/>
    <d v="2026-09-25T00:00:00"/>
    <n v="-18"/>
    <d v="2026-09-25T00:00:00"/>
    <d v="2026-09-25T00:00:00"/>
    <n v="83280"/>
    <n v="42"/>
    <x v="1"/>
  </r>
  <r>
    <x v="2"/>
    <x v="2"/>
    <s v="1200003470"/>
    <x v="21"/>
    <x v="1"/>
    <d v="2026-07-29T00:00:00"/>
    <n v="-20"/>
    <d v="2026-09-27T00:00:00"/>
    <n v="41448"/>
    <s v="USD"/>
    <x v="1"/>
    <d v="2026-09-27T00:00:00"/>
    <n v="-20"/>
    <d v="2026-09-27T00:00:00"/>
    <d v="2026-09-27T00:00:00"/>
    <n v="41448"/>
    <n v="40"/>
    <x v="1"/>
  </r>
  <r>
    <x v="2"/>
    <x v="2"/>
    <s v="1300008499"/>
    <x v="22"/>
    <x v="2"/>
    <d v="2026-08-15T00:00:00"/>
    <n v="23"/>
    <d v="2026-08-15T00:00:00"/>
    <n v="94530"/>
    <s v="USD"/>
    <x v="1"/>
    <d v="2026-10-14T00:00:00"/>
    <n v="-37"/>
    <d v="2026-10-14T00:00:00"/>
    <d v="2026-10-14T00:00:00"/>
    <n v="94530"/>
    <n v="23"/>
    <x v="1"/>
  </r>
  <r>
    <x v="2"/>
    <x v="2"/>
    <s v="1300008500"/>
    <x v="23"/>
    <x v="2"/>
    <d v="2026-08-15T00:00:00"/>
    <n v="23"/>
    <d v="2026-08-15T00:00:00"/>
    <n v="29598"/>
    <s v="USD"/>
    <x v="1"/>
    <d v="2026-10-14T00:00:00"/>
    <n v="-37"/>
    <d v="2026-10-14T00:00:00"/>
    <d v="2026-10-14T00:00:00"/>
    <n v="29598"/>
    <n v="23"/>
    <x v="1"/>
  </r>
  <r>
    <x v="2"/>
    <x v="2"/>
    <s v="1300008501"/>
    <x v="24"/>
    <x v="2"/>
    <d v="2026-08-15T00:00:00"/>
    <n v="23"/>
    <d v="2026-08-15T00:00:00"/>
    <n v="54840"/>
    <s v="USD"/>
    <x v="1"/>
    <d v="2026-10-14T00:00:00"/>
    <n v="-37"/>
    <d v="2026-10-14T00:00:00"/>
    <d v="2026-10-14T00:00:00"/>
    <n v="54840"/>
    <n v="23"/>
    <x v="1"/>
  </r>
  <r>
    <x v="2"/>
    <x v="2"/>
    <s v="1300008502"/>
    <x v="25"/>
    <x v="2"/>
    <d v="2026-08-15T00:00:00"/>
    <n v="23"/>
    <d v="2026-08-15T00:00:00"/>
    <n v="29010"/>
    <s v="USD"/>
    <x v="1"/>
    <d v="2026-10-14T00:00:00"/>
    <n v="-37"/>
    <d v="2026-10-14T00:00:00"/>
    <d v="2026-10-14T00:00:00"/>
    <n v="29010"/>
    <n v="23"/>
    <x v="1"/>
  </r>
  <r>
    <x v="2"/>
    <x v="2"/>
    <s v="1200003508"/>
    <x v="26"/>
    <x v="1"/>
    <d v="2026-08-16T00:00:00"/>
    <n v="-38"/>
    <d v="2026-10-15T00:00:00"/>
    <n v="41064"/>
    <s v="USD"/>
    <x v="1"/>
    <d v="2026-10-15T00:00:00"/>
    <n v="-38"/>
    <d v="2026-10-15T00:00:00"/>
    <d v="2026-10-15T00:00:00"/>
    <n v="41064"/>
    <n v="22"/>
    <x v="1"/>
  </r>
  <r>
    <x v="3"/>
    <x v="3"/>
    <s v="1200003566"/>
    <x v="27"/>
    <x v="3"/>
    <d v="2026-09-01T00:00:00"/>
    <n v="-1"/>
    <d v="2026-09-08T00:00:00"/>
    <n v="325.68"/>
    <s v="PEN"/>
    <x v="0"/>
    <m/>
    <m/>
    <m/>
    <d v="2026-09-08T00:00:00"/>
    <n v="96.669634906500434"/>
    <m/>
    <x v="0"/>
  </r>
  <r>
    <x v="3"/>
    <x v="3"/>
    <s v="1200003567"/>
    <x v="28"/>
    <x v="3"/>
    <d v="2026-09-01T00:00:00"/>
    <n v="-1"/>
    <d v="2026-09-08T00:00:00"/>
    <n v="35.4"/>
    <s v="PEN"/>
    <x v="0"/>
    <m/>
    <m/>
    <m/>
    <d v="2026-09-08T00:00:00"/>
    <n v="10.507569011576134"/>
    <m/>
    <x v="0"/>
  </r>
  <r>
    <x v="4"/>
    <x v="4"/>
    <s v="1200003522"/>
    <x v="29"/>
    <x v="0"/>
    <d v="2026-08-27T00:00:00"/>
    <n v="4"/>
    <d v="2026-09-03T00:00:00"/>
    <n v="283.2"/>
    <s v="PEN"/>
    <x v="0"/>
    <m/>
    <m/>
    <m/>
    <d v="2026-09-03T00:00:00"/>
    <n v="84.060552092609072"/>
    <m/>
    <x v="0"/>
  </r>
  <r>
    <x v="5"/>
    <x v="5"/>
    <s v="1200003574"/>
    <x v="30"/>
    <x v="0"/>
    <d v="2026-09-01T00:00:00"/>
    <n v="-1"/>
    <d v="2026-09-08T00:00:00"/>
    <n v="59"/>
    <s v="PEN"/>
    <x v="0"/>
    <m/>
    <m/>
    <m/>
    <d v="2026-09-08T00:00:00"/>
    <n v="17.512615019293559"/>
    <m/>
    <x v="0"/>
  </r>
  <r>
    <x v="5"/>
    <x v="5"/>
    <s v="1200003593"/>
    <x v="31"/>
    <x v="0"/>
    <d v="2026-09-01T00:00:00"/>
    <n v="-1"/>
    <d v="2026-09-08T00:00:00"/>
    <n v="726.88"/>
    <s v="PEN"/>
    <x v="0"/>
    <m/>
    <m/>
    <m/>
    <d v="2026-09-08T00:00:00"/>
    <n v="215.75541703769662"/>
    <m/>
    <x v="0"/>
  </r>
  <r>
    <x v="5"/>
    <x v="5"/>
    <s v="1200003594"/>
    <x v="32"/>
    <x v="0"/>
    <d v="2026-09-01T00:00:00"/>
    <n v="-1"/>
    <d v="2026-09-08T00:00:00"/>
    <n v="106.2"/>
    <s v="PEN"/>
    <x v="0"/>
    <m/>
    <m/>
    <m/>
    <d v="2026-09-08T00:00:00"/>
    <n v="31.522707034728406"/>
    <m/>
    <x v="0"/>
  </r>
  <r>
    <x v="5"/>
    <x v="5"/>
    <s v="1200003602"/>
    <x v="33"/>
    <x v="0"/>
    <d v="2026-09-02T00:00:00"/>
    <n v="-2"/>
    <d v="2026-09-09T00:00:00"/>
    <n v="59"/>
    <s v="PEN"/>
    <x v="0"/>
    <m/>
    <m/>
    <m/>
    <d v="2026-09-09T00:00:00"/>
    <n v="17.512615019293559"/>
    <m/>
    <x v="0"/>
  </r>
  <r>
    <x v="5"/>
    <x v="5"/>
    <s v="1200003641"/>
    <x v="34"/>
    <x v="0"/>
    <d v="2026-09-03T00:00:00"/>
    <n v="-3"/>
    <d v="2026-09-10T00:00:00"/>
    <n v="540.67999999999995"/>
    <s v="PEN"/>
    <x v="0"/>
    <m/>
    <m/>
    <m/>
    <d v="2026-09-10T00:00:00"/>
    <n v="160.48679133273967"/>
    <m/>
    <x v="0"/>
  </r>
  <r>
    <x v="5"/>
    <x v="5"/>
    <s v="1200003642"/>
    <x v="35"/>
    <x v="0"/>
    <d v="2026-09-03T00:00:00"/>
    <n v="-3"/>
    <d v="2026-09-10T00:00:00"/>
    <n v="70.8"/>
    <s v="PEN"/>
    <x v="0"/>
    <m/>
    <m/>
    <m/>
    <d v="2026-09-10T00:00:00"/>
    <n v="21.015138023152268"/>
    <m/>
    <x v="0"/>
  </r>
  <r>
    <x v="5"/>
    <x v="5"/>
    <s v="1200003708"/>
    <x v="36"/>
    <x v="0"/>
    <d v="2026-09-05T00:00:00"/>
    <n v="-5"/>
    <d v="2026-09-12T00:00:00"/>
    <n v="186.02"/>
    <s v="PEN"/>
    <x v="0"/>
    <m/>
    <m/>
    <m/>
    <d v="2026-09-12T00:00:00"/>
    <n v="55.215197387948947"/>
    <m/>
    <x v="0"/>
  </r>
  <r>
    <x v="5"/>
    <x v="5"/>
    <s v="1200003709"/>
    <x v="37"/>
    <x v="0"/>
    <d v="2026-09-05T00:00:00"/>
    <n v="-5"/>
    <d v="2026-09-12T00:00:00"/>
    <n v="123.9"/>
    <s v="PEN"/>
    <x v="0"/>
    <m/>
    <m/>
    <m/>
    <d v="2026-09-12T00:00:00"/>
    <n v="36.776491540516474"/>
    <m/>
    <x v="0"/>
  </r>
  <r>
    <x v="5"/>
    <x v="5"/>
    <s v="1200003714"/>
    <x v="38"/>
    <x v="0"/>
    <d v="2026-09-05T00:00:00"/>
    <n v="-5"/>
    <d v="2026-09-12T00:00:00"/>
    <n v="730.84"/>
    <s v="PEN"/>
    <x v="0"/>
    <m/>
    <m/>
    <m/>
    <d v="2026-09-12T00:00:00"/>
    <n v="216.93084001187296"/>
    <m/>
    <x v="0"/>
  </r>
  <r>
    <x v="5"/>
    <x v="5"/>
    <s v="1200003715"/>
    <x v="39"/>
    <x v="0"/>
    <d v="2026-09-05T00:00:00"/>
    <n v="-5"/>
    <d v="2026-09-12T00:00:00"/>
    <n v="194.7"/>
    <s v="PEN"/>
    <x v="0"/>
    <m/>
    <m/>
    <m/>
    <d v="2026-09-12T00:00:00"/>
    <n v="57.791629563668735"/>
    <m/>
    <x v="0"/>
  </r>
  <r>
    <x v="5"/>
    <x v="5"/>
    <s v="1200003724"/>
    <x v="40"/>
    <x v="0"/>
    <d v="2026-09-05T00:00:00"/>
    <n v="-5"/>
    <d v="2026-09-12T00:00:00"/>
    <n v="323.13"/>
    <s v="PEN"/>
    <x v="0"/>
    <m/>
    <m/>
    <m/>
    <d v="2026-09-12T00:00:00"/>
    <n v="95.912733748886907"/>
    <m/>
    <x v="0"/>
  </r>
  <r>
    <x v="5"/>
    <x v="5"/>
    <s v="1200003725"/>
    <x v="41"/>
    <x v="0"/>
    <d v="2026-09-05T00:00:00"/>
    <n v="-5"/>
    <d v="2026-09-12T00:00:00"/>
    <n v="123.9"/>
    <s v="PEN"/>
    <x v="0"/>
    <m/>
    <m/>
    <m/>
    <d v="2026-09-12T00:00:00"/>
    <n v="36.776491540516474"/>
    <m/>
    <x v="0"/>
  </r>
  <r>
    <x v="5"/>
    <x v="5"/>
    <s v="1200003772"/>
    <x v="42"/>
    <x v="0"/>
    <d v="2026-09-06T00:00:00"/>
    <n v="-6"/>
    <d v="2026-09-13T00:00:00"/>
    <n v="446.04"/>
    <s v="PEN"/>
    <x v="0"/>
    <m/>
    <m/>
    <m/>
    <d v="2026-09-13T00:00:00"/>
    <n v="132.3953695458593"/>
    <m/>
    <x v="0"/>
  </r>
  <r>
    <x v="5"/>
    <x v="5"/>
    <s v="1200003773"/>
    <x v="43"/>
    <x v="0"/>
    <d v="2026-09-06T00:00:00"/>
    <n v="-6"/>
    <d v="2026-09-13T00:00:00"/>
    <n v="177"/>
    <s v="PEN"/>
    <x v="0"/>
    <m/>
    <m/>
    <m/>
    <d v="2026-09-13T00:00:00"/>
    <n v="52.537845057880673"/>
    <m/>
    <x v="0"/>
  </r>
  <r>
    <x v="6"/>
    <x v="6"/>
    <s v="1300008291"/>
    <x v="44"/>
    <x v="4"/>
    <d v="2026-08-13T00:00:00"/>
    <n v="0"/>
    <d v="2026-08-31T00:00:00"/>
    <n v="-31032"/>
    <s v="USD"/>
    <x v="1"/>
    <d v="2026-10-12T00:00:00"/>
    <m/>
    <m/>
    <d v="2026-08-31T00:00:00"/>
    <n v="-31032"/>
    <n v="25"/>
    <x v="1"/>
  </r>
  <r>
    <x v="6"/>
    <x v="6"/>
    <s v="1200003575"/>
    <x v="45"/>
    <x v="1"/>
    <d v="2026-08-31T00:00:00"/>
    <n v="-53"/>
    <d v="2026-10-30T00:00:00"/>
    <n v="89775"/>
    <s v="USD"/>
    <x v="1"/>
    <d v="2026-10-30T00:00:00"/>
    <n v="-53"/>
    <d v="2026-10-30T00:00:00"/>
    <d v="2026-10-30T00:00:00"/>
    <n v="89775"/>
    <n v="7"/>
    <x v="1"/>
  </r>
  <r>
    <x v="7"/>
    <x v="7"/>
    <s v="1200003557"/>
    <x v="46"/>
    <x v="3"/>
    <d v="2026-08-31T00:00:00"/>
    <n v="0"/>
    <d v="2026-09-07T00:00:00"/>
    <n v="997.57"/>
    <s v="PEN"/>
    <x v="0"/>
    <m/>
    <m/>
    <m/>
    <d v="2026-09-07T00:00:00"/>
    <n v="296.10270109824876"/>
    <m/>
    <x v="0"/>
  </r>
  <r>
    <x v="7"/>
    <x v="7"/>
    <s v="1200003558"/>
    <x v="47"/>
    <x v="3"/>
    <d v="2026-08-31T00:00:00"/>
    <n v="0"/>
    <d v="2026-09-07T00:00:00"/>
    <n v="141.6"/>
    <s v="PEN"/>
    <x v="0"/>
    <m/>
    <m/>
    <m/>
    <d v="2026-09-07T00:00:00"/>
    <n v="42.030276046304536"/>
    <m/>
    <x v="0"/>
  </r>
  <r>
    <x v="7"/>
    <x v="7"/>
    <s v="1200003580"/>
    <x v="48"/>
    <x v="3"/>
    <d v="2026-09-01T00:00:00"/>
    <n v="-1"/>
    <d v="2026-09-08T00:00:00"/>
    <n v="752.13"/>
    <s v="PEN"/>
    <x v="0"/>
    <m/>
    <m/>
    <m/>
    <d v="2026-09-08T00:00:00"/>
    <n v="223.2502226179875"/>
    <m/>
    <x v="0"/>
  </r>
  <r>
    <x v="7"/>
    <x v="7"/>
    <s v="1200003581"/>
    <x v="49"/>
    <x v="3"/>
    <d v="2026-09-01T00:00:00"/>
    <n v="-1"/>
    <d v="2026-09-08T00:00:00"/>
    <n v="70.8"/>
    <s v="PEN"/>
    <x v="0"/>
    <m/>
    <m/>
    <m/>
    <d v="2026-09-08T00:00:00"/>
    <n v="21.015138023152268"/>
    <m/>
    <x v="0"/>
  </r>
  <r>
    <x v="7"/>
    <x v="7"/>
    <s v="1200003615"/>
    <x v="50"/>
    <x v="3"/>
    <d v="2026-09-02T00:00:00"/>
    <n v="-2"/>
    <d v="2026-09-09T00:00:00"/>
    <n v="322.61"/>
    <s v="PEN"/>
    <x v="0"/>
    <m/>
    <m/>
    <m/>
    <d v="2026-09-09T00:00:00"/>
    <n v="95.758385277530422"/>
    <m/>
    <x v="0"/>
  </r>
  <r>
    <x v="7"/>
    <x v="7"/>
    <s v="1200003616"/>
    <x v="51"/>
    <x v="3"/>
    <d v="2026-09-02T00:00:00"/>
    <n v="-2"/>
    <d v="2026-09-09T00:00:00"/>
    <n v="70.8"/>
    <s v="PEN"/>
    <x v="0"/>
    <m/>
    <m/>
    <m/>
    <d v="2026-09-09T00:00:00"/>
    <n v="21.015138023152268"/>
    <m/>
    <x v="0"/>
  </r>
  <r>
    <x v="7"/>
    <x v="7"/>
    <s v="1200003665"/>
    <x v="52"/>
    <x v="3"/>
    <d v="2026-09-03T00:00:00"/>
    <n v="-3"/>
    <d v="2026-09-10T00:00:00"/>
    <n v="595.9"/>
    <s v="PEN"/>
    <x v="0"/>
    <m/>
    <m/>
    <m/>
    <d v="2026-09-10T00:00:00"/>
    <n v="176.87741169486492"/>
    <m/>
    <x v="0"/>
  </r>
  <r>
    <x v="7"/>
    <x v="7"/>
    <s v="1200003666"/>
    <x v="53"/>
    <x v="3"/>
    <d v="2026-09-03T00:00:00"/>
    <n v="-3"/>
    <d v="2026-09-10T00:00:00"/>
    <n v="70.8"/>
    <s v="PEN"/>
    <x v="0"/>
    <m/>
    <m/>
    <m/>
    <d v="2026-09-10T00:00:00"/>
    <n v="21.015138023152268"/>
    <m/>
    <x v="0"/>
  </r>
  <r>
    <x v="7"/>
    <x v="7"/>
    <s v="1200003704"/>
    <x v="54"/>
    <x v="3"/>
    <d v="2026-09-05T00:00:00"/>
    <n v="-5"/>
    <d v="2026-09-12T00:00:00"/>
    <n v="630.12"/>
    <s v="PEN"/>
    <x v="0"/>
    <m/>
    <m/>
    <m/>
    <d v="2026-09-12T00:00:00"/>
    <n v="187.03472840605519"/>
    <m/>
    <x v="0"/>
  </r>
  <r>
    <x v="7"/>
    <x v="7"/>
    <s v="1200003705"/>
    <x v="55"/>
    <x v="3"/>
    <d v="2026-09-05T00:00:00"/>
    <n v="-5"/>
    <d v="2026-09-12T00:00:00"/>
    <n v="70.8"/>
    <s v="PEN"/>
    <x v="0"/>
    <m/>
    <m/>
    <m/>
    <d v="2026-09-12T00:00:00"/>
    <n v="21.015138023152268"/>
    <m/>
    <x v="0"/>
  </r>
  <r>
    <x v="7"/>
    <x v="7"/>
    <s v="1200003734"/>
    <x v="56"/>
    <x v="3"/>
    <d v="2026-09-05T00:00:00"/>
    <n v="-5"/>
    <d v="2026-09-12T00:00:00"/>
    <n v="664.58"/>
    <s v="PEN"/>
    <x v="0"/>
    <m/>
    <m/>
    <m/>
    <d v="2026-09-12T00:00:00"/>
    <n v="197.26328287325614"/>
    <m/>
    <x v="0"/>
  </r>
  <r>
    <x v="7"/>
    <x v="7"/>
    <s v="1200003735"/>
    <x v="57"/>
    <x v="3"/>
    <d v="2026-09-05T00:00:00"/>
    <n v="-5"/>
    <d v="2026-09-12T00:00:00"/>
    <n v="70.8"/>
    <s v="PEN"/>
    <x v="0"/>
    <m/>
    <m/>
    <m/>
    <d v="2026-09-12T00:00:00"/>
    <n v="21.015138023152268"/>
    <m/>
    <x v="0"/>
  </r>
  <r>
    <x v="7"/>
    <x v="7"/>
    <s v="1200003764"/>
    <x v="58"/>
    <x v="3"/>
    <d v="2026-09-06T00:00:00"/>
    <n v="-6"/>
    <d v="2026-09-13T00:00:00"/>
    <n v="665.52"/>
    <s v="PEN"/>
    <x v="0"/>
    <m/>
    <m/>
    <m/>
    <d v="2026-09-13T00:00:00"/>
    <n v="197.54229741763132"/>
    <m/>
    <x v="0"/>
  </r>
  <r>
    <x v="7"/>
    <x v="7"/>
    <s v="1200003765"/>
    <x v="59"/>
    <x v="3"/>
    <d v="2026-09-06T00:00:00"/>
    <n v="-6"/>
    <d v="2026-09-13T00:00:00"/>
    <n v="70.8"/>
    <s v="PEN"/>
    <x v="0"/>
    <m/>
    <m/>
    <m/>
    <d v="2026-09-13T00:00:00"/>
    <n v="21.015138023152268"/>
    <m/>
    <x v="0"/>
  </r>
  <r>
    <x v="8"/>
    <x v="8"/>
    <s v="1300004854"/>
    <x v="60"/>
    <x v="2"/>
    <d v="2026-04-27T00:00:00"/>
    <n v="133"/>
    <d v="2026-04-27T00:00:00"/>
    <n v="15163"/>
    <s v="USD"/>
    <x v="1"/>
    <d v="2026-06-26T00:00:00"/>
    <n v="-38"/>
    <d v="2026-10-15T00:00:00"/>
    <d v="2026-10-15T00:00:00"/>
    <n v="15163"/>
    <n v="133"/>
    <x v="2"/>
  </r>
  <r>
    <x v="9"/>
    <x v="9"/>
    <s v="1300008491"/>
    <x v="61"/>
    <x v="4"/>
    <d v="2026-08-25T00:00:00"/>
    <n v="0"/>
    <d v="2026-08-31T00:00:00"/>
    <n v="-13902"/>
    <s v="USD"/>
    <x v="1"/>
    <d v="2026-10-24T00:00:00"/>
    <m/>
    <m/>
    <d v="2026-08-31T00:00:00"/>
    <n v="-13902"/>
    <n v="13"/>
    <x v="1"/>
  </r>
  <r>
    <x v="9"/>
    <x v="9"/>
    <s v="1200003605"/>
    <x v="62"/>
    <x v="1"/>
    <d v="2026-08-31T00:00:00"/>
    <n v="-38"/>
    <d v="2026-10-15T00:00:00"/>
    <n v="69660"/>
    <s v="USD"/>
    <x v="1"/>
    <d v="2026-10-30T00:00:00"/>
    <n v="-53"/>
    <d v="2026-10-30T00:00:00"/>
    <d v="2026-10-30T00:00:00"/>
    <n v="69660"/>
    <n v="7"/>
    <x v="1"/>
  </r>
  <r>
    <x v="10"/>
    <x v="10"/>
    <s v="1200003488"/>
    <x v="63"/>
    <x v="0"/>
    <d v="2026-08-08T00:00:00"/>
    <n v="23"/>
    <d v="2026-08-15T00:00:00"/>
    <n v="12626"/>
    <s v="USD"/>
    <x v="2"/>
    <m/>
    <m/>
    <m/>
    <d v="2026-08-15T00:00:00"/>
    <n v="12626"/>
    <m/>
    <x v="0"/>
  </r>
  <r>
    <x v="10"/>
    <x v="10"/>
    <s v="1200003523"/>
    <x v="64"/>
    <x v="0"/>
    <d v="2026-08-28T00:00:00"/>
    <n v="3"/>
    <d v="2026-09-04T00:00:00"/>
    <n v="4293.67"/>
    <s v="USD"/>
    <x v="2"/>
    <m/>
    <m/>
    <m/>
    <d v="2026-09-04T00:00:00"/>
    <n v="4293.67"/>
    <m/>
    <x v="0"/>
  </r>
  <r>
    <x v="10"/>
    <x v="10"/>
    <s v="1200003618"/>
    <x v="65"/>
    <x v="0"/>
    <d v="2026-09-02T00:00:00"/>
    <n v="-2"/>
    <d v="2026-09-09T00:00:00"/>
    <n v="20060"/>
    <s v="USD"/>
    <x v="2"/>
    <m/>
    <m/>
    <m/>
    <d v="2026-09-09T00:00:00"/>
    <n v="20060"/>
    <m/>
    <x v="0"/>
  </r>
  <r>
    <x v="11"/>
    <x v="11"/>
    <s v="1200003426"/>
    <x v="66"/>
    <x v="0"/>
    <d v="2026-07-24T00:00:00"/>
    <n v="38"/>
    <d v="2026-07-31T00:00:00"/>
    <n v="617.85"/>
    <s v="PEN"/>
    <x v="0"/>
    <m/>
    <m/>
    <m/>
    <d v="2026-07-31T00:00:00"/>
    <n v="183.39269813000891"/>
    <m/>
    <x v="0"/>
  </r>
  <r>
    <x v="11"/>
    <x v="11"/>
    <s v="1200003427"/>
    <x v="67"/>
    <x v="0"/>
    <d v="2026-07-24T00:00:00"/>
    <n v="38"/>
    <d v="2026-07-31T00:00:00"/>
    <n v="177"/>
    <s v="PEN"/>
    <x v="0"/>
    <m/>
    <m/>
    <m/>
    <d v="2026-07-31T00:00:00"/>
    <n v="52.537845057880673"/>
    <m/>
    <x v="0"/>
  </r>
  <r>
    <x v="11"/>
    <x v="11"/>
    <s v="1200003436"/>
    <x v="68"/>
    <x v="0"/>
    <d v="2026-07-24T00:00:00"/>
    <n v="38"/>
    <d v="2026-07-31T00:00:00"/>
    <n v="673.02"/>
    <s v="PEN"/>
    <x v="0"/>
    <m/>
    <m/>
    <m/>
    <d v="2026-07-31T00:00:00"/>
    <n v="199.76847729296526"/>
    <m/>
    <x v="0"/>
  </r>
  <r>
    <x v="11"/>
    <x v="11"/>
    <s v="1200003437"/>
    <x v="69"/>
    <x v="0"/>
    <d v="2026-07-24T00:00:00"/>
    <n v="38"/>
    <d v="2026-07-31T00:00:00"/>
    <n v="177"/>
    <s v="PEN"/>
    <x v="0"/>
    <m/>
    <m/>
    <m/>
    <d v="2026-07-31T00:00:00"/>
    <n v="52.537845057880673"/>
    <m/>
    <x v="0"/>
  </r>
  <r>
    <x v="11"/>
    <x v="11"/>
    <s v="1200003448"/>
    <x v="70"/>
    <x v="0"/>
    <d v="2026-07-27T00:00:00"/>
    <n v="35"/>
    <d v="2026-08-03T00:00:00"/>
    <n v="47.2"/>
    <s v="PEN"/>
    <x v="0"/>
    <m/>
    <m/>
    <m/>
    <d v="2026-08-03T00:00:00"/>
    <n v="14.010092015434847"/>
    <m/>
    <x v="0"/>
  </r>
  <r>
    <x v="11"/>
    <x v="11"/>
    <s v="1200003449"/>
    <x v="71"/>
    <x v="0"/>
    <d v="2026-07-27T00:00:00"/>
    <n v="35"/>
    <d v="2026-08-03T00:00:00"/>
    <n v="266.44"/>
    <s v="PEN"/>
    <x v="0"/>
    <m/>
    <m/>
    <m/>
    <d v="2026-08-03T00:00:00"/>
    <n v="79.085782131196197"/>
    <m/>
    <x v="0"/>
  </r>
  <r>
    <x v="11"/>
    <x v="11"/>
    <s v="1200003526"/>
    <x v="72"/>
    <x v="0"/>
    <d v="2026-08-28T00:00:00"/>
    <n v="3"/>
    <d v="2026-09-04T00:00:00"/>
    <n v="269.27999999999997"/>
    <s v="PEN"/>
    <x v="0"/>
    <m/>
    <m/>
    <m/>
    <d v="2026-09-04T00:00:00"/>
    <n v="79.928762243989297"/>
    <m/>
    <x v="0"/>
  </r>
  <r>
    <x v="11"/>
    <x v="11"/>
    <s v="1200003527"/>
    <x v="73"/>
    <x v="0"/>
    <d v="2026-08-28T00:00:00"/>
    <n v="3"/>
    <d v="2026-09-04T00:00:00"/>
    <n v="47.2"/>
    <s v="PEN"/>
    <x v="0"/>
    <m/>
    <m/>
    <m/>
    <d v="2026-09-04T00:00:00"/>
    <n v="14.010092015434847"/>
    <m/>
    <x v="0"/>
  </r>
  <r>
    <x v="11"/>
    <x v="11"/>
    <s v="1200003536"/>
    <x v="74"/>
    <x v="0"/>
    <d v="2026-08-29T00:00:00"/>
    <n v="2"/>
    <d v="2026-09-05T00:00:00"/>
    <n v="543.27"/>
    <s v="PEN"/>
    <x v="0"/>
    <m/>
    <m/>
    <m/>
    <d v="2026-09-05T00:00:00"/>
    <n v="161.25556544968831"/>
    <m/>
    <x v="0"/>
  </r>
  <r>
    <x v="11"/>
    <x v="11"/>
    <s v="1200003537"/>
    <x v="75"/>
    <x v="0"/>
    <d v="2026-08-29T00:00:00"/>
    <n v="2"/>
    <d v="2026-09-05T00:00:00"/>
    <n v="70.8"/>
    <s v="PEN"/>
    <x v="0"/>
    <m/>
    <m/>
    <m/>
    <d v="2026-09-05T00:00:00"/>
    <n v="21.015138023152268"/>
    <m/>
    <x v="0"/>
  </r>
  <r>
    <x v="11"/>
    <x v="11"/>
    <s v="1200003546"/>
    <x v="76"/>
    <x v="0"/>
    <d v="2026-08-31T00:00:00"/>
    <n v="0"/>
    <d v="2026-09-07T00:00:00"/>
    <n v="839.92"/>
    <s v="PEN"/>
    <x v="0"/>
    <m/>
    <m/>
    <m/>
    <d v="2026-09-07T00:00:00"/>
    <n v="249.30840011872957"/>
    <m/>
    <x v="0"/>
  </r>
  <r>
    <x v="11"/>
    <x v="11"/>
    <s v="1200003547"/>
    <x v="77"/>
    <x v="0"/>
    <d v="2026-08-31T00:00:00"/>
    <n v="0"/>
    <d v="2026-09-07T00:00:00"/>
    <n v="70.8"/>
    <s v="PEN"/>
    <x v="0"/>
    <m/>
    <m/>
    <m/>
    <d v="2026-09-07T00:00:00"/>
    <n v="21.015138023152268"/>
    <m/>
    <x v="0"/>
  </r>
  <r>
    <x v="11"/>
    <x v="11"/>
    <s v="1200003551"/>
    <x v="78"/>
    <x v="0"/>
    <d v="2026-08-31T00:00:00"/>
    <n v="0"/>
    <d v="2026-09-07T00:00:00"/>
    <n v="1102.83"/>
    <s v="PEN"/>
    <x v="0"/>
    <m/>
    <m/>
    <m/>
    <d v="2026-09-07T00:00:00"/>
    <n v="327.34639358860193"/>
    <m/>
    <x v="0"/>
  </r>
  <r>
    <x v="11"/>
    <x v="11"/>
    <s v="1200003552"/>
    <x v="79"/>
    <x v="0"/>
    <d v="2026-08-31T00:00:00"/>
    <n v="0"/>
    <d v="2026-09-07T00:00:00"/>
    <n v="141.6"/>
    <s v="PEN"/>
    <x v="0"/>
    <m/>
    <m/>
    <m/>
    <d v="2026-09-07T00:00:00"/>
    <n v="42.030276046304536"/>
    <m/>
    <x v="0"/>
  </r>
  <r>
    <x v="11"/>
    <x v="11"/>
    <s v="1200003570"/>
    <x v="80"/>
    <x v="0"/>
    <d v="2026-09-01T00:00:00"/>
    <n v="-1"/>
    <d v="2026-09-08T00:00:00"/>
    <n v="748.83"/>
    <s v="PEN"/>
    <x v="0"/>
    <m/>
    <m/>
    <m/>
    <d v="2026-09-08T00:00:00"/>
    <n v="222.27070347284061"/>
    <m/>
    <x v="0"/>
  </r>
  <r>
    <x v="11"/>
    <x v="11"/>
    <s v="1200003571"/>
    <x v="81"/>
    <x v="0"/>
    <d v="2026-09-01T00:00:00"/>
    <n v="-1"/>
    <d v="2026-09-08T00:00:00"/>
    <n v="70.8"/>
    <s v="PEN"/>
    <x v="0"/>
    <m/>
    <m/>
    <m/>
    <d v="2026-09-08T00:00:00"/>
    <n v="21.015138023152268"/>
    <m/>
    <x v="0"/>
  </r>
  <r>
    <x v="11"/>
    <x v="11"/>
    <s v="1200003582"/>
    <x v="82"/>
    <x v="0"/>
    <d v="2026-09-01T00:00:00"/>
    <n v="-1"/>
    <d v="2026-09-08T00:00:00"/>
    <n v="505.98"/>
    <s v="PEN"/>
    <x v="0"/>
    <m/>
    <m/>
    <m/>
    <d v="2026-09-08T00:00:00"/>
    <n v="150.18699910952805"/>
    <m/>
    <x v="0"/>
  </r>
  <r>
    <x v="11"/>
    <x v="11"/>
    <s v="1200003583"/>
    <x v="83"/>
    <x v="0"/>
    <d v="2026-09-01T00:00:00"/>
    <n v="-1"/>
    <d v="2026-09-08T00:00:00"/>
    <n v="47.2"/>
    <s v="PEN"/>
    <x v="0"/>
    <m/>
    <m/>
    <m/>
    <d v="2026-09-08T00:00:00"/>
    <n v="14.010092015434847"/>
    <m/>
    <x v="0"/>
  </r>
  <r>
    <x v="11"/>
    <x v="11"/>
    <s v="1200003598"/>
    <x v="84"/>
    <x v="0"/>
    <d v="2026-09-02T00:00:00"/>
    <n v="-2"/>
    <d v="2026-09-09T00:00:00"/>
    <n v="556.39"/>
    <s v="PEN"/>
    <x v="0"/>
    <m/>
    <m/>
    <m/>
    <d v="2026-09-09T00:00:00"/>
    <n v="165.14989611160581"/>
    <m/>
    <x v="0"/>
  </r>
  <r>
    <x v="11"/>
    <x v="11"/>
    <s v="1200003599"/>
    <x v="85"/>
    <x v="0"/>
    <d v="2026-09-02T00:00:00"/>
    <n v="-2"/>
    <d v="2026-09-09T00:00:00"/>
    <n v="177"/>
    <s v="PEN"/>
    <x v="0"/>
    <m/>
    <m/>
    <m/>
    <d v="2026-09-09T00:00:00"/>
    <n v="52.537845057880673"/>
    <m/>
    <x v="0"/>
  </r>
  <r>
    <x v="11"/>
    <x v="11"/>
    <s v="1200003600"/>
    <x v="86"/>
    <x v="0"/>
    <d v="2026-09-02T00:00:00"/>
    <n v="-2"/>
    <d v="2026-09-09T00:00:00"/>
    <n v="760.16"/>
    <s v="PEN"/>
    <x v="0"/>
    <m/>
    <m/>
    <m/>
    <d v="2026-09-09T00:00:00"/>
    <n v="225.63371920451169"/>
    <m/>
    <x v="0"/>
  </r>
  <r>
    <x v="11"/>
    <x v="11"/>
    <s v="1200003601"/>
    <x v="87"/>
    <x v="0"/>
    <d v="2026-09-02T00:00:00"/>
    <n v="-2"/>
    <d v="2026-09-09T00:00:00"/>
    <n v="70.8"/>
    <s v="PEN"/>
    <x v="0"/>
    <m/>
    <m/>
    <m/>
    <d v="2026-09-09T00:00:00"/>
    <n v="21.015138023152268"/>
    <m/>
    <x v="0"/>
  </r>
  <r>
    <x v="11"/>
    <x v="11"/>
    <s v="1200003623"/>
    <x v="88"/>
    <x v="0"/>
    <d v="2026-09-02T00:00:00"/>
    <n v="-2"/>
    <d v="2026-09-09T00:00:00"/>
    <n v="376.42"/>
    <s v="PEN"/>
    <x v="0"/>
    <m/>
    <m/>
    <m/>
    <d v="2026-09-09T00:00:00"/>
    <n v="111.7304838230929"/>
    <m/>
    <x v="0"/>
  </r>
  <r>
    <x v="11"/>
    <x v="11"/>
    <s v="1200003624"/>
    <x v="89"/>
    <x v="0"/>
    <d v="2026-09-02T00:00:00"/>
    <n v="-2"/>
    <d v="2026-09-09T00:00:00"/>
    <n v="70.8"/>
    <s v="PEN"/>
    <x v="0"/>
    <m/>
    <m/>
    <m/>
    <d v="2026-09-09T00:00:00"/>
    <n v="21.015138023152268"/>
    <m/>
    <x v="0"/>
  </r>
  <r>
    <x v="11"/>
    <x v="11"/>
    <s v="1200003631"/>
    <x v="90"/>
    <x v="0"/>
    <d v="2026-09-03T00:00:00"/>
    <n v="-3"/>
    <d v="2026-09-10T00:00:00"/>
    <n v="501.22"/>
    <s v="PEN"/>
    <x v="0"/>
    <m/>
    <m/>
    <m/>
    <d v="2026-09-10T00:00:00"/>
    <n v="148.77411694864944"/>
    <m/>
    <x v="0"/>
  </r>
  <r>
    <x v="11"/>
    <x v="11"/>
    <s v="1200003632"/>
    <x v="91"/>
    <x v="0"/>
    <d v="2026-09-03T00:00:00"/>
    <n v="-3"/>
    <d v="2026-09-10T00:00:00"/>
    <n v="153.4"/>
    <s v="PEN"/>
    <x v="0"/>
    <m/>
    <m/>
    <m/>
    <d v="2026-09-10T00:00:00"/>
    <n v="45.532799050163248"/>
    <m/>
    <x v="0"/>
  </r>
  <r>
    <x v="11"/>
    <x v="11"/>
    <s v="1200003636"/>
    <x v="92"/>
    <x v="0"/>
    <d v="2026-09-03T00:00:00"/>
    <n v="-3"/>
    <d v="2026-09-10T00:00:00"/>
    <n v="563.99"/>
    <s v="PEN"/>
    <x v="0"/>
    <m/>
    <m/>
    <m/>
    <d v="2026-09-10T00:00:00"/>
    <n v="167.40575838527752"/>
    <m/>
    <x v="0"/>
  </r>
  <r>
    <x v="11"/>
    <x v="11"/>
    <s v="1200003637"/>
    <x v="93"/>
    <x v="0"/>
    <d v="2026-09-03T00:00:00"/>
    <n v="-3"/>
    <d v="2026-09-10T00:00:00"/>
    <n v="135.69999999999999"/>
    <s v="PEN"/>
    <x v="0"/>
    <m/>
    <m/>
    <m/>
    <d v="2026-09-10T00:00:00"/>
    <n v="40.27901454437518"/>
    <m/>
    <x v="0"/>
  </r>
  <r>
    <x v="11"/>
    <x v="11"/>
    <s v="1200003651"/>
    <x v="94"/>
    <x v="0"/>
    <d v="2026-09-03T00:00:00"/>
    <n v="-3"/>
    <d v="2026-09-10T00:00:00"/>
    <n v="638.85"/>
    <s v="PEN"/>
    <x v="0"/>
    <m/>
    <m/>
    <m/>
    <d v="2026-09-10T00:00:00"/>
    <n v="189.62600178094388"/>
    <m/>
    <x v="0"/>
  </r>
  <r>
    <x v="11"/>
    <x v="11"/>
    <s v="1200003652"/>
    <x v="95"/>
    <x v="0"/>
    <d v="2026-09-03T00:00:00"/>
    <n v="-3"/>
    <d v="2026-09-10T00:00:00"/>
    <n v="70.8"/>
    <s v="PEN"/>
    <x v="0"/>
    <m/>
    <m/>
    <m/>
    <d v="2026-09-10T00:00:00"/>
    <n v="21.015138023152268"/>
    <m/>
    <x v="0"/>
  </r>
  <r>
    <x v="11"/>
    <x v="11"/>
    <s v="1200003661"/>
    <x v="96"/>
    <x v="0"/>
    <d v="2026-09-03T00:00:00"/>
    <n v="-3"/>
    <d v="2026-09-10T00:00:00"/>
    <n v="535.58000000000004"/>
    <s v="PEN"/>
    <x v="0"/>
    <m/>
    <m/>
    <m/>
    <d v="2026-09-10T00:00:00"/>
    <n v="158.97298901751262"/>
    <m/>
    <x v="0"/>
  </r>
  <r>
    <x v="11"/>
    <x v="11"/>
    <s v="1200003662"/>
    <x v="97"/>
    <x v="0"/>
    <d v="2026-09-03T00:00:00"/>
    <n v="-3"/>
    <d v="2026-09-10T00:00:00"/>
    <n v="153.4"/>
    <s v="PEN"/>
    <x v="0"/>
    <m/>
    <m/>
    <m/>
    <d v="2026-09-10T00:00:00"/>
    <n v="45.532799050163248"/>
    <m/>
    <x v="0"/>
  </r>
  <r>
    <x v="11"/>
    <x v="11"/>
    <s v="1200003680"/>
    <x v="98"/>
    <x v="0"/>
    <d v="2026-09-04T00:00:00"/>
    <n v="3"/>
    <d v="2026-09-04T00:00:00"/>
    <n v="679.96"/>
    <s v="PEN"/>
    <x v="0"/>
    <m/>
    <m/>
    <m/>
    <d v="2026-09-04T00:00:00"/>
    <n v="201.82843573760761"/>
    <m/>
    <x v="0"/>
  </r>
  <r>
    <x v="11"/>
    <x v="11"/>
    <s v="1200003681"/>
    <x v="99"/>
    <x v="0"/>
    <d v="2026-09-04T00:00:00"/>
    <n v="3"/>
    <d v="2026-09-04T00:00:00"/>
    <n v="194.7"/>
    <s v="PEN"/>
    <x v="0"/>
    <m/>
    <m/>
    <m/>
    <d v="2026-09-04T00:00:00"/>
    <n v="57.791629563668735"/>
    <m/>
    <x v="0"/>
  </r>
  <r>
    <x v="11"/>
    <x v="11"/>
    <s v="1200003692"/>
    <x v="100"/>
    <x v="0"/>
    <d v="2026-09-04T00:00:00"/>
    <n v="-4"/>
    <d v="2026-09-11T00:00:00"/>
    <n v="781.4"/>
    <s v="PEN"/>
    <x v="0"/>
    <m/>
    <m/>
    <m/>
    <d v="2026-09-11T00:00:00"/>
    <n v="231.93826061145739"/>
    <m/>
    <x v="0"/>
  </r>
  <r>
    <x v="11"/>
    <x v="11"/>
    <s v="1200003693"/>
    <x v="101"/>
    <x v="0"/>
    <d v="2026-09-04T00:00:00"/>
    <n v="-4"/>
    <d v="2026-09-11T00:00:00"/>
    <n v="247.8"/>
    <s v="PEN"/>
    <x v="0"/>
    <m/>
    <m/>
    <m/>
    <d v="2026-09-11T00:00:00"/>
    <n v="73.552983081032949"/>
    <m/>
    <x v="0"/>
  </r>
  <r>
    <x v="11"/>
    <x v="11"/>
    <s v="1200003706"/>
    <x v="102"/>
    <x v="0"/>
    <d v="2026-09-05T00:00:00"/>
    <n v="-5"/>
    <d v="2026-09-12T00:00:00"/>
    <n v="488.33"/>
    <s v="PEN"/>
    <x v="0"/>
    <m/>
    <m/>
    <m/>
    <d v="2026-09-12T00:00:00"/>
    <n v="144.94805580290887"/>
    <m/>
    <x v="0"/>
  </r>
  <r>
    <x v="11"/>
    <x v="11"/>
    <s v="1200003707"/>
    <x v="103"/>
    <x v="0"/>
    <d v="2026-09-05T00:00:00"/>
    <n v="-5"/>
    <d v="2026-09-12T00:00:00"/>
    <n v="153.4"/>
    <s v="PEN"/>
    <x v="0"/>
    <m/>
    <m/>
    <m/>
    <d v="2026-09-12T00:00:00"/>
    <n v="45.532799050163248"/>
    <m/>
    <x v="0"/>
  </r>
  <r>
    <x v="11"/>
    <x v="11"/>
    <s v="1200003716"/>
    <x v="104"/>
    <x v="0"/>
    <d v="2026-09-05T00:00:00"/>
    <n v="-5"/>
    <d v="2026-09-12T00:00:00"/>
    <n v="766.29"/>
    <s v="PEN"/>
    <x v="0"/>
    <m/>
    <m/>
    <m/>
    <d v="2026-09-12T00:00:00"/>
    <n v="227.45325022261795"/>
    <m/>
    <x v="0"/>
  </r>
  <r>
    <x v="11"/>
    <x v="11"/>
    <s v="1200003717"/>
    <x v="105"/>
    <x v="0"/>
    <d v="2026-09-05T00:00:00"/>
    <n v="-5"/>
    <d v="2026-09-12T00:00:00"/>
    <n v="70.8"/>
    <s v="PEN"/>
    <x v="0"/>
    <m/>
    <m/>
    <m/>
    <d v="2026-09-12T00:00:00"/>
    <n v="21.015138023152268"/>
    <m/>
    <x v="0"/>
  </r>
  <r>
    <x v="11"/>
    <x v="11"/>
    <s v="1200003762"/>
    <x v="106"/>
    <x v="0"/>
    <d v="2026-09-06T00:00:00"/>
    <n v="-6"/>
    <d v="2026-09-13T00:00:00"/>
    <n v="569"/>
    <s v="PEN"/>
    <x v="0"/>
    <m/>
    <m/>
    <m/>
    <d v="2026-09-13T00:00:00"/>
    <n v="168.89284654200057"/>
    <m/>
    <x v="0"/>
  </r>
  <r>
    <x v="11"/>
    <x v="11"/>
    <s v="1200003763"/>
    <x v="107"/>
    <x v="0"/>
    <d v="2026-09-06T00:00:00"/>
    <n v="-6"/>
    <d v="2026-09-13T00:00:00"/>
    <n v="70.8"/>
    <s v="PEN"/>
    <x v="0"/>
    <m/>
    <m/>
    <m/>
    <d v="2026-09-13T00:00:00"/>
    <n v="21.015138023152268"/>
    <m/>
    <x v="0"/>
  </r>
  <r>
    <x v="12"/>
    <x v="12"/>
    <s v="1300007198"/>
    <x v="108"/>
    <x v="2"/>
    <d v="2026-07-27T00:00:00"/>
    <n v="42"/>
    <d v="2026-07-27T00:00:00"/>
    <n v="55195"/>
    <s v="USD"/>
    <x v="1"/>
    <d v="2026-09-25T00:00:00"/>
    <n v="-18"/>
    <d v="2026-09-25T00:00:00"/>
    <d v="2026-09-25T00:00:00"/>
    <n v="55195"/>
    <n v="42"/>
    <x v="1"/>
  </r>
  <r>
    <x v="12"/>
    <x v="12"/>
    <s v="1200003474"/>
    <x v="109"/>
    <x v="1"/>
    <d v="2026-07-31T00:00:00"/>
    <n v="-22"/>
    <d v="2026-09-29T00:00:00"/>
    <n v="29925"/>
    <s v="USD"/>
    <x v="1"/>
    <d v="2026-09-29T00:00:00"/>
    <n v="-22"/>
    <d v="2026-09-29T00:00:00"/>
    <d v="2026-09-29T00:00:00"/>
    <n v="29925"/>
    <n v="38"/>
    <x v="1"/>
  </r>
  <r>
    <x v="13"/>
    <x v="13"/>
    <s v="1100015731"/>
    <x v="110"/>
    <x v="5"/>
    <d v="2026-07-17T00:00:00"/>
    <n v="52"/>
    <d v="2026-07-17T00:00:00"/>
    <n v="921.06"/>
    <s v="USD"/>
    <x v="1"/>
    <d v="2026-09-15T00:00:00"/>
    <n v="-38"/>
    <d v="2026-10-15T00:00:00"/>
    <d v="2026-10-15T00:00:00"/>
    <n v="921.06"/>
    <n v="52"/>
    <x v="3"/>
  </r>
  <r>
    <x v="14"/>
    <x v="14"/>
    <s v="1200005141"/>
    <x v="111"/>
    <x v="0"/>
    <d v="2025-11-03T00:00:00"/>
    <n v="301"/>
    <d v="2025-11-10T00:00:00"/>
    <n v="1403.26"/>
    <s v="PEN"/>
    <x v="3"/>
    <m/>
    <m/>
    <m/>
    <d v="2025-11-10T00:00:00"/>
    <n v="416.52122291481146"/>
    <m/>
    <x v="0"/>
  </r>
  <r>
    <x v="14"/>
    <x v="14"/>
    <s v="1200005142"/>
    <x v="112"/>
    <x v="0"/>
    <d v="2025-11-03T00:00:00"/>
    <n v="301"/>
    <d v="2025-11-10T00:00:00"/>
    <n v="141.6"/>
    <s v="PEN"/>
    <x v="3"/>
    <m/>
    <m/>
    <m/>
    <d v="2025-11-10T00:00:00"/>
    <n v="42.030276046304536"/>
    <m/>
    <x v="0"/>
  </r>
  <r>
    <x v="14"/>
    <x v="14"/>
    <s v="1200005158"/>
    <x v="113"/>
    <x v="0"/>
    <d v="2025-11-06T00:00:00"/>
    <n v="298"/>
    <d v="2025-11-13T00:00:00"/>
    <n v="1193.22"/>
    <s v="PEN"/>
    <x v="3"/>
    <m/>
    <m/>
    <m/>
    <d v="2025-11-13T00:00:00"/>
    <n v="354.17631344612641"/>
    <m/>
    <x v="0"/>
  </r>
  <r>
    <x v="14"/>
    <x v="14"/>
    <s v="1200005159"/>
    <x v="114"/>
    <x v="0"/>
    <d v="2025-11-06T00:00:00"/>
    <n v="298"/>
    <d v="2025-11-13T00:00:00"/>
    <n v="106.2"/>
    <s v="PEN"/>
    <x v="3"/>
    <m/>
    <m/>
    <m/>
    <d v="2025-11-13T00:00:00"/>
    <n v="31.522707034728406"/>
    <m/>
    <x v="0"/>
  </r>
  <r>
    <x v="14"/>
    <x v="14"/>
    <s v="1200001503"/>
    <x v="115"/>
    <x v="0"/>
    <d v="2026-05-06T00:00:00"/>
    <n v="117"/>
    <d v="2026-05-13T00:00:00"/>
    <n v="23.6"/>
    <s v="PEN"/>
    <x v="3"/>
    <m/>
    <m/>
    <m/>
    <d v="2026-05-13T00:00:00"/>
    <n v="7.0050460077174233"/>
    <m/>
    <x v="0"/>
  </r>
  <r>
    <x v="14"/>
    <x v="14"/>
    <s v="1200001504"/>
    <x v="116"/>
    <x v="0"/>
    <d v="2026-05-06T00:00:00"/>
    <n v="117"/>
    <d v="2026-05-13T00:00:00"/>
    <n v="261.49"/>
    <s v="PEN"/>
    <x v="3"/>
    <m/>
    <m/>
    <m/>
    <d v="2026-05-13T00:00:00"/>
    <n v="77.616503413475812"/>
    <m/>
    <x v="0"/>
  </r>
  <r>
    <x v="14"/>
    <x v="14"/>
    <s v="1200001509"/>
    <x v="117"/>
    <x v="0"/>
    <d v="2026-05-06T00:00:00"/>
    <n v="117"/>
    <d v="2026-05-13T00:00:00"/>
    <n v="387.51"/>
    <s v="PEN"/>
    <x v="3"/>
    <m/>
    <m/>
    <m/>
    <d v="2026-05-13T00:00:00"/>
    <n v="115.02226179875333"/>
    <m/>
    <x v="0"/>
  </r>
  <r>
    <x v="14"/>
    <x v="14"/>
    <s v="1200001510"/>
    <x v="118"/>
    <x v="0"/>
    <d v="2026-05-06T00:00:00"/>
    <n v="117"/>
    <d v="2026-05-13T00:00:00"/>
    <n v="35.4"/>
    <s v="PEN"/>
    <x v="3"/>
    <m/>
    <m/>
    <m/>
    <d v="2026-05-13T00:00:00"/>
    <n v="10.507569011576134"/>
    <m/>
    <x v="0"/>
  </r>
  <r>
    <x v="14"/>
    <x v="14"/>
    <s v="1200001609"/>
    <x v="119"/>
    <x v="0"/>
    <d v="2026-05-12T00:00:00"/>
    <n v="111"/>
    <d v="2026-05-19T00:00:00"/>
    <n v="482.86"/>
    <s v="PEN"/>
    <x v="3"/>
    <m/>
    <m/>
    <m/>
    <d v="2026-05-19T00:00:00"/>
    <n v="143.324428613832"/>
    <m/>
    <x v="0"/>
  </r>
  <r>
    <x v="14"/>
    <x v="14"/>
    <s v="1200001610"/>
    <x v="120"/>
    <x v="0"/>
    <d v="2026-05-12T00:00:00"/>
    <n v="111"/>
    <d v="2026-05-19T00:00:00"/>
    <n v="47.2"/>
    <s v="PEN"/>
    <x v="3"/>
    <m/>
    <m/>
    <m/>
    <d v="2026-05-19T00:00:00"/>
    <n v="14.010092015434847"/>
    <m/>
    <x v="0"/>
  </r>
  <r>
    <x v="14"/>
    <x v="14"/>
    <s v="1200001789"/>
    <x v="121"/>
    <x v="0"/>
    <d v="2026-05-16T00:00:00"/>
    <n v="107"/>
    <d v="2026-05-23T00:00:00"/>
    <n v="544.45000000000005"/>
    <s v="PEN"/>
    <x v="3"/>
    <m/>
    <m/>
    <m/>
    <d v="2026-05-23T00:00:00"/>
    <n v="161.60581775007421"/>
    <m/>
    <x v="0"/>
  </r>
  <r>
    <x v="14"/>
    <x v="14"/>
    <s v="1200001790"/>
    <x v="122"/>
    <x v="0"/>
    <d v="2026-05-16T00:00:00"/>
    <n v="107"/>
    <d v="2026-05-23T00:00:00"/>
    <n v="47.2"/>
    <s v="PEN"/>
    <x v="3"/>
    <m/>
    <m/>
    <m/>
    <d v="2026-05-23T00:00:00"/>
    <n v="14.010092015434847"/>
    <m/>
    <x v="0"/>
  </r>
  <r>
    <x v="14"/>
    <x v="14"/>
    <s v="1200002045"/>
    <x v="123"/>
    <x v="0"/>
    <d v="2026-05-27T00:00:00"/>
    <n v="96"/>
    <d v="2026-06-03T00:00:00"/>
    <n v="591.65"/>
    <s v="PEN"/>
    <x v="3"/>
    <m/>
    <m/>
    <m/>
    <d v="2026-06-03T00:00:00"/>
    <n v="175.61590976550903"/>
    <m/>
    <x v="0"/>
  </r>
  <r>
    <x v="14"/>
    <x v="14"/>
    <s v="1200002046"/>
    <x v="124"/>
    <x v="0"/>
    <d v="2026-05-27T00:00:00"/>
    <n v="96"/>
    <d v="2026-06-03T00:00:00"/>
    <n v="70.8"/>
    <s v="PEN"/>
    <x v="3"/>
    <m/>
    <m/>
    <m/>
    <d v="2026-06-03T00:00:00"/>
    <n v="21.015138023152268"/>
    <m/>
    <x v="0"/>
  </r>
  <r>
    <x v="14"/>
    <x v="14"/>
    <s v="1200002186"/>
    <x v="125"/>
    <x v="0"/>
    <d v="2026-06-02T00:00:00"/>
    <n v="90"/>
    <d v="2026-06-09T00:00:00"/>
    <n v="185.97"/>
    <s v="PEN"/>
    <x v="3"/>
    <m/>
    <m/>
    <m/>
    <d v="2026-06-09T00:00:00"/>
    <n v="55.200356188780049"/>
    <m/>
    <x v="0"/>
  </r>
  <r>
    <x v="14"/>
    <x v="14"/>
    <s v="1200002187"/>
    <x v="126"/>
    <x v="0"/>
    <d v="2026-06-02T00:00:00"/>
    <n v="90"/>
    <d v="2026-06-09T00:00:00"/>
    <n v="23.6"/>
    <s v="PEN"/>
    <x v="3"/>
    <m/>
    <m/>
    <m/>
    <d v="2026-06-09T00:00:00"/>
    <n v="7.0050460077174233"/>
    <m/>
    <x v="0"/>
  </r>
  <r>
    <x v="14"/>
    <x v="14"/>
    <s v="1200002487"/>
    <x v="127"/>
    <x v="0"/>
    <d v="2026-06-13T00:00:00"/>
    <n v="79"/>
    <d v="2026-06-20T00:00:00"/>
    <n v="535.25"/>
    <s v="PEN"/>
    <x v="3"/>
    <m/>
    <m/>
    <m/>
    <d v="2026-06-20T00:00:00"/>
    <n v="158.87503710299791"/>
    <m/>
    <x v="0"/>
  </r>
  <r>
    <x v="14"/>
    <x v="14"/>
    <s v="1200002488"/>
    <x v="128"/>
    <x v="0"/>
    <d v="2026-06-13T00:00:00"/>
    <n v="79"/>
    <d v="2026-06-20T00:00:00"/>
    <n v="70.8"/>
    <s v="PEN"/>
    <x v="3"/>
    <m/>
    <m/>
    <m/>
    <d v="2026-06-20T00:00:00"/>
    <n v="21.015138023152268"/>
    <m/>
    <x v="0"/>
  </r>
  <r>
    <x v="14"/>
    <x v="14"/>
    <s v="1200002956"/>
    <x v="129"/>
    <x v="0"/>
    <d v="2026-07-03T00:00:00"/>
    <n v="59"/>
    <d v="2026-07-10T00:00:00"/>
    <n v="449.11"/>
    <s v="PEN"/>
    <x v="3"/>
    <m/>
    <m/>
    <m/>
    <d v="2026-07-10T00:00:00"/>
    <n v="133.30661917482931"/>
    <m/>
    <x v="0"/>
  </r>
  <r>
    <x v="14"/>
    <x v="14"/>
    <s v="1200002957"/>
    <x v="130"/>
    <x v="0"/>
    <d v="2026-07-03T00:00:00"/>
    <n v="59"/>
    <d v="2026-07-10T00:00:00"/>
    <n v="35.4"/>
    <s v="PEN"/>
    <x v="3"/>
    <m/>
    <m/>
    <m/>
    <d v="2026-07-10T00:00:00"/>
    <n v="10.507569011576134"/>
    <m/>
    <x v="0"/>
  </r>
  <r>
    <x v="14"/>
    <x v="14"/>
    <s v="1200003319"/>
    <x v="131"/>
    <x v="0"/>
    <d v="2026-07-17T00:00:00"/>
    <n v="45"/>
    <d v="2026-07-24T00:00:00"/>
    <n v="355.65"/>
    <s v="PEN"/>
    <x v="3"/>
    <m/>
    <m/>
    <m/>
    <d v="2026-07-24T00:00:00"/>
    <n v="105.56544968833481"/>
    <m/>
    <x v="0"/>
  </r>
  <r>
    <x v="14"/>
    <x v="14"/>
    <s v="1200003320"/>
    <x v="132"/>
    <x v="0"/>
    <d v="2026-07-17T00:00:00"/>
    <n v="45"/>
    <d v="2026-07-24T00:00:00"/>
    <n v="47.2"/>
    <s v="PEN"/>
    <x v="3"/>
    <m/>
    <m/>
    <m/>
    <d v="2026-07-24T00:00:00"/>
    <n v="14.010092015434847"/>
    <m/>
    <x v="0"/>
  </r>
  <r>
    <x v="15"/>
    <x v="15"/>
    <s v="1200001301"/>
    <x v="133"/>
    <x v="0"/>
    <d v="2026-04-28T00:00:00"/>
    <n v="132"/>
    <d v="2026-04-28T00:00:00"/>
    <n v="716.71"/>
    <s v="PEN"/>
    <x v="0"/>
    <m/>
    <m/>
    <m/>
    <d v="2026-04-28T00:00:00"/>
    <n v="212.73671712674383"/>
    <m/>
    <x v="0"/>
  </r>
  <r>
    <x v="15"/>
    <x v="15"/>
    <s v="1200001302"/>
    <x v="134"/>
    <x v="0"/>
    <d v="2026-04-28T00:00:00"/>
    <n v="132"/>
    <d v="2026-04-28T00:00:00"/>
    <n v="129.80000000000001"/>
    <s v="PEN"/>
    <x v="0"/>
    <m/>
    <m/>
    <m/>
    <d v="2026-04-28T00:00:00"/>
    <n v="38.527753042445831"/>
    <m/>
    <x v="0"/>
  </r>
  <r>
    <x v="15"/>
    <x v="15"/>
    <s v="1300004037"/>
    <x v="135"/>
    <x v="2"/>
    <d v="2026-04-28T00:00:00"/>
    <n v="132"/>
    <d v="2026-04-28T00:00:00"/>
    <n v="422.56"/>
    <s v="PEN"/>
    <x v="0"/>
    <m/>
    <m/>
    <m/>
    <d v="2026-04-28T00:00:00"/>
    <n v="125.42594241614722"/>
    <m/>
    <x v="0"/>
  </r>
  <r>
    <x v="15"/>
    <x v="15"/>
    <s v="1200001648"/>
    <x v="136"/>
    <x v="0"/>
    <d v="2026-05-12T00:00:00"/>
    <n v="118"/>
    <d v="2026-05-12T00:00:00"/>
    <n v="404.98"/>
    <s v="PEN"/>
    <x v="0"/>
    <m/>
    <m/>
    <m/>
    <d v="2026-05-12T00:00:00"/>
    <n v="120.2077767883645"/>
    <m/>
    <x v="0"/>
  </r>
  <r>
    <x v="15"/>
    <x v="15"/>
    <s v="1200001649"/>
    <x v="137"/>
    <x v="0"/>
    <d v="2026-05-12T00:00:00"/>
    <n v="118"/>
    <d v="2026-05-12T00:00:00"/>
    <n v="59"/>
    <s v="PEN"/>
    <x v="0"/>
    <m/>
    <m/>
    <m/>
    <d v="2026-05-12T00:00:00"/>
    <n v="17.512615019293559"/>
    <m/>
    <x v="0"/>
  </r>
  <r>
    <x v="15"/>
    <x v="15"/>
    <s v="1300007099"/>
    <x v="138"/>
    <x v="2"/>
    <d v="2026-07-15T00:00:00"/>
    <n v="54"/>
    <d v="2026-07-15T00:00:00"/>
    <n v="23.6"/>
    <s v="PEN"/>
    <x v="0"/>
    <m/>
    <m/>
    <m/>
    <d v="2026-07-15T00:00:00"/>
    <n v="7.0050460077174233"/>
    <m/>
    <x v="0"/>
  </r>
  <r>
    <x v="16"/>
    <x v="16"/>
    <s v="1300005285"/>
    <x v="139"/>
    <x v="2"/>
    <d v="2026-04-27T00:00:00"/>
    <n v="133"/>
    <d v="2026-04-27T00:00:00"/>
    <n v="10284"/>
    <s v="USD"/>
    <x v="1"/>
    <d v="2026-06-26T00:00:00"/>
    <n v="-38"/>
    <d v="2026-10-15T00:00:00"/>
    <d v="2026-10-15T00:00:00"/>
    <n v="10284"/>
    <n v="133"/>
    <x v="2"/>
  </r>
  <r>
    <x v="17"/>
    <x v="17"/>
    <s v="1300007199"/>
    <x v="140"/>
    <x v="2"/>
    <d v="2026-07-13T00:00:00"/>
    <n v="56"/>
    <d v="2026-07-13T00:00:00"/>
    <n v="54612"/>
    <s v="USD"/>
    <x v="1"/>
    <d v="2026-09-11T00:00:00"/>
    <n v="-4"/>
    <d v="2026-09-11T00:00:00"/>
    <d v="2026-09-11T00:00:00"/>
    <n v="54612"/>
    <n v="56"/>
    <x v="3"/>
  </r>
  <r>
    <x v="18"/>
    <x v="18"/>
    <s v="1300006898"/>
    <x v="141"/>
    <x v="2"/>
    <d v="2025-10-21T00:00:00"/>
    <n v="321"/>
    <d v="2025-10-21T00:00:00"/>
    <n v="4460"/>
    <s v="PEN"/>
    <x v="4"/>
    <m/>
    <m/>
    <m/>
    <d v="2025-10-21T00:00:00"/>
    <n v="1323.8349658652419"/>
    <m/>
    <x v="0"/>
  </r>
  <r>
    <x v="18"/>
    <x v="18"/>
    <s v="1200005124"/>
    <x v="142"/>
    <x v="0"/>
    <d v="2025-11-04T00:00:00"/>
    <n v="300"/>
    <d v="2025-11-11T00:00:00"/>
    <n v="7097.98"/>
    <s v="PEN"/>
    <x v="4"/>
    <m/>
    <m/>
    <m/>
    <d v="2025-11-11T00:00:00"/>
    <n v="2106.8506975363607"/>
    <m/>
    <x v="0"/>
  </r>
  <r>
    <x v="18"/>
    <x v="18"/>
    <s v="1200000182"/>
    <x v="143"/>
    <x v="0"/>
    <d v="2026-01-31T00:00:00"/>
    <n v="212"/>
    <d v="2026-02-07T00:00:00"/>
    <n v="4003.46"/>
    <s v="PEN"/>
    <x v="4"/>
    <m/>
    <m/>
    <m/>
    <d v="2026-02-07T00:00:00"/>
    <n v="1188.322944493915"/>
    <m/>
    <x v="0"/>
  </r>
  <r>
    <x v="18"/>
    <x v="18"/>
    <s v="1200000382"/>
    <x v="144"/>
    <x v="0"/>
    <d v="2026-03-03T00:00:00"/>
    <n v="181"/>
    <d v="2026-03-10T00:00:00"/>
    <n v="4956"/>
    <s v="PEN"/>
    <x v="4"/>
    <m/>
    <m/>
    <m/>
    <d v="2026-03-10T00:00:00"/>
    <n v="1471.0596616206587"/>
    <m/>
    <x v="0"/>
  </r>
  <r>
    <x v="19"/>
    <x v="19"/>
    <s v="1200003659"/>
    <x v="145"/>
    <x v="0"/>
    <d v="2026-09-03T00:00:00"/>
    <n v="-3"/>
    <d v="2026-09-10T00:00:00"/>
    <n v="488.99"/>
    <s v="PEN"/>
    <x v="0"/>
    <m/>
    <m/>
    <m/>
    <d v="2026-09-10T00:00:00"/>
    <n v="145.14395963193826"/>
    <m/>
    <x v="0"/>
  </r>
  <r>
    <x v="19"/>
    <x v="19"/>
    <s v="1200003660"/>
    <x v="146"/>
    <x v="0"/>
    <d v="2026-09-03T00:00:00"/>
    <n v="-3"/>
    <d v="2026-09-10T00:00:00"/>
    <n v="171.1"/>
    <s v="PEN"/>
    <x v="0"/>
    <m/>
    <m/>
    <m/>
    <d v="2026-09-10T00:00:00"/>
    <n v="50.786583555951317"/>
    <m/>
    <x v="0"/>
  </r>
  <r>
    <x v="19"/>
    <x v="19"/>
    <s v="1200003669"/>
    <x v="147"/>
    <x v="0"/>
    <d v="2026-09-04T00:00:00"/>
    <n v="-4"/>
    <d v="2026-09-11T00:00:00"/>
    <n v="864.99"/>
    <s v="PEN"/>
    <x v="0"/>
    <m/>
    <m/>
    <m/>
    <d v="2026-09-11T00:00:00"/>
    <n v="256.74977738201244"/>
    <m/>
    <x v="0"/>
  </r>
  <r>
    <x v="19"/>
    <x v="19"/>
    <s v="1200003670"/>
    <x v="148"/>
    <x v="0"/>
    <d v="2026-09-04T00:00:00"/>
    <n v="-4"/>
    <d v="2026-09-11T00:00:00"/>
    <n v="283.2"/>
    <s v="PEN"/>
    <x v="0"/>
    <m/>
    <m/>
    <m/>
    <d v="2026-09-11T00:00:00"/>
    <n v="84.060552092609072"/>
    <m/>
    <x v="0"/>
  </r>
  <r>
    <x v="19"/>
    <x v="19"/>
    <s v="1200003688"/>
    <x v="149"/>
    <x v="0"/>
    <d v="2026-09-04T00:00:00"/>
    <n v="-4"/>
    <d v="2026-09-11T00:00:00"/>
    <n v="422.25"/>
    <s v="PEN"/>
    <x v="0"/>
    <m/>
    <m/>
    <m/>
    <d v="2026-09-11T00:00:00"/>
    <n v="125.33392698130008"/>
    <m/>
    <x v="0"/>
  </r>
  <r>
    <x v="19"/>
    <x v="19"/>
    <s v="1200003689"/>
    <x v="150"/>
    <x v="0"/>
    <d v="2026-09-04T00:00:00"/>
    <n v="-4"/>
    <d v="2026-09-11T00:00:00"/>
    <n v="177"/>
    <s v="PEN"/>
    <x v="0"/>
    <m/>
    <m/>
    <m/>
    <d v="2026-09-11T00:00:00"/>
    <n v="52.537845057880673"/>
    <m/>
    <x v="0"/>
  </r>
  <r>
    <x v="19"/>
    <x v="19"/>
    <s v="1200003710"/>
    <x v="151"/>
    <x v="0"/>
    <d v="2026-09-05T00:00:00"/>
    <n v="-5"/>
    <d v="2026-09-12T00:00:00"/>
    <n v="1148.47"/>
    <s v="PEN"/>
    <x v="0"/>
    <m/>
    <m/>
    <m/>
    <d v="2026-09-12T00:00:00"/>
    <n v="340.89344018996735"/>
    <m/>
    <x v="0"/>
  </r>
  <r>
    <x v="19"/>
    <x v="19"/>
    <s v="1200003711"/>
    <x v="152"/>
    <x v="0"/>
    <d v="2026-09-05T00:00:00"/>
    <n v="-5"/>
    <d v="2026-09-12T00:00:00"/>
    <n v="348.1"/>
    <s v="PEN"/>
    <x v="0"/>
    <m/>
    <m/>
    <m/>
    <d v="2026-09-12T00:00:00"/>
    <n v="103.324428613832"/>
    <m/>
    <x v="0"/>
  </r>
  <r>
    <x v="19"/>
    <x v="19"/>
    <s v="1200003736"/>
    <x v="153"/>
    <x v="0"/>
    <d v="2026-09-05T00:00:00"/>
    <n v="-5"/>
    <d v="2026-09-12T00:00:00"/>
    <n v="212.4"/>
    <s v="PEN"/>
    <x v="0"/>
    <m/>
    <m/>
    <m/>
    <d v="2026-09-12T00:00:00"/>
    <n v="63.045414069456811"/>
    <m/>
    <x v="0"/>
  </r>
  <r>
    <x v="19"/>
    <x v="19"/>
    <s v="1200003738"/>
    <x v="154"/>
    <x v="0"/>
    <d v="2026-09-05T00:00:00"/>
    <n v="-5"/>
    <d v="2026-09-12T00:00:00"/>
    <n v="749.02"/>
    <s v="PEN"/>
    <x v="0"/>
    <m/>
    <m/>
    <m/>
    <d v="2026-09-12T00:00:00"/>
    <n v="222.32710002968238"/>
    <m/>
    <x v="0"/>
  </r>
  <r>
    <x v="19"/>
    <x v="19"/>
    <s v="1200003744"/>
    <x v="155"/>
    <x v="0"/>
    <d v="2026-09-06T00:00:00"/>
    <n v="-6"/>
    <d v="2026-09-13T00:00:00"/>
    <n v="690.87"/>
    <s v="PEN"/>
    <x v="0"/>
    <m/>
    <m/>
    <m/>
    <d v="2026-09-13T00:00:00"/>
    <n v="205.06678539626"/>
    <m/>
    <x v="0"/>
  </r>
  <r>
    <x v="19"/>
    <x v="19"/>
    <s v="1200003745"/>
    <x v="156"/>
    <x v="0"/>
    <d v="2026-09-06T00:00:00"/>
    <n v="-6"/>
    <d v="2026-09-13T00:00:00"/>
    <n v="283.2"/>
    <s v="PEN"/>
    <x v="0"/>
    <m/>
    <m/>
    <m/>
    <d v="2026-09-13T00:00:00"/>
    <n v="84.060552092609072"/>
    <m/>
    <x v="0"/>
  </r>
  <r>
    <x v="19"/>
    <x v="19"/>
    <s v="1200003774"/>
    <x v="157"/>
    <x v="0"/>
    <d v="2026-09-06T00:00:00"/>
    <n v="-6"/>
    <d v="2026-09-13T00:00:00"/>
    <n v="667.41"/>
    <s v="PEN"/>
    <x v="0"/>
    <m/>
    <m/>
    <m/>
    <d v="2026-09-13T00:00:00"/>
    <n v="198.10329474621548"/>
    <m/>
    <x v="0"/>
  </r>
  <r>
    <x v="19"/>
    <x v="19"/>
    <s v="1200003775"/>
    <x v="158"/>
    <x v="0"/>
    <d v="2026-09-06T00:00:00"/>
    <n v="-6"/>
    <d v="2026-09-13T00:00:00"/>
    <n v="194.7"/>
    <s v="PEN"/>
    <x v="0"/>
    <m/>
    <m/>
    <m/>
    <d v="2026-09-13T00:00:00"/>
    <n v="57.791629563668735"/>
    <m/>
    <x v="0"/>
  </r>
  <r>
    <x v="20"/>
    <x v="20"/>
    <s v="1200004540"/>
    <x v="159"/>
    <x v="0"/>
    <d v="2025-10-07T00:00:00"/>
    <n v="318"/>
    <d v="2025-10-14T00:00:00"/>
    <n v="790"/>
    <s v="PEN"/>
    <x v="5"/>
    <m/>
    <m/>
    <m/>
    <d v="2025-10-14T00:00:00"/>
    <n v="234.49094686850697"/>
    <m/>
    <x v="0"/>
  </r>
  <r>
    <x v="21"/>
    <x v="21"/>
    <s v="1300007200"/>
    <x v="160"/>
    <x v="2"/>
    <d v="2026-07-27T00:00:00"/>
    <n v="42"/>
    <d v="2026-07-27T00:00:00"/>
    <n v="64640"/>
    <s v="USD"/>
    <x v="1"/>
    <d v="2026-09-25T00:00:00"/>
    <n v="-18"/>
    <d v="2026-09-25T00:00:00"/>
    <d v="2026-09-25T00:00:00"/>
    <n v="64640"/>
    <n v="42"/>
    <x v="1"/>
  </r>
  <r>
    <x v="21"/>
    <x v="21"/>
    <s v="1300007201"/>
    <x v="161"/>
    <x v="2"/>
    <d v="2026-07-29T00:00:00"/>
    <n v="40"/>
    <d v="2026-07-29T00:00:00"/>
    <n v="64850"/>
    <s v="USD"/>
    <x v="1"/>
    <d v="2026-09-27T00:00:00"/>
    <n v="-20"/>
    <d v="2026-09-27T00:00:00"/>
    <d v="2026-09-27T00:00:00"/>
    <n v="64850"/>
    <n v="40"/>
    <x v="1"/>
  </r>
  <r>
    <x v="22"/>
    <x v="22"/>
    <s v="1200002881"/>
    <x v="162"/>
    <x v="0"/>
    <d v="2026-06-30T00:00:00"/>
    <n v="52"/>
    <d v="2026-07-07T00:00:00"/>
    <n v="590"/>
    <s v="PEN"/>
    <x v="6"/>
    <m/>
    <m/>
    <m/>
    <d v="2026-07-07T00:00:00"/>
    <n v="175.12615019293557"/>
    <m/>
    <x v="0"/>
  </r>
  <r>
    <x v="23"/>
    <x v="23"/>
    <s v="1200003535"/>
    <x v="163"/>
    <x v="0"/>
    <d v="2026-08-29T00:00:00"/>
    <n v="2"/>
    <d v="2026-09-05T00:00:00"/>
    <n v="590"/>
    <s v="PEN"/>
    <x v="0"/>
    <m/>
    <m/>
    <m/>
    <d v="2026-09-05T00:00:00"/>
    <n v="175.12615019293557"/>
    <m/>
    <x v="0"/>
  </r>
  <r>
    <x v="23"/>
    <x v="23"/>
    <s v="1200003586"/>
    <x v="164"/>
    <x v="0"/>
    <d v="2026-09-01T00:00:00"/>
    <n v="-1"/>
    <d v="2026-09-08T00:00:00"/>
    <n v="590"/>
    <s v="PEN"/>
    <x v="0"/>
    <m/>
    <m/>
    <m/>
    <d v="2026-09-08T00:00:00"/>
    <n v="175.12615019293557"/>
    <m/>
    <x v="0"/>
  </r>
  <r>
    <x v="23"/>
    <x v="23"/>
    <s v="1200003597"/>
    <x v="165"/>
    <x v="0"/>
    <d v="2026-09-02T00:00:00"/>
    <n v="-2"/>
    <d v="2026-09-09T00:00:00"/>
    <n v="590"/>
    <s v="PEN"/>
    <x v="0"/>
    <m/>
    <m/>
    <m/>
    <d v="2026-09-09T00:00:00"/>
    <n v="175.12615019293557"/>
    <m/>
    <x v="0"/>
  </r>
  <r>
    <x v="24"/>
    <x v="24"/>
    <s v="1300007151"/>
    <x v="166"/>
    <x v="4"/>
    <d v="2026-07-21T00:00:00"/>
    <n v="0"/>
    <d v="2026-07-31T00:00:00"/>
    <n v="-9650"/>
    <s v="USD"/>
    <x v="1"/>
    <d v="2026-09-19T00:00:00"/>
    <m/>
    <m/>
    <d v="2026-07-31T00:00:00"/>
    <n v="-9650"/>
    <n v="48"/>
    <x v="3"/>
  </r>
  <r>
    <x v="24"/>
    <x v="24"/>
    <s v="1200003507"/>
    <x v="167"/>
    <x v="1"/>
    <d v="2026-08-15T00:00:00"/>
    <n v="-37"/>
    <d v="2026-10-14T00:00:00"/>
    <n v="48600"/>
    <s v="USD"/>
    <x v="1"/>
    <d v="2026-10-14T00:00:00"/>
    <n v="-37"/>
    <d v="2026-10-14T00:00:00"/>
    <d v="2026-10-14T00:00:00"/>
    <n v="48600"/>
    <n v="23"/>
    <x v="1"/>
  </r>
  <r>
    <x v="25"/>
    <x v="25"/>
    <s v="1300007121"/>
    <x v="168"/>
    <x v="2"/>
    <d v="2026-07-18T00:00:00"/>
    <n v="51"/>
    <d v="2026-07-18T00:00:00"/>
    <n v="203.67"/>
    <s v="PEN"/>
    <x v="0"/>
    <m/>
    <m/>
    <m/>
    <d v="2026-07-18T00:00:00"/>
    <n v="60.45414069456811"/>
    <m/>
    <x v="0"/>
  </r>
  <r>
    <x v="26"/>
    <x v="26"/>
    <s v="1200003573"/>
    <x v="169"/>
    <x v="0"/>
    <d v="2026-09-01T00:00:00"/>
    <n v="-1"/>
    <d v="2026-09-08T00:00:00"/>
    <n v="368.16"/>
    <s v="PEN"/>
    <x v="0"/>
    <m/>
    <m/>
    <m/>
    <d v="2026-09-08T00:00:00"/>
    <n v="109.27871772039181"/>
    <m/>
    <x v="0"/>
  </r>
  <r>
    <x v="27"/>
    <x v="27"/>
    <s v="1200003577"/>
    <x v="170"/>
    <x v="1"/>
    <d v="2026-08-31T00:00:00"/>
    <n v="-38"/>
    <d v="2026-10-15T00:00:00"/>
    <n v="36684"/>
    <s v="USD"/>
    <x v="1"/>
    <d v="2026-10-30T00:00:00"/>
    <n v="-53"/>
    <d v="2026-10-30T00:00:00"/>
    <d v="2026-10-30T00:00:00"/>
    <n v="36684"/>
    <n v="7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1000000434"/>
    <x v="0"/>
    <s v="1200003541"/>
    <s v="01-0F101-0007733"/>
    <x v="0"/>
    <d v="2026-08-31T00:00:00"/>
    <n v="0"/>
    <d v="2026-09-07T00:00:00"/>
    <n v="590"/>
    <s v="PEN"/>
    <x v="0"/>
    <m/>
    <m/>
    <m/>
    <x v="0"/>
    <n v="175.12615019293557"/>
    <m/>
    <m/>
  </r>
  <r>
    <s v="1000000434"/>
    <x v="0"/>
    <s v="1200003588"/>
    <s v="01-0F101-0007761"/>
    <x v="0"/>
    <d v="2026-09-01T00:00:00"/>
    <n v="-1"/>
    <d v="2026-09-08T00:00:00"/>
    <n v="708"/>
    <s v="PEN"/>
    <x v="0"/>
    <m/>
    <m/>
    <m/>
    <x v="1"/>
    <n v="210.15138023152269"/>
    <m/>
    <m/>
  </r>
  <r>
    <s v="1000013966"/>
    <x v="1"/>
    <s v="1200005220"/>
    <s v="01-0F101-0004694"/>
    <x v="0"/>
    <d v="2025-11-19T00:00:00"/>
    <n v="285"/>
    <d v="2025-11-26T00:00:00"/>
    <n v="42.48"/>
    <s v="PEN"/>
    <x v="0"/>
    <m/>
    <m/>
    <m/>
    <x v="2"/>
    <n v="12.60908281389136"/>
    <m/>
    <m/>
  </r>
  <r>
    <s v="1000013966"/>
    <x v="1"/>
    <s v="1200005228"/>
    <s v="01-0F101-0004700"/>
    <x v="0"/>
    <d v="2025-11-19T00:00:00"/>
    <n v="285"/>
    <d v="2025-11-26T00:00:00"/>
    <n v="14.16"/>
    <s v="PEN"/>
    <x v="0"/>
    <m/>
    <m/>
    <m/>
    <x v="2"/>
    <n v="4.2030276046304538"/>
    <m/>
    <m/>
  </r>
  <r>
    <s v="1000013966"/>
    <x v="1"/>
    <s v="1200005242"/>
    <s v="01-0F101-0004710"/>
    <x v="0"/>
    <d v="2025-11-19T00:00:00"/>
    <n v="285"/>
    <d v="2025-11-26T00:00:00"/>
    <n v="14.16"/>
    <s v="PEN"/>
    <x v="0"/>
    <m/>
    <m/>
    <m/>
    <x v="2"/>
    <n v="4.2030276046304538"/>
    <m/>
    <m/>
  </r>
  <r>
    <s v="1000013966"/>
    <x v="1"/>
    <s v="1200005264"/>
    <s v="01-0F101-0004729"/>
    <x v="0"/>
    <d v="2025-11-20T00:00:00"/>
    <n v="284"/>
    <d v="2025-11-27T00:00:00"/>
    <n v="28.32"/>
    <s v="PEN"/>
    <x v="0"/>
    <m/>
    <m/>
    <m/>
    <x v="3"/>
    <n v="8.4060552092609075"/>
    <m/>
    <m/>
  </r>
  <r>
    <s v="1000013966"/>
    <x v="1"/>
    <s v="1200005271"/>
    <s v="01-0F101-0004736"/>
    <x v="0"/>
    <d v="2025-11-20T00:00:00"/>
    <n v="284"/>
    <d v="2025-11-27T00:00:00"/>
    <n v="14.16"/>
    <s v="PEN"/>
    <x v="0"/>
    <m/>
    <m/>
    <m/>
    <x v="3"/>
    <n v="4.2030276046304538"/>
    <m/>
    <m/>
  </r>
  <r>
    <s v="1000013966"/>
    <x v="1"/>
    <s v="1200005296"/>
    <s v="01-0F101-0004758"/>
    <x v="0"/>
    <d v="2025-11-21T00:00:00"/>
    <n v="283"/>
    <d v="2025-11-28T00:00:00"/>
    <n v="28.32"/>
    <s v="PEN"/>
    <x v="0"/>
    <m/>
    <m/>
    <m/>
    <x v="4"/>
    <n v="8.4060552092609075"/>
    <m/>
    <m/>
  </r>
  <r>
    <s v="1000013966"/>
    <x v="1"/>
    <s v="1200005302"/>
    <s v="01-0F101-0004762"/>
    <x v="0"/>
    <d v="2025-11-21T00:00:00"/>
    <n v="283"/>
    <d v="2025-11-28T00:00:00"/>
    <n v="42.48"/>
    <s v="PEN"/>
    <x v="0"/>
    <m/>
    <m/>
    <m/>
    <x v="4"/>
    <n v="12.60908281389136"/>
    <m/>
    <m/>
  </r>
  <r>
    <s v="1000013966"/>
    <x v="1"/>
    <s v="1200005304"/>
    <s v="01-0F101-0004763"/>
    <x v="0"/>
    <d v="2025-11-21T00:00:00"/>
    <n v="283"/>
    <d v="2025-11-28T00:00:00"/>
    <n v="42.48"/>
    <s v="PEN"/>
    <x v="0"/>
    <m/>
    <m/>
    <m/>
    <x v="4"/>
    <n v="12.60908281389136"/>
    <m/>
    <m/>
  </r>
  <r>
    <s v="1000013966"/>
    <x v="1"/>
    <s v="1200005313"/>
    <s v="01-0F101-0004772"/>
    <x v="0"/>
    <d v="2025-11-21T00:00:00"/>
    <n v="283"/>
    <d v="2025-11-28T00:00:00"/>
    <n v="14.16"/>
    <s v="PEN"/>
    <x v="0"/>
    <m/>
    <m/>
    <m/>
    <x v="4"/>
    <n v="4.2030276046304538"/>
    <m/>
    <m/>
  </r>
  <r>
    <s v="1000013966"/>
    <x v="1"/>
    <s v="1200005346"/>
    <s v="01-0F101-0004803"/>
    <x v="0"/>
    <d v="2025-11-22T00:00:00"/>
    <n v="282"/>
    <d v="2025-11-29T00:00:00"/>
    <n v="28.32"/>
    <s v="PEN"/>
    <x v="0"/>
    <m/>
    <m/>
    <m/>
    <x v="5"/>
    <n v="8.4060552092609075"/>
    <m/>
    <m/>
  </r>
  <r>
    <s v="1000013966"/>
    <x v="1"/>
    <s v="1200005422"/>
    <s v="01-0F101-0004855"/>
    <x v="0"/>
    <d v="2025-11-27T00:00:00"/>
    <n v="277"/>
    <d v="2025-12-04T00:00:00"/>
    <n v="14.16"/>
    <s v="PEN"/>
    <x v="0"/>
    <m/>
    <m/>
    <m/>
    <x v="6"/>
    <n v="4.2030276046304538"/>
    <m/>
    <m/>
  </r>
  <r>
    <s v="1000013966"/>
    <x v="1"/>
    <s v="1200000045"/>
    <s v="01-0F101-0005160"/>
    <x v="0"/>
    <d v="2026-01-06T00:00:00"/>
    <n v="237"/>
    <d v="2026-01-13T00:00:00"/>
    <n v="14.16"/>
    <s v="PEN"/>
    <x v="0"/>
    <m/>
    <m/>
    <m/>
    <x v="7"/>
    <n v="4.2030276046304538"/>
    <m/>
    <m/>
  </r>
  <r>
    <s v="1000013966"/>
    <x v="1"/>
    <s v="1200000090"/>
    <s v="01-0F101-0005198"/>
    <x v="0"/>
    <d v="2026-01-08T00:00:00"/>
    <n v="235"/>
    <d v="2026-01-15T00:00:00"/>
    <n v="14.16"/>
    <s v="PEN"/>
    <x v="0"/>
    <m/>
    <m/>
    <m/>
    <x v="8"/>
    <n v="4.2030276046304538"/>
    <m/>
    <m/>
  </r>
  <r>
    <s v="1000013966"/>
    <x v="1"/>
    <s v="1200000113"/>
    <s v="01-0F101-0005211"/>
    <x v="0"/>
    <d v="2026-01-10T00:00:00"/>
    <n v="233"/>
    <d v="2026-01-17T00:00:00"/>
    <n v="14.16"/>
    <s v="PEN"/>
    <x v="0"/>
    <m/>
    <m/>
    <m/>
    <x v="9"/>
    <n v="4.2030276046304538"/>
    <m/>
    <m/>
  </r>
  <r>
    <s v="1000013966"/>
    <x v="1"/>
    <s v="1200000132"/>
    <s v="01-0F101-0005224"/>
    <x v="0"/>
    <d v="2026-01-16T00:00:00"/>
    <n v="227"/>
    <d v="2026-01-23T00:00:00"/>
    <n v="14.16"/>
    <s v="PEN"/>
    <x v="0"/>
    <m/>
    <m/>
    <m/>
    <x v="10"/>
    <n v="4.2030276046304538"/>
    <m/>
    <m/>
  </r>
  <r>
    <s v="1000013966"/>
    <x v="1"/>
    <s v="1200000133"/>
    <s v="01-0F101-0005225"/>
    <x v="0"/>
    <d v="2026-01-16T00:00:00"/>
    <n v="227"/>
    <d v="2026-01-23T00:00:00"/>
    <n v="14.16"/>
    <s v="PEN"/>
    <x v="0"/>
    <m/>
    <m/>
    <m/>
    <x v="10"/>
    <n v="4.2030276046304538"/>
    <m/>
    <m/>
  </r>
  <r>
    <s v="1000013966"/>
    <x v="1"/>
    <s v="1200000141"/>
    <s v="01-0F101-0005231"/>
    <x v="0"/>
    <d v="2026-01-19T00:00:00"/>
    <n v="224"/>
    <d v="2026-01-26T00:00:00"/>
    <n v="14.16"/>
    <s v="PEN"/>
    <x v="0"/>
    <m/>
    <m/>
    <m/>
    <x v="11"/>
    <n v="4.2030276046304538"/>
    <m/>
    <m/>
  </r>
  <r>
    <s v="2000001028"/>
    <x v="2"/>
    <s v="1200003451"/>
    <s v="FT-0F002-0000392"/>
    <x v="1"/>
    <d v="2026-07-25T00:00:00"/>
    <n v="-16"/>
    <d v="2026-09-23T00:00:00"/>
    <n v="8619"/>
    <s v="USD"/>
    <x v="1"/>
    <d v="2026-09-23T00:00:00"/>
    <n v="-16"/>
    <d v="2026-09-23T00:00:00"/>
    <x v="12"/>
    <n v="8619"/>
    <n v="44"/>
    <s v="0-45"/>
  </r>
  <r>
    <s v="2000001028"/>
    <x v="2"/>
    <s v="1200003454"/>
    <s v="01-0F002-0000395"/>
    <x v="1"/>
    <d v="2026-07-27T00:00:00"/>
    <n v="-78"/>
    <d v="2026-11-24T00:00:00"/>
    <n v="83280"/>
    <s v="USD"/>
    <x v="1"/>
    <d v="2026-09-25T00:00:00"/>
    <n v="-18"/>
    <d v="2026-09-25T00:00:00"/>
    <x v="13"/>
    <n v="83280"/>
    <n v="42"/>
    <s v="0-45"/>
  </r>
  <r>
    <s v="2000001028"/>
    <x v="2"/>
    <s v="1200003470"/>
    <s v="01-0F002-0000403"/>
    <x v="1"/>
    <d v="2026-07-29T00:00:00"/>
    <n v="-20"/>
    <d v="2026-09-27T00:00:00"/>
    <n v="41448"/>
    <s v="USD"/>
    <x v="1"/>
    <d v="2026-09-27T00:00:00"/>
    <n v="-20"/>
    <d v="2026-09-27T00:00:00"/>
    <x v="14"/>
    <n v="41448"/>
    <n v="40"/>
    <s v="0-45"/>
  </r>
  <r>
    <s v="2000001028"/>
    <x v="2"/>
    <s v="1300008499"/>
    <s v="FT-0F002-0000410"/>
    <x v="2"/>
    <d v="2026-08-15T00:00:00"/>
    <n v="23"/>
    <d v="2026-08-15T00:00:00"/>
    <n v="94530"/>
    <s v="USD"/>
    <x v="1"/>
    <d v="2026-10-14T00:00:00"/>
    <n v="-37"/>
    <d v="2026-10-14T00:00:00"/>
    <x v="15"/>
    <n v="94530"/>
    <n v="23"/>
    <s v="0-45"/>
  </r>
  <r>
    <s v="2000001028"/>
    <x v="2"/>
    <s v="1300008500"/>
    <s v="FT-0F002-0000413"/>
    <x v="2"/>
    <d v="2026-08-15T00:00:00"/>
    <n v="23"/>
    <d v="2026-08-15T00:00:00"/>
    <n v="29598"/>
    <s v="USD"/>
    <x v="1"/>
    <d v="2026-10-14T00:00:00"/>
    <n v="-37"/>
    <d v="2026-10-14T00:00:00"/>
    <x v="15"/>
    <n v="29598"/>
    <n v="23"/>
    <s v="0-45"/>
  </r>
  <r>
    <s v="2000001028"/>
    <x v="2"/>
    <s v="1300008501"/>
    <s v="FT-0F002-0000412"/>
    <x v="2"/>
    <d v="2026-08-15T00:00:00"/>
    <n v="23"/>
    <d v="2026-08-15T00:00:00"/>
    <n v="54840"/>
    <s v="USD"/>
    <x v="1"/>
    <d v="2026-10-14T00:00:00"/>
    <n v="-37"/>
    <d v="2026-10-14T00:00:00"/>
    <x v="15"/>
    <n v="54840"/>
    <n v="23"/>
    <s v="0-45"/>
  </r>
  <r>
    <s v="2000001028"/>
    <x v="2"/>
    <s v="1300008502"/>
    <s v="FT-0F002-0000411"/>
    <x v="2"/>
    <d v="2026-08-15T00:00:00"/>
    <n v="23"/>
    <d v="2026-08-15T00:00:00"/>
    <n v="29010"/>
    <s v="USD"/>
    <x v="1"/>
    <d v="2026-10-14T00:00:00"/>
    <n v="-37"/>
    <d v="2026-10-14T00:00:00"/>
    <x v="15"/>
    <n v="29010"/>
    <n v="23"/>
    <s v="0-45"/>
  </r>
  <r>
    <s v="2000001028"/>
    <x v="2"/>
    <s v="1200003508"/>
    <s v="01-0F002-0000415"/>
    <x v="1"/>
    <d v="2026-08-16T00:00:00"/>
    <n v="-38"/>
    <d v="2026-10-15T00:00:00"/>
    <n v="41064"/>
    <s v="USD"/>
    <x v="1"/>
    <d v="2026-10-15T00:00:00"/>
    <n v="-38"/>
    <d v="2026-10-15T00:00:00"/>
    <x v="16"/>
    <n v="41064"/>
    <n v="22"/>
    <s v="0-45"/>
  </r>
  <r>
    <s v="1000013676"/>
    <x v="3"/>
    <s v="1200003566"/>
    <s v="03-0B001-0004870"/>
    <x v="3"/>
    <d v="2026-09-01T00:00:00"/>
    <n v="-1"/>
    <d v="2026-09-08T00:00:00"/>
    <n v="325.68"/>
    <s v="PEN"/>
    <x v="0"/>
    <m/>
    <m/>
    <m/>
    <x v="1"/>
    <n v="96.669634906500434"/>
    <m/>
    <m/>
  </r>
  <r>
    <s v="1000013676"/>
    <x v="3"/>
    <s v="1200003567"/>
    <s v="03-0B001-0004871"/>
    <x v="3"/>
    <d v="2026-09-01T00:00:00"/>
    <n v="-1"/>
    <d v="2026-09-08T00:00:00"/>
    <n v="35.4"/>
    <s v="PEN"/>
    <x v="0"/>
    <m/>
    <m/>
    <m/>
    <x v="1"/>
    <n v="10.507569011576134"/>
    <m/>
    <m/>
  </r>
  <r>
    <s v="1000013678"/>
    <x v="4"/>
    <s v="1200003522"/>
    <s v="01-0F101-0007719"/>
    <x v="0"/>
    <d v="2026-08-27T00:00:00"/>
    <n v="4"/>
    <d v="2026-09-03T00:00:00"/>
    <n v="283.2"/>
    <s v="PEN"/>
    <x v="0"/>
    <m/>
    <m/>
    <m/>
    <x v="17"/>
    <n v="84.060552092609072"/>
    <m/>
    <m/>
  </r>
  <r>
    <s v="1000002057"/>
    <x v="5"/>
    <s v="1200003574"/>
    <s v="01-0F101-0007754"/>
    <x v="0"/>
    <d v="2026-09-01T00:00:00"/>
    <n v="-1"/>
    <d v="2026-09-08T00:00:00"/>
    <n v="59"/>
    <s v="PEN"/>
    <x v="0"/>
    <m/>
    <m/>
    <m/>
    <x v="1"/>
    <n v="17.512615019293559"/>
    <m/>
    <m/>
  </r>
  <r>
    <s v="1000002057"/>
    <x v="5"/>
    <s v="1200003593"/>
    <s v="01-0F101-0007766"/>
    <x v="0"/>
    <d v="2026-09-01T00:00:00"/>
    <n v="-1"/>
    <d v="2026-09-08T00:00:00"/>
    <n v="726.88"/>
    <s v="PEN"/>
    <x v="0"/>
    <m/>
    <m/>
    <m/>
    <x v="1"/>
    <n v="215.75541703769662"/>
    <m/>
    <m/>
  </r>
  <r>
    <s v="1000002057"/>
    <x v="5"/>
    <s v="1200003594"/>
    <s v="01-0F101-0007767"/>
    <x v="0"/>
    <d v="2026-09-01T00:00:00"/>
    <n v="-1"/>
    <d v="2026-09-08T00:00:00"/>
    <n v="106.2"/>
    <s v="PEN"/>
    <x v="0"/>
    <m/>
    <m/>
    <m/>
    <x v="1"/>
    <n v="31.522707034728406"/>
    <m/>
    <m/>
  </r>
  <r>
    <s v="1000002057"/>
    <x v="5"/>
    <s v="1200003602"/>
    <s v="01-0F101-0007775"/>
    <x v="0"/>
    <d v="2026-09-02T00:00:00"/>
    <n v="-2"/>
    <d v="2026-09-09T00:00:00"/>
    <n v="59"/>
    <s v="PEN"/>
    <x v="0"/>
    <m/>
    <m/>
    <m/>
    <x v="18"/>
    <n v="17.512615019293559"/>
    <m/>
    <m/>
  </r>
  <r>
    <s v="1000002057"/>
    <x v="5"/>
    <s v="1200003641"/>
    <s v="01-0F101-0007799"/>
    <x v="0"/>
    <d v="2026-09-03T00:00:00"/>
    <n v="-3"/>
    <d v="2026-09-10T00:00:00"/>
    <n v="540.67999999999995"/>
    <s v="PEN"/>
    <x v="0"/>
    <m/>
    <m/>
    <m/>
    <x v="19"/>
    <n v="160.48679133273967"/>
    <m/>
    <m/>
  </r>
  <r>
    <s v="1000002057"/>
    <x v="5"/>
    <s v="1200003642"/>
    <s v="01-0F101-0007800"/>
    <x v="0"/>
    <d v="2026-09-03T00:00:00"/>
    <n v="-3"/>
    <d v="2026-09-10T00:00:00"/>
    <n v="70.8"/>
    <s v="PEN"/>
    <x v="0"/>
    <m/>
    <m/>
    <m/>
    <x v="19"/>
    <n v="21.015138023152268"/>
    <m/>
    <m/>
  </r>
  <r>
    <s v="1000002057"/>
    <x v="5"/>
    <s v="1200003708"/>
    <s v="01-0F101-0007855"/>
    <x v="0"/>
    <d v="2026-09-05T00:00:00"/>
    <n v="-5"/>
    <d v="2026-09-12T00:00:00"/>
    <n v="186.02"/>
    <s v="PEN"/>
    <x v="0"/>
    <m/>
    <m/>
    <m/>
    <x v="20"/>
    <n v="55.215197387948947"/>
    <m/>
    <m/>
  </r>
  <r>
    <s v="1000002057"/>
    <x v="5"/>
    <s v="1200003709"/>
    <s v="01-0F101-0007856"/>
    <x v="0"/>
    <d v="2026-09-05T00:00:00"/>
    <n v="-5"/>
    <d v="2026-09-12T00:00:00"/>
    <n v="123.9"/>
    <s v="PEN"/>
    <x v="0"/>
    <m/>
    <m/>
    <m/>
    <x v="20"/>
    <n v="36.776491540516474"/>
    <m/>
    <m/>
  </r>
  <r>
    <s v="1000002057"/>
    <x v="5"/>
    <s v="1200003714"/>
    <s v="01-0F101-0007861"/>
    <x v="0"/>
    <d v="2026-09-05T00:00:00"/>
    <n v="-5"/>
    <d v="2026-09-12T00:00:00"/>
    <n v="730.84"/>
    <s v="PEN"/>
    <x v="0"/>
    <m/>
    <m/>
    <m/>
    <x v="20"/>
    <n v="216.93084001187296"/>
    <m/>
    <m/>
  </r>
  <r>
    <s v="1000002057"/>
    <x v="5"/>
    <s v="1200003715"/>
    <s v="01-0F101-0007862"/>
    <x v="0"/>
    <d v="2026-09-05T00:00:00"/>
    <n v="-5"/>
    <d v="2026-09-12T00:00:00"/>
    <n v="194.7"/>
    <s v="PEN"/>
    <x v="0"/>
    <m/>
    <m/>
    <m/>
    <x v="20"/>
    <n v="57.791629563668735"/>
    <m/>
    <m/>
  </r>
  <r>
    <s v="1000002057"/>
    <x v="5"/>
    <s v="1200003724"/>
    <s v="01-0F101-0007869"/>
    <x v="0"/>
    <d v="2026-09-05T00:00:00"/>
    <n v="-5"/>
    <d v="2026-09-12T00:00:00"/>
    <n v="323.13"/>
    <s v="PEN"/>
    <x v="0"/>
    <m/>
    <m/>
    <m/>
    <x v="20"/>
    <n v="95.912733748886907"/>
    <m/>
    <m/>
  </r>
  <r>
    <s v="1000002057"/>
    <x v="5"/>
    <s v="1200003725"/>
    <s v="01-0F101-0007870"/>
    <x v="0"/>
    <d v="2026-09-05T00:00:00"/>
    <n v="-5"/>
    <d v="2026-09-12T00:00:00"/>
    <n v="123.9"/>
    <s v="PEN"/>
    <x v="0"/>
    <m/>
    <m/>
    <m/>
    <x v="20"/>
    <n v="36.776491540516474"/>
    <m/>
    <m/>
  </r>
  <r>
    <s v="1000002057"/>
    <x v="5"/>
    <s v="1200003772"/>
    <s v="01-0F101-0007905"/>
    <x v="0"/>
    <d v="2026-09-06T00:00:00"/>
    <n v="-6"/>
    <d v="2026-09-13T00:00:00"/>
    <n v="446.04"/>
    <s v="PEN"/>
    <x v="0"/>
    <m/>
    <m/>
    <m/>
    <x v="21"/>
    <n v="132.3953695458593"/>
    <m/>
    <m/>
  </r>
  <r>
    <s v="1000002057"/>
    <x v="5"/>
    <s v="1200003773"/>
    <s v="01-0F101-0007906"/>
    <x v="0"/>
    <d v="2026-09-06T00:00:00"/>
    <n v="-6"/>
    <d v="2026-09-13T00:00:00"/>
    <n v="177"/>
    <s v="PEN"/>
    <x v="0"/>
    <m/>
    <m/>
    <m/>
    <x v="21"/>
    <n v="52.537845057880673"/>
    <m/>
    <m/>
  </r>
  <r>
    <s v="2000001381"/>
    <x v="6"/>
    <s v="1300008291"/>
    <s v="FP-273"/>
    <x v="4"/>
    <d v="2026-08-13T00:00:00"/>
    <n v="0"/>
    <d v="2026-08-31T00:00:00"/>
    <n v="-31032"/>
    <s v="USD"/>
    <x v="1"/>
    <d v="2026-10-12T00:00:00"/>
    <m/>
    <m/>
    <x v="22"/>
    <n v="-31032"/>
    <n v="25"/>
    <s v="0-45"/>
  </r>
  <r>
    <s v="2000001381"/>
    <x v="6"/>
    <s v="1200003575"/>
    <s v="01-0F002-0000420"/>
    <x v="1"/>
    <d v="2026-08-31T00:00:00"/>
    <n v="-53"/>
    <d v="2026-10-30T00:00:00"/>
    <n v="89775"/>
    <s v="USD"/>
    <x v="1"/>
    <d v="2026-10-30T00:00:00"/>
    <n v="-53"/>
    <d v="2026-10-30T00:00:00"/>
    <x v="23"/>
    <n v="89775"/>
    <n v="7"/>
    <s v="0-45"/>
  </r>
  <r>
    <s v="1000013754"/>
    <x v="7"/>
    <s v="1200003557"/>
    <s v="03-0B001-0004867"/>
    <x v="3"/>
    <d v="2026-08-31T00:00:00"/>
    <n v="0"/>
    <d v="2026-09-07T00:00:00"/>
    <n v="997.57"/>
    <s v="PEN"/>
    <x v="0"/>
    <m/>
    <m/>
    <m/>
    <x v="0"/>
    <n v="296.10270109824876"/>
    <m/>
    <m/>
  </r>
  <r>
    <s v="1000013754"/>
    <x v="7"/>
    <s v="1200003558"/>
    <s v="03-0B001-0004868"/>
    <x v="3"/>
    <d v="2026-08-31T00:00:00"/>
    <n v="0"/>
    <d v="2026-09-07T00:00:00"/>
    <n v="141.6"/>
    <s v="PEN"/>
    <x v="0"/>
    <m/>
    <m/>
    <m/>
    <x v="0"/>
    <n v="42.030276046304536"/>
    <m/>
    <m/>
  </r>
  <r>
    <s v="1000013754"/>
    <x v="7"/>
    <s v="1200003580"/>
    <s v="03-0B001-0004876"/>
    <x v="3"/>
    <d v="2026-09-01T00:00:00"/>
    <n v="-1"/>
    <d v="2026-09-08T00:00:00"/>
    <n v="752.13"/>
    <s v="PEN"/>
    <x v="0"/>
    <m/>
    <m/>
    <m/>
    <x v="1"/>
    <n v="223.2502226179875"/>
    <m/>
    <m/>
  </r>
  <r>
    <s v="1000013754"/>
    <x v="7"/>
    <s v="1200003581"/>
    <s v="03-0B001-0004877"/>
    <x v="3"/>
    <d v="2026-09-01T00:00:00"/>
    <n v="-1"/>
    <d v="2026-09-08T00:00:00"/>
    <n v="70.8"/>
    <s v="PEN"/>
    <x v="0"/>
    <m/>
    <m/>
    <m/>
    <x v="1"/>
    <n v="21.015138023152268"/>
    <m/>
    <m/>
  </r>
  <r>
    <s v="1000013754"/>
    <x v="7"/>
    <s v="1200003615"/>
    <s v="03-0B001-0004878"/>
    <x v="3"/>
    <d v="2026-09-02T00:00:00"/>
    <n v="-2"/>
    <d v="2026-09-09T00:00:00"/>
    <n v="322.61"/>
    <s v="PEN"/>
    <x v="0"/>
    <m/>
    <m/>
    <m/>
    <x v="18"/>
    <n v="95.758385277530422"/>
    <m/>
    <m/>
  </r>
  <r>
    <s v="1000013754"/>
    <x v="7"/>
    <s v="1200003616"/>
    <s v="03-0B001-0004879"/>
    <x v="3"/>
    <d v="2026-09-02T00:00:00"/>
    <n v="-2"/>
    <d v="2026-09-09T00:00:00"/>
    <n v="70.8"/>
    <s v="PEN"/>
    <x v="0"/>
    <m/>
    <m/>
    <m/>
    <x v="18"/>
    <n v="21.015138023152268"/>
    <m/>
    <m/>
  </r>
  <r>
    <s v="1000013754"/>
    <x v="7"/>
    <s v="1200003665"/>
    <s v="03-0B001-0004885"/>
    <x v="3"/>
    <d v="2026-09-03T00:00:00"/>
    <n v="-3"/>
    <d v="2026-09-10T00:00:00"/>
    <n v="595.9"/>
    <s v="PEN"/>
    <x v="0"/>
    <m/>
    <m/>
    <m/>
    <x v="19"/>
    <n v="176.87741169486492"/>
    <m/>
    <m/>
  </r>
  <r>
    <s v="1000013754"/>
    <x v="7"/>
    <s v="1200003666"/>
    <s v="03-0B001-0004886"/>
    <x v="3"/>
    <d v="2026-09-03T00:00:00"/>
    <n v="-3"/>
    <d v="2026-09-10T00:00:00"/>
    <n v="70.8"/>
    <s v="PEN"/>
    <x v="0"/>
    <m/>
    <m/>
    <m/>
    <x v="19"/>
    <n v="21.015138023152268"/>
    <m/>
    <m/>
  </r>
  <r>
    <s v="1000013754"/>
    <x v="7"/>
    <s v="1200003704"/>
    <s v="03-0B001-0004891"/>
    <x v="3"/>
    <d v="2026-09-05T00:00:00"/>
    <n v="-5"/>
    <d v="2026-09-12T00:00:00"/>
    <n v="630.12"/>
    <s v="PEN"/>
    <x v="0"/>
    <m/>
    <m/>
    <m/>
    <x v="20"/>
    <n v="187.03472840605519"/>
    <m/>
    <m/>
  </r>
  <r>
    <s v="1000013754"/>
    <x v="7"/>
    <s v="1200003705"/>
    <s v="03-0B001-0004892"/>
    <x v="3"/>
    <d v="2026-09-05T00:00:00"/>
    <n v="-5"/>
    <d v="2026-09-12T00:00:00"/>
    <n v="70.8"/>
    <s v="PEN"/>
    <x v="0"/>
    <m/>
    <m/>
    <m/>
    <x v="20"/>
    <n v="21.015138023152268"/>
    <m/>
    <m/>
  </r>
  <r>
    <s v="1000013754"/>
    <x v="7"/>
    <s v="1200003734"/>
    <s v="03-0B001-0004897"/>
    <x v="3"/>
    <d v="2026-09-05T00:00:00"/>
    <n v="-5"/>
    <d v="2026-09-12T00:00:00"/>
    <n v="664.58"/>
    <s v="PEN"/>
    <x v="0"/>
    <m/>
    <m/>
    <m/>
    <x v="20"/>
    <n v="197.26328287325614"/>
    <m/>
    <m/>
  </r>
  <r>
    <s v="1000013754"/>
    <x v="7"/>
    <s v="1200003735"/>
    <s v="03-0B001-0004898"/>
    <x v="3"/>
    <d v="2026-09-05T00:00:00"/>
    <n v="-5"/>
    <d v="2026-09-12T00:00:00"/>
    <n v="70.8"/>
    <s v="PEN"/>
    <x v="0"/>
    <m/>
    <m/>
    <m/>
    <x v="20"/>
    <n v="21.015138023152268"/>
    <m/>
    <m/>
  </r>
  <r>
    <s v="1000013754"/>
    <x v="7"/>
    <s v="1200003764"/>
    <s v="03-0B001-0004903"/>
    <x v="3"/>
    <d v="2026-09-06T00:00:00"/>
    <n v="-6"/>
    <d v="2026-09-13T00:00:00"/>
    <n v="665.52"/>
    <s v="PEN"/>
    <x v="0"/>
    <m/>
    <m/>
    <m/>
    <x v="21"/>
    <n v="197.54229741763132"/>
    <m/>
    <m/>
  </r>
  <r>
    <s v="1000013754"/>
    <x v="7"/>
    <s v="1200003765"/>
    <s v="03-0B001-0004904"/>
    <x v="3"/>
    <d v="2026-09-06T00:00:00"/>
    <n v="-6"/>
    <d v="2026-09-13T00:00:00"/>
    <n v="70.8"/>
    <s v="PEN"/>
    <x v="0"/>
    <m/>
    <m/>
    <m/>
    <x v="21"/>
    <n v="21.015138023152268"/>
    <m/>
    <m/>
  </r>
  <r>
    <s v="2000001368"/>
    <x v="8"/>
    <s v="1300004854"/>
    <s v="FT-0F002-0000311"/>
    <x v="2"/>
    <d v="2026-04-27T00:00:00"/>
    <n v="133"/>
    <d v="2026-04-27T00:00:00"/>
    <n v="15163"/>
    <s v="USD"/>
    <x v="1"/>
    <d v="2026-06-26T00:00:00"/>
    <n v="-38"/>
    <d v="2026-10-15T00:00:00"/>
    <x v="16"/>
    <n v="15163"/>
    <n v="133"/>
    <s v="91-a más"/>
  </r>
  <r>
    <s v="2000001439"/>
    <x v="9"/>
    <s v="1300008491"/>
    <s v="FP-276"/>
    <x v="4"/>
    <d v="2026-08-25T00:00:00"/>
    <n v="0"/>
    <d v="2026-08-31T00:00:00"/>
    <n v="-13902"/>
    <s v="USD"/>
    <x v="1"/>
    <d v="2026-10-24T00:00:00"/>
    <m/>
    <m/>
    <x v="24"/>
    <n v="-13902"/>
    <n v="13"/>
    <s v="0-45"/>
  </r>
  <r>
    <s v="2000001439"/>
    <x v="9"/>
    <s v="1200003605"/>
    <s v="01-0F002-0000422"/>
    <x v="1"/>
    <d v="2026-08-31T00:00:00"/>
    <n v="-38"/>
    <d v="2026-10-15T00:00:00"/>
    <n v="69660"/>
    <s v="USD"/>
    <x v="1"/>
    <d v="2026-10-30T00:00:00"/>
    <n v="-53"/>
    <d v="2026-10-30T00:00:00"/>
    <x v="23"/>
    <n v="69660"/>
    <n v="7"/>
    <s v="0-45"/>
  </r>
  <r>
    <s v="6002186"/>
    <x v="10"/>
    <s v="1200003488"/>
    <s v="01-0F101-0007701"/>
    <x v="0"/>
    <d v="2026-08-08T00:00:00"/>
    <n v="23"/>
    <d v="2026-08-15T00:00:00"/>
    <n v="12626"/>
    <s v="USD"/>
    <x v="2"/>
    <m/>
    <m/>
    <m/>
    <x v="25"/>
    <n v="12626"/>
    <m/>
    <m/>
  </r>
  <r>
    <s v="6002186"/>
    <x v="10"/>
    <s v="1200003523"/>
    <s v="01-0F101-0007720"/>
    <x v="0"/>
    <d v="2026-08-28T00:00:00"/>
    <n v="3"/>
    <d v="2026-09-04T00:00:00"/>
    <n v="4293.67"/>
    <s v="USD"/>
    <x v="2"/>
    <m/>
    <m/>
    <m/>
    <x v="26"/>
    <n v="4293.67"/>
    <m/>
    <m/>
  </r>
  <r>
    <s v="6002186"/>
    <x v="10"/>
    <s v="1200003618"/>
    <s v="01-0F101-0007779"/>
    <x v="0"/>
    <d v="2026-09-02T00:00:00"/>
    <n v="-2"/>
    <d v="2026-09-09T00:00:00"/>
    <n v="20060"/>
    <s v="USD"/>
    <x v="2"/>
    <m/>
    <m/>
    <m/>
    <x v="18"/>
    <n v="20060"/>
    <m/>
    <m/>
  </r>
  <r>
    <s v="1000006830"/>
    <x v="11"/>
    <s v="1200003426"/>
    <s v="01-0F101-0007676"/>
    <x v="0"/>
    <d v="2026-07-24T00:00:00"/>
    <n v="38"/>
    <d v="2026-07-31T00:00:00"/>
    <n v="617.85"/>
    <s v="PEN"/>
    <x v="0"/>
    <m/>
    <m/>
    <m/>
    <x v="27"/>
    <n v="183.39269813000891"/>
    <m/>
    <m/>
  </r>
  <r>
    <s v="1000006830"/>
    <x v="11"/>
    <s v="1200003427"/>
    <s v="01-0F101-0007677"/>
    <x v="0"/>
    <d v="2026-07-24T00:00:00"/>
    <n v="38"/>
    <d v="2026-07-31T00:00:00"/>
    <n v="177"/>
    <s v="PEN"/>
    <x v="0"/>
    <m/>
    <m/>
    <m/>
    <x v="27"/>
    <n v="52.537845057880673"/>
    <m/>
    <m/>
  </r>
  <r>
    <s v="1000006830"/>
    <x v="11"/>
    <s v="1200003436"/>
    <s v="01-0F101-0007682"/>
    <x v="0"/>
    <d v="2026-07-24T00:00:00"/>
    <n v="38"/>
    <d v="2026-07-31T00:00:00"/>
    <n v="673.02"/>
    <s v="PEN"/>
    <x v="0"/>
    <m/>
    <m/>
    <m/>
    <x v="27"/>
    <n v="199.76847729296526"/>
    <m/>
    <m/>
  </r>
  <r>
    <s v="1000006830"/>
    <x v="11"/>
    <s v="1200003437"/>
    <s v="01-0F101-0007683"/>
    <x v="0"/>
    <d v="2026-07-24T00:00:00"/>
    <n v="38"/>
    <d v="2026-07-31T00:00:00"/>
    <n v="177"/>
    <s v="PEN"/>
    <x v="0"/>
    <m/>
    <m/>
    <m/>
    <x v="27"/>
    <n v="52.537845057880673"/>
    <m/>
    <m/>
  </r>
  <r>
    <s v="1000006830"/>
    <x v="11"/>
    <s v="1200003448"/>
    <s v="01-0F101-0007690"/>
    <x v="0"/>
    <d v="2026-07-27T00:00:00"/>
    <n v="35"/>
    <d v="2026-08-03T00:00:00"/>
    <n v="47.2"/>
    <s v="PEN"/>
    <x v="0"/>
    <m/>
    <m/>
    <m/>
    <x v="28"/>
    <n v="14.010092015434847"/>
    <m/>
    <m/>
  </r>
  <r>
    <s v="1000006830"/>
    <x v="11"/>
    <s v="1200003449"/>
    <s v="01-0F101-0007691"/>
    <x v="0"/>
    <d v="2026-07-27T00:00:00"/>
    <n v="35"/>
    <d v="2026-08-03T00:00:00"/>
    <n v="266.44"/>
    <s v="PEN"/>
    <x v="0"/>
    <m/>
    <m/>
    <m/>
    <x v="28"/>
    <n v="79.085782131196197"/>
    <m/>
    <m/>
  </r>
  <r>
    <s v="1000006830"/>
    <x v="11"/>
    <s v="1200003526"/>
    <s v="01-0F101-0007722"/>
    <x v="0"/>
    <d v="2026-08-28T00:00:00"/>
    <n v="3"/>
    <d v="2026-09-04T00:00:00"/>
    <n v="269.27999999999997"/>
    <s v="PEN"/>
    <x v="0"/>
    <m/>
    <m/>
    <m/>
    <x v="26"/>
    <n v="79.928762243989297"/>
    <m/>
    <m/>
  </r>
  <r>
    <s v="1000006830"/>
    <x v="11"/>
    <s v="1200003527"/>
    <s v="01-0F101-0007723"/>
    <x v="0"/>
    <d v="2026-08-28T00:00:00"/>
    <n v="3"/>
    <d v="2026-09-04T00:00:00"/>
    <n v="47.2"/>
    <s v="PEN"/>
    <x v="0"/>
    <m/>
    <m/>
    <m/>
    <x v="26"/>
    <n v="14.010092015434847"/>
    <m/>
    <m/>
  </r>
  <r>
    <s v="1000006830"/>
    <x v="11"/>
    <s v="1200003536"/>
    <s v="01-0F101-0007730"/>
    <x v="0"/>
    <d v="2026-08-29T00:00:00"/>
    <n v="2"/>
    <d v="2026-09-05T00:00:00"/>
    <n v="543.27"/>
    <s v="PEN"/>
    <x v="0"/>
    <m/>
    <m/>
    <m/>
    <x v="29"/>
    <n v="161.25556544968831"/>
    <m/>
    <m/>
  </r>
  <r>
    <s v="1000006830"/>
    <x v="11"/>
    <s v="1200003537"/>
    <s v="01-0F101-0007731"/>
    <x v="0"/>
    <d v="2026-08-29T00:00:00"/>
    <n v="2"/>
    <d v="2026-09-05T00:00:00"/>
    <n v="70.8"/>
    <s v="PEN"/>
    <x v="0"/>
    <m/>
    <m/>
    <m/>
    <x v="29"/>
    <n v="21.015138023152268"/>
    <m/>
    <m/>
  </r>
  <r>
    <s v="1000006830"/>
    <x v="11"/>
    <s v="1200003546"/>
    <s v="01-0F101-0007734"/>
    <x v="0"/>
    <d v="2026-08-31T00:00:00"/>
    <n v="0"/>
    <d v="2026-09-07T00:00:00"/>
    <n v="839.92"/>
    <s v="PEN"/>
    <x v="0"/>
    <m/>
    <m/>
    <m/>
    <x v="0"/>
    <n v="249.30840011872957"/>
    <m/>
    <m/>
  </r>
  <r>
    <s v="1000006830"/>
    <x v="11"/>
    <s v="1200003547"/>
    <s v="01-0F101-0007735"/>
    <x v="0"/>
    <d v="2026-08-31T00:00:00"/>
    <n v="0"/>
    <d v="2026-09-07T00:00:00"/>
    <n v="70.8"/>
    <s v="PEN"/>
    <x v="0"/>
    <m/>
    <m/>
    <m/>
    <x v="0"/>
    <n v="21.015138023152268"/>
    <m/>
    <m/>
  </r>
  <r>
    <s v="1000006830"/>
    <x v="11"/>
    <s v="1200003551"/>
    <s v="01-0F101-0007739"/>
    <x v="0"/>
    <d v="2026-08-31T00:00:00"/>
    <n v="0"/>
    <d v="2026-09-07T00:00:00"/>
    <n v="1102.83"/>
    <s v="PEN"/>
    <x v="0"/>
    <m/>
    <m/>
    <m/>
    <x v="0"/>
    <n v="327.34639358860193"/>
    <m/>
    <m/>
  </r>
  <r>
    <s v="1000006830"/>
    <x v="11"/>
    <s v="1200003552"/>
    <s v="01-0F101-0007740"/>
    <x v="0"/>
    <d v="2026-08-31T00:00:00"/>
    <n v="0"/>
    <d v="2026-09-07T00:00:00"/>
    <n v="141.6"/>
    <s v="PEN"/>
    <x v="0"/>
    <m/>
    <m/>
    <m/>
    <x v="0"/>
    <n v="42.030276046304536"/>
    <m/>
    <m/>
  </r>
  <r>
    <s v="1000006830"/>
    <x v="11"/>
    <s v="1200003570"/>
    <s v="01-0F101-0007750"/>
    <x v="0"/>
    <d v="2026-09-01T00:00:00"/>
    <n v="-1"/>
    <d v="2026-09-08T00:00:00"/>
    <n v="748.83"/>
    <s v="PEN"/>
    <x v="0"/>
    <m/>
    <m/>
    <m/>
    <x v="1"/>
    <n v="222.27070347284061"/>
    <m/>
    <m/>
  </r>
  <r>
    <s v="1000006830"/>
    <x v="11"/>
    <s v="1200003571"/>
    <s v="01-0F101-0007751"/>
    <x v="0"/>
    <d v="2026-09-01T00:00:00"/>
    <n v="-1"/>
    <d v="2026-09-08T00:00:00"/>
    <n v="70.8"/>
    <s v="PEN"/>
    <x v="0"/>
    <m/>
    <m/>
    <m/>
    <x v="1"/>
    <n v="21.015138023152268"/>
    <m/>
    <m/>
  </r>
  <r>
    <s v="1000006830"/>
    <x v="11"/>
    <s v="1200003582"/>
    <s v="01-0F101-0007755"/>
    <x v="0"/>
    <d v="2026-09-01T00:00:00"/>
    <n v="-1"/>
    <d v="2026-09-08T00:00:00"/>
    <n v="505.98"/>
    <s v="PEN"/>
    <x v="0"/>
    <m/>
    <m/>
    <m/>
    <x v="1"/>
    <n v="150.18699910952805"/>
    <m/>
    <m/>
  </r>
  <r>
    <s v="1000006830"/>
    <x v="11"/>
    <s v="1200003583"/>
    <s v="01-0F101-0007756"/>
    <x v="0"/>
    <d v="2026-09-01T00:00:00"/>
    <n v="-1"/>
    <d v="2026-09-08T00:00:00"/>
    <n v="47.2"/>
    <s v="PEN"/>
    <x v="0"/>
    <m/>
    <m/>
    <m/>
    <x v="1"/>
    <n v="14.010092015434847"/>
    <m/>
    <m/>
  </r>
  <r>
    <s v="1000006830"/>
    <x v="11"/>
    <s v="1200003598"/>
    <s v="01-0F101-0007771"/>
    <x v="0"/>
    <d v="2026-09-02T00:00:00"/>
    <n v="-2"/>
    <d v="2026-09-09T00:00:00"/>
    <n v="556.39"/>
    <s v="PEN"/>
    <x v="0"/>
    <m/>
    <m/>
    <m/>
    <x v="18"/>
    <n v="165.14989611160581"/>
    <m/>
    <m/>
  </r>
  <r>
    <s v="1000006830"/>
    <x v="11"/>
    <s v="1200003599"/>
    <s v="01-0F101-0007772"/>
    <x v="0"/>
    <d v="2026-09-02T00:00:00"/>
    <n v="-2"/>
    <d v="2026-09-09T00:00:00"/>
    <n v="177"/>
    <s v="PEN"/>
    <x v="0"/>
    <m/>
    <m/>
    <m/>
    <x v="18"/>
    <n v="52.537845057880673"/>
    <m/>
    <m/>
  </r>
  <r>
    <s v="1000006830"/>
    <x v="11"/>
    <s v="1200003600"/>
    <s v="01-0F101-0007773"/>
    <x v="0"/>
    <d v="2026-09-02T00:00:00"/>
    <n v="-2"/>
    <d v="2026-09-09T00:00:00"/>
    <n v="760.16"/>
    <s v="PEN"/>
    <x v="0"/>
    <m/>
    <m/>
    <m/>
    <x v="18"/>
    <n v="225.63371920451169"/>
    <m/>
    <m/>
  </r>
  <r>
    <s v="1000006830"/>
    <x v="11"/>
    <s v="1200003601"/>
    <s v="01-0F101-0007774"/>
    <x v="0"/>
    <d v="2026-09-02T00:00:00"/>
    <n v="-2"/>
    <d v="2026-09-09T00:00:00"/>
    <n v="70.8"/>
    <s v="PEN"/>
    <x v="0"/>
    <m/>
    <m/>
    <m/>
    <x v="18"/>
    <n v="21.015138023152268"/>
    <m/>
    <m/>
  </r>
  <r>
    <s v="1000006830"/>
    <x v="11"/>
    <s v="1200003623"/>
    <s v="01-0F101-0007788"/>
    <x v="0"/>
    <d v="2026-09-02T00:00:00"/>
    <n v="-2"/>
    <d v="2026-09-09T00:00:00"/>
    <n v="376.42"/>
    <s v="PEN"/>
    <x v="0"/>
    <m/>
    <m/>
    <m/>
    <x v="18"/>
    <n v="111.7304838230929"/>
    <m/>
    <m/>
  </r>
  <r>
    <s v="1000006830"/>
    <x v="11"/>
    <s v="1200003624"/>
    <s v="01-0F101-0007789"/>
    <x v="0"/>
    <d v="2026-09-02T00:00:00"/>
    <n v="-2"/>
    <d v="2026-09-09T00:00:00"/>
    <n v="70.8"/>
    <s v="PEN"/>
    <x v="0"/>
    <m/>
    <m/>
    <m/>
    <x v="18"/>
    <n v="21.015138023152268"/>
    <m/>
    <m/>
  </r>
  <r>
    <s v="1000006830"/>
    <x v="11"/>
    <s v="1200003631"/>
    <s v="01-0F101-0007794"/>
    <x v="0"/>
    <d v="2026-09-03T00:00:00"/>
    <n v="-3"/>
    <d v="2026-09-10T00:00:00"/>
    <n v="501.22"/>
    <s v="PEN"/>
    <x v="0"/>
    <m/>
    <m/>
    <m/>
    <x v="19"/>
    <n v="148.77411694864944"/>
    <m/>
    <m/>
  </r>
  <r>
    <s v="1000006830"/>
    <x v="11"/>
    <s v="1200003632"/>
    <s v="01-0F101-0007795"/>
    <x v="0"/>
    <d v="2026-09-03T00:00:00"/>
    <n v="-3"/>
    <d v="2026-09-10T00:00:00"/>
    <n v="153.4"/>
    <s v="PEN"/>
    <x v="0"/>
    <m/>
    <m/>
    <m/>
    <x v="19"/>
    <n v="45.532799050163248"/>
    <m/>
    <m/>
  </r>
  <r>
    <s v="1000006830"/>
    <x v="11"/>
    <s v="1200003636"/>
    <s v="01-0F101-0007797"/>
    <x v="0"/>
    <d v="2026-09-03T00:00:00"/>
    <n v="-3"/>
    <d v="2026-09-10T00:00:00"/>
    <n v="563.99"/>
    <s v="PEN"/>
    <x v="0"/>
    <m/>
    <m/>
    <m/>
    <x v="19"/>
    <n v="167.40575838527752"/>
    <m/>
    <m/>
  </r>
  <r>
    <s v="1000006830"/>
    <x v="11"/>
    <s v="1200003637"/>
    <s v="01-0F101-0007798"/>
    <x v="0"/>
    <d v="2026-09-03T00:00:00"/>
    <n v="-3"/>
    <d v="2026-09-10T00:00:00"/>
    <n v="135.69999999999999"/>
    <s v="PEN"/>
    <x v="0"/>
    <m/>
    <m/>
    <m/>
    <x v="19"/>
    <n v="40.27901454437518"/>
    <m/>
    <m/>
  </r>
  <r>
    <s v="1000006830"/>
    <x v="11"/>
    <s v="1200003651"/>
    <s v="01-0F101-0007807"/>
    <x v="0"/>
    <d v="2026-09-03T00:00:00"/>
    <n v="-3"/>
    <d v="2026-09-10T00:00:00"/>
    <n v="638.85"/>
    <s v="PEN"/>
    <x v="0"/>
    <m/>
    <m/>
    <m/>
    <x v="19"/>
    <n v="189.62600178094388"/>
    <m/>
    <m/>
  </r>
  <r>
    <s v="1000006830"/>
    <x v="11"/>
    <s v="1200003652"/>
    <s v="01-0F101-0007808"/>
    <x v="0"/>
    <d v="2026-09-03T00:00:00"/>
    <n v="-3"/>
    <d v="2026-09-10T00:00:00"/>
    <n v="70.8"/>
    <s v="PEN"/>
    <x v="0"/>
    <m/>
    <m/>
    <m/>
    <x v="19"/>
    <n v="21.015138023152268"/>
    <m/>
    <m/>
  </r>
  <r>
    <s v="1000006830"/>
    <x v="11"/>
    <s v="1200003661"/>
    <s v="01-0F101-0007817"/>
    <x v="0"/>
    <d v="2026-09-03T00:00:00"/>
    <n v="-3"/>
    <d v="2026-09-10T00:00:00"/>
    <n v="535.58000000000004"/>
    <s v="PEN"/>
    <x v="0"/>
    <m/>
    <m/>
    <m/>
    <x v="19"/>
    <n v="158.97298901751262"/>
    <m/>
    <m/>
  </r>
  <r>
    <s v="1000006830"/>
    <x v="11"/>
    <s v="1200003662"/>
    <s v="01-0F101-0007818"/>
    <x v="0"/>
    <d v="2026-09-03T00:00:00"/>
    <n v="-3"/>
    <d v="2026-09-10T00:00:00"/>
    <n v="153.4"/>
    <s v="PEN"/>
    <x v="0"/>
    <m/>
    <m/>
    <m/>
    <x v="19"/>
    <n v="45.532799050163248"/>
    <m/>
    <m/>
  </r>
  <r>
    <s v="1000006830"/>
    <x v="11"/>
    <s v="1200003680"/>
    <s v="01-0F101-0007831"/>
    <x v="0"/>
    <d v="2026-09-04T00:00:00"/>
    <n v="3"/>
    <d v="2026-09-04T00:00:00"/>
    <n v="679.96"/>
    <s v="PEN"/>
    <x v="0"/>
    <m/>
    <m/>
    <m/>
    <x v="26"/>
    <n v="201.82843573760761"/>
    <m/>
    <m/>
  </r>
  <r>
    <s v="1000006830"/>
    <x v="11"/>
    <s v="1200003681"/>
    <s v="01-0F101-0007832"/>
    <x v="0"/>
    <d v="2026-09-04T00:00:00"/>
    <n v="3"/>
    <d v="2026-09-04T00:00:00"/>
    <n v="194.7"/>
    <s v="PEN"/>
    <x v="0"/>
    <m/>
    <m/>
    <m/>
    <x v="26"/>
    <n v="57.791629563668735"/>
    <m/>
    <m/>
  </r>
  <r>
    <s v="1000006830"/>
    <x v="11"/>
    <s v="1200003692"/>
    <s v="01-0F101-0007843"/>
    <x v="0"/>
    <d v="2026-09-04T00:00:00"/>
    <n v="-4"/>
    <d v="2026-09-11T00:00:00"/>
    <n v="781.4"/>
    <s v="PEN"/>
    <x v="0"/>
    <m/>
    <m/>
    <m/>
    <x v="30"/>
    <n v="231.93826061145739"/>
    <m/>
    <m/>
  </r>
  <r>
    <s v="1000006830"/>
    <x v="11"/>
    <s v="1200003693"/>
    <s v="01-0F101-0007844"/>
    <x v="0"/>
    <d v="2026-09-04T00:00:00"/>
    <n v="-4"/>
    <d v="2026-09-11T00:00:00"/>
    <n v="247.8"/>
    <s v="PEN"/>
    <x v="0"/>
    <m/>
    <m/>
    <m/>
    <x v="30"/>
    <n v="73.552983081032949"/>
    <m/>
    <m/>
  </r>
  <r>
    <s v="1000006830"/>
    <x v="11"/>
    <s v="1200003706"/>
    <s v="01-0F101-0007853"/>
    <x v="0"/>
    <d v="2026-09-05T00:00:00"/>
    <n v="-5"/>
    <d v="2026-09-12T00:00:00"/>
    <n v="488.33"/>
    <s v="PEN"/>
    <x v="0"/>
    <m/>
    <m/>
    <m/>
    <x v="20"/>
    <n v="144.94805580290887"/>
    <m/>
    <m/>
  </r>
  <r>
    <s v="1000006830"/>
    <x v="11"/>
    <s v="1200003707"/>
    <s v="01-0F101-0007854"/>
    <x v="0"/>
    <d v="2026-09-05T00:00:00"/>
    <n v="-5"/>
    <d v="2026-09-12T00:00:00"/>
    <n v="153.4"/>
    <s v="PEN"/>
    <x v="0"/>
    <m/>
    <m/>
    <m/>
    <x v="20"/>
    <n v="45.532799050163248"/>
    <m/>
    <m/>
  </r>
  <r>
    <s v="1000006830"/>
    <x v="11"/>
    <s v="1200003716"/>
    <s v="01-0F101-0007863"/>
    <x v="0"/>
    <d v="2026-09-05T00:00:00"/>
    <n v="-5"/>
    <d v="2026-09-12T00:00:00"/>
    <n v="766.29"/>
    <s v="PEN"/>
    <x v="0"/>
    <m/>
    <m/>
    <m/>
    <x v="20"/>
    <n v="227.45325022261795"/>
    <m/>
    <m/>
  </r>
  <r>
    <s v="1000006830"/>
    <x v="11"/>
    <s v="1200003717"/>
    <s v="01-0F101-0007864"/>
    <x v="0"/>
    <d v="2026-09-05T00:00:00"/>
    <n v="-5"/>
    <d v="2026-09-12T00:00:00"/>
    <n v="70.8"/>
    <s v="PEN"/>
    <x v="0"/>
    <m/>
    <m/>
    <m/>
    <x v="20"/>
    <n v="21.015138023152268"/>
    <m/>
    <m/>
  </r>
  <r>
    <s v="1000006830"/>
    <x v="11"/>
    <s v="1200003762"/>
    <s v="01-0F101-0007899"/>
    <x v="0"/>
    <d v="2026-09-06T00:00:00"/>
    <n v="-6"/>
    <d v="2026-09-13T00:00:00"/>
    <n v="569"/>
    <s v="PEN"/>
    <x v="0"/>
    <m/>
    <m/>
    <m/>
    <x v="21"/>
    <n v="168.89284654200057"/>
    <m/>
    <m/>
  </r>
  <r>
    <s v="1000006830"/>
    <x v="11"/>
    <s v="1200003763"/>
    <s v="01-0F101-0007900"/>
    <x v="0"/>
    <d v="2026-09-06T00:00:00"/>
    <n v="-6"/>
    <d v="2026-09-13T00:00:00"/>
    <n v="70.8"/>
    <s v="PEN"/>
    <x v="0"/>
    <m/>
    <m/>
    <m/>
    <x v="21"/>
    <n v="21.015138023152268"/>
    <m/>
    <m/>
  </r>
  <r>
    <s v="2000001459"/>
    <x v="12"/>
    <s v="1300007198"/>
    <s v="FT-0F002-0000393"/>
    <x v="2"/>
    <d v="2026-07-27T00:00:00"/>
    <n v="42"/>
    <d v="2026-07-27T00:00:00"/>
    <n v="55195"/>
    <s v="USD"/>
    <x v="1"/>
    <d v="2026-09-25T00:00:00"/>
    <n v="-18"/>
    <d v="2026-09-25T00:00:00"/>
    <x v="13"/>
    <n v="55195"/>
    <n v="42"/>
    <s v="0-45"/>
  </r>
  <r>
    <s v="2000001459"/>
    <x v="12"/>
    <s v="1200003474"/>
    <s v="01-0F002-0000407"/>
    <x v="1"/>
    <d v="2026-07-31T00:00:00"/>
    <n v="-22"/>
    <d v="2026-09-29T00:00:00"/>
    <n v="29925"/>
    <s v="USD"/>
    <x v="1"/>
    <d v="2026-09-29T00:00:00"/>
    <n v="-22"/>
    <d v="2026-09-29T00:00:00"/>
    <x v="31"/>
    <n v="29925"/>
    <n v="38"/>
    <s v="0-45"/>
  </r>
  <r>
    <s v="2000001172"/>
    <x v="13"/>
    <s v="1100015731"/>
    <s v="FT-0F002-0000389"/>
    <x v="5"/>
    <d v="2026-07-17T00:00:00"/>
    <n v="52"/>
    <d v="2026-07-17T00:00:00"/>
    <n v="921.06"/>
    <s v="USD"/>
    <x v="1"/>
    <d v="2026-09-15T00:00:00"/>
    <n v="-38"/>
    <d v="2026-10-15T00:00:00"/>
    <x v="16"/>
    <n v="921.06"/>
    <n v="52"/>
    <s v="46-60"/>
  </r>
  <r>
    <s v="6002007"/>
    <x v="14"/>
    <s v="1200005141"/>
    <s v="01-0F101-0004638"/>
    <x v="0"/>
    <d v="2025-11-03T00:00:00"/>
    <n v="301"/>
    <d v="2025-11-10T00:00:00"/>
    <n v="1403.26"/>
    <s v="PEN"/>
    <x v="3"/>
    <m/>
    <m/>
    <m/>
    <x v="32"/>
    <n v="416.52122291481146"/>
    <m/>
    <m/>
  </r>
  <r>
    <s v="6002007"/>
    <x v="14"/>
    <s v="1200005142"/>
    <s v="01-0F101-0004639"/>
    <x v="0"/>
    <d v="2025-11-03T00:00:00"/>
    <n v="301"/>
    <d v="2025-11-10T00:00:00"/>
    <n v="141.6"/>
    <s v="PEN"/>
    <x v="3"/>
    <m/>
    <m/>
    <m/>
    <x v="32"/>
    <n v="42.030276046304536"/>
    <m/>
    <m/>
  </r>
  <r>
    <s v="6002007"/>
    <x v="14"/>
    <s v="1200005158"/>
    <s v="01-0F101-0004653"/>
    <x v="0"/>
    <d v="2025-11-06T00:00:00"/>
    <n v="298"/>
    <d v="2025-11-13T00:00:00"/>
    <n v="1193.22"/>
    <s v="PEN"/>
    <x v="3"/>
    <m/>
    <m/>
    <m/>
    <x v="33"/>
    <n v="354.17631344612641"/>
    <m/>
    <m/>
  </r>
  <r>
    <s v="6002007"/>
    <x v="14"/>
    <s v="1200005159"/>
    <s v="01-0F101-0004654"/>
    <x v="0"/>
    <d v="2025-11-06T00:00:00"/>
    <n v="298"/>
    <d v="2025-11-13T00:00:00"/>
    <n v="106.2"/>
    <s v="PEN"/>
    <x v="3"/>
    <m/>
    <m/>
    <m/>
    <x v="33"/>
    <n v="31.522707034728406"/>
    <m/>
    <m/>
  </r>
  <r>
    <s v="6002007"/>
    <x v="14"/>
    <s v="1200001503"/>
    <s v="01-0F101-0006226"/>
    <x v="0"/>
    <d v="2026-05-06T00:00:00"/>
    <n v="117"/>
    <d v="2026-05-13T00:00:00"/>
    <n v="23.6"/>
    <s v="PEN"/>
    <x v="3"/>
    <m/>
    <m/>
    <m/>
    <x v="34"/>
    <n v="7.0050460077174233"/>
    <m/>
    <m/>
  </r>
  <r>
    <s v="6002007"/>
    <x v="14"/>
    <s v="1200001504"/>
    <s v="01-0F101-0006227"/>
    <x v="0"/>
    <d v="2026-05-06T00:00:00"/>
    <n v="117"/>
    <d v="2026-05-13T00:00:00"/>
    <n v="261.49"/>
    <s v="PEN"/>
    <x v="3"/>
    <m/>
    <m/>
    <m/>
    <x v="34"/>
    <n v="77.616503413475812"/>
    <m/>
    <m/>
  </r>
  <r>
    <s v="6002007"/>
    <x v="14"/>
    <s v="1200001509"/>
    <s v="01-0F101-0006232"/>
    <x v="0"/>
    <d v="2026-05-06T00:00:00"/>
    <n v="117"/>
    <d v="2026-05-13T00:00:00"/>
    <n v="387.51"/>
    <s v="PEN"/>
    <x v="3"/>
    <m/>
    <m/>
    <m/>
    <x v="34"/>
    <n v="115.02226179875333"/>
    <m/>
    <m/>
  </r>
  <r>
    <s v="6002007"/>
    <x v="14"/>
    <s v="1200001510"/>
    <s v="01-0F101-0006233"/>
    <x v="0"/>
    <d v="2026-05-06T00:00:00"/>
    <n v="117"/>
    <d v="2026-05-13T00:00:00"/>
    <n v="35.4"/>
    <s v="PEN"/>
    <x v="3"/>
    <m/>
    <m/>
    <m/>
    <x v="34"/>
    <n v="10.507569011576134"/>
    <m/>
    <m/>
  </r>
  <r>
    <s v="6002007"/>
    <x v="14"/>
    <s v="1200001609"/>
    <s v="01-0F101-0006311"/>
    <x v="0"/>
    <d v="2026-05-12T00:00:00"/>
    <n v="111"/>
    <d v="2026-05-19T00:00:00"/>
    <n v="482.86"/>
    <s v="PEN"/>
    <x v="3"/>
    <m/>
    <m/>
    <m/>
    <x v="35"/>
    <n v="143.324428613832"/>
    <m/>
    <m/>
  </r>
  <r>
    <s v="6002007"/>
    <x v="14"/>
    <s v="1200001610"/>
    <s v="01-0F101-0006312"/>
    <x v="0"/>
    <d v="2026-05-12T00:00:00"/>
    <n v="111"/>
    <d v="2026-05-19T00:00:00"/>
    <n v="47.2"/>
    <s v="PEN"/>
    <x v="3"/>
    <m/>
    <m/>
    <m/>
    <x v="35"/>
    <n v="14.010092015434847"/>
    <m/>
    <m/>
  </r>
  <r>
    <s v="6002007"/>
    <x v="14"/>
    <s v="1200001789"/>
    <s v="01-0F101-0006447"/>
    <x v="0"/>
    <d v="2026-05-16T00:00:00"/>
    <n v="107"/>
    <d v="2026-05-23T00:00:00"/>
    <n v="544.45000000000005"/>
    <s v="PEN"/>
    <x v="3"/>
    <m/>
    <m/>
    <m/>
    <x v="36"/>
    <n v="161.60581775007421"/>
    <m/>
    <m/>
  </r>
  <r>
    <s v="6002007"/>
    <x v="14"/>
    <s v="1200001790"/>
    <s v="01-0F101-0006448"/>
    <x v="0"/>
    <d v="2026-05-16T00:00:00"/>
    <n v="107"/>
    <d v="2026-05-23T00:00:00"/>
    <n v="47.2"/>
    <s v="PEN"/>
    <x v="3"/>
    <m/>
    <m/>
    <m/>
    <x v="36"/>
    <n v="14.010092015434847"/>
    <m/>
    <m/>
  </r>
  <r>
    <s v="6002007"/>
    <x v="14"/>
    <s v="1200002045"/>
    <s v="01-0F101-0006626"/>
    <x v="0"/>
    <d v="2026-05-27T00:00:00"/>
    <n v="96"/>
    <d v="2026-06-03T00:00:00"/>
    <n v="591.65"/>
    <s v="PEN"/>
    <x v="3"/>
    <m/>
    <m/>
    <m/>
    <x v="37"/>
    <n v="175.61590976550903"/>
    <m/>
    <m/>
  </r>
  <r>
    <s v="6002007"/>
    <x v="14"/>
    <s v="1200002046"/>
    <s v="01-0F101-0006627"/>
    <x v="0"/>
    <d v="2026-05-27T00:00:00"/>
    <n v="96"/>
    <d v="2026-06-03T00:00:00"/>
    <n v="70.8"/>
    <s v="PEN"/>
    <x v="3"/>
    <m/>
    <m/>
    <m/>
    <x v="37"/>
    <n v="21.015138023152268"/>
    <m/>
    <m/>
  </r>
  <r>
    <s v="6002007"/>
    <x v="14"/>
    <s v="1200002186"/>
    <s v="01-0F101-0006716"/>
    <x v="0"/>
    <d v="2026-06-02T00:00:00"/>
    <n v="90"/>
    <d v="2026-06-09T00:00:00"/>
    <n v="185.97"/>
    <s v="PEN"/>
    <x v="3"/>
    <m/>
    <m/>
    <m/>
    <x v="38"/>
    <n v="55.200356188780049"/>
    <m/>
    <m/>
  </r>
  <r>
    <s v="6002007"/>
    <x v="14"/>
    <s v="1200002187"/>
    <s v="01-0F101-0006717"/>
    <x v="0"/>
    <d v="2026-06-02T00:00:00"/>
    <n v="90"/>
    <d v="2026-06-09T00:00:00"/>
    <n v="23.6"/>
    <s v="PEN"/>
    <x v="3"/>
    <m/>
    <m/>
    <m/>
    <x v="38"/>
    <n v="7.0050460077174233"/>
    <m/>
    <m/>
  </r>
  <r>
    <s v="6002007"/>
    <x v="14"/>
    <s v="1200002487"/>
    <s v="01-0F101-0006948"/>
    <x v="0"/>
    <d v="2026-06-13T00:00:00"/>
    <n v="79"/>
    <d v="2026-06-20T00:00:00"/>
    <n v="535.25"/>
    <s v="PEN"/>
    <x v="3"/>
    <m/>
    <m/>
    <m/>
    <x v="39"/>
    <n v="158.87503710299791"/>
    <m/>
    <m/>
  </r>
  <r>
    <s v="6002007"/>
    <x v="14"/>
    <s v="1200002488"/>
    <s v="01-0F101-0006949"/>
    <x v="0"/>
    <d v="2026-06-13T00:00:00"/>
    <n v="79"/>
    <d v="2026-06-20T00:00:00"/>
    <n v="70.8"/>
    <s v="PEN"/>
    <x v="3"/>
    <m/>
    <m/>
    <m/>
    <x v="39"/>
    <n v="21.015138023152268"/>
    <m/>
    <m/>
  </r>
  <r>
    <s v="6002007"/>
    <x v="14"/>
    <s v="1200002956"/>
    <s v="01-0F101-0007286"/>
    <x v="0"/>
    <d v="2026-07-03T00:00:00"/>
    <n v="59"/>
    <d v="2026-07-10T00:00:00"/>
    <n v="449.11"/>
    <s v="PEN"/>
    <x v="3"/>
    <m/>
    <m/>
    <m/>
    <x v="40"/>
    <n v="133.30661917482931"/>
    <m/>
    <m/>
  </r>
  <r>
    <s v="6002007"/>
    <x v="14"/>
    <s v="1200002957"/>
    <s v="01-0F101-0007287"/>
    <x v="0"/>
    <d v="2026-07-03T00:00:00"/>
    <n v="59"/>
    <d v="2026-07-10T00:00:00"/>
    <n v="35.4"/>
    <s v="PEN"/>
    <x v="3"/>
    <m/>
    <m/>
    <m/>
    <x v="40"/>
    <n v="10.507569011576134"/>
    <m/>
    <m/>
  </r>
  <r>
    <s v="6002007"/>
    <x v="14"/>
    <s v="1200003319"/>
    <s v="01-0F101-0007590"/>
    <x v="0"/>
    <d v="2026-07-17T00:00:00"/>
    <n v="45"/>
    <d v="2026-07-24T00:00:00"/>
    <n v="355.65"/>
    <s v="PEN"/>
    <x v="3"/>
    <m/>
    <m/>
    <m/>
    <x v="41"/>
    <n v="105.56544968833481"/>
    <m/>
    <m/>
  </r>
  <r>
    <s v="6002007"/>
    <x v="14"/>
    <s v="1200003320"/>
    <s v="01-0F101-0007591"/>
    <x v="0"/>
    <d v="2026-07-17T00:00:00"/>
    <n v="45"/>
    <d v="2026-07-24T00:00:00"/>
    <n v="47.2"/>
    <s v="PEN"/>
    <x v="3"/>
    <m/>
    <m/>
    <m/>
    <x v="41"/>
    <n v="14.010092015434847"/>
    <m/>
    <m/>
  </r>
  <r>
    <s v="6001105"/>
    <x v="15"/>
    <s v="1200001301"/>
    <s v="01-0F101-0006074"/>
    <x v="0"/>
    <d v="2026-04-28T00:00:00"/>
    <n v="132"/>
    <d v="2026-04-28T00:00:00"/>
    <n v="716.71"/>
    <s v="PEN"/>
    <x v="0"/>
    <m/>
    <m/>
    <m/>
    <x v="42"/>
    <n v="212.73671712674383"/>
    <m/>
    <m/>
  </r>
  <r>
    <s v="6001105"/>
    <x v="15"/>
    <s v="1200001302"/>
    <s v="01-0F101-0006075"/>
    <x v="0"/>
    <d v="2026-04-28T00:00:00"/>
    <n v="132"/>
    <d v="2026-04-28T00:00:00"/>
    <n v="129.80000000000001"/>
    <s v="PEN"/>
    <x v="0"/>
    <m/>
    <m/>
    <m/>
    <x v="42"/>
    <n v="38.527753042445831"/>
    <m/>
    <m/>
  </r>
  <r>
    <s v="6001105"/>
    <x v="15"/>
    <s v="1300004037"/>
    <s v="FT-0F101-0006072"/>
    <x v="2"/>
    <d v="2026-04-28T00:00:00"/>
    <n v="132"/>
    <d v="2026-04-28T00:00:00"/>
    <n v="422.56"/>
    <s v="PEN"/>
    <x v="0"/>
    <m/>
    <m/>
    <m/>
    <x v="42"/>
    <n v="125.42594241614722"/>
    <m/>
    <m/>
  </r>
  <r>
    <s v="6001105"/>
    <x v="15"/>
    <s v="1200001648"/>
    <s v="01-0F101-0006336"/>
    <x v="0"/>
    <d v="2026-05-12T00:00:00"/>
    <n v="118"/>
    <d v="2026-05-12T00:00:00"/>
    <n v="404.98"/>
    <s v="PEN"/>
    <x v="0"/>
    <m/>
    <m/>
    <m/>
    <x v="43"/>
    <n v="120.2077767883645"/>
    <m/>
    <m/>
  </r>
  <r>
    <s v="6001105"/>
    <x v="15"/>
    <s v="1200001649"/>
    <s v="01-0F101-0006337"/>
    <x v="0"/>
    <d v="2026-05-12T00:00:00"/>
    <n v="118"/>
    <d v="2026-05-12T00:00:00"/>
    <n v="59"/>
    <s v="PEN"/>
    <x v="0"/>
    <m/>
    <m/>
    <m/>
    <x v="43"/>
    <n v="17.512615019293559"/>
    <m/>
    <m/>
  </r>
  <r>
    <s v="6001105"/>
    <x v="15"/>
    <s v="1300007099"/>
    <s v="FT-0F101-0007507"/>
    <x v="2"/>
    <d v="2026-07-15T00:00:00"/>
    <n v="54"/>
    <d v="2026-07-15T00:00:00"/>
    <n v="23.6"/>
    <s v="PEN"/>
    <x v="0"/>
    <m/>
    <m/>
    <m/>
    <x v="44"/>
    <n v="7.0050460077174233"/>
    <m/>
    <m/>
  </r>
  <r>
    <s v="2000001359"/>
    <x v="16"/>
    <s v="1300005285"/>
    <s v="FT-0F002-0000309"/>
    <x v="2"/>
    <d v="2026-04-27T00:00:00"/>
    <n v="133"/>
    <d v="2026-04-27T00:00:00"/>
    <n v="10284"/>
    <s v="USD"/>
    <x v="1"/>
    <d v="2026-06-26T00:00:00"/>
    <n v="-38"/>
    <d v="2026-10-15T00:00:00"/>
    <x v="16"/>
    <n v="10284"/>
    <n v="133"/>
    <s v="91-a más"/>
  </r>
  <r>
    <s v="2000001468"/>
    <x v="17"/>
    <s v="1300007199"/>
    <s v="FT-0F002-0000387"/>
    <x v="2"/>
    <d v="2026-07-13T00:00:00"/>
    <n v="56"/>
    <d v="2026-07-13T00:00:00"/>
    <n v="54612"/>
    <s v="USD"/>
    <x v="1"/>
    <d v="2026-09-11T00:00:00"/>
    <n v="-4"/>
    <d v="2026-09-11T00:00:00"/>
    <x v="30"/>
    <n v="54612"/>
    <n v="56"/>
    <s v="46-60"/>
  </r>
  <r>
    <s v="1000013925"/>
    <x v="18"/>
    <s v="1300006898"/>
    <s v="FT-0F003-0000101"/>
    <x v="2"/>
    <d v="2025-10-21T00:00:00"/>
    <n v="321"/>
    <d v="2025-10-21T00:00:00"/>
    <n v="4460"/>
    <s v="PEN"/>
    <x v="4"/>
    <m/>
    <m/>
    <m/>
    <x v="45"/>
    <n v="1323.8349658652419"/>
    <m/>
    <m/>
  </r>
  <r>
    <s v="1000013925"/>
    <x v="18"/>
    <s v="1200005124"/>
    <s v="01-0F003-0000129"/>
    <x v="0"/>
    <d v="2025-11-04T00:00:00"/>
    <n v="300"/>
    <d v="2025-11-11T00:00:00"/>
    <n v="7097.98"/>
    <s v="PEN"/>
    <x v="4"/>
    <m/>
    <m/>
    <m/>
    <x v="46"/>
    <n v="2106.8506975363607"/>
    <m/>
    <m/>
  </r>
  <r>
    <s v="1000013925"/>
    <x v="18"/>
    <s v="1200000182"/>
    <s v="01-0F003-0000168"/>
    <x v="0"/>
    <d v="2026-01-31T00:00:00"/>
    <n v="212"/>
    <d v="2026-02-07T00:00:00"/>
    <n v="4003.46"/>
    <s v="PEN"/>
    <x v="4"/>
    <m/>
    <m/>
    <m/>
    <x v="47"/>
    <n v="1188.322944493915"/>
    <m/>
    <m/>
  </r>
  <r>
    <s v="1000013925"/>
    <x v="18"/>
    <s v="1200000382"/>
    <s v="01-0F003-0000174"/>
    <x v="0"/>
    <d v="2026-03-03T00:00:00"/>
    <n v="181"/>
    <d v="2026-03-10T00:00:00"/>
    <n v="4956"/>
    <s v="PEN"/>
    <x v="4"/>
    <m/>
    <m/>
    <m/>
    <x v="48"/>
    <n v="1471.0596616206587"/>
    <m/>
    <m/>
  </r>
  <r>
    <s v="1000015185"/>
    <x v="19"/>
    <s v="1200003659"/>
    <s v="01-0F101-0007815"/>
    <x v="0"/>
    <d v="2026-09-03T00:00:00"/>
    <n v="-3"/>
    <d v="2026-09-10T00:00:00"/>
    <n v="488.99"/>
    <s v="PEN"/>
    <x v="0"/>
    <m/>
    <m/>
    <m/>
    <x v="19"/>
    <n v="145.14395963193826"/>
    <m/>
    <m/>
  </r>
  <r>
    <s v="1000015185"/>
    <x v="19"/>
    <s v="1200003660"/>
    <s v="01-0F101-0007816"/>
    <x v="0"/>
    <d v="2026-09-03T00:00:00"/>
    <n v="-3"/>
    <d v="2026-09-10T00:00:00"/>
    <n v="171.1"/>
    <s v="PEN"/>
    <x v="0"/>
    <m/>
    <m/>
    <m/>
    <x v="19"/>
    <n v="50.786583555951317"/>
    <m/>
    <m/>
  </r>
  <r>
    <s v="1000015185"/>
    <x v="19"/>
    <s v="1200003669"/>
    <s v="01-0F101-0007823"/>
    <x v="0"/>
    <d v="2026-09-04T00:00:00"/>
    <n v="-4"/>
    <d v="2026-09-11T00:00:00"/>
    <n v="864.99"/>
    <s v="PEN"/>
    <x v="0"/>
    <m/>
    <m/>
    <m/>
    <x v="30"/>
    <n v="256.74977738201244"/>
    <m/>
    <m/>
  </r>
  <r>
    <s v="1000015185"/>
    <x v="19"/>
    <s v="1200003670"/>
    <s v="01-0F101-0007824"/>
    <x v="0"/>
    <d v="2026-09-04T00:00:00"/>
    <n v="-4"/>
    <d v="2026-09-11T00:00:00"/>
    <n v="283.2"/>
    <s v="PEN"/>
    <x v="0"/>
    <m/>
    <m/>
    <m/>
    <x v="30"/>
    <n v="84.060552092609072"/>
    <m/>
    <m/>
  </r>
  <r>
    <s v="1000015185"/>
    <x v="19"/>
    <s v="1200003688"/>
    <s v="01-0F101-0007839"/>
    <x v="0"/>
    <d v="2026-09-04T00:00:00"/>
    <n v="-4"/>
    <d v="2026-09-11T00:00:00"/>
    <n v="422.25"/>
    <s v="PEN"/>
    <x v="0"/>
    <m/>
    <m/>
    <m/>
    <x v="30"/>
    <n v="125.33392698130008"/>
    <m/>
    <m/>
  </r>
  <r>
    <s v="1000015185"/>
    <x v="19"/>
    <s v="1200003689"/>
    <s v="01-0F101-0007840"/>
    <x v="0"/>
    <d v="2026-09-04T00:00:00"/>
    <n v="-4"/>
    <d v="2026-09-11T00:00:00"/>
    <n v="177"/>
    <s v="PEN"/>
    <x v="0"/>
    <m/>
    <m/>
    <m/>
    <x v="30"/>
    <n v="52.537845057880673"/>
    <m/>
    <m/>
  </r>
  <r>
    <s v="1000015185"/>
    <x v="19"/>
    <s v="1200003710"/>
    <s v="01-0F101-0007857"/>
    <x v="0"/>
    <d v="2026-09-05T00:00:00"/>
    <n v="-5"/>
    <d v="2026-09-12T00:00:00"/>
    <n v="1148.47"/>
    <s v="PEN"/>
    <x v="0"/>
    <m/>
    <m/>
    <m/>
    <x v="20"/>
    <n v="340.89344018996735"/>
    <m/>
    <m/>
  </r>
  <r>
    <s v="1000015185"/>
    <x v="19"/>
    <s v="1200003711"/>
    <s v="01-0F101-0007858"/>
    <x v="0"/>
    <d v="2026-09-05T00:00:00"/>
    <n v="-5"/>
    <d v="2026-09-12T00:00:00"/>
    <n v="348.1"/>
    <s v="PEN"/>
    <x v="0"/>
    <m/>
    <m/>
    <m/>
    <x v="20"/>
    <n v="103.324428613832"/>
    <m/>
    <m/>
  </r>
  <r>
    <s v="1000015185"/>
    <x v="19"/>
    <s v="1200003736"/>
    <s v="01-0F101-0007877"/>
    <x v="0"/>
    <d v="2026-09-05T00:00:00"/>
    <n v="-5"/>
    <d v="2026-09-12T00:00:00"/>
    <n v="212.4"/>
    <s v="PEN"/>
    <x v="0"/>
    <m/>
    <m/>
    <m/>
    <x v="20"/>
    <n v="63.045414069456811"/>
    <m/>
    <m/>
  </r>
  <r>
    <s v="1000015185"/>
    <x v="19"/>
    <s v="1200003738"/>
    <s v="01-0F101-0007879"/>
    <x v="0"/>
    <d v="2026-09-05T00:00:00"/>
    <n v="-5"/>
    <d v="2026-09-12T00:00:00"/>
    <n v="749.02"/>
    <s v="PEN"/>
    <x v="0"/>
    <m/>
    <m/>
    <m/>
    <x v="20"/>
    <n v="222.32710002968238"/>
    <m/>
    <m/>
  </r>
  <r>
    <s v="1000015185"/>
    <x v="19"/>
    <s v="1200003744"/>
    <s v="01-0F101-0007883"/>
    <x v="0"/>
    <d v="2026-09-06T00:00:00"/>
    <n v="-6"/>
    <d v="2026-09-13T00:00:00"/>
    <n v="690.87"/>
    <s v="PEN"/>
    <x v="0"/>
    <m/>
    <m/>
    <m/>
    <x v="21"/>
    <n v="205.06678539626"/>
    <m/>
    <m/>
  </r>
  <r>
    <s v="1000015185"/>
    <x v="19"/>
    <s v="1200003745"/>
    <s v="01-0F101-0007884"/>
    <x v="0"/>
    <d v="2026-09-06T00:00:00"/>
    <n v="-6"/>
    <d v="2026-09-13T00:00:00"/>
    <n v="283.2"/>
    <s v="PEN"/>
    <x v="0"/>
    <m/>
    <m/>
    <m/>
    <x v="21"/>
    <n v="84.060552092609072"/>
    <m/>
    <m/>
  </r>
  <r>
    <s v="1000015185"/>
    <x v="19"/>
    <s v="1200003774"/>
    <s v="01-0F101-0007907"/>
    <x v="0"/>
    <d v="2026-09-06T00:00:00"/>
    <n v="-6"/>
    <d v="2026-09-13T00:00:00"/>
    <n v="667.41"/>
    <s v="PEN"/>
    <x v="0"/>
    <m/>
    <m/>
    <m/>
    <x v="21"/>
    <n v="198.10329474621548"/>
    <m/>
    <m/>
  </r>
  <r>
    <s v="1000015185"/>
    <x v="19"/>
    <s v="1200003775"/>
    <s v="01-0F101-0007908"/>
    <x v="0"/>
    <d v="2026-09-06T00:00:00"/>
    <n v="-6"/>
    <d v="2026-09-13T00:00:00"/>
    <n v="194.7"/>
    <s v="PEN"/>
    <x v="0"/>
    <m/>
    <m/>
    <m/>
    <x v="21"/>
    <n v="57.791629563668735"/>
    <m/>
    <m/>
  </r>
  <r>
    <s v="6000434"/>
    <x v="20"/>
    <s v="1200004540"/>
    <s v="01-0F003-0000083"/>
    <x v="0"/>
    <d v="2025-10-07T00:00:00"/>
    <n v="318"/>
    <d v="2025-10-14T00:00:00"/>
    <n v="790"/>
    <s v="PEN"/>
    <x v="5"/>
    <m/>
    <m/>
    <m/>
    <x v="49"/>
    <n v="234.49094686850697"/>
    <m/>
    <m/>
  </r>
  <r>
    <s v="2000001382"/>
    <x v="21"/>
    <s v="1300007200"/>
    <s v="FT-0F002-0000394"/>
    <x v="2"/>
    <d v="2026-07-27T00:00:00"/>
    <n v="42"/>
    <d v="2026-07-27T00:00:00"/>
    <n v="64640"/>
    <s v="USD"/>
    <x v="1"/>
    <d v="2026-09-25T00:00:00"/>
    <n v="-18"/>
    <d v="2026-09-25T00:00:00"/>
    <x v="13"/>
    <n v="64640"/>
    <n v="42"/>
    <s v="0-45"/>
  </r>
  <r>
    <s v="2000001382"/>
    <x v="21"/>
    <s v="1300007201"/>
    <s v="FT-0F002-0000404"/>
    <x v="2"/>
    <d v="2026-07-29T00:00:00"/>
    <n v="40"/>
    <d v="2026-07-29T00:00:00"/>
    <n v="64850"/>
    <s v="USD"/>
    <x v="1"/>
    <d v="2026-09-27T00:00:00"/>
    <n v="-20"/>
    <d v="2026-09-27T00:00:00"/>
    <x v="14"/>
    <n v="64850"/>
    <n v="40"/>
    <s v="0-45"/>
  </r>
  <r>
    <s v="1000015392"/>
    <x v="22"/>
    <s v="1200002881"/>
    <s v="01-0F003-0000192"/>
    <x v="0"/>
    <d v="2026-06-30T00:00:00"/>
    <n v="52"/>
    <d v="2026-07-07T00:00:00"/>
    <n v="590"/>
    <s v="PEN"/>
    <x v="6"/>
    <m/>
    <m/>
    <m/>
    <x v="50"/>
    <n v="175.12615019293557"/>
    <m/>
    <m/>
  </r>
  <r>
    <s v="1000001965"/>
    <x v="23"/>
    <s v="1200003535"/>
    <s v="01-0F101-0007729"/>
    <x v="0"/>
    <d v="2026-08-29T00:00:00"/>
    <n v="2"/>
    <d v="2026-09-05T00:00:00"/>
    <n v="590"/>
    <s v="PEN"/>
    <x v="0"/>
    <m/>
    <m/>
    <m/>
    <x v="29"/>
    <n v="175.12615019293557"/>
    <m/>
    <m/>
  </r>
  <r>
    <s v="1000001965"/>
    <x v="23"/>
    <s v="1200003586"/>
    <s v="01-0F101-0007759"/>
    <x v="0"/>
    <d v="2026-09-01T00:00:00"/>
    <n v="-1"/>
    <d v="2026-09-08T00:00:00"/>
    <n v="590"/>
    <s v="PEN"/>
    <x v="0"/>
    <m/>
    <m/>
    <m/>
    <x v="1"/>
    <n v="175.12615019293557"/>
    <m/>
    <m/>
  </r>
  <r>
    <s v="1000001965"/>
    <x v="23"/>
    <s v="1200003597"/>
    <s v="01-0F101-0007770"/>
    <x v="0"/>
    <d v="2026-09-02T00:00:00"/>
    <n v="-2"/>
    <d v="2026-09-09T00:00:00"/>
    <n v="590"/>
    <s v="PEN"/>
    <x v="0"/>
    <m/>
    <m/>
    <m/>
    <x v="18"/>
    <n v="175.12615019293557"/>
    <m/>
    <m/>
  </r>
  <r>
    <s v="2000001440"/>
    <x v="24"/>
    <s v="1300007151"/>
    <s v="FP-266"/>
    <x v="4"/>
    <d v="2026-07-21T00:00:00"/>
    <n v="0"/>
    <d v="2026-07-31T00:00:00"/>
    <n v="-9650"/>
    <s v="USD"/>
    <x v="1"/>
    <d v="2026-09-19T00:00:00"/>
    <m/>
    <m/>
    <x v="51"/>
    <n v="-9650"/>
    <n v="48"/>
    <s v="46-60"/>
  </r>
  <r>
    <s v="2000001440"/>
    <x v="24"/>
    <s v="1200003507"/>
    <s v="01-0F002-0000414"/>
    <x v="1"/>
    <d v="2026-08-15T00:00:00"/>
    <n v="-37"/>
    <d v="2026-10-14T00:00:00"/>
    <n v="48600"/>
    <s v="USD"/>
    <x v="1"/>
    <d v="2026-10-14T00:00:00"/>
    <n v="-37"/>
    <d v="2026-10-14T00:00:00"/>
    <x v="15"/>
    <n v="48600"/>
    <n v="23"/>
    <s v="0-45"/>
  </r>
  <r>
    <s v="1000013801"/>
    <x v="25"/>
    <s v="1300007121"/>
    <s v="FT-0F101-0007611"/>
    <x v="2"/>
    <d v="2026-07-18T00:00:00"/>
    <n v="51"/>
    <d v="2026-07-18T00:00:00"/>
    <n v="203.67"/>
    <s v="PEN"/>
    <x v="0"/>
    <m/>
    <m/>
    <m/>
    <x v="52"/>
    <n v="60.45414069456811"/>
    <m/>
    <m/>
  </r>
  <r>
    <s v="1000013686"/>
    <x v="26"/>
    <s v="1200003573"/>
    <s v="01-0F101-0007753"/>
    <x v="0"/>
    <d v="2026-09-01T00:00:00"/>
    <n v="-1"/>
    <d v="2026-09-08T00:00:00"/>
    <n v="368.16"/>
    <s v="PEN"/>
    <x v="0"/>
    <m/>
    <m/>
    <m/>
    <x v="1"/>
    <n v="109.27871772039181"/>
    <m/>
    <m/>
  </r>
  <r>
    <s v="2000000786"/>
    <x v="27"/>
    <s v="1200003577"/>
    <s v="01-0F002-0000421"/>
    <x v="1"/>
    <d v="2026-08-31T00:00:00"/>
    <n v="-38"/>
    <d v="2026-10-15T00:00:00"/>
    <n v="36684"/>
    <s v="USD"/>
    <x v="1"/>
    <d v="2026-10-30T00:00:00"/>
    <n v="-53"/>
    <d v="2026-10-30T00:00:00"/>
    <x v="23"/>
    <n v="36684"/>
    <n v="7"/>
    <s v="0-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2B895-A696-46B2-9E78-9CB151F99F5A}" name="TablaDinámica2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M17" firstHeaderRow="1" firstDataRow="2" firstDataCol="1" rowPageCount="2" colPageCount="1"/>
  <pivotFields count="21"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axis="axisPage" showAll="0">
      <items count="7">
        <item x="3"/>
        <item x="1"/>
        <item x="0"/>
        <item x="4"/>
        <item x="5"/>
        <item x="2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axis="axisCol" numFmtId="14" showAll="0">
      <items count="54">
        <item x="49"/>
        <item x="45"/>
        <item x="32"/>
        <item x="46"/>
        <item x="33"/>
        <item x="2"/>
        <item x="3"/>
        <item x="4"/>
        <item x="5"/>
        <item x="6"/>
        <item x="7"/>
        <item x="8"/>
        <item x="9"/>
        <item x="10"/>
        <item x="11"/>
        <item x="47"/>
        <item x="48"/>
        <item x="42"/>
        <item x="43"/>
        <item x="34"/>
        <item x="35"/>
        <item x="36"/>
        <item x="37"/>
        <item x="38"/>
        <item x="39"/>
        <item x="50"/>
        <item x="40"/>
        <item x="44"/>
        <item x="52"/>
        <item x="41"/>
        <item x="27"/>
        <item x="28"/>
        <item x="25"/>
        <item x="17"/>
        <item x="26"/>
        <item x="29"/>
        <item x="0"/>
        <item x="1"/>
        <item x="18"/>
        <item x="19"/>
        <item x="51"/>
        <item x="22"/>
        <item x="24"/>
        <item x="30"/>
        <item x="20"/>
        <item x="21"/>
        <item x="12"/>
        <item x="13"/>
        <item x="14"/>
        <item x="31"/>
        <item x="15"/>
        <item x="16"/>
        <item x="23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2">
    <i>
      <x v="2"/>
    </i>
    <i>
      <x v="6"/>
    </i>
    <i>
      <x v="8"/>
    </i>
    <i>
      <x v="9"/>
    </i>
    <i>
      <x v="12"/>
    </i>
    <i>
      <x v="13"/>
    </i>
    <i>
      <x v="16"/>
    </i>
    <i>
      <x v="17"/>
    </i>
    <i>
      <x v="21"/>
    </i>
    <i>
      <x v="24"/>
    </i>
    <i>
      <x v="27"/>
    </i>
    <i t="grand">
      <x/>
    </i>
  </rowItems>
  <colFields count="1">
    <field x="14"/>
  </colFields>
  <colItems count="12">
    <i>
      <x v="40"/>
    </i>
    <i>
      <x v="41"/>
    </i>
    <i>
      <x v="42"/>
    </i>
    <i>
      <x v="43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colItems>
  <pageFields count="2">
    <pageField fld="4" hier="-1"/>
    <pageField fld="10" hier="-1"/>
  </pageFields>
  <dataFields count="1">
    <dataField name="Suma de USD HOMOL" fld="15" baseField="0" baseItem="0" numFmtId="165"/>
  </dataFields>
  <formats count="2">
    <format dxfId="20">
      <pivotArea collapsedLevelsAreSubtotals="1" fieldPosition="0">
        <references count="2">
          <reference field="1" count="11">
            <x v="2"/>
            <x v="6"/>
            <x v="8"/>
            <x v="9"/>
            <x v="12"/>
            <x v="13"/>
            <x v="16"/>
            <x v="17"/>
            <x v="21"/>
            <x v="24"/>
            <x v="27"/>
          </reference>
          <reference field="14" count="11" selected="0">
            <x v="40"/>
            <x v="41"/>
            <x v="42"/>
            <x v="43"/>
            <x v="46"/>
            <x v="47"/>
            <x v="48"/>
            <x v="49"/>
            <x v="50"/>
            <x v="51"/>
            <x v="52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1CDFE-0EB3-4E00-88E2-4D49B2D847F0}" name="TablaDinámica4" cacheId="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38" firstHeaderRow="1" firstDataRow="1" firstDataCol="1" rowPageCount="3" colPageCount="1"/>
  <pivotFields count="18"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axis="axisRow" showAll="0">
      <items count="172">
        <item x="20"/>
        <item x="21"/>
        <item x="109"/>
        <item x="167"/>
        <item x="26"/>
        <item x="45"/>
        <item x="170"/>
        <item x="62"/>
        <item x="159"/>
        <item x="142"/>
        <item x="143"/>
        <item x="144"/>
        <item x="162"/>
        <item x="111"/>
        <item x="112"/>
        <item x="113"/>
        <item x="11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33"/>
        <item x="134"/>
        <item x="115"/>
        <item x="116"/>
        <item x="117"/>
        <item x="118"/>
        <item x="119"/>
        <item x="120"/>
        <item x="136"/>
        <item x="137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66"/>
        <item x="67"/>
        <item x="68"/>
        <item x="69"/>
        <item x="70"/>
        <item x="71"/>
        <item x="63"/>
        <item x="29"/>
        <item x="64"/>
        <item x="72"/>
        <item x="73"/>
        <item x="163"/>
        <item x="74"/>
        <item x="75"/>
        <item x="0"/>
        <item x="76"/>
        <item x="77"/>
        <item x="78"/>
        <item x="79"/>
        <item x="80"/>
        <item x="81"/>
        <item x="169"/>
        <item x="30"/>
        <item x="82"/>
        <item x="83"/>
        <item x="164"/>
        <item x="1"/>
        <item x="31"/>
        <item x="32"/>
        <item x="165"/>
        <item x="84"/>
        <item x="85"/>
        <item x="86"/>
        <item x="87"/>
        <item x="33"/>
        <item x="65"/>
        <item x="88"/>
        <item x="89"/>
        <item x="90"/>
        <item x="91"/>
        <item x="92"/>
        <item x="93"/>
        <item x="34"/>
        <item x="35"/>
        <item x="94"/>
        <item x="95"/>
        <item x="145"/>
        <item x="146"/>
        <item x="96"/>
        <item x="97"/>
        <item x="147"/>
        <item x="148"/>
        <item x="98"/>
        <item x="99"/>
        <item x="149"/>
        <item x="150"/>
        <item x="100"/>
        <item x="101"/>
        <item x="102"/>
        <item x="103"/>
        <item x="36"/>
        <item x="37"/>
        <item x="151"/>
        <item x="152"/>
        <item x="38"/>
        <item x="39"/>
        <item x="104"/>
        <item x="105"/>
        <item x="40"/>
        <item x="41"/>
        <item x="153"/>
        <item x="154"/>
        <item x="155"/>
        <item x="156"/>
        <item x="106"/>
        <item x="107"/>
        <item x="42"/>
        <item x="43"/>
        <item x="157"/>
        <item x="158"/>
        <item x="46"/>
        <item x="47"/>
        <item x="27"/>
        <item x="2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66"/>
        <item x="44"/>
        <item x="61"/>
        <item x="139"/>
        <item x="60"/>
        <item x="140"/>
        <item x="110"/>
        <item x="19"/>
        <item x="108"/>
        <item x="160"/>
        <item x="161"/>
        <item x="22"/>
        <item x="25"/>
        <item x="24"/>
        <item x="23"/>
        <item x="141"/>
        <item x="135"/>
        <item x="138"/>
        <item x="168"/>
        <item t="default"/>
      </items>
    </pivotField>
    <pivotField axis="axisPage" multipleItemSelectionAllowed="1" showAll="0">
      <items count="7">
        <item h="1" x="3"/>
        <item x="1"/>
        <item h="1" x="0"/>
        <item x="4"/>
        <item h="1" x="5"/>
        <item x="2"/>
        <item t="default"/>
      </items>
    </pivotField>
    <pivotField axis="axisPage" numFmtId="14" showAll="0">
      <items count="53">
        <item x="48"/>
        <item x="44"/>
        <item x="32"/>
        <item x="45"/>
        <item x="33"/>
        <item x="2"/>
        <item x="3"/>
        <item x="4"/>
        <item x="5"/>
        <item x="6"/>
        <item x="7"/>
        <item x="8"/>
        <item x="9"/>
        <item x="10"/>
        <item x="11"/>
        <item x="46"/>
        <item x="47"/>
        <item x="23"/>
        <item x="41"/>
        <item x="34"/>
        <item x="35"/>
        <item x="36"/>
        <item x="37"/>
        <item x="38"/>
        <item x="39"/>
        <item x="49"/>
        <item x="40"/>
        <item x="43"/>
        <item x="42"/>
        <item x="31"/>
        <item x="51"/>
        <item x="50"/>
        <item x="27"/>
        <item x="12"/>
        <item x="13"/>
        <item x="14"/>
        <item x="30"/>
        <item x="25"/>
        <item x="22"/>
        <item x="15"/>
        <item x="16"/>
        <item x="24"/>
        <item x="17"/>
        <item x="26"/>
        <item x="28"/>
        <item x="0"/>
        <item x="1"/>
        <item x="18"/>
        <item x="19"/>
        <item x="29"/>
        <item x="20"/>
        <item x="21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33">
    <i>
      <x v="2"/>
    </i>
    <i r="1">
      <x/>
    </i>
    <i r="1">
      <x v="1"/>
    </i>
    <i r="1">
      <x v="4"/>
    </i>
    <i r="1">
      <x v="159"/>
    </i>
    <i r="1">
      <x v="163"/>
    </i>
    <i r="1">
      <x v="164"/>
    </i>
    <i r="1">
      <x v="165"/>
    </i>
    <i r="1">
      <x v="166"/>
    </i>
    <i>
      <x v="6"/>
    </i>
    <i r="1">
      <x v="5"/>
    </i>
    <i r="1">
      <x v="153"/>
    </i>
    <i>
      <x v="8"/>
    </i>
    <i r="1">
      <x v="156"/>
    </i>
    <i>
      <x v="9"/>
    </i>
    <i r="1">
      <x v="7"/>
    </i>
    <i r="1">
      <x v="154"/>
    </i>
    <i>
      <x v="12"/>
    </i>
    <i r="1">
      <x v="2"/>
    </i>
    <i r="1">
      <x v="160"/>
    </i>
    <i>
      <x v="16"/>
    </i>
    <i r="1">
      <x v="155"/>
    </i>
    <i>
      <x v="17"/>
    </i>
    <i r="1">
      <x v="157"/>
    </i>
    <i>
      <x v="21"/>
    </i>
    <i r="1">
      <x v="161"/>
    </i>
    <i r="1">
      <x v="162"/>
    </i>
    <i>
      <x v="24"/>
    </i>
    <i r="1">
      <x v="3"/>
    </i>
    <i r="1">
      <x v="152"/>
    </i>
    <i>
      <x v="27"/>
    </i>
    <i r="1">
      <x v="6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804ED-84F9-45CA-8837-FC1DA2B89133}" name="TablaDinámica6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31" firstHeaderRow="0" firstDataRow="1" firstDataCol="1" rowPageCount="3" colPageCount="1"/>
  <pivotFields count="18">
    <pivotField showAll="0">
      <items count="29">
        <item x="0"/>
        <item x="23"/>
        <item x="5"/>
        <item x="11"/>
        <item x="3"/>
        <item x="4"/>
        <item x="26"/>
        <item x="7"/>
        <item x="25"/>
        <item x="18"/>
        <item x="1"/>
        <item x="19"/>
        <item x="22"/>
        <item x="27"/>
        <item x="2"/>
        <item x="13"/>
        <item x="16"/>
        <item x="8"/>
        <item x="6"/>
        <item x="21"/>
        <item x="9"/>
        <item x="24"/>
        <item x="12"/>
        <item x="17"/>
        <item x="20"/>
        <item x="15"/>
        <item x="14"/>
        <item x="10"/>
        <item t="default"/>
      </items>
    </pivotField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axis="axisRow" showAll="0">
      <items count="172">
        <item x="20"/>
        <item x="21"/>
        <item x="109"/>
        <item x="167"/>
        <item x="26"/>
        <item x="45"/>
        <item x="170"/>
        <item x="62"/>
        <item x="159"/>
        <item x="142"/>
        <item x="143"/>
        <item x="144"/>
        <item x="162"/>
        <item x="111"/>
        <item x="112"/>
        <item x="113"/>
        <item x="11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33"/>
        <item x="134"/>
        <item x="115"/>
        <item x="116"/>
        <item x="117"/>
        <item x="118"/>
        <item x="119"/>
        <item x="120"/>
        <item x="136"/>
        <item x="137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66"/>
        <item x="67"/>
        <item x="68"/>
        <item x="69"/>
        <item x="70"/>
        <item x="71"/>
        <item x="63"/>
        <item x="29"/>
        <item x="64"/>
        <item x="72"/>
        <item x="73"/>
        <item x="163"/>
        <item x="74"/>
        <item x="75"/>
        <item x="0"/>
        <item x="76"/>
        <item x="77"/>
        <item x="78"/>
        <item x="79"/>
        <item x="80"/>
        <item x="81"/>
        <item x="169"/>
        <item x="30"/>
        <item x="82"/>
        <item x="83"/>
        <item x="164"/>
        <item x="1"/>
        <item x="31"/>
        <item x="32"/>
        <item x="165"/>
        <item x="84"/>
        <item x="85"/>
        <item x="86"/>
        <item x="87"/>
        <item x="33"/>
        <item x="65"/>
        <item x="88"/>
        <item x="89"/>
        <item x="90"/>
        <item x="91"/>
        <item x="92"/>
        <item x="93"/>
        <item x="34"/>
        <item x="35"/>
        <item x="94"/>
        <item x="95"/>
        <item x="145"/>
        <item x="146"/>
        <item x="96"/>
        <item x="97"/>
        <item x="147"/>
        <item x="148"/>
        <item x="98"/>
        <item x="99"/>
        <item x="149"/>
        <item x="150"/>
        <item x="100"/>
        <item x="101"/>
        <item x="102"/>
        <item x="103"/>
        <item x="36"/>
        <item x="37"/>
        <item x="151"/>
        <item x="152"/>
        <item x="38"/>
        <item x="39"/>
        <item x="104"/>
        <item x="105"/>
        <item x="40"/>
        <item x="41"/>
        <item x="153"/>
        <item x="154"/>
        <item x="155"/>
        <item x="156"/>
        <item x="106"/>
        <item x="107"/>
        <item x="42"/>
        <item x="43"/>
        <item x="157"/>
        <item x="158"/>
        <item x="46"/>
        <item x="47"/>
        <item x="27"/>
        <item x="2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66"/>
        <item x="44"/>
        <item x="61"/>
        <item x="139"/>
        <item x="60"/>
        <item x="140"/>
        <item x="110"/>
        <item x="19"/>
        <item x="108"/>
        <item x="160"/>
        <item x="161"/>
        <item x="22"/>
        <item x="25"/>
        <item x="24"/>
        <item x="23"/>
        <item x="141"/>
        <item x="135"/>
        <item x="138"/>
        <item x="168"/>
        <item t="default"/>
      </items>
    </pivotField>
    <pivotField axis="axisPage" showAll="0">
      <items count="7">
        <item x="3"/>
        <item x="1"/>
        <item x="0"/>
        <item x="4"/>
        <item x="5"/>
        <item x="2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x="1"/>
        <item h="1" x="3"/>
        <item h="1" x="2"/>
        <item h="1" x="0"/>
        <item t="default"/>
      </items>
    </pivotField>
  </pivotFields>
  <rowFields count="2">
    <field x="1"/>
    <field x="3"/>
  </rowFields>
  <rowItems count="26">
    <i>
      <x v="2"/>
    </i>
    <i r="1">
      <x/>
    </i>
    <i r="1">
      <x v="1"/>
    </i>
    <i r="1">
      <x v="4"/>
    </i>
    <i r="1">
      <x v="159"/>
    </i>
    <i r="1">
      <x v="163"/>
    </i>
    <i r="1">
      <x v="164"/>
    </i>
    <i r="1">
      <x v="165"/>
    </i>
    <i r="1">
      <x v="166"/>
    </i>
    <i>
      <x v="6"/>
    </i>
    <i r="1">
      <x v="5"/>
    </i>
    <i r="1">
      <x v="153"/>
    </i>
    <i>
      <x v="9"/>
    </i>
    <i r="1">
      <x v="7"/>
    </i>
    <i r="1">
      <x v="154"/>
    </i>
    <i>
      <x v="12"/>
    </i>
    <i r="1">
      <x v="2"/>
    </i>
    <i r="1">
      <x v="160"/>
    </i>
    <i>
      <x v="21"/>
    </i>
    <i r="1">
      <x v="161"/>
    </i>
    <i r="1">
      <x v="162"/>
    </i>
    <i>
      <x v="24"/>
    </i>
    <i r="1">
      <x v="3"/>
    </i>
    <i>
      <x v="27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4680-85AF-4B1D-92C5-9FDE25E17A3F}" name="TablaDinámica8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8:I23" firstHeaderRow="0" firstDataRow="1" firstDataCol="1" rowPageCount="3" colPageCount="1"/>
  <pivotFields count="18">
    <pivotField showAll="0">
      <items count="29">
        <item x="0"/>
        <item x="23"/>
        <item x="5"/>
        <item x="11"/>
        <item x="3"/>
        <item x="4"/>
        <item x="26"/>
        <item x="7"/>
        <item x="25"/>
        <item x="18"/>
        <item x="1"/>
        <item x="19"/>
        <item x="22"/>
        <item x="27"/>
        <item x="2"/>
        <item x="13"/>
        <item x="16"/>
        <item x="8"/>
        <item x="6"/>
        <item x="21"/>
        <item x="9"/>
        <item x="24"/>
        <item x="12"/>
        <item x="17"/>
        <item x="20"/>
        <item x="15"/>
        <item x="14"/>
        <item x="10"/>
        <item t="default"/>
      </items>
    </pivotField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axis="axisRow" showAll="0">
      <items count="172">
        <item x="20"/>
        <item x="21"/>
        <item x="109"/>
        <item x="167"/>
        <item x="26"/>
        <item x="45"/>
        <item x="170"/>
        <item x="62"/>
        <item x="159"/>
        <item x="142"/>
        <item x="143"/>
        <item x="144"/>
        <item x="162"/>
        <item x="111"/>
        <item x="112"/>
        <item x="113"/>
        <item x="11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33"/>
        <item x="134"/>
        <item x="115"/>
        <item x="116"/>
        <item x="117"/>
        <item x="118"/>
        <item x="119"/>
        <item x="120"/>
        <item x="136"/>
        <item x="137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66"/>
        <item x="67"/>
        <item x="68"/>
        <item x="69"/>
        <item x="70"/>
        <item x="71"/>
        <item x="63"/>
        <item x="29"/>
        <item x="64"/>
        <item x="72"/>
        <item x="73"/>
        <item x="163"/>
        <item x="74"/>
        <item x="75"/>
        <item x="0"/>
        <item x="76"/>
        <item x="77"/>
        <item x="78"/>
        <item x="79"/>
        <item x="80"/>
        <item x="81"/>
        <item x="169"/>
        <item x="30"/>
        <item x="82"/>
        <item x="83"/>
        <item x="164"/>
        <item x="1"/>
        <item x="31"/>
        <item x="32"/>
        <item x="165"/>
        <item x="84"/>
        <item x="85"/>
        <item x="86"/>
        <item x="87"/>
        <item x="33"/>
        <item x="65"/>
        <item x="88"/>
        <item x="89"/>
        <item x="90"/>
        <item x="91"/>
        <item x="92"/>
        <item x="93"/>
        <item x="34"/>
        <item x="35"/>
        <item x="94"/>
        <item x="95"/>
        <item x="145"/>
        <item x="146"/>
        <item x="96"/>
        <item x="97"/>
        <item x="147"/>
        <item x="148"/>
        <item x="98"/>
        <item x="99"/>
        <item x="149"/>
        <item x="150"/>
        <item x="100"/>
        <item x="101"/>
        <item x="102"/>
        <item x="103"/>
        <item x="36"/>
        <item x="37"/>
        <item x="151"/>
        <item x="152"/>
        <item x="38"/>
        <item x="39"/>
        <item x="104"/>
        <item x="105"/>
        <item x="40"/>
        <item x="41"/>
        <item x="153"/>
        <item x="154"/>
        <item x="155"/>
        <item x="156"/>
        <item x="106"/>
        <item x="107"/>
        <item x="42"/>
        <item x="43"/>
        <item x="157"/>
        <item x="158"/>
        <item x="46"/>
        <item x="47"/>
        <item x="27"/>
        <item x="2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66"/>
        <item x="44"/>
        <item x="61"/>
        <item x="139"/>
        <item x="60"/>
        <item x="140"/>
        <item x="110"/>
        <item x="19"/>
        <item x="108"/>
        <item x="160"/>
        <item x="161"/>
        <item x="22"/>
        <item x="25"/>
        <item x="24"/>
        <item x="23"/>
        <item x="141"/>
        <item x="135"/>
        <item x="138"/>
        <item x="168"/>
        <item t="default"/>
      </items>
    </pivotField>
    <pivotField axis="axisPage" showAll="0">
      <items count="7">
        <item x="3"/>
        <item x="1"/>
        <item x="0"/>
        <item x="4"/>
        <item x="5"/>
        <item x="2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1"/>
        <item h="1" x="3"/>
        <item x="2"/>
        <item h="1" x="0"/>
        <item t="default"/>
      </items>
    </pivotField>
  </pivotFields>
  <rowFields count="2">
    <field x="1"/>
    <field x="3"/>
  </rowFields>
  <rowItems count="5">
    <i>
      <x v="8"/>
    </i>
    <i r="1">
      <x v="156"/>
    </i>
    <i>
      <x v="16"/>
    </i>
    <i r="1">
      <x v="15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712A5-6A01-4F32-8559-C7CD9F8E89CD}" name="TablaDinámica7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12" firstHeaderRow="0" firstDataRow="1" firstDataCol="1" rowPageCount="3" colPageCount="1"/>
  <pivotFields count="18">
    <pivotField showAll="0">
      <items count="29">
        <item x="0"/>
        <item x="23"/>
        <item x="5"/>
        <item x="11"/>
        <item x="3"/>
        <item x="4"/>
        <item x="26"/>
        <item x="7"/>
        <item x="25"/>
        <item x="18"/>
        <item x="1"/>
        <item x="19"/>
        <item x="22"/>
        <item x="27"/>
        <item x="2"/>
        <item x="13"/>
        <item x="16"/>
        <item x="8"/>
        <item x="6"/>
        <item x="21"/>
        <item x="9"/>
        <item x="24"/>
        <item x="12"/>
        <item x="17"/>
        <item x="20"/>
        <item x="15"/>
        <item x="14"/>
        <item x="10"/>
        <item t="default"/>
      </items>
    </pivotField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axis="axisRow" showAll="0">
      <items count="172">
        <item x="20"/>
        <item x="21"/>
        <item x="109"/>
        <item x="167"/>
        <item x="26"/>
        <item x="45"/>
        <item x="170"/>
        <item x="62"/>
        <item x="159"/>
        <item x="142"/>
        <item x="143"/>
        <item x="144"/>
        <item x="162"/>
        <item x="111"/>
        <item x="112"/>
        <item x="113"/>
        <item x="11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33"/>
        <item x="134"/>
        <item x="115"/>
        <item x="116"/>
        <item x="117"/>
        <item x="118"/>
        <item x="119"/>
        <item x="120"/>
        <item x="136"/>
        <item x="137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66"/>
        <item x="67"/>
        <item x="68"/>
        <item x="69"/>
        <item x="70"/>
        <item x="71"/>
        <item x="63"/>
        <item x="29"/>
        <item x="64"/>
        <item x="72"/>
        <item x="73"/>
        <item x="163"/>
        <item x="74"/>
        <item x="75"/>
        <item x="0"/>
        <item x="76"/>
        <item x="77"/>
        <item x="78"/>
        <item x="79"/>
        <item x="80"/>
        <item x="81"/>
        <item x="169"/>
        <item x="30"/>
        <item x="82"/>
        <item x="83"/>
        <item x="164"/>
        <item x="1"/>
        <item x="31"/>
        <item x="32"/>
        <item x="165"/>
        <item x="84"/>
        <item x="85"/>
        <item x="86"/>
        <item x="87"/>
        <item x="33"/>
        <item x="65"/>
        <item x="88"/>
        <item x="89"/>
        <item x="90"/>
        <item x="91"/>
        <item x="92"/>
        <item x="93"/>
        <item x="34"/>
        <item x="35"/>
        <item x="94"/>
        <item x="95"/>
        <item x="145"/>
        <item x="146"/>
        <item x="96"/>
        <item x="97"/>
        <item x="147"/>
        <item x="148"/>
        <item x="98"/>
        <item x="99"/>
        <item x="149"/>
        <item x="150"/>
        <item x="100"/>
        <item x="101"/>
        <item x="102"/>
        <item x="103"/>
        <item x="36"/>
        <item x="37"/>
        <item x="151"/>
        <item x="152"/>
        <item x="38"/>
        <item x="39"/>
        <item x="104"/>
        <item x="105"/>
        <item x="40"/>
        <item x="41"/>
        <item x="153"/>
        <item x="154"/>
        <item x="155"/>
        <item x="156"/>
        <item x="106"/>
        <item x="107"/>
        <item x="42"/>
        <item x="43"/>
        <item x="157"/>
        <item x="158"/>
        <item x="46"/>
        <item x="47"/>
        <item x="27"/>
        <item x="2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66"/>
        <item x="44"/>
        <item x="61"/>
        <item x="139"/>
        <item x="60"/>
        <item x="140"/>
        <item x="110"/>
        <item x="19"/>
        <item x="108"/>
        <item x="160"/>
        <item x="161"/>
        <item x="22"/>
        <item x="25"/>
        <item x="24"/>
        <item x="23"/>
        <item x="141"/>
        <item x="135"/>
        <item x="138"/>
        <item x="168"/>
        <item t="default"/>
      </items>
    </pivotField>
    <pivotField axis="axisPage" showAll="0">
      <items count="7">
        <item x="3"/>
        <item x="1"/>
        <item x="0"/>
        <item x="4"/>
        <item x="5"/>
        <item x="2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1"/>
        <item x="3"/>
        <item h="1" x="2"/>
        <item h="1" x="0"/>
        <item t="default"/>
      </items>
    </pivotField>
  </pivotFields>
  <rowFields count="2">
    <field x="1"/>
    <field x="3"/>
  </rowFields>
  <rowItems count="7">
    <i>
      <x v="13"/>
    </i>
    <i r="1">
      <x v="158"/>
    </i>
    <i>
      <x v="17"/>
    </i>
    <i r="1">
      <x v="157"/>
    </i>
    <i>
      <x v="24"/>
    </i>
    <i r="1">
      <x v="15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4A6D-7DB5-4FD2-BAB0-4491DB85140F}">
  <dimension ref="A1:M17"/>
  <sheetViews>
    <sheetView showGridLines="0" tabSelected="1" zoomScale="90" zoomScaleNormal="90" workbookViewId="0">
      <selection activeCell="J24" sqref="J24"/>
    </sheetView>
  </sheetViews>
  <sheetFormatPr baseColWidth="10" defaultRowHeight="14.4" x14ac:dyDescent="0.3"/>
  <cols>
    <col min="1" max="1" width="36.5546875" bestFit="1" customWidth="1"/>
    <col min="2" max="2" width="21.21875" bestFit="1" customWidth="1"/>
    <col min="3" max="12" width="11.44140625" bestFit="1" customWidth="1"/>
    <col min="13" max="13" width="11.5546875" bestFit="1" customWidth="1"/>
    <col min="14" max="24" width="12" bestFit="1" customWidth="1"/>
    <col min="25" max="25" width="11" bestFit="1" customWidth="1"/>
    <col min="26" max="31" width="12" bestFit="1" customWidth="1"/>
    <col min="32" max="32" width="12.6640625" bestFit="1" customWidth="1"/>
    <col min="33" max="33" width="12" bestFit="1" customWidth="1"/>
    <col min="34" max="35" width="10.33203125" bestFit="1" customWidth="1"/>
    <col min="36" max="45" width="12" bestFit="1" customWidth="1"/>
    <col min="46" max="52" width="10.33203125" bestFit="1" customWidth="1"/>
    <col min="53" max="53" width="12" bestFit="1" customWidth="1"/>
  </cols>
  <sheetData>
    <row r="1" spans="1:13" x14ac:dyDescent="0.3">
      <c r="A1" s="8" t="s">
        <v>4</v>
      </c>
      <c r="B1" t="s">
        <v>584</v>
      </c>
    </row>
    <row r="2" spans="1:13" x14ac:dyDescent="0.3">
      <c r="A2" s="8" t="s">
        <v>553</v>
      </c>
      <c r="B2" t="s">
        <v>555</v>
      </c>
    </row>
    <row r="4" spans="1:13" x14ac:dyDescent="0.3">
      <c r="A4" s="8" t="s">
        <v>583</v>
      </c>
      <c r="B4" s="8" t="s">
        <v>569</v>
      </c>
    </row>
    <row r="5" spans="1:13" x14ac:dyDescent="0.3">
      <c r="A5" s="8" t="s">
        <v>570</v>
      </c>
      <c r="B5" s="18">
        <v>46224</v>
      </c>
      <c r="C5" s="18">
        <v>46247</v>
      </c>
      <c r="D5" s="18">
        <v>46259</v>
      </c>
      <c r="E5" s="18">
        <v>46276</v>
      </c>
      <c r="F5" s="18">
        <v>46288</v>
      </c>
      <c r="G5" s="18">
        <v>46290</v>
      </c>
      <c r="H5" s="18">
        <v>46292</v>
      </c>
      <c r="I5" s="18">
        <v>46294</v>
      </c>
      <c r="J5" s="18">
        <v>46309</v>
      </c>
      <c r="K5" s="18">
        <v>46310</v>
      </c>
      <c r="L5" s="18">
        <v>46325</v>
      </c>
      <c r="M5" s="18" t="s">
        <v>571</v>
      </c>
    </row>
    <row r="6" spans="1:13" x14ac:dyDescent="0.3">
      <c r="A6" s="9" t="s">
        <v>73</v>
      </c>
      <c r="B6" s="22"/>
      <c r="C6" s="22"/>
      <c r="D6" s="22"/>
      <c r="E6" s="22"/>
      <c r="F6" s="22">
        <v>8619</v>
      </c>
      <c r="G6" s="22">
        <v>83280</v>
      </c>
      <c r="H6" s="22">
        <v>41448</v>
      </c>
      <c r="I6" s="22"/>
      <c r="J6" s="22">
        <v>207978</v>
      </c>
      <c r="K6" s="22">
        <v>41064</v>
      </c>
      <c r="L6" s="22"/>
      <c r="M6" s="22">
        <v>382389</v>
      </c>
    </row>
    <row r="7" spans="1:13" x14ac:dyDescent="0.3">
      <c r="A7" s="9" t="s">
        <v>157</v>
      </c>
      <c r="B7" s="22"/>
      <c r="C7" s="22">
        <v>-31032</v>
      </c>
      <c r="D7" s="22"/>
      <c r="E7" s="22"/>
      <c r="F7" s="22"/>
      <c r="G7" s="22"/>
      <c r="H7" s="22"/>
      <c r="I7" s="22"/>
      <c r="J7" s="22"/>
      <c r="K7" s="22"/>
      <c r="L7" s="22">
        <v>89775</v>
      </c>
      <c r="M7" s="22">
        <v>58743</v>
      </c>
    </row>
    <row r="8" spans="1:13" x14ac:dyDescent="0.3">
      <c r="A8" s="9" t="s">
        <v>208</v>
      </c>
      <c r="B8" s="22"/>
      <c r="C8" s="22"/>
      <c r="D8" s="22"/>
      <c r="E8" s="22"/>
      <c r="F8" s="22"/>
      <c r="G8" s="22"/>
      <c r="H8" s="22"/>
      <c r="I8" s="22"/>
      <c r="J8" s="22"/>
      <c r="K8" s="22">
        <v>15163</v>
      </c>
      <c r="L8" s="22"/>
      <c r="M8" s="22">
        <v>15163</v>
      </c>
    </row>
    <row r="9" spans="1:13" x14ac:dyDescent="0.3">
      <c r="A9" s="9" t="s">
        <v>212</v>
      </c>
      <c r="B9" s="22"/>
      <c r="C9" s="22"/>
      <c r="D9" s="22">
        <v>-13902</v>
      </c>
      <c r="E9" s="22"/>
      <c r="F9" s="22"/>
      <c r="G9" s="22"/>
      <c r="H9" s="22"/>
      <c r="I9" s="22"/>
      <c r="J9" s="22"/>
      <c r="K9" s="22"/>
      <c r="L9" s="22">
        <v>69660</v>
      </c>
      <c r="M9" s="22">
        <v>55758</v>
      </c>
    </row>
    <row r="10" spans="1:13" x14ac:dyDescent="0.3">
      <c r="A10" s="9" t="s">
        <v>356</v>
      </c>
      <c r="B10" s="22"/>
      <c r="C10" s="22"/>
      <c r="D10" s="22"/>
      <c r="E10" s="22"/>
      <c r="F10" s="22"/>
      <c r="G10" s="22">
        <v>55195</v>
      </c>
      <c r="H10" s="22"/>
      <c r="I10" s="22">
        <v>29925</v>
      </c>
      <c r="J10" s="22"/>
      <c r="K10" s="22"/>
      <c r="L10" s="22"/>
      <c r="M10" s="22">
        <v>85120</v>
      </c>
    </row>
    <row r="11" spans="1:13" x14ac:dyDescent="0.3">
      <c r="A11" s="9" t="s">
        <v>363</v>
      </c>
      <c r="B11" s="22"/>
      <c r="C11" s="22"/>
      <c r="D11" s="22"/>
      <c r="E11" s="22"/>
      <c r="F11" s="22"/>
      <c r="G11" s="22"/>
      <c r="H11" s="22"/>
      <c r="I11" s="22"/>
      <c r="J11" s="22"/>
      <c r="K11" s="22">
        <v>921.06</v>
      </c>
      <c r="L11" s="22"/>
      <c r="M11" s="22">
        <v>921.06</v>
      </c>
    </row>
    <row r="12" spans="1:13" x14ac:dyDescent="0.3">
      <c r="A12" s="9" t="s">
        <v>453</v>
      </c>
      <c r="B12" s="22"/>
      <c r="C12" s="22"/>
      <c r="D12" s="22"/>
      <c r="E12" s="22"/>
      <c r="F12" s="22"/>
      <c r="G12" s="22"/>
      <c r="H12" s="22"/>
      <c r="I12" s="22"/>
      <c r="J12" s="22"/>
      <c r="K12" s="22">
        <v>10284</v>
      </c>
      <c r="L12" s="22"/>
      <c r="M12" s="22">
        <v>10284</v>
      </c>
    </row>
    <row r="13" spans="1:13" x14ac:dyDescent="0.3">
      <c r="A13" s="9" t="s">
        <v>457</v>
      </c>
      <c r="B13" s="22"/>
      <c r="C13" s="22"/>
      <c r="D13" s="22"/>
      <c r="E13" s="22">
        <v>54612</v>
      </c>
      <c r="F13" s="22"/>
      <c r="G13" s="22"/>
      <c r="H13" s="22"/>
      <c r="I13" s="22"/>
      <c r="J13" s="22"/>
      <c r="K13" s="22"/>
      <c r="L13" s="22"/>
      <c r="M13" s="22">
        <v>54612</v>
      </c>
    </row>
    <row r="14" spans="1:13" x14ac:dyDescent="0.3">
      <c r="A14" s="9" t="s">
        <v>517</v>
      </c>
      <c r="B14" s="22"/>
      <c r="C14" s="22"/>
      <c r="D14" s="22"/>
      <c r="E14" s="22"/>
      <c r="F14" s="22"/>
      <c r="G14" s="22">
        <v>64640</v>
      </c>
      <c r="H14" s="22">
        <v>64850</v>
      </c>
      <c r="I14" s="22"/>
      <c r="J14" s="22"/>
      <c r="K14" s="22"/>
      <c r="L14" s="22"/>
      <c r="M14" s="22">
        <v>129490</v>
      </c>
    </row>
    <row r="15" spans="1:13" x14ac:dyDescent="0.3">
      <c r="A15" s="9" t="s">
        <v>534</v>
      </c>
      <c r="B15" s="22">
        <v>-9650</v>
      </c>
      <c r="C15" s="22"/>
      <c r="D15" s="22"/>
      <c r="E15" s="22"/>
      <c r="F15" s="22"/>
      <c r="G15" s="22"/>
      <c r="H15" s="22"/>
      <c r="I15" s="22"/>
      <c r="J15" s="22">
        <v>48600</v>
      </c>
      <c r="K15" s="22"/>
      <c r="L15" s="22"/>
      <c r="M15" s="22">
        <v>38950</v>
      </c>
    </row>
    <row r="16" spans="1:13" x14ac:dyDescent="0.3">
      <c r="A16" s="9" t="s">
        <v>549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>
        <v>36684</v>
      </c>
      <c r="M16" s="22">
        <v>36684</v>
      </c>
    </row>
    <row r="17" spans="1:13" x14ac:dyDescent="0.3">
      <c r="A17" s="9" t="s">
        <v>571</v>
      </c>
      <c r="B17" s="22">
        <v>-9650</v>
      </c>
      <c r="C17" s="22">
        <v>-31032</v>
      </c>
      <c r="D17" s="22">
        <v>-13902</v>
      </c>
      <c r="E17" s="22">
        <v>54612</v>
      </c>
      <c r="F17" s="22">
        <v>8619</v>
      </c>
      <c r="G17" s="22">
        <v>203115</v>
      </c>
      <c r="H17" s="22">
        <v>106298</v>
      </c>
      <c r="I17" s="22">
        <v>29925</v>
      </c>
      <c r="J17" s="22">
        <v>256578</v>
      </c>
      <c r="K17" s="22">
        <v>67432.06</v>
      </c>
      <c r="L17" s="22">
        <v>196119</v>
      </c>
      <c r="M17" s="22">
        <v>868114.06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A09C-B52F-4079-A115-E19BA0B16C59}">
  <dimension ref="A1:B38"/>
  <sheetViews>
    <sheetView workbookViewId="0">
      <selection activeCell="B6" sqref="B6:B205"/>
    </sheetView>
  </sheetViews>
  <sheetFormatPr baseColWidth="10" defaultRowHeight="14.4" x14ac:dyDescent="0.3"/>
  <cols>
    <col min="1" max="1" width="38.77734375" bestFit="1" customWidth="1"/>
    <col min="2" max="2" width="18.88671875" bestFit="1" customWidth="1"/>
  </cols>
  <sheetData>
    <row r="1" spans="1:2" x14ac:dyDescent="0.3">
      <c r="A1" s="8" t="s">
        <v>5</v>
      </c>
      <c r="B1" t="s">
        <v>584</v>
      </c>
    </row>
    <row r="2" spans="1:2" x14ac:dyDescent="0.3">
      <c r="A2" s="8" t="s">
        <v>553</v>
      </c>
      <c r="B2" t="s">
        <v>555</v>
      </c>
    </row>
    <row r="3" spans="1:2" x14ac:dyDescent="0.3">
      <c r="A3" s="8" t="s">
        <v>4</v>
      </c>
      <c r="B3" t="s">
        <v>585</v>
      </c>
    </row>
    <row r="5" spans="1:2" x14ac:dyDescent="0.3">
      <c r="A5" s="8" t="s">
        <v>570</v>
      </c>
      <c r="B5" t="s">
        <v>583</v>
      </c>
    </row>
    <row r="6" spans="1:2" x14ac:dyDescent="0.3">
      <c r="A6" s="9" t="s">
        <v>73</v>
      </c>
      <c r="B6" s="21">
        <v>382389</v>
      </c>
    </row>
    <row r="7" spans="1:2" x14ac:dyDescent="0.3">
      <c r="A7" s="11" t="s">
        <v>80</v>
      </c>
      <c r="B7" s="21">
        <v>83280</v>
      </c>
    </row>
    <row r="8" spans="1:2" x14ac:dyDescent="0.3">
      <c r="A8" s="11" t="s">
        <v>83</v>
      </c>
      <c r="B8" s="21">
        <v>41448</v>
      </c>
    </row>
    <row r="9" spans="1:2" x14ac:dyDescent="0.3">
      <c r="A9" s="11" t="s">
        <v>98</v>
      </c>
      <c r="B9" s="21">
        <v>41064</v>
      </c>
    </row>
    <row r="10" spans="1:2" x14ac:dyDescent="0.3">
      <c r="A10" s="11" t="s">
        <v>582</v>
      </c>
      <c r="B10" s="21">
        <v>8619</v>
      </c>
    </row>
    <row r="11" spans="1:2" x14ac:dyDescent="0.3">
      <c r="A11" s="11" t="s">
        <v>86</v>
      </c>
      <c r="B11" s="21">
        <v>94530</v>
      </c>
    </row>
    <row r="12" spans="1:2" x14ac:dyDescent="0.3">
      <c r="A12" s="11" t="s">
        <v>95</v>
      </c>
      <c r="B12" s="21">
        <v>29010</v>
      </c>
    </row>
    <row r="13" spans="1:2" x14ac:dyDescent="0.3">
      <c r="A13" s="11" t="s">
        <v>92</v>
      </c>
      <c r="B13" s="21">
        <v>54840</v>
      </c>
    </row>
    <row r="14" spans="1:2" x14ac:dyDescent="0.3">
      <c r="A14" s="11" t="s">
        <v>89</v>
      </c>
      <c r="B14" s="21">
        <v>29598</v>
      </c>
    </row>
    <row r="15" spans="1:2" x14ac:dyDescent="0.3">
      <c r="A15" s="9" t="s">
        <v>157</v>
      </c>
      <c r="B15" s="21">
        <v>58743</v>
      </c>
    </row>
    <row r="16" spans="1:2" x14ac:dyDescent="0.3">
      <c r="A16" s="11" t="s">
        <v>163</v>
      </c>
      <c r="B16" s="21">
        <v>89775</v>
      </c>
    </row>
    <row r="17" spans="1:2" x14ac:dyDescent="0.3">
      <c r="A17" s="11" t="s">
        <v>160</v>
      </c>
      <c r="B17" s="21">
        <v>-31032</v>
      </c>
    </row>
    <row r="18" spans="1:2" x14ac:dyDescent="0.3">
      <c r="A18" s="9" t="s">
        <v>208</v>
      </c>
      <c r="B18" s="21">
        <v>15163</v>
      </c>
    </row>
    <row r="19" spans="1:2" x14ac:dyDescent="0.3">
      <c r="A19" s="11" t="s">
        <v>210</v>
      </c>
      <c r="B19" s="21">
        <v>15163</v>
      </c>
    </row>
    <row r="20" spans="1:2" x14ac:dyDescent="0.3">
      <c r="A20" s="9" t="s">
        <v>212</v>
      </c>
      <c r="B20" s="21">
        <v>55758</v>
      </c>
    </row>
    <row r="21" spans="1:2" x14ac:dyDescent="0.3">
      <c r="A21" s="11" t="s">
        <v>217</v>
      </c>
      <c r="B21" s="21">
        <v>69660</v>
      </c>
    </row>
    <row r="22" spans="1:2" x14ac:dyDescent="0.3">
      <c r="A22" s="11" t="s">
        <v>214</v>
      </c>
      <c r="B22" s="21">
        <v>-13902</v>
      </c>
    </row>
    <row r="23" spans="1:2" x14ac:dyDescent="0.3">
      <c r="A23" s="9" t="s">
        <v>356</v>
      </c>
      <c r="B23" s="21">
        <v>85120</v>
      </c>
    </row>
    <row r="24" spans="1:2" x14ac:dyDescent="0.3">
      <c r="A24" s="11" t="s">
        <v>361</v>
      </c>
      <c r="B24" s="21">
        <v>29925</v>
      </c>
    </row>
    <row r="25" spans="1:2" x14ac:dyDescent="0.3">
      <c r="A25" s="11" t="s">
        <v>358</v>
      </c>
      <c r="B25" s="21">
        <v>55195</v>
      </c>
    </row>
    <row r="26" spans="1:2" x14ac:dyDescent="0.3">
      <c r="A26" s="9" t="s">
        <v>453</v>
      </c>
      <c r="B26" s="21">
        <v>10284</v>
      </c>
    </row>
    <row r="27" spans="1:2" x14ac:dyDescent="0.3">
      <c r="A27" s="11" t="s">
        <v>455</v>
      </c>
      <c r="B27" s="21">
        <v>10284</v>
      </c>
    </row>
    <row r="28" spans="1:2" x14ac:dyDescent="0.3">
      <c r="A28" s="9" t="s">
        <v>457</v>
      </c>
      <c r="B28" s="21">
        <v>54612</v>
      </c>
    </row>
    <row r="29" spans="1:2" x14ac:dyDescent="0.3">
      <c r="A29" s="11" t="s">
        <v>459</v>
      </c>
      <c r="B29" s="21">
        <v>54612</v>
      </c>
    </row>
    <row r="30" spans="1:2" x14ac:dyDescent="0.3">
      <c r="A30" s="9" t="s">
        <v>517</v>
      </c>
      <c r="B30" s="21">
        <v>129490</v>
      </c>
    </row>
    <row r="31" spans="1:2" x14ac:dyDescent="0.3">
      <c r="A31" s="11" t="s">
        <v>519</v>
      </c>
      <c r="B31" s="21">
        <v>64640</v>
      </c>
    </row>
    <row r="32" spans="1:2" x14ac:dyDescent="0.3">
      <c r="A32" s="11" t="s">
        <v>522</v>
      </c>
      <c r="B32" s="21">
        <v>64850</v>
      </c>
    </row>
    <row r="33" spans="1:2" x14ac:dyDescent="0.3">
      <c r="A33" s="9" t="s">
        <v>534</v>
      </c>
      <c r="B33" s="21">
        <v>38950</v>
      </c>
    </row>
    <row r="34" spans="1:2" x14ac:dyDescent="0.3">
      <c r="A34" s="11" t="s">
        <v>539</v>
      </c>
      <c r="B34" s="21">
        <v>48600</v>
      </c>
    </row>
    <row r="35" spans="1:2" x14ac:dyDescent="0.3">
      <c r="A35" s="11" t="s">
        <v>536</v>
      </c>
      <c r="B35" s="21">
        <v>-9650</v>
      </c>
    </row>
    <row r="36" spans="1:2" x14ac:dyDescent="0.3">
      <c r="A36" s="9" t="s">
        <v>549</v>
      </c>
      <c r="B36" s="21">
        <v>36684</v>
      </c>
    </row>
    <row r="37" spans="1:2" x14ac:dyDescent="0.3">
      <c r="A37" s="11" t="s">
        <v>552</v>
      </c>
      <c r="B37" s="21">
        <v>36684</v>
      </c>
    </row>
    <row r="38" spans="1:2" x14ac:dyDescent="0.3">
      <c r="A38" s="9" t="s">
        <v>571</v>
      </c>
      <c r="B38" s="21">
        <v>867193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C249-6660-4419-A3EC-2CBE5121AD89}">
  <dimension ref="A1:I31"/>
  <sheetViews>
    <sheetView topLeftCell="B1" workbookViewId="0">
      <selection activeCell="F14" sqref="F14:I44"/>
    </sheetView>
  </sheetViews>
  <sheetFormatPr baseColWidth="10" defaultRowHeight="14.4" x14ac:dyDescent="0.3"/>
  <cols>
    <col min="1" max="1" width="38.777343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554687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8" t="s">
        <v>4</v>
      </c>
      <c r="B1" t="s">
        <v>584</v>
      </c>
      <c r="F1" s="8" t="s">
        <v>4</v>
      </c>
      <c r="G1" t="s">
        <v>584</v>
      </c>
    </row>
    <row r="2" spans="1:9" x14ac:dyDescent="0.3">
      <c r="A2" s="8" t="s">
        <v>578</v>
      </c>
      <c r="B2" t="s">
        <v>579</v>
      </c>
      <c r="F2" s="8" t="s">
        <v>578</v>
      </c>
      <c r="G2" t="s">
        <v>580</v>
      </c>
    </row>
    <row r="3" spans="1:9" x14ac:dyDescent="0.3">
      <c r="A3" s="8" t="s">
        <v>553</v>
      </c>
      <c r="B3" t="s">
        <v>555</v>
      </c>
      <c r="F3" s="8" t="s">
        <v>553</v>
      </c>
      <c r="G3" t="s">
        <v>555</v>
      </c>
    </row>
    <row r="5" spans="1:9" x14ac:dyDescent="0.3">
      <c r="A5" s="8" t="s">
        <v>570</v>
      </c>
      <c r="B5" t="s">
        <v>587</v>
      </c>
      <c r="C5" t="s">
        <v>586</v>
      </c>
      <c r="D5" t="s">
        <v>583</v>
      </c>
      <c r="F5" s="8" t="s">
        <v>570</v>
      </c>
      <c r="G5" t="s">
        <v>587</v>
      </c>
      <c r="H5" t="s">
        <v>586</v>
      </c>
      <c r="I5" t="s">
        <v>583</v>
      </c>
    </row>
    <row r="6" spans="1:9" x14ac:dyDescent="0.3">
      <c r="A6" s="9" t="s">
        <v>73</v>
      </c>
      <c r="B6" s="21">
        <v>8</v>
      </c>
      <c r="C6" s="21">
        <v>240</v>
      </c>
      <c r="D6" s="21">
        <v>382389</v>
      </c>
      <c r="F6" s="9" t="s">
        <v>363</v>
      </c>
      <c r="G6" s="21">
        <v>1</v>
      </c>
      <c r="H6" s="21">
        <v>52</v>
      </c>
      <c r="I6" s="21">
        <v>921.06</v>
      </c>
    </row>
    <row r="7" spans="1:9" x14ac:dyDescent="0.3">
      <c r="A7" s="11" t="s">
        <v>80</v>
      </c>
      <c r="B7" s="21">
        <v>1</v>
      </c>
      <c r="C7" s="21">
        <v>42</v>
      </c>
      <c r="D7" s="21">
        <v>83280</v>
      </c>
      <c r="F7" s="11" t="s">
        <v>365</v>
      </c>
      <c r="G7" s="21">
        <v>1</v>
      </c>
      <c r="H7" s="21">
        <v>52</v>
      </c>
      <c r="I7" s="21">
        <v>921.06</v>
      </c>
    </row>
    <row r="8" spans="1:9" x14ac:dyDescent="0.3">
      <c r="A8" s="11" t="s">
        <v>83</v>
      </c>
      <c r="B8" s="21">
        <v>1</v>
      </c>
      <c r="C8" s="21">
        <v>40</v>
      </c>
      <c r="D8" s="21">
        <v>41448</v>
      </c>
      <c r="F8" s="9" t="s">
        <v>457</v>
      </c>
      <c r="G8" s="21">
        <v>1</v>
      </c>
      <c r="H8" s="21">
        <v>56</v>
      </c>
      <c r="I8" s="21">
        <v>54612</v>
      </c>
    </row>
    <row r="9" spans="1:9" x14ac:dyDescent="0.3">
      <c r="A9" s="11" t="s">
        <v>98</v>
      </c>
      <c r="B9" s="21">
        <v>1</v>
      </c>
      <c r="C9" s="21">
        <v>22</v>
      </c>
      <c r="D9" s="21">
        <v>41064</v>
      </c>
      <c r="F9" s="11" t="s">
        <v>459</v>
      </c>
      <c r="G9" s="21">
        <v>1</v>
      </c>
      <c r="H9" s="21">
        <v>56</v>
      </c>
      <c r="I9" s="21">
        <v>54612</v>
      </c>
    </row>
    <row r="10" spans="1:9" x14ac:dyDescent="0.3">
      <c r="A10" s="11" t="s">
        <v>582</v>
      </c>
      <c r="B10" s="21">
        <v>1</v>
      </c>
      <c r="C10" s="21">
        <v>44</v>
      </c>
      <c r="D10" s="21">
        <v>8619</v>
      </c>
      <c r="F10" s="9" t="s">
        <v>534</v>
      </c>
      <c r="G10" s="21"/>
      <c r="H10" s="21">
        <v>48</v>
      </c>
      <c r="I10" s="21">
        <v>-9650</v>
      </c>
    </row>
    <row r="11" spans="1:9" x14ac:dyDescent="0.3">
      <c r="A11" s="11" t="s">
        <v>86</v>
      </c>
      <c r="B11" s="21">
        <v>1</v>
      </c>
      <c r="C11" s="21">
        <v>23</v>
      </c>
      <c r="D11" s="21">
        <v>94530</v>
      </c>
      <c r="F11" s="11" t="s">
        <v>536</v>
      </c>
      <c r="G11" s="21"/>
      <c r="H11" s="21">
        <v>48</v>
      </c>
      <c r="I11" s="21">
        <v>-9650</v>
      </c>
    </row>
    <row r="12" spans="1:9" x14ac:dyDescent="0.3">
      <c r="A12" s="11" t="s">
        <v>95</v>
      </c>
      <c r="B12" s="21">
        <v>1</v>
      </c>
      <c r="C12" s="21">
        <v>23</v>
      </c>
      <c r="D12" s="21">
        <v>29010</v>
      </c>
      <c r="F12" s="9" t="s">
        <v>571</v>
      </c>
      <c r="G12" s="21">
        <v>2</v>
      </c>
      <c r="H12" s="21">
        <v>156</v>
      </c>
      <c r="I12" s="21">
        <v>45883.06</v>
      </c>
    </row>
    <row r="13" spans="1:9" x14ac:dyDescent="0.3">
      <c r="A13" s="11" t="s">
        <v>92</v>
      </c>
      <c r="B13" s="21">
        <v>1</v>
      </c>
      <c r="C13" s="21">
        <v>23</v>
      </c>
      <c r="D13" s="21">
        <v>54840</v>
      </c>
    </row>
    <row r="14" spans="1:9" x14ac:dyDescent="0.3">
      <c r="A14" s="11" t="s">
        <v>89</v>
      </c>
      <c r="B14" s="21">
        <v>1</v>
      </c>
      <c r="C14" s="21">
        <v>23</v>
      </c>
      <c r="D14" s="21">
        <v>29598</v>
      </c>
      <c r="F14" s="8" t="s">
        <v>4</v>
      </c>
      <c r="G14" t="s">
        <v>584</v>
      </c>
    </row>
    <row r="15" spans="1:9" x14ac:dyDescent="0.3">
      <c r="A15" s="9" t="s">
        <v>157</v>
      </c>
      <c r="B15" s="21">
        <v>1</v>
      </c>
      <c r="C15" s="21">
        <v>32</v>
      </c>
      <c r="D15" s="21">
        <v>58743</v>
      </c>
      <c r="F15" s="8" t="s">
        <v>578</v>
      </c>
      <c r="G15" t="s">
        <v>581</v>
      </c>
    </row>
    <row r="16" spans="1:9" x14ac:dyDescent="0.3">
      <c r="A16" s="11" t="s">
        <v>163</v>
      </c>
      <c r="B16" s="21">
        <v>1</v>
      </c>
      <c r="C16" s="21">
        <v>7</v>
      </c>
      <c r="D16" s="21">
        <v>89775</v>
      </c>
      <c r="F16" s="8" t="s">
        <v>553</v>
      </c>
      <c r="G16" t="s">
        <v>555</v>
      </c>
    </row>
    <row r="17" spans="1:9" x14ac:dyDescent="0.3">
      <c r="A17" s="11" t="s">
        <v>160</v>
      </c>
      <c r="B17" s="21"/>
      <c r="C17" s="21">
        <v>25</v>
      </c>
      <c r="D17" s="21">
        <v>-31032</v>
      </c>
    </row>
    <row r="18" spans="1:9" x14ac:dyDescent="0.3">
      <c r="A18" s="9" t="s">
        <v>212</v>
      </c>
      <c r="B18" s="21">
        <v>1</v>
      </c>
      <c r="C18" s="21">
        <v>20</v>
      </c>
      <c r="D18" s="21">
        <v>55758</v>
      </c>
      <c r="F18" s="8" t="s">
        <v>570</v>
      </c>
      <c r="G18" t="s">
        <v>587</v>
      </c>
      <c r="H18" t="s">
        <v>586</v>
      </c>
      <c r="I18" t="s">
        <v>583</v>
      </c>
    </row>
    <row r="19" spans="1:9" x14ac:dyDescent="0.3">
      <c r="A19" s="11" t="s">
        <v>217</v>
      </c>
      <c r="B19" s="21">
        <v>1</v>
      </c>
      <c r="C19" s="21">
        <v>7</v>
      </c>
      <c r="D19" s="21">
        <v>69660</v>
      </c>
      <c r="F19" s="9" t="s">
        <v>208</v>
      </c>
      <c r="G19" s="21">
        <v>1</v>
      </c>
      <c r="H19" s="21">
        <v>133</v>
      </c>
      <c r="I19" s="21">
        <v>15163</v>
      </c>
    </row>
    <row r="20" spans="1:9" x14ac:dyDescent="0.3">
      <c r="A20" s="11" t="s">
        <v>214</v>
      </c>
      <c r="B20" s="21"/>
      <c r="C20" s="21">
        <v>13</v>
      </c>
      <c r="D20" s="21">
        <v>-13902</v>
      </c>
      <c r="F20" s="11" t="s">
        <v>210</v>
      </c>
      <c r="G20" s="21">
        <v>1</v>
      </c>
      <c r="H20" s="21">
        <v>133</v>
      </c>
      <c r="I20" s="21">
        <v>15163</v>
      </c>
    </row>
    <row r="21" spans="1:9" x14ac:dyDescent="0.3">
      <c r="A21" s="9" t="s">
        <v>356</v>
      </c>
      <c r="B21" s="21">
        <v>2</v>
      </c>
      <c r="C21" s="21">
        <v>80</v>
      </c>
      <c r="D21" s="21">
        <v>85120</v>
      </c>
      <c r="F21" s="9" t="s">
        <v>453</v>
      </c>
      <c r="G21" s="21">
        <v>1</v>
      </c>
      <c r="H21" s="21">
        <v>133</v>
      </c>
      <c r="I21" s="21">
        <v>10284</v>
      </c>
    </row>
    <row r="22" spans="1:9" x14ac:dyDescent="0.3">
      <c r="A22" s="11" t="s">
        <v>361</v>
      </c>
      <c r="B22" s="21">
        <v>1</v>
      </c>
      <c r="C22" s="21">
        <v>38</v>
      </c>
      <c r="D22" s="21">
        <v>29925</v>
      </c>
      <c r="F22" s="11" t="s">
        <v>455</v>
      </c>
      <c r="G22" s="21">
        <v>1</v>
      </c>
      <c r="H22" s="21">
        <v>133</v>
      </c>
      <c r="I22" s="21">
        <v>10284</v>
      </c>
    </row>
    <row r="23" spans="1:9" x14ac:dyDescent="0.3">
      <c r="A23" s="11" t="s">
        <v>358</v>
      </c>
      <c r="B23" s="21">
        <v>1</v>
      </c>
      <c r="C23" s="21">
        <v>42</v>
      </c>
      <c r="D23" s="21">
        <v>55195</v>
      </c>
      <c r="F23" s="9" t="s">
        <v>571</v>
      </c>
      <c r="G23" s="21">
        <v>2</v>
      </c>
      <c r="H23" s="21">
        <v>266</v>
      </c>
      <c r="I23" s="21">
        <v>25447</v>
      </c>
    </row>
    <row r="24" spans="1:9" x14ac:dyDescent="0.3">
      <c r="A24" s="9" t="s">
        <v>517</v>
      </c>
      <c r="B24" s="21">
        <v>2</v>
      </c>
      <c r="C24" s="21">
        <v>82</v>
      </c>
      <c r="D24" s="21">
        <v>129490</v>
      </c>
    </row>
    <row r="25" spans="1:9" x14ac:dyDescent="0.3">
      <c r="A25" s="11" t="s">
        <v>519</v>
      </c>
      <c r="B25" s="21">
        <v>1</v>
      </c>
      <c r="C25" s="21">
        <v>42</v>
      </c>
      <c r="D25" s="21">
        <v>64640</v>
      </c>
    </row>
    <row r="26" spans="1:9" x14ac:dyDescent="0.3">
      <c r="A26" s="11" t="s">
        <v>522</v>
      </c>
      <c r="B26" s="21">
        <v>1</v>
      </c>
      <c r="C26" s="21">
        <v>40</v>
      </c>
      <c r="D26" s="21">
        <v>64850</v>
      </c>
    </row>
    <row r="27" spans="1:9" x14ac:dyDescent="0.3">
      <c r="A27" s="9" t="s">
        <v>534</v>
      </c>
      <c r="B27" s="21">
        <v>1</v>
      </c>
      <c r="C27" s="21">
        <v>23</v>
      </c>
      <c r="D27" s="21">
        <v>48600</v>
      </c>
    </row>
    <row r="28" spans="1:9" x14ac:dyDescent="0.3">
      <c r="A28" s="11" t="s">
        <v>539</v>
      </c>
      <c r="B28" s="21">
        <v>1</v>
      </c>
      <c r="C28" s="21">
        <v>23</v>
      </c>
      <c r="D28" s="21">
        <v>48600</v>
      </c>
    </row>
    <row r="29" spans="1:9" x14ac:dyDescent="0.3">
      <c r="A29" s="9" t="s">
        <v>549</v>
      </c>
      <c r="B29" s="21">
        <v>1</v>
      </c>
      <c r="C29" s="21">
        <v>7</v>
      </c>
      <c r="D29" s="21">
        <v>36684</v>
      </c>
    </row>
    <row r="30" spans="1:9" x14ac:dyDescent="0.3">
      <c r="A30" s="11" t="s">
        <v>552</v>
      </c>
      <c r="B30" s="21">
        <v>1</v>
      </c>
      <c r="C30" s="21">
        <v>7</v>
      </c>
      <c r="D30" s="21">
        <v>36684</v>
      </c>
    </row>
    <row r="31" spans="1:9" x14ac:dyDescent="0.3">
      <c r="A31" s="9" t="s">
        <v>571</v>
      </c>
      <c r="B31" s="21">
        <v>16</v>
      </c>
      <c r="C31" s="21">
        <v>484</v>
      </c>
      <c r="D31" s="21">
        <v>796784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72"/>
  <sheetViews>
    <sheetView topLeftCell="G1" workbookViewId="0">
      <pane ySplit="1" topLeftCell="A21" activePane="bottomLeft" state="frozen"/>
      <selection pane="bottomLeft" activeCell="O46" sqref="O46"/>
    </sheetView>
  </sheetViews>
  <sheetFormatPr baseColWidth="10" defaultColWidth="8.88671875" defaultRowHeight="14.4" x14ac:dyDescent="0.3"/>
  <cols>
    <col min="1" max="1" width="11" bestFit="1" customWidth="1"/>
    <col min="2" max="2" width="25.88671875" customWidth="1"/>
    <col min="3" max="3" width="13" hidden="1" customWidth="1"/>
    <col min="4" max="4" width="17" bestFit="1" customWidth="1"/>
    <col min="5" max="5" width="8.21875" customWidth="1"/>
    <col min="6" max="6" width="19" bestFit="1" customWidth="1"/>
    <col min="7" max="7" width="11" customWidth="1"/>
    <col min="8" max="8" width="14" bestFit="1" customWidth="1"/>
    <col min="9" max="9" width="23" bestFit="1" customWidth="1"/>
    <col min="10" max="10" width="21" bestFit="1" customWidth="1"/>
    <col min="11" max="11" width="25" bestFit="1" customWidth="1"/>
    <col min="12" max="12" width="15.77734375" customWidth="1"/>
    <col min="13" max="13" width="10.88671875" customWidth="1"/>
    <col min="14" max="14" width="10.109375" customWidth="1"/>
    <col min="15" max="15" width="12.77734375" bestFit="1" customWidth="1"/>
    <col min="16" max="16" width="12.21875" bestFit="1" customWidth="1"/>
    <col min="17" max="17" width="13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553</v>
      </c>
      <c r="L1" s="12" t="s">
        <v>572</v>
      </c>
      <c r="M1" s="13" t="s">
        <v>573</v>
      </c>
      <c r="N1" s="14" t="s">
        <v>574</v>
      </c>
      <c r="O1" s="15" t="s">
        <v>575</v>
      </c>
      <c r="P1" s="15" t="s">
        <v>576</v>
      </c>
      <c r="Q1" s="16" t="s">
        <v>577</v>
      </c>
      <c r="R1" s="17" t="s">
        <v>578</v>
      </c>
    </row>
    <row r="2" spans="1:18" hidden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46265</v>
      </c>
      <c r="G2" s="4">
        <v>0</v>
      </c>
      <c r="H2" s="3">
        <v>46272</v>
      </c>
      <c r="I2" s="5">
        <v>590</v>
      </c>
      <c r="J2" s="2" t="s">
        <v>15</v>
      </c>
      <c r="K2" s="2" t="s">
        <v>554</v>
      </c>
      <c r="O2" s="18">
        <f>H2</f>
        <v>46272</v>
      </c>
      <c r="P2" s="19">
        <f>I2/3.369</f>
        <v>175.12615019293557</v>
      </c>
    </row>
    <row r="3" spans="1:18" hidden="1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46266</v>
      </c>
      <c r="G3" s="6">
        <v>-1</v>
      </c>
      <c r="H3" s="3">
        <v>46273</v>
      </c>
      <c r="I3" s="5">
        <v>708</v>
      </c>
      <c r="J3" s="2" t="s">
        <v>15</v>
      </c>
      <c r="K3" s="2" t="s">
        <v>554</v>
      </c>
      <c r="O3" s="18">
        <f t="shared" ref="O3:O20" si="0">H3</f>
        <v>46273</v>
      </c>
      <c r="P3" s="19">
        <f t="shared" ref="P3:P20" si="1">I3/3.369</f>
        <v>210.15138023152269</v>
      </c>
    </row>
    <row r="4" spans="1:18" hidden="1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14</v>
      </c>
      <c r="F4" s="3">
        <v>45980</v>
      </c>
      <c r="G4" s="4">
        <v>285</v>
      </c>
      <c r="H4" s="3">
        <v>45987</v>
      </c>
      <c r="I4" s="5">
        <v>42.48</v>
      </c>
      <c r="J4" s="2" t="s">
        <v>15</v>
      </c>
      <c r="K4" s="2" t="s">
        <v>554</v>
      </c>
      <c r="O4" s="18">
        <f t="shared" si="0"/>
        <v>45987</v>
      </c>
      <c r="P4" s="19">
        <f t="shared" si="1"/>
        <v>12.60908281389136</v>
      </c>
    </row>
    <row r="5" spans="1:18" hidden="1" x14ac:dyDescent="0.3">
      <c r="A5" s="2" t="s">
        <v>19</v>
      </c>
      <c r="B5" s="2" t="s">
        <v>23</v>
      </c>
      <c r="C5" s="2" t="s">
        <v>24</v>
      </c>
      <c r="D5" s="2" t="s">
        <v>25</v>
      </c>
      <c r="E5" s="2" t="s">
        <v>14</v>
      </c>
      <c r="F5" s="3">
        <v>45980</v>
      </c>
      <c r="G5" s="4">
        <v>285</v>
      </c>
      <c r="H5" s="3">
        <v>45987</v>
      </c>
      <c r="I5" s="5">
        <v>14.16</v>
      </c>
      <c r="J5" s="2" t="s">
        <v>15</v>
      </c>
      <c r="K5" s="2" t="s">
        <v>554</v>
      </c>
      <c r="O5" s="18">
        <f t="shared" si="0"/>
        <v>45987</v>
      </c>
      <c r="P5" s="19">
        <f t="shared" si="1"/>
        <v>4.2030276046304538</v>
      </c>
    </row>
    <row r="6" spans="1:18" hidden="1" x14ac:dyDescent="0.3">
      <c r="A6" s="2" t="s">
        <v>19</v>
      </c>
      <c r="B6" s="2" t="s">
        <v>26</v>
      </c>
      <c r="C6" s="2" t="s">
        <v>27</v>
      </c>
      <c r="D6" s="2" t="s">
        <v>28</v>
      </c>
      <c r="E6" s="2" t="s">
        <v>14</v>
      </c>
      <c r="F6" s="3">
        <v>45980</v>
      </c>
      <c r="G6" s="4">
        <v>285</v>
      </c>
      <c r="H6" s="3">
        <v>45987</v>
      </c>
      <c r="I6" s="5">
        <v>14.16</v>
      </c>
      <c r="J6" s="2" t="s">
        <v>15</v>
      </c>
      <c r="K6" s="2" t="s">
        <v>554</v>
      </c>
      <c r="O6" s="18">
        <f t="shared" si="0"/>
        <v>45987</v>
      </c>
      <c r="P6" s="19">
        <f t="shared" si="1"/>
        <v>4.2030276046304538</v>
      </c>
    </row>
    <row r="7" spans="1:18" hidden="1" x14ac:dyDescent="0.3">
      <c r="A7" s="2" t="s">
        <v>19</v>
      </c>
      <c r="B7" s="2" t="s">
        <v>29</v>
      </c>
      <c r="C7" s="2" t="s">
        <v>30</v>
      </c>
      <c r="D7" s="2" t="s">
        <v>31</v>
      </c>
      <c r="E7" s="2" t="s">
        <v>14</v>
      </c>
      <c r="F7" s="3">
        <v>45981</v>
      </c>
      <c r="G7" s="4">
        <v>284</v>
      </c>
      <c r="H7" s="3">
        <v>45988</v>
      </c>
      <c r="I7" s="5">
        <v>28.32</v>
      </c>
      <c r="J7" s="2" t="s">
        <v>15</v>
      </c>
      <c r="K7" s="2" t="s">
        <v>554</v>
      </c>
      <c r="O7" s="18">
        <f t="shared" si="0"/>
        <v>45988</v>
      </c>
      <c r="P7" s="19">
        <f t="shared" si="1"/>
        <v>8.4060552092609075</v>
      </c>
    </row>
    <row r="8" spans="1:18" hidden="1" x14ac:dyDescent="0.3">
      <c r="A8" s="2" t="s">
        <v>19</v>
      </c>
      <c r="B8" s="2" t="s">
        <v>32</v>
      </c>
      <c r="C8" s="2" t="s">
        <v>33</v>
      </c>
      <c r="D8" s="2" t="s">
        <v>34</v>
      </c>
      <c r="E8" s="2" t="s">
        <v>14</v>
      </c>
      <c r="F8" s="3">
        <v>45981</v>
      </c>
      <c r="G8" s="4">
        <v>284</v>
      </c>
      <c r="H8" s="3">
        <v>45988</v>
      </c>
      <c r="I8" s="5">
        <v>14.16</v>
      </c>
      <c r="J8" s="2" t="s">
        <v>15</v>
      </c>
      <c r="K8" s="2" t="s">
        <v>554</v>
      </c>
      <c r="O8" s="18">
        <f t="shared" si="0"/>
        <v>45988</v>
      </c>
      <c r="P8" s="19">
        <f t="shared" si="1"/>
        <v>4.2030276046304538</v>
      </c>
    </row>
    <row r="9" spans="1:18" hidden="1" x14ac:dyDescent="0.3">
      <c r="A9" s="2" t="s">
        <v>19</v>
      </c>
      <c r="B9" s="2" t="s">
        <v>35</v>
      </c>
      <c r="C9" s="2" t="s">
        <v>36</v>
      </c>
      <c r="D9" s="2" t="s">
        <v>37</v>
      </c>
      <c r="E9" s="2" t="s">
        <v>14</v>
      </c>
      <c r="F9" s="3">
        <v>45982</v>
      </c>
      <c r="G9" s="4">
        <v>283</v>
      </c>
      <c r="H9" s="3">
        <v>45989</v>
      </c>
      <c r="I9" s="5">
        <v>28.32</v>
      </c>
      <c r="J9" s="2" t="s">
        <v>15</v>
      </c>
      <c r="K9" s="2" t="s">
        <v>554</v>
      </c>
      <c r="O9" s="18">
        <f t="shared" si="0"/>
        <v>45989</v>
      </c>
      <c r="P9" s="19">
        <f t="shared" si="1"/>
        <v>8.4060552092609075</v>
      </c>
    </row>
    <row r="10" spans="1:18" hidden="1" x14ac:dyDescent="0.3">
      <c r="A10" s="2" t="s">
        <v>19</v>
      </c>
      <c r="B10" s="2" t="s">
        <v>38</v>
      </c>
      <c r="C10" s="2" t="s">
        <v>39</v>
      </c>
      <c r="D10" s="2" t="s">
        <v>40</v>
      </c>
      <c r="E10" s="2" t="s">
        <v>14</v>
      </c>
      <c r="F10" s="3">
        <v>45982</v>
      </c>
      <c r="G10" s="4">
        <v>283</v>
      </c>
      <c r="H10" s="3">
        <v>45989</v>
      </c>
      <c r="I10" s="5">
        <v>42.48</v>
      </c>
      <c r="J10" s="2" t="s">
        <v>15</v>
      </c>
      <c r="K10" s="2" t="s">
        <v>554</v>
      </c>
      <c r="O10" s="18">
        <f t="shared" si="0"/>
        <v>45989</v>
      </c>
      <c r="P10" s="19">
        <f t="shared" si="1"/>
        <v>12.60908281389136</v>
      </c>
    </row>
    <row r="11" spans="1:18" hidden="1" x14ac:dyDescent="0.3">
      <c r="A11" s="2" t="s">
        <v>19</v>
      </c>
      <c r="B11" s="2" t="s">
        <v>41</v>
      </c>
      <c r="C11" s="2" t="s">
        <v>42</v>
      </c>
      <c r="D11" s="2" t="s">
        <v>43</v>
      </c>
      <c r="E11" s="2" t="s">
        <v>14</v>
      </c>
      <c r="F11" s="3">
        <v>45982</v>
      </c>
      <c r="G11" s="4">
        <v>283</v>
      </c>
      <c r="H11" s="3">
        <v>45989</v>
      </c>
      <c r="I11" s="5">
        <v>42.48</v>
      </c>
      <c r="J11" s="2" t="s">
        <v>15</v>
      </c>
      <c r="K11" s="2" t="s">
        <v>554</v>
      </c>
      <c r="O11" s="18">
        <f t="shared" si="0"/>
        <v>45989</v>
      </c>
      <c r="P11" s="19">
        <f t="shared" si="1"/>
        <v>12.60908281389136</v>
      </c>
    </row>
    <row r="12" spans="1:18" hidden="1" x14ac:dyDescent="0.3">
      <c r="A12" s="2" t="s">
        <v>19</v>
      </c>
      <c r="B12" s="2" t="s">
        <v>44</v>
      </c>
      <c r="C12" s="2" t="s">
        <v>45</v>
      </c>
      <c r="D12" s="2" t="s">
        <v>46</v>
      </c>
      <c r="E12" s="2" t="s">
        <v>14</v>
      </c>
      <c r="F12" s="3">
        <v>45982</v>
      </c>
      <c r="G12" s="4">
        <v>283</v>
      </c>
      <c r="H12" s="3">
        <v>45989</v>
      </c>
      <c r="I12" s="5">
        <v>14.16</v>
      </c>
      <c r="J12" s="2" t="s">
        <v>15</v>
      </c>
      <c r="K12" s="2" t="s">
        <v>554</v>
      </c>
      <c r="O12" s="18">
        <f t="shared" si="0"/>
        <v>45989</v>
      </c>
      <c r="P12" s="19">
        <f t="shared" si="1"/>
        <v>4.2030276046304538</v>
      </c>
    </row>
    <row r="13" spans="1:18" hidden="1" x14ac:dyDescent="0.3">
      <c r="A13" s="2" t="s">
        <v>19</v>
      </c>
      <c r="B13" s="2" t="s">
        <v>47</v>
      </c>
      <c r="C13" s="2" t="s">
        <v>48</v>
      </c>
      <c r="D13" s="2" t="s">
        <v>49</v>
      </c>
      <c r="E13" s="2" t="s">
        <v>14</v>
      </c>
      <c r="F13" s="3">
        <v>45983</v>
      </c>
      <c r="G13" s="4">
        <v>282</v>
      </c>
      <c r="H13" s="3">
        <v>45990</v>
      </c>
      <c r="I13" s="5">
        <v>28.32</v>
      </c>
      <c r="J13" s="2" t="s">
        <v>15</v>
      </c>
      <c r="K13" s="2" t="s">
        <v>554</v>
      </c>
      <c r="O13" s="18">
        <f t="shared" si="0"/>
        <v>45990</v>
      </c>
      <c r="P13" s="19">
        <f t="shared" si="1"/>
        <v>8.4060552092609075</v>
      </c>
    </row>
    <row r="14" spans="1:18" hidden="1" x14ac:dyDescent="0.3">
      <c r="A14" s="2" t="s">
        <v>19</v>
      </c>
      <c r="B14" s="2" t="s">
        <v>50</v>
      </c>
      <c r="C14" s="2" t="s">
        <v>51</v>
      </c>
      <c r="D14" s="2" t="s">
        <v>52</v>
      </c>
      <c r="E14" s="2" t="s">
        <v>14</v>
      </c>
      <c r="F14" s="3">
        <v>45988</v>
      </c>
      <c r="G14" s="4">
        <v>277</v>
      </c>
      <c r="H14" s="3">
        <v>45995</v>
      </c>
      <c r="I14" s="5">
        <v>14.16</v>
      </c>
      <c r="J14" s="2" t="s">
        <v>15</v>
      </c>
      <c r="K14" s="2" t="s">
        <v>554</v>
      </c>
      <c r="O14" s="18">
        <f t="shared" si="0"/>
        <v>45995</v>
      </c>
      <c r="P14" s="19">
        <f t="shared" si="1"/>
        <v>4.2030276046304538</v>
      </c>
    </row>
    <row r="15" spans="1:18" hidden="1" x14ac:dyDescent="0.3">
      <c r="A15" s="2" t="s">
        <v>19</v>
      </c>
      <c r="B15" s="2" t="s">
        <v>53</v>
      </c>
      <c r="C15" s="2" t="s">
        <v>54</v>
      </c>
      <c r="D15" s="2" t="s">
        <v>55</v>
      </c>
      <c r="E15" s="2" t="s">
        <v>14</v>
      </c>
      <c r="F15" s="3">
        <v>46028</v>
      </c>
      <c r="G15" s="4">
        <v>237</v>
      </c>
      <c r="H15" s="3">
        <v>46035</v>
      </c>
      <c r="I15" s="5">
        <v>14.16</v>
      </c>
      <c r="J15" s="2" t="s">
        <v>15</v>
      </c>
      <c r="K15" s="2" t="s">
        <v>554</v>
      </c>
      <c r="O15" s="18">
        <f t="shared" si="0"/>
        <v>46035</v>
      </c>
      <c r="P15" s="19">
        <f t="shared" si="1"/>
        <v>4.2030276046304538</v>
      </c>
    </row>
    <row r="16" spans="1:18" hidden="1" x14ac:dyDescent="0.3">
      <c r="A16" s="2" t="s">
        <v>19</v>
      </c>
      <c r="B16" s="2" t="s">
        <v>56</v>
      </c>
      <c r="C16" s="2" t="s">
        <v>57</v>
      </c>
      <c r="D16" s="2" t="s">
        <v>58</v>
      </c>
      <c r="E16" s="2" t="s">
        <v>14</v>
      </c>
      <c r="F16" s="3">
        <v>46030</v>
      </c>
      <c r="G16" s="4">
        <v>235</v>
      </c>
      <c r="H16" s="3">
        <v>46037</v>
      </c>
      <c r="I16" s="5">
        <v>14.16</v>
      </c>
      <c r="J16" s="2" t="s">
        <v>15</v>
      </c>
      <c r="K16" s="2" t="s">
        <v>554</v>
      </c>
      <c r="O16" s="18">
        <f t="shared" si="0"/>
        <v>46037</v>
      </c>
      <c r="P16" s="19">
        <f t="shared" si="1"/>
        <v>4.2030276046304538</v>
      </c>
    </row>
    <row r="17" spans="1:18" hidden="1" x14ac:dyDescent="0.3">
      <c r="A17" s="2" t="s">
        <v>19</v>
      </c>
      <c r="B17" s="2" t="s">
        <v>59</v>
      </c>
      <c r="C17" s="2" t="s">
        <v>60</v>
      </c>
      <c r="D17" s="2" t="s">
        <v>61</v>
      </c>
      <c r="E17" s="2" t="s">
        <v>14</v>
      </c>
      <c r="F17" s="3">
        <v>46032</v>
      </c>
      <c r="G17" s="4">
        <v>233</v>
      </c>
      <c r="H17" s="3">
        <v>46039</v>
      </c>
      <c r="I17" s="5">
        <v>14.16</v>
      </c>
      <c r="J17" s="2" t="s">
        <v>15</v>
      </c>
      <c r="K17" s="2" t="s">
        <v>554</v>
      </c>
      <c r="O17" s="18">
        <f t="shared" si="0"/>
        <v>46039</v>
      </c>
      <c r="P17" s="19">
        <f t="shared" si="1"/>
        <v>4.2030276046304538</v>
      </c>
    </row>
    <row r="18" spans="1:18" hidden="1" x14ac:dyDescent="0.3">
      <c r="A18" s="2" t="s">
        <v>19</v>
      </c>
      <c r="B18" s="2" t="s">
        <v>62</v>
      </c>
      <c r="C18" s="2" t="s">
        <v>63</v>
      </c>
      <c r="D18" s="2" t="s">
        <v>64</v>
      </c>
      <c r="E18" s="2" t="s">
        <v>14</v>
      </c>
      <c r="F18" s="3">
        <v>46038</v>
      </c>
      <c r="G18" s="4">
        <v>227</v>
      </c>
      <c r="H18" s="3">
        <v>46045</v>
      </c>
      <c r="I18" s="5">
        <v>14.16</v>
      </c>
      <c r="J18" s="2" t="s">
        <v>15</v>
      </c>
      <c r="K18" s="2" t="s">
        <v>554</v>
      </c>
      <c r="O18" s="18">
        <f t="shared" si="0"/>
        <v>46045</v>
      </c>
      <c r="P18" s="19">
        <f t="shared" si="1"/>
        <v>4.2030276046304538</v>
      </c>
    </row>
    <row r="19" spans="1:18" hidden="1" x14ac:dyDescent="0.3">
      <c r="A19" s="2" t="s">
        <v>19</v>
      </c>
      <c r="B19" s="2" t="s">
        <v>65</v>
      </c>
      <c r="C19" s="2" t="s">
        <v>66</v>
      </c>
      <c r="D19" s="2" t="s">
        <v>67</v>
      </c>
      <c r="E19" s="2" t="s">
        <v>14</v>
      </c>
      <c r="F19" s="3">
        <v>46038</v>
      </c>
      <c r="G19" s="4">
        <v>227</v>
      </c>
      <c r="H19" s="3">
        <v>46045</v>
      </c>
      <c r="I19" s="5">
        <v>14.16</v>
      </c>
      <c r="J19" s="2" t="s">
        <v>15</v>
      </c>
      <c r="K19" s="2" t="s">
        <v>554</v>
      </c>
      <c r="O19" s="18">
        <f t="shared" si="0"/>
        <v>46045</v>
      </c>
      <c r="P19" s="19">
        <f t="shared" si="1"/>
        <v>4.2030276046304538</v>
      </c>
    </row>
    <row r="20" spans="1:18" hidden="1" x14ac:dyDescent="0.3">
      <c r="A20" s="2" t="s">
        <v>19</v>
      </c>
      <c r="B20" s="2" t="s">
        <v>68</v>
      </c>
      <c r="C20" s="2" t="s">
        <v>69</v>
      </c>
      <c r="D20" s="2" t="s">
        <v>70</v>
      </c>
      <c r="E20" s="2" t="s">
        <v>14</v>
      </c>
      <c r="F20" s="3">
        <v>46041</v>
      </c>
      <c r="G20" s="4">
        <v>224</v>
      </c>
      <c r="H20" s="3">
        <v>46048</v>
      </c>
      <c r="I20" s="5">
        <v>14.16</v>
      </c>
      <c r="J20" s="2" t="s">
        <v>15</v>
      </c>
      <c r="K20" s="2" t="s">
        <v>554</v>
      </c>
      <c r="O20" s="18">
        <f t="shared" si="0"/>
        <v>46048</v>
      </c>
      <c r="P20" s="19">
        <f t="shared" si="1"/>
        <v>4.2030276046304538</v>
      </c>
    </row>
    <row r="21" spans="1:18" x14ac:dyDescent="0.3">
      <c r="A21" s="2" t="s">
        <v>72</v>
      </c>
      <c r="B21" s="2" t="s">
        <v>75</v>
      </c>
      <c r="C21" s="2" t="s">
        <v>76</v>
      </c>
      <c r="D21" s="2" t="s">
        <v>582</v>
      </c>
      <c r="E21" s="2" t="s">
        <v>77</v>
      </c>
      <c r="F21" s="3">
        <v>46228</v>
      </c>
      <c r="G21" s="6">
        <v>-16</v>
      </c>
      <c r="H21" s="3">
        <v>46288</v>
      </c>
      <c r="I21" s="5">
        <v>8619</v>
      </c>
      <c r="J21" s="2" t="s">
        <v>74</v>
      </c>
      <c r="K21" s="2" t="s">
        <v>555</v>
      </c>
      <c r="L21" s="18">
        <f t="shared" ref="L21:L28" si="2">F21+60</f>
        <v>46288</v>
      </c>
      <c r="M21" s="20">
        <f t="shared" ref="M21:M28" ca="1" si="3">TODAY()-N21</f>
        <v>-16</v>
      </c>
      <c r="N21" s="18">
        <v>46288</v>
      </c>
      <c r="O21" s="18">
        <f t="shared" ref="O21:O28" si="4">H21</f>
        <v>46288</v>
      </c>
      <c r="P21" s="10">
        <f t="shared" ref="P21:P28" si="5">I21</f>
        <v>8619</v>
      </c>
      <c r="Q21" s="20">
        <f t="shared" ref="Q21:Q28" ca="1" si="6">TODAY()-F21</f>
        <v>44</v>
      </c>
      <c r="R21" t="s">
        <v>579</v>
      </c>
    </row>
    <row r="22" spans="1:18" x14ac:dyDescent="0.3">
      <c r="A22" s="2" t="s">
        <v>72</v>
      </c>
      <c r="B22" s="2" t="s">
        <v>78</v>
      </c>
      <c r="C22" s="2" t="s">
        <v>79</v>
      </c>
      <c r="D22" s="2" t="s">
        <v>80</v>
      </c>
      <c r="E22" s="2" t="s">
        <v>77</v>
      </c>
      <c r="F22" s="3">
        <v>46230</v>
      </c>
      <c r="G22" s="6">
        <v>-78</v>
      </c>
      <c r="H22" s="3">
        <v>46350</v>
      </c>
      <c r="I22" s="5">
        <v>83280</v>
      </c>
      <c r="J22" s="2" t="s">
        <v>74</v>
      </c>
      <c r="K22" s="2" t="s">
        <v>555</v>
      </c>
      <c r="L22" s="18">
        <f t="shared" si="2"/>
        <v>46290</v>
      </c>
      <c r="M22" s="20">
        <f t="shared" ca="1" si="3"/>
        <v>-18</v>
      </c>
      <c r="N22" s="18">
        <v>46290</v>
      </c>
      <c r="O22" s="18">
        <v>46290</v>
      </c>
      <c r="P22" s="10">
        <f t="shared" si="5"/>
        <v>83280</v>
      </c>
      <c r="Q22" s="20">
        <f t="shared" ca="1" si="6"/>
        <v>42</v>
      </c>
      <c r="R22" t="s">
        <v>579</v>
      </c>
    </row>
    <row r="23" spans="1:18" x14ac:dyDescent="0.3">
      <c r="A23" s="2" t="s">
        <v>72</v>
      </c>
      <c r="B23" s="2" t="s">
        <v>81</v>
      </c>
      <c r="C23" s="2" t="s">
        <v>82</v>
      </c>
      <c r="D23" s="2" t="s">
        <v>83</v>
      </c>
      <c r="E23" s="2" t="s">
        <v>77</v>
      </c>
      <c r="F23" s="3">
        <v>46232</v>
      </c>
      <c r="G23" s="6">
        <v>-20</v>
      </c>
      <c r="H23" s="3">
        <v>46292</v>
      </c>
      <c r="I23" s="5">
        <v>41448</v>
      </c>
      <c r="J23" s="2" t="s">
        <v>74</v>
      </c>
      <c r="K23" s="2" t="s">
        <v>555</v>
      </c>
      <c r="L23" s="18">
        <f t="shared" si="2"/>
        <v>46292</v>
      </c>
      <c r="M23" s="20">
        <f t="shared" ca="1" si="3"/>
        <v>-20</v>
      </c>
      <c r="N23" s="18">
        <v>46292</v>
      </c>
      <c r="O23" s="18">
        <f t="shared" si="4"/>
        <v>46292</v>
      </c>
      <c r="P23" s="10">
        <f t="shared" si="5"/>
        <v>41448</v>
      </c>
      <c r="Q23" s="20">
        <f t="shared" ca="1" si="6"/>
        <v>40</v>
      </c>
      <c r="R23" t="s">
        <v>579</v>
      </c>
    </row>
    <row r="24" spans="1:18" x14ac:dyDescent="0.3">
      <c r="A24" s="2" t="s">
        <v>72</v>
      </c>
      <c r="B24" s="2" t="s">
        <v>84</v>
      </c>
      <c r="C24" s="2" t="s">
        <v>85</v>
      </c>
      <c r="D24" s="2" t="s">
        <v>86</v>
      </c>
      <c r="E24" s="2" t="s">
        <v>71</v>
      </c>
      <c r="F24" s="3">
        <v>46249</v>
      </c>
      <c r="G24" s="4">
        <v>23</v>
      </c>
      <c r="H24" s="3">
        <v>46249</v>
      </c>
      <c r="I24" s="5">
        <v>94530</v>
      </c>
      <c r="J24" s="2" t="s">
        <v>74</v>
      </c>
      <c r="K24" s="2" t="s">
        <v>555</v>
      </c>
      <c r="L24" s="18">
        <f t="shared" si="2"/>
        <v>46309</v>
      </c>
      <c r="M24" s="20">
        <f t="shared" ca="1" si="3"/>
        <v>-37</v>
      </c>
      <c r="N24" s="18">
        <v>46309</v>
      </c>
      <c r="O24" s="18">
        <v>46309</v>
      </c>
      <c r="P24" s="10">
        <f t="shared" si="5"/>
        <v>94530</v>
      </c>
      <c r="Q24" s="20">
        <f t="shared" ca="1" si="6"/>
        <v>23</v>
      </c>
      <c r="R24" t="s">
        <v>579</v>
      </c>
    </row>
    <row r="25" spans="1:18" x14ac:dyDescent="0.3">
      <c r="A25" s="2" t="s">
        <v>72</v>
      </c>
      <c r="B25" s="2" t="s">
        <v>87</v>
      </c>
      <c r="C25" s="2" t="s">
        <v>88</v>
      </c>
      <c r="D25" s="2" t="s">
        <v>89</v>
      </c>
      <c r="E25" s="2" t="s">
        <v>71</v>
      </c>
      <c r="F25" s="3">
        <v>46249</v>
      </c>
      <c r="G25" s="4">
        <v>23</v>
      </c>
      <c r="H25" s="3">
        <v>46249</v>
      </c>
      <c r="I25" s="5">
        <v>29598</v>
      </c>
      <c r="J25" s="2" t="s">
        <v>74</v>
      </c>
      <c r="K25" s="2" t="s">
        <v>555</v>
      </c>
      <c r="L25" s="18">
        <f t="shared" si="2"/>
        <v>46309</v>
      </c>
      <c r="M25" s="20">
        <f t="shared" ca="1" si="3"/>
        <v>-37</v>
      </c>
      <c r="N25" s="18">
        <v>46309</v>
      </c>
      <c r="O25" s="18">
        <v>46309</v>
      </c>
      <c r="P25" s="10">
        <f t="shared" si="5"/>
        <v>29598</v>
      </c>
      <c r="Q25" s="20">
        <f t="shared" ca="1" si="6"/>
        <v>23</v>
      </c>
      <c r="R25" t="s">
        <v>579</v>
      </c>
    </row>
    <row r="26" spans="1:18" x14ac:dyDescent="0.3">
      <c r="A26" s="2" t="s">
        <v>72</v>
      </c>
      <c r="B26" s="2" t="s">
        <v>90</v>
      </c>
      <c r="C26" s="2" t="s">
        <v>91</v>
      </c>
      <c r="D26" s="2" t="s">
        <v>92</v>
      </c>
      <c r="E26" s="2" t="s">
        <v>71</v>
      </c>
      <c r="F26" s="3">
        <v>46249</v>
      </c>
      <c r="G26" s="4">
        <v>23</v>
      </c>
      <c r="H26" s="3">
        <v>46249</v>
      </c>
      <c r="I26" s="5">
        <v>54840</v>
      </c>
      <c r="J26" s="2" t="s">
        <v>74</v>
      </c>
      <c r="K26" s="2" t="s">
        <v>555</v>
      </c>
      <c r="L26" s="18">
        <f t="shared" si="2"/>
        <v>46309</v>
      </c>
      <c r="M26" s="20">
        <f t="shared" ca="1" si="3"/>
        <v>-37</v>
      </c>
      <c r="N26" s="18">
        <v>46309</v>
      </c>
      <c r="O26" s="18">
        <v>46309</v>
      </c>
      <c r="P26" s="10">
        <f t="shared" si="5"/>
        <v>54840</v>
      </c>
      <c r="Q26" s="20">
        <f t="shared" ca="1" si="6"/>
        <v>23</v>
      </c>
      <c r="R26" t="s">
        <v>579</v>
      </c>
    </row>
    <row r="27" spans="1:18" x14ac:dyDescent="0.3">
      <c r="A27" s="2" t="s">
        <v>72</v>
      </c>
      <c r="B27" s="2" t="s">
        <v>93</v>
      </c>
      <c r="C27" s="2" t="s">
        <v>94</v>
      </c>
      <c r="D27" s="2" t="s">
        <v>95</v>
      </c>
      <c r="E27" s="2" t="s">
        <v>71</v>
      </c>
      <c r="F27" s="3">
        <v>46249</v>
      </c>
      <c r="G27" s="4">
        <v>23</v>
      </c>
      <c r="H27" s="3">
        <v>46249</v>
      </c>
      <c r="I27" s="5">
        <v>29010</v>
      </c>
      <c r="J27" s="2" t="s">
        <v>74</v>
      </c>
      <c r="K27" s="2" t="s">
        <v>555</v>
      </c>
      <c r="L27" s="18">
        <f t="shared" si="2"/>
        <v>46309</v>
      </c>
      <c r="M27" s="20">
        <f t="shared" ca="1" si="3"/>
        <v>-37</v>
      </c>
      <c r="N27" s="18">
        <v>46309</v>
      </c>
      <c r="O27" s="18">
        <v>46309</v>
      </c>
      <c r="P27" s="10">
        <f t="shared" si="5"/>
        <v>29010</v>
      </c>
      <c r="Q27" s="20">
        <f t="shared" ca="1" si="6"/>
        <v>23</v>
      </c>
      <c r="R27" t="s">
        <v>579</v>
      </c>
    </row>
    <row r="28" spans="1:18" x14ac:dyDescent="0.3">
      <c r="A28" s="2" t="s">
        <v>72</v>
      </c>
      <c r="B28" s="2" t="s">
        <v>96</v>
      </c>
      <c r="C28" s="2" t="s">
        <v>97</v>
      </c>
      <c r="D28" s="2" t="s">
        <v>98</v>
      </c>
      <c r="E28" s="2" t="s">
        <v>77</v>
      </c>
      <c r="F28" s="3">
        <v>46250</v>
      </c>
      <c r="G28" s="6">
        <v>-38</v>
      </c>
      <c r="H28" s="3">
        <v>46310</v>
      </c>
      <c r="I28" s="5">
        <v>41064</v>
      </c>
      <c r="J28" s="2" t="s">
        <v>74</v>
      </c>
      <c r="K28" s="2" t="s">
        <v>555</v>
      </c>
      <c r="L28" s="18">
        <f t="shared" si="2"/>
        <v>46310</v>
      </c>
      <c r="M28" s="20">
        <f t="shared" ca="1" si="3"/>
        <v>-38</v>
      </c>
      <c r="N28" s="18">
        <v>46310</v>
      </c>
      <c r="O28" s="18">
        <f t="shared" si="4"/>
        <v>46310</v>
      </c>
      <c r="P28" s="10">
        <f t="shared" si="5"/>
        <v>41064</v>
      </c>
      <c r="Q28" s="20">
        <f t="shared" ca="1" si="6"/>
        <v>22</v>
      </c>
      <c r="R28" t="s">
        <v>579</v>
      </c>
    </row>
    <row r="29" spans="1:18" hidden="1" x14ac:dyDescent="0.3">
      <c r="A29" s="2" t="s">
        <v>99</v>
      </c>
      <c r="B29" s="2" t="s">
        <v>100</v>
      </c>
      <c r="C29" s="2" t="s">
        <v>101</v>
      </c>
      <c r="D29" s="2" t="s">
        <v>102</v>
      </c>
      <c r="E29" s="2" t="s">
        <v>103</v>
      </c>
      <c r="F29" s="3">
        <v>46266</v>
      </c>
      <c r="G29" s="6">
        <v>-1</v>
      </c>
      <c r="H29" s="3">
        <v>46273</v>
      </c>
      <c r="I29" s="5">
        <v>325.68</v>
      </c>
      <c r="J29" s="2" t="s">
        <v>15</v>
      </c>
      <c r="K29" s="2" t="s">
        <v>554</v>
      </c>
      <c r="O29" s="18">
        <f t="shared" ref="O29:O47" si="7">H29</f>
        <v>46273</v>
      </c>
      <c r="P29" s="19">
        <f t="shared" ref="P29:P45" si="8">I29/3.369</f>
        <v>96.669634906500434</v>
      </c>
    </row>
    <row r="30" spans="1:18" hidden="1" x14ac:dyDescent="0.3">
      <c r="A30" s="2" t="s">
        <v>99</v>
      </c>
      <c r="B30" s="2" t="s">
        <v>104</v>
      </c>
      <c r="C30" s="2" t="s">
        <v>105</v>
      </c>
      <c r="D30" s="2" t="s">
        <v>106</v>
      </c>
      <c r="E30" s="2" t="s">
        <v>103</v>
      </c>
      <c r="F30" s="3">
        <v>46266</v>
      </c>
      <c r="G30" s="6">
        <v>-1</v>
      </c>
      <c r="H30" s="3">
        <v>46273</v>
      </c>
      <c r="I30" s="5">
        <v>35.4</v>
      </c>
      <c r="J30" s="2" t="s">
        <v>15</v>
      </c>
      <c r="K30" s="2" t="s">
        <v>554</v>
      </c>
      <c r="O30" s="18">
        <f t="shared" si="7"/>
        <v>46273</v>
      </c>
      <c r="P30" s="19">
        <f t="shared" si="8"/>
        <v>10.507569011576134</v>
      </c>
    </row>
    <row r="31" spans="1:18" hidden="1" x14ac:dyDescent="0.3">
      <c r="A31" s="2" t="s">
        <v>109</v>
      </c>
      <c r="B31" s="2" t="s">
        <v>110</v>
      </c>
      <c r="C31" s="2" t="s">
        <v>111</v>
      </c>
      <c r="D31" s="2" t="s">
        <v>112</v>
      </c>
      <c r="E31" s="2" t="s">
        <v>14</v>
      </c>
      <c r="F31" s="3">
        <v>46261</v>
      </c>
      <c r="G31" s="4">
        <v>4</v>
      </c>
      <c r="H31" s="3">
        <v>46268</v>
      </c>
      <c r="I31" s="5">
        <v>283.2</v>
      </c>
      <c r="J31" s="2" t="s">
        <v>15</v>
      </c>
      <c r="K31" s="2" t="s">
        <v>554</v>
      </c>
      <c r="O31" s="18">
        <f t="shared" si="7"/>
        <v>46268</v>
      </c>
      <c r="P31" s="19">
        <f t="shared" si="8"/>
        <v>84.060552092609072</v>
      </c>
    </row>
    <row r="32" spans="1:18" hidden="1" x14ac:dyDescent="0.3">
      <c r="A32" s="2" t="s">
        <v>113</v>
      </c>
      <c r="B32" s="2" t="s">
        <v>114</v>
      </c>
      <c r="C32" s="2" t="s">
        <v>115</v>
      </c>
      <c r="D32" s="2" t="s">
        <v>116</v>
      </c>
      <c r="E32" s="2" t="s">
        <v>14</v>
      </c>
      <c r="F32" s="3">
        <v>46266</v>
      </c>
      <c r="G32" s="6">
        <v>-1</v>
      </c>
      <c r="H32" s="3">
        <v>46273</v>
      </c>
      <c r="I32" s="5">
        <v>59</v>
      </c>
      <c r="J32" s="2" t="s">
        <v>15</v>
      </c>
      <c r="K32" s="2" t="s">
        <v>554</v>
      </c>
      <c r="O32" s="18">
        <f t="shared" si="7"/>
        <v>46273</v>
      </c>
      <c r="P32" s="19">
        <f t="shared" si="8"/>
        <v>17.512615019293559</v>
      </c>
    </row>
    <row r="33" spans="1:18" hidden="1" x14ac:dyDescent="0.3">
      <c r="A33" s="2" t="s">
        <v>113</v>
      </c>
      <c r="B33" s="2" t="s">
        <v>117</v>
      </c>
      <c r="C33" s="2" t="s">
        <v>118</v>
      </c>
      <c r="D33" s="2" t="s">
        <v>119</v>
      </c>
      <c r="E33" s="2" t="s">
        <v>14</v>
      </c>
      <c r="F33" s="3">
        <v>46266</v>
      </c>
      <c r="G33" s="6">
        <v>-1</v>
      </c>
      <c r="H33" s="3">
        <v>46273</v>
      </c>
      <c r="I33" s="5">
        <v>726.88</v>
      </c>
      <c r="J33" s="2" t="s">
        <v>15</v>
      </c>
      <c r="K33" s="2" t="s">
        <v>554</v>
      </c>
      <c r="O33" s="18">
        <f t="shared" si="7"/>
        <v>46273</v>
      </c>
      <c r="P33" s="19">
        <f t="shared" si="8"/>
        <v>215.75541703769662</v>
      </c>
    </row>
    <row r="34" spans="1:18" hidden="1" x14ac:dyDescent="0.3">
      <c r="A34" s="2" t="s">
        <v>113</v>
      </c>
      <c r="B34" s="2" t="s">
        <v>120</v>
      </c>
      <c r="C34" s="2" t="s">
        <v>121</v>
      </c>
      <c r="D34" s="2" t="s">
        <v>122</v>
      </c>
      <c r="E34" s="2" t="s">
        <v>14</v>
      </c>
      <c r="F34" s="3">
        <v>46266</v>
      </c>
      <c r="G34" s="6">
        <v>-1</v>
      </c>
      <c r="H34" s="3">
        <v>46273</v>
      </c>
      <c r="I34" s="5">
        <v>106.2</v>
      </c>
      <c r="J34" s="2" t="s">
        <v>15</v>
      </c>
      <c r="K34" s="2" t="s">
        <v>554</v>
      </c>
      <c r="O34" s="18">
        <f t="shared" si="7"/>
        <v>46273</v>
      </c>
      <c r="P34" s="19">
        <f t="shared" si="8"/>
        <v>31.522707034728406</v>
      </c>
    </row>
    <row r="35" spans="1:18" hidden="1" x14ac:dyDescent="0.3">
      <c r="A35" s="2" t="s">
        <v>113</v>
      </c>
      <c r="B35" s="2" t="s">
        <v>123</v>
      </c>
      <c r="C35" s="2" t="s">
        <v>124</v>
      </c>
      <c r="D35" s="2" t="s">
        <v>125</v>
      </c>
      <c r="E35" s="2" t="s">
        <v>14</v>
      </c>
      <c r="F35" s="3">
        <v>46267</v>
      </c>
      <c r="G35" s="6">
        <v>-2</v>
      </c>
      <c r="H35" s="3">
        <v>46274</v>
      </c>
      <c r="I35" s="5">
        <v>59</v>
      </c>
      <c r="J35" s="2" t="s">
        <v>15</v>
      </c>
      <c r="K35" s="2" t="s">
        <v>554</v>
      </c>
      <c r="O35" s="18">
        <f t="shared" si="7"/>
        <v>46274</v>
      </c>
      <c r="P35" s="19">
        <f t="shared" si="8"/>
        <v>17.512615019293559</v>
      </c>
    </row>
    <row r="36" spans="1:18" hidden="1" x14ac:dyDescent="0.3">
      <c r="A36" s="2" t="s">
        <v>113</v>
      </c>
      <c r="B36" s="2" t="s">
        <v>126</v>
      </c>
      <c r="C36" s="2" t="s">
        <v>127</v>
      </c>
      <c r="D36" s="2" t="s">
        <v>128</v>
      </c>
      <c r="E36" s="2" t="s">
        <v>14</v>
      </c>
      <c r="F36" s="3">
        <v>46268</v>
      </c>
      <c r="G36" s="6">
        <v>-3</v>
      </c>
      <c r="H36" s="3">
        <v>46275</v>
      </c>
      <c r="I36" s="5">
        <v>540.67999999999995</v>
      </c>
      <c r="J36" s="2" t="s">
        <v>15</v>
      </c>
      <c r="K36" s="2" t="s">
        <v>554</v>
      </c>
      <c r="O36" s="18">
        <f t="shared" si="7"/>
        <v>46275</v>
      </c>
      <c r="P36" s="19">
        <f t="shared" si="8"/>
        <v>160.48679133273967</v>
      </c>
    </row>
    <row r="37" spans="1:18" hidden="1" x14ac:dyDescent="0.3">
      <c r="A37" s="2" t="s">
        <v>113</v>
      </c>
      <c r="B37" s="2" t="s">
        <v>129</v>
      </c>
      <c r="C37" s="2" t="s">
        <v>130</v>
      </c>
      <c r="D37" s="2" t="s">
        <v>131</v>
      </c>
      <c r="E37" s="2" t="s">
        <v>14</v>
      </c>
      <c r="F37" s="3">
        <v>46268</v>
      </c>
      <c r="G37" s="6">
        <v>-3</v>
      </c>
      <c r="H37" s="3">
        <v>46275</v>
      </c>
      <c r="I37" s="5">
        <v>70.8</v>
      </c>
      <c r="J37" s="2" t="s">
        <v>15</v>
      </c>
      <c r="K37" s="2" t="s">
        <v>554</v>
      </c>
      <c r="O37" s="18">
        <f t="shared" si="7"/>
        <v>46275</v>
      </c>
      <c r="P37" s="19">
        <f t="shared" si="8"/>
        <v>21.015138023152268</v>
      </c>
    </row>
    <row r="38" spans="1:18" hidden="1" x14ac:dyDescent="0.3">
      <c r="A38" s="2" t="s">
        <v>113</v>
      </c>
      <c r="B38" s="2" t="s">
        <v>132</v>
      </c>
      <c r="C38" s="2" t="s">
        <v>133</v>
      </c>
      <c r="D38" s="2" t="s">
        <v>134</v>
      </c>
      <c r="E38" s="2" t="s">
        <v>14</v>
      </c>
      <c r="F38" s="3">
        <v>46270</v>
      </c>
      <c r="G38" s="6">
        <v>-5</v>
      </c>
      <c r="H38" s="3">
        <v>46277</v>
      </c>
      <c r="I38" s="5">
        <v>186.02</v>
      </c>
      <c r="J38" s="2" t="s">
        <v>15</v>
      </c>
      <c r="K38" s="2" t="s">
        <v>554</v>
      </c>
      <c r="O38" s="18">
        <f t="shared" si="7"/>
        <v>46277</v>
      </c>
      <c r="P38" s="19">
        <f t="shared" si="8"/>
        <v>55.215197387948947</v>
      </c>
    </row>
    <row r="39" spans="1:18" hidden="1" x14ac:dyDescent="0.3">
      <c r="A39" s="2" t="s">
        <v>113</v>
      </c>
      <c r="B39" s="2" t="s">
        <v>135</v>
      </c>
      <c r="C39" s="2" t="s">
        <v>136</v>
      </c>
      <c r="D39" s="2" t="s">
        <v>137</v>
      </c>
      <c r="E39" s="2" t="s">
        <v>14</v>
      </c>
      <c r="F39" s="3">
        <v>46270</v>
      </c>
      <c r="G39" s="6">
        <v>-5</v>
      </c>
      <c r="H39" s="3">
        <v>46277</v>
      </c>
      <c r="I39" s="5">
        <v>123.9</v>
      </c>
      <c r="J39" s="2" t="s">
        <v>15</v>
      </c>
      <c r="K39" s="2" t="s">
        <v>554</v>
      </c>
      <c r="O39" s="18">
        <f t="shared" si="7"/>
        <v>46277</v>
      </c>
      <c r="P39" s="19">
        <f t="shared" si="8"/>
        <v>36.776491540516474</v>
      </c>
    </row>
    <row r="40" spans="1:18" hidden="1" x14ac:dyDescent="0.3">
      <c r="A40" s="2" t="s">
        <v>113</v>
      </c>
      <c r="B40" s="2" t="s">
        <v>138</v>
      </c>
      <c r="C40" s="2" t="s">
        <v>139</v>
      </c>
      <c r="D40" s="2" t="s">
        <v>140</v>
      </c>
      <c r="E40" s="2" t="s">
        <v>14</v>
      </c>
      <c r="F40" s="3">
        <v>46270</v>
      </c>
      <c r="G40" s="6">
        <v>-5</v>
      </c>
      <c r="H40" s="3">
        <v>46277</v>
      </c>
      <c r="I40" s="5">
        <v>730.84</v>
      </c>
      <c r="J40" s="2" t="s">
        <v>15</v>
      </c>
      <c r="K40" s="2" t="s">
        <v>554</v>
      </c>
      <c r="O40" s="18">
        <f t="shared" si="7"/>
        <v>46277</v>
      </c>
      <c r="P40" s="19">
        <f t="shared" si="8"/>
        <v>216.93084001187296</v>
      </c>
    </row>
    <row r="41" spans="1:18" hidden="1" x14ac:dyDescent="0.3">
      <c r="A41" s="2" t="s">
        <v>113</v>
      </c>
      <c r="B41" s="2" t="s">
        <v>141</v>
      </c>
      <c r="C41" s="2" t="s">
        <v>142</v>
      </c>
      <c r="D41" s="2" t="s">
        <v>143</v>
      </c>
      <c r="E41" s="2" t="s">
        <v>14</v>
      </c>
      <c r="F41" s="3">
        <v>46270</v>
      </c>
      <c r="G41" s="6">
        <v>-5</v>
      </c>
      <c r="H41" s="3">
        <v>46277</v>
      </c>
      <c r="I41" s="5">
        <v>194.7</v>
      </c>
      <c r="J41" s="2" t="s">
        <v>15</v>
      </c>
      <c r="K41" s="2" t="s">
        <v>554</v>
      </c>
      <c r="O41" s="18">
        <f t="shared" si="7"/>
        <v>46277</v>
      </c>
      <c r="P41" s="19">
        <f t="shared" si="8"/>
        <v>57.791629563668735</v>
      </c>
    </row>
    <row r="42" spans="1:18" hidden="1" x14ac:dyDescent="0.3">
      <c r="A42" s="2" t="s">
        <v>113</v>
      </c>
      <c r="B42" s="2" t="s">
        <v>144</v>
      </c>
      <c r="C42" s="2" t="s">
        <v>145</v>
      </c>
      <c r="D42" s="2" t="s">
        <v>146</v>
      </c>
      <c r="E42" s="2" t="s">
        <v>14</v>
      </c>
      <c r="F42" s="3">
        <v>46270</v>
      </c>
      <c r="G42" s="6">
        <v>-5</v>
      </c>
      <c r="H42" s="3">
        <v>46277</v>
      </c>
      <c r="I42" s="5">
        <v>323.13</v>
      </c>
      <c r="J42" s="2" t="s">
        <v>15</v>
      </c>
      <c r="K42" s="2" t="s">
        <v>554</v>
      </c>
      <c r="O42" s="18">
        <f t="shared" si="7"/>
        <v>46277</v>
      </c>
      <c r="P42" s="19">
        <f t="shared" si="8"/>
        <v>95.912733748886907</v>
      </c>
    </row>
    <row r="43" spans="1:18" hidden="1" x14ac:dyDescent="0.3">
      <c r="A43" s="2" t="s">
        <v>113</v>
      </c>
      <c r="B43" s="2" t="s">
        <v>147</v>
      </c>
      <c r="C43" s="2" t="s">
        <v>148</v>
      </c>
      <c r="D43" s="2" t="s">
        <v>149</v>
      </c>
      <c r="E43" s="2" t="s">
        <v>14</v>
      </c>
      <c r="F43" s="3">
        <v>46270</v>
      </c>
      <c r="G43" s="6">
        <v>-5</v>
      </c>
      <c r="H43" s="3">
        <v>46277</v>
      </c>
      <c r="I43" s="5">
        <v>123.9</v>
      </c>
      <c r="J43" s="2" t="s">
        <v>15</v>
      </c>
      <c r="K43" s="2" t="s">
        <v>554</v>
      </c>
      <c r="O43" s="18">
        <f t="shared" si="7"/>
        <v>46277</v>
      </c>
      <c r="P43" s="19">
        <f t="shared" si="8"/>
        <v>36.776491540516474</v>
      </c>
    </row>
    <row r="44" spans="1:18" hidden="1" x14ac:dyDescent="0.3">
      <c r="A44" s="2" t="s">
        <v>113</v>
      </c>
      <c r="B44" s="2" t="s">
        <v>150</v>
      </c>
      <c r="C44" s="2" t="s">
        <v>151</v>
      </c>
      <c r="D44" s="2" t="s">
        <v>152</v>
      </c>
      <c r="E44" s="2" t="s">
        <v>14</v>
      </c>
      <c r="F44" s="3">
        <v>46271</v>
      </c>
      <c r="G44" s="6">
        <v>-6</v>
      </c>
      <c r="H44" s="3">
        <v>46278</v>
      </c>
      <c r="I44" s="5">
        <v>446.04</v>
      </c>
      <c r="J44" s="2" t="s">
        <v>15</v>
      </c>
      <c r="K44" s="2" t="s">
        <v>554</v>
      </c>
      <c r="O44" s="18">
        <f t="shared" si="7"/>
        <v>46278</v>
      </c>
      <c r="P44" s="19">
        <f t="shared" si="8"/>
        <v>132.3953695458593</v>
      </c>
    </row>
    <row r="45" spans="1:18" hidden="1" x14ac:dyDescent="0.3">
      <c r="A45" s="2" t="s">
        <v>113</v>
      </c>
      <c r="B45" s="2" t="s">
        <v>153</v>
      </c>
      <c r="C45" s="2" t="s">
        <v>154</v>
      </c>
      <c r="D45" s="2" t="s">
        <v>155</v>
      </c>
      <c r="E45" s="2" t="s">
        <v>14</v>
      </c>
      <c r="F45" s="3">
        <v>46271</v>
      </c>
      <c r="G45" s="6">
        <v>-6</v>
      </c>
      <c r="H45" s="3">
        <v>46278</v>
      </c>
      <c r="I45" s="5">
        <v>177</v>
      </c>
      <c r="J45" s="2" t="s">
        <v>15</v>
      </c>
      <c r="K45" s="2" t="s">
        <v>554</v>
      </c>
      <c r="O45" s="18">
        <f t="shared" si="7"/>
        <v>46278</v>
      </c>
      <c r="P45" s="19">
        <f t="shared" si="8"/>
        <v>52.537845057880673</v>
      </c>
    </row>
    <row r="46" spans="1:18" x14ac:dyDescent="0.3">
      <c r="A46" s="2" t="s">
        <v>156</v>
      </c>
      <c r="B46" s="2" t="s">
        <v>158</v>
      </c>
      <c r="C46" s="2" t="s">
        <v>159</v>
      </c>
      <c r="D46" s="2" t="s">
        <v>160</v>
      </c>
      <c r="E46" s="2" t="s">
        <v>108</v>
      </c>
      <c r="F46" s="3">
        <v>46247</v>
      </c>
      <c r="G46" s="4">
        <v>0</v>
      </c>
      <c r="H46" s="3">
        <v>46265</v>
      </c>
      <c r="I46" s="7">
        <v>-31032</v>
      </c>
      <c r="J46" s="2" t="s">
        <v>74</v>
      </c>
      <c r="K46" s="2" t="s">
        <v>555</v>
      </c>
      <c r="L46" s="18">
        <f t="shared" ref="L46:L47" si="9">F46+60</f>
        <v>46307</v>
      </c>
      <c r="M46" s="20"/>
      <c r="N46" s="18"/>
      <c r="O46" s="18">
        <f>F46</f>
        <v>46247</v>
      </c>
      <c r="P46" s="10">
        <f t="shared" ref="P46:P47" si="10">I46</f>
        <v>-31032</v>
      </c>
      <c r="Q46" s="20">
        <f t="shared" ref="Q46:Q47" ca="1" si="11">TODAY()-F46</f>
        <v>25</v>
      </c>
      <c r="R46" t="s">
        <v>579</v>
      </c>
    </row>
    <row r="47" spans="1:18" x14ac:dyDescent="0.3">
      <c r="A47" s="2" t="s">
        <v>156</v>
      </c>
      <c r="B47" s="2" t="s">
        <v>161</v>
      </c>
      <c r="C47" s="2" t="s">
        <v>162</v>
      </c>
      <c r="D47" s="2" t="s">
        <v>163</v>
      </c>
      <c r="E47" s="2" t="s">
        <v>77</v>
      </c>
      <c r="F47" s="3">
        <v>46265</v>
      </c>
      <c r="G47" s="6">
        <v>-53</v>
      </c>
      <c r="H47" s="3">
        <v>46325</v>
      </c>
      <c r="I47" s="5">
        <v>89775</v>
      </c>
      <c r="J47" s="2" t="s">
        <v>74</v>
      </c>
      <c r="K47" s="2" t="s">
        <v>555</v>
      </c>
      <c r="L47" s="18">
        <f t="shared" si="9"/>
        <v>46325</v>
      </c>
      <c r="M47" s="20">
        <f t="shared" ref="M47" ca="1" si="12">TODAY()-N47</f>
        <v>-53</v>
      </c>
      <c r="N47" s="18">
        <v>46325</v>
      </c>
      <c r="O47" s="18">
        <f t="shared" si="7"/>
        <v>46325</v>
      </c>
      <c r="P47" s="10">
        <f t="shared" si="10"/>
        <v>89775</v>
      </c>
      <c r="Q47" s="20">
        <f t="shared" ca="1" si="11"/>
        <v>7</v>
      </c>
      <c r="R47" t="s">
        <v>579</v>
      </c>
    </row>
    <row r="48" spans="1:18" hidden="1" x14ac:dyDescent="0.3">
      <c r="A48" s="2" t="s">
        <v>164</v>
      </c>
      <c r="B48" s="2" t="s">
        <v>165</v>
      </c>
      <c r="C48" s="2" t="s">
        <v>166</v>
      </c>
      <c r="D48" s="2" t="s">
        <v>167</v>
      </c>
      <c r="E48" s="2" t="s">
        <v>103</v>
      </c>
      <c r="F48" s="3">
        <v>46265</v>
      </c>
      <c r="G48" s="4">
        <v>0</v>
      </c>
      <c r="H48" s="3">
        <v>46272</v>
      </c>
      <c r="I48" s="5">
        <v>997.57</v>
      </c>
      <c r="J48" s="2" t="s">
        <v>15</v>
      </c>
      <c r="K48" s="2" t="s">
        <v>554</v>
      </c>
      <c r="O48" s="18">
        <f t="shared" ref="O48:O63" si="13">H48</f>
        <v>46272</v>
      </c>
      <c r="P48" s="19">
        <f t="shared" ref="P48:P61" si="14">I48/3.369</f>
        <v>296.10270109824876</v>
      </c>
    </row>
    <row r="49" spans="1:18" hidden="1" x14ac:dyDescent="0.3">
      <c r="A49" s="2" t="s">
        <v>164</v>
      </c>
      <c r="B49" s="2" t="s">
        <v>168</v>
      </c>
      <c r="C49" s="2" t="s">
        <v>169</v>
      </c>
      <c r="D49" s="2" t="s">
        <v>170</v>
      </c>
      <c r="E49" s="2" t="s">
        <v>103</v>
      </c>
      <c r="F49" s="3">
        <v>46265</v>
      </c>
      <c r="G49" s="4">
        <v>0</v>
      </c>
      <c r="H49" s="3">
        <v>46272</v>
      </c>
      <c r="I49" s="5">
        <v>141.6</v>
      </c>
      <c r="J49" s="2" t="s">
        <v>15</v>
      </c>
      <c r="K49" s="2" t="s">
        <v>554</v>
      </c>
      <c r="O49" s="18">
        <f t="shared" si="13"/>
        <v>46272</v>
      </c>
      <c r="P49" s="19">
        <f t="shared" si="14"/>
        <v>42.030276046304536</v>
      </c>
    </row>
    <row r="50" spans="1:18" hidden="1" x14ac:dyDescent="0.3">
      <c r="A50" s="2" t="s">
        <v>164</v>
      </c>
      <c r="B50" s="2" t="s">
        <v>171</v>
      </c>
      <c r="C50" s="2" t="s">
        <v>172</v>
      </c>
      <c r="D50" s="2" t="s">
        <v>173</v>
      </c>
      <c r="E50" s="2" t="s">
        <v>103</v>
      </c>
      <c r="F50" s="3">
        <v>46266</v>
      </c>
      <c r="G50" s="6">
        <v>-1</v>
      </c>
      <c r="H50" s="3">
        <v>46273</v>
      </c>
      <c r="I50" s="5">
        <v>752.13</v>
      </c>
      <c r="J50" s="2" t="s">
        <v>15</v>
      </c>
      <c r="K50" s="2" t="s">
        <v>554</v>
      </c>
      <c r="O50" s="18">
        <f t="shared" si="13"/>
        <v>46273</v>
      </c>
      <c r="P50" s="19">
        <f t="shared" si="14"/>
        <v>223.2502226179875</v>
      </c>
    </row>
    <row r="51" spans="1:18" hidden="1" x14ac:dyDescent="0.3">
      <c r="A51" s="2" t="s">
        <v>164</v>
      </c>
      <c r="B51" s="2" t="s">
        <v>174</v>
      </c>
      <c r="C51" s="2" t="s">
        <v>175</v>
      </c>
      <c r="D51" s="2" t="s">
        <v>176</v>
      </c>
      <c r="E51" s="2" t="s">
        <v>103</v>
      </c>
      <c r="F51" s="3">
        <v>46266</v>
      </c>
      <c r="G51" s="6">
        <v>-1</v>
      </c>
      <c r="H51" s="3">
        <v>46273</v>
      </c>
      <c r="I51" s="5">
        <v>70.8</v>
      </c>
      <c r="J51" s="2" t="s">
        <v>15</v>
      </c>
      <c r="K51" s="2" t="s">
        <v>554</v>
      </c>
      <c r="O51" s="18">
        <f t="shared" si="13"/>
        <v>46273</v>
      </c>
      <c r="P51" s="19">
        <f t="shared" si="14"/>
        <v>21.015138023152268</v>
      </c>
    </row>
    <row r="52" spans="1:18" hidden="1" x14ac:dyDescent="0.3">
      <c r="A52" s="2" t="s">
        <v>164</v>
      </c>
      <c r="B52" s="2" t="s">
        <v>177</v>
      </c>
      <c r="C52" s="2" t="s">
        <v>178</v>
      </c>
      <c r="D52" s="2" t="s">
        <v>179</v>
      </c>
      <c r="E52" s="2" t="s">
        <v>103</v>
      </c>
      <c r="F52" s="3">
        <v>46267</v>
      </c>
      <c r="G52" s="6">
        <v>-2</v>
      </c>
      <c r="H52" s="3">
        <v>46274</v>
      </c>
      <c r="I52" s="5">
        <v>322.61</v>
      </c>
      <c r="J52" s="2" t="s">
        <v>15</v>
      </c>
      <c r="K52" s="2" t="s">
        <v>554</v>
      </c>
      <c r="O52" s="18">
        <f t="shared" si="13"/>
        <v>46274</v>
      </c>
      <c r="P52" s="19">
        <f t="shared" si="14"/>
        <v>95.758385277530422</v>
      </c>
    </row>
    <row r="53" spans="1:18" hidden="1" x14ac:dyDescent="0.3">
      <c r="A53" s="2" t="s">
        <v>164</v>
      </c>
      <c r="B53" s="2" t="s">
        <v>180</v>
      </c>
      <c r="C53" s="2" t="s">
        <v>181</v>
      </c>
      <c r="D53" s="2" t="s">
        <v>182</v>
      </c>
      <c r="E53" s="2" t="s">
        <v>103</v>
      </c>
      <c r="F53" s="3">
        <v>46267</v>
      </c>
      <c r="G53" s="6">
        <v>-2</v>
      </c>
      <c r="H53" s="3">
        <v>46274</v>
      </c>
      <c r="I53" s="5">
        <v>70.8</v>
      </c>
      <c r="J53" s="2" t="s">
        <v>15</v>
      </c>
      <c r="K53" s="2" t="s">
        <v>554</v>
      </c>
      <c r="O53" s="18">
        <f t="shared" si="13"/>
        <v>46274</v>
      </c>
      <c r="P53" s="19">
        <f t="shared" si="14"/>
        <v>21.015138023152268</v>
      </c>
    </row>
    <row r="54" spans="1:18" hidden="1" x14ac:dyDescent="0.3">
      <c r="A54" s="2" t="s">
        <v>164</v>
      </c>
      <c r="B54" s="2" t="s">
        <v>183</v>
      </c>
      <c r="C54" s="2" t="s">
        <v>184</v>
      </c>
      <c r="D54" s="2" t="s">
        <v>185</v>
      </c>
      <c r="E54" s="2" t="s">
        <v>103</v>
      </c>
      <c r="F54" s="3">
        <v>46268</v>
      </c>
      <c r="G54" s="6">
        <v>-3</v>
      </c>
      <c r="H54" s="3">
        <v>46275</v>
      </c>
      <c r="I54" s="5">
        <v>595.9</v>
      </c>
      <c r="J54" s="2" t="s">
        <v>15</v>
      </c>
      <c r="K54" s="2" t="s">
        <v>554</v>
      </c>
      <c r="O54" s="18">
        <f t="shared" si="13"/>
        <v>46275</v>
      </c>
      <c r="P54" s="19">
        <f t="shared" si="14"/>
        <v>176.87741169486492</v>
      </c>
    </row>
    <row r="55" spans="1:18" hidden="1" x14ac:dyDescent="0.3">
      <c r="A55" s="2" t="s">
        <v>164</v>
      </c>
      <c r="B55" s="2" t="s">
        <v>186</v>
      </c>
      <c r="C55" s="2" t="s">
        <v>187</v>
      </c>
      <c r="D55" s="2" t="s">
        <v>188</v>
      </c>
      <c r="E55" s="2" t="s">
        <v>103</v>
      </c>
      <c r="F55" s="3">
        <v>46268</v>
      </c>
      <c r="G55" s="6">
        <v>-3</v>
      </c>
      <c r="H55" s="3">
        <v>46275</v>
      </c>
      <c r="I55" s="5">
        <v>70.8</v>
      </c>
      <c r="J55" s="2" t="s">
        <v>15</v>
      </c>
      <c r="K55" s="2" t="s">
        <v>554</v>
      </c>
      <c r="O55" s="18">
        <f t="shared" si="13"/>
        <v>46275</v>
      </c>
      <c r="P55" s="19">
        <f t="shared" si="14"/>
        <v>21.015138023152268</v>
      </c>
    </row>
    <row r="56" spans="1:18" hidden="1" x14ac:dyDescent="0.3">
      <c r="A56" s="2" t="s">
        <v>164</v>
      </c>
      <c r="B56" s="2" t="s">
        <v>189</v>
      </c>
      <c r="C56" s="2" t="s">
        <v>190</v>
      </c>
      <c r="D56" s="2" t="s">
        <v>191</v>
      </c>
      <c r="E56" s="2" t="s">
        <v>103</v>
      </c>
      <c r="F56" s="3">
        <v>46270</v>
      </c>
      <c r="G56" s="6">
        <v>-5</v>
      </c>
      <c r="H56" s="3">
        <v>46277</v>
      </c>
      <c r="I56" s="5">
        <v>630.12</v>
      </c>
      <c r="J56" s="2" t="s">
        <v>15</v>
      </c>
      <c r="K56" s="2" t="s">
        <v>554</v>
      </c>
      <c r="O56" s="18">
        <f t="shared" si="13"/>
        <v>46277</v>
      </c>
      <c r="P56" s="19">
        <f t="shared" si="14"/>
        <v>187.03472840605519</v>
      </c>
    </row>
    <row r="57" spans="1:18" hidden="1" x14ac:dyDescent="0.3">
      <c r="A57" s="2" t="s">
        <v>164</v>
      </c>
      <c r="B57" s="2" t="s">
        <v>192</v>
      </c>
      <c r="C57" s="2" t="s">
        <v>193</v>
      </c>
      <c r="D57" s="2" t="s">
        <v>194</v>
      </c>
      <c r="E57" s="2" t="s">
        <v>103</v>
      </c>
      <c r="F57" s="3">
        <v>46270</v>
      </c>
      <c r="G57" s="6">
        <v>-5</v>
      </c>
      <c r="H57" s="3">
        <v>46277</v>
      </c>
      <c r="I57" s="5">
        <v>70.8</v>
      </c>
      <c r="J57" s="2" t="s">
        <v>15</v>
      </c>
      <c r="K57" s="2" t="s">
        <v>554</v>
      </c>
      <c r="O57" s="18">
        <f t="shared" si="13"/>
        <v>46277</v>
      </c>
      <c r="P57" s="19">
        <f t="shared" si="14"/>
        <v>21.015138023152268</v>
      </c>
    </row>
    <row r="58" spans="1:18" hidden="1" x14ac:dyDescent="0.3">
      <c r="A58" s="2" t="s">
        <v>164</v>
      </c>
      <c r="B58" s="2" t="s">
        <v>195</v>
      </c>
      <c r="C58" s="2" t="s">
        <v>196</v>
      </c>
      <c r="D58" s="2" t="s">
        <v>197</v>
      </c>
      <c r="E58" s="2" t="s">
        <v>103</v>
      </c>
      <c r="F58" s="3">
        <v>46270</v>
      </c>
      <c r="G58" s="6">
        <v>-5</v>
      </c>
      <c r="H58" s="3">
        <v>46277</v>
      </c>
      <c r="I58" s="5">
        <v>664.58</v>
      </c>
      <c r="J58" s="2" t="s">
        <v>15</v>
      </c>
      <c r="K58" s="2" t="s">
        <v>554</v>
      </c>
      <c r="O58" s="18">
        <f t="shared" si="13"/>
        <v>46277</v>
      </c>
      <c r="P58" s="19">
        <f t="shared" si="14"/>
        <v>197.26328287325614</v>
      </c>
    </row>
    <row r="59" spans="1:18" hidden="1" x14ac:dyDescent="0.3">
      <c r="A59" s="2" t="s">
        <v>164</v>
      </c>
      <c r="B59" s="2" t="s">
        <v>198</v>
      </c>
      <c r="C59" s="2" t="s">
        <v>199</v>
      </c>
      <c r="D59" s="2" t="s">
        <v>200</v>
      </c>
      <c r="E59" s="2" t="s">
        <v>103</v>
      </c>
      <c r="F59" s="3">
        <v>46270</v>
      </c>
      <c r="G59" s="6">
        <v>-5</v>
      </c>
      <c r="H59" s="3">
        <v>46277</v>
      </c>
      <c r="I59" s="5">
        <v>70.8</v>
      </c>
      <c r="J59" s="2" t="s">
        <v>15</v>
      </c>
      <c r="K59" s="2" t="s">
        <v>554</v>
      </c>
      <c r="O59" s="18">
        <f t="shared" si="13"/>
        <v>46277</v>
      </c>
      <c r="P59" s="19">
        <f t="shared" si="14"/>
        <v>21.015138023152268</v>
      </c>
    </row>
    <row r="60" spans="1:18" hidden="1" x14ac:dyDescent="0.3">
      <c r="A60" s="2" t="s">
        <v>164</v>
      </c>
      <c r="B60" s="2" t="s">
        <v>201</v>
      </c>
      <c r="C60" s="2" t="s">
        <v>202</v>
      </c>
      <c r="D60" s="2" t="s">
        <v>203</v>
      </c>
      <c r="E60" s="2" t="s">
        <v>103</v>
      </c>
      <c r="F60" s="3">
        <v>46271</v>
      </c>
      <c r="G60" s="6">
        <v>-6</v>
      </c>
      <c r="H60" s="3">
        <v>46278</v>
      </c>
      <c r="I60" s="5">
        <v>665.52</v>
      </c>
      <c r="J60" s="2" t="s">
        <v>15</v>
      </c>
      <c r="K60" s="2" t="s">
        <v>554</v>
      </c>
      <c r="O60" s="18">
        <f t="shared" si="13"/>
        <v>46278</v>
      </c>
      <c r="P60" s="19">
        <f t="shared" si="14"/>
        <v>197.54229741763132</v>
      </c>
    </row>
    <row r="61" spans="1:18" hidden="1" x14ac:dyDescent="0.3">
      <c r="A61" s="2" t="s">
        <v>164</v>
      </c>
      <c r="B61" s="2" t="s">
        <v>204</v>
      </c>
      <c r="C61" s="2" t="s">
        <v>205</v>
      </c>
      <c r="D61" s="2" t="s">
        <v>206</v>
      </c>
      <c r="E61" s="2" t="s">
        <v>103</v>
      </c>
      <c r="F61" s="3">
        <v>46271</v>
      </c>
      <c r="G61" s="6">
        <v>-6</v>
      </c>
      <c r="H61" s="3">
        <v>46278</v>
      </c>
      <c r="I61" s="5">
        <v>70.8</v>
      </c>
      <c r="J61" s="2" t="s">
        <v>15</v>
      </c>
      <c r="K61" s="2" t="s">
        <v>554</v>
      </c>
      <c r="O61" s="18">
        <f t="shared" si="13"/>
        <v>46278</v>
      </c>
      <c r="P61" s="19">
        <f t="shared" si="14"/>
        <v>21.015138023152268</v>
      </c>
    </row>
    <row r="62" spans="1:18" x14ac:dyDescent="0.3">
      <c r="A62" s="2" t="s">
        <v>207</v>
      </c>
      <c r="B62" s="2" t="s">
        <v>208</v>
      </c>
      <c r="C62" s="2" t="s">
        <v>209</v>
      </c>
      <c r="D62" s="2" t="s">
        <v>210</v>
      </c>
      <c r="E62" s="2" t="s">
        <v>71</v>
      </c>
      <c r="F62" s="3">
        <v>46139</v>
      </c>
      <c r="G62" s="4">
        <v>133</v>
      </c>
      <c r="H62" s="3">
        <v>46139</v>
      </c>
      <c r="I62" s="5">
        <v>15163</v>
      </c>
      <c r="J62" s="2" t="s">
        <v>74</v>
      </c>
      <c r="K62" s="2" t="s">
        <v>555</v>
      </c>
      <c r="L62" s="18">
        <f t="shared" ref="L62:L64" si="15">F62+60</f>
        <v>46199</v>
      </c>
      <c r="M62" s="20">
        <f t="shared" ref="M62:M64" ca="1" si="16">TODAY()-N62</f>
        <v>-38</v>
      </c>
      <c r="N62" s="18">
        <v>46310</v>
      </c>
      <c r="O62" s="18">
        <v>46310</v>
      </c>
      <c r="P62" s="10">
        <f t="shared" ref="P62:P64" si="17">I62</f>
        <v>15163</v>
      </c>
      <c r="Q62" s="20">
        <f t="shared" ref="Q62:Q64" ca="1" si="18">TODAY()-F62</f>
        <v>133</v>
      </c>
      <c r="R62" t="s">
        <v>581</v>
      </c>
    </row>
    <row r="63" spans="1:18" x14ac:dyDescent="0.3">
      <c r="A63" s="2" t="s">
        <v>211</v>
      </c>
      <c r="B63" s="2" t="s">
        <v>212</v>
      </c>
      <c r="C63" s="2" t="s">
        <v>213</v>
      </c>
      <c r="D63" s="2" t="s">
        <v>214</v>
      </c>
      <c r="E63" s="2" t="s">
        <v>108</v>
      </c>
      <c r="F63" s="3">
        <v>46259</v>
      </c>
      <c r="G63" s="4">
        <v>0</v>
      </c>
      <c r="H63" s="3">
        <v>46265</v>
      </c>
      <c r="I63" s="7">
        <v>-13902</v>
      </c>
      <c r="J63" s="2" t="s">
        <v>74</v>
      </c>
      <c r="K63" s="2" t="s">
        <v>555</v>
      </c>
      <c r="L63" s="18">
        <f t="shared" si="15"/>
        <v>46319</v>
      </c>
      <c r="M63" s="20"/>
      <c r="N63" s="18"/>
      <c r="O63" s="18">
        <f>F63</f>
        <v>46259</v>
      </c>
      <c r="P63" s="10">
        <f t="shared" si="17"/>
        <v>-13902</v>
      </c>
      <c r="Q63" s="20">
        <f t="shared" ca="1" si="18"/>
        <v>13</v>
      </c>
      <c r="R63" t="s">
        <v>579</v>
      </c>
    </row>
    <row r="64" spans="1:18" x14ac:dyDescent="0.3">
      <c r="A64" s="2" t="s">
        <v>211</v>
      </c>
      <c r="B64" s="2" t="s">
        <v>215</v>
      </c>
      <c r="C64" s="2" t="s">
        <v>216</v>
      </c>
      <c r="D64" s="2" t="s">
        <v>217</v>
      </c>
      <c r="E64" s="2" t="s">
        <v>77</v>
      </c>
      <c r="F64" s="3">
        <v>46265</v>
      </c>
      <c r="G64" s="6">
        <v>-38</v>
      </c>
      <c r="H64" s="3">
        <v>46310</v>
      </c>
      <c r="I64" s="5">
        <v>69660</v>
      </c>
      <c r="J64" s="2" t="s">
        <v>74</v>
      </c>
      <c r="K64" s="2" t="s">
        <v>555</v>
      </c>
      <c r="L64" s="18">
        <f t="shared" si="15"/>
        <v>46325</v>
      </c>
      <c r="M64" s="20">
        <f t="shared" ca="1" si="16"/>
        <v>-53</v>
      </c>
      <c r="N64" s="18">
        <v>46325</v>
      </c>
      <c r="O64" s="18">
        <v>46325</v>
      </c>
      <c r="P64" s="10">
        <f t="shared" si="17"/>
        <v>69660</v>
      </c>
      <c r="Q64" s="20">
        <f t="shared" ca="1" si="18"/>
        <v>7</v>
      </c>
      <c r="R64" t="s">
        <v>579</v>
      </c>
    </row>
    <row r="65" spans="1:16" hidden="1" x14ac:dyDescent="0.3">
      <c r="A65" s="2" t="s">
        <v>218</v>
      </c>
      <c r="B65" s="2" t="s">
        <v>219</v>
      </c>
      <c r="C65" s="2" t="s">
        <v>220</v>
      </c>
      <c r="D65" s="2" t="s">
        <v>221</v>
      </c>
      <c r="E65" s="2" t="s">
        <v>14</v>
      </c>
      <c r="F65" s="3">
        <v>46242</v>
      </c>
      <c r="G65" s="4">
        <v>23</v>
      </c>
      <c r="H65" s="3">
        <v>46249</v>
      </c>
      <c r="I65" s="5">
        <v>12626</v>
      </c>
      <c r="J65" s="2" t="s">
        <v>74</v>
      </c>
      <c r="K65" s="2" t="s">
        <v>558</v>
      </c>
      <c r="O65" s="18">
        <f>H65</f>
        <v>46249</v>
      </c>
      <c r="P65" s="10">
        <f>I65</f>
        <v>12626</v>
      </c>
    </row>
    <row r="66" spans="1:16" hidden="1" x14ac:dyDescent="0.3">
      <c r="A66" s="2" t="s">
        <v>218</v>
      </c>
      <c r="B66" s="2" t="s">
        <v>222</v>
      </c>
      <c r="C66" s="2" t="s">
        <v>223</v>
      </c>
      <c r="D66" s="2" t="s">
        <v>224</v>
      </c>
      <c r="E66" s="2" t="s">
        <v>14</v>
      </c>
      <c r="F66" s="3">
        <v>46262</v>
      </c>
      <c r="G66" s="4">
        <v>3</v>
      </c>
      <c r="H66" s="3">
        <v>46269</v>
      </c>
      <c r="I66" s="5">
        <v>4293.67</v>
      </c>
      <c r="J66" s="2" t="s">
        <v>74</v>
      </c>
      <c r="K66" s="2" t="s">
        <v>558</v>
      </c>
      <c r="O66" s="18">
        <f t="shared" ref="O66:O111" si="19">H66</f>
        <v>46269</v>
      </c>
      <c r="P66" s="10">
        <f t="shared" ref="P66:P67" si="20">I66</f>
        <v>4293.67</v>
      </c>
    </row>
    <row r="67" spans="1:16" hidden="1" x14ac:dyDescent="0.3">
      <c r="A67" s="2" t="s">
        <v>218</v>
      </c>
      <c r="B67" s="2" t="s">
        <v>225</v>
      </c>
      <c r="C67" s="2" t="s">
        <v>226</v>
      </c>
      <c r="D67" s="2" t="s">
        <v>227</v>
      </c>
      <c r="E67" s="2" t="s">
        <v>14</v>
      </c>
      <c r="F67" s="3">
        <v>46267</v>
      </c>
      <c r="G67" s="6">
        <v>-2</v>
      </c>
      <c r="H67" s="3">
        <v>46274</v>
      </c>
      <c r="I67" s="5">
        <v>20060</v>
      </c>
      <c r="J67" s="2" t="s">
        <v>74</v>
      </c>
      <c r="K67" s="2" t="s">
        <v>558</v>
      </c>
      <c r="O67" s="18">
        <f t="shared" si="19"/>
        <v>46274</v>
      </c>
      <c r="P67" s="10">
        <f t="shared" si="20"/>
        <v>20060</v>
      </c>
    </row>
    <row r="68" spans="1:16" hidden="1" x14ac:dyDescent="0.3">
      <c r="A68" s="2" t="s">
        <v>228</v>
      </c>
      <c r="B68" s="2" t="s">
        <v>229</v>
      </c>
      <c r="C68" s="2" t="s">
        <v>230</v>
      </c>
      <c r="D68" s="2" t="s">
        <v>231</v>
      </c>
      <c r="E68" s="2" t="s">
        <v>14</v>
      </c>
      <c r="F68" s="3">
        <v>46227</v>
      </c>
      <c r="G68" s="4">
        <v>38</v>
      </c>
      <c r="H68" s="3">
        <v>46234</v>
      </c>
      <c r="I68" s="5">
        <v>617.85</v>
      </c>
      <c r="J68" s="2" t="s">
        <v>15</v>
      </c>
      <c r="K68" s="2" t="s">
        <v>554</v>
      </c>
      <c r="O68" s="18">
        <f t="shared" si="19"/>
        <v>46234</v>
      </c>
      <c r="P68" s="19">
        <f t="shared" ref="P68:P109" si="21">I68/3.369</f>
        <v>183.39269813000891</v>
      </c>
    </row>
    <row r="69" spans="1:16" hidden="1" x14ac:dyDescent="0.3">
      <c r="A69" s="2" t="s">
        <v>228</v>
      </c>
      <c r="B69" s="2" t="s">
        <v>232</v>
      </c>
      <c r="C69" s="2" t="s">
        <v>233</v>
      </c>
      <c r="D69" s="2" t="s">
        <v>234</v>
      </c>
      <c r="E69" s="2" t="s">
        <v>14</v>
      </c>
      <c r="F69" s="3">
        <v>46227</v>
      </c>
      <c r="G69" s="4">
        <v>38</v>
      </c>
      <c r="H69" s="3">
        <v>46234</v>
      </c>
      <c r="I69" s="5">
        <v>177</v>
      </c>
      <c r="J69" s="2" t="s">
        <v>15</v>
      </c>
      <c r="K69" s="2" t="s">
        <v>554</v>
      </c>
      <c r="O69" s="18">
        <f t="shared" si="19"/>
        <v>46234</v>
      </c>
      <c r="P69" s="19">
        <f t="shared" si="21"/>
        <v>52.537845057880673</v>
      </c>
    </row>
    <row r="70" spans="1:16" hidden="1" x14ac:dyDescent="0.3">
      <c r="A70" s="2" t="s">
        <v>228</v>
      </c>
      <c r="B70" s="2" t="s">
        <v>235</v>
      </c>
      <c r="C70" s="2" t="s">
        <v>236</v>
      </c>
      <c r="D70" s="2" t="s">
        <v>237</v>
      </c>
      <c r="E70" s="2" t="s">
        <v>14</v>
      </c>
      <c r="F70" s="3">
        <v>46227</v>
      </c>
      <c r="G70" s="4">
        <v>38</v>
      </c>
      <c r="H70" s="3">
        <v>46234</v>
      </c>
      <c r="I70" s="5">
        <v>673.02</v>
      </c>
      <c r="J70" s="2" t="s">
        <v>15</v>
      </c>
      <c r="K70" s="2" t="s">
        <v>554</v>
      </c>
      <c r="O70" s="18">
        <f t="shared" si="19"/>
        <v>46234</v>
      </c>
      <c r="P70" s="19">
        <f t="shared" si="21"/>
        <v>199.76847729296526</v>
      </c>
    </row>
    <row r="71" spans="1:16" hidden="1" x14ac:dyDescent="0.3">
      <c r="A71" s="2" t="s">
        <v>228</v>
      </c>
      <c r="B71" s="2" t="s">
        <v>238</v>
      </c>
      <c r="C71" s="2" t="s">
        <v>239</v>
      </c>
      <c r="D71" s="2" t="s">
        <v>240</v>
      </c>
      <c r="E71" s="2" t="s">
        <v>14</v>
      </c>
      <c r="F71" s="3">
        <v>46227</v>
      </c>
      <c r="G71" s="4">
        <v>38</v>
      </c>
      <c r="H71" s="3">
        <v>46234</v>
      </c>
      <c r="I71" s="5">
        <v>177</v>
      </c>
      <c r="J71" s="2" t="s">
        <v>15</v>
      </c>
      <c r="K71" s="2" t="s">
        <v>554</v>
      </c>
      <c r="O71" s="18">
        <f t="shared" si="19"/>
        <v>46234</v>
      </c>
      <c r="P71" s="19">
        <f t="shared" si="21"/>
        <v>52.537845057880673</v>
      </c>
    </row>
    <row r="72" spans="1:16" hidden="1" x14ac:dyDescent="0.3">
      <c r="A72" s="2" t="s">
        <v>228</v>
      </c>
      <c r="B72" s="2" t="s">
        <v>241</v>
      </c>
      <c r="C72" s="2" t="s">
        <v>242</v>
      </c>
      <c r="D72" s="2" t="s">
        <v>243</v>
      </c>
      <c r="E72" s="2" t="s">
        <v>14</v>
      </c>
      <c r="F72" s="3">
        <v>46230</v>
      </c>
      <c r="G72" s="4">
        <v>35</v>
      </c>
      <c r="H72" s="3">
        <v>46237</v>
      </c>
      <c r="I72" s="5">
        <v>47.2</v>
      </c>
      <c r="J72" s="2" t="s">
        <v>15</v>
      </c>
      <c r="K72" s="2" t="s">
        <v>554</v>
      </c>
      <c r="O72" s="18">
        <f t="shared" si="19"/>
        <v>46237</v>
      </c>
      <c r="P72" s="19">
        <f t="shared" si="21"/>
        <v>14.010092015434847</v>
      </c>
    </row>
    <row r="73" spans="1:16" hidden="1" x14ac:dyDescent="0.3">
      <c r="A73" s="2" t="s">
        <v>228</v>
      </c>
      <c r="B73" s="2" t="s">
        <v>244</v>
      </c>
      <c r="C73" s="2" t="s">
        <v>245</v>
      </c>
      <c r="D73" s="2" t="s">
        <v>246</v>
      </c>
      <c r="E73" s="2" t="s">
        <v>14</v>
      </c>
      <c r="F73" s="3">
        <v>46230</v>
      </c>
      <c r="G73" s="4">
        <v>35</v>
      </c>
      <c r="H73" s="3">
        <v>46237</v>
      </c>
      <c r="I73" s="5">
        <v>266.44</v>
      </c>
      <c r="J73" s="2" t="s">
        <v>15</v>
      </c>
      <c r="K73" s="2" t="s">
        <v>554</v>
      </c>
      <c r="O73" s="18">
        <f t="shared" si="19"/>
        <v>46237</v>
      </c>
      <c r="P73" s="19">
        <f t="shared" si="21"/>
        <v>79.085782131196197</v>
      </c>
    </row>
    <row r="74" spans="1:16" hidden="1" x14ac:dyDescent="0.3">
      <c r="A74" s="2" t="s">
        <v>228</v>
      </c>
      <c r="B74" s="2" t="s">
        <v>247</v>
      </c>
      <c r="C74" s="2" t="s">
        <v>248</v>
      </c>
      <c r="D74" s="2" t="s">
        <v>249</v>
      </c>
      <c r="E74" s="2" t="s">
        <v>14</v>
      </c>
      <c r="F74" s="3">
        <v>46262</v>
      </c>
      <c r="G74" s="4">
        <v>3</v>
      </c>
      <c r="H74" s="3">
        <v>46269</v>
      </c>
      <c r="I74" s="5">
        <v>269.27999999999997</v>
      </c>
      <c r="J74" s="2" t="s">
        <v>15</v>
      </c>
      <c r="K74" s="2" t="s">
        <v>554</v>
      </c>
      <c r="O74" s="18">
        <f t="shared" si="19"/>
        <v>46269</v>
      </c>
      <c r="P74" s="19">
        <f t="shared" si="21"/>
        <v>79.928762243989297</v>
      </c>
    </row>
    <row r="75" spans="1:16" hidden="1" x14ac:dyDescent="0.3">
      <c r="A75" s="2" t="s">
        <v>228</v>
      </c>
      <c r="B75" s="2" t="s">
        <v>250</v>
      </c>
      <c r="C75" s="2" t="s">
        <v>251</v>
      </c>
      <c r="D75" s="2" t="s">
        <v>252</v>
      </c>
      <c r="E75" s="2" t="s">
        <v>14</v>
      </c>
      <c r="F75" s="3">
        <v>46262</v>
      </c>
      <c r="G75" s="4">
        <v>3</v>
      </c>
      <c r="H75" s="3">
        <v>46269</v>
      </c>
      <c r="I75" s="5">
        <v>47.2</v>
      </c>
      <c r="J75" s="2" t="s">
        <v>15</v>
      </c>
      <c r="K75" s="2" t="s">
        <v>554</v>
      </c>
      <c r="O75" s="18">
        <f t="shared" si="19"/>
        <v>46269</v>
      </c>
      <c r="P75" s="19">
        <f t="shared" si="21"/>
        <v>14.010092015434847</v>
      </c>
    </row>
    <row r="76" spans="1:16" hidden="1" x14ac:dyDescent="0.3">
      <c r="A76" s="2" t="s">
        <v>228</v>
      </c>
      <c r="B76" s="2" t="s">
        <v>253</v>
      </c>
      <c r="C76" s="2" t="s">
        <v>254</v>
      </c>
      <c r="D76" s="2" t="s">
        <v>255</v>
      </c>
      <c r="E76" s="2" t="s">
        <v>14</v>
      </c>
      <c r="F76" s="3">
        <v>46263</v>
      </c>
      <c r="G76" s="4">
        <v>2</v>
      </c>
      <c r="H76" s="3">
        <v>46270</v>
      </c>
      <c r="I76" s="5">
        <v>543.27</v>
      </c>
      <c r="J76" s="2" t="s">
        <v>15</v>
      </c>
      <c r="K76" s="2" t="s">
        <v>554</v>
      </c>
      <c r="O76" s="18">
        <f t="shared" si="19"/>
        <v>46270</v>
      </c>
      <c r="P76" s="19">
        <f t="shared" si="21"/>
        <v>161.25556544968831</v>
      </c>
    </row>
    <row r="77" spans="1:16" hidden="1" x14ac:dyDescent="0.3">
      <c r="A77" s="2" t="s">
        <v>228</v>
      </c>
      <c r="B77" s="2" t="s">
        <v>256</v>
      </c>
      <c r="C77" s="2" t="s">
        <v>257</v>
      </c>
      <c r="D77" s="2" t="s">
        <v>258</v>
      </c>
      <c r="E77" s="2" t="s">
        <v>14</v>
      </c>
      <c r="F77" s="3">
        <v>46263</v>
      </c>
      <c r="G77" s="4">
        <v>2</v>
      </c>
      <c r="H77" s="3">
        <v>46270</v>
      </c>
      <c r="I77" s="5">
        <v>70.8</v>
      </c>
      <c r="J77" s="2" t="s">
        <v>15</v>
      </c>
      <c r="K77" s="2" t="s">
        <v>554</v>
      </c>
      <c r="O77" s="18">
        <f t="shared" si="19"/>
        <v>46270</v>
      </c>
      <c r="P77" s="19">
        <f t="shared" si="21"/>
        <v>21.015138023152268</v>
      </c>
    </row>
    <row r="78" spans="1:16" hidden="1" x14ac:dyDescent="0.3">
      <c r="A78" s="2" t="s">
        <v>228</v>
      </c>
      <c r="B78" s="2" t="s">
        <v>259</v>
      </c>
      <c r="C78" s="2" t="s">
        <v>260</v>
      </c>
      <c r="D78" s="2" t="s">
        <v>261</v>
      </c>
      <c r="E78" s="2" t="s">
        <v>14</v>
      </c>
      <c r="F78" s="3">
        <v>46265</v>
      </c>
      <c r="G78" s="4">
        <v>0</v>
      </c>
      <c r="H78" s="3">
        <v>46272</v>
      </c>
      <c r="I78" s="5">
        <v>839.92</v>
      </c>
      <c r="J78" s="2" t="s">
        <v>15</v>
      </c>
      <c r="K78" s="2" t="s">
        <v>554</v>
      </c>
      <c r="O78" s="18">
        <f t="shared" si="19"/>
        <v>46272</v>
      </c>
      <c r="P78" s="19">
        <f t="shared" si="21"/>
        <v>249.30840011872957</v>
      </c>
    </row>
    <row r="79" spans="1:16" hidden="1" x14ac:dyDescent="0.3">
      <c r="A79" s="2" t="s">
        <v>228</v>
      </c>
      <c r="B79" s="2" t="s">
        <v>262</v>
      </c>
      <c r="C79" s="2" t="s">
        <v>263</v>
      </c>
      <c r="D79" s="2" t="s">
        <v>264</v>
      </c>
      <c r="E79" s="2" t="s">
        <v>14</v>
      </c>
      <c r="F79" s="3">
        <v>46265</v>
      </c>
      <c r="G79" s="4">
        <v>0</v>
      </c>
      <c r="H79" s="3">
        <v>46272</v>
      </c>
      <c r="I79" s="5">
        <v>70.8</v>
      </c>
      <c r="J79" s="2" t="s">
        <v>15</v>
      </c>
      <c r="K79" s="2" t="s">
        <v>554</v>
      </c>
      <c r="O79" s="18">
        <f t="shared" si="19"/>
        <v>46272</v>
      </c>
      <c r="P79" s="19">
        <f t="shared" si="21"/>
        <v>21.015138023152268</v>
      </c>
    </row>
    <row r="80" spans="1:16" hidden="1" x14ac:dyDescent="0.3">
      <c r="A80" s="2" t="s">
        <v>228</v>
      </c>
      <c r="B80" s="2" t="s">
        <v>265</v>
      </c>
      <c r="C80" s="2" t="s">
        <v>266</v>
      </c>
      <c r="D80" s="2" t="s">
        <v>267</v>
      </c>
      <c r="E80" s="2" t="s">
        <v>14</v>
      </c>
      <c r="F80" s="3">
        <v>46265</v>
      </c>
      <c r="G80" s="4">
        <v>0</v>
      </c>
      <c r="H80" s="3">
        <v>46272</v>
      </c>
      <c r="I80" s="5">
        <v>1102.83</v>
      </c>
      <c r="J80" s="2" t="s">
        <v>15</v>
      </c>
      <c r="K80" s="2" t="s">
        <v>554</v>
      </c>
      <c r="O80" s="18">
        <f t="shared" si="19"/>
        <v>46272</v>
      </c>
      <c r="P80" s="19">
        <f t="shared" si="21"/>
        <v>327.34639358860193</v>
      </c>
    </row>
    <row r="81" spans="1:16" hidden="1" x14ac:dyDescent="0.3">
      <c r="A81" s="2" t="s">
        <v>228</v>
      </c>
      <c r="B81" s="2" t="s">
        <v>268</v>
      </c>
      <c r="C81" s="2" t="s">
        <v>269</v>
      </c>
      <c r="D81" s="2" t="s">
        <v>270</v>
      </c>
      <c r="E81" s="2" t="s">
        <v>14</v>
      </c>
      <c r="F81" s="3">
        <v>46265</v>
      </c>
      <c r="G81" s="4">
        <v>0</v>
      </c>
      <c r="H81" s="3">
        <v>46272</v>
      </c>
      <c r="I81" s="5">
        <v>141.6</v>
      </c>
      <c r="J81" s="2" t="s">
        <v>15</v>
      </c>
      <c r="K81" s="2" t="s">
        <v>554</v>
      </c>
      <c r="O81" s="18">
        <f t="shared" si="19"/>
        <v>46272</v>
      </c>
      <c r="P81" s="19">
        <f t="shared" si="21"/>
        <v>42.030276046304536</v>
      </c>
    </row>
    <row r="82" spans="1:16" hidden="1" x14ac:dyDescent="0.3">
      <c r="A82" s="2" t="s">
        <v>228</v>
      </c>
      <c r="B82" s="2" t="s">
        <v>271</v>
      </c>
      <c r="C82" s="2" t="s">
        <v>272</v>
      </c>
      <c r="D82" s="2" t="s">
        <v>273</v>
      </c>
      <c r="E82" s="2" t="s">
        <v>14</v>
      </c>
      <c r="F82" s="3">
        <v>46266</v>
      </c>
      <c r="G82" s="6">
        <v>-1</v>
      </c>
      <c r="H82" s="3">
        <v>46273</v>
      </c>
      <c r="I82" s="5">
        <v>748.83</v>
      </c>
      <c r="J82" s="2" t="s">
        <v>15</v>
      </c>
      <c r="K82" s="2" t="s">
        <v>554</v>
      </c>
      <c r="O82" s="18">
        <f t="shared" si="19"/>
        <v>46273</v>
      </c>
      <c r="P82" s="19">
        <f t="shared" si="21"/>
        <v>222.27070347284061</v>
      </c>
    </row>
    <row r="83" spans="1:16" hidden="1" x14ac:dyDescent="0.3">
      <c r="A83" s="2" t="s">
        <v>228</v>
      </c>
      <c r="B83" s="2" t="s">
        <v>274</v>
      </c>
      <c r="C83" s="2" t="s">
        <v>275</v>
      </c>
      <c r="D83" s="2" t="s">
        <v>276</v>
      </c>
      <c r="E83" s="2" t="s">
        <v>14</v>
      </c>
      <c r="F83" s="3">
        <v>46266</v>
      </c>
      <c r="G83" s="6">
        <v>-1</v>
      </c>
      <c r="H83" s="3">
        <v>46273</v>
      </c>
      <c r="I83" s="5">
        <v>70.8</v>
      </c>
      <c r="J83" s="2" t="s">
        <v>15</v>
      </c>
      <c r="K83" s="2" t="s">
        <v>554</v>
      </c>
      <c r="O83" s="18">
        <f t="shared" si="19"/>
        <v>46273</v>
      </c>
      <c r="P83" s="19">
        <f t="shared" si="21"/>
        <v>21.015138023152268</v>
      </c>
    </row>
    <row r="84" spans="1:16" hidden="1" x14ac:dyDescent="0.3">
      <c r="A84" s="2" t="s">
        <v>228</v>
      </c>
      <c r="B84" s="2" t="s">
        <v>277</v>
      </c>
      <c r="C84" s="2" t="s">
        <v>278</v>
      </c>
      <c r="D84" s="2" t="s">
        <v>279</v>
      </c>
      <c r="E84" s="2" t="s">
        <v>14</v>
      </c>
      <c r="F84" s="3">
        <v>46266</v>
      </c>
      <c r="G84" s="6">
        <v>-1</v>
      </c>
      <c r="H84" s="3">
        <v>46273</v>
      </c>
      <c r="I84" s="5">
        <v>505.98</v>
      </c>
      <c r="J84" s="2" t="s">
        <v>15</v>
      </c>
      <c r="K84" s="2" t="s">
        <v>554</v>
      </c>
      <c r="O84" s="18">
        <f t="shared" si="19"/>
        <v>46273</v>
      </c>
      <c r="P84" s="19">
        <f t="shared" si="21"/>
        <v>150.18699910952805</v>
      </c>
    </row>
    <row r="85" spans="1:16" hidden="1" x14ac:dyDescent="0.3">
      <c r="A85" s="2" t="s">
        <v>228</v>
      </c>
      <c r="B85" s="2" t="s">
        <v>280</v>
      </c>
      <c r="C85" s="2" t="s">
        <v>281</v>
      </c>
      <c r="D85" s="2" t="s">
        <v>282</v>
      </c>
      <c r="E85" s="2" t="s">
        <v>14</v>
      </c>
      <c r="F85" s="3">
        <v>46266</v>
      </c>
      <c r="G85" s="6">
        <v>-1</v>
      </c>
      <c r="H85" s="3">
        <v>46273</v>
      </c>
      <c r="I85" s="5">
        <v>47.2</v>
      </c>
      <c r="J85" s="2" t="s">
        <v>15</v>
      </c>
      <c r="K85" s="2" t="s">
        <v>554</v>
      </c>
      <c r="O85" s="18">
        <f t="shared" si="19"/>
        <v>46273</v>
      </c>
      <c r="P85" s="19">
        <f t="shared" si="21"/>
        <v>14.010092015434847</v>
      </c>
    </row>
    <row r="86" spans="1:16" hidden="1" x14ac:dyDescent="0.3">
      <c r="A86" s="2" t="s">
        <v>228</v>
      </c>
      <c r="B86" s="2" t="s">
        <v>283</v>
      </c>
      <c r="C86" s="2" t="s">
        <v>284</v>
      </c>
      <c r="D86" s="2" t="s">
        <v>285</v>
      </c>
      <c r="E86" s="2" t="s">
        <v>14</v>
      </c>
      <c r="F86" s="3">
        <v>46267</v>
      </c>
      <c r="G86" s="6">
        <v>-2</v>
      </c>
      <c r="H86" s="3">
        <v>46274</v>
      </c>
      <c r="I86" s="5">
        <v>556.39</v>
      </c>
      <c r="J86" s="2" t="s">
        <v>15</v>
      </c>
      <c r="K86" s="2" t="s">
        <v>554</v>
      </c>
      <c r="O86" s="18">
        <f t="shared" si="19"/>
        <v>46274</v>
      </c>
      <c r="P86" s="19">
        <f t="shared" si="21"/>
        <v>165.14989611160581</v>
      </c>
    </row>
    <row r="87" spans="1:16" hidden="1" x14ac:dyDescent="0.3">
      <c r="A87" s="2" t="s">
        <v>228</v>
      </c>
      <c r="B87" s="2" t="s">
        <v>286</v>
      </c>
      <c r="C87" s="2" t="s">
        <v>287</v>
      </c>
      <c r="D87" s="2" t="s">
        <v>288</v>
      </c>
      <c r="E87" s="2" t="s">
        <v>14</v>
      </c>
      <c r="F87" s="3">
        <v>46267</v>
      </c>
      <c r="G87" s="6">
        <v>-2</v>
      </c>
      <c r="H87" s="3">
        <v>46274</v>
      </c>
      <c r="I87" s="5">
        <v>177</v>
      </c>
      <c r="J87" s="2" t="s">
        <v>15</v>
      </c>
      <c r="K87" s="2" t="s">
        <v>554</v>
      </c>
      <c r="O87" s="18">
        <f t="shared" si="19"/>
        <v>46274</v>
      </c>
      <c r="P87" s="19">
        <f t="shared" si="21"/>
        <v>52.537845057880673</v>
      </c>
    </row>
    <row r="88" spans="1:16" hidden="1" x14ac:dyDescent="0.3">
      <c r="A88" s="2" t="s">
        <v>228</v>
      </c>
      <c r="B88" s="2" t="s">
        <v>289</v>
      </c>
      <c r="C88" s="2" t="s">
        <v>290</v>
      </c>
      <c r="D88" s="2" t="s">
        <v>291</v>
      </c>
      <c r="E88" s="2" t="s">
        <v>14</v>
      </c>
      <c r="F88" s="3">
        <v>46267</v>
      </c>
      <c r="G88" s="6">
        <v>-2</v>
      </c>
      <c r="H88" s="3">
        <v>46274</v>
      </c>
      <c r="I88" s="5">
        <v>760.16</v>
      </c>
      <c r="J88" s="2" t="s">
        <v>15</v>
      </c>
      <c r="K88" s="2" t="s">
        <v>554</v>
      </c>
      <c r="O88" s="18">
        <f t="shared" si="19"/>
        <v>46274</v>
      </c>
      <c r="P88" s="19">
        <f t="shared" si="21"/>
        <v>225.63371920451169</v>
      </c>
    </row>
    <row r="89" spans="1:16" hidden="1" x14ac:dyDescent="0.3">
      <c r="A89" s="2" t="s">
        <v>228</v>
      </c>
      <c r="B89" s="2" t="s">
        <v>292</v>
      </c>
      <c r="C89" s="2" t="s">
        <v>293</v>
      </c>
      <c r="D89" s="2" t="s">
        <v>294</v>
      </c>
      <c r="E89" s="2" t="s">
        <v>14</v>
      </c>
      <c r="F89" s="3">
        <v>46267</v>
      </c>
      <c r="G89" s="6">
        <v>-2</v>
      </c>
      <c r="H89" s="3">
        <v>46274</v>
      </c>
      <c r="I89" s="5">
        <v>70.8</v>
      </c>
      <c r="J89" s="2" t="s">
        <v>15</v>
      </c>
      <c r="K89" s="2" t="s">
        <v>554</v>
      </c>
      <c r="O89" s="18">
        <f t="shared" si="19"/>
        <v>46274</v>
      </c>
      <c r="P89" s="19">
        <f t="shared" si="21"/>
        <v>21.015138023152268</v>
      </c>
    </row>
    <row r="90" spans="1:16" hidden="1" x14ac:dyDescent="0.3">
      <c r="A90" s="2" t="s">
        <v>228</v>
      </c>
      <c r="B90" s="2" t="s">
        <v>295</v>
      </c>
      <c r="C90" s="2" t="s">
        <v>296</v>
      </c>
      <c r="D90" s="2" t="s">
        <v>297</v>
      </c>
      <c r="E90" s="2" t="s">
        <v>14</v>
      </c>
      <c r="F90" s="3">
        <v>46267</v>
      </c>
      <c r="G90" s="6">
        <v>-2</v>
      </c>
      <c r="H90" s="3">
        <v>46274</v>
      </c>
      <c r="I90" s="5">
        <v>376.42</v>
      </c>
      <c r="J90" s="2" t="s">
        <v>15</v>
      </c>
      <c r="K90" s="2" t="s">
        <v>554</v>
      </c>
      <c r="O90" s="18">
        <f t="shared" si="19"/>
        <v>46274</v>
      </c>
      <c r="P90" s="19">
        <f t="shared" si="21"/>
        <v>111.7304838230929</v>
      </c>
    </row>
    <row r="91" spans="1:16" hidden="1" x14ac:dyDescent="0.3">
      <c r="A91" s="2" t="s">
        <v>228</v>
      </c>
      <c r="B91" s="2" t="s">
        <v>298</v>
      </c>
      <c r="C91" s="2" t="s">
        <v>299</v>
      </c>
      <c r="D91" s="2" t="s">
        <v>300</v>
      </c>
      <c r="E91" s="2" t="s">
        <v>14</v>
      </c>
      <c r="F91" s="3">
        <v>46267</v>
      </c>
      <c r="G91" s="6">
        <v>-2</v>
      </c>
      <c r="H91" s="3">
        <v>46274</v>
      </c>
      <c r="I91" s="5">
        <v>70.8</v>
      </c>
      <c r="J91" s="2" t="s">
        <v>15</v>
      </c>
      <c r="K91" s="2" t="s">
        <v>554</v>
      </c>
      <c r="O91" s="18">
        <f t="shared" si="19"/>
        <v>46274</v>
      </c>
      <c r="P91" s="19">
        <f t="shared" si="21"/>
        <v>21.015138023152268</v>
      </c>
    </row>
    <row r="92" spans="1:16" hidden="1" x14ac:dyDescent="0.3">
      <c r="A92" s="2" t="s">
        <v>228</v>
      </c>
      <c r="B92" s="2" t="s">
        <v>301</v>
      </c>
      <c r="C92" s="2" t="s">
        <v>302</v>
      </c>
      <c r="D92" s="2" t="s">
        <v>303</v>
      </c>
      <c r="E92" s="2" t="s">
        <v>14</v>
      </c>
      <c r="F92" s="3">
        <v>46268</v>
      </c>
      <c r="G92" s="6">
        <v>-3</v>
      </c>
      <c r="H92" s="3">
        <v>46275</v>
      </c>
      <c r="I92" s="5">
        <v>501.22</v>
      </c>
      <c r="J92" s="2" t="s">
        <v>15</v>
      </c>
      <c r="K92" s="2" t="s">
        <v>554</v>
      </c>
      <c r="O92" s="18">
        <f t="shared" si="19"/>
        <v>46275</v>
      </c>
      <c r="P92" s="19">
        <f t="shared" si="21"/>
        <v>148.77411694864944</v>
      </c>
    </row>
    <row r="93" spans="1:16" hidden="1" x14ac:dyDescent="0.3">
      <c r="A93" s="2" t="s">
        <v>228</v>
      </c>
      <c r="B93" s="2" t="s">
        <v>304</v>
      </c>
      <c r="C93" s="2" t="s">
        <v>305</v>
      </c>
      <c r="D93" s="2" t="s">
        <v>306</v>
      </c>
      <c r="E93" s="2" t="s">
        <v>14</v>
      </c>
      <c r="F93" s="3">
        <v>46268</v>
      </c>
      <c r="G93" s="6">
        <v>-3</v>
      </c>
      <c r="H93" s="3">
        <v>46275</v>
      </c>
      <c r="I93" s="5">
        <v>153.4</v>
      </c>
      <c r="J93" s="2" t="s">
        <v>15</v>
      </c>
      <c r="K93" s="2" t="s">
        <v>554</v>
      </c>
      <c r="O93" s="18">
        <f t="shared" si="19"/>
        <v>46275</v>
      </c>
      <c r="P93" s="19">
        <f t="shared" si="21"/>
        <v>45.532799050163248</v>
      </c>
    </row>
    <row r="94" spans="1:16" hidden="1" x14ac:dyDescent="0.3">
      <c r="A94" s="2" t="s">
        <v>228</v>
      </c>
      <c r="B94" s="2" t="s">
        <v>307</v>
      </c>
      <c r="C94" s="2" t="s">
        <v>308</v>
      </c>
      <c r="D94" s="2" t="s">
        <v>309</v>
      </c>
      <c r="E94" s="2" t="s">
        <v>14</v>
      </c>
      <c r="F94" s="3">
        <v>46268</v>
      </c>
      <c r="G94" s="6">
        <v>-3</v>
      </c>
      <c r="H94" s="3">
        <v>46275</v>
      </c>
      <c r="I94" s="5">
        <v>563.99</v>
      </c>
      <c r="J94" s="2" t="s">
        <v>15</v>
      </c>
      <c r="K94" s="2" t="s">
        <v>554</v>
      </c>
      <c r="O94" s="18">
        <f t="shared" si="19"/>
        <v>46275</v>
      </c>
      <c r="P94" s="19">
        <f t="shared" si="21"/>
        <v>167.40575838527752</v>
      </c>
    </row>
    <row r="95" spans="1:16" hidden="1" x14ac:dyDescent="0.3">
      <c r="A95" s="2" t="s">
        <v>228</v>
      </c>
      <c r="B95" s="2" t="s">
        <v>310</v>
      </c>
      <c r="C95" s="2" t="s">
        <v>311</v>
      </c>
      <c r="D95" s="2" t="s">
        <v>312</v>
      </c>
      <c r="E95" s="2" t="s">
        <v>14</v>
      </c>
      <c r="F95" s="3">
        <v>46268</v>
      </c>
      <c r="G95" s="6">
        <v>-3</v>
      </c>
      <c r="H95" s="3">
        <v>46275</v>
      </c>
      <c r="I95" s="5">
        <v>135.69999999999999</v>
      </c>
      <c r="J95" s="2" t="s">
        <v>15</v>
      </c>
      <c r="K95" s="2" t="s">
        <v>554</v>
      </c>
      <c r="O95" s="18">
        <f t="shared" si="19"/>
        <v>46275</v>
      </c>
      <c r="P95" s="19">
        <f t="shared" si="21"/>
        <v>40.27901454437518</v>
      </c>
    </row>
    <row r="96" spans="1:16" hidden="1" x14ac:dyDescent="0.3">
      <c r="A96" s="2" t="s">
        <v>228</v>
      </c>
      <c r="B96" s="2" t="s">
        <v>313</v>
      </c>
      <c r="C96" s="2" t="s">
        <v>314</v>
      </c>
      <c r="D96" s="2" t="s">
        <v>315</v>
      </c>
      <c r="E96" s="2" t="s">
        <v>14</v>
      </c>
      <c r="F96" s="3">
        <v>46268</v>
      </c>
      <c r="G96" s="6">
        <v>-3</v>
      </c>
      <c r="H96" s="3">
        <v>46275</v>
      </c>
      <c r="I96" s="5">
        <v>638.85</v>
      </c>
      <c r="J96" s="2" t="s">
        <v>15</v>
      </c>
      <c r="K96" s="2" t="s">
        <v>554</v>
      </c>
      <c r="O96" s="18">
        <f t="shared" si="19"/>
        <v>46275</v>
      </c>
      <c r="P96" s="19">
        <f t="shared" si="21"/>
        <v>189.62600178094388</v>
      </c>
    </row>
    <row r="97" spans="1:18" hidden="1" x14ac:dyDescent="0.3">
      <c r="A97" s="2" t="s">
        <v>228</v>
      </c>
      <c r="B97" s="2" t="s">
        <v>316</v>
      </c>
      <c r="C97" s="2" t="s">
        <v>317</v>
      </c>
      <c r="D97" s="2" t="s">
        <v>318</v>
      </c>
      <c r="E97" s="2" t="s">
        <v>14</v>
      </c>
      <c r="F97" s="3">
        <v>46268</v>
      </c>
      <c r="G97" s="6">
        <v>-3</v>
      </c>
      <c r="H97" s="3">
        <v>46275</v>
      </c>
      <c r="I97" s="5">
        <v>70.8</v>
      </c>
      <c r="J97" s="2" t="s">
        <v>15</v>
      </c>
      <c r="K97" s="2" t="s">
        <v>554</v>
      </c>
      <c r="O97" s="18">
        <f t="shared" si="19"/>
        <v>46275</v>
      </c>
      <c r="P97" s="19">
        <f t="shared" si="21"/>
        <v>21.015138023152268</v>
      </c>
    </row>
    <row r="98" spans="1:18" hidden="1" x14ac:dyDescent="0.3">
      <c r="A98" s="2" t="s">
        <v>228</v>
      </c>
      <c r="B98" s="2" t="s">
        <v>319</v>
      </c>
      <c r="C98" s="2" t="s">
        <v>320</v>
      </c>
      <c r="D98" s="2" t="s">
        <v>321</v>
      </c>
      <c r="E98" s="2" t="s">
        <v>14</v>
      </c>
      <c r="F98" s="3">
        <v>46268</v>
      </c>
      <c r="G98" s="6">
        <v>-3</v>
      </c>
      <c r="H98" s="3">
        <v>46275</v>
      </c>
      <c r="I98" s="5">
        <v>535.58000000000004</v>
      </c>
      <c r="J98" s="2" t="s">
        <v>15</v>
      </c>
      <c r="K98" s="2" t="s">
        <v>554</v>
      </c>
      <c r="O98" s="18">
        <f t="shared" si="19"/>
        <v>46275</v>
      </c>
      <c r="P98" s="19">
        <f t="shared" si="21"/>
        <v>158.97298901751262</v>
      </c>
    </row>
    <row r="99" spans="1:18" hidden="1" x14ac:dyDescent="0.3">
      <c r="A99" s="2" t="s">
        <v>228</v>
      </c>
      <c r="B99" s="2" t="s">
        <v>322</v>
      </c>
      <c r="C99" s="2" t="s">
        <v>323</v>
      </c>
      <c r="D99" s="2" t="s">
        <v>324</v>
      </c>
      <c r="E99" s="2" t="s">
        <v>14</v>
      </c>
      <c r="F99" s="3">
        <v>46268</v>
      </c>
      <c r="G99" s="6">
        <v>-3</v>
      </c>
      <c r="H99" s="3">
        <v>46275</v>
      </c>
      <c r="I99" s="5">
        <v>153.4</v>
      </c>
      <c r="J99" s="2" t="s">
        <v>15</v>
      </c>
      <c r="K99" s="2" t="s">
        <v>554</v>
      </c>
      <c r="O99" s="18">
        <f t="shared" si="19"/>
        <v>46275</v>
      </c>
      <c r="P99" s="19">
        <f t="shared" si="21"/>
        <v>45.532799050163248</v>
      </c>
    </row>
    <row r="100" spans="1:18" hidden="1" x14ac:dyDescent="0.3">
      <c r="A100" s="2" t="s">
        <v>228</v>
      </c>
      <c r="B100" s="2" t="s">
        <v>325</v>
      </c>
      <c r="C100" s="2" t="s">
        <v>326</v>
      </c>
      <c r="D100" s="2" t="s">
        <v>327</v>
      </c>
      <c r="E100" s="2" t="s">
        <v>14</v>
      </c>
      <c r="F100" s="3">
        <v>46269</v>
      </c>
      <c r="G100" s="4">
        <v>3</v>
      </c>
      <c r="H100" s="3">
        <v>46269</v>
      </c>
      <c r="I100" s="5">
        <v>679.96</v>
      </c>
      <c r="J100" s="2" t="s">
        <v>15</v>
      </c>
      <c r="K100" s="2" t="s">
        <v>554</v>
      </c>
      <c r="O100" s="18">
        <f t="shared" si="19"/>
        <v>46269</v>
      </c>
      <c r="P100" s="19">
        <f t="shared" si="21"/>
        <v>201.82843573760761</v>
      </c>
    </row>
    <row r="101" spans="1:18" hidden="1" x14ac:dyDescent="0.3">
      <c r="A101" s="2" t="s">
        <v>228</v>
      </c>
      <c r="B101" s="2" t="s">
        <v>328</v>
      </c>
      <c r="C101" s="2" t="s">
        <v>329</v>
      </c>
      <c r="D101" s="2" t="s">
        <v>330</v>
      </c>
      <c r="E101" s="2" t="s">
        <v>14</v>
      </c>
      <c r="F101" s="3">
        <v>46269</v>
      </c>
      <c r="G101" s="4">
        <v>3</v>
      </c>
      <c r="H101" s="3">
        <v>46269</v>
      </c>
      <c r="I101" s="5">
        <v>194.7</v>
      </c>
      <c r="J101" s="2" t="s">
        <v>15</v>
      </c>
      <c r="K101" s="2" t="s">
        <v>554</v>
      </c>
      <c r="O101" s="18">
        <f t="shared" si="19"/>
        <v>46269</v>
      </c>
      <c r="P101" s="19">
        <f t="shared" si="21"/>
        <v>57.791629563668735</v>
      </c>
    </row>
    <row r="102" spans="1:18" hidden="1" x14ac:dyDescent="0.3">
      <c r="A102" s="2" t="s">
        <v>228</v>
      </c>
      <c r="B102" s="2" t="s">
        <v>331</v>
      </c>
      <c r="C102" s="2" t="s">
        <v>332</v>
      </c>
      <c r="D102" s="2" t="s">
        <v>333</v>
      </c>
      <c r="E102" s="2" t="s">
        <v>14</v>
      </c>
      <c r="F102" s="3">
        <v>46269</v>
      </c>
      <c r="G102" s="6">
        <v>-4</v>
      </c>
      <c r="H102" s="3">
        <v>46276</v>
      </c>
      <c r="I102" s="5">
        <v>781.4</v>
      </c>
      <c r="J102" s="2" t="s">
        <v>15</v>
      </c>
      <c r="K102" s="2" t="s">
        <v>554</v>
      </c>
      <c r="O102" s="18">
        <f t="shared" si="19"/>
        <v>46276</v>
      </c>
      <c r="P102" s="19">
        <f t="shared" si="21"/>
        <v>231.93826061145739</v>
      </c>
    </row>
    <row r="103" spans="1:18" hidden="1" x14ac:dyDescent="0.3">
      <c r="A103" s="2" t="s">
        <v>228</v>
      </c>
      <c r="B103" s="2" t="s">
        <v>334</v>
      </c>
      <c r="C103" s="2" t="s">
        <v>335</v>
      </c>
      <c r="D103" s="2" t="s">
        <v>336</v>
      </c>
      <c r="E103" s="2" t="s">
        <v>14</v>
      </c>
      <c r="F103" s="3">
        <v>46269</v>
      </c>
      <c r="G103" s="6">
        <v>-4</v>
      </c>
      <c r="H103" s="3">
        <v>46276</v>
      </c>
      <c r="I103" s="5">
        <v>247.8</v>
      </c>
      <c r="J103" s="2" t="s">
        <v>15</v>
      </c>
      <c r="K103" s="2" t="s">
        <v>554</v>
      </c>
      <c r="O103" s="18">
        <f t="shared" si="19"/>
        <v>46276</v>
      </c>
      <c r="P103" s="19">
        <f t="shared" si="21"/>
        <v>73.552983081032949</v>
      </c>
    </row>
    <row r="104" spans="1:18" hidden="1" x14ac:dyDescent="0.3">
      <c r="A104" s="2" t="s">
        <v>228</v>
      </c>
      <c r="B104" s="2" t="s">
        <v>337</v>
      </c>
      <c r="C104" s="2" t="s">
        <v>338</v>
      </c>
      <c r="D104" s="2" t="s">
        <v>339</v>
      </c>
      <c r="E104" s="2" t="s">
        <v>14</v>
      </c>
      <c r="F104" s="3">
        <v>46270</v>
      </c>
      <c r="G104" s="6">
        <v>-5</v>
      </c>
      <c r="H104" s="3">
        <v>46277</v>
      </c>
      <c r="I104" s="5">
        <v>488.33</v>
      </c>
      <c r="J104" s="2" t="s">
        <v>15</v>
      </c>
      <c r="K104" s="2" t="s">
        <v>554</v>
      </c>
      <c r="O104" s="18">
        <f t="shared" si="19"/>
        <v>46277</v>
      </c>
      <c r="P104" s="19">
        <f t="shared" si="21"/>
        <v>144.94805580290887</v>
      </c>
    </row>
    <row r="105" spans="1:18" hidden="1" x14ac:dyDescent="0.3">
      <c r="A105" s="2" t="s">
        <v>228</v>
      </c>
      <c r="B105" s="2" t="s">
        <v>340</v>
      </c>
      <c r="C105" s="2" t="s">
        <v>341</v>
      </c>
      <c r="D105" s="2" t="s">
        <v>342</v>
      </c>
      <c r="E105" s="2" t="s">
        <v>14</v>
      </c>
      <c r="F105" s="3">
        <v>46270</v>
      </c>
      <c r="G105" s="6">
        <v>-5</v>
      </c>
      <c r="H105" s="3">
        <v>46277</v>
      </c>
      <c r="I105" s="5">
        <v>153.4</v>
      </c>
      <c r="J105" s="2" t="s">
        <v>15</v>
      </c>
      <c r="K105" s="2" t="s">
        <v>554</v>
      </c>
      <c r="O105" s="18">
        <f t="shared" si="19"/>
        <v>46277</v>
      </c>
      <c r="P105" s="19">
        <f t="shared" si="21"/>
        <v>45.532799050163248</v>
      </c>
    </row>
    <row r="106" spans="1:18" hidden="1" x14ac:dyDescent="0.3">
      <c r="A106" s="2" t="s">
        <v>228</v>
      </c>
      <c r="B106" s="2" t="s">
        <v>343</v>
      </c>
      <c r="C106" s="2" t="s">
        <v>344</v>
      </c>
      <c r="D106" s="2" t="s">
        <v>345</v>
      </c>
      <c r="E106" s="2" t="s">
        <v>14</v>
      </c>
      <c r="F106" s="3">
        <v>46270</v>
      </c>
      <c r="G106" s="6">
        <v>-5</v>
      </c>
      <c r="H106" s="3">
        <v>46277</v>
      </c>
      <c r="I106" s="5">
        <v>766.29</v>
      </c>
      <c r="J106" s="2" t="s">
        <v>15</v>
      </c>
      <c r="K106" s="2" t="s">
        <v>554</v>
      </c>
      <c r="O106" s="18">
        <f t="shared" si="19"/>
        <v>46277</v>
      </c>
      <c r="P106" s="19">
        <f t="shared" si="21"/>
        <v>227.45325022261795</v>
      </c>
    </row>
    <row r="107" spans="1:18" hidden="1" x14ac:dyDescent="0.3">
      <c r="A107" s="2" t="s">
        <v>228</v>
      </c>
      <c r="B107" s="2" t="s">
        <v>346</v>
      </c>
      <c r="C107" s="2" t="s">
        <v>347</v>
      </c>
      <c r="D107" s="2" t="s">
        <v>348</v>
      </c>
      <c r="E107" s="2" t="s">
        <v>14</v>
      </c>
      <c r="F107" s="3">
        <v>46270</v>
      </c>
      <c r="G107" s="6">
        <v>-5</v>
      </c>
      <c r="H107" s="3">
        <v>46277</v>
      </c>
      <c r="I107" s="5">
        <v>70.8</v>
      </c>
      <c r="J107" s="2" t="s">
        <v>15</v>
      </c>
      <c r="K107" s="2" t="s">
        <v>554</v>
      </c>
      <c r="O107" s="18">
        <f t="shared" si="19"/>
        <v>46277</v>
      </c>
      <c r="P107" s="19">
        <f t="shared" si="21"/>
        <v>21.015138023152268</v>
      </c>
    </row>
    <row r="108" spans="1:18" hidden="1" x14ac:dyDescent="0.3">
      <c r="A108" s="2" t="s">
        <v>228</v>
      </c>
      <c r="B108" s="2" t="s">
        <v>349</v>
      </c>
      <c r="C108" s="2" t="s">
        <v>350</v>
      </c>
      <c r="D108" s="2" t="s">
        <v>351</v>
      </c>
      <c r="E108" s="2" t="s">
        <v>14</v>
      </c>
      <c r="F108" s="3">
        <v>46271</v>
      </c>
      <c r="G108" s="6">
        <v>-6</v>
      </c>
      <c r="H108" s="3">
        <v>46278</v>
      </c>
      <c r="I108" s="5">
        <v>569</v>
      </c>
      <c r="J108" s="2" t="s">
        <v>15</v>
      </c>
      <c r="K108" s="2" t="s">
        <v>554</v>
      </c>
      <c r="O108" s="18">
        <f t="shared" si="19"/>
        <v>46278</v>
      </c>
      <c r="P108" s="19">
        <f t="shared" si="21"/>
        <v>168.89284654200057</v>
      </c>
    </row>
    <row r="109" spans="1:18" hidden="1" x14ac:dyDescent="0.3">
      <c r="A109" s="2" t="s">
        <v>228</v>
      </c>
      <c r="B109" s="2" t="s">
        <v>352</v>
      </c>
      <c r="C109" s="2" t="s">
        <v>353</v>
      </c>
      <c r="D109" s="2" t="s">
        <v>354</v>
      </c>
      <c r="E109" s="2" t="s">
        <v>14</v>
      </c>
      <c r="F109" s="3">
        <v>46271</v>
      </c>
      <c r="G109" s="6">
        <v>-6</v>
      </c>
      <c r="H109" s="3">
        <v>46278</v>
      </c>
      <c r="I109" s="5">
        <v>70.8</v>
      </c>
      <c r="J109" s="2" t="s">
        <v>15</v>
      </c>
      <c r="K109" s="2" t="s">
        <v>554</v>
      </c>
      <c r="O109" s="18">
        <f t="shared" si="19"/>
        <v>46278</v>
      </c>
      <c r="P109" s="19">
        <f t="shared" si="21"/>
        <v>21.015138023152268</v>
      </c>
    </row>
    <row r="110" spans="1:18" x14ac:dyDescent="0.3">
      <c r="A110" s="2" t="s">
        <v>355</v>
      </c>
      <c r="B110" s="2" t="s">
        <v>356</v>
      </c>
      <c r="C110" s="2" t="s">
        <v>357</v>
      </c>
      <c r="D110" s="2" t="s">
        <v>358</v>
      </c>
      <c r="E110" s="2" t="s">
        <v>71</v>
      </c>
      <c r="F110" s="3">
        <v>46230</v>
      </c>
      <c r="G110" s="4">
        <v>42</v>
      </c>
      <c r="H110" s="3">
        <v>46230</v>
      </c>
      <c r="I110" s="5">
        <v>55195</v>
      </c>
      <c r="J110" s="2" t="s">
        <v>74</v>
      </c>
      <c r="K110" s="2" t="s">
        <v>555</v>
      </c>
      <c r="L110" s="18">
        <f t="shared" ref="L110:L112" si="22">F110+60</f>
        <v>46290</v>
      </c>
      <c r="M110" s="20">
        <f t="shared" ref="M110:M112" ca="1" si="23">TODAY()-N110</f>
        <v>-18</v>
      </c>
      <c r="N110" s="18">
        <v>46290</v>
      </c>
      <c r="O110" s="18">
        <v>46290</v>
      </c>
      <c r="P110" s="10">
        <f t="shared" ref="P110:P112" si="24">I110</f>
        <v>55195</v>
      </c>
      <c r="Q110" s="20">
        <f t="shared" ref="Q110:Q112" ca="1" si="25">TODAY()-F110</f>
        <v>42</v>
      </c>
      <c r="R110" t="s">
        <v>579</v>
      </c>
    </row>
    <row r="111" spans="1:18" x14ac:dyDescent="0.3">
      <c r="A111" s="2" t="s">
        <v>355</v>
      </c>
      <c r="B111" s="2" t="s">
        <v>359</v>
      </c>
      <c r="C111" s="2" t="s">
        <v>360</v>
      </c>
      <c r="D111" s="2" t="s">
        <v>361</v>
      </c>
      <c r="E111" s="2" t="s">
        <v>77</v>
      </c>
      <c r="F111" s="3">
        <v>46234</v>
      </c>
      <c r="G111" s="6">
        <v>-22</v>
      </c>
      <c r="H111" s="3">
        <v>46294</v>
      </c>
      <c r="I111" s="5">
        <v>29925</v>
      </c>
      <c r="J111" s="2" t="s">
        <v>74</v>
      </c>
      <c r="K111" s="2" t="s">
        <v>555</v>
      </c>
      <c r="L111" s="18">
        <f t="shared" si="22"/>
        <v>46294</v>
      </c>
      <c r="M111" s="20">
        <f t="shared" ca="1" si="23"/>
        <v>-22</v>
      </c>
      <c r="N111" s="18">
        <v>46294</v>
      </c>
      <c r="O111" s="18">
        <f t="shared" si="19"/>
        <v>46294</v>
      </c>
      <c r="P111" s="10">
        <f t="shared" si="24"/>
        <v>29925</v>
      </c>
      <c r="Q111" s="20">
        <f t="shared" ca="1" si="25"/>
        <v>38</v>
      </c>
      <c r="R111" t="s">
        <v>579</v>
      </c>
    </row>
    <row r="112" spans="1:18" x14ac:dyDescent="0.3">
      <c r="A112" s="2" t="s">
        <v>362</v>
      </c>
      <c r="B112" s="2" t="s">
        <v>363</v>
      </c>
      <c r="C112" s="2" t="s">
        <v>364</v>
      </c>
      <c r="D112" s="2" t="s">
        <v>365</v>
      </c>
      <c r="E112" s="2" t="s">
        <v>107</v>
      </c>
      <c r="F112" s="3">
        <v>46220</v>
      </c>
      <c r="G112" s="4">
        <v>52</v>
      </c>
      <c r="H112" s="3">
        <v>46220</v>
      </c>
      <c r="I112" s="5">
        <v>921.06</v>
      </c>
      <c r="J112" s="2" t="s">
        <v>74</v>
      </c>
      <c r="K112" s="2" t="s">
        <v>555</v>
      </c>
      <c r="L112" s="18">
        <f t="shared" si="22"/>
        <v>46280</v>
      </c>
      <c r="M112" s="20">
        <f t="shared" ca="1" si="23"/>
        <v>-38</v>
      </c>
      <c r="N112" s="18">
        <v>46310</v>
      </c>
      <c r="O112" s="18">
        <v>46310</v>
      </c>
      <c r="P112" s="10">
        <f t="shared" si="24"/>
        <v>921.06</v>
      </c>
      <c r="Q112" s="20">
        <f t="shared" ca="1" si="25"/>
        <v>52</v>
      </c>
      <c r="R112" t="s">
        <v>580</v>
      </c>
    </row>
    <row r="113" spans="1:16" hidden="1" x14ac:dyDescent="0.3">
      <c r="A113" s="2" t="s">
        <v>366</v>
      </c>
      <c r="B113" s="2" t="s">
        <v>367</v>
      </c>
      <c r="C113" s="2" t="s">
        <v>368</v>
      </c>
      <c r="D113" s="2" t="s">
        <v>369</v>
      </c>
      <c r="E113" s="2" t="s">
        <v>14</v>
      </c>
      <c r="F113" s="3">
        <v>45964</v>
      </c>
      <c r="G113" s="4">
        <v>301</v>
      </c>
      <c r="H113" s="3">
        <v>45971</v>
      </c>
      <c r="I113" s="5">
        <v>1403.26</v>
      </c>
      <c r="J113" s="2" t="s">
        <v>15</v>
      </c>
      <c r="K113" s="2" t="s">
        <v>557</v>
      </c>
      <c r="O113" s="18">
        <f>H113</f>
        <v>45971</v>
      </c>
      <c r="P113" s="19">
        <f>I113/3.369</f>
        <v>416.52122291481146</v>
      </c>
    </row>
    <row r="114" spans="1:16" hidden="1" x14ac:dyDescent="0.3">
      <c r="A114" s="2" t="s">
        <v>366</v>
      </c>
      <c r="B114" s="2" t="s">
        <v>370</v>
      </c>
      <c r="C114" s="2" t="s">
        <v>371</v>
      </c>
      <c r="D114" s="2" t="s">
        <v>372</v>
      </c>
      <c r="E114" s="2" t="s">
        <v>14</v>
      </c>
      <c r="F114" s="3">
        <v>45964</v>
      </c>
      <c r="G114" s="4">
        <v>301</v>
      </c>
      <c r="H114" s="3">
        <v>45971</v>
      </c>
      <c r="I114" s="5">
        <v>141.6</v>
      </c>
      <c r="J114" s="2" t="s">
        <v>15</v>
      </c>
      <c r="K114" s="2" t="s">
        <v>557</v>
      </c>
      <c r="O114" s="18">
        <f t="shared" ref="O114:O134" si="26">H114</f>
        <v>45971</v>
      </c>
      <c r="P114" s="19">
        <f t="shared" ref="P114:P134" si="27">I114/3.369</f>
        <v>42.030276046304536</v>
      </c>
    </row>
    <row r="115" spans="1:16" hidden="1" x14ac:dyDescent="0.3">
      <c r="A115" s="2" t="s">
        <v>366</v>
      </c>
      <c r="B115" s="2" t="s">
        <v>373</v>
      </c>
      <c r="C115" s="2" t="s">
        <v>374</v>
      </c>
      <c r="D115" s="2" t="s">
        <v>375</v>
      </c>
      <c r="E115" s="2" t="s">
        <v>14</v>
      </c>
      <c r="F115" s="3">
        <v>45967</v>
      </c>
      <c r="G115" s="4">
        <v>298</v>
      </c>
      <c r="H115" s="3">
        <v>45974</v>
      </c>
      <c r="I115" s="5">
        <v>1193.22</v>
      </c>
      <c r="J115" s="2" t="s">
        <v>15</v>
      </c>
      <c r="K115" s="2" t="s">
        <v>557</v>
      </c>
      <c r="O115" s="18">
        <f t="shared" si="26"/>
        <v>45974</v>
      </c>
      <c r="P115" s="19">
        <f t="shared" si="27"/>
        <v>354.17631344612641</v>
      </c>
    </row>
    <row r="116" spans="1:16" hidden="1" x14ac:dyDescent="0.3">
      <c r="A116" s="2" t="s">
        <v>366</v>
      </c>
      <c r="B116" s="2" t="s">
        <v>376</v>
      </c>
      <c r="C116" s="2" t="s">
        <v>377</v>
      </c>
      <c r="D116" s="2" t="s">
        <v>378</v>
      </c>
      <c r="E116" s="2" t="s">
        <v>14</v>
      </c>
      <c r="F116" s="3">
        <v>45967</v>
      </c>
      <c r="G116" s="4">
        <v>298</v>
      </c>
      <c r="H116" s="3">
        <v>45974</v>
      </c>
      <c r="I116" s="5">
        <v>106.2</v>
      </c>
      <c r="J116" s="2" t="s">
        <v>15</v>
      </c>
      <c r="K116" s="2" t="s">
        <v>557</v>
      </c>
      <c r="O116" s="18">
        <f t="shared" si="26"/>
        <v>45974</v>
      </c>
      <c r="P116" s="19">
        <f t="shared" si="27"/>
        <v>31.522707034728406</v>
      </c>
    </row>
    <row r="117" spans="1:16" hidden="1" x14ac:dyDescent="0.3">
      <c r="A117" s="2" t="s">
        <v>366</v>
      </c>
      <c r="B117" s="2" t="s">
        <v>379</v>
      </c>
      <c r="C117" s="2" t="s">
        <v>380</v>
      </c>
      <c r="D117" s="2" t="s">
        <v>381</v>
      </c>
      <c r="E117" s="2" t="s">
        <v>14</v>
      </c>
      <c r="F117" s="3">
        <v>46148</v>
      </c>
      <c r="G117" s="4">
        <v>117</v>
      </c>
      <c r="H117" s="3">
        <v>46155</v>
      </c>
      <c r="I117" s="5">
        <v>23.6</v>
      </c>
      <c r="J117" s="2" t="s">
        <v>15</v>
      </c>
      <c r="K117" s="2" t="s">
        <v>557</v>
      </c>
      <c r="O117" s="18">
        <f t="shared" si="26"/>
        <v>46155</v>
      </c>
      <c r="P117" s="19">
        <f t="shared" si="27"/>
        <v>7.0050460077174233</v>
      </c>
    </row>
    <row r="118" spans="1:16" hidden="1" x14ac:dyDescent="0.3">
      <c r="A118" s="2" t="s">
        <v>366</v>
      </c>
      <c r="B118" s="2" t="s">
        <v>382</v>
      </c>
      <c r="C118" s="2" t="s">
        <v>383</v>
      </c>
      <c r="D118" s="2" t="s">
        <v>384</v>
      </c>
      <c r="E118" s="2" t="s">
        <v>14</v>
      </c>
      <c r="F118" s="3">
        <v>46148</v>
      </c>
      <c r="G118" s="4">
        <v>117</v>
      </c>
      <c r="H118" s="3">
        <v>46155</v>
      </c>
      <c r="I118" s="5">
        <v>261.49</v>
      </c>
      <c r="J118" s="2" t="s">
        <v>15</v>
      </c>
      <c r="K118" s="2" t="s">
        <v>557</v>
      </c>
      <c r="O118" s="18">
        <f t="shared" si="26"/>
        <v>46155</v>
      </c>
      <c r="P118" s="19">
        <f t="shared" si="27"/>
        <v>77.616503413475812</v>
      </c>
    </row>
    <row r="119" spans="1:16" hidden="1" x14ac:dyDescent="0.3">
      <c r="A119" s="2" t="s">
        <v>366</v>
      </c>
      <c r="B119" s="2" t="s">
        <v>385</v>
      </c>
      <c r="C119" s="2" t="s">
        <v>386</v>
      </c>
      <c r="D119" s="2" t="s">
        <v>387</v>
      </c>
      <c r="E119" s="2" t="s">
        <v>14</v>
      </c>
      <c r="F119" s="3">
        <v>46148</v>
      </c>
      <c r="G119" s="4">
        <v>117</v>
      </c>
      <c r="H119" s="3">
        <v>46155</v>
      </c>
      <c r="I119" s="5">
        <v>387.51</v>
      </c>
      <c r="J119" s="2" t="s">
        <v>15</v>
      </c>
      <c r="K119" s="2" t="s">
        <v>557</v>
      </c>
      <c r="O119" s="18">
        <f t="shared" si="26"/>
        <v>46155</v>
      </c>
      <c r="P119" s="19">
        <f t="shared" si="27"/>
        <v>115.02226179875333</v>
      </c>
    </row>
    <row r="120" spans="1:16" hidden="1" x14ac:dyDescent="0.3">
      <c r="A120" s="2" t="s">
        <v>366</v>
      </c>
      <c r="B120" s="2" t="s">
        <v>388</v>
      </c>
      <c r="C120" s="2" t="s">
        <v>389</v>
      </c>
      <c r="D120" s="2" t="s">
        <v>390</v>
      </c>
      <c r="E120" s="2" t="s">
        <v>14</v>
      </c>
      <c r="F120" s="3">
        <v>46148</v>
      </c>
      <c r="G120" s="4">
        <v>117</v>
      </c>
      <c r="H120" s="3">
        <v>46155</v>
      </c>
      <c r="I120" s="5">
        <v>35.4</v>
      </c>
      <c r="J120" s="2" t="s">
        <v>15</v>
      </c>
      <c r="K120" s="2" t="s">
        <v>557</v>
      </c>
      <c r="O120" s="18">
        <f t="shared" si="26"/>
        <v>46155</v>
      </c>
      <c r="P120" s="19">
        <f t="shared" si="27"/>
        <v>10.507569011576134</v>
      </c>
    </row>
    <row r="121" spans="1:16" hidden="1" x14ac:dyDescent="0.3">
      <c r="A121" s="2" t="s">
        <v>366</v>
      </c>
      <c r="B121" s="2" t="s">
        <v>391</v>
      </c>
      <c r="C121" s="2" t="s">
        <v>392</v>
      </c>
      <c r="D121" s="2" t="s">
        <v>393</v>
      </c>
      <c r="E121" s="2" t="s">
        <v>14</v>
      </c>
      <c r="F121" s="3">
        <v>46154</v>
      </c>
      <c r="G121" s="4">
        <v>111</v>
      </c>
      <c r="H121" s="3">
        <v>46161</v>
      </c>
      <c r="I121" s="5">
        <v>482.86</v>
      </c>
      <c r="J121" s="2" t="s">
        <v>15</v>
      </c>
      <c r="K121" s="2" t="s">
        <v>557</v>
      </c>
      <c r="O121" s="18">
        <f t="shared" si="26"/>
        <v>46161</v>
      </c>
      <c r="P121" s="19">
        <f t="shared" si="27"/>
        <v>143.324428613832</v>
      </c>
    </row>
    <row r="122" spans="1:16" hidden="1" x14ac:dyDescent="0.3">
      <c r="A122" s="2" t="s">
        <v>366</v>
      </c>
      <c r="B122" s="2" t="s">
        <v>394</v>
      </c>
      <c r="C122" s="2" t="s">
        <v>395</v>
      </c>
      <c r="D122" s="2" t="s">
        <v>396</v>
      </c>
      <c r="E122" s="2" t="s">
        <v>14</v>
      </c>
      <c r="F122" s="3">
        <v>46154</v>
      </c>
      <c r="G122" s="4">
        <v>111</v>
      </c>
      <c r="H122" s="3">
        <v>46161</v>
      </c>
      <c r="I122" s="5">
        <v>47.2</v>
      </c>
      <c r="J122" s="2" t="s">
        <v>15</v>
      </c>
      <c r="K122" s="2" t="s">
        <v>557</v>
      </c>
      <c r="O122" s="18">
        <f t="shared" si="26"/>
        <v>46161</v>
      </c>
      <c r="P122" s="19">
        <f t="shared" si="27"/>
        <v>14.010092015434847</v>
      </c>
    </row>
    <row r="123" spans="1:16" hidden="1" x14ac:dyDescent="0.3">
      <c r="A123" s="2" t="s">
        <v>366</v>
      </c>
      <c r="B123" s="2" t="s">
        <v>397</v>
      </c>
      <c r="C123" s="2" t="s">
        <v>398</v>
      </c>
      <c r="D123" s="2" t="s">
        <v>399</v>
      </c>
      <c r="E123" s="2" t="s">
        <v>14</v>
      </c>
      <c r="F123" s="3">
        <v>46158</v>
      </c>
      <c r="G123" s="4">
        <v>107</v>
      </c>
      <c r="H123" s="3">
        <v>46165</v>
      </c>
      <c r="I123" s="5">
        <v>544.45000000000005</v>
      </c>
      <c r="J123" s="2" t="s">
        <v>15</v>
      </c>
      <c r="K123" s="2" t="s">
        <v>557</v>
      </c>
      <c r="O123" s="18">
        <f t="shared" si="26"/>
        <v>46165</v>
      </c>
      <c r="P123" s="19">
        <f t="shared" si="27"/>
        <v>161.60581775007421</v>
      </c>
    </row>
    <row r="124" spans="1:16" hidden="1" x14ac:dyDescent="0.3">
      <c r="A124" s="2" t="s">
        <v>366</v>
      </c>
      <c r="B124" s="2" t="s">
        <v>400</v>
      </c>
      <c r="C124" s="2" t="s">
        <v>401</v>
      </c>
      <c r="D124" s="2" t="s">
        <v>402</v>
      </c>
      <c r="E124" s="2" t="s">
        <v>14</v>
      </c>
      <c r="F124" s="3">
        <v>46158</v>
      </c>
      <c r="G124" s="4">
        <v>107</v>
      </c>
      <c r="H124" s="3">
        <v>46165</v>
      </c>
      <c r="I124" s="5">
        <v>47.2</v>
      </c>
      <c r="J124" s="2" t="s">
        <v>15</v>
      </c>
      <c r="K124" s="2" t="s">
        <v>557</v>
      </c>
      <c r="O124" s="18">
        <f t="shared" si="26"/>
        <v>46165</v>
      </c>
      <c r="P124" s="19">
        <f t="shared" si="27"/>
        <v>14.010092015434847</v>
      </c>
    </row>
    <row r="125" spans="1:16" hidden="1" x14ac:dyDescent="0.3">
      <c r="A125" s="2" t="s">
        <v>366</v>
      </c>
      <c r="B125" s="2" t="s">
        <v>403</v>
      </c>
      <c r="C125" s="2" t="s">
        <v>404</v>
      </c>
      <c r="D125" s="2" t="s">
        <v>405</v>
      </c>
      <c r="E125" s="2" t="s">
        <v>14</v>
      </c>
      <c r="F125" s="3">
        <v>46169</v>
      </c>
      <c r="G125" s="4">
        <v>96</v>
      </c>
      <c r="H125" s="3">
        <v>46176</v>
      </c>
      <c r="I125" s="5">
        <v>591.65</v>
      </c>
      <c r="J125" s="2" t="s">
        <v>15</v>
      </c>
      <c r="K125" s="2" t="s">
        <v>557</v>
      </c>
      <c r="O125" s="18">
        <f t="shared" si="26"/>
        <v>46176</v>
      </c>
      <c r="P125" s="19">
        <f t="shared" si="27"/>
        <v>175.61590976550903</v>
      </c>
    </row>
    <row r="126" spans="1:16" hidden="1" x14ac:dyDescent="0.3">
      <c r="A126" s="2" t="s">
        <v>366</v>
      </c>
      <c r="B126" s="2" t="s">
        <v>406</v>
      </c>
      <c r="C126" s="2" t="s">
        <v>407</v>
      </c>
      <c r="D126" s="2" t="s">
        <v>408</v>
      </c>
      <c r="E126" s="2" t="s">
        <v>14</v>
      </c>
      <c r="F126" s="3">
        <v>46169</v>
      </c>
      <c r="G126" s="4">
        <v>96</v>
      </c>
      <c r="H126" s="3">
        <v>46176</v>
      </c>
      <c r="I126" s="5">
        <v>70.8</v>
      </c>
      <c r="J126" s="2" t="s">
        <v>15</v>
      </c>
      <c r="K126" s="2" t="s">
        <v>557</v>
      </c>
      <c r="O126" s="18">
        <f t="shared" si="26"/>
        <v>46176</v>
      </c>
      <c r="P126" s="19">
        <f t="shared" si="27"/>
        <v>21.015138023152268</v>
      </c>
    </row>
    <row r="127" spans="1:16" hidden="1" x14ac:dyDescent="0.3">
      <c r="A127" s="2" t="s">
        <v>366</v>
      </c>
      <c r="B127" s="2" t="s">
        <v>409</v>
      </c>
      <c r="C127" s="2" t="s">
        <v>410</v>
      </c>
      <c r="D127" s="2" t="s">
        <v>411</v>
      </c>
      <c r="E127" s="2" t="s">
        <v>14</v>
      </c>
      <c r="F127" s="3">
        <v>46175</v>
      </c>
      <c r="G127" s="4">
        <v>90</v>
      </c>
      <c r="H127" s="3">
        <v>46182</v>
      </c>
      <c r="I127" s="5">
        <v>185.97</v>
      </c>
      <c r="J127" s="2" t="s">
        <v>15</v>
      </c>
      <c r="K127" s="2" t="s">
        <v>557</v>
      </c>
      <c r="O127" s="18">
        <f t="shared" si="26"/>
        <v>46182</v>
      </c>
      <c r="P127" s="19">
        <f t="shared" si="27"/>
        <v>55.200356188780049</v>
      </c>
    </row>
    <row r="128" spans="1:16" hidden="1" x14ac:dyDescent="0.3">
      <c r="A128" s="2" t="s">
        <v>366</v>
      </c>
      <c r="B128" s="2" t="s">
        <v>412</v>
      </c>
      <c r="C128" s="2" t="s">
        <v>413</v>
      </c>
      <c r="D128" s="2" t="s">
        <v>414</v>
      </c>
      <c r="E128" s="2" t="s">
        <v>14</v>
      </c>
      <c r="F128" s="3">
        <v>46175</v>
      </c>
      <c r="G128" s="4">
        <v>90</v>
      </c>
      <c r="H128" s="3">
        <v>46182</v>
      </c>
      <c r="I128" s="5">
        <v>23.6</v>
      </c>
      <c r="J128" s="2" t="s">
        <v>15</v>
      </c>
      <c r="K128" s="2" t="s">
        <v>557</v>
      </c>
      <c r="O128" s="18">
        <f t="shared" si="26"/>
        <v>46182</v>
      </c>
      <c r="P128" s="19">
        <f t="shared" si="27"/>
        <v>7.0050460077174233</v>
      </c>
    </row>
    <row r="129" spans="1:18" hidden="1" x14ac:dyDescent="0.3">
      <c r="A129" s="2" t="s">
        <v>366</v>
      </c>
      <c r="B129" s="2" t="s">
        <v>415</v>
      </c>
      <c r="C129" s="2" t="s">
        <v>416</v>
      </c>
      <c r="D129" s="2" t="s">
        <v>417</v>
      </c>
      <c r="E129" s="2" t="s">
        <v>14</v>
      </c>
      <c r="F129" s="3">
        <v>46186</v>
      </c>
      <c r="G129" s="4">
        <v>79</v>
      </c>
      <c r="H129" s="3">
        <v>46193</v>
      </c>
      <c r="I129" s="5">
        <v>535.25</v>
      </c>
      <c r="J129" s="2" t="s">
        <v>15</v>
      </c>
      <c r="K129" s="2" t="s">
        <v>557</v>
      </c>
      <c r="O129" s="18">
        <f t="shared" si="26"/>
        <v>46193</v>
      </c>
      <c r="P129" s="19">
        <f t="shared" si="27"/>
        <v>158.87503710299791</v>
      </c>
    </row>
    <row r="130" spans="1:18" hidden="1" x14ac:dyDescent="0.3">
      <c r="A130" s="2" t="s">
        <v>366</v>
      </c>
      <c r="B130" s="2" t="s">
        <v>418</v>
      </c>
      <c r="C130" s="2" t="s">
        <v>419</v>
      </c>
      <c r="D130" s="2" t="s">
        <v>420</v>
      </c>
      <c r="E130" s="2" t="s">
        <v>14</v>
      </c>
      <c r="F130" s="3">
        <v>46186</v>
      </c>
      <c r="G130" s="4">
        <v>79</v>
      </c>
      <c r="H130" s="3">
        <v>46193</v>
      </c>
      <c r="I130" s="5">
        <v>70.8</v>
      </c>
      <c r="J130" s="2" t="s">
        <v>15</v>
      </c>
      <c r="K130" s="2" t="s">
        <v>557</v>
      </c>
      <c r="O130" s="18">
        <f t="shared" si="26"/>
        <v>46193</v>
      </c>
      <c r="P130" s="19">
        <f t="shared" si="27"/>
        <v>21.015138023152268</v>
      </c>
    </row>
    <row r="131" spans="1:18" hidden="1" x14ac:dyDescent="0.3">
      <c r="A131" s="2" t="s">
        <v>366</v>
      </c>
      <c r="B131" s="2" t="s">
        <v>421</v>
      </c>
      <c r="C131" s="2" t="s">
        <v>422</v>
      </c>
      <c r="D131" s="2" t="s">
        <v>423</v>
      </c>
      <c r="E131" s="2" t="s">
        <v>14</v>
      </c>
      <c r="F131" s="3">
        <v>46206</v>
      </c>
      <c r="G131" s="4">
        <v>59</v>
      </c>
      <c r="H131" s="3">
        <v>46213</v>
      </c>
      <c r="I131" s="5">
        <v>449.11</v>
      </c>
      <c r="J131" s="2" t="s">
        <v>15</v>
      </c>
      <c r="K131" s="2" t="s">
        <v>557</v>
      </c>
      <c r="O131" s="18">
        <f t="shared" si="26"/>
        <v>46213</v>
      </c>
      <c r="P131" s="19">
        <f t="shared" si="27"/>
        <v>133.30661917482931</v>
      </c>
    </row>
    <row r="132" spans="1:18" hidden="1" x14ac:dyDescent="0.3">
      <c r="A132" s="2" t="s">
        <v>366</v>
      </c>
      <c r="B132" s="2" t="s">
        <v>424</v>
      </c>
      <c r="C132" s="2" t="s">
        <v>425</v>
      </c>
      <c r="D132" s="2" t="s">
        <v>426</v>
      </c>
      <c r="E132" s="2" t="s">
        <v>14</v>
      </c>
      <c r="F132" s="3">
        <v>46206</v>
      </c>
      <c r="G132" s="4">
        <v>59</v>
      </c>
      <c r="H132" s="3">
        <v>46213</v>
      </c>
      <c r="I132" s="5">
        <v>35.4</v>
      </c>
      <c r="J132" s="2" t="s">
        <v>15</v>
      </c>
      <c r="K132" s="2" t="s">
        <v>557</v>
      </c>
      <c r="O132" s="18">
        <f t="shared" si="26"/>
        <v>46213</v>
      </c>
      <c r="P132" s="19">
        <f t="shared" si="27"/>
        <v>10.507569011576134</v>
      </c>
    </row>
    <row r="133" spans="1:18" hidden="1" x14ac:dyDescent="0.3">
      <c r="A133" s="2" t="s">
        <v>366</v>
      </c>
      <c r="B133" s="2" t="s">
        <v>427</v>
      </c>
      <c r="C133" s="2" t="s">
        <v>428</v>
      </c>
      <c r="D133" s="2" t="s">
        <v>429</v>
      </c>
      <c r="E133" s="2" t="s">
        <v>14</v>
      </c>
      <c r="F133" s="3">
        <v>46220</v>
      </c>
      <c r="G133" s="4">
        <v>45</v>
      </c>
      <c r="H133" s="3">
        <v>46227</v>
      </c>
      <c r="I133" s="5">
        <v>355.65</v>
      </c>
      <c r="J133" s="2" t="s">
        <v>15</v>
      </c>
      <c r="K133" s="2" t="s">
        <v>557</v>
      </c>
      <c r="O133" s="18">
        <f t="shared" si="26"/>
        <v>46227</v>
      </c>
      <c r="P133" s="19">
        <f t="shared" si="27"/>
        <v>105.56544968833481</v>
      </c>
    </row>
    <row r="134" spans="1:18" hidden="1" x14ac:dyDescent="0.3">
      <c r="A134" s="2" t="s">
        <v>366</v>
      </c>
      <c r="B134" s="2" t="s">
        <v>430</v>
      </c>
      <c r="C134" s="2" t="s">
        <v>431</v>
      </c>
      <c r="D134" s="2" t="s">
        <v>432</v>
      </c>
      <c r="E134" s="2" t="s">
        <v>14</v>
      </c>
      <c r="F134" s="3">
        <v>46220</v>
      </c>
      <c r="G134" s="4">
        <v>45</v>
      </c>
      <c r="H134" s="3">
        <v>46227</v>
      </c>
      <c r="I134" s="5">
        <v>47.2</v>
      </c>
      <c r="J134" s="2" t="s">
        <v>15</v>
      </c>
      <c r="K134" s="2" t="s">
        <v>557</v>
      </c>
      <c r="O134" s="18">
        <f t="shared" si="26"/>
        <v>46227</v>
      </c>
      <c r="P134" s="19">
        <f t="shared" si="27"/>
        <v>14.010092015434847</v>
      </c>
    </row>
    <row r="135" spans="1:18" hidden="1" x14ac:dyDescent="0.3">
      <c r="A135" s="2" t="s">
        <v>433</v>
      </c>
      <c r="B135" s="2" t="s">
        <v>434</v>
      </c>
      <c r="C135" s="2" t="s">
        <v>435</v>
      </c>
      <c r="D135" s="2" t="s">
        <v>436</v>
      </c>
      <c r="E135" s="2" t="s">
        <v>14</v>
      </c>
      <c r="F135" s="3">
        <v>46140</v>
      </c>
      <c r="G135" s="4">
        <v>132</v>
      </c>
      <c r="H135" s="3">
        <v>46140</v>
      </c>
      <c r="I135" s="5">
        <v>716.71</v>
      </c>
      <c r="J135" s="2" t="s">
        <v>15</v>
      </c>
      <c r="K135" s="2" t="s">
        <v>554</v>
      </c>
      <c r="O135" s="18">
        <f t="shared" ref="O135:O140" si="28">H135</f>
        <v>46140</v>
      </c>
      <c r="P135" s="19">
        <f t="shared" ref="P135:P140" si="29">I135/3.369</f>
        <v>212.73671712674383</v>
      </c>
    </row>
    <row r="136" spans="1:18" hidden="1" x14ac:dyDescent="0.3">
      <c r="A136" s="2" t="s">
        <v>433</v>
      </c>
      <c r="B136" s="2" t="s">
        <v>437</v>
      </c>
      <c r="C136" s="2" t="s">
        <v>438</v>
      </c>
      <c r="D136" s="2" t="s">
        <v>439</v>
      </c>
      <c r="E136" s="2" t="s">
        <v>14</v>
      </c>
      <c r="F136" s="3">
        <v>46140</v>
      </c>
      <c r="G136" s="4">
        <v>132</v>
      </c>
      <c r="H136" s="3">
        <v>46140</v>
      </c>
      <c r="I136" s="5">
        <v>129.80000000000001</v>
      </c>
      <c r="J136" s="2" t="s">
        <v>15</v>
      </c>
      <c r="K136" s="2" t="s">
        <v>554</v>
      </c>
      <c r="O136" s="18">
        <f t="shared" si="28"/>
        <v>46140</v>
      </c>
      <c r="P136" s="19">
        <f t="shared" si="29"/>
        <v>38.527753042445831</v>
      </c>
    </row>
    <row r="137" spans="1:18" hidden="1" x14ac:dyDescent="0.3">
      <c r="A137" s="2" t="s">
        <v>433</v>
      </c>
      <c r="B137" s="2" t="s">
        <v>440</v>
      </c>
      <c r="C137" s="2" t="s">
        <v>441</v>
      </c>
      <c r="D137" s="2" t="s">
        <v>442</v>
      </c>
      <c r="E137" s="2" t="s">
        <v>71</v>
      </c>
      <c r="F137" s="3">
        <v>46140</v>
      </c>
      <c r="G137" s="4">
        <v>132</v>
      </c>
      <c r="H137" s="3">
        <v>46140</v>
      </c>
      <c r="I137" s="5">
        <v>422.56</v>
      </c>
      <c r="J137" s="2" t="s">
        <v>15</v>
      </c>
      <c r="K137" s="2" t="s">
        <v>554</v>
      </c>
      <c r="O137" s="18">
        <f t="shared" si="28"/>
        <v>46140</v>
      </c>
      <c r="P137" s="19">
        <f t="shared" si="29"/>
        <v>125.42594241614722</v>
      </c>
    </row>
    <row r="138" spans="1:18" hidden="1" x14ac:dyDescent="0.3">
      <c r="A138" s="2" t="s">
        <v>433</v>
      </c>
      <c r="B138" s="2" t="s">
        <v>443</v>
      </c>
      <c r="C138" s="2" t="s">
        <v>444</v>
      </c>
      <c r="D138" s="2" t="s">
        <v>445</v>
      </c>
      <c r="E138" s="2" t="s">
        <v>14</v>
      </c>
      <c r="F138" s="3">
        <v>46154</v>
      </c>
      <c r="G138" s="4">
        <v>118</v>
      </c>
      <c r="H138" s="3">
        <v>46154</v>
      </c>
      <c r="I138" s="5">
        <v>404.98</v>
      </c>
      <c r="J138" s="2" t="s">
        <v>15</v>
      </c>
      <c r="K138" s="2" t="s">
        <v>554</v>
      </c>
      <c r="O138" s="18">
        <f t="shared" si="28"/>
        <v>46154</v>
      </c>
      <c r="P138" s="19">
        <f t="shared" si="29"/>
        <v>120.2077767883645</v>
      </c>
    </row>
    <row r="139" spans="1:18" hidden="1" x14ac:dyDescent="0.3">
      <c r="A139" s="2" t="s">
        <v>433</v>
      </c>
      <c r="B139" s="2" t="s">
        <v>446</v>
      </c>
      <c r="C139" s="2" t="s">
        <v>447</v>
      </c>
      <c r="D139" s="2" t="s">
        <v>448</v>
      </c>
      <c r="E139" s="2" t="s">
        <v>14</v>
      </c>
      <c r="F139" s="3">
        <v>46154</v>
      </c>
      <c r="G139" s="4">
        <v>118</v>
      </c>
      <c r="H139" s="3">
        <v>46154</v>
      </c>
      <c r="I139" s="5">
        <v>59</v>
      </c>
      <c r="J139" s="2" t="s">
        <v>15</v>
      </c>
      <c r="K139" s="2" t="s">
        <v>554</v>
      </c>
      <c r="O139" s="18">
        <f t="shared" si="28"/>
        <v>46154</v>
      </c>
      <c r="P139" s="19">
        <f t="shared" si="29"/>
        <v>17.512615019293559</v>
      </c>
    </row>
    <row r="140" spans="1:18" hidden="1" x14ac:dyDescent="0.3">
      <c r="A140" s="2" t="s">
        <v>433</v>
      </c>
      <c r="B140" s="2" t="s">
        <v>449</v>
      </c>
      <c r="C140" s="2" t="s">
        <v>450</v>
      </c>
      <c r="D140" s="2" t="s">
        <v>451</v>
      </c>
      <c r="E140" s="2" t="s">
        <v>71</v>
      </c>
      <c r="F140" s="3">
        <v>46218</v>
      </c>
      <c r="G140" s="4">
        <v>54</v>
      </c>
      <c r="H140" s="3">
        <v>46218</v>
      </c>
      <c r="I140" s="5">
        <v>23.6</v>
      </c>
      <c r="J140" s="2" t="s">
        <v>15</v>
      </c>
      <c r="K140" s="2" t="s">
        <v>554</v>
      </c>
      <c r="O140" s="18">
        <f t="shared" si="28"/>
        <v>46218</v>
      </c>
      <c r="P140" s="19">
        <f t="shared" si="29"/>
        <v>7.0050460077174233</v>
      </c>
    </row>
    <row r="141" spans="1:18" x14ac:dyDescent="0.3">
      <c r="A141" s="2" t="s">
        <v>452</v>
      </c>
      <c r="B141" s="2" t="s">
        <v>453</v>
      </c>
      <c r="C141" s="2" t="s">
        <v>454</v>
      </c>
      <c r="D141" s="2" t="s">
        <v>455</v>
      </c>
      <c r="E141" s="2" t="s">
        <v>71</v>
      </c>
      <c r="F141" s="3">
        <v>46139</v>
      </c>
      <c r="G141" s="4">
        <v>133</v>
      </c>
      <c r="H141" s="3">
        <v>46139</v>
      </c>
      <c r="I141" s="5">
        <v>10284</v>
      </c>
      <c r="J141" s="2" t="s">
        <v>74</v>
      </c>
      <c r="K141" s="2" t="s">
        <v>555</v>
      </c>
      <c r="L141" s="18">
        <f t="shared" ref="L141:L142" si="30">F141+60</f>
        <v>46199</v>
      </c>
      <c r="M141" s="20">
        <f t="shared" ref="M141:M142" ca="1" si="31">TODAY()-N141</f>
        <v>-38</v>
      </c>
      <c r="N141" s="18">
        <v>46310</v>
      </c>
      <c r="O141" s="18">
        <v>46310</v>
      </c>
      <c r="P141" s="10">
        <f t="shared" ref="P141:P142" si="32">I141</f>
        <v>10284</v>
      </c>
      <c r="Q141" s="20">
        <f t="shared" ref="Q141:Q142" ca="1" si="33">TODAY()-F141</f>
        <v>133</v>
      </c>
      <c r="R141" t="s">
        <v>581</v>
      </c>
    </row>
    <row r="142" spans="1:18" x14ac:dyDescent="0.3">
      <c r="A142" s="2" t="s">
        <v>456</v>
      </c>
      <c r="B142" s="2" t="s">
        <v>457</v>
      </c>
      <c r="C142" s="2" t="s">
        <v>458</v>
      </c>
      <c r="D142" s="2" t="s">
        <v>459</v>
      </c>
      <c r="E142" s="2" t="s">
        <v>71</v>
      </c>
      <c r="F142" s="3">
        <v>46216</v>
      </c>
      <c r="G142" s="4">
        <v>56</v>
      </c>
      <c r="H142" s="3">
        <v>46216</v>
      </c>
      <c r="I142" s="5">
        <v>54612</v>
      </c>
      <c r="J142" s="2" t="s">
        <v>74</v>
      </c>
      <c r="K142" s="2" t="s">
        <v>555</v>
      </c>
      <c r="L142" s="18">
        <f t="shared" si="30"/>
        <v>46276</v>
      </c>
      <c r="M142" s="20">
        <f t="shared" ca="1" si="31"/>
        <v>-4</v>
      </c>
      <c r="N142" s="18">
        <v>46276</v>
      </c>
      <c r="O142" s="18">
        <v>46276</v>
      </c>
      <c r="P142" s="10">
        <f t="shared" si="32"/>
        <v>54612</v>
      </c>
      <c r="Q142" s="20">
        <f t="shared" ca="1" si="33"/>
        <v>56</v>
      </c>
      <c r="R142" t="s">
        <v>580</v>
      </c>
    </row>
    <row r="143" spans="1:18" hidden="1" x14ac:dyDescent="0.3">
      <c r="A143" s="2" t="s">
        <v>460</v>
      </c>
      <c r="B143" s="2" t="s">
        <v>461</v>
      </c>
      <c r="C143" s="2" t="s">
        <v>462</v>
      </c>
      <c r="D143" s="2" t="s">
        <v>463</v>
      </c>
      <c r="E143" s="2" t="s">
        <v>71</v>
      </c>
      <c r="F143" s="3">
        <v>45951</v>
      </c>
      <c r="G143" s="4">
        <v>321</v>
      </c>
      <c r="H143" s="3">
        <v>45951</v>
      </c>
      <c r="I143" s="5">
        <v>4460</v>
      </c>
      <c r="J143" s="2" t="s">
        <v>15</v>
      </c>
      <c r="K143" s="2" t="s">
        <v>556</v>
      </c>
      <c r="O143" s="18">
        <f>H143</f>
        <v>45951</v>
      </c>
      <c r="P143" s="19">
        <f>I143/3.369</f>
        <v>1323.8349658652419</v>
      </c>
    </row>
    <row r="144" spans="1:18" hidden="1" x14ac:dyDescent="0.3">
      <c r="A144" s="2" t="s">
        <v>460</v>
      </c>
      <c r="B144" s="2" t="s">
        <v>464</v>
      </c>
      <c r="C144" s="2" t="s">
        <v>465</v>
      </c>
      <c r="D144" s="2" t="s">
        <v>466</v>
      </c>
      <c r="E144" s="2" t="s">
        <v>14</v>
      </c>
      <c r="F144" s="3">
        <v>45965</v>
      </c>
      <c r="G144" s="4">
        <v>300</v>
      </c>
      <c r="H144" s="3">
        <v>45972</v>
      </c>
      <c r="I144" s="5">
        <v>7097.98</v>
      </c>
      <c r="J144" s="2" t="s">
        <v>15</v>
      </c>
      <c r="K144" s="2" t="s">
        <v>556</v>
      </c>
      <c r="O144" s="18">
        <f t="shared" ref="O144:O160" si="34">H144</f>
        <v>45972</v>
      </c>
      <c r="P144" s="19">
        <f t="shared" ref="P144:P160" si="35">I144/3.369</f>
        <v>2106.8506975363607</v>
      </c>
    </row>
    <row r="145" spans="1:16" hidden="1" x14ac:dyDescent="0.3">
      <c r="A145" s="2" t="s">
        <v>460</v>
      </c>
      <c r="B145" s="2" t="s">
        <v>467</v>
      </c>
      <c r="C145" s="2" t="s">
        <v>468</v>
      </c>
      <c r="D145" s="2" t="s">
        <v>469</v>
      </c>
      <c r="E145" s="2" t="s">
        <v>14</v>
      </c>
      <c r="F145" s="3">
        <v>46053</v>
      </c>
      <c r="G145" s="4">
        <v>212</v>
      </c>
      <c r="H145" s="3">
        <v>46060</v>
      </c>
      <c r="I145" s="5">
        <v>4003.46</v>
      </c>
      <c r="J145" s="2" t="s">
        <v>15</v>
      </c>
      <c r="K145" s="2" t="s">
        <v>556</v>
      </c>
      <c r="O145" s="18">
        <f t="shared" si="34"/>
        <v>46060</v>
      </c>
      <c r="P145" s="19">
        <f t="shared" si="35"/>
        <v>1188.322944493915</v>
      </c>
    </row>
    <row r="146" spans="1:16" hidden="1" x14ac:dyDescent="0.3">
      <c r="A146" s="2" t="s">
        <v>460</v>
      </c>
      <c r="B146" s="2" t="s">
        <v>470</v>
      </c>
      <c r="C146" s="2" t="s">
        <v>471</v>
      </c>
      <c r="D146" s="2" t="s">
        <v>472</v>
      </c>
      <c r="E146" s="2" t="s">
        <v>14</v>
      </c>
      <c r="F146" s="3">
        <v>46084</v>
      </c>
      <c r="G146" s="4">
        <v>181</v>
      </c>
      <c r="H146" s="3">
        <v>46091</v>
      </c>
      <c r="I146" s="5">
        <v>4956</v>
      </c>
      <c r="J146" s="2" t="s">
        <v>15</v>
      </c>
      <c r="K146" s="2" t="s">
        <v>556</v>
      </c>
      <c r="O146" s="18">
        <f t="shared" si="34"/>
        <v>46091</v>
      </c>
      <c r="P146" s="19">
        <f t="shared" si="35"/>
        <v>1471.0596616206587</v>
      </c>
    </row>
    <row r="147" spans="1:16" hidden="1" x14ac:dyDescent="0.3">
      <c r="A147" s="2" t="s">
        <v>473</v>
      </c>
      <c r="B147" s="2" t="s">
        <v>474</v>
      </c>
      <c r="C147" s="2" t="s">
        <v>475</v>
      </c>
      <c r="D147" s="2" t="s">
        <v>476</v>
      </c>
      <c r="E147" s="2" t="s">
        <v>14</v>
      </c>
      <c r="F147" s="3">
        <v>46268</v>
      </c>
      <c r="G147" s="6">
        <v>-3</v>
      </c>
      <c r="H147" s="3">
        <v>46275</v>
      </c>
      <c r="I147" s="5">
        <v>488.99</v>
      </c>
      <c r="J147" s="2" t="s">
        <v>15</v>
      </c>
      <c r="K147" s="2" t="s">
        <v>554</v>
      </c>
      <c r="O147" s="18">
        <f t="shared" si="34"/>
        <v>46275</v>
      </c>
      <c r="P147" s="19">
        <f t="shared" si="35"/>
        <v>145.14395963193826</v>
      </c>
    </row>
    <row r="148" spans="1:16" hidden="1" x14ac:dyDescent="0.3">
      <c r="A148" s="2" t="s">
        <v>473</v>
      </c>
      <c r="B148" s="2" t="s">
        <v>477</v>
      </c>
      <c r="C148" s="2" t="s">
        <v>478</v>
      </c>
      <c r="D148" s="2" t="s">
        <v>479</v>
      </c>
      <c r="E148" s="2" t="s">
        <v>14</v>
      </c>
      <c r="F148" s="3">
        <v>46268</v>
      </c>
      <c r="G148" s="6">
        <v>-3</v>
      </c>
      <c r="H148" s="3">
        <v>46275</v>
      </c>
      <c r="I148" s="5">
        <v>171.1</v>
      </c>
      <c r="J148" s="2" t="s">
        <v>15</v>
      </c>
      <c r="K148" s="2" t="s">
        <v>554</v>
      </c>
      <c r="O148" s="18">
        <f t="shared" si="34"/>
        <v>46275</v>
      </c>
      <c r="P148" s="19">
        <f t="shared" si="35"/>
        <v>50.786583555951317</v>
      </c>
    </row>
    <row r="149" spans="1:16" hidden="1" x14ac:dyDescent="0.3">
      <c r="A149" s="2" t="s">
        <v>473</v>
      </c>
      <c r="B149" s="2" t="s">
        <v>480</v>
      </c>
      <c r="C149" s="2" t="s">
        <v>481</v>
      </c>
      <c r="D149" s="2" t="s">
        <v>482</v>
      </c>
      <c r="E149" s="2" t="s">
        <v>14</v>
      </c>
      <c r="F149" s="3">
        <v>46269</v>
      </c>
      <c r="G149" s="6">
        <v>-4</v>
      </c>
      <c r="H149" s="3">
        <v>46276</v>
      </c>
      <c r="I149" s="5">
        <v>864.99</v>
      </c>
      <c r="J149" s="2" t="s">
        <v>15</v>
      </c>
      <c r="K149" s="2" t="s">
        <v>554</v>
      </c>
      <c r="O149" s="18">
        <f t="shared" si="34"/>
        <v>46276</v>
      </c>
      <c r="P149" s="19">
        <f t="shared" si="35"/>
        <v>256.74977738201244</v>
      </c>
    </row>
    <row r="150" spans="1:16" hidden="1" x14ac:dyDescent="0.3">
      <c r="A150" s="2" t="s">
        <v>473</v>
      </c>
      <c r="B150" s="2" t="s">
        <v>483</v>
      </c>
      <c r="C150" s="2" t="s">
        <v>484</v>
      </c>
      <c r="D150" s="2" t="s">
        <v>485</v>
      </c>
      <c r="E150" s="2" t="s">
        <v>14</v>
      </c>
      <c r="F150" s="3">
        <v>46269</v>
      </c>
      <c r="G150" s="6">
        <v>-4</v>
      </c>
      <c r="H150" s="3">
        <v>46276</v>
      </c>
      <c r="I150" s="5">
        <v>283.2</v>
      </c>
      <c r="J150" s="2" t="s">
        <v>15</v>
      </c>
      <c r="K150" s="2" t="s">
        <v>554</v>
      </c>
      <c r="O150" s="18">
        <f t="shared" si="34"/>
        <v>46276</v>
      </c>
      <c r="P150" s="19">
        <f t="shared" si="35"/>
        <v>84.060552092609072</v>
      </c>
    </row>
    <row r="151" spans="1:16" hidden="1" x14ac:dyDescent="0.3">
      <c r="A151" s="2" t="s">
        <v>473</v>
      </c>
      <c r="B151" s="2" t="s">
        <v>486</v>
      </c>
      <c r="C151" s="2" t="s">
        <v>487</v>
      </c>
      <c r="D151" s="2" t="s">
        <v>488</v>
      </c>
      <c r="E151" s="2" t="s">
        <v>14</v>
      </c>
      <c r="F151" s="3">
        <v>46269</v>
      </c>
      <c r="G151" s="6">
        <v>-4</v>
      </c>
      <c r="H151" s="3">
        <v>46276</v>
      </c>
      <c r="I151" s="5">
        <v>422.25</v>
      </c>
      <c r="J151" s="2" t="s">
        <v>15</v>
      </c>
      <c r="K151" s="2" t="s">
        <v>554</v>
      </c>
      <c r="O151" s="18">
        <f t="shared" si="34"/>
        <v>46276</v>
      </c>
      <c r="P151" s="19">
        <f t="shared" si="35"/>
        <v>125.33392698130008</v>
      </c>
    </row>
    <row r="152" spans="1:16" hidden="1" x14ac:dyDescent="0.3">
      <c r="A152" s="2" t="s">
        <v>473</v>
      </c>
      <c r="B152" s="2" t="s">
        <v>489</v>
      </c>
      <c r="C152" s="2" t="s">
        <v>490</v>
      </c>
      <c r="D152" s="2" t="s">
        <v>491</v>
      </c>
      <c r="E152" s="2" t="s">
        <v>14</v>
      </c>
      <c r="F152" s="3">
        <v>46269</v>
      </c>
      <c r="G152" s="6">
        <v>-4</v>
      </c>
      <c r="H152" s="3">
        <v>46276</v>
      </c>
      <c r="I152" s="5">
        <v>177</v>
      </c>
      <c r="J152" s="2" t="s">
        <v>15</v>
      </c>
      <c r="K152" s="2" t="s">
        <v>554</v>
      </c>
      <c r="O152" s="18">
        <f t="shared" si="34"/>
        <v>46276</v>
      </c>
      <c r="P152" s="19">
        <f t="shared" si="35"/>
        <v>52.537845057880673</v>
      </c>
    </row>
    <row r="153" spans="1:16" hidden="1" x14ac:dyDescent="0.3">
      <c r="A153" s="2" t="s">
        <v>473</v>
      </c>
      <c r="B153" s="2" t="s">
        <v>492</v>
      </c>
      <c r="C153" s="2" t="s">
        <v>493</v>
      </c>
      <c r="D153" s="2" t="s">
        <v>494</v>
      </c>
      <c r="E153" s="2" t="s">
        <v>14</v>
      </c>
      <c r="F153" s="3">
        <v>46270</v>
      </c>
      <c r="G153" s="6">
        <v>-5</v>
      </c>
      <c r="H153" s="3">
        <v>46277</v>
      </c>
      <c r="I153" s="5">
        <v>1148.47</v>
      </c>
      <c r="J153" s="2" t="s">
        <v>15</v>
      </c>
      <c r="K153" s="2" t="s">
        <v>554</v>
      </c>
      <c r="O153" s="18">
        <f t="shared" si="34"/>
        <v>46277</v>
      </c>
      <c r="P153" s="19">
        <f t="shared" si="35"/>
        <v>340.89344018996735</v>
      </c>
    </row>
    <row r="154" spans="1:16" hidden="1" x14ac:dyDescent="0.3">
      <c r="A154" s="2" t="s">
        <v>473</v>
      </c>
      <c r="B154" s="2" t="s">
        <v>495</v>
      </c>
      <c r="C154" s="2" t="s">
        <v>496</v>
      </c>
      <c r="D154" s="2" t="s">
        <v>497</v>
      </c>
      <c r="E154" s="2" t="s">
        <v>14</v>
      </c>
      <c r="F154" s="3">
        <v>46270</v>
      </c>
      <c r="G154" s="6">
        <v>-5</v>
      </c>
      <c r="H154" s="3">
        <v>46277</v>
      </c>
      <c r="I154" s="5">
        <v>348.1</v>
      </c>
      <c r="J154" s="2" t="s">
        <v>15</v>
      </c>
      <c r="K154" s="2" t="s">
        <v>554</v>
      </c>
      <c r="O154" s="18">
        <f t="shared" si="34"/>
        <v>46277</v>
      </c>
      <c r="P154" s="19">
        <f t="shared" si="35"/>
        <v>103.324428613832</v>
      </c>
    </row>
    <row r="155" spans="1:16" hidden="1" x14ac:dyDescent="0.3">
      <c r="A155" s="2" t="s">
        <v>473</v>
      </c>
      <c r="B155" s="2" t="s">
        <v>498</v>
      </c>
      <c r="C155" s="2" t="s">
        <v>499</v>
      </c>
      <c r="D155" s="2" t="s">
        <v>500</v>
      </c>
      <c r="E155" s="2" t="s">
        <v>14</v>
      </c>
      <c r="F155" s="3">
        <v>46270</v>
      </c>
      <c r="G155" s="6">
        <v>-5</v>
      </c>
      <c r="H155" s="3">
        <v>46277</v>
      </c>
      <c r="I155" s="5">
        <v>212.4</v>
      </c>
      <c r="J155" s="2" t="s">
        <v>15</v>
      </c>
      <c r="K155" s="2" t="s">
        <v>554</v>
      </c>
      <c r="O155" s="18">
        <f t="shared" si="34"/>
        <v>46277</v>
      </c>
      <c r="P155" s="19">
        <f t="shared" si="35"/>
        <v>63.045414069456811</v>
      </c>
    </row>
    <row r="156" spans="1:16" hidden="1" x14ac:dyDescent="0.3">
      <c r="A156" s="2" t="s">
        <v>473</v>
      </c>
      <c r="B156" s="2" t="s">
        <v>501</v>
      </c>
      <c r="C156" s="2" t="s">
        <v>502</v>
      </c>
      <c r="D156" s="2" t="s">
        <v>503</v>
      </c>
      <c r="E156" s="2" t="s">
        <v>14</v>
      </c>
      <c r="F156" s="3">
        <v>46270</v>
      </c>
      <c r="G156" s="6">
        <v>-5</v>
      </c>
      <c r="H156" s="3">
        <v>46277</v>
      </c>
      <c r="I156" s="5">
        <v>749.02</v>
      </c>
      <c r="J156" s="2" t="s">
        <v>15</v>
      </c>
      <c r="K156" s="2" t="s">
        <v>554</v>
      </c>
      <c r="O156" s="18">
        <f t="shared" si="34"/>
        <v>46277</v>
      </c>
      <c r="P156" s="19">
        <f t="shared" si="35"/>
        <v>222.32710002968238</v>
      </c>
    </row>
    <row r="157" spans="1:16" hidden="1" x14ac:dyDescent="0.3">
      <c r="A157" s="2" t="s">
        <v>473</v>
      </c>
      <c r="B157" s="2" t="s">
        <v>504</v>
      </c>
      <c r="C157" s="2" t="s">
        <v>505</v>
      </c>
      <c r="D157" s="2" t="s">
        <v>506</v>
      </c>
      <c r="E157" s="2" t="s">
        <v>14</v>
      </c>
      <c r="F157" s="3">
        <v>46271</v>
      </c>
      <c r="G157" s="6">
        <v>-6</v>
      </c>
      <c r="H157" s="3">
        <v>46278</v>
      </c>
      <c r="I157" s="5">
        <v>690.87</v>
      </c>
      <c r="J157" s="2" t="s">
        <v>15</v>
      </c>
      <c r="K157" s="2" t="s">
        <v>554</v>
      </c>
      <c r="O157" s="18">
        <f t="shared" si="34"/>
        <v>46278</v>
      </c>
      <c r="P157" s="19">
        <f t="shared" si="35"/>
        <v>205.06678539626</v>
      </c>
    </row>
    <row r="158" spans="1:16" hidden="1" x14ac:dyDescent="0.3">
      <c r="A158" s="2" t="s">
        <v>473</v>
      </c>
      <c r="B158" s="2" t="s">
        <v>507</v>
      </c>
      <c r="C158" s="2" t="s">
        <v>508</v>
      </c>
      <c r="D158" s="2" t="s">
        <v>509</v>
      </c>
      <c r="E158" s="2" t="s">
        <v>14</v>
      </c>
      <c r="F158" s="3">
        <v>46271</v>
      </c>
      <c r="G158" s="6">
        <v>-6</v>
      </c>
      <c r="H158" s="3">
        <v>46278</v>
      </c>
      <c r="I158" s="5">
        <v>283.2</v>
      </c>
      <c r="J158" s="2" t="s">
        <v>15</v>
      </c>
      <c r="K158" s="2" t="s">
        <v>554</v>
      </c>
      <c r="O158" s="18">
        <f t="shared" si="34"/>
        <v>46278</v>
      </c>
      <c r="P158" s="19">
        <f t="shared" si="35"/>
        <v>84.060552092609072</v>
      </c>
    </row>
    <row r="159" spans="1:16" hidden="1" x14ac:dyDescent="0.3">
      <c r="A159" s="2" t="s">
        <v>473</v>
      </c>
      <c r="B159" s="2" t="s">
        <v>510</v>
      </c>
      <c r="C159" s="2" t="s">
        <v>511</v>
      </c>
      <c r="D159" s="2" t="s">
        <v>512</v>
      </c>
      <c r="E159" s="2" t="s">
        <v>14</v>
      </c>
      <c r="F159" s="3">
        <v>46271</v>
      </c>
      <c r="G159" s="6">
        <v>-6</v>
      </c>
      <c r="H159" s="3">
        <v>46278</v>
      </c>
      <c r="I159" s="5">
        <v>667.41</v>
      </c>
      <c r="J159" s="2" t="s">
        <v>15</v>
      </c>
      <c r="K159" s="2" t="s">
        <v>554</v>
      </c>
      <c r="O159" s="18">
        <f t="shared" si="34"/>
        <v>46278</v>
      </c>
      <c r="P159" s="19">
        <f t="shared" si="35"/>
        <v>198.10329474621548</v>
      </c>
    </row>
    <row r="160" spans="1:16" hidden="1" x14ac:dyDescent="0.3">
      <c r="A160" s="2" t="s">
        <v>473</v>
      </c>
      <c r="B160" s="2" t="s">
        <v>513</v>
      </c>
      <c r="C160" s="2" t="s">
        <v>514</v>
      </c>
      <c r="D160" s="2" t="s">
        <v>515</v>
      </c>
      <c r="E160" s="2" t="s">
        <v>14</v>
      </c>
      <c r="F160" s="3">
        <v>46271</v>
      </c>
      <c r="G160" s="6">
        <v>-6</v>
      </c>
      <c r="H160" s="3">
        <v>46278</v>
      </c>
      <c r="I160" s="5">
        <v>194.7</v>
      </c>
      <c r="J160" s="2" t="s">
        <v>15</v>
      </c>
      <c r="K160" s="2" t="s">
        <v>554</v>
      </c>
      <c r="O160" s="18">
        <f t="shared" si="34"/>
        <v>46278</v>
      </c>
      <c r="P160" s="19">
        <f t="shared" si="35"/>
        <v>57.791629563668735</v>
      </c>
    </row>
    <row r="161" spans="1:18" hidden="1" x14ac:dyDescent="0.3">
      <c r="A161" s="2" t="s">
        <v>564</v>
      </c>
      <c r="B161" s="2" t="s">
        <v>565</v>
      </c>
      <c r="C161" s="2" t="s">
        <v>566</v>
      </c>
      <c r="D161" s="2" t="s">
        <v>567</v>
      </c>
      <c r="E161" s="2" t="s">
        <v>14</v>
      </c>
      <c r="F161" s="3">
        <v>45937</v>
      </c>
      <c r="G161" s="4">
        <v>318</v>
      </c>
      <c r="H161" s="3">
        <v>45944</v>
      </c>
      <c r="I161" s="5">
        <v>790</v>
      </c>
      <c r="J161" s="2" t="s">
        <v>15</v>
      </c>
      <c r="K161" s="2" t="s">
        <v>568</v>
      </c>
      <c r="O161" s="18">
        <f>H161</f>
        <v>45944</v>
      </c>
      <c r="P161" s="19">
        <f>I161/3.369</f>
        <v>234.49094686850697</v>
      </c>
    </row>
    <row r="162" spans="1:18" x14ac:dyDescent="0.3">
      <c r="A162" s="2" t="s">
        <v>516</v>
      </c>
      <c r="B162" s="2" t="s">
        <v>517</v>
      </c>
      <c r="C162" s="2" t="s">
        <v>518</v>
      </c>
      <c r="D162" s="2" t="s">
        <v>519</v>
      </c>
      <c r="E162" s="2" t="s">
        <v>71</v>
      </c>
      <c r="F162" s="3">
        <v>46230</v>
      </c>
      <c r="G162" s="4">
        <v>42</v>
      </c>
      <c r="H162" s="3">
        <v>46230</v>
      </c>
      <c r="I162" s="5">
        <v>64640</v>
      </c>
      <c r="J162" s="2" t="s">
        <v>74</v>
      </c>
      <c r="K162" s="2" t="s">
        <v>555</v>
      </c>
      <c r="L162" s="18">
        <f t="shared" ref="L162:L163" si="36">F162+60</f>
        <v>46290</v>
      </c>
      <c r="M162" s="20">
        <f t="shared" ref="M162:M163" ca="1" si="37">TODAY()-N162</f>
        <v>-18</v>
      </c>
      <c r="N162" s="18">
        <v>46290</v>
      </c>
      <c r="O162" s="18">
        <v>46290</v>
      </c>
      <c r="P162" s="10">
        <f t="shared" ref="P162:P163" si="38">I162</f>
        <v>64640</v>
      </c>
      <c r="Q162" s="20">
        <f t="shared" ref="Q162:Q163" ca="1" si="39">TODAY()-F162</f>
        <v>42</v>
      </c>
      <c r="R162" t="s">
        <v>579</v>
      </c>
    </row>
    <row r="163" spans="1:18" x14ac:dyDescent="0.3">
      <c r="A163" s="2" t="s">
        <v>516</v>
      </c>
      <c r="B163" s="2" t="s">
        <v>520</v>
      </c>
      <c r="C163" s="2" t="s">
        <v>521</v>
      </c>
      <c r="D163" s="2" t="s">
        <v>522</v>
      </c>
      <c r="E163" s="2" t="s">
        <v>71</v>
      </c>
      <c r="F163" s="3">
        <v>46232</v>
      </c>
      <c r="G163" s="4">
        <v>40</v>
      </c>
      <c r="H163" s="3">
        <v>46232</v>
      </c>
      <c r="I163" s="5">
        <v>64850</v>
      </c>
      <c r="J163" s="2" t="s">
        <v>74</v>
      </c>
      <c r="K163" s="2" t="s">
        <v>555</v>
      </c>
      <c r="L163" s="18">
        <f t="shared" si="36"/>
        <v>46292</v>
      </c>
      <c r="M163" s="20">
        <f t="shared" ca="1" si="37"/>
        <v>-20</v>
      </c>
      <c r="N163" s="18">
        <v>46292</v>
      </c>
      <c r="O163" s="18">
        <v>46292</v>
      </c>
      <c r="P163" s="10">
        <f t="shared" si="38"/>
        <v>64850</v>
      </c>
      <c r="Q163" s="20">
        <f t="shared" ca="1" si="39"/>
        <v>40</v>
      </c>
      <c r="R163" t="s">
        <v>579</v>
      </c>
    </row>
    <row r="164" spans="1:18" hidden="1" x14ac:dyDescent="0.3">
      <c r="A164" s="2" t="s">
        <v>559</v>
      </c>
      <c r="B164" s="2" t="s">
        <v>560</v>
      </c>
      <c r="C164" s="2" t="s">
        <v>561</v>
      </c>
      <c r="D164" s="2" t="s">
        <v>562</v>
      </c>
      <c r="E164" s="2" t="s">
        <v>14</v>
      </c>
      <c r="F164" s="3">
        <v>46203</v>
      </c>
      <c r="G164" s="4">
        <v>52</v>
      </c>
      <c r="H164" s="3">
        <v>46210</v>
      </c>
      <c r="I164" s="5">
        <v>590</v>
      </c>
      <c r="J164" s="2" t="s">
        <v>15</v>
      </c>
      <c r="K164" s="2" t="s">
        <v>563</v>
      </c>
      <c r="O164" s="18">
        <f>H164</f>
        <v>46210</v>
      </c>
      <c r="P164" s="19">
        <f>I164/3.369</f>
        <v>175.12615019293557</v>
      </c>
    </row>
    <row r="165" spans="1:18" hidden="1" x14ac:dyDescent="0.3">
      <c r="A165" s="2" t="s">
        <v>523</v>
      </c>
      <c r="B165" s="2" t="s">
        <v>524</v>
      </c>
      <c r="C165" s="2" t="s">
        <v>525</v>
      </c>
      <c r="D165" s="2" t="s">
        <v>526</v>
      </c>
      <c r="E165" s="2" t="s">
        <v>14</v>
      </c>
      <c r="F165" s="3">
        <v>46263</v>
      </c>
      <c r="G165" s="4">
        <v>2</v>
      </c>
      <c r="H165" s="3">
        <v>46270</v>
      </c>
      <c r="I165" s="5">
        <v>590</v>
      </c>
      <c r="J165" s="2" t="s">
        <v>15</v>
      </c>
      <c r="K165" s="2" t="s">
        <v>554</v>
      </c>
      <c r="O165" s="18">
        <f t="shared" ref="O165:O169" si="40">H165</f>
        <v>46270</v>
      </c>
      <c r="P165" s="19">
        <f t="shared" ref="P165:P167" si="41">I165/3.369</f>
        <v>175.12615019293557</v>
      </c>
    </row>
    <row r="166" spans="1:18" hidden="1" x14ac:dyDescent="0.3">
      <c r="A166" s="2" t="s">
        <v>523</v>
      </c>
      <c r="B166" s="2" t="s">
        <v>527</v>
      </c>
      <c r="C166" s="2" t="s">
        <v>528</v>
      </c>
      <c r="D166" s="2" t="s">
        <v>529</v>
      </c>
      <c r="E166" s="2" t="s">
        <v>14</v>
      </c>
      <c r="F166" s="3">
        <v>46266</v>
      </c>
      <c r="G166" s="6">
        <v>-1</v>
      </c>
      <c r="H166" s="3">
        <v>46273</v>
      </c>
      <c r="I166" s="5">
        <v>590</v>
      </c>
      <c r="J166" s="2" t="s">
        <v>15</v>
      </c>
      <c r="K166" s="2" t="s">
        <v>554</v>
      </c>
      <c r="O166" s="18">
        <f t="shared" si="40"/>
        <v>46273</v>
      </c>
      <c r="P166" s="19">
        <f t="shared" si="41"/>
        <v>175.12615019293557</v>
      </c>
    </row>
    <row r="167" spans="1:18" hidden="1" x14ac:dyDescent="0.3">
      <c r="A167" s="2" t="s">
        <v>523</v>
      </c>
      <c r="B167" s="2" t="s">
        <v>530</v>
      </c>
      <c r="C167" s="2" t="s">
        <v>531</v>
      </c>
      <c r="D167" s="2" t="s">
        <v>532</v>
      </c>
      <c r="E167" s="2" t="s">
        <v>14</v>
      </c>
      <c r="F167" s="3">
        <v>46267</v>
      </c>
      <c r="G167" s="6">
        <v>-2</v>
      </c>
      <c r="H167" s="3">
        <v>46274</v>
      </c>
      <c r="I167" s="5">
        <v>590</v>
      </c>
      <c r="J167" s="2" t="s">
        <v>15</v>
      </c>
      <c r="K167" s="2" t="s">
        <v>554</v>
      </c>
      <c r="O167" s="18">
        <f t="shared" si="40"/>
        <v>46274</v>
      </c>
      <c r="P167" s="19">
        <f t="shared" si="41"/>
        <v>175.12615019293557</v>
      </c>
    </row>
    <row r="168" spans="1:18" x14ac:dyDescent="0.3">
      <c r="A168" s="2" t="s">
        <v>533</v>
      </c>
      <c r="B168" s="2" t="s">
        <v>534</v>
      </c>
      <c r="C168" s="2" t="s">
        <v>535</v>
      </c>
      <c r="D168" s="2" t="s">
        <v>536</v>
      </c>
      <c r="E168" s="2" t="s">
        <v>108</v>
      </c>
      <c r="F168" s="3">
        <v>46224</v>
      </c>
      <c r="G168" s="4">
        <v>0</v>
      </c>
      <c r="H168" s="3">
        <v>46234</v>
      </c>
      <c r="I168" s="7">
        <v>-9650</v>
      </c>
      <c r="J168" s="2" t="s">
        <v>74</v>
      </c>
      <c r="K168" s="2" t="s">
        <v>555</v>
      </c>
      <c r="L168" s="18">
        <f t="shared" ref="L168:L169" si="42">F168+60</f>
        <v>46284</v>
      </c>
      <c r="M168" s="20"/>
      <c r="N168" s="18"/>
      <c r="O168" s="18">
        <f>F168</f>
        <v>46224</v>
      </c>
      <c r="P168" s="10">
        <f t="shared" ref="P168:P169" si="43">I168</f>
        <v>-9650</v>
      </c>
      <c r="Q168" s="20">
        <f t="shared" ref="Q168:Q169" ca="1" si="44">TODAY()-F168</f>
        <v>48</v>
      </c>
      <c r="R168" t="s">
        <v>580</v>
      </c>
    </row>
    <row r="169" spans="1:18" x14ac:dyDescent="0.3">
      <c r="A169" s="2" t="s">
        <v>533</v>
      </c>
      <c r="B169" s="2" t="s">
        <v>537</v>
      </c>
      <c r="C169" s="2" t="s">
        <v>538</v>
      </c>
      <c r="D169" s="2" t="s">
        <v>539</v>
      </c>
      <c r="E169" s="2" t="s">
        <v>77</v>
      </c>
      <c r="F169" s="3">
        <v>46249</v>
      </c>
      <c r="G169" s="6">
        <v>-37</v>
      </c>
      <c r="H169" s="3">
        <v>46309</v>
      </c>
      <c r="I169" s="5">
        <v>48600</v>
      </c>
      <c r="J169" s="2" t="s">
        <v>74</v>
      </c>
      <c r="K169" s="2" t="s">
        <v>555</v>
      </c>
      <c r="L169" s="18">
        <f t="shared" si="42"/>
        <v>46309</v>
      </c>
      <c r="M169" s="20">
        <f t="shared" ref="M169" ca="1" si="45">TODAY()-N169</f>
        <v>-37</v>
      </c>
      <c r="N169" s="18">
        <v>46309</v>
      </c>
      <c r="O169" s="18">
        <f t="shared" si="40"/>
        <v>46309</v>
      </c>
      <c r="P169" s="10">
        <f t="shared" si="43"/>
        <v>48600</v>
      </c>
      <c r="Q169" s="20">
        <f t="shared" ca="1" si="44"/>
        <v>23</v>
      </c>
      <c r="R169" t="s">
        <v>579</v>
      </c>
    </row>
    <row r="170" spans="1:18" hidden="1" x14ac:dyDescent="0.3">
      <c r="A170" s="2" t="s">
        <v>540</v>
      </c>
      <c r="B170" s="2" t="s">
        <v>541</v>
      </c>
      <c r="C170" s="2" t="s">
        <v>542</v>
      </c>
      <c r="D170" s="2" t="s">
        <v>543</v>
      </c>
      <c r="E170" s="2" t="s">
        <v>71</v>
      </c>
      <c r="F170" s="3">
        <v>46221</v>
      </c>
      <c r="G170" s="4">
        <v>51</v>
      </c>
      <c r="H170" s="3">
        <v>46221</v>
      </c>
      <c r="I170" s="5">
        <v>203.67</v>
      </c>
      <c r="J170" s="2" t="s">
        <v>15</v>
      </c>
      <c r="K170" s="2" t="s">
        <v>554</v>
      </c>
      <c r="O170" s="18">
        <f t="shared" ref="O170:O171" si="46">H170</f>
        <v>46221</v>
      </c>
      <c r="P170" s="19">
        <f t="shared" ref="P170:P171" si="47">I170/3.369</f>
        <v>60.45414069456811</v>
      </c>
    </row>
    <row r="171" spans="1:18" hidden="1" x14ac:dyDescent="0.3">
      <c r="A171" s="2" t="s">
        <v>544</v>
      </c>
      <c r="B171" s="2" t="s">
        <v>545</v>
      </c>
      <c r="C171" s="2" t="s">
        <v>546</v>
      </c>
      <c r="D171" s="2" t="s">
        <v>547</v>
      </c>
      <c r="E171" s="2" t="s">
        <v>14</v>
      </c>
      <c r="F171" s="3">
        <v>46266</v>
      </c>
      <c r="G171" s="6">
        <v>-1</v>
      </c>
      <c r="H171" s="3">
        <v>46273</v>
      </c>
      <c r="I171" s="5">
        <v>368.16</v>
      </c>
      <c r="J171" s="2" t="s">
        <v>15</v>
      </c>
      <c r="K171" s="2" t="s">
        <v>554</v>
      </c>
      <c r="O171" s="18">
        <f t="shared" si="46"/>
        <v>46273</v>
      </c>
      <c r="P171" s="19">
        <f t="shared" si="47"/>
        <v>109.27871772039181</v>
      </c>
    </row>
    <row r="172" spans="1:18" x14ac:dyDescent="0.3">
      <c r="A172" s="2" t="s">
        <v>548</v>
      </c>
      <c r="B172" s="2" t="s">
        <v>550</v>
      </c>
      <c r="C172" s="2" t="s">
        <v>551</v>
      </c>
      <c r="D172" s="2" t="s">
        <v>552</v>
      </c>
      <c r="E172" s="2" t="s">
        <v>77</v>
      </c>
      <c r="F172" s="3">
        <v>46265</v>
      </c>
      <c r="G172" s="6">
        <v>-38</v>
      </c>
      <c r="H172" s="3">
        <v>46310</v>
      </c>
      <c r="I172" s="5">
        <v>36684</v>
      </c>
      <c r="J172" s="2" t="s">
        <v>74</v>
      </c>
      <c r="K172" s="2" t="s">
        <v>555</v>
      </c>
      <c r="L172" s="18">
        <f t="shared" ref="L172" si="48">F172+60</f>
        <v>46325</v>
      </c>
      <c r="M172" s="20">
        <f t="shared" ref="M172" ca="1" si="49">TODAY()-N172</f>
        <v>-53</v>
      </c>
      <c r="N172" s="18">
        <v>46325</v>
      </c>
      <c r="O172" s="18">
        <v>46325</v>
      </c>
      <c r="P172" s="10">
        <f t="shared" ref="P172" si="50">I172</f>
        <v>36684</v>
      </c>
      <c r="Q172" s="20">
        <f t="shared" ref="Q172" ca="1" si="51">TODAY()-F172</f>
        <v>7</v>
      </c>
      <c r="R172" t="s">
        <v>579</v>
      </c>
    </row>
  </sheetData>
  <autoFilter ref="A1:R172" xr:uid="{00000000-0001-0000-0000-000000000000}"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2026-09-07T19:48:27Z</dcterms:created>
  <dcterms:modified xsi:type="dcterms:W3CDTF">2026-09-08T00:59:41Z</dcterms:modified>
  <cp:category/>
</cp:coreProperties>
</file>