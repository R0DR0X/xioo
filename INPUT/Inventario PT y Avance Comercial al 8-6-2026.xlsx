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E2A44152-D51B-48E6-83C2-3E25C3520895}" xr6:coauthVersionLast="47" xr6:coauthVersionMax="47" xr10:uidLastSave="{00000000-0000-0000-0000-000000000000}"/>
  <bookViews>
    <workbookView xWindow="-108" yWindow="-108" windowWidth="23256" windowHeight="13896" xr2:uid="{8540CFB4-34F0-404A-A3DA-71F8CAE15EEE}"/>
  </bookViews>
  <sheets>
    <sheet name="RESUMEN AL 8-6-2026" sheetId="5" r:id="rId1"/>
    <sheet name="TD" sheetId="4" r:id="rId2"/>
    <sheet name="Stock Libre" sheetId="3" r:id="rId3"/>
  </sheets>
  <externalReferences>
    <externalReference r:id="rId4"/>
    <externalReference r:id="rId5"/>
    <externalReference r:id="rId6"/>
  </externalReferenc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20" i="5" l="1"/>
  <c r="AU7" i="5"/>
  <c r="AP7" i="5"/>
  <c r="AO7" i="5"/>
  <c r="AO19" i="5"/>
  <c r="AN21" i="5"/>
  <c r="AN11" i="5"/>
  <c r="AN10" i="5"/>
  <c r="AN9" i="5"/>
  <c r="AN8" i="5"/>
  <c r="AN7" i="5"/>
  <c r="AM21" i="5"/>
  <c r="AL21" i="5"/>
  <c r="AK21" i="5"/>
  <c r="AK7" i="5" s="1"/>
  <c r="AI7" i="5"/>
  <c r="AF7" i="5"/>
  <c r="AG7" i="5"/>
  <c r="AF8" i="5"/>
  <c r="AG8" i="5"/>
  <c r="AF9" i="5"/>
  <c r="AG9" i="5"/>
  <c r="AF10" i="5"/>
  <c r="AG10" i="5"/>
  <c r="AF11" i="5"/>
  <c r="AG11" i="5"/>
  <c r="AF12" i="5"/>
  <c r="AG12" i="5"/>
  <c r="AF13" i="5"/>
  <c r="AG13" i="5"/>
  <c r="AF14" i="5"/>
  <c r="AG14" i="5"/>
  <c r="AF15" i="5"/>
  <c r="AG15" i="5"/>
  <c r="AF16" i="5"/>
  <c r="AG16" i="5"/>
  <c r="AF17" i="5"/>
  <c r="AG17" i="5"/>
  <c r="AF18" i="5"/>
  <c r="AG18" i="5"/>
  <c r="AF19" i="5"/>
  <c r="AG19" i="5"/>
  <c r="AF20" i="5"/>
  <c r="AG20" i="5"/>
  <c r="AD20" i="5" a="1"/>
  <c r="AD20" i="5" s="1"/>
  <c r="AC20" i="5" a="1"/>
  <c r="AC20" i="5" s="1"/>
  <c r="AD19" i="5" a="1"/>
  <c r="AD19" i="5" s="1"/>
  <c r="AE19" i="5" s="1"/>
  <c r="AC19" i="5"/>
  <c r="AC19" i="5" a="1"/>
  <c r="AD18" i="5" a="1"/>
  <c r="AD18" i="5" s="1"/>
  <c r="AC18" i="5" a="1"/>
  <c r="AC18" i="5" s="1"/>
  <c r="AD17" i="5" a="1"/>
  <c r="AD17" i="5" s="1"/>
  <c r="AC17" i="5" a="1"/>
  <c r="AC17" i="5" s="1"/>
  <c r="AD16" i="5" a="1"/>
  <c r="AD16" i="5" s="1"/>
  <c r="AC16" i="5" a="1"/>
  <c r="AC16" i="5" s="1"/>
  <c r="AD15" i="5" a="1"/>
  <c r="AD15" i="5" s="1"/>
  <c r="AE15" i="5" s="1"/>
  <c r="AC15" i="5" a="1"/>
  <c r="AC15" i="5" s="1"/>
  <c r="AD14" i="5" a="1"/>
  <c r="AD14" i="5" s="1"/>
  <c r="AE14" i="5" s="1"/>
  <c r="AC14" i="5" a="1"/>
  <c r="AC14" i="5" s="1"/>
  <c r="AD13" i="5" a="1"/>
  <c r="AD13" i="5" s="1"/>
  <c r="AC13" i="5" a="1"/>
  <c r="AC13" i="5" s="1"/>
  <c r="AD12" i="5" a="1"/>
  <c r="AD12" i="5" s="1"/>
  <c r="AC12" i="5" a="1"/>
  <c r="AC12" i="5" s="1"/>
  <c r="AD11" i="5"/>
  <c r="AD11" i="5" a="1"/>
  <c r="AC11" i="5" a="1"/>
  <c r="AC11" i="5" s="1"/>
  <c r="AD10" i="5" a="1"/>
  <c r="AD10" i="5" s="1"/>
  <c r="AC10" i="5" a="1"/>
  <c r="AC10" i="5" s="1"/>
  <c r="AD9" i="5"/>
  <c r="AE9" i="5" s="1"/>
  <c r="AD9" i="5" a="1"/>
  <c r="AC9" i="5"/>
  <c r="AC9" i="5" a="1"/>
  <c r="AD8" i="5" a="1"/>
  <c r="AD8" i="5" s="1"/>
  <c r="AC8" i="5" a="1"/>
  <c r="AC8" i="5" s="1"/>
  <c r="AD7" i="5" a="1"/>
  <c r="AD7" i="5" s="1"/>
  <c r="AC7" i="5"/>
  <c r="AC7" i="5" a="1"/>
  <c r="AA20" i="5" a="1"/>
  <c r="AA20" i="5" s="1"/>
  <c r="Z20" i="5" a="1"/>
  <c r="Z20" i="5" s="1"/>
  <c r="AA19" i="5" a="1"/>
  <c r="AA19" i="5" s="1"/>
  <c r="AB19" i="5" s="1"/>
  <c r="Z19" i="5"/>
  <c r="Z19" i="5" a="1"/>
  <c r="AA18" i="5" a="1"/>
  <c r="AA18" i="5" s="1"/>
  <c r="Z18" i="5" a="1"/>
  <c r="Z18" i="5" s="1"/>
  <c r="AA17" i="5" a="1"/>
  <c r="AA17" i="5" s="1"/>
  <c r="Z17" i="5" a="1"/>
  <c r="Z17" i="5" s="1"/>
  <c r="AA16" i="5"/>
  <c r="AA16" i="5" a="1"/>
  <c r="Z16" i="5" a="1"/>
  <c r="Z16" i="5" s="1"/>
  <c r="AB16" i="5" s="1"/>
  <c r="AA15" i="5" a="1"/>
  <c r="AA15" i="5" s="1"/>
  <c r="Z15" i="5" a="1"/>
  <c r="Z15" i="5" s="1"/>
  <c r="AA14" i="5" a="1"/>
  <c r="AA14" i="5" s="1"/>
  <c r="Z14" i="5" a="1"/>
  <c r="Z14" i="5" s="1"/>
  <c r="AA13" i="5" a="1"/>
  <c r="AA13" i="5" s="1"/>
  <c r="Z13" i="5" a="1"/>
  <c r="Z13" i="5" s="1"/>
  <c r="AA12" i="5" a="1"/>
  <c r="AA12" i="5" s="1"/>
  <c r="Z12" i="5" a="1"/>
  <c r="Z12" i="5" s="1"/>
  <c r="AA11" i="5" a="1"/>
  <c r="AA11" i="5" s="1"/>
  <c r="Z11" i="5" a="1"/>
  <c r="Z11" i="5" s="1"/>
  <c r="AA10" i="5" a="1"/>
  <c r="AA10" i="5" s="1"/>
  <c r="Z10" i="5" a="1"/>
  <c r="Z10" i="5" s="1"/>
  <c r="AA9" i="5"/>
  <c r="AB9" i="5" s="1"/>
  <c r="AA9" i="5" a="1"/>
  <c r="Z9" i="5" a="1"/>
  <c r="Z9" i="5" s="1"/>
  <c r="AA8" i="5" a="1"/>
  <c r="AA8" i="5" s="1"/>
  <c r="Z8" i="5" a="1"/>
  <c r="Z8" i="5" s="1"/>
  <c r="AA7" i="5" a="1"/>
  <c r="AA7" i="5" s="1"/>
  <c r="Z7" i="5"/>
  <c r="Z7" i="5" a="1"/>
  <c r="X21" i="5"/>
  <c r="Y21" i="5" s="1"/>
  <c r="W21" i="5"/>
  <c r="X7" i="5" a="1"/>
  <c r="X7" i="5" s="1"/>
  <c r="W7" i="5" a="1"/>
  <c r="W7" i="5" s="1"/>
  <c r="X20" i="5" a="1"/>
  <c r="X20" i="5" s="1"/>
  <c r="W20" i="5" a="1"/>
  <c r="W20" i="5" s="1"/>
  <c r="X19" i="5" a="1"/>
  <c r="X19" i="5" s="1"/>
  <c r="W19" i="5" a="1"/>
  <c r="W19" i="5" s="1"/>
  <c r="X18" i="5"/>
  <c r="X18" i="5" a="1"/>
  <c r="W18" i="5" a="1"/>
  <c r="W18" i="5" s="1"/>
  <c r="X17" i="5" a="1"/>
  <c r="X17" i="5" s="1"/>
  <c r="W17" i="5" a="1"/>
  <c r="W17" i="5" s="1"/>
  <c r="X16" i="5" a="1"/>
  <c r="X16" i="5" s="1"/>
  <c r="Y16" i="5" s="1"/>
  <c r="W16" i="5"/>
  <c r="W16" i="5" a="1"/>
  <c r="X15" i="5" a="1"/>
  <c r="X15" i="5" s="1"/>
  <c r="W15" i="5" a="1"/>
  <c r="W15" i="5" s="1"/>
  <c r="X14" i="5" a="1"/>
  <c r="X14" i="5" s="1"/>
  <c r="W14" i="5" a="1"/>
  <c r="W14" i="5" s="1"/>
  <c r="X13" i="5" a="1"/>
  <c r="X13" i="5" s="1"/>
  <c r="W13" i="5" a="1"/>
  <c r="W13" i="5" s="1"/>
  <c r="X12" i="5" a="1"/>
  <c r="X12" i="5" s="1"/>
  <c r="W12" i="5" a="1"/>
  <c r="W12" i="5" s="1"/>
  <c r="X11" i="5" a="1"/>
  <c r="X11" i="5" s="1"/>
  <c r="W11" i="5" a="1"/>
  <c r="W11" i="5" s="1"/>
  <c r="X10" i="5" a="1"/>
  <c r="X10" i="5" s="1"/>
  <c r="W10" i="5" a="1"/>
  <c r="W10" i="5" s="1"/>
  <c r="X9" i="5" a="1"/>
  <c r="X9" i="5" s="1"/>
  <c r="W9" i="5" a="1"/>
  <c r="W9" i="5" s="1"/>
  <c r="X8" i="5" a="1"/>
  <c r="X8" i="5" s="1"/>
  <c r="W8" i="5" a="1"/>
  <c r="W8" i="5" s="1"/>
  <c r="U7" i="5" a="1"/>
  <c r="U7" i="5" s="1"/>
  <c r="U8" i="5" a="1"/>
  <c r="U8" i="5"/>
  <c r="U9" i="5" a="1"/>
  <c r="U9" i="5"/>
  <c r="U10" i="5" a="1"/>
  <c r="U10" i="5" s="1"/>
  <c r="U11" i="5" a="1"/>
  <c r="U11" i="5" s="1"/>
  <c r="U12" i="5" a="1"/>
  <c r="U12" i="5" s="1"/>
  <c r="U13" i="5" a="1"/>
  <c r="U13" i="5" s="1"/>
  <c r="U14" i="5" a="1"/>
  <c r="U14" i="5"/>
  <c r="U15" i="5" a="1"/>
  <c r="U15" i="5" s="1"/>
  <c r="U16" i="5" a="1"/>
  <c r="U16" i="5" s="1"/>
  <c r="U17" i="5" a="1"/>
  <c r="U17" i="5" s="1"/>
  <c r="U18" i="5" a="1"/>
  <c r="U18" i="5" s="1"/>
  <c r="U19" i="5" a="1"/>
  <c r="U19" i="5" s="1"/>
  <c r="U20" i="5" a="1"/>
  <c r="U20" i="5" s="1"/>
  <c r="T7" i="5" a="1"/>
  <c r="T7" i="5" s="1"/>
  <c r="T8" i="5" a="1"/>
  <c r="T8" i="5" s="1"/>
  <c r="T9" i="5" a="1"/>
  <c r="T9" i="5"/>
  <c r="T10" i="5" a="1"/>
  <c r="T10" i="5"/>
  <c r="T11" i="5" a="1"/>
  <c r="T11" i="5" s="1"/>
  <c r="T12" i="5" a="1"/>
  <c r="T12" i="5" s="1"/>
  <c r="T13" i="5" a="1"/>
  <c r="T13" i="5" s="1"/>
  <c r="T14" i="5" a="1"/>
  <c r="T14" i="5" s="1"/>
  <c r="T15" i="5" a="1"/>
  <c r="T15" i="5"/>
  <c r="T16" i="5" a="1"/>
  <c r="T16" i="5"/>
  <c r="T17" i="5" a="1"/>
  <c r="T17" i="5"/>
  <c r="T18" i="5" a="1"/>
  <c r="T18" i="5" s="1"/>
  <c r="T19" i="5" a="1"/>
  <c r="T19" i="5" s="1"/>
  <c r="T20" i="5" a="1"/>
  <c r="T20" i="5" s="1"/>
  <c r="AC21" i="5" l="1"/>
  <c r="AE18" i="5"/>
  <c r="AE13" i="5"/>
  <c r="AE10" i="5"/>
  <c r="AE11" i="5"/>
  <c r="AD21" i="5"/>
  <c r="AE21" i="5" s="1"/>
  <c r="AE7" i="5"/>
  <c r="AE8" i="5"/>
  <c r="AE16" i="5"/>
  <c r="AE17" i="5"/>
  <c r="AE12" i="5"/>
  <c r="AE20" i="5"/>
  <c r="AB15" i="5"/>
  <c r="AB20" i="5"/>
  <c r="AB10" i="5"/>
  <c r="AB11" i="5"/>
  <c r="AB17" i="5"/>
  <c r="Z21" i="5"/>
  <c r="AB12" i="5"/>
  <c r="AA21" i="5"/>
  <c r="AB21" i="5" s="1"/>
  <c r="AB7" i="5"/>
  <c r="AB18" i="5"/>
  <c r="AB13" i="5"/>
  <c r="AB8" i="5"/>
  <c r="AB14" i="5"/>
  <c r="Y10" i="5"/>
  <c r="Y11" i="5"/>
  <c r="Y17" i="5"/>
  <c r="Y12" i="5"/>
  <c r="Y7" i="5"/>
  <c r="Y13" i="5"/>
  <c r="Y18" i="5"/>
  <c r="Y8" i="5"/>
  <c r="Y14" i="5"/>
  <c r="Y19" i="5"/>
  <c r="Y9" i="5"/>
  <c r="Y15" i="5"/>
  <c r="Y20" i="5"/>
  <c r="J7" i="5" l="1"/>
  <c r="J8" i="5"/>
  <c r="J9" i="5"/>
  <c r="J10" i="5"/>
  <c r="J11" i="5"/>
  <c r="J12" i="5"/>
  <c r="J13" i="5"/>
  <c r="J14" i="5"/>
  <c r="J15" i="5"/>
  <c r="J16" i="5"/>
  <c r="J17" i="5"/>
  <c r="J18" i="5"/>
  <c r="J19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F7" i="5"/>
  <c r="F8" i="5"/>
  <c r="M8" i="5" s="1"/>
  <c r="F9" i="5"/>
  <c r="M9" i="5" s="1"/>
  <c r="F10" i="5"/>
  <c r="F11" i="5"/>
  <c r="F12" i="5"/>
  <c r="F13" i="5"/>
  <c r="E13" i="5" s="1"/>
  <c r="F14" i="5"/>
  <c r="F15" i="5"/>
  <c r="F16" i="5"/>
  <c r="F17" i="5"/>
  <c r="F18" i="5"/>
  <c r="F19" i="5"/>
  <c r="D7" i="5"/>
  <c r="D8" i="5"/>
  <c r="P8" i="5" s="1"/>
  <c r="D9" i="5"/>
  <c r="P9" i="5" s="1"/>
  <c r="D10" i="5"/>
  <c r="P10" i="5" s="1"/>
  <c r="D11" i="5"/>
  <c r="D12" i="5"/>
  <c r="P12" i="5" s="1"/>
  <c r="D13" i="5"/>
  <c r="P13" i="5" s="1"/>
  <c r="D14" i="5"/>
  <c r="D15" i="5"/>
  <c r="D16" i="5"/>
  <c r="P16" i="5" s="1"/>
  <c r="D17" i="5"/>
  <c r="P17" i="5" s="1"/>
  <c r="D18" i="5"/>
  <c r="P18" i="5" s="1"/>
  <c r="D19" i="5"/>
  <c r="P19" i="5" s="1"/>
  <c r="K21" i="5"/>
  <c r="P20" i="5"/>
  <c r="M20" i="5"/>
  <c r="N20" i="5" s="1"/>
  <c r="P15" i="5"/>
  <c r="AJ14" i="5"/>
  <c r="AV14" i="5" s="1"/>
  <c r="P14" i="5"/>
  <c r="AJ9" i="5"/>
  <c r="AV9" i="5" s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M2" i="3"/>
  <c r="L2" i="3"/>
  <c r="S2" i="3" s="1"/>
  <c r="T2" i="3" s="1"/>
  <c r="K59" i="3"/>
  <c r="K4" i="3"/>
  <c r="K3" i="3"/>
  <c r="K2" i="3"/>
  <c r="Q59" i="3"/>
  <c r="K52" i="3"/>
  <c r="M51" i="3"/>
  <c r="L51" i="3"/>
  <c r="K51" i="3"/>
  <c r="K50" i="3"/>
  <c r="K49" i="3"/>
  <c r="M48" i="3"/>
  <c r="L48" i="3"/>
  <c r="K48" i="3"/>
  <c r="M47" i="3"/>
  <c r="K47" i="3"/>
  <c r="K46" i="3"/>
  <c r="M45" i="3"/>
  <c r="K45" i="3"/>
  <c r="K44" i="3"/>
  <c r="K43" i="3"/>
  <c r="M42" i="3"/>
  <c r="L42" i="3"/>
  <c r="K42" i="3"/>
  <c r="K41" i="3"/>
  <c r="K40" i="3"/>
  <c r="M39" i="3"/>
  <c r="K39" i="3"/>
  <c r="K38" i="3"/>
  <c r="K37" i="3"/>
  <c r="M36" i="3"/>
  <c r="L36" i="3"/>
  <c r="K36" i="3"/>
  <c r="K35" i="3"/>
  <c r="K34" i="3"/>
  <c r="M33" i="3"/>
  <c r="K33" i="3"/>
  <c r="M32" i="3"/>
  <c r="K32" i="3"/>
  <c r="K31" i="3"/>
  <c r="M30" i="3"/>
  <c r="L30" i="3"/>
  <c r="K30" i="3"/>
  <c r="K29" i="3"/>
  <c r="L28" i="3"/>
  <c r="K28" i="3"/>
  <c r="M27" i="3"/>
  <c r="K27" i="3"/>
  <c r="K26" i="3"/>
  <c r="M26" i="3" s="1"/>
  <c r="K25" i="3"/>
  <c r="M24" i="3"/>
  <c r="L24" i="3"/>
  <c r="K24" i="3"/>
  <c r="K23" i="3"/>
  <c r="K22" i="3"/>
  <c r="M21" i="3"/>
  <c r="K21" i="3"/>
  <c r="K20" i="3"/>
  <c r="K19" i="3"/>
  <c r="M18" i="3"/>
  <c r="K18" i="3"/>
  <c r="K17" i="3"/>
  <c r="K16" i="3"/>
  <c r="M15" i="3"/>
  <c r="L15" i="3"/>
  <c r="K15" i="3"/>
  <c r="K14" i="3"/>
  <c r="K13" i="3"/>
  <c r="M12" i="3"/>
  <c r="L12" i="3"/>
  <c r="S12" i="3" s="1"/>
  <c r="T12" i="3" s="1"/>
  <c r="K12" i="3"/>
  <c r="M11" i="3"/>
  <c r="K11" i="3"/>
  <c r="L11" i="3" s="1"/>
  <c r="K10" i="3"/>
  <c r="M9" i="3"/>
  <c r="L9" i="3"/>
  <c r="S9" i="3" s="1"/>
  <c r="T9" i="3" s="1"/>
  <c r="K9" i="3"/>
  <c r="K8" i="3"/>
  <c r="K7" i="3"/>
  <c r="M6" i="3"/>
  <c r="K6" i="3"/>
  <c r="K5" i="3"/>
  <c r="M3" i="3"/>
  <c r="H3" i="3"/>
  <c r="L3" i="3" s="1"/>
  <c r="H4" i="3"/>
  <c r="H5" i="3"/>
  <c r="H6" i="3"/>
  <c r="L6" i="3" s="1"/>
  <c r="H7" i="3"/>
  <c r="H8" i="3"/>
  <c r="H9" i="3"/>
  <c r="H10" i="3"/>
  <c r="H16" i="3"/>
  <c r="H17" i="3"/>
  <c r="H18" i="3"/>
  <c r="L18" i="3" s="1"/>
  <c r="S18" i="3" s="1"/>
  <c r="T18" i="3" s="1"/>
  <c r="H19" i="3"/>
  <c r="H20" i="3"/>
  <c r="H21" i="3"/>
  <c r="L21" i="3" s="1"/>
  <c r="H22" i="3"/>
  <c r="H23" i="3"/>
  <c r="H24" i="3"/>
  <c r="H25" i="3"/>
  <c r="H26" i="3"/>
  <c r="H27" i="3"/>
  <c r="L27" i="3" s="1"/>
  <c r="H28" i="3"/>
  <c r="H29" i="3"/>
  <c r="H30" i="3"/>
  <c r="H31" i="3"/>
  <c r="H32" i="3"/>
  <c r="L32" i="3" s="1"/>
  <c r="H33" i="3"/>
  <c r="L33" i="3" s="1"/>
  <c r="H34" i="3"/>
  <c r="H35" i="3"/>
  <c r="H36" i="3"/>
  <c r="H37" i="3"/>
  <c r="H38" i="3"/>
  <c r="H39" i="3"/>
  <c r="L39" i="3" s="1"/>
  <c r="H40" i="3"/>
  <c r="H41" i="3"/>
  <c r="H42" i="3"/>
  <c r="H43" i="3"/>
  <c r="H44" i="3"/>
  <c r="H45" i="3"/>
  <c r="L45" i="3" s="1"/>
  <c r="H46" i="3"/>
  <c r="H47" i="3"/>
  <c r="H48" i="3"/>
  <c r="H49" i="3"/>
  <c r="H50" i="3"/>
  <c r="H51" i="3"/>
  <c r="H52" i="3"/>
  <c r="H2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AJ11" i="5" l="1"/>
  <c r="AV11" i="5" s="1"/>
  <c r="AJ18" i="5"/>
  <c r="AV18" i="5" s="1"/>
  <c r="AH20" i="5"/>
  <c r="AT20" i="5" s="1"/>
  <c r="E10" i="5"/>
  <c r="AH17" i="5"/>
  <c r="AT17" i="5" s="1"/>
  <c r="N8" i="5"/>
  <c r="AI13" i="5"/>
  <c r="AU13" i="5" s="1"/>
  <c r="M11" i="5"/>
  <c r="N11" i="5" s="1"/>
  <c r="V12" i="5"/>
  <c r="AZ8" i="5"/>
  <c r="E19" i="5"/>
  <c r="E8" i="5"/>
  <c r="AJ15" i="5"/>
  <c r="AV15" i="5" s="1"/>
  <c r="Q20" i="5"/>
  <c r="R20" i="5" s="1"/>
  <c r="M16" i="5"/>
  <c r="N16" i="5" s="1"/>
  <c r="AJ12" i="5"/>
  <c r="AV12" i="5" s="1"/>
  <c r="S30" i="3"/>
  <c r="T30" i="3" s="1"/>
  <c r="L25" i="3"/>
  <c r="S39" i="3"/>
  <c r="T39" i="3" s="1"/>
  <c r="L46" i="3"/>
  <c r="M13" i="5"/>
  <c r="N13" i="5" s="1"/>
  <c r="M17" i="5"/>
  <c r="N17" i="5" s="1"/>
  <c r="M14" i="5"/>
  <c r="Q14" i="5" s="1"/>
  <c r="R14" i="5" s="1"/>
  <c r="M18" i="5"/>
  <c r="N18" i="5" s="1"/>
  <c r="Q8" i="5"/>
  <c r="R8" i="5" s="1"/>
  <c r="Q9" i="5"/>
  <c r="R9" i="5" s="1"/>
  <c r="Q17" i="5"/>
  <c r="R17" i="5" s="1"/>
  <c r="Q18" i="5"/>
  <c r="R18" i="5" s="1"/>
  <c r="E16" i="5"/>
  <c r="E17" i="5"/>
  <c r="V10" i="5"/>
  <c r="V19" i="5"/>
  <c r="V9" i="5"/>
  <c r="T21" i="5"/>
  <c r="M15" i="5"/>
  <c r="N15" i="5" s="1"/>
  <c r="E15" i="5"/>
  <c r="V18" i="5"/>
  <c r="AJ17" i="5"/>
  <c r="AV17" i="5" s="1"/>
  <c r="V15" i="5"/>
  <c r="AJ20" i="5"/>
  <c r="AV20" i="5" s="1"/>
  <c r="AJ13" i="5"/>
  <c r="AV13" i="5" s="1"/>
  <c r="M19" i="5"/>
  <c r="U21" i="5"/>
  <c r="V7" i="5"/>
  <c r="AJ10" i="5"/>
  <c r="AV10" i="5" s="1"/>
  <c r="N9" i="5"/>
  <c r="E7" i="5"/>
  <c r="F21" i="5"/>
  <c r="M10" i="5"/>
  <c r="N10" i="5" s="1"/>
  <c r="J21" i="5"/>
  <c r="E18" i="5"/>
  <c r="V20" i="5"/>
  <c r="V14" i="5"/>
  <c r="M12" i="5"/>
  <c r="N12" i="5" s="1"/>
  <c r="E12" i="5"/>
  <c r="G21" i="5"/>
  <c r="AI11" i="5"/>
  <c r="AU11" i="5" s="1"/>
  <c r="E11" i="5"/>
  <c r="P11" i="5"/>
  <c r="E9" i="5"/>
  <c r="V11" i="5"/>
  <c r="V13" i="5"/>
  <c r="D21" i="5"/>
  <c r="P7" i="5"/>
  <c r="AI14" i="5"/>
  <c r="AU14" i="5" s="1"/>
  <c r="E14" i="5"/>
  <c r="V16" i="5"/>
  <c r="I21" i="5"/>
  <c r="M7" i="5"/>
  <c r="AI9" i="5"/>
  <c r="AU9" i="5" s="1"/>
  <c r="V8" i="5"/>
  <c r="Q13" i="5"/>
  <c r="R13" i="5" s="1"/>
  <c r="V17" i="5"/>
  <c r="H21" i="5"/>
  <c r="AJ19" i="5"/>
  <c r="AV19" i="5" s="1"/>
  <c r="S57" i="3"/>
  <c r="T57" i="3" s="1"/>
  <c r="S6" i="3"/>
  <c r="T6" i="3" s="1"/>
  <c r="S45" i="3"/>
  <c r="T45" i="3" s="1"/>
  <c r="S32" i="3"/>
  <c r="T32" i="3" s="1"/>
  <c r="S27" i="3"/>
  <c r="T27" i="3" s="1"/>
  <c r="S48" i="3"/>
  <c r="T48" i="3" s="1"/>
  <c r="S36" i="3"/>
  <c r="T36" i="3" s="1"/>
  <c r="S11" i="3"/>
  <c r="T11" i="3" s="1"/>
  <c r="S15" i="3"/>
  <c r="T15" i="3" s="1"/>
  <c r="S24" i="3"/>
  <c r="T24" i="3" s="1"/>
  <c r="S54" i="3"/>
  <c r="T54" i="3" s="1"/>
  <c r="S51" i="3"/>
  <c r="T51" i="3" s="1"/>
  <c r="S3" i="3"/>
  <c r="T3" i="3" s="1"/>
  <c r="S21" i="3"/>
  <c r="T21" i="3" s="1"/>
  <c r="S33" i="3"/>
  <c r="T33" i="3" s="1"/>
  <c r="S42" i="3"/>
  <c r="T42" i="3" s="1"/>
  <c r="M13" i="3"/>
  <c r="L13" i="3"/>
  <c r="S13" i="3" s="1"/>
  <c r="T13" i="3" s="1"/>
  <c r="L17" i="3"/>
  <c r="M17" i="3"/>
  <c r="S58" i="3"/>
  <c r="T58" i="3" s="1"/>
  <c r="L19" i="3"/>
  <c r="L23" i="3"/>
  <c r="M38" i="3"/>
  <c r="M23" i="3"/>
  <c r="M52" i="3"/>
  <c r="L52" i="3"/>
  <c r="S52" i="3" s="1"/>
  <c r="T52" i="3" s="1"/>
  <c r="M8" i="3"/>
  <c r="M10" i="3"/>
  <c r="L29" i="3"/>
  <c r="S29" i="3" s="1"/>
  <c r="T29" i="3" s="1"/>
  <c r="L10" i="3"/>
  <c r="L14" i="3"/>
  <c r="M31" i="3"/>
  <c r="P59" i="3"/>
  <c r="M14" i="3"/>
  <c r="L31" i="3"/>
  <c r="S31" i="3" s="1"/>
  <c r="T31" i="3" s="1"/>
  <c r="L16" i="3"/>
  <c r="L20" i="3"/>
  <c r="M35" i="3"/>
  <c r="M37" i="3"/>
  <c r="L5" i="3"/>
  <c r="S5" i="3" s="1"/>
  <c r="T5" i="3" s="1"/>
  <c r="M20" i="3"/>
  <c r="M22" i="3"/>
  <c r="L37" i="3"/>
  <c r="L41" i="3"/>
  <c r="M5" i="3"/>
  <c r="M7" i="3"/>
  <c r="L22" i="3"/>
  <c r="S22" i="3" s="1"/>
  <c r="T22" i="3" s="1"/>
  <c r="L26" i="3"/>
  <c r="S26" i="3" s="1"/>
  <c r="T26" i="3" s="1"/>
  <c r="M41" i="3"/>
  <c r="M43" i="3"/>
  <c r="M34" i="3"/>
  <c r="M19" i="3"/>
  <c r="L34" i="3"/>
  <c r="S34" i="3" s="1"/>
  <c r="T34" i="3" s="1"/>
  <c r="L38" i="3"/>
  <c r="M4" i="3"/>
  <c r="M40" i="3"/>
  <c r="L4" i="3"/>
  <c r="L59" i="3" s="1"/>
  <c r="L8" i="3"/>
  <c r="S8" i="3" s="1"/>
  <c r="T8" i="3" s="1"/>
  <c r="M25" i="3"/>
  <c r="L40" i="3"/>
  <c r="L44" i="3"/>
  <c r="L50" i="3"/>
  <c r="M44" i="3"/>
  <c r="M46" i="3"/>
  <c r="S46" i="3" s="1"/>
  <c r="T46" i="3" s="1"/>
  <c r="M50" i="3"/>
  <c r="M29" i="3"/>
  <c r="M16" i="3"/>
  <c r="L35" i="3"/>
  <c r="S35" i="3" s="1"/>
  <c r="T35" i="3" s="1"/>
  <c r="L7" i="3"/>
  <c r="M28" i="3"/>
  <c r="S28" i="3" s="1"/>
  <c r="T28" i="3" s="1"/>
  <c r="L43" i="3"/>
  <c r="S43" i="3" s="1"/>
  <c r="T43" i="3" s="1"/>
  <c r="L47" i="3"/>
  <c r="S47" i="3" s="1"/>
  <c r="T47" i="3" s="1"/>
  <c r="M49" i="3"/>
  <c r="L49" i="3"/>
  <c r="S49" i="3" s="1"/>
  <c r="T49" i="3" s="1"/>
  <c r="AN17" i="5" l="1"/>
  <c r="AZ17" i="5" s="1"/>
  <c r="AI15" i="5"/>
  <c r="AU15" i="5" s="1"/>
  <c r="AN20" i="5"/>
  <c r="AZ20" i="5" s="1"/>
  <c r="AH8" i="5"/>
  <c r="AT8" i="5" s="1"/>
  <c r="Q11" i="5"/>
  <c r="R11" i="5" s="1"/>
  <c r="V21" i="5"/>
  <c r="Q16" i="5"/>
  <c r="R16" i="5" s="1"/>
  <c r="AI8" i="5"/>
  <c r="AU8" i="5" s="1"/>
  <c r="AI19" i="5"/>
  <c r="AU19" i="5" s="1"/>
  <c r="AJ8" i="5"/>
  <c r="AV8" i="5" s="1"/>
  <c r="N14" i="5"/>
  <c r="AI12" i="5"/>
  <c r="AU12" i="5" s="1"/>
  <c r="S25" i="3"/>
  <c r="T25" i="3" s="1"/>
  <c r="Q15" i="5"/>
  <c r="R15" i="5" s="1"/>
  <c r="I22" i="5"/>
  <c r="E21" i="5"/>
  <c r="AH13" i="5"/>
  <c r="AT13" i="5" s="1"/>
  <c r="AN13" i="5"/>
  <c r="AZ13" i="5" s="1"/>
  <c r="AN12" i="5"/>
  <c r="AZ12" i="5" s="1"/>
  <c r="AH12" i="5"/>
  <c r="AT12" i="5" s="1"/>
  <c r="AH11" i="5"/>
  <c r="AT11" i="5" s="1"/>
  <c r="AZ11" i="5"/>
  <c r="AN18" i="5"/>
  <c r="AZ18" i="5" s="1"/>
  <c r="AH18" i="5"/>
  <c r="AT18" i="5" s="1"/>
  <c r="AZ9" i="5"/>
  <c r="AH9" i="5"/>
  <c r="AT9" i="5" s="1"/>
  <c r="N7" i="5"/>
  <c r="M21" i="5"/>
  <c r="N21" i="5" s="1"/>
  <c r="Q19" i="5"/>
  <c r="R19" i="5" s="1"/>
  <c r="N19" i="5"/>
  <c r="AU20" i="5"/>
  <c r="AH10" i="5"/>
  <c r="AT10" i="5" s="1"/>
  <c r="AZ10" i="5"/>
  <c r="Q7" i="5"/>
  <c r="P21" i="5"/>
  <c r="O21" i="5" s="1"/>
  <c r="AN15" i="5"/>
  <c r="AZ15" i="5" s="1"/>
  <c r="AH15" i="5"/>
  <c r="AT15" i="5" s="1"/>
  <c r="AJ7" i="5"/>
  <c r="AF21" i="5"/>
  <c r="AJ16" i="5"/>
  <c r="AV16" i="5" s="1"/>
  <c r="AN14" i="5"/>
  <c r="AZ14" i="5" s="1"/>
  <c r="AH14" i="5"/>
  <c r="AT14" i="5" s="1"/>
  <c r="AH16" i="5"/>
  <c r="AT16" i="5" s="1"/>
  <c r="AN16" i="5"/>
  <c r="AZ16" i="5" s="1"/>
  <c r="AH19" i="5"/>
  <c r="AT19" i="5" s="1"/>
  <c r="AN19" i="5"/>
  <c r="AZ19" i="5" s="1"/>
  <c r="Q10" i="5"/>
  <c r="R10" i="5" s="1"/>
  <c r="AI10" i="5"/>
  <c r="AU10" i="5" s="1"/>
  <c r="AH7" i="5"/>
  <c r="AT7" i="5" s="1"/>
  <c r="AG21" i="5"/>
  <c r="Q12" i="5"/>
  <c r="R12" i="5" s="1"/>
  <c r="S4" i="3"/>
  <c r="T4" i="3" s="1"/>
  <c r="N59" i="3"/>
  <c r="S50" i="3"/>
  <c r="T50" i="3" s="1"/>
  <c r="S19" i="3"/>
  <c r="T19" i="3" s="1"/>
  <c r="M59" i="3"/>
  <c r="S40" i="3"/>
  <c r="T40" i="3" s="1"/>
  <c r="S56" i="3"/>
  <c r="T56" i="3" s="1"/>
  <c r="S55" i="3"/>
  <c r="T55" i="3" s="1"/>
  <c r="S14" i="3"/>
  <c r="T14" i="3" s="1"/>
  <c r="S53" i="3"/>
  <c r="T53" i="3" s="1"/>
  <c r="S41" i="3"/>
  <c r="T41" i="3" s="1"/>
  <c r="S17" i="3"/>
  <c r="T17" i="3" s="1"/>
  <c r="S37" i="3"/>
  <c r="T37" i="3" s="1"/>
  <c r="S23" i="3"/>
  <c r="T23" i="3" s="1"/>
  <c r="O59" i="3"/>
  <c r="S44" i="3"/>
  <c r="T44" i="3" s="1"/>
  <c r="S20" i="3"/>
  <c r="T20" i="3" s="1"/>
  <c r="S16" i="3"/>
  <c r="T16" i="3" s="1"/>
  <c r="S7" i="3"/>
  <c r="T7" i="3" s="1"/>
  <c r="S38" i="3"/>
  <c r="T38" i="3" s="1"/>
  <c r="S10" i="3"/>
  <c r="T10" i="3" s="1"/>
  <c r="AL17" i="5" l="1"/>
  <c r="AX17" i="5" s="1"/>
  <c r="AL14" i="5"/>
  <c r="AX14" i="5" s="1"/>
  <c r="AL11" i="5"/>
  <c r="AX11" i="5" s="1"/>
  <c r="AL8" i="5"/>
  <c r="AX8" i="5" s="1"/>
  <c r="AL7" i="5"/>
  <c r="AX7" i="5" s="1"/>
  <c r="AM12" i="5"/>
  <c r="AY12" i="5" s="1"/>
  <c r="AY21" i="5"/>
  <c r="AX21" i="5"/>
  <c r="AM15" i="5"/>
  <c r="AY15" i="5" s="1"/>
  <c r="AM18" i="5"/>
  <c r="AY18" i="5" s="1"/>
  <c r="AL20" i="5"/>
  <c r="AX20" i="5" s="1"/>
  <c r="AM19" i="5"/>
  <c r="AY19" i="5" s="1"/>
  <c r="AK15" i="5"/>
  <c r="AK20" i="5"/>
  <c r="AL19" i="5"/>
  <c r="AX19" i="5" s="1"/>
  <c r="AM11" i="5"/>
  <c r="AY11" i="5" s="1"/>
  <c r="AL12" i="5"/>
  <c r="AX12" i="5" s="1"/>
  <c r="AK19" i="5"/>
  <c r="AM16" i="5"/>
  <c r="AY16" i="5" s="1"/>
  <c r="AK12" i="5"/>
  <c r="AK16" i="5"/>
  <c r="AL16" i="5"/>
  <c r="AX16" i="5" s="1"/>
  <c r="AM10" i="5"/>
  <c r="AY10" i="5" s="1"/>
  <c r="AL9" i="5"/>
  <c r="AX9" i="5" s="1"/>
  <c r="AM13" i="5"/>
  <c r="AY13" i="5" s="1"/>
  <c r="AK9" i="5"/>
  <c r="AL13" i="5"/>
  <c r="AX13" i="5" s="1"/>
  <c r="AK10" i="5"/>
  <c r="AW10" i="5" s="1"/>
  <c r="AK13" i="5"/>
  <c r="AM17" i="5"/>
  <c r="AY17" i="5" s="1"/>
  <c r="AL10" i="5"/>
  <c r="AX10" i="5" s="1"/>
  <c r="AK18" i="5"/>
  <c r="AL15" i="5"/>
  <c r="AX15" i="5" s="1"/>
  <c r="AM7" i="5"/>
  <c r="AY7" i="5" s="1"/>
  <c r="AM14" i="5"/>
  <c r="AY14" i="5" s="1"/>
  <c r="AM8" i="5"/>
  <c r="AY8" i="5" s="1"/>
  <c r="AM20" i="5"/>
  <c r="AY20" i="5" s="1"/>
  <c r="AL18" i="5"/>
  <c r="AX18" i="5" s="1"/>
  <c r="AM9" i="5"/>
  <c r="AY9" i="5" s="1"/>
  <c r="AK8" i="5"/>
  <c r="AK17" i="5"/>
  <c r="AK11" i="5"/>
  <c r="AK14" i="5"/>
  <c r="AW21" i="5"/>
  <c r="AJ21" i="5"/>
  <c r="AV21" i="5" s="1"/>
  <c r="AV7" i="5"/>
  <c r="Q21" i="5"/>
  <c r="R21" i="5" s="1"/>
  <c r="R7" i="5"/>
  <c r="AZ21" i="5"/>
  <c r="AZ7" i="5"/>
  <c r="AH21" i="5"/>
  <c r="AT21" i="5" s="1"/>
  <c r="S59" i="3"/>
  <c r="T59" i="3" s="1"/>
  <c r="AQ10" i="5" l="1"/>
  <c r="AR10" i="5" s="1"/>
  <c r="AW14" i="5"/>
  <c r="AQ14" i="5"/>
  <c r="AO14" i="5"/>
  <c r="AW11" i="5"/>
  <c r="AQ11" i="5"/>
  <c r="AO11" i="5"/>
  <c r="AW8" i="5"/>
  <c r="AO8" i="5"/>
  <c r="AQ8" i="5"/>
  <c r="AW9" i="5"/>
  <c r="AO9" i="5"/>
  <c r="AQ9" i="5"/>
  <c r="AW17" i="5"/>
  <c r="AW20" i="5"/>
  <c r="AQ20" i="5"/>
  <c r="AO20" i="5"/>
  <c r="AW19" i="5"/>
  <c r="AQ19" i="5"/>
  <c r="AW13" i="5"/>
  <c r="AO13" i="5"/>
  <c r="AQ13" i="5"/>
  <c r="AW15" i="5"/>
  <c r="AQ15" i="5"/>
  <c r="AO15" i="5"/>
  <c r="AO10" i="5"/>
  <c r="AW7" i="5"/>
  <c r="AQ7" i="5"/>
  <c r="AW16" i="5"/>
  <c r="AW18" i="5"/>
  <c r="AW12" i="5"/>
  <c r="AQ12" i="5"/>
  <c r="AO12" i="5"/>
  <c r="BB10" i="5" l="1"/>
  <c r="BA7" i="5"/>
  <c r="AP9" i="5"/>
  <c r="BA9" i="5"/>
  <c r="AP12" i="5"/>
  <c r="BA12" i="5"/>
  <c r="BB9" i="5"/>
  <c r="AR9" i="5"/>
  <c r="BA19" i="5"/>
  <c r="AP19" i="5"/>
  <c r="BB7" i="5"/>
  <c r="AR7" i="5"/>
  <c r="AR19" i="5"/>
  <c r="BB19" i="5"/>
  <c r="AR8" i="5"/>
  <c r="BB8" i="5"/>
  <c r="BA10" i="5"/>
  <c r="AP10" i="5"/>
  <c r="AP8" i="5"/>
  <c r="BA8" i="5"/>
  <c r="BB12" i="5"/>
  <c r="AR12" i="5"/>
  <c r="AP15" i="5"/>
  <c r="BA15" i="5"/>
  <c r="BB15" i="5"/>
  <c r="AR15" i="5"/>
  <c r="AP20" i="5"/>
  <c r="BA20" i="5"/>
  <c r="BA11" i="5"/>
  <c r="AP11" i="5"/>
  <c r="AR20" i="5"/>
  <c r="BB20" i="5"/>
  <c r="BB11" i="5"/>
  <c r="AR11" i="5"/>
  <c r="BA14" i="5"/>
  <c r="AP14" i="5"/>
  <c r="AR13" i="5"/>
  <c r="BB13" i="5"/>
  <c r="BB14" i="5"/>
  <c r="AR14" i="5"/>
  <c r="AP13" i="5"/>
  <c r="BA13" i="5"/>
  <c r="E59" i="3" l="1"/>
  <c r="AI17" i="5" l="1"/>
  <c r="AI16" i="5" l="1"/>
  <c r="AI18" i="5"/>
  <c r="AU17" i="5"/>
  <c r="AQ17" i="5"/>
  <c r="AO17" i="5"/>
  <c r="AR17" i="5" l="1"/>
  <c r="BB17" i="5"/>
  <c r="AU18" i="5"/>
  <c r="AO18" i="5"/>
  <c r="AQ18" i="5"/>
  <c r="AU16" i="5"/>
  <c r="AI21" i="5"/>
  <c r="AU21" i="5" s="1"/>
  <c r="AO16" i="5"/>
  <c r="AQ16" i="5"/>
  <c r="AP17" i="5"/>
  <c r="BA17" i="5"/>
  <c r="BA16" i="5" l="1"/>
  <c r="AP16" i="5"/>
  <c r="AO21" i="5"/>
  <c r="AP18" i="5"/>
  <c r="BA18" i="5"/>
  <c r="AR18" i="5"/>
  <c r="BB18" i="5"/>
  <c r="AQ21" i="5"/>
  <c r="BB16" i="5"/>
  <c r="AR16" i="5"/>
  <c r="AP21" i="5" l="1"/>
  <c r="BA21" i="5"/>
  <c r="BB21" i="5"/>
  <c r="AR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tc={97E5E632-6333-4B74-AA22-325C0B3260C2}</author>
  </authors>
  <commentList>
    <comment ref="O20" authorId="0" shapeId="0" xr:uid="{97E5E632-6333-4B74-AA22-325C0B3260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Telilla membrana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<sst xmlns="http://schemas.openxmlformats.org/spreadsheetml/2006/main" count="174" uniqueCount="123">
  <si>
    <t>CODIGO</t>
  </si>
  <si>
    <t>PRODUCTO</t>
  </si>
  <si>
    <t>TOTAL STOCK</t>
  </si>
  <si>
    <t>POR EMBARCAR</t>
  </si>
  <si>
    <t>STOCK LIBRE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</si>
  <si>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</si>
  <si>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</si>
  <si>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</si>
  <si>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</si>
  <si>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</si>
  <si>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</si>
  <si>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</si>
  <si>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</si>
  <si>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</si>
  <si>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>POTA ENTERA &lt; 1KG</t>
  </si>
  <si>
    <t>TUBO ALETA 0.1-0.5 KG</t>
  </si>
  <si>
    <t>TUBO ALETA 0.5-1.0 KG</t>
  </si>
  <si>
    <t>TUBO ALETA 1.0-1.5 kg</t>
  </si>
  <si>
    <t>TUBO ALETA 1.0-2.0 KG</t>
  </si>
  <si>
    <t xml:space="preserve">POTA FILETE C/M C/T FR 0.5-1.0 BL10 S20  </t>
  </si>
  <si>
    <t xml:space="preserve">POTA FILETE C/M C/T FR 1-2 BL10 S20  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</si>
  <si>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</si>
  <si>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</si>
  <si>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</si>
  <si>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</si>
  <si>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 xml:space="preserve">POTA FILETE C/M C/T FR 1-2 AA BL10 S20  </t>
  </si>
  <si>
    <t xml:space="preserve">POTA FILETE C/M C/T FR 0.5-1.0 AAA  BL10 S20  </t>
  </si>
  <si>
    <t xml:space="preserve">POTA FILETE C/M C/T FR 1-2 AAA BL10 S20  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</si>
  <si>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</si>
  <si>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</si>
  <si>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</si>
  <si>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</si>
  <si>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</si>
  <si>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</si>
  <si>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</si>
  <si>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</si>
  <si>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</si>
  <si>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</si>
  <si>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</si>
  <si>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</si>
  <si>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</si>
  <si>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</si>
  <si>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</si>
  <si>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</si>
  <si>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</si>
  <si>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</si>
  <si>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</si>
  <si>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</si>
  <si>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</si>
  <si>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</si>
  <si>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</si>
  <si>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</si>
  <si>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</si>
  <si>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</si>
  <si>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</si>
  <si>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</si>
  <si>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RECORTE FR MEMBRANA</t>
  </si>
  <si>
    <t>RECORTE FR TELILLA</t>
  </si>
  <si>
    <t>RECORTE FR</t>
  </si>
  <si>
    <t>FILETE cm ct PARA REPROCESO</t>
  </si>
  <si>
    <t>PICOS LIMPIOS</t>
  </si>
  <si>
    <t>FILETE S/M S/T FR 1.0 - 2.0 CM/ESP BL10 S20</t>
  </si>
  <si>
    <t>TOTAL LIBRE</t>
  </si>
  <si>
    <t>CÓDIGO</t>
  </si>
  <si>
    <t>CU X TM</t>
  </si>
  <si>
    <t>% MP</t>
  </si>
  <si>
    <t>incremento MP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</si>
  <si>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</si>
  <si>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</si>
  <si>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</si>
  <si>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</si>
  <si>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</si>
  <si>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</si>
  <si>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</si>
  <si>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</si>
  <si>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</si>
  <si>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</si>
  <si>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</si>
  <si>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Suma de TM en Stock</t>
  </si>
  <si>
    <t>Etiquetas de fila</t>
  </si>
  <si>
    <t>(en blanco)</t>
  </si>
  <si>
    <t>Total general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</si>
  <si>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</si>
  <si>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</si>
  <si>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</si>
  <si>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</si>
  <si>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</si>
  <si>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</si>
  <si>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</si>
  <si>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</si>
  <si>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ALAS CONGELADAS FR C/P C/C 0.5-1 BL10 S20</t>
  </si>
  <si>
    <t>POTA REJOS COCIDOS</t>
  </si>
  <si>
    <t>POTA REJOS CONGELADOS</t>
  </si>
  <si>
    <t>POTA REPRODUCTORES</t>
  </si>
  <si>
    <t>POTA FILETE DARUMA</t>
  </si>
  <si>
    <t>POTA ALAS COCIDAS</t>
  </si>
  <si>
    <t>VENTOSAS</t>
  </si>
  <si>
    <t>OTROS</t>
  </si>
  <si>
    <t>PERU FROST</t>
  </si>
  <si>
    <t>RENTABILIDAD DEL INVENTARIO</t>
  </si>
  <si>
    <t>POR DEFINIR</t>
  </si>
  <si>
    <t>TOTAL PROYECTADO</t>
  </si>
  <si>
    <t>UNITARIOS POR TM</t>
  </si>
  <si>
    <t>Código</t>
  </si>
  <si>
    <t>Producto</t>
  </si>
  <si>
    <t>TM en 
Stock Libre</t>
  </si>
  <si>
    <t>CU</t>
  </si>
  <si>
    <t>Precio</t>
  </si>
  <si>
    <t>Venta total</t>
  </si>
  <si>
    <t>Utilidad</t>
  </si>
  <si>
    <t>Mg Neto</t>
  </si>
  <si>
    <t>TM</t>
  </si>
  <si>
    <t>Venta</t>
  </si>
  <si>
    <t>Precio x TM</t>
  </si>
  <si>
    <t>Gasto Adm</t>
  </si>
  <si>
    <t>Drawback</t>
  </si>
  <si>
    <t>Mg Neto %</t>
  </si>
  <si>
    <t>EBITDA</t>
  </si>
  <si>
    <t>MG 
EBITDA</t>
  </si>
  <si>
    <t>Utilidad 
Neta</t>
  </si>
  <si>
    <t>TOTAL</t>
  </si>
  <si>
    <t>flete x tm</t>
  </si>
  <si>
    <t>AVANCE COMERCIAL AL 8-6-2026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</si>
</sst>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00_-;\-* #,##0.00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2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43" fontId="6" fillId="0" borderId="0" xfId="0" applyNumberFormat="1" applyFont="1"/>
    <xf numFmtId="43" fontId="6" fillId="3" borderId="0" xfId="0" applyNumberFormat="1" applyFont="1" applyFill="1"/>
    <xf numFmtId="43" fontId="7" fillId="4" borderId="0" xfId="0" applyNumberFormat="1" applyFont="1" applyFill="1"/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3" fontId="9" fillId="4" borderId="0" xfId="0" applyNumberFormat="1" applyFont="1" applyFill="1"/>
    <xf numFmtId="0" fontId="9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3" fontId="6" fillId="6" borderId="0" xfId="0" applyNumberFormat="1" applyFont="1" applyFill="1"/>
    <xf numFmtId="43" fontId="7" fillId="6" borderId="0" xfId="0" applyNumberFormat="1" applyFont="1" applyFill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9" fontId="11" fillId="0" borderId="5" xfId="0" applyNumberFormat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top"/>
    </xf>
    <xf numFmtId="0" fontId="0" fillId="12" borderId="7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6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3" borderId="7" xfId="0" applyFill="1" applyBorder="1" applyAlignment="1">
      <alignment horizontal="center" vertical="top"/>
    </xf>
    <xf numFmtId="0" fontId="0" fillId="0" borderId="8" xfId="0" applyBorder="1" applyAlignment="1">
      <alignment horizontal="center"/>
    </xf>
    <xf numFmtId="9" fontId="13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4" fontId="8" fillId="0" borderId="0" xfId="0" applyNumberFormat="1" applyFont="1"/>
    <xf numFmtId="165" fontId="0" fillId="0" borderId="9" xfId="1" applyNumberFormat="1" applyFont="1" applyBorder="1"/>
    <xf numFmtId="165" fontId="13" fillId="0" borderId="0" xfId="1" applyNumberFormat="1" applyFont="1" applyBorder="1"/>
    <xf numFmtId="165" fontId="13" fillId="0" borderId="0" xfId="1" applyNumberFormat="1" applyFont="1"/>
    <xf numFmtId="165" fontId="13" fillId="0" borderId="0" xfId="1" applyNumberFormat="1" applyFont="1" applyAlignment="1">
      <alignment horizontal="center"/>
    </xf>
    <xf numFmtId="165" fontId="13" fillId="2" borderId="10" xfId="1" applyNumberFormat="1" applyFont="1" applyFill="1" applyBorder="1"/>
    <xf numFmtId="165" fontId="11" fillId="0" borderId="4" xfId="1" applyNumberFormat="1" applyFont="1" applyBorder="1"/>
    <xf numFmtId="165" fontId="11" fillId="0" borderId="5" xfId="1" applyNumberFormat="1" applyFont="1" applyBorder="1"/>
    <xf numFmtId="165" fontId="11" fillId="0" borderId="5" xfId="1" applyNumberFormat="1" applyFont="1" applyBorder="1" applyAlignment="1">
      <alignment horizontal="center"/>
    </xf>
    <xf numFmtId="165" fontId="11" fillId="2" borderId="6" xfId="1" applyNumberFormat="1" applyFon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11" xfId="0" applyBorder="1"/>
    <xf numFmtId="0" fontId="0" fillId="0" borderId="11" xfId="0" applyBorder="1" applyAlignment="1">
      <alignment vertical="top"/>
    </xf>
    <xf numFmtId="0" fontId="6" fillId="0" borderId="0" xfId="0" applyFont="1"/>
    <xf numFmtId="0" fontId="5" fillId="0" borderId="0" xfId="0" applyFont="1"/>
    <xf numFmtId="43" fontId="0" fillId="0" borderId="0" xfId="0" applyNumberFormat="1"/>
    <xf numFmtId="0" fontId="3" fillId="15" borderId="0" xfId="0" applyFont="1" applyFill="1" applyAlignment="1">
      <alignment horizontal="center"/>
    </xf>
    <xf numFmtId="0" fontId="5" fillId="14" borderId="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/>
    </xf>
    <xf numFmtId="165" fontId="0" fillId="10" borderId="17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Border="1"/>
    <xf numFmtId="9" fontId="0" fillId="0" borderId="0" xfId="0" applyNumberFormat="1"/>
    <xf numFmtId="165" fontId="1" fillId="0" borderId="10" xfId="0" applyNumberFormat="1" applyFont="1" applyBorder="1"/>
    <xf numFmtId="165" fontId="1" fillId="2" borderId="10" xfId="1" applyNumberFormat="1" applyFont="1" applyFill="1" applyBorder="1"/>
    <xf numFmtId="165" fontId="1" fillId="0" borderId="10" xfId="1" applyNumberFormat="1" applyFont="1" applyFill="1" applyBorder="1"/>
    <xf numFmtId="9" fontId="1" fillId="0" borderId="10" xfId="2" applyFont="1" applyFill="1" applyBorder="1" applyAlignment="1">
      <alignment horizontal="center"/>
    </xf>
    <xf numFmtId="165" fontId="0" fillId="0" borderId="3" xfId="1" applyNumberFormat="1" applyFont="1" applyBorder="1"/>
    <xf numFmtId="165" fontId="0" fillId="0" borderId="13" xfId="1" applyNumberFormat="1" applyFont="1" applyBorder="1"/>
    <xf numFmtId="165" fontId="0" fillId="16" borderId="3" xfId="1" applyNumberFormat="1" applyFont="1" applyFill="1" applyBorder="1"/>
    <xf numFmtId="165" fontId="0" fillId="16" borderId="11" xfId="1" applyNumberFormat="1" applyFont="1" applyFill="1" applyBorder="1"/>
    <xf numFmtId="165" fontId="0" fillId="16" borderId="0" xfId="1" applyNumberFormat="1" applyFont="1" applyFill="1" applyBorder="1"/>
    <xf numFmtId="9" fontId="0" fillId="16" borderId="3" xfId="2" applyFont="1" applyFill="1" applyBorder="1" applyAlignment="1">
      <alignment horizontal="center"/>
    </xf>
    <xf numFmtId="165" fontId="0" fillId="16" borderId="11" xfId="2" applyNumberFormat="1" applyFont="1" applyFill="1" applyBorder="1" applyAlignment="1">
      <alignment horizontal="center"/>
    </xf>
    <xf numFmtId="9" fontId="0" fillId="16" borderId="11" xfId="2" applyFont="1" applyFill="1" applyBorder="1" applyAlignment="1">
      <alignment horizontal="center"/>
    </xf>
    <xf numFmtId="165" fontId="0" fillId="2" borderId="2" xfId="0" applyNumberFormat="1" applyFill="1" applyBorder="1"/>
    <xf numFmtId="165" fontId="0" fillId="2" borderId="2" xfId="1" applyNumberFormat="1" applyFont="1" applyFill="1" applyBorder="1"/>
    <xf numFmtId="165" fontId="0" fillId="0" borderId="11" xfId="1" applyNumberFormat="1" applyFont="1" applyBorder="1"/>
    <xf numFmtId="165" fontId="1" fillId="0" borderId="18" xfId="1" applyNumberFormat="1" applyFont="1" applyFill="1" applyBorder="1"/>
    <xf numFmtId="0" fontId="5" fillId="0" borderId="19" xfId="0" applyFont="1" applyBorder="1" applyAlignment="1">
      <alignment horizontal="center"/>
    </xf>
    <xf numFmtId="1" fontId="5" fillId="10" borderId="20" xfId="0" applyNumberFormat="1" applyFont="1" applyFill="1" applyBorder="1" applyAlignment="1">
      <alignment horizontal="center"/>
    </xf>
    <xf numFmtId="165" fontId="5" fillId="10" borderId="21" xfId="1" applyNumberFormat="1" applyFont="1" applyFill="1" applyBorder="1" applyAlignment="1">
      <alignment horizontal="center"/>
    </xf>
    <xf numFmtId="165" fontId="5" fillId="0" borderId="5" xfId="1" applyNumberFormat="1" applyFont="1" applyBorder="1"/>
    <xf numFmtId="9" fontId="5" fillId="0" borderId="5" xfId="2" applyFont="1" applyBorder="1"/>
    <xf numFmtId="165" fontId="14" fillId="0" borderId="6" xfId="1" applyNumberFormat="1" applyFont="1" applyFill="1" applyBorder="1"/>
    <xf numFmtId="165" fontId="14" fillId="2" borderId="6" xfId="1" applyNumberFormat="1" applyFont="1" applyFill="1" applyBorder="1"/>
    <xf numFmtId="165" fontId="14" fillId="0" borderId="12" xfId="1" applyNumberFormat="1" applyFont="1" applyFill="1" applyBorder="1"/>
    <xf numFmtId="9" fontId="14" fillId="0" borderId="6" xfId="2" applyFont="1" applyFill="1" applyBorder="1" applyAlignment="1">
      <alignment horizontal="center"/>
    </xf>
    <xf numFmtId="165" fontId="5" fillId="0" borderId="1" xfId="0" applyNumberFormat="1" applyFont="1" applyBorder="1"/>
    <xf numFmtId="165" fontId="5" fillId="0" borderId="2" xfId="1" applyNumberFormat="1" applyFont="1" applyBorder="1"/>
    <xf numFmtId="165" fontId="5" fillId="16" borderId="2" xfId="0" applyNumberFormat="1" applyFont="1" applyFill="1" applyBorder="1"/>
    <xf numFmtId="165" fontId="5" fillId="16" borderId="8" xfId="1" applyNumberFormat="1" applyFont="1" applyFill="1" applyBorder="1"/>
    <xf numFmtId="165" fontId="5" fillId="16" borderId="2" xfId="1" applyNumberFormat="1" applyFont="1" applyFill="1" applyBorder="1"/>
    <xf numFmtId="9" fontId="5" fillId="16" borderId="1" xfId="2" applyFont="1" applyFill="1" applyBorder="1" applyAlignment="1">
      <alignment horizontal="center"/>
    </xf>
    <xf numFmtId="9" fontId="5" fillId="16" borderId="2" xfId="2" applyFont="1" applyFill="1" applyBorder="1" applyAlignment="1">
      <alignment horizontal="center"/>
    </xf>
    <xf numFmtId="165" fontId="5" fillId="2" borderId="2" xfId="0" applyNumberFormat="1" applyFont="1" applyFill="1" applyBorder="1"/>
    <xf numFmtId="165" fontId="5" fillId="2" borderId="2" xfId="1" applyNumberFormat="1" applyFont="1" applyFill="1" applyBorder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6" fontId="0" fillId="0" borderId="0" xfId="1" applyNumberFormat="1" applyFont="1" applyFill="1" applyBorder="1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center"/>
    </xf>
    <xf numFmtId="165" fontId="4" fillId="0" borderId="0" xfId="1" applyNumberFormat="1" applyFont="1"/>
    <xf numFmtId="4" fontId="0" fillId="0" borderId="0" xfId="0" applyNumberFormat="1"/>
    <xf numFmtId="0" fontId="5" fillId="0" borderId="0" xfId="0" applyFont="1" applyAlignment="1">
      <alignment horizontal="right"/>
    </xf>
    <xf numFmtId="165" fontId="5" fillId="0" borderId="0" xfId="1" applyNumberFormat="1" applyFont="1"/>
    <xf numFmtId="9" fontId="0" fillId="0" borderId="0" xfId="2" applyFont="1"/>
    <xf numFmtId="0" fontId="3" fillId="15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16" fontId="5" fillId="16" borderId="3" xfId="0" applyNumberFormat="1" applyFont="1" applyFill="1" applyBorder="1" applyAlignment="1">
      <alignment horizontal="center"/>
    </xf>
    <xf numFmtId="16" fontId="5" fillId="16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43" fontId="8" fillId="0" borderId="0" xfId="0" applyNumberFormat="1" applyFont="1"/>
    <xf numFmtId="3" fontId="0" fillId="0" borderId="0" xfId="0" applyNumberFormat="1"/>
    <xf numFmtId="0" fontId="5" fillId="16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1-6-2026.xlsx" TargetMode="External"/><Relationship Id="rId1" Type="http://schemas.openxmlformats.org/officeDocument/2006/relationships/externalLinkPath" Target="Inventario%20PT%20y%20Avance%20Comercial%20al%201-6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Ajuste%20Stock%20Abril%202026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8-6-2026.xlsx" TargetMode="External"/><Relationship Id="rId1" Type="http://schemas.openxmlformats.org/officeDocument/2006/relationships/externalLinkPath" Target="RESUMEN%20VENTAS%20EXPORTACION%202025%20AL%208-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1-6-2026"/>
      <sheetName val="TD"/>
      <sheetName val="Stock Libre"/>
    </sheetNames>
    <sheetDataSet>
      <sheetData sheetId="0" refreshError="1"/>
      <sheetData sheetId="1" refreshError="1"/>
      <sheetData sheetId="2">
        <row r="9">
          <cell r="T9">
            <v>1.5176903274696969</v>
          </cell>
        </row>
        <row r="45">
          <cell r="T45">
            <v>3.4319522664058146</v>
          </cell>
        </row>
        <row r="48">
          <cell r="T48">
            <v>3.013107636860302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K3">
            <v>2126.230658279324</v>
          </cell>
        </row>
        <row r="4">
          <cell r="K4">
            <v>2094.6361169260049</v>
          </cell>
        </row>
        <row r="5">
          <cell r="K5">
            <v>1946.6202776142766</v>
          </cell>
        </row>
        <row r="6">
          <cell r="K6">
            <v>2025.3424461865532</v>
          </cell>
        </row>
        <row r="7"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K9">
            <v>1974.7197869741549</v>
          </cell>
        </row>
        <row r="10"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K12">
            <v>1782.56409434187</v>
          </cell>
        </row>
        <row r="13"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K21">
            <v>1931.1280065442866</v>
          </cell>
        </row>
        <row r="22"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K30">
            <v>1788.7115084478587</v>
          </cell>
        </row>
        <row r="31"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K44">
            <v>1504.539234144622</v>
          </cell>
        </row>
        <row r="45"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K55">
            <v>1849.5051020408164</v>
          </cell>
        </row>
        <row r="56">
          <cell r="K56">
            <v>1784.0206279313234</v>
          </cell>
        </row>
        <row r="57"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FLETES"/>
      <sheetName val="Hoja1"/>
      <sheetName val="Hoja2"/>
      <sheetName val="2026"/>
      <sheetName val="PROGRAMACION"/>
      <sheetName val="2025 TOTAS FP"/>
      <sheetName val="EECC GLOBAL"/>
      <sheetName val="FP CHINA"/>
      <sheetName val="Hoja3"/>
    </sheetNames>
    <sheetDataSet>
      <sheetData sheetId="0" refreshError="1"/>
      <sheetData sheetId="1" refreshError="1"/>
      <sheetData sheetId="2" refreshError="1"/>
      <sheetData sheetId="3">
        <row r="5">
          <cell r="G5">
            <v>46174</v>
          </cell>
          <cell r="J5">
            <v>26</v>
          </cell>
          <cell r="K5">
            <v>36400</v>
          </cell>
          <cell r="L5" t="str">
            <v>POTA LABIOS FR S/COD BL10 S20</v>
          </cell>
        </row>
        <row r="6">
          <cell r="G6">
            <v>46182</v>
          </cell>
          <cell r="J6">
            <v>27</v>
          </cell>
          <cell r="K6">
            <v>116100</v>
          </cell>
          <cell r="L6" t="str">
            <v>POTA ALAS COCIDAS</v>
          </cell>
        </row>
        <row r="7">
          <cell r="G7">
            <v>46182</v>
          </cell>
          <cell r="J7">
            <v>26</v>
          </cell>
          <cell r="K7">
            <v>33800</v>
          </cell>
          <cell r="L7" t="str">
            <v>POTA NUCAS CONGELADAS</v>
          </cell>
        </row>
        <row r="8">
          <cell r="G8">
            <v>46185</v>
          </cell>
          <cell r="J8">
            <v>24</v>
          </cell>
          <cell r="K8">
            <v>50400</v>
          </cell>
          <cell r="L8" t="str">
            <v>POTA ALAS CONGELADAS</v>
          </cell>
        </row>
        <row r="9">
          <cell r="G9" t="str">
            <v>POR DEFINIR</v>
          </cell>
          <cell r="J9">
            <v>48</v>
          </cell>
          <cell r="K9">
            <v>100800</v>
          </cell>
          <cell r="L9" t="str">
            <v>POTA ALAS CONGELADAS</v>
          </cell>
        </row>
        <row r="10">
          <cell r="G10" t="str">
            <v>POR DEFINIR</v>
          </cell>
          <cell r="J10">
            <v>53</v>
          </cell>
          <cell r="K10">
            <v>149950</v>
          </cell>
          <cell r="L10" t="str">
            <v>POTA REJOS CONGELADOS</v>
          </cell>
        </row>
        <row r="11">
          <cell r="G11" t="str">
            <v>POR DEFINIR</v>
          </cell>
          <cell r="J11">
            <v>135</v>
          </cell>
          <cell r="K11">
            <v>561600</v>
          </cell>
          <cell r="L11" t="str">
            <v>POTA ALAS COCIDAS</v>
          </cell>
        </row>
        <row r="12">
          <cell r="G12" t="str">
            <v>POR DEFINIR</v>
          </cell>
          <cell r="J12">
            <v>27</v>
          </cell>
          <cell r="K12">
            <v>59400</v>
          </cell>
          <cell r="L12" t="str">
            <v>POTA ALAS CONGELADAS</v>
          </cell>
        </row>
        <row r="13">
          <cell r="G13" t="str">
            <v>POR DEFINIR</v>
          </cell>
          <cell r="J13">
            <v>119</v>
          </cell>
          <cell r="K13">
            <v>249620</v>
          </cell>
          <cell r="L13" t="str">
            <v>POTA FILETE CONGELADO</v>
          </cell>
        </row>
        <row r="14">
          <cell r="G14" t="str">
            <v>POR DEFINIR</v>
          </cell>
          <cell r="J14">
            <v>27</v>
          </cell>
          <cell r="K14">
            <v>67500</v>
          </cell>
          <cell r="L14" t="str">
            <v>OTROS</v>
          </cell>
        </row>
        <row r="15">
          <cell r="G15" t="str">
            <v>POR DEFINIR</v>
          </cell>
          <cell r="J15">
            <v>114</v>
          </cell>
          <cell r="K15">
            <v>152320</v>
          </cell>
          <cell r="L15" t="str">
            <v>POTA NUCAS CONGELADAS</v>
          </cell>
        </row>
        <row r="16">
          <cell r="G16" t="str">
            <v>POR DEFINIR</v>
          </cell>
          <cell r="J16">
            <v>106</v>
          </cell>
          <cell r="K16">
            <v>302600</v>
          </cell>
          <cell r="L16" t="str">
            <v>POTA REJOS CONGELADOS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45885591-EDE7-4E04-9FF1-EB6BFA10CC26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81.730074884261" createdVersion="8" refreshedVersion="8" minRefreshableVersion="3" recordCount="51" xr:uid="{0E9BC1B1-593F-47B1-95B9-6CC58E0C21B0}">
  <cacheSource type="worksheet">
    <worksheetSource ref="G1:P52" sheet="Stock Libre"/>
  </cacheSource>
  <cacheFields count="10">
    <cacheField name="CÓDIGO" numFmtId="0">
      <sharedItems containsString="0" containsBlank="1" containsNumber="1" containsInteger="1" minValue="10005721" maxValue="10009386" count="14">
        <n v="10006719"/>
        <n v="10006720"/>
        <n v="10009207"/>
        <n v="10007969"/>
        <m/>
        <n v="10005721"/>
        <n v="10005779"/>
        <n v="10005781"/>
        <n v="10007567"/>
        <n v="10007162"/>
        <n v="10009386"/>
        <n v="10009239"/>
        <n v="10009334"/>
        <n v="10007050"/>
      </sharedItems>
    </cacheField>
    <cacheField name="CU X TM" numFmtId="164">
      <sharedItems containsString="0" containsBlank="1" containsNumber="1" minValue="1.4660036185560763" maxValue="3.4319522664058146"/>
    </cacheField>
    <cacheField name="% MP" numFmtId="0">
      <sharedItems containsString="0" containsBlank="1" containsNumber="1" minValue="0.56000000000000005" maxValue="0.71"/>
    </cacheField>
    <cacheField name="incremento MP" numFmtId="9">
      <sharedItems containsSemiMixedTypes="0" containsString="0" containsNumber="1" minValue="2.1875000000000089E-2" maxValue="2.1875000000000089E-2"/>
    </cacheField>
    <cacheField name="TM en Stock" numFmtId="165">
      <sharedItems containsSemiMixedTypes="0" containsString="0" containsNumber="1" minValue="0" maxValue="518.6"/>
    </cacheField>
    <cacheField name="Costo Ventas" numFmtId="165">
      <sharedItems containsSemiMixedTypes="0" containsString="0" containsNumber="1" minValue="0" maxValue="1097415.9938582762"/>
    </cacheField>
    <cacheField name="Gasto Ventas" numFmtId="165">
      <sharedItems containsSemiMixedTypes="0" containsString="0" containsNumber="1" minValue="0" maxValue="107785.82400000001"/>
    </cacheField>
    <cacheField name="Gasto ADM" numFmtId="165">
      <sharedItems containsSemiMixedTypes="0" containsString="0" containsNumber="1" minValue="0" maxValue="33959.224500000011"/>
    </cacheField>
    <cacheField name="Gasto Fin" numFmtId="165">
      <sharedItems containsSemiMixedTypes="0" containsString="0" containsNumber="1" minValue="0" maxValue="66758.081500000015"/>
    </cacheField>
    <cacheField name="Depreciación" numFmtId="165">
      <sharedItems containsSemiMixedTypes="0" containsString="0" containsNumber="1" minValue="0" maxValue="53365.819925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2.0154661325161736"/>
    <n v="0.71"/>
    <n v="2.1875000000000089E-2"/>
    <n v="11.68"/>
    <n v="23540.644427788906"/>
    <n v="2427.5711999999999"/>
    <n v="764.83560000000011"/>
    <n v="1503.5372000000002"/>
    <n v="1201.9143400000003"/>
  </r>
  <r>
    <x v="0"/>
    <n v="2.0154661325161736"/>
    <n v="0.71"/>
    <n v="2.1875000000000089E-2"/>
    <n v="2.16"/>
    <n v="4353.4068462349351"/>
    <n v="448.93440000000004"/>
    <n v="141.44220000000004"/>
    <n v="278.05140000000006"/>
    <n v="222.27183000000005"/>
  </r>
  <r>
    <x v="0"/>
    <n v="2.0154661325161736"/>
    <n v="0.71"/>
    <n v="2.1875000000000089E-2"/>
    <n v="6.3"/>
    <n v="12697.436634851894"/>
    <n v="1309.3920000000001"/>
    <n v="412.53975000000008"/>
    <n v="810.98325000000011"/>
    <n v="648.29283750000013"/>
  </r>
  <r>
    <x v="0"/>
    <n v="2.0154661325161736"/>
    <n v="0.71"/>
    <n v="2.1875000000000089E-2"/>
    <n v="0"/>
    <n v="0"/>
    <n v="0"/>
    <n v="0"/>
    <n v="0"/>
    <n v="0"/>
  </r>
  <r>
    <x v="1"/>
    <n v="1.5011372948243009"/>
    <n v="0.71"/>
    <n v="2.1875000000000089E-2"/>
    <n v="0"/>
    <n v="0"/>
    <n v="0"/>
    <n v="0"/>
    <n v="0"/>
    <n v="0"/>
  </r>
  <r>
    <x v="1"/>
    <n v="1.5011372948243009"/>
    <n v="0.71"/>
    <n v="2.1875000000000089E-2"/>
    <n v="33.380000000000003"/>
    <n v="50107.962901235165"/>
    <n v="6937.6992000000009"/>
    <n v="2185.8058500000006"/>
    <n v="4296.9239500000012"/>
    <n v="3434.9230025000011"/>
  </r>
  <r>
    <x v="1"/>
    <n v="1.5011372948243009"/>
    <n v="0.71"/>
    <n v="2.1875000000000089E-2"/>
    <n v="0.12"/>
    <n v="180.13647537891612"/>
    <n v="24.940799999999999"/>
    <n v="7.8579000000000017"/>
    <n v="15.447300000000002"/>
    <n v="12.348435000000002"/>
  </r>
  <r>
    <x v="2"/>
    <n v="1.5176903274696969"/>
    <n v="0.71"/>
    <n v="2.1875000000000089E-2"/>
    <n v="4.8600000000000003"/>
    <n v="7375.9749915027269"/>
    <n v="1010.1024000000001"/>
    <n v="318.24495000000007"/>
    <n v="625.61565000000019"/>
    <n v="500.11161750000014"/>
  </r>
  <r>
    <x v="3"/>
    <n v="1.4660036185560763"/>
    <n v="0.71"/>
    <n v="2.1875000000000089E-2"/>
    <n v="7.64"/>
    <n v="11200.267645768423"/>
    <n v="1587.8976"/>
    <n v="500.2863000000001"/>
    <n v="983.47810000000015"/>
    <n v="786.18369500000017"/>
  </r>
  <r>
    <x v="4"/>
    <m/>
    <m/>
    <n v="2.1875000000000089E-2"/>
    <n v="0"/>
    <n v="0"/>
    <n v="0"/>
    <n v="0"/>
    <n v="0"/>
    <n v="0"/>
  </r>
  <r>
    <x v="4"/>
    <m/>
    <m/>
    <n v="2.1875000000000089E-2"/>
    <n v="0"/>
    <n v="0"/>
    <n v="0"/>
    <n v="0"/>
    <n v="0"/>
    <n v="0"/>
  </r>
  <r>
    <x v="4"/>
    <m/>
    <m/>
    <n v="2.1875000000000089E-2"/>
    <n v="0"/>
    <n v="0"/>
    <n v="0"/>
    <n v="0"/>
    <n v="0"/>
    <n v="0"/>
  </r>
  <r>
    <x v="4"/>
    <m/>
    <m/>
    <n v="2.1875000000000089E-2"/>
    <n v="0"/>
    <n v="0"/>
    <n v="0"/>
    <n v="0"/>
    <n v="0"/>
    <n v="0"/>
  </r>
  <r>
    <x v="4"/>
    <m/>
    <m/>
    <n v="2.1875000000000089E-2"/>
    <n v="0"/>
    <n v="0"/>
    <n v="0"/>
    <n v="0"/>
    <n v="0"/>
    <n v="0"/>
  </r>
  <r>
    <x v="5"/>
    <n v="2.1161125990325416"/>
    <n v="0.67"/>
    <n v="2.1875000000000089E-2"/>
    <n v="1.42"/>
    <n v="3004.8798906262091"/>
    <n v="295.13279999999997"/>
    <n v="92.985150000000019"/>
    <n v="182.79305000000002"/>
    <n v="146.12314750000002"/>
  </r>
  <r>
    <x v="5"/>
    <n v="2.1161125990325416"/>
    <n v="0.67"/>
    <n v="2.1875000000000089E-2"/>
    <n v="1.94"/>
    <n v="4105.2584421231304"/>
    <n v="403.20960000000002"/>
    <n v="127.03605000000003"/>
    <n v="249.73135000000002"/>
    <n v="199.63303250000004"/>
  </r>
  <r>
    <x v="5"/>
    <n v="2.1161125990325416"/>
    <n v="0.67"/>
    <n v="2.1875000000000089E-2"/>
    <n v="14.4"/>
    <n v="30472.021426068601"/>
    <n v="2992.8960000000002"/>
    <n v="942.94800000000021"/>
    <n v="1853.6760000000004"/>
    <n v="1481.8122000000003"/>
  </r>
  <r>
    <x v="5"/>
    <n v="2.1161125990325416"/>
    <n v="0.67"/>
    <n v="2.1875000000000089E-2"/>
    <n v="1.08"/>
    <n v="2285.4016069551449"/>
    <n v="224.46720000000002"/>
    <n v="70.721100000000021"/>
    <n v="139.02570000000003"/>
    <n v="111.13591500000003"/>
  </r>
  <r>
    <x v="5"/>
    <n v="2.1161125990325416"/>
    <n v="0.67"/>
    <n v="2.1875000000000089E-2"/>
    <n v="518.6"/>
    <n v="1097415.9938582762"/>
    <n v="107785.82400000001"/>
    <n v="33959.224500000011"/>
    <n v="66758.081500000015"/>
    <n v="53365.819925000011"/>
  </r>
  <r>
    <x v="5"/>
    <n v="2.1161125990325416"/>
    <n v="0.67"/>
    <n v="2.1875000000000089E-2"/>
    <n v="11.34"/>
    <n v="23996.716873029021"/>
    <n v="2356.9056"/>
    <n v="742.57155000000012"/>
    <n v="1459.7698500000001"/>
    <n v="1166.9271075000001"/>
  </r>
  <r>
    <x v="5"/>
    <n v="2.1161125990325416"/>
    <n v="0.67"/>
    <n v="2.1875000000000089E-2"/>
    <n v="0"/>
    <n v="0"/>
    <n v="0"/>
    <n v="0"/>
    <n v="0"/>
    <n v="0"/>
  </r>
  <r>
    <x v="5"/>
    <n v="2.1161125990325416"/>
    <n v="0.67"/>
    <n v="2.1875000000000089E-2"/>
    <n v="0"/>
    <n v="0"/>
    <n v="0"/>
    <n v="0"/>
    <n v="0"/>
    <n v="0"/>
  </r>
  <r>
    <x v="5"/>
    <n v="2.1161125990325416"/>
    <n v="0.67"/>
    <n v="2.1875000000000089E-2"/>
    <n v="0"/>
    <n v="0"/>
    <n v="0"/>
    <n v="0"/>
    <n v="0"/>
    <n v="0"/>
  </r>
  <r>
    <x v="5"/>
    <n v="2.1161125990325416"/>
    <n v="0.67"/>
    <n v="2.1875000000000089E-2"/>
    <n v="0"/>
    <n v="0"/>
    <n v="0"/>
    <n v="0"/>
    <n v="0"/>
    <n v="0"/>
  </r>
  <r>
    <x v="5"/>
    <n v="2.1161125990325416"/>
    <n v="0.67"/>
    <n v="2.1875000000000089E-2"/>
    <n v="3.2"/>
    <n v="6771.5603169041333"/>
    <n v="665.08800000000008"/>
    <n v="209.54400000000007"/>
    <n v="411.92800000000011"/>
    <n v="329.29160000000007"/>
  </r>
  <r>
    <x v="6"/>
    <n v="1.7267387762062134"/>
    <n v="0.65"/>
    <n v="2.1875000000000089E-2"/>
    <n v="85.7"/>
    <n v="147981.51312087249"/>
    <n v="17811.888000000003"/>
    <n v="5611.8502500000013"/>
    <n v="11031.946750000003"/>
    <n v="8818.8406625000025"/>
  </r>
  <r>
    <x v="6"/>
    <n v="1.7267387762062134"/>
    <n v="0.65"/>
    <n v="2.1875000000000089E-2"/>
    <n v="40.1"/>
    <n v="69242.224925869174"/>
    <n v="8334.384"/>
    <n v="2625.8482500000009"/>
    <n v="5161.9727500000008"/>
    <n v="4126.4353625000012"/>
  </r>
  <r>
    <x v="6"/>
    <n v="1.7267387762062134"/>
    <n v="0.65"/>
    <n v="2.1875000000000089E-2"/>
    <n v="1.04"/>
    <n v="1795.808327254462"/>
    <n v="216.15360000000001"/>
    <n v="68.101800000000026"/>
    <n v="133.87660000000002"/>
    <n v="107.01977000000002"/>
  </r>
  <r>
    <x v="7"/>
    <n v="1.8308507633687408"/>
    <n v="0.65"/>
    <n v="2.1875000000000089E-2"/>
    <n v="32.520000000000003"/>
    <n v="59539.266824751459"/>
    <n v="6758.9568000000008"/>
    <n v="2129.4909000000007"/>
    <n v="4186.2183000000014"/>
    <n v="3346.425885000001"/>
  </r>
  <r>
    <x v="7"/>
    <n v="1.8308507633687408"/>
    <n v="0.65"/>
    <n v="2.1875000000000089E-2"/>
    <n v="95.82"/>
    <n v="175432.12014599273"/>
    <n v="19915.228799999997"/>
    <n v="6274.5331500000011"/>
    <n v="12334.66905"/>
    <n v="9860.2253475000016"/>
  </r>
  <r>
    <x v="7"/>
    <n v="1.8308507633687408"/>
    <n v="0.65"/>
    <n v="2.1875000000000089E-2"/>
    <n v="0"/>
    <n v="0"/>
    <n v="0"/>
    <n v="0"/>
    <n v="0"/>
    <n v="0"/>
  </r>
  <r>
    <x v="8"/>
    <n v="1.7964411911982254"/>
    <n v="0.68"/>
    <n v="2.1875000000000089E-2"/>
    <n v="60.34"/>
    <n v="108397.26147690092"/>
    <n v="12541.065600000002"/>
    <n v="3951.2140500000014"/>
    <n v="7767.4173500000015"/>
    <n v="6209.2047325000012"/>
  </r>
  <r>
    <x v="8"/>
    <n v="1.7964411911982254"/>
    <n v="0.68"/>
    <n v="2.1875000000000089E-2"/>
    <n v="31.62"/>
    <n v="56803.470465687889"/>
    <n v="6571.9008000000003"/>
    <n v="2070.5566500000004"/>
    <n v="4070.3635500000009"/>
    <n v="3253.8126225000005"/>
  </r>
  <r>
    <x v="9"/>
    <n v="1.8582869389024885"/>
    <n v="0.68"/>
    <n v="2.1875000000000089E-2"/>
    <n v="0"/>
    <n v="0"/>
    <n v="0"/>
    <n v="0"/>
    <n v="0"/>
    <n v="0"/>
  </r>
  <r>
    <x v="9"/>
    <n v="1.8582869389024885"/>
    <n v="0.68"/>
    <n v="2.1875000000000089E-2"/>
    <n v="0.66"/>
    <n v="1226.4693796756426"/>
    <n v="137.17440000000002"/>
    <n v="43.218450000000011"/>
    <n v="84.960150000000013"/>
    <n v="67.916392500000015"/>
  </r>
  <r>
    <x v="9"/>
    <n v="1.8582869389024885"/>
    <n v="0.68"/>
    <n v="2.1875000000000089E-2"/>
    <n v="0"/>
    <n v="0"/>
    <n v="0"/>
    <n v="0"/>
    <n v="0"/>
    <n v="0"/>
  </r>
  <r>
    <x v="9"/>
    <n v="1.8582869389024885"/>
    <n v="0.68"/>
    <n v="2.1875000000000089E-2"/>
    <n v="61.46"/>
    <n v="114210.31526494694"/>
    <n v="12773.8464"/>
    <n v="4024.554450000001"/>
    <n v="7911.5921500000013"/>
    <n v="6324.456792500001"/>
  </r>
  <r>
    <x v="9"/>
    <n v="1.8582869389024885"/>
    <n v="0.68"/>
    <n v="2.1875000000000089E-2"/>
    <n v="0.34"/>
    <n v="631.81755922684613"/>
    <n v="70.665600000000012"/>
    <n v="22.264050000000008"/>
    <n v="43.767350000000008"/>
    <n v="34.987232500000012"/>
  </r>
  <r>
    <x v="9"/>
    <n v="1.8582869389024885"/>
    <n v="0.68"/>
    <n v="2.1875000000000089E-2"/>
    <n v="22.55"/>
    <n v="41904.370472251117"/>
    <n v="4686.7920000000004"/>
    <n v="1476.6303750000004"/>
    <n v="2902.8051250000008"/>
    <n v="2320.4767437500004"/>
  </r>
  <r>
    <x v="9"/>
    <n v="1.8582869389024885"/>
    <n v="0.68"/>
    <n v="2.1875000000000089E-2"/>
    <n v="2.68"/>
    <n v="4980.2089962586697"/>
    <n v="557.01120000000003"/>
    <n v="175.49310000000006"/>
    <n v="344.98970000000008"/>
    <n v="275.78171500000008"/>
  </r>
  <r>
    <x v="9"/>
    <n v="1.8582869389024885"/>
    <n v="0.68"/>
    <n v="2.1875000000000089E-2"/>
    <n v="11.57"/>
    <n v="21500.379883101792"/>
    <n v="2404.7087999999999"/>
    <n v="757.63252500000021"/>
    <n v="1489.3771750000003"/>
    <n v="1190.5949412500001"/>
  </r>
  <r>
    <x v="9"/>
    <n v="1.8582869389024885"/>
    <n v="0.68"/>
    <n v="2.1875000000000089E-2"/>
    <n v="0"/>
    <n v="0"/>
    <n v="0"/>
    <n v="0"/>
    <n v="0"/>
    <n v="0"/>
  </r>
  <r>
    <x v="10"/>
    <n v="1.8598567273709272"/>
    <n v="0.68"/>
    <n v="2.1875000000000089E-2"/>
    <n v="15.56"/>
    <n v="28939.370677891628"/>
    <n v="3233.9904000000001"/>
    <n v="1018.9077000000003"/>
    <n v="2002.9999000000005"/>
    <n v="1601.1804050000003"/>
  </r>
  <r>
    <x v="11"/>
    <n v="3.4319522664058146"/>
    <n v="0.56000000000000005"/>
    <n v="2.1875000000000089E-2"/>
    <n v="0"/>
    <n v="0"/>
    <n v="0"/>
    <n v="0"/>
    <n v="0"/>
    <n v="0"/>
  </r>
  <r>
    <x v="11"/>
    <n v="3.4319522664058146"/>
    <n v="0.56000000000000005"/>
    <n v="2.1875000000000089E-2"/>
    <n v="0.3"/>
    <n v="1029.5856799217445"/>
    <n v="62.351999999999997"/>
    <n v="19.644750000000005"/>
    <n v="38.618250000000003"/>
    <n v="30.871087500000005"/>
  </r>
  <r>
    <x v="12"/>
    <n v="3.013107636860302"/>
    <n v="0.68"/>
    <n v="2.1875000000000089E-2"/>
    <n v="0"/>
    <n v="0"/>
    <n v="0"/>
    <n v="0"/>
    <n v="0"/>
    <n v="0"/>
  </r>
  <r>
    <x v="12"/>
    <n v="3.013107636860302"/>
    <n v="0.68"/>
    <n v="2.1875000000000089E-2"/>
    <n v="0"/>
    <n v="0"/>
    <n v="0"/>
    <n v="0"/>
    <n v="0"/>
    <n v="0"/>
  </r>
  <r>
    <x v="12"/>
    <n v="3.013107636860302"/>
    <n v="0.68"/>
    <n v="2.1875000000000089E-2"/>
    <n v="0"/>
    <n v="0"/>
    <n v="0"/>
    <n v="0"/>
    <n v="0"/>
    <n v="0"/>
  </r>
  <r>
    <x v="13"/>
    <n v="1.542068956786504"/>
    <n v="0.68"/>
    <n v="2.1875000000000089E-2"/>
    <n v="0"/>
    <n v="0"/>
    <n v="0"/>
    <n v="0"/>
    <n v="0"/>
    <n v="0"/>
  </r>
  <r>
    <x v="13"/>
    <n v="1.542068956786504"/>
    <n v="0.68"/>
    <n v="2.1875000000000089E-2"/>
    <n v="52.204999999999998"/>
    <n v="80503.709889039441"/>
    <n v="10850.287200000001"/>
    <n v="3418.5139125000005"/>
    <n v="6720.2191375000011"/>
    <n v="5372.0837431250011"/>
  </r>
  <r>
    <x v="13"/>
    <n v="1.542068956786504"/>
    <n v="0.68"/>
    <n v="2.1875000000000089E-2"/>
    <n v="41.01"/>
    <n v="63240.24791781453"/>
    <n v="8523.518399999999"/>
    <n v="2685.4373250000003"/>
    <n v="5279.1147750000009"/>
    <n v="4220.07766125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10BAD-B127-447B-A9D3-B68A87200686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J18" firstHeaderRow="0" firstDataRow="1" firstDataCol="1"/>
  <pivotFields count="10">
    <pivotField axis="axisRow" showAll="0">
      <items count="15">
        <item x="5"/>
        <item x="6"/>
        <item x="7"/>
        <item x="0"/>
        <item x="1"/>
        <item x="13"/>
        <item x="9"/>
        <item x="8"/>
        <item x="3"/>
        <item x="2"/>
        <item x="11"/>
        <item x="12"/>
        <item x="10"/>
        <item x="4"/>
        <item t="default"/>
      </items>
    </pivotField>
    <pivotField showAll="0"/>
    <pivotField showAll="0"/>
    <pivotField numFmtId="9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4" baseField="0" baseItem="0" numFmtId="165"/>
    <dataField name="Suma de Costo Ventas" fld="5" baseField="0" baseItem="0" numFmtId="165"/>
    <dataField name="Suma de Gasto Ventas" fld="6" baseField="0" baseItem="0" numFmtId="165"/>
    <dataField name="Suma de Gasto ADM" fld="7" baseField="0" baseItem="0" numFmtId="165"/>
    <dataField name="Suma de Gasto Fin" fld="8" baseField="0" baseItem="0" numFmtId="165"/>
    <dataField name="Suma de Depreciació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0" dT="2026-06-02T15:26:27.83" personId="{45885591-EDE7-4E04-9FF1-EB6BFA10CC26}" id="{97E5E632-6333-4B74-AA22-325C0B3260C2}">
    <text>Telilla membrana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9965-0A8F-43B6-8FCE-E44C9F8247CD}">
  <dimension ref="B2:BG40"/>
  <sheetViews>
    <sheetView showGridLines="0" tabSelected="1" topLeftCell="B1" zoomScale="80" zoomScaleNormal="80" workbookViewId="0">
      <pane xSplit="3" ySplit="6" topLeftCell="Y7" activePane="bottomRight" state="frozen"/>
      <selection activeCell="B1" sqref="B1"/>
      <selection pane="topRight" activeCell="E1" sqref="E1"/>
      <selection pane="bottomLeft" activeCell="B5" sqref="B5"/>
      <selection pane="bottomRight" activeCell="AH31" sqref="AH31"/>
    </sheetView>
  </sheetViews>
  <sheetFormatPr baseColWidth="10" defaultRowHeight="14.4" outlineLevelCol="2" x14ac:dyDescent="0.3"/>
  <cols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hidden="1" customWidth="1" outlineLevel="2"/>
    <col min="8" max="8" width="11.77734375" hidden="1" customWidth="1" outlineLevel="2"/>
    <col min="9" max="9" width="10.5546875" hidden="1" customWidth="1" outlineLevel="2"/>
    <col min="10" max="10" width="14.109375" hidden="1" customWidth="1" outlineLevel="2"/>
    <col min="11" max="11" width="13.77734375" hidden="1" customWidth="1" outlineLevel="2"/>
    <col min="12" max="12" width="13.44140625" hidden="1" customWidth="1" outlineLevel="2"/>
    <col min="13" max="13" width="17.33203125" hidden="1" customWidth="1" outlineLevel="2"/>
    <col min="14" max="14" width="23.33203125" hidden="1" customWidth="1" outlineLevel="2"/>
    <col min="15" max="18" width="17.5546875" hidden="1" customWidth="1" outlineLevel="2"/>
    <col min="19" max="19" width="9.6640625" customWidth="1" outlineLevel="1" collapsed="1"/>
    <col min="20" max="21" width="11.5546875" customWidth="1" outlineLevel="1"/>
    <col min="22" max="28" width="12.6640625" customWidth="1" outlineLevel="1"/>
    <col min="29" max="30" width="11.5546875" customWidth="1" outlineLevel="1"/>
    <col min="31" max="31" width="12.6640625" customWidth="1" outlineLevel="1"/>
    <col min="34" max="34" width="12.6640625" bestFit="1" customWidth="1"/>
    <col min="35" max="40" width="12.6640625" hidden="1" customWidth="1" outlineLevel="1"/>
    <col min="41" max="41" width="11.5546875" collapsed="1"/>
    <col min="46" max="46" width="14.77734375" customWidth="1"/>
    <col min="47" max="47" width="12.6640625" bestFit="1" customWidth="1"/>
    <col min="48" max="48" width="12.44140625" bestFit="1" customWidth="1"/>
    <col min="54" max="54" width="12.6640625" bestFit="1" customWidth="1"/>
  </cols>
  <sheetData>
    <row r="2" spans="2:59" ht="15.6" x14ac:dyDescent="0.3">
      <c r="C2" s="55" t="s">
        <v>98</v>
      </c>
    </row>
    <row r="3" spans="2:59" x14ac:dyDescent="0.3">
      <c r="C3" s="56" t="s">
        <v>122</v>
      </c>
      <c r="G3" s="49"/>
    </row>
    <row r="4" spans="2:59" ht="15" thickBot="1" x14ac:dyDescent="0.35">
      <c r="C4" s="56"/>
      <c r="G4" s="57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58"/>
      <c r="AR4" s="58"/>
    </row>
    <row r="5" spans="2:59" ht="15" thickBot="1" x14ac:dyDescent="0.35">
      <c r="F5" s="127" t="s">
        <v>99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9"/>
      <c r="T5" s="130">
        <v>46174</v>
      </c>
      <c r="U5" s="130"/>
      <c r="V5" s="130"/>
      <c r="W5" s="136">
        <v>46182</v>
      </c>
      <c r="X5" s="137"/>
      <c r="Y5" s="138"/>
      <c r="Z5" s="136">
        <v>46185</v>
      </c>
      <c r="AA5" s="137"/>
      <c r="AB5" s="138"/>
      <c r="AC5" s="130" t="s">
        <v>100</v>
      </c>
      <c r="AD5" s="130"/>
      <c r="AE5" s="130"/>
      <c r="AF5" s="131" t="s">
        <v>101</v>
      </c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T5" s="133" t="s">
        <v>102</v>
      </c>
      <c r="AU5" s="134"/>
      <c r="AV5" s="134"/>
      <c r="AW5" s="134"/>
      <c r="AX5" s="134"/>
      <c r="AY5" s="134"/>
      <c r="AZ5" s="134"/>
      <c r="BA5" s="134"/>
      <c r="BB5" s="135"/>
    </row>
    <row r="6" spans="2:59" s="69" customFormat="1" ht="29.4" thickBot="1" x14ac:dyDescent="0.35">
      <c r="B6" s="59" t="s">
        <v>103</v>
      </c>
      <c r="C6" s="60" t="s">
        <v>104</v>
      </c>
      <c r="D6" s="61" t="s">
        <v>105</v>
      </c>
      <c r="E6" s="62" t="s">
        <v>106</v>
      </c>
      <c r="F6" s="63" t="s">
        <v>68</v>
      </c>
      <c r="G6" s="64" t="s">
        <v>69</v>
      </c>
      <c r="H6" s="64" t="s">
        <v>70</v>
      </c>
      <c r="I6" s="64" t="s">
        <v>71</v>
      </c>
      <c r="J6" s="64" t="s">
        <v>72</v>
      </c>
      <c r="K6" s="64" t="s">
        <v>73</v>
      </c>
      <c r="L6" s="65" t="s">
        <v>74</v>
      </c>
      <c r="M6" s="66" t="s">
        <v>75</v>
      </c>
      <c r="N6" s="67" t="s">
        <v>76</v>
      </c>
      <c r="O6" s="68" t="s">
        <v>107</v>
      </c>
      <c r="P6" s="68" t="s">
        <v>108</v>
      </c>
      <c r="Q6" s="68" t="s">
        <v>109</v>
      </c>
      <c r="R6" s="68" t="s">
        <v>110</v>
      </c>
      <c r="T6" s="70" t="s">
        <v>111</v>
      </c>
      <c r="U6" s="71" t="s">
        <v>112</v>
      </c>
      <c r="V6" s="72" t="s">
        <v>113</v>
      </c>
      <c r="W6" s="70" t="s">
        <v>111</v>
      </c>
      <c r="X6" s="71" t="s">
        <v>112</v>
      </c>
      <c r="Y6" s="72" t="s">
        <v>113</v>
      </c>
      <c r="Z6" s="70" t="s">
        <v>111</v>
      </c>
      <c r="AA6" s="71" t="s">
        <v>112</v>
      </c>
      <c r="AB6" s="72" t="s">
        <v>113</v>
      </c>
      <c r="AC6" s="71" t="s">
        <v>111</v>
      </c>
      <c r="AD6" s="72" t="s">
        <v>112</v>
      </c>
      <c r="AE6" s="71" t="s">
        <v>113</v>
      </c>
      <c r="AF6" s="73" t="s">
        <v>111</v>
      </c>
      <c r="AG6" s="74" t="s">
        <v>112</v>
      </c>
      <c r="AH6" s="74" t="s">
        <v>113</v>
      </c>
      <c r="AI6" s="74" t="s">
        <v>68</v>
      </c>
      <c r="AJ6" s="74" t="s">
        <v>69</v>
      </c>
      <c r="AK6" s="74" t="s">
        <v>114</v>
      </c>
      <c r="AL6" s="141" t="s">
        <v>71</v>
      </c>
      <c r="AM6" s="74" t="s">
        <v>72</v>
      </c>
      <c r="AN6" s="74" t="s">
        <v>115</v>
      </c>
      <c r="AO6" s="141" t="s">
        <v>119</v>
      </c>
      <c r="AP6" s="74" t="s">
        <v>116</v>
      </c>
      <c r="AQ6" s="74" t="s">
        <v>117</v>
      </c>
      <c r="AR6" s="141" t="s">
        <v>118</v>
      </c>
      <c r="AT6" s="75" t="s">
        <v>113</v>
      </c>
      <c r="AU6" s="75" t="s">
        <v>68</v>
      </c>
      <c r="AV6" s="75" t="s">
        <v>69</v>
      </c>
      <c r="AW6" s="75" t="s">
        <v>114</v>
      </c>
      <c r="AX6" s="76" t="s">
        <v>71</v>
      </c>
      <c r="AY6" s="75" t="s">
        <v>72</v>
      </c>
      <c r="AZ6" s="75" t="s">
        <v>115</v>
      </c>
      <c r="BA6" s="76" t="s">
        <v>119</v>
      </c>
      <c r="BB6" s="76" t="s">
        <v>117</v>
      </c>
    </row>
    <row r="7" spans="2:59" x14ac:dyDescent="0.3">
      <c r="B7" s="51">
        <v>10005721</v>
      </c>
      <c r="C7" s="53" t="s">
        <v>87</v>
      </c>
      <c r="D7" s="77">
        <f>TD!E4</f>
        <v>551.98000000000013</v>
      </c>
      <c r="E7" s="78">
        <f t="shared" ref="E7:E19" si="0">IFERROR(F7/D7,0)</f>
        <v>2116.1125990325418</v>
      </c>
      <c r="F7" s="79">
        <f>TD!F4</f>
        <v>1168051.8324139826</v>
      </c>
      <c r="G7" s="49">
        <f>TD!G4</f>
        <v>114723.52320000001</v>
      </c>
      <c r="H7" s="49">
        <f>TD!H4</f>
        <v>36145.030350000015</v>
      </c>
      <c r="I7" s="49">
        <f>TD!I4</f>
        <v>71055.005450000011</v>
      </c>
      <c r="J7" s="49">
        <f>TD!J4</f>
        <v>56800.74292750001</v>
      </c>
      <c r="K7" s="80">
        <v>0</v>
      </c>
      <c r="L7" s="81">
        <v>0</v>
      </c>
      <c r="M7" s="82">
        <f>F7+G7+H7+I7</f>
        <v>1389975.3914139825</v>
      </c>
      <c r="N7" s="83">
        <f>IFERROR(M7/D7,0)</f>
        <v>2518.1625990325415</v>
      </c>
      <c r="O7" s="84">
        <v>2300</v>
      </c>
      <c r="P7" s="84">
        <f>O7*D7</f>
        <v>1269554.0000000002</v>
      </c>
      <c r="Q7" s="84">
        <f t="shared" ref="Q7:Q20" si="1">P7-M7</f>
        <v>-120421.39141398226</v>
      </c>
      <c r="R7" s="85">
        <f t="shared" ref="R7:R20" si="2">IFERROR(Q7/P7,0)</f>
        <v>-9.4853303927191934E-2</v>
      </c>
      <c r="T7" s="86" cm="1">
        <f t="array" ref="T7">SUM([3]Hoja2!$J$5:$J$16*([3]Hoja2!$G$5:$G$16=T$5)*([3]Hoja2!$L$5:$L$16=$C7))</f>
        <v>0</v>
      </c>
      <c r="U7" s="86" cm="1">
        <f t="array" ref="U7">SUM([3]Hoja2!$K$5:$K$16*([3]Hoja2!$G$5:$G$16=T$5)*([3]Hoja2!$L$5:$L$16=$C7))</f>
        <v>0</v>
      </c>
      <c r="V7" s="87">
        <f>IFERROR(U7/T7,0)</f>
        <v>0</v>
      </c>
      <c r="W7" s="86" cm="1">
        <f t="array" ref="W7">SUM([3]Hoja2!$J$5:$J$16*([3]Hoja2!$G$5:$G$16=W$5)*([3]Hoja2!$L$5:$L$16=$C7))</f>
        <v>0</v>
      </c>
      <c r="X7" s="86" cm="1">
        <f t="array" ref="X7">SUM([3]Hoja2!$K$5:$K$16*([3]Hoja2!$G$5:$G$16=W$5)*([3]Hoja2!$L$5:$L$16=$C7))</f>
        <v>0</v>
      </c>
      <c r="Y7" s="87">
        <f>IFERROR(X7/W7,0)</f>
        <v>0</v>
      </c>
      <c r="Z7" s="86" cm="1">
        <f t="array" ref="Z7">SUM([3]Hoja2!$J$5:$J$16*([3]Hoja2!$G$5:$G$16=Z$5)*([3]Hoja2!$L$5:$L$16=$C7))</f>
        <v>0</v>
      </c>
      <c r="AA7" s="86" cm="1">
        <f t="array" ref="AA7">SUM([3]Hoja2!$K$5:$K$16*([3]Hoja2!$G$5:$G$16=Z$5)*([3]Hoja2!$L$5:$L$16=$C7))</f>
        <v>0</v>
      </c>
      <c r="AB7" s="87">
        <f>IFERROR(AA7/Z7,0)</f>
        <v>0</v>
      </c>
      <c r="AC7" s="86" cm="1">
        <f t="array" ref="AC7">SUM([3]Hoja2!$J$5:$J$16*([3]Hoja2!$G$5:$G$16=AC$5)*([3]Hoja2!$L$5:$L$16=$C7))</f>
        <v>119</v>
      </c>
      <c r="AD7" s="86" cm="1">
        <f t="array" ref="AD7">SUM([3]Hoja2!$K$5:$K$16*([3]Hoja2!$G$5:$G$16=AC$5)*([3]Hoja2!$L$5:$L$16=$C7))</f>
        <v>249620</v>
      </c>
      <c r="AE7" s="87">
        <f>IFERROR(AD7/AC7,0)</f>
        <v>2097.6470588235293</v>
      </c>
      <c r="AF7" s="88">
        <f t="shared" ref="AF7:AF20" si="3">T7+W7+Z7+AC7</f>
        <v>119</v>
      </c>
      <c r="AG7" s="89">
        <f t="shared" ref="AG7:AG20" si="4">U7+X7+AA7+AD7</f>
        <v>249620</v>
      </c>
      <c r="AH7" s="90">
        <f>IFERROR(AG7/AF7,0)</f>
        <v>2097.6470588235293</v>
      </c>
      <c r="AI7" s="89">
        <f>-IFERROR(F7/D7*AF7,0)</f>
        <v>-251817.39928487246</v>
      </c>
      <c r="AJ7" s="90">
        <f t="shared" ref="AJ7:AJ20" si="5">-207.84*AF7</f>
        <v>-24732.959999999999</v>
      </c>
      <c r="AK7" s="89">
        <f>$AK$21/$AF$21*$AF7</f>
        <v>-7792.4175000000023</v>
      </c>
      <c r="AL7" s="90">
        <f t="shared" ref="AL7:AL20" si="6">$AL$21/$AF$21*$AF7</f>
        <v>-15318.572500000002</v>
      </c>
      <c r="AM7" s="89">
        <f t="shared" ref="AM7:AM20" si="7">$AM$21/$AF$21*$AF7</f>
        <v>-12245.531375000002</v>
      </c>
      <c r="AN7" s="90">
        <f>(AG7-AF7*$AK$25)*0.03</f>
        <v>7080.9859164042391</v>
      </c>
      <c r="AO7" s="89">
        <f>AG7+SUM(AI7:AL7,AN7)</f>
        <v>-42960.363368468243</v>
      </c>
      <c r="AP7" s="91">
        <f>IFERROR(AO7/AG7,0)</f>
        <v>-0.17210305011004023</v>
      </c>
      <c r="AQ7" s="92">
        <f t="shared" ref="AQ7:AQ20" si="8">AG7+AI7+AJ7+AK7+AN7-AM7</f>
        <v>-15396.25949346822</v>
      </c>
      <c r="AR7" s="93">
        <f t="shared" ref="AR7:AR21" si="9">IFERROR(AQ7/AG7,0)</f>
        <v>-6.167878973426897E-2</v>
      </c>
      <c r="AT7" s="94">
        <f t="shared" ref="AT7:AT21" si="10">AH7</f>
        <v>2097.6470588235293</v>
      </c>
      <c r="AU7" s="95">
        <f>IFERROR(AI7/$AF7,0)</f>
        <v>-2116.1125990325418</v>
      </c>
      <c r="AV7" s="95">
        <f t="shared" ref="AU7:BA21" si="11">IFERROR(AJ7/$AF7,0)</f>
        <v>-207.84</v>
      </c>
      <c r="AW7" s="95">
        <f t="shared" si="11"/>
        <v>-65.482500000000016</v>
      </c>
      <c r="AX7" s="95">
        <f t="shared" si="11"/>
        <v>-128.72750000000002</v>
      </c>
      <c r="AY7" s="95">
        <f t="shared" si="11"/>
        <v>-102.90362500000002</v>
      </c>
      <c r="AZ7" s="95">
        <f t="shared" si="11"/>
        <v>59.504083331128058</v>
      </c>
      <c r="BA7" s="95">
        <f t="shared" si="11"/>
        <v>-361.01145687788437</v>
      </c>
      <c r="BB7" s="95">
        <f t="shared" ref="BB7:BB21" si="12">IFERROR(AQ7/$AF7,0)</f>
        <v>-129.3803318778842</v>
      </c>
      <c r="BC7" s="49"/>
      <c r="BD7" s="57"/>
      <c r="BF7" s="49"/>
      <c r="BG7" s="57"/>
    </row>
    <row r="8" spans="2:59" x14ac:dyDescent="0.3">
      <c r="B8" s="51">
        <v>10005779</v>
      </c>
      <c r="C8" s="54" t="s">
        <v>88</v>
      </c>
      <c r="D8" s="77">
        <f>TD!E5</f>
        <v>126.84000000000002</v>
      </c>
      <c r="E8" s="78">
        <f t="shared" si="0"/>
        <v>1726.7387762062133</v>
      </c>
      <c r="F8" s="49">
        <f>TD!F5</f>
        <v>219019.54637399613</v>
      </c>
      <c r="G8" s="49">
        <f>TD!G5</f>
        <v>26362.425600000006</v>
      </c>
      <c r="H8" s="49">
        <f>TD!H5</f>
        <v>8305.8003000000026</v>
      </c>
      <c r="I8" s="49">
        <f>TD!I5</f>
        <v>16327.796100000003</v>
      </c>
      <c r="J8" s="49">
        <f>TD!J5</f>
        <v>13052.295795000004</v>
      </c>
      <c r="K8" s="80">
        <v>0</v>
      </c>
      <c r="L8" s="81">
        <v>0</v>
      </c>
      <c r="M8" s="82">
        <f t="shared" ref="M8" si="13">F8+G8+H8+I8</f>
        <v>270015.56837399612</v>
      </c>
      <c r="N8" s="83">
        <f t="shared" ref="N8:N21" si="14">IFERROR(M8/D8,0)</f>
        <v>2128.7887762062132</v>
      </c>
      <c r="O8" s="84">
        <v>1350</v>
      </c>
      <c r="P8" s="84">
        <f t="shared" ref="P8:P20" si="15">O8*D8</f>
        <v>171234.00000000003</v>
      </c>
      <c r="Q8" s="84">
        <f t="shared" si="1"/>
        <v>-98781.568373996095</v>
      </c>
      <c r="R8" s="85">
        <f t="shared" si="2"/>
        <v>-0.57688057496756528</v>
      </c>
      <c r="T8" s="86" cm="1">
        <f t="array" ref="T8">SUM([3]Hoja2!$J$5:$J$16*([3]Hoja2!$G$5:$G$16=T$5)*([3]Hoja2!$L$5:$L$16=$C8))</f>
        <v>0</v>
      </c>
      <c r="U8" s="86" cm="1">
        <f t="array" ref="U8">SUM([3]Hoja2!$K$5:$K$16*([3]Hoja2!$G$5:$G$16=T$5)*([3]Hoja2!$L$5:$L$16=$C8))</f>
        <v>0</v>
      </c>
      <c r="V8" s="96">
        <f t="shared" ref="V8:V21" si="16">IFERROR(U8/T8,0)</f>
        <v>0</v>
      </c>
      <c r="W8" s="86" cm="1">
        <f t="array" ref="W8">SUM([3]Hoja2!$J$5:$J$16*([3]Hoja2!$G$5:$G$16=W$5)*([3]Hoja2!$L$5:$L$16=$C8))</f>
        <v>26</v>
      </c>
      <c r="X8" s="86" cm="1">
        <f t="array" ref="X8">SUM([3]Hoja2!$K$5:$K$16*([3]Hoja2!$G$5:$G$16=W$5)*([3]Hoja2!$L$5:$L$16=$C8))</f>
        <v>33800</v>
      </c>
      <c r="Y8" s="96">
        <f t="shared" ref="Y8:Y21" si="17">IFERROR(X8/W8,0)</f>
        <v>1300</v>
      </c>
      <c r="Z8" s="86" cm="1">
        <f t="array" ref="Z8">SUM([3]Hoja2!$J$5:$J$16*([3]Hoja2!$G$5:$G$16=Z$5)*([3]Hoja2!$L$5:$L$16=$C8))</f>
        <v>0</v>
      </c>
      <c r="AA8" s="86" cm="1">
        <f t="array" ref="AA8">SUM([3]Hoja2!$K$5:$K$16*([3]Hoja2!$G$5:$G$16=Z$5)*([3]Hoja2!$L$5:$L$16=$C8))</f>
        <v>0</v>
      </c>
      <c r="AB8" s="96">
        <f t="shared" ref="AB8:AB21" si="18">IFERROR(AA8/Z8,0)</f>
        <v>0</v>
      </c>
      <c r="AC8" s="86" cm="1">
        <f t="array" ref="AC8">SUM([3]Hoja2!$J$5:$J$16*([3]Hoja2!$G$5:$G$16=AC$5)*([3]Hoja2!$L$5:$L$16=$C8))</f>
        <v>114</v>
      </c>
      <c r="AD8" s="86" cm="1">
        <f t="array" ref="AD8">SUM([3]Hoja2!$K$5:$K$16*([3]Hoja2!$G$5:$G$16=AC$5)*([3]Hoja2!$L$5:$L$16=$C8))</f>
        <v>152320</v>
      </c>
      <c r="AE8" s="96">
        <f t="shared" ref="AE8:AE21" si="19">IFERROR(AD8/AC8,0)</f>
        <v>1336.140350877193</v>
      </c>
      <c r="AF8" s="88">
        <f t="shared" si="3"/>
        <v>140</v>
      </c>
      <c r="AG8" s="89">
        <f t="shared" si="4"/>
        <v>186120</v>
      </c>
      <c r="AH8" s="90">
        <f t="shared" ref="AH8:AH21" si="20">IFERROR(AG8/AF8,0)</f>
        <v>1329.4285714285713</v>
      </c>
      <c r="AI8" s="89">
        <f t="shared" ref="AI7:AI15" si="21">-IFERROR(F8/D8*AF8,0)</f>
        <v>-241743.42866886986</v>
      </c>
      <c r="AJ8" s="90">
        <f t="shared" si="5"/>
        <v>-29097.600000000002</v>
      </c>
      <c r="AK8" s="89">
        <f>$AK$21/$AF$21*$AF8</f>
        <v>-9167.5500000000029</v>
      </c>
      <c r="AL8" s="90">
        <f t="shared" si="6"/>
        <v>-18021.850000000002</v>
      </c>
      <c r="AM8" s="89">
        <f t="shared" si="7"/>
        <v>-14406.507500000003</v>
      </c>
      <c r="AN8" s="90">
        <f>(AG8-AF8*$AK$25)*0.03</f>
        <v>5104.0540192991057</v>
      </c>
      <c r="AO8" s="89">
        <f t="shared" ref="AO7:AO20" si="22">AG8+SUM(AI8:AL8,AN8)</f>
        <v>-106806.37464957073</v>
      </c>
      <c r="AP8" s="91">
        <f t="shared" ref="AP7:AP21" si="23">IFERROR(AO8/AG8,0)</f>
        <v>-0.57385758999339531</v>
      </c>
      <c r="AQ8" s="92">
        <f t="shared" si="8"/>
        <v>-74378.017149570762</v>
      </c>
      <c r="AR8" s="93">
        <f t="shared" si="9"/>
        <v>-0.39962399070261534</v>
      </c>
      <c r="AT8" s="94">
        <f t="shared" si="10"/>
        <v>1329.4285714285713</v>
      </c>
      <c r="AU8" s="95">
        <f t="shared" si="11"/>
        <v>-1726.7387762062133</v>
      </c>
      <c r="AV8" s="95">
        <f t="shared" si="11"/>
        <v>-207.84</v>
      </c>
      <c r="AW8" s="95">
        <f t="shared" si="11"/>
        <v>-65.482500000000016</v>
      </c>
      <c r="AX8" s="95">
        <f t="shared" si="11"/>
        <v>-128.72750000000002</v>
      </c>
      <c r="AY8" s="95">
        <f t="shared" si="11"/>
        <v>-102.90362500000002</v>
      </c>
      <c r="AZ8" s="95">
        <f t="shared" si="11"/>
        <v>36.457528709279323</v>
      </c>
      <c r="BA8" s="95">
        <f t="shared" si="11"/>
        <v>-762.90267606836233</v>
      </c>
      <c r="BB8" s="95">
        <f t="shared" si="12"/>
        <v>-531.27155106836256</v>
      </c>
      <c r="BC8" s="49"/>
    </row>
    <row r="9" spans="2:59" x14ac:dyDescent="0.3">
      <c r="B9" s="51">
        <v>10005781</v>
      </c>
      <c r="C9" s="54" t="s">
        <v>34</v>
      </c>
      <c r="D9" s="77">
        <f>TD!E6</f>
        <v>128.34</v>
      </c>
      <c r="E9" s="78">
        <f t="shared" si="0"/>
        <v>1830.8507633687407</v>
      </c>
      <c r="F9" s="49">
        <f>TD!F6</f>
        <v>234971.38697074418</v>
      </c>
      <c r="G9" s="49">
        <f>TD!G6</f>
        <v>26674.185599999997</v>
      </c>
      <c r="H9" s="49">
        <f>TD!H6</f>
        <v>8404.0240500000018</v>
      </c>
      <c r="I9" s="49">
        <f>TD!I6</f>
        <v>16520.887350000001</v>
      </c>
      <c r="J9" s="49">
        <f>TD!J6</f>
        <v>13206.651232500002</v>
      </c>
      <c r="K9" s="80">
        <v>0</v>
      </c>
      <c r="L9" s="81">
        <v>0</v>
      </c>
      <c r="M9" s="82">
        <f>F9+G9+H9+I9</f>
        <v>286570.48397074413</v>
      </c>
      <c r="N9" s="83">
        <f t="shared" si="14"/>
        <v>2232.9007633687402</v>
      </c>
      <c r="O9" s="84">
        <v>1350</v>
      </c>
      <c r="P9" s="84">
        <f t="shared" si="15"/>
        <v>173259</v>
      </c>
      <c r="Q9" s="84">
        <f t="shared" si="1"/>
        <v>-113311.48397074413</v>
      </c>
      <c r="R9" s="85">
        <f t="shared" si="2"/>
        <v>-0.65400056545832619</v>
      </c>
      <c r="T9" s="86" cm="1">
        <f t="array" ref="T9">SUM([3]Hoja2!$J$5:$J$16*([3]Hoja2!$G$5:$G$16=T$5)*([3]Hoja2!$L$5:$L$16=$C9))</f>
        <v>0</v>
      </c>
      <c r="U9" s="86" cm="1">
        <f t="array" ref="U9">SUM([3]Hoja2!$K$5:$K$16*([3]Hoja2!$G$5:$G$16=T$5)*([3]Hoja2!$L$5:$L$16=$C9))</f>
        <v>0</v>
      </c>
      <c r="V9" s="96">
        <f t="shared" si="16"/>
        <v>0</v>
      </c>
      <c r="W9" s="86" cm="1">
        <f t="array" ref="W9">SUM([3]Hoja2!$J$5:$J$16*([3]Hoja2!$G$5:$G$16=W$5)*([3]Hoja2!$L$5:$L$16=$C9))</f>
        <v>0</v>
      </c>
      <c r="X9" s="86" cm="1">
        <f t="array" ref="X9">SUM([3]Hoja2!$K$5:$K$16*([3]Hoja2!$G$5:$G$16=W$5)*([3]Hoja2!$L$5:$L$16=$C9))</f>
        <v>0</v>
      </c>
      <c r="Y9" s="96">
        <f t="shared" si="17"/>
        <v>0</v>
      </c>
      <c r="Z9" s="86" cm="1">
        <f t="array" ref="Z9">SUM([3]Hoja2!$J$5:$J$16*([3]Hoja2!$G$5:$G$16=Z$5)*([3]Hoja2!$L$5:$L$16=$C9))</f>
        <v>0</v>
      </c>
      <c r="AA9" s="86" cm="1">
        <f t="array" ref="AA9">SUM([3]Hoja2!$K$5:$K$16*([3]Hoja2!$G$5:$G$16=Z$5)*([3]Hoja2!$L$5:$L$16=$C9))</f>
        <v>0</v>
      </c>
      <c r="AB9" s="96">
        <f t="shared" si="18"/>
        <v>0</v>
      </c>
      <c r="AC9" s="86" cm="1">
        <f t="array" ref="AC9">SUM([3]Hoja2!$J$5:$J$16*([3]Hoja2!$G$5:$G$16=AC$5)*([3]Hoja2!$L$5:$L$16=$C9))</f>
        <v>0</v>
      </c>
      <c r="AD9" s="86" cm="1">
        <f t="array" ref="AD9">SUM([3]Hoja2!$K$5:$K$16*([3]Hoja2!$G$5:$G$16=AC$5)*([3]Hoja2!$L$5:$L$16=$C9))</f>
        <v>0</v>
      </c>
      <c r="AE9" s="96">
        <f t="shared" si="19"/>
        <v>0</v>
      </c>
      <c r="AF9" s="88">
        <f t="shared" si="3"/>
        <v>0</v>
      </c>
      <c r="AG9" s="89">
        <f t="shared" si="4"/>
        <v>0</v>
      </c>
      <c r="AH9" s="90">
        <f t="shared" si="20"/>
        <v>0</v>
      </c>
      <c r="AI9" s="89">
        <f t="shared" si="21"/>
        <v>0</v>
      </c>
      <c r="AJ9" s="90">
        <f t="shared" si="5"/>
        <v>0</v>
      </c>
      <c r="AK9" s="89">
        <f>$AK$21/$AF$21*$AF9</f>
        <v>0</v>
      </c>
      <c r="AL9" s="90">
        <f t="shared" si="6"/>
        <v>0</v>
      </c>
      <c r="AM9" s="89">
        <f t="shared" si="7"/>
        <v>0</v>
      </c>
      <c r="AN9" s="90">
        <f>(AG9-AF9*$AK$25)*0.03</f>
        <v>0</v>
      </c>
      <c r="AO9" s="89">
        <f t="shared" si="22"/>
        <v>0</v>
      </c>
      <c r="AP9" s="91">
        <f t="shared" si="23"/>
        <v>0</v>
      </c>
      <c r="AQ9" s="92">
        <f t="shared" si="8"/>
        <v>0</v>
      </c>
      <c r="AR9" s="93">
        <f t="shared" si="9"/>
        <v>0</v>
      </c>
      <c r="AT9" s="94">
        <f t="shared" si="10"/>
        <v>0</v>
      </c>
      <c r="AU9" s="95">
        <f t="shared" si="11"/>
        <v>0</v>
      </c>
      <c r="AV9" s="95">
        <f t="shared" si="11"/>
        <v>0</v>
      </c>
      <c r="AW9" s="95">
        <f t="shared" si="11"/>
        <v>0</v>
      </c>
      <c r="AX9" s="95">
        <f t="shared" si="11"/>
        <v>0</v>
      </c>
      <c r="AY9" s="95">
        <f t="shared" si="11"/>
        <v>0</v>
      </c>
      <c r="AZ9" s="95">
        <f t="shared" si="11"/>
        <v>0</v>
      </c>
      <c r="BA9" s="95">
        <f t="shared" si="11"/>
        <v>0</v>
      </c>
      <c r="BB9" s="95">
        <f t="shared" si="12"/>
        <v>0</v>
      </c>
      <c r="BC9" s="49"/>
    </row>
    <row r="10" spans="2:59" x14ac:dyDescent="0.3">
      <c r="B10" s="51">
        <v>10006719</v>
      </c>
      <c r="C10" s="54" t="s">
        <v>89</v>
      </c>
      <c r="D10" s="77">
        <f>TD!E7</f>
        <v>20.14</v>
      </c>
      <c r="E10" s="78">
        <f t="shared" si="0"/>
        <v>2015.4661325161735</v>
      </c>
      <c r="F10" s="49">
        <f>TD!F7</f>
        <v>40591.487908875737</v>
      </c>
      <c r="G10" s="49">
        <f>TD!G7</f>
        <v>4185.8976000000002</v>
      </c>
      <c r="H10" s="49">
        <f>TD!H7</f>
        <v>1318.8175500000002</v>
      </c>
      <c r="I10" s="49">
        <f>TD!I7</f>
        <v>2592.5718500000003</v>
      </c>
      <c r="J10" s="49">
        <f>TD!J7</f>
        <v>2072.4790075000005</v>
      </c>
      <c r="K10" s="80">
        <v>0</v>
      </c>
      <c r="L10" s="81">
        <v>0</v>
      </c>
      <c r="M10" s="82">
        <f t="shared" ref="M10:M20" si="24">F10+G10+H10+I10</f>
        <v>48688.774908875741</v>
      </c>
      <c r="N10" s="83">
        <f t="shared" si="14"/>
        <v>2417.5161325161739</v>
      </c>
      <c r="O10" s="84">
        <v>2300</v>
      </c>
      <c r="P10" s="84">
        <f t="shared" si="15"/>
        <v>46322</v>
      </c>
      <c r="Q10" s="84">
        <f t="shared" si="1"/>
        <v>-2366.7749088757409</v>
      </c>
      <c r="R10" s="85">
        <f t="shared" si="2"/>
        <v>-5.1093970659206012E-2</v>
      </c>
      <c r="T10" s="86" cm="1">
        <f t="array" ref="T10">SUM([3]Hoja2!$J$5:$J$16*([3]Hoja2!$G$5:$G$16=T$5)*([3]Hoja2!$L$5:$L$16=$C10))</f>
        <v>0</v>
      </c>
      <c r="U10" s="86" cm="1">
        <f t="array" ref="U10">SUM([3]Hoja2!$K$5:$K$16*([3]Hoja2!$G$5:$G$16=T$5)*([3]Hoja2!$L$5:$L$16=$C10))</f>
        <v>0</v>
      </c>
      <c r="V10" s="96">
        <f t="shared" si="16"/>
        <v>0</v>
      </c>
      <c r="W10" s="86" cm="1">
        <f t="array" ref="W10">SUM([3]Hoja2!$J$5:$J$16*([3]Hoja2!$G$5:$G$16=W$5)*([3]Hoja2!$L$5:$L$16=$C10))</f>
        <v>0</v>
      </c>
      <c r="X10" s="86" cm="1">
        <f t="array" ref="X10">SUM([3]Hoja2!$K$5:$K$16*([3]Hoja2!$G$5:$G$16=W$5)*([3]Hoja2!$L$5:$L$16=$C10))</f>
        <v>0</v>
      </c>
      <c r="Y10" s="96">
        <f t="shared" si="17"/>
        <v>0</v>
      </c>
      <c r="Z10" s="86" cm="1">
        <f t="array" ref="Z10">SUM([3]Hoja2!$J$5:$J$16*([3]Hoja2!$G$5:$G$16=Z$5)*([3]Hoja2!$L$5:$L$16=$C10))</f>
        <v>24</v>
      </c>
      <c r="AA10" s="86" cm="1">
        <f t="array" ref="AA10">SUM([3]Hoja2!$K$5:$K$16*([3]Hoja2!$G$5:$G$16=Z$5)*([3]Hoja2!$L$5:$L$16=$C10))</f>
        <v>50400</v>
      </c>
      <c r="AB10" s="96">
        <f t="shared" si="18"/>
        <v>2100</v>
      </c>
      <c r="AC10" s="86" cm="1">
        <f t="array" ref="AC10">SUM([3]Hoja2!$J$5:$J$16*([3]Hoja2!$G$5:$G$16=AC$5)*([3]Hoja2!$L$5:$L$16=$C10))</f>
        <v>75</v>
      </c>
      <c r="AD10" s="86" cm="1">
        <f t="array" ref="AD10">SUM([3]Hoja2!$K$5:$K$16*([3]Hoja2!$G$5:$G$16=AC$5)*([3]Hoja2!$L$5:$L$16=$C10))</f>
        <v>160200</v>
      </c>
      <c r="AE10" s="96">
        <f t="shared" si="19"/>
        <v>2136</v>
      </c>
      <c r="AF10" s="88">
        <f t="shared" si="3"/>
        <v>99</v>
      </c>
      <c r="AG10" s="89">
        <f t="shared" si="4"/>
        <v>210600</v>
      </c>
      <c r="AH10" s="90">
        <f t="shared" si="20"/>
        <v>2127.2727272727275</v>
      </c>
      <c r="AI10" s="89">
        <f t="shared" si="21"/>
        <v>-199531.14711910117</v>
      </c>
      <c r="AJ10" s="90">
        <f t="shared" si="5"/>
        <v>-20576.16</v>
      </c>
      <c r="AK10" s="89">
        <f>$AK$21/$AF$21*$AF10</f>
        <v>-6482.7675000000017</v>
      </c>
      <c r="AL10" s="90">
        <f t="shared" si="6"/>
        <v>-12744.022500000003</v>
      </c>
      <c r="AM10" s="89">
        <f t="shared" si="7"/>
        <v>-10187.458875000002</v>
      </c>
      <c r="AN10" s="90">
        <f>(AG10-AF10*$AK$25)*0.03</f>
        <v>5978.8924850757958</v>
      </c>
      <c r="AO10" s="89">
        <f t="shared" si="22"/>
        <v>-22755.204634025373</v>
      </c>
      <c r="AP10" s="91">
        <f t="shared" si="23"/>
        <v>-0.10804940471996853</v>
      </c>
      <c r="AQ10" s="92">
        <f t="shared" si="8"/>
        <v>176.27674097463023</v>
      </c>
      <c r="AR10" s="93">
        <f t="shared" si="9"/>
        <v>8.3702156208276463E-4</v>
      </c>
      <c r="AT10" s="94">
        <f t="shared" si="10"/>
        <v>2127.2727272727275</v>
      </c>
      <c r="AU10" s="95">
        <f t="shared" si="11"/>
        <v>-2015.4661325161735</v>
      </c>
      <c r="AV10" s="95">
        <f t="shared" si="11"/>
        <v>-207.84</v>
      </c>
      <c r="AW10" s="95">
        <f t="shared" si="11"/>
        <v>-65.482500000000016</v>
      </c>
      <c r="AX10" s="95">
        <f t="shared" si="11"/>
        <v>-128.72750000000002</v>
      </c>
      <c r="AY10" s="95">
        <f t="shared" si="11"/>
        <v>-102.90362500000002</v>
      </c>
      <c r="AZ10" s="95">
        <f t="shared" si="11"/>
        <v>60.392853384603995</v>
      </c>
      <c r="BA10" s="95">
        <f t="shared" si="11"/>
        <v>-229.85055185884215</v>
      </c>
      <c r="BB10" s="95">
        <f t="shared" si="12"/>
        <v>1.7805731411578811</v>
      </c>
      <c r="BC10" s="49"/>
    </row>
    <row r="11" spans="2:59" x14ac:dyDescent="0.3">
      <c r="B11" s="51">
        <v>10006720</v>
      </c>
      <c r="C11" s="54" t="s">
        <v>90</v>
      </c>
      <c r="D11" s="77">
        <f>TD!E8</f>
        <v>33.5</v>
      </c>
      <c r="E11" s="78">
        <f t="shared" si="0"/>
        <v>1501.1372948243009</v>
      </c>
      <c r="F11" s="49">
        <f>TD!F8</f>
        <v>50288.099376614082</v>
      </c>
      <c r="G11" s="49">
        <f>TD!G8</f>
        <v>6962.6400000000012</v>
      </c>
      <c r="H11" s="49">
        <f>TD!H8</f>
        <v>2193.6637500000006</v>
      </c>
      <c r="I11" s="49">
        <f>TD!I8</f>
        <v>4312.3712500000011</v>
      </c>
      <c r="J11" s="49">
        <f>TD!J8</f>
        <v>3447.271437500001</v>
      </c>
      <c r="K11" s="80">
        <v>0</v>
      </c>
      <c r="L11" s="81">
        <v>0</v>
      </c>
      <c r="M11" s="82">
        <f t="shared" si="24"/>
        <v>63756.774376614085</v>
      </c>
      <c r="N11" s="83">
        <f t="shared" si="14"/>
        <v>1903.187294824301</v>
      </c>
      <c r="O11" s="84">
        <v>2300</v>
      </c>
      <c r="P11" s="84">
        <f t="shared" si="15"/>
        <v>77050</v>
      </c>
      <c r="Q11" s="84">
        <f t="shared" si="1"/>
        <v>13293.225623385915</v>
      </c>
      <c r="R11" s="85">
        <f t="shared" si="2"/>
        <v>0.1725272631198691</v>
      </c>
      <c r="T11" s="86" cm="1">
        <f t="array" ref="T11">SUM([3]Hoja2!$J$5:$J$16*([3]Hoja2!$G$5:$G$16=T$5)*([3]Hoja2!$L$5:$L$16=$C11))</f>
        <v>0</v>
      </c>
      <c r="U11" s="86" cm="1">
        <f t="array" ref="U11">SUM([3]Hoja2!$K$5:$K$16*([3]Hoja2!$G$5:$G$16=T$5)*([3]Hoja2!$L$5:$L$16=$C11))</f>
        <v>0</v>
      </c>
      <c r="V11" s="96">
        <f t="shared" si="16"/>
        <v>0</v>
      </c>
      <c r="W11" s="86" cm="1">
        <f t="array" ref="W11">SUM([3]Hoja2!$J$5:$J$16*([3]Hoja2!$G$5:$G$16=W$5)*([3]Hoja2!$L$5:$L$16=$C11))</f>
        <v>0</v>
      </c>
      <c r="X11" s="86" cm="1">
        <f t="array" ref="X11">SUM([3]Hoja2!$K$5:$K$16*([3]Hoja2!$G$5:$G$16=W$5)*([3]Hoja2!$L$5:$L$16=$C11))</f>
        <v>0</v>
      </c>
      <c r="Y11" s="96">
        <f t="shared" si="17"/>
        <v>0</v>
      </c>
      <c r="Z11" s="86" cm="1">
        <f t="array" ref="Z11">SUM([3]Hoja2!$J$5:$J$16*([3]Hoja2!$G$5:$G$16=Z$5)*([3]Hoja2!$L$5:$L$16=$C11))</f>
        <v>0</v>
      </c>
      <c r="AA11" s="86" cm="1">
        <f t="array" ref="AA11">SUM([3]Hoja2!$K$5:$K$16*([3]Hoja2!$G$5:$G$16=Z$5)*([3]Hoja2!$L$5:$L$16=$C11))</f>
        <v>0</v>
      </c>
      <c r="AB11" s="96">
        <f t="shared" si="18"/>
        <v>0</v>
      </c>
      <c r="AC11" s="86" cm="1">
        <f t="array" ref="AC11">SUM([3]Hoja2!$J$5:$J$16*([3]Hoja2!$G$5:$G$16=AC$5)*([3]Hoja2!$L$5:$L$16=$C11))</f>
        <v>0</v>
      </c>
      <c r="AD11" s="86" cm="1">
        <f t="array" ref="AD11">SUM([3]Hoja2!$K$5:$K$16*([3]Hoja2!$G$5:$G$16=AC$5)*([3]Hoja2!$L$5:$L$16=$C11))</f>
        <v>0</v>
      </c>
      <c r="AE11" s="96">
        <f t="shared" si="19"/>
        <v>0</v>
      </c>
      <c r="AF11" s="88">
        <f t="shared" si="3"/>
        <v>0</v>
      </c>
      <c r="AG11" s="89">
        <f t="shared" si="4"/>
        <v>0</v>
      </c>
      <c r="AH11" s="90">
        <f t="shared" si="20"/>
        <v>0</v>
      </c>
      <c r="AI11" s="89">
        <f t="shared" si="21"/>
        <v>0</v>
      </c>
      <c r="AJ11" s="90">
        <f t="shared" si="5"/>
        <v>0</v>
      </c>
      <c r="AK11" s="89">
        <f>$AK$21/$AF$21*$AF11</f>
        <v>0</v>
      </c>
      <c r="AL11" s="90">
        <f t="shared" si="6"/>
        <v>0</v>
      </c>
      <c r="AM11" s="89">
        <f t="shared" si="7"/>
        <v>0</v>
      </c>
      <c r="AN11" s="90">
        <f>(AG11-AF11*$AK$25)*0.03</f>
        <v>0</v>
      </c>
      <c r="AO11" s="89">
        <f t="shared" si="22"/>
        <v>0</v>
      </c>
      <c r="AP11" s="91">
        <f t="shared" si="23"/>
        <v>0</v>
      </c>
      <c r="AQ11" s="92">
        <f t="shared" si="8"/>
        <v>0</v>
      </c>
      <c r="AR11" s="93">
        <f t="shared" si="9"/>
        <v>0</v>
      </c>
      <c r="AT11" s="94">
        <f t="shared" si="10"/>
        <v>0</v>
      </c>
      <c r="AU11" s="95">
        <f t="shared" si="11"/>
        <v>0</v>
      </c>
      <c r="AV11" s="95">
        <f t="shared" si="11"/>
        <v>0</v>
      </c>
      <c r="AW11" s="95">
        <f t="shared" si="11"/>
        <v>0</v>
      </c>
      <c r="AX11" s="95">
        <f t="shared" si="11"/>
        <v>0</v>
      </c>
      <c r="AY11" s="95">
        <f t="shared" si="11"/>
        <v>0</v>
      </c>
      <c r="AZ11" s="95">
        <f t="shared" si="11"/>
        <v>0</v>
      </c>
      <c r="BA11" s="95">
        <f t="shared" si="11"/>
        <v>0</v>
      </c>
      <c r="BB11" s="95">
        <f t="shared" si="12"/>
        <v>0</v>
      </c>
      <c r="BC11" s="49"/>
    </row>
    <row r="12" spans="2:59" x14ac:dyDescent="0.3">
      <c r="B12" s="51">
        <v>10007050</v>
      </c>
      <c r="C12" s="54" t="s">
        <v>91</v>
      </c>
      <c r="D12" s="77">
        <f>TD!E9</f>
        <v>93.215000000000003</v>
      </c>
      <c r="E12" s="78">
        <f t="shared" si="0"/>
        <v>1542.068956786504</v>
      </c>
      <c r="F12" s="49">
        <f>TD!F9</f>
        <v>143743.95780685398</v>
      </c>
      <c r="G12" s="49">
        <f>TD!G9</f>
        <v>19373.8056</v>
      </c>
      <c r="H12" s="49">
        <f>TD!H9</f>
        <v>6103.9512375000013</v>
      </c>
      <c r="I12" s="49">
        <f>TD!I9</f>
        <v>11999.333912500002</v>
      </c>
      <c r="J12" s="49">
        <f>TD!J9</f>
        <v>9592.1614043750014</v>
      </c>
      <c r="K12" s="80">
        <v>0</v>
      </c>
      <c r="L12" s="81">
        <v>0</v>
      </c>
      <c r="M12" s="82">
        <f t="shared" si="24"/>
        <v>181221.04855685399</v>
      </c>
      <c r="N12" s="83">
        <f t="shared" si="14"/>
        <v>1944.1189567865042</v>
      </c>
      <c r="O12" s="84"/>
      <c r="P12" s="84">
        <f t="shared" si="15"/>
        <v>0</v>
      </c>
      <c r="Q12" s="84">
        <f t="shared" si="1"/>
        <v>-181221.04855685399</v>
      </c>
      <c r="R12" s="85">
        <f t="shared" si="2"/>
        <v>0</v>
      </c>
      <c r="T12" s="86" cm="1">
        <f t="array" ref="T12">SUM([3]Hoja2!$J$5:$J$16*([3]Hoja2!$G$5:$G$16=T$5)*([3]Hoja2!$L$5:$L$16=$C12))</f>
        <v>0</v>
      </c>
      <c r="U12" s="86" cm="1">
        <f t="array" ref="U12">SUM([3]Hoja2!$K$5:$K$16*([3]Hoja2!$G$5:$G$16=T$5)*([3]Hoja2!$L$5:$L$16=$C12))</f>
        <v>0</v>
      </c>
      <c r="V12" s="96">
        <f t="shared" si="16"/>
        <v>0</v>
      </c>
      <c r="W12" s="86" cm="1">
        <f t="array" ref="W12">SUM([3]Hoja2!$J$5:$J$16*([3]Hoja2!$G$5:$G$16=W$5)*([3]Hoja2!$L$5:$L$16=$C12))</f>
        <v>0</v>
      </c>
      <c r="X12" s="86" cm="1">
        <f t="array" ref="X12">SUM([3]Hoja2!$K$5:$K$16*([3]Hoja2!$G$5:$G$16=W$5)*([3]Hoja2!$L$5:$L$16=$C12))</f>
        <v>0</v>
      </c>
      <c r="Y12" s="96">
        <f t="shared" si="17"/>
        <v>0</v>
      </c>
      <c r="Z12" s="86" cm="1">
        <f t="array" ref="Z12">SUM([3]Hoja2!$J$5:$J$16*([3]Hoja2!$G$5:$G$16=Z$5)*([3]Hoja2!$L$5:$L$16=$C12))</f>
        <v>0</v>
      </c>
      <c r="AA12" s="86" cm="1">
        <f t="array" ref="AA12">SUM([3]Hoja2!$K$5:$K$16*([3]Hoja2!$G$5:$G$16=Z$5)*([3]Hoja2!$L$5:$L$16=$C12))</f>
        <v>0</v>
      </c>
      <c r="AB12" s="96">
        <f t="shared" si="18"/>
        <v>0</v>
      </c>
      <c r="AC12" s="86" cm="1">
        <f t="array" ref="AC12">SUM([3]Hoja2!$J$5:$J$16*([3]Hoja2!$G$5:$G$16=AC$5)*([3]Hoja2!$L$5:$L$16=$C12))</f>
        <v>0</v>
      </c>
      <c r="AD12" s="86" cm="1">
        <f t="array" ref="AD12">SUM([3]Hoja2!$K$5:$K$16*([3]Hoja2!$G$5:$G$16=AC$5)*([3]Hoja2!$L$5:$L$16=$C12))</f>
        <v>0</v>
      </c>
      <c r="AE12" s="96">
        <f t="shared" si="19"/>
        <v>0</v>
      </c>
      <c r="AF12" s="88">
        <f t="shared" si="3"/>
        <v>0</v>
      </c>
      <c r="AG12" s="89">
        <f t="shared" si="4"/>
        <v>0</v>
      </c>
      <c r="AH12" s="90">
        <f t="shared" si="20"/>
        <v>0</v>
      </c>
      <c r="AI12" s="89">
        <f t="shared" si="21"/>
        <v>0</v>
      </c>
      <c r="AJ12" s="90">
        <f t="shared" si="5"/>
        <v>0</v>
      </c>
      <c r="AK12" s="89">
        <f t="shared" ref="AK12:AK20" si="25">$AK$21/$AF$21*$AF12</f>
        <v>0</v>
      </c>
      <c r="AL12" s="90">
        <f t="shared" si="6"/>
        <v>0</v>
      </c>
      <c r="AM12" s="89">
        <f t="shared" si="7"/>
        <v>0</v>
      </c>
      <c r="AN12" s="90">
        <f t="shared" ref="AN8:AN20" si="26">(AG12-AF12*$AK$25)*0.03</f>
        <v>0</v>
      </c>
      <c r="AO12" s="89">
        <f t="shared" si="22"/>
        <v>0</v>
      </c>
      <c r="AP12" s="91">
        <f t="shared" si="23"/>
        <v>0</v>
      </c>
      <c r="AQ12" s="92">
        <f t="shared" si="8"/>
        <v>0</v>
      </c>
      <c r="AR12" s="93">
        <f t="shared" si="9"/>
        <v>0</v>
      </c>
      <c r="AT12" s="94">
        <f t="shared" si="10"/>
        <v>0</v>
      </c>
      <c r="AU12" s="95">
        <f t="shared" si="11"/>
        <v>0</v>
      </c>
      <c r="AV12" s="95">
        <f t="shared" si="11"/>
        <v>0</v>
      </c>
      <c r="AW12" s="95">
        <f t="shared" si="11"/>
        <v>0</v>
      </c>
      <c r="AX12" s="95">
        <f t="shared" si="11"/>
        <v>0</v>
      </c>
      <c r="AY12" s="95">
        <f t="shared" si="11"/>
        <v>0</v>
      </c>
      <c r="AZ12" s="95">
        <f t="shared" si="11"/>
        <v>0</v>
      </c>
      <c r="BA12" s="95">
        <f t="shared" si="11"/>
        <v>0</v>
      </c>
      <c r="BB12" s="95">
        <f t="shared" si="12"/>
        <v>0</v>
      </c>
      <c r="BC12" s="49"/>
    </row>
    <row r="13" spans="2:59" x14ac:dyDescent="0.3">
      <c r="B13" s="51">
        <v>10007162</v>
      </c>
      <c r="C13" s="54" t="s">
        <v>92</v>
      </c>
      <c r="D13" s="77">
        <f>TD!E10</f>
        <v>99.260000000000019</v>
      </c>
      <c r="E13" s="78">
        <f t="shared" si="0"/>
        <v>1858.2869389024884</v>
      </c>
      <c r="F13" s="49">
        <f>TD!F10</f>
        <v>184453.56155546103</v>
      </c>
      <c r="G13" s="49">
        <f>TD!G10</f>
        <v>20630.198400000001</v>
      </c>
      <c r="H13" s="49">
        <f>TD!H10</f>
        <v>6499.7929500000009</v>
      </c>
      <c r="I13" s="49">
        <f>TD!I10</f>
        <v>12777.491650000002</v>
      </c>
      <c r="J13" s="49">
        <f>TD!J10</f>
        <v>10214.213817500002</v>
      </c>
      <c r="K13" s="80">
        <v>0</v>
      </c>
      <c r="L13" s="81">
        <v>0</v>
      </c>
      <c r="M13" s="82">
        <f t="shared" si="24"/>
        <v>224361.04455546103</v>
      </c>
      <c r="N13" s="83">
        <f t="shared" si="14"/>
        <v>2260.3369389024883</v>
      </c>
      <c r="O13" s="84">
        <v>3000</v>
      </c>
      <c r="P13" s="84">
        <f t="shared" si="15"/>
        <v>297780.00000000006</v>
      </c>
      <c r="Q13" s="84">
        <f t="shared" si="1"/>
        <v>73418.955444539024</v>
      </c>
      <c r="R13" s="85">
        <f t="shared" si="2"/>
        <v>0.24655435369917056</v>
      </c>
      <c r="T13" s="86" cm="1">
        <f t="array" ref="T13">SUM([3]Hoja2!$J$5:$J$16*([3]Hoja2!$G$5:$G$16=T$5)*([3]Hoja2!$L$5:$L$16=$C13))</f>
        <v>0</v>
      </c>
      <c r="U13" s="86" cm="1">
        <f t="array" ref="U13">SUM([3]Hoja2!$K$5:$K$16*([3]Hoja2!$G$5:$G$16=T$5)*([3]Hoja2!$L$5:$L$16=$C13))</f>
        <v>0</v>
      </c>
      <c r="V13" s="96">
        <f t="shared" si="16"/>
        <v>0</v>
      </c>
      <c r="W13" s="86" cm="1">
        <f t="array" ref="W13">SUM([3]Hoja2!$J$5:$J$16*([3]Hoja2!$G$5:$G$16=W$5)*([3]Hoja2!$L$5:$L$16=$C13))</f>
        <v>0</v>
      </c>
      <c r="X13" s="86" cm="1">
        <f t="array" ref="X13">SUM([3]Hoja2!$K$5:$K$16*([3]Hoja2!$G$5:$G$16=W$5)*([3]Hoja2!$L$5:$L$16=$C13))</f>
        <v>0</v>
      </c>
      <c r="Y13" s="96">
        <f t="shared" si="17"/>
        <v>0</v>
      </c>
      <c r="Z13" s="86" cm="1">
        <f t="array" ref="Z13">SUM([3]Hoja2!$J$5:$J$16*([3]Hoja2!$G$5:$G$16=Z$5)*([3]Hoja2!$L$5:$L$16=$C13))</f>
        <v>0</v>
      </c>
      <c r="AA13" s="86" cm="1">
        <f t="array" ref="AA13">SUM([3]Hoja2!$K$5:$K$16*([3]Hoja2!$G$5:$G$16=Z$5)*([3]Hoja2!$L$5:$L$16=$C13))</f>
        <v>0</v>
      </c>
      <c r="AB13" s="96">
        <f t="shared" si="18"/>
        <v>0</v>
      </c>
      <c r="AC13" s="86" cm="1">
        <f t="array" ref="AC13">SUM([3]Hoja2!$J$5:$J$16*([3]Hoja2!$G$5:$G$16=AC$5)*([3]Hoja2!$L$5:$L$16=$C13))</f>
        <v>159</v>
      </c>
      <c r="AD13" s="86" cm="1">
        <f t="array" ref="AD13">SUM([3]Hoja2!$K$5:$K$16*([3]Hoja2!$G$5:$G$16=AC$5)*([3]Hoja2!$L$5:$L$16=$C13))</f>
        <v>452550</v>
      </c>
      <c r="AE13" s="96">
        <f t="shared" si="19"/>
        <v>2846.2264150943397</v>
      </c>
      <c r="AF13" s="88">
        <f t="shared" si="3"/>
        <v>159</v>
      </c>
      <c r="AG13" s="89">
        <f t="shared" si="4"/>
        <v>452550</v>
      </c>
      <c r="AH13" s="90">
        <f t="shared" si="20"/>
        <v>2846.2264150943397</v>
      </c>
      <c r="AI13" s="89">
        <f t="shared" si="21"/>
        <v>-295467.62328549568</v>
      </c>
      <c r="AJ13" s="90">
        <f t="shared" si="5"/>
        <v>-33046.559999999998</v>
      </c>
      <c r="AK13" s="89">
        <f t="shared" si="25"/>
        <v>-10411.717500000002</v>
      </c>
      <c r="AL13" s="90">
        <f t="shared" si="6"/>
        <v>-20467.672500000004</v>
      </c>
      <c r="AM13" s="89">
        <f t="shared" si="7"/>
        <v>-16361.676375000003</v>
      </c>
      <c r="AN13" s="90">
        <f t="shared" si="26"/>
        <v>13031.872779061126</v>
      </c>
      <c r="AO13" s="89">
        <f t="shared" si="22"/>
        <v>106188.29949356546</v>
      </c>
      <c r="AP13" s="91">
        <f t="shared" si="23"/>
        <v>0.2346443475716837</v>
      </c>
      <c r="AQ13" s="92">
        <f t="shared" si="8"/>
        <v>143017.64836856545</v>
      </c>
      <c r="AR13" s="93">
        <f t="shared" si="9"/>
        <v>0.31602618134695715</v>
      </c>
      <c r="AT13" s="94">
        <f t="shared" si="10"/>
        <v>2846.2264150943397</v>
      </c>
      <c r="AU13" s="95">
        <f t="shared" si="11"/>
        <v>-1858.2869389024886</v>
      </c>
      <c r="AV13" s="95">
        <f t="shared" si="11"/>
        <v>-207.83999999999997</v>
      </c>
      <c r="AW13" s="95">
        <f t="shared" si="11"/>
        <v>-65.482500000000016</v>
      </c>
      <c r="AX13" s="95">
        <f t="shared" si="11"/>
        <v>-128.72750000000002</v>
      </c>
      <c r="AY13" s="95">
        <f t="shared" si="11"/>
        <v>-102.90362500000002</v>
      </c>
      <c r="AZ13" s="95">
        <f t="shared" si="11"/>
        <v>81.961464019252361</v>
      </c>
      <c r="BA13" s="95">
        <f t="shared" si="11"/>
        <v>667.85094021110353</v>
      </c>
      <c r="BB13" s="95">
        <f t="shared" si="12"/>
        <v>899.48206521110353</v>
      </c>
      <c r="BC13" s="49"/>
    </row>
    <row r="14" spans="2:59" x14ac:dyDescent="0.3">
      <c r="B14" s="51">
        <v>10007567</v>
      </c>
      <c r="C14" s="54" t="s">
        <v>93</v>
      </c>
      <c r="D14" s="77">
        <f>TD!E11</f>
        <v>91.960000000000008</v>
      </c>
      <c r="E14" s="78">
        <f t="shared" si="0"/>
        <v>1796.4411911982254</v>
      </c>
      <c r="F14" s="49">
        <f>TD!F11</f>
        <v>165200.73194258881</v>
      </c>
      <c r="G14" s="49">
        <f>TD!G11</f>
        <v>19112.966400000001</v>
      </c>
      <c r="H14" s="49">
        <f>TD!H11</f>
        <v>6021.7707000000019</v>
      </c>
      <c r="I14" s="49">
        <f>TD!I11</f>
        <v>11837.780900000002</v>
      </c>
      <c r="J14" s="49">
        <f>TD!J11</f>
        <v>9463.0173550000018</v>
      </c>
      <c r="K14" s="80">
        <v>0</v>
      </c>
      <c r="L14" s="81">
        <v>0</v>
      </c>
      <c r="M14" s="82">
        <f t="shared" si="24"/>
        <v>202173.24994258882</v>
      </c>
      <c r="N14" s="83">
        <f t="shared" si="14"/>
        <v>2198.4911911982254</v>
      </c>
      <c r="O14" s="84">
        <v>3000</v>
      </c>
      <c r="P14" s="84">
        <f t="shared" si="15"/>
        <v>275880</v>
      </c>
      <c r="Q14" s="84">
        <f t="shared" si="1"/>
        <v>73706.750057411176</v>
      </c>
      <c r="R14" s="85">
        <f t="shared" si="2"/>
        <v>0.26716960293392483</v>
      </c>
      <c r="T14" s="86" cm="1">
        <f t="array" ref="T14">SUM([3]Hoja2!$J$5:$J$16*([3]Hoja2!$G$5:$G$16=T$5)*([3]Hoja2!$L$5:$L$16=$C14))</f>
        <v>0</v>
      </c>
      <c r="U14" s="86" cm="1">
        <f t="array" ref="U14">SUM([3]Hoja2!$K$5:$K$16*([3]Hoja2!$G$5:$G$16=T$5)*([3]Hoja2!$L$5:$L$16=$C14))</f>
        <v>0</v>
      </c>
      <c r="V14" s="96">
        <f t="shared" si="16"/>
        <v>0</v>
      </c>
      <c r="W14" s="86" cm="1">
        <f t="array" ref="W14">SUM([3]Hoja2!$J$5:$J$16*([3]Hoja2!$G$5:$G$16=W$5)*([3]Hoja2!$L$5:$L$16=$C14))</f>
        <v>0</v>
      </c>
      <c r="X14" s="86" cm="1">
        <f t="array" ref="X14">SUM([3]Hoja2!$K$5:$K$16*([3]Hoja2!$G$5:$G$16=W$5)*([3]Hoja2!$L$5:$L$16=$C14))</f>
        <v>0</v>
      </c>
      <c r="Y14" s="96">
        <f t="shared" si="17"/>
        <v>0</v>
      </c>
      <c r="Z14" s="86" cm="1">
        <f t="array" ref="Z14">SUM([3]Hoja2!$J$5:$J$16*([3]Hoja2!$G$5:$G$16=Z$5)*([3]Hoja2!$L$5:$L$16=$C14))</f>
        <v>0</v>
      </c>
      <c r="AA14" s="86" cm="1">
        <f t="array" ref="AA14">SUM([3]Hoja2!$K$5:$K$16*([3]Hoja2!$G$5:$G$16=Z$5)*([3]Hoja2!$L$5:$L$16=$C14))</f>
        <v>0</v>
      </c>
      <c r="AB14" s="96">
        <f t="shared" si="18"/>
        <v>0</v>
      </c>
      <c r="AC14" s="86" cm="1">
        <f t="array" ref="AC14">SUM([3]Hoja2!$J$5:$J$16*([3]Hoja2!$G$5:$G$16=AC$5)*([3]Hoja2!$L$5:$L$16=$C14))</f>
        <v>0</v>
      </c>
      <c r="AD14" s="86" cm="1">
        <f t="array" ref="AD14">SUM([3]Hoja2!$K$5:$K$16*([3]Hoja2!$G$5:$G$16=AC$5)*([3]Hoja2!$L$5:$L$16=$C14))</f>
        <v>0</v>
      </c>
      <c r="AE14" s="96">
        <f t="shared" si="19"/>
        <v>0</v>
      </c>
      <c r="AF14" s="88">
        <f t="shared" si="3"/>
        <v>0</v>
      </c>
      <c r="AG14" s="89">
        <f t="shared" si="4"/>
        <v>0</v>
      </c>
      <c r="AH14" s="90">
        <f t="shared" si="20"/>
        <v>0</v>
      </c>
      <c r="AI14" s="89">
        <f t="shared" si="21"/>
        <v>0</v>
      </c>
      <c r="AJ14" s="90">
        <f t="shared" si="5"/>
        <v>0</v>
      </c>
      <c r="AK14" s="89">
        <f t="shared" si="25"/>
        <v>0</v>
      </c>
      <c r="AL14" s="90">
        <f t="shared" si="6"/>
        <v>0</v>
      </c>
      <c r="AM14" s="89">
        <f t="shared" si="7"/>
        <v>0</v>
      </c>
      <c r="AN14" s="90">
        <f t="shared" si="26"/>
        <v>0</v>
      </c>
      <c r="AO14" s="89">
        <f t="shared" si="22"/>
        <v>0</v>
      </c>
      <c r="AP14" s="91">
        <f t="shared" si="23"/>
        <v>0</v>
      </c>
      <c r="AQ14" s="92">
        <f t="shared" si="8"/>
        <v>0</v>
      </c>
      <c r="AR14" s="93">
        <f t="shared" si="9"/>
        <v>0</v>
      </c>
      <c r="AT14" s="94">
        <f t="shared" si="10"/>
        <v>0</v>
      </c>
      <c r="AU14" s="95">
        <f t="shared" si="11"/>
        <v>0</v>
      </c>
      <c r="AV14" s="95">
        <f t="shared" si="11"/>
        <v>0</v>
      </c>
      <c r="AW14" s="95">
        <f t="shared" si="11"/>
        <v>0</v>
      </c>
      <c r="AX14" s="95">
        <f t="shared" si="11"/>
        <v>0</v>
      </c>
      <c r="AY14" s="95">
        <f t="shared" si="11"/>
        <v>0</v>
      </c>
      <c r="AZ14" s="95">
        <f t="shared" si="11"/>
        <v>0</v>
      </c>
      <c r="BA14" s="95">
        <f t="shared" si="11"/>
        <v>0</v>
      </c>
      <c r="BB14" s="95">
        <f t="shared" si="12"/>
        <v>0</v>
      </c>
      <c r="BC14" s="49"/>
    </row>
    <row r="15" spans="2:59" x14ac:dyDescent="0.3">
      <c r="B15" s="51">
        <v>10007969</v>
      </c>
      <c r="C15" s="54" t="s">
        <v>13</v>
      </c>
      <c r="D15" s="77">
        <f>TD!E12</f>
        <v>7.64</v>
      </c>
      <c r="E15" s="78">
        <f t="shared" si="0"/>
        <v>1466.0036185560764</v>
      </c>
      <c r="F15" s="49">
        <f>TD!F12</f>
        <v>11200.267645768423</v>
      </c>
      <c r="G15" s="49">
        <f>TD!G12</f>
        <v>1587.8976</v>
      </c>
      <c r="H15" s="49">
        <f>TD!H12</f>
        <v>500.2863000000001</v>
      </c>
      <c r="I15" s="49">
        <f>TD!I12</f>
        <v>983.47810000000015</v>
      </c>
      <c r="J15" s="49">
        <f>TD!J12</f>
        <v>786.18369500000017</v>
      </c>
      <c r="K15" s="80">
        <v>0</v>
      </c>
      <c r="L15" s="81">
        <v>0</v>
      </c>
      <c r="M15" s="82">
        <f t="shared" si="24"/>
        <v>14271.929645768423</v>
      </c>
      <c r="N15" s="83">
        <f t="shared" si="14"/>
        <v>1868.0536185560763</v>
      </c>
      <c r="O15" s="84">
        <v>1730</v>
      </c>
      <c r="P15" s="84">
        <f t="shared" si="15"/>
        <v>13217.199999999999</v>
      </c>
      <c r="Q15" s="84">
        <f t="shared" si="1"/>
        <v>-1054.7296457684242</v>
      </c>
      <c r="R15" s="85">
        <f t="shared" si="2"/>
        <v>-7.9799779512182936E-2</v>
      </c>
      <c r="T15" s="86" cm="1">
        <f t="array" ref="T15">SUM([3]Hoja2!$J$5:$J$16*([3]Hoja2!$G$5:$G$16=T$5)*([3]Hoja2!$L$5:$L$16=$C15))</f>
        <v>0</v>
      </c>
      <c r="U15" s="86" cm="1">
        <f t="array" ref="U15">SUM([3]Hoja2!$K$5:$K$16*([3]Hoja2!$G$5:$G$16=T$5)*([3]Hoja2!$L$5:$L$16=$C15))</f>
        <v>0</v>
      </c>
      <c r="V15" s="96">
        <f t="shared" si="16"/>
        <v>0</v>
      </c>
      <c r="W15" s="86" cm="1">
        <f t="array" ref="W15">SUM([3]Hoja2!$J$5:$J$16*([3]Hoja2!$G$5:$G$16=W$5)*([3]Hoja2!$L$5:$L$16=$C15))</f>
        <v>0</v>
      </c>
      <c r="X15" s="86" cm="1">
        <f t="array" ref="X15">SUM([3]Hoja2!$K$5:$K$16*([3]Hoja2!$G$5:$G$16=W$5)*([3]Hoja2!$L$5:$L$16=$C15))</f>
        <v>0</v>
      </c>
      <c r="Y15" s="96">
        <f t="shared" si="17"/>
        <v>0</v>
      </c>
      <c r="Z15" s="86" cm="1">
        <f t="array" ref="Z15">SUM([3]Hoja2!$J$5:$J$16*([3]Hoja2!$G$5:$G$16=Z$5)*([3]Hoja2!$L$5:$L$16=$C15))</f>
        <v>0</v>
      </c>
      <c r="AA15" s="86" cm="1">
        <f t="array" ref="AA15">SUM([3]Hoja2!$K$5:$K$16*([3]Hoja2!$G$5:$G$16=Z$5)*([3]Hoja2!$L$5:$L$16=$C15))</f>
        <v>0</v>
      </c>
      <c r="AB15" s="96">
        <f t="shared" si="18"/>
        <v>0</v>
      </c>
      <c r="AC15" s="86" cm="1">
        <f t="array" ref="AC15">SUM([3]Hoja2!$J$5:$J$16*([3]Hoja2!$G$5:$G$16=AC$5)*([3]Hoja2!$L$5:$L$16=$C15))</f>
        <v>0</v>
      </c>
      <c r="AD15" s="86" cm="1">
        <f t="array" ref="AD15">SUM([3]Hoja2!$K$5:$K$16*([3]Hoja2!$G$5:$G$16=AC$5)*([3]Hoja2!$L$5:$L$16=$C15))</f>
        <v>0</v>
      </c>
      <c r="AE15" s="96">
        <f t="shared" si="19"/>
        <v>0</v>
      </c>
      <c r="AF15" s="88">
        <f t="shared" si="3"/>
        <v>0</v>
      </c>
      <c r="AG15" s="89">
        <f t="shared" si="4"/>
        <v>0</v>
      </c>
      <c r="AH15" s="90">
        <f t="shared" si="20"/>
        <v>0</v>
      </c>
      <c r="AI15" s="89">
        <f t="shared" si="21"/>
        <v>0</v>
      </c>
      <c r="AJ15" s="90">
        <f t="shared" si="5"/>
        <v>0</v>
      </c>
      <c r="AK15" s="89">
        <f t="shared" si="25"/>
        <v>0</v>
      </c>
      <c r="AL15" s="90">
        <f t="shared" si="6"/>
        <v>0</v>
      </c>
      <c r="AM15" s="89">
        <f t="shared" si="7"/>
        <v>0</v>
      </c>
      <c r="AN15" s="90">
        <f t="shared" si="26"/>
        <v>0</v>
      </c>
      <c r="AO15" s="89">
        <f t="shared" si="22"/>
        <v>0</v>
      </c>
      <c r="AP15" s="91">
        <f t="shared" si="23"/>
        <v>0</v>
      </c>
      <c r="AQ15" s="92">
        <f t="shared" si="8"/>
        <v>0</v>
      </c>
      <c r="AR15" s="93">
        <f t="shared" si="9"/>
        <v>0</v>
      </c>
      <c r="AT15" s="94">
        <f t="shared" si="10"/>
        <v>0</v>
      </c>
      <c r="AU15" s="95">
        <f t="shared" si="11"/>
        <v>0</v>
      </c>
      <c r="AV15" s="95">
        <f t="shared" si="11"/>
        <v>0</v>
      </c>
      <c r="AW15" s="95">
        <f t="shared" si="11"/>
        <v>0</v>
      </c>
      <c r="AX15" s="95">
        <f t="shared" si="11"/>
        <v>0</v>
      </c>
      <c r="AY15" s="95">
        <f t="shared" si="11"/>
        <v>0</v>
      </c>
      <c r="AZ15" s="95">
        <f t="shared" si="11"/>
        <v>0</v>
      </c>
      <c r="BA15" s="95">
        <f t="shared" si="11"/>
        <v>0</v>
      </c>
      <c r="BB15" s="95">
        <f t="shared" si="12"/>
        <v>0</v>
      </c>
      <c r="BC15" s="49"/>
    </row>
    <row r="16" spans="2:59" x14ac:dyDescent="0.3">
      <c r="B16" s="51">
        <v>10009207</v>
      </c>
      <c r="C16" s="54" t="s">
        <v>12</v>
      </c>
      <c r="D16" s="77">
        <f>TD!E13</f>
        <v>4.8600000000000003</v>
      </c>
      <c r="E16" s="78">
        <f t="shared" si="0"/>
        <v>1517.6903274696967</v>
      </c>
      <c r="F16" s="49">
        <f>TD!F13</f>
        <v>7375.9749915027269</v>
      </c>
      <c r="G16" s="49">
        <f>TD!G13</f>
        <v>1010.1024000000001</v>
      </c>
      <c r="H16" s="49">
        <f>TD!H13</f>
        <v>318.24495000000007</v>
      </c>
      <c r="I16" s="49">
        <f>TD!I13</f>
        <v>625.61565000000019</v>
      </c>
      <c r="J16" s="49">
        <f>TD!J13</f>
        <v>500.11161750000014</v>
      </c>
      <c r="K16" s="80">
        <v>0</v>
      </c>
      <c r="L16" s="81">
        <v>0</v>
      </c>
      <c r="M16" s="82">
        <f t="shared" si="24"/>
        <v>9329.9379915027275</v>
      </c>
      <c r="N16" s="83">
        <f t="shared" si="14"/>
        <v>1919.7403274696969</v>
      </c>
      <c r="O16" s="84"/>
      <c r="P16" s="84">
        <f t="shared" si="15"/>
        <v>0</v>
      </c>
      <c r="Q16" s="84">
        <f t="shared" si="1"/>
        <v>-9329.9379915027275</v>
      </c>
      <c r="R16" s="85">
        <f t="shared" si="2"/>
        <v>0</v>
      </c>
      <c r="T16" s="86" cm="1">
        <f t="array" ref="T16">SUM([3]Hoja2!$J$5:$J$16*([3]Hoja2!$G$5:$G$16=T$5)*([3]Hoja2!$L$5:$L$16=$C16))</f>
        <v>26</v>
      </c>
      <c r="U16" s="86" cm="1">
        <f t="array" ref="U16">SUM([3]Hoja2!$K$5:$K$16*([3]Hoja2!$G$5:$G$16=T$5)*([3]Hoja2!$L$5:$L$16=$C16))</f>
        <v>36400</v>
      </c>
      <c r="V16" s="96">
        <f t="shared" si="16"/>
        <v>1400</v>
      </c>
      <c r="W16" s="86" cm="1">
        <f t="array" ref="W16">SUM([3]Hoja2!$J$5:$J$16*([3]Hoja2!$G$5:$G$16=W$5)*([3]Hoja2!$L$5:$L$16=$C16))</f>
        <v>0</v>
      </c>
      <c r="X16" s="86" cm="1">
        <f t="array" ref="X16">SUM([3]Hoja2!$K$5:$K$16*([3]Hoja2!$G$5:$G$16=W$5)*([3]Hoja2!$L$5:$L$16=$C16))</f>
        <v>0</v>
      </c>
      <c r="Y16" s="96">
        <f t="shared" si="17"/>
        <v>0</v>
      </c>
      <c r="Z16" s="86" cm="1">
        <f t="array" ref="Z16">SUM([3]Hoja2!$J$5:$J$16*([3]Hoja2!$G$5:$G$16=Z$5)*([3]Hoja2!$L$5:$L$16=$C16))</f>
        <v>0</v>
      </c>
      <c r="AA16" s="86" cm="1">
        <f t="array" ref="AA16">SUM([3]Hoja2!$K$5:$K$16*([3]Hoja2!$G$5:$G$16=Z$5)*([3]Hoja2!$L$5:$L$16=$C16))</f>
        <v>0</v>
      </c>
      <c r="AB16" s="96">
        <f t="shared" si="18"/>
        <v>0</v>
      </c>
      <c r="AC16" s="86" cm="1">
        <f t="array" ref="AC16">SUM([3]Hoja2!$J$5:$J$16*([3]Hoja2!$G$5:$G$16=AC$5)*([3]Hoja2!$L$5:$L$16=$C16))</f>
        <v>0</v>
      </c>
      <c r="AD16" s="86" cm="1">
        <f t="array" ref="AD16">SUM([3]Hoja2!$K$5:$K$16*([3]Hoja2!$G$5:$G$16=AC$5)*([3]Hoja2!$L$5:$L$16=$C16))</f>
        <v>0</v>
      </c>
      <c r="AE16" s="96">
        <f t="shared" si="19"/>
        <v>0</v>
      </c>
      <c r="AF16" s="88">
        <f t="shared" si="3"/>
        <v>26</v>
      </c>
      <c r="AG16" s="89">
        <f t="shared" si="4"/>
        <v>36400</v>
      </c>
      <c r="AH16" s="90">
        <f t="shared" si="20"/>
        <v>1400</v>
      </c>
      <c r="AI16" s="89">
        <f>-'[1]Stock Libre'!T9*AF16*1000</f>
        <v>-39459.948514212119</v>
      </c>
      <c r="AJ16" s="90">
        <f t="shared" si="5"/>
        <v>-5403.84</v>
      </c>
      <c r="AK16" s="89">
        <f t="shared" si="25"/>
        <v>-1702.5450000000005</v>
      </c>
      <c r="AL16" s="90">
        <f t="shared" si="6"/>
        <v>-3346.9150000000004</v>
      </c>
      <c r="AM16" s="89">
        <f t="shared" si="7"/>
        <v>-2675.4942500000006</v>
      </c>
      <c r="AN16" s="90">
        <f t="shared" si="26"/>
        <v>1002.9414607269767</v>
      </c>
      <c r="AO16" s="89">
        <f t="shared" si="22"/>
        <v>-12510.307053485143</v>
      </c>
      <c r="AP16" s="91">
        <f t="shared" si="23"/>
        <v>-0.34368975421662479</v>
      </c>
      <c r="AQ16" s="92">
        <f t="shared" si="8"/>
        <v>-6487.8978034851416</v>
      </c>
      <c r="AR16" s="93">
        <f t="shared" si="9"/>
        <v>-0.17823895064519621</v>
      </c>
      <c r="AT16" s="94">
        <f t="shared" si="10"/>
        <v>1400</v>
      </c>
      <c r="AU16" s="95">
        <f t="shared" si="11"/>
        <v>-1517.690327469697</v>
      </c>
      <c r="AV16" s="95">
        <f t="shared" si="11"/>
        <v>-207.84</v>
      </c>
      <c r="AW16" s="95">
        <f t="shared" si="11"/>
        <v>-65.482500000000016</v>
      </c>
      <c r="AX16" s="95">
        <f t="shared" si="11"/>
        <v>-128.72750000000002</v>
      </c>
      <c r="AY16" s="95">
        <f t="shared" si="11"/>
        <v>-102.90362500000002</v>
      </c>
      <c r="AZ16" s="95">
        <f t="shared" si="11"/>
        <v>38.574671566422182</v>
      </c>
      <c r="BA16" s="95">
        <f t="shared" si="11"/>
        <v>-481.16565590327474</v>
      </c>
      <c r="BB16" s="95">
        <f t="shared" si="12"/>
        <v>-249.53453090327469</v>
      </c>
      <c r="BC16" s="49"/>
    </row>
    <row r="17" spans="2:55" x14ac:dyDescent="0.3">
      <c r="B17" s="51">
        <v>10009239</v>
      </c>
      <c r="C17" s="54" t="s">
        <v>94</v>
      </c>
      <c r="D17" s="77">
        <f>TD!E14</f>
        <v>0.3</v>
      </c>
      <c r="E17" s="78">
        <f t="shared" si="0"/>
        <v>3431.952266405815</v>
      </c>
      <c r="F17" s="49">
        <f>TD!F14</f>
        <v>1029.5856799217445</v>
      </c>
      <c r="G17" s="49">
        <f>TD!G14</f>
        <v>62.351999999999997</v>
      </c>
      <c r="H17" s="49">
        <f>TD!H14</f>
        <v>19.644750000000005</v>
      </c>
      <c r="I17" s="49">
        <f>TD!I14</f>
        <v>38.618250000000003</v>
      </c>
      <c r="J17" s="49">
        <f>TD!J14</f>
        <v>30.871087500000005</v>
      </c>
      <c r="K17" s="80">
        <v>0</v>
      </c>
      <c r="L17" s="81">
        <v>0</v>
      </c>
      <c r="M17" s="82">
        <f t="shared" si="24"/>
        <v>1150.2006799217445</v>
      </c>
      <c r="N17" s="83">
        <f t="shared" si="14"/>
        <v>3834.0022664058151</v>
      </c>
      <c r="O17" s="84">
        <v>3900</v>
      </c>
      <c r="P17" s="84">
        <f t="shared" si="15"/>
        <v>1170</v>
      </c>
      <c r="Q17" s="84">
        <f t="shared" si="1"/>
        <v>19.799320078255505</v>
      </c>
      <c r="R17" s="85">
        <f t="shared" si="2"/>
        <v>1.6922495793380773E-2</v>
      </c>
      <c r="T17" s="86" cm="1">
        <f t="array" ref="T17">SUM([3]Hoja2!$J$5:$J$16*([3]Hoja2!$G$5:$G$16=T$5)*([3]Hoja2!$L$5:$L$16=$C17))</f>
        <v>0</v>
      </c>
      <c r="U17" s="86" cm="1">
        <f t="array" ref="U17">SUM([3]Hoja2!$K$5:$K$16*([3]Hoja2!$G$5:$G$16=T$5)*([3]Hoja2!$L$5:$L$16=$C17))</f>
        <v>0</v>
      </c>
      <c r="V17" s="96">
        <f t="shared" si="16"/>
        <v>0</v>
      </c>
      <c r="W17" s="86" cm="1">
        <f t="array" ref="W17">SUM([3]Hoja2!$J$5:$J$16*([3]Hoja2!$G$5:$G$16=W$5)*([3]Hoja2!$L$5:$L$16=$C17))</f>
        <v>0</v>
      </c>
      <c r="X17" s="86" cm="1">
        <f t="array" ref="X17">SUM([3]Hoja2!$K$5:$K$16*([3]Hoja2!$G$5:$G$16=W$5)*([3]Hoja2!$L$5:$L$16=$C17))</f>
        <v>0</v>
      </c>
      <c r="Y17" s="96">
        <f t="shared" si="17"/>
        <v>0</v>
      </c>
      <c r="Z17" s="86" cm="1">
        <f t="array" ref="Z17">SUM([3]Hoja2!$J$5:$J$16*([3]Hoja2!$G$5:$G$16=Z$5)*([3]Hoja2!$L$5:$L$16=$C17))</f>
        <v>0</v>
      </c>
      <c r="AA17" s="86" cm="1">
        <f t="array" ref="AA17">SUM([3]Hoja2!$K$5:$K$16*([3]Hoja2!$G$5:$G$16=Z$5)*([3]Hoja2!$L$5:$L$16=$C17))</f>
        <v>0</v>
      </c>
      <c r="AB17" s="96">
        <f t="shared" si="18"/>
        <v>0</v>
      </c>
      <c r="AC17" s="86" cm="1">
        <f t="array" ref="AC17">SUM([3]Hoja2!$J$5:$J$16*([3]Hoja2!$G$5:$G$16=AC$5)*([3]Hoja2!$L$5:$L$16=$C17))</f>
        <v>0</v>
      </c>
      <c r="AD17" s="86" cm="1">
        <f t="array" ref="AD17">SUM([3]Hoja2!$K$5:$K$16*([3]Hoja2!$G$5:$G$16=AC$5)*([3]Hoja2!$L$5:$L$16=$C17))</f>
        <v>0</v>
      </c>
      <c r="AE17" s="96">
        <f t="shared" si="19"/>
        <v>0</v>
      </c>
      <c r="AF17" s="88">
        <f t="shared" si="3"/>
        <v>0</v>
      </c>
      <c r="AG17" s="89">
        <f t="shared" si="4"/>
        <v>0</v>
      </c>
      <c r="AH17" s="90">
        <f t="shared" si="20"/>
        <v>0</v>
      </c>
      <c r="AI17" s="89">
        <f>-'[1]Stock Libre'!T45*1000*AF17</f>
        <v>0</v>
      </c>
      <c r="AJ17" s="90">
        <f t="shared" si="5"/>
        <v>0</v>
      </c>
      <c r="AK17" s="89">
        <f t="shared" si="25"/>
        <v>0</v>
      </c>
      <c r="AL17" s="90">
        <f t="shared" si="6"/>
        <v>0</v>
      </c>
      <c r="AM17" s="89">
        <f t="shared" si="7"/>
        <v>0</v>
      </c>
      <c r="AN17" s="90">
        <f t="shared" si="26"/>
        <v>0</v>
      </c>
      <c r="AO17" s="89">
        <f t="shared" si="22"/>
        <v>0</v>
      </c>
      <c r="AP17" s="91">
        <f t="shared" si="23"/>
        <v>0</v>
      </c>
      <c r="AQ17" s="92">
        <f t="shared" si="8"/>
        <v>0</v>
      </c>
      <c r="AR17" s="93">
        <f t="shared" si="9"/>
        <v>0</v>
      </c>
      <c r="AT17" s="94">
        <f t="shared" si="10"/>
        <v>0</v>
      </c>
      <c r="AU17" s="95">
        <f t="shared" si="11"/>
        <v>0</v>
      </c>
      <c r="AV17" s="95">
        <f t="shared" si="11"/>
        <v>0</v>
      </c>
      <c r="AW17" s="95">
        <f t="shared" si="11"/>
        <v>0</v>
      </c>
      <c r="AX17" s="95">
        <f t="shared" si="11"/>
        <v>0</v>
      </c>
      <c r="AY17" s="95">
        <f t="shared" si="11"/>
        <v>0</v>
      </c>
      <c r="AZ17" s="95">
        <f t="shared" si="11"/>
        <v>0</v>
      </c>
      <c r="BA17" s="95">
        <f t="shared" si="11"/>
        <v>0</v>
      </c>
      <c r="BB17" s="95">
        <f t="shared" si="12"/>
        <v>0</v>
      </c>
      <c r="BC17" s="49"/>
    </row>
    <row r="18" spans="2:55" x14ac:dyDescent="0.3">
      <c r="B18" s="51">
        <v>10009334</v>
      </c>
      <c r="C18" s="54" t="s">
        <v>95</v>
      </c>
      <c r="D18" s="77">
        <f>TD!E15</f>
        <v>0</v>
      </c>
      <c r="E18" s="78">
        <f t="shared" si="0"/>
        <v>0</v>
      </c>
      <c r="F18" s="49">
        <f>TD!F15</f>
        <v>0</v>
      </c>
      <c r="G18" s="49">
        <f>TD!G15</f>
        <v>0</v>
      </c>
      <c r="H18" s="49">
        <f>TD!H15</f>
        <v>0</v>
      </c>
      <c r="I18" s="49">
        <f>TD!I15</f>
        <v>0</v>
      </c>
      <c r="J18" s="49">
        <f>TD!J15</f>
        <v>0</v>
      </c>
      <c r="K18" s="80">
        <v>0</v>
      </c>
      <c r="L18" s="81">
        <v>0</v>
      </c>
      <c r="M18" s="82">
        <f t="shared" si="24"/>
        <v>0</v>
      </c>
      <c r="N18" s="83">
        <f t="shared" si="14"/>
        <v>0</v>
      </c>
      <c r="O18" s="84">
        <v>4300</v>
      </c>
      <c r="P18" s="84">
        <f t="shared" si="15"/>
        <v>0</v>
      </c>
      <c r="Q18" s="84">
        <f t="shared" si="1"/>
        <v>0</v>
      </c>
      <c r="R18" s="85">
        <f t="shared" si="2"/>
        <v>0</v>
      </c>
      <c r="T18" s="86" cm="1">
        <f t="array" ref="T18">SUM([3]Hoja2!$J$5:$J$16*([3]Hoja2!$G$5:$G$16=T$5)*([3]Hoja2!$L$5:$L$16=$C18))</f>
        <v>0</v>
      </c>
      <c r="U18" s="86" cm="1">
        <f t="array" ref="U18">SUM([3]Hoja2!$K$5:$K$16*([3]Hoja2!$G$5:$G$16=T$5)*([3]Hoja2!$L$5:$L$16=$C18))</f>
        <v>0</v>
      </c>
      <c r="V18" s="96">
        <f t="shared" si="16"/>
        <v>0</v>
      </c>
      <c r="W18" s="86" cm="1">
        <f t="array" ref="W18">SUM([3]Hoja2!$J$5:$J$16*([3]Hoja2!$G$5:$G$16=W$5)*([3]Hoja2!$L$5:$L$16=$C18))</f>
        <v>27</v>
      </c>
      <c r="X18" s="86" cm="1">
        <f t="array" ref="X18">SUM([3]Hoja2!$K$5:$K$16*([3]Hoja2!$G$5:$G$16=W$5)*([3]Hoja2!$L$5:$L$16=$C18))</f>
        <v>116100</v>
      </c>
      <c r="Y18" s="96">
        <f t="shared" si="17"/>
        <v>4300</v>
      </c>
      <c r="Z18" s="86" cm="1">
        <f t="array" ref="Z18">SUM([3]Hoja2!$J$5:$J$16*([3]Hoja2!$G$5:$G$16=Z$5)*([3]Hoja2!$L$5:$L$16=$C18))</f>
        <v>0</v>
      </c>
      <c r="AA18" s="86" cm="1">
        <f t="array" ref="AA18">SUM([3]Hoja2!$K$5:$K$16*([3]Hoja2!$G$5:$G$16=Z$5)*([3]Hoja2!$L$5:$L$16=$C18))</f>
        <v>0</v>
      </c>
      <c r="AB18" s="96">
        <f t="shared" si="18"/>
        <v>0</v>
      </c>
      <c r="AC18" s="86" cm="1">
        <f t="array" ref="AC18">SUM([3]Hoja2!$J$5:$J$16*([3]Hoja2!$G$5:$G$16=AC$5)*([3]Hoja2!$L$5:$L$16=$C18))</f>
        <v>135</v>
      </c>
      <c r="AD18" s="86" cm="1">
        <f t="array" ref="AD18">SUM([3]Hoja2!$K$5:$K$16*([3]Hoja2!$G$5:$G$16=AC$5)*([3]Hoja2!$L$5:$L$16=$C18))</f>
        <v>561600</v>
      </c>
      <c r="AE18" s="96">
        <f t="shared" si="19"/>
        <v>4160</v>
      </c>
      <c r="AF18" s="88">
        <f t="shared" si="3"/>
        <v>162</v>
      </c>
      <c r="AG18" s="89">
        <f t="shared" si="4"/>
        <v>677700</v>
      </c>
      <c r="AH18" s="90">
        <f t="shared" si="20"/>
        <v>4183.333333333333</v>
      </c>
      <c r="AI18" s="89">
        <f>-AF18*'[1]Stock Libre'!T48*1000</f>
        <v>-488123.43717136898</v>
      </c>
      <c r="AJ18" s="90">
        <f t="shared" si="5"/>
        <v>-33670.080000000002</v>
      </c>
      <c r="AK18" s="89">
        <f t="shared" si="25"/>
        <v>-10608.165000000003</v>
      </c>
      <c r="AL18" s="90">
        <f t="shared" si="6"/>
        <v>-20853.855000000003</v>
      </c>
      <c r="AM18" s="89">
        <f t="shared" si="7"/>
        <v>-16670.387250000003</v>
      </c>
      <c r="AN18" s="90">
        <f t="shared" si="26"/>
        <v>19776.096793760393</v>
      </c>
      <c r="AO18" s="89">
        <f t="shared" si="22"/>
        <v>144220.55962239148</v>
      </c>
      <c r="AP18" s="91">
        <f t="shared" si="23"/>
        <v>0.21280885291779766</v>
      </c>
      <c r="AQ18" s="92">
        <f t="shared" si="8"/>
        <v>181744.8018723914</v>
      </c>
      <c r="AR18" s="93">
        <f t="shared" si="9"/>
        <v>0.26817884295763816</v>
      </c>
      <c r="AT18" s="94">
        <f t="shared" si="10"/>
        <v>4183.333333333333</v>
      </c>
      <c r="AU18" s="95">
        <f t="shared" si="11"/>
        <v>-3013.1076368603021</v>
      </c>
      <c r="AV18" s="95">
        <f t="shared" si="11"/>
        <v>-207.84</v>
      </c>
      <c r="AW18" s="95">
        <f t="shared" si="11"/>
        <v>-65.482500000000016</v>
      </c>
      <c r="AX18" s="95">
        <f t="shared" si="11"/>
        <v>-128.72750000000002</v>
      </c>
      <c r="AY18" s="95">
        <f t="shared" si="11"/>
        <v>-102.90362500000002</v>
      </c>
      <c r="AZ18" s="95">
        <f t="shared" si="11"/>
        <v>122.07467156642218</v>
      </c>
      <c r="BA18" s="95">
        <f t="shared" si="11"/>
        <v>890.25036803945352</v>
      </c>
      <c r="BB18" s="95">
        <f t="shared" si="12"/>
        <v>1121.8814930394531</v>
      </c>
      <c r="BC18" s="49"/>
    </row>
    <row r="19" spans="2:55" x14ac:dyDescent="0.3">
      <c r="B19" s="51">
        <v>10009386</v>
      </c>
      <c r="C19" s="54" t="s">
        <v>96</v>
      </c>
      <c r="D19" s="77">
        <f>TD!E16</f>
        <v>15.56</v>
      </c>
      <c r="E19" s="78">
        <f t="shared" si="0"/>
        <v>1859.8567273709273</v>
      </c>
      <c r="F19" s="49">
        <f>TD!F16</f>
        <v>28939.370677891628</v>
      </c>
      <c r="G19" s="49">
        <f>TD!G16</f>
        <v>3233.9904000000001</v>
      </c>
      <c r="H19" s="49">
        <f>TD!H16</f>
        <v>1018.9077000000003</v>
      </c>
      <c r="I19" s="49">
        <f>TD!I16</f>
        <v>2002.9999000000005</v>
      </c>
      <c r="J19" s="49">
        <f>TD!J16</f>
        <v>1601.1804050000003</v>
      </c>
      <c r="K19" s="80">
        <v>0</v>
      </c>
      <c r="L19" s="81">
        <v>0</v>
      </c>
      <c r="M19" s="82">
        <f t="shared" si="24"/>
        <v>35195.268677891632</v>
      </c>
      <c r="N19" s="83">
        <f t="shared" si="14"/>
        <v>2261.9067273709275</v>
      </c>
      <c r="O19" s="84"/>
      <c r="P19" s="84">
        <f t="shared" si="15"/>
        <v>0</v>
      </c>
      <c r="Q19" s="84">
        <f t="shared" si="1"/>
        <v>-35195.268677891632</v>
      </c>
      <c r="R19" s="85">
        <f t="shared" si="2"/>
        <v>0</v>
      </c>
      <c r="T19" s="86" cm="1">
        <f t="array" ref="T19">SUM([3]Hoja2!$J$5:$J$16*([3]Hoja2!$G$5:$G$16=T$5)*([3]Hoja2!$L$5:$L$16=$C19))</f>
        <v>0</v>
      </c>
      <c r="U19" s="86" cm="1">
        <f t="array" ref="U19">SUM([3]Hoja2!$K$5:$K$16*([3]Hoja2!$G$5:$G$16=T$5)*([3]Hoja2!$L$5:$L$16=$C19))</f>
        <v>0</v>
      </c>
      <c r="V19" s="96">
        <f t="shared" si="16"/>
        <v>0</v>
      </c>
      <c r="W19" s="86" cm="1">
        <f t="array" ref="W19">SUM([3]Hoja2!$J$5:$J$16*([3]Hoja2!$G$5:$G$16=W$5)*([3]Hoja2!$L$5:$L$16=$C19))</f>
        <v>0</v>
      </c>
      <c r="X19" s="86" cm="1">
        <f t="array" ref="X19">SUM([3]Hoja2!$K$5:$K$16*([3]Hoja2!$G$5:$G$16=W$5)*([3]Hoja2!$L$5:$L$16=$C19))</f>
        <v>0</v>
      </c>
      <c r="Y19" s="96">
        <f t="shared" si="17"/>
        <v>0</v>
      </c>
      <c r="Z19" s="86" cm="1">
        <f t="array" ref="Z19">SUM([3]Hoja2!$J$5:$J$16*([3]Hoja2!$G$5:$G$16=Z$5)*([3]Hoja2!$L$5:$L$16=$C19))</f>
        <v>0</v>
      </c>
      <c r="AA19" s="86" cm="1">
        <f t="array" ref="AA19">SUM([3]Hoja2!$K$5:$K$16*([3]Hoja2!$G$5:$G$16=Z$5)*([3]Hoja2!$L$5:$L$16=$C19))</f>
        <v>0</v>
      </c>
      <c r="AB19" s="96">
        <f t="shared" si="18"/>
        <v>0</v>
      </c>
      <c r="AC19" s="86" cm="1">
        <f t="array" ref="AC19">SUM([3]Hoja2!$J$5:$J$16*([3]Hoja2!$G$5:$G$16=AC$5)*([3]Hoja2!$L$5:$L$16=$C19))</f>
        <v>0</v>
      </c>
      <c r="AD19" s="86" cm="1">
        <f t="array" ref="AD19">SUM([3]Hoja2!$K$5:$K$16*([3]Hoja2!$G$5:$G$16=AC$5)*([3]Hoja2!$L$5:$L$16=$C19))</f>
        <v>0</v>
      </c>
      <c r="AE19" s="96">
        <f t="shared" si="19"/>
        <v>0</v>
      </c>
      <c r="AF19" s="88">
        <f t="shared" si="3"/>
        <v>0</v>
      </c>
      <c r="AG19" s="89">
        <f t="shared" si="4"/>
        <v>0</v>
      </c>
      <c r="AH19" s="90">
        <f t="shared" si="20"/>
        <v>0</v>
      </c>
      <c r="AI19" s="89">
        <f t="shared" ref="AI19:AI20" si="27">-IFERROR(F19/D19*AF19,0)</f>
        <v>0</v>
      </c>
      <c r="AJ19" s="90">
        <f t="shared" si="5"/>
        <v>0</v>
      </c>
      <c r="AK19" s="89">
        <f t="shared" si="25"/>
        <v>0</v>
      </c>
      <c r="AL19" s="90">
        <f t="shared" si="6"/>
        <v>0</v>
      </c>
      <c r="AM19" s="89">
        <f t="shared" si="7"/>
        <v>0</v>
      </c>
      <c r="AN19" s="90">
        <f t="shared" si="26"/>
        <v>0</v>
      </c>
      <c r="AO19" s="89">
        <f>AG19+SUM(AI19:AL19,AN19)</f>
        <v>0</v>
      </c>
      <c r="AP19" s="91">
        <f t="shared" si="23"/>
        <v>0</v>
      </c>
      <c r="AQ19" s="92">
        <f t="shared" si="8"/>
        <v>0</v>
      </c>
      <c r="AR19" s="93">
        <f t="shared" si="9"/>
        <v>0</v>
      </c>
      <c r="AT19" s="94">
        <f t="shared" si="10"/>
        <v>0</v>
      </c>
      <c r="AU19" s="95">
        <f t="shared" si="11"/>
        <v>0</v>
      </c>
      <c r="AV19" s="95">
        <f t="shared" si="11"/>
        <v>0</v>
      </c>
      <c r="AW19" s="95">
        <f t="shared" si="11"/>
        <v>0</v>
      </c>
      <c r="AX19" s="95">
        <f t="shared" si="11"/>
        <v>0</v>
      </c>
      <c r="AY19" s="95">
        <f t="shared" si="11"/>
        <v>0</v>
      </c>
      <c r="AZ19" s="95">
        <f t="shared" si="11"/>
        <v>0</v>
      </c>
      <c r="BA19" s="95">
        <f t="shared" si="11"/>
        <v>0</v>
      </c>
      <c r="BB19" s="95">
        <f t="shared" si="12"/>
        <v>0</v>
      </c>
      <c r="BC19" s="49"/>
    </row>
    <row r="20" spans="2:55" ht="15" thickBot="1" x14ac:dyDescent="0.35">
      <c r="B20" s="51"/>
      <c r="C20" s="54" t="s">
        <v>97</v>
      </c>
      <c r="D20" s="77"/>
      <c r="E20" s="78"/>
      <c r="F20" s="49"/>
      <c r="G20" s="49"/>
      <c r="H20" s="49"/>
      <c r="I20" s="49"/>
      <c r="J20" s="49"/>
      <c r="K20" s="80"/>
      <c r="L20" s="81">
        <v>0</v>
      </c>
      <c r="M20" s="82">
        <f t="shared" si="24"/>
        <v>0</v>
      </c>
      <c r="N20" s="83">
        <f t="shared" si="14"/>
        <v>0</v>
      </c>
      <c r="O20" s="84">
        <v>2400</v>
      </c>
      <c r="P20" s="97">
        <f t="shared" si="15"/>
        <v>0</v>
      </c>
      <c r="Q20" s="84">
        <f t="shared" si="1"/>
        <v>0</v>
      </c>
      <c r="R20" s="85">
        <f t="shared" si="2"/>
        <v>0</v>
      </c>
      <c r="T20" s="86" cm="1">
        <f t="array" ref="T20">SUM([3]Hoja2!$J$5:$J$16*([3]Hoja2!$G$5:$G$16=T$5)*([3]Hoja2!$L$5:$L$16=$C20))</f>
        <v>0</v>
      </c>
      <c r="U20" s="86" cm="1">
        <f t="array" ref="U20">SUM([3]Hoja2!$K$5:$K$16*([3]Hoja2!$G$5:$G$16=T$5)*([3]Hoja2!$L$5:$L$16=$C20))</f>
        <v>0</v>
      </c>
      <c r="V20" s="96">
        <f t="shared" si="16"/>
        <v>0</v>
      </c>
      <c r="W20" s="86" cm="1">
        <f t="array" ref="W20">SUM([3]Hoja2!$J$5:$J$16*([3]Hoja2!$G$5:$G$16=W$5)*([3]Hoja2!$L$5:$L$16=$C20))</f>
        <v>0</v>
      </c>
      <c r="X20" s="86" cm="1">
        <f t="array" ref="X20">SUM([3]Hoja2!$K$5:$K$16*([3]Hoja2!$G$5:$G$16=W$5)*([3]Hoja2!$L$5:$L$16=$C20))</f>
        <v>0</v>
      </c>
      <c r="Y20" s="96">
        <f t="shared" si="17"/>
        <v>0</v>
      </c>
      <c r="Z20" s="86" cm="1">
        <f t="array" ref="Z20">SUM([3]Hoja2!$J$5:$J$16*([3]Hoja2!$G$5:$G$16=Z$5)*([3]Hoja2!$L$5:$L$16=$C20))</f>
        <v>0</v>
      </c>
      <c r="AA20" s="86" cm="1">
        <f t="array" ref="AA20">SUM([3]Hoja2!$K$5:$K$16*([3]Hoja2!$G$5:$G$16=Z$5)*([3]Hoja2!$L$5:$L$16=$C20))</f>
        <v>0</v>
      </c>
      <c r="AB20" s="96">
        <f t="shared" si="18"/>
        <v>0</v>
      </c>
      <c r="AC20" s="86" cm="1">
        <f t="array" ref="AC20">SUM([3]Hoja2!$J$5:$J$16*([3]Hoja2!$G$5:$G$16=AC$5)*([3]Hoja2!$L$5:$L$16=$C20))</f>
        <v>27</v>
      </c>
      <c r="AD20" s="86" cm="1">
        <f t="array" ref="AD20">SUM([3]Hoja2!$K$5:$K$16*([3]Hoja2!$G$5:$G$16=AC$5)*([3]Hoja2!$L$5:$L$16=$C20))</f>
        <v>67500</v>
      </c>
      <c r="AE20" s="96">
        <f t="shared" si="19"/>
        <v>2500</v>
      </c>
      <c r="AF20" s="88">
        <f t="shared" si="3"/>
        <v>27</v>
      </c>
      <c r="AG20" s="89">
        <f t="shared" si="4"/>
        <v>67500</v>
      </c>
      <c r="AH20" s="90">
        <f t="shared" si="20"/>
        <v>2500</v>
      </c>
      <c r="AI20" s="89">
        <f>-1570.59633628428*AF20</f>
        <v>-42406.101079675558</v>
      </c>
      <c r="AJ20" s="90">
        <f t="shared" si="5"/>
        <v>-5611.68</v>
      </c>
      <c r="AK20" s="89">
        <f t="shared" si="25"/>
        <v>-1768.0275000000004</v>
      </c>
      <c r="AL20" s="90">
        <f t="shared" si="6"/>
        <v>-3475.6425000000004</v>
      </c>
      <c r="AM20" s="89">
        <f t="shared" si="7"/>
        <v>-2778.3978750000006</v>
      </c>
      <c r="AN20" s="90">
        <f t="shared" si="26"/>
        <v>1932.5161322933989</v>
      </c>
      <c r="AO20" s="89">
        <f t="shared" si="22"/>
        <v>16171.065052617836</v>
      </c>
      <c r="AP20" s="91">
        <f t="shared" si="23"/>
        <v>0.23957133411285683</v>
      </c>
      <c r="AQ20" s="92">
        <f t="shared" si="8"/>
        <v>22425.10542761784</v>
      </c>
      <c r="AR20" s="93">
        <f t="shared" si="9"/>
        <v>0.33222378411285691</v>
      </c>
      <c r="AT20" s="94">
        <f t="shared" si="10"/>
        <v>2500</v>
      </c>
      <c r="AU20" s="95">
        <f t="shared" si="11"/>
        <v>-1570.5963362842799</v>
      </c>
      <c r="AV20" s="95">
        <f t="shared" si="11"/>
        <v>-207.84</v>
      </c>
      <c r="AW20" s="95">
        <f t="shared" si="11"/>
        <v>-65.482500000000016</v>
      </c>
      <c r="AX20" s="95">
        <f t="shared" si="11"/>
        <v>-128.72750000000002</v>
      </c>
      <c r="AY20" s="95">
        <f t="shared" si="11"/>
        <v>-102.90362500000002</v>
      </c>
      <c r="AZ20" s="95">
        <f t="shared" si="11"/>
        <v>71.574671566422182</v>
      </c>
      <c r="BA20" s="95">
        <f t="shared" si="11"/>
        <v>598.92833528214203</v>
      </c>
      <c r="BB20" s="95">
        <f t="shared" si="12"/>
        <v>830.55946028214225</v>
      </c>
      <c r="BC20" s="49"/>
    </row>
    <row r="21" spans="2:55" ht="15" thickBot="1" x14ac:dyDescent="0.35">
      <c r="C21" s="98" t="s">
        <v>120</v>
      </c>
      <c r="D21" s="99">
        <f>SUM(D7:D20)</f>
        <v>1173.5950000000003</v>
      </c>
      <c r="E21" s="100">
        <f t="shared" ref="E21" si="28">IFERROR(F21/D21,0)</f>
        <v>1921.3321489476359</v>
      </c>
      <c r="F21" s="101">
        <f t="shared" ref="F21:K21" si="29">SUM(F7:F20)</f>
        <v>2254865.8033442013</v>
      </c>
      <c r="G21" s="101">
        <f t="shared" si="29"/>
        <v>243919.98480000003</v>
      </c>
      <c r="H21" s="101">
        <f t="shared" si="29"/>
        <v>76849.934587500029</v>
      </c>
      <c r="I21" s="101">
        <f t="shared" si="29"/>
        <v>151073.95036250004</v>
      </c>
      <c r="J21" s="101">
        <f t="shared" si="29"/>
        <v>120767.17978187505</v>
      </c>
      <c r="K21" s="101">
        <f t="shared" si="29"/>
        <v>0</v>
      </c>
      <c r="L21" s="102">
        <v>0</v>
      </c>
      <c r="M21" s="103">
        <f>SUM(M7:M20)</f>
        <v>2726709.6730942004</v>
      </c>
      <c r="N21" s="104">
        <f t="shared" si="14"/>
        <v>2323.382148947635</v>
      </c>
      <c r="O21" s="103">
        <f>P21/D21</f>
        <v>1981.4895257733713</v>
      </c>
      <c r="P21" s="105">
        <f>SUM(P7:P20)</f>
        <v>2325466.2000000002</v>
      </c>
      <c r="Q21" s="103">
        <f>SUM(Q7:Q20)</f>
        <v>-401243.47309420066</v>
      </c>
      <c r="R21" s="106">
        <f t="shared" ref="R21" si="30">Q21/P21</f>
        <v>-0.17254324018736572</v>
      </c>
      <c r="T21" s="107">
        <f>SUM(T7:T20)</f>
        <v>26</v>
      </c>
      <c r="U21" s="107">
        <f>SUM(U7:U20)</f>
        <v>36400</v>
      </c>
      <c r="V21" s="108">
        <f t="shared" si="16"/>
        <v>1400</v>
      </c>
      <c r="W21" s="107">
        <f>SUM(W7:W20)</f>
        <v>53</v>
      </c>
      <c r="X21" s="107">
        <f>SUM(X7:X20)</f>
        <v>149900</v>
      </c>
      <c r="Y21" s="108">
        <f t="shared" si="17"/>
        <v>2828.3018867924529</v>
      </c>
      <c r="Z21" s="107">
        <f>SUM(Z7:Z20)</f>
        <v>24</v>
      </c>
      <c r="AA21" s="107">
        <f>SUM(AA7:AA20)</f>
        <v>50400</v>
      </c>
      <c r="AB21" s="108">
        <f t="shared" si="18"/>
        <v>2100</v>
      </c>
      <c r="AC21" s="107">
        <f>SUM(AC7:AC20)</f>
        <v>629</v>
      </c>
      <c r="AD21" s="107">
        <f>SUM(AD7:AD20)</f>
        <v>1643790</v>
      </c>
      <c r="AE21" s="108">
        <f t="shared" si="19"/>
        <v>2613.3386327503977</v>
      </c>
      <c r="AF21" s="109">
        <f>SUM(AF7:AF20)</f>
        <v>732</v>
      </c>
      <c r="AG21" s="109">
        <f>SUM(AG7:AG20)</f>
        <v>1880490</v>
      </c>
      <c r="AH21" s="110">
        <f t="shared" si="20"/>
        <v>2568.9754098360654</v>
      </c>
      <c r="AI21" s="111">
        <f>SUM(AI7:AI20)</f>
        <v>-1558549.085123596</v>
      </c>
      <c r="AJ21" s="110">
        <f>SUM(AJ7:AJ20)</f>
        <v>-152138.88</v>
      </c>
      <c r="AK21" s="111">
        <f>-'Stock Libre'!N61/1200*AF21</f>
        <v>-47933.19000000001</v>
      </c>
      <c r="AL21" s="110">
        <f>-'Stock Libre'!O61/1200*AF21</f>
        <v>-94228.530000000013</v>
      </c>
      <c r="AM21" s="111">
        <f>-'Stock Libre'!P61/1200*AF21</f>
        <v>-75325.453500000018</v>
      </c>
      <c r="AN21" s="110">
        <f>SUM(AN7:AN20)</f>
        <v>53907.359586621038</v>
      </c>
      <c r="AO21" s="109">
        <f>SUM(AO7:AO20)</f>
        <v>81547.67446302528</v>
      </c>
      <c r="AP21" s="112">
        <f t="shared" si="23"/>
        <v>4.336511997565809E-2</v>
      </c>
      <c r="AQ21" s="109">
        <f>SUM(AQ7:AQ20)</f>
        <v>251101.65796302521</v>
      </c>
      <c r="AR21" s="113">
        <f t="shared" si="9"/>
        <v>0.13352990867434827</v>
      </c>
      <c r="AT21" s="114">
        <f t="shared" si="10"/>
        <v>2568.9754098360654</v>
      </c>
      <c r="AU21" s="115">
        <f t="shared" si="11"/>
        <v>-2129.1654168355135</v>
      </c>
      <c r="AV21" s="115">
        <f t="shared" si="11"/>
        <v>-207.84</v>
      </c>
      <c r="AW21" s="115">
        <f t="shared" si="11"/>
        <v>-65.482500000000016</v>
      </c>
      <c r="AX21" s="115">
        <f t="shared" si="11"/>
        <v>-128.72750000000002</v>
      </c>
      <c r="AY21" s="115">
        <f t="shared" si="11"/>
        <v>-102.90362500000002</v>
      </c>
      <c r="AZ21" s="115">
        <f t="shared" si="11"/>
        <v>73.643933861504152</v>
      </c>
      <c r="BA21" s="115">
        <f t="shared" si="11"/>
        <v>111.40392686205639</v>
      </c>
      <c r="BB21" s="115">
        <f t="shared" si="12"/>
        <v>343.03505186205632</v>
      </c>
      <c r="BC21" s="49"/>
    </row>
    <row r="22" spans="2:55" x14ac:dyDescent="0.3">
      <c r="I22" s="57">
        <f>I21/D21</f>
        <v>128.72749999999999</v>
      </c>
    </row>
    <row r="23" spans="2:55" x14ac:dyDescent="0.3">
      <c r="M23" s="116"/>
      <c r="N23" s="116"/>
      <c r="O23" s="116"/>
      <c r="P23" s="117"/>
      <c r="Q23" s="116"/>
      <c r="R23" s="116"/>
      <c r="V23" s="118"/>
      <c r="W23" s="118"/>
      <c r="X23" s="118"/>
      <c r="Y23" s="118"/>
      <c r="Z23" s="118"/>
      <c r="AA23" s="118"/>
      <c r="AB23" s="118"/>
      <c r="AO23" s="49"/>
      <c r="AU23" s="49"/>
    </row>
    <row r="24" spans="2:55" x14ac:dyDescent="0.3">
      <c r="L24" s="119"/>
      <c r="N24" s="120"/>
      <c r="O24" s="120"/>
      <c r="P24" s="117"/>
      <c r="Q24" s="120"/>
      <c r="R24" s="120"/>
      <c r="S24" s="49"/>
      <c r="T24" s="49"/>
      <c r="U24" s="121"/>
      <c r="V24" s="118"/>
      <c r="W24" s="118"/>
      <c r="X24" s="118"/>
      <c r="Y24" s="118"/>
      <c r="Z24" s="118"/>
      <c r="AA24" s="118"/>
      <c r="AB24" s="118"/>
      <c r="AF24" s="57"/>
      <c r="AI24" s="57"/>
      <c r="AJ24" s="122"/>
    </row>
    <row r="25" spans="2:55" x14ac:dyDescent="0.3">
      <c r="G25" s="49"/>
      <c r="L25" s="119"/>
      <c r="N25" s="120"/>
      <c r="O25" s="120"/>
      <c r="P25" s="117"/>
      <c r="Q25" s="120"/>
      <c r="R25" s="120"/>
      <c r="S25" s="49"/>
      <c r="T25" s="49"/>
      <c r="U25" s="121"/>
      <c r="AG25" s="49"/>
      <c r="AJ25" s="57" t="s">
        <v>121</v>
      </c>
      <c r="AK25">
        <v>114.17761445259386</v>
      </c>
      <c r="AN25" s="140"/>
    </row>
    <row r="26" spans="2:55" x14ac:dyDescent="0.3">
      <c r="G26" s="49"/>
      <c r="L26" s="119"/>
      <c r="N26" s="120"/>
      <c r="O26" s="120"/>
      <c r="P26" s="120"/>
      <c r="Q26" s="120"/>
      <c r="R26" s="120"/>
      <c r="S26" s="49"/>
      <c r="T26" s="49"/>
      <c r="U26" s="79"/>
      <c r="AJ26" s="57"/>
      <c r="AL26" s="49"/>
      <c r="AN26" s="57"/>
    </row>
    <row r="27" spans="2:55" x14ac:dyDescent="0.3">
      <c r="G27" s="49"/>
      <c r="L27" s="119"/>
      <c r="N27" s="120"/>
      <c r="O27" s="120"/>
      <c r="P27" s="120"/>
      <c r="Q27" s="120"/>
      <c r="R27" s="120"/>
      <c r="S27" s="49"/>
      <c r="T27" s="49"/>
      <c r="U27" s="79"/>
      <c r="AJ27" s="57"/>
      <c r="AL27" s="57"/>
    </row>
    <row r="28" spans="2:55" x14ac:dyDescent="0.3">
      <c r="G28" s="49"/>
      <c r="L28" s="119"/>
      <c r="N28" s="120"/>
      <c r="O28" s="120"/>
      <c r="P28" s="120"/>
      <c r="Q28" s="120"/>
      <c r="R28" s="120"/>
      <c r="S28" s="49"/>
      <c r="T28" s="49"/>
      <c r="U28" s="79"/>
    </row>
    <row r="29" spans="2:55" x14ac:dyDescent="0.3">
      <c r="G29" s="49"/>
      <c r="L29" s="119"/>
      <c r="N29" s="120"/>
      <c r="O29" s="120"/>
      <c r="P29" s="120"/>
      <c r="Q29" s="120"/>
      <c r="R29" s="120"/>
      <c r="S29" s="49"/>
      <c r="T29" s="49"/>
      <c r="U29" s="79"/>
    </row>
    <row r="30" spans="2:55" x14ac:dyDescent="0.3">
      <c r="G30" s="49"/>
      <c r="L30" s="119"/>
      <c r="N30" s="120"/>
      <c r="O30" s="120"/>
      <c r="P30" s="120"/>
      <c r="Q30" s="120"/>
      <c r="R30" s="120"/>
      <c r="T30" s="49"/>
      <c r="U30" s="79"/>
    </row>
    <row r="31" spans="2:55" x14ac:dyDescent="0.3">
      <c r="L31" s="119"/>
      <c r="N31" s="120"/>
      <c r="O31" s="120"/>
      <c r="P31" s="120"/>
      <c r="Q31" s="120"/>
      <c r="R31" s="120"/>
      <c r="S31" s="49"/>
      <c r="T31" s="49"/>
      <c r="U31" s="79"/>
      <c r="AG31" s="79"/>
    </row>
    <row r="32" spans="2:55" x14ac:dyDescent="0.3">
      <c r="L32" s="119"/>
      <c r="N32" s="120"/>
      <c r="O32" s="120"/>
      <c r="P32" s="120"/>
      <c r="Q32" s="120"/>
      <c r="R32" s="120"/>
      <c r="S32" s="49"/>
      <c r="T32" s="49"/>
      <c r="U32" s="79"/>
    </row>
    <row r="33" spans="12:21" x14ac:dyDescent="0.3">
      <c r="L33" s="119"/>
      <c r="N33" s="120"/>
      <c r="O33" s="120"/>
      <c r="P33" s="120"/>
      <c r="Q33" s="120"/>
      <c r="R33" s="120"/>
      <c r="S33" s="49"/>
      <c r="T33" s="49"/>
      <c r="U33" s="79"/>
    </row>
    <row r="34" spans="12:21" x14ac:dyDescent="0.3">
      <c r="L34" s="119"/>
      <c r="N34" s="120"/>
      <c r="O34" s="120"/>
      <c r="P34" s="120"/>
      <c r="Q34" s="120"/>
      <c r="R34" s="120"/>
      <c r="S34" s="49"/>
      <c r="T34" s="49"/>
      <c r="U34" s="79"/>
    </row>
    <row r="35" spans="12:21" x14ac:dyDescent="0.3">
      <c r="L35" s="119"/>
      <c r="N35" s="120"/>
      <c r="O35" s="120"/>
      <c r="P35" s="120"/>
      <c r="Q35" s="120"/>
      <c r="R35" s="120"/>
      <c r="S35" s="49"/>
      <c r="T35" s="49"/>
      <c r="U35" s="79"/>
    </row>
    <row r="36" spans="12:21" x14ac:dyDescent="0.3">
      <c r="L36" s="123"/>
      <c r="M36" s="56"/>
      <c r="N36" s="124"/>
      <c r="O36" s="124"/>
      <c r="P36" s="124"/>
      <c r="Q36" s="124"/>
      <c r="R36" s="124"/>
      <c r="U36" s="124"/>
    </row>
    <row r="38" spans="12:21" x14ac:dyDescent="0.3">
      <c r="N38" s="49"/>
      <c r="O38" s="49"/>
      <c r="P38" s="49"/>
      <c r="Q38" s="49"/>
      <c r="R38" s="49"/>
    </row>
    <row r="39" spans="12:21" x14ac:dyDescent="0.3">
      <c r="N39" s="49"/>
      <c r="O39" s="49"/>
      <c r="P39" s="49"/>
      <c r="Q39" s="49"/>
      <c r="R39" s="49"/>
    </row>
    <row r="40" spans="12:21" x14ac:dyDescent="0.3">
      <c r="N40" s="125"/>
      <c r="O40" s="125"/>
      <c r="P40" s="125"/>
      <c r="Q40" s="125"/>
      <c r="R40" s="125"/>
    </row>
  </sheetData>
  <mergeCells count="8">
    <mergeCell ref="AT5:BB5"/>
    <mergeCell ref="W5:Y5"/>
    <mergeCell ref="Z5:AB5"/>
    <mergeCell ref="AF4:AP4"/>
    <mergeCell ref="F5:R5"/>
    <mergeCell ref="T5:V5"/>
    <mergeCell ref="AC5:AE5"/>
    <mergeCell ref="AF5:AR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44D3-0816-4AE5-84EB-E19B894E2F31}">
  <dimension ref="A3:J18"/>
  <sheetViews>
    <sheetView zoomScale="90" zoomScaleNormal="90" workbookViewId="0">
      <selection activeCell="C10" sqref="C10"/>
    </sheetView>
  </sheetViews>
  <sheetFormatPr baseColWidth="10" defaultRowHeight="14.4" x14ac:dyDescent="0.3"/>
  <cols>
    <col min="3" max="3" width="46.44140625" bestFit="1" customWidth="1"/>
    <col min="4" max="4" width="16.5546875" bestFit="1" customWidth="1"/>
    <col min="5" max="5" width="18.44140625" bestFit="1" customWidth="1"/>
    <col min="6" max="6" width="19.44140625" bestFit="1" customWidth="1"/>
    <col min="7" max="7" width="19.5546875" bestFit="1" customWidth="1"/>
    <col min="8" max="8" width="17.6640625" bestFit="1" customWidth="1"/>
    <col min="9" max="9" width="16.44140625" bestFit="1" customWidth="1"/>
    <col min="10" max="10" width="19.77734375" bestFit="1" customWidth="1"/>
  </cols>
  <sheetData>
    <row r="3" spans="1:10" x14ac:dyDescent="0.3">
      <c r="D3" s="50" t="s">
        <v>79</v>
      </c>
      <c r="E3" t="s">
        <v>78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</row>
    <row r="4" spans="1:10" x14ac:dyDescent="0.3">
      <c r="A4" s="52" t="b">
        <f t="shared" ref="A4:A16" si="0">B4=D4</f>
        <v>1</v>
      </c>
      <c r="B4" s="51">
        <v>10005721</v>
      </c>
      <c r="C4" s="53" t="s">
        <v>87</v>
      </c>
      <c r="D4" s="51">
        <v>10005721</v>
      </c>
      <c r="E4" s="49">
        <v>551.98000000000013</v>
      </c>
      <c r="F4" s="49">
        <v>1168051.8324139826</v>
      </c>
      <c r="G4" s="49">
        <v>114723.52320000001</v>
      </c>
      <c r="H4" s="49">
        <v>36145.030350000015</v>
      </c>
      <c r="I4" s="49">
        <v>71055.005450000011</v>
      </c>
      <c r="J4" s="49">
        <v>56800.74292750001</v>
      </c>
    </row>
    <row r="5" spans="1:10" x14ac:dyDescent="0.3">
      <c r="A5" s="52" t="b">
        <f t="shared" si="0"/>
        <v>1</v>
      </c>
      <c r="B5" s="51">
        <v>10005779</v>
      </c>
      <c r="C5" s="54" t="s">
        <v>88</v>
      </c>
      <c r="D5" s="51">
        <v>10005779</v>
      </c>
      <c r="E5" s="49">
        <v>126.84000000000002</v>
      </c>
      <c r="F5" s="49">
        <v>219019.54637399613</v>
      </c>
      <c r="G5" s="49">
        <v>26362.425600000006</v>
      </c>
      <c r="H5" s="49">
        <v>8305.8003000000026</v>
      </c>
      <c r="I5" s="49">
        <v>16327.796100000003</v>
      </c>
      <c r="J5" s="49">
        <v>13052.295795000004</v>
      </c>
    </row>
    <row r="6" spans="1:10" x14ac:dyDescent="0.3">
      <c r="A6" s="52" t="b">
        <f t="shared" si="0"/>
        <v>1</v>
      </c>
      <c r="B6" s="51">
        <v>10005781</v>
      </c>
      <c r="C6" s="54" t="s">
        <v>34</v>
      </c>
      <c r="D6" s="51">
        <v>10005781</v>
      </c>
      <c r="E6" s="49">
        <v>128.34</v>
      </c>
      <c r="F6" s="49">
        <v>234971.38697074418</v>
      </c>
      <c r="G6" s="49">
        <v>26674.185599999997</v>
      </c>
      <c r="H6" s="49">
        <v>8404.0240500000018</v>
      </c>
      <c r="I6" s="49">
        <v>16520.887350000001</v>
      </c>
      <c r="J6" s="49">
        <v>13206.651232500002</v>
      </c>
    </row>
    <row r="7" spans="1:10" x14ac:dyDescent="0.3">
      <c r="A7" s="52" t="b">
        <f t="shared" si="0"/>
        <v>1</v>
      </c>
      <c r="B7" s="51">
        <v>10006719</v>
      </c>
      <c r="C7" s="54" t="s">
        <v>89</v>
      </c>
      <c r="D7" s="51">
        <v>10006719</v>
      </c>
      <c r="E7" s="49">
        <v>20.14</v>
      </c>
      <c r="F7" s="49">
        <v>40591.487908875737</v>
      </c>
      <c r="G7" s="49">
        <v>4185.8976000000002</v>
      </c>
      <c r="H7" s="49">
        <v>1318.8175500000002</v>
      </c>
      <c r="I7" s="49">
        <v>2592.5718500000003</v>
      </c>
      <c r="J7" s="49">
        <v>2072.4790075000005</v>
      </c>
    </row>
    <row r="8" spans="1:10" x14ac:dyDescent="0.3">
      <c r="A8" s="52" t="b">
        <f t="shared" si="0"/>
        <v>1</v>
      </c>
      <c r="B8" s="51">
        <v>10006720</v>
      </c>
      <c r="C8" s="54" t="s">
        <v>90</v>
      </c>
      <c r="D8" s="51">
        <v>10006720</v>
      </c>
      <c r="E8" s="49">
        <v>33.5</v>
      </c>
      <c r="F8" s="49">
        <v>50288.099376614082</v>
      </c>
      <c r="G8" s="49">
        <v>6962.6400000000012</v>
      </c>
      <c r="H8" s="49">
        <v>2193.6637500000006</v>
      </c>
      <c r="I8" s="49">
        <v>4312.3712500000011</v>
      </c>
      <c r="J8" s="49">
        <v>3447.271437500001</v>
      </c>
    </row>
    <row r="9" spans="1:10" x14ac:dyDescent="0.3">
      <c r="A9" s="52" t="b">
        <f t="shared" si="0"/>
        <v>1</v>
      </c>
      <c r="B9" s="51">
        <v>10007050</v>
      </c>
      <c r="C9" s="54" t="s">
        <v>91</v>
      </c>
      <c r="D9" s="51">
        <v>10007050</v>
      </c>
      <c r="E9" s="49">
        <v>93.215000000000003</v>
      </c>
      <c r="F9" s="49">
        <v>143743.95780685398</v>
      </c>
      <c r="G9" s="49">
        <v>19373.8056</v>
      </c>
      <c r="H9" s="49">
        <v>6103.9512375000013</v>
      </c>
      <c r="I9" s="49">
        <v>11999.333912500002</v>
      </c>
      <c r="J9" s="49">
        <v>9592.1614043750014</v>
      </c>
    </row>
    <row r="10" spans="1:10" x14ac:dyDescent="0.3">
      <c r="A10" s="52" t="b">
        <f t="shared" si="0"/>
        <v>1</v>
      </c>
      <c r="B10" s="51">
        <v>10007162</v>
      </c>
      <c r="C10" s="54" t="s">
        <v>92</v>
      </c>
      <c r="D10" s="51">
        <v>10007162</v>
      </c>
      <c r="E10" s="49">
        <v>99.260000000000019</v>
      </c>
      <c r="F10" s="49">
        <v>184453.56155546103</v>
      </c>
      <c r="G10" s="49">
        <v>20630.198400000001</v>
      </c>
      <c r="H10" s="49">
        <v>6499.7929500000009</v>
      </c>
      <c r="I10" s="49">
        <v>12777.491650000002</v>
      </c>
      <c r="J10" s="49">
        <v>10214.213817500002</v>
      </c>
    </row>
    <row r="11" spans="1:10" x14ac:dyDescent="0.3">
      <c r="A11" s="52" t="b">
        <f t="shared" si="0"/>
        <v>1</v>
      </c>
      <c r="B11" s="51">
        <v>10007567</v>
      </c>
      <c r="C11" s="54" t="s">
        <v>93</v>
      </c>
      <c r="D11" s="51">
        <v>10007567</v>
      </c>
      <c r="E11" s="49">
        <v>91.960000000000008</v>
      </c>
      <c r="F11" s="49">
        <v>165200.73194258881</v>
      </c>
      <c r="G11" s="49">
        <v>19112.966400000001</v>
      </c>
      <c r="H11" s="49">
        <v>6021.7707000000019</v>
      </c>
      <c r="I11" s="49">
        <v>11837.780900000002</v>
      </c>
      <c r="J11" s="49">
        <v>9463.0173550000018</v>
      </c>
    </row>
    <row r="12" spans="1:10" x14ac:dyDescent="0.3">
      <c r="A12" s="52" t="b">
        <f t="shared" si="0"/>
        <v>1</v>
      </c>
      <c r="B12" s="51">
        <v>10007969</v>
      </c>
      <c r="C12" s="54" t="s">
        <v>13</v>
      </c>
      <c r="D12" s="51">
        <v>10007969</v>
      </c>
      <c r="E12" s="49">
        <v>7.64</v>
      </c>
      <c r="F12" s="49">
        <v>11200.267645768423</v>
      </c>
      <c r="G12" s="49">
        <v>1587.8976</v>
      </c>
      <c r="H12" s="49">
        <v>500.2863000000001</v>
      </c>
      <c r="I12" s="49">
        <v>983.47810000000015</v>
      </c>
      <c r="J12" s="49">
        <v>786.18369500000017</v>
      </c>
    </row>
    <row r="13" spans="1:10" x14ac:dyDescent="0.3">
      <c r="A13" s="52" t="b">
        <f t="shared" si="0"/>
        <v>1</v>
      </c>
      <c r="B13" s="51">
        <v>10009207</v>
      </c>
      <c r="C13" s="54" t="s">
        <v>12</v>
      </c>
      <c r="D13" s="51">
        <v>10009207</v>
      </c>
      <c r="E13" s="49">
        <v>4.8600000000000003</v>
      </c>
      <c r="F13" s="49">
        <v>7375.9749915027269</v>
      </c>
      <c r="G13" s="49">
        <v>1010.1024000000001</v>
      </c>
      <c r="H13" s="49">
        <v>318.24495000000007</v>
      </c>
      <c r="I13" s="49">
        <v>625.61565000000019</v>
      </c>
      <c r="J13" s="49">
        <v>500.11161750000014</v>
      </c>
    </row>
    <row r="14" spans="1:10" x14ac:dyDescent="0.3">
      <c r="A14" s="52" t="b">
        <f t="shared" si="0"/>
        <v>1</v>
      </c>
      <c r="B14" s="51">
        <v>10009239</v>
      </c>
      <c r="C14" s="54" t="s">
        <v>94</v>
      </c>
      <c r="D14" s="51">
        <v>10009239</v>
      </c>
      <c r="E14" s="49">
        <v>0.3</v>
      </c>
      <c r="F14" s="49">
        <v>1029.5856799217445</v>
      </c>
      <c r="G14" s="49">
        <v>62.351999999999997</v>
      </c>
      <c r="H14" s="49">
        <v>19.644750000000005</v>
      </c>
      <c r="I14" s="49">
        <v>38.618250000000003</v>
      </c>
      <c r="J14" s="49">
        <v>30.871087500000005</v>
      </c>
    </row>
    <row r="15" spans="1:10" x14ac:dyDescent="0.3">
      <c r="A15" s="52" t="b">
        <f t="shared" si="0"/>
        <v>1</v>
      </c>
      <c r="B15" s="51">
        <v>10009334</v>
      </c>
      <c r="C15" s="54" t="s">
        <v>95</v>
      </c>
      <c r="D15" s="51">
        <v>10009334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</row>
    <row r="16" spans="1:10" x14ac:dyDescent="0.3">
      <c r="A16" s="52" t="b">
        <f t="shared" si="0"/>
        <v>1</v>
      </c>
      <c r="B16" s="51">
        <v>10009386</v>
      </c>
      <c r="C16" s="54" t="s">
        <v>96</v>
      </c>
      <c r="D16" s="51">
        <v>10009386</v>
      </c>
      <c r="E16" s="49">
        <v>15.56</v>
      </c>
      <c r="F16" s="49">
        <v>28939.370677891628</v>
      </c>
      <c r="G16" s="49">
        <v>3233.9904000000001</v>
      </c>
      <c r="H16" s="49">
        <v>1018.9077000000003</v>
      </c>
      <c r="I16" s="49">
        <v>2002.9999000000005</v>
      </c>
      <c r="J16" s="49">
        <v>1601.1804050000003</v>
      </c>
    </row>
    <row r="17" spans="3:10" x14ac:dyDescent="0.3">
      <c r="C17" s="54" t="s">
        <v>97</v>
      </c>
      <c r="D17" s="51" t="s">
        <v>80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</row>
    <row r="18" spans="3:10" x14ac:dyDescent="0.3">
      <c r="D18" s="51" t="s">
        <v>81</v>
      </c>
      <c r="E18" s="49">
        <v>1173.5950000000003</v>
      </c>
      <c r="F18" s="49">
        <v>2254865.8033442013</v>
      </c>
      <c r="G18" s="49">
        <v>243919.98480000003</v>
      </c>
      <c r="H18" s="49">
        <v>76849.934587500029</v>
      </c>
      <c r="I18" s="49">
        <v>151073.95036250004</v>
      </c>
      <c r="J18" s="49">
        <v>120767.17978187505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C8F4-9439-488B-9C53-D4A19B026181}">
  <dimension ref="A1:T64"/>
  <sheetViews>
    <sheetView topLeftCell="A37" zoomScale="70" zoomScaleNormal="70" workbookViewId="0">
      <selection activeCell="O64" sqref="O64"/>
    </sheetView>
  </sheetViews>
  <sheetFormatPr baseColWidth="10" defaultRowHeight="15.6" x14ac:dyDescent="0.3"/>
  <cols>
    <col min="1" max="1" width="10" style="4" bestFit="1" customWidth="1"/>
    <col min="2" max="2" width="48.88671875" style="4" bestFit="1" customWidth="1"/>
    <col min="3" max="3" width="14.21875" style="4" bestFit="1" customWidth="1"/>
    <col min="4" max="4" width="16" style="4" bestFit="1" customWidth="1"/>
    <col min="5" max="5" width="14.21875" style="23" bestFit="1" customWidth="1"/>
    <col min="6" max="9" width="11.5546875" style="4"/>
    <col min="10" max="10" width="15.6640625" style="4" bestFit="1" customWidth="1"/>
    <col min="11" max="11" width="14.88671875" style="4" customWidth="1"/>
    <col min="12" max="12" width="13.109375" style="4" bestFit="1" customWidth="1"/>
    <col min="13" max="13" width="13.33203125" style="4" bestFit="1" customWidth="1"/>
    <col min="14" max="14" width="11.5546875" style="4"/>
    <col min="15" max="15" width="12.44140625" style="4" bestFit="1" customWidth="1"/>
    <col min="16" max="16" width="13.5546875" style="4" bestFit="1" customWidth="1"/>
    <col min="17" max="17" width="13.77734375" style="4" bestFit="1" customWidth="1"/>
    <col min="18" max="18" width="13.33203125" style="4" bestFit="1" customWidth="1"/>
    <col min="19" max="19" width="19.109375" style="4" customWidth="1"/>
    <col min="20" max="20" width="23.21875" style="4" customWidth="1"/>
    <col min="21" max="16384" width="11.5546875" style="4"/>
  </cols>
  <sheetData>
    <row r="1" spans="1:20" ht="16.2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24" t="s">
        <v>63</v>
      </c>
      <c r="H1" s="24" t="s">
        <v>64</v>
      </c>
      <c r="I1" s="24" t="s">
        <v>65</v>
      </c>
      <c r="J1" s="24" t="s">
        <v>66</v>
      </c>
      <c r="K1" s="25" t="s">
        <v>67</v>
      </c>
      <c r="L1" s="26" t="s">
        <v>68</v>
      </c>
      <c r="M1" s="26" t="s">
        <v>69</v>
      </c>
      <c r="N1" s="26" t="s">
        <v>70</v>
      </c>
      <c r="O1" s="26" t="s">
        <v>71</v>
      </c>
      <c r="P1" s="26" t="s">
        <v>72</v>
      </c>
      <c r="Q1" s="26" t="s">
        <v>73</v>
      </c>
      <c r="R1" s="27" t="s">
        <v>74</v>
      </c>
      <c r="S1" s="28" t="s">
        <v>75</v>
      </c>
      <c r="T1" s="28" t="s">
        <v>76</v>
      </c>
    </row>
    <row r="2" spans="1:20" x14ac:dyDescent="0.3">
      <c r="A2" s="5">
        <v>10009178</v>
      </c>
      <c r="B2" s="5" t="s">
        <v>5</v>
      </c>
      <c r="C2" s="6">
        <v>16680</v>
      </c>
      <c r="D2" s="7">
        <v>5000</v>
      </c>
      <c r="E2" s="8">
        <v>11680</v>
      </c>
      <c r="G2" s="29">
        <v>10006719</v>
      </c>
      <c r="H2" s="39">
        <f>IFERROR(INDEX([2]Resumen!$K$3:$K$63,MATCH(G2,[2]Resumen!$C$3:$C$63,0)),0)*(1+I2*J2)/1000-51.89/1000</f>
        <v>2.0154661325161736</v>
      </c>
      <c r="I2" s="37">
        <v>0.71</v>
      </c>
      <c r="J2" s="38">
        <f t="shared" ref="J2:J52" si="0">3.597/3.52-1</f>
        <v>2.1875000000000089E-2</v>
      </c>
      <c r="K2" s="40">
        <f>IF(E2&lt;0,0,E2)/1000</f>
        <v>11.68</v>
      </c>
      <c r="L2" s="41">
        <f>IFERROR(H2*K2,0)*1000</f>
        <v>23540.644427788906</v>
      </c>
      <c r="M2" s="42">
        <f>207.84*K2</f>
        <v>2427.5711999999999</v>
      </c>
      <c r="N2" s="41">
        <f t="shared" ref="N2:N33" si="1">$N$61/1200*K2</f>
        <v>764.83560000000011</v>
      </c>
      <c r="O2" s="41">
        <f t="shared" ref="O2:O33" si="2">$O$61/1200*K2</f>
        <v>1503.5372000000002</v>
      </c>
      <c r="P2" s="41">
        <f t="shared" ref="P2:P33" si="3">$P$61/1200*K2</f>
        <v>1201.9143400000003</v>
      </c>
      <c r="Q2" s="41">
        <v>0</v>
      </c>
      <c r="R2" s="43">
        <v>0</v>
      </c>
      <c r="S2" s="44">
        <f>L2+M2+N2+O2</f>
        <v>28236.588427788902</v>
      </c>
      <c r="T2" s="44">
        <f>IFERROR(S2/K2,0)</f>
        <v>2417.516132516173</v>
      </c>
    </row>
    <row r="3" spans="1:20" x14ac:dyDescent="0.3">
      <c r="A3" s="9">
        <v>10006668</v>
      </c>
      <c r="B3" s="9" t="s">
        <v>6</v>
      </c>
      <c r="C3" s="6">
        <v>2160</v>
      </c>
      <c r="D3" s="7">
        <v>0</v>
      </c>
      <c r="E3" s="8">
        <v>2160</v>
      </c>
      <c r="G3" s="29">
        <v>10006719</v>
      </c>
      <c r="H3" s="39">
        <f>IFERROR(INDEX([2]Resumen!$K$3:$K$63,MATCH(G3,[2]Resumen!$C$3:$C$63,0)),0)*(1+I3*J3)/1000-51.89/1000</f>
        <v>2.0154661325161736</v>
      </c>
      <c r="I3" s="38">
        <v>0.71</v>
      </c>
      <c r="J3" s="38">
        <f t="shared" si="0"/>
        <v>2.1875000000000089E-2</v>
      </c>
      <c r="K3" s="40">
        <f>IF(E3&lt;0,0,E3)/1000</f>
        <v>2.16</v>
      </c>
      <c r="L3" s="41">
        <f t="shared" ref="L3:L52" si="4">IFERROR(H3*K3,0)*1000</f>
        <v>4353.4068462349351</v>
      </c>
      <c r="M3" s="42">
        <f t="shared" ref="M3:M52" si="5">207.84*K3</f>
        <v>448.93440000000004</v>
      </c>
      <c r="N3" s="41">
        <f t="shared" si="1"/>
        <v>141.44220000000004</v>
      </c>
      <c r="O3" s="41">
        <f t="shared" si="2"/>
        <v>278.05140000000006</v>
      </c>
      <c r="P3" s="41">
        <f t="shared" si="3"/>
        <v>222.27183000000005</v>
      </c>
      <c r="Q3" s="41">
        <v>0</v>
      </c>
      <c r="R3" s="43">
        <v>0</v>
      </c>
      <c r="S3" s="44">
        <f t="shared" ref="S3:S58" si="6">L3+M3+N3+O3</f>
        <v>5221.8348462349359</v>
      </c>
      <c r="T3" s="44">
        <f t="shared" ref="T3:T58" si="7">IFERROR(S3/K3,0)</f>
        <v>2417.5161325161739</v>
      </c>
    </row>
    <row r="4" spans="1:20" x14ac:dyDescent="0.3">
      <c r="A4" s="9">
        <v>10006719</v>
      </c>
      <c r="B4" s="9" t="s">
        <v>7</v>
      </c>
      <c r="C4" s="6">
        <v>31300</v>
      </c>
      <c r="D4" s="7">
        <v>25000</v>
      </c>
      <c r="E4" s="8">
        <v>6300</v>
      </c>
      <c r="G4" s="29">
        <v>10006719</v>
      </c>
      <c r="H4" s="39">
        <f>IFERROR(INDEX([2]Resumen!$K$3:$K$63,MATCH(G4,[2]Resumen!$C$3:$C$63,0)),0)*(1+I4*J4)/1000-51.89/1000</f>
        <v>2.0154661325161736</v>
      </c>
      <c r="I4" s="38">
        <v>0.71</v>
      </c>
      <c r="J4" s="38">
        <f t="shared" si="0"/>
        <v>2.1875000000000089E-2</v>
      </c>
      <c r="K4" s="40">
        <f>IF(E4&lt;0,0,E4)/1000</f>
        <v>6.3</v>
      </c>
      <c r="L4" s="41">
        <f t="shared" si="4"/>
        <v>12697.436634851894</v>
      </c>
      <c r="M4" s="42">
        <f t="shared" si="5"/>
        <v>1309.3920000000001</v>
      </c>
      <c r="N4" s="41">
        <f t="shared" si="1"/>
        <v>412.53975000000008</v>
      </c>
      <c r="O4" s="41">
        <f t="shared" si="2"/>
        <v>810.98325000000011</v>
      </c>
      <c r="P4" s="41">
        <f t="shared" si="3"/>
        <v>648.29283750000013</v>
      </c>
      <c r="Q4" s="41">
        <v>0</v>
      </c>
      <c r="R4" s="43">
        <v>0</v>
      </c>
      <c r="S4" s="44">
        <f t="shared" si="6"/>
        <v>15230.351634851893</v>
      </c>
      <c r="T4" s="44">
        <f t="shared" si="7"/>
        <v>2417.5161325161735</v>
      </c>
    </row>
    <row r="5" spans="1:20" x14ac:dyDescent="0.3">
      <c r="A5" s="9">
        <v>10009265</v>
      </c>
      <c r="B5" s="9" t="s">
        <v>8</v>
      </c>
      <c r="C5" s="6">
        <v>0</v>
      </c>
      <c r="D5" s="7"/>
      <c r="E5" s="8">
        <v>0</v>
      </c>
      <c r="G5" s="29">
        <v>10006719</v>
      </c>
      <c r="H5" s="39">
        <f>IFERROR(INDEX([2]Resumen!$K$3:$K$63,MATCH(G5,[2]Resumen!$C$3:$C$63,0)),0)*(1+I5*J5)/1000-51.89/1000</f>
        <v>2.0154661325161736</v>
      </c>
      <c r="I5" s="38">
        <v>0.71</v>
      </c>
      <c r="J5" s="38">
        <f t="shared" si="0"/>
        <v>2.1875000000000089E-2</v>
      </c>
      <c r="K5" s="40">
        <f t="shared" ref="K5:K52" si="8">IF(E5&lt;0,0,E5)/1000</f>
        <v>0</v>
      </c>
      <c r="L5" s="41">
        <f t="shared" si="4"/>
        <v>0</v>
      </c>
      <c r="M5" s="42">
        <f t="shared" si="5"/>
        <v>0</v>
      </c>
      <c r="N5" s="41">
        <f t="shared" si="1"/>
        <v>0</v>
      </c>
      <c r="O5" s="41">
        <f t="shared" si="2"/>
        <v>0</v>
      </c>
      <c r="P5" s="41">
        <f t="shared" si="3"/>
        <v>0</v>
      </c>
      <c r="Q5" s="41">
        <v>0</v>
      </c>
      <c r="R5" s="43">
        <v>0</v>
      </c>
      <c r="S5" s="44">
        <f t="shared" si="6"/>
        <v>0</v>
      </c>
      <c r="T5" s="44">
        <f t="shared" si="7"/>
        <v>0</v>
      </c>
    </row>
    <row r="6" spans="1:20" x14ac:dyDescent="0.3">
      <c r="A6" s="9">
        <v>10006720</v>
      </c>
      <c r="B6" s="9" t="s">
        <v>9</v>
      </c>
      <c r="C6" s="6">
        <v>4900</v>
      </c>
      <c r="D6" s="7">
        <v>4900</v>
      </c>
      <c r="E6" s="8">
        <v>0</v>
      </c>
      <c r="G6" s="29">
        <v>10006720</v>
      </c>
      <c r="H6" s="39">
        <f>IFERROR(INDEX([2]Resumen!$K$3:$K$63,MATCH(G6,[2]Resumen!$C$3:$C$63,0)),0)*(1+I6*J6)/1000-51.89/1000</f>
        <v>1.5011372948243009</v>
      </c>
      <c r="I6" s="38">
        <v>0.71</v>
      </c>
      <c r="J6" s="38">
        <f t="shared" si="0"/>
        <v>2.1875000000000089E-2</v>
      </c>
      <c r="K6" s="40">
        <f t="shared" si="8"/>
        <v>0</v>
      </c>
      <c r="L6" s="41">
        <f t="shared" si="4"/>
        <v>0</v>
      </c>
      <c r="M6" s="42">
        <f t="shared" si="5"/>
        <v>0</v>
      </c>
      <c r="N6" s="41">
        <f t="shared" si="1"/>
        <v>0</v>
      </c>
      <c r="O6" s="41">
        <f t="shared" si="2"/>
        <v>0</v>
      </c>
      <c r="P6" s="41">
        <f t="shared" si="3"/>
        <v>0</v>
      </c>
      <c r="Q6" s="41">
        <v>0</v>
      </c>
      <c r="R6" s="43">
        <v>0</v>
      </c>
      <c r="S6" s="44">
        <f t="shared" si="6"/>
        <v>0</v>
      </c>
      <c r="T6" s="44">
        <f t="shared" si="7"/>
        <v>0</v>
      </c>
    </row>
    <row r="7" spans="1:20" x14ac:dyDescent="0.3">
      <c r="A7" s="10">
        <v>10010005</v>
      </c>
      <c r="B7" s="10" t="s">
        <v>10</v>
      </c>
      <c r="C7" s="6">
        <v>97480</v>
      </c>
      <c r="D7" s="7">
        <v>64100</v>
      </c>
      <c r="E7" s="8">
        <v>33380</v>
      </c>
      <c r="G7" s="29">
        <v>10006720</v>
      </c>
      <c r="H7" s="39">
        <f>IFERROR(INDEX([2]Resumen!$K$3:$K$63,MATCH(G7,[2]Resumen!$C$3:$C$63,0)),0)*(1+I7*J7)/1000-51.89/1000</f>
        <v>1.5011372948243009</v>
      </c>
      <c r="I7" s="38">
        <v>0.71</v>
      </c>
      <c r="J7" s="38">
        <f t="shared" si="0"/>
        <v>2.1875000000000089E-2</v>
      </c>
      <c r="K7" s="40">
        <f t="shared" si="8"/>
        <v>33.380000000000003</v>
      </c>
      <c r="L7" s="41">
        <f t="shared" si="4"/>
        <v>50107.962901235165</v>
      </c>
      <c r="M7" s="42">
        <f t="shared" si="5"/>
        <v>6937.6992000000009</v>
      </c>
      <c r="N7" s="41">
        <f t="shared" si="1"/>
        <v>2185.8058500000006</v>
      </c>
      <c r="O7" s="41">
        <f t="shared" si="2"/>
        <v>4296.9239500000012</v>
      </c>
      <c r="P7" s="41">
        <f t="shared" si="3"/>
        <v>3434.9230025000011</v>
      </c>
      <c r="Q7" s="41">
        <v>0</v>
      </c>
      <c r="R7" s="43">
        <v>0</v>
      </c>
      <c r="S7" s="44">
        <f t="shared" si="6"/>
        <v>63528.391901235176</v>
      </c>
      <c r="T7" s="44">
        <f t="shared" si="7"/>
        <v>1903.187294824301</v>
      </c>
    </row>
    <row r="8" spans="1:20" x14ac:dyDescent="0.3">
      <c r="A8" s="9">
        <v>10006722</v>
      </c>
      <c r="B8" s="9" t="s">
        <v>11</v>
      </c>
      <c r="C8" s="6">
        <v>120</v>
      </c>
      <c r="D8" s="7"/>
      <c r="E8" s="8">
        <v>120</v>
      </c>
      <c r="G8" s="29">
        <v>10006720</v>
      </c>
      <c r="H8" s="39">
        <f>IFERROR(INDEX([2]Resumen!$K$3:$K$63,MATCH(G8,[2]Resumen!$C$3:$C$63,0)),0)*(1+I8*J8)/1000-51.89/1000</f>
        <v>1.5011372948243009</v>
      </c>
      <c r="I8" s="38">
        <v>0.71</v>
      </c>
      <c r="J8" s="38">
        <f t="shared" si="0"/>
        <v>2.1875000000000089E-2</v>
      </c>
      <c r="K8" s="40">
        <f t="shared" si="8"/>
        <v>0.12</v>
      </c>
      <c r="L8" s="41">
        <f t="shared" si="4"/>
        <v>180.13647537891612</v>
      </c>
      <c r="M8" s="42">
        <f t="shared" si="5"/>
        <v>24.940799999999999</v>
      </c>
      <c r="N8" s="41">
        <f t="shared" si="1"/>
        <v>7.8579000000000017</v>
      </c>
      <c r="O8" s="41">
        <f t="shared" si="2"/>
        <v>15.447300000000002</v>
      </c>
      <c r="P8" s="41">
        <f t="shared" si="3"/>
        <v>12.348435000000002</v>
      </c>
      <c r="Q8" s="41">
        <v>0</v>
      </c>
      <c r="R8" s="43">
        <v>0</v>
      </c>
      <c r="S8" s="44">
        <f t="shared" si="6"/>
        <v>228.38247537891613</v>
      </c>
      <c r="T8" s="44">
        <f t="shared" si="7"/>
        <v>1903.187294824301</v>
      </c>
    </row>
    <row r="9" spans="1:20" x14ac:dyDescent="0.3">
      <c r="A9" s="9">
        <v>10009207</v>
      </c>
      <c r="B9" s="9" t="s">
        <v>12</v>
      </c>
      <c r="C9" s="6">
        <v>4860</v>
      </c>
      <c r="D9" s="7"/>
      <c r="E9" s="8">
        <v>4860</v>
      </c>
      <c r="G9" s="30">
        <v>10009207</v>
      </c>
      <c r="H9" s="39">
        <f>IFERROR(INDEX([2]Resumen!$K$3:$K$63,MATCH(G9,[2]Resumen!$C$3:$C$63,0)),0)*(1+I9*J9)/1000-51.89/1000</f>
        <v>1.5176903274696969</v>
      </c>
      <c r="I9" s="38">
        <v>0.71</v>
      </c>
      <c r="J9" s="38">
        <f t="shared" si="0"/>
        <v>2.1875000000000089E-2</v>
      </c>
      <c r="K9" s="40">
        <f t="shared" si="8"/>
        <v>4.8600000000000003</v>
      </c>
      <c r="L9" s="41">
        <f t="shared" si="4"/>
        <v>7375.9749915027269</v>
      </c>
      <c r="M9" s="42">
        <f t="shared" si="5"/>
        <v>1010.1024000000001</v>
      </c>
      <c r="N9" s="41">
        <f t="shared" si="1"/>
        <v>318.24495000000007</v>
      </c>
      <c r="O9" s="41">
        <f t="shared" si="2"/>
        <v>625.61565000000019</v>
      </c>
      <c r="P9" s="41">
        <f t="shared" si="3"/>
        <v>500.11161750000014</v>
      </c>
      <c r="Q9" s="41">
        <v>0</v>
      </c>
      <c r="R9" s="43">
        <v>0</v>
      </c>
      <c r="S9" s="44">
        <f t="shared" si="6"/>
        <v>9329.9379915027275</v>
      </c>
      <c r="T9" s="44">
        <f t="shared" si="7"/>
        <v>1919.7403274696969</v>
      </c>
    </row>
    <row r="10" spans="1:20" x14ac:dyDescent="0.3">
      <c r="A10" s="9">
        <v>10007969</v>
      </c>
      <c r="B10" s="9" t="s">
        <v>13</v>
      </c>
      <c r="C10" s="6">
        <v>34640</v>
      </c>
      <c r="D10" s="7">
        <v>27000</v>
      </c>
      <c r="E10" s="8">
        <v>7640</v>
      </c>
      <c r="G10" s="30">
        <v>10007969</v>
      </c>
      <c r="H10" s="39">
        <f>IFERROR(INDEX([2]Resumen!$K$3:$K$63,MATCH(G10,[2]Resumen!$C$3:$C$63,0)),0)*(1+I10*J10)/1000-51.89/1000</f>
        <v>1.4660036185560763</v>
      </c>
      <c r="I10" s="38">
        <v>0.71</v>
      </c>
      <c r="J10" s="38">
        <f t="shared" si="0"/>
        <v>2.1875000000000089E-2</v>
      </c>
      <c r="K10" s="40">
        <f t="shared" si="8"/>
        <v>7.64</v>
      </c>
      <c r="L10" s="41">
        <f t="shared" si="4"/>
        <v>11200.267645768423</v>
      </c>
      <c r="M10" s="42">
        <f t="shared" si="5"/>
        <v>1587.8976</v>
      </c>
      <c r="N10" s="41">
        <f t="shared" si="1"/>
        <v>500.2863000000001</v>
      </c>
      <c r="O10" s="41">
        <f t="shared" si="2"/>
        <v>983.47810000000015</v>
      </c>
      <c r="P10" s="41">
        <f t="shared" si="3"/>
        <v>786.18369500000017</v>
      </c>
      <c r="Q10" s="41">
        <v>0</v>
      </c>
      <c r="R10" s="43">
        <v>0</v>
      </c>
      <c r="S10" s="44">
        <f t="shared" si="6"/>
        <v>14271.929645768423</v>
      </c>
      <c r="T10" s="44">
        <f t="shared" si="7"/>
        <v>1868.0536185560763</v>
      </c>
    </row>
    <row r="11" spans="1:20" x14ac:dyDescent="0.3">
      <c r="A11" s="9">
        <v>10009174</v>
      </c>
      <c r="B11" s="9" t="s">
        <v>14</v>
      </c>
      <c r="C11" s="6">
        <v>0</v>
      </c>
      <c r="D11" s="7"/>
      <c r="E11" s="8">
        <v>0</v>
      </c>
      <c r="H11" s="39"/>
      <c r="J11" s="38">
        <f t="shared" si="0"/>
        <v>2.1875000000000089E-2</v>
      </c>
      <c r="K11" s="40">
        <f t="shared" si="8"/>
        <v>0</v>
      </c>
      <c r="L11" s="41">
        <f t="shared" si="4"/>
        <v>0</v>
      </c>
      <c r="M11" s="42">
        <f t="shared" si="5"/>
        <v>0</v>
      </c>
      <c r="N11" s="41">
        <f t="shared" si="1"/>
        <v>0</v>
      </c>
      <c r="O11" s="41">
        <f t="shared" si="2"/>
        <v>0</v>
      </c>
      <c r="P11" s="41">
        <f t="shared" si="3"/>
        <v>0</v>
      </c>
      <c r="Q11" s="41">
        <v>0</v>
      </c>
      <c r="R11" s="43">
        <v>0</v>
      </c>
      <c r="S11" s="44">
        <f t="shared" si="6"/>
        <v>0</v>
      </c>
      <c r="T11" s="44">
        <f t="shared" si="7"/>
        <v>0</v>
      </c>
    </row>
    <row r="12" spans="1:20" x14ac:dyDescent="0.3">
      <c r="A12" s="9">
        <v>10009175</v>
      </c>
      <c r="B12" s="9" t="s">
        <v>15</v>
      </c>
      <c r="C12" s="6">
        <v>0</v>
      </c>
      <c r="D12" s="7"/>
      <c r="E12" s="8">
        <v>0</v>
      </c>
      <c r="H12" s="39"/>
      <c r="J12" s="38">
        <f t="shared" si="0"/>
        <v>2.1875000000000089E-2</v>
      </c>
      <c r="K12" s="40">
        <f t="shared" si="8"/>
        <v>0</v>
      </c>
      <c r="L12" s="41">
        <f t="shared" si="4"/>
        <v>0</v>
      </c>
      <c r="M12" s="42">
        <f t="shared" si="5"/>
        <v>0</v>
      </c>
      <c r="N12" s="41">
        <f t="shared" si="1"/>
        <v>0</v>
      </c>
      <c r="O12" s="41">
        <f t="shared" si="2"/>
        <v>0</v>
      </c>
      <c r="P12" s="41">
        <f t="shared" si="3"/>
        <v>0</v>
      </c>
      <c r="Q12" s="41">
        <v>0</v>
      </c>
      <c r="R12" s="43">
        <v>0</v>
      </c>
      <c r="S12" s="44">
        <f t="shared" si="6"/>
        <v>0</v>
      </c>
      <c r="T12" s="44">
        <f t="shared" si="7"/>
        <v>0</v>
      </c>
    </row>
    <row r="13" spans="1:20" x14ac:dyDescent="0.3">
      <c r="A13" s="9">
        <v>10009176</v>
      </c>
      <c r="B13" s="9" t="s">
        <v>16</v>
      </c>
      <c r="C13" s="6">
        <v>0</v>
      </c>
      <c r="D13" s="7"/>
      <c r="E13" s="8">
        <v>0</v>
      </c>
      <c r="H13" s="39"/>
      <c r="J13" s="38">
        <f t="shared" si="0"/>
        <v>2.1875000000000089E-2</v>
      </c>
      <c r="K13" s="40">
        <f t="shared" si="8"/>
        <v>0</v>
      </c>
      <c r="L13" s="41">
        <f t="shared" si="4"/>
        <v>0</v>
      </c>
      <c r="M13" s="42">
        <f t="shared" si="5"/>
        <v>0</v>
      </c>
      <c r="N13" s="41">
        <f t="shared" si="1"/>
        <v>0</v>
      </c>
      <c r="O13" s="41">
        <f t="shared" si="2"/>
        <v>0</v>
      </c>
      <c r="P13" s="41">
        <f t="shared" si="3"/>
        <v>0</v>
      </c>
      <c r="Q13" s="41">
        <v>0</v>
      </c>
      <c r="R13" s="43">
        <v>0</v>
      </c>
      <c r="S13" s="44">
        <f t="shared" si="6"/>
        <v>0</v>
      </c>
      <c r="T13" s="44">
        <f t="shared" si="7"/>
        <v>0</v>
      </c>
    </row>
    <row r="14" spans="1:20" x14ac:dyDescent="0.3">
      <c r="A14" s="9">
        <v>10010003</v>
      </c>
      <c r="B14" s="9" t="s">
        <v>17</v>
      </c>
      <c r="C14" s="6">
        <v>0</v>
      </c>
      <c r="D14" s="7"/>
      <c r="E14" s="8">
        <v>0</v>
      </c>
      <c r="H14" s="39"/>
      <c r="J14" s="38">
        <f t="shared" si="0"/>
        <v>2.1875000000000089E-2</v>
      </c>
      <c r="K14" s="40">
        <f t="shared" si="8"/>
        <v>0</v>
      </c>
      <c r="L14" s="41">
        <f t="shared" si="4"/>
        <v>0</v>
      </c>
      <c r="M14" s="42">
        <f t="shared" si="5"/>
        <v>0</v>
      </c>
      <c r="N14" s="41">
        <f t="shared" si="1"/>
        <v>0</v>
      </c>
      <c r="O14" s="41">
        <f t="shared" si="2"/>
        <v>0</v>
      </c>
      <c r="P14" s="41">
        <f t="shared" si="3"/>
        <v>0</v>
      </c>
      <c r="Q14" s="41">
        <v>0</v>
      </c>
      <c r="R14" s="43">
        <v>0</v>
      </c>
      <c r="S14" s="44">
        <f t="shared" si="6"/>
        <v>0</v>
      </c>
      <c r="T14" s="44">
        <f t="shared" si="7"/>
        <v>0</v>
      </c>
    </row>
    <row r="15" spans="1:20" x14ac:dyDescent="0.3">
      <c r="A15" s="9">
        <v>10009177</v>
      </c>
      <c r="B15" s="9" t="s">
        <v>18</v>
      </c>
      <c r="C15" s="6">
        <v>0</v>
      </c>
      <c r="D15" s="7"/>
      <c r="E15" s="8">
        <v>0</v>
      </c>
      <c r="H15" s="39"/>
      <c r="J15" s="38">
        <f t="shared" si="0"/>
        <v>2.1875000000000089E-2</v>
      </c>
      <c r="K15" s="40">
        <f t="shared" si="8"/>
        <v>0</v>
      </c>
      <c r="L15" s="41">
        <f t="shared" si="4"/>
        <v>0</v>
      </c>
      <c r="M15" s="42">
        <f t="shared" si="5"/>
        <v>0</v>
      </c>
      <c r="N15" s="41">
        <f t="shared" si="1"/>
        <v>0</v>
      </c>
      <c r="O15" s="41">
        <f t="shared" si="2"/>
        <v>0</v>
      </c>
      <c r="P15" s="41">
        <f t="shared" si="3"/>
        <v>0</v>
      </c>
      <c r="Q15" s="41">
        <v>0</v>
      </c>
      <c r="R15" s="43">
        <v>0</v>
      </c>
      <c r="S15" s="44">
        <f t="shared" si="6"/>
        <v>0</v>
      </c>
      <c r="T15" s="44">
        <f t="shared" si="7"/>
        <v>0</v>
      </c>
    </row>
    <row r="16" spans="1:20" x14ac:dyDescent="0.3">
      <c r="A16" s="11">
        <v>10004433</v>
      </c>
      <c r="B16" s="11" t="s">
        <v>19</v>
      </c>
      <c r="C16" s="6">
        <v>1420</v>
      </c>
      <c r="D16" s="7"/>
      <c r="E16" s="8">
        <v>1420</v>
      </c>
      <c r="G16" s="31">
        <v>10005721</v>
      </c>
      <c r="H16" s="39">
        <f>IFERROR(INDEX([2]Resumen!$K$3:$K$63,MATCH(G16,[2]Resumen!$C$3:$C$63,0)),0)*(1+I16*J16)/1000-51.89/1000</f>
        <v>2.1161125990325416</v>
      </c>
      <c r="I16" s="37">
        <v>0.67</v>
      </c>
      <c r="J16" s="38">
        <f t="shared" si="0"/>
        <v>2.1875000000000089E-2</v>
      </c>
      <c r="K16" s="40">
        <f t="shared" si="8"/>
        <v>1.42</v>
      </c>
      <c r="L16" s="41">
        <f t="shared" si="4"/>
        <v>3004.8798906262091</v>
      </c>
      <c r="M16" s="42">
        <f t="shared" si="5"/>
        <v>295.13279999999997</v>
      </c>
      <c r="N16" s="41">
        <f t="shared" si="1"/>
        <v>92.985150000000019</v>
      </c>
      <c r="O16" s="41">
        <f t="shared" si="2"/>
        <v>182.79305000000002</v>
      </c>
      <c r="P16" s="41">
        <f t="shared" si="3"/>
        <v>146.12314750000002</v>
      </c>
      <c r="Q16" s="41">
        <v>0</v>
      </c>
      <c r="R16" s="43">
        <v>0</v>
      </c>
      <c r="S16" s="44">
        <f t="shared" si="6"/>
        <v>3575.7908906262091</v>
      </c>
      <c r="T16" s="44">
        <f t="shared" si="7"/>
        <v>2518.1625990325419</v>
      </c>
    </row>
    <row r="17" spans="1:20" x14ac:dyDescent="0.3">
      <c r="A17" s="11">
        <v>10004434</v>
      </c>
      <c r="B17" s="11" t="s">
        <v>20</v>
      </c>
      <c r="C17" s="6">
        <v>1940</v>
      </c>
      <c r="D17" s="7"/>
      <c r="E17" s="8">
        <v>1940</v>
      </c>
      <c r="G17" s="31">
        <v>10005721</v>
      </c>
      <c r="H17" s="39">
        <f>IFERROR(INDEX([2]Resumen!$K$3:$K$63,MATCH(G17,[2]Resumen!$C$3:$C$63,0)),0)*(1+I17*J17)/1000-51.89/1000</f>
        <v>2.1161125990325416</v>
      </c>
      <c r="I17" s="38">
        <v>0.67</v>
      </c>
      <c r="J17" s="38">
        <f t="shared" si="0"/>
        <v>2.1875000000000089E-2</v>
      </c>
      <c r="K17" s="40">
        <f t="shared" si="8"/>
        <v>1.94</v>
      </c>
      <c r="L17" s="41">
        <f t="shared" si="4"/>
        <v>4105.2584421231304</v>
      </c>
      <c r="M17" s="42">
        <f t="shared" si="5"/>
        <v>403.20960000000002</v>
      </c>
      <c r="N17" s="41">
        <f t="shared" si="1"/>
        <v>127.03605000000003</v>
      </c>
      <c r="O17" s="41">
        <f t="shared" si="2"/>
        <v>249.73135000000002</v>
      </c>
      <c r="P17" s="41">
        <f t="shared" si="3"/>
        <v>199.63303250000004</v>
      </c>
      <c r="Q17" s="41">
        <v>0</v>
      </c>
      <c r="R17" s="43">
        <v>0</v>
      </c>
      <c r="S17" s="44">
        <f t="shared" si="6"/>
        <v>4885.2354421231303</v>
      </c>
      <c r="T17" s="44">
        <f t="shared" si="7"/>
        <v>2518.1625990325415</v>
      </c>
    </row>
    <row r="18" spans="1:20" x14ac:dyDescent="0.3">
      <c r="A18" s="11">
        <v>10004435</v>
      </c>
      <c r="B18" s="11" t="s">
        <v>21</v>
      </c>
      <c r="C18" s="6">
        <v>14400</v>
      </c>
      <c r="D18" s="7"/>
      <c r="E18" s="8">
        <v>14400</v>
      </c>
      <c r="G18" s="31">
        <v>10005721</v>
      </c>
      <c r="H18" s="39">
        <f>IFERROR(INDEX([2]Resumen!$K$3:$K$63,MATCH(G18,[2]Resumen!$C$3:$C$63,0)),0)*(1+I18*J18)/1000-51.89/1000</f>
        <v>2.1161125990325416</v>
      </c>
      <c r="I18" s="38">
        <v>0.67</v>
      </c>
      <c r="J18" s="38">
        <f t="shared" si="0"/>
        <v>2.1875000000000089E-2</v>
      </c>
      <c r="K18" s="40">
        <f t="shared" si="8"/>
        <v>14.4</v>
      </c>
      <c r="L18" s="41">
        <f t="shared" si="4"/>
        <v>30472.021426068601</v>
      </c>
      <c r="M18" s="42">
        <f t="shared" si="5"/>
        <v>2992.8960000000002</v>
      </c>
      <c r="N18" s="41">
        <f t="shared" si="1"/>
        <v>942.94800000000021</v>
      </c>
      <c r="O18" s="41">
        <f t="shared" si="2"/>
        <v>1853.6760000000004</v>
      </c>
      <c r="P18" s="41">
        <f t="shared" si="3"/>
        <v>1481.8122000000003</v>
      </c>
      <c r="Q18" s="41">
        <v>0</v>
      </c>
      <c r="R18" s="43">
        <v>0</v>
      </c>
      <c r="S18" s="44">
        <f t="shared" si="6"/>
        <v>36261.541426068594</v>
      </c>
      <c r="T18" s="44">
        <f t="shared" si="7"/>
        <v>2518.162599032541</v>
      </c>
    </row>
    <row r="19" spans="1:20" x14ac:dyDescent="0.3">
      <c r="A19" s="9">
        <v>10005708</v>
      </c>
      <c r="B19" s="9" t="s">
        <v>22</v>
      </c>
      <c r="C19" s="6">
        <v>1080</v>
      </c>
      <c r="D19" s="7"/>
      <c r="E19" s="8">
        <v>1080</v>
      </c>
      <c r="G19" s="31">
        <v>10005721</v>
      </c>
      <c r="H19" s="39">
        <f>IFERROR(INDEX([2]Resumen!$K$3:$K$63,MATCH(G19,[2]Resumen!$C$3:$C$63,0)),0)*(1+I19*J19)/1000-51.89/1000</f>
        <v>2.1161125990325416</v>
      </c>
      <c r="I19" s="38">
        <v>0.67</v>
      </c>
      <c r="J19" s="38">
        <f t="shared" si="0"/>
        <v>2.1875000000000089E-2</v>
      </c>
      <c r="K19" s="40">
        <f t="shared" si="8"/>
        <v>1.08</v>
      </c>
      <c r="L19" s="41">
        <f t="shared" si="4"/>
        <v>2285.4016069551449</v>
      </c>
      <c r="M19" s="42">
        <f t="shared" si="5"/>
        <v>224.46720000000002</v>
      </c>
      <c r="N19" s="41">
        <f t="shared" si="1"/>
        <v>70.721100000000021</v>
      </c>
      <c r="O19" s="41">
        <f t="shared" si="2"/>
        <v>139.02570000000003</v>
      </c>
      <c r="P19" s="41">
        <f t="shared" si="3"/>
        <v>111.13591500000003</v>
      </c>
      <c r="Q19" s="41">
        <v>0</v>
      </c>
      <c r="R19" s="43">
        <v>0</v>
      </c>
      <c r="S19" s="44">
        <f t="shared" si="6"/>
        <v>2719.6156069551453</v>
      </c>
      <c r="T19" s="44">
        <f t="shared" si="7"/>
        <v>2518.1625990325419</v>
      </c>
    </row>
    <row r="20" spans="1:20" x14ac:dyDescent="0.3">
      <c r="A20" s="5">
        <v>10005721</v>
      </c>
      <c r="B20" s="5" t="s">
        <v>23</v>
      </c>
      <c r="C20" s="6">
        <v>518600</v>
      </c>
      <c r="D20" s="7"/>
      <c r="E20" s="8">
        <v>518600</v>
      </c>
      <c r="G20" s="31">
        <v>10005721</v>
      </c>
      <c r="H20" s="39">
        <f>IFERROR(INDEX([2]Resumen!$K$3:$K$63,MATCH(G20,[2]Resumen!$C$3:$C$63,0)),0)*(1+I20*J20)/1000-51.89/1000</f>
        <v>2.1161125990325416</v>
      </c>
      <c r="I20" s="38">
        <v>0.67</v>
      </c>
      <c r="J20" s="38">
        <f t="shared" si="0"/>
        <v>2.1875000000000089E-2</v>
      </c>
      <c r="K20" s="40">
        <f t="shared" si="8"/>
        <v>518.6</v>
      </c>
      <c r="L20" s="41">
        <f t="shared" si="4"/>
        <v>1097415.9938582762</v>
      </c>
      <c r="M20" s="42">
        <f t="shared" si="5"/>
        <v>107785.82400000001</v>
      </c>
      <c r="N20" s="41">
        <f t="shared" si="1"/>
        <v>33959.224500000011</v>
      </c>
      <c r="O20" s="41">
        <f t="shared" si="2"/>
        <v>66758.081500000015</v>
      </c>
      <c r="P20" s="41">
        <f t="shared" si="3"/>
        <v>53365.819925000011</v>
      </c>
      <c r="Q20" s="41">
        <v>0</v>
      </c>
      <c r="R20" s="43">
        <v>0</v>
      </c>
      <c r="S20" s="44">
        <f t="shared" si="6"/>
        <v>1305919.1238582763</v>
      </c>
      <c r="T20" s="44">
        <f t="shared" si="7"/>
        <v>2518.1625990325419</v>
      </c>
    </row>
    <row r="21" spans="1:20" x14ac:dyDescent="0.3">
      <c r="A21" s="9">
        <v>10005711</v>
      </c>
      <c r="B21" s="9" t="s">
        <v>24</v>
      </c>
      <c r="C21" s="6">
        <v>11340</v>
      </c>
      <c r="D21" s="7"/>
      <c r="E21" s="8">
        <v>11340</v>
      </c>
      <c r="G21" s="31">
        <v>10005721</v>
      </c>
      <c r="H21" s="39">
        <f>IFERROR(INDEX([2]Resumen!$K$3:$K$63,MATCH(G21,[2]Resumen!$C$3:$C$63,0)),0)*(1+I21*J21)/1000-51.89/1000</f>
        <v>2.1161125990325416</v>
      </c>
      <c r="I21" s="38">
        <v>0.67</v>
      </c>
      <c r="J21" s="38">
        <f t="shared" si="0"/>
        <v>2.1875000000000089E-2</v>
      </c>
      <c r="K21" s="40">
        <f t="shared" si="8"/>
        <v>11.34</v>
      </c>
      <c r="L21" s="41">
        <f t="shared" si="4"/>
        <v>23996.716873029021</v>
      </c>
      <c r="M21" s="42">
        <f t="shared" si="5"/>
        <v>2356.9056</v>
      </c>
      <c r="N21" s="41">
        <f t="shared" si="1"/>
        <v>742.57155000000012</v>
      </c>
      <c r="O21" s="41">
        <f t="shared" si="2"/>
        <v>1459.7698500000001</v>
      </c>
      <c r="P21" s="41">
        <f t="shared" si="3"/>
        <v>1166.9271075000001</v>
      </c>
      <c r="Q21" s="41">
        <v>0</v>
      </c>
      <c r="R21" s="43">
        <v>0</v>
      </c>
      <c r="S21" s="44">
        <f t="shared" si="6"/>
        <v>28555.963873029021</v>
      </c>
      <c r="T21" s="44">
        <f t="shared" si="7"/>
        <v>2518.1625990325415</v>
      </c>
    </row>
    <row r="22" spans="1:20" x14ac:dyDescent="0.3">
      <c r="A22" s="9">
        <v>10005718</v>
      </c>
      <c r="B22" s="9" t="s">
        <v>25</v>
      </c>
      <c r="C22" s="6">
        <v>24840</v>
      </c>
      <c r="D22" s="7">
        <v>111740</v>
      </c>
      <c r="E22" s="12">
        <v>-86900</v>
      </c>
      <c r="G22" s="31">
        <v>10005721</v>
      </c>
      <c r="H22" s="39">
        <f>IFERROR(INDEX([2]Resumen!$K$3:$K$63,MATCH(G22,[2]Resumen!$C$3:$C$63,0)),0)*(1+I22*J22)/1000-51.89/1000</f>
        <v>2.1161125990325416</v>
      </c>
      <c r="I22" s="38">
        <v>0.67</v>
      </c>
      <c r="J22" s="38">
        <f t="shared" si="0"/>
        <v>2.1875000000000089E-2</v>
      </c>
      <c r="K22" s="40">
        <f t="shared" si="8"/>
        <v>0</v>
      </c>
      <c r="L22" s="41">
        <f t="shared" si="4"/>
        <v>0</v>
      </c>
      <c r="M22" s="42">
        <f t="shared" si="5"/>
        <v>0</v>
      </c>
      <c r="N22" s="41">
        <f t="shared" si="1"/>
        <v>0</v>
      </c>
      <c r="O22" s="41">
        <f t="shared" si="2"/>
        <v>0</v>
      </c>
      <c r="P22" s="41">
        <f t="shared" si="3"/>
        <v>0</v>
      </c>
      <c r="Q22" s="41">
        <v>0</v>
      </c>
      <c r="R22" s="43">
        <v>0</v>
      </c>
      <c r="S22" s="44">
        <f t="shared" si="6"/>
        <v>0</v>
      </c>
      <c r="T22" s="44">
        <f t="shared" si="7"/>
        <v>0</v>
      </c>
    </row>
    <row r="23" spans="1:20" x14ac:dyDescent="0.3">
      <c r="A23" s="13">
        <v>10009971</v>
      </c>
      <c r="B23" s="13" t="s">
        <v>26</v>
      </c>
      <c r="C23" s="6">
        <v>0</v>
      </c>
      <c r="D23" s="7"/>
      <c r="E23" s="8">
        <v>0</v>
      </c>
      <c r="G23" s="31">
        <v>10005721</v>
      </c>
      <c r="H23" s="39">
        <f>IFERROR(INDEX([2]Resumen!$K$3:$K$63,MATCH(G23,[2]Resumen!$C$3:$C$63,0)),0)*(1+I23*J23)/1000-51.89/1000</f>
        <v>2.1161125990325416</v>
      </c>
      <c r="I23" s="38">
        <v>0.67</v>
      </c>
      <c r="J23" s="38">
        <f t="shared" si="0"/>
        <v>2.1875000000000089E-2</v>
      </c>
      <c r="K23" s="40">
        <f t="shared" si="8"/>
        <v>0</v>
      </c>
      <c r="L23" s="41">
        <f t="shared" si="4"/>
        <v>0</v>
      </c>
      <c r="M23" s="42">
        <f t="shared" si="5"/>
        <v>0</v>
      </c>
      <c r="N23" s="41">
        <f t="shared" si="1"/>
        <v>0</v>
      </c>
      <c r="O23" s="41">
        <f t="shared" si="2"/>
        <v>0</v>
      </c>
      <c r="P23" s="41">
        <f t="shared" si="3"/>
        <v>0</v>
      </c>
      <c r="Q23" s="41">
        <v>0</v>
      </c>
      <c r="R23" s="43">
        <v>0</v>
      </c>
      <c r="S23" s="44">
        <f t="shared" si="6"/>
        <v>0</v>
      </c>
      <c r="T23" s="44">
        <f t="shared" si="7"/>
        <v>0</v>
      </c>
    </row>
    <row r="24" spans="1:20" x14ac:dyDescent="0.3">
      <c r="A24" s="13">
        <v>10009972</v>
      </c>
      <c r="B24" s="13" t="s">
        <v>27</v>
      </c>
      <c r="C24" s="6">
        <v>7260</v>
      </c>
      <c r="D24" s="7">
        <v>7260</v>
      </c>
      <c r="E24" s="8">
        <v>0</v>
      </c>
      <c r="G24" s="31">
        <v>10005721</v>
      </c>
      <c r="H24" s="39">
        <f>IFERROR(INDEX([2]Resumen!$K$3:$K$63,MATCH(G24,[2]Resumen!$C$3:$C$63,0)),0)*(1+I24*J24)/1000-51.89/1000</f>
        <v>2.1161125990325416</v>
      </c>
      <c r="I24" s="38">
        <v>0.67</v>
      </c>
      <c r="J24" s="38">
        <f t="shared" si="0"/>
        <v>2.1875000000000089E-2</v>
      </c>
      <c r="K24" s="40">
        <f t="shared" si="8"/>
        <v>0</v>
      </c>
      <c r="L24" s="41">
        <f t="shared" si="4"/>
        <v>0</v>
      </c>
      <c r="M24" s="42">
        <f t="shared" si="5"/>
        <v>0</v>
      </c>
      <c r="N24" s="41">
        <f t="shared" si="1"/>
        <v>0</v>
      </c>
      <c r="O24" s="41">
        <f t="shared" si="2"/>
        <v>0</v>
      </c>
      <c r="P24" s="41">
        <f t="shared" si="3"/>
        <v>0</v>
      </c>
      <c r="Q24" s="41">
        <v>0</v>
      </c>
      <c r="R24" s="43">
        <v>0</v>
      </c>
      <c r="S24" s="44">
        <f t="shared" si="6"/>
        <v>0</v>
      </c>
      <c r="T24" s="44">
        <f t="shared" si="7"/>
        <v>0</v>
      </c>
    </row>
    <row r="25" spans="1:20" x14ac:dyDescent="0.3">
      <c r="A25" s="13">
        <v>10010063</v>
      </c>
      <c r="B25" s="13" t="s">
        <v>28</v>
      </c>
      <c r="C25" s="6">
        <v>0</v>
      </c>
      <c r="D25" s="7">
        <v>0</v>
      </c>
      <c r="E25" s="8">
        <v>0</v>
      </c>
      <c r="G25" s="31">
        <v>10005721</v>
      </c>
      <c r="H25" s="39">
        <f>IFERROR(INDEX([2]Resumen!$K$3:$K$63,MATCH(G25,[2]Resumen!$C$3:$C$63,0)),0)*(1+I25*J25)/1000-51.89/1000</f>
        <v>2.1161125990325416</v>
      </c>
      <c r="I25" s="38">
        <v>0.67</v>
      </c>
      <c r="J25" s="38">
        <f t="shared" si="0"/>
        <v>2.1875000000000089E-2</v>
      </c>
      <c r="K25" s="40">
        <f t="shared" si="8"/>
        <v>0</v>
      </c>
      <c r="L25" s="41">
        <f t="shared" si="4"/>
        <v>0</v>
      </c>
      <c r="M25" s="42">
        <f t="shared" si="5"/>
        <v>0</v>
      </c>
      <c r="N25" s="41">
        <f t="shared" si="1"/>
        <v>0</v>
      </c>
      <c r="O25" s="41">
        <f t="shared" si="2"/>
        <v>0</v>
      </c>
      <c r="P25" s="41">
        <f t="shared" si="3"/>
        <v>0</v>
      </c>
      <c r="Q25" s="41">
        <v>0</v>
      </c>
      <c r="R25" s="43">
        <v>0</v>
      </c>
      <c r="S25" s="44">
        <f t="shared" si="6"/>
        <v>0</v>
      </c>
      <c r="T25" s="44">
        <f t="shared" si="7"/>
        <v>0</v>
      </c>
    </row>
    <row r="26" spans="1:20" x14ac:dyDescent="0.3">
      <c r="A26" s="5">
        <v>10009298</v>
      </c>
      <c r="B26" s="5" t="s">
        <v>29</v>
      </c>
      <c r="C26" s="6">
        <v>3200</v>
      </c>
      <c r="D26" s="7"/>
      <c r="E26" s="8">
        <v>3200</v>
      </c>
      <c r="G26" s="31">
        <v>10005721</v>
      </c>
      <c r="H26" s="39">
        <f>IFERROR(INDEX([2]Resumen!$K$3:$K$63,MATCH(G26,[2]Resumen!$C$3:$C$63,0)),0)*(1+I26*J26)/1000-51.89/1000</f>
        <v>2.1161125990325416</v>
      </c>
      <c r="I26" s="38">
        <v>0.67</v>
      </c>
      <c r="J26" s="38">
        <f t="shared" si="0"/>
        <v>2.1875000000000089E-2</v>
      </c>
      <c r="K26" s="40">
        <f t="shared" si="8"/>
        <v>3.2</v>
      </c>
      <c r="L26" s="41">
        <f t="shared" si="4"/>
        <v>6771.5603169041333</v>
      </c>
      <c r="M26" s="42">
        <f t="shared" si="5"/>
        <v>665.08800000000008</v>
      </c>
      <c r="N26" s="41">
        <f t="shared" si="1"/>
        <v>209.54400000000007</v>
      </c>
      <c r="O26" s="41">
        <f t="shared" si="2"/>
        <v>411.92800000000011</v>
      </c>
      <c r="P26" s="41">
        <f t="shared" si="3"/>
        <v>329.29160000000007</v>
      </c>
      <c r="Q26" s="41">
        <v>0</v>
      </c>
      <c r="R26" s="43">
        <v>0</v>
      </c>
      <c r="S26" s="44">
        <f t="shared" si="6"/>
        <v>8058.1203169041328</v>
      </c>
      <c r="T26" s="44">
        <f t="shared" si="7"/>
        <v>2518.1625990325415</v>
      </c>
    </row>
    <row r="27" spans="1:20" x14ac:dyDescent="0.3">
      <c r="A27" s="14">
        <v>10009184</v>
      </c>
      <c r="B27" s="14" t="s">
        <v>30</v>
      </c>
      <c r="C27" s="6">
        <v>85700</v>
      </c>
      <c r="D27" s="7"/>
      <c r="E27" s="8">
        <v>85700</v>
      </c>
      <c r="G27" s="32">
        <v>10005779</v>
      </c>
      <c r="H27" s="39">
        <f>IFERROR(INDEX([2]Resumen!$K$3:$K$63,MATCH(G27,[2]Resumen!$C$3:$C$63,0)),0)*(1+I27*J27)/1000-51.89/1000</f>
        <v>1.7267387762062134</v>
      </c>
      <c r="I27" s="37">
        <v>0.65</v>
      </c>
      <c r="J27" s="38">
        <f t="shared" si="0"/>
        <v>2.1875000000000089E-2</v>
      </c>
      <c r="K27" s="40">
        <f t="shared" si="8"/>
        <v>85.7</v>
      </c>
      <c r="L27" s="41">
        <f t="shared" si="4"/>
        <v>147981.51312087249</v>
      </c>
      <c r="M27" s="42">
        <f t="shared" si="5"/>
        <v>17811.888000000003</v>
      </c>
      <c r="N27" s="41">
        <f t="shared" si="1"/>
        <v>5611.8502500000013</v>
      </c>
      <c r="O27" s="41">
        <f t="shared" si="2"/>
        <v>11031.946750000003</v>
      </c>
      <c r="P27" s="41">
        <f t="shared" si="3"/>
        <v>8818.8406625000025</v>
      </c>
      <c r="Q27" s="41">
        <v>0</v>
      </c>
      <c r="R27" s="43">
        <v>0</v>
      </c>
      <c r="S27" s="44">
        <f t="shared" si="6"/>
        <v>182437.19812087249</v>
      </c>
      <c r="T27" s="44">
        <f t="shared" si="7"/>
        <v>2128.7887762062132</v>
      </c>
    </row>
    <row r="28" spans="1:20" x14ac:dyDescent="0.3">
      <c r="A28" s="9">
        <v>10009271</v>
      </c>
      <c r="B28" s="9" t="s">
        <v>31</v>
      </c>
      <c r="C28" s="6">
        <v>40100</v>
      </c>
      <c r="D28" s="7"/>
      <c r="E28" s="8">
        <v>40100</v>
      </c>
      <c r="G28" s="32">
        <v>10005779</v>
      </c>
      <c r="H28" s="39">
        <f>IFERROR(INDEX([2]Resumen!$K$3:$K$63,MATCH(G28,[2]Resumen!$C$3:$C$63,0)),0)*(1+I28*J28)/1000-51.89/1000</f>
        <v>1.7267387762062134</v>
      </c>
      <c r="I28" s="38">
        <v>0.65</v>
      </c>
      <c r="J28" s="38">
        <f t="shared" si="0"/>
        <v>2.1875000000000089E-2</v>
      </c>
      <c r="K28" s="40">
        <f t="shared" si="8"/>
        <v>40.1</v>
      </c>
      <c r="L28" s="41">
        <f t="shared" si="4"/>
        <v>69242.224925869174</v>
      </c>
      <c r="M28" s="42">
        <f t="shared" si="5"/>
        <v>8334.384</v>
      </c>
      <c r="N28" s="41">
        <f t="shared" si="1"/>
        <v>2625.8482500000009</v>
      </c>
      <c r="O28" s="41">
        <f t="shared" si="2"/>
        <v>5161.9727500000008</v>
      </c>
      <c r="P28" s="41">
        <f t="shared" si="3"/>
        <v>4126.4353625000012</v>
      </c>
      <c r="Q28" s="41">
        <v>0</v>
      </c>
      <c r="R28" s="43">
        <v>0</v>
      </c>
      <c r="S28" s="44">
        <f t="shared" si="6"/>
        <v>85364.429925869175</v>
      </c>
      <c r="T28" s="44">
        <f t="shared" si="7"/>
        <v>2128.7887762062137</v>
      </c>
    </row>
    <row r="29" spans="1:20" x14ac:dyDescent="0.3">
      <c r="A29" s="9">
        <v>10009183</v>
      </c>
      <c r="B29" s="9" t="s">
        <v>32</v>
      </c>
      <c r="C29" s="6">
        <v>1040</v>
      </c>
      <c r="D29" s="7"/>
      <c r="E29" s="8">
        <v>1040</v>
      </c>
      <c r="G29" s="32">
        <v>10005779</v>
      </c>
      <c r="H29" s="39">
        <f>IFERROR(INDEX([2]Resumen!$K$3:$K$63,MATCH(G29,[2]Resumen!$C$3:$C$63,0)),0)*(1+I29*J29)/1000-51.89/1000</f>
        <v>1.7267387762062134</v>
      </c>
      <c r="I29" s="38">
        <v>0.65</v>
      </c>
      <c r="J29" s="38">
        <f t="shared" si="0"/>
        <v>2.1875000000000089E-2</v>
      </c>
      <c r="K29" s="40">
        <f t="shared" si="8"/>
        <v>1.04</v>
      </c>
      <c r="L29" s="41">
        <f t="shared" si="4"/>
        <v>1795.808327254462</v>
      </c>
      <c r="M29" s="42">
        <f t="shared" si="5"/>
        <v>216.15360000000001</v>
      </c>
      <c r="N29" s="41">
        <f t="shared" si="1"/>
        <v>68.101800000000026</v>
      </c>
      <c r="O29" s="41">
        <f t="shared" si="2"/>
        <v>133.87660000000002</v>
      </c>
      <c r="P29" s="41">
        <f t="shared" si="3"/>
        <v>107.01977000000002</v>
      </c>
      <c r="Q29" s="41">
        <v>0</v>
      </c>
      <c r="R29" s="43">
        <v>0</v>
      </c>
      <c r="S29" s="44">
        <f t="shared" si="6"/>
        <v>2213.9403272544623</v>
      </c>
      <c r="T29" s="44">
        <f t="shared" si="7"/>
        <v>2128.7887762062137</v>
      </c>
    </row>
    <row r="30" spans="1:20" x14ac:dyDescent="0.3">
      <c r="A30" s="14">
        <v>10005779</v>
      </c>
      <c r="B30" s="14" t="s">
        <v>33</v>
      </c>
      <c r="C30" s="6">
        <v>32520</v>
      </c>
      <c r="D30" s="7"/>
      <c r="E30" s="8">
        <v>32520</v>
      </c>
      <c r="G30" s="32">
        <v>10005781</v>
      </c>
      <c r="H30" s="39">
        <f>IFERROR(INDEX([2]Resumen!$K$3:$K$63,MATCH(G30,[2]Resumen!$C$3:$C$63,0)),0)*(1+I30*J30)/1000-51.89/1000</f>
        <v>1.8308507633687408</v>
      </c>
      <c r="I30" s="38">
        <v>0.65</v>
      </c>
      <c r="J30" s="38">
        <f t="shared" si="0"/>
        <v>2.1875000000000089E-2</v>
      </c>
      <c r="K30" s="40">
        <f t="shared" si="8"/>
        <v>32.520000000000003</v>
      </c>
      <c r="L30" s="41">
        <f t="shared" si="4"/>
        <v>59539.266824751459</v>
      </c>
      <c r="M30" s="42">
        <f t="shared" si="5"/>
        <v>6758.9568000000008</v>
      </c>
      <c r="N30" s="41">
        <f t="shared" si="1"/>
        <v>2129.4909000000007</v>
      </c>
      <c r="O30" s="41">
        <f t="shared" si="2"/>
        <v>4186.2183000000014</v>
      </c>
      <c r="P30" s="41">
        <f t="shared" si="3"/>
        <v>3346.425885000001</v>
      </c>
      <c r="Q30" s="41">
        <v>0</v>
      </c>
      <c r="R30" s="43">
        <v>0</v>
      </c>
      <c r="S30" s="44">
        <f t="shared" si="6"/>
        <v>72613.932824751479</v>
      </c>
      <c r="T30" s="44">
        <f t="shared" si="7"/>
        <v>2232.9007633687415</v>
      </c>
    </row>
    <row r="31" spans="1:20" x14ac:dyDescent="0.3">
      <c r="A31" s="14">
        <v>10005776</v>
      </c>
      <c r="B31" s="14" t="s">
        <v>34</v>
      </c>
      <c r="C31" s="6">
        <v>105820</v>
      </c>
      <c r="D31" s="7">
        <v>10000</v>
      </c>
      <c r="E31" s="8">
        <v>95820</v>
      </c>
      <c r="G31" s="32">
        <v>10005781</v>
      </c>
      <c r="H31" s="39">
        <f>IFERROR(INDEX([2]Resumen!$K$3:$K$63,MATCH(G31,[2]Resumen!$C$3:$C$63,0)),0)*(1+I31*J31)/1000-51.89/1000</f>
        <v>1.8308507633687408</v>
      </c>
      <c r="I31" s="38">
        <v>0.65</v>
      </c>
      <c r="J31" s="38">
        <f t="shared" si="0"/>
        <v>2.1875000000000089E-2</v>
      </c>
      <c r="K31" s="40">
        <f t="shared" si="8"/>
        <v>95.82</v>
      </c>
      <c r="L31" s="41">
        <f t="shared" si="4"/>
        <v>175432.12014599273</v>
      </c>
      <c r="M31" s="42">
        <f t="shared" si="5"/>
        <v>19915.228799999997</v>
      </c>
      <c r="N31" s="41">
        <f t="shared" si="1"/>
        <v>6274.5331500000011</v>
      </c>
      <c r="O31" s="41">
        <f t="shared" si="2"/>
        <v>12334.66905</v>
      </c>
      <c r="P31" s="41">
        <f t="shared" si="3"/>
        <v>9860.2253475000016</v>
      </c>
      <c r="Q31" s="41">
        <v>0</v>
      </c>
      <c r="R31" s="43">
        <v>0</v>
      </c>
      <c r="S31" s="44">
        <f t="shared" si="6"/>
        <v>213956.55114599271</v>
      </c>
      <c r="T31" s="44">
        <f t="shared" si="7"/>
        <v>2232.9007633687406</v>
      </c>
    </row>
    <row r="32" spans="1:20" x14ac:dyDescent="0.3">
      <c r="A32" s="14">
        <v>10005781</v>
      </c>
      <c r="B32" s="14" t="s">
        <v>35</v>
      </c>
      <c r="C32" s="6">
        <v>25620</v>
      </c>
      <c r="D32" s="7">
        <v>128000</v>
      </c>
      <c r="E32" s="12">
        <v>-102380</v>
      </c>
      <c r="G32" s="32">
        <v>10005781</v>
      </c>
      <c r="H32" s="39">
        <f>IFERROR(INDEX([2]Resumen!$K$3:$K$63,MATCH(G32,[2]Resumen!$C$3:$C$63,0)),0)*(1+I32*J32)/1000-51.89/1000</f>
        <v>1.8308507633687408</v>
      </c>
      <c r="I32" s="38">
        <v>0.65</v>
      </c>
      <c r="J32" s="38">
        <f t="shared" si="0"/>
        <v>2.1875000000000089E-2</v>
      </c>
      <c r="K32" s="40">
        <f t="shared" si="8"/>
        <v>0</v>
      </c>
      <c r="L32" s="41">
        <f t="shared" si="4"/>
        <v>0</v>
      </c>
      <c r="M32" s="42">
        <f t="shared" si="5"/>
        <v>0</v>
      </c>
      <c r="N32" s="41">
        <f t="shared" si="1"/>
        <v>0</v>
      </c>
      <c r="O32" s="41">
        <f t="shared" si="2"/>
        <v>0</v>
      </c>
      <c r="P32" s="41">
        <f t="shared" si="3"/>
        <v>0</v>
      </c>
      <c r="Q32" s="41">
        <v>0</v>
      </c>
      <c r="R32" s="43">
        <v>0</v>
      </c>
      <c r="S32" s="44">
        <f t="shared" si="6"/>
        <v>0</v>
      </c>
      <c r="T32" s="44">
        <f t="shared" si="7"/>
        <v>0</v>
      </c>
    </row>
    <row r="33" spans="1:20" x14ac:dyDescent="0.3">
      <c r="A33" s="15">
        <v>10007567</v>
      </c>
      <c r="B33" s="15" t="s">
        <v>36</v>
      </c>
      <c r="C33" s="6">
        <v>60340</v>
      </c>
      <c r="D33" s="7"/>
      <c r="E33" s="8">
        <v>60340</v>
      </c>
      <c r="G33" s="33">
        <v>10007567</v>
      </c>
      <c r="H33" s="39">
        <f>IFERROR(INDEX([2]Resumen!$K$3:$K$63,MATCH(G33,[2]Resumen!$C$3:$C$63,0)),0)*(1+I33*J33)/1000-51.89/1000</f>
        <v>1.7964411911982254</v>
      </c>
      <c r="I33" s="37">
        <v>0.68</v>
      </c>
      <c r="J33" s="38">
        <f t="shared" si="0"/>
        <v>2.1875000000000089E-2</v>
      </c>
      <c r="K33" s="40">
        <f t="shared" si="8"/>
        <v>60.34</v>
      </c>
      <c r="L33" s="41">
        <f t="shared" si="4"/>
        <v>108397.26147690092</v>
      </c>
      <c r="M33" s="42">
        <f t="shared" si="5"/>
        <v>12541.065600000002</v>
      </c>
      <c r="N33" s="41">
        <f t="shared" si="1"/>
        <v>3951.2140500000014</v>
      </c>
      <c r="O33" s="41">
        <f t="shared" si="2"/>
        <v>7767.4173500000015</v>
      </c>
      <c r="P33" s="41">
        <f t="shared" si="3"/>
        <v>6209.2047325000012</v>
      </c>
      <c r="Q33" s="41">
        <v>0</v>
      </c>
      <c r="R33" s="43">
        <v>0</v>
      </c>
      <c r="S33" s="44">
        <f t="shared" si="6"/>
        <v>132656.95847690091</v>
      </c>
      <c r="T33" s="44">
        <f t="shared" si="7"/>
        <v>2198.4911911982249</v>
      </c>
    </row>
    <row r="34" spans="1:20" x14ac:dyDescent="0.3">
      <c r="A34" s="15">
        <v>10009975</v>
      </c>
      <c r="B34" s="15" t="s">
        <v>37</v>
      </c>
      <c r="C34" s="6">
        <v>31620</v>
      </c>
      <c r="D34" s="7"/>
      <c r="E34" s="8">
        <v>31620</v>
      </c>
      <c r="G34" s="33">
        <v>10007567</v>
      </c>
      <c r="H34" s="39">
        <f>IFERROR(INDEX([2]Resumen!$K$3:$K$63,MATCH(G34,[2]Resumen!$C$3:$C$63,0)),0)*(1+I34*J34)/1000-51.89/1000</f>
        <v>1.7964411911982254</v>
      </c>
      <c r="I34" s="38">
        <v>0.68</v>
      </c>
      <c r="J34" s="38">
        <f t="shared" si="0"/>
        <v>2.1875000000000089E-2</v>
      </c>
      <c r="K34" s="40">
        <f t="shared" si="8"/>
        <v>31.62</v>
      </c>
      <c r="L34" s="41">
        <f t="shared" si="4"/>
        <v>56803.470465687889</v>
      </c>
      <c r="M34" s="42">
        <f t="shared" si="5"/>
        <v>6571.9008000000003</v>
      </c>
      <c r="N34" s="41">
        <f t="shared" ref="N34:N52" si="9">$N$61/1200*K34</f>
        <v>2070.5566500000004</v>
      </c>
      <c r="O34" s="41">
        <f t="shared" ref="O34:O52" si="10">$O$61/1200*K34</f>
        <v>4070.3635500000009</v>
      </c>
      <c r="P34" s="41">
        <f t="shared" ref="P34:P52" si="11">$P$61/1200*K34</f>
        <v>3253.8126225000005</v>
      </c>
      <c r="Q34" s="41">
        <v>0</v>
      </c>
      <c r="R34" s="43">
        <v>0</v>
      </c>
      <c r="S34" s="44">
        <f t="shared" si="6"/>
        <v>69516.291465687886</v>
      </c>
      <c r="T34" s="44">
        <f t="shared" si="7"/>
        <v>2198.4911911982254</v>
      </c>
    </row>
    <row r="35" spans="1:20" x14ac:dyDescent="0.3">
      <c r="A35" s="9">
        <v>10009185</v>
      </c>
      <c r="B35" s="9" t="s">
        <v>38</v>
      </c>
      <c r="C35" s="6">
        <v>0</v>
      </c>
      <c r="D35" s="7"/>
      <c r="E35" s="8">
        <v>0</v>
      </c>
      <c r="G35" s="33">
        <v>10007162</v>
      </c>
      <c r="H35" s="39">
        <f>IFERROR(INDEX([2]Resumen!$K$3:$K$63,MATCH(G35,[2]Resumen!$C$3:$C$63,0)),0)*(1+I35*J35)/1000-51.89/1000</f>
        <v>1.8582869389024885</v>
      </c>
      <c r="I35" s="38">
        <v>0.68</v>
      </c>
      <c r="J35" s="38">
        <f t="shared" si="0"/>
        <v>2.1875000000000089E-2</v>
      </c>
      <c r="K35" s="40">
        <f t="shared" si="8"/>
        <v>0</v>
      </c>
      <c r="L35" s="41">
        <f t="shared" si="4"/>
        <v>0</v>
      </c>
      <c r="M35" s="42">
        <f t="shared" si="5"/>
        <v>0</v>
      </c>
      <c r="N35" s="41">
        <f t="shared" si="9"/>
        <v>0</v>
      </c>
      <c r="O35" s="41">
        <f t="shared" si="10"/>
        <v>0</v>
      </c>
      <c r="P35" s="41">
        <f t="shared" si="11"/>
        <v>0</v>
      </c>
      <c r="Q35" s="41">
        <v>0</v>
      </c>
      <c r="R35" s="43">
        <v>0</v>
      </c>
      <c r="S35" s="44">
        <f t="shared" si="6"/>
        <v>0</v>
      </c>
      <c r="T35" s="44">
        <f t="shared" si="7"/>
        <v>0</v>
      </c>
    </row>
    <row r="36" spans="1:20" x14ac:dyDescent="0.3">
      <c r="A36" s="9">
        <v>10009186</v>
      </c>
      <c r="B36" s="9" t="s">
        <v>39</v>
      </c>
      <c r="C36" s="6">
        <v>6360</v>
      </c>
      <c r="D36" s="7">
        <v>5700</v>
      </c>
      <c r="E36" s="8">
        <v>660</v>
      </c>
      <c r="G36" s="33">
        <v>10007162</v>
      </c>
      <c r="H36" s="39">
        <f>IFERROR(INDEX([2]Resumen!$K$3:$K$63,MATCH(G36,[2]Resumen!$C$3:$C$63,0)),0)*(1+I36*J36)/1000-51.89/1000</f>
        <v>1.8582869389024885</v>
      </c>
      <c r="I36" s="38">
        <v>0.68</v>
      </c>
      <c r="J36" s="38">
        <f t="shared" si="0"/>
        <v>2.1875000000000089E-2</v>
      </c>
      <c r="K36" s="40">
        <f t="shared" si="8"/>
        <v>0.66</v>
      </c>
      <c r="L36" s="41">
        <f t="shared" si="4"/>
        <v>1226.4693796756426</v>
      </c>
      <c r="M36" s="42">
        <f t="shared" si="5"/>
        <v>137.17440000000002</v>
      </c>
      <c r="N36" s="41">
        <f t="shared" si="9"/>
        <v>43.218450000000011</v>
      </c>
      <c r="O36" s="41">
        <f t="shared" si="10"/>
        <v>84.960150000000013</v>
      </c>
      <c r="P36" s="41">
        <f t="shared" si="11"/>
        <v>67.916392500000015</v>
      </c>
      <c r="Q36" s="41">
        <v>0</v>
      </c>
      <c r="R36" s="43">
        <v>0</v>
      </c>
      <c r="S36" s="44">
        <f t="shared" si="6"/>
        <v>1491.8223796756429</v>
      </c>
      <c r="T36" s="44">
        <f t="shared" si="7"/>
        <v>2260.3369389024892</v>
      </c>
    </row>
    <row r="37" spans="1:20" x14ac:dyDescent="0.3">
      <c r="A37" s="9">
        <v>10009777</v>
      </c>
      <c r="B37" s="9" t="s">
        <v>40</v>
      </c>
      <c r="C37" s="6">
        <v>6480</v>
      </c>
      <c r="D37" s="7">
        <v>55360</v>
      </c>
      <c r="E37" s="12">
        <v>-48880</v>
      </c>
      <c r="G37" s="33">
        <v>10007162</v>
      </c>
      <c r="H37" s="39">
        <f>IFERROR(INDEX([2]Resumen!$K$3:$K$63,MATCH(G37,[2]Resumen!$C$3:$C$63,0)),0)*(1+I37*J37)/1000-51.89/1000</f>
        <v>1.8582869389024885</v>
      </c>
      <c r="I37" s="38">
        <v>0.68</v>
      </c>
      <c r="J37" s="38">
        <f t="shared" si="0"/>
        <v>2.1875000000000089E-2</v>
      </c>
      <c r="K37" s="40">
        <f t="shared" si="8"/>
        <v>0</v>
      </c>
      <c r="L37" s="41">
        <f t="shared" si="4"/>
        <v>0</v>
      </c>
      <c r="M37" s="42">
        <f t="shared" si="5"/>
        <v>0</v>
      </c>
      <c r="N37" s="41">
        <f t="shared" si="9"/>
        <v>0</v>
      </c>
      <c r="O37" s="41">
        <f t="shared" si="10"/>
        <v>0</v>
      </c>
      <c r="P37" s="41">
        <f t="shared" si="11"/>
        <v>0</v>
      </c>
      <c r="Q37" s="41">
        <v>0</v>
      </c>
      <c r="R37" s="43">
        <v>0</v>
      </c>
      <c r="S37" s="44">
        <f t="shared" si="6"/>
        <v>0</v>
      </c>
      <c r="T37" s="44">
        <f t="shared" si="7"/>
        <v>0</v>
      </c>
    </row>
    <row r="38" spans="1:20" x14ac:dyDescent="0.3">
      <c r="A38" s="9">
        <v>10009989</v>
      </c>
      <c r="B38" s="9" t="s">
        <v>41</v>
      </c>
      <c r="C38" s="6">
        <v>81400</v>
      </c>
      <c r="D38" s="7">
        <v>19940</v>
      </c>
      <c r="E38" s="8">
        <v>61460</v>
      </c>
      <c r="G38" s="33">
        <v>10007162</v>
      </c>
      <c r="H38" s="39">
        <f>IFERROR(INDEX([2]Resumen!$K$3:$K$63,MATCH(G38,[2]Resumen!$C$3:$C$63,0)),0)*(1+I38*J38)/1000-51.89/1000</f>
        <v>1.8582869389024885</v>
      </c>
      <c r="I38" s="38">
        <v>0.68</v>
      </c>
      <c r="J38" s="38">
        <f t="shared" si="0"/>
        <v>2.1875000000000089E-2</v>
      </c>
      <c r="K38" s="40">
        <f t="shared" si="8"/>
        <v>61.46</v>
      </c>
      <c r="L38" s="41">
        <f t="shared" si="4"/>
        <v>114210.31526494694</v>
      </c>
      <c r="M38" s="42">
        <f t="shared" si="5"/>
        <v>12773.8464</v>
      </c>
      <c r="N38" s="41">
        <f t="shared" si="9"/>
        <v>4024.554450000001</v>
      </c>
      <c r="O38" s="41">
        <f t="shared" si="10"/>
        <v>7911.5921500000013</v>
      </c>
      <c r="P38" s="41">
        <f t="shared" si="11"/>
        <v>6324.456792500001</v>
      </c>
      <c r="Q38" s="41">
        <v>0</v>
      </c>
      <c r="R38" s="43">
        <v>0</v>
      </c>
      <c r="S38" s="44">
        <f t="shared" si="6"/>
        <v>138920.30826494694</v>
      </c>
      <c r="T38" s="44">
        <f t="shared" si="7"/>
        <v>2260.3369389024883</v>
      </c>
    </row>
    <row r="39" spans="1:20" x14ac:dyDescent="0.3">
      <c r="A39" s="16">
        <v>10009187</v>
      </c>
      <c r="B39" s="16" t="s">
        <v>42</v>
      </c>
      <c r="C39" s="6">
        <v>340</v>
      </c>
      <c r="D39" s="7"/>
      <c r="E39" s="8">
        <v>340</v>
      </c>
      <c r="G39" s="33">
        <v>10007162</v>
      </c>
      <c r="H39" s="39">
        <f>IFERROR(INDEX([2]Resumen!$K$3:$K$63,MATCH(G39,[2]Resumen!$C$3:$C$63,0)),0)*(1+I39*J39)/1000-51.89/1000</f>
        <v>1.8582869389024885</v>
      </c>
      <c r="I39" s="38">
        <v>0.68</v>
      </c>
      <c r="J39" s="38">
        <f t="shared" si="0"/>
        <v>2.1875000000000089E-2</v>
      </c>
      <c r="K39" s="40">
        <f t="shared" si="8"/>
        <v>0.34</v>
      </c>
      <c r="L39" s="41">
        <f t="shared" si="4"/>
        <v>631.81755922684613</v>
      </c>
      <c r="M39" s="42">
        <f t="shared" si="5"/>
        <v>70.665600000000012</v>
      </c>
      <c r="N39" s="41">
        <f t="shared" si="9"/>
        <v>22.264050000000008</v>
      </c>
      <c r="O39" s="41">
        <f t="shared" si="10"/>
        <v>43.767350000000008</v>
      </c>
      <c r="P39" s="41">
        <f t="shared" si="11"/>
        <v>34.987232500000012</v>
      </c>
      <c r="Q39" s="41">
        <v>0</v>
      </c>
      <c r="R39" s="43">
        <v>0</v>
      </c>
      <c r="S39" s="44">
        <f t="shared" si="6"/>
        <v>768.51455922684613</v>
      </c>
      <c r="T39" s="44">
        <f t="shared" si="7"/>
        <v>2260.3369389024883</v>
      </c>
    </row>
    <row r="40" spans="1:20" x14ac:dyDescent="0.3">
      <c r="A40" s="16">
        <v>10007161</v>
      </c>
      <c r="B40" s="16" t="s">
        <v>43</v>
      </c>
      <c r="C40" s="6">
        <v>22550</v>
      </c>
      <c r="D40" s="7"/>
      <c r="E40" s="8">
        <v>22550</v>
      </c>
      <c r="G40" s="33">
        <v>10007162</v>
      </c>
      <c r="H40" s="39">
        <f>IFERROR(INDEX([2]Resumen!$K$3:$K$63,MATCH(G40,[2]Resumen!$C$3:$C$63,0)),0)*(1+I40*J40)/1000-51.89/1000</f>
        <v>1.8582869389024885</v>
      </c>
      <c r="I40" s="38">
        <v>0.68</v>
      </c>
      <c r="J40" s="38">
        <f t="shared" si="0"/>
        <v>2.1875000000000089E-2</v>
      </c>
      <c r="K40" s="40">
        <f t="shared" si="8"/>
        <v>22.55</v>
      </c>
      <c r="L40" s="41">
        <f t="shared" si="4"/>
        <v>41904.370472251117</v>
      </c>
      <c r="M40" s="42">
        <f t="shared" si="5"/>
        <v>4686.7920000000004</v>
      </c>
      <c r="N40" s="41">
        <f t="shared" si="9"/>
        <v>1476.6303750000004</v>
      </c>
      <c r="O40" s="41">
        <f t="shared" si="10"/>
        <v>2902.8051250000008</v>
      </c>
      <c r="P40" s="41">
        <f t="shared" si="11"/>
        <v>2320.4767437500004</v>
      </c>
      <c r="Q40" s="41">
        <v>0</v>
      </c>
      <c r="R40" s="43">
        <v>0</v>
      </c>
      <c r="S40" s="44">
        <f t="shared" si="6"/>
        <v>50970.597972251118</v>
      </c>
      <c r="T40" s="44">
        <f t="shared" si="7"/>
        <v>2260.3369389024883</v>
      </c>
    </row>
    <row r="41" spans="1:20" x14ac:dyDescent="0.3">
      <c r="A41" s="16">
        <v>10009658</v>
      </c>
      <c r="B41" s="16" t="s">
        <v>44</v>
      </c>
      <c r="C41" s="6">
        <v>2680</v>
      </c>
      <c r="D41" s="7"/>
      <c r="E41" s="8">
        <v>2680</v>
      </c>
      <c r="G41" s="33">
        <v>10007162</v>
      </c>
      <c r="H41" s="39">
        <f>IFERROR(INDEX([2]Resumen!$K$3:$K$63,MATCH(G41,[2]Resumen!$C$3:$C$63,0)),0)*(1+I41*J41)/1000-51.89/1000</f>
        <v>1.8582869389024885</v>
      </c>
      <c r="I41" s="38">
        <v>0.68</v>
      </c>
      <c r="J41" s="38">
        <f t="shared" si="0"/>
        <v>2.1875000000000089E-2</v>
      </c>
      <c r="K41" s="40">
        <f t="shared" si="8"/>
        <v>2.68</v>
      </c>
      <c r="L41" s="41">
        <f t="shared" si="4"/>
        <v>4980.2089962586697</v>
      </c>
      <c r="M41" s="42">
        <f t="shared" si="5"/>
        <v>557.01120000000003</v>
      </c>
      <c r="N41" s="41">
        <f t="shared" si="9"/>
        <v>175.49310000000006</v>
      </c>
      <c r="O41" s="41">
        <f t="shared" si="10"/>
        <v>344.98970000000008</v>
      </c>
      <c r="P41" s="41">
        <f t="shared" si="11"/>
        <v>275.78171500000008</v>
      </c>
      <c r="Q41" s="41">
        <v>0</v>
      </c>
      <c r="R41" s="43">
        <v>0</v>
      </c>
      <c r="S41" s="44">
        <f t="shared" si="6"/>
        <v>6057.7029962586694</v>
      </c>
      <c r="T41" s="44">
        <f t="shared" si="7"/>
        <v>2260.3369389024883</v>
      </c>
    </row>
    <row r="42" spans="1:20" x14ac:dyDescent="0.3">
      <c r="A42" s="16">
        <v>10007163</v>
      </c>
      <c r="B42" s="16" t="s">
        <v>45</v>
      </c>
      <c r="C42" s="6">
        <v>11570</v>
      </c>
      <c r="D42" s="7"/>
      <c r="E42" s="8">
        <v>11570</v>
      </c>
      <c r="G42" s="33">
        <v>10007162</v>
      </c>
      <c r="H42" s="39">
        <f>IFERROR(INDEX([2]Resumen!$K$3:$K$63,MATCH(G42,[2]Resumen!$C$3:$C$63,0)),0)*(1+I42*J42)/1000-51.89/1000</f>
        <v>1.8582869389024885</v>
      </c>
      <c r="I42" s="38">
        <v>0.68</v>
      </c>
      <c r="J42" s="38">
        <f t="shared" si="0"/>
        <v>2.1875000000000089E-2</v>
      </c>
      <c r="K42" s="40">
        <f t="shared" si="8"/>
        <v>11.57</v>
      </c>
      <c r="L42" s="41">
        <f t="shared" si="4"/>
        <v>21500.379883101792</v>
      </c>
      <c r="M42" s="42">
        <f t="shared" si="5"/>
        <v>2404.7087999999999</v>
      </c>
      <c r="N42" s="41">
        <f t="shared" si="9"/>
        <v>757.63252500000021</v>
      </c>
      <c r="O42" s="41">
        <f t="shared" si="10"/>
        <v>1489.3771750000003</v>
      </c>
      <c r="P42" s="41">
        <f t="shared" si="11"/>
        <v>1190.5949412500001</v>
      </c>
      <c r="Q42" s="41">
        <v>0</v>
      </c>
      <c r="R42" s="43">
        <v>0</v>
      </c>
      <c r="S42" s="44">
        <f t="shared" si="6"/>
        <v>26152.098383101795</v>
      </c>
      <c r="T42" s="44">
        <f t="shared" si="7"/>
        <v>2260.3369389024888</v>
      </c>
    </row>
    <row r="43" spans="1:20" x14ac:dyDescent="0.3">
      <c r="A43" s="16">
        <v>10007162</v>
      </c>
      <c r="B43" s="16" t="s">
        <v>46</v>
      </c>
      <c r="C43" s="6">
        <v>46320</v>
      </c>
      <c r="D43" s="7">
        <v>78000</v>
      </c>
      <c r="E43" s="12">
        <v>-31680</v>
      </c>
      <c r="G43" s="33">
        <v>10007162</v>
      </c>
      <c r="H43" s="39">
        <f>IFERROR(INDEX([2]Resumen!$K$3:$K$63,MATCH(G43,[2]Resumen!$C$3:$C$63,0)),0)*(1+I43*J43)/1000-51.89/1000</f>
        <v>1.8582869389024885</v>
      </c>
      <c r="I43" s="38">
        <v>0.68</v>
      </c>
      <c r="J43" s="38">
        <f t="shared" si="0"/>
        <v>2.1875000000000089E-2</v>
      </c>
      <c r="K43" s="40">
        <f t="shared" si="8"/>
        <v>0</v>
      </c>
      <c r="L43" s="41">
        <f t="shared" si="4"/>
        <v>0</v>
      </c>
      <c r="M43" s="42">
        <f t="shared" si="5"/>
        <v>0</v>
      </c>
      <c r="N43" s="41">
        <f t="shared" si="9"/>
        <v>0</v>
      </c>
      <c r="O43" s="41">
        <f t="shared" si="10"/>
        <v>0</v>
      </c>
      <c r="P43" s="41">
        <f t="shared" si="11"/>
        <v>0</v>
      </c>
      <c r="Q43" s="41">
        <v>0</v>
      </c>
      <c r="R43" s="43">
        <v>0</v>
      </c>
      <c r="S43" s="44">
        <f t="shared" si="6"/>
        <v>0</v>
      </c>
      <c r="T43" s="44">
        <f t="shared" si="7"/>
        <v>0</v>
      </c>
    </row>
    <row r="44" spans="1:20" x14ac:dyDescent="0.3">
      <c r="A44" s="16">
        <v>10009336</v>
      </c>
      <c r="B44" s="16" t="s">
        <v>47</v>
      </c>
      <c r="C44" s="6">
        <v>15560</v>
      </c>
      <c r="D44" s="7"/>
      <c r="E44" s="8">
        <v>15560</v>
      </c>
      <c r="G44" s="34">
        <v>10009386</v>
      </c>
      <c r="H44" s="39">
        <f>IFERROR(INDEX([2]Resumen!$K$3:$K$63,MATCH(G44,[2]Resumen!$C$3:$C$63,0)),0)*(1+I44*J44)/1000-51.89/1000</f>
        <v>1.8598567273709272</v>
      </c>
      <c r="I44" s="38">
        <v>0.68</v>
      </c>
      <c r="J44" s="38">
        <f t="shared" si="0"/>
        <v>2.1875000000000089E-2</v>
      </c>
      <c r="K44" s="40">
        <f t="shared" si="8"/>
        <v>15.56</v>
      </c>
      <c r="L44" s="41">
        <f t="shared" si="4"/>
        <v>28939.370677891628</v>
      </c>
      <c r="M44" s="42">
        <f t="shared" si="5"/>
        <v>3233.9904000000001</v>
      </c>
      <c r="N44" s="41">
        <f t="shared" si="9"/>
        <v>1018.9077000000003</v>
      </c>
      <c r="O44" s="41">
        <f t="shared" si="10"/>
        <v>2002.9999000000005</v>
      </c>
      <c r="P44" s="41">
        <f t="shared" si="11"/>
        <v>1601.1804050000003</v>
      </c>
      <c r="Q44" s="41">
        <v>0</v>
      </c>
      <c r="R44" s="43">
        <v>0</v>
      </c>
      <c r="S44" s="44">
        <f t="shared" si="6"/>
        <v>35195.268677891632</v>
      </c>
      <c r="T44" s="44">
        <f t="shared" si="7"/>
        <v>2261.9067273709275</v>
      </c>
    </row>
    <row r="45" spans="1:20" x14ac:dyDescent="0.3">
      <c r="A45" s="17">
        <v>10009239</v>
      </c>
      <c r="B45" s="17" t="s">
        <v>48</v>
      </c>
      <c r="C45" s="6">
        <v>115220</v>
      </c>
      <c r="D45" s="7">
        <v>135000</v>
      </c>
      <c r="E45" s="12">
        <v>-19780</v>
      </c>
      <c r="G45" s="35">
        <v>10009239</v>
      </c>
      <c r="H45" s="39">
        <f>IFERROR(INDEX([2]Resumen!$K$3:$K$63,MATCH(G45,[2]Resumen!$C$3:$C$63,0)),0)*(1+I45*J45)/1000-51.89/1000</f>
        <v>3.4319522664058146</v>
      </c>
      <c r="I45" s="37">
        <v>0.56000000000000005</v>
      </c>
      <c r="J45" s="38">
        <f t="shared" si="0"/>
        <v>2.1875000000000089E-2</v>
      </c>
      <c r="K45" s="40">
        <f t="shared" si="8"/>
        <v>0</v>
      </c>
      <c r="L45" s="41">
        <f t="shared" si="4"/>
        <v>0</v>
      </c>
      <c r="M45" s="42">
        <f t="shared" si="5"/>
        <v>0</v>
      </c>
      <c r="N45" s="41">
        <f t="shared" si="9"/>
        <v>0</v>
      </c>
      <c r="O45" s="41">
        <f t="shared" si="10"/>
        <v>0</v>
      </c>
      <c r="P45" s="41">
        <f t="shared" si="11"/>
        <v>0</v>
      </c>
      <c r="Q45" s="41">
        <v>0</v>
      </c>
      <c r="R45" s="43">
        <v>0</v>
      </c>
      <c r="S45" s="44">
        <f t="shared" si="6"/>
        <v>0</v>
      </c>
      <c r="T45" s="44">
        <f t="shared" si="7"/>
        <v>0</v>
      </c>
    </row>
    <row r="46" spans="1:20" x14ac:dyDescent="0.3">
      <c r="A46" s="17">
        <v>10009251</v>
      </c>
      <c r="B46" s="17" t="s">
        <v>49</v>
      </c>
      <c r="C46" s="6">
        <v>300</v>
      </c>
      <c r="D46" s="7"/>
      <c r="E46" s="8">
        <v>300</v>
      </c>
      <c r="G46" s="35">
        <v>10009239</v>
      </c>
      <c r="H46" s="39">
        <f>IFERROR(INDEX([2]Resumen!$K$3:$K$63,MATCH(G46,[2]Resumen!$C$3:$C$63,0)),0)*(1+I46*J46)/1000-51.89/1000</f>
        <v>3.4319522664058146</v>
      </c>
      <c r="I46" s="37">
        <v>0.56000000000000005</v>
      </c>
      <c r="J46" s="38">
        <f t="shared" si="0"/>
        <v>2.1875000000000089E-2</v>
      </c>
      <c r="K46" s="40">
        <f t="shared" si="8"/>
        <v>0.3</v>
      </c>
      <c r="L46" s="41">
        <f t="shared" si="4"/>
        <v>1029.5856799217445</v>
      </c>
      <c r="M46" s="42">
        <f t="shared" si="5"/>
        <v>62.351999999999997</v>
      </c>
      <c r="N46" s="41">
        <f t="shared" si="9"/>
        <v>19.644750000000005</v>
      </c>
      <c r="O46" s="41">
        <f t="shared" si="10"/>
        <v>38.618250000000003</v>
      </c>
      <c r="P46" s="41">
        <f t="shared" si="11"/>
        <v>30.871087500000005</v>
      </c>
      <c r="Q46" s="41">
        <v>0</v>
      </c>
      <c r="R46" s="43">
        <v>0</v>
      </c>
      <c r="S46" s="44">
        <f t="shared" si="6"/>
        <v>1150.2006799217445</v>
      </c>
      <c r="T46" s="44">
        <f t="shared" si="7"/>
        <v>3834.0022664058151</v>
      </c>
    </row>
    <row r="47" spans="1:20" x14ac:dyDescent="0.3">
      <c r="A47" s="10">
        <v>10009241</v>
      </c>
      <c r="B47" s="10" t="s">
        <v>50</v>
      </c>
      <c r="C47" s="6">
        <v>260</v>
      </c>
      <c r="D47" s="7">
        <v>260</v>
      </c>
      <c r="E47" s="8">
        <v>0</v>
      </c>
      <c r="G47" s="36">
        <v>10009334</v>
      </c>
      <c r="H47" s="39">
        <f>IFERROR(INDEX([2]Resumen!$K$3:$K$63,MATCH(G47,[2]Resumen!$C$3:$C$63,0)),0)*(1+I47*J47)/1000-51.89/1000</f>
        <v>3.013107636860302</v>
      </c>
      <c r="I47" s="37">
        <v>0.68</v>
      </c>
      <c r="J47" s="38">
        <f t="shared" si="0"/>
        <v>2.1875000000000089E-2</v>
      </c>
      <c r="K47" s="40">
        <f t="shared" si="8"/>
        <v>0</v>
      </c>
      <c r="L47" s="41">
        <f t="shared" si="4"/>
        <v>0</v>
      </c>
      <c r="M47" s="42">
        <f t="shared" si="5"/>
        <v>0</v>
      </c>
      <c r="N47" s="41">
        <f t="shared" si="9"/>
        <v>0</v>
      </c>
      <c r="O47" s="41">
        <f t="shared" si="10"/>
        <v>0</v>
      </c>
      <c r="P47" s="41">
        <f t="shared" si="11"/>
        <v>0</v>
      </c>
      <c r="Q47" s="41">
        <v>0</v>
      </c>
      <c r="R47" s="43">
        <v>0</v>
      </c>
      <c r="S47" s="44">
        <f t="shared" si="6"/>
        <v>0</v>
      </c>
      <c r="T47" s="44">
        <f t="shared" si="7"/>
        <v>0</v>
      </c>
    </row>
    <row r="48" spans="1:20" x14ac:dyDescent="0.3">
      <c r="A48" s="10">
        <v>10009331</v>
      </c>
      <c r="B48" s="10" t="s">
        <v>51</v>
      </c>
      <c r="C48" s="6">
        <v>62766</v>
      </c>
      <c r="D48" s="7">
        <v>152110</v>
      </c>
      <c r="E48" s="12">
        <v>-89344</v>
      </c>
      <c r="G48" s="36">
        <v>10009334</v>
      </c>
      <c r="H48" s="39">
        <f>IFERROR(INDEX([2]Resumen!$K$3:$K$63,MATCH(G48,[2]Resumen!$C$3:$C$63,0)),0)*(1+I48*J48)/1000-51.89/1000</f>
        <v>3.013107636860302</v>
      </c>
      <c r="I48" s="37">
        <v>0.68</v>
      </c>
      <c r="J48" s="38">
        <f t="shared" si="0"/>
        <v>2.1875000000000089E-2</v>
      </c>
      <c r="K48" s="40">
        <f t="shared" si="8"/>
        <v>0</v>
      </c>
      <c r="L48" s="41">
        <f t="shared" si="4"/>
        <v>0</v>
      </c>
      <c r="M48" s="42">
        <f t="shared" si="5"/>
        <v>0</v>
      </c>
      <c r="N48" s="41">
        <f t="shared" si="9"/>
        <v>0</v>
      </c>
      <c r="O48" s="41">
        <f t="shared" si="10"/>
        <v>0</v>
      </c>
      <c r="P48" s="41">
        <f t="shared" si="11"/>
        <v>0</v>
      </c>
      <c r="Q48" s="41">
        <v>0</v>
      </c>
      <c r="R48" s="43">
        <v>0</v>
      </c>
      <c r="S48" s="44">
        <f t="shared" si="6"/>
        <v>0</v>
      </c>
      <c r="T48" s="44">
        <f t="shared" si="7"/>
        <v>0</v>
      </c>
    </row>
    <row r="49" spans="1:20" x14ac:dyDescent="0.3">
      <c r="A49" s="10">
        <v>10009334</v>
      </c>
      <c r="B49" s="10" t="s">
        <v>52</v>
      </c>
      <c r="C49" s="6">
        <v>9890</v>
      </c>
      <c r="D49" s="7">
        <v>9890</v>
      </c>
      <c r="E49" s="8">
        <v>0</v>
      </c>
      <c r="G49" s="36">
        <v>10009334</v>
      </c>
      <c r="H49" s="39">
        <f>IFERROR(INDEX([2]Resumen!$K$3:$K$63,MATCH(G49,[2]Resumen!$C$3:$C$63,0)),0)*(1+I49*J49)/1000-51.89/1000</f>
        <v>3.013107636860302</v>
      </c>
      <c r="I49" s="37">
        <v>0.68</v>
      </c>
      <c r="J49" s="38">
        <f t="shared" si="0"/>
        <v>2.1875000000000089E-2</v>
      </c>
      <c r="K49" s="40">
        <f t="shared" si="8"/>
        <v>0</v>
      </c>
      <c r="L49" s="41">
        <f t="shared" si="4"/>
        <v>0</v>
      </c>
      <c r="M49" s="42">
        <f t="shared" si="5"/>
        <v>0</v>
      </c>
      <c r="N49" s="41">
        <f t="shared" si="9"/>
        <v>0</v>
      </c>
      <c r="O49" s="41">
        <f t="shared" si="10"/>
        <v>0</v>
      </c>
      <c r="P49" s="41">
        <f t="shared" si="11"/>
        <v>0</v>
      </c>
      <c r="Q49" s="41">
        <v>0</v>
      </c>
      <c r="R49" s="43">
        <v>0</v>
      </c>
      <c r="S49" s="44">
        <f t="shared" si="6"/>
        <v>0</v>
      </c>
      <c r="T49" s="44">
        <f t="shared" si="7"/>
        <v>0</v>
      </c>
    </row>
    <row r="50" spans="1:20" x14ac:dyDescent="0.3">
      <c r="A50" s="9">
        <v>10007050</v>
      </c>
      <c r="B50" s="9" t="s">
        <v>53</v>
      </c>
      <c r="C50" s="6">
        <v>10660</v>
      </c>
      <c r="D50" s="7">
        <v>54000</v>
      </c>
      <c r="E50" s="12">
        <v>-43340</v>
      </c>
      <c r="G50" s="35">
        <v>10007050</v>
      </c>
      <c r="H50" s="39">
        <f>IFERROR(INDEX([2]Resumen!$K$3:$K$63,MATCH(G50,[2]Resumen!$C$3:$C$63,0)),0)*(1+I50*J50)/1000-51.89/1000</f>
        <v>1.542068956786504</v>
      </c>
      <c r="I50" s="37">
        <v>0.68</v>
      </c>
      <c r="J50" s="38">
        <f t="shared" si="0"/>
        <v>2.1875000000000089E-2</v>
      </c>
      <c r="K50" s="40">
        <f t="shared" si="8"/>
        <v>0</v>
      </c>
      <c r="L50" s="41">
        <f t="shared" si="4"/>
        <v>0</v>
      </c>
      <c r="M50" s="42">
        <f t="shared" si="5"/>
        <v>0</v>
      </c>
      <c r="N50" s="41">
        <f t="shared" si="9"/>
        <v>0</v>
      </c>
      <c r="O50" s="41">
        <f t="shared" si="10"/>
        <v>0</v>
      </c>
      <c r="P50" s="41">
        <f t="shared" si="11"/>
        <v>0</v>
      </c>
      <c r="Q50" s="41">
        <v>0</v>
      </c>
      <c r="R50" s="43">
        <v>0</v>
      </c>
      <c r="S50" s="44">
        <f t="shared" si="6"/>
        <v>0</v>
      </c>
      <c r="T50" s="44">
        <f t="shared" si="7"/>
        <v>0</v>
      </c>
    </row>
    <row r="51" spans="1:20" x14ac:dyDescent="0.3">
      <c r="A51" s="9">
        <v>10009337</v>
      </c>
      <c r="B51" s="9" t="s">
        <v>54</v>
      </c>
      <c r="C51" s="6">
        <v>52205</v>
      </c>
      <c r="D51" s="7"/>
      <c r="E51" s="8">
        <v>52205</v>
      </c>
      <c r="G51" s="35">
        <v>10007050</v>
      </c>
      <c r="H51" s="39">
        <f>IFERROR(INDEX([2]Resumen!$K$3:$K$63,MATCH(G51,[2]Resumen!$C$3:$C$63,0)),0)*(1+I51*J51)/1000-51.89/1000</f>
        <v>1.542068956786504</v>
      </c>
      <c r="I51" s="37">
        <v>0.68</v>
      </c>
      <c r="J51" s="38">
        <f t="shared" si="0"/>
        <v>2.1875000000000089E-2</v>
      </c>
      <c r="K51" s="40">
        <f t="shared" si="8"/>
        <v>52.204999999999998</v>
      </c>
      <c r="L51" s="41">
        <f t="shared" si="4"/>
        <v>80503.709889039441</v>
      </c>
      <c r="M51" s="42">
        <f t="shared" si="5"/>
        <v>10850.287200000001</v>
      </c>
      <c r="N51" s="41">
        <f t="shared" si="9"/>
        <v>3418.5139125000005</v>
      </c>
      <c r="O51" s="41">
        <f t="shared" si="10"/>
        <v>6720.2191375000011</v>
      </c>
      <c r="P51" s="41">
        <f t="shared" si="11"/>
        <v>5372.0837431250011</v>
      </c>
      <c r="Q51" s="41">
        <v>0</v>
      </c>
      <c r="R51" s="43">
        <v>0</v>
      </c>
      <c r="S51" s="44">
        <f t="shared" si="6"/>
        <v>101492.73013903944</v>
      </c>
      <c r="T51" s="44">
        <f t="shared" si="7"/>
        <v>1944.118956786504</v>
      </c>
    </row>
    <row r="52" spans="1:20" x14ac:dyDescent="0.3">
      <c r="A52" s="9">
        <v>10009332</v>
      </c>
      <c r="B52" s="9" t="s">
        <v>55</v>
      </c>
      <c r="C52" s="6">
        <v>41010</v>
      </c>
      <c r="D52" s="7"/>
      <c r="E52" s="8">
        <v>41010</v>
      </c>
      <c r="G52" s="35">
        <v>10007050</v>
      </c>
      <c r="H52" s="39">
        <f>IFERROR(INDEX([2]Resumen!$K$3:$K$63,MATCH(G52,[2]Resumen!$C$3:$C$63,0)),0)*(1+I52*J52)/1000-51.89/1000</f>
        <v>1.542068956786504</v>
      </c>
      <c r="I52" s="37">
        <v>0.68</v>
      </c>
      <c r="J52" s="38">
        <f t="shared" si="0"/>
        <v>2.1875000000000089E-2</v>
      </c>
      <c r="K52" s="40">
        <f t="shared" si="8"/>
        <v>41.01</v>
      </c>
      <c r="L52" s="41">
        <f t="shared" si="4"/>
        <v>63240.24791781453</v>
      </c>
      <c r="M52" s="42">
        <f t="shared" si="5"/>
        <v>8523.518399999999</v>
      </c>
      <c r="N52" s="41">
        <f t="shared" si="9"/>
        <v>2685.4373250000003</v>
      </c>
      <c r="O52" s="41">
        <f t="shared" si="10"/>
        <v>5279.1147750000009</v>
      </c>
      <c r="P52" s="41">
        <f t="shared" si="11"/>
        <v>4220.0776612500003</v>
      </c>
      <c r="Q52" s="41">
        <v>0</v>
      </c>
      <c r="R52" s="43">
        <v>0</v>
      </c>
      <c r="S52" s="44">
        <f t="shared" si="6"/>
        <v>79728.318417814531</v>
      </c>
      <c r="T52" s="44">
        <f t="shared" si="7"/>
        <v>1944.1189567865042</v>
      </c>
    </row>
    <row r="53" spans="1:20" x14ac:dyDescent="0.3">
      <c r="A53" s="18">
        <v>10007152</v>
      </c>
      <c r="B53" s="18" t="s">
        <v>56</v>
      </c>
      <c r="C53" s="6">
        <v>0</v>
      </c>
      <c r="D53" s="7"/>
      <c r="E53" s="8">
        <v>0</v>
      </c>
      <c r="K53" s="40"/>
      <c r="L53" s="41"/>
      <c r="M53" s="42"/>
      <c r="N53" s="41"/>
      <c r="O53" s="41"/>
      <c r="P53" s="41"/>
      <c r="Q53" s="41">
        <v>0</v>
      </c>
      <c r="R53" s="43">
        <v>0</v>
      </c>
      <c r="S53" s="44">
        <f t="shared" si="6"/>
        <v>0</v>
      </c>
      <c r="T53" s="44">
        <f t="shared" si="7"/>
        <v>0</v>
      </c>
    </row>
    <row r="54" spans="1:20" x14ac:dyDescent="0.3">
      <c r="A54" s="18">
        <v>10007151</v>
      </c>
      <c r="B54" s="18" t="s">
        <v>57</v>
      </c>
      <c r="C54" s="6">
        <v>0</v>
      </c>
      <c r="D54" s="7"/>
      <c r="E54" s="8">
        <v>0</v>
      </c>
      <c r="K54" s="40"/>
      <c r="L54" s="41"/>
      <c r="M54" s="42"/>
      <c r="N54" s="41"/>
      <c r="O54" s="41"/>
      <c r="P54" s="41"/>
      <c r="Q54" s="41">
        <v>0</v>
      </c>
      <c r="R54" s="43">
        <v>0</v>
      </c>
      <c r="S54" s="44">
        <f t="shared" si="6"/>
        <v>0</v>
      </c>
      <c r="T54" s="44">
        <f t="shared" si="7"/>
        <v>0</v>
      </c>
    </row>
    <row r="55" spans="1:20" x14ac:dyDescent="0.3">
      <c r="A55" s="18">
        <v>10007051</v>
      </c>
      <c r="B55" s="18" t="s">
        <v>58</v>
      </c>
      <c r="C55" s="6">
        <v>0</v>
      </c>
      <c r="D55" s="7"/>
      <c r="E55" s="8">
        <v>0</v>
      </c>
      <c r="K55" s="40"/>
      <c r="L55" s="41"/>
      <c r="M55" s="42"/>
      <c r="N55" s="41"/>
      <c r="O55" s="41"/>
      <c r="P55" s="41"/>
      <c r="Q55" s="41">
        <v>0</v>
      </c>
      <c r="R55" s="43">
        <v>0</v>
      </c>
      <c r="S55" s="44">
        <f t="shared" si="6"/>
        <v>0</v>
      </c>
      <c r="T55" s="44">
        <f t="shared" si="7"/>
        <v>0</v>
      </c>
    </row>
    <row r="56" spans="1:20" x14ac:dyDescent="0.3">
      <c r="A56" s="18">
        <v>10009650</v>
      </c>
      <c r="B56" s="18" t="s">
        <v>59</v>
      </c>
      <c r="C56" s="6">
        <v>18690</v>
      </c>
      <c r="D56" s="7"/>
      <c r="E56" s="8">
        <v>18690</v>
      </c>
      <c r="K56" s="40"/>
      <c r="L56" s="41"/>
      <c r="M56" s="42"/>
      <c r="N56" s="41"/>
      <c r="O56" s="41"/>
      <c r="P56" s="41"/>
      <c r="Q56" s="41">
        <v>0</v>
      </c>
      <c r="R56" s="43">
        <v>0</v>
      </c>
      <c r="S56" s="44">
        <f t="shared" si="6"/>
        <v>0</v>
      </c>
      <c r="T56" s="44">
        <f t="shared" si="7"/>
        <v>0</v>
      </c>
    </row>
    <row r="57" spans="1:20" x14ac:dyDescent="0.3">
      <c r="A57" s="18">
        <v>10009828</v>
      </c>
      <c r="B57" s="18" t="s">
        <v>60</v>
      </c>
      <c r="C57" s="6">
        <v>0</v>
      </c>
      <c r="D57" s="7"/>
      <c r="E57" s="8">
        <v>0</v>
      </c>
      <c r="K57" s="40"/>
      <c r="L57" s="41"/>
      <c r="M57" s="42"/>
      <c r="N57" s="41"/>
      <c r="O57" s="41"/>
      <c r="P57" s="41"/>
      <c r="Q57" s="41">
        <v>0</v>
      </c>
      <c r="R57" s="43">
        <v>0</v>
      </c>
      <c r="S57" s="44">
        <f t="shared" si="6"/>
        <v>0</v>
      </c>
      <c r="T57" s="44">
        <f t="shared" si="7"/>
        <v>0</v>
      </c>
    </row>
    <row r="58" spans="1:20" ht="16.2" thickBot="1" x14ac:dyDescent="0.35">
      <c r="A58" s="19"/>
      <c r="B58" s="19" t="s">
        <v>61</v>
      </c>
      <c r="C58" s="6">
        <v>0</v>
      </c>
      <c r="D58" s="7"/>
      <c r="E58" s="8">
        <v>0</v>
      </c>
      <c r="K58" s="40"/>
      <c r="L58" s="41"/>
      <c r="M58" s="42"/>
      <c r="N58" s="41"/>
      <c r="O58" s="41"/>
      <c r="P58" s="41"/>
      <c r="Q58" s="41">
        <v>0</v>
      </c>
      <c r="R58" s="43">
        <v>0</v>
      </c>
      <c r="S58" s="44">
        <f t="shared" si="6"/>
        <v>0</v>
      </c>
      <c r="T58" s="44">
        <f t="shared" si="7"/>
        <v>0</v>
      </c>
    </row>
    <row r="59" spans="1:20" ht="16.2" thickBot="1" x14ac:dyDescent="0.35">
      <c r="A59" s="20"/>
      <c r="B59" s="20" t="s">
        <v>62</v>
      </c>
      <c r="C59" s="21">
        <v>1663241</v>
      </c>
      <c r="D59" s="21">
        <v>893260</v>
      </c>
      <c r="E59" s="22">
        <f>SUMIF(E2:E58,"&gt;0",E2:E58)</f>
        <v>1192285</v>
      </c>
      <c r="K59" s="45">
        <f>SUM(K2:K58)</f>
        <v>1173.5949999999998</v>
      </c>
      <c r="L59" s="46">
        <f>SUM(L2:L58)</f>
        <v>2254865.8033442008</v>
      </c>
      <c r="M59" s="46">
        <f t="shared" ref="M59:Q59" si="12">SUM(M2:M58)</f>
        <v>243919.98480000003</v>
      </c>
      <c r="N59" s="46">
        <f t="shared" si="12"/>
        <v>76849.934587500029</v>
      </c>
      <c r="O59" s="46">
        <f t="shared" si="12"/>
        <v>151073.95036250007</v>
      </c>
      <c r="P59" s="46">
        <f t="shared" si="12"/>
        <v>120767.17978187505</v>
      </c>
      <c r="Q59" s="46">
        <f t="shared" si="12"/>
        <v>0</v>
      </c>
      <c r="R59" s="47">
        <v>0</v>
      </c>
      <c r="S59" s="48">
        <f>SUM(S2:S58)</f>
        <v>2726709.6730942009</v>
      </c>
      <c r="T59" s="48">
        <f>IFERROR(S59/K59,0)</f>
        <v>2323.3821489476363</v>
      </c>
    </row>
    <row r="60" spans="1:20" ht="16.2" thickBot="1" x14ac:dyDescent="0.35">
      <c r="K60"/>
      <c r="L60"/>
      <c r="M60"/>
      <c r="N60"/>
      <c r="O60"/>
      <c r="P60"/>
      <c r="Q60"/>
      <c r="R60"/>
      <c r="S60"/>
      <c r="T60"/>
    </row>
    <row r="61" spans="1:20" ht="16.2" thickBot="1" x14ac:dyDescent="0.35">
      <c r="K61"/>
      <c r="L61"/>
      <c r="M61" t="s">
        <v>77</v>
      </c>
      <c r="N61" s="46">
        <v>78579.000000000015</v>
      </c>
      <c r="O61" s="46">
        <v>154473.00000000003</v>
      </c>
      <c r="P61" s="46">
        <v>123484.35000000002</v>
      </c>
      <c r="Q61"/>
      <c r="R61"/>
      <c r="S61"/>
      <c r="T61"/>
    </row>
    <row r="64" spans="1:20" x14ac:dyDescent="0.3">
      <c r="O64" s="1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8-6-2026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2026-06-08T15:01:12Z</dcterms:created>
  <dcterms:modified xsi:type="dcterms:W3CDTF">2026-06-09T00:40:39Z</dcterms:modified>
</cp:coreProperties>
</file>