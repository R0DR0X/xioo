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Xitanium\Documents\rodri\xio\xio\Veritrade_Dashboard\INPUT\"/>
    </mc:Choice>
  </mc:AlternateContent>
  <xr:revisionPtr revIDLastSave="0" documentId="13_ncr:1_{33F9F5EE-34EC-4ACC-9FD6-062E8991308D}" xr6:coauthVersionLast="47" xr6:coauthVersionMax="47" xr10:uidLastSave="{00000000-0000-0000-0000-000000000000}"/>
  <bookViews>
    <workbookView xWindow="-120" yWindow="-120" windowWidth="20730" windowHeight="11760" xr2:uid="{E49F44D6-2AA4-4DB6-B5AA-2D3E646476D9}"/>
  </bookViews>
  <sheets>
    <sheet name="Marzo2026" sheetId="21" r:id="rId1"/>
    <sheet name="Febrero2026" sheetId="20" r:id="rId2"/>
    <sheet name="Enero2026" sheetId="19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21" l="1"/>
  <c r="E52" i="21" l="1"/>
  <c r="BH47" i="21" l="1"/>
  <c r="BI47" i="21" s="1"/>
  <c r="BE8" i="21" l="1"/>
  <c r="BE9" i="21"/>
  <c r="BE10" i="21"/>
  <c r="BE11" i="21"/>
  <c r="BE12" i="21"/>
  <c r="BE13" i="21"/>
  <c r="BE23" i="21"/>
  <c r="BE29" i="21"/>
  <c r="BE30" i="21"/>
  <c r="BE35" i="21"/>
  <c r="BE36" i="21"/>
  <c r="BE37" i="21"/>
  <c r="BE38" i="21"/>
  <c r="BE41" i="21"/>
  <c r="BE42" i="21"/>
  <c r="BE43" i="21"/>
  <c r="BE44" i="21"/>
  <c r="BE45" i="21"/>
  <c r="BE46" i="21"/>
  <c r="AY3" i="21"/>
  <c r="AY4" i="21"/>
  <c r="AY5" i="21"/>
  <c r="AY6" i="21"/>
  <c r="AY7" i="21"/>
  <c r="AY8" i="21"/>
  <c r="AY9" i="21"/>
  <c r="AY10" i="21"/>
  <c r="AY11" i="21"/>
  <c r="AY12" i="21"/>
  <c r="AY13" i="21"/>
  <c r="AY14" i="21"/>
  <c r="AY15" i="21"/>
  <c r="AY16" i="21"/>
  <c r="AY17" i="21"/>
  <c r="AY18" i="21"/>
  <c r="AY19" i="21"/>
  <c r="AY20" i="21"/>
  <c r="AY21" i="21"/>
  <c r="AY22" i="21"/>
  <c r="AY23" i="21"/>
  <c r="AY24" i="21"/>
  <c r="AY25" i="21"/>
  <c r="AY26" i="21"/>
  <c r="AY27" i="21"/>
  <c r="AY28" i="21"/>
  <c r="AY29" i="21"/>
  <c r="AY30" i="21"/>
  <c r="AY31" i="21"/>
  <c r="AY32" i="21"/>
  <c r="AY33" i="21"/>
  <c r="AY34" i="21"/>
  <c r="AY35" i="21"/>
  <c r="AY36" i="21"/>
  <c r="AY37" i="21"/>
  <c r="AY38" i="21"/>
  <c r="AY39" i="21"/>
  <c r="AY40" i="21"/>
  <c r="AY41" i="21"/>
  <c r="AY42" i="21"/>
  <c r="AY43" i="21"/>
  <c r="AY44" i="21"/>
  <c r="AY45" i="21"/>
  <c r="AY46" i="21"/>
  <c r="AT47" i="21"/>
  <c r="BA47" i="21" s="1"/>
  <c r="AQ8" i="21" l="1"/>
  <c r="AR8" i="21" s="1"/>
  <c r="AQ9" i="21"/>
  <c r="AR9" i="21" s="1"/>
  <c r="AQ10" i="21"/>
  <c r="AR10" i="21" s="1"/>
  <c r="AQ11" i="21"/>
  <c r="AR11" i="21" s="1"/>
  <c r="AQ12" i="21"/>
  <c r="AR12" i="21" s="1"/>
  <c r="AQ13" i="21"/>
  <c r="AR13" i="21" s="1"/>
  <c r="AQ14" i="21"/>
  <c r="AR14" i="21" s="1"/>
  <c r="AQ15" i="21"/>
  <c r="AR15" i="21" s="1"/>
  <c r="AQ16" i="21"/>
  <c r="AR16" i="21" s="1"/>
  <c r="AQ17" i="21"/>
  <c r="AR17" i="21" s="1"/>
  <c r="AQ18" i="21"/>
  <c r="AR18" i="21" s="1"/>
  <c r="AQ19" i="21"/>
  <c r="AR19" i="21" s="1"/>
  <c r="AQ20" i="21"/>
  <c r="AR20" i="21" s="1"/>
  <c r="AQ21" i="21"/>
  <c r="AR21" i="21" s="1"/>
  <c r="AQ22" i="21"/>
  <c r="AR22" i="21" s="1"/>
  <c r="AQ23" i="21"/>
  <c r="AR23" i="21" s="1"/>
  <c r="AQ24" i="21"/>
  <c r="AR24" i="21" s="1"/>
  <c r="AQ25" i="21"/>
  <c r="AR25" i="21" s="1"/>
  <c r="AQ26" i="21"/>
  <c r="AR26" i="21" s="1"/>
  <c r="AQ27" i="21"/>
  <c r="AR27" i="21" s="1"/>
  <c r="AQ28" i="21"/>
  <c r="AR28" i="21" s="1"/>
  <c r="AQ29" i="21"/>
  <c r="AR29" i="21" s="1"/>
  <c r="AQ30" i="21"/>
  <c r="AR30" i="21" s="1"/>
  <c r="AQ31" i="21"/>
  <c r="AR31" i="21" s="1"/>
  <c r="AQ32" i="21"/>
  <c r="AR32" i="21" s="1"/>
  <c r="AQ33" i="21"/>
  <c r="AR33" i="21" s="1"/>
  <c r="AQ34" i="21"/>
  <c r="AR34" i="21" s="1"/>
  <c r="AQ35" i="21"/>
  <c r="AR35" i="21" s="1"/>
  <c r="AQ36" i="21"/>
  <c r="AR36" i="21" s="1"/>
  <c r="AQ37" i="21"/>
  <c r="AR37" i="21" s="1"/>
  <c r="AQ38" i="21"/>
  <c r="AR38" i="21" s="1"/>
  <c r="AQ39" i="21"/>
  <c r="AR39" i="21" s="1"/>
  <c r="AQ40" i="21"/>
  <c r="AR40" i="21" s="1"/>
  <c r="AQ41" i="21"/>
  <c r="AR41" i="21" s="1"/>
  <c r="AQ42" i="21"/>
  <c r="AR42" i="21" s="1"/>
  <c r="AQ43" i="21"/>
  <c r="AR43" i="21" s="1"/>
  <c r="AQ44" i="21"/>
  <c r="AR44" i="21" s="1"/>
  <c r="AQ45" i="21"/>
  <c r="AR45" i="21" s="1"/>
  <c r="AQ46" i="21"/>
  <c r="AR46" i="21" s="1"/>
  <c r="AQ4" i="21"/>
  <c r="AR4" i="21" s="1"/>
  <c r="AQ5" i="21"/>
  <c r="AR5" i="21" s="1"/>
  <c r="AQ6" i="21"/>
  <c r="AR6" i="21" s="1"/>
  <c r="AQ7" i="21"/>
  <c r="AR7" i="21" s="1"/>
  <c r="AQ3" i="21"/>
  <c r="AR3" i="21" s="1"/>
  <c r="AA20" i="21"/>
  <c r="T22" i="21"/>
  <c r="T20" i="21"/>
  <c r="T21" i="21"/>
  <c r="T13" i="21"/>
  <c r="T30" i="21"/>
  <c r="T28" i="21"/>
  <c r="T26" i="21"/>
  <c r="T24" i="21"/>
  <c r="Z41" i="21"/>
  <c r="T42" i="21"/>
  <c r="Z42" i="21" s="1"/>
  <c r="Y42" i="21"/>
  <c r="Y41" i="21"/>
  <c r="T17" i="21"/>
  <c r="T16" i="21"/>
  <c r="T31" i="21"/>
  <c r="T7" i="21"/>
  <c r="T4" i="21"/>
  <c r="Q22" i="21"/>
  <c r="AD20" i="21"/>
  <c r="R20" i="21"/>
  <c r="Q20" i="21"/>
  <c r="R12" i="21"/>
  <c r="AA13" i="21"/>
  <c r="R30" i="21"/>
  <c r="Q30" i="21"/>
  <c r="R28" i="21"/>
  <c r="Q28" i="21"/>
  <c r="R26" i="21"/>
  <c r="R24" i="21"/>
  <c r="R17" i="21"/>
  <c r="P16" i="21"/>
  <c r="AA16" i="21"/>
  <c r="R16" i="21"/>
  <c r="Q16" i="21"/>
  <c r="R40" i="21"/>
  <c r="R39" i="21"/>
  <c r="R31" i="21"/>
  <c r="R34" i="21"/>
  <c r="AA32" i="21"/>
  <c r="AA31" i="21"/>
  <c r="AA7" i="21"/>
  <c r="R7" i="21"/>
  <c r="Q7" i="21"/>
  <c r="AA4" i="21"/>
  <c r="R4" i="21"/>
  <c r="Q4" i="21"/>
  <c r="P22" i="21"/>
  <c r="P20" i="21"/>
  <c r="P21" i="21"/>
  <c r="P23" i="21"/>
  <c r="P12" i="21"/>
  <c r="O12" i="21"/>
  <c r="P13" i="21"/>
  <c r="P30" i="21"/>
  <c r="P28" i="21"/>
  <c r="P26" i="21"/>
  <c r="P24" i="21"/>
  <c r="P17" i="21"/>
  <c r="P40" i="21"/>
  <c r="P39" i="21"/>
  <c r="P34" i="21"/>
  <c r="P32" i="21"/>
  <c r="P31" i="21"/>
  <c r="P7" i="21"/>
  <c r="P4" i="21"/>
  <c r="AD7" i="20"/>
  <c r="AG15" i="19"/>
  <c r="AF19" i="19"/>
  <c r="N7" i="21"/>
  <c r="M7" i="21"/>
  <c r="L7" i="21"/>
  <c r="K7" i="21"/>
  <c r="AA22" i="21"/>
  <c r="N22" i="21"/>
  <c r="M22" i="21"/>
  <c r="L22" i="21"/>
  <c r="K22" i="21"/>
  <c r="N20" i="21"/>
  <c r="M20" i="21"/>
  <c r="L20" i="21"/>
  <c r="K20" i="21"/>
  <c r="N21" i="21"/>
  <c r="K21" i="21"/>
  <c r="N23" i="21"/>
  <c r="K23" i="21"/>
  <c r="N30" i="21"/>
  <c r="M30" i="21"/>
  <c r="K30" i="21"/>
  <c r="N28" i="21"/>
  <c r="M28" i="21"/>
  <c r="K28" i="21"/>
  <c r="N26" i="21"/>
  <c r="M26" i="21"/>
  <c r="K26" i="21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AB42" i="21" l="1"/>
  <c r="AE42" i="21" s="1"/>
  <c r="AB41" i="21"/>
  <c r="AE41" i="21" s="1"/>
  <c r="M24" i="21"/>
  <c r="L24" i="21"/>
  <c r="N16" i="21"/>
  <c r="M16" i="21"/>
  <c r="L16" i="21"/>
  <c r="K16" i="21"/>
  <c r="N40" i="21"/>
  <c r="L40" i="21"/>
  <c r="N39" i="21"/>
  <c r="L39" i="21"/>
  <c r="N34" i="21"/>
  <c r="L34" i="21"/>
  <c r="N32" i="21"/>
  <c r="L32" i="21"/>
  <c r="N31" i="21"/>
  <c r="L31" i="21"/>
  <c r="N4" i="21"/>
  <c r="M4" i="21"/>
  <c r="L4" i="21"/>
  <c r="K4" i="21"/>
  <c r="AP7" i="20"/>
  <c r="AI7" i="20"/>
  <c r="AT41" i="21" l="1"/>
  <c r="AT42" i="21"/>
  <c r="AR45" i="20"/>
  <c r="AQ45" i="20"/>
  <c r="AP20" i="20"/>
  <c r="AP17" i="20"/>
  <c r="AN36" i="20"/>
  <c r="AP28" i="20"/>
  <c r="AP16" i="20"/>
  <c r="AP13" i="20"/>
  <c r="AS42" i="21" l="1"/>
  <c r="AS41" i="21"/>
  <c r="AD22" i="20"/>
  <c r="AD20" i="20"/>
  <c r="AI20" i="20"/>
  <c r="AD21" i="20"/>
  <c r="U23" i="20"/>
  <c r="T23" i="20"/>
  <c r="S23" i="20"/>
  <c r="I23" i="20"/>
  <c r="F23" i="20"/>
  <c r="E23" i="20"/>
  <c r="AD12" i="20"/>
  <c r="AD13" i="20"/>
  <c r="AD30" i="20"/>
  <c r="AD28" i="20"/>
  <c r="AI28" i="20"/>
  <c r="K28" i="20"/>
  <c r="AD26" i="20"/>
  <c r="AD24" i="20"/>
  <c r="AD16" i="20"/>
  <c r="AI16" i="20"/>
  <c r="Y16" i="20"/>
  <c r="AD17" i="20"/>
  <c r="AI17" i="20"/>
  <c r="AI36" i="20"/>
  <c r="AD40" i="20"/>
  <c r="AD39" i="20"/>
  <c r="AD34" i="20"/>
  <c r="V34" i="20"/>
  <c r="U34" i="20"/>
  <c r="T34" i="20"/>
  <c r="S34" i="20"/>
  <c r="M34" i="20"/>
  <c r="L34" i="20"/>
  <c r="AD32" i="20"/>
  <c r="U32" i="20"/>
  <c r="T32" i="20"/>
  <c r="S32" i="20"/>
  <c r="AD31" i="20"/>
  <c r="AO7" i="20"/>
  <c r="AD4" i="20"/>
  <c r="U4" i="20"/>
  <c r="AU41" i="21" l="1"/>
  <c r="AU42" i="21"/>
  <c r="AH7" i="21"/>
  <c r="AH28" i="21" l="1"/>
  <c r="AA28" i="21" l="1"/>
  <c r="F22" i="21" l="1"/>
  <c r="E22" i="21"/>
  <c r="F20" i="21"/>
  <c r="E20" i="21"/>
  <c r="Z20" i="21" s="1"/>
  <c r="F21" i="21"/>
  <c r="E21" i="21"/>
  <c r="Z21" i="21" s="1"/>
  <c r="F23" i="21"/>
  <c r="Z23" i="21" s="1"/>
  <c r="F12" i="21"/>
  <c r="Z12" i="21" s="1"/>
  <c r="F13" i="21"/>
  <c r="Z13" i="21" s="1"/>
  <c r="F30" i="21"/>
  <c r="Z30" i="21" s="1"/>
  <c r="F28" i="21"/>
  <c r="E28" i="21"/>
  <c r="F26" i="21"/>
  <c r="Z26" i="21" s="1"/>
  <c r="F24" i="21"/>
  <c r="Z24" i="21" s="1"/>
  <c r="AA35" i="21"/>
  <c r="F16" i="21"/>
  <c r="E16" i="21"/>
  <c r="G40" i="21"/>
  <c r="Z40" i="21" s="1"/>
  <c r="G39" i="21"/>
  <c r="Z39" i="21" s="1"/>
  <c r="G34" i="21"/>
  <c r="Z34" i="21" s="1"/>
  <c r="G32" i="21"/>
  <c r="Z32" i="21" s="1"/>
  <c r="G31" i="21"/>
  <c r="Z31" i="21" s="1"/>
  <c r="F7" i="21"/>
  <c r="E7" i="21"/>
  <c r="F4" i="21"/>
  <c r="E4" i="21"/>
  <c r="AK46" i="21"/>
  <c r="Z46" i="21"/>
  <c r="Y46" i="21"/>
  <c r="AB46" i="21" s="1"/>
  <c r="AK45" i="21"/>
  <c r="Z45" i="21"/>
  <c r="Y45" i="21"/>
  <c r="AK44" i="21"/>
  <c r="Z44" i="21"/>
  <c r="Y44" i="21"/>
  <c r="AK43" i="21"/>
  <c r="Z43" i="21"/>
  <c r="Y43" i="21"/>
  <c r="AK40" i="21"/>
  <c r="Y40" i="21"/>
  <c r="AK39" i="21"/>
  <c r="Y39" i="21"/>
  <c r="AK38" i="21"/>
  <c r="Z38" i="21"/>
  <c r="Y38" i="21"/>
  <c r="AK37" i="21"/>
  <c r="Z37" i="21"/>
  <c r="Y37" i="21"/>
  <c r="AK36" i="21"/>
  <c r="Z36" i="21"/>
  <c r="Y36" i="21"/>
  <c r="AK35" i="21"/>
  <c r="Z35" i="21"/>
  <c r="Y35" i="21"/>
  <c r="Y34" i="21"/>
  <c r="AK33" i="21"/>
  <c r="Z33" i="21"/>
  <c r="Y33" i="21"/>
  <c r="AK32" i="21"/>
  <c r="Y32" i="21"/>
  <c r="AK31" i="21"/>
  <c r="Y31" i="21"/>
  <c r="AK30" i="21"/>
  <c r="Y30" i="21"/>
  <c r="AK29" i="21"/>
  <c r="Z29" i="21"/>
  <c r="Y29" i="21"/>
  <c r="AK28" i="21"/>
  <c r="Y28" i="21"/>
  <c r="AK27" i="21"/>
  <c r="Z27" i="21"/>
  <c r="Y27" i="21"/>
  <c r="AK26" i="21"/>
  <c r="Y26" i="21"/>
  <c r="AK25" i="21"/>
  <c r="Z25" i="21"/>
  <c r="Y25" i="21"/>
  <c r="AK24" i="21"/>
  <c r="Y24" i="21"/>
  <c r="AK23" i="21"/>
  <c r="Y23" i="21"/>
  <c r="AK22" i="21"/>
  <c r="Y22" i="21"/>
  <c r="Z22" i="21"/>
  <c r="AK21" i="21"/>
  <c r="Y21" i="21"/>
  <c r="AK20" i="21"/>
  <c r="Y20" i="21"/>
  <c r="AK19" i="21"/>
  <c r="Z19" i="21"/>
  <c r="Y19" i="21"/>
  <c r="AK18" i="21"/>
  <c r="Z18" i="21"/>
  <c r="Y18" i="21"/>
  <c r="AK17" i="21"/>
  <c r="Y17" i="21"/>
  <c r="Z17" i="21"/>
  <c r="AK16" i="21"/>
  <c r="Y16" i="21"/>
  <c r="AK15" i="21"/>
  <c r="Z15" i="21"/>
  <c r="Y15" i="21"/>
  <c r="AK14" i="21"/>
  <c r="Z14" i="21"/>
  <c r="Y14" i="21"/>
  <c r="AK13" i="21"/>
  <c r="Y13" i="21"/>
  <c r="A13" i="2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K12" i="21"/>
  <c r="Y12" i="21"/>
  <c r="Z11" i="21"/>
  <c r="Y11" i="21"/>
  <c r="Z10" i="21"/>
  <c r="Y10" i="21"/>
  <c r="Y9" i="21"/>
  <c r="Z9" i="21"/>
  <c r="AK8" i="21"/>
  <c r="Z8" i="21"/>
  <c r="Y8" i="21"/>
  <c r="AK7" i="21"/>
  <c r="AK6" i="21"/>
  <c r="Z6" i="21"/>
  <c r="Y6" i="21"/>
  <c r="AK5" i="21"/>
  <c r="Z5" i="21"/>
  <c r="Y5" i="21"/>
  <c r="AK4" i="21"/>
  <c r="Y4" i="21"/>
  <c r="A4" i="21"/>
  <c r="A5" i="21" s="1"/>
  <c r="A6" i="21" s="1"/>
  <c r="A7" i="21" s="1"/>
  <c r="A8" i="21" s="1"/>
  <c r="A9" i="21" s="1"/>
  <c r="AK3" i="21"/>
  <c r="Z3" i="21"/>
  <c r="Y3" i="21"/>
  <c r="Z22" i="20"/>
  <c r="Y22" i="20"/>
  <c r="Z20" i="20"/>
  <c r="Y20" i="20"/>
  <c r="Z21" i="20"/>
  <c r="Z30" i="20"/>
  <c r="Y30" i="20"/>
  <c r="Z28" i="20"/>
  <c r="Y28" i="20"/>
  <c r="Z26" i="20"/>
  <c r="Z24" i="20"/>
  <c r="Z16" i="20"/>
  <c r="Z17" i="20"/>
  <c r="Y17" i="20"/>
  <c r="Z7" i="20"/>
  <c r="Z4" i="20"/>
  <c r="Y4" i="20"/>
  <c r="AI13" i="20"/>
  <c r="AB44" i="21" l="1"/>
  <c r="AB25" i="21"/>
  <c r="AE25" i="21"/>
  <c r="AT25" i="21"/>
  <c r="AE46" i="21"/>
  <c r="AT46" i="21"/>
  <c r="AE44" i="21"/>
  <c r="AT44" i="21"/>
  <c r="AB38" i="21"/>
  <c r="Z7" i="21"/>
  <c r="AB7" i="21" s="1"/>
  <c r="Z16" i="21"/>
  <c r="AB16" i="21" s="1"/>
  <c r="Z28" i="21"/>
  <c r="AB28" i="21" s="1"/>
  <c r="Z4" i="21"/>
  <c r="AB4" i="21" s="1"/>
  <c r="AB15" i="21"/>
  <c r="AB43" i="21"/>
  <c r="AB5" i="21"/>
  <c r="AB27" i="21"/>
  <c r="AB35" i="21"/>
  <c r="AB45" i="21"/>
  <c r="AB14" i="21"/>
  <c r="AB11" i="21"/>
  <c r="AB33" i="21"/>
  <c r="AB10" i="21"/>
  <c r="AB18" i="21"/>
  <c r="AB29" i="21"/>
  <c r="AB37" i="21"/>
  <c r="AB8" i="21"/>
  <c r="AB13" i="21"/>
  <c r="AB19" i="21"/>
  <c r="AB23" i="21"/>
  <c r="AB30" i="21"/>
  <c r="AB6" i="21"/>
  <c r="AB17" i="21"/>
  <c r="AB24" i="21"/>
  <c r="AB36" i="21"/>
  <c r="AB3" i="21"/>
  <c r="AB32" i="21"/>
  <c r="AB9" i="21"/>
  <c r="AB12" i="21"/>
  <c r="A32" i="21"/>
  <c r="A35" i="21" s="1"/>
  <c r="A37" i="21" s="1"/>
  <c r="A33" i="21"/>
  <c r="A36" i="21" s="1"/>
  <c r="A38" i="21" s="1"/>
  <c r="A39" i="21" s="1"/>
  <c r="A40" i="21" s="1"/>
  <c r="A43" i="21" s="1"/>
  <c r="A44" i="21" s="1"/>
  <c r="A45" i="21" s="1"/>
  <c r="A46" i="21" s="1"/>
  <c r="AB26" i="21"/>
  <c r="AB40" i="21"/>
  <c r="AB21" i="21"/>
  <c r="AB22" i="21"/>
  <c r="AB31" i="21"/>
  <c r="AB39" i="21"/>
  <c r="AB20" i="21"/>
  <c r="AB34" i="21"/>
  <c r="W22" i="20"/>
  <c r="U22" i="20"/>
  <c r="S22" i="20"/>
  <c r="R22" i="20"/>
  <c r="W20" i="20"/>
  <c r="V20" i="20"/>
  <c r="U20" i="20"/>
  <c r="T20" i="20"/>
  <c r="S20" i="20"/>
  <c r="R20" i="20"/>
  <c r="U21" i="20"/>
  <c r="T21" i="20"/>
  <c r="U12" i="20"/>
  <c r="U13" i="20"/>
  <c r="T13" i="20"/>
  <c r="W30" i="20"/>
  <c r="U30" i="20"/>
  <c r="T30" i="20"/>
  <c r="S30" i="20"/>
  <c r="R30" i="20"/>
  <c r="W28" i="20"/>
  <c r="V28" i="20"/>
  <c r="U28" i="20"/>
  <c r="T28" i="20"/>
  <c r="S28" i="20"/>
  <c r="R28" i="20"/>
  <c r="U26" i="20"/>
  <c r="U24" i="20"/>
  <c r="T24" i="20"/>
  <c r="W16" i="20"/>
  <c r="V16" i="20"/>
  <c r="S16" i="20"/>
  <c r="R16" i="20"/>
  <c r="U17" i="20"/>
  <c r="T17" i="20"/>
  <c r="S17" i="20"/>
  <c r="T40" i="20"/>
  <c r="S40" i="20"/>
  <c r="V39" i="20"/>
  <c r="T39" i="20"/>
  <c r="S39" i="20"/>
  <c r="V31" i="20"/>
  <c r="U31" i="20"/>
  <c r="T31" i="20"/>
  <c r="S31" i="20"/>
  <c r="V7" i="20"/>
  <c r="U7" i="20"/>
  <c r="T7" i="20"/>
  <c r="S7" i="20"/>
  <c r="R7" i="20"/>
  <c r="W4" i="20"/>
  <c r="T4" i="20"/>
  <c r="S4" i="20"/>
  <c r="R4" i="20"/>
  <c r="M12" i="20"/>
  <c r="L12" i="20"/>
  <c r="M13" i="20"/>
  <c r="L13" i="20"/>
  <c r="L23" i="20"/>
  <c r="M22" i="20"/>
  <c r="L22" i="20"/>
  <c r="K22" i="20"/>
  <c r="M20" i="20"/>
  <c r="L20" i="20"/>
  <c r="K20" i="20"/>
  <c r="L21" i="20"/>
  <c r="K30" i="20"/>
  <c r="L30" i="20"/>
  <c r="M30" i="20"/>
  <c r="M28" i="20"/>
  <c r="L28" i="20"/>
  <c r="L26" i="20"/>
  <c r="M24" i="20"/>
  <c r="L24" i="20"/>
  <c r="K24" i="20"/>
  <c r="L17" i="20"/>
  <c r="K16" i="20"/>
  <c r="L40" i="20"/>
  <c r="M40" i="20"/>
  <c r="M39" i="20"/>
  <c r="L39" i="20"/>
  <c r="M32" i="20"/>
  <c r="M31" i="20"/>
  <c r="L31" i="20"/>
  <c r="L7" i="20"/>
  <c r="K7" i="20"/>
  <c r="L4" i="20"/>
  <c r="K4" i="20"/>
  <c r="AS44" i="21" l="1"/>
  <c r="AS46" i="21"/>
  <c r="AS25" i="21"/>
  <c r="AE39" i="21"/>
  <c r="AT39" i="21"/>
  <c r="AE18" i="21"/>
  <c r="AT18" i="21"/>
  <c r="AE22" i="21"/>
  <c r="AT22" i="21"/>
  <c r="AE17" i="21"/>
  <c r="AT17" i="21"/>
  <c r="AE11" i="21"/>
  <c r="AT11" i="21"/>
  <c r="AE21" i="21"/>
  <c r="AT21" i="21"/>
  <c r="AE14" i="21"/>
  <c r="AT14" i="21"/>
  <c r="AE35" i="21"/>
  <c r="AT35" i="21"/>
  <c r="AE28" i="21"/>
  <c r="AT28" i="21"/>
  <c r="AE30" i="21"/>
  <c r="AT30" i="21"/>
  <c r="AE7" i="21"/>
  <c r="AT7" i="21"/>
  <c r="AE13" i="21"/>
  <c r="AT13" i="21"/>
  <c r="AE27" i="21"/>
  <c r="AT27" i="21"/>
  <c r="AE6" i="21"/>
  <c r="AT6" i="21"/>
  <c r="AE40" i="21"/>
  <c r="AT40" i="21"/>
  <c r="AE45" i="21"/>
  <c r="AT45" i="21"/>
  <c r="AE19" i="21"/>
  <c r="AT19" i="21"/>
  <c r="AE12" i="21"/>
  <c r="AT12" i="21"/>
  <c r="AE8" i="21"/>
  <c r="AT8" i="21"/>
  <c r="AE5" i="21"/>
  <c r="AT5" i="21"/>
  <c r="AE34" i="21"/>
  <c r="AT34" i="21"/>
  <c r="AE9" i="21"/>
  <c r="AT9" i="21"/>
  <c r="AE37" i="21"/>
  <c r="AT37" i="21"/>
  <c r="AE43" i="21"/>
  <c r="AT43" i="21"/>
  <c r="AE16" i="21"/>
  <c r="AT16" i="21"/>
  <c r="AE26" i="21"/>
  <c r="AT26" i="21"/>
  <c r="AE23" i="21"/>
  <c r="AT23" i="21"/>
  <c r="AE38" i="21"/>
  <c r="AT38" i="21"/>
  <c r="AE20" i="21"/>
  <c r="AT20" i="21"/>
  <c r="AE32" i="21"/>
  <c r="AT32" i="21"/>
  <c r="AE29" i="21"/>
  <c r="AT29" i="21"/>
  <c r="AE15" i="21"/>
  <c r="AT15" i="21"/>
  <c r="AC3" i="21"/>
  <c r="AT3" i="21"/>
  <c r="AE4" i="21"/>
  <c r="AT4" i="21"/>
  <c r="AE31" i="21"/>
  <c r="AT31" i="21"/>
  <c r="AE36" i="21"/>
  <c r="AT36" i="21"/>
  <c r="AE10" i="21"/>
  <c r="AT10" i="21"/>
  <c r="AE24" i="21"/>
  <c r="AT24" i="21"/>
  <c r="AE33" i="21"/>
  <c r="AT33" i="21"/>
  <c r="AE3" i="21"/>
  <c r="I17" i="20"/>
  <c r="H17" i="20"/>
  <c r="I30" i="20"/>
  <c r="H30" i="20"/>
  <c r="I28" i="20"/>
  <c r="H28" i="20"/>
  <c r="H24" i="20"/>
  <c r="I22" i="20"/>
  <c r="H22" i="20"/>
  <c r="I20" i="20"/>
  <c r="H20" i="20"/>
  <c r="H21" i="20"/>
  <c r="I16" i="20"/>
  <c r="H16" i="20"/>
  <c r="H40" i="20"/>
  <c r="H39" i="20"/>
  <c r="H34" i="20"/>
  <c r="H31" i="20"/>
  <c r="H11" i="20"/>
  <c r="I9" i="20"/>
  <c r="H9" i="20"/>
  <c r="J7" i="20"/>
  <c r="I7" i="20"/>
  <c r="I4" i="20"/>
  <c r="G12" i="20"/>
  <c r="E12" i="20"/>
  <c r="G13" i="20"/>
  <c r="F13" i="20"/>
  <c r="E13" i="20"/>
  <c r="G30" i="20"/>
  <c r="F30" i="20"/>
  <c r="E30" i="20"/>
  <c r="G28" i="20"/>
  <c r="F28" i="20"/>
  <c r="E28" i="20"/>
  <c r="G24" i="20"/>
  <c r="F24" i="20"/>
  <c r="E24" i="20"/>
  <c r="G22" i="20"/>
  <c r="F22" i="20"/>
  <c r="E22" i="20"/>
  <c r="G20" i="20"/>
  <c r="F20" i="20"/>
  <c r="E20" i="20"/>
  <c r="G21" i="20"/>
  <c r="G16" i="20"/>
  <c r="F16" i="20"/>
  <c r="G17" i="20"/>
  <c r="F17" i="20"/>
  <c r="E17" i="20"/>
  <c r="G31" i="20"/>
  <c r="F31" i="20"/>
  <c r="G11" i="20"/>
  <c r="G9" i="20"/>
  <c r="AH10" i="20"/>
  <c r="AG10" i="20"/>
  <c r="G7" i="20"/>
  <c r="AU46" i="21" l="1"/>
  <c r="AU44" i="21"/>
  <c r="AS6" i="21"/>
  <c r="AS8" i="21"/>
  <c r="AS35" i="21"/>
  <c r="AS27" i="21"/>
  <c r="AS31" i="21"/>
  <c r="AS16" i="21"/>
  <c r="AS26" i="21"/>
  <c r="AS32" i="21"/>
  <c r="AS43" i="21"/>
  <c r="AS15" i="21"/>
  <c r="AS18" i="21"/>
  <c r="AS29" i="21"/>
  <c r="AS39" i="21"/>
  <c r="AU25" i="21"/>
  <c r="BD25" i="21"/>
  <c r="BE25" i="21" s="1"/>
  <c r="AS37" i="21"/>
  <c r="AS11" i="21"/>
  <c r="AS4" i="21"/>
  <c r="AS38" i="21"/>
  <c r="AS45" i="21"/>
  <c r="AS17" i="21"/>
  <c r="AS33" i="21"/>
  <c r="AS3" i="21"/>
  <c r="AS23" i="21"/>
  <c r="AS34" i="21"/>
  <c r="AS40" i="21"/>
  <c r="AS28" i="21"/>
  <c r="AS22" i="21"/>
  <c r="AS24" i="21"/>
  <c r="AS5" i="21"/>
  <c r="AS10" i="21"/>
  <c r="AS14" i="21"/>
  <c r="AS36" i="21"/>
  <c r="AS12" i="21"/>
  <c r="AS13" i="21"/>
  <c r="AS21" i="21"/>
  <c r="AS20" i="21"/>
  <c r="AS19" i="21"/>
  <c r="AS7" i="21"/>
  <c r="AS9" i="21"/>
  <c r="AS30" i="21"/>
  <c r="AJ10" i="20"/>
  <c r="AM10" i="20" s="1"/>
  <c r="AG27" i="19"/>
  <c r="AG21" i="19"/>
  <c r="AG19" i="19"/>
  <c r="AG12" i="19"/>
  <c r="AG23" i="19"/>
  <c r="AG16" i="19"/>
  <c r="AU8" i="21" l="1"/>
  <c r="AU9" i="21"/>
  <c r="AU29" i="21"/>
  <c r="AU45" i="21"/>
  <c r="AU10" i="21"/>
  <c r="AU38" i="21"/>
  <c r="AU30" i="21"/>
  <c r="AU13" i="21"/>
  <c r="AU12" i="21"/>
  <c r="AU11" i="21"/>
  <c r="AU37" i="21"/>
  <c r="AU35" i="21"/>
  <c r="AU23" i="21"/>
  <c r="BD3" i="21"/>
  <c r="BE3" i="21" s="1"/>
  <c r="AU36" i="21"/>
  <c r="AU43" i="21"/>
  <c r="AU31" i="21"/>
  <c r="BD31" i="21"/>
  <c r="BE31" i="21" s="1"/>
  <c r="AU27" i="21"/>
  <c r="BD27" i="21"/>
  <c r="BE27" i="21" s="1"/>
  <c r="AU5" i="21"/>
  <c r="BD5" i="21"/>
  <c r="BE5" i="21" s="1"/>
  <c r="AU39" i="21"/>
  <c r="BD39" i="21"/>
  <c r="BE39" i="21" s="1"/>
  <c r="AU32" i="21"/>
  <c r="BD32" i="21"/>
  <c r="BE32" i="21" s="1"/>
  <c r="AU15" i="21"/>
  <c r="BD15" i="21"/>
  <c r="BE15" i="21" s="1"/>
  <c r="AU26" i="21"/>
  <c r="BD26" i="21"/>
  <c r="BE26" i="21" s="1"/>
  <c r="AU7" i="21"/>
  <c r="BD7" i="21"/>
  <c r="BE7" i="21" s="1"/>
  <c r="AU17" i="21"/>
  <c r="BD17" i="21"/>
  <c r="BE17" i="21" s="1"/>
  <c r="AU4" i="21"/>
  <c r="BD4" i="21"/>
  <c r="BE4" i="21" s="1"/>
  <c r="AU19" i="21"/>
  <c r="BD19" i="21"/>
  <c r="BE19" i="21" s="1"/>
  <c r="AU14" i="21"/>
  <c r="BD14" i="21"/>
  <c r="BE14" i="21" s="1"/>
  <c r="AU21" i="21"/>
  <c r="BD21" i="21"/>
  <c r="BE21" i="21" s="1"/>
  <c r="AU40" i="21"/>
  <c r="BD40" i="21"/>
  <c r="BE40" i="21" s="1"/>
  <c r="AU34" i="21"/>
  <c r="BD34" i="21"/>
  <c r="BE34" i="21" s="1"/>
  <c r="AU24" i="21"/>
  <c r="BD24" i="21"/>
  <c r="BE24" i="21" s="1"/>
  <c r="AU22" i="21"/>
  <c r="BD22" i="21"/>
  <c r="BE22" i="21" s="1"/>
  <c r="AW23" i="21"/>
  <c r="AU33" i="21"/>
  <c r="BD33" i="21"/>
  <c r="BE33" i="21" s="1"/>
  <c r="AU16" i="21"/>
  <c r="BD16" i="21"/>
  <c r="BE16" i="21" s="1"/>
  <c r="AU6" i="21"/>
  <c r="BD6" i="21"/>
  <c r="BE6" i="21" s="1"/>
  <c r="AU3" i="21"/>
  <c r="AU20" i="21"/>
  <c r="BD20" i="21"/>
  <c r="BE20" i="21" s="1"/>
  <c r="AU28" i="21"/>
  <c r="BD28" i="21"/>
  <c r="BE28" i="21" s="1"/>
  <c r="AU18" i="21"/>
  <c r="BD18" i="21"/>
  <c r="BE18" i="21" s="1"/>
  <c r="AV37" i="21"/>
  <c r="V45" i="19"/>
  <c r="O45" i="19"/>
  <c r="AP46" i="20"/>
  <c r="BD46" i="20"/>
  <c r="AO46" i="20"/>
  <c r="AN52" i="20" s="1"/>
  <c r="AN46" i="20"/>
  <c r="AN51" i="20" s="1"/>
  <c r="AF46" i="20"/>
  <c r="AE46" i="20"/>
  <c r="D46" i="20"/>
  <c r="AS44" i="20"/>
  <c r="AH44" i="20"/>
  <c r="AG44" i="20"/>
  <c r="AJ44" i="20" s="1"/>
  <c r="AM44" i="20" s="1"/>
  <c r="AS43" i="20"/>
  <c r="AH43" i="20"/>
  <c r="AG43" i="20"/>
  <c r="AS42" i="20"/>
  <c r="AH42" i="20"/>
  <c r="AG42" i="20"/>
  <c r="AS41" i="20"/>
  <c r="AH41" i="20"/>
  <c r="AG41" i="20"/>
  <c r="AS40" i="20"/>
  <c r="AG40" i="20"/>
  <c r="AH40" i="20"/>
  <c r="AS39" i="20"/>
  <c r="AG39" i="20"/>
  <c r="AH39" i="20"/>
  <c r="AS38" i="20"/>
  <c r="AH38" i="20"/>
  <c r="AG38" i="20"/>
  <c r="AS37" i="20"/>
  <c r="AH37" i="20"/>
  <c r="AG37" i="20"/>
  <c r="AS36" i="20"/>
  <c r="AH36" i="20"/>
  <c r="AG36" i="20"/>
  <c r="AS35" i="20"/>
  <c r="AH35" i="20"/>
  <c r="AG35" i="20"/>
  <c r="AG34" i="20"/>
  <c r="AH34" i="20"/>
  <c r="AS33" i="20"/>
  <c r="AH33" i="20"/>
  <c r="AG33" i="20"/>
  <c r="AS32" i="20"/>
  <c r="AH32" i="20"/>
  <c r="AG32" i="20"/>
  <c r="AS31" i="20"/>
  <c r="AG31" i="20"/>
  <c r="AH31" i="20"/>
  <c r="AS30" i="20"/>
  <c r="AG30" i="20"/>
  <c r="AS29" i="20"/>
  <c r="AH29" i="20"/>
  <c r="AG29" i="20"/>
  <c r="AS28" i="20"/>
  <c r="AG28" i="20"/>
  <c r="AS27" i="20"/>
  <c r="AH27" i="20"/>
  <c r="AG27" i="20"/>
  <c r="AS26" i="20"/>
  <c r="AG26" i="20"/>
  <c r="AH26" i="20"/>
  <c r="AS25" i="20"/>
  <c r="AH25" i="20"/>
  <c r="AG25" i="20"/>
  <c r="AS24" i="20"/>
  <c r="AG24" i="20"/>
  <c r="AS23" i="20"/>
  <c r="AH23" i="20"/>
  <c r="AG23" i="20"/>
  <c r="AS22" i="20"/>
  <c r="AG22" i="20"/>
  <c r="AS21" i="20"/>
  <c r="AG21" i="20"/>
  <c r="AH21" i="20"/>
  <c r="AS20" i="20"/>
  <c r="AG20" i="20"/>
  <c r="AS19" i="20"/>
  <c r="AH19" i="20"/>
  <c r="AG19" i="20"/>
  <c r="AS18" i="20"/>
  <c r="AH18" i="20"/>
  <c r="AG18" i="20"/>
  <c r="AS17" i="20"/>
  <c r="AG17" i="20"/>
  <c r="AH17" i="20"/>
  <c r="AS16" i="20"/>
  <c r="AG16" i="20"/>
  <c r="AS15" i="20"/>
  <c r="AH15" i="20"/>
  <c r="AG15" i="20"/>
  <c r="AJ15" i="20" s="1"/>
  <c r="AM15" i="20" s="1"/>
  <c r="AH14" i="20"/>
  <c r="AG14" i="20"/>
  <c r="AS13" i="20"/>
  <c r="AG13" i="20"/>
  <c r="AH13" i="20"/>
  <c r="A13" i="20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S12" i="20"/>
  <c r="AG12" i="20"/>
  <c r="AH12" i="20"/>
  <c r="AG11" i="20"/>
  <c r="AH11" i="20"/>
  <c r="AG9" i="20"/>
  <c r="AH9" i="20"/>
  <c r="AS8" i="20"/>
  <c r="AH8" i="20"/>
  <c r="AG8" i="20"/>
  <c r="AS7" i="20"/>
  <c r="AG7" i="20"/>
  <c r="AS6" i="20"/>
  <c r="AH6" i="20"/>
  <c r="AG6" i="20"/>
  <c r="AS5" i="20"/>
  <c r="AH5" i="20"/>
  <c r="AG5" i="20"/>
  <c r="AS4" i="20"/>
  <c r="AG4" i="20"/>
  <c r="A4" i="20"/>
  <c r="A5" i="20" s="1"/>
  <c r="A6" i="20" s="1"/>
  <c r="A7" i="20" s="1"/>
  <c r="A8" i="20" s="1"/>
  <c r="A9" i="20" s="1"/>
  <c r="AS3" i="20"/>
  <c r="AH3" i="20"/>
  <c r="AG3" i="20"/>
  <c r="S22" i="19"/>
  <c r="AC34" i="19"/>
  <c r="Z15" i="19"/>
  <c r="U15" i="19"/>
  <c r="S15" i="19"/>
  <c r="R15" i="19"/>
  <c r="Q15" i="19"/>
  <c r="P15" i="19"/>
  <c r="S16" i="19"/>
  <c r="AC35" i="19"/>
  <c r="Z21" i="19"/>
  <c r="U21" i="19"/>
  <c r="S21" i="19"/>
  <c r="R21" i="19"/>
  <c r="Q21" i="19"/>
  <c r="P21" i="19"/>
  <c r="U19" i="19"/>
  <c r="Z19" i="19"/>
  <c r="S19" i="19"/>
  <c r="R19" i="19"/>
  <c r="Q19" i="19"/>
  <c r="P19" i="19"/>
  <c r="Q20" i="19"/>
  <c r="S11" i="19"/>
  <c r="R11" i="19"/>
  <c r="P12" i="19"/>
  <c r="P45" i="19" s="1"/>
  <c r="Q12" i="19"/>
  <c r="S12" i="19"/>
  <c r="U29" i="19"/>
  <c r="T29" i="19"/>
  <c r="S29" i="19"/>
  <c r="R29" i="19"/>
  <c r="Q29" i="19"/>
  <c r="P29" i="19"/>
  <c r="P23" i="19"/>
  <c r="Q23" i="19"/>
  <c r="R23" i="19"/>
  <c r="S23" i="19"/>
  <c r="U23" i="19"/>
  <c r="Z23" i="19"/>
  <c r="Z27" i="19"/>
  <c r="U27" i="19"/>
  <c r="T27" i="19"/>
  <c r="S27" i="19"/>
  <c r="R27" i="19"/>
  <c r="Q27" i="19"/>
  <c r="P27" i="19"/>
  <c r="U25" i="19"/>
  <c r="R25" i="19"/>
  <c r="Q25" i="19"/>
  <c r="P25" i="19"/>
  <c r="P16" i="19"/>
  <c r="S35" i="19"/>
  <c r="T39" i="19"/>
  <c r="T38" i="19"/>
  <c r="S38" i="19"/>
  <c r="S33" i="19"/>
  <c r="R33" i="19"/>
  <c r="T30" i="19"/>
  <c r="T45" i="19" s="1"/>
  <c r="S30" i="19"/>
  <c r="R30" i="19"/>
  <c r="Y10" i="19"/>
  <c r="X10" i="19"/>
  <c r="AA10" i="19" s="1"/>
  <c r="AD10" i="19" s="1"/>
  <c r="Y9" i="19"/>
  <c r="X9" i="19"/>
  <c r="AA9" i="19" s="1"/>
  <c r="AD9" i="19" s="1"/>
  <c r="Q10" i="19"/>
  <c r="Q9" i="19"/>
  <c r="U7" i="19"/>
  <c r="T7" i="19"/>
  <c r="S7" i="19"/>
  <c r="R7" i="19"/>
  <c r="Q7" i="19"/>
  <c r="Z7" i="19"/>
  <c r="U4" i="19"/>
  <c r="U45" i="19" s="1"/>
  <c r="S4" i="19"/>
  <c r="S45" i="19" s="1"/>
  <c r="R4" i="19"/>
  <c r="R45" i="19" s="1"/>
  <c r="Q4" i="19"/>
  <c r="Q45" i="19" s="1"/>
  <c r="M21" i="19"/>
  <c r="L21" i="19"/>
  <c r="N19" i="19"/>
  <c r="M19" i="19"/>
  <c r="K19" i="19"/>
  <c r="N20" i="19"/>
  <c r="M20" i="19"/>
  <c r="L20" i="19"/>
  <c r="L22" i="19"/>
  <c r="L11" i="19"/>
  <c r="M12" i="19"/>
  <c r="K12" i="19"/>
  <c r="AV8" i="21" l="1"/>
  <c r="AW29" i="21"/>
  <c r="AX11" i="21"/>
  <c r="AW12" i="21"/>
  <c r="AV17" i="21"/>
  <c r="AX19" i="21"/>
  <c r="AW43" i="21"/>
  <c r="AV34" i="21"/>
  <c r="BF34" i="21" s="1"/>
  <c r="AV32" i="21"/>
  <c r="AV42" i="21"/>
  <c r="BF42" i="21" s="1"/>
  <c r="AW38" i="21"/>
  <c r="AW30" i="21"/>
  <c r="AX44" i="21"/>
  <c r="AX4" i="21"/>
  <c r="AX32" i="21"/>
  <c r="AV20" i="21"/>
  <c r="BF20" i="21" s="1"/>
  <c r="AV14" i="21"/>
  <c r="BF14" i="21" s="1"/>
  <c r="AV6" i="21"/>
  <c r="AW45" i="21"/>
  <c r="AX25" i="21"/>
  <c r="AW32" i="21"/>
  <c r="AX3" i="21"/>
  <c r="AW10" i="21"/>
  <c r="AW28" i="21"/>
  <c r="AX28" i="21"/>
  <c r="AW26" i="21"/>
  <c r="AV39" i="21"/>
  <c r="BF39" i="21" s="1"/>
  <c r="AX6" i="21"/>
  <c r="AV36" i="21"/>
  <c r="BF36" i="21" s="1"/>
  <c r="AV33" i="21"/>
  <c r="BF33" i="21" s="1"/>
  <c r="AV9" i="21"/>
  <c r="AV22" i="21"/>
  <c r="BA22" i="21" s="1"/>
  <c r="AV35" i="21"/>
  <c r="AV7" i="21"/>
  <c r="BF7" i="21" s="1"/>
  <c r="AW14" i="21"/>
  <c r="AX21" i="21"/>
  <c r="AV15" i="21"/>
  <c r="BA15" i="21" s="1"/>
  <c r="BA32" i="21"/>
  <c r="AZ32" i="21" s="1"/>
  <c r="AW20" i="21"/>
  <c r="AW19" i="21"/>
  <c r="AX45" i="21"/>
  <c r="AV19" i="21"/>
  <c r="AV44" i="21"/>
  <c r="BF44" i="21" s="1"/>
  <c r="AW41" i="21"/>
  <c r="AV11" i="21"/>
  <c r="BF11" i="21" s="1"/>
  <c r="AW31" i="21"/>
  <c r="AW22" i="21"/>
  <c r="AW40" i="21"/>
  <c r="AW39" i="21"/>
  <c r="AX46" i="21"/>
  <c r="AX9" i="21"/>
  <c r="AV3" i="21"/>
  <c r="BF3" i="21" s="1"/>
  <c r="AW42" i="21"/>
  <c r="AW37" i="21"/>
  <c r="BA37" i="21" s="1"/>
  <c r="AV45" i="21"/>
  <c r="BF45" i="21" s="1"/>
  <c r="AX13" i="21"/>
  <c r="AW13" i="21"/>
  <c r="AW6" i="21"/>
  <c r="AX24" i="21"/>
  <c r="AX18" i="21"/>
  <c r="AW27" i="21"/>
  <c r="AX34" i="21"/>
  <c r="AV28" i="21"/>
  <c r="AW35" i="21"/>
  <c r="AW4" i="21"/>
  <c r="AX29" i="21"/>
  <c r="AX7" i="21"/>
  <c r="AW34" i="21"/>
  <c r="AX12" i="21"/>
  <c r="AW17" i="21"/>
  <c r="BA17" i="21" s="1"/>
  <c r="AX15" i="21"/>
  <c r="AX8" i="21"/>
  <c r="AX41" i="21"/>
  <c r="AW9" i="21"/>
  <c r="AW5" i="21"/>
  <c r="AV13" i="21"/>
  <c r="BF13" i="21" s="1"/>
  <c r="AW16" i="21"/>
  <c r="AX36" i="21"/>
  <c r="AV21" i="21"/>
  <c r="BF21" i="21" s="1"/>
  <c r="AV46" i="21"/>
  <c r="BF46" i="21" s="1"/>
  <c r="AW15" i="21"/>
  <c r="AX22" i="21"/>
  <c r="AV16" i="21"/>
  <c r="AW11" i="21"/>
  <c r="BF6" i="21"/>
  <c r="BF17" i="21"/>
  <c r="AV10" i="21"/>
  <c r="BF10" i="21" s="1"/>
  <c r="AW8" i="21"/>
  <c r="BA8" i="21" s="1"/>
  <c r="AW25" i="21"/>
  <c r="AV43" i="21"/>
  <c r="AX20" i="21"/>
  <c r="AV31" i="21"/>
  <c r="BF31" i="21" s="1"/>
  <c r="AV26" i="21"/>
  <c r="BF26" i="21" s="1"/>
  <c r="AX33" i="21"/>
  <c r="AX27" i="21"/>
  <c r="AX5" i="21"/>
  <c r="AW18" i="21"/>
  <c r="AX38" i="21"/>
  <c r="AX14" i="21"/>
  <c r="AW21" i="21"/>
  <c r="AV24" i="21"/>
  <c r="AW3" i="21"/>
  <c r="AV41" i="21"/>
  <c r="BF41" i="21" s="1"/>
  <c r="AV4" i="21"/>
  <c r="BA4" i="21" s="1"/>
  <c r="AZ4" i="21" s="1"/>
  <c r="AX43" i="21"/>
  <c r="AV12" i="21"/>
  <c r="BF12" i="21" s="1"/>
  <c r="AV30" i="21"/>
  <c r="BA30" i="21" s="1"/>
  <c r="AV23" i="21"/>
  <c r="BF23" i="21" s="1"/>
  <c r="AX39" i="21"/>
  <c r="AX17" i="21"/>
  <c r="AW44" i="21"/>
  <c r="AW33" i="21"/>
  <c r="AV38" i="21"/>
  <c r="BF38" i="21" s="1"/>
  <c r="AX40" i="21"/>
  <c r="AX16" i="21"/>
  <c r="AV25" i="21"/>
  <c r="BF25" i="21" s="1"/>
  <c r="AX26" i="21"/>
  <c r="AW46" i="21"/>
  <c r="AX35" i="21"/>
  <c r="AV29" i="21"/>
  <c r="AW24" i="21"/>
  <c r="AX31" i="21"/>
  <c r="BF37" i="21"/>
  <c r="AX37" i="21"/>
  <c r="AX30" i="21"/>
  <c r="AX42" i="21"/>
  <c r="AW7" i="21"/>
  <c r="BA7" i="21" s="1"/>
  <c r="AX23" i="21"/>
  <c r="AX10" i="21"/>
  <c r="AV40" i="21"/>
  <c r="AV27" i="21"/>
  <c r="BF35" i="21"/>
  <c r="BA41" i="21"/>
  <c r="BA31" i="21"/>
  <c r="BF8" i="21"/>
  <c r="AV18" i="21"/>
  <c r="BF18" i="21" s="1"/>
  <c r="AV5" i="21"/>
  <c r="AW36" i="21"/>
  <c r="BF24" i="21"/>
  <c r="BF32" i="21"/>
  <c r="AN50" i="20"/>
  <c r="AP50" i="20" s="1"/>
  <c r="AQ46" i="20"/>
  <c r="AJ37" i="20"/>
  <c r="AM37" i="20" s="1"/>
  <c r="AJ41" i="20"/>
  <c r="AM41" i="20" s="1"/>
  <c r="AJ6" i="20"/>
  <c r="AM6" i="20" s="1"/>
  <c r="AJ34" i="20"/>
  <c r="AM34" i="20" s="1"/>
  <c r="AJ23" i="20"/>
  <c r="AM23" i="20" s="1"/>
  <c r="AJ27" i="20"/>
  <c r="AM27" i="20" s="1"/>
  <c r="AJ42" i="20"/>
  <c r="AM42" i="20" s="1"/>
  <c r="AJ21" i="20"/>
  <c r="AM21" i="20" s="1"/>
  <c r="AH16" i="20"/>
  <c r="AJ16" i="20" s="1"/>
  <c r="AM16" i="20" s="1"/>
  <c r="AJ5" i="20"/>
  <c r="AM5" i="20" s="1"/>
  <c r="AJ8" i="20"/>
  <c r="AM8" i="20" s="1"/>
  <c r="AH28" i="20"/>
  <c r="AJ28" i="20" s="1"/>
  <c r="AM28" i="20" s="1"/>
  <c r="AJ19" i="20"/>
  <c r="AM19" i="20" s="1"/>
  <c r="AJ25" i="20"/>
  <c r="AM25" i="20" s="1"/>
  <c r="AJ32" i="20"/>
  <c r="AM32" i="20" s="1"/>
  <c r="AJ29" i="20"/>
  <c r="AM29" i="20" s="1"/>
  <c r="AJ35" i="20"/>
  <c r="AM35" i="20" s="1"/>
  <c r="AJ12" i="20"/>
  <c r="AM12" i="20" s="1"/>
  <c r="AJ43" i="20"/>
  <c r="AM43" i="20" s="1"/>
  <c r="AJ14" i="20"/>
  <c r="AM14" i="20" s="1"/>
  <c r="AJ36" i="20"/>
  <c r="AM36" i="20" s="1"/>
  <c r="AJ39" i="20"/>
  <c r="AM39" i="20" s="1"/>
  <c r="AJ11" i="20"/>
  <c r="AM11" i="20" s="1"/>
  <c r="AJ18" i="20"/>
  <c r="AM18" i="20" s="1"/>
  <c r="AJ33" i="20"/>
  <c r="AM33" i="20" s="1"/>
  <c r="A32" i="20"/>
  <c r="A35" i="20" s="1"/>
  <c r="A37" i="20" s="1"/>
  <c r="A33" i="20"/>
  <c r="A36" i="20" s="1"/>
  <c r="A38" i="20" s="1"/>
  <c r="A39" i="20" s="1"/>
  <c r="A40" i="20" s="1"/>
  <c r="A41" i="20" s="1"/>
  <c r="A42" i="20" s="1"/>
  <c r="A43" i="20" s="1"/>
  <c r="A44" i="20" s="1"/>
  <c r="AL46" i="20"/>
  <c r="AS14" i="20"/>
  <c r="AJ40" i="20"/>
  <c r="AM40" i="20" s="1"/>
  <c r="AJ17" i="20"/>
  <c r="AM17" i="20" s="1"/>
  <c r="AH22" i="20"/>
  <c r="AJ22" i="20" s="1"/>
  <c r="AM22" i="20" s="1"/>
  <c r="AH24" i="20"/>
  <c r="AJ24" i="20" s="1"/>
  <c r="AM24" i="20" s="1"/>
  <c r="AJ26" i="20"/>
  <c r="AM26" i="20" s="1"/>
  <c r="AJ38" i="20"/>
  <c r="AM38" i="20" s="1"/>
  <c r="AN53" i="20"/>
  <c r="AJ31" i="20"/>
  <c r="AM31" i="20" s="1"/>
  <c r="AJ9" i="20"/>
  <c r="AM9" i="20" s="1"/>
  <c r="AH20" i="20"/>
  <c r="AJ20" i="20" s="1"/>
  <c r="AM20" i="20" s="1"/>
  <c r="AG46" i="20"/>
  <c r="E46" i="20"/>
  <c r="AH7" i="20"/>
  <c r="AJ7" i="20" s="1"/>
  <c r="AM7" i="20" s="1"/>
  <c r="AI46" i="20"/>
  <c r="AJ13" i="20"/>
  <c r="AM13" i="20" s="1"/>
  <c r="AH30" i="20"/>
  <c r="AJ30" i="20" s="1"/>
  <c r="AM30" i="20" s="1"/>
  <c r="AJ3" i="20"/>
  <c r="AK3" i="20" s="1"/>
  <c r="L29" i="19"/>
  <c r="M29" i="19"/>
  <c r="N27" i="19"/>
  <c r="M27" i="19"/>
  <c r="L27" i="19"/>
  <c r="M25" i="19"/>
  <c r="L25" i="19"/>
  <c r="I25" i="19"/>
  <c r="M23" i="19"/>
  <c r="L23" i="19"/>
  <c r="K23" i="19"/>
  <c r="K45" i="19" s="1"/>
  <c r="M16" i="19"/>
  <c r="L16" i="19"/>
  <c r="N15" i="19"/>
  <c r="M15" i="19"/>
  <c r="M30" i="19"/>
  <c r="M7" i="19"/>
  <c r="L7" i="19"/>
  <c r="M4" i="19"/>
  <c r="L4" i="19"/>
  <c r="I21" i="19"/>
  <c r="I19" i="19"/>
  <c r="I20" i="19"/>
  <c r="I12" i="19"/>
  <c r="I22" i="19"/>
  <c r="I29" i="19"/>
  <c r="J27" i="19"/>
  <c r="I27" i="19"/>
  <c r="I23" i="19"/>
  <c r="Z16" i="19"/>
  <c r="I16" i="19"/>
  <c r="I15" i="19"/>
  <c r="J39" i="19"/>
  <c r="X33" i="19"/>
  <c r="J33" i="19"/>
  <c r="Y33" i="19" s="1"/>
  <c r="J30" i="19"/>
  <c r="J7" i="19"/>
  <c r="I7" i="19"/>
  <c r="J4" i="19"/>
  <c r="I4" i="19"/>
  <c r="G21" i="19"/>
  <c r="G19" i="19"/>
  <c r="G27" i="19"/>
  <c r="G23" i="19"/>
  <c r="G15" i="19"/>
  <c r="G7" i="19"/>
  <c r="G4" i="19"/>
  <c r="F21" i="19"/>
  <c r="F19" i="19"/>
  <c r="E19" i="19"/>
  <c r="F20" i="19"/>
  <c r="F29" i="19"/>
  <c r="E29" i="19"/>
  <c r="F27" i="19"/>
  <c r="E27" i="19"/>
  <c r="E23" i="19"/>
  <c r="F15" i="19"/>
  <c r="E15" i="19"/>
  <c r="F16" i="19"/>
  <c r="E16" i="19"/>
  <c r="F7" i="19"/>
  <c r="E7" i="19"/>
  <c r="F4" i="19"/>
  <c r="Z12" i="19"/>
  <c r="BA28" i="21" l="1"/>
  <c r="BA11" i="21"/>
  <c r="BA16" i="21"/>
  <c r="BA46" i="21"/>
  <c r="AZ46" i="21" s="1"/>
  <c r="BF22" i="21"/>
  <c r="BG22" i="21" s="1"/>
  <c r="BF4" i="21"/>
  <c r="BA34" i="21"/>
  <c r="AZ34" i="21" s="1"/>
  <c r="BA38" i="21"/>
  <c r="BB38" i="21" s="1"/>
  <c r="BA43" i="21"/>
  <c r="BA26" i="21"/>
  <c r="BA24" i="21"/>
  <c r="BF43" i="21"/>
  <c r="BH43" i="21" s="1"/>
  <c r="BI43" i="21" s="1"/>
  <c r="BA21" i="21"/>
  <c r="BB21" i="21" s="1"/>
  <c r="BA42" i="21"/>
  <c r="AZ42" i="21" s="1"/>
  <c r="BF16" i="21"/>
  <c r="BG16" i="21" s="1"/>
  <c r="BA35" i="21"/>
  <c r="AZ35" i="21" s="1"/>
  <c r="BH3" i="21"/>
  <c r="BI3" i="21" s="1"/>
  <c r="BA27" i="21"/>
  <c r="BB27" i="21" s="1"/>
  <c r="BA18" i="21"/>
  <c r="AZ18" i="21" s="1"/>
  <c r="BA40" i="21"/>
  <c r="BB40" i="21" s="1"/>
  <c r="BB32" i="21"/>
  <c r="BA14" i="21"/>
  <c r="BB14" i="21" s="1"/>
  <c r="BF15" i="21"/>
  <c r="BH15" i="21" s="1"/>
  <c r="BI15" i="21" s="1"/>
  <c r="BA20" i="21"/>
  <c r="BB20" i="21" s="1"/>
  <c r="BA3" i="21"/>
  <c r="BB3" i="21" s="1"/>
  <c r="BA12" i="21"/>
  <c r="AZ12" i="21" s="1"/>
  <c r="BA39" i="21"/>
  <c r="AZ39" i="21" s="1"/>
  <c r="BA9" i="21"/>
  <c r="AZ9" i="21" s="1"/>
  <c r="BA45" i="21"/>
  <c r="BB45" i="21" s="1"/>
  <c r="BF28" i="21"/>
  <c r="BG28" i="21" s="1"/>
  <c r="BA19" i="21"/>
  <c r="BB19" i="21" s="1"/>
  <c r="BA6" i="21"/>
  <c r="AZ6" i="21" s="1"/>
  <c r="BG33" i="21"/>
  <c r="BH33" i="21"/>
  <c r="BI33" i="21" s="1"/>
  <c r="BG39" i="21"/>
  <c r="BH39" i="21"/>
  <c r="BI39" i="21" s="1"/>
  <c r="BG44" i="21"/>
  <c r="BH44" i="21"/>
  <c r="BI44" i="21" s="1"/>
  <c r="AZ8" i="21"/>
  <c r="BB8" i="21"/>
  <c r="BG10" i="21"/>
  <c r="BH10" i="21"/>
  <c r="BI10" i="21" s="1"/>
  <c r="BG13" i="21"/>
  <c r="BH13" i="21"/>
  <c r="BI13" i="21" s="1"/>
  <c r="BG20" i="21"/>
  <c r="BH20" i="21"/>
  <c r="BI20" i="21" s="1"/>
  <c r="BG23" i="21"/>
  <c r="BH23" i="21"/>
  <c r="BI23" i="21" s="1"/>
  <c r="BG6" i="21"/>
  <c r="BH6" i="21"/>
  <c r="BI6" i="21" s="1"/>
  <c r="BG14" i="21"/>
  <c r="BH14" i="21"/>
  <c r="BI14" i="21" s="1"/>
  <c r="BA10" i="21"/>
  <c r="AZ10" i="21" s="1"/>
  <c r="BG36" i="21"/>
  <c r="BH36" i="21"/>
  <c r="BI36" i="21" s="1"/>
  <c r="BG4" i="21"/>
  <c r="BH4" i="21"/>
  <c r="BI4" i="21" s="1"/>
  <c r="BA29" i="21"/>
  <c r="BF29" i="21"/>
  <c r="BA44" i="21"/>
  <c r="AZ44" i="21" s="1"/>
  <c r="BF19" i="21"/>
  <c r="BB4" i="21"/>
  <c r="BG32" i="21"/>
  <c r="BH32" i="21"/>
  <c r="BI32" i="21" s="1"/>
  <c r="BG31" i="21"/>
  <c r="BH31" i="21"/>
  <c r="BI31" i="21" s="1"/>
  <c r="BG24" i="21"/>
  <c r="BH24" i="21"/>
  <c r="BI24" i="21" s="1"/>
  <c r="BA23" i="21"/>
  <c r="BB23" i="21" s="1"/>
  <c r="BG25" i="21"/>
  <c r="BH25" i="21"/>
  <c r="BI25" i="21" s="1"/>
  <c r="BF9" i="21"/>
  <c r="BF40" i="21"/>
  <c r="BG42" i="21"/>
  <c r="BH42" i="21"/>
  <c r="BI42" i="21" s="1"/>
  <c r="BG7" i="21"/>
  <c r="BH7" i="21"/>
  <c r="BI7" i="21" s="1"/>
  <c r="BG46" i="21"/>
  <c r="BH46" i="21"/>
  <c r="BI46" i="21" s="1"/>
  <c r="BG11" i="21"/>
  <c r="BH11" i="21"/>
  <c r="BI11" i="21" s="1"/>
  <c r="BG12" i="21"/>
  <c r="BH12" i="21"/>
  <c r="BI12" i="21" s="1"/>
  <c r="BA36" i="21"/>
  <c r="BG38" i="21"/>
  <c r="BH38" i="21"/>
  <c r="BI38" i="21" s="1"/>
  <c r="BG18" i="21"/>
  <c r="BH18" i="21"/>
  <c r="BI18" i="21" s="1"/>
  <c r="BB34" i="21"/>
  <c r="BA25" i="21"/>
  <c r="AZ25" i="21" s="1"/>
  <c r="BG26" i="21"/>
  <c r="BH26" i="21"/>
  <c r="BI26" i="21" s="1"/>
  <c r="BG21" i="21"/>
  <c r="BH21" i="21"/>
  <c r="BI21" i="21" s="1"/>
  <c r="BA5" i="21"/>
  <c r="BB5" i="21" s="1"/>
  <c r="BG41" i="21"/>
  <c r="BH41" i="21"/>
  <c r="BI41" i="21" s="1"/>
  <c r="BG8" i="21"/>
  <c r="BH8" i="21"/>
  <c r="BI8" i="21" s="1"/>
  <c r="BG37" i="21"/>
  <c r="BH37" i="21"/>
  <c r="BI37" i="21" s="1"/>
  <c r="BF30" i="21"/>
  <c r="BA13" i="21"/>
  <c r="BB13" i="21" s="1"/>
  <c r="BG34" i="21"/>
  <c r="BH34" i="21"/>
  <c r="BI34" i="21" s="1"/>
  <c r="BA33" i="21"/>
  <c r="BG17" i="21"/>
  <c r="BH17" i="21"/>
  <c r="BI17" i="21" s="1"/>
  <c r="BG35" i="21"/>
  <c r="BH35" i="21"/>
  <c r="BI35" i="21" s="1"/>
  <c r="BG45" i="21"/>
  <c r="BH45" i="21"/>
  <c r="BI45" i="21" s="1"/>
  <c r="AZ27" i="21"/>
  <c r="AZ36" i="21"/>
  <c r="BB36" i="21"/>
  <c r="BG3" i="21"/>
  <c r="AZ28" i="21"/>
  <c r="BB28" i="21"/>
  <c r="BB43" i="21"/>
  <c r="AZ43" i="21"/>
  <c r="AZ24" i="21"/>
  <c r="BB24" i="21"/>
  <c r="AZ37" i="21"/>
  <c r="BB37" i="21"/>
  <c r="AZ41" i="21"/>
  <c r="BB41" i="21"/>
  <c r="AZ17" i="21"/>
  <c r="BB17" i="21"/>
  <c r="AZ22" i="21"/>
  <c r="BB22" i="21"/>
  <c r="BF27" i="21"/>
  <c r="BF5" i="21"/>
  <c r="BB7" i="21"/>
  <c r="AZ7" i="21"/>
  <c r="AZ26" i="21"/>
  <c r="BB26" i="21"/>
  <c r="BB16" i="21"/>
  <c r="AZ16" i="21"/>
  <c r="AZ15" i="21"/>
  <c r="BB15" i="21"/>
  <c r="AZ30" i="21"/>
  <c r="BB30" i="21"/>
  <c r="BB11" i="21"/>
  <c r="AZ11" i="21"/>
  <c r="BB31" i="21"/>
  <c r="AZ31" i="21"/>
  <c r="L45" i="19"/>
  <c r="M45" i="19"/>
  <c r="N45" i="19"/>
  <c r="AM3" i="20"/>
  <c r="I45" i="19"/>
  <c r="J45" i="19"/>
  <c r="AA33" i="19"/>
  <c r="AD33" i="19" s="1"/>
  <c r="AQ45" i="19"/>
  <c r="AG45" i="19"/>
  <c r="AF45" i="19"/>
  <c r="AE51" i="19" s="1"/>
  <c r="AE45" i="19"/>
  <c r="AE50" i="19" s="1"/>
  <c r="W45" i="19"/>
  <c r="D45" i="19"/>
  <c r="Y43" i="19"/>
  <c r="X43" i="19"/>
  <c r="AA43" i="19" s="1"/>
  <c r="AD43" i="19" s="1"/>
  <c r="Y42" i="19"/>
  <c r="X42" i="19"/>
  <c r="Y41" i="19"/>
  <c r="X41" i="19"/>
  <c r="Y40" i="19"/>
  <c r="X40" i="19"/>
  <c r="X39" i="19"/>
  <c r="Y39" i="19"/>
  <c r="X38" i="19"/>
  <c r="Y38" i="19"/>
  <c r="Y37" i="19"/>
  <c r="X37" i="19"/>
  <c r="Y36" i="19"/>
  <c r="X36" i="19"/>
  <c r="Y35" i="19"/>
  <c r="X35" i="19"/>
  <c r="Y34" i="19"/>
  <c r="X34" i="19"/>
  <c r="Y32" i="19"/>
  <c r="X32" i="19"/>
  <c r="X31" i="19"/>
  <c r="Y31" i="19"/>
  <c r="X30" i="19"/>
  <c r="Y30" i="19"/>
  <c r="X29" i="19"/>
  <c r="Y29" i="19"/>
  <c r="Y28" i="19"/>
  <c r="X28" i="19"/>
  <c r="X27" i="19"/>
  <c r="Y27" i="19"/>
  <c r="Y26" i="19"/>
  <c r="X26" i="19"/>
  <c r="X25" i="19"/>
  <c r="Y25" i="19"/>
  <c r="X24" i="19"/>
  <c r="Y24" i="19"/>
  <c r="Y23" i="19"/>
  <c r="X23" i="19"/>
  <c r="E45" i="19"/>
  <c r="Y22" i="19"/>
  <c r="X22" i="19"/>
  <c r="X21" i="19"/>
  <c r="Y21" i="19"/>
  <c r="Y20" i="19"/>
  <c r="X20" i="19"/>
  <c r="X19" i="19"/>
  <c r="Y19" i="19"/>
  <c r="Y18" i="19"/>
  <c r="X18" i="19"/>
  <c r="AC17" i="19"/>
  <c r="Y17" i="19"/>
  <c r="X17" i="19"/>
  <c r="X16" i="19"/>
  <c r="X15" i="19"/>
  <c r="Y14" i="19"/>
  <c r="X14" i="19"/>
  <c r="AC13" i="19"/>
  <c r="Y13" i="19"/>
  <c r="X13" i="19"/>
  <c r="Y12" i="19"/>
  <c r="X12" i="19"/>
  <c r="H45" i="19"/>
  <c r="X11" i="19"/>
  <c r="Y11" i="19"/>
  <c r="Y8" i="19"/>
  <c r="X8" i="19"/>
  <c r="X7" i="19"/>
  <c r="Y7" i="19"/>
  <c r="Y6" i="19"/>
  <c r="X6" i="19"/>
  <c r="Y5" i="19"/>
  <c r="X5" i="19"/>
  <c r="X4" i="19"/>
  <c r="G45" i="19"/>
  <c r="Y4" i="19"/>
  <c r="A4" i="19"/>
  <c r="A5" i="19" s="1"/>
  <c r="A6" i="19" s="1"/>
  <c r="A7" i="19" s="1"/>
  <c r="A8" i="19" s="1"/>
  <c r="A9" i="19" s="1"/>
  <c r="Y3" i="19"/>
  <c r="X3" i="19"/>
  <c r="BH16" i="21" l="1"/>
  <c r="BI16" i="21" s="1"/>
  <c r="BB6" i="21"/>
  <c r="AZ38" i="21"/>
  <c r="AZ21" i="21"/>
  <c r="BB46" i="21"/>
  <c r="AZ45" i="21"/>
  <c r="BG15" i="21"/>
  <c r="BG43" i="21"/>
  <c r="BB35" i="21"/>
  <c r="BH22" i="21"/>
  <c r="BI22" i="21" s="1"/>
  <c r="BB42" i="21"/>
  <c r="BB10" i="21"/>
  <c r="AZ19" i="21"/>
  <c r="AZ14" i="21"/>
  <c r="AZ40" i="21"/>
  <c r="BB18" i="21"/>
  <c r="BB39" i="21"/>
  <c r="BB12" i="21"/>
  <c r="AZ20" i="21"/>
  <c r="BB9" i="21"/>
  <c r="BH28" i="21"/>
  <c r="BI28" i="21" s="1"/>
  <c r="AZ23" i="21"/>
  <c r="BB44" i="21"/>
  <c r="AZ3" i="21"/>
  <c r="BB25" i="21"/>
  <c r="BG19" i="21"/>
  <c r="BH19" i="21"/>
  <c r="BI19" i="21" s="1"/>
  <c r="BG27" i="21"/>
  <c r="BH27" i="21"/>
  <c r="BI27" i="21" s="1"/>
  <c r="BG29" i="21"/>
  <c r="BH29" i="21"/>
  <c r="BI29" i="21" s="1"/>
  <c r="AZ29" i="21"/>
  <c r="BB29" i="21"/>
  <c r="BG5" i="21"/>
  <c r="BH5" i="21"/>
  <c r="BI5" i="21" s="1"/>
  <c r="AZ13" i="21"/>
  <c r="BG30" i="21"/>
  <c r="BH30" i="21"/>
  <c r="BI30" i="21" s="1"/>
  <c r="AZ5" i="21"/>
  <c r="AZ33" i="21"/>
  <c r="BB33" i="21"/>
  <c r="D50" i="21"/>
  <c r="BG40" i="21"/>
  <c r="BH40" i="21"/>
  <c r="BI40" i="21" s="1"/>
  <c r="BG9" i="21"/>
  <c r="BH9" i="21"/>
  <c r="BI9" i="21" s="1"/>
  <c r="AE49" i="19"/>
  <c r="AE52" i="19" s="1"/>
  <c r="AG51" i="19"/>
  <c r="AA32" i="19"/>
  <c r="AD32" i="19" s="1"/>
  <c r="AA6" i="19"/>
  <c r="AD6" i="19" s="1"/>
  <c r="AA42" i="19"/>
  <c r="AD42" i="19" s="1"/>
  <c r="AA34" i="19"/>
  <c r="AD34" i="19" s="1"/>
  <c r="AA41" i="19"/>
  <c r="AD41" i="19" s="1"/>
  <c r="AA4" i="19"/>
  <c r="AD4" i="19" s="1"/>
  <c r="AA36" i="19"/>
  <c r="AD36" i="19" s="1"/>
  <c r="AA20" i="19"/>
  <c r="AD20" i="19" s="1"/>
  <c r="AA5" i="19"/>
  <c r="AD5" i="19" s="1"/>
  <c r="AA26" i="19"/>
  <c r="AD26" i="19" s="1"/>
  <c r="AA3" i="19"/>
  <c r="AB3" i="19" s="1"/>
  <c r="Z45" i="19"/>
  <c r="AA8" i="19"/>
  <c r="AD8" i="19" s="1"/>
  <c r="AA14" i="19"/>
  <c r="AD14" i="19" s="1"/>
  <c r="AA37" i="19"/>
  <c r="AD37" i="19" s="1"/>
  <c r="AA35" i="19"/>
  <c r="AD35" i="19" s="1"/>
  <c r="AA31" i="19"/>
  <c r="AD31" i="19" s="1"/>
  <c r="AA24" i="19"/>
  <c r="AD24" i="19" s="1"/>
  <c r="AA27" i="19"/>
  <c r="AD27" i="19" s="1"/>
  <c r="AA39" i="19"/>
  <c r="AD39" i="19" s="1"/>
  <c r="AA17" i="19"/>
  <c r="AD17" i="19" s="1"/>
  <c r="AA28" i="19"/>
  <c r="AD28" i="19" s="1"/>
  <c r="AA40" i="19"/>
  <c r="AD40" i="19" s="1"/>
  <c r="AA12" i="19"/>
  <c r="AD12" i="19" s="1"/>
  <c r="AA13" i="19"/>
  <c r="AD13" i="19" s="1"/>
  <c r="AA19" i="19"/>
  <c r="AD19" i="19" s="1"/>
  <c r="AA22" i="19"/>
  <c r="AD22" i="19" s="1"/>
  <c r="AA18" i="19"/>
  <c r="AD18" i="19" s="1"/>
  <c r="AA25" i="19"/>
  <c r="AD25" i="19" s="1"/>
  <c r="X45" i="19"/>
  <c r="AA23" i="19"/>
  <c r="AD23" i="19" s="1"/>
  <c r="AC45" i="19"/>
  <c r="AA21" i="19"/>
  <c r="AD21" i="19" s="1"/>
  <c r="AA30" i="19"/>
  <c r="AD30" i="19" s="1"/>
  <c r="AA7" i="19"/>
  <c r="AD7" i="19" s="1"/>
  <c r="AA38" i="19"/>
  <c r="AD38" i="19" s="1"/>
  <c r="Y15" i="19"/>
  <c r="AA15" i="19" s="1"/>
  <c r="AD15" i="19" s="1"/>
  <c r="AA29" i="19"/>
  <c r="AD29" i="19" s="1"/>
  <c r="Y16" i="19"/>
  <c r="AA16" i="19" s="1"/>
  <c r="AD16" i="19" s="1"/>
  <c r="AA11" i="19"/>
  <c r="AD11" i="19" s="1"/>
  <c r="F45" i="19"/>
  <c r="A12" i="19" l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D3" i="19"/>
  <c r="AD45" i="19" s="1"/>
  <c r="Y45" i="19"/>
  <c r="AA45" i="19"/>
  <c r="E50" i="21" l="1"/>
  <c r="A26" i="19"/>
  <c r="A27" i="19" s="1"/>
  <c r="A28" i="19" s="1"/>
  <c r="A29" i="19" s="1"/>
  <c r="A30" i="19" s="1"/>
  <c r="AA48" i="19"/>
  <c r="AR45" i="19"/>
  <c r="AA52" i="19" l="1"/>
  <c r="A32" i="19"/>
  <c r="A35" i="19" s="1"/>
  <c r="A37" i="19" s="1"/>
  <c r="A38" i="19" s="1"/>
  <c r="A39" i="19" s="1"/>
  <c r="A40" i="19" s="1"/>
  <c r="A41" i="19" s="1"/>
  <c r="A42" i="19" s="1"/>
  <c r="A43" i="19" s="1"/>
  <c r="A31" i="19"/>
  <c r="A34" i="19" s="1"/>
  <c r="A36" i="19" s="1"/>
  <c r="AH4" i="20" l="1"/>
  <c r="AJ4" i="20" s="1"/>
  <c r="AJ46" i="20" l="1"/>
  <c r="AM4" i="20"/>
  <c r="AM46" i="20" s="1"/>
  <c r="AH46" i="20"/>
  <c r="BE46" i="20" l="1"/>
  <c r="AJ49" i="20"/>
  <c r="AJ53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tc={C2EFD358-6160-43E1-8FDF-2161BD213BE5}</author>
  </authors>
  <commentList>
    <comment ref="AI46" authorId="0" shapeId="0" xr:uid="{C2EFD358-6160-43E1-8FDF-2161BD213BE5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tc={53B486A3-A026-4DB1-B13F-7D075C5D5D9E}</author>
  </authors>
  <commentList>
    <comment ref="Z45" authorId="0" shapeId="0" xr:uid="{53B486A3-A026-4DB1-B13F-7D075C5D5D9E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  </r>
      </text>
    </comment>
  </commentList>
</comments>
</file>

<file path=xl/sharedStrings.xml><?xml version="1.0" encoding="utf-8"?>
<sst xmlns="http://schemas.openxmlformats.org/spreadsheetml/2006/main" count="289" uniqueCount="126">
  <si>
    <t>MATERIAL</t>
  </si>
  <si>
    <t>ID</t>
  </si>
  <si>
    <t>MOVIMIENTO INVENTARIO</t>
  </si>
  <si>
    <t>INGRESOS</t>
  </si>
  <si>
    <t>STOCK KG</t>
  </si>
  <si>
    <t xml:space="preserve">CODIGO </t>
  </si>
  <si>
    <t>SAP</t>
  </si>
  <si>
    <t>POTA NUCAS FR ABIERTAS 0.1 - 0.3 BL10 S2</t>
  </si>
  <si>
    <t>10004433</t>
  </si>
  <si>
    <t>POTA FILETE C/M C/T FR 0.5-1 BL10 S20</t>
  </si>
  <si>
    <t>10004434</t>
  </si>
  <si>
    <t>POTA FILETE C/M C/T FR 1-2 BL10 S20</t>
  </si>
  <si>
    <t>10007567</t>
  </si>
  <si>
    <t>POTA REJOS OR FR LIMPIOS S/COD BL10 S20</t>
  </si>
  <si>
    <t>10009187</t>
  </si>
  <si>
    <t>POTA REJOS FR C/B S/U S/V S/OR 0.3 - 0.5</t>
  </si>
  <si>
    <t>10007161</t>
  </si>
  <si>
    <t>POTA REJOS FR C/B S/U S/V S/OR 0.5-1 BL1</t>
  </si>
  <si>
    <t>10009186</t>
  </si>
  <si>
    <t>POTA REJOS FR S-S/POR C/UV 0.1 - 0.3 BL1</t>
  </si>
  <si>
    <t>STOCK INICIO</t>
  </si>
  <si>
    <t>Stock Inicial</t>
  </si>
  <si>
    <t>DATA</t>
  </si>
  <si>
    <t>MANUAL</t>
  </si>
  <si>
    <t>DIFERENCIA</t>
  </si>
  <si>
    <t>10009224</t>
  </si>
  <si>
    <t>BONITO ENT FR S/COD BL10 S20</t>
  </si>
  <si>
    <t>10006668</t>
  </si>
  <si>
    <t>POTA ALAS FR C/P C/C &lt; 0.5 BL10 S20</t>
  </si>
  <si>
    <t>10009178</t>
  </si>
  <si>
    <t>POTA ALAS FR C/P C/C (B) S/COD BL10 S20</t>
  </si>
  <si>
    <t>10006719</t>
  </si>
  <si>
    <t>POTA ALAS FR C/P C/C 0.5-1 BL10 S20</t>
  </si>
  <si>
    <t>POTA ALAS FR C/P C/C 0.3 - 0.5 BL10 S20</t>
  </si>
  <si>
    <t>10006720</t>
  </si>
  <si>
    <t>POTA ALAS FR C/P C/C 1-2 BL10 S20</t>
  </si>
  <si>
    <t>10006722</t>
  </si>
  <si>
    <t>POTA ALAS FR C/P C/C 2-UP BL10 S20</t>
  </si>
  <si>
    <t>10009241</t>
  </si>
  <si>
    <t>POTA ALAS PRE COC S/COD BL10 S20</t>
  </si>
  <si>
    <t>10009207</t>
  </si>
  <si>
    <t>POTA LABIOS FR S/COD BL10 S20</t>
  </si>
  <si>
    <t>10009184</t>
  </si>
  <si>
    <t>10005779</t>
  </si>
  <si>
    <t>POTA NUCAS FR ABIERTAS 0.5-1 BL10 S20</t>
  </si>
  <si>
    <t>10005776</t>
  </si>
  <si>
    <t>POTA NUCAS FR ABIERTAS 0.3-0.5 BL10 S20</t>
  </si>
  <si>
    <t>10005781</t>
  </si>
  <si>
    <t>POTA NUCAS FR ABIERTAS 1-2 BL10 S20</t>
  </si>
  <si>
    <t>10007162</t>
  </si>
  <si>
    <t>POTA REJOS FR C/B S/U S/V S/OR 1-2 BL10</t>
  </si>
  <si>
    <t>10009251</t>
  </si>
  <si>
    <t>POTA FILETE PRE COCIDO S/M S/T 0.6 - 1.0</t>
  </si>
  <si>
    <t>10009239</t>
  </si>
  <si>
    <t>POTA FILETE PRE COCIDO S/M S/T C/P S/COD</t>
  </si>
  <si>
    <t>10004435</t>
  </si>
  <si>
    <t>POTA FILETE C/M C/T FR 2-4 BL10 S20</t>
  </si>
  <si>
    <t>10005721</t>
  </si>
  <si>
    <t>POTA FILETE C/M C/T FR 2-4 (B) BL10 S20</t>
  </si>
  <si>
    <t>POTA CONOS</t>
  </si>
  <si>
    <t>POTA NUCAS FR CERRADA 0.1 - 0.3 BL10 S2</t>
  </si>
  <si>
    <t>SALIDAS</t>
  </si>
  <si>
    <t>POTA RECORTE  COCIDO (M) x 15</t>
  </si>
  <si>
    <t>VENTOSAS</t>
  </si>
  <si>
    <t>POTA RECORTE  COCIDO (T) X 15</t>
  </si>
  <si>
    <t>LANGOSTINO COLA PVD</t>
  </si>
  <si>
    <t>CONCHA ABANICO T/SOLO</t>
  </si>
  <si>
    <t>NUEVO STOCK  PARA ACTUALIZAR</t>
  </si>
  <si>
    <t>POTA REJOS FR 1 UP</t>
  </si>
  <si>
    <t>POTA REJOS FR 2 UP</t>
  </si>
  <si>
    <t>Embarques</t>
  </si>
  <si>
    <t>Resumen</t>
  </si>
  <si>
    <t>Embarcado:</t>
  </si>
  <si>
    <t>Reproceso:</t>
  </si>
  <si>
    <t>Muestreo</t>
  </si>
  <si>
    <t>REPROCESO</t>
  </si>
  <si>
    <t>MUESTREO</t>
  </si>
  <si>
    <t>EMBARQUE</t>
  </si>
  <si>
    <t xml:space="preserve">EMBARQUE </t>
  </si>
  <si>
    <t>DIFERENCUA</t>
  </si>
  <si>
    <t>CABALLA ENTERA FR S/COD</t>
  </si>
  <si>
    <t>FILETE  FR  REPROCESO x 10</t>
  </si>
  <si>
    <t>RECORTE FRESCO REPROCESO  x  BL10</t>
  </si>
  <si>
    <t>MEMBRANA FRESCA REPROCESO BL 10</t>
  </si>
  <si>
    <t>TELILLA FRESCA REPROCESO BL 10</t>
  </si>
  <si>
    <t xml:space="preserve"> STOCK   ENERO 2026</t>
  </si>
  <si>
    <t>FECHAS DIAS RECEPCION PRODUCCION ENERO 2026</t>
  </si>
  <si>
    <t>PPTA RECORTES PRECOCIDA B10 S20</t>
  </si>
  <si>
    <t>POTA ALAS PRE COC  3-UP BL10 S20</t>
  </si>
  <si>
    <t>POTA ALAS PRE COC B BL10 S20</t>
  </si>
  <si>
    <t>POTA ALAS PRE COC  3-UP BL9 S18</t>
  </si>
  <si>
    <t>POTA ALAS PRE COC B BL9 S18</t>
  </si>
  <si>
    <t>STOCK AL ENE 2026</t>
  </si>
  <si>
    <t>STOCK AL DIA FEBRERO 2026</t>
  </si>
  <si>
    <t>POTA FILETE C/M C/T FR 2-4 AA BL10 S20</t>
  </si>
  <si>
    <t xml:space="preserve"> STOCK   FEBRERO 2026</t>
  </si>
  <si>
    <t>TUBO ALETA 1.0-1.5</t>
  </si>
  <si>
    <t>TUBO ALETA 0.5-1.0</t>
  </si>
  <si>
    <t>salidas</t>
  </si>
  <si>
    <t>4TA SEM</t>
  </si>
  <si>
    <t>INV FINAL</t>
  </si>
  <si>
    <t>CPU</t>
  </si>
  <si>
    <t>MATCH</t>
  </si>
  <si>
    <t>Costo Ventas</t>
  </si>
  <si>
    <t>TM</t>
  </si>
  <si>
    <t>Gasto Ventas</t>
  </si>
  <si>
    <t>Gasto ADM</t>
  </si>
  <si>
    <t>Gasto Fin</t>
  </si>
  <si>
    <t>Depreciación</t>
  </si>
  <si>
    <t>Margen Neto</t>
  </si>
  <si>
    <t>Venta</t>
  </si>
  <si>
    <t>Utilidad</t>
  </si>
  <si>
    <t>UO</t>
  </si>
  <si>
    <t>mg Oper</t>
  </si>
  <si>
    <t>Precio Mínimo x TM</t>
  </si>
  <si>
    <t>Uneta</t>
  </si>
  <si>
    <t>venta CFR</t>
  </si>
  <si>
    <t>Precio Abril</t>
  </si>
  <si>
    <t>mg neto</t>
  </si>
  <si>
    <t>ala congelada</t>
  </si>
  <si>
    <t>filete congelado</t>
  </si>
  <si>
    <t xml:space="preserve">nucas </t>
  </si>
  <si>
    <t xml:space="preserve">reprodcuctor </t>
  </si>
  <si>
    <t>tencualo</t>
  </si>
  <si>
    <t>filete pc</t>
  </si>
  <si>
    <t>ala 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</si>
</sst>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_-* #,##0_-;\-* #,##0_-;_-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sz val="11"/>
      <color theme="0"/>
      <name val="Cambria"/>
      <family val="1"/>
    </font>
    <font>
      <b/>
      <sz val="11"/>
      <color theme="0"/>
      <name val="Cambria"/>
      <family val="1"/>
    </font>
    <font>
      <sz val="11"/>
      <color theme="1"/>
      <name val="Aptos Narrow"/>
      <family val="2"/>
      <scheme val="minor"/>
    </font>
    <font>
      <b/>
      <sz val="11"/>
      <color rgb="FFFF0000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14" fontId="1" fillId="2" borderId="1" xfId="0" applyNumberFormat="1" applyFont="1" applyFill="1" applyBorder="1"/>
    <xf numFmtId="3" fontId="1" fillId="0" borderId="0" xfId="0" applyNumberFormat="1" applyFont="1"/>
    <xf numFmtId="3" fontId="1" fillId="2" borderId="1" xfId="0" applyNumberFormat="1" applyFont="1" applyFill="1" applyBorder="1"/>
    <xf numFmtId="0" fontId="1" fillId="3" borderId="1" xfId="0" applyFont="1" applyFill="1" applyBorder="1"/>
    <xf numFmtId="0" fontId="1" fillId="5" borderId="0" xfId="0" applyFont="1" applyFill="1"/>
    <xf numFmtId="3" fontId="1" fillId="4" borderId="1" xfId="0" applyNumberFormat="1" applyFont="1" applyFill="1" applyBorder="1"/>
    <xf numFmtId="3" fontId="1" fillId="6" borderId="1" xfId="0" applyNumberFormat="1" applyFont="1" applyFill="1" applyBorder="1"/>
    <xf numFmtId="0" fontId="1" fillId="6" borderId="1" xfId="0" applyFont="1" applyFill="1" applyBorder="1"/>
    <xf numFmtId="0" fontId="0" fillId="6" borderId="1" xfId="0" applyFill="1" applyBorder="1" applyAlignment="1">
      <alignment vertical="top"/>
    </xf>
    <xf numFmtId="14" fontId="1" fillId="2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/>
    <xf numFmtId="0" fontId="3" fillId="0" borderId="0" xfId="0" applyFont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3" fontId="1" fillId="7" borderId="1" xfId="0" applyNumberFormat="1" applyFont="1" applyFill="1" applyBorder="1"/>
    <xf numFmtId="3" fontId="2" fillId="7" borderId="1" xfId="0" applyNumberFormat="1" applyFont="1" applyFill="1" applyBorder="1"/>
    <xf numFmtId="0" fontId="0" fillId="3" borderId="1" xfId="0" applyFill="1" applyBorder="1" applyAlignment="1">
      <alignment vertical="top"/>
    </xf>
    <xf numFmtId="3" fontId="1" fillId="3" borderId="1" xfId="0" applyNumberFormat="1" applyFont="1" applyFill="1" applyBorder="1"/>
    <xf numFmtId="3" fontId="2" fillId="3" borderId="1" xfId="0" applyNumberFormat="1" applyFont="1" applyFill="1" applyBorder="1"/>
    <xf numFmtId="0" fontId="1" fillId="8" borderId="1" xfId="0" applyFont="1" applyFill="1" applyBorder="1"/>
    <xf numFmtId="3" fontId="1" fillId="8" borderId="1" xfId="0" applyNumberFormat="1" applyFont="1" applyFill="1" applyBorder="1"/>
    <xf numFmtId="3" fontId="2" fillId="8" borderId="1" xfId="0" applyNumberFormat="1" applyFont="1" applyFill="1" applyBorder="1"/>
    <xf numFmtId="3" fontId="1" fillId="5" borderId="1" xfId="0" applyNumberFormat="1" applyFont="1" applyFill="1" applyBorder="1"/>
    <xf numFmtId="3" fontId="1" fillId="5" borderId="0" xfId="0" applyNumberFormat="1" applyFont="1" applyFill="1"/>
    <xf numFmtId="0" fontId="1" fillId="9" borderId="1" xfId="0" applyFont="1" applyFill="1" applyBorder="1"/>
    <xf numFmtId="3" fontId="1" fillId="9" borderId="1" xfId="0" applyNumberFormat="1" applyFont="1" applyFill="1" applyBorder="1"/>
    <xf numFmtId="3" fontId="2" fillId="9" borderId="1" xfId="0" applyNumberFormat="1" applyFont="1" applyFill="1" applyBorder="1"/>
    <xf numFmtId="0" fontId="0" fillId="9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3" fontId="1" fillId="8" borderId="3" xfId="0" applyNumberFormat="1" applyFont="1" applyFill="1" applyBorder="1"/>
    <xf numFmtId="0" fontId="1" fillId="5" borderId="0" xfId="0" applyFont="1" applyFill="1" applyAlignment="1">
      <alignment horizontal="center" vertical="center"/>
    </xf>
    <xf numFmtId="3" fontId="4" fillId="2" borderId="1" xfId="0" applyNumberFormat="1" applyFont="1" applyFill="1" applyBorder="1"/>
    <xf numFmtId="3" fontId="1" fillId="9" borderId="2" xfId="0" applyNumberFormat="1" applyFont="1" applyFill="1" applyBorder="1"/>
    <xf numFmtId="0" fontId="1" fillId="5" borderId="1" xfId="0" applyFont="1" applyFill="1" applyBorder="1"/>
    <xf numFmtId="3" fontId="2" fillId="5" borderId="1" xfId="0" applyNumberFormat="1" applyFont="1" applyFill="1" applyBorder="1"/>
    <xf numFmtId="0" fontId="0" fillId="7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3" fontId="3" fillId="10" borderId="1" xfId="0" applyNumberFormat="1" applyFont="1" applyFill="1" applyBorder="1"/>
    <xf numFmtId="3" fontId="1" fillId="10" borderId="1" xfId="0" applyNumberFormat="1" applyFont="1" applyFill="1" applyBorder="1"/>
    <xf numFmtId="0" fontId="1" fillId="10" borderId="1" xfId="0" applyFont="1" applyFill="1" applyBorder="1"/>
    <xf numFmtId="0" fontId="0" fillId="10" borderId="1" xfId="0" applyFill="1" applyBorder="1" applyAlignment="1">
      <alignment vertical="top"/>
    </xf>
    <xf numFmtId="0" fontId="0" fillId="7" borderId="1" xfId="0" applyFill="1" applyBorder="1" applyAlignment="1">
      <alignment horizontal="left" vertical="top"/>
    </xf>
    <xf numFmtId="3" fontId="2" fillId="8" borderId="3" xfId="0" applyNumberFormat="1" applyFont="1" applyFill="1" applyBorder="1"/>
    <xf numFmtId="0" fontId="0" fillId="8" borderId="1" xfId="0" applyFill="1" applyBorder="1" applyAlignment="1">
      <alignment horizontal="center" vertical="top"/>
    </xf>
    <xf numFmtId="0" fontId="1" fillId="11" borderId="1" xfId="0" applyFont="1" applyFill="1" applyBorder="1"/>
    <xf numFmtId="0" fontId="0" fillId="11" borderId="1" xfId="0" applyFill="1" applyBorder="1" applyAlignment="1">
      <alignment vertical="top"/>
    </xf>
    <xf numFmtId="3" fontId="1" fillId="11" borderId="1" xfId="0" applyNumberFormat="1" applyFont="1" applyFill="1" applyBorder="1"/>
    <xf numFmtId="3" fontId="1" fillId="11" borderId="3" xfId="0" applyNumberFormat="1" applyFont="1" applyFill="1" applyBorder="1"/>
    <xf numFmtId="3" fontId="1" fillId="11" borderId="0" xfId="0" applyNumberFormat="1" applyFont="1" applyFill="1"/>
    <xf numFmtId="3" fontId="0" fillId="7" borderId="1" xfId="0" applyNumberFormat="1" applyFill="1" applyBorder="1" applyAlignment="1">
      <alignment vertical="top"/>
    </xf>
    <xf numFmtId="3" fontId="0" fillId="5" borderId="1" xfId="0" applyNumberFormat="1" applyFill="1" applyBorder="1" applyAlignment="1">
      <alignment vertical="top"/>
    </xf>
    <xf numFmtId="3" fontId="0" fillId="3" borderId="1" xfId="0" applyNumberFormat="1" applyFill="1" applyBorder="1" applyAlignment="1">
      <alignment vertical="top"/>
    </xf>
    <xf numFmtId="3" fontId="0" fillId="8" borderId="1" xfId="0" applyNumberFormat="1" applyFill="1" applyBorder="1" applyAlignment="1">
      <alignment vertical="top"/>
    </xf>
    <xf numFmtId="3" fontId="0" fillId="6" borderId="1" xfId="0" applyNumberFormat="1" applyFill="1" applyBorder="1" applyAlignment="1">
      <alignment vertical="top"/>
    </xf>
    <xf numFmtId="3" fontId="0" fillId="9" borderId="1" xfId="0" applyNumberFormat="1" applyFill="1" applyBorder="1" applyAlignment="1">
      <alignment vertical="top"/>
    </xf>
    <xf numFmtId="3" fontId="0" fillId="10" borderId="1" xfId="0" applyNumberFormat="1" applyFill="1" applyBorder="1" applyAlignment="1">
      <alignment vertical="top"/>
    </xf>
    <xf numFmtId="3" fontId="1" fillId="0" borderId="1" xfId="0" applyNumberFormat="1" applyFont="1" applyBorder="1"/>
    <xf numFmtId="14" fontId="1" fillId="0" borderId="0" xfId="0" applyNumberFormat="1" applyFont="1"/>
    <xf numFmtId="164" fontId="1" fillId="11" borderId="0" xfId="0" applyNumberFormat="1" applyFont="1" applyFill="1"/>
    <xf numFmtId="164" fontId="1" fillId="0" borderId="0" xfId="0" applyNumberFormat="1" applyFont="1"/>
    <xf numFmtId="164" fontId="1" fillId="4" borderId="0" xfId="0" applyNumberFormat="1" applyFont="1" applyFill="1"/>
    <xf numFmtId="0" fontId="1" fillId="0" borderId="1" xfId="0" applyFont="1" applyBorder="1"/>
    <xf numFmtId="0" fontId="3" fillId="0" borderId="1" xfId="0" applyFont="1" applyBorder="1"/>
    <xf numFmtId="4" fontId="1" fillId="11" borderId="3" xfId="0" applyNumberFormat="1" applyFont="1" applyFill="1" applyBorder="1"/>
    <xf numFmtId="4" fontId="1" fillId="11" borderId="1" xfId="0" applyNumberFormat="1" applyFont="1" applyFill="1" applyBorder="1"/>
    <xf numFmtId="4" fontId="2" fillId="11" borderId="3" xfId="0" applyNumberFormat="1" applyFont="1" applyFill="1" applyBorder="1"/>
    <xf numFmtId="4" fontId="1" fillId="5" borderId="0" xfId="0" applyNumberFormat="1" applyFont="1" applyFill="1"/>
    <xf numFmtId="164" fontId="1" fillId="11" borderId="1" xfId="0" applyNumberFormat="1" applyFont="1" applyFill="1" applyBorder="1"/>
    <xf numFmtId="164" fontId="0" fillId="11" borderId="1" xfId="0" applyNumberFormat="1" applyFill="1" applyBorder="1" applyAlignment="1">
      <alignment vertical="top"/>
    </xf>
    <xf numFmtId="3" fontId="2" fillId="2" borderId="1" xfId="0" applyNumberFormat="1" applyFont="1" applyFill="1" applyBorder="1"/>
    <xf numFmtId="4" fontId="1" fillId="0" borderId="0" xfId="0" applyNumberFormat="1" applyFont="1"/>
    <xf numFmtId="3" fontId="3" fillId="0" borderId="1" xfId="0" applyNumberFormat="1" applyFont="1" applyBorder="1"/>
    <xf numFmtId="0" fontId="5" fillId="5" borderId="0" xfId="0" applyFont="1" applyFill="1"/>
    <xf numFmtId="3" fontId="5" fillId="5" borderId="0" xfId="0" applyNumberFormat="1" applyFont="1" applyFill="1"/>
    <xf numFmtId="3" fontId="6" fillId="5" borderId="0" xfId="0" applyNumberFormat="1" applyFont="1" applyFill="1"/>
    <xf numFmtId="164" fontId="6" fillId="5" borderId="0" xfId="0" applyNumberFormat="1" applyFont="1" applyFill="1"/>
    <xf numFmtId="0" fontId="1" fillId="4" borderId="1" xfId="0" applyFont="1" applyFill="1" applyBorder="1"/>
    <xf numFmtId="0" fontId="1" fillId="4" borderId="3" xfId="0" applyFont="1" applyFill="1" applyBorder="1"/>
    <xf numFmtId="3" fontId="1" fillId="4" borderId="2" xfId="0" applyNumberFormat="1" applyFont="1" applyFill="1" applyBorder="1"/>
    <xf numFmtId="4" fontId="1" fillId="4" borderId="3" xfId="0" applyNumberFormat="1" applyFont="1" applyFill="1" applyBorder="1"/>
    <xf numFmtId="0" fontId="3" fillId="4" borderId="1" xfId="0" applyFont="1" applyFill="1" applyBorder="1"/>
    <xf numFmtId="0" fontId="2" fillId="5" borderId="0" xfId="0" applyFont="1" applyFill="1"/>
    <xf numFmtId="3" fontId="2" fillId="5" borderId="0" xfId="0" applyNumberFormat="1" applyFont="1" applyFill="1"/>
    <xf numFmtId="164" fontId="2" fillId="5" borderId="0" xfId="0" applyNumberFormat="1" applyFont="1" applyFill="1"/>
    <xf numFmtId="3" fontId="1" fillId="12" borderId="1" xfId="0" applyNumberFormat="1" applyFont="1" applyFill="1" applyBorder="1"/>
    <xf numFmtId="0" fontId="3" fillId="5" borderId="1" xfId="0" applyFont="1" applyFill="1" applyBorder="1"/>
    <xf numFmtId="3" fontId="3" fillId="5" borderId="1" xfId="0" applyNumberFormat="1" applyFont="1" applyFill="1" applyBorder="1"/>
    <xf numFmtId="43" fontId="1" fillId="0" borderId="0" xfId="1" applyFont="1"/>
    <xf numFmtId="43" fontId="1" fillId="5" borderId="0" xfId="1" applyFont="1" applyFill="1"/>
    <xf numFmtId="165" fontId="1" fillId="0" borderId="0" xfId="1" applyNumberFormat="1" applyFont="1"/>
    <xf numFmtId="165" fontId="1" fillId="5" borderId="0" xfId="1" applyNumberFormat="1" applyFont="1" applyFill="1"/>
    <xf numFmtId="0" fontId="1" fillId="0" borderId="0" xfId="0" applyFont="1" applyAlignment="1">
      <alignment horizontal="center"/>
    </xf>
    <xf numFmtId="165" fontId="3" fillId="0" borderId="0" xfId="1" applyNumberFormat="1" applyFont="1"/>
    <xf numFmtId="165" fontId="1" fillId="0" borderId="0" xfId="0" applyNumberFormat="1" applyFont="1"/>
    <xf numFmtId="43" fontId="1" fillId="0" borderId="0" xfId="0" applyNumberFormat="1" applyFont="1"/>
    <xf numFmtId="165" fontId="1" fillId="5" borderId="0" xfId="0" applyNumberFormat="1" applyFont="1" applyFill="1"/>
    <xf numFmtId="165" fontId="3" fillId="0" borderId="0" xfId="0" applyNumberFormat="1" applyFont="1"/>
    <xf numFmtId="43" fontId="3" fillId="0" borderId="0" xfId="1" applyFont="1"/>
    <xf numFmtId="9" fontId="1" fillId="0" borderId="0" xfId="0" applyNumberFormat="1" applyFont="1"/>
    <xf numFmtId="9" fontId="1" fillId="0" borderId="0" xfId="2" applyFont="1" applyAlignment="1">
      <alignment horizontal="center"/>
    </xf>
    <xf numFmtId="9" fontId="1" fillId="5" borderId="0" xfId="0" applyNumberFormat="1" applyFont="1" applyFill="1"/>
    <xf numFmtId="9" fontId="3" fillId="0" borderId="0" xfId="0" applyNumberFormat="1" applyFont="1"/>
    <xf numFmtId="9" fontId="1" fillId="0" borderId="0" xfId="0" applyNumberFormat="1" applyFont="1" applyAlignment="1">
      <alignment horizontal="center"/>
    </xf>
    <xf numFmtId="43" fontId="1" fillId="5" borderId="0" xfId="0" applyNumberFormat="1" applyFont="1" applyFill="1"/>
    <xf numFmtId="43" fontId="3" fillId="0" borderId="0" xfId="0" applyNumberFormat="1" applyFont="1"/>
    <xf numFmtId="0" fontId="1" fillId="4" borderId="0" xfId="0" applyFont="1" applyFill="1"/>
    <xf numFmtId="43" fontId="3" fillId="4" borderId="0" xfId="1" applyFont="1" applyFill="1"/>
    <xf numFmtId="9" fontId="1" fillId="0" borderId="0" xfId="2" applyFont="1"/>
    <xf numFmtId="165" fontId="0" fillId="0" borderId="0" xfId="0" applyNumberFormat="1"/>
    <xf numFmtId="0" fontId="8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3" fontId="1" fillId="4" borderId="0" xfId="0" applyNumberFormat="1" applyFont="1" applyFill="1"/>
    <xf numFmtId="165" fontId="1" fillId="4" borderId="0" xfId="0" applyNumberFormat="1" applyFont="1" applyFill="1"/>
    <xf numFmtId="0" fontId="3" fillId="4" borderId="0" xfId="0" applyFont="1" applyFill="1"/>
    <xf numFmtId="165" fontId="3" fillId="4" borderId="0" xfId="1" applyNumberFormat="1" applyFont="1" applyFill="1"/>
    <xf numFmtId="165" fontId="1" fillId="4" borderId="0" xfId="1" applyNumberFormat="1" applyFont="1" applyFill="1"/>
    <xf numFmtId="43" fontId="1" fillId="4" borderId="0" xfId="0" applyNumberFormat="1" applyFont="1" applyFill="1"/>
    <xf numFmtId="9" fontId="1" fillId="4" borderId="0" xfId="2" applyFont="1" applyFill="1" applyAlignment="1">
      <alignment horizontal="center"/>
    </xf>
    <xf numFmtId="43" fontId="3" fillId="4" borderId="0" xfId="0" applyNumberFormat="1" applyFont="1" applyFill="1"/>
    <xf numFmtId="9" fontId="3" fillId="4" borderId="0" xfId="2" applyFont="1" applyFill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00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FAD73FFF-34BE-4456-BD43-4D4213FF6FED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2E6091D7-19C1-4B62-A896-F4C3E688C746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84DB38A3-56B9-430C-B74E-1750805CFECD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3F573466-47AB-40A0-85A6-797D94730B28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602CF260-BA9A-40A4-98FB-CB77F138146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AEF1D9ED-A9E5-4727-9302-484472651C8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ntabilidad%20por%20FP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vid Cruzado (PFRO)" id="{2113452B-73D1-4DD7-B783-BED3B4DD71F3}" userId="S::davidc@perufrost.com::deb45060-f198-4284-95fb-b81c42c8c5a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48" dT="2025-03-25T01:41:33.49" personId="{2113452B-73D1-4DD7-B783-BED3B4DD71F3}" id="{C87EF883-30C4-405A-828F-FD6A4F9A477E}">
    <text xml:space="preserve">Salida por muestreo de calidad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46" dT="2025-03-25T01:41:33.49" personId="{2113452B-73D1-4DD7-B783-BED3B4DD71F3}" id="{C2EFD358-6160-43E1-8FDF-2161BD213BE5}">
    <text xml:space="preserve">Salida por muestreo de calidad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Z45" dT="2025-03-25T01:41:33.49" personId="{2113452B-73D1-4DD7-B783-BED3B4DD71F3}" id="{53B486A3-A026-4DB1-B13F-7D075C5D5D9E}">
    <text xml:space="preserve">Salida por muestreo de calidad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1046-DC4C-4DC9-9FAB-5E1248EA73DF}">
  <sheetPr>
    <pageSetUpPr fitToPage="1"/>
  </sheetPr>
  <dimension ref="A1:BI52"/>
  <sheetViews>
    <sheetView showGridLines="0" tabSelected="1" zoomScale="90" zoomScaleNormal="90" workbookViewId="0">
      <pane xSplit="3" ySplit="2" topLeftCell="W3" activePane="bottomRight" state="frozen"/>
      <selection pane="topRight" activeCell="D1" sqref="D1"/>
      <selection pane="bottomLeft" activeCell="A3" sqref="A3"/>
      <selection pane="bottomRight" activeCell="AN49" sqref="AN49"/>
    </sheetView>
  </sheetViews>
  <sheetFormatPr baseColWidth="10" defaultColWidth="11.5" defaultRowHeight="14.25" outlineLevelCol="1"/>
  <cols>
    <col min="1" max="1" width="5.5" style="3" customWidth="1"/>
    <col min="2" max="2" width="10.125" style="3" customWidth="1"/>
    <col min="3" max="3" width="21.875" style="3" customWidth="1"/>
    <col min="4" max="4" width="13.875" style="3" bestFit="1" customWidth="1"/>
    <col min="5" max="5" width="12.125" style="3" customWidth="1"/>
    <col min="6" max="22" width="12" style="3" customWidth="1"/>
    <col min="23" max="23" width="12.25" style="3" customWidth="1"/>
    <col min="24" max="24" width="1.125" style="3" customWidth="1"/>
    <col min="25" max="26" width="11.625" style="3" customWidth="1"/>
    <col min="27" max="27" width="11.875" style="3" customWidth="1"/>
    <col min="28" max="28" width="12.625" style="3" customWidth="1"/>
    <col min="29" max="29" width="0.875" style="8" customWidth="1"/>
    <col min="30" max="30" width="11.5" style="3" hidden="1" customWidth="1" outlineLevel="1"/>
    <col min="31" max="31" width="12.75" style="3" hidden="1" customWidth="1" outlineLevel="1"/>
    <col min="32" max="32" width="12.5" style="3" hidden="1" customWidth="1" outlineLevel="1"/>
    <col min="33" max="33" width="11.5" style="3" hidden="1" customWidth="1" outlineLevel="1"/>
    <col min="34" max="34" width="11.75" style="3" hidden="1" customWidth="1" outlineLevel="1"/>
    <col min="35" max="37" width="9.75" style="76" hidden="1" customWidth="1" outlineLevel="1"/>
    <col min="38" max="38" width="0" hidden="1" customWidth="1" outlineLevel="1"/>
    <col min="39" max="39" width="9.75" style="3" customWidth="1" collapsed="1"/>
    <col min="40" max="40" width="9.75" style="3" customWidth="1"/>
    <col min="41" max="41" width="11.875" style="3" customWidth="1"/>
    <col min="42" max="42" width="9.75" style="3" customWidth="1"/>
    <col min="43" max="43" width="32.625" style="3" bestFit="1" customWidth="1"/>
    <col min="44" max="45" width="9.75" style="3" customWidth="1"/>
    <col min="46" max="46" width="13.625" style="3" bestFit="1" customWidth="1"/>
    <col min="47" max="50" width="11.5" style="3"/>
    <col min="51" max="52" width="13.875" style="3" customWidth="1"/>
    <col min="53" max="53" width="12.125" style="3" bestFit="1" customWidth="1"/>
    <col min="54" max="54" width="19.5" style="3" bestFit="1" customWidth="1"/>
    <col min="55" max="55" width="15.625" style="3" customWidth="1"/>
    <col min="56" max="56" width="11.5" style="3"/>
    <col min="57" max="58" width="12.125" style="3" bestFit="1" customWidth="1"/>
    <col min="59" max="59" width="11.5" style="3"/>
    <col min="60" max="60" width="12.125" style="3" bestFit="1" customWidth="1"/>
    <col min="61" max="16384" width="11.5" style="3"/>
  </cols>
  <sheetData>
    <row r="1" spans="1:61">
      <c r="A1" s="128" t="s">
        <v>1</v>
      </c>
      <c r="B1" s="2" t="s">
        <v>5</v>
      </c>
      <c r="C1" s="128" t="s">
        <v>0</v>
      </c>
      <c r="D1" s="128" t="s">
        <v>86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Y1" s="128" t="s">
        <v>2</v>
      </c>
      <c r="Z1" s="128"/>
      <c r="AA1" s="128"/>
      <c r="AB1" s="128"/>
      <c r="AC1" s="27"/>
      <c r="AD1" s="16" t="s">
        <v>22</v>
      </c>
      <c r="AE1" s="124" t="s">
        <v>24</v>
      </c>
      <c r="AN1" s="3" t="s">
        <v>61</v>
      </c>
    </row>
    <row r="2" spans="1:61">
      <c r="A2" s="128"/>
      <c r="B2" s="2" t="s">
        <v>6</v>
      </c>
      <c r="C2" s="128"/>
      <c r="D2" s="4" t="s">
        <v>20</v>
      </c>
      <c r="E2" s="4">
        <v>46084</v>
      </c>
      <c r="F2" s="4">
        <v>46085</v>
      </c>
      <c r="G2" s="4">
        <v>46086</v>
      </c>
      <c r="H2" s="4">
        <v>46087</v>
      </c>
      <c r="I2" s="4">
        <v>46180</v>
      </c>
      <c r="J2" s="4">
        <v>46089</v>
      </c>
      <c r="K2" s="4">
        <v>46090</v>
      </c>
      <c r="L2" s="4">
        <v>46091</v>
      </c>
      <c r="M2" s="4">
        <v>46092</v>
      </c>
      <c r="N2" s="4">
        <v>46093</v>
      </c>
      <c r="O2" s="4">
        <v>46094</v>
      </c>
      <c r="P2" s="4">
        <v>46095</v>
      </c>
      <c r="Q2" s="4">
        <v>46097</v>
      </c>
      <c r="R2" s="4">
        <v>46098</v>
      </c>
      <c r="S2" s="4">
        <v>20</v>
      </c>
      <c r="T2" s="4">
        <v>21</v>
      </c>
      <c r="U2" s="4">
        <v>46103</v>
      </c>
      <c r="V2" s="4"/>
      <c r="W2" s="13"/>
      <c r="X2" s="34"/>
      <c r="Y2" s="2" t="s">
        <v>21</v>
      </c>
      <c r="Z2" s="2" t="s">
        <v>3</v>
      </c>
      <c r="AA2" s="2" t="s">
        <v>61</v>
      </c>
      <c r="AB2" s="2" t="s">
        <v>4</v>
      </c>
      <c r="AC2" s="27"/>
      <c r="AD2" s="16" t="s">
        <v>23</v>
      </c>
      <c r="AE2" s="125"/>
      <c r="AF2" s="65" t="s">
        <v>75</v>
      </c>
      <c r="AG2" s="65" t="s">
        <v>76</v>
      </c>
      <c r="AH2" s="65" t="s">
        <v>77</v>
      </c>
      <c r="AJ2" s="76" t="s">
        <v>98</v>
      </c>
      <c r="AN2" s="3" t="s">
        <v>99</v>
      </c>
      <c r="AP2" s="3" t="s">
        <v>100</v>
      </c>
      <c r="AQ2" s="3" t="s">
        <v>102</v>
      </c>
      <c r="AR2" s="95" t="s">
        <v>101</v>
      </c>
      <c r="AS2" s="95" t="s">
        <v>104</v>
      </c>
      <c r="AT2" s="95" t="s">
        <v>103</v>
      </c>
      <c r="AU2" s="95" t="s">
        <v>105</v>
      </c>
      <c r="AV2" s="95" t="s">
        <v>106</v>
      </c>
      <c r="AW2" s="95" t="s">
        <v>107</v>
      </c>
      <c r="AX2" s="95" t="s">
        <v>108</v>
      </c>
      <c r="AY2" s="106" t="s">
        <v>109</v>
      </c>
      <c r="AZ2" s="106" t="s">
        <v>111</v>
      </c>
      <c r="BA2" s="95" t="s">
        <v>110</v>
      </c>
      <c r="BB2" s="113" t="s">
        <v>114</v>
      </c>
      <c r="BC2" s="113" t="s">
        <v>117</v>
      </c>
      <c r="BD2" s="113" t="s">
        <v>104</v>
      </c>
      <c r="BE2" s="113" t="s">
        <v>116</v>
      </c>
      <c r="BF2" s="114" t="s">
        <v>112</v>
      </c>
      <c r="BG2" s="114" t="s">
        <v>113</v>
      </c>
      <c r="BH2" s="113" t="s">
        <v>115</v>
      </c>
      <c r="BI2" s="109" t="s">
        <v>118</v>
      </c>
    </row>
    <row r="3" spans="1:61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>
        <v>440</v>
      </c>
      <c r="U3" s="18"/>
      <c r="V3" s="18"/>
      <c r="W3" s="18"/>
      <c r="X3" s="27"/>
      <c r="Y3" s="18">
        <f t="shared" ref="Y3:Y46" si="0">+D3</f>
        <v>180</v>
      </c>
      <c r="Z3" s="18">
        <f t="shared" ref="Z3:Z46" si="1">SUM(E3:W3)</f>
        <v>440</v>
      </c>
      <c r="AA3" s="19"/>
      <c r="AB3" s="18">
        <f>+Y3+Z3-AA3</f>
        <v>620</v>
      </c>
      <c r="AC3" s="27">
        <f>+Y3-AB3</f>
        <v>-440</v>
      </c>
      <c r="AD3" s="9">
        <v>620</v>
      </c>
      <c r="AE3" s="18">
        <f>+AB3-AD3</f>
        <v>0</v>
      </c>
      <c r="AF3" s="60"/>
      <c r="AG3" s="65"/>
      <c r="AH3" s="60"/>
      <c r="AI3" s="77"/>
      <c r="AJ3" s="77">
        <v>180</v>
      </c>
      <c r="AK3" s="77">
        <f t="shared" ref="AK3:AK8" si="2">+AD3-AJ3</f>
        <v>440</v>
      </c>
      <c r="AO3" s="3">
        <v>10009178</v>
      </c>
      <c r="AQ3" s="3" t="str">
        <f>"FEBRERO"&amp;AO3&amp;"Inventario final"</f>
        <v>FEBRERO10009178Inventario final</v>
      </c>
      <c r="AR3" s="3" t="e">
        <f>INDEX(#REF!,MATCH(AQ3,#REF!,0))</f>
        <v>#REF!</v>
      </c>
      <c r="AS3" s="93">
        <f t="shared" ref="AS3:AS46" si="3">IF(AT3=0,0,AB3)/1000</f>
        <v>0</v>
      </c>
      <c r="AT3" s="93">
        <f t="shared" ref="AT3:AT47" si="4">IFERROR(AR3*AB3,0)</f>
        <v>0</v>
      </c>
      <c r="AU3" s="98">
        <f t="shared" ref="AU3:AU46" si="5">182*AS3</f>
        <v>0</v>
      </c>
      <c r="AV3" s="93" t="e">
        <f>#REF!/#REF!*AS3</f>
        <v>#REF!</v>
      </c>
      <c r="AW3" s="91" t="e">
        <f>#REF!/#REF!*AS3</f>
        <v>#REF!</v>
      </c>
      <c r="AX3" s="97" t="e">
        <f>#REF!/#REF!*AS3</f>
        <v>#REF!</v>
      </c>
      <c r="AY3" s="102" t="e">
        <f>#REF!</f>
        <v>#REF!</v>
      </c>
      <c r="AZ3" s="91" t="e">
        <f t="shared" ref="AZ3:AZ46" si="6">AY3*BA3</f>
        <v>#REF!</v>
      </c>
      <c r="BA3" s="98" t="e">
        <f>AT3+AU3+AV3+AW3</f>
        <v>#REF!</v>
      </c>
      <c r="BB3" s="110">
        <f>IFERROR(BA3/AS3,0)</f>
        <v>0</v>
      </c>
      <c r="BC3" s="109">
        <v>2200</v>
      </c>
      <c r="BD3" s="115">
        <f>AS3</f>
        <v>0</v>
      </c>
      <c r="BE3" s="119">
        <f t="shared" ref="BE3:BE46" si="7">BC3*BD3</f>
        <v>0</v>
      </c>
      <c r="BF3" s="93" t="e">
        <f t="shared" ref="BF3:BF46" si="8">BE3-AT3-AU3-AV3</f>
        <v>#REF!</v>
      </c>
      <c r="BG3" s="103">
        <f t="shared" ref="BG3:BG46" si="9">IFERROR(BF3/BE3,0)</f>
        <v>0</v>
      </c>
      <c r="BH3" s="120" t="e">
        <f t="shared" ref="BH3:BH47" si="10">BF3-AW3</f>
        <v>#REF!</v>
      </c>
      <c r="BI3" s="121">
        <f t="shared" ref="BI3:BI47" si="11">IFERROR(BH3/BE3,0)</f>
        <v>0</v>
      </c>
    </row>
    <row r="4" spans="1:61">
      <c r="A4" s="17">
        <f>+A3+1</f>
        <v>2</v>
      </c>
      <c r="B4" s="39" t="s">
        <v>29</v>
      </c>
      <c r="C4" s="39" t="s">
        <v>30</v>
      </c>
      <c r="D4" s="53">
        <v>25720</v>
      </c>
      <c r="E4" s="18">
        <f>20+820</f>
        <v>840</v>
      </c>
      <c r="F4" s="18">
        <f>340+560</f>
        <v>900</v>
      </c>
      <c r="G4" s="18"/>
      <c r="H4" s="18"/>
      <c r="I4" s="18"/>
      <c r="J4" s="18"/>
      <c r="K4" s="18">
        <f>420+400</f>
        <v>820</v>
      </c>
      <c r="L4" s="18">
        <f>520+320</f>
        <v>840</v>
      </c>
      <c r="M4" s="18">
        <f>140+240</f>
        <v>380</v>
      </c>
      <c r="N4" s="18">
        <f>800+580</f>
        <v>1380</v>
      </c>
      <c r="O4" s="18">
        <v>200</v>
      </c>
      <c r="P4" s="18">
        <f>480+160</f>
        <v>640</v>
      </c>
      <c r="Q4" s="18">
        <f>260+1260</f>
        <v>1520</v>
      </c>
      <c r="R4" s="18">
        <f>80+220</f>
        <v>300</v>
      </c>
      <c r="S4" s="18">
        <v>500</v>
      </c>
      <c r="T4" s="18">
        <f>200+540</f>
        <v>740</v>
      </c>
      <c r="U4" s="18"/>
      <c r="V4" s="18"/>
      <c r="W4" s="18"/>
      <c r="X4" s="27"/>
      <c r="Y4" s="18">
        <f t="shared" si="0"/>
        <v>25720</v>
      </c>
      <c r="Z4" s="18">
        <f t="shared" si="1"/>
        <v>9060</v>
      </c>
      <c r="AA4" s="19">
        <f>8000+2000+3900</f>
        <v>13900</v>
      </c>
      <c r="AB4" s="18">
        <f t="shared" ref="AB4:AB45" si="12">+Y4+Z4-AA4</f>
        <v>20880</v>
      </c>
      <c r="AC4" s="27"/>
      <c r="AD4" s="9">
        <v>20880</v>
      </c>
      <c r="AE4" s="18">
        <f t="shared" ref="AE4:AE46" si="13">+AB4-AD4</f>
        <v>0</v>
      </c>
      <c r="AF4" s="60"/>
      <c r="AG4" s="65"/>
      <c r="AH4" s="60">
        <v>10000</v>
      </c>
      <c r="AI4" s="77"/>
      <c r="AJ4" s="77">
        <v>12980</v>
      </c>
      <c r="AK4" s="77">
        <f t="shared" si="2"/>
        <v>7900</v>
      </c>
      <c r="AO4" s="3">
        <v>10009178</v>
      </c>
      <c r="AQ4" s="3" t="str">
        <f t="shared" ref="AQ4:AQ7" si="14">"FEBRERO"&amp;AO4&amp;"Inventario final"</f>
        <v>FEBRERO10009178Inventario final</v>
      </c>
      <c r="AR4" s="3" t="e">
        <f>INDEX(#REF!,MATCH(AQ4,#REF!,0))</f>
        <v>#REF!</v>
      </c>
      <c r="AS4" s="93">
        <f t="shared" si="3"/>
        <v>0</v>
      </c>
      <c r="AT4" s="93">
        <f t="shared" si="4"/>
        <v>0</v>
      </c>
      <c r="AU4" s="97">
        <f t="shared" si="5"/>
        <v>0</v>
      </c>
      <c r="AV4" s="93" t="e">
        <f>#REF!/#REF!*AS4</f>
        <v>#REF!</v>
      </c>
      <c r="AW4" s="91" t="e">
        <f>#REF!/#REF!*AS4</f>
        <v>#REF!</v>
      </c>
      <c r="AX4" s="97" t="e">
        <f>#REF!/#REF!*AS4</f>
        <v>#REF!</v>
      </c>
      <c r="AY4" s="102" t="e">
        <f>#REF!</f>
        <v>#REF!</v>
      </c>
      <c r="AZ4" s="91" t="e">
        <f t="shared" si="6"/>
        <v>#REF!</v>
      </c>
      <c r="BA4" s="98" t="e">
        <f t="shared" ref="BA4:BA47" si="15">AT4+AU4+AV4+AW4</f>
        <v>#REF!</v>
      </c>
      <c r="BB4" s="110">
        <f t="shared" ref="BB4:BB46" si="16">IFERROR(BA4/AS4,0)</f>
        <v>0</v>
      </c>
      <c r="BC4" s="109">
        <v>2200</v>
      </c>
      <c r="BD4" s="116">
        <f>AS4</f>
        <v>0</v>
      </c>
      <c r="BE4" s="119">
        <f t="shared" si="7"/>
        <v>0</v>
      </c>
      <c r="BF4" s="93" t="e">
        <f t="shared" si="8"/>
        <v>#REF!</v>
      </c>
      <c r="BG4" s="103">
        <f t="shared" si="9"/>
        <v>0</v>
      </c>
      <c r="BH4" s="120" t="e">
        <f t="shared" si="10"/>
        <v>#REF!</v>
      </c>
      <c r="BI4" s="121">
        <f t="shared" si="11"/>
        <v>0</v>
      </c>
    </row>
    <row r="5" spans="1:61">
      <c r="A5" s="17">
        <f t="shared" ref="A5:A32" si="17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>
        <v>20</v>
      </c>
      <c r="U5" s="18"/>
      <c r="V5" s="18"/>
      <c r="W5" s="18"/>
      <c r="X5" s="27"/>
      <c r="Y5" s="18">
        <f t="shared" si="0"/>
        <v>660</v>
      </c>
      <c r="Z5" s="18">
        <f t="shared" si="1"/>
        <v>20</v>
      </c>
      <c r="AA5" s="19"/>
      <c r="AB5" s="18">
        <f t="shared" si="12"/>
        <v>680</v>
      </c>
      <c r="AC5" s="27"/>
      <c r="AD5" s="9">
        <v>680</v>
      </c>
      <c r="AE5" s="18">
        <f t="shared" si="13"/>
        <v>0</v>
      </c>
      <c r="AF5" s="60"/>
      <c r="AG5" s="65"/>
      <c r="AH5" s="60"/>
      <c r="AI5" s="77"/>
      <c r="AJ5" s="77">
        <v>660</v>
      </c>
      <c r="AK5" s="77">
        <f t="shared" si="2"/>
        <v>20</v>
      </c>
      <c r="AO5" s="3">
        <v>10009178</v>
      </c>
      <c r="AQ5" s="3" t="str">
        <f t="shared" si="14"/>
        <v>FEBRERO10009178Inventario final</v>
      </c>
      <c r="AR5" s="3" t="e">
        <f>INDEX(#REF!,MATCH(AQ5,#REF!,0))</f>
        <v>#REF!</v>
      </c>
      <c r="AS5" s="93">
        <f t="shared" si="3"/>
        <v>0</v>
      </c>
      <c r="AT5" s="93">
        <f t="shared" si="4"/>
        <v>0</v>
      </c>
      <c r="AU5" s="97">
        <f t="shared" si="5"/>
        <v>0</v>
      </c>
      <c r="AV5" s="93" t="e">
        <f>#REF!/#REF!*AS5</f>
        <v>#REF!</v>
      </c>
      <c r="AW5" s="91" t="e">
        <f>#REF!/#REF!*AS5</f>
        <v>#REF!</v>
      </c>
      <c r="AX5" s="97" t="e">
        <f>#REF!/#REF!*AS5</f>
        <v>#REF!</v>
      </c>
      <c r="AY5" s="102" t="e">
        <f>#REF!</f>
        <v>#REF!</v>
      </c>
      <c r="AZ5" s="91" t="e">
        <f t="shared" si="6"/>
        <v>#REF!</v>
      </c>
      <c r="BA5" s="98" t="e">
        <f t="shared" si="15"/>
        <v>#REF!</v>
      </c>
      <c r="BB5" s="110">
        <f t="shared" si="16"/>
        <v>0</v>
      </c>
      <c r="BC5" s="109">
        <v>2200</v>
      </c>
      <c r="BD5" s="116">
        <f>AS5</f>
        <v>0</v>
      </c>
      <c r="BE5" s="119">
        <f t="shared" si="7"/>
        <v>0</v>
      </c>
      <c r="BF5" s="93" t="e">
        <f t="shared" si="8"/>
        <v>#REF!</v>
      </c>
      <c r="BG5" s="103">
        <f t="shared" si="9"/>
        <v>0</v>
      </c>
      <c r="BH5" s="120" t="e">
        <f t="shared" si="10"/>
        <v>#REF!</v>
      </c>
      <c r="BI5" s="121">
        <f t="shared" si="11"/>
        <v>0</v>
      </c>
    </row>
    <row r="6" spans="1:61">
      <c r="A6" s="17">
        <f t="shared" si="17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27"/>
      <c r="Y6" s="18">
        <f t="shared" si="0"/>
        <v>680</v>
      </c>
      <c r="Z6" s="18">
        <f t="shared" si="1"/>
        <v>0</v>
      </c>
      <c r="AA6" s="19"/>
      <c r="AB6" s="18">
        <f t="shared" si="12"/>
        <v>680</v>
      </c>
      <c r="AC6" s="27"/>
      <c r="AD6" s="9">
        <v>680</v>
      </c>
      <c r="AE6" s="18">
        <f t="shared" si="13"/>
        <v>0</v>
      </c>
      <c r="AF6" s="60"/>
      <c r="AG6" s="65"/>
      <c r="AH6" s="60"/>
      <c r="AI6" s="77"/>
      <c r="AJ6" s="77">
        <v>680</v>
      </c>
      <c r="AK6" s="77">
        <f t="shared" si="2"/>
        <v>0</v>
      </c>
      <c r="AO6" s="3">
        <v>10009178</v>
      </c>
      <c r="AQ6" s="3" t="str">
        <f t="shared" si="14"/>
        <v>FEBRERO10009178Inventario final</v>
      </c>
      <c r="AR6" s="3" t="e">
        <f>INDEX(#REF!,MATCH(AQ6,#REF!,0))</f>
        <v>#REF!</v>
      </c>
      <c r="AS6" s="93">
        <f t="shared" si="3"/>
        <v>0</v>
      </c>
      <c r="AT6" s="93">
        <f t="shared" si="4"/>
        <v>0</v>
      </c>
      <c r="AU6" s="97">
        <f t="shared" si="5"/>
        <v>0</v>
      </c>
      <c r="AV6" s="93" t="e">
        <f>#REF!/#REF!*AS6</f>
        <v>#REF!</v>
      </c>
      <c r="AW6" s="91" t="e">
        <f>#REF!/#REF!*AS6</f>
        <v>#REF!</v>
      </c>
      <c r="AX6" s="97" t="e">
        <f>#REF!/#REF!*AS6</f>
        <v>#REF!</v>
      </c>
      <c r="AY6" s="102" t="e">
        <f>#REF!</f>
        <v>#REF!</v>
      </c>
      <c r="AZ6" s="91" t="e">
        <f t="shared" si="6"/>
        <v>#REF!</v>
      </c>
      <c r="BA6" s="98" t="e">
        <f t="shared" si="15"/>
        <v>#REF!</v>
      </c>
      <c r="BB6" s="110">
        <f t="shared" si="16"/>
        <v>0</v>
      </c>
      <c r="BC6" s="109">
        <v>2200</v>
      </c>
      <c r="BD6" s="116">
        <f>AS6</f>
        <v>0</v>
      </c>
      <c r="BE6" s="119">
        <f t="shared" si="7"/>
        <v>0</v>
      </c>
      <c r="BF6" s="93" t="e">
        <f t="shared" si="8"/>
        <v>#REF!</v>
      </c>
      <c r="BG6" s="103">
        <f t="shared" si="9"/>
        <v>0</v>
      </c>
      <c r="BH6" s="120" t="e">
        <f t="shared" si="10"/>
        <v>#REF!</v>
      </c>
      <c r="BI6" s="121">
        <f t="shared" si="11"/>
        <v>0</v>
      </c>
    </row>
    <row r="7" spans="1:61">
      <c r="A7" s="17">
        <f t="shared" si="17"/>
        <v>5</v>
      </c>
      <c r="B7" s="39" t="s">
        <v>34</v>
      </c>
      <c r="C7" s="39" t="s">
        <v>35</v>
      </c>
      <c r="D7" s="53">
        <v>370620</v>
      </c>
      <c r="E7" s="18">
        <f>12100+6700</f>
        <v>18800</v>
      </c>
      <c r="F7" s="18">
        <f>18560+10800</f>
        <v>29360</v>
      </c>
      <c r="G7" s="18"/>
      <c r="H7" s="18"/>
      <c r="I7" s="18"/>
      <c r="J7" s="18"/>
      <c r="K7" s="18">
        <f>11560+9500</f>
        <v>21060</v>
      </c>
      <c r="L7" s="18">
        <f>14880+6640</f>
        <v>21520</v>
      </c>
      <c r="M7" s="18">
        <f>8020+7140</f>
        <v>15160</v>
      </c>
      <c r="N7" s="18">
        <f>30540+3280</f>
        <v>33820</v>
      </c>
      <c r="O7" s="18">
        <v>11400</v>
      </c>
      <c r="P7" s="18">
        <f>10440+7140</f>
        <v>17580</v>
      </c>
      <c r="Q7" s="18">
        <f>22420+11520</f>
        <v>33940</v>
      </c>
      <c r="R7" s="18">
        <f>8300+260</f>
        <v>8560</v>
      </c>
      <c r="S7" s="18">
        <v>9800</v>
      </c>
      <c r="T7" s="18">
        <f>12940+7680</f>
        <v>20620</v>
      </c>
      <c r="U7" s="18"/>
      <c r="V7" s="18"/>
      <c r="W7" s="18"/>
      <c r="X7" s="27"/>
      <c r="Y7" s="18">
        <v>368800</v>
      </c>
      <c r="Z7" s="18">
        <f t="shared" si="1"/>
        <v>241620</v>
      </c>
      <c r="AA7" s="19">
        <f>116800+48000+100000+25000+40+80+60+50000</f>
        <v>339980</v>
      </c>
      <c r="AB7" s="18">
        <f t="shared" si="12"/>
        <v>270440</v>
      </c>
      <c r="AC7" s="27"/>
      <c r="AD7" s="9">
        <v>270440</v>
      </c>
      <c r="AE7" s="18">
        <f t="shared" si="13"/>
        <v>0</v>
      </c>
      <c r="AF7" s="60"/>
      <c r="AG7" s="60"/>
      <c r="AH7" s="60">
        <f>116800+48000+100000+25000</f>
        <v>289800</v>
      </c>
      <c r="AI7" s="77"/>
      <c r="AJ7" s="77">
        <v>95920</v>
      </c>
      <c r="AK7" s="77">
        <f t="shared" si="2"/>
        <v>174520</v>
      </c>
      <c r="AO7" s="3">
        <v>10006720</v>
      </c>
      <c r="AQ7" s="3" t="str">
        <f t="shared" si="14"/>
        <v>FEBRERO10006720Inventario final</v>
      </c>
      <c r="AR7" s="3" t="e">
        <f>INDEX(#REF!,MATCH(AQ7,#REF!,0))</f>
        <v>#REF!</v>
      </c>
      <c r="AS7" s="93">
        <f t="shared" si="3"/>
        <v>0</v>
      </c>
      <c r="AT7" s="93">
        <f t="shared" si="4"/>
        <v>0</v>
      </c>
      <c r="AU7" s="97">
        <f t="shared" si="5"/>
        <v>0</v>
      </c>
      <c r="AV7" s="93" t="e">
        <f>#REF!/#REF!*AS7</f>
        <v>#REF!</v>
      </c>
      <c r="AW7" s="91" t="e">
        <f>#REF!/#REF!*AS7</f>
        <v>#REF!</v>
      </c>
      <c r="AX7" s="97" t="e">
        <f>#REF!/#REF!*AS7</f>
        <v>#REF!</v>
      </c>
      <c r="AY7" s="102" t="e">
        <f>#REF!</f>
        <v>#REF!</v>
      </c>
      <c r="AZ7" s="91" t="e">
        <f t="shared" si="6"/>
        <v>#REF!</v>
      </c>
      <c r="BA7" s="98" t="e">
        <f t="shared" si="15"/>
        <v>#REF!</v>
      </c>
      <c r="BB7" s="110">
        <f t="shared" si="16"/>
        <v>0</v>
      </c>
      <c r="BC7" s="109">
        <v>2200</v>
      </c>
      <c r="BD7" s="116">
        <f>AS7</f>
        <v>0</v>
      </c>
      <c r="BE7" s="119">
        <f t="shared" si="7"/>
        <v>0</v>
      </c>
      <c r="BF7" s="93" t="e">
        <f t="shared" si="8"/>
        <v>#REF!</v>
      </c>
      <c r="BG7" s="103">
        <f t="shared" si="9"/>
        <v>0</v>
      </c>
      <c r="BH7" s="120" t="e">
        <f t="shared" si="10"/>
        <v>#REF!</v>
      </c>
      <c r="BI7" s="121">
        <f t="shared" si="11"/>
        <v>0</v>
      </c>
    </row>
    <row r="8" spans="1:61">
      <c r="A8" s="17">
        <f t="shared" si="17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27"/>
      <c r="Y8" s="18">
        <f t="shared" si="0"/>
        <v>120</v>
      </c>
      <c r="Z8" s="18">
        <f t="shared" si="1"/>
        <v>0</v>
      </c>
      <c r="AA8" s="19"/>
      <c r="AB8" s="18">
        <f t="shared" si="12"/>
        <v>120</v>
      </c>
      <c r="AC8" s="27"/>
      <c r="AD8" s="9">
        <v>120</v>
      </c>
      <c r="AE8" s="18">
        <f t="shared" si="13"/>
        <v>0</v>
      </c>
      <c r="AF8" s="60"/>
      <c r="AG8" s="65"/>
      <c r="AH8" s="60"/>
      <c r="AI8" s="77"/>
      <c r="AJ8" s="77">
        <v>120</v>
      </c>
      <c r="AK8" s="77">
        <f t="shared" si="2"/>
        <v>0</v>
      </c>
      <c r="AO8" s="3">
        <v>10006722</v>
      </c>
      <c r="AQ8" s="3" t="str">
        <f t="shared" ref="AQ8:AQ46" si="18">"FEBRERO"&amp;AO8&amp;"Inventario final"</f>
        <v>FEBRERO10006722Inventario final</v>
      </c>
      <c r="AR8" s="3" t="e">
        <f>INDEX(#REF!,MATCH(AQ8,#REF!,0))</f>
        <v>#REF!</v>
      </c>
      <c r="AS8" s="93">
        <f t="shared" si="3"/>
        <v>0</v>
      </c>
      <c r="AT8" s="93">
        <f t="shared" si="4"/>
        <v>0</v>
      </c>
      <c r="AU8" s="97">
        <f t="shared" si="5"/>
        <v>0</v>
      </c>
      <c r="AV8" s="93" t="e">
        <f>#REF!/#REF!*AS8</f>
        <v>#REF!</v>
      </c>
      <c r="AW8" s="91" t="e">
        <f>#REF!/#REF!*AS8</f>
        <v>#REF!</v>
      </c>
      <c r="AX8" s="97" t="e">
        <f>#REF!/#REF!*AS8</f>
        <v>#REF!</v>
      </c>
      <c r="AY8" s="102" t="e">
        <f>#REF!</f>
        <v>#REF!</v>
      </c>
      <c r="AZ8" s="91" t="e">
        <f t="shared" si="6"/>
        <v>#REF!</v>
      </c>
      <c r="BA8" s="98" t="e">
        <f t="shared" si="15"/>
        <v>#REF!</v>
      </c>
      <c r="BB8" s="110">
        <f t="shared" si="16"/>
        <v>0</v>
      </c>
      <c r="BC8" s="109"/>
      <c r="BD8" s="109"/>
      <c r="BE8" s="119">
        <f t="shared" si="7"/>
        <v>0</v>
      </c>
      <c r="BF8" s="93" t="e">
        <f t="shared" si="8"/>
        <v>#REF!</v>
      </c>
      <c r="BG8" s="103">
        <f t="shared" si="9"/>
        <v>0</v>
      </c>
      <c r="BH8" s="120" t="e">
        <f t="shared" si="10"/>
        <v>#REF!</v>
      </c>
      <c r="BI8" s="121">
        <f t="shared" si="11"/>
        <v>0</v>
      </c>
    </row>
    <row r="9" spans="1:61">
      <c r="A9" s="17">
        <f t="shared" si="17"/>
        <v>7</v>
      </c>
      <c r="B9" s="39"/>
      <c r="C9" s="39" t="s">
        <v>90</v>
      </c>
      <c r="D9" s="53">
        <v>57168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27"/>
      <c r="Y9" s="18">
        <f t="shared" si="0"/>
        <v>57168</v>
      </c>
      <c r="Z9" s="18">
        <f t="shared" si="1"/>
        <v>0</v>
      </c>
      <c r="AA9" s="19"/>
      <c r="AB9" s="18">
        <f t="shared" si="12"/>
        <v>57168</v>
      </c>
      <c r="AC9" s="27"/>
      <c r="AD9" s="9">
        <v>57168</v>
      </c>
      <c r="AE9" s="18">
        <f t="shared" si="13"/>
        <v>0</v>
      </c>
      <c r="AF9" s="60"/>
      <c r="AG9" s="65"/>
      <c r="AH9" s="60"/>
      <c r="AI9" s="77"/>
      <c r="AJ9" s="77"/>
      <c r="AK9" s="77"/>
      <c r="AO9" s="3">
        <v>10009241</v>
      </c>
      <c r="AQ9" s="3" t="str">
        <f t="shared" si="18"/>
        <v>FEBRERO10009241Inventario final</v>
      </c>
      <c r="AR9" s="3" t="e">
        <f>INDEX(#REF!,MATCH(AQ9,#REF!,0))</f>
        <v>#REF!</v>
      </c>
      <c r="AS9" s="93">
        <f t="shared" si="3"/>
        <v>0</v>
      </c>
      <c r="AT9" s="93">
        <f t="shared" si="4"/>
        <v>0</v>
      </c>
      <c r="AU9" s="97">
        <f t="shared" si="5"/>
        <v>0</v>
      </c>
      <c r="AV9" s="93" t="e">
        <f>#REF!/#REF!*AS9</f>
        <v>#REF!</v>
      </c>
      <c r="AW9" s="91" t="e">
        <f>#REF!/#REF!*AS9</f>
        <v>#REF!</v>
      </c>
      <c r="AX9" s="97" t="e">
        <f>#REF!/#REF!*AS9</f>
        <v>#REF!</v>
      </c>
      <c r="AY9" s="102" t="e">
        <f>#REF!</f>
        <v>#REF!</v>
      </c>
      <c r="AZ9" s="91" t="e">
        <f t="shared" si="6"/>
        <v>#REF!</v>
      </c>
      <c r="BA9" s="98" t="e">
        <f t="shared" si="15"/>
        <v>#REF!</v>
      </c>
      <c r="BB9" s="110">
        <f t="shared" si="16"/>
        <v>0</v>
      </c>
      <c r="BC9" s="109"/>
      <c r="BD9" s="109"/>
      <c r="BE9" s="119">
        <f t="shared" si="7"/>
        <v>0</v>
      </c>
      <c r="BF9" s="93" t="e">
        <f t="shared" si="8"/>
        <v>#REF!</v>
      </c>
      <c r="BG9" s="103">
        <f t="shared" si="9"/>
        <v>0</v>
      </c>
      <c r="BH9" s="120" t="e">
        <f t="shared" si="10"/>
        <v>#REF!</v>
      </c>
      <c r="BI9" s="121">
        <f t="shared" si="11"/>
        <v>0</v>
      </c>
    </row>
    <row r="10" spans="1:61">
      <c r="A10" s="17"/>
      <c r="B10" s="39"/>
      <c r="C10" s="39" t="s">
        <v>88</v>
      </c>
      <c r="D10" s="53">
        <v>360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27"/>
      <c r="Y10" s="18">
        <f t="shared" si="0"/>
        <v>360</v>
      </c>
      <c r="Z10" s="18">
        <f t="shared" si="1"/>
        <v>0</v>
      </c>
      <c r="AA10" s="19"/>
      <c r="AB10" s="18">
        <f t="shared" si="12"/>
        <v>360</v>
      </c>
      <c r="AC10" s="27"/>
      <c r="AD10" s="9">
        <v>360</v>
      </c>
      <c r="AE10" s="18">
        <f t="shared" si="13"/>
        <v>0</v>
      </c>
      <c r="AF10" s="60"/>
      <c r="AG10" s="65"/>
      <c r="AH10" s="60"/>
      <c r="AI10" s="77"/>
      <c r="AJ10" s="77"/>
      <c r="AK10" s="77"/>
      <c r="AQ10" s="3" t="str">
        <f t="shared" si="18"/>
        <v>FEBREROInventario final</v>
      </c>
      <c r="AR10" s="3" t="e">
        <f>INDEX(#REF!,MATCH(AQ10,#REF!,0))</f>
        <v>#REF!</v>
      </c>
      <c r="AS10" s="93">
        <f t="shared" si="3"/>
        <v>0</v>
      </c>
      <c r="AT10" s="93">
        <f t="shared" si="4"/>
        <v>0</v>
      </c>
      <c r="AU10" s="97">
        <f t="shared" si="5"/>
        <v>0</v>
      </c>
      <c r="AV10" s="93" t="e">
        <f>#REF!/#REF!*AS10</f>
        <v>#REF!</v>
      </c>
      <c r="AW10" s="91" t="e">
        <f>#REF!/#REF!*AS10</f>
        <v>#REF!</v>
      </c>
      <c r="AX10" s="97" t="e">
        <f>#REF!/#REF!*AS10</f>
        <v>#REF!</v>
      </c>
      <c r="AY10" s="102" t="e">
        <f>#REF!</f>
        <v>#REF!</v>
      </c>
      <c r="AZ10" s="91" t="e">
        <f t="shared" si="6"/>
        <v>#REF!</v>
      </c>
      <c r="BA10" s="98" t="e">
        <f t="shared" si="15"/>
        <v>#REF!</v>
      </c>
      <c r="BB10" s="110">
        <f t="shared" si="16"/>
        <v>0</v>
      </c>
      <c r="BC10" s="109"/>
      <c r="BD10" s="109"/>
      <c r="BE10" s="119">
        <f t="shared" si="7"/>
        <v>0</v>
      </c>
      <c r="BF10" s="93" t="e">
        <f t="shared" si="8"/>
        <v>#REF!</v>
      </c>
      <c r="BG10" s="103">
        <f t="shared" si="9"/>
        <v>0</v>
      </c>
      <c r="BH10" s="120" t="e">
        <f t="shared" si="10"/>
        <v>#REF!</v>
      </c>
      <c r="BI10" s="121">
        <f t="shared" si="11"/>
        <v>0</v>
      </c>
    </row>
    <row r="11" spans="1:61">
      <c r="A11" s="17"/>
      <c r="B11" s="39"/>
      <c r="C11" s="39" t="s">
        <v>91</v>
      </c>
      <c r="D11" s="53">
        <v>4428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27"/>
      <c r="Y11" s="18">
        <f t="shared" si="0"/>
        <v>4428</v>
      </c>
      <c r="Z11" s="18">
        <f t="shared" si="1"/>
        <v>0</v>
      </c>
      <c r="AA11" s="19"/>
      <c r="AB11" s="18">
        <f t="shared" si="12"/>
        <v>4428</v>
      </c>
      <c r="AC11" s="27"/>
      <c r="AD11" s="9">
        <v>4428</v>
      </c>
      <c r="AE11" s="18">
        <f t="shared" si="13"/>
        <v>0</v>
      </c>
      <c r="AF11" s="60"/>
      <c r="AG11" s="65"/>
      <c r="AH11" s="60"/>
      <c r="AI11" s="77"/>
      <c r="AJ11" s="77"/>
      <c r="AK11" s="77"/>
      <c r="AQ11" s="3" t="str">
        <f t="shared" si="18"/>
        <v>FEBREROInventario final</v>
      </c>
      <c r="AR11" s="3" t="e">
        <f>INDEX(#REF!,MATCH(AQ11,#REF!,0))</f>
        <v>#REF!</v>
      </c>
      <c r="AS11" s="93">
        <f t="shared" si="3"/>
        <v>0</v>
      </c>
      <c r="AT11" s="93">
        <f t="shared" si="4"/>
        <v>0</v>
      </c>
      <c r="AU11" s="97">
        <f t="shared" si="5"/>
        <v>0</v>
      </c>
      <c r="AV11" s="93" t="e">
        <f>#REF!/#REF!*AS11</f>
        <v>#REF!</v>
      </c>
      <c r="AW11" s="91" t="e">
        <f>#REF!/#REF!*AS11</f>
        <v>#REF!</v>
      </c>
      <c r="AX11" s="97" t="e">
        <f>#REF!/#REF!*AS11</f>
        <v>#REF!</v>
      </c>
      <c r="AY11" s="102" t="e">
        <f>#REF!</f>
        <v>#REF!</v>
      </c>
      <c r="AZ11" s="91" t="e">
        <f t="shared" si="6"/>
        <v>#REF!</v>
      </c>
      <c r="BA11" s="98" t="e">
        <f t="shared" si="15"/>
        <v>#REF!</v>
      </c>
      <c r="BB11" s="110">
        <f t="shared" si="16"/>
        <v>0</v>
      </c>
      <c r="BC11" s="109"/>
      <c r="BD11" s="109"/>
      <c r="BE11" s="119">
        <f t="shared" si="7"/>
        <v>0</v>
      </c>
      <c r="BF11" s="93" t="e">
        <f t="shared" si="8"/>
        <v>#REF!</v>
      </c>
      <c r="BG11" s="103">
        <f t="shared" si="9"/>
        <v>0</v>
      </c>
      <c r="BH11" s="120" t="e">
        <f t="shared" si="10"/>
        <v>#REF!</v>
      </c>
      <c r="BI11" s="121">
        <f t="shared" si="11"/>
        <v>0</v>
      </c>
    </row>
    <row r="12" spans="1:61" s="8" customFormat="1">
      <c r="A12" s="37">
        <v>8</v>
      </c>
      <c r="B12" s="40" t="s">
        <v>40</v>
      </c>
      <c r="C12" s="40" t="s">
        <v>41</v>
      </c>
      <c r="D12" s="54">
        <v>22840</v>
      </c>
      <c r="E12" s="26">
        <v>380</v>
      </c>
      <c r="F12" s="26">
        <f>300+360</f>
        <v>660</v>
      </c>
      <c r="G12" s="26"/>
      <c r="H12" s="26"/>
      <c r="I12" s="26"/>
      <c r="J12" s="26"/>
      <c r="K12" s="26">
        <v>600</v>
      </c>
      <c r="L12" s="26">
        <v>300</v>
      </c>
      <c r="M12" s="26">
        <v>740</v>
      </c>
      <c r="N12" s="26">
        <v>340</v>
      </c>
      <c r="O12" s="26">
        <f>240+0</f>
        <v>240</v>
      </c>
      <c r="P12" s="26">
        <f>240+160</f>
        <v>400</v>
      </c>
      <c r="Q12" s="26"/>
      <c r="R12" s="26">
        <f>420+200</f>
        <v>620</v>
      </c>
      <c r="S12" s="26">
        <v>180</v>
      </c>
      <c r="T12" s="26">
        <v>420</v>
      </c>
      <c r="U12" s="26"/>
      <c r="V12" s="26"/>
      <c r="W12" s="26"/>
      <c r="X12" s="27"/>
      <c r="Y12" s="26">
        <f t="shared" si="0"/>
        <v>22840</v>
      </c>
      <c r="Z12" s="26">
        <f t="shared" si="1"/>
        <v>4880</v>
      </c>
      <c r="AA12" s="38"/>
      <c r="AB12" s="26">
        <f t="shared" si="12"/>
        <v>27720</v>
      </c>
      <c r="AC12" s="27"/>
      <c r="AD12" s="9">
        <v>27120</v>
      </c>
      <c r="AE12" s="18">
        <f t="shared" si="13"/>
        <v>600</v>
      </c>
      <c r="AF12" s="26"/>
      <c r="AG12" s="37"/>
      <c r="AH12" s="60"/>
      <c r="AI12" s="77"/>
      <c r="AJ12" s="77">
        <v>6520</v>
      </c>
      <c r="AK12" s="77">
        <f t="shared" ref="AK12:AK33" si="19">+AD12-AJ12</f>
        <v>20600</v>
      </c>
      <c r="AO12" s="8">
        <v>10009207</v>
      </c>
      <c r="AQ12" s="8" t="str">
        <f t="shared" si="18"/>
        <v>FEBRERO10009207Inventario final</v>
      </c>
      <c r="AR12" s="3" t="e">
        <f>INDEX(#REF!,MATCH(AQ12,#REF!,0))</f>
        <v>#REF!</v>
      </c>
      <c r="AS12" s="93">
        <f t="shared" si="3"/>
        <v>0</v>
      </c>
      <c r="AT12" s="94">
        <f t="shared" si="4"/>
        <v>0</v>
      </c>
      <c r="AU12" s="99">
        <f t="shared" si="5"/>
        <v>0</v>
      </c>
      <c r="AV12" s="94" t="e">
        <f>#REF!/#REF!*AS12</f>
        <v>#REF!</v>
      </c>
      <c r="AW12" s="92" t="e">
        <f>#REF!/#REF!*AS12</f>
        <v>#REF!</v>
      </c>
      <c r="AX12" s="99" t="e">
        <f>#REF!/#REF!*AS12</f>
        <v>#REF!</v>
      </c>
      <c r="AY12" s="104" t="e">
        <f>#REF!</f>
        <v>#REF!</v>
      </c>
      <c r="AZ12" s="92" t="e">
        <f t="shared" si="6"/>
        <v>#REF!</v>
      </c>
      <c r="BA12" s="107" t="e">
        <f t="shared" si="15"/>
        <v>#REF!</v>
      </c>
      <c r="BB12" s="110">
        <f t="shared" si="16"/>
        <v>0</v>
      </c>
      <c r="BC12" s="109"/>
      <c r="BD12" s="109"/>
      <c r="BE12" s="119">
        <f t="shared" si="7"/>
        <v>0</v>
      </c>
      <c r="BF12" s="94" t="e">
        <f t="shared" si="8"/>
        <v>#REF!</v>
      </c>
      <c r="BG12" s="103">
        <f t="shared" si="9"/>
        <v>0</v>
      </c>
      <c r="BH12" s="120" t="e">
        <f t="shared" si="10"/>
        <v>#REF!</v>
      </c>
      <c r="BI12" s="121">
        <f t="shared" si="11"/>
        <v>0</v>
      </c>
    </row>
    <row r="13" spans="1:61" s="8" customFormat="1">
      <c r="A13" s="37">
        <f>+A12+1</f>
        <v>9</v>
      </c>
      <c r="B13" s="40">
        <v>10007969</v>
      </c>
      <c r="C13" s="40" t="s">
        <v>59</v>
      </c>
      <c r="D13" s="54">
        <v>60620</v>
      </c>
      <c r="E13" s="26">
        <v>1780</v>
      </c>
      <c r="F13" s="26">
        <f>660+2240</f>
        <v>2900</v>
      </c>
      <c r="G13" s="26"/>
      <c r="H13" s="26"/>
      <c r="I13" s="26"/>
      <c r="J13" s="26"/>
      <c r="K13" s="26">
        <v>3020</v>
      </c>
      <c r="L13" s="26">
        <v>1200</v>
      </c>
      <c r="M13" s="26">
        <v>3380</v>
      </c>
      <c r="N13" s="26">
        <v>1540</v>
      </c>
      <c r="O13" s="26">
        <v>1120</v>
      </c>
      <c r="P13" s="26">
        <f>1020+700</f>
        <v>1720</v>
      </c>
      <c r="Q13" s="26">
        <v>3440</v>
      </c>
      <c r="R13" s="26">
        <v>820</v>
      </c>
      <c r="S13" s="26">
        <v>940</v>
      </c>
      <c r="T13" s="26">
        <f>300+1500</f>
        <v>1800</v>
      </c>
      <c r="U13" s="26"/>
      <c r="V13" s="26"/>
      <c r="W13" s="26"/>
      <c r="X13" s="27"/>
      <c r="Y13" s="26">
        <f t="shared" si="0"/>
        <v>60620</v>
      </c>
      <c r="Z13" s="26">
        <f t="shared" si="1"/>
        <v>23660</v>
      </c>
      <c r="AA13" s="38">
        <f>40+40+48000</f>
        <v>48080</v>
      </c>
      <c r="AB13" s="26">
        <f t="shared" si="12"/>
        <v>36200</v>
      </c>
      <c r="AC13" s="27"/>
      <c r="AD13" s="9">
        <v>33460</v>
      </c>
      <c r="AE13" s="18">
        <f t="shared" si="13"/>
        <v>2740</v>
      </c>
      <c r="AF13" s="26"/>
      <c r="AG13" s="37">
        <v>40</v>
      </c>
      <c r="AH13" s="60"/>
      <c r="AI13" s="77"/>
      <c r="AJ13" s="77">
        <v>33140</v>
      </c>
      <c r="AK13" s="77">
        <f t="shared" si="19"/>
        <v>320</v>
      </c>
      <c r="AO13" s="8">
        <v>10007969</v>
      </c>
      <c r="AQ13" s="8" t="str">
        <f t="shared" si="18"/>
        <v>FEBRERO10007969Inventario final</v>
      </c>
      <c r="AR13" s="3" t="e">
        <f>INDEX(#REF!,MATCH(AQ13,#REF!,0))</f>
        <v>#REF!</v>
      </c>
      <c r="AS13" s="93">
        <f t="shared" si="3"/>
        <v>0</v>
      </c>
      <c r="AT13" s="94">
        <f t="shared" si="4"/>
        <v>0</v>
      </c>
      <c r="AU13" s="99">
        <f t="shared" si="5"/>
        <v>0</v>
      </c>
      <c r="AV13" s="94" t="e">
        <f>#REF!/#REF!*AS13</f>
        <v>#REF!</v>
      </c>
      <c r="AW13" s="92" t="e">
        <f>#REF!/#REF!*AS13</f>
        <v>#REF!</v>
      </c>
      <c r="AX13" s="99" t="e">
        <f>#REF!/#REF!*AS13</f>
        <v>#REF!</v>
      </c>
      <c r="AY13" s="104" t="e">
        <f>#REF!</f>
        <v>#REF!</v>
      </c>
      <c r="AZ13" s="92" t="e">
        <f t="shared" si="6"/>
        <v>#REF!</v>
      </c>
      <c r="BA13" s="107" t="e">
        <f t="shared" si="15"/>
        <v>#REF!</v>
      </c>
      <c r="BB13" s="110">
        <f t="shared" si="16"/>
        <v>0</v>
      </c>
      <c r="BC13" s="109"/>
      <c r="BD13" s="109"/>
      <c r="BE13" s="119">
        <f t="shared" si="7"/>
        <v>0</v>
      </c>
      <c r="BF13" s="94" t="e">
        <f t="shared" si="8"/>
        <v>#REF!</v>
      </c>
      <c r="BG13" s="103">
        <f t="shared" si="9"/>
        <v>0</v>
      </c>
      <c r="BH13" s="120" t="e">
        <f t="shared" si="10"/>
        <v>#REF!</v>
      </c>
      <c r="BI13" s="121">
        <f t="shared" si="11"/>
        <v>0</v>
      </c>
    </row>
    <row r="14" spans="1:61">
      <c r="A14" s="7">
        <f>+A13+1</f>
        <v>10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7"/>
      <c r="Y14" s="21">
        <f t="shared" si="0"/>
        <v>300</v>
      </c>
      <c r="Z14" s="21">
        <f t="shared" si="1"/>
        <v>0</v>
      </c>
      <c r="AA14" s="22"/>
      <c r="AB14" s="21">
        <f t="shared" si="12"/>
        <v>300</v>
      </c>
      <c r="AC14" s="27"/>
      <c r="AD14" s="9">
        <v>300</v>
      </c>
      <c r="AE14" s="18">
        <f t="shared" si="13"/>
        <v>0</v>
      </c>
      <c r="AF14" s="60"/>
      <c r="AG14" s="65"/>
      <c r="AH14" s="60"/>
      <c r="AI14" s="77"/>
      <c r="AJ14" s="77">
        <v>300</v>
      </c>
      <c r="AK14" s="77">
        <f t="shared" si="19"/>
        <v>0</v>
      </c>
      <c r="AO14" s="3">
        <v>10005721</v>
      </c>
      <c r="AQ14" s="3" t="str">
        <f t="shared" si="18"/>
        <v>FEBRERO10005721Inventario final</v>
      </c>
      <c r="AR14" s="3" t="e">
        <f>INDEX(#REF!,MATCH(AQ14,#REF!,0))</f>
        <v>#REF!</v>
      </c>
      <c r="AS14" s="93">
        <f t="shared" si="3"/>
        <v>0</v>
      </c>
      <c r="AT14" s="93">
        <f t="shared" si="4"/>
        <v>0</v>
      </c>
      <c r="AU14" s="97">
        <f t="shared" si="5"/>
        <v>0</v>
      </c>
      <c r="AV14" s="93" t="e">
        <f>#REF!/#REF!*AS14</f>
        <v>#REF!</v>
      </c>
      <c r="AW14" s="91" t="e">
        <f>#REF!/#REF!*AS14</f>
        <v>#REF!</v>
      </c>
      <c r="AX14" s="97" t="e">
        <f>#REF!/#REF!*AS14</f>
        <v>#REF!</v>
      </c>
      <c r="AY14" s="102" t="e">
        <f>#REF!</f>
        <v>#REF!</v>
      </c>
      <c r="AZ14" s="91" t="e">
        <f t="shared" si="6"/>
        <v>#REF!</v>
      </c>
      <c r="BA14" s="98" t="e">
        <f t="shared" si="15"/>
        <v>#REF!</v>
      </c>
      <c r="BB14" s="110">
        <f t="shared" si="16"/>
        <v>0</v>
      </c>
      <c r="BC14" s="109">
        <v>2200</v>
      </c>
      <c r="BD14" s="116">
        <f t="shared" ref="BD14:BD22" si="20">AS14</f>
        <v>0</v>
      </c>
      <c r="BE14" s="119">
        <f t="shared" si="7"/>
        <v>0</v>
      </c>
      <c r="BF14" s="93" t="e">
        <f t="shared" si="8"/>
        <v>#REF!</v>
      </c>
      <c r="BG14" s="103">
        <f t="shared" si="9"/>
        <v>0</v>
      </c>
      <c r="BH14" s="120" t="e">
        <f t="shared" si="10"/>
        <v>#REF!</v>
      </c>
      <c r="BI14" s="121">
        <f t="shared" si="11"/>
        <v>0</v>
      </c>
    </row>
    <row r="15" spans="1:61">
      <c r="A15" s="7">
        <f t="shared" ref="A15:A17" si="21">+A14+1</f>
        <v>11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7"/>
      <c r="Y15" s="21">
        <f t="shared" si="0"/>
        <v>1120</v>
      </c>
      <c r="Z15" s="21">
        <f t="shared" si="1"/>
        <v>0</v>
      </c>
      <c r="AA15" s="22"/>
      <c r="AB15" s="21">
        <f t="shared" si="12"/>
        <v>1120</v>
      </c>
      <c r="AC15" s="27"/>
      <c r="AD15" s="9">
        <v>1120</v>
      </c>
      <c r="AE15" s="18">
        <f t="shared" si="13"/>
        <v>0</v>
      </c>
      <c r="AF15" s="60"/>
      <c r="AG15" s="65"/>
      <c r="AH15" s="60"/>
      <c r="AI15" s="77"/>
      <c r="AJ15" s="77">
        <v>1120</v>
      </c>
      <c r="AK15" s="77">
        <f t="shared" si="19"/>
        <v>0</v>
      </c>
      <c r="AO15" s="3">
        <v>10005721</v>
      </c>
      <c r="AQ15" s="3" t="str">
        <f t="shared" si="18"/>
        <v>FEBRERO10005721Inventario final</v>
      </c>
      <c r="AR15" s="3" t="e">
        <f>INDEX(#REF!,MATCH(AQ15,#REF!,0))</f>
        <v>#REF!</v>
      </c>
      <c r="AS15" s="93">
        <f t="shared" si="3"/>
        <v>0</v>
      </c>
      <c r="AT15" s="93">
        <f t="shared" si="4"/>
        <v>0</v>
      </c>
      <c r="AU15" s="97">
        <f t="shared" si="5"/>
        <v>0</v>
      </c>
      <c r="AV15" s="93" t="e">
        <f>#REF!/#REF!*AS15</f>
        <v>#REF!</v>
      </c>
      <c r="AW15" s="91" t="e">
        <f>#REF!/#REF!*AS15</f>
        <v>#REF!</v>
      </c>
      <c r="AX15" s="97" t="e">
        <f>#REF!/#REF!*AS15</f>
        <v>#REF!</v>
      </c>
      <c r="AY15" s="102" t="e">
        <f>#REF!</f>
        <v>#REF!</v>
      </c>
      <c r="AZ15" s="91" t="e">
        <f t="shared" si="6"/>
        <v>#REF!</v>
      </c>
      <c r="BA15" s="98" t="e">
        <f t="shared" si="15"/>
        <v>#REF!</v>
      </c>
      <c r="BB15" s="110">
        <f t="shared" si="16"/>
        <v>0</v>
      </c>
      <c r="BC15" s="109">
        <v>2200</v>
      </c>
      <c r="BD15" s="116">
        <f t="shared" si="20"/>
        <v>0</v>
      </c>
      <c r="BE15" s="119">
        <f t="shared" si="7"/>
        <v>0</v>
      </c>
      <c r="BF15" s="93" t="e">
        <f t="shared" si="8"/>
        <v>#REF!</v>
      </c>
      <c r="BG15" s="103">
        <f t="shared" si="9"/>
        <v>0</v>
      </c>
      <c r="BH15" s="120" t="e">
        <f t="shared" si="10"/>
        <v>#REF!</v>
      </c>
      <c r="BI15" s="121">
        <f t="shared" si="11"/>
        <v>0</v>
      </c>
    </row>
    <row r="16" spans="1:61">
      <c r="A16" s="7">
        <f t="shared" si="21"/>
        <v>12</v>
      </c>
      <c r="B16" s="20" t="s">
        <v>57</v>
      </c>
      <c r="C16" s="20" t="s">
        <v>94</v>
      </c>
      <c r="D16" s="55">
        <v>331000</v>
      </c>
      <c r="E16" s="21">
        <f>10500+10700</f>
        <v>21200</v>
      </c>
      <c r="F16" s="21">
        <f>9840+10700</f>
        <v>20540</v>
      </c>
      <c r="G16" s="21"/>
      <c r="H16" s="21"/>
      <c r="I16" s="21"/>
      <c r="J16" s="21"/>
      <c r="K16" s="21">
        <f>12200+11720</f>
        <v>23920</v>
      </c>
      <c r="L16" s="21">
        <f>6120+220</f>
        <v>6340</v>
      </c>
      <c r="M16" s="21">
        <f>9420+14200</f>
        <v>23620</v>
      </c>
      <c r="N16" s="21">
        <f>4360+3040</f>
        <v>7400</v>
      </c>
      <c r="O16" s="21">
        <v>5920</v>
      </c>
      <c r="P16" s="21">
        <f>4000+4260</f>
        <v>8260</v>
      </c>
      <c r="Q16" s="21">
        <f>2940+5700</f>
        <v>8640</v>
      </c>
      <c r="R16" s="21">
        <f>2360+280</f>
        <v>2640</v>
      </c>
      <c r="S16" s="21">
        <v>5500</v>
      </c>
      <c r="T16" s="21">
        <f>9320+9520</f>
        <v>18840</v>
      </c>
      <c r="U16" s="21"/>
      <c r="V16" s="21"/>
      <c r="W16" s="21"/>
      <c r="X16" s="27"/>
      <c r="Y16" s="21">
        <f t="shared" si="0"/>
        <v>331000</v>
      </c>
      <c r="Z16" s="21">
        <f t="shared" si="1"/>
        <v>152820</v>
      </c>
      <c r="AA16" s="22">
        <f>108000+26000+80</f>
        <v>134080</v>
      </c>
      <c r="AB16" s="21">
        <f t="shared" si="12"/>
        <v>349740</v>
      </c>
      <c r="AC16" s="27"/>
      <c r="AD16" s="9">
        <v>325400</v>
      </c>
      <c r="AE16" s="18">
        <f t="shared" si="13"/>
        <v>24340</v>
      </c>
      <c r="AF16" s="60"/>
      <c r="AG16" s="65"/>
      <c r="AH16" s="60">
        <v>108000</v>
      </c>
      <c r="AI16" s="77"/>
      <c r="AJ16" s="77">
        <v>155380</v>
      </c>
      <c r="AK16" s="77">
        <f t="shared" si="19"/>
        <v>170020</v>
      </c>
      <c r="AO16" s="3">
        <v>10005721</v>
      </c>
      <c r="AQ16" s="3" t="str">
        <f t="shared" si="18"/>
        <v>FEBRERO10005721Inventario final</v>
      </c>
      <c r="AR16" s="3" t="e">
        <f>INDEX(#REF!,MATCH(AQ16,#REF!,0))</f>
        <v>#REF!</v>
      </c>
      <c r="AS16" s="93">
        <f t="shared" si="3"/>
        <v>0</v>
      </c>
      <c r="AT16" s="93">
        <f t="shared" si="4"/>
        <v>0</v>
      </c>
      <c r="AU16" s="97">
        <f t="shared" si="5"/>
        <v>0</v>
      </c>
      <c r="AV16" s="93" t="e">
        <f>#REF!/#REF!*AS16</f>
        <v>#REF!</v>
      </c>
      <c r="AW16" s="91" t="e">
        <f>#REF!/#REF!*AS16</f>
        <v>#REF!</v>
      </c>
      <c r="AX16" s="97" t="e">
        <f>#REF!/#REF!*AS16</f>
        <v>#REF!</v>
      </c>
      <c r="AY16" s="102" t="e">
        <f>#REF!</f>
        <v>#REF!</v>
      </c>
      <c r="AZ16" s="91" t="e">
        <f t="shared" si="6"/>
        <v>#REF!</v>
      </c>
      <c r="BA16" s="98" t="e">
        <f t="shared" si="15"/>
        <v>#REF!</v>
      </c>
      <c r="BB16" s="110">
        <f t="shared" si="16"/>
        <v>0</v>
      </c>
      <c r="BC16" s="109">
        <v>2200</v>
      </c>
      <c r="BD16" s="116">
        <f t="shared" si="20"/>
        <v>0</v>
      </c>
      <c r="BE16" s="119">
        <f t="shared" si="7"/>
        <v>0</v>
      </c>
      <c r="BF16" s="93" t="e">
        <f t="shared" si="8"/>
        <v>#REF!</v>
      </c>
      <c r="BG16" s="103">
        <f t="shared" si="9"/>
        <v>0</v>
      </c>
      <c r="BH16" s="120" t="e">
        <f t="shared" si="10"/>
        <v>#REF!</v>
      </c>
      <c r="BI16" s="121">
        <f t="shared" si="11"/>
        <v>0</v>
      </c>
    </row>
    <row r="17" spans="1:61">
      <c r="A17" s="7">
        <f t="shared" si="21"/>
        <v>13</v>
      </c>
      <c r="B17" s="20" t="s">
        <v>55</v>
      </c>
      <c r="C17" s="20" t="s">
        <v>56</v>
      </c>
      <c r="D17" s="55">
        <v>83980</v>
      </c>
      <c r="E17" s="21">
        <v>1880</v>
      </c>
      <c r="F17" s="21">
        <v>1280</v>
      </c>
      <c r="G17" s="21"/>
      <c r="H17" s="21"/>
      <c r="I17" s="21"/>
      <c r="J17" s="21"/>
      <c r="K17" s="21">
        <v>1180</v>
      </c>
      <c r="L17" s="21"/>
      <c r="M17" s="21">
        <v>760</v>
      </c>
      <c r="N17" s="21">
        <v>720</v>
      </c>
      <c r="O17" s="21">
        <v>260</v>
      </c>
      <c r="P17" s="21">
        <f>100+200</f>
        <v>300</v>
      </c>
      <c r="Q17" s="21"/>
      <c r="R17" s="21">
        <f>200+80</f>
        <v>280</v>
      </c>
      <c r="S17" s="21">
        <v>1780</v>
      </c>
      <c r="T17" s="21">
        <f>1600+7840</f>
        <v>9440</v>
      </c>
      <c r="U17" s="21"/>
      <c r="V17" s="21"/>
      <c r="W17" s="21"/>
      <c r="X17" s="27"/>
      <c r="Y17" s="21">
        <f t="shared" si="0"/>
        <v>83980</v>
      </c>
      <c r="Z17" s="21">
        <f t="shared" si="1"/>
        <v>17880</v>
      </c>
      <c r="AA17" s="22">
        <v>40</v>
      </c>
      <c r="AB17" s="21">
        <f>+Y17+Z17-AA17</f>
        <v>101820</v>
      </c>
      <c r="AC17" s="27"/>
      <c r="AD17" s="9">
        <v>90600</v>
      </c>
      <c r="AE17" s="18">
        <f t="shared" si="13"/>
        <v>11220</v>
      </c>
      <c r="AF17" s="60"/>
      <c r="AG17" s="65">
        <v>40</v>
      </c>
      <c r="AH17" s="60"/>
      <c r="AI17" s="77"/>
      <c r="AJ17" s="77">
        <v>55940</v>
      </c>
      <c r="AK17" s="77">
        <f t="shared" si="19"/>
        <v>34660</v>
      </c>
      <c r="AO17" s="3">
        <v>10005721</v>
      </c>
      <c r="AQ17" s="3" t="str">
        <f t="shared" si="18"/>
        <v>FEBRERO10005721Inventario final</v>
      </c>
      <c r="AR17" s="3" t="e">
        <f>INDEX(#REF!,MATCH(AQ17,#REF!,0))</f>
        <v>#REF!</v>
      </c>
      <c r="AS17" s="93">
        <f t="shared" si="3"/>
        <v>0</v>
      </c>
      <c r="AT17" s="93">
        <f t="shared" si="4"/>
        <v>0</v>
      </c>
      <c r="AU17" s="97">
        <f t="shared" si="5"/>
        <v>0</v>
      </c>
      <c r="AV17" s="93" t="e">
        <f>#REF!/#REF!*AS17</f>
        <v>#REF!</v>
      </c>
      <c r="AW17" s="91" t="e">
        <f>#REF!/#REF!*AS17</f>
        <v>#REF!</v>
      </c>
      <c r="AX17" s="97" t="e">
        <f>#REF!/#REF!*AS17</f>
        <v>#REF!</v>
      </c>
      <c r="AY17" s="102" t="e">
        <f>#REF!</f>
        <v>#REF!</v>
      </c>
      <c r="AZ17" s="91" t="e">
        <f t="shared" si="6"/>
        <v>#REF!</v>
      </c>
      <c r="BA17" s="98" t="e">
        <f t="shared" si="15"/>
        <v>#REF!</v>
      </c>
      <c r="BB17" s="110">
        <f t="shared" si="16"/>
        <v>0</v>
      </c>
      <c r="BC17" s="109">
        <v>2200</v>
      </c>
      <c r="BD17" s="116">
        <f t="shared" si="20"/>
        <v>0</v>
      </c>
      <c r="BE17" s="119">
        <f t="shared" si="7"/>
        <v>0</v>
      </c>
      <c r="BF17" s="93" t="e">
        <f t="shared" si="8"/>
        <v>#REF!</v>
      </c>
      <c r="BG17" s="103">
        <f t="shared" si="9"/>
        <v>0</v>
      </c>
      <c r="BH17" s="120" t="e">
        <f t="shared" si="10"/>
        <v>#REF!</v>
      </c>
      <c r="BI17" s="121">
        <f t="shared" si="11"/>
        <v>0</v>
      </c>
    </row>
    <row r="18" spans="1:61">
      <c r="A18" s="23">
        <f>+A17+1</f>
        <v>14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7"/>
      <c r="Y18" s="24">
        <f t="shared" si="0"/>
        <v>940</v>
      </c>
      <c r="Z18" s="24">
        <f t="shared" si="1"/>
        <v>0</v>
      </c>
      <c r="AA18" s="25"/>
      <c r="AB18" s="24">
        <f t="shared" si="12"/>
        <v>940</v>
      </c>
      <c r="AC18" s="27"/>
      <c r="AD18" s="9">
        <v>940</v>
      </c>
      <c r="AE18" s="18">
        <f t="shared" si="13"/>
        <v>0</v>
      </c>
      <c r="AF18" s="60"/>
      <c r="AG18" s="65"/>
      <c r="AH18" s="60"/>
      <c r="AI18" s="77"/>
      <c r="AJ18" s="77">
        <v>940</v>
      </c>
      <c r="AK18" s="77">
        <f t="shared" si="19"/>
        <v>0</v>
      </c>
      <c r="AO18" s="3">
        <v>10005779</v>
      </c>
      <c r="AQ18" s="3" t="str">
        <f t="shared" si="18"/>
        <v>FEBRERO10005779Inventario final</v>
      </c>
      <c r="AR18" s="3" t="e">
        <f>INDEX(#REF!,MATCH(AQ18,#REF!,0))</f>
        <v>#REF!</v>
      </c>
      <c r="AS18" s="93">
        <f t="shared" si="3"/>
        <v>0</v>
      </c>
      <c r="AT18" s="93">
        <f t="shared" si="4"/>
        <v>0</v>
      </c>
      <c r="AU18" s="97">
        <f t="shared" si="5"/>
        <v>0</v>
      </c>
      <c r="AV18" s="93" t="e">
        <f>#REF!/#REF!*AS18</f>
        <v>#REF!</v>
      </c>
      <c r="AW18" s="91" t="e">
        <f>#REF!/#REF!*AS18</f>
        <v>#REF!</v>
      </c>
      <c r="AX18" s="97" t="e">
        <f>#REF!/#REF!*AS18</f>
        <v>#REF!</v>
      </c>
      <c r="AY18" s="102" t="e">
        <f>#REF!</f>
        <v>#REF!</v>
      </c>
      <c r="AZ18" s="91" t="e">
        <f t="shared" si="6"/>
        <v>#REF!</v>
      </c>
      <c r="BA18" s="98" t="e">
        <f t="shared" si="15"/>
        <v>#REF!</v>
      </c>
      <c r="BB18" s="110">
        <f t="shared" si="16"/>
        <v>0</v>
      </c>
      <c r="BC18" s="109">
        <v>1500</v>
      </c>
      <c r="BD18" s="116">
        <f t="shared" si="20"/>
        <v>0</v>
      </c>
      <c r="BE18" s="119">
        <f t="shared" si="7"/>
        <v>0</v>
      </c>
      <c r="BF18" s="93" t="e">
        <f t="shared" si="8"/>
        <v>#REF!</v>
      </c>
      <c r="BG18" s="103">
        <f t="shared" si="9"/>
        <v>0</v>
      </c>
      <c r="BH18" s="120" t="e">
        <f t="shared" si="10"/>
        <v>#REF!</v>
      </c>
      <c r="BI18" s="121">
        <f t="shared" si="11"/>
        <v>0</v>
      </c>
    </row>
    <row r="19" spans="1:61">
      <c r="A19" s="23">
        <f t="shared" ref="A19:A23" si="22">+A18+1</f>
        <v>15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7"/>
      <c r="Y19" s="24">
        <f t="shared" si="0"/>
        <v>240</v>
      </c>
      <c r="Z19" s="24">
        <f t="shared" si="1"/>
        <v>0</v>
      </c>
      <c r="AA19" s="25"/>
      <c r="AB19" s="24">
        <f t="shared" si="12"/>
        <v>240</v>
      </c>
      <c r="AC19" s="27"/>
      <c r="AD19" s="9">
        <v>240</v>
      </c>
      <c r="AE19" s="18">
        <f t="shared" si="13"/>
        <v>0</v>
      </c>
      <c r="AF19" s="60"/>
      <c r="AG19" s="65"/>
      <c r="AH19" s="60"/>
      <c r="AI19" s="77"/>
      <c r="AJ19" s="77">
        <v>240</v>
      </c>
      <c r="AK19" s="77">
        <f t="shared" si="19"/>
        <v>0</v>
      </c>
      <c r="AO19" s="3">
        <v>10005779</v>
      </c>
      <c r="AQ19" s="3" t="str">
        <f t="shared" si="18"/>
        <v>FEBRERO10005779Inventario final</v>
      </c>
      <c r="AR19" s="3" t="e">
        <f>INDEX(#REF!,MATCH(AQ19,#REF!,0))</f>
        <v>#REF!</v>
      </c>
      <c r="AS19" s="93">
        <f t="shared" si="3"/>
        <v>0</v>
      </c>
      <c r="AT19" s="93">
        <f t="shared" si="4"/>
        <v>0</v>
      </c>
      <c r="AU19" s="97">
        <f t="shared" si="5"/>
        <v>0</v>
      </c>
      <c r="AV19" s="93" t="e">
        <f>#REF!/#REF!*AS19</f>
        <v>#REF!</v>
      </c>
      <c r="AW19" s="91" t="e">
        <f>#REF!/#REF!*AS19</f>
        <v>#REF!</v>
      </c>
      <c r="AX19" s="97" t="e">
        <f>#REF!/#REF!*AS19</f>
        <v>#REF!</v>
      </c>
      <c r="AY19" s="102" t="e">
        <f>#REF!</f>
        <v>#REF!</v>
      </c>
      <c r="AZ19" s="91" t="e">
        <f t="shared" si="6"/>
        <v>#REF!</v>
      </c>
      <c r="BA19" s="98" t="e">
        <f t="shared" si="15"/>
        <v>#REF!</v>
      </c>
      <c r="BB19" s="110">
        <f t="shared" si="16"/>
        <v>0</v>
      </c>
      <c r="BC19" s="109">
        <v>1500</v>
      </c>
      <c r="BD19" s="116">
        <f t="shared" si="20"/>
        <v>0</v>
      </c>
      <c r="BE19" s="119">
        <f t="shared" si="7"/>
        <v>0</v>
      </c>
      <c r="BF19" s="93" t="e">
        <f t="shared" si="8"/>
        <v>#REF!</v>
      </c>
      <c r="BG19" s="103">
        <f t="shared" si="9"/>
        <v>0</v>
      </c>
      <c r="BH19" s="120" t="e">
        <f t="shared" si="10"/>
        <v>#REF!</v>
      </c>
      <c r="BI19" s="121">
        <f t="shared" si="11"/>
        <v>0</v>
      </c>
    </row>
    <row r="20" spans="1:61">
      <c r="A20" s="23">
        <f t="shared" si="22"/>
        <v>16</v>
      </c>
      <c r="B20" s="47" t="s">
        <v>43</v>
      </c>
      <c r="C20" s="32" t="s">
        <v>44</v>
      </c>
      <c r="D20" s="56">
        <v>238560</v>
      </c>
      <c r="E20" s="24">
        <f>1720+3560</f>
        <v>5280</v>
      </c>
      <c r="F20" s="24">
        <f>4460+3840</f>
        <v>8300</v>
      </c>
      <c r="G20" s="24"/>
      <c r="H20" s="24"/>
      <c r="I20" s="24"/>
      <c r="J20" s="24"/>
      <c r="K20" s="24">
        <f>2980+5180</f>
        <v>8160</v>
      </c>
      <c r="L20" s="24">
        <f>3320+80</f>
        <v>3400</v>
      </c>
      <c r="M20" s="24">
        <f>1900+7140</f>
        <v>9040</v>
      </c>
      <c r="N20" s="24">
        <f>3640+160</f>
        <v>3800</v>
      </c>
      <c r="O20" s="24">
        <v>2920</v>
      </c>
      <c r="P20" s="24">
        <f>3040+2060</f>
        <v>5100</v>
      </c>
      <c r="Q20" s="24">
        <f>3360+5640</f>
        <v>9000</v>
      </c>
      <c r="R20" s="24">
        <f>1100+1280</f>
        <v>2380</v>
      </c>
      <c r="S20" s="24">
        <v>780</v>
      </c>
      <c r="T20" s="24">
        <f>2220+2680</f>
        <v>4900</v>
      </c>
      <c r="U20" s="24"/>
      <c r="V20" s="24"/>
      <c r="W20" s="24"/>
      <c r="X20" s="27"/>
      <c r="Y20" s="24">
        <f t="shared" si="0"/>
        <v>238560</v>
      </c>
      <c r="Z20" s="24">
        <f t="shared" si="1"/>
        <v>63060</v>
      </c>
      <c r="AA20" s="25">
        <f>40+80+200+20+67800+67800</f>
        <v>135940</v>
      </c>
      <c r="AB20" s="24">
        <f t="shared" si="12"/>
        <v>165680</v>
      </c>
      <c r="AC20" s="27"/>
      <c r="AD20" s="9">
        <f>284220+3360+5640+1100+1280-67800</f>
        <v>227800</v>
      </c>
      <c r="AE20" s="18">
        <f t="shared" si="13"/>
        <v>-62120</v>
      </c>
      <c r="AF20" s="60"/>
      <c r="AG20" s="65">
        <v>320</v>
      </c>
      <c r="AH20" s="60"/>
      <c r="AI20" s="77"/>
      <c r="AJ20" s="77">
        <v>96180</v>
      </c>
      <c r="AK20" s="77">
        <f t="shared" si="19"/>
        <v>131620</v>
      </c>
      <c r="AO20" s="3">
        <v>10005779</v>
      </c>
      <c r="AQ20" s="3" t="str">
        <f t="shared" si="18"/>
        <v>FEBRERO10005779Inventario final</v>
      </c>
      <c r="AR20" s="3" t="e">
        <f>INDEX(#REF!,MATCH(AQ20,#REF!,0))</f>
        <v>#REF!</v>
      </c>
      <c r="AS20" s="93">
        <f t="shared" si="3"/>
        <v>0</v>
      </c>
      <c r="AT20" s="93">
        <f t="shared" si="4"/>
        <v>0</v>
      </c>
      <c r="AU20" s="97">
        <f t="shared" si="5"/>
        <v>0</v>
      </c>
      <c r="AV20" s="93" t="e">
        <f>#REF!/#REF!*AS20</f>
        <v>#REF!</v>
      </c>
      <c r="AW20" s="91" t="e">
        <f>#REF!/#REF!*AS20</f>
        <v>#REF!</v>
      </c>
      <c r="AX20" s="97" t="e">
        <f>#REF!/#REF!*AS20</f>
        <v>#REF!</v>
      </c>
      <c r="AY20" s="102" t="e">
        <f>#REF!</f>
        <v>#REF!</v>
      </c>
      <c r="AZ20" s="91" t="e">
        <f t="shared" si="6"/>
        <v>#REF!</v>
      </c>
      <c r="BA20" s="98" t="e">
        <f t="shared" si="15"/>
        <v>#REF!</v>
      </c>
      <c r="BB20" s="110">
        <f t="shared" si="16"/>
        <v>0</v>
      </c>
      <c r="BC20" s="109">
        <v>1500</v>
      </c>
      <c r="BD20" s="116">
        <f t="shared" si="20"/>
        <v>0</v>
      </c>
      <c r="BE20" s="119">
        <f t="shared" si="7"/>
        <v>0</v>
      </c>
      <c r="BF20" s="93" t="e">
        <f t="shared" si="8"/>
        <v>#REF!</v>
      </c>
      <c r="BG20" s="103">
        <f t="shared" si="9"/>
        <v>0</v>
      </c>
      <c r="BH20" s="120" t="e">
        <f t="shared" si="10"/>
        <v>#REF!</v>
      </c>
      <c r="BI20" s="121">
        <f t="shared" si="11"/>
        <v>0</v>
      </c>
    </row>
    <row r="21" spans="1:61">
      <c r="A21" s="23">
        <f t="shared" si="22"/>
        <v>17</v>
      </c>
      <c r="B21" s="47" t="s">
        <v>45</v>
      </c>
      <c r="C21" s="32" t="s">
        <v>46</v>
      </c>
      <c r="D21" s="56">
        <v>9720</v>
      </c>
      <c r="E21" s="24">
        <f>40+240</f>
        <v>280</v>
      </c>
      <c r="F21" s="24">
        <f>20+360</f>
        <v>380</v>
      </c>
      <c r="G21" s="24"/>
      <c r="H21" s="24"/>
      <c r="I21" s="24"/>
      <c r="J21" s="24"/>
      <c r="K21" s="24">
        <f>80+220</f>
        <v>300</v>
      </c>
      <c r="L21" s="24">
        <v>140</v>
      </c>
      <c r="M21" s="24">
        <v>420</v>
      </c>
      <c r="N21" s="24">
        <f>160+20</f>
        <v>180</v>
      </c>
      <c r="O21" s="24">
        <v>100</v>
      </c>
      <c r="P21" s="24">
        <f>180+80</f>
        <v>260</v>
      </c>
      <c r="Q21" s="24">
        <v>580</v>
      </c>
      <c r="R21" s="24">
        <v>120</v>
      </c>
      <c r="S21" s="24"/>
      <c r="T21" s="24">
        <f>80+140</f>
        <v>220</v>
      </c>
      <c r="U21" s="24"/>
      <c r="V21" s="24"/>
      <c r="W21" s="24"/>
      <c r="X21" s="27"/>
      <c r="Y21" s="24">
        <f t="shared" si="0"/>
        <v>9720</v>
      </c>
      <c r="Z21" s="24">
        <f t="shared" si="1"/>
        <v>2980</v>
      </c>
      <c r="AA21" s="25">
        <v>20</v>
      </c>
      <c r="AB21" s="24">
        <f t="shared" si="12"/>
        <v>12680</v>
      </c>
      <c r="AC21" s="27"/>
      <c r="AD21" s="9">
        <v>12460</v>
      </c>
      <c r="AE21" s="18">
        <f t="shared" si="13"/>
        <v>220</v>
      </c>
      <c r="AF21" s="60"/>
      <c r="AG21" s="65"/>
      <c r="AH21" s="60"/>
      <c r="AI21" s="77"/>
      <c r="AJ21" s="77">
        <v>4900</v>
      </c>
      <c r="AK21" s="77">
        <f t="shared" si="19"/>
        <v>7560</v>
      </c>
      <c r="AO21" s="3">
        <v>10005779</v>
      </c>
      <c r="AQ21" s="3" t="str">
        <f t="shared" si="18"/>
        <v>FEBRERO10005779Inventario final</v>
      </c>
      <c r="AR21" s="3" t="e">
        <f>INDEX(#REF!,MATCH(AQ21,#REF!,0))</f>
        <v>#REF!</v>
      </c>
      <c r="AS21" s="93">
        <f t="shared" si="3"/>
        <v>0</v>
      </c>
      <c r="AT21" s="93">
        <f t="shared" si="4"/>
        <v>0</v>
      </c>
      <c r="AU21" s="97">
        <f t="shared" si="5"/>
        <v>0</v>
      </c>
      <c r="AV21" s="93" t="e">
        <f>#REF!/#REF!*AS21</f>
        <v>#REF!</v>
      </c>
      <c r="AW21" s="91" t="e">
        <f>#REF!/#REF!*AS21</f>
        <v>#REF!</v>
      </c>
      <c r="AX21" s="97" t="e">
        <f>#REF!/#REF!*AS21</f>
        <v>#REF!</v>
      </c>
      <c r="AY21" s="102" t="e">
        <f>#REF!</f>
        <v>#REF!</v>
      </c>
      <c r="AZ21" s="91" t="e">
        <f t="shared" si="6"/>
        <v>#REF!</v>
      </c>
      <c r="BA21" s="98" t="e">
        <f t="shared" si="15"/>
        <v>#REF!</v>
      </c>
      <c r="BB21" s="110">
        <f t="shared" si="16"/>
        <v>0</v>
      </c>
      <c r="BC21" s="109">
        <v>1500</v>
      </c>
      <c r="BD21" s="116">
        <f t="shared" si="20"/>
        <v>0</v>
      </c>
      <c r="BE21" s="119">
        <f t="shared" si="7"/>
        <v>0</v>
      </c>
      <c r="BF21" s="93" t="e">
        <f t="shared" si="8"/>
        <v>#REF!</v>
      </c>
      <c r="BG21" s="103">
        <f t="shared" si="9"/>
        <v>0</v>
      </c>
      <c r="BH21" s="120" t="e">
        <f t="shared" si="10"/>
        <v>#REF!</v>
      </c>
      <c r="BI21" s="121">
        <f t="shared" si="11"/>
        <v>0</v>
      </c>
    </row>
    <row r="22" spans="1:61">
      <c r="A22" s="23">
        <f t="shared" si="22"/>
        <v>18</v>
      </c>
      <c r="B22" s="47" t="s">
        <v>47</v>
      </c>
      <c r="C22" s="32" t="s">
        <v>48</v>
      </c>
      <c r="D22" s="56">
        <v>67740</v>
      </c>
      <c r="E22" s="24">
        <f>240+500</f>
        <v>740</v>
      </c>
      <c r="F22" s="24">
        <f>580+780</f>
        <v>1360</v>
      </c>
      <c r="G22" s="24"/>
      <c r="H22" s="24"/>
      <c r="I22" s="24"/>
      <c r="J22" s="24"/>
      <c r="K22" s="24">
        <f>580+1240</f>
        <v>1820</v>
      </c>
      <c r="L22" s="24">
        <f>260+540</f>
        <v>800</v>
      </c>
      <c r="M22" s="24">
        <f>360+1520</f>
        <v>1880</v>
      </c>
      <c r="N22" s="24">
        <f>980+20</f>
        <v>1000</v>
      </c>
      <c r="O22" s="24">
        <v>880</v>
      </c>
      <c r="P22" s="24">
        <f>460+260</f>
        <v>720</v>
      </c>
      <c r="Q22" s="24">
        <f>440+800</f>
        <v>1240</v>
      </c>
      <c r="R22" s="24">
        <v>380</v>
      </c>
      <c r="S22" s="24">
        <v>760</v>
      </c>
      <c r="T22" s="24">
        <f>1640+1540</f>
        <v>3180</v>
      </c>
      <c r="U22" s="24"/>
      <c r="V22" s="24"/>
      <c r="W22" s="24"/>
      <c r="X22" s="27"/>
      <c r="Y22" s="24">
        <f t="shared" si="0"/>
        <v>67740</v>
      </c>
      <c r="Z22" s="24">
        <f t="shared" si="1"/>
        <v>14760</v>
      </c>
      <c r="AA22" s="25">
        <f>40+40</f>
        <v>80</v>
      </c>
      <c r="AB22" s="24">
        <f t="shared" si="12"/>
        <v>82420</v>
      </c>
      <c r="AC22" s="27"/>
      <c r="AD22" s="9">
        <v>78480</v>
      </c>
      <c r="AE22" s="18">
        <f t="shared" si="13"/>
        <v>3940</v>
      </c>
      <c r="AF22" s="60"/>
      <c r="AG22" s="65">
        <v>80</v>
      </c>
      <c r="AH22" s="60"/>
      <c r="AI22" s="77"/>
      <c r="AJ22" s="77">
        <v>17040</v>
      </c>
      <c r="AK22" s="77">
        <f t="shared" si="19"/>
        <v>61440</v>
      </c>
      <c r="AO22" s="3">
        <v>10005781</v>
      </c>
      <c r="AQ22" s="3" t="str">
        <f t="shared" si="18"/>
        <v>FEBRERO10005781Inventario final</v>
      </c>
      <c r="AR22" s="3" t="e">
        <f>INDEX(#REF!,MATCH(AQ22,#REF!,0))</f>
        <v>#REF!</v>
      </c>
      <c r="AS22" s="93">
        <f t="shared" si="3"/>
        <v>0</v>
      </c>
      <c r="AT22" s="93">
        <f t="shared" si="4"/>
        <v>0</v>
      </c>
      <c r="AU22" s="97">
        <f t="shared" si="5"/>
        <v>0</v>
      </c>
      <c r="AV22" s="93" t="e">
        <f>#REF!/#REF!*AS22</f>
        <v>#REF!</v>
      </c>
      <c r="AW22" s="91" t="e">
        <f>#REF!/#REF!*AS22</f>
        <v>#REF!</v>
      </c>
      <c r="AX22" s="97" t="e">
        <f>#REF!/#REF!*AS22</f>
        <v>#REF!</v>
      </c>
      <c r="AY22" s="102" t="e">
        <f>#REF!</f>
        <v>#REF!</v>
      </c>
      <c r="AZ22" s="91" t="e">
        <f t="shared" si="6"/>
        <v>#REF!</v>
      </c>
      <c r="BA22" s="98" t="e">
        <f t="shared" si="15"/>
        <v>#REF!</v>
      </c>
      <c r="BB22" s="110">
        <f t="shared" si="16"/>
        <v>0</v>
      </c>
      <c r="BC22" s="109">
        <v>1500</v>
      </c>
      <c r="BD22" s="116">
        <f t="shared" si="20"/>
        <v>0</v>
      </c>
      <c r="BE22" s="119">
        <f t="shared" si="7"/>
        <v>0</v>
      </c>
      <c r="BF22" s="93" t="e">
        <f t="shared" si="8"/>
        <v>#REF!</v>
      </c>
      <c r="BG22" s="103">
        <f t="shared" si="9"/>
        <v>0</v>
      </c>
      <c r="BH22" s="120" t="e">
        <f t="shared" si="10"/>
        <v>#REF!</v>
      </c>
      <c r="BI22" s="121">
        <f t="shared" si="11"/>
        <v>0</v>
      </c>
    </row>
    <row r="23" spans="1:61">
      <c r="A23" s="23">
        <f t="shared" si="22"/>
        <v>19</v>
      </c>
      <c r="B23" s="32">
        <v>10009386</v>
      </c>
      <c r="C23" s="32" t="s">
        <v>63</v>
      </c>
      <c r="D23" s="56">
        <v>27480</v>
      </c>
      <c r="E23" s="24">
        <v>400</v>
      </c>
      <c r="F23" s="24">
        <f>260+380</f>
        <v>640</v>
      </c>
      <c r="G23" s="24"/>
      <c r="H23" s="24"/>
      <c r="I23" s="24"/>
      <c r="J23" s="24"/>
      <c r="K23" s="24">
        <f>220+400</f>
        <v>620</v>
      </c>
      <c r="L23" s="24">
        <v>300</v>
      </c>
      <c r="M23" s="24">
        <v>740</v>
      </c>
      <c r="N23" s="24">
        <f>200+140</f>
        <v>340</v>
      </c>
      <c r="O23" s="24">
        <v>200</v>
      </c>
      <c r="P23" s="24">
        <f>260+160</f>
        <v>420</v>
      </c>
      <c r="Q23" s="24">
        <v>720</v>
      </c>
      <c r="R23" s="24">
        <v>180</v>
      </c>
      <c r="S23" s="24">
        <v>180</v>
      </c>
      <c r="T23" s="24">
        <v>460</v>
      </c>
      <c r="U23" s="24"/>
      <c r="V23" s="24"/>
      <c r="W23" s="24"/>
      <c r="X23" s="27"/>
      <c r="Y23" s="24">
        <f t="shared" si="0"/>
        <v>27480</v>
      </c>
      <c r="Z23" s="24">
        <f t="shared" si="1"/>
        <v>5200</v>
      </c>
      <c r="AA23" s="25"/>
      <c r="AB23" s="24">
        <f t="shared" si="12"/>
        <v>32680</v>
      </c>
      <c r="AC23" s="27"/>
      <c r="AD23" s="9">
        <v>32040</v>
      </c>
      <c r="AE23" s="18">
        <f t="shared" si="13"/>
        <v>640</v>
      </c>
      <c r="AF23" s="60"/>
      <c r="AG23" s="65"/>
      <c r="AH23" s="60"/>
      <c r="AI23" s="77"/>
      <c r="AJ23" s="77">
        <v>9860</v>
      </c>
      <c r="AK23" s="77">
        <f t="shared" si="19"/>
        <v>22180</v>
      </c>
      <c r="AO23" s="3">
        <v>10009386</v>
      </c>
      <c r="AQ23" s="3" t="str">
        <f t="shared" si="18"/>
        <v>FEBRERO10009386Inventario final</v>
      </c>
      <c r="AR23" s="3" t="e">
        <f>INDEX(#REF!,MATCH(AQ23,#REF!,0))</f>
        <v>#REF!</v>
      </c>
      <c r="AS23" s="93">
        <f t="shared" si="3"/>
        <v>0</v>
      </c>
      <c r="AT23" s="93">
        <f t="shared" si="4"/>
        <v>0</v>
      </c>
      <c r="AU23" s="97">
        <f t="shared" si="5"/>
        <v>0</v>
      </c>
      <c r="AV23" s="93" t="e">
        <f>#REF!/#REF!*AS23</f>
        <v>#REF!</v>
      </c>
      <c r="AW23" s="91" t="e">
        <f>#REF!/#REF!*AS23</f>
        <v>#REF!</v>
      </c>
      <c r="AX23" s="97" t="e">
        <f>#REF!/#REF!*AS23</f>
        <v>#REF!</v>
      </c>
      <c r="AY23" s="102" t="e">
        <f>#REF!</f>
        <v>#REF!</v>
      </c>
      <c r="AZ23" s="91" t="e">
        <f t="shared" si="6"/>
        <v>#REF!</v>
      </c>
      <c r="BA23" s="98" t="e">
        <f t="shared" si="15"/>
        <v>#REF!</v>
      </c>
      <c r="BB23" s="110">
        <f t="shared" si="16"/>
        <v>0</v>
      </c>
      <c r="BC23" s="109"/>
      <c r="BD23" s="109"/>
      <c r="BE23" s="119">
        <f t="shared" si="7"/>
        <v>0</v>
      </c>
      <c r="BF23" s="93" t="e">
        <f t="shared" si="8"/>
        <v>#REF!</v>
      </c>
      <c r="BG23" s="103">
        <f t="shared" si="9"/>
        <v>0</v>
      </c>
      <c r="BH23" s="120" t="e">
        <f t="shared" si="10"/>
        <v>#REF!</v>
      </c>
      <c r="BI23" s="121">
        <f t="shared" si="11"/>
        <v>0</v>
      </c>
    </row>
    <row r="24" spans="1:61" s="8" customFormat="1">
      <c r="A24" s="11">
        <f>+A23+1</f>
        <v>20</v>
      </c>
      <c r="B24" s="12" t="s">
        <v>12</v>
      </c>
      <c r="C24" s="12" t="s">
        <v>13</v>
      </c>
      <c r="D24" s="57">
        <v>104880</v>
      </c>
      <c r="E24" s="10">
        <v>2660</v>
      </c>
      <c r="F24" s="10">
        <f>1040+3060</f>
        <v>4100</v>
      </c>
      <c r="G24" s="10"/>
      <c r="H24" s="10"/>
      <c r="I24" s="10"/>
      <c r="J24" s="10"/>
      <c r="K24" s="10">
        <v>4380</v>
      </c>
      <c r="L24" s="10">
        <f>600+1200</f>
        <v>1800</v>
      </c>
      <c r="M24" s="10">
        <f>1160+3720</f>
        <v>4880</v>
      </c>
      <c r="N24" s="10">
        <v>2100</v>
      </c>
      <c r="O24" s="10">
        <v>1580</v>
      </c>
      <c r="P24" s="10">
        <f>1600+1060</f>
        <v>2660</v>
      </c>
      <c r="Q24" s="10">
        <v>3620</v>
      </c>
      <c r="R24" s="10">
        <f>1260+1240</f>
        <v>2500</v>
      </c>
      <c r="S24" s="10">
        <v>1300</v>
      </c>
      <c r="T24" s="10">
        <f>200+2620</f>
        <v>2820</v>
      </c>
      <c r="U24" s="10"/>
      <c r="V24" s="10"/>
      <c r="W24" s="10"/>
      <c r="X24" s="26"/>
      <c r="Y24" s="10">
        <f t="shared" si="0"/>
        <v>104880</v>
      </c>
      <c r="Z24" s="10">
        <f t="shared" si="1"/>
        <v>34400</v>
      </c>
      <c r="AA24" s="14">
        <v>25000</v>
      </c>
      <c r="AB24" s="10">
        <f t="shared" si="12"/>
        <v>114280</v>
      </c>
      <c r="AC24" s="27"/>
      <c r="AD24" s="9">
        <v>110160</v>
      </c>
      <c r="AE24" s="18">
        <f t="shared" si="13"/>
        <v>4120</v>
      </c>
      <c r="AF24" s="60"/>
      <c r="AG24" s="37"/>
      <c r="AH24" s="60">
        <v>25000</v>
      </c>
      <c r="AI24" s="77"/>
      <c r="AJ24" s="77">
        <v>30440</v>
      </c>
      <c r="AK24" s="77">
        <f t="shared" si="19"/>
        <v>79720</v>
      </c>
      <c r="AO24" s="8">
        <v>10007567</v>
      </c>
      <c r="AQ24" s="8" t="str">
        <f t="shared" si="18"/>
        <v>FEBRERO10007567Inventario final</v>
      </c>
      <c r="AR24" s="3" t="e">
        <f>INDEX(#REF!,MATCH(AQ24,#REF!,0))</f>
        <v>#REF!</v>
      </c>
      <c r="AS24" s="93">
        <f t="shared" si="3"/>
        <v>0</v>
      </c>
      <c r="AT24" s="94">
        <f t="shared" si="4"/>
        <v>0</v>
      </c>
      <c r="AU24" s="97">
        <f t="shared" si="5"/>
        <v>0</v>
      </c>
      <c r="AV24" s="94" t="e">
        <f>#REF!/#REF!*AS24</f>
        <v>#REF!</v>
      </c>
      <c r="AW24" s="92" t="e">
        <f>#REF!/#REF!*AS24</f>
        <v>#REF!</v>
      </c>
      <c r="AX24" s="99" t="e">
        <f>#REF!/#REF!*AS24</f>
        <v>#REF!</v>
      </c>
      <c r="AY24" s="104" t="e">
        <f>#REF!</f>
        <v>#REF!</v>
      </c>
      <c r="AZ24" s="92" t="e">
        <f t="shared" si="6"/>
        <v>#REF!</v>
      </c>
      <c r="BA24" s="107" t="e">
        <f t="shared" si="15"/>
        <v>#REF!</v>
      </c>
      <c r="BB24" s="110">
        <f t="shared" si="16"/>
        <v>0</v>
      </c>
      <c r="BC24" s="109">
        <v>2900</v>
      </c>
      <c r="BD24" s="116">
        <f>AS24</f>
        <v>0</v>
      </c>
      <c r="BE24" s="119">
        <f t="shared" si="7"/>
        <v>0</v>
      </c>
      <c r="BF24" s="94" t="e">
        <f t="shared" si="8"/>
        <v>#REF!</v>
      </c>
      <c r="BG24" s="103">
        <f t="shared" si="9"/>
        <v>0</v>
      </c>
      <c r="BH24" s="120" t="e">
        <f t="shared" si="10"/>
        <v>#REF!</v>
      </c>
      <c r="BI24" s="121">
        <f t="shared" si="11"/>
        <v>0</v>
      </c>
    </row>
    <row r="25" spans="1:61">
      <c r="A25" s="11">
        <f t="shared" ref="A25:A30" si="23">+A24+1</f>
        <v>21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26"/>
      <c r="Y25" s="10">
        <f t="shared" si="0"/>
        <v>140</v>
      </c>
      <c r="Z25" s="10">
        <f t="shared" si="1"/>
        <v>0</v>
      </c>
      <c r="AA25" s="14"/>
      <c r="AB25" s="10">
        <f>+Y25+Z25-AA25</f>
        <v>140</v>
      </c>
      <c r="AC25" s="27"/>
      <c r="AD25" s="9">
        <v>140</v>
      </c>
      <c r="AE25" s="18">
        <f t="shared" si="13"/>
        <v>0</v>
      </c>
      <c r="AF25" s="60"/>
      <c r="AG25" s="65"/>
      <c r="AH25" s="60"/>
      <c r="AI25" s="77"/>
      <c r="AJ25" s="77">
        <v>140</v>
      </c>
      <c r="AK25" s="77">
        <f t="shared" si="19"/>
        <v>0</v>
      </c>
      <c r="AO25" s="3">
        <v>10007162</v>
      </c>
      <c r="AQ25" s="3" t="str">
        <f t="shared" si="18"/>
        <v>FEBRERO10007162Inventario final</v>
      </c>
      <c r="AR25" s="3" t="e">
        <f>INDEX(#REF!,MATCH(AQ25,#REF!,0))</f>
        <v>#REF!</v>
      </c>
      <c r="AS25" s="93">
        <f t="shared" si="3"/>
        <v>0</v>
      </c>
      <c r="AT25" s="93">
        <f t="shared" si="4"/>
        <v>0</v>
      </c>
      <c r="AU25" s="99">
        <f t="shared" si="5"/>
        <v>0</v>
      </c>
      <c r="AV25" s="93" t="e">
        <f>#REF!/#REF!*AS25</f>
        <v>#REF!</v>
      </c>
      <c r="AW25" s="91" t="e">
        <f>#REF!/#REF!*AS25</f>
        <v>#REF!</v>
      </c>
      <c r="AX25" s="97" t="e">
        <f>#REF!/#REF!*AS25</f>
        <v>#REF!</v>
      </c>
      <c r="AY25" s="102" t="e">
        <f>#REF!</f>
        <v>#REF!</v>
      </c>
      <c r="AZ25" s="91" t="e">
        <f t="shared" si="6"/>
        <v>#REF!</v>
      </c>
      <c r="BA25" s="98" t="e">
        <f t="shared" si="15"/>
        <v>#REF!</v>
      </c>
      <c r="BB25" s="110">
        <f t="shared" si="16"/>
        <v>0</v>
      </c>
      <c r="BC25" s="109">
        <v>2900</v>
      </c>
      <c r="BD25" s="116">
        <f>AS25</f>
        <v>0</v>
      </c>
      <c r="BE25" s="119">
        <f t="shared" si="7"/>
        <v>0</v>
      </c>
      <c r="BF25" s="93" t="e">
        <f t="shared" si="8"/>
        <v>#REF!</v>
      </c>
      <c r="BG25" s="103">
        <f t="shared" si="9"/>
        <v>0</v>
      </c>
      <c r="BH25" s="120" t="e">
        <f t="shared" si="10"/>
        <v>#REF!</v>
      </c>
      <c r="BI25" s="121">
        <f t="shared" si="11"/>
        <v>0</v>
      </c>
    </row>
    <row r="26" spans="1:61">
      <c r="A26" s="11">
        <f t="shared" si="23"/>
        <v>22</v>
      </c>
      <c r="B26" s="12" t="s">
        <v>16</v>
      </c>
      <c r="C26" s="12" t="s">
        <v>17</v>
      </c>
      <c r="D26" s="57">
        <v>6240</v>
      </c>
      <c r="E26" s="10">
        <v>260</v>
      </c>
      <c r="F26" s="10">
        <f>140+360</f>
        <v>500</v>
      </c>
      <c r="G26" s="10"/>
      <c r="H26" s="10"/>
      <c r="I26" s="10"/>
      <c r="J26" s="10"/>
      <c r="K26" s="10">
        <f>80+320</f>
        <v>400</v>
      </c>
      <c r="L26" s="10">
        <v>220</v>
      </c>
      <c r="M26" s="10">
        <f>40+480</f>
        <v>520</v>
      </c>
      <c r="N26" s="10">
        <f>60+120</f>
        <v>180</v>
      </c>
      <c r="O26" s="10">
        <v>140</v>
      </c>
      <c r="P26" s="10">
        <f>240+140</f>
        <v>380</v>
      </c>
      <c r="Q26" s="10">
        <v>560</v>
      </c>
      <c r="R26" s="10">
        <f>80+100</f>
        <v>180</v>
      </c>
      <c r="S26" s="10"/>
      <c r="T26" s="10">
        <f>40+220</f>
        <v>260</v>
      </c>
      <c r="U26" s="10"/>
      <c r="V26" s="10"/>
      <c r="W26" s="10"/>
      <c r="X26" s="26"/>
      <c r="Y26" s="10">
        <f t="shared" si="0"/>
        <v>6240</v>
      </c>
      <c r="Z26" s="10">
        <f t="shared" si="1"/>
        <v>3600</v>
      </c>
      <c r="AA26" s="14"/>
      <c r="AB26" s="10">
        <f>+Y26+Z26-AA26</f>
        <v>9840</v>
      </c>
      <c r="AC26" s="27"/>
      <c r="AD26" s="9">
        <v>9580</v>
      </c>
      <c r="AE26" s="18">
        <f t="shared" si="13"/>
        <v>260</v>
      </c>
      <c r="AF26" s="60"/>
      <c r="AG26" s="65"/>
      <c r="AH26" s="60"/>
      <c r="AI26" s="77"/>
      <c r="AJ26" s="77">
        <v>13760</v>
      </c>
      <c r="AK26" s="77">
        <f t="shared" si="19"/>
        <v>-4180</v>
      </c>
      <c r="AO26" s="3">
        <v>10007162</v>
      </c>
      <c r="AQ26" s="3" t="str">
        <f t="shared" si="18"/>
        <v>FEBRERO10007162Inventario final</v>
      </c>
      <c r="AR26" s="3" t="e">
        <f>INDEX(#REF!,MATCH(AQ26,#REF!,0))</f>
        <v>#REF!</v>
      </c>
      <c r="AS26" s="93">
        <f t="shared" si="3"/>
        <v>0</v>
      </c>
      <c r="AT26" s="93">
        <f t="shared" si="4"/>
        <v>0</v>
      </c>
      <c r="AU26" s="97">
        <f t="shared" si="5"/>
        <v>0</v>
      </c>
      <c r="AV26" s="93" t="e">
        <f>#REF!/#REF!*AS26</f>
        <v>#REF!</v>
      </c>
      <c r="AW26" s="91" t="e">
        <f>#REF!/#REF!*AS26</f>
        <v>#REF!</v>
      </c>
      <c r="AX26" s="97" t="e">
        <f>#REF!/#REF!*AS26</f>
        <v>#REF!</v>
      </c>
      <c r="AY26" s="102" t="e">
        <f>#REF!</f>
        <v>#REF!</v>
      </c>
      <c r="AZ26" s="91" t="e">
        <f t="shared" si="6"/>
        <v>#REF!</v>
      </c>
      <c r="BA26" s="98" t="e">
        <f t="shared" si="15"/>
        <v>#REF!</v>
      </c>
      <c r="BB26" s="110">
        <f t="shared" si="16"/>
        <v>0</v>
      </c>
      <c r="BC26" s="109">
        <v>2900</v>
      </c>
      <c r="BD26" s="116">
        <f>AS26</f>
        <v>0</v>
      </c>
      <c r="BE26" s="119">
        <f t="shared" si="7"/>
        <v>0</v>
      </c>
      <c r="BF26" s="93" t="e">
        <f t="shared" si="8"/>
        <v>#REF!</v>
      </c>
      <c r="BG26" s="103">
        <f t="shared" si="9"/>
        <v>0</v>
      </c>
      <c r="BH26" s="120" t="e">
        <f t="shared" si="10"/>
        <v>#REF!</v>
      </c>
      <c r="BI26" s="121">
        <f t="shared" si="11"/>
        <v>0</v>
      </c>
    </row>
    <row r="27" spans="1:61">
      <c r="A27" s="11">
        <f t="shared" si="23"/>
        <v>23</v>
      </c>
      <c r="B27" s="12" t="s">
        <v>18</v>
      </c>
      <c r="C27" s="12" t="s">
        <v>19</v>
      </c>
      <c r="D27" s="57">
        <v>200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540</v>
      </c>
      <c r="U27" s="10"/>
      <c r="V27" s="10"/>
      <c r="W27" s="10"/>
      <c r="X27" s="26"/>
      <c r="Y27" s="10">
        <f t="shared" si="0"/>
        <v>200</v>
      </c>
      <c r="Z27" s="10">
        <f t="shared" si="1"/>
        <v>540</v>
      </c>
      <c r="AA27" s="14"/>
      <c r="AB27" s="10">
        <f t="shared" si="12"/>
        <v>740</v>
      </c>
      <c r="AC27" s="27"/>
      <c r="AD27" s="9">
        <v>200</v>
      </c>
      <c r="AE27" s="18">
        <f t="shared" si="13"/>
        <v>540</v>
      </c>
      <c r="AF27" s="60"/>
      <c r="AG27" s="65"/>
      <c r="AH27" s="60"/>
      <c r="AI27" s="77"/>
      <c r="AJ27" s="77">
        <v>180</v>
      </c>
      <c r="AK27" s="77">
        <f t="shared" si="19"/>
        <v>20</v>
      </c>
      <c r="AO27" s="3">
        <v>10007162</v>
      </c>
      <c r="AQ27" s="3" t="str">
        <f t="shared" si="18"/>
        <v>FEBRERO10007162Inventario final</v>
      </c>
      <c r="AR27" s="3" t="e">
        <f>INDEX(#REF!,MATCH(AQ27,#REF!,0))</f>
        <v>#REF!</v>
      </c>
      <c r="AS27" s="93">
        <f t="shared" si="3"/>
        <v>0</v>
      </c>
      <c r="AT27" s="93">
        <f t="shared" si="4"/>
        <v>0</v>
      </c>
      <c r="AU27" s="97">
        <f t="shared" si="5"/>
        <v>0</v>
      </c>
      <c r="AV27" s="93" t="e">
        <f>#REF!/#REF!*AS27</f>
        <v>#REF!</v>
      </c>
      <c r="AW27" s="91" t="e">
        <f>#REF!/#REF!*AS27</f>
        <v>#REF!</v>
      </c>
      <c r="AX27" s="97" t="e">
        <f>#REF!/#REF!*AS27</f>
        <v>#REF!</v>
      </c>
      <c r="AY27" s="102" t="e">
        <f>#REF!</f>
        <v>#REF!</v>
      </c>
      <c r="AZ27" s="91" t="e">
        <f t="shared" si="6"/>
        <v>#REF!</v>
      </c>
      <c r="BA27" s="98" t="e">
        <f t="shared" si="15"/>
        <v>#REF!</v>
      </c>
      <c r="BB27" s="110">
        <f t="shared" si="16"/>
        <v>0</v>
      </c>
      <c r="BC27" s="109">
        <v>2900</v>
      </c>
      <c r="BD27" s="116">
        <f>AS27</f>
        <v>0</v>
      </c>
      <c r="BE27" s="119">
        <f t="shared" si="7"/>
        <v>0</v>
      </c>
      <c r="BF27" s="93" t="e">
        <f t="shared" si="8"/>
        <v>#REF!</v>
      </c>
      <c r="BG27" s="103">
        <f t="shared" si="9"/>
        <v>0</v>
      </c>
      <c r="BH27" s="120" t="e">
        <f t="shared" si="10"/>
        <v>#REF!</v>
      </c>
      <c r="BI27" s="121">
        <f t="shared" si="11"/>
        <v>0</v>
      </c>
    </row>
    <row r="28" spans="1:61">
      <c r="A28" s="11">
        <f t="shared" si="23"/>
        <v>24</v>
      </c>
      <c r="B28" s="12" t="s">
        <v>49</v>
      </c>
      <c r="C28" s="12" t="s">
        <v>50</v>
      </c>
      <c r="D28" s="57">
        <v>288880</v>
      </c>
      <c r="E28" s="10">
        <f>5880+5540</f>
        <v>11420</v>
      </c>
      <c r="F28" s="10">
        <f>7660+10080</f>
        <v>17740</v>
      </c>
      <c r="G28" s="10"/>
      <c r="H28" s="10"/>
      <c r="I28" s="10"/>
      <c r="J28" s="10"/>
      <c r="K28" s="10">
        <f>8420+9320</f>
        <v>17740</v>
      </c>
      <c r="L28" s="10">
        <v>7500</v>
      </c>
      <c r="M28" s="10">
        <f>10580+9480</f>
        <v>20060</v>
      </c>
      <c r="N28" s="10">
        <f>6880+1820</f>
        <v>8700</v>
      </c>
      <c r="O28" s="10">
        <v>6920</v>
      </c>
      <c r="P28" s="10">
        <f>6540+4320</f>
        <v>10860</v>
      </c>
      <c r="Q28" s="10">
        <f>9480+9680</f>
        <v>19160</v>
      </c>
      <c r="R28" s="10">
        <f>5500+480</f>
        <v>5980</v>
      </c>
      <c r="S28" s="10">
        <v>3000</v>
      </c>
      <c r="T28" s="10">
        <f>7780+3180</f>
        <v>10960</v>
      </c>
      <c r="U28" s="10"/>
      <c r="V28" s="10"/>
      <c r="W28" s="10"/>
      <c r="X28" s="26"/>
      <c r="Y28" s="10">
        <f t="shared" si="0"/>
        <v>288880</v>
      </c>
      <c r="Z28" s="10">
        <f t="shared" si="1"/>
        <v>140040</v>
      </c>
      <c r="AA28" s="14">
        <f>26000+177000+25000</f>
        <v>228000</v>
      </c>
      <c r="AB28" s="10">
        <f t="shared" si="12"/>
        <v>200920</v>
      </c>
      <c r="AC28" s="27"/>
      <c r="AD28" s="9">
        <v>186960</v>
      </c>
      <c r="AE28" s="18">
        <f t="shared" si="13"/>
        <v>13960</v>
      </c>
      <c r="AF28" s="60"/>
      <c r="AG28" s="65"/>
      <c r="AH28" s="60">
        <f>26000+177000+25000</f>
        <v>228000</v>
      </c>
      <c r="AI28" s="77"/>
      <c r="AJ28" s="77">
        <v>49100</v>
      </c>
      <c r="AK28" s="77">
        <f t="shared" si="19"/>
        <v>137860</v>
      </c>
      <c r="AO28" s="3">
        <v>10007162</v>
      </c>
      <c r="AQ28" s="3" t="str">
        <f t="shared" si="18"/>
        <v>FEBRERO10007162Inventario final</v>
      </c>
      <c r="AR28" s="3" t="e">
        <f>INDEX(#REF!,MATCH(AQ28,#REF!,0))</f>
        <v>#REF!</v>
      </c>
      <c r="AS28" s="93">
        <f t="shared" si="3"/>
        <v>0</v>
      </c>
      <c r="AT28" s="93">
        <f t="shared" si="4"/>
        <v>0</v>
      </c>
      <c r="AU28" s="97">
        <f t="shared" si="5"/>
        <v>0</v>
      </c>
      <c r="AV28" s="93" t="e">
        <f>#REF!/#REF!*AS28</f>
        <v>#REF!</v>
      </c>
      <c r="AW28" s="91" t="e">
        <f>#REF!/#REF!*AS28</f>
        <v>#REF!</v>
      </c>
      <c r="AX28" s="97" t="e">
        <f>#REF!/#REF!*AS28</f>
        <v>#REF!</v>
      </c>
      <c r="AY28" s="102" t="e">
        <f>#REF!</f>
        <v>#REF!</v>
      </c>
      <c r="AZ28" s="91" t="e">
        <f t="shared" si="6"/>
        <v>#REF!</v>
      </c>
      <c r="BA28" s="98" t="e">
        <f t="shared" si="15"/>
        <v>#REF!</v>
      </c>
      <c r="BB28" s="110">
        <f t="shared" si="16"/>
        <v>0</v>
      </c>
      <c r="BC28" s="109">
        <v>2900</v>
      </c>
      <c r="BD28" s="116">
        <f>AS28</f>
        <v>0</v>
      </c>
      <c r="BE28" s="119">
        <f t="shared" si="7"/>
        <v>0</v>
      </c>
      <c r="BF28" s="93" t="e">
        <f t="shared" si="8"/>
        <v>#REF!</v>
      </c>
      <c r="BG28" s="103">
        <f t="shared" si="9"/>
        <v>0</v>
      </c>
      <c r="BH28" s="120" t="e">
        <f t="shared" si="10"/>
        <v>#REF!</v>
      </c>
      <c r="BI28" s="121">
        <f t="shared" si="11"/>
        <v>0</v>
      </c>
    </row>
    <row r="29" spans="1:61" ht="15.6" customHeight="1">
      <c r="A29" s="11">
        <f t="shared" si="23"/>
        <v>25</v>
      </c>
      <c r="B29" s="12">
        <v>10009658</v>
      </c>
      <c r="C29" s="12" t="s">
        <v>68</v>
      </c>
      <c r="D29" s="57">
        <v>1960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26"/>
      <c r="Y29" s="10">
        <f t="shared" si="0"/>
        <v>1960</v>
      </c>
      <c r="Z29" s="10">
        <f t="shared" si="1"/>
        <v>0</v>
      </c>
      <c r="AA29" s="14"/>
      <c r="AB29" s="10">
        <f>+Y29+Z29-AA29</f>
        <v>1960</v>
      </c>
      <c r="AC29" s="27"/>
      <c r="AD29" s="9">
        <v>1960</v>
      </c>
      <c r="AE29" s="18">
        <f t="shared" si="13"/>
        <v>0</v>
      </c>
      <c r="AF29" s="60"/>
      <c r="AG29" s="65"/>
      <c r="AH29" s="60"/>
      <c r="AI29" s="77"/>
      <c r="AJ29" s="77">
        <v>1960</v>
      </c>
      <c r="AK29" s="77">
        <f t="shared" si="19"/>
        <v>0</v>
      </c>
      <c r="AO29" s="3">
        <v>10009639</v>
      </c>
      <c r="AQ29" s="3" t="str">
        <f t="shared" si="18"/>
        <v>FEBRERO10009639Inventario final</v>
      </c>
      <c r="AR29" s="3" t="e">
        <f>INDEX(#REF!,MATCH(AQ29,#REF!,0))</f>
        <v>#REF!</v>
      </c>
      <c r="AS29" s="93">
        <f t="shared" si="3"/>
        <v>0</v>
      </c>
      <c r="AT29" s="93">
        <f t="shared" si="4"/>
        <v>0</v>
      </c>
      <c r="AU29" s="97">
        <f t="shared" si="5"/>
        <v>0</v>
      </c>
      <c r="AV29" s="93" t="e">
        <f>#REF!/#REF!*AS29</f>
        <v>#REF!</v>
      </c>
      <c r="AW29" s="91" t="e">
        <f>#REF!/#REF!*AS29</f>
        <v>#REF!</v>
      </c>
      <c r="AX29" s="97" t="e">
        <f>#REF!/#REF!*AS29</f>
        <v>#REF!</v>
      </c>
      <c r="AY29" s="102" t="e">
        <f>#REF!</f>
        <v>#REF!</v>
      </c>
      <c r="AZ29" s="91" t="e">
        <f t="shared" si="6"/>
        <v>#REF!</v>
      </c>
      <c r="BA29" s="98" t="e">
        <f t="shared" si="15"/>
        <v>#REF!</v>
      </c>
      <c r="BB29" s="110">
        <f t="shared" si="16"/>
        <v>0</v>
      </c>
      <c r="BC29" s="109"/>
      <c r="BD29" s="109"/>
      <c r="BE29" s="119">
        <f t="shared" si="7"/>
        <v>0</v>
      </c>
      <c r="BF29" s="93" t="e">
        <f t="shared" si="8"/>
        <v>#REF!</v>
      </c>
      <c r="BG29" s="103">
        <f t="shared" si="9"/>
        <v>0</v>
      </c>
      <c r="BH29" s="120" t="e">
        <f t="shared" si="10"/>
        <v>#REF!</v>
      </c>
      <c r="BI29" s="121">
        <f t="shared" si="11"/>
        <v>0</v>
      </c>
    </row>
    <row r="30" spans="1:61">
      <c r="A30" s="11">
        <f t="shared" si="23"/>
        <v>26</v>
      </c>
      <c r="B30" s="12">
        <v>10009639</v>
      </c>
      <c r="C30" s="12" t="s">
        <v>69</v>
      </c>
      <c r="D30" s="57">
        <v>47080</v>
      </c>
      <c r="E30" s="10">
        <v>980</v>
      </c>
      <c r="F30" s="10">
        <f>520+1240</f>
        <v>1760</v>
      </c>
      <c r="G30" s="10"/>
      <c r="H30" s="10"/>
      <c r="I30" s="10"/>
      <c r="J30" s="10"/>
      <c r="K30" s="10">
        <f>640+1460</f>
        <v>2100</v>
      </c>
      <c r="L30" s="10">
        <v>800</v>
      </c>
      <c r="M30" s="10">
        <f>800+1340</f>
        <v>2140</v>
      </c>
      <c r="N30" s="10">
        <f>900+420</f>
        <v>1320</v>
      </c>
      <c r="O30" s="10">
        <v>860</v>
      </c>
      <c r="P30" s="10">
        <f>460+340</f>
        <v>800</v>
      </c>
      <c r="Q30" s="10">
        <f>640+960</f>
        <v>1600</v>
      </c>
      <c r="R30" s="10">
        <f>460+460</f>
        <v>920</v>
      </c>
      <c r="S30" s="10">
        <v>980</v>
      </c>
      <c r="T30" s="10">
        <f>2740+1860</f>
        <v>4600</v>
      </c>
      <c r="U30" s="10"/>
      <c r="V30" s="10"/>
      <c r="W30" s="10"/>
      <c r="X30" s="26"/>
      <c r="Y30" s="10">
        <f t="shared" si="0"/>
        <v>47080</v>
      </c>
      <c r="Z30" s="10">
        <f t="shared" si="1"/>
        <v>18860</v>
      </c>
      <c r="AA30" s="14">
        <v>24000</v>
      </c>
      <c r="AB30" s="10">
        <f>+Y30+Z30-AA30</f>
        <v>41940</v>
      </c>
      <c r="AC30" s="27"/>
      <c r="AD30" s="9">
        <v>36360</v>
      </c>
      <c r="AE30" s="18">
        <f t="shared" si="13"/>
        <v>5580</v>
      </c>
      <c r="AF30" s="60"/>
      <c r="AG30" s="65"/>
      <c r="AH30" s="60">
        <v>24000</v>
      </c>
      <c r="AI30" s="77"/>
      <c r="AJ30" s="77">
        <v>3960</v>
      </c>
      <c r="AK30" s="77">
        <f t="shared" si="19"/>
        <v>32400</v>
      </c>
      <c r="AO30" s="3">
        <v>10009639</v>
      </c>
      <c r="AQ30" s="3" t="str">
        <f t="shared" si="18"/>
        <v>FEBRERO10009639Inventario final</v>
      </c>
      <c r="AR30" s="3" t="e">
        <f>INDEX(#REF!,MATCH(AQ30,#REF!,0))</f>
        <v>#REF!</v>
      </c>
      <c r="AS30" s="93">
        <f t="shared" si="3"/>
        <v>0</v>
      </c>
      <c r="AT30" s="93">
        <f t="shared" si="4"/>
        <v>0</v>
      </c>
      <c r="AU30" s="97">
        <f t="shared" si="5"/>
        <v>0</v>
      </c>
      <c r="AV30" s="93" t="e">
        <f>#REF!/#REF!*AS30</f>
        <v>#REF!</v>
      </c>
      <c r="AW30" s="91" t="e">
        <f>#REF!/#REF!*AS30</f>
        <v>#REF!</v>
      </c>
      <c r="AX30" s="97" t="e">
        <f>#REF!/#REF!*AS30</f>
        <v>#REF!</v>
      </c>
      <c r="AY30" s="102" t="e">
        <f>#REF!</f>
        <v>#REF!</v>
      </c>
      <c r="AZ30" s="91" t="e">
        <f t="shared" si="6"/>
        <v>#REF!</v>
      </c>
      <c r="BA30" s="98" t="e">
        <f t="shared" si="15"/>
        <v>#REF!</v>
      </c>
      <c r="BB30" s="110">
        <f t="shared" si="16"/>
        <v>0</v>
      </c>
      <c r="BC30" s="109"/>
      <c r="BD30" s="109"/>
      <c r="BE30" s="119">
        <f t="shared" si="7"/>
        <v>0</v>
      </c>
      <c r="BF30" s="93" t="e">
        <f t="shared" si="8"/>
        <v>#REF!</v>
      </c>
      <c r="BG30" s="103">
        <f t="shared" si="9"/>
        <v>0</v>
      </c>
      <c r="BH30" s="120" t="e">
        <f t="shared" si="10"/>
        <v>#REF!</v>
      </c>
      <c r="BI30" s="121">
        <f t="shared" si="11"/>
        <v>0</v>
      </c>
    </row>
    <row r="31" spans="1:61">
      <c r="A31" s="28">
        <f>+A30+1</f>
        <v>27</v>
      </c>
      <c r="B31" s="31" t="s">
        <v>53</v>
      </c>
      <c r="C31" s="31" t="s">
        <v>54</v>
      </c>
      <c r="D31" s="58">
        <v>287540</v>
      </c>
      <c r="E31" s="29">
        <v>2980</v>
      </c>
      <c r="F31" s="29">
        <v>4360</v>
      </c>
      <c r="G31" s="29">
        <f>9400+9920</f>
        <v>19320</v>
      </c>
      <c r="H31" s="29">
        <v>6580</v>
      </c>
      <c r="I31" s="29"/>
      <c r="J31" s="29"/>
      <c r="K31" s="29">
        <v>8240</v>
      </c>
      <c r="L31" s="29">
        <f>8740+8460</f>
        <v>17200</v>
      </c>
      <c r="M31" s="29">
        <v>9740</v>
      </c>
      <c r="N31" s="29">
        <f>7920+11360</f>
        <v>19280</v>
      </c>
      <c r="O31" s="29">
        <v>4240</v>
      </c>
      <c r="P31" s="29">
        <f>3540+13020</f>
        <v>16560</v>
      </c>
      <c r="Q31" s="29">
        <v>5120</v>
      </c>
      <c r="R31" s="29">
        <f>11820+13600</f>
        <v>25420</v>
      </c>
      <c r="S31" s="29">
        <v>2360</v>
      </c>
      <c r="T31" s="29">
        <f>2540+2840</f>
        <v>5380</v>
      </c>
      <c r="U31" s="29">
        <v>3660</v>
      </c>
      <c r="V31" s="29"/>
      <c r="W31" s="29"/>
      <c r="X31" s="26"/>
      <c r="Y31" s="29">
        <f t="shared" si="0"/>
        <v>287540</v>
      </c>
      <c r="Z31" s="29">
        <f t="shared" si="1"/>
        <v>150440</v>
      </c>
      <c r="AA31" s="30">
        <f>175000+125000</f>
        <v>300000</v>
      </c>
      <c r="AB31" s="29">
        <f>+Y31+Z31-AA31</f>
        <v>137980</v>
      </c>
      <c r="AC31" s="27"/>
      <c r="AD31" s="9">
        <v>137980</v>
      </c>
      <c r="AE31" s="18">
        <f t="shared" si="13"/>
        <v>0</v>
      </c>
      <c r="AF31" s="60"/>
      <c r="AG31" s="65"/>
      <c r="AH31" s="60"/>
      <c r="AI31" s="77"/>
      <c r="AJ31" s="77">
        <v>420</v>
      </c>
      <c r="AK31" s="77">
        <f t="shared" si="19"/>
        <v>137560</v>
      </c>
      <c r="AO31" s="3">
        <v>10009239</v>
      </c>
      <c r="AQ31" s="3" t="str">
        <f t="shared" si="18"/>
        <v>FEBRERO10009239Inventario final</v>
      </c>
      <c r="AR31" s="3" t="e">
        <f>INDEX(#REF!,MATCH(AQ31,#REF!,0))</f>
        <v>#REF!</v>
      </c>
      <c r="AS31" s="93">
        <f t="shared" si="3"/>
        <v>0</v>
      </c>
      <c r="AT31" s="93">
        <f t="shared" si="4"/>
        <v>0</v>
      </c>
      <c r="AU31" s="97">
        <f t="shared" si="5"/>
        <v>0</v>
      </c>
      <c r="AV31" s="93" t="e">
        <f>#REF!/#REF!*AS31</f>
        <v>#REF!</v>
      </c>
      <c r="AW31" s="91" t="e">
        <f>#REF!/#REF!*AS31</f>
        <v>#REF!</v>
      </c>
      <c r="AX31" s="97" t="e">
        <f>#REF!/#REF!*AS31</f>
        <v>#REF!</v>
      </c>
      <c r="AY31" s="102" t="e">
        <f>#REF!</f>
        <v>#REF!</v>
      </c>
      <c r="AZ31" s="91" t="e">
        <f t="shared" si="6"/>
        <v>#REF!</v>
      </c>
      <c r="BA31" s="98" t="e">
        <f t="shared" si="15"/>
        <v>#REF!</v>
      </c>
      <c r="BB31" s="110">
        <f t="shared" si="16"/>
        <v>0</v>
      </c>
      <c r="BC31" s="109">
        <v>4500</v>
      </c>
      <c r="BD31" s="116">
        <f>AS31</f>
        <v>0</v>
      </c>
      <c r="BE31" s="119">
        <f t="shared" si="7"/>
        <v>0</v>
      </c>
      <c r="BF31" s="93" t="e">
        <f t="shared" si="8"/>
        <v>#REF!</v>
      </c>
      <c r="BG31" s="103">
        <f t="shared" si="9"/>
        <v>0</v>
      </c>
      <c r="BH31" s="120" t="e">
        <f t="shared" si="10"/>
        <v>#REF!</v>
      </c>
      <c r="BI31" s="121">
        <f t="shared" si="11"/>
        <v>0</v>
      </c>
    </row>
    <row r="32" spans="1:61">
      <c r="A32" s="28">
        <f t="shared" si="17"/>
        <v>28</v>
      </c>
      <c r="B32" s="31" t="s">
        <v>51</v>
      </c>
      <c r="C32" s="31" t="s">
        <v>52</v>
      </c>
      <c r="D32" s="58">
        <v>36540</v>
      </c>
      <c r="E32" s="29">
        <v>20</v>
      </c>
      <c r="F32" s="29">
        <v>240</v>
      </c>
      <c r="G32" s="29">
        <f>400+320</f>
        <v>720</v>
      </c>
      <c r="H32" s="29">
        <v>980</v>
      </c>
      <c r="I32" s="29"/>
      <c r="J32" s="29"/>
      <c r="K32" s="29"/>
      <c r="L32" s="29">
        <f>860+620</f>
        <v>1480</v>
      </c>
      <c r="M32" s="29">
        <v>1700</v>
      </c>
      <c r="N32" s="29">
        <f>300+700</f>
        <v>1000</v>
      </c>
      <c r="O32" s="29">
        <v>0</v>
      </c>
      <c r="P32" s="29">
        <f>660+420</f>
        <v>1080</v>
      </c>
      <c r="Q32" s="29">
        <v>120</v>
      </c>
      <c r="R32" s="29">
        <v>540</v>
      </c>
      <c r="S32" s="29"/>
      <c r="T32" s="29">
        <v>80</v>
      </c>
      <c r="U32" s="29">
        <v>80</v>
      </c>
      <c r="V32" s="29"/>
      <c r="W32" s="29"/>
      <c r="X32" s="26"/>
      <c r="Y32" s="29">
        <f t="shared" si="0"/>
        <v>36540</v>
      </c>
      <c r="Z32" s="29">
        <f t="shared" si="1"/>
        <v>8040</v>
      </c>
      <c r="AA32" s="30">
        <f>14000+10000</f>
        <v>24000</v>
      </c>
      <c r="AB32" s="29">
        <f t="shared" si="12"/>
        <v>20580</v>
      </c>
      <c r="AC32" s="27"/>
      <c r="AD32" s="9">
        <v>20580</v>
      </c>
      <c r="AE32" s="18">
        <f t="shared" si="13"/>
        <v>0</v>
      </c>
      <c r="AF32" s="60"/>
      <c r="AG32" s="65"/>
      <c r="AH32" s="60"/>
      <c r="AI32" s="77"/>
      <c r="AJ32" s="77">
        <v>30140</v>
      </c>
      <c r="AK32" s="77">
        <f t="shared" si="19"/>
        <v>-9560</v>
      </c>
      <c r="AO32" s="3">
        <v>10009239</v>
      </c>
      <c r="AQ32" s="3" t="str">
        <f t="shared" si="18"/>
        <v>FEBRERO10009239Inventario final</v>
      </c>
      <c r="AR32" s="3" t="e">
        <f>INDEX(#REF!,MATCH(AQ32,#REF!,0))</f>
        <v>#REF!</v>
      </c>
      <c r="AS32" s="93">
        <f t="shared" si="3"/>
        <v>0</v>
      </c>
      <c r="AT32" s="93">
        <f t="shared" si="4"/>
        <v>0</v>
      </c>
      <c r="AU32" s="97">
        <f t="shared" si="5"/>
        <v>0</v>
      </c>
      <c r="AV32" s="93" t="e">
        <f>#REF!/#REF!*AS32</f>
        <v>#REF!</v>
      </c>
      <c r="AW32" s="91" t="e">
        <f>#REF!/#REF!*AS32</f>
        <v>#REF!</v>
      </c>
      <c r="AX32" s="97" t="e">
        <f>#REF!/#REF!*AS32</f>
        <v>#REF!</v>
      </c>
      <c r="AY32" s="102" t="e">
        <f>#REF!</f>
        <v>#REF!</v>
      </c>
      <c r="AZ32" s="91" t="e">
        <f t="shared" si="6"/>
        <v>#REF!</v>
      </c>
      <c r="BA32" s="98" t="e">
        <f t="shared" si="15"/>
        <v>#REF!</v>
      </c>
      <c r="BB32" s="110">
        <f t="shared" si="16"/>
        <v>0</v>
      </c>
      <c r="BC32" s="109">
        <v>4500</v>
      </c>
      <c r="BD32" s="116">
        <f>AS32</f>
        <v>0</v>
      </c>
      <c r="BE32" s="119">
        <f t="shared" si="7"/>
        <v>0</v>
      </c>
      <c r="BF32" s="93" t="e">
        <f t="shared" si="8"/>
        <v>#REF!</v>
      </c>
      <c r="BG32" s="103">
        <f t="shared" si="9"/>
        <v>0</v>
      </c>
      <c r="BH32" s="120" t="e">
        <f t="shared" si="10"/>
        <v>#REF!</v>
      </c>
      <c r="BI32" s="121">
        <f t="shared" si="11"/>
        <v>0</v>
      </c>
    </row>
    <row r="33" spans="1:61">
      <c r="A33" s="28">
        <f>+A31+1</f>
        <v>28</v>
      </c>
      <c r="B33" s="31" t="s">
        <v>38</v>
      </c>
      <c r="C33" s="31" t="s">
        <v>39</v>
      </c>
      <c r="D33" s="58">
        <v>260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6"/>
      <c r="Y33" s="29">
        <f t="shared" si="0"/>
        <v>260</v>
      </c>
      <c r="Z33" s="29">
        <f t="shared" si="1"/>
        <v>0</v>
      </c>
      <c r="AA33" s="30"/>
      <c r="AB33" s="29">
        <f t="shared" si="12"/>
        <v>260</v>
      </c>
      <c r="AC33" s="27"/>
      <c r="AD33" s="9">
        <v>260</v>
      </c>
      <c r="AE33" s="18">
        <f t="shared" si="13"/>
        <v>0</v>
      </c>
      <c r="AF33" s="60"/>
      <c r="AG33" s="65"/>
      <c r="AH33" s="60"/>
      <c r="AI33" s="77"/>
      <c r="AJ33" s="77">
        <v>260</v>
      </c>
      <c r="AK33" s="77">
        <f t="shared" si="19"/>
        <v>0</v>
      </c>
      <c r="AO33" s="3">
        <v>10009241</v>
      </c>
      <c r="AQ33" s="3" t="str">
        <f t="shared" si="18"/>
        <v>FEBRERO10009241Inventario final</v>
      </c>
      <c r="AR33" s="3" t="e">
        <f>INDEX(#REF!,MATCH(AQ33,#REF!,0))</f>
        <v>#REF!</v>
      </c>
      <c r="AS33" s="93">
        <f t="shared" si="3"/>
        <v>0</v>
      </c>
      <c r="AT33" s="93">
        <f t="shared" si="4"/>
        <v>0</v>
      </c>
      <c r="AU33" s="97">
        <f t="shared" si="5"/>
        <v>0</v>
      </c>
      <c r="AV33" s="93" t="e">
        <f>#REF!/#REF!*AS33</f>
        <v>#REF!</v>
      </c>
      <c r="AW33" s="91" t="e">
        <f>#REF!/#REF!*AS33</f>
        <v>#REF!</v>
      </c>
      <c r="AX33" s="97" t="e">
        <f>#REF!/#REF!*AS33</f>
        <v>#REF!</v>
      </c>
      <c r="AY33" s="102" t="e">
        <f>#REF!</f>
        <v>#REF!</v>
      </c>
      <c r="AZ33" s="91" t="e">
        <f t="shared" si="6"/>
        <v>#REF!</v>
      </c>
      <c r="BA33" s="98" t="e">
        <f t="shared" si="15"/>
        <v>#REF!</v>
      </c>
      <c r="BB33" s="110">
        <f t="shared" si="16"/>
        <v>0</v>
      </c>
      <c r="BC33" s="109"/>
      <c r="BD33" s="116">
        <f>AS33</f>
        <v>0</v>
      </c>
      <c r="BE33" s="119">
        <f t="shared" si="7"/>
        <v>0</v>
      </c>
      <c r="BF33" s="93" t="e">
        <f t="shared" si="8"/>
        <v>#REF!</v>
      </c>
      <c r="BG33" s="103">
        <f t="shared" si="9"/>
        <v>0</v>
      </c>
      <c r="BH33" s="120" t="e">
        <f t="shared" si="10"/>
        <v>#REF!</v>
      </c>
      <c r="BI33" s="121">
        <f t="shared" si="11"/>
        <v>0</v>
      </c>
    </row>
    <row r="34" spans="1:61">
      <c r="A34" s="28"/>
      <c r="B34" s="31">
        <v>10007050</v>
      </c>
      <c r="C34" s="31" t="s">
        <v>87</v>
      </c>
      <c r="D34" s="58">
        <v>26460</v>
      </c>
      <c r="E34" s="29">
        <v>660</v>
      </c>
      <c r="F34" s="36">
        <v>100</v>
      </c>
      <c r="G34" s="36">
        <f>1520+200</f>
        <v>1720</v>
      </c>
      <c r="H34" s="29">
        <v>1740</v>
      </c>
      <c r="I34" s="29"/>
      <c r="J34" s="36"/>
      <c r="K34" s="36"/>
      <c r="L34" s="36">
        <f>680+1100</f>
        <v>1780</v>
      </c>
      <c r="M34" s="36">
        <v>320</v>
      </c>
      <c r="N34" s="36">
        <f>180+1980</f>
        <v>2160</v>
      </c>
      <c r="O34" s="36">
        <v>0</v>
      </c>
      <c r="P34" s="36">
        <f>560+1140</f>
        <v>1700</v>
      </c>
      <c r="Q34" s="36">
        <v>940</v>
      </c>
      <c r="R34" s="36">
        <f>2160+2220</f>
        <v>4380</v>
      </c>
      <c r="S34" s="36"/>
      <c r="T34" s="36">
        <v>540</v>
      </c>
      <c r="U34" s="36">
        <v>1420</v>
      </c>
      <c r="V34" s="36"/>
      <c r="W34" s="36"/>
      <c r="X34" s="27"/>
      <c r="Y34" s="29">
        <f t="shared" si="0"/>
        <v>26460</v>
      </c>
      <c r="Z34" s="29">
        <f t="shared" si="1"/>
        <v>17460</v>
      </c>
      <c r="AA34" s="30"/>
      <c r="AB34" s="29">
        <f t="shared" si="12"/>
        <v>43920</v>
      </c>
      <c r="AC34" s="27"/>
      <c r="AD34" s="9">
        <v>41960</v>
      </c>
      <c r="AE34" s="18">
        <f t="shared" si="13"/>
        <v>1960</v>
      </c>
      <c r="AF34" s="60"/>
      <c r="AG34" s="65"/>
      <c r="AH34" s="60"/>
      <c r="AI34" s="77"/>
      <c r="AJ34" s="77"/>
      <c r="AK34" s="77"/>
      <c r="AO34" s="3">
        <v>10007050</v>
      </c>
      <c r="AQ34" s="3" t="str">
        <f t="shared" si="18"/>
        <v>FEBRERO10007050Inventario final</v>
      </c>
      <c r="AR34" s="3" t="e">
        <f>INDEX(#REF!,MATCH(AQ34,#REF!,0))</f>
        <v>#REF!</v>
      </c>
      <c r="AS34" s="93">
        <f t="shared" si="3"/>
        <v>0</v>
      </c>
      <c r="AT34" s="93">
        <f t="shared" si="4"/>
        <v>0</v>
      </c>
      <c r="AU34" s="97">
        <f t="shared" si="5"/>
        <v>0</v>
      </c>
      <c r="AV34" s="93" t="e">
        <f>#REF!/#REF!*AS34</f>
        <v>#REF!</v>
      </c>
      <c r="AW34" s="91" t="e">
        <f>#REF!/#REF!*AS34</f>
        <v>#REF!</v>
      </c>
      <c r="AX34" s="97" t="e">
        <f>#REF!/#REF!*AS34</f>
        <v>#REF!</v>
      </c>
      <c r="AY34" s="102" t="e">
        <f>#REF!</f>
        <v>#REF!</v>
      </c>
      <c r="AZ34" s="91" t="e">
        <f t="shared" si="6"/>
        <v>#REF!</v>
      </c>
      <c r="BA34" s="98" t="e">
        <f t="shared" si="15"/>
        <v>#REF!</v>
      </c>
      <c r="BB34" s="110">
        <f t="shared" si="16"/>
        <v>0</v>
      </c>
      <c r="BC34" s="109">
        <v>4500</v>
      </c>
      <c r="BD34" s="116">
        <f>AS34</f>
        <v>0</v>
      </c>
      <c r="BE34" s="119">
        <f t="shared" si="7"/>
        <v>0</v>
      </c>
      <c r="BF34" s="93" t="e">
        <f t="shared" si="8"/>
        <v>#REF!</v>
      </c>
      <c r="BG34" s="103">
        <f t="shared" si="9"/>
        <v>0</v>
      </c>
      <c r="BH34" s="120" t="e">
        <f t="shared" si="10"/>
        <v>#REF!</v>
      </c>
      <c r="BI34" s="121">
        <f t="shared" si="11"/>
        <v>0</v>
      </c>
    </row>
    <row r="35" spans="1:61" ht="18.600000000000001" customHeight="1">
      <c r="A35" s="28">
        <f>+A32+1</f>
        <v>29</v>
      </c>
      <c r="B35" s="31"/>
      <c r="C35" s="31" t="s">
        <v>81</v>
      </c>
      <c r="D35" s="58">
        <v>22290</v>
      </c>
      <c r="E35" s="29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27"/>
      <c r="Y35" s="29">
        <f t="shared" si="0"/>
        <v>22290</v>
      </c>
      <c r="Z35" s="29">
        <f t="shared" si="1"/>
        <v>0</v>
      </c>
      <c r="AA35" s="30">
        <f>10080+12210</f>
        <v>22290</v>
      </c>
      <c r="AB35" s="29">
        <f t="shared" si="12"/>
        <v>0</v>
      </c>
      <c r="AC35" s="27"/>
      <c r="AD35" s="88">
        <v>0</v>
      </c>
      <c r="AE35" s="18">
        <f t="shared" si="13"/>
        <v>0</v>
      </c>
      <c r="AF35" s="18">
        <v>22290</v>
      </c>
      <c r="AG35" s="65"/>
      <c r="AH35" s="60"/>
      <c r="AI35" s="77"/>
      <c r="AJ35" s="77">
        <v>1130</v>
      </c>
      <c r="AK35" s="77">
        <f t="shared" ref="AK35:AK46" si="24">+AD35-AJ35</f>
        <v>-1130</v>
      </c>
      <c r="AQ35" s="3" t="str">
        <f t="shared" si="18"/>
        <v>FEBREROInventario final</v>
      </c>
      <c r="AR35" s="3" t="e">
        <f>INDEX(#REF!,MATCH(AQ35,#REF!,0))</f>
        <v>#REF!</v>
      </c>
      <c r="AS35" s="93">
        <f t="shared" si="3"/>
        <v>0</v>
      </c>
      <c r="AT35" s="93">
        <f t="shared" si="4"/>
        <v>0</v>
      </c>
      <c r="AU35" s="97">
        <f t="shared" si="5"/>
        <v>0</v>
      </c>
      <c r="AV35" s="93" t="e">
        <f>#REF!/#REF!*AS35</f>
        <v>#REF!</v>
      </c>
      <c r="AW35" s="91" t="e">
        <f>#REF!/#REF!*AS35</f>
        <v>#REF!</v>
      </c>
      <c r="AX35" s="97" t="e">
        <f>#REF!/#REF!*AS35</f>
        <v>#REF!</v>
      </c>
      <c r="AY35" s="102" t="e">
        <f>#REF!</f>
        <v>#REF!</v>
      </c>
      <c r="AZ35" s="91" t="e">
        <f t="shared" si="6"/>
        <v>#REF!</v>
      </c>
      <c r="BA35" s="98" t="e">
        <f t="shared" si="15"/>
        <v>#REF!</v>
      </c>
      <c r="BB35" s="110">
        <f t="shared" si="16"/>
        <v>0</v>
      </c>
      <c r="BC35" s="109"/>
      <c r="BD35" s="109"/>
      <c r="BE35" s="119">
        <f t="shared" si="7"/>
        <v>0</v>
      </c>
      <c r="BF35" s="93" t="e">
        <f t="shared" si="8"/>
        <v>#REF!</v>
      </c>
      <c r="BG35" s="103">
        <f t="shared" si="9"/>
        <v>0</v>
      </c>
      <c r="BH35" s="120" t="e">
        <f t="shared" si="10"/>
        <v>#REF!</v>
      </c>
      <c r="BI35" s="121">
        <f t="shared" si="11"/>
        <v>0</v>
      </c>
    </row>
    <row r="36" spans="1:61" ht="18.600000000000001" customHeight="1">
      <c r="A36" s="28">
        <f>+A33+1</f>
        <v>29</v>
      </c>
      <c r="B36" s="31"/>
      <c r="C36" s="31" t="s">
        <v>82</v>
      </c>
      <c r="D36" s="58">
        <v>830</v>
      </c>
      <c r="E36" s="29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27"/>
      <c r="Y36" s="29">
        <f t="shared" si="0"/>
        <v>830</v>
      </c>
      <c r="Z36" s="29">
        <f t="shared" si="1"/>
        <v>0</v>
      </c>
      <c r="AA36" s="30">
        <v>830</v>
      </c>
      <c r="AB36" s="29">
        <f t="shared" si="12"/>
        <v>0</v>
      </c>
      <c r="AC36" s="27"/>
      <c r="AD36" s="88">
        <v>0</v>
      </c>
      <c r="AE36" s="18">
        <f t="shared" si="13"/>
        <v>0</v>
      </c>
      <c r="AF36" s="18">
        <v>830</v>
      </c>
      <c r="AG36" s="65"/>
      <c r="AH36" s="60"/>
      <c r="AI36" s="77"/>
      <c r="AJ36" s="77">
        <v>300</v>
      </c>
      <c r="AK36" s="77">
        <f t="shared" si="24"/>
        <v>-300</v>
      </c>
      <c r="AQ36" s="3" t="str">
        <f t="shared" si="18"/>
        <v>FEBREROInventario final</v>
      </c>
      <c r="AR36" s="3" t="e">
        <f>INDEX(#REF!,MATCH(AQ36,#REF!,0))</f>
        <v>#REF!</v>
      </c>
      <c r="AS36" s="93">
        <f t="shared" si="3"/>
        <v>0</v>
      </c>
      <c r="AT36" s="93">
        <f t="shared" si="4"/>
        <v>0</v>
      </c>
      <c r="AU36" s="97">
        <f t="shared" si="5"/>
        <v>0</v>
      </c>
      <c r="AV36" s="93" t="e">
        <f>#REF!/#REF!*AS36</f>
        <v>#REF!</v>
      </c>
      <c r="AW36" s="91" t="e">
        <f>#REF!/#REF!*AS36</f>
        <v>#REF!</v>
      </c>
      <c r="AX36" s="97" t="e">
        <f>#REF!/#REF!*AS36</f>
        <v>#REF!</v>
      </c>
      <c r="AY36" s="102" t="e">
        <f>#REF!</f>
        <v>#REF!</v>
      </c>
      <c r="AZ36" s="91" t="e">
        <f t="shared" si="6"/>
        <v>#REF!</v>
      </c>
      <c r="BA36" s="98" t="e">
        <f t="shared" si="15"/>
        <v>#REF!</v>
      </c>
      <c r="BB36" s="110">
        <f t="shared" si="16"/>
        <v>0</v>
      </c>
      <c r="BC36" s="109"/>
      <c r="BD36" s="109"/>
      <c r="BE36" s="119">
        <f t="shared" si="7"/>
        <v>0</v>
      </c>
      <c r="BF36" s="93" t="e">
        <f t="shared" si="8"/>
        <v>#REF!</v>
      </c>
      <c r="BG36" s="103">
        <f t="shared" si="9"/>
        <v>0</v>
      </c>
      <c r="BH36" s="120" t="e">
        <f t="shared" si="10"/>
        <v>#REF!</v>
      </c>
      <c r="BI36" s="121">
        <f t="shared" si="11"/>
        <v>0</v>
      </c>
    </row>
    <row r="37" spans="1:61">
      <c r="A37" s="28">
        <f t="shared" ref="A37:A38" si="25">+A35+1</f>
        <v>30</v>
      </c>
      <c r="B37" s="31"/>
      <c r="C37" s="31" t="s">
        <v>83</v>
      </c>
      <c r="D37" s="58">
        <v>2600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27"/>
      <c r="Y37" s="29">
        <f t="shared" si="0"/>
        <v>2600</v>
      </c>
      <c r="Z37" s="29">
        <f t="shared" si="1"/>
        <v>0</v>
      </c>
      <c r="AA37" s="30">
        <v>2600</v>
      </c>
      <c r="AB37" s="29">
        <f t="shared" si="12"/>
        <v>0</v>
      </c>
      <c r="AC37" s="27"/>
      <c r="AD37" s="88">
        <v>0</v>
      </c>
      <c r="AE37" s="18">
        <f t="shared" si="13"/>
        <v>0</v>
      </c>
      <c r="AF37" s="18">
        <v>2600</v>
      </c>
      <c r="AG37" s="65"/>
      <c r="AH37" s="60"/>
      <c r="AI37" s="77"/>
      <c r="AJ37" s="77">
        <v>1250</v>
      </c>
      <c r="AK37" s="77">
        <f t="shared" si="24"/>
        <v>-1250</v>
      </c>
      <c r="AQ37" s="3" t="str">
        <f t="shared" si="18"/>
        <v>FEBREROInventario final</v>
      </c>
      <c r="AR37" s="3" t="e">
        <f>INDEX(#REF!,MATCH(AQ37,#REF!,0))</f>
        <v>#REF!</v>
      </c>
      <c r="AS37" s="93">
        <f t="shared" si="3"/>
        <v>0</v>
      </c>
      <c r="AT37" s="93">
        <f t="shared" si="4"/>
        <v>0</v>
      </c>
      <c r="AU37" s="97">
        <f t="shared" si="5"/>
        <v>0</v>
      </c>
      <c r="AV37" s="93" t="e">
        <f>#REF!/#REF!*AS37</f>
        <v>#REF!</v>
      </c>
      <c r="AW37" s="91" t="e">
        <f>#REF!/#REF!*AS37</f>
        <v>#REF!</v>
      </c>
      <c r="AX37" s="97" t="e">
        <f>#REF!/#REF!*AS37</f>
        <v>#REF!</v>
      </c>
      <c r="AY37" s="102" t="e">
        <f>#REF!</f>
        <v>#REF!</v>
      </c>
      <c r="AZ37" s="91" t="e">
        <f t="shared" si="6"/>
        <v>#REF!</v>
      </c>
      <c r="BA37" s="98" t="e">
        <f t="shared" si="15"/>
        <v>#REF!</v>
      </c>
      <c r="BB37" s="110">
        <f t="shared" si="16"/>
        <v>0</v>
      </c>
      <c r="BC37" s="109"/>
      <c r="BD37" s="109"/>
      <c r="BE37" s="119">
        <f t="shared" si="7"/>
        <v>0</v>
      </c>
      <c r="BF37" s="93" t="e">
        <f t="shared" si="8"/>
        <v>#REF!</v>
      </c>
      <c r="BG37" s="103">
        <f t="shared" si="9"/>
        <v>0</v>
      </c>
      <c r="BH37" s="120" t="e">
        <f t="shared" si="10"/>
        <v>#REF!</v>
      </c>
      <c r="BI37" s="121">
        <f t="shared" si="11"/>
        <v>0</v>
      </c>
    </row>
    <row r="38" spans="1:61">
      <c r="A38" s="28">
        <f t="shared" si="25"/>
        <v>30</v>
      </c>
      <c r="B38" s="31"/>
      <c r="C38" s="31" t="s">
        <v>84</v>
      </c>
      <c r="D38" s="58">
        <v>2650</v>
      </c>
      <c r="E38" s="29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27"/>
      <c r="Y38" s="29">
        <f t="shared" si="0"/>
        <v>2650</v>
      </c>
      <c r="Z38" s="29">
        <f t="shared" si="1"/>
        <v>0</v>
      </c>
      <c r="AA38" s="30">
        <v>2650</v>
      </c>
      <c r="AB38" s="29">
        <f t="shared" si="12"/>
        <v>0</v>
      </c>
      <c r="AC38" s="27"/>
      <c r="AD38" s="88">
        <v>0</v>
      </c>
      <c r="AE38" s="18">
        <f t="shared" si="13"/>
        <v>0</v>
      </c>
      <c r="AF38" s="18">
        <v>2650</v>
      </c>
      <c r="AG38" s="65"/>
      <c r="AH38" s="60"/>
      <c r="AI38" s="77"/>
      <c r="AJ38" s="77">
        <v>1260</v>
      </c>
      <c r="AK38" s="77">
        <f t="shared" si="24"/>
        <v>-1260</v>
      </c>
      <c r="AQ38" s="3" t="str">
        <f t="shared" si="18"/>
        <v>FEBREROInventario final</v>
      </c>
      <c r="AR38" s="3" t="e">
        <f>INDEX(#REF!,MATCH(AQ38,#REF!,0))</f>
        <v>#REF!</v>
      </c>
      <c r="AS38" s="93">
        <f t="shared" si="3"/>
        <v>0</v>
      </c>
      <c r="AT38" s="93">
        <f t="shared" si="4"/>
        <v>0</v>
      </c>
      <c r="AU38" s="97">
        <f t="shared" si="5"/>
        <v>0</v>
      </c>
      <c r="AV38" s="93" t="e">
        <f>#REF!/#REF!*AS38</f>
        <v>#REF!</v>
      </c>
      <c r="AW38" s="91" t="e">
        <f>#REF!/#REF!*AS38</f>
        <v>#REF!</v>
      </c>
      <c r="AX38" s="97" t="e">
        <f>#REF!/#REF!*AS38</f>
        <v>#REF!</v>
      </c>
      <c r="AY38" s="102" t="e">
        <f>#REF!</f>
        <v>#REF!</v>
      </c>
      <c r="AZ38" s="91" t="e">
        <f t="shared" si="6"/>
        <v>#REF!</v>
      </c>
      <c r="BA38" s="98" t="e">
        <f t="shared" si="15"/>
        <v>#REF!</v>
      </c>
      <c r="BB38" s="110">
        <f t="shared" si="16"/>
        <v>0</v>
      </c>
      <c r="BC38" s="109"/>
      <c r="BD38" s="109"/>
      <c r="BE38" s="119">
        <f t="shared" si="7"/>
        <v>0</v>
      </c>
      <c r="BF38" s="93" t="e">
        <f t="shared" si="8"/>
        <v>#REF!</v>
      </c>
      <c r="BG38" s="103">
        <f t="shared" si="9"/>
        <v>0</v>
      </c>
      <c r="BH38" s="120" t="e">
        <f t="shared" si="10"/>
        <v>#REF!</v>
      </c>
      <c r="BI38" s="121">
        <f t="shared" si="11"/>
        <v>0</v>
      </c>
    </row>
    <row r="39" spans="1:61" s="15" customFormat="1">
      <c r="A39" s="23">
        <f>+A38+1</f>
        <v>31</v>
      </c>
      <c r="B39" s="32">
        <v>10009337</v>
      </c>
      <c r="C39" s="32" t="s">
        <v>62</v>
      </c>
      <c r="D39" s="56">
        <v>19455</v>
      </c>
      <c r="E39" s="24"/>
      <c r="F39" s="33">
        <v>570</v>
      </c>
      <c r="G39" s="33">
        <f>3615+30</f>
        <v>3645</v>
      </c>
      <c r="H39" s="33"/>
      <c r="I39" s="33"/>
      <c r="J39" s="33"/>
      <c r="K39" s="33">
        <v>1800</v>
      </c>
      <c r="L39" s="33">
        <f>255+1125</f>
        <v>1380</v>
      </c>
      <c r="M39" s="33">
        <v>735</v>
      </c>
      <c r="N39" s="33">
        <f>1215+1740</f>
        <v>2955</v>
      </c>
      <c r="O39" s="33">
        <v>0</v>
      </c>
      <c r="P39" s="33">
        <f>825+1500</f>
        <v>2325</v>
      </c>
      <c r="Q39" s="33">
        <v>435</v>
      </c>
      <c r="R39" s="33">
        <f>3660+795</f>
        <v>4455</v>
      </c>
      <c r="S39" s="33"/>
      <c r="T39" s="33">
        <v>600</v>
      </c>
      <c r="U39" s="33">
        <v>1005</v>
      </c>
      <c r="V39" s="33"/>
      <c r="W39" s="33"/>
      <c r="X39" s="27"/>
      <c r="Y39" s="33">
        <f t="shared" si="0"/>
        <v>19455</v>
      </c>
      <c r="Z39" s="24">
        <f t="shared" si="1"/>
        <v>19905</v>
      </c>
      <c r="AA39" s="46"/>
      <c r="AB39" s="24">
        <f t="shared" si="12"/>
        <v>39360</v>
      </c>
      <c r="AC39" s="27">
        <v>52320</v>
      </c>
      <c r="AD39" s="9">
        <v>39360</v>
      </c>
      <c r="AE39" s="18">
        <f t="shared" si="13"/>
        <v>0</v>
      </c>
      <c r="AF39" s="18"/>
      <c r="AG39" s="66"/>
      <c r="AH39" s="60"/>
      <c r="AI39" s="77"/>
      <c r="AJ39" s="78">
        <v>9375</v>
      </c>
      <c r="AK39" s="77">
        <f t="shared" si="24"/>
        <v>29985</v>
      </c>
      <c r="AO39" s="3">
        <v>10009332</v>
      </c>
      <c r="AQ39" s="3" t="str">
        <f t="shared" si="18"/>
        <v>FEBRERO10009332Inventario final</v>
      </c>
      <c r="AR39" s="3" t="e">
        <f>INDEX(#REF!,MATCH(AQ39,#REF!,0))</f>
        <v>#REF!</v>
      </c>
      <c r="AS39" s="93">
        <f t="shared" si="3"/>
        <v>0</v>
      </c>
      <c r="AT39" s="93">
        <f t="shared" si="4"/>
        <v>0</v>
      </c>
      <c r="AU39" s="100">
        <f t="shared" si="5"/>
        <v>0</v>
      </c>
      <c r="AV39" s="96" t="e">
        <f>#REF!/#REF!*AS39</f>
        <v>#REF!</v>
      </c>
      <c r="AW39" s="101" t="e">
        <f>#REF!/#REF!*AS39</f>
        <v>#REF!</v>
      </c>
      <c r="AX39" s="100" t="e">
        <f>#REF!/#REF!*AS39</f>
        <v>#REF!</v>
      </c>
      <c r="AY39" s="105" t="e">
        <f>#REF!</f>
        <v>#REF!</v>
      </c>
      <c r="AZ39" s="101" t="e">
        <f t="shared" si="6"/>
        <v>#REF!</v>
      </c>
      <c r="BA39" s="108" t="e">
        <f t="shared" si="15"/>
        <v>#REF!</v>
      </c>
      <c r="BB39" s="110">
        <f t="shared" si="16"/>
        <v>0</v>
      </c>
      <c r="BC39" s="109">
        <v>2500</v>
      </c>
      <c r="BD39" s="116">
        <f>AS39</f>
        <v>0</v>
      </c>
      <c r="BE39" s="118">
        <f t="shared" si="7"/>
        <v>0</v>
      </c>
      <c r="BF39" s="96" t="e">
        <f t="shared" si="8"/>
        <v>#REF!</v>
      </c>
      <c r="BG39" s="103">
        <f t="shared" si="9"/>
        <v>0</v>
      </c>
      <c r="BH39" s="122" t="e">
        <f t="shared" si="10"/>
        <v>#REF!</v>
      </c>
      <c r="BI39" s="123">
        <f t="shared" si="11"/>
        <v>0</v>
      </c>
    </row>
    <row r="40" spans="1:61" s="15" customFormat="1">
      <c r="A40" s="23">
        <f t="shared" ref="A40" si="26">+A39+1</f>
        <v>32</v>
      </c>
      <c r="B40" s="32">
        <v>10009332</v>
      </c>
      <c r="C40" s="32" t="s">
        <v>64</v>
      </c>
      <c r="D40" s="56">
        <v>14025</v>
      </c>
      <c r="E40" s="24"/>
      <c r="F40" s="33">
        <v>885</v>
      </c>
      <c r="G40" s="33">
        <f>3150+15</f>
        <v>3165</v>
      </c>
      <c r="H40" s="33"/>
      <c r="I40" s="33"/>
      <c r="J40" s="33"/>
      <c r="K40" s="33">
        <v>525</v>
      </c>
      <c r="L40" s="33">
        <f>1350+1200</f>
        <v>2550</v>
      </c>
      <c r="M40" s="33">
        <v>345</v>
      </c>
      <c r="N40" s="33">
        <f>1410+1650</f>
        <v>3060</v>
      </c>
      <c r="O40" s="33">
        <v>0</v>
      </c>
      <c r="P40" s="33">
        <f>780+1185</f>
        <v>1965</v>
      </c>
      <c r="Q40" s="33">
        <v>1380</v>
      </c>
      <c r="R40" s="33">
        <f>2700+780</f>
        <v>3480</v>
      </c>
      <c r="S40" s="33"/>
      <c r="T40" s="33">
        <v>480</v>
      </c>
      <c r="U40" s="33">
        <v>900</v>
      </c>
      <c r="V40" s="33"/>
      <c r="W40" s="33"/>
      <c r="X40" s="27"/>
      <c r="Y40" s="33">
        <f t="shared" si="0"/>
        <v>14025</v>
      </c>
      <c r="Z40" s="24">
        <f t="shared" si="1"/>
        <v>18735</v>
      </c>
      <c r="AA40" s="46"/>
      <c r="AB40" s="24">
        <f t="shared" si="12"/>
        <v>32760</v>
      </c>
      <c r="AC40" s="27"/>
      <c r="AD40" s="9">
        <v>32760</v>
      </c>
      <c r="AE40" s="18">
        <f t="shared" si="13"/>
        <v>0</v>
      </c>
      <c r="AF40" s="18"/>
      <c r="AG40" s="75"/>
      <c r="AH40" s="60"/>
      <c r="AI40" s="77"/>
      <c r="AJ40" s="78">
        <v>5565</v>
      </c>
      <c r="AK40" s="77">
        <f t="shared" si="24"/>
        <v>27195</v>
      </c>
      <c r="AO40" s="3">
        <v>10009332</v>
      </c>
      <c r="AQ40" s="3" t="str">
        <f t="shared" si="18"/>
        <v>FEBRERO10009332Inventario final</v>
      </c>
      <c r="AR40" s="3" t="e">
        <f>INDEX(#REF!,MATCH(AQ40,#REF!,0))</f>
        <v>#REF!</v>
      </c>
      <c r="AS40" s="93">
        <f t="shared" si="3"/>
        <v>0</v>
      </c>
      <c r="AT40" s="93">
        <f t="shared" si="4"/>
        <v>0</v>
      </c>
      <c r="AU40" s="100">
        <f t="shared" si="5"/>
        <v>0</v>
      </c>
      <c r="AV40" s="96" t="e">
        <f>#REF!/#REF!*AS40</f>
        <v>#REF!</v>
      </c>
      <c r="AW40" s="101" t="e">
        <f>#REF!/#REF!*AS40</f>
        <v>#REF!</v>
      </c>
      <c r="AX40" s="100" t="e">
        <f>#REF!/#REF!*AS40</f>
        <v>#REF!</v>
      </c>
      <c r="AY40" s="105" t="e">
        <f>#REF!</f>
        <v>#REF!</v>
      </c>
      <c r="AZ40" s="101" t="e">
        <f t="shared" si="6"/>
        <v>#REF!</v>
      </c>
      <c r="BA40" s="108" t="e">
        <f t="shared" si="15"/>
        <v>#REF!</v>
      </c>
      <c r="BB40" s="110">
        <f t="shared" si="16"/>
        <v>0</v>
      </c>
      <c r="BC40" s="109">
        <v>2500</v>
      </c>
      <c r="BD40" s="116">
        <f>AS40</f>
        <v>0</v>
      </c>
      <c r="BE40" s="118">
        <f t="shared" si="7"/>
        <v>0</v>
      </c>
      <c r="BF40" s="96" t="e">
        <f t="shared" si="8"/>
        <v>#REF!</v>
      </c>
      <c r="BG40" s="103">
        <f t="shared" si="9"/>
        <v>0</v>
      </c>
      <c r="BH40" s="122" t="e">
        <f t="shared" si="10"/>
        <v>#REF!</v>
      </c>
      <c r="BI40" s="123">
        <f t="shared" si="11"/>
        <v>0</v>
      </c>
    </row>
    <row r="41" spans="1:61" s="15" customFormat="1">
      <c r="A41" s="23"/>
      <c r="B41" s="32"/>
      <c r="C41" s="32" t="s">
        <v>97</v>
      </c>
      <c r="D41" s="56">
        <v>0</v>
      </c>
      <c r="E41" s="24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>
        <v>20</v>
      </c>
      <c r="U41" s="33"/>
      <c r="V41" s="33"/>
      <c r="W41" s="33"/>
      <c r="X41" s="27"/>
      <c r="Y41" s="33">
        <f t="shared" si="0"/>
        <v>0</v>
      </c>
      <c r="Z41" s="24">
        <f t="shared" ref="Z41:Z42" si="27">SUM(E41:W41)</f>
        <v>20</v>
      </c>
      <c r="AA41" s="46"/>
      <c r="AB41" s="24">
        <f t="shared" ref="AB41:AB42" si="28">+Y41+Z41-AA41</f>
        <v>20</v>
      </c>
      <c r="AC41" s="27"/>
      <c r="AD41" s="9">
        <v>20</v>
      </c>
      <c r="AE41" s="18">
        <f t="shared" ref="AE41:AE42" si="29">+AB41-AD41</f>
        <v>0</v>
      </c>
      <c r="AF41" s="18"/>
      <c r="AG41" s="75"/>
      <c r="AH41" s="60"/>
      <c r="AI41" s="77"/>
      <c r="AJ41" s="78"/>
      <c r="AK41" s="77"/>
      <c r="AQ41" s="3" t="str">
        <f t="shared" si="18"/>
        <v>FEBREROInventario final</v>
      </c>
      <c r="AR41" s="3" t="e">
        <f>INDEX(#REF!,MATCH(AQ41,#REF!,0))</f>
        <v>#REF!</v>
      </c>
      <c r="AS41" s="93">
        <f t="shared" si="3"/>
        <v>0</v>
      </c>
      <c r="AT41" s="93">
        <f t="shared" si="4"/>
        <v>0</v>
      </c>
      <c r="AU41" s="100">
        <f t="shared" si="5"/>
        <v>0</v>
      </c>
      <c r="AV41" s="96" t="e">
        <f>#REF!/#REF!*AS41</f>
        <v>#REF!</v>
      </c>
      <c r="AW41" s="101" t="e">
        <f>#REF!/#REF!*AS41</f>
        <v>#REF!</v>
      </c>
      <c r="AX41" s="100" t="e">
        <f>#REF!/#REF!*AS41</f>
        <v>#REF!</v>
      </c>
      <c r="AY41" s="105" t="e">
        <f>#REF!</f>
        <v>#REF!</v>
      </c>
      <c r="AZ41" s="101" t="e">
        <f t="shared" si="6"/>
        <v>#REF!</v>
      </c>
      <c r="BA41" s="108" t="e">
        <f t="shared" si="15"/>
        <v>#REF!</v>
      </c>
      <c r="BB41" s="110">
        <f t="shared" si="16"/>
        <v>0</v>
      </c>
      <c r="BC41" s="109"/>
      <c r="BD41" s="117"/>
      <c r="BE41" s="118">
        <f t="shared" si="7"/>
        <v>0</v>
      </c>
      <c r="BF41" s="96" t="e">
        <f t="shared" si="8"/>
        <v>#REF!</v>
      </c>
      <c r="BG41" s="103">
        <f t="shared" si="9"/>
        <v>0</v>
      </c>
      <c r="BH41" s="122" t="e">
        <f t="shared" si="10"/>
        <v>#REF!</v>
      </c>
      <c r="BI41" s="123">
        <f t="shared" si="11"/>
        <v>0</v>
      </c>
    </row>
    <row r="42" spans="1:61" s="15" customFormat="1">
      <c r="A42" s="23"/>
      <c r="B42" s="32"/>
      <c r="C42" s="32" t="s">
        <v>96</v>
      </c>
      <c r="D42" s="56">
        <v>0</v>
      </c>
      <c r="E42" s="24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>
        <f>880+1180</f>
        <v>2060</v>
      </c>
      <c r="U42" s="33"/>
      <c r="V42" s="33"/>
      <c r="W42" s="33"/>
      <c r="X42" s="27"/>
      <c r="Y42" s="33">
        <f t="shared" si="0"/>
        <v>0</v>
      </c>
      <c r="Z42" s="24">
        <f t="shared" si="27"/>
        <v>2060</v>
      </c>
      <c r="AA42" s="46"/>
      <c r="AB42" s="24">
        <f t="shared" si="28"/>
        <v>2060</v>
      </c>
      <c r="AC42" s="27"/>
      <c r="AD42" s="9">
        <v>2060</v>
      </c>
      <c r="AE42" s="18">
        <f t="shared" si="29"/>
        <v>0</v>
      </c>
      <c r="AF42" s="18"/>
      <c r="AG42" s="75"/>
      <c r="AH42" s="60"/>
      <c r="AI42" s="77"/>
      <c r="AJ42" s="78"/>
      <c r="AK42" s="77"/>
      <c r="AQ42" s="3" t="str">
        <f t="shared" si="18"/>
        <v>FEBREROInventario final</v>
      </c>
      <c r="AR42" s="3" t="e">
        <f>INDEX(#REF!,MATCH(AQ42,#REF!,0))</f>
        <v>#REF!</v>
      </c>
      <c r="AS42" s="93">
        <f t="shared" si="3"/>
        <v>0</v>
      </c>
      <c r="AT42" s="93">
        <f t="shared" si="4"/>
        <v>0</v>
      </c>
      <c r="AU42" s="100">
        <f t="shared" si="5"/>
        <v>0</v>
      </c>
      <c r="AV42" s="96" t="e">
        <f>#REF!/#REF!*AS42</f>
        <v>#REF!</v>
      </c>
      <c r="AW42" s="101" t="e">
        <f>#REF!/#REF!*AS42</f>
        <v>#REF!</v>
      </c>
      <c r="AX42" s="100" t="e">
        <f>#REF!/#REF!*AS42</f>
        <v>#REF!</v>
      </c>
      <c r="AY42" s="105" t="e">
        <f>#REF!</f>
        <v>#REF!</v>
      </c>
      <c r="AZ42" s="101" t="e">
        <f t="shared" si="6"/>
        <v>#REF!</v>
      </c>
      <c r="BA42" s="108" t="e">
        <f t="shared" si="15"/>
        <v>#REF!</v>
      </c>
      <c r="BB42" s="110">
        <f t="shared" si="16"/>
        <v>0</v>
      </c>
      <c r="BC42" s="109"/>
      <c r="BD42" s="117"/>
      <c r="BE42" s="118">
        <f t="shared" si="7"/>
        <v>0</v>
      </c>
      <c r="BF42" s="96" t="e">
        <f t="shared" si="8"/>
        <v>#REF!</v>
      </c>
      <c r="BG42" s="103">
        <f t="shared" si="9"/>
        <v>0</v>
      </c>
      <c r="BH42" s="122" t="e">
        <f t="shared" si="10"/>
        <v>#REF!</v>
      </c>
      <c r="BI42" s="123">
        <f t="shared" si="11"/>
        <v>0</v>
      </c>
    </row>
    <row r="43" spans="1:61" s="15" customFormat="1">
      <c r="A43" s="48">
        <f>+A40+1</f>
        <v>33</v>
      </c>
      <c r="B43" s="49"/>
      <c r="C43" s="49" t="s">
        <v>65</v>
      </c>
      <c r="D43" s="72">
        <v>56.174999999999997</v>
      </c>
      <c r="E43" s="50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2"/>
      <c r="Y43" s="67">
        <f t="shared" si="0"/>
        <v>56.174999999999997</v>
      </c>
      <c r="Z43" s="68">
        <f t="shared" si="1"/>
        <v>0</v>
      </c>
      <c r="AA43" s="69">
        <v>5</v>
      </c>
      <c r="AB43" s="71">
        <f t="shared" si="12"/>
        <v>51.174999999999997</v>
      </c>
      <c r="AC43" s="70"/>
      <c r="AD43" s="9">
        <v>51.174999999999997</v>
      </c>
      <c r="AE43" s="18">
        <f t="shared" si="13"/>
        <v>0</v>
      </c>
      <c r="AF43" s="18"/>
      <c r="AG43" s="66">
        <v>5</v>
      </c>
      <c r="AH43" s="60"/>
      <c r="AI43" s="77"/>
      <c r="AJ43" s="79">
        <v>66.174999999999997</v>
      </c>
      <c r="AK43" s="77">
        <f t="shared" si="24"/>
        <v>-15</v>
      </c>
      <c r="AQ43" s="3" t="str">
        <f t="shared" si="18"/>
        <v>FEBREROInventario final</v>
      </c>
      <c r="AR43" s="3" t="e">
        <f>INDEX(#REF!,MATCH(AQ43,#REF!,0))</f>
        <v>#REF!</v>
      </c>
      <c r="AS43" s="93">
        <f t="shared" si="3"/>
        <v>0</v>
      </c>
      <c r="AT43" s="93">
        <f t="shared" si="4"/>
        <v>0</v>
      </c>
      <c r="AU43" s="100">
        <f t="shared" si="5"/>
        <v>0</v>
      </c>
      <c r="AV43" s="96" t="e">
        <f>#REF!/#REF!*AS43</f>
        <v>#REF!</v>
      </c>
      <c r="AW43" s="101" t="e">
        <f>#REF!/#REF!*AS43</f>
        <v>#REF!</v>
      </c>
      <c r="AX43" s="100" t="e">
        <f>#REF!/#REF!*AS43</f>
        <v>#REF!</v>
      </c>
      <c r="AY43" s="105" t="e">
        <f>#REF!</f>
        <v>#REF!</v>
      </c>
      <c r="AZ43" s="101" t="e">
        <f t="shared" si="6"/>
        <v>#REF!</v>
      </c>
      <c r="BA43" s="108" t="e">
        <f t="shared" si="15"/>
        <v>#REF!</v>
      </c>
      <c r="BB43" s="110">
        <f t="shared" si="16"/>
        <v>0</v>
      </c>
      <c r="BC43" s="109"/>
      <c r="BD43" s="117"/>
      <c r="BE43" s="118">
        <f t="shared" si="7"/>
        <v>0</v>
      </c>
      <c r="BF43" s="96" t="e">
        <f t="shared" si="8"/>
        <v>#REF!</v>
      </c>
      <c r="BG43" s="103">
        <f t="shared" si="9"/>
        <v>0</v>
      </c>
      <c r="BH43" s="122" t="e">
        <f t="shared" si="10"/>
        <v>#REF!</v>
      </c>
      <c r="BI43" s="123">
        <f t="shared" si="11"/>
        <v>0</v>
      </c>
    </row>
    <row r="44" spans="1:61" s="15" customFormat="1">
      <c r="A44" s="48">
        <f t="shared" ref="A44:A45" si="30">+A43+1</f>
        <v>34</v>
      </c>
      <c r="B44" s="49"/>
      <c r="C44" s="49" t="s">
        <v>66</v>
      </c>
      <c r="D44" s="72">
        <v>16.774999999999999</v>
      </c>
      <c r="E44" s="50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2"/>
      <c r="Y44" s="67">
        <f t="shared" si="0"/>
        <v>16.774999999999999</v>
      </c>
      <c r="Z44" s="68">
        <f t="shared" si="1"/>
        <v>0</v>
      </c>
      <c r="AA44" s="69">
        <v>3</v>
      </c>
      <c r="AB44" s="71">
        <f t="shared" si="12"/>
        <v>13.774999999999999</v>
      </c>
      <c r="AC44" s="70"/>
      <c r="AD44" s="9">
        <v>13.775</v>
      </c>
      <c r="AE44" s="18">
        <f t="shared" si="13"/>
        <v>0</v>
      </c>
      <c r="AF44" s="18"/>
      <c r="AG44" s="66">
        <v>3</v>
      </c>
      <c r="AH44" s="60"/>
      <c r="AI44" s="77"/>
      <c r="AJ44" s="79">
        <v>26.774999999999999</v>
      </c>
      <c r="AK44" s="77">
        <f t="shared" si="24"/>
        <v>-12.999999999999998</v>
      </c>
      <c r="AQ44" s="3" t="str">
        <f t="shared" si="18"/>
        <v>FEBREROInventario final</v>
      </c>
      <c r="AR44" s="3" t="e">
        <f>INDEX(#REF!,MATCH(AQ44,#REF!,0))</f>
        <v>#REF!</v>
      </c>
      <c r="AS44" s="93">
        <f t="shared" si="3"/>
        <v>0</v>
      </c>
      <c r="AT44" s="93">
        <f t="shared" si="4"/>
        <v>0</v>
      </c>
      <c r="AU44" s="100">
        <f t="shared" si="5"/>
        <v>0</v>
      </c>
      <c r="AV44" s="96" t="e">
        <f>#REF!/#REF!*AS44</f>
        <v>#REF!</v>
      </c>
      <c r="AW44" s="101" t="e">
        <f>#REF!/#REF!*AS44</f>
        <v>#REF!</v>
      </c>
      <c r="AX44" s="100" t="e">
        <f>#REF!/#REF!*AS44</f>
        <v>#REF!</v>
      </c>
      <c r="AY44" s="105" t="e">
        <f>#REF!</f>
        <v>#REF!</v>
      </c>
      <c r="AZ44" s="101" t="e">
        <f t="shared" si="6"/>
        <v>#REF!</v>
      </c>
      <c r="BA44" s="108" t="e">
        <f t="shared" si="15"/>
        <v>#REF!</v>
      </c>
      <c r="BB44" s="110">
        <f t="shared" si="16"/>
        <v>0</v>
      </c>
      <c r="BC44" s="109"/>
      <c r="BD44" s="117"/>
      <c r="BE44" s="118">
        <f t="shared" si="7"/>
        <v>0</v>
      </c>
      <c r="BF44" s="96" t="e">
        <f t="shared" si="8"/>
        <v>#REF!</v>
      </c>
      <c r="BG44" s="103">
        <f t="shared" si="9"/>
        <v>0</v>
      </c>
      <c r="BH44" s="122" t="e">
        <f t="shared" si="10"/>
        <v>#REF!</v>
      </c>
      <c r="BI44" s="123">
        <f t="shared" si="11"/>
        <v>0</v>
      </c>
    </row>
    <row r="45" spans="1:61" s="15" customFormat="1">
      <c r="A45" s="48">
        <f t="shared" si="30"/>
        <v>35</v>
      </c>
      <c r="B45" s="49"/>
      <c r="C45" s="49" t="s">
        <v>80</v>
      </c>
      <c r="D45" s="72">
        <v>23.85</v>
      </c>
      <c r="E45" s="50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2"/>
      <c r="Y45" s="67">
        <f t="shared" si="0"/>
        <v>23.85</v>
      </c>
      <c r="Z45" s="68">
        <f t="shared" si="1"/>
        <v>0</v>
      </c>
      <c r="AA45" s="69"/>
      <c r="AB45" s="71">
        <f t="shared" si="12"/>
        <v>23.85</v>
      </c>
      <c r="AC45" s="70"/>
      <c r="AD45" s="9">
        <v>23.85</v>
      </c>
      <c r="AE45" s="18">
        <f t="shared" si="13"/>
        <v>0</v>
      </c>
      <c r="AF45" s="18"/>
      <c r="AG45" s="66"/>
      <c r="AH45" s="60"/>
      <c r="AI45" s="77"/>
      <c r="AJ45" s="79">
        <v>23.85</v>
      </c>
      <c r="AK45" s="77">
        <f t="shared" si="24"/>
        <v>0</v>
      </c>
      <c r="AQ45" s="3" t="str">
        <f t="shared" si="18"/>
        <v>FEBREROInventario final</v>
      </c>
      <c r="AR45" s="3" t="e">
        <f>INDEX(#REF!,MATCH(AQ45,#REF!,0))</f>
        <v>#REF!</v>
      </c>
      <c r="AS45" s="93">
        <f t="shared" si="3"/>
        <v>0</v>
      </c>
      <c r="AT45" s="93">
        <f t="shared" si="4"/>
        <v>0</v>
      </c>
      <c r="AU45" s="100">
        <f t="shared" si="5"/>
        <v>0</v>
      </c>
      <c r="AV45" s="96" t="e">
        <f>#REF!/#REF!*AS45</f>
        <v>#REF!</v>
      </c>
      <c r="AW45" s="101" t="e">
        <f>#REF!/#REF!*AS45</f>
        <v>#REF!</v>
      </c>
      <c r="AX45" s="100" t="e">
        <f>#REF!/#REF!*AS45</f>
        <v>#REF!</v>
      </c>
      <c r="AY45" s="105" t="e">
        <f>#REF!</f>
        <v>#REF!</v>
      </c>
      <c r="AZ45" s="101" t="e">
        <f t="shared" si="6"/>
        <v>#REF!</v>
      </c>
      <c r="BA45" s="108" t="e">
        <f t="shared" si="15"/>
        <v>#REF!</v>
      </c>
      <c r="BB45" s="110">
        <f t="shared" si="16"/>
        <v>0</v>
      </c>
      <c r="BC45" s="109"/>
      <c r="BD45" s="117"/>
      <c r="BE45" s="118">
        <f t="shared" si="7"/>
        <v>0</v>
      </c>
      <c r="BF45" s="96" t="e">
        <f t="shared" si="8"/>
        <v>#REF!</v>
      </c>
      <c r="BG45" s="103">
        <f t="shared" si="9"/>
        <v>0</v>
      </c>
      <c r="BH45" s="122" t="e">
        <f t="shared" si="10"/>
        <v>#REF!</v>
      </c>
      <c r="BI45" s="123">
        <f t="shared" si="11"/>
        <v>0</v>
      </c>
    </row>
    <row r="46" spans="1:61">
      <c r="A46" s="43">
        <f>+A45+1</f>
        <v>36</v>
      </c>
      <c r="B46" s="44" t="s">
        <v>25</v>
      </c>
      <c r="C46" s="44" t="s">
        <v>26</v>
      </c>
      <c r="D46" s="59">
        <v>1120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>
        <f t="shared" si="0"/>
        <v>1120</v>
      </c>
      <c r="Z46" s="42">
        <f t="shared" si="1"/>
        <v>0</v>
      </c>
      <c r="AA46" s="42"/>
      <c r="AB46" s="42">
        <f>SUM(G46:Y46)</f>
        <v>1120</v>
      </c>
      <c r="AC46" s="27"/>
      <c r="AD46" s="9">
        <v>1120</v>
      </c>
      <c r="AE46" s="18">
        <f t="shared" si="13"/>
        <v>0</v>
      </c>
      <c r="AF46" s="18"/>
      <c r="AG46" s="65"/>
      <c r="AH46" s="60"/>
      <c r="AI46" s="77"/>
      <c r="AJ46" s="77">
        <v>1120</v>
      </c>
      <c r="AK46" s="77">
        <f t="shared" si="24"/>
        <v>0</v>
      </c>
      <c r="AO46" s="3">
        <v>10009224</v>
      </c>
      <c r="AQ46" s="3" t="str">
        <f t="shared" si="18"/>
        <v>FEBRERO10009224Inventario final</v>
      </c>
      <c r="AR46" s="3" t="e">
        <f>INDEX(#REF!,MATCH(AQ46,#REF!,0))</f>
        <v>#REF!</v>
      </c>
      <c r="AS46" s="93">
        <f t="shared" si="3"/>
        <v>0</v>
      </c>
      <c r="AT46" s="93">
        <f t="shared" si="4"/>
        <v>0</v>
      </c>
      <c r="AU46" s="97">
        <f t="shared" si="5"/>
        <v>0</v>
      </c>
      <c r="AV46" s="93" t="e">
        <f>#REF!/#REF!*AS46</f>
        <v>#REF!</v>
      </c>
      <c r="AW46" s="91" t="e">
        <f>#REF!/#REF!*AS46</f>
        <v>#REF!</v>
      </c>
      <c r="AX46" s="91" t="e">
        <f>#REF!/#REF!*AS46</f>
        <v>#REF!</v>
      </c>
      <c r="AY46" s="102" t="e">
        <f>#REF!</f>
        <v>#REF!</v>
      </c>
      <c r="AZ46" s="91" t="e">
        <f t="shared" si="6"/>
        <v>#REF!</v>
      </c>
      <c r="BA46" s="98" t="e">
        <f t="shared" si="15"/>
        <v>#REF!</v>
      </c>
      <c r="BB46" s="110">
        <f t="shared" si="16"/>
        <v>0</v>
      </c>
      <c r="BC46" s="109"/>
      <c r="BD46" s="109"/>
      <c r="BE46" s="119">
        <f t="shared" si="7"/>
        <v>0</v>
      </c>
      <c r="BF46" s="93" t="e">
        <f t="shared" si="8"/>
        <v>#REF!</v>
      </c>
      <c r="BG46" s="103">
        <f t="shared" si="9"/>
        <v>0</v>
      </c>
      <c r="BH46" s="120" t="e">
        <f t="shared" si="10"/>
        <v>#REF!</v>
      </c>
      <c r="BI46" s="121">
        <f t="shared" si="11"/>
        <v>0</v>
      </c>
    </row>
    <row r="47" spans="1:61" ht="3.6" customHeight="1"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27"/>
      <c r="AJ47" s="77"/>
      <c r="AT47" s="93">
        <f t="shared" si="4"/>
        <v>0</v>
      </c>
      <c r="BA47" s="98">
        <f t="shared" si="15"/>
        <v>0</v>
      </c>
      <c r="BB47" s="109"/>
      <c r="BC47" s="109"/>
      <c r="BD47" s="109"/>
      <c r="BE47" s="109"/>
      <c r="BG47" s="103"/>
      <c r="BH47" s="120">
        <f t="shared" si="10"/>
        <v>0</v>
      </c>
      <c r="BI47" s="121">
        <f t="shared" si="11"/>
        <v>0</v>
      </c>
    </row>
    <row r="48" spans="1:61">
      <c r="Z48" s="5"/>
      <c r="AB48" s="63"/>
    </row>
    <row r="49" spans="4:28">
      <c r="D49" s="112">
        <v>7245513.7800000003</v>
      </c>
    </row>
    <row r="50" spans="4:28">
      <c r="D50" s="97" t="e">
        <f>D49+#REF!</f>
        <v>#REF!</v>
      </c>
      <c r="E50" s="111" t="e">
        <f>#REF!/D50</f>
        <v>#REF!</v>
      </c>
      <c r="AB50" s="63"/>
    </row>
    <row r="52" spans="4:28">
      <c r="D52" s="3">
        <f>278*12</f>
        <v>3336</v>
      </c>
      <c r="E52" s="3">
        <f>134/3.3</f>
        <v>40.606060606060609</v>
      </c>
    </row>
  </sheetData>
  <mergeCells count="5">
    <mergeCell ref="AE1:AE2"/>
    <mergeCell ref="A1:A2"/>
    <mergeCell ref="C1:C2"/>
    <mergeCell ref="D1:W1"/>
    <mergeCell ref="Y1:AB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026D-48D5-4203-9DA7-57E844661C99}">
  <sheetPr>
    <pageSetUpPr fitToPage="1"/>
  </sheetPr>
  <dimension ref="A1:BJ59"/>
  <sheetViews>
    <sheetView zoomScale="91" zoomScaleNormal="91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AD8" sqref="AD8"/>
    </sheetView>
  </sheetViews>
  <sheetFormatPr baseColWidth="10" defaultColWidth="11.5" defaultRowHeight="14.25"/>
  <cols>
    <col min="1" max="1" width="5.5" style="3" customWidth="1"/>
    <col min="2" max="2" width="10.125" style="3" customWidth="1"/>
    <col min="3" max="3" width="39.125" style="3" bestFit="1" customWidth="1"/>
    <col min="4" max="4" width="13.875" style="3" bestFit="1" customWidth="1"/>
    <col min="5" max="5" width="12.125" style="3" customWidth="1"/>
    <col min="6" max="30" width="12" style="3" customWidth="1"/>
    <col min="31" max="31" width="12.25" style="3" customWidth="1"/>
    <col min="32" max="32" width="1.125" style="3" customWidth="1"/>
    <col min="33" max="34" width="11.625" style="3" customWidth="1"/>
    <col min="35" max="35" width="11.875" style="3" customWidth="1"/>
    <col min="36" max="36" width="12.625" style="3" customWidth="1"/>
    <col min="37" max="37" width="0.875" style="8" customWidth="1"/>
    <col min="38" max="38" width="11.5" style="3" customWidth="1"/>
    <col min="39" max="39" width="12.75" style="3" bestFit="1" customWidth="1"/>
    <col min="40" max="40" width="12.5" style="3" bestFit="1" customWidth="1"/>
    <col min="41" max="41" width="11.5" style="3" bestFit="1" customWidth="1"/>
    <col min="42" max="42" width="11.75" style="3" bestFit="1" customWidth="1"/>
    <col min="43" max="44" width="9.75" style="85" customWidth="1"/>
    <col min="45" max="45" width="9.75" style="76" customWidth="1"/>
    <col min="46" max="46" width="11"/>
    <col min="47" max="51" width="9.75" style="3" customWidth="1"/>
    <col min="52" max="16384" width="11.5" style="3"/>
  </cols>
  <sheetData>
    <row r="1" spans="1:62">
      <c r="A1" s="128" t="s">
        <v>1</v>
      </c>
      <c r="B1" s="2" t="s">
        <v>5</v>
      </c>
      <c r="C1" s="128" t="s">
        <v>0</v>
      </c>
      <c r="D1" s="128" t="s">
        <v>86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G1" s="128" t="s">
        <v>2</v>
      </c>
      <c r="AH1" s="128"/>
      <c r="AI1" s="128"/>
      <c r="AJ1" s="128"/>
      <c r="AK1" s="27"/>
      <c r="AL1" s="16" t="s">
        <v>22</v>
      </c>
      <c r="AM1" s="124" t="s">
        <v>24</v>
      </c>
    </row>
    <row r="2" spans="1:62">
      <c r="A2" s="128"/>
      <c r="B2" s="2" t="s">
        <v>6</v>
      </c>
      <c r="C2" s="128"/>
      <c r="D2" s="4" t="s">
        <v>20</v>
      </c>
      <c r="E2" s="4">
        <v>46056</v>
      </c>
      <c r="F2" s="4">
        <v>46057</v>
      </c>
      <c r="G2" s="4">
        <v>46058</v>
      </c>
      <c r="H2" s="4">
        <v>46087</v>
      </c>
      <c r="I2" s="4">
        <v>46060</v>
      </c>
      <c r="J2" s="4">
        <v>46061</v>
      </c>
      <c r="K2" s="4">
        <v>46062</v>
      </c>
      <c r="L2" s="4">
        <v>46063</v>
      </c>
      <c r="M2" s="4">
        <v>46064</v>
      </c>
      <c r="N2" s="4">
        <v>46065</v>
      </c>
      <c r="O2" s="4">
        <v>46066</v>
      </c>
      <c r="P2" s="4">
        <v>46067</v>
      </c>
      <c r="Q2" s="4">
        <v>46068</v>
      </c>
      <c r="R2" s="4">
        <v>46069</v>
      </c>
      <c r="S2" s="4">
        <v>46070</v>
      </c>
      <c r="T2" s="4">
        <v>46071</v>
      </c>
      <c r="U2" s="4">
        <v>46072</v>
      </c>
      <c r="V2" s="4">
        <v>46073</v>
      </c>
      <c r="W2" s="4">
        <v>46074</v>
      </c>
      <c r="X2" s="4">
        <v>46075</v>
      </c>
      <c r="Y2" s="4">
        <v>46076</v>
      </c>
      <c r="Z2" s="4">
        <v>46077</v>
      </c>
      <c r="AA2" s="4">
        <v>46078</v>
      </c>
      <c r="AB2" s="4">
        <v>46079</v>
      </c>
      <c r="AC2" s="4">
        <v>46080</v>
      </c>
      <c r="AD2" s="4">
        <v>46081</v>
      </c>
      <c r="AE2" s="13"/>
      <c r="AF2" s="34"/>
      <c r="AG2" s="2" t="s">
        <v>21</v>
      </c>
      <c r="AH2" s="2" t="s">
        <v>3</v>
      </c>
      <c r="AI2" s="2" t="s">
        <v>61</v>
      </c>
      <c r="AJ2" s="2" t="s">
        <v>4</v>
      </c>
      <c r="AK2" s="27"/>
      <c r="AL2" s="16" t="s">
        <v>23</v>
      </c>
      <c r="AM2" s="125"/>
      <c r="AN2" s="65" t="s">
        <v>75</v>
      </c>
      <c r="AO2" s="65" t="s">
        <v>76</v>
      </c>
      <c r="AP2" s="65" t="s">
        <v>77</v>
      </c>
    </row>
    <row r="3" spans="1:62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27"/>
      <c r="AG3" s="18">
        <f t="shared" ref="AG3:AG44" si="0">+D3</f>
        <v>180</v>
      </c>
      <c r="AH3" s="18">
        <f t="shared" ref="AH3:AH44" si="1">SUM(E3:AE3)</f>
        <v>0</v>
      </c>
      <c r="AI3" s="19"/>
      <c r="AJ3" s="18">
        <f>+AG3+AH3-AI3</f>
        <v>180</v>
      </c>
      <c r="AK3" s="27">
        <f>+AG3-AJ3</f>
        <v>0</v>
      </c>
      <c r="AL3" s="9">
        <v>0</v>
      </c>
      <c r="AM3" s="9">
        <f>+AJ3-AL3</f>
        <v>180</v>
      </c>
      <c r="AN3" s="60"/>
      <c r="AO3" s="65"/>
      <c r="AP3" s="60"/>
      <c r="AQ3" s="86"/>
      <c r="AR3" s="86"/>
      <c r="AS3" s="77">
        <f t="shared" ref="AS3:AS44" si="2">+AL3-AR3</f>
        <v>0</v>
      </c>
      <c r="BJ3" s="5"/>
    </row>
    <row r="4" spans="1:62">
      <c r="A4" s="17">
        <f>+A3+1</f>
        <v>2</v>
      </c>
      <c r="B4" s="39" t="s">
        <v>29</v>
      </c>
      <c r="C4" s="39" t="s">
        <v>30</v>
      </c>
      <c r="D4" s="53">
        <v>17900</v>
      </c>
      <c r="E4" s="18">
        <v>20</v>
      </c>
      <c r="F4" s="18">
        <v>60</v>
      </c>
      <c r="G4" s="18"/>
      <c r="H4" s="18"/>
      <c r="I4" s="18">
        <f>100+80</f>
        <v>180</v>
      </c>
      <c r="J4" s="18">
        <v>20</v>
      </c>
      <c r="K4" s="18">
        <f>140+60</f>
        <v>200</v>
      </c>
      <c r="L4" s="18">
        <f>220+120</f>
        <v>340</v>
      </c>
      <c r="M4" s="18">
        <v>360</v>
      </c>
      <c r="N4" s="18">
        <v>220</v>
      </c>
      <c r="O4" s="18">
        <v>60</v>
      </c>
      <c r="P4" s="18">
        <v>140</v>
      </c>
      <c r="Q4" s="18"/>
      <c r="R4" s="18">
        <f>580+60</f>
        <v>640</v>
      </c>
      <c r="S4" s="18">
        <f>360+140</f>
        <v>500</v>
      </c>
      <c r="T4" s="18">
        <f>300+280</f>
        <v>580</v>
      </c>
      <c r="U4" s="18">
        <f>120+300</f>
        <v>420</v>
      </c>
      <c r="V4" s="18">
        <v>440</v>
      </c>
      <c r="W4" s="18">
        <f>20+60</f>
        <v>80</v>
      </c>
      <c r="X4" s="18">
        <v>360</v>
      </c>
      <c r="Y4" s="18">
        <f>140+340</f>
        <v>480</v>
      </c>
      <c r="Z4" s="18">
        <f>660+420</f>
        <v>1080</v>
      </c>
      <c r="AA4" s="18"/>
      <c r="AB4" s="18"/>
      <c r="AC4" s="18"/>
      <c r="AD4" s="18">
        <f>25720-24080</f>
        <v>1640</v>
      </c>
      <c r="AE4" s="18"/>
      <c r="AF4" s="27"/>
      <c r="AG4" s="18">
        <f t="shared" si="0"/>
        <v>17900</v>
      </c>
      <c r="AH4" s="18">
        <f t="shared" si="1"/>
        <v>7820</v>
      </c>
      <c r="AI4" s="19"/>
      <c r="AJ4" s="18">
        <f t="shared" ref="AJ4:AJ43" si="3">+AG4+AH4-AI4</f>
        <v>25720</v>
      </c>
      <c r="AK4" s="27"/>
      <c r="AL4" s="9">
        <v>0</v>
      </c>
      <c r="AM4" s="9">
        <f t="shared" ref="AM4:AM44" si="4">+AJ4-AL4</f>
        <v>25720</v>
      </c>
      <c r="AN4" s="26"/>
      <c r="AO4" s="37"/>
      <c r="AP4" s="26"/>
      <c r="AQ4" s="86"/>
      <c r="AR4" s="86"/>
      <c r="AS4" s="77">
        <f t="shared" si="2"/>
        <v>0</v>
      </c>
      <c r="BG4" s="15"/>
    </row>
    <row r="5" spans="1:62">
      <c r="A5" s="17">
        <f t="shared" ref="A5:A32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7"/>
      <c r="AG5" s="18">
        <f t="shared" si="0"/>
        <v>660</v>
      </c>
      <c r="AH5" s="18">
        <f t="shared" si="1"/>
        <v>0</v>
      </c>
      <c r="AI5" s="19"/>
      <c r="AJ5" s="18">
        <f t="shared" ref="AJ5:AJ11" si="6">+AG5+AH5-AI5</f>
        <v>660</v>
      </c>
      <c r="AK5" s="27"/>
      <c r="AL5" s="9">
        <v>0</v>
      </c>
      <c r="AM5" s="9">
        <f t="shared" si="4"/>
        <v>660</v>
      </c>
      <c r="AN5" s="26"/>
      <c r="AO5" s="37"/>
      <c r="AP5" s="26"/>
      <c r="AQ5" s="86"/>
      <c r="AR5" s="86"/>
      <c r="AS5" s="77">
        <f t="shared" si="2"/>
        <v>0</v>
      </c>
    </row>
    <row r="6" spans="1:62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27"/>
      <c r="AG6" s="18">
        <f t="shared" si="0"/>
        <v>680</v>
      </c>
      <c r="AH6" s="18">
        <f t="shared" si="1"/>
        <v>0</v>
      </c>
      <c r="AI6" s="19"/>
      <c r="AJ6" s="18">
        <f t="shared" si="6"/>
        <v>680</v>
      </c>
      <c r="AK6" s="27"/>
      <c r="AL6" s="9">
        <v>0</v>
      </c>
      <c r="AM6" s="9">
        <f t="shared" si="4"/>
        <v>680</v>
      </c>
      <c r="AN6" s="26"/>
      <c r="AO6" s="37"/>
      <c r="AP6" s="26"/>
      <c r="AQ6" s="86"/>
      <c r="AR6" s="86"/>
      <c r="AS6" s="77">
        <f t="shared" si="2"/>
        <v>0</v>
      </c>
    </row>
    <row r="7" spans="1:62">
      <c r="A7" s="17">
        <f t="shared" si="5"/>
        <v>5</v>
      </c>
      <c r="B7" s="39" t="s">
        <v>34</v>
      </c>
      <c r="C7" s="39" t="s">
        <v>35</v>
      </c>
      <c r="D7" s="53">
        <v>338560</v>
      </c>
      <c r="E7" s="18"/>
      <c r="F7" s="18"/>
      <c r="G7" s="18">
        <f>10440+420</f>
        <v>10860</v>
      </c>
      <c r="H7" s="18">
        <v>5480</v>
      </c>
      <c r="I7" s="18">
        <f>16300+1620</f>
        <v>17920</v>
      </c>
      <c r="J7" s="18">
        <f>19280</f>
        <v>19280</v>
      </c>
      <c r="K7" s="18">
        <f>22340+3580</f>
        <v>25920</v>
      </c>
      <c r="L7" s="18">
        <f>25440+4080</f>
        <v>29520</v>
      </c>
      <c r="M7" s="18">
        <v>16000</v>
      </c>
      <c r="N7" s="18">
        <v>8040</v>
      </c>
      <c r="O7" s="18">
        <v>1120</v>
      </c>
      <c r="P7" s="18">
        <v>1620</v>
      </c>
      <c r="Q7" s="9">
        <v>12420</v>
      </c>
      <c r="R7" s="18">
        <f>19600+5300</f>
        <v>24900</v>
      </c>
      <c r="S7" s="18">
        <f>15340+5140</f>
        <v>20480</v>
      </c>
      <c r="T7" s="18">
        <f>40220+11420</f>
        <v>51640</v>
      </c>
      <c r="U7" s="18">
        <f>18600+4180</f>
        <v>22780</v>
      </c>
      <c r="V7" s="18">
        <f>9100+9980</f>
        <v>19080</v>
      </c>
      <c r="W7" s="18">
        <v>5040</v>
      </c>
      <c r="X7" s="9">
        <v>17420</v>
      </c>
      <c r="Y7" s="18">
        <v>9240</v>
      </c>
      <c r="Z7" s="18">
        <f>39020+9640</f>
        <v>48660</v>
      </c>
      <c r="AA7" s="18"/>
      <c r="AB7" s="18"/>
      <c r="AC7" s="18"/>
      <c r="AD7" s="18">
        <f>(252000-246040)+116800</f>
        <v>122760</v>
      </c>
      <c r="AE7" s="18"/>
      <c r="AF7" s="27"/>
      <c r="AG7" s="18">
        <f t="shared" si="0"/>
        <v>338560</v>
      </c>
      <c r="AH7" s="18">
        <f t="shared" si="1"/>
        <v>490180</v>
      </c>
      <c r="AI7" s="19">
        <f>200+108000+108000+46800+81000+115500+80+140+140+80</f>
        <v>459940</v>
      </c>
      <c r="AJ7" s="18">
        <f t="shared" si="6"/>
        <v>368800</v>
      </c>
      <c r="AK7" s="27"/>
      <c r="AL7" s="9">
        <v>0</v>
      </c>
      <c r="AM7" s="9">
        <f t="shared" si="4"/>
        <v>368800</v>
      </c>
      <c r="AN7" s="26"/>
      <c r="AO7" s="26">
        <f>200+80+140+140+80</f>
        <v>640</v>
      </c>
      <c r="AP7" s="26">
        <f>108000+108000+46800+81000+115500</f>
        <v>459300</v>
      </c>
      <c r="AQ7" s="86"/>
      <c r="AR7" s="86"/>
      <c r="AS7" s="77">
        <f t="shared" si="2"/>
        <v>0</v>
      </c>
    </row>
    <row r="8" spans="1:62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27"/>
      <c r="AG8" s="18">
        <f t="shared" si="0"/>
        <v>120</v>
      </c>
      <c r="AH8" s="18">
        <f t="shared" si="1"/>
        <v>0</v>
      </c>
      <c r="AI8" s="19"/>
      <c r="AJ8" s="18">
        <f t="shared" si="6"/>
        <v>120</v>
      </c>
      <c r="AK8" s="27"/>
      <c r="AL8" s="9">
        <v>0</v>
      </c>
      <c r="AM8" s="9">
        <f t="shared" si="4"/>
        <v>120</v>
      </c>
      <c r="AN8" s="26"/>
      <c r="AO8" s="37"/>
      <c r="AP8" s="26"/>
      <c r="AQ8" s="86"/>
      <c r="AR8" s="86"/>
      <c r="AS8" s="77">
        <f t="shared" si="2"/>
        <v>0</v>
      </c>
    </row>
    <row r="9" spans="1:62">
      <c r="A9" s="17">
        <f t="shared" si="5"/>
        <v>7</v>
      </c>
      <c r="B9" s="39"/>
      <c r="C9" s="39" t="s">
        <v>90</v>
      </c>
      <c r="D9" s="53">
        <v>16650</v>
      </c>
      <c r="E9" s="18">
        <v>2124</v>
      </c>
      <c r="F9" s="18">
        <v>8352</v>
      </c>
      <c r="G9" s="18">
        <f>3960+1854</f>
        <v>5814</v>
      </c>
      <c r="H9" s="18">
        <f>4410+2682</f>
        <v>7092</v>
      </c>
      <c r="I9" s="18">
        <f>3294+10818</f>
        <v>14112</v>
      </c>
      <c r="J9" s="18">
        <v>3024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27"/>
      <c r="AG9" s="18">
        <f t="shared" si="0"/>
        <v>16650</v>
      </c>
      <c r="AH9" s="18">
        <f t="shared" si="1"/>
        <v>40518</v>
      </c>
      <c r="AI9" s="19"/>
      <c r="AJ9" s="18">
        <f t="shared" si="6"/>
        <v>57168</v>
      </c>
      <c r="AK9" s="27"/>
      <c r="AL9" s="9">
        <v>0</v>
      </c>
      <c r="AM9" s="9">
        <f t="shared" si="4"/>
        <v>57168</v>
      </c>
      <c r="AN9" s="26"/>
      <c r="AO9" s="37"/>
      <c r="AP9" s="26"/>
      <c r="AQ9" s="86"/>
      <c r="AR9" s="86"/>
      <c r="AS9" s="77"/>
    </row>
    <row r="10" spans="1:62">
      <c r="A10" s="17"/>
      <c r="B10" s="39"/>
      <c r="C10" s="39" t="s">
        <v>88</v>
      </c>
      <c r="D10" s="53">
        <v>0</v>
      </c>
      <c r="E10" s="18"/>
      <c r="F10" s="18"/>
      <c r="G10" s="18">
        <v>360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27"/>
      <c r="AG10" s="18">
        <f t="shared" si="0"/>
        <v>0</v>
      </c>
      <c r="AH10" s="18">
        <f t="shared" ref="AH10" si="7">SUM(E10:AE10)</f>
        <v>360</v>
      </c>
      <c r="AI10" s="19"/>
      <c r="AJ10" s="18">
        <f t="shared" ref="AJ10" si="8">+AG10+AH10-AI10</f>
        <v>360</v>
      </c>
      <c r="AK10" s="27"/>
      <c r="AL10" s="9">
        <v>0</v>
      </c>
      <c r="AM10" s="9">
        <f t="shared" si="4"/>
        <v>360</v>
      </c>
      <c r="AN10" s="26"/>
      <c r="AO10" s="37"/>
      <c r="AP10" s="26"/>
      <c r="AQ10" s="86"/>
      <c r="AR10" s="86"/>
      <c r="AS10" s="77"/>
    </row>
    <row r="11" spans="1:62">
      <c r="A11" s="17"/>
      <c r="B11" s="39"/>
      <c r="C11" s="39" t="s">
        <v>91</v>
      </c>
      <c r="D11" s="53">
        <v>1854</v>
      </c>
      <c r="E11" s="18"/>
      <c r="F11" s="18">
        <v>540</v>
      </c>
      <c r="G11" s="18">
        <f>378+234</f>
        <v>612</v>
      </c>
      <c r="H11" s="18">
        <f>558+54</f>
        <v>612</v>
      </c>
      <c r="I11" s="18">
        <v>342</v>
      </c>
      <c r="J11" s="18">
        <v>468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7"/>
      <c r="AG11" s="18">
        <f t="shared" si="0"/>
        <v>1854</v>
      </c>
      <c r="AH11" s="18">
        <f t="shared" si="1"/>
        <v>2574</v>
      </c>
      <c r="AI11" s="19"/>
      <c r="AJ11" s="18">
        <f t="shared" si="6"/>
        <v>4428</v>
      </c>
      <c r="AK11" s="27"/>
      <c r="AL11" s="9">
        <v>0</v>
      </c>
      <c r="AM11" s="9">
        <f t="shared" si="4"/>
        <v>4428</v>
      </c>
      <c r="AN11" s="26"/>
      <c r="AO11" s="37"/>
      <c r="AP11" s="26"/>
      <c r="AQ11" s="86"/>
      <c r="AR11" s="86"/>
      <c r="AS11" s="77"/>
    </row>
    <row r="12" spans="1:62" s="8" customFormat="1">
      <c r="A12" s="37">
        <v>8</v>
      </c>
      <c r="B12" s="40" t="s">
        <v>40</v>
      </c>
      <c r="C12" s="40" t="s">
        <v>41</v>
      </c>
      <c r="D12" s="54">
        <v>12340</v>
      </c>
      <c r="E12" s="26">
        <f>100+240</f>
        <v>340</v>
      </c>
      <c r="F12" s="26">
        <v>400</v>
      </c>
      <c r="G12" s="26">
        <f>100+400</f>
        <v>500</v>
      </c>
      <c r="H12" s="26">
        <v>800</v>
      </c>
      <c r="I12" s="26"/>
      <c r="J12" s="26">
        <v>680</v>
      </c>
      <c r="K12" s="26">
        <v>360</v>
      </c>
      <c r="L12" s="26">
        <f>300+440</f>
        <v>740</v>
      </c>
      <c r="M12" s="26">
        <f>60+80</f>
        <v>140</v>
      </c>
      <c r="N12" s="26">
        <v>0</v>
      </c>
      <c r="O12" s="26">
        <v>720</v>
      </c>
      <c r="P12" s="26"/>
      <c r="Q12" s="26">
        <v>560</v>
      </c>
      <c r="R12" s="26">
        <v>680</v>
      </c>
      <c r="S12" s="26">
        <v>540</v>
      </c>
      <c r="T12" s="26">
        <v>300</v>
      </c>
      <c r="U12" s="26">
        <f>160+260</f>
        <v>420</v>
      </c>
      <c r="V12" s="26">
        <v>380</v>
      </c>
      <c r="W12" s="26">
        <v>460</v>
      </c>
      <c r="X12" s="26">
        <v>180</v>
      </c>
      <c r="Y12" s="26">
        <v>620</v>
      </c>
      <c r="Z12" s="26">
        <v>400</v>
      </c>
      <c r="AA12" s="26"/>
      <c r="AB12" s="26"/>
      <c r="AC12" s="26"/>
      <c r="AD12" s="26">
        <f>22840-21560</f>
        <v>1280</v>
      </c>
      <c r="AE12" s="26"/>
      <c r="AF12" s="27"/>
      <c r="AG12" s="26">
        <f t="shared" si="0"/>
        <v>12340</v>
      </c>
      <c r="AH12" s="26">
        <f t="shared" si="1"/>
        <v>10500</v>
      </c>
      <c r="AI12" s="38"/>
      <c r="AJ12" s="26">
        <f t="shared" si="3"/>
        <v>22840</v>
      </c>
      <c r="AK12" s="27"/>
      <c r="AL12" s="9">
        <v>0</v>
      </c>
      <c r="AM12" s="9">
        <f t="shared" si="4"/>
        <v>22840</v>
      </c>
      <c r="AN12" s="26"/>
      <c r="AO12" s="37"/>
      <c r="AP12" s="26"/>
      <c r="AQ12" s="86"/>
      <c r="AR12" s="86"/>
      <c r="AS12" s="77">
        <f t="shared" si="2"/>
        <v>0</v>
      </c>
    </row>
    <row r="13" spans="1:62" s="8" customFormat="1">
      <c r="A13" s="37">
        <f>+A12+1</f>
        <v>9</v>
      </c>
      <c r="B13" s="40">
        <v>10007969</v>
      </c>
      <c r="C13" s="40" t="s">
        <v>59</v>
      </c>
      <c r="D13" s="54">
        <v>40960</v>
      </c>
      <c r="E13" s="26">
        <f>440+460</f>
        <v>900</v>
      </c>
      <c r="F13" s="26">
        <f>540+1640</f>
        <v>2180</v>
      </c>
      <c r="G13" s="26">
        <f>340+1880</f>
        <v>2220</v>
      </c>
      <c r="H13" s="26">
        <v>3920</v>
      </c>
      <c r="I13" s="26">
        <v>1400</v>
      </c>
      <c r="J13" s="26">
        <v>1940</v>
      </c>
      <c r="K13" s="26">
        <v>3620</v>
      </c>
      <c r="L13" s="26">
        <f>800+2720</f>
        <v>3520</v>
      </c>
      <c r="M13" s="26">
        <f>140+1640</f>
        <v>1780</v>
      </c>
      <c r="N13" s="26">
        <v>940</v>
      </c>
      <c r="O13" s="26">
        <v>4240</v>
      </c>
      <c r="P13" s="26">
        <v>2900</v>
      </c>
      <c r="Q13" s="26"/>
      <c r="R13" s="26">
        <v>3760</v>
      </c>
      <c r="S13" s="26">
        <v>2640</v>
      </c>
      <c r="T13" s="26">
        <f>240+1240</f>
        <v>1480</v>
      </c>
      <c r="U13" s="26">
        <f>1360+720</f>
        <v>2080</v>
      </c>
      <c r="V13" s="26">
        <v>1860</v>
      </c>
      <c r="W13" s="26">
        <v>3020</v>
      </c>
      <c r="X13" s="26"/>
      <c r="Y13" s="26">
        <v>2940</v>
      </c>
      <c r="Z13" s="26">
        <v>1780</v>
      </c>
      <c r="AA13" s="26"/>
      <c r="AB13" s="26"/>
      <c r="AC13" s="26"/>
      <c r="AD13" s="26">
        <f>60620-56940</f>
        <v>3680</v>
      </c>
      <c r="AE13" s="26"/>
      <c r="AF13" s="27"/>
      <c r="AG13" s="26">
        <f t="shared" si="0"/>
        <v>40960</v>
      </c>
      <c r="AH13" s="26">
        <f t="shared" si="1"/>
        <v>52800</v>
      </c>
      <c r="AI13" s="38">
        <f>9140+24000</f>
        <v>33140</v>
      </c>
      <c r="AJ13" s="26">
        <f t="shared" si="3"/>
        <v>60620</v>
      </c>
      <c r="AK13" s="27"/>
      <c r="AL13" s="9">
        <v>0</v>
      </c>
      <c r="AM13" s="9">
        <f t="shared" si="4"/>
        <v>60620</v>
      </c>
      <c r="AN13" s="26"/>
      <c r="AO13" s="37"/>
      <c r="AP13" s="26">
        <f>9140+24000</f>
        <v>33140</v>
      </c>
      <c r="AQ13" s="86"/>
      <c r="AR13" s="86"/>
      <c r="AS13" s="77">
        <f t="shared" si="2"/>
        <v>0</v>
      </c>
    </row>
    <row r="14" spans="1:62">
      <c r="A14" s="7">
        <f>+A13+1</f>
        <v>10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7"/>
      <c r="AG14" s="21">
        <f t="shared" si="0"/>
        <v>300</v>
      </c>
      <c r="AH14" s="21">
        <f t="shared" si="1"/>
        <v>0</v>
      </c>
      <c r="AI14" s="22"/>
      <c r="AJ14" s="21">
        <f t="shared" si="3"/>
        <v>300</v>
      </c>
      <c r="AK14" s="27"/>
      <c r="AL14" s="9">
        <v>0</v>
      </c>
      <c r="AM14" s="9">
        <f t="shared" si="4"/>
        <v>300</v>
      </c>
      <c r="AN14" s="26"/>
      <c r="AO14" s="37"/>
      <c r="AP14" s="26"/>
      <c r="AQ14" s="86"/>
      <c r="AR14" s="86"/>
      <c r="AS14" s="77">
        <f t="shared" si="2"/>
        <v>0</v>
      </c>
    </row>
    <row r="15" spans="1:62">
      <c r="A15" s="7">
        <f t="shared" ref="A15:A17" si="9">+A14+1</f>
        <v>11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7"/>
      <c r="AG15" s="21">
        <f t="shared" si="0"/>
        <v>1120</v>
      </c>
      <c r="AH15" s="21">
        <f t="shared" si="1"/>
        <v>0</v>
      </c>
      <c r="AI15" s="22"/>
      <c r="AJ15" s="21">
        <f t="shared" si="3"/>
        <v>1120</v>
      </c>
      <c r="AK15" s="27"/>
      <c r="AL15" s="9">
        <v>0</v>
      </c>
      <c r="AM15" s="9">
        <f t="shared" si="4"/>
        <v>1120</v>
      </c>
      <c r="AN15" s="26"/>
      <c r="AO15" s="37"/>
      <c r="AP15" s="26"/>
      <c r="AQ15" s="86"/>
      <c r="AR15" s="86"/>
      <c r="AS15" s="77">
        <f t="shared" si="2"/>
        <v>0</v>
      </c>
    </row>
    <row r="16" spans="1:62">
      <c r="A16" s="7">
        <f t="shared" si="9"/>
        <v>12</v>
      </c>
      <c r="B16" s="20" t="s">
        <v>57</v>
      </c>
      <c r="C16" s="20" t="s">
        <v>58</v>
      </c>
      <c r="D16" s="55">
        <v>472180</v>
      </c>
      <c r="E16" s="21">
        <v>10720</v>
      </c>
      <c r="F16" s="21">
        <f>7580+1500</f>
        <v>9080</v>
      </c>
      <c r="G16" s="21">
        <f>240+500</f>
        <v>740</v>
      </c>
      <c r="H16" s="21">
        <f>11320+9040</f>
        <v>20360</v>
      </c>
      <c r="I16" s="21">
        <f>42520+1260</f>
        <v>43780</v>
      </c>
      <c r="J16" s="21">
        <v>65880</v>
      </c>
      <c r="K16" s="21">
        <f>20380+14860</f>
        <v>35240</v>
      </c>
      <c r="L16" s="21">
        <v>2460</v>
      </c>
      <c r="M16" s="21">
        <v>6020</v>
      </c>
      <c r="N16" s="21">
        <v>480</v>
      </c>
      <c r="O16" s="21">
        <v>160</v>
      </c>
      <c r="P16" s="21">
        <v>8520</v>
      </c>
      <c r="Q16" s="21">
        <v>8800</v>
      </c>
      <c r="R16" s="21">
        <f>19420+7380</f>
        <v>26800</v>
      </c>
      <c r="S16" s="21">
        <f>36620+7180</f>
        <v>43800</v>
      </c>
      <c r="T16" s="21">
        <v>0</v>
      </c>
      <c r="U16" s="21"/>
      <c r="V16" s="21">
        <f>7820+8420</f>
        <v>16240</v>
      </c>
      <c r="W16" s="21">
        <f>38380+15400</f>
        <v>53780</v>
      </c>
      <c r="X16" s="21">
        <v>19800</v>
      </c>
      <c r="Y16" s="21">
        <f>32020+27080</f>
        <v>59100</v>
      </c>
      <c r="Z16" s="21">
        <f>14340+7040</f>
        <v>21380</v>
      </c>
      <c r="AA16" s="21"/>
      <c r="AB16" s="21"/>
      <c r="AC16" s="21"/>
      <c r="AD16" s="21">
        <f>331000-226980</f>
        <v>104020</v>
      </c>
      <c r="AE16" s="21"/>
      <c r="AF16" s="27"/>
      <c r="AG16" s="21">
        <f t="shared" si="0"/>
        <v>472180</v>
      </c>
      <c r="AH16" s="21">
        <f t="shared" si="1"/>
        <v>557160</v>
      </c>
      <c r="AI16" s="22">
        <f>135000+54000+135000+108000+108000+135000+23300+40</f>
        <v>698340</v>
      </c>
      <c r="AJ16" s="21">
        <f t="shared" si="3"/>
        <v>331000</v>
      </c>
      <c r="AK16" s="27"/>
      <c r="AL16" s="9">
        <v>0</v>
      </c>
      <c r="AM16" s="9">
        <f t="shared" si="4"/>
        <v>331000</v>
      </c>
      <c r="AN16" s="26"/>
      <c r="AO16" s="37">
        <v>40</v>
      </c>
      <c r="AP16" s="26">
        <f>135000+54000+135000+108000+108000+135000+23300</f>
        <v>698300</v>
      </c>
      <c r="AQ16" s="86"/>
      <c r="AR16" s="86"/>
      <c r="AS16" s="77">
        <f t="shared" si="2"/>
        <v>0</v>
      </c>
      <c r="BH16" s="15"/>
    </row>
    <row r="17" spans="1:61">
      <c r="A17" s="7">
        <f t="shared" si="9"/>
        <v>13</v>
      </c>
      <c r="B17" s="20" t="s">
        <v>55</v>
      </c>
      <c r="C17" s="20" t="s">
        <v>56</v>
      </c>
      <c r="D17" s="55">
        <v>65040</v>
      </c>
      <c r="E17" s="21">
        <f>1120+540</f>
        <v>1660</v>
      </c>
      <c r="F17" s="21">
        <f>2440+10600</f>
        <v>13040</v>
      </c>
      <c r="G17" s="21">
        <f>8800+7820</f>
        <v>16620</v>
      </c>
      <c r="H17" s="21">
        <f>4720+10620</f>
        <v>15340</v>
      </c>
      <c r="I17" s="21">
        <f>7180+14960</f>
        <v>22140</v>
      </c>
      <c r="J17" s="21"/>
      <c r="K17" s="21">
        <v>4140</v>
      </c>
      <c r="L17" s="21">
        <f>2000+3140</f>
        <v>5140</v>
      </c>
      <c r="M17" s="21">
        <v>8540</v>
      </c>
      <c r="N17" s="21">
        <v>8560</v>
      </c>
      <c r="O17" s="21">
        <v>2960</v>
      </c>
      <c r="P17" s="21">
        <v>2420</v>
      </c>
      <c r="Q17" s="21">
        <v>3760</v>
      </c>
      <c r="R17" s="21">
        <v>7480</v>
      </c>
      <c r="S17" s="21">
        <f>240+6660</f>
        <v>6900</v>
      </c>
      <c r="T17" s="21">
        <f>2640+1060</f>
        <v>3700</v>
      </c>
      <c r="U17" s="21">
        <f>2220+4520</f>
        <v>6740</v>
      </c>
      <c r="V17" s="21"/>
      <c r="W17" s="21">
        <v>2840</v>
      </c>
      <c r="X17" s="21">
        <v>4500</v>
      </c>
      <c r="Y17" s="21">
        <f>420+3220</f>
        <v>3640</v>
      </c>
      <c r="Z17" s="21">
        <f>40+1860</f>
        <v>1900</v>
      </c>
      <c r="AA17" s="21"/>
      <c r="AB17" s="21"/>
      <c r="AC17" s="21"/>
      <c r="AD17" s="21">
        <f>83980-72060</f>
        <v>11920</v>
      </c>
      <c r="AE17" s="21"/>
      <c r="AF17" s="27"/>
      <c r="AG17" s="21">
        <f t="shared" si="0"/>
        <v>65040</v>
      </c>
      <c r="AH17" s="21">
        <f t="shared" si="1"/>
        <v>153940</v>
      </c>
      <c r="AI17" s="22">
        <f>54000+81000</f>
        <v>135000</v>
      </c>
      <c r="AJ17" s="21">
        <f>+AG17+AH17-AI17</f>
        <v>83980</v>
      </c>
      <c r="AK17" s="27"/>
      <c r="AL17" s="9">
        <v>0</v>
      </c>
      <c r="AM17" s="9">
        <f t="shared" si="4"/>
        <v>83980</v>
      </c>
      <c r="AN17" s="26"/>
      <c r="AO17" s="37"/>
      <c r="AP17" s="26">
        <f>54000+81000</f>
        <v>135000</v>
      </c>
      <c r="AQ17" s="86"/>
      <c r="AR17" s="86"/>
      <c r="AS17" s="77">
        <f t="shared" si="2"/>
        <v>0</v>
      </c>
      <c r="BG17" s="8"/>
    </row>
    <row r="18" spans="1:61">
      <c r="A18" s="23">
        <f>+A17+1</f>
        <v>14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7"/>
      <c r="AG18" s="24">
        <f t="shared" si="0"/>
        <v>940</v>
      </c>
      <c r="AH18" s="24">
        <f t="shared" si="1"/>
        <v>0</v>
      </c>
      <c r="AI18" s="25"/>
      <c r="AJ18" s="24">
        <f t="shared" si="3"/>
        <v>940</v>
      </c>
      <c r="AK18" s="27"/>
      <c r="AL18" s="9">
        <v>0</v>
      </c>
      <c r="AM18" s="9">
        <f t="shared" si="4"/>
        <v>940</v>
      </c>
      <c r="AN18" s="26"/>
      <c r="AO18" s="37"/>
      <c r="AP18" s="26"/>
      <c r="AQ18" s="86"/>
      <c r="AR18" s="86"/>
      <c r="AS18" s="77">
        <f t="shared" si="2"/>
        <v>0</v>
      </c>
    </row>
    <row r="19" spans="1:61">
      <c r="A19" s="23">
        <f t="shared" ref="A19:A23" si="10">+A18+1</f>
        <v>15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7"/>
      <c r="AG19" s="24">
        <f t="shared" si="0"/>
        <v>240</v>
      </c>
      <c r="AH19" s="24">
        <f t="shared" si="1"/>
        <v>0</v>
      </c>
      <c r="AI19" s="25"/>
      <c r="AJ19" s="24">
        <f t="shared" si="3"/>
        <v>240</v>
      </c>
      <c r="AK19" s="27"/>
      <c r="AL19" s="9">
        <v>0</v>
      </c>
      <c r="AM19" s="9">
        <f t="shared" si="4"/>
        <v>240</v>
      </c>
      <c r="AN19" s="26"/>
      <c r="AO19" s="37"/>
      <c r="AP19" s="26"/>
      <c r="AQ19" s="86"/>
      <c r="AR19" s="86"/>
      <c r="AS19" s="77">
        <f t="shared" si="2"/>
        <v>0</v>
      </c>
    </row>
    <row r="20" spans="1:61">
      <c r="A20" s="23">
        <f t="shared" si="10"/>
        <v>16</v>
      </c>
      <c r="B20" s="47" t="s">
        <v>43</v>
      </c>
      <c r="C20" s="32" t="s">
        <v>44</v>
      </c>
      <c r="D20" s="56">
        <v>178040</v>
      </c>
      <c r="E20" s="24">
        <f>1300+660</f>
        <v>1960</v>
      </c>
      <c r="F20" s="24">
        <f>1400+3960</f>
        <v>5360</v>
      </c>
      <c r="G20" s="24">
        <f>3000+2620</f>
        <v>5620</v>
      </c>
      <c r="H20" s="24">
        <f>4900+5680</f>
        <v>10580</v>
      </c>
      <c r="I20" s="24">
        <f>2960+6940</f>
        <v>9900</v>
      </c>
      <c r="J20" s="24"/>
      <c r="K20" s="24">
        <f>960+7480</f>
        <v>8440</v>
      </c>
      <c r="L20" s="24">
        <f>560+8220</f>
        <v>8780</v>
      </c>
      <c r="M20" s="24">
        <f>3240+7140</f>
        <v>10380</v>
      </c>
      <c r="N20" s="24">
        <v>7000</v>
      </c>
      <c r="O20" s="24">
        <v>8080</v>
      </c>
      <c r="P20" s="24">
        <v>5280</v>
      </c>
      <c r="Q20" s="24"/>
      <c r="R20" s="24">
        <f>3320+6380</f>
        <v>9700</v>
      </c>
      <c r="S20" s="24">
        <f>3540+3960</f>
        <v>7500</v>
      </c>
      <c r="T20" s="24">
        <f>2380+1140</f>
        <v>3520</v>
      </c>
      <c r="U20" s="24">
        <f>3900+1920</f>
        <v>5820</v>
      </c>
      <c r="V20" s="24">
        <f>3200+1740</f>
        <v>4940</v>
      </c>
      <c r="W20" s="24">
        <f>4080+4100</f>
        <v>8180</v>
      </c>
      <c r="X20" s="24"/>
      <c r="Y20" s="24">
        <f>2700+5380</f>
        <v>8080</v>
      </c>
      <c r="Z20" s="24">
        <f>2200+3000</f>
        <v>5200</v>
      </c>
      <c r="AA20" s="24"/>
      <c r="AB20" s="24"/>
      <c r="AC20" s="24"/>
      <c r="AD20" s="24">
        <f>238560-229800</f>
        <v>8760</v>
      </c>
      <c r="AE20" s="24"/>
      <c r="AF20" s="27"/>
      <c r="AG20" s="24">
        <f t="shared" si="0"/>
        <v>178040</v>
      </c>
      <c r="AH20" s="24">
        <f t="shared" si="1"/>
        <v>143080</v>
      </c>
      <c r="AI20" s="25">
        <f>14860+100+67600</f>
        <v>82560</v>
      </c>
      <c r="AJ20" s="24">
        <f t="shared" si="3"/>
        <v>238560</v>
      </c>
      <c r="AK20" s="27"/>
      <c r="AL20" s="9">
        <v>0</v>
      </c>
      <c r="AM20" s="9">
        <f t="shared" si="4"/>
        <v>238560</v>
      </c>
      <c r="AN20" s="26"/>
      <c r="AO20" s="37">
        <v>100</v>
      </c>
      <c r="AP20" s="26">
        <f>14860+67600</f>
        <v>82460</v>
      </c>
      <c r="AQ20" s="86"/>
      <c r="AR20" s="86"/>
      <c r="AS20" s="77">
        <f t="shared" si="2"/>
        <v>0</v>
      </c>
    </row>
    <row r="21" spans="1:61">
      <c r="A21" s="23">
        <f t="shared" si="10"/>
        <v>17</v>
      </c>
      <c r="B21" s="47" t="s">
        <v>45</v>
      </c>
      <c r="C21" s="32" t="s">
        <v>46</v>
      </c>
      <c r="D21" s="56">
        <v>6700</v>
      </c>
      <c r="E21" s="24">
        <v>20</v>
      </c>
      <c r="F21" s="24">
        <v>80</v>
      </c>
      <c r="G21" s="24">
        <f>20+40</f>
        <v>60</v>
      </c>
      <c r="H21" s="24">
        <f>40+140</f>
        <v>180</v>
      </c>
      <c r="I21" s="24">
        <v>200</v>
      </c>
      <c r="J21" s="24"/>
      <c r="K21" s="24">
        <v>140</v>
      </c>
      <c r="L21" s="24">
        <f>60+220</f>
        <v>280</v>
      </c>
      <c r="M21" s="24">
        <v>160</v>
      </c>
      <c r="N21" s="24">
        <v>120</v>
      </c>
      <c r="O21" s="24">
        <v>200</v>
      </c>
      <c r="P21" s="24">
        <v>168</v>
      </c>
      <c r="Q21" s="24"/>
      <c r="R21" s="24">
        <v>160</v>
      </c>
      <c r="S21" s="24">
        <v>140</v>
      </c>
      <c r="T21" s="24">
        <f>20+100</f>
        <v>120</v>
      </c>
      <c r="U21" s="24">
        <f>60+60</f>
        <v>120</v>
      </c>
      <c r="V21" s="24">
        <v>200</v>
      </c>
      <c r="W21" s="24">
        <v>220</v>
      </c>
      <c r="X21" s="24"/>
      <c r="Y21" s="24">
        <v>180</v>
      </c>
      <c r="Z21" s="24">
        <f>60+100</f>
        <v>160</v>
      </c>
      <c r="AA21" s="24"/>
      <c r="AB21" s="24"/>
      <c r="AC21" s="24"/>
      <c r="AD21" s="24">
        <f>9720-9608</f>
        <v>112</v>
      </c>
      <c r="AE21" s="24"/>
      <c r="AF21" s="27"/>
      <c r="AG21" s="24">
        <f t="shared" si="0"/>
        <v>6700</v>
      </c>
      <c r="AH21" s="24">
        <f t="shared" si="1"/>
        <v>3020</v>
      </c>
      <c r="AI21" s="25"/>
      <c r="AJ21" s="24">
        <f t="shared" si="3"/>
        <v>9720</v>
      </c>
      <c r="AK21" s="27"/>
      <c r="AL21" s="9">
        <v>0</v>
      </c>
      <c r="AM21" s="9">
        <f t="shared" si="4"/>
        <v>9720</v>
      </c>
      <c r="AN21" s="26"/>
      <c r="AO21" s="37"/>
      <c r="AP21" s="26"/>
      <c r="AQ21" s="86"/>
      <c r="AR21" s="86"/>
      <c r="AS21" s="77">
        <f t="shared" si="2"/>
        <v>0</v>
      </c>
    </row>
    <row r="22" spans="1:61">
      <c r="A22" s="23">
        <f t="shared" si="10"/>
        <v>18</v>
      </c>
      <c r="B22" s="47" t="s">
        <v>47</v>
      </c>
      <c r="C22" s="32" t="s">
        <v>48</v>
      </c>
      <c r="D22" s="56">
        <v>28680</v>
      </c>
      <c r="E22" s="24">
        <f>760+420</f>
        <v>1180</v>
      </c>
      <c r="F22" s="24">
        <f>600+2020</f>
        <v>2620</v>
      </c>
      <c r="G22" s="24">
        <f>780+1460</f>
        <v>2240</v>
      </c>
      <c r="H22" s="24">
        <f>860+2360</f>
        <v>3220</v>
      </c>
      <c r="I22" s="24">
        <f>380+2340</f>
        <v>2720</v>
      </c>
      <c r="J22" s="24"/>
      <c r="K22" s="24">
        <f>200+1880</f>
        <v>2080</v>
      </c>
      <c r="L22" s="24">
        <f>560+2560</f>
        <v>3120</v>
      </c>
      <c r="M22" s="24">
        <f>860+1940</f>
        <v>2800</v>
      </c>
      <c r="N22" s="24">
        <v>1840</v>
      </c>
      <c r="O22" s="24">
        <v>2360</v>
      </c>
      <c r="P22" s="24">
        <v>1400</v>
      </c>
      <c r="Q22" s="24"/>
      <c r="R22" s="24">
        <f>900+1760</f>
        <v>2660</v>
      </c>
      <c r="S22" s="24">
        <f>480+1380</f>
        <v>1860</v>
      </c>
      <c r="T22" s="24">
        <v>980</v>
      </c>
      <c r="U22" s="24">
        <f>1220+300</f>
        <v>1520</v>
      </c>
      <c r="V22" s="24">
        <v>1020</v>
      </c>
      <c r="W22" s="24">
        <f>480+1200</f>
        <v>1680</v>
      </c>
      <c r="X22" s="24"/>
      <c r="Y22" s="24">
        <f>260+1420</f>
        <v>1680</v>
      </c>
      <c r="Z22" s="24">
        <f>440+480</f>
        <v>920</v>
      </c>
      <c r="AA22" s="24"/>
      <c r="AB22" s="24"/>
      <c r="AC22" s="24"/>
      <c r="AD22" s="24">
        <f>67740-66580</f>
        <v>1160</v>
      </c>
      <c r="AE22" s="24"/>
      <c r="AF22" s="27"/>
      <c r="AG22" s="24">
        <f t="shared" si="0"/>
        <v>28680</v>
      </c>
      <c r="AH22" s="24">
        <f t="shared" si="1"/>
        <v>39060</v>
      </c>
      <c r="AI22" s="25"/>
      <c r="AJ22" s="24">
        <f t="shared" si="3"/>
        <v>67740</v>
      </c>
      <c r="AK22" s="27"/>
      <c r="AL22" s="9">
        <v>0</v>
      </c>
      <c r="AM22" s="9">
        <f t="shared" si="4"/>
        <v>67740</v>
      </c>
      <c r="AN22" s="26"/>
      <c r="AO22" s="37"/>
      <c r="AP22" s="26"/>
      <c r="AQ22" s="86"/>
      <c r="AR22" s="86"/>
      <c r="AS22" s="77">
        <f t="shared" si="2"/>
        <v>0</v>
      </c>
    </row>
    <row r="23" spans="1:61">
      <c r="A23" s="23">
        <f t="shared" si="10"/>
        <v>19</v>
      </c>
      <c r="B23" s="32">
        <v>10009386</v>
      </c>
      <c r="C23" s="32" t="s">
        <v>63</v>
      </c>
      <c r="D23" s="56">
        <v>17260</v>
      </c>
      <c r="E23" s="24">
        <f>100+100</f>
        <v>200</v>
      </c>
      <c r="F23" s="24">
        <f>120+320</f>
        <v>440</v>
      </c>
      <c r="G23" s="24">
        <v>560</v>
      </c>
      <c r="H23" s="24"/>
      <c r="I23" s="24">
        <f>260+680</f>
        <v>940</v>
      </c>
      <c r="J23" s="24"/>
      <c r="K23" s="24">
        <v>240</v>
      </c>
      <c r="L23" s="24">
        <f>300+820</f>
        <v>1120</v>
      </c>
      <c r="M23" s="24">
        <v>800</v>
      </c>
      <c r="N23" s="24">
        <v>600</v>
      </c>
      <c r="O23" s="24">
        <v>880</v>
      </c>
      <c r="P23" s="24">
        <v>640</v>
      </c>
      <c r="Q23" s="24"/>
      <c r="R23" s="24">
        <v>560</v>
      </c>
      <c r="S23" s="24">
        <f>180+540</f>
        <v>720</v>
      </c>
      <c r="T23" s="24">
        <f>20+240</f>
        <v>260</v>
      </c>
      <c r="U23" s="24">
        <f>220+220</f>
        <v>440</v>
      </c>
      <c r="V23" s="24">
        <v>440</v>
      </c>
      <c r="W23" s="24">
        <v>520</v>
      </c>
      <c r="X23" s="24"/>
      <c r="Y23" s="24">
        <v>460</v>
      </c>
      <c r="Z23" s="24">
        <v>400</v>
      </c>
      <c r="AA23" s="24"/>
      <c r="AB23" s="24"/>
      <c r="AC23" s="24"/>
      <c r="AD23" s="24"/>
      <c r="AE23" s="24"/>
      <c r="AF23" s="27"/>
      <c r="AG23" s="24">
        <f t="shared" si="0"/>
        <v>17260</v>
      </c>
      <c r="AH23" s="24">
        <f t="shared" si="1"/>
        <v>10220</v>
      </c>
      <c r="AI23" s="25"/>
      <c r="AJ23" s="24">
        <f t="shared" si="3"/>
        <v>27480</v>
      </c>
      <c r="AK23" s="27"/>
      <c r="AL23" s="9">
        <v>0</v>
      </c>
      <c r="AM23" s="9">
        <f t="shared" si="4"/>
        <v>27480</v>
      </c>
      <c r="AN23" s="26"/>
      <c r="AO23" s="37"/>
      <c r="AP23" s="26"/>
      <c r="AQ23" s="86"/>
      <c r="AR23" s="86"/>
      <c r="AS23" s="77">
        <f t="shared" si="2"/>
        <v>0</v>
      </c>
    </row>
    <row r="24" spans="1:61" s="8" customFormat="1">
      <c r="A24" s="11">
        <f>+A23+1</f>
        <v>20</v>
      </c>
      <c r="B24" s="12" t="s">
        <v>12</v>
      </c>
      <c r="C24" s="12" t="s">
        <v>13</v>
      </c>
      <c r="D24" s="57">
        <v>27900</v>
      </c>
      <c r="E24" s="10">
        <f>920+240</f>
        <v>1160</v>
      </c>
      <c r="F24" s="10">
        <f>680+2500</f>
        <v>3180</v>
      </c>
      <c r="G24" s="10">
        <f>880+2300</f>
        <v>3180</v>
      </c>
      <c r="H24" s="10">
        <f>820+4940</f>
        <v>5760</v>
      </c>
      <c r="I24" s="10">
        <v>5280</v>
      </c>
      <c r="J24" s="10">
        <v>300</v>
      </c>
      <c r="K24" s="10">
        <f>420+5060</f>
        <v>5480</v>
      </c>
      <c r="L24" s="10">
        <f>940+4400</f>
        <v>5340</v>
      </c>
      <c r="M24" s="10">
        <f>540+1920</f>
        <v>2460</v>
      </c>
      <c r="N24" s="10">
        <v>3520</v>
      </c>
      <c r="O24" s="10">
        <v>5920</v>
      </c>
      <c r="P24" s="10">
        <v>4480</v>
      </c>
      <c r="Q24" s="10"/>
      <c r="R24" s="10">
        <v>5120</v>
      </c>
      <c r="S24" s="10">
        <v>3940</v>
      </c>
      <c r="T24" s="10">
        <f>1240+520</f>
        <v>1760</v>
      </c>
      <c r="U24" s="10">
        <f>680+2420</f>
        <v>3100</v>
      </c>
      <c r="V24" s="10">
        <v>2640</v>
      </c>
      <c r="W24" s="10">
        <v>4360</v>
      </c>
      <c r="X24" s="10"/>
      <c r="Y24" s="10">
        <v>4600</v>
      </c>
      <c r="Z24" s="10">
        <f>180+2400</f>
        <v>2580</v>
      </c>
      <c r="AA24" s="10"/>
      <c r="AB24" s="10"/>
      <c r="AC24" s="10"/>
      <c r="AD24" s="10">
        <f>104880-102060</f>
        <v>2820</v>
      </c>
      <c r="AE24" s="10"/>
      <c r="AF24" s="26"/>
      <c r="AG24" s="10">
        <f t="shared" si="0"/>
        <v>27900</v>
      </c>
      <c r="AH24" s="10">
        <f t="shared" si="1"/>
        <v>76980</v>
      </c>
      <c r="AI24" s="14"/>
      <c r="AJ24" s="10">
        <f t="shared" si="3"/>
        <v>104880</v>
      </c>
      <c r="AK24" s="27"/>
      <c r="AL24" s="9">
        <v>0</v>
      </c>
      <c r="AM24" s="9">
        <f t="shared" si="4"/>
        <v>104880</v>
      </c>
      <c r="AN24" s="26"/>
      <c r="AO24" s="37"/>
      <c r="AP24" s="26"/>
      <c r="AQ24" s="86"/>
      <c r="AR24" s="86"/>
      <c r="AS24" s="77">
        <f t="shared" si="2"/>
        <v>0</v>
      </c>
      <c r="BA24" s="3"/>
      <c r="BG24" s="3"/>
      <c r="BH24" s="3"/>
      <c r="BI24" s="3"/>
    </row>
    <row r="25" spans="1:61">
      <c r="A25" s="11">
        <f t="shared" ref="A25:A30" si="11">+A24+1</f>
        <v>21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26"/>
      <c r="AG25" s="10">
        <f t="shared" si="0"/>
        <v>140</v>
      </c>
      <c r="AH25" s="10">
        <f t="shared" si="1"/>
        <v>0</v>
      </c>
      <c r="AI25" s="14"/>
      <c r="AJ25" s="10">
        <f>+AG25+AH25-AI25</f>
        <v>140</v>
      </c>
      <c r="AK25" s="27"/>
      <c r="AL25" s="9">
        <v>0</v>
      </c>
      <c r="AM25" s="9">
        <f t="shared" si="4"/>
        <v>140</v>
      </c>
      <c r="AN25" s="26"/>
      <c r="AO25" s="37"/>
      <c r="AP25" s="26"/>
      <c r="AQ25" s="86"/>
      <c r="AR25" s="86"/>
      <c r="AS25" s="77">
        <f t="shared" si="2"/>
        <v>0</v>
      </c>
      <c r="BA25" s="8"/>
    </row>
    <row r="26" spans="1:61">
      <c r="A26" s="11">
        <f t="shared" si="11"/>
        <v>22</v>
      </c>
      <c r="B26" s="12" t="s">
        <v>16</v>
      </c>
      <c r="C26" s="12" t="s">
        <v>17</v>
      </c>
      <c r="D26" s="57">
        <v>3020</v>
      </c>
      <c r="E26" s="10">
        <v>40</v>
      </c>
      <c r="F26" s="10">
        <v>80</v>
      </c>
      <c r="G26" s="10">
        <v>180</v>
      </c>
      <c r="H26" s="10">
        <v>240</v>
      </c>
      <c r="I26" s="10">
        <v>180</v>
      </c>
      <c r="J26" s="10">
        <v>60</v>
      </c>
      <c r="K26" s="10">
        <v>160</v>
      </c>
      <c r="L26" s="10">
        <f>80+180</f>
        <v>260</v>
      </c>
      <c r="M26" s="10">
        <v>160</v>
      </c>
      <c r="N26" s="10">
        <v>80</v>
      </c>
      <c r="O26" s="10">
        <v>180</v>
      </c>
      <c r="P26" s="10">
        <v>80</v>
      </c>
      <c r="Q26" s="10">
        <v>80</v>
      </c>
      <c r="R26" s="10">
        <v>140</v>
      </c>
      <c r="S26" s="10">
        <v>160</v>
      </c>
      <c r="T26" s="10">
        <v>80</v>
      </c>
      <c r="U26" s="10">
        <f>40+80</f>
        <v>120</v>
      </c>
      <c r="V26" s="10">
        <v>80</v>
      </c>
      <c r="W26" s="10">
        <v>300</v>
      </c>
      <c r="X26" s="10"/>
      <c r="Y26" s="10">
        <v>200</v>
      </c>
      <c r="Z26" s="10">
        <f>140+100</f>
        <v>240</v>
      </c>
      <c r="AA26" s="10"/>
      <c r="AB26" s="10"/>
      <c r="AC26" s="10"/>
      <c r="AD26" s="10">
        <f>6240-6120</f>
        <v>120</v>
      </c>
      <c r="AE26" s="10"/>
      <c r="AF26" s="26"/>
      <c r="AG26" s="10">
        <f t="shared" si="0"/>
        <v>3020</v>
      </c>
      <c r="AH26" s="10">
        <f t="shared" si="1"/>
        <v>3220</v>
      </c>
      <c r="AI26" s="14"/>
      <c r="AJ26" s="10">
        <f>+AG26+AH26-AI26</f>
        <v>6240</v>
      </c>
      <c r="AK26" s="27"/>
      <c r="AL26" s="9">
        <v>0</v>
      </c>
      <c r="AM26" s="9">
        <f t="shared" si="4"/>
        <v>6240</v>
      </c>
      <c r="AN26" s="26"/>
      <c r="AO26" s="37"/>
      <c r="AP26" s="26"/>
      <c r="AQ26" s="86"/>
      <c r="AR26" s="86"/>
      <c r="AS26" s="77">
        <f t="shared" si="2"/>
        <v>0</v>
      </c>
    </row>
    <row r="27" spans="1:61">
      <c r="A27" s="11">
        <f t="shared" si="11"/>
        <v>23</v>
      </c>
      <c r="B27" s="12" t="s">
        <v>18</v>
      </c>
      <c r="C27" s="12" t="s">
        <v>19</v>
      </c>
      <c r="D27" s="57">
        <v>200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26"/>
      <c r="AG27" s="10">
        <f t="shared" si="0"/>
        <v>200</v>
      </c>
      <c r="AH27" s="10">
        <f t="shared" si="1"/>
        <v>0</v>
      </c>
      <c r="AI27" s="14"/>
      <c r="AJ27" s="10">
        <f t="shared" si="3"/>
        <v>200</v>
      </c>
      <c r="AK27" s="27"/>
      <c r="AL27" s="9">
        <v>0</v>
      </c>
      <c r="AM27" s="9">
        <f t="shared" si="4"/>
        <v>200</v>
      </c>
      <c r="AN27" s="26"/>
      <c r="AO27" s="37"/>
      <c r="AP27" s="26"/>
      <c r="AQ27" s="86"/>
      <c r="AR27" s="86"/>
      <c r="AS27" s="77">
        <f t="shared" si="2"/>
        <v>0</v>
      </c>
    </row>
    <row r="28" spans="1:61">
      <c r="A28" s="11">
        <f t="shared" si="11"/>
        <v>24</v>
      </c>
      <c r="B28" s="12" t="s">
        <v>49</v>
      </c>
      <c r="C28" s="12" t="s">
        <v>50</v>
      </c>
      <c r="D28" s="57">
        <v>203220</v>
      </c>
      <c r="E28" s="10">
        <f>4180+960</f>
        <v>5140</v>
      </c>
      <c r="F28" s="10">
        <f>5120+7980</f>
        <v>13100</v>
      </c>
      <c r="G28" s="10">
        <f>7840+5440</f>
        <v>13280</v>
      </c>
      <c r="H28" s="10">
        <f>10860+13240</f>
        <v>24100</v>
      </c>
      <c r="I28" s="10">
        <f>8440+13720</f>
        <v>22160</v>
      </c>
      <c r="J28" s="10">
        <v>160</v>
      </c>
      <c r="K28" s="10">
        <f>7480+13360</f>
        <v>20840</v>
      </c>
      <c r="L28" s="10">
        <f>8740+13920</f>
        <v>22660</v>
      </c>
      <c r="M28" s="10">
        <f>8140+14700</f>
        <v>22840</v>
      </c>
      <c r="N28" s="10">
        <v>10060</v>
      </c>
      <c r="O28" s="10">
        <v>15560</v>
      </c>
      <c r="P28" s="10">
        <v>9080</v>
      </c>
      <c r="Q28" s="9">
        <v>3380</v>
      </c>
      <c r="R28" s="10">
        <f>8060+12860</f>
        <v>20920</v>
      </c>
      <c r="S28" s="10">
        <f>7320+7520</f>
        <v>14840</v>
      </c>
      <c r="T28" s="10">
        <f>7280+2540</f>
        <v>9820</v>
      </c>
      <c r="U28" s="10">
        <f>5260+7460</f>
        <v>12720</v>
      </c>
      <c r="V28" s="10">
        <f>6980+3980</f>
        <v>10960</v>
      </c>
      <c r="W28" s="9">
        <f>13300+4920</f>
        <v>18220</v>
      </c>
      <c r="X28" s="10"/>
      <c r="Y28" s="10">
        <f>6900+10560</f>
        <v>17460</v>
      </c>
      <c r="Z28" s="10">
        <f>6700+4520</f>
        <v>11220</v>
      </c>
      <c r="AA28" s="10"/>
      <c r="AB28" s="10"/>
      <c r="AC28" s="10"/>
      <c r="AD28" s="10">
        <f>288880-267740</f>
        <v>21140</v>
      </c>
      <c r="AE28" s="10"/>
      <c r="AF28" s="26"/>
      <c r="AG28" s="10">
        <f t="shared" si="0"/>
        <v>203220</v>
      </c>
      <c r="AH28" s="10">
        <f t="shared" si="1"/>
        <v>319660</v>
      </c>
      <c r="AI28" s="14">
        <f>26000+104000+52000+52000</f>
        <v>234000</v>
      </c>
      <c r="AJ28" s="10">
        <f t="shared" si="3"/>
        <v>288880</v>
      </c>
      <c r="AK28" s="27"/>
      <c r="AL28" s="9">
        <v>0</v>
      </c>
      <c r="AM28" s="9">
        <f t="shared" si="4"/>
        <v>288880</v>
      </c>
      <c r="AN28" s="26"/>
      <c r="AO28" s="37"/>
      <c r="AP28" s="26">
        <f>26000+104000+52000+52000</f>
        <v>234000</v>
      </c>
      <c r="AQ28" s="86"/>
      <c r="AR28" s="86"/>
      <c r="AS28" s="77">
        <f t="shared" si="2"/>
        <v>0</v>
      </c>
    </row>
    <row r="29" spans="1:61" ht="15.6" customHeight="1">
      <c r="A29" s="11">
        <f t="shared" si="11"/>
        <v>25</v>
      </c>
      <c r="B29" s="12">
        <v>10009658</v>
      </c>
      <c r="C29" s="12" t="s">
        <v>68</v>
      </c>
      <c r="D29" s="57">
        <v>1960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26"/>
      <c r="AG29" s="10">
        <f t="shared" si="0"/>
        <v>1960</v>
      </c>
      <c r="AH29" s="10">
        <f t="shared" si="1"/>
        <v>0</v>
      </c>
      <c r="AI29" s="14"/>
      <c r="AJ29" s="10">
        <f>+AG29+AH29-AI29</f>
        <v>1960</v>
      </c>
      <c r="AK29" s="27"/>
      <c r="AL29" s="9">
        <v>0</v>
      </c>
      <c r="AM29" s="9">
        <f t="shared" si="4"/>
        <v>1960</v>
      </c>
      <c r="AN29" s="26"/>
      <c r="AO29" s="37"/>
      <c r="AP29" s="26"/>
      <c r="AQ29" s="86"/>
      <c r="AR29" s="86"/>
      <c r="AS29" s="77">
        <f t="shared" si="2"/>
        <v>0</v>
      </c>
    </row>
    <row r="30" spans="1:61">
      <c r="A30" s="11">
        <f t="shared" si="11"/>
        <v>26</v>
      </c>
      <c r="B30" s="12">
        <v>10009639</v>
      </c>
      <c r="C30" s="12" t="s">
        <v>69</v>
      </c>
      <c r="D30" s="57">
        <v>28480</v>
      </c>
      <c r="E30" s="10">
        <f>720+280</f>
        <v>1000</v>
      </c>
      <c r="F30" s="10">
        <f>300+1760</f>
        <v>2060</v>
      </c>
      <c r="G30" s="10">
        <f>680+1360</f>
        <v>2040</v>
      </c>
      <c r="H30" s="10">
        <f>1060+2080</f>
        <v>3140</v>
      </c>
      <c r="I30" s="9">
        <f>760+2120</f>
        <v>2880</v>
      </c>
      <c r="J30" s="10"/>
      <c r="K30" s="10">
        <f>420+2560</f>
        <v>2980</v>
      </c>
      <c r="L30" s="10">
        <f>1280+2340</f>
        <v>3620</v>
      </c>
      <c r="M30" s="10">
        <f>740+1720</f>
        <v>2460</v>
      </c>
      <c r="N30" s="10">
        <v>2000</v>
      </c>
      <c r="O30" s="10">
        <v>2080</v>
      </c>
      <c r="P30" s="10">
        <v>1520</v>
      </c>
      <c r="Q30" s="10">
        <v>860</v>
      </c>
      <c r="R30" s="10">
        <f>1000+2580</f>
        <v>3580</v>
      </c>
      <c r="S30" s="10">
        <f>740+1320</f>
        <v>2060</v>
      </c>
      <c r="T30" s="10">
        <f>660+600</f>
        <v>1260</v>
      </c>
      <c r="U30" s="10">
        <f>780+1320</f>
        <v>2100</v>
      </c>
      <c r="V30" s="10">
        <v>1280</v>
      </c>
      <c r="W30" s="10">
        <f>860+1260</f>
        <v>2120</v>
      </c>
      <c r="X30" s="10"/>
      <c r="Y30" s="10">
        <f>680+1320</f>
        <v>2000</v>
      </c>
      <c r="Z30" s="10">
        <f>1140+460</f>
        <v>1600</v>
      </c>
      <c r="AA30" s="10"/>
      <c r="AB30" s="10"/>
      <c r="AC30" s="10"/>
      <c r="AD30" s="10">
        <f>47080-44300</f>
        <v>2780</v>
      </c>
      <c r="AE30" s="10"/>
      <c r="AF30" s="26"/>
      <c r="AG30" s="10">
        <f t="shared" si="0"/>
        <v>28480</v>
      </c>
      <c r="AH30" s="10">
        <f t="shared" si="1"/>
        <v>45420</v>
      </c>
      <c r="AI30" s="14">
        <v>26820</v>
      </c>
      <c r="AJ30" s="10">
        <f>+AG30+AH30-AI30</f>
        <v>47080</v>
      </c>
      <c r="AK30" s="27"/>
      <c r="AL30" s="9">
        <v>0</v>
      </c>
      <c r="AM30" s="9">
        <f t="shared" si="4"/>
        <v>47080</v>
      </c>
      <c r="AN30" s="26"/>
      <c r="AO30" s="37"/>
      <c r="AP30" s="26">
        <v>26820</v>
      </c>
      <c r="AQ30" s="86"/>
      <c r="AR30" s="86"/>
      <c r="AS30" s="77">
        <f t="shared" si="2"/>
        <v>0</v>
      </c>
    </row>
    <row r="31" spans="1:61">
      <c r="A31" s="28">
        <f>+A30+1</f>
        <v>27</v>
      </c>
      <c r="B31" s="31" t="s">
        <v>53</v>
      </c>
      <c r="C31" s="31" t="s">
        <v>54</v>
      </c>
      <c r="D31" s="58">
        <v>102460</v>
      </c>
      <c r="E31" s="29"/>
      <c r="F31" s="29">
        <f>3540+800</f>
        <v>4340</v>
      </c>
      <c r="G31" s="29">
        <f>5020+5440</f>
        <v>10460</v>
      </c>
      <c r="H31" s="29">
        <f>4600+3380</f>
        <v>7980</v>
      </c>
      <c r="I31" s="29">
        <v>6960</v>
      </c>
      <c r="J31" s="29">
        <v>700</v>
      </c>
      <c r="K31" s="29">
        <v>6120</v>
      </c>
      <c r="L31" s="29">
        <f>7460+9980</f>
        <v>17440</v>
      </c>
      <c r="M31" s="29">
        <f>12120+11300</f>
        <v>23420</v>
      </c>
      <c r="N31" s="29">
        <v>7720</v>
      </c>
      <c r="O31" s="29">
        <v>10440</v>
      </c>
      <c r="P31" s="29">
        <v>8940</v>
      </c>
      <c r="Q31" s="29"/>
      <c r="R31" s="29">
        <v>3660</v>
      </c>
      <c r="S31" s="29">
        <f>5040+7860</f>
        <v>12900</v>
      </c>
      <c r="T31" s="29">
        <f>18080+8920</f>
        <v>27000</v>
      </c>
      <c r="U31" s="29">
        <f>6740+5240</f>
        <v>11980</v>
      </c>
      <c r="V31" s="29">
        <f>10980+2820</f>
        <v>13800</v>
      </c>
      <c r="W31" s="29">
        <v>60</v>
      </c>
      <c r="X31" s="29"/>
      <c r="Y31" s="29"/>
      <c r="Z31" s="29">
        <v>4040</v>
      </c>
      <c r="AA31" s="29"/>
      <c r="AB31" s="29"/>
      <c r="AC31" s="29"/>
      <c r="AD31" s="29">
        <f>287540-253420</f>
        <v>34120</v>
      </c>
      <c r="AE31" s="29"/>
      <c r="AF31" s="26"/>
      <c r="AG31" s="29">
        <f t="shared" si="0"/>
        <v>102460</v>
      </c>
      <c r="AH31" s="29">
        <f t="shared" si="1"/>
        <v>212080</v>
      </c>
      <c r="AI31" s="30">
        <v>27000</v>
      </c>
      <c r="AJ31" s="29">
        <f>+AG31+AH31-AI31</f>
        <v>287540</v>
      </c>
      <c r="AK31" s="27"/>
      <c r="AL31" s="9">
        <v>0</v>
      </c>
      <c r="AM31" s="9">
        <f t="shared" si="4"/>
        <v>287540</v>
      </c>
      <c r="AN31" s="26"/>
      <c r="AO31" s="37"/>
      <c r="AP31" s="26">
        <v>27000</v>
      </c>
      <c r="AQ31" s="86"/>
      <c r="AR31" s="86"/>
      <c r="AS31" s="77">
        <f t="shared" si="2"/>
        <v>0</v>
      </c>
    </row>
    <row r="32" spans="1:61">
      <c r="A32" s="28">
        <f t="shared" si="5"/>
        <v>28</v>
      </c>
      <c r="B32" s="31" t="s">
        <v>51</v>
      </c>
      <c r="C32" s="31" t="s">
        <v>52</v>
      </c>
      <c r="D32" s="58">
        <v>30780</v>
      </c>
      <c r="E32" s="29"/>
      <c r="F32" s="29"/>
      <c r="G32" s="29"/>
      <c r="H32" s="29">
        <v>760</v>
      </c>
      <c r="I32" s="29"/>
      <c r="J32" s="29"/>
      <c r="K32" s="29">
        <v>220</v>
      </c>
      <c r="L32" s="29">
        <v>380</v>
      </c>
      <c r="M32" s="29">
        <f>820+200</f>
        <v>1020</v>
      </c>
      <c r="N32" s="29">
        <v>340</v>
      </c>
      <c r="O32" s="29">
        <v>40</v>
      </c>
      <c r="P32" s="29">
        <v>100</v>
      </c>
      <c r="Q32" s="29">
        <v>60</v>
      </c>
      <c r="R32" s="29"/>
      <c r="S32" s="29">
        <f>220+40</f>
        <v>260</v>
      </c>
      <c r="T32" s="29">
        <f>640+40</f>
        <v>680</v>
      </c>
      <c r="U32" s="29">
        <f>100+140</f>
        <v>240</v>
      </c>
      <c r="V32" s="29">
        <v>80</v>
      </c>
      <c r="W32" s="29"/>
      <c r="X32" s="29"/>
      <c r="Y32" s="29"/>
      <c r="Z32" s="29">
        <v>360</v>
      </c>
      <c r="AA32" s="29"/>
      <c r="AB32" s="29"/>
      <c r="AC32" s="29"/>
      <c r="AD32" s="29">
        <f>36540-35320</f>
        <v>1220</v>
      </c>
      <c r="AE32" s="29"/>
      <c r="AF32" s="26"/>
      <c r="AG32" s="29">
        <f t="shared" si="0"/>
        <v>30780</v>
      </c>
      <c r="AH32" s="29">
        <f t="shared" si="1"/>
        <v>5760</v>
      </c>
      <c r="AI32" s="30"/>
      <c r="AJ32" s="29">
        <f t="shared" si="3"/>
        <v>36540</v>
      </c>
      <c r="AK32" s="27"/>
      <c r="AL32" s="9">
        <v>0</v>
      </c>
      <c r="AM32" s="9">
        <f t="shared" si="4"/>
        <v>36540</v>
      </c>
      <c r="AN32" s="26"/>
      <c r="AO32" s="37"/>
      <c r="AP32" s="26"/>
      <c r="AQ32" s="86"/>
      <c r="AR32" s="86"/>
      <c r="AS32" s="77">
        <f t="shared" si="2"/>
        <v>0</v>
      </c>
      <c r="BH32" s="5"/>
    </row>
    <row r="33" spans="1:61">
      <c r="A33" s="28">
        <f>+A31+1</f>
        <v>28</v>
      </c>
      <c r="B33" s="31" t="s">
        <v>38</v>
      </c>
      <c r="C33" s="31" t="s">
        <v>39</v>
      </c>
      <c r="D33" s="58">
        <v>260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6"/>
      <c r="AG33" s="29">
        <f t="shared" si="0"/>
        <v>260</v>
      </c>
      <c r="AH33" s="29">
        <f t="shared" si="1"/>
        <v>0</v>
      </c>
      <c r="AI33" s="30"/>
      <c r="AJ33" s="29">
        <f t="shared" si="3"/>
        <v>260</v>
      </c>
      <c r="AK33" s="27"/>
      <c r="AL33" s="9">
        <v>0</v>
      </c>
      <c r="AM33" s="9">
        <f t="shared" si="4"/>
        <v>260</v>
      </c>
      <c r="AN33" s="26"/>
      <c r="AO33" s="37"/>
      <c r="AP33" s="26"/>
      <c r="AQ33" s="86"/>
      <c r="AR33" s="86"/>
      <c r="AS33" s="77">
        <f t="shared" si="2"/>
        <v>0</v>
      </c>
      <c r="BH33" s="5"/>
    </row>
    <row r="34" spans="1:61">
      <c r="A34" s="28"/>
      <c r="B34" s="31">
        <v>10007050</v>
      </c>
      <c r="C34" s="31" t="s">
        <v>87</v>
      </c>
      <c r="D34" s="58">
        <v>11740</v>
      </c>
      <c r="E34" s="29"/>
      <c r="F34" s="36">
        <v>540</v>
      </c>
      <c r="G34" s="36">
        <v>380</v>
      </c>
      <c r="H34" s="29">
        <f>1000+160</f>
        <v>1160</v>
      </c>
      <c r="I34" s="29">
        <v>840</v>
      </c>
      <c r="J34" s="36">
        <v>160</v>
      </c>
      <c r="K34" s="36">
        <v>140</v>
      </c>
      <c r="L34" s="36">
        <f>600+340</f>
        <v>940</v>
      </c>
      <c r="M34" s="36">
        <f>220+1840</f>
        <v>2060</v>
      </c>
      <c r="N34" s="36">
        <v>300</v>
      </c>
      <c r="O34" s="36">
        <v>180</v>
      </c>
      <c r="P34" s="36">
        <v>860</v>
      </c>
      <c r="Q34" s="36"/>
      <c r="R34" s="36"/>
      <c r="S34" s="36">
        <f>40+160</f>
        <v>200</v>
      </c>
      <c r="T34" s="36">
        <f>660+1840</f>
        <v>2500</v>
      </c>
      <c r="U34" s="36">
        <f>1200+420</f>
        <v>1620</v>
      </c>
      <c r="V34" s="36">
        <f>940+640</f>
        <v>1580</v>
      </c>
      <c r="W34" s="36">
        <v>40</v>
      </c>
      <c r="X34" s="36"/>
      <c r="Y34" s="36"/>
      <c r="Z34" s="36">
        <v>340</v>
      </c>
      <c r="AA34" s="36"/>
      <c r="AB34" s="36"/>
      <c r="AC34" s="36"/>
      <c r="AD34" s="36">
        <f>26460-25580</f>
        <v>880</v>
      </c>
      <c r="AE34" s="36"/>
      <c r="AF34" s="27"/>
      <c r="AG34" s="29">
        <f t="shared" si="0"/>
        <v>11740</v>
      </c>
      <c r="AH34" s="29">
        <f t="shared" si="1"/>
        <v>14720</v>
      </c>
      <c r="AI34" s="30"/>
      <c r="AJ34" s="29">
        <f t="shared" si="3"/>
        <v>26460</v>
      </c>
      <c r="AK34" s="27"/>
      <c r="AL34" s="9">
        <v>0</v>
      </c>
      <c r="AM34" s="9">
        <f t="shared" si="4"/>
        <v>26460</v>
      </c>
      <c r="AN34" s="26"/>
      <c r="AO34" s="37"/>
      <c r="AP34" s="26"/>
      <c r="AQ34" s="86"/>
      <c r="AR34" s="86"/>
      <c r="AS34" s="77"/>
      <c r="BH34" s="5"/>
    </row>
    <row r="35" spans="1:61" ht="18.600000000000001" customHeight="1">
      <c r="A35" s="28">
        <f>+A32+1</f>
        <v>29</v>
      </c>
      <c r="B35" s="31"/>
      <c r="C35" s="31" t="s">
        <v>81</v>
      </c>
      <c r="D35" s="58">
        <v>4700</v>
      </c>
      <c r="E35" s="29"/>
      <c r="F35" s="36"/>
      <c r="G35" s="36"/>
      <c r="H35" s="36"/>
      <c r="I35" s="36">
        <v>340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>
        <v>22290</v>
      </c>
      <c r="AE35" s="36"/>
      <c r="AF35" s="27"/>
      <c r="AG35" s="29">
        <f t="shared" si="0"/>
        <v>4700</v>
      </c>
      <c r="AH35" s="29">
        <f t="shared" si="1"/>
        <v>22630</v>
      </c>
      <c r="AI35" s="30">
        <v>5040</v>
      </c>
      <c r="AJ35" s="29">
        <f t="shared" si="3"/>
        <v>22290</v>
      </c>
      <c r="AK35" s="27"/>
      <c r="AL35" s="9">
        <v>0</v>
      </c>
      <c r="AM35" s="9">
        <f t="shared" si="4"/>
        <v>22290</v>
      </c>
      <c r="AN35" s="26">
        <v>5040</v>
      </c>
      <c r="AO35" s="37"/>
      <c r="AP35" s="26"/>
      <c r="AQ35" s="86"/>
      <c r="AR35" s="86"/>
      <c r="AS35" s="77">
        <f t="shared" si="2"/>
        <v>0</v>
      </c>
    </row>
    <row r="36" spans="1:61" ht="18.600000000000001" customHeight="1">
      <c r="A36" s="28">
        <f>+A33+1</f>
        <v>29</v>
      </c>
      <c r="B36" s="31"/>
      <c r="C36" s="31" t="s">
        <v>82</v>
      </c>
      <c r="D36" s="58">
        <v>940</v>
      </c>
      <c r="E36" s="29">
        <v>40</v>
      </c>
      <c r="F36" s="36"/>
      <c r="G36" s="36"/>
      <c r="H36" s="36"/>
      <c r="I36" s="36"/>
      <c r="J36" s="36">
        <v>400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>
        <v>830</v>
      </c>
      <c r="AE36" s="36"/>
      <c r="AF36" s="27"/>
      <c r="AG36" s="29">
        <f t="shared" si="0"/>
        <v>940</v>
      </c>
      <c r="AH36" s="29">
        <f t="shared" si="1"/>
        <v>1270</v>
      </c>
      <c r="AI36" s="30">
        <f>300+1080</f>
        <v>1380</v>
      </c>
      <c r="AJ36" s="29">
        <f t="shared" si="3"/>
        <v>830</v>
      </c>
      <c r="AK36" s="27"/>
      <c r="AL36" s="9">
        <v>0</v>
      </c>
      <c r="AM36" s="9">
        <f t="shared" si="4"/>
        <v>830</v>
      </c>
      <c r="AN36" s="26">
        <f>300+1080</f>
        <v>1380</v>
      </c>
      <c r="AO36" s="37"/>
      <c r="AP36" s="26"/>
      <c r="AQ36" s="86"/>
      <c r="AR36" s="86"/>
      <c r="AS36" s="77">
        <f t="shared" si="2"/>
        <v>0</v>
      </c>
    </row>
    <row r="37" spans="1:61">
      <c r="A37" s="28">
        <f t="shared" ref="A37:A38" si="12">+A35+1</f>
        <v>30</v>
      </c>
      <c r="B37" s="31"/>
      <c r="C37" s="31" t="s">
        <v>83</v>
      </c>
      <c r="D37" s="58">
        <v>1250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>
        <v>2600</v>
      </c>
      <c r="AE37" s="36"/>
      <c r="AF37" s="27"/>
      <c r="AG37" s="29">
        <f t="shared" si="0"/>
        <v>1250</v>
      </c>
      <c r="AH37" s="29">
        <f t="shared" si="1"/>
        <v>2600</v>
      </c>
      <c r="AI37" s="30">
        <v>1250</v>
      </c>
      <c r="AJ37" s="29">
        <f t="shared" si="3"/>
        <v>2600</v>
      </c>
      <c r="AK37" s="27"/>
      <c r="AL37" s="9">
        <v>0</v>
      </c>
      <c r="AM37" s="9">
        <f t="shared" si="4"/>
        <v>2600</v>
      </c>
      <c r="AN37" s="26">
        <v>1250</v>
      </c>
      <c r="AO37" s="37"/>
      <c r="AP37" s="26"/>
      <c r="AQ37" s="86"/>
      <c r="AR37" s="86"/>
      <c r="AS37" s="77">
        <f t="shared" si="2"/>
        <v>0</v>
      </c>
    </row>
    <row r="38" spans="1:61">
      <c r="A38" s="28">
        <f t="shared" si="12"/>
        <v>30</v>
      </c>
      <c r="B38" s="31"/>
      <c r="C38" s="31" t="s">
        <v>84</v>
      </c>
      <c r="D38" s="58">
        <v>1260</v>
      </c>
      <c r="E38" s="29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>
        <v>2650</v>
      </c>
      <c r="AE38" s="36"/>
      <c r="AF38" s="27"/>
      <c r="AG38" s="29">
        <f t="shared" si="0"/>
        <v>1260</v>
      </c>
      <c r="AH38" s="29">
        <f t="shared" si="1"/>
        <v>2650</v>
      </c>
      <c r="AI38" s="30">
        <v>1260</v>
      </c>
      <c r="AJ38" s="29">
        <f t="shared" si="3"/>
        <v>2650</v>
      </c>
      <c r="AK38" s="27"/>
      <c r="AL38" s="9">
        <v>0</v>
      </c>
      <c r="AM38" s="9">
        <f t="shared" si="4"/>
        <v>2650</v>
      </c>
      <c r="AN38" s="26">
        <v>1260</v>
      </c>
      <c r="AO38" s="37"/>
      <c r="AP38" s="26"/>
      <c r="AQ38" s="86"/>
      <c r="AR38" s="86"/>
      <c r="AS38" s="77">
        <f t="shared" si="2"/>
        <v>0</v>
      </c>
    </row>
    <row r="39" spans="1:61" s="15" customFormat="1">
      <c r="A39" s="23">
        <f>+A38+1</f>
        <v>31</v>
      </c>
      <c r="B39" s="32">
        <v>10009337</v>
      </c>
      <c r="C39" s="32" t="s">
        <v>62</v>
      </c>
      <c r="D39" s="56">
        <v>20385</v>
      </c>
      <c r="E39" s="24"/>
      <c r="F39" s="33">
        <v>390</v>
      </c>
      <c r="G39" s="33">
        <v>1455</v>
      </c>
      <c r="H39" s="33">
        <f>1170+360</f>
        <v>1530</v>
      </c>
      <c r="I39" s="33"/>
      <c r="J39" s="33"/>
      <c r="K39" s="33">
        <v>675</v>
      </c>
      <c r="L39" s="33">
        <f>150+1830</f>
        <v>1980</v>
      </c>
      <c r="M39" s="33">
        <f>1185+615</f>
        <v>1800</v>
      </c>
      <c r="N39" s="33">
        <v>990</v>
      </c>
      <c r="O39" s="33">
        <v>2250</v>
      </c>
      <c r="P39" s="33">
        <v>1605</v>
      </c>
      <c r="Q39" s="33"/>
      <c r="R39" s="33"/>
      <c r="S39" s="33">
        <f>1770+1380</f>
        <v>3150</v>
      </c>
      <c r="T39" s="33">
        <f>2900+1035</f>
        <v>3935</v>
      </c>
      <c r="U39" s="33">
        <v>660</v>
      </c>
      <c r="V39" s="33">
        <f>795+2085</f>
        <v>2880</v>
      </c>
      <c r="W39" s="33"/>
      <c r="X39" s="33"/>
      <c r="Y39" s="33"/>
      <c r="Z39" s="33"/>
      <c r="AA39" s="33"/>
      <c r="AB39" s="33"/>
      <c r="AC39" s="33"/>
      <c r="AD39" s="33">
        <f>19455-17060</f>
        <v>2395</v>
      </c>
      <c r="AE39" s="33"/>
      <c r="AF39" s="27"/>
      <c r="AG39" s="33">
        <f t="shared" si="0"/>
        <v>20385</v>
      </c>
      <c r="AH39" s="24">
        <f t="shared" si="1"/>
        <v>25695</v>
      </c>
      <c r="AI39" s="46">
        <v>26625</v>
      </c>
      <c r="AJ39" s="24">
        <f t="shared" si="3"/>
        <v>19455</v>
      </c>
      <c r="AK39" s="27">
        <v>52320</v>
      </c>
      <c r="AL39" s="9">
        <v>0</v>
      </c>
      <c r="AM39" s="9">
        <f t="shared" si="4"/>
        <v>19455</v>
      </c>
      <c r="AN39" s="26"/>
      <c r="AO39" s="89"/>
      <c r="AP39" s="26">
        <v>26625</v>
      </c>
      <c r="AQ39" s="86"/>
      <c r="AR39" s="86"/>
      <c r="AS39" s="77">
        <f t="shared" si="2"/>
        <v>0</v>
      </c>
      <c r="BG39" s="3"/>
      <c r="BH39" s="3"/>
      <c r="BI39" s="3"/>
    </row>
    <row r="40" spans="1:61" s="15" customFormat="1">
      <c r="A40" s="23">
        <f t="shared" ref="A40" si="13">+A39+1</f>
        <v>32</v>
      </c>
      <c r="B40" s="32">
        <v>10009332</v>
      </c>
      <c r="C40" s="32" t="s">
        <v>64</v>
      </c>
      <c r="D40" s="56">
        <v>16230</v>
      </c>
      <c r="E40" s="24"/>
      <c r="F40" s="33">
        <v>375</v>
      </c>
      <c r="G40" s="33">
        <v>1170</v>
      </c>
      <c r="H40" s="33">
        <f>1560+120</f>
        <v>1680</v>
      </c>
      <c r="I40" s="33"/>
      <c r="J40" s="33"/>
      <c r="K40" s="33"/>
      <c r="L40" s="33">
        <f>585+2055</f>
        <v>2640</v>
      </c>
      <c r="M40" s="33">
        <f>1905+555</f>
        <v>2460</v>
      </c>
      <c r="N40" s="33"/>
      <c r="O40" s="33">
        <v>1485</v>
      </c>
      <c r="P40" s="33">
        <v>1985</v>
      </c>
      <c r="Q40" s="33"/>
      <c r="R40" s="33"/>
      <c r="S40" s="33">
        <f>2355+930</f>
        <v>3285</v>
      </c>
      <c r="T40" s="33">
        <f>915+2220</f>
        <v>3135</v>
      </c>
      <c r="U40" s="33">
        <v>495</v>
      </c>
      <c r="V40" s="33">
        <v>2295</v>
      </c>
      <c r="W40" s="33"/>
      <c r="X40" s="33"/>
      <c r="Y40" s="33"/>
      <c r="Z40" s="33">
        <v>555</v>
      </c>
      <c r="AA40" s="33"/>
      <c r="AB40" s="33"/>
      <c r="AC40" s="33"/>
      <c r="AD40" s="33">
        <f>14025-11165</f>
        <v>2860</v>
      </c>
      <c r="AE40" s="33"/>
      <c r="AF40" s="27"/>
      <c r="AG40" s="33">
        <f t="shared" si="0"/>
        <v>16230</v>
      </c>
      <c r="AH40" s="24">
        <f t="shared" si="1"/>
        <v>24420</v>
      </c>
      <c r="AI40" s="46">
        <v>26625</v>
      </c>
      <c r="AJ40" s="24">
        <f t="shared" si="3"/>
        <v>14025</v>
      </c>
      <c r="AK40" s="27"/>
      <c r="AL40" s="9">
        <v>0</v>
      </c>
      <c r="AM40" s="9">
        <f t="shared" si="4"/>
        <v>14025</v>
      </c>
      <c r="AN40" s="26"/>
      <c r="AO40" s="90"/>
      <c r="AP40" s="26">
        <v>26625</v>
      </c>
      <c r="AQ40" s="86"/>
      <c r="AR40" s="86"/>
      <c r="AS40" s="77">
        <f t="shared" si="2"/>
        <v>0</v>
      </c>
      <c r="BG40" s="3"/>
      <c r="BH40" s="3"/>
      <c r="BI40" s="3"/>
    </row>
    <row r="41" spans="1:61" s="15" customFormat="1">
      <c r="A41" s="48">
        <f>+A40+1</f>
        <v>33</v>
      </c>
      <c r="B41" s="49"/>
      <c r="C41" s="49" t="s">
        <v>65</v>
      </c>
      <c r="D41" s="72">
        <v>66.174999999999997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67">
        <f t="shared" si="0"/>
        <v>66.174999999999997</v>
      </c>
      <c r="AH41" s="68">
        <f t="shared" si="1"/>
        <v>0</v>
      </c>
      <c r="AI41" s="69">
        <v>10</v>
      </c>
      <c r="AJ41" s="71">
        <f t="shared" si="3"/>
        <v>56.174999999999997</v>
      </c>
      <c r="AK41" s="70"/>
      <c r="AL41" s="9">
        <v>0</v>
      </c>
      <c r="AM41" s="18">
        <f t="shared" si="4"/>
        <v>56.174999999999997</v>
      </c>
      <c r="AN41" s="26"/>
      <c r="AO41" s="89"/>
      <c r="AP41" s="26"/>
      <c r="AQ41" s="86"/>
      <c r="AR41" s="86"/>
      <c r="AS41" s="77">
        <f t="shared" si="2"/>
        <v>0</v>
      </c>
      <c r="BG41" s="3"/>
      <c r="BH41" s="3"/>
      <c r="BI41" s="3"/>
    </row>
    <row r="42" spans="1:61" s="15" customFormat="1">
      <c r="A42" s="48">
        <f t="shared" ref="A42:A43" si="14">+A41+1</f>
        <v>34</v>
      </c>
      <c r="B42" s="49"/>
      <c r="C42" s="49" t="s">
        <v>66</v>
      </c>
      <c r="D42" s="72">
        <v>26.774999999999999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67">
        <f t="shared" si="0"/>
        <v>26.774999999999999</v>
      </c>
      <c r="AH42" s="68">
        <f t="shared" si="1"/>
        <v>0</v>
      </c>
      <c r="AI42" s="69">
        <v>10</v>
      </c>
      <c r="AJ42" s="71">
        <f t="shared" si="3"/>
        <v>16.774999999999999</v>
      </c>
      <c r="AK42" s="70"/>
      <c r="AL42" s="9">
        <v>0</v>
      </c>
      <c r="AM42" s="18">
        <f t="shared" si="4"/>
        <v>16.774999999999999</v>
      </c>
      <c r="AN42" s="26"/>
      <c r="AO42" s="89"/>
      <c r="AP42" s="26"/>
      <c r="AQ42" s="86"/>
      <c r="AR42" s="86"/>
      <c r="AS42" s="77">
        <f t="shared" si="2"/>
        <v>0</v>
      </c>
      <c r="BG42" s="3"/>
      <c r="BH42" s="3"/>
      <c r="BI42" s="3"/>
    </row>
    <row r="43" spans="1:61" s="15" customFormat="1">
      <c r="A43" s="48">
        <f t="shared" si="14"/>
        <v>35</v>
      </c>
      <c r="B43" s="49"/>
      <c r="C43" s="49" t="s">
        <v>80</v>
      </c>
      <c r="D43" s="72">
        <v>23.85</v>
      </c>
      <c r="E43" s="50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67">
        <f t="shared" si="0"/>
        <v>23.85</v>
      </c>
      <c r="AH43" s="68">
        <f t="shared" si="1"/>
        <v>0</v>
      </c>
      <c r="AI43" s="69"/>
      <c r="AJ43" s="71">
        <f t="shared" si="3"/>
        <v>23.85</v>
      </c>
      <c r="AK43" s="70"/>
      <c r="AL43" s="9">
        <v>0</v>
      </c>
      <c r="AM43" s="18">
        <f t="shared" si="4"/>
        <v>23.85</v>
      </c>
      <c r="AN43" s="26"/>
      <c r="AO43" s="89"/>
      <c r="AP43" s="26"/>
      <c r="AQ43" s="86"/>
      <c r="AR43" s="86"/>
      <c r="AS43" s="77">
        <f t="shared" si="2"/>
        <v>0</v>
      </c>
      <c r="BG43" s="3"/>
      <c r="BH43" s="3"/>
      <c r="BI43" s="3"/>
    </row>
    <row r="44" spans="1:61">
      <c r="A44" s="43">
        <f>+A43+1</f>
        <v>36</v>
      </c>
      <c r="B44" s="44" t="s">
        <v>25</v>
      </c>
      <c r="C44" s="44" t="s">
        <v>26</v>
      </c>
      <c r="D44" s="59">
        <v>1120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>
        <f t="shared" si="0"/>
        <v>1120</v>
      </c>
      <c r="AH44" s="42">
        <f t="shared" si="1"/>
        <v>0</v>
      </c>
      <c r="AI44" s="42"/>
      <c r="AJ44" s="42">
        <f>SUM(G44:AG44)</f>
        <v>1120</v>
      </c>
      <c r="AK44" s="27"/>
      <c r="AL44" s="9">
        <v>0</v>
      </c>
      <c r="AM44" s="18">
        <f t="shared" si="4"/>
        <v>1120</v>
      </c>
      <c r="AN44" s="26"/>
      <c r="AO44" s="37"/>
      <c r="AP44" s="26"/>
      <c r="AQ44" s="86"/>
      <c r="AR44" s="86"/>
      <c r="AS44" s="77">
        <f t="shared" si="2"/>
        <v>0</v>
      </c>
    </row>
    <row r="45" spans="1:61" ht="3.6" customHeight="1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27"/>
      <c r="AQ45" s="86">
        <f t="shared" ref="AQ45" si="15">SUM(AN45:AP45)</f>
        <v>0</v>
      </c>
      <c r="AR45" s="86">
        <f t="shared" ref="AR45" si="16">+AI45-AQ45</f>
        <v>0</v>
      </c>
    </row>
    <row r="46" spans="1:61" ht="15.75">
      <c r="C46" s="1" t="s">
        <v>93</v>
      </c>
      <c r="D46" s="6">
        <f>SUM(D3:D44)</f>
        <v>1656565.8</v>
      </c>
      <c r="E46" s="6">
        <f>SUM(E3:E38)</f>
        <v>26504</v>
      </c>
      <c r="F46" s="6">
        <f t="shared" ref="F46:AD46" si="17">SUM(F3:F38)</f>
        <v>65452</v>
      </c>
      <c r="G46" s="6">
        <f t="shared" si="17"/>
        <v>75726</v>
      </c>
      <c r="H46" s="6">
        <f t="shared" si="17"/>
        <v>110724</v>
      </c>
      <c r="I46" s="6">
        <f t="shared" si="17"/>
        <v>152274</v>
      </c>
      <c r="J46" s="6">
        <f t="shared" si="17"/>
        <v>93072</v>
      </c>
      <c r="K46" s="6">
        <f t="shared" si="17"/>
        <v>116320</v>
      </c>
      <c r="L46" s="6">
        <f t="shared" si="17"/>
        <v>105660</v>
      </c>
      <c r="M46" s="6">
        <f t="shared" si="17"/>
        <v>101400</v>
      </c>
      <c r="N46" s="6">
        <f t="shared" si="17"/>
        <v>51820</v>
      </c>
      <c r="O46" s="6">
        <f t="shared" si="17"/>
        <v>55180</v>
      </c>
      <c r="P46" s="6">
        <f t="shared" si="17"/>
        <v>48148</v>
      </c>
      <c r="Q46" s="6">
        <f t="shared" si="17"/>
        <v>29920</v>
      </c>
      <c r="R46" s="6">
        <f t="shared" si="17"/>
        <v>110760</v>
      </c>
      <c r="S46" s="6">
        <f t="shared" si="17"/>
        <v>119440</v>
      </c>
      <c r="T46" s="6">
        <f t="shared" si="17"/>
        <v>105680</v>
      </c>
      <c r="U46" s="6">
        <f t="shared" si="17"/>
        <v>72220</v>
      </c>
      <c r="V46" s="6">
        <f t="shared" si="17"/>
        <v>75020</v>
      </c>
      <c r="W46" s="6">
        <f t="shared" si="17"/>
        <v>100920</v>
      </c>
      <c r="X46" s="6">
        <f t="shared" si="17"/>
        <v>42260</v>
      </c>
      <c r="Y46" s="6">
        <f t="shared" si="17"/>
        <v>110680</v>
      </c>
      <c r="Z46" s="6">
        <f t="shared" si="17"/>
        <v>102260</v>
      </c>
      <c r="AA46" s="6">
        <f t="shared" si="17"/>
        <v>0</v>
      </c>
      <c r="AB46" s="6">
        <f t="shared" si="17"/>
        <v>0</v>
      </c>
      <c r="AC46" s="6">
        <f t="shared" si="17"/>
        <v>0</v>
      </c>
      <c r="AD46" s="6">
        <f t="shared" si="17"/>
        <v>346782</v>
      </c>
      <c r="AE46" s="6">
        <f>SUM(AE3:AE44)</f>
        <v>0</v>
      </c>
      <c r="AF46" s="5">
        <f>SUM(AF3:AF38)</f>
        <v>0</v>
      </c>
      <c r="AG46" s="6">
        <f>SUM(AG3:AG44)</f>
        <v>1656565.8</v>
      </c>
      <c r="AH46" s="6">
        <f>SUM(AH3:AH44)</f>
        <v>2268337</v>
      </c>
      <c r="AI46" s="73">
        <f>SUM(AI3:AI44)</f>
        <v>1759000</v>
      </c>
      <c r="AJ46" s="35">
        <f>SUM(AJ3:AJ45)</f>
        <v>2165902.7999999998</v>
      </c>
      <c r="AK46" s="27"/>
      <c r="AL46" s="9">
        <f>SUM(AL1:AL44)</f>
        <v>0</v>
      </c>
      <c r="AM46" s="60">
        <f>SUM(AM1:AM44)</f>
        <v>2165902.7999999998</v>
      </c>
      <c r="AN46" s="60">
        <f>SUM(AN1:AN44)</f>
        <v>8930</v>
      </c>
      <c r="AO46" s="60">
        <f>SUM(AO1:AO44)</f>
        <v>780</v>
      </c>
      <c r="AP46" s="60">
        <f>SUM(AP1:AP44)</f>
        <v>1749270</v>
      </c>
      <c r="AQ46" s="86">
        <f>+AP46+AN46+AO46+20</f>
        <v>1759000</v>
      </c>
      <c r="AR46" s="86"/>
      <c r="BD46" s="3">
        <f>SUM(BD4:BD45)</f>
        <v>0</v>
      </c>
      <c r="BE46" s="5">
        <f>+BD46-AJ46</f>
        <v>-2165902.7999999998</v>
      </c>
    </row>
    <row r="47" spans="1:61" ht="3.6" customHeight="1">
      <c r="AK47" s="27"/>
      <c r="AM47" s="5"/>
    </row>
    <row r="48" spans="1:61">
      <c r="D48" s="74"/>
      <c r="AM48" s="5"/>
    </row>
    <row r="49" spans="4:44">
      <c r="D49" s="5"/>
      <c r="AG49" s="126" t="s">
        <v>95</v>
      </c>
      <c r="AH49" s="127"/>
      <c r="AI49" s="127"/>
      <c r="AJ49" s="62">
        <f>+AJ46/1000</f>
        <v>2165.9027999999998</v>
      </c>
      <c r="AM49" s="5" t="s">
        <v>71</v>
      </c>
      <c r="AP49" s="3" t="s">
        <v>78</v>
      </c>
      <c r="AQ49" s="85" t="s">
        <v>79</v>
      </c>
      <c r="AR49" s="87"/>
    </row>
    <row r="50" spans="4:44">
      <c r="AG50" s="3" t="s">
        <v>70</v>
      </c>
      <c r="AH50" s="61"/>
      <c r="AI50" s="61"/>
      <c r="AJ50" s="63">
        <v>0</v>
      </c>
      <c r="AM50" s="5" t="s">
        <v>72</v>
      </c>
      <c r="AN50" s="3">
        <f>+AP46/1000</f>
        <v>1749.27</v>
      </c>
      <c r="AO50" s="3">
        <v>1749.28</v>
      </c>
      <c r="AP50" s="3">
        <f>+AN50-AO50</f>
        <v>-9.9999999999909051E-3</v>
      </c>
      <c r="AQ50" s="85">
        <v>0</v>
      </c>
      <c r="AR50" s="87"/>
    </row>
    <row r="51" spans="4:44">
      <c r="AH51" s="61"/>
      <c r="AI51" s="61"/>
      <c r="AJ51" s="63">
        <v>0</v>
      </c>
      <c r="AM51" s="3" t="s">
        <v>73</v>
      </c>
      <c r="AN51" s="3">
        <f>+AN46/1000</f>
        <v>8.93</v>
      </c>
      <c r="AR51" s="87"/>
    </row>
    <row r="52" spans="4:44">
      <c r="AH52" s="61"/>
      <c r="AI52" s="61"/>
      <c r="AJ52" s="63">
        <v>0</v>
      </c>
      <c r="AM52" s="3" t="s">
        <v>74</v>
      </c>
      <c r="AN52" s="3">
        <f>+AO46/1000</f>
        <v>0.78</v>
      </c>
      <c r="AR52" s="87"/>
    </row>
    <row r="53" spans="4:44">
      <c r="AG53" s="126" t="s">
        <v>67</v>
      </c>
      <c r="AH53" s="127"/>
      <c r="AI53" s="127"/>
      <c r="AJ53" s="64">
        <f>+AJ49-AJ50-AJ51-AJ52</f>
        <v>2165.9027999999998</v>
      </c>
      <c r="AM53" s="63"/>
      <c r="AN53" s="3">
        <f>SUM(AN50:AN52)</f>
        <v>1758.98</v>
      </c>
      <c r="AR53" s="87"/>
    </row>
    <row r="54" spans="4:44">
      <c r="AM54" s="63"/>
      <c r="AN54" s="63"/>
    </row>
    <row r="55" spans="4:44">
      <c r="AN55" s="63"/>
    </row>
    <row r="56" spans="4:44">
      <c r="AH56" s="5"/>
    </row>
    <row r="57" spans="4:44">
      <c r="AH57" s="5"/>
      <c r="AJ57" s="63"/>
    </row>
    <row r="59" spans="4:44">
      <c r="AJ59" s="63"/>
    </row>
  </sheetData>
  <mergeCells count="7">
    <mergeCell ref="AM1:AM2"/>
    <mergeCell ref="AG49:AI49"/>
    <mergeCell ref="AG53:AI53"/>
    <mergeCell ref="A1:A2"/>
    <mergeCell ref="C1:C2"/>
    <mergeCell ref="D1:AE1"/>
    <mergeCell ref="AG1:AJ1"/>
  </mergeCells>
  <pageMargins left="0.31496062992125984" right="0.70866141732283472" top="0.15748031496062992" bottom="0.15748031496062992" header="0" footer="0.31496062992125984"/>
  <pageSetup paperSize="32004" scale="19" orientation="landscape" horizontalDpi="203" verticalDpi="20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1DDB-D93F-4643-B1FD-F5E3C6706CB9}">
  <sheetPr>
    <pageSetUpPr fitToPage="1"/>
  </sheetPr>
  <dimension ref="A1:AW56"/>
  <sheetViews>
    <sheetView zoomScale="91" zoomScaleNormal="9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2" sqref="C12"/>
    </sheetView>
  </sheetViews>
  <sheetFormatPr baseColWidth="10" defaultColWidth="11.5" defaultRowHeight="14.25"/>
  <cols>
    <col min="1" max="1" width="5.5" style="3" customWidth="1"/>
    <col min="2" max="2" width="10.125" style="3" customWidth="1"/>
    <col min="3" max="3" width="58.75" style="3" customWidth="1"/>
    <col min="4" max="4" width="13.375" style="3" customWidth="1"/>
    <col min="5" max="5" width="12.125" style="3" customWidth="1"/>
    <col min="6" max="21" width="12" style="3" customWidth="1"/>
    <col min="22" max="22" width="12.25" style="3" customWidth="1"/>
    <col min="23" max="23" width="1.125" style="3" customWidth="1"/>
    <col min="24" max="25" width="11.625" style="3" customWidth="1"/>
    <col min="26" max="26" width="11.875" style="3" customWidth="1"/>
    <col min="27" max="27" width="12.625" style="3" customWidth="1"/>
    <col min="28" max="28" width="0.875" style="8" customWidth="1"/>
    <col min="29" max="29" width="11.5" style="3" customWidth="1"/>
    <col min="30" max="30" width="12.75" style="3" bestFit="1" customWidth="1"/>
    <col min="31" max="31" width="12.5" style="3" bestFit="1" customWidth="1"/>
    <col min="32" max="32" width="9.75" style="3" customWidth="1"/>
    <col min="33" max="33" width="11.75" style="3" bestFit="1" customWidth="1"/>
    <col min="34" max="38" width="9.75" style="3" customWidth="1"/>
    <col min="39" max="16384" width="11.5" style="3"/>
  </cols>
  <sheetData>
    <row r="1" spans="1:49">
      <c r="A1" s="128" t="s">
        <v>1</v>
      </c>
      <c r="B1" s="2" t="s">
        <v>5</v>
      </c>
      <c r="C1" s="128" t="s">
        <v>0</v>
      </c>
      <c r="D1" s="128" t="s">
        <v>86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X1" s="128" t="s">
        <v>2</v>
      </c>
      <c r="Y1" s="128"/>
      <c r="Z1" s="128"/>
      <c r="AA1" s="128"/>
      <c r="AB1" s="27"/>
      <c r="AC1" s="16" t="s">
        <v>22</v>
      </c>
      <c r="AD1" s="124" t="s">
        <v>24</v>
      </c>
    </row>
    <row r="2" spans="1:49">
      <c r="A2" s="128"/>
      <c r="B2" s="2" t="s">
        <v>6</v>
      </c>
      <c r="C2" s="128"/>
      <c r="D2" s="4" t="s">
        <v>20</v>
      </c>
      <c r="E2" s="4">
        <v>46037</v>
      </c>
      <c r="F2" s="4">
        <v>46038</v>
      </c>
      <c r="G2" s="4">
        <v>46039</v>
      </c>
      <c r="H2" s="4">
        <v>46040</v>
      </c>
      <c r="I2" s="4">
        <v>46041</v>
      </c>
      <c r="J2" s="4">
        <v>46042</v>
      </c>
      <c r="K2" s="4">
        <v>46043</v>
      </c>
      <c r="L2" s="4">
        <v>46044</v>
      </c>
      <c r="M2" s="4">
        <v>46045</v>
      </c>
      <c r="N2" s="4">
        <v>46046</v>
      </c>
      <c r="O2" s="4">
        <v>46047</v>
      </c>
      <c r="P2" s="4">
        <v>46048</v>
      </c>
      <c r="Q2" s="4">
        <v>46049</v>
      </c>
      <c r="R2" s="4">
        <v>46050</v>
      </c>
      <c r="S2" s="4">
        <v>46051</v>
      </c>
      <c r="T2" s="4">
        <v>46052</v>
      </c>
      <c r="U2" s="4">
        <v>46053</v>
      </c>
      <c r="V2" s="13">
        <v>46054</v>
      </c>
      <c r="W2" s="34"/>
      <c r="X2" s="2" t="s">
        <v>21</v>
      </c>
      <c r="Y2" s="2" t="s">
        <v>3</v>
      </c>
      <c r="Z2" s="2" t="s">
        <v>61</v>
      </c>
      <c r="AA2" s="2" t="s">
        <v>4</v>
      </c>
      <c r="AB2" s="27"/>
      <c r="AC2" s="16" t="s">
        <v>23</v>
      </c>
      <c r="AD2" s="125"/>
      <c r="AE2" s="65" t="s">
        <v>75</v>
      </c>
      <c r="AF2" s="65" t="s">
        <v>76</v>
      </c>
      <c r="AG2" s="65" t="s">
        <v>77</v>
      </c>
    </row>
    <row r="3" spans="1:49">
      <c r="A3" s="17">
        <v>1</v>
      </c>
      <c r="B3" s="39" t="s">
        <v>27</v>
      </c>
      <c r="C3" s="39" t="s">
        <v>119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27"/>
      <c r="X3" s="18">
        <f t="shared" ref="X3:X43" si="0">+D3</f>
        <v>180</v>
      </c>
      <c r="Y3" s="18">
        <f t="shared" ref="Y3:Y43" si="1">SUM(E3:V3)</f>
        <v>0</v>
      </c>
      <c r="Z3" s="19"/>
      <c r="AA3" s="18">
        <f>+X3+Y3-Z3</f>
        <v>180</v>
      </c>
      <c r="AB3" s="27">
        <f>+X3-AA3</f>
        <v>0</v>
      </c>
      <c r="AC3" s="9">
        <v>180</v>
      </c>
      <c r="AD3" s="18">
        <f>+AA3-AC3</f>
        <v>0</v>
      </c>
      <c r="AE3" s="60"/>
      <c r="AF3" s="65"/>
      <c r="AG3" s="60"/>
      <c r="AW3" s="5"/>
    </row>
    <row r="4" spans="1:49">
      <c r="A4" s="17">
        <f>+A3+1</f>
        <v>2</v>
      </c>
      <c r="B4" s="39" t="s">
        <v>29</v>
      </c>
      <c r="C4" s="39" t="s">
        <v>119</v>
      </c>
      <c r="D4" s="53">
        <v>12980</v>
      </c>
      <c r="E4" s="18">
        <v>120</v>
      </c>
      <c r="F4" s="18">
        <f>20+140</f>
        <v>160</v>
      </c>
      <c r="G4" s="18">
        <f>60+100</f>
        <v>160</v>
      </c>
      <c r="H4" s="18">
        <v>40</v>
      </c>
      <c r="I4" s="18">
        <f>240+260</f>
        <v>500</v>
      </c>
      <c r="J4" s="18">
        <f>80+180</f>
        <v>260</v>
      </c>
      <c r="K4" s="18"/>
      <c r="L4" s="18">
        <f>200+180</f>
        <v>380</v>
      </c>
      <c r="M4" s="18">
        <f>40+200</f>
        <v>240</v>
      </c>
      <c r="N4" s="18">
        <v>260</v>
      </c>
      <c r="O4" s="18">
        <v>540</v>
      </c>
      <c r="P4" s="18"/>
      <c r="Q4" s="18">
        <f>120+20</f>
        <v>140</v>
      </c>
      <c r="R4" s="18">
        <f>200+200</f>
        <v>400</v>
      </c>
      <c r="S4" s="18">
        <f>620+220</f>
        <v>840</v>
      </c>
      <c r="T4" s="18">
        <v>200</v>
      </c>
      <c r="U4" s="18">
        <f>40+20</f>
        <v>60</v>
      </c>
      <c r="V4" s="18">
        <v>620</v>
      </c>
      <c r="W4" s="27"/>
      <c r="X4" s="18">
        <f t="shared" si="0"/>
        <v>12980</v>
      </c>
      <c r="Y4" s="18">
        <f t="shared" si="1"/>
        <v>4920</v>
      </c>
      <c r="Z4" s="19"/>
      <c r="AA4" s="18">
        <f t="shared" ref="AA4:AA42" si="2">+X4+Y4-Z4</f>
        <v>17900</v>
      </c>
      <c r="AB4" s="27"/>
      <c r="AC4" s="80">
        <v>17900</v>
      </c>
      <c r="AD4" s="18">
        <f t="shared" ref="AD4:AD43" si="3">+AA4-AC4</f>
        <v>0</v>
      </c>
      <c r="AE4" s="60"/>
      <c r="AF4" s="65"/>
      <c r="AG4" s="60"/>
      <c r="AT4" s="15"/>
    </row>
    <row r="5" spans="1:49">
      <c r="A5" s="17">
        <f t="shared" ref="A5:A31" si="4">+A4+1</f>
        <v>3</v>
      </c>
      <c r="B5" s="39" t="s">
        <v>31</v>
      </c>
      <c r="C5" s="39" t="s">
        <v>119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27"/>
      <c r="X5" s="18">
        <f t="shared" si="0"/>
        <v>660</v>
      </c>
      <c r="Y5" s="18">
        <f t="shared" si="1"/>
        <v>0</v>
      </c>
      <c r="Z5" s="19"/>
      <c r="AA5" s="18">
        <f t="shared" ref="AA5:AA10" si="5">+X5+Y5-Z5</f>
        <v>660</v>
      </c>
      <c r="AB5" s="27"/>
      <c r="AC5" s="80">
        <v>660</v>
      </c>
      <c r="AD5" s="18">
        <f t="shared" si="3"/>
        <v>0</v>
      </c>
      <c r="AE5" s="60"/>
      <c r="AF5" s="65"/>
      <c r="AG5" s="60"/>
    </row>
    <row r="6" spans="1:49">
      <c r="A6" s="17">
        <f t="shared" si="4"/>
        <v>4</v>
      </c>
      <c r="B6" s="45">
        <v>10009265</v>
      </c>
      <c r="C6" s="39" t="s">
        <v>119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7"/>
      <c r="X6" s="18">
        <f t="shared" si="0"/>
        <v>680</v>
      </c>
      <c r="Y6" s="18">
        <f t="shared" si="1"/>
        <v>0</v>
      </c>
      <c r="Z6" s="19"/>
      <c r="AA6" s="18">
        <f t="shared" si="5"/>
        <v>680</v>
      </c>
      <c r="AB6" s="27"/>
      <c r="AC6" s="80">
        <v>680</v>
      </c>
      <c r="AD6" s="18">
        <f t="shared" si="3"/>
        <v>0</v>
      </c>
      <c r="AE6" s="60"/>
      <c r="AF6" s="65"/>
      <c r="AG6" s="60"/>
    </row>
    <row r="7" spans="1:49">
      <c r="A7" s="17">
        <f t="shared" si="4"/>
        <v>5</v>
      </c>
      <c r="B7" s="39" t="s">
        <v>34</v>
      </c>
      <c r="C7" s="39" t="s">
        <v>119</v>
      </c>
      <c r="D7" s="53">
        <v>95920</v>
      </c>
      <c r="E7" s="18">
        <f>8900+8240</f>
        <v>17140</v>
      </c>
      <c r="F7" s="18">
        <f>5760+5380</f>
        <v>11140</v>
      </c>
      <c r="G7" s="18">
        <f>7560+4900</f>
        <v>12460</v>
      </c>
      <c r="H7" s="18">
        <v>14360</v>
      </c>
      <c r="I7" s="18">
        <f>20740+5980</f>
        <v>26720</v>
      </c>
      <c r="J7" s="18">
        <f>20280+5820</f>
        <v>26100</v>
      </c>
      <c r="K7" s="18">
        <v>3860</v>
      </c>
      <c r="L7" s="18">
        <f>12440+2900</f>
        <v>15340</v>
      </c>
      <c r="M7" s="18">
        <f>13740+4060</f>
        <v>17800</v>
      </c>
      <c r="N7" s="18">
        <v>19440</v>
      </c>
      <c r="O7" s="18">
        <v>22640</v>
      </c>
      <c r="P7" s="18">
        <v>8660</v>
      </c>
      <c r="Q7" s="18">
        <f>3980+2680</f>
        <v>6660</v>
      </c>
      <c r="R7" s="18">
        <f>26300+13960</f>
        <v>40260</v>
      </c>
      <c r="S7" s="18">
        <f>22340+10420</f>
        <v>32760</v>
      </c>
      <c r="T7" s="18">
        <f>10980+320</f>
        <v>11300</v>
      </c>
      <c r="U7" s="18">
        <f>5240+2460</f>
        <v>7700</v>
      </c>
      <c r="V7" s="18">
        <v>18080</v>
      </c>
      <c r="W7" s="27"/>
      <c r="X7" s="18">
        <f t="shared" si="0"/>
        <v>95920</v>
      </c>
      <c r="Y7" s="18">
        <f t="shared" si="1"/>
        <v>312420</v>
      </c>
      <c r="Z7" s="19">
        <f>80+69700</f>
        <v>69780</v>
      </c>
      <c r="AA7" s="18">
        <f t="shared" si="5"/>
        <v>338560</v>
      </c>
      <c r="AB7" s="27"/>
      <c r="AC7" s="80">
        <v>338560</v>
      </c>
      <c r="AD7" s="18">
        <f t="shared" si="3"/>
        <v>0</v>
      </c>
      <c r="AE7" s="60"/>
      <c r="AF7" s="60">
        <v>80</v>
      </c>
      <c r="AG7" s="19">
        <v>69700</v>
      </c>
    </row>
    <row r="8" spans="1:49">
      <c r="A8" s="17">
        <f t="shared" si="4"/>
        <v>6</v>
      </c>
      <c r="B8" s="39" t="s">
        <v>36</v>
      </c>
      <c r="C8" s="39" t="s">
        <v>119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7"/>
      <c r="X8" s="18">
        <f t="shared" si="0"/>
        <v>120</v>
      </c>
      <c r="Y8" s="18">
        <f t="shared" si="1"/>
        <v>0</v>
      </c>
      <c r="Z8" s="19"/>
      <c r="AA8" s="18">
        <f t="shared" si="5"/>
        <v>120</v>
      </c>
      <c r="AB8" s="27"/>
      <c r="AC8" s="80">
        <v>120</v>
      </c>
      <c r="AD8" s="18">
        <f t="shared" si="3"/>
        <v>0</v>
      </c>
      <c r="AE8" s="60"/>
      <c r="AF8" s="65"/>
      <c r="AG8" s="19"/>
    </row>
    <row r="9" spans="1:49">
      <c r="A9" s="17">
        <f t="shared" si="4"/>
        <v>7</v>
      </c>
      <c r="B9" s="39"/>
      <c r="C9" s="39" t="s">
        <v>88</v>
      </c>
      <c r="D9" s="53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>
        <v>6390</v>
      </c>
      <c r="Q9" s="18">
        <f>4680+5292</f>
        <v>9972</v>
      </c>
      <c r="R9" s="18">
        <v>288</v>
      </c>
      <c r="S9" s="18"/>
      <c r="T9" s="18"/>
      <c r="U9" s="18"/>
      <c r="V9" s="18"/>
      <c r="W9" s="27"/>
      <c r="X9" s="18">
        <f t="shared" si="0"/>
        <v>0</v>
      </c>
      <c r="Y9" s="18">
        <f t="shared" si="1"/>
        <v>16650</v>
      </c>
      <c r="Z9" s="19"/>
      <c r="AA9" s="18">
        <f t="shared" si="5"/>
        <v>16650</v>
      </c>
      <c r="AB9" s="27"/>
      <c r="AC9" s="80">
        <v>16650</v>
      </c>
      <c r="AD9" s="18">
        <f t="shared" si="3"/>
        <v>0</v>
      </c>
      <c r="AE9" s="60"/>
      <c r="AF9" s="65"/>
      <c r="AG9" s="19"/>
    </row>
    <row r="10" spans="1:49">
      <c r="A10" s="17"/>
      <c r="B10" s="39"/>
      <c r="C10" s="39" t="s">
        <v>89</v>
      </c>
      <c r="D10" s="53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>
        <f>1332+468</f>
        <v>1800</v>
      </c>
      <c r="R10" s="18">
        <v>54</v>
      </c>
      <c r="S10" s="18"/>
      <c r="T10" s="18"/>
      <c r="U10" s="18"/>
      <c r="V10" s="18"/>
      <c r="W10" s="27"/>
      <c r="X10" s="18">
        <f t="shared" si="0"/>
        <v>0</v>
      </c>
      <c r="Y10" s="18">
        <f t="shared" si="1"/>
        <v>1854</v>
      </c>
      <c r="Z10" s="19"/>
      <c r="AA10" s="18">
        <f t="shared" si="5"/>
        <v>1854</v>
      </c>
      <c r="AB10" s="27"/>
      <c r="AC10" s="80">
        <v>1854</v>
      </c>
      <c r="AD10" s="18">
        <f t="shared" si="3"/>
        <v>0</v>
      </c>
      <c r="AE10" s="60"/>
      <c r="AF10" s="65"/>
      <c r="AG10" s="19"/>
    </row>
    <row r="11" spans="1:49" s="8" customFormat="1">
      <c r="A11" s="37">
        <v>8</v>
      </c>
      <c r="B11" s="40" t="s">
        <v>40</v>
      </c>
      <c r="C11" s="40" t="s">
        <v>41</v>
      </c>
      <c r="D11" s="54">
        <v>6520</v>
      </c>
      <c r="E11" s="26">
        <v>300</v>
      </c>
      <c r="F11" s="26">
        <v>460</v>
      </c>
      <c r="G11" s="26">
        <v>440</v>
      </c>
      <c r="H11" s="26"/>
      <c r="I11" s="26">
        <v>380</v>
      </c>
      <c r="J11" s="26">
        <v>200</v>
      </c>
      <c r="K11" s="26">
        <v>60</v>
      </c>
      <c r="L11" s="26">
        <f>100+160</f>
        <v>260</v>
      </c>
      <c r="M11" s="26">
        <v>540</v>
      </c>
      <c r="N11" s="26">
        <v>60</v>
      </c>
      <c r="O11" s="26"/>
      <c r="P11" s="26">
        <v>1060</v>
      </c>
      <c r="Q11" s="26">
        <v>380</v>
      </c>
      <c r="R11" s="26">
        <f>240+260</f>
        <v>500</v>
      </c>
      <c r="S11" s="26">
        <f>400+400</f>
        <v>800</v>
      </c>
      <c r="T11" s="26">
        <v>40</v>
      </c>
      <c r="U11" s="26">
        <v>340</v>
      </c>
      <c r="V11" s="26"/>
      <c r="W11" s="27"/>
      <c r="X11" s="26">
        <f t="shared" si="0"/>
        <v>6520</v>
      </c>
      <c r="Y11" s="26">
        <f t="shared" si="1"/>
        <v>5820</v>
      </c>
      <c r="Z11" s="38"/>
      <c r="AA11" s="26">
        <f t="shared" si="2"/>
        <v>12340</v>
      </c>
      <c r="AB11" s="27"/>
      <c r="AC11" s="80">
        <v>12340</v>
      </c>
      <c r="AD11" s="18">
        <f t="shared" si="3"/>
        <v>0</v>
      </c>
      <c r="AE11" s="26"/>
      <c r="AF11" s="37"/>
      <c r="AG11" s="38"/>
    </row>
    <row r="12" spans="1:49" s="8" customFormat="1">
      <c r="A12" s="37">
        <f>+A11+1</f>
        <v>9</v>
      </c>
      <c r="B12" s="40">
        <v>10007969</v>
      </c>
      <c r="C12" s="40" t="s">
        <v>59</v>
      </c>
      <c r="D12" s="54">
        <v>33140</v>
      </c>
      <c r="E12" s="26">
        <v>1340</v>
      </c>
      <c r="F12" s="26">
        <v>2140</v>
      </c>
      <c r="G12" s="26">
        <v>2280</v>
      </c>
      <c r="H12" s="26"/>
      <c r="I12" s="26">
        <f>720+1540</f>
        <v>2260</v>
      </c>
      <c r="J12" s="26">
        <v>1020</v>
      </c>
      <c r="K12" s="26">
        <f>340+480</f>
        <v>820</v>
      </c>
      <c r="L12" s="26">
        <v>760</v>
      </c>
      <c r="M12" s="26">
        <f>940+1500</f>
        <v>2440</v>
      </c>
      <c r="N12" s="26">
        <v>3440</v>
      </c>
      <c r="O12" s="26"/>
      <c r="P12" s="26">
        <f>120+3620</f>
        <v>3740</v>
      </c>
      <c r="Q12" s="26">
        <f>200+3180</f>
        <v>3380</v>
      </c>
      <c r="R12" s="26">
        <v>3380</v>
      </c>
      <c r="S12" s="26">
        <f>240+1880</f>
        <v>2120</v>
      </c>
      <c r="T12" s="26">
        <v>200</v>
      </c>
      <c r="U12" s="26">
        <v>2520</v>
      </c>
      <c r="V12" s="26"/>
      <c r="W12" s="27"/>
      <c r="X12" s="26">
        <f t="shared" si="0"/>
        <v>33140</v>
      </c>
      <c r="Y12" s="26">
        <f t="shared" si="1"/>
        <v>31840</v>
      </c>
      <c r="Z12" s="38">
        <f>24000+20</f>
        <v>24020</v>
      </c>
      <c r="AA12" s="26">
        <f t="shared" si="2"/>
        <v>40960</v>
      </c>
      <c r="AB12" s="27"/>
      <c r="AC12" s="80">
        <v>40960</v>
      </c>
      <c r="AD12" s="18">
        <f t="shared" si="3"/>
        <v>0</v>
      </c>
      <c r="AE12" s="26"/>
      <c r="AF12" s="37">
        <v>20</v>
      </c>
      <c r="AG12" s="38">
        <f>24000</f>
        <v>24000</v>
      </c>
    </row>
    <row r="13" spans="1:49">
      <c r="A13" s="7">
        <f>+A12+1</f>
        <v>10</v>
      </c>
      <c r="B13" s="20" t="s">
        <v>8</v>
      </c>
      <c r="C13" s="20" t="s">
        <v>120</v>
      </c>
      <c r="D13" s="55">
        <v>300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7"/>
      <c r="X13" s="21">
        <f t="shared" si="0"/>
        <v>300</v>
      </c>
      <c r="Y13" s="21">
        <f t="shared" si="1"/>
        <v>0</v>
      </c>
      <c r="Z13" s="22"/>
      <c r="AA13" s="21">
        <f t="shared" si="2"/>
        <v>300</v>
      </c>
      <c r="AB13" s="27"/>
      <c r="AC13" s="80">
        <f>120+180</f>
        <v>300</v>
      </c>
      <c r="AD13" s="18">
        <f t="shared" si="3"/>
        <v>0</v>
      </c>
      <c r="AE13" s="60"/>
      <c r="AF13" s="65"/>
      <c r="AG13" s="22"/>
    </row>
    <row r="14" spans="1:49">
      <c r="A14" s="7">
        <f t="shared" ref="A14:A16" si="6">+A13+1</f>
        <v>11</v>
      </c>
      <c r="B14" s="20" t="s">
        <v>10</v>
      </c>
      <c r="C14" s="20" t="s">
        <v>120</v>
      </c>
      <c r="D14" s="55">
        <v>1120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7"/>
      <c r="X14" s="21">
        <f t="shared" si="0"/>
        <v>1120</v>
      </c>
      <c r="Y14" s="21">
        <f t="shared" si="1"/>
        <v>0</v>
      </c>
      <c r="Z14" s="22"/>
      <c r="AA14" s="21">
        <f t="shared" si="2"/>
        <v>1120</v>
      </c>
      <c r="AB14" s="27"/>
      <c r="AC14" s="9">
        <v>1120</v>
      </c>
      <c r="AD14" s="18">
        <f t="shared" si="3"/>
        <v>0</v>
      </c>
      <c r="AE14" s="60"/>
      <c r="AF14" s="65"/>
      <c r="AG14" s="22"/>
    </row>
    <row r="15" spans="1:49">
      <c r="A15" s="7">
        <f t="shared" si="6"/>
        <v>12</v>
      </c>
      <c r="B15" s="20" t="s">
        <v>57</v>
      </c>
      <c r="C15" s="20" t="s">
        <v>120</v>
      </c>
      <c r="D15" s="55">
        <v>155380</v>
      </c>
      <c r="E15" s="21">
        <f>14860+12480</f>
        <v>27340</v>
      </c>
      <c r="F15" s="21">
        <f>19020+30620</f>
        <v>49640</v>
      </c>
      <c r="G15" s="21">
        <f>29320+25140</f>
        <v>54460</v>
      </c>
      <c r="H15" s="21"/>
      <c r="I15" s="21">
        <f>22180+240</f>
        <v>22420</v>
      </c>
      <c r="J15" s="21">
        <v>3500</v>
      </c>
      <c r="K15" s="21">
        <v>7760</v>
      </c>
      <c r="L15" s="21">
        <v>3800</v>
      </c>
      <c r="M15" s="21">
        <f>6620+5060</f>
        <v>11680</v>
      </c>
      <c r="N15" s="21">
        <f>6660+20840</f>
        <v>27500</v>
      </c>
      <c r="O15" s="21">
        <v>19200</v>
      </c>
      <c r="P15" s="21">
        <f>21740+11680</f>
        <v>33420</v>
      </c>
      <c r="Q15" s="21">
        <f>42220+16840</f>
        <v>59060</v>
      </c>
      <c r="R15" s="21">
        <f>27860+14020</f>
        <v>41880</v>
      </c>
      <c r="S15" s="21">
        <f>36440+4560</f>
        <v>41000</v>
      </c>
      <c r="T15" s="21"/>
      <c r="U15" s="21">
        <f>21900+27300</f>
        <v>49200</v>
      </c>
      <c r="V15" s="21"/>
      <c r="W15" s="27"/>
      <c r="X15" s="21">
        <f t="shared" si="0"/>
        <v>155380</v>
      </c>
      <c r="Y15" s="21">
        <f t="shared" si="1"/>
        <v>451860</v>
      </c>
      <c r="Z15" s="22">
        <f>60+135000</f>
        <v>135060</v>
      </c>
      <c r="AA15" s="21">
        <f t="shared" si="2"/>
        <v>472180</v>
      </c>
      <c r="AB15" s="27"/>
      <c r="AC15" s="80">
        <v>472180</v>
      </c>
      <c r="AD15" s="18">
        <f t="shared" si="3"/>
        <v>0</v>
      </c>
      <c r="AE15" s="60"/>
      <c r="AF15" s="65">
        <v>60</v>
      </c>
      <c r="AG15" s="22">
        <f>135000</f>
        <v>135000</v>
      </c>
      <c r="AU15" s="15"/>
    </row>
    <row r="16" spans="1:49">
      <c r="A16" s="7">
        <f t="shared" si="6"/>
        <v>13</v>
      </c>
      <c r="B16" s="20" t="s">
        <v>55</v>
      </c>
      <c r="C16" s="20" t="s">
        <v>120</v>
      </c>
      <c r="D16" s="55">
        <v>55940</v>
      </c>
      <c r="E16" s="21">
        <f>3020+5980</f>
        <v>9000</v>
      </c>
      <c r="F16" s="21">
        <f>1280+6980</f>
        <v>8260</v>
      </c>
      <c r="G16" s="21">
        <v>5160</v>
      </c>
      <c r="H16" s="21"/>
      <c r="I16" s="21">
        <f>920+1580</f>
        <v>2500</v>
      </c>
      <c r="J16" s="21">
        <v>920</v>
      </c>
      <c r="K16" s="21">
        <v>1020</v>
      </c>
      <c r="L16" s="21">
        <f>2140+3420</f>
        <v>5560</v>
      </c>
      <c r="M16" s="21">
        <f>2020+3500</f>
        <v>5520</v>
      </c>
      <c r="N16" s="21">
        <v>1820</v>
      </c>
      <c r="O16" s="21"/>
      <c r="P16" s="21">
        <f>600+1060</f>
        <v>1660</v>
      </c>
      <c r="Q16" s="21">
        <v>1420</v>
      </c>
      <c r="R16" s="21">
        <v>540</v>
      </c>
      <c r="S16" s="21">
        <f>2960+2860</f>
        <v>5820</v>
      </c>
      <c r="T16" s="21">
        <v>820</v>
      </c>
      <c r="U16" s="21">
        <v>6480</v>
      </c>
      <c r="V16" s="21"/>
      <c r="W16" s="27"/>
      <c r="X16" s="21">
        <f t="shared" si="0"/>
        <v>55940</v>
      </c>
      <c r="Y16" s="21">
        <f t="shared" si="1"/>
        <v>56500</v>
      </c>
      <c r="Z16" s="22">
        <f>23600+23800</f>
        <v>47400</v>
      </c>
      <c r="AA16" s="21">
        <f>+X16+Y16-Z16</f>
        <v>65040</v>
      </c>
      <c r="AB16" s="27"/>
      <c r="AC16" s="80">
        <v>65040</v>
      </c>
      <c r="AD16" s="18">
        <f t="shared" si="3"/>
        <v>0</v>
      </c>
      <c r="AE16" s="60"/>
      <c r="AF16" s="65"/>
      <c r="AG16" s="22">
        <f>23600+23800</f>
        <v>47400</v>
      </c>
      <c r="AT16" s="8"/>
    </row>
    <row r="17" spans="1:48">
      <c r="A17" s="23">
        <f>+A16+1</f>
        <v>14</v>
      </c>
      <c r="B17" s="47" t="s">
        <v>42</v>
      </c>
      <c r="C17" s="32" t="s">
        <v>121</v>
      </c>
      <c r="D17" s="56">
        <v>940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7"/>
      <c r="X17" s="24">
        <f t="shared" si="0"/>
        <v>940</v>
      </c>
      <c r="Y17" s="24">
        <f t="shared" si="1"/>
        <v>0</v>
      </c>
      <c r="Z17" s="25"/>
      <c r="AA17" s="24">
        <f t="shared" si="2"/>
        <v>940</v>
      </c>
      <c r="AB17" s="27"/>
      <c r="AC17" s="9">
        <f>180+760</f>
        <v>940</v>
      </c>
      <c r="AD17" s="18">
        <f t="shared" si="3"/>
        <v>0</v>
      </c>
      <c r="AE17" s="60"/>
      <c r="AF17" s="65"/>
      <c r="AG17" s="25"/>
    </row>
    <row r="18" spans="1:48">
      <c r="A18" s="23">
        <f t="shared" ref="A18:A22" si="7">+A17+1</f>
        <v>15</v>
      </c>
      <c r="B18" s="47">
        <v>10009271</v>
      </c>
      <c r="C18" s="32" t="s">
        <v>121</v>
      </c>
      <c r="D18" s="56">
        <v>240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7"/>
      <c r="X18" s="24">
        <f t="shared" si="0"/>
        <v>240</v>
      </c>
      <c r="Y18" s="24">
        <f t="shared" si="1"/>
        <v>0</v>
      </c>
      <c r="Z18" s="25"/>
      <c r="AA18" s="24">
        <f t="shared" si="2"/>
        <v>240</v>
      </c>
      <c r="AB18" s="27"/>
      <c r="AC18" s="9">
        <v>240</v>
      </c>
      <c r="AD18" s="18">
        <f t="shared" si="3"/>
        <v>0</v>
      </c>
      <c r="AE18" s="60"/>
      <c r="AF18" s="65"/>
      <c r="AG18" s="25"/>
    </row>
    <row r="19" spans="1:48">
      <c r="A19" s="23">
        <f t="shared" si="7"/>
        <v>16</v>
      </c>
      <c r="B19" s="47" t="s">
        <v>43</v>
      </c>
      <c r="C19" s="32" t="s">
        <v>121</v>
      </c>
      <c r="D19" s="56">
        <v>96180</v>
      </c>
      <c r="E19" s="24">
        <f>700+3300</f>
        <v>4000</v>
      </c>
      <c r="F19" s="24">
        <f>1560+4720</f>
        <v>6280</v>
      </c>
      <c r="G19" s="24">
        <f>2420+4220</f>
        <v>6640</v>
      </c>
      <c r="H19" s="24"/>
      <c r="I19" s="24">
        <f>3980+2940</f>
        <v>6920</v>
      </c>
      <c r="J19" s="24">
        <v>3160</v>
      </c>
      <c r="K19" s="24">
        <f>980+2760</f>
        <v>3740</v>
      </c>
      <c r="L19" s="24">
        <v>1160</v>
      </c>
      <c r="M19" s="24">
        <f>4020+2700</f>
        <v>6720</v>
      </c>
      <c r="N19" s="24">
        <f>1320+5600</f>
        <v>6920</v>
      </c>
      <c r="O19" s="24"/>
      <c r="P19" s="24">
        <f>4000+5320</f>
        <v>9320</v>
      </c>
      <c r="Q19" s="24">
        <f>2520+7060</f>
        <v>9580</v>
      </c>
      <c r="R19" s="24">
        <f>1920+6740</f>
        <v>8660</v>
      </c>
      <c r="S19" s="24">
        <f>280+4600</f>
        <v>4880</v>
      </c>
      <c r="T19" s="24">
        <v>560</v>
      </c>
      <c r="U19" s="24">
        <f>1860+4520</f>
        <v>6380</v>
      </c>
      <c r="V19" s="24"/>
      <c r="W19" s="27"/>
      <c r="X19" s="24">
        <f t="shared" si="0"/>
        <v>96180</v>
      </c>
      <c r="Y19" s="24">
        <f t="shared" si="1"/>
        <v>84920</v>
      </c>
      <c r="Z19" s="25">
        <f>40+20+3000</f>
        <v>3060</v>
      </c>
      <c r="AA19" s="24">
        <f t="shared" si="2"/>
        <v>178040</v>
      </c>
      <c r="AB19" s="27"/>
      <c r="AC19" s="80">
        <v>178040</v>
      </c>
      <c r="AD19" s="18">
        <f t="shared" si="3"/>
        <v>0</v>
      </c>
      <c r="AE19" s="60"/>
      <c r="AF19" s="65">
        <f>40+20</f>
        <v>60</v>
      </c>
      <c r="AG19" s="25">
        <f>3000</f>
        <v>3000</v>
      </c>
    </row>
    <row r="20" spans="1:48">
      <c r="A20" s="23">
        <f t="shared" si="7"/>
        <v>17</v>
      </c>
      <c r="B20" s="47" t="s">
        <v>45</v>
      </c>
      <c r="C20" s="32" t="s">
        <v>121</v>
      </c>
      <c r="D20" s="56">
        <v>4900</v>
      </c>
      <c r="E20" s="24">
        <v>100</v>
      </c>
      <c r="F20" s="24">
        <f>20+100</f>
        <v>120</v>
      </c>
      <c r="G20" s="24"/>
      <c r="H20" s="24"/>
      <c r="I20" s="24">
        <f>60+180</f>
        <v>240</v>
      </c>
      <c r="J20" s="24">
        <v>140</v>
      </c>
      <c r="K20" s="24"/>
      <c r="L20" s="24">
        <f>80+20</f>
        <v>100</v>
      </c>
      <c r="M20" s="24">
        <f>40+60</f>
        <v>100</v>
      </c>
      <c r="N20" s="24">
        <f>140+0</f>
        <v>140</v>
      </c>
      <c r="O20" s="24"/>
      <c r="P20" s="24">
        <v>180</v>
      </c>
      <c r="Q20" s="24">
        <f>60+160</f>
        <v>220</v>
      </c>
      <c r="R20" s="24">
        <v>180</v>
      </c>
      <c r="S20" s="24">
        <v>120</v>
      </c>
      <c r="T20" s="24">
        <v>0</v>
      </c>
      <c r="U20" s="24">
        <v>160</v>
      </c>
      <c r="V20" s="24"/>
      <c r="W20" s="27"/>
      <c r="X20" s="24">
        <f t="shared" si="0"/>
        <v>4900</v>
      </c>
      <c r="Y20" s="24">
        <f t="shared" si="1"/>
        <v>1800</v>
      </c>
      <c r="Z20" s="25"/>
      <c r="AA20" s="24">
        <f t="shared" si="2"/>
        <v>6700</v>
      </c>
      <c r="AB20" s="27"/>
      <c r="AC20" s="9">
        <v>6700</v>
      </c>
      <c r="AD20" s="18">
        <f t="shared" si="3"/>
        <v>0</v>
      </c>
      <c r="AE20" s="60"/>
      <c r="AF20" s="65"/>
      <c r="AG20" s="25"/>
    </row>
    <row r="21" spans="1:48">
      <c r="A21" s="23">
        <f t="shared" si="7"/>
        <v>18</v>
      </c>
      <c r="B21" s="47" t="s">
        <v>47</v>
      </c>
      <c r="C21" s="32" t="s">
        <v>121</v>
      </c>
      <c r="D21" s="56">
        <v>17040</v>
      </c>
      <c r="E21" s="24">
        <v>1720</v>
      </c>
      <c r="F21" s="24">
        <f>640+1520</f>
        <v>2160</v>
      </c>
      <c r="G21" s="24">
        <f>720+1640</f>
        <v>2360</v>
      </c>
      <c r="H21" s="24"/>
      <c r="I21" s="24">
        <f>1260+560</f>
        <v>1820</v>
      </c>
      <c r="J21" s="24">
        <v>660</v>
      </c>
      <c r="K21" s="24">
        <v>300</v>
      </c>
      <c r="L21" s="24">
        <f>980+360</f>
        <v>1340</v>
      </c>
      <c r="M21" s="24">
        <f>1640+1500</f>
        <v>3140</v>
      </c>
      <c r="N21" s="24">
        <v>2040</v>
      </c>
      <c r="O21" s="24"/>
      <c r="P21" s="24">
        <f>780+2240</f>
        <v>3020</v>
      </c>
      <c r="Q21" s="24">
        <f>860+2340</f>
        <v>3200</v>
      </c>
      <c r="R21" s="24">
        <f>960+1580</f>
        <v>2540</v>
      </c>
      <c r="S21" s="24">
        <f>360+1780</f>
        <v>2140</v>
      </c>
      <c r="T21" s="24">
        <v>340</v>
      </c>
      <c r="U21" s="24">
        <f>140+1800</f>
        <v>1940</v>
      </c>
      <c r="V21" s="24"/>
      <c r="W21" s="27"/>
      <c r="X21" s="24">
        <f t="shared" si="0"/>
        <v>17040</v>
      </c>
      <c r="Y21" s="24">
        <f t="shared" si="1"/>
        <v>28720</v>
      </c>
      <c r="Z21" s="25">
        <f>40+17040</f>
        <v>17080</v>
      </c>
      <c r="AA21" s="24">
        <f t="shared" si="2"/>
        <v>28680</v>
      </c>
      <c r="AB21" s="27"/>
      <c r="AC21" s="80">
        <v>28680</v>
      </c>
      <c r="AD21" s="18">
        <f t="shared" si="3"/>
        <v>0</v>
      </c>
      <c r="AE21" s="60"/>
      <c r="AF21" s="65">
        <v>40</v>
      </c>
      <c r="AG21" s="25">
        <f>17040</f>
        <v>17040</v>
      </c>
      <c r="AH21" s="5"/>
      <c r="AI21" s="5"/>
    </row>
    <row r="22" spans="1:48">
      <c r="A22" s="23">
        <f t="shared" si="7"/>
        <v>19</v>
      </c>
      <c r="B22" s="32">
        <v>10009386</v>
      </c>
      <c r="C22" s="32" t="s">
        <v>63</v>
      </c>
      <c r="D22" s="56">
        <v>9860</v>
      </c>
      <c r="E22" s="24">
        <v>500</v>
      </c>
      <c r="F22" s="24">
        <v>480</v>
      </c>
      <c r="G22" s="24">
        <v>520</v>
      </c>
      <c r="H22" s="24"/>
      <c r="I22" s="24">
        <f>260+280</f>
        <v>540</v>
      </c>
      <c r="J22" s="24">
        <v>260</v>
      </c>
      <c r="K22" s="24">
        <v>100</v>
      </c>
      <c r="L22" s="24">
        <f>140+220</f>
        <v>360</v>
      </c>
      <c r="M22" s="24">
        <v>600</v>
      </c>
      <c r="N22" s="24">
        <v>760</v>
      </c>
      <c r="O22" s="24"/>
      <c r="P22" s="24">
        <v>900</v>
      </c>
      <c r="Q22" s="24">
        <v>860</v>
      </c>
      <c r="R22" s="24">
        <v>440</v>
      </c>
      <c r="S22" s="24">
        <f>20+500</f>
        <v>520</v>
      </c>
      <c r="T22" s="24">
        <v>40</v>
      </c>
      <c r="U22" s="24">
        <v>520</v>
      </c>
      <c r="V22" s="24"/>
      <c r="W22" s="27"/>
      <c r="X22" s="24">
        <f t="shared" si="0"/>
        <v>9860</v>
      </c>
      <c r="Y22" s="24">
        <f t="shared" si="1"/>
        <v>7400</v>
      </c>
      <c r="Z22" s="25"/>
      <c r="AA22" s="24">
        <f t="shared" si="2"/>
        <v>17260</v>
      </c>
      <c r="AB22" s="27"/>
      <c r="AC22" s="80">
        <v>17260</v>
      </c>
      <c r="AD22" s="18">
        <f t="shared" si="3"/>
        <v>0</v>
      </c>
      <c r="AE22" s="60"/>
      <c r="AF22" s="65"/>
      <c r="AG22" s="25"/>
    </row>
    <row r="23" spans="1:48" s="8" customFormat="1">
      <c r="A23" s="11">
        <f>+A22+1</f>
        <v>20</v>
      </c>
      <c r="B23" s="12" t="s">
        <v>12</v>
      </c>
      <c r="C23" s="12" t="s">
        <v>122</v>
      </c>
      <c r="D23" s="57">
        <v>30440</v>
      </c>
      <c r="E23" s="10">
        <f>220+2060</f>
        <v>2280</v>
      </c>
      <c r="F23" s="10">
        <v>3600</v>
      </c>
      <c r="G23" s="10">
        <f>620+3060</f>
        <v>3680</v>
      </c>
      <c r="H23" s="10"/>
      <c r="I23" s="10">
        <f>380+3340</f>
        <v>3720</v>
      </c>
      <c r="J23" s="10">
        <v>1680</v>
      </c>
      <c r="K23" s="10">
        <f>560+0</f>
        <v>560</v>
      </c>
      <c r="L23" s="10">
        <f>1320+780</f>
        <v>2100</v>
      </c>
      <c r="M23" s="10">
        <f>940+2960</f>
        <v>3900</v>
      </c>
      <c r="N23" s="10">
        <v>4200</v>
      </c>
      <c r="O23" s="10"/>
      <c r="P23" s="10">
        <f>1100+4080</f>
        <v>5180</v>
      </c>
      <c r="Q23" s="10">
        <f>540+2220</f>
        <v>2760</v>
      </c>
      <c r="R23" s="10">
        <f>2060+3500</f>
        <v>5560</v>
      </c>
      <c r="S23" s="10">
        <f>1680+1760</f>
        <v>3440</v>
      </c>
      <c r="T23" s="10">
        <v>360</v>
      </c>
      <c r="U23" s="10">
        <f>880+2520</f>
        <v>3400</v>
      </c>
      <c r="V23" s="10"/>
      <c r="W23" s="26"/>
      <c r="X23" s="10">
        <f t="shared" si="0"/>
        <v>30440</v>
      </c>
      <c r="Y23" s="10">
        <f t="shared" si="1"/>
        <v>46420</v>
      </c>
      <c r="Z23" s="14">
        <f>22660+26300</f>
        <v>48960</v>
      </c>
      <c r="AA23" s="10">
        <f t="shared" si="2"/>
        <v>27900</v>
      </c>
      <c r="AB23" s="27"/>
      <c r="AC23" s="9">
        <v>27900</v>
      </c>
      <c r="AD23" s="18">
        <f t="shared" si="3"/>
        <v>0</v>
      </c>
      <c r="AE23" s="60"/>
      <c r="AF23" s="37"/>
      <c r="AG23" s="14">
        <f>22660+26300</f>
        <v>48960</v>
      </c>
      <c r="AN23" s="3"/>
      <c r="AT23" s="3"/>
      <c r="AU23" s="3"/>
      <c r="AV23" s="3"/>
    </row>
    <row r="24" spans="1:48">
      <c r="A24" s="11">
        <f t="shared" ref="A24:A29" si="8">+A23+1</f>
        <v>21</v>
      </c>
      <c r="B24" s="12" t="s">
        <v>14</v>
      </c>
      <c r="C24" s="12" t="s">
        <v>123</v>
      </c>
      <c r="D24" s="57">
        <v>140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26"/>
      <c r="X24" s="10">
        <f t="shared" si="0"/>
        <v>140</v>
      </c>
      <c r="Y24" s="10">
        <f t="shared" si="1"/>
        <v>0</v>
      </c>
      <c r="Z24" s="14"/>
      <c r="AA24" s="10">
        <f>+X24+Y24-Z24</f>
        <v>140</v>
      </c>
      <c r="AB24" s="27"/>
      <c r="AC24" s="80">
        <v>140</v>
      </c>
      <c r="AD24" s="18">
        <f t="shared" si="3"/>
        <v>0</v>
      </c>
      <c r="AE24" s="60"/>
      <c r="AF24" s="65"/>
      <c r="AG24" s="14"/>
      <c r="AN24" s="8"/>
    </row>
    <row r="25" spans="1:48">
      <c r="A25" s="11">
        <f t="shared" si="8"/>
        <v>22</v>
      </c>
      <c r="B25" s="12" t="s">
        <v>16</v>
      </c>
      <c r="C25" s="12" t="s">
        <v>123</v>
      </c>
      <c r="D25" s="57">
        <v>13760</v>
      </c>
      <c r="E25" s="10">
        <v>180</v>
      </c>
      <c r="F25" s="10">
        <v>260</v>
      </c>
      <c r="G25" s="10">
        <v>240</v>
      </c>
      <c r="H25" s="10"/>
      <c r="I25" s="10">
        <f>20+220</f>
        <v>240</v>
      </c>
      <c r="J25" s="10">
        <v>160</v>
      </c>
      <c r="K25" s="10">
        <v>20</v>
      </c>
      <c r="L25" s="10">
        <f>140+80</f>
        <v>220</v>
      </c>
      <c r="M25" s="10">
        <f>20+220</f>
        <v>240</v>
      </c>
      <c r="N25" s="10">
        <v>180</v>
      </c>
      <c r="O25" s="10">
        <v>60</v>
      </c>
      <c r="P25" s="10">
        <f>140+220</f>
        <v>360</v>
      </c>
      <c r="Q25" s="10">
        <f>80+180</f>
        <v>260</v>
      </c>
      <c r="R25" s="10">
        <f>60+200</f>
        <v>260</v>
      </c>
      <c r="S25" s="10">
        <v>120</v>
      </c>
      <c r="T25" s="10"/>
      <c r="U25" s="10">
        <f>120+100</f>
        <v>220</v>
      </c>
      <c r="V25" s="10"/>
      <c r="W25" s="26"/>
      <c r="X25" s="10">
        <f t="shared" si="0"/>
        <v>13760</v>
      </c>
      <c r="Y25" s="10">
        <f t="shared" si="1"/>
        <v>3020</v>
      </c>
      <c r="Z25" s="14">
        <v>13760</v>
      </c>
      <c r="AA25" s="10">
        <f>+X25+Y25-Z25</f>
        <v>3020</v>
      </c>
      <c r="AB25" s="27"/>
      <c r="AC25" s="80">
        <v>3020</v>
      </c>
      <c r="AD25" s="18">
        <f t="shared" si="3"/>
        <v>0</v>
      </c>
      <c r="AE25" s="60"/>
      <c r="AF25" s="65"/>
      <c r="AG25" s="14">
        <v>13760</v>
      </c>
    </row>
    <row r="26" spans="1:48">
      <c r="A26" s="11">
        <f t="shared" si="8"/>
        <v>23</v>
      </c>
      <c r="B26" s="12" t="s">
        <v>18</v>
      </c>
      <c r="C26" s="12" t="s">
        <v>123</v>
      </c>
      <c r="D26" s="57">
        <v>180</v>
      </c>
      <c r="E26" s="10"/>
      <c r="F26" s="10"/>
      <c r="G26" s="10"/>
      <c r="H26" s="10"/>
      <c r="I26" s="10"/>
      <c r="J26" s="10">
        <v>20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26"/>
      <c r="X26" s="10">
        <f t="shared" si="0"/>
        <v>180</v>
      </c>
      <c r="Y26" s="10">
        <f t="shared" si="1"/>
        <v>20</v>
      </c>
      <c r="Z26" s="14"/>
      <c r="AA26" s="10">
        <f t="shared" si="2"/>
        <v>200</v>
      </c>
      <c r="AB26" s="27"/>
      <c r="AC26" s="9">
        <v>200</v>
      </c>
      <c r="AD26" s="18">
        <f t="shared" si="3"/>
        <v>0</v>
      </c>
      <c r="AE26" s="60"/>
      <c r="AF26" s="65"/>
      <c r="AG26" s="14"/>
    </row>
    <row r="27" spans="1:48">
      <c r="A27" s="11">
        <f t="shared" si="8"/>
        <v>24</v>
      </c>
      <c r="B27" s="12" t="s">
        <v>49</v>
      </c>
      <c r="C27" s="12" t="s">
        <v>123</v>
      </c>
      <c r="D27" s="57">
        <v>49100</v>
      </c>
      <c r="E27" s="10">
        <f>4140+5100</f>
        <v>9240</v>
      </c>
      <c r="F27" s="10">
        <f>8900+5680</f>
        <v>14580</v>
      </c>
      <c r="G27" s="10">
        <f>4320+11660</f>
        <v>15980</v>
      </c>
      <c r="H27" s="10"/>
      <c r="I27" s="10">
        <f>6980+9040</f>
        <v>16020</v>
      </c>
      <c r="J27" s="10">
        <f>1220+5800</f>
        <v>7020</v>
      </c>
      <c r="K27" s="10">
        <v>2200</v>
      </c>
      <c r="L27" s="10">
        <f>6960+2100</f>
        <v>9060</v>
      </c>
      <c r="M27" s="10">
        <f>8860+8000</f>
        <v>16860</v>
      </c>
      <c r="N27" s="10">
        <f>5300+10580</f>
        <v>15880</v>
      </c>
      <c r="O27" s="10">
        <v>1580</v>
      </c>
      <c r="P27" s="10">
        <f>7840+12220</f>
        <v>20060</v>
      </c>
      <c r="Q27" s="10">
        <f>9120+11040</f>
        <v>20160</v>
      </c>
      <c r="R27" s="10">
        <f>9460+12660</f>
        <v>22120</v>
      </c>
      <c r="S27" s="10">
        <f>5220+5700</f>
        <v>10920</v>
      </c>
      <c r="T27" s="10">
        <f>1260+180</f>
        <v>1440</v>
      </c>
      <c r="U27" s="10">
        <f>10460+3960</f>
        <v>14420</v>
      </c>
      <c r="V27" s="10"/>
      <c r="W27" s="26"/>
      <c r="X27" s="10">
        <f t="shared" si="0"/>
        <v>49100</v>
      </c>
      <c r="Y27" s="10">
        <f t="shared" si="1"/>
        <v>197540</v>
      </c>
      <c r="Z27" s="14">
        <f>40240+20+3160</f>
        <v>43420</v>
      </c>
      <c r="AA27" s="10">
        <f t="shared" si="2"/>
        <v>203220</v>
      </c>
      <c r="AB27" s="27"/>
      <c r="AC27" s="80">
        <v>203220</v>
      </c>
      <c r="AD27" s="18">
        <f t="shared" si="3"/>
        <v>0</v>
      </c>
      <c r="AE27" s="60"/>
      <c r="AF27" s="65">
        <v>20</v>
      </c>
      <c r="AG27" s="14">
        <f>40240+3160</f>
        <v>43400</v>
      </c>
    </row>
    <row r="28" spans="1:48" ht="15.6" customHeight="1">
      <c r="A28" s="11">
        <f t="shared" si="8"/>
        <v>25</v>
      </c>
      <c r="B28" s="12">
        <v>10009658</v>
      </c>
      <c r="C28" s="12" t="s">
        <v>123</v>
      </c>
      <c r="D28" s="57">
        <v>1960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26"/>
      <c r="X28" s="10">
        <f t="shared" si="0"/>
        <v>1960</v>
      </c>
      <c r="Y28" s="10">
        <f t="shared" si="1"/>
        <v>0</v>
      </c>
      <c r="Z28" s="14"/>
      <c r="AA28" s="10">
        <f>+X28+Y28-Z28</f>
        <v>1960</v>
      </c>
      <c r="AB28" s="27"/>
      <c r="AC28" s="80">
        <v>1960</v>
      </c>
      <c r="AD28" s="18">
        <f t="shared" si="3"/>
        <v>0</v>
      </c>
      <c r="AE28" s="60"/>
      <c r="AF28" s="65"/>
      <c r="AG28" s="14"/>
    </row>
    <row r="29" spans="1:48">
      <c r="A29" s="11">
        <f t="shared" si="8"/>
        <v>26</v>
      </c>
      <c r="B29" s="12">
        <v>10009639</v>
      </c>
      <c r="C29" s="12" t="s">
        <v>123</v>
      </c>
      <c r="D29" s="57">
        <v>3960</v>
      </c>
      <c r="E29" s="10">
        <f>380+960</f>
        <v>1340</v>
      </c>
      <c r="F29" s="10">
        <f>40+1880</f>
        <v>1920</v>
      </c>
      <c r="G29" s="10">
        <v>1820</v>
      </c>
      <c r="H29" s="10"/>
      <c r="I29" s="10">
        <f>940+1040</f>
        <v>1980</v>
      </c>
      <c r="J29" s="10">
        <v>620</v>
      </c>
      <c r="K29" s="10">
        <v>320</v>
      </c>
      <c r="L29" s="10">
        <f>620+380</f>
        <v>1000</v>
      </c>
      <c r="M29" s="10">
        <f>720+1480</f>
        <v>2200</v>
      </c>
      <c r="N29" s="10">
        <v>1780</v>
      </c>
      <c r="O29" s="10">
        <v>540</v>
      </c>
      <c r="P29" s="10">
        <f>840+2020</f>
        <v>2860</v>
      </c>
      <c r="Q29" s="10">
        <f>820+2280</f>
        <v>3100</v>
      </c>
      <c r="R29" s="10">
        <f>940+2200</f>
        <v>3140</v>
      </c>
      <c r="S29" s="10">
        <f>780+940</f>
        <v>1720</v>
      </c>
      <c r="T29" s="10">
        <f>120+120</f>
        <v>240</v>
      </c>
      <c r="U29" s="10">
        <f>1100+1180</f>
        <v>2280</v>
      </c>
      <c r="V29" s="10"/>
      <c r="W29" s="26"/>
      <c r="X29" s="10">
        <f t="shared" si="0"/>
        <v>3960</v>
      </c>
      <c r="Y29" s="10">
        <f t="shared" si="1"/>
        <v>26860</v>
      </c>
      <c r="Z29" s="14">
        <v>2340</v>
      </c>
      <c r="AA29" s="10">
        <f>+X29+Y29-Z29</f>
        <v>28480</v>
      </c>
      <c r="AB29" s="27"/>
      <c r="AC29" s="80">
        <v>28480</v>
      </c>
      <c r="AD29" s="18">
        <f t="shared" si="3"/>
        <v>0</v>
      </c>
      <c r="AE29" s="60"/>
      <c r="AF29" s="65"/>
      <c r="AG29" s="14">
        <v>2340</v>
      </c>
      <c r="AH29" s="5"/>
    </row>
    <row r="30" spans="1:48">
      <c r="A30" s="28">
        <f>+A29+1</f>
        <v>27</v>
      </c>
      <c r="B30" s="31" t="s">
        <v>53</v>
      </c>
      <c r="C30" s="31" t="s">
        <v>124</v>
      </c>
      <c r="D30" s="58">
        <v>420</v>
      </c>
      <c r="E30" s="29"/>
      <c r="F30" s="29"/>
      <c r="G30" s="29"/>
      <c r="H30" s="29"/>
      <c r="I30" s="29">
        <v>3220</v>
      </c>
      <c r="J30" s="29">
        <f>8980+4680</f>
        <v>13660</v>
      </c>
      <c r="K30" s="29">
        <v>4900</v>
      </c>
      <c r="L30" s="29">
        <v>7600</v>
      </c>
      <c r="M30" s="29">
        <f>3140+6620</f>
        <v>9760</v>
      </c>
      <c r="N30" s="29">
        <v>11060</v>
      </c>
      <c r="O30" s="29">
        <v>8160</v>
      </c>
      <c r="P30" s="29"/>
      <c r="Q30" s="29">
        <v>5020</v>
      </c>
      <c r="R30" s="29">
        <f>5020+5600</f>
        <v>10620</v>
      </c>
      <c r="S30" s="29">
        <f>8360+10600</f>
        <v>18960</v>
      </c>
      <c r="T30" s="29">
        <f>6440+2640</f>
        <v>9080</v>
      </c>
      <c r="U30" s="29"/>
      <c r="V30" s="29"/>
      <c r="W30" s="26"/>
      <c r="X30" s="29">
        <f t="shared" si="0"/>
        <v>420</v>
      </c>
      <c r="Y30" s="29">
        <f t="shared" si="1"/>
        <v>102040</v>
      </c>
      <c r="Z30" s="30"/>
      <c r="AA30" s="29">
        <f>+X30+Y30-Z30</f>
        <v>102460</v>
      </c>
      <c r="AB30" s="27"/>
      <c r="AC30" s="80">
        <v>102460</v>
      </c>
      <c r="AD30" s="18">
        <f t="shared" si="3"/>
        <v>0</v>
      </c>
      <c r="AE30" s="60"/>
      <c r="AF30" s="65"/>
      <c r="AG30" s="30"/>
      <c r="AH30" s="5"/>
    </row>
    <row r="31" spans="1:48">
      <c r="A31" s="28">
        <f t="shared" si="4"/>
        <v>28</v>
      </c>
      <c r="B31" s="31" t="s">
        <v>51</v>
      </c>
      <c r="C31" s="31" t="s">
        <v>124</v>
      </c>
      <c r="D31" s="58">
        <v>30140</v>
      </c>
      <c r="E31" s="29"/>
      <c r="F31" s="29"/>
      <c r="G31" s="29"/>
      <c r="H31" s="29"/>
      <c r="I31" s="29"/>
      <c r="J31" s="29"/>
      <c r="K31" s="29"/>
      <c r="L31" s="29"/>
      <c r="M31" s="29"/>
      <c r="N31" s="29">
        <v>640</v>
      </c>
      <c r="O31" s="29"/>
      <c r="P31" s="29"/>
      <c r="Q31" s="29"/>
      <c r="R31" s="29"/>
      <c r="S31" s="29"/>
      <c r="T31" s="29"/>
      <c r="U31" s="29"/>
      <c r="V31" s="29"/>
      <c r="W31" s="26"/>
      <c r="X31" s="29">
        <f t="shared" si="0"/>
        <v>30140</v>
      </c>
      <c r="Y31" s="29">
        <f t="shared" si="1"/>
        <v>640</v>
      </c>
      <c r="Z31" s="30"/>
      <c r="AA31" s="29">
        <f t="shared" si="2"/>
        <v>30780</v>
      </c>
      <c r="AB31" s="27"/>
      <c r="AC31" s="80">
        <v>30780</v>
      </c>
      <c r="AD31" s="18">
        <f t="shared" si="3"/>
        <v>0</v>
      </c>
      <c r="AE31" s="60"/>
      <c r="AF31" s="65"/>
      <c r="AG31" s="30"/>
      <c r="AU31" s="5"/>
    </row>
    <row r="32" spans="1:48">
      <c r="A32" s="28">
        <f>+A30+1</f>
        <v>28</v>
      </c>
      <c r="B32" s="31" t="s">
        <v>38</v>
      </c>
      <c r="C32" s="31" t="s">
        <v>125</v>
      </c>
      <c r="D32" s="58">
        <v>260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6"/>
      <c r="X32" s="29">
        <f t="shared" si="0"/>
        <v>260</v>
      </c>
      <c r="Y32" s="29">
        <f t="shared" si="1"/>
        <v>0</v>
      </c>
      <c r="Z32" s="30"/>
      <c r="AA32" s="29">
        <f t="shared" si="2"/>
        <v>260</v>
      </c>
      <c r="AB32" s="27"/>
      <c r="AC32" s="80">
        <v>260</v>
      </c>
      <c r="AD32" s="18">
        <f t="shared" si="3"/>
        <v>0</v>
      </c>
      <c r="AE32" s="60"/>
      <c r="AF32" s="65"/>
      <c r="AG32" s="30"/>
      <c r="AU32" s="5"/>
    </row>
    <row r="33" spans="1:48">
      <c r="A33" s="28"/>
      <c r="B33" s="31">
        <v>10007050</v>
      </c>
      <c r="C33" s="31" t="s">
        <v>87</v>
      </c>
      <c r="D33" s="58">
        <v>0</v>
      </c>
      <c r="E33" s="29"/>
      <c r="F33" s="36"/>
      <c r="G33" s="36"/>
      <c r="H33" s="36"/>
      <c r="I33" s="36"/>
      <c r="J33" s="36">
        <f>1080+900</f>
        <v>1980</v>
      </c>
      <c r="K33" s="36">
        <v>680</v>
      </c>
      <c r="L33" s="36">
        <v>0</v>
      </c>
      <c r="M33" s="36">
        <v>1160</v>
      </c>
      <c r="N33" s="36">
        <v>2340</v>
      </c>
      <c r="O33" s="36">
        <v>860</v>
      </c>
      <c r="P33" s="36"/>
      <c r="Q33" s="36">
        <v>500</v>
      </c>
      <c r="R33" s="36">
        <f>720+0</f>
        <v>720</v>
      </c>
      <c r="S33" s="36">
        <f>1240+960</f>
        <v>2200</v>
      </c>
      <c r="T33" s="36">
        <v>1300</v>
      </c>
      <c r="U33" s="36"/>
      <c r="V33" s="36"/>
      <c r="W33" s="27"/>
      <c r="X33" s="29">
        <f t="shared" si="0"/>
        <v>0</v>
      </c>
      <c r="Y33" s="29">
        <f t="shared" si="1"/>
        <v>11740</v>
      </c>
      <c r="Z33" s="30"/>
      <c r="AA33" s="29">
        <f t="shared" ref="AA33" si="9">+X33+Y33-Z33</f>
        <v>11740</v>
      </c>
      <c r="AB33" s="27"/>
      <c r="AC33" s="80">
        <v>11740</v>
      </c>
      <c r="AD33" s="18">
        <f t="shared" si="3"/>
        <v>0</v>
      </c>
      <c r="AE33" s="60"/>
      <c r="AF33" s="65"/>
      <c r="AG33" s="30"/>
      <c r="AU33" s="5"/>
    </row>
    <row r="34" spans="1:48" ht="18.600000000000001" customHeight="1">
      <c r="A34" s="28">
        <f>+A31+1</f>
        <v>29</v>
      </c>
      <c r="B34" s="31"/>
      <c r="C34" s="31" t="s">
        <v>81</v>
      </c>
      <c r="D34" s="58">
        <v>1130</v>
      </c>
      <c r="E34" s="29"/>
      <c r="F34" s="36">
        <v>860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>
        <v>2710</v>
      </c>
      <c r="W34" s="27"/>
      <c r="X34" s="29">
        <f t="shared" si="0"/>
        <v>1130</v>
      </c>
      <c r="Y34" s="29">
        <f t="shared" si="1"/>
        <v>3570</v>
      </c>
      <c r="Z34" s="30"/>
      <c r="AA34" s="29">
        <f t="shared" si="2"/>
        <v>4700</v>
      </c>
      <c r="AB34" s="27"/>
      <c r="AC34" s="82">
        <f>1990+2710</f>
        <v>4700</v>
      </c>
      <c r="AD34" s="18">
        <f t="shared" si="3"/>
        <v>0</v>
      </c>
      <c r="AE34" s="18"/>
      <c r="AF34" s="65"/>
      <c r="AG34" s="30"/>
    </row>
    <row r="35" spans="1:48" ht="18.600000000000001" customHeight="1">
      <c r="A35" s="28">
        <f>+A32+1</f>
        <v>29</v>
      </c>
      <c r="B35" s="31"/>
      <c r="C35" s="31" t="s">
        <v>82</v>
      </c>
      <c r="D35" s="58">
        <v>300</v>
      </c>
      <c r="E35" s="29"/>
      <c r="F35" s="36">
        <v>120</v>
      </c>
      <c r="G35" s="36">
        <v>220</v>
      </c>
      <c r="H35" s="36"/>
      <c r="I35" s="36"/>
      <c r="J35" s="36"/>
      <c r="K35" s="36"/>
      <c r="L35" s="36"/>
      <c r="M35" s="36">
        <v>20</v>
      </c>
      <c r="N35" s="36"/>
      <c r="O35" s="36">
        <v>80</v>
      </c>
      <c r="P35" s="36"/>
      <c r="Q35" s="36"/>
      <c r="R35" s="36">
        <v>20</v>
      </c>
      <c r="S35" s="36">
        <f>40+20</f>
        <v>60</v>
      </c>
      <c r="T35" s="36"/>
      <c r="U35" s="36">
        <v>120</v>
      </c>
      <c r="V35" s="36"/>
      <c r="W35" s="27"/>
      <c r="X35" s="29">
        <f t="shared" si="0"/>
        <v>300</v>
      </c>
      <c r="Y35" s="29">
        <f t="shared" si="1"/>
        <v>640</v>
      </c>
      <c r="Z35" s="30"/>
      <c r="AA35" s="29">
        <f t="shared" si="2"/>
        <v>940</v>
      </c>
      <c r="AB35" s="27"/>
      <c r="AC35" s="82">
        <f>300+640</f>
        <v>940</v>
      </c>
      <c r="AD35" s="18">
        <f t="shared" si="3"/>
        <v>0</v>
      </c>
      <c r="AE35" s="18"/>
      <c r="AF35" s="65"/>
      <c r="AG35" s="30"/>
    </row>
    <row r="36" spans="1:48">
      <c r="A36" s="28">
        <f t="shared" ref="A36:A37" si="10">+A34+1</f>
        <v>30</v>
      </c>
      <c r="B36" s="31"/>
      <c r="C36" s="31" t="s">
        <v>83</v>
      </c>
      <c r="D36" s="58">
        <v>1250</v>
      </c>
      <c r="E36" s="29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27"/>
      <c r="X36" s="29">
        <f t="shared" si="0"/>
        <v>1250</v>
      </c>
      <c r="Y36" s="29">
        <f t="shared" si="1"/>
        <v>0</v>
      </c>
      <c r="Z36" s="30"/>
      <c r="AA36" s="29">
        <f t="shared" si="2"/>
        <v>1250</v>
      </c>
      <c r="AB36" s="27"/>
      <c r="AC36" s="82">
        <v>1250</v>
      </c>
      <c r="AD36" s="18">
        <f t="shared" si="3"/>
        <v>0</v>
      </c>
      <c r="AE36" s="18"/>
      <c r="AF36" s="65"/>
      <c r="AG36" s="30"/>
    </row>
    <row r="37" spans="1:48">
      <c r="A37" s="28">
        <f t="shared" si="10"/>
        <v>30</v>
      </c>
      <c r="B37" s="31"/>
      <c r="C37" s="31" t="s">
        <v>84</v>
      </c>
      <c r="D37" s="58">
        <v>1260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27"/>
      <c r="X37" s="29">
        <f t="shared" si="0"/>
        <v>1260</v>
      </c>
      <c r="Y37" s="29">
        <f t="shared" si="1"/>
        <v>0</v>
      </c>
      <c r="Z37" s="30"/>
      <c r="AA37" s="29">
        <f t="shared" si="2"/>
        <v>1260</v>
      </c>
      <c r="AB37" s="27"/>
      <c r="AC37" s="82">
        <v>1260</v>
      </c>
      <c r="AD37" s="18">
        <f t="shared" si="3"/>
        <v>0</v>
      </c>
      <c r="AE37" s="18"/>
      <c r="AF37" s="65"/>
      <c r="AG37" s="30"/>
    </row>
    <row r="38" spans="1:48" s="15" customFormat="1">
      <c r="A38" s="23">
        <f>+A37+1</f>
        <v>31</v>
      </c>
      <c r="B38" s="32">
        <v>10009337</v>
      </c>
      <c r="C38" s="32" t="s">
        <v>62</v>
      </c>
      <c r="D38" s="56">
        <v>9375</v>
      </c>
      <c r="E38" s="24"/>
      <c r="F38" s="33"/>
      <c r="G38" s="33"/>
      <c r="H38" s="33"/>
      <c r="I38" s="33"/>
      <c r="J38" s="33">
        <v>1320</v>
      </c>
      <c r="K38" s="33">
        <v>945</v>
      </c>
      <c r="L38" s="33"/>
      <c r="M38" s="33">
        <v>870</v>
      </c>
      <c r="N38" s="33">
        <v>1890</v>
      </c>
      <c r="O38" s="33">
        <v>810</v>
      </c>
      <c r="P38" s="33"/>
      <c r="Q38" s="33"/>
      <c r="R38" s="33">
        <v>1125</v>
      </c>
      <c r="S38" s="33">
        <f>375+2730</f>
        <v>3105</v>
      </c>
      <c r="T38" s="33">
        <f>450+495</f>
        <v>945</v>
      </c>
      <c r="U38" s="33"/>
      <c r="V38" s="33"/>
      <c r="W38" s="27"/>
      <c r="X38" s="33">
        <f t="shared" si="0"/>
        <v>9375</v>
      </c>
      <c r="Y38" s="24">
        <f t="shared" si="1"/>
        <v>11010</v>
      </c>
      <c r="Z38" s="46"/>
      <c r="AA38" s="24">
        <f t="shared" si="2"/>
        <v>20385</v>
      </c>
      <c r="AB38" s="27">
        <v>52320</v>
      </c>
      <c r="AC38" s="81">
        <v>20385</v>
      </c>
      <c r="AD38" s="18">
        <f t="shared" si="3"/>
        <v>0</v>
      </c>
      <c r="AE38" s="18"/>
      <c r="AF38" s="66"/>
      <c r="AG38" s="46"/>
      <c r="AT38" s="3"/>
      <c r="AU38" s="3"/>
      <c r="AV38" s="3"/>
    </row>
    <row r="39" spans="1:48" s="15" customFormat="1">
      <c r="A39" s="23">
        <f t="shared" ref="A39" si="11">+A38+1</f>
        <v>32</v>
      </c>
      <c r="B39" s="32">
        <v>10009332</v>
      </c>
      <c r="C39" s="32" t="s">
        <v>64</v>
      </c>
      <c r="D39" s="56">
        <v>5565</v>
      </c>
      <c r="E39" s="24"/>
      <c r="F39" s="33"/>
      <c r="G39" s="33"/>
      <c r="H39" s="33"/>
      <c r="I39" s="33"/>
      <c r="J39" s="33">
        <f>885+315</f>
        <v>1200</v>
      </c>
      <c r="K39" s="33">
        <v>870</v>
      </c>
      <c r="L39" s="33"/>
      <c r="M39" s="33">
        <v>780</v>
      </c>
      <c r="N39" s="33">
        <v>2355</v>
      </c>
      <c r="O39" s="33">
        <v>885</v>
      </c>
      <c r="P39" s="33"/>
      <c r="Q39" s="33"/>
      <c r="R39" s="33">
        <v>1065</v>
      </c>
      <c r="S39" s="33">
        <v>2445</v>
      </c>
      <c r="T39" s="33">
        <f>885+180</f>
        <v>1065</v>
      </c>
      <c r="U39" s="33"/>
      <c r="V39" s="33"/>
      <c r="W39" s="27"/>
      <c r="X39" s="33">
        <f t="shared" si="0"/>
        <v>5565</v>
      </c>
      <c r="Y39" s="24">
        <f t="shared" si="1"/>
        <v>10665</v>
      </c>
      <c r="Z39" s="46"/>
      <c r="AA39" s="24">
        <f t="shared" si="2"/>
        <v>16230</v>
      </c>
      <c r="AB39" s="27"/>
      <c r="AC39" s="81">
        <v>16230</v>
      </c>
      <c r="AD39" s="18">
        <f t="shared" si="3"/>
        <v>0</v>
      </c>
      <c r="AE39" s="18"/>
      <c r="AF39" s="75"/>
      <c r="AG39" s="46"/>
      <c r="AT39" s="3"/>
      <c r="AU39" s="3"/>
      <c r="AV39" s="3"/>
    </row>
    <row r="40" spans="1:48" s="15" customFormat="1">
      <c r="A40" s="48">
        <f>+A39+1</f>
        <v>33</v>
      </c>
      <c r="B40" s="49"/>
      <c r="C40" s="49" t="s">
        <v>65</v>
      </c>
      <c r="D40" s="72">
        <v>66.174999999999997</v>
      </c>
      <c r="E40" s="50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2"/>
      <c r="X40" s="67">
        <f t="shared" si="0"/>
        <v>66.174999999999997</v>
      </c>
      <c r="Y40" s="68">
        <f t="shared" si="1"/>
        <v>0</v>
      </c>
      <c r="Z40" s="69"/>
      <c r="AA40" s="71">
        <f t="shared" si="2"/>
        <v>66.174999999999997</v>
      </c>
      <c r="AB40" s="70"/>
      <c r="AC40" s="83">
        <v>66.174999999999997</v>
      </c>
      <c r="AD40" s="18">
        <f t="shared" si="3"/>
        <v>0</v>
      </c>
      <c r="AE40" s="18"/>
      <c r="AF40" s="66"/>
      <c r="AG40" s="69"/>
      <c r="AT40" s="3"/>
      <c r="AU40" s="3"/>
      <c r="AV40" s="3"/>
    </row>
    <row r="41" spans="1:48" s="15" customFormat="1">
      <c r="A41" s="48">
        <f t="shared" ref="A41:A42" si="12">+A40+1</f>
        <v>34</v>
      </c>
      <c r="B41" s="49"/>
      <c r="C41" s="49" t="s">
        <v>66</v>
      </c>
      <c r="D41" s="72">
        <v>26.774999999999999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2"/>
      <c r="X41" s="67">
        <f t="shared" si="0"/>
        <v>26.774999999999999</v>
      </c>
      <c r="Y41" s="68">
        <f t="shared" si="1"/>
        <v>0</v>
      </c>
      <c r="Z41" s="69"/>
      <c r="AA41" s="71">
        <f t="shared" si="2"/>
        <v>26.774999999999999</v>
      </c>
      <c r="AB41" s="70"/>
      <c r="AC41" s="83">
        <v>26.774999999999999</v>
      </c>
      <c r="AD41" s="18">
        <f t="shared" si="3"/>
        <v>0</v>
      </c>
      <c r="AE41" s="18"/>
      <c r="AF41" s="66"/>
      <c r="AG41" s="69"/>
      <c r="AT41" s="3"/>
      <c r="AU41" s="3"/>
      <c r="AV41" s="3"/>
    </row>
    <row r="42" spans="1:48" s="15" customFormat="1">
      <c r="A42" s="48">
        <f t="shared" si="12"/>
        <v>35</v>
      </c>
      <c r="B42" s="49"/>
      <c r="C42" s="49" t="s">
        <v>80</v>
      </c>
      <c r="D42" s="72">
        <v>23.85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2"/>
      <c r="X42" s="67">
        <f t="shared" si="0"/>
        <v>23.85</v>
      </c>
      <c r="Y42" s="68">
        <f t="shared" si="1"/>
        <v>0</v>
      </c>
      <c r="Z42" s="69"/>
      <c r="AA42" s="71">
        <f t="shared" si="2"/>
        <v>23.85</v>
      </c>
      <c r="AB42" s="70"/>
      <c r="AC42" s="83">
        <v>23.85</v>
      </c>
      <c r="AD42" s="18">
        <f t="shared" si="3"/>
        <v>0</v>
      </c>
      <c r="AE42" s="18"/>
      <c r="AF42" s="66"/>
      <c r="AG42" s="69"/>
      <c r="AT42" s="3"/>
      <c r="AU42" s="3"/>
      <c r="AV42" s="3"/>
    </row>
    <row r="43" spans="1:48">
      <c r="A43" s="43">
        <f>+A42+1</f>
        <v>36</v>
      </c>
      <c r="B43" s="44" t="s">
        <v>25</v>
      </c>
      <c r="C43" s="44" t="s">
        <v>26</v>
      </c>
      <c r="D43" s="59">
        <v>1120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>
        <f t="shared" si="0"/>
        <v>1120</v>
      </c>
      <c r="Y43" s="42">
        <f t="shared" si="1"/>
        <v>0</v>
      </c>
      <c r="Z43" s="42"/>
      <c r="AA43" s="42">
        <f>SUM(G43:X43)</f>
        <v>1120</v>
      </c>
      <c r="AB43" s="27"/>
      <c r="AC43" s="84">
        <v>1120</v>
      </c>
      <c r="AD43" s="18">
        <f t="shared" si="3"/>
        <v>0</v>
      </c>
      <c r="AE43" s="18"/>
      <c r="AF43" s="65"/>
      <c r="AG43" s="42"/>
    </row>
    <row r="44" spans="1:48" ht="3.6" customHeight="1"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27"/>
    </row>
    <row r="45" spans="1:48" ht="15.75">
      <c r="C45" s="1" t="s">
        <v>92</v>
      </c>
      <c r="D45" s="6">
        <f>SUM(D3:D43)</f>
        <v>642576.80000000005</v>
      </c>
      <c r="E45" s="6">
        <f>SUM(E3:E37)</f>
        <v>74600</v>
      </c>
      <c r="F45" s="6">
        <f>SUM(F3:F43)</f>
        <v>102180</v>
      </c>
      <c r="G45" s="6">
        <f>SUM(G3:G43)</f>
        <v>106420</v>
      </c>
      <c r="H45" s="6">
        <f>SUM(H3:H43)</f>
        <v>14400</v>
      </c>
      <c r="I45" s="6">
        <f t="shared" ref="I45:V45" si="13">SUM(I3:I43)</f>
        <v>89480</v>
      </c>
      <c r="J45" s="6">
        <f t="shared" si="13"/>
        <v>63880</v>
      </c>
      <c r="K45" s="6">
        <f t="shared" si="13"/>
        <v>28155</v>
      </c>
      <c r="L45" s="6">
        <f t="shared" si="13"/>
        <v>49040</v>
      </c>
      <c r="M45" s="6">
        <f t="shared" si="13"/>
        <v>84570</v>
      </c>
      <c r="N45" s="6">
        <f t="shared" si="13"/>
        <v>102705</v>
      </c>
      <c r="O45" s="6">
        <f t="shared" si="13"/>
        <v>55355</v>
      </c>
      <c r="P45" s="6">
        <f t="shared" si="13"/>
        <v>96810</v>
      </c>
      <c r="Q45" s="6">
        <f t="shared" si="13"/>
        <v>128472</v>
      </c>
      <c r="R45" s="6">
        <f t="shared" si="13"/>
        <v>143752</v>
      </c>
      <c r="S45" s="6">
        <f t="shared" si="13"/>
        <v>133970</v>
      </c>
      <c r="T45" s="6">
        <f t="shared" si="13"/>
        <v>27930</v>
      </c>
      <c r="U45" s="6">
        <f t="shared" si="13"/>
        <v>95740</v>
      </c>
      <c r="V45" s="6">
        <f t="shared" si="13"/>
        <v>21410</v>
      </c>
      <c r="W45" s="5">
        <f>SUM(W3:W37)</f>
        <v>0</v>
      </c>
      <c r="X45" s="6">
        <f>SUM(X3:X43)</f>
        <v>642576.80000000005</v>
      </c>
      <c r="Y45" s="6">
        <f>SUM(Y3:Y43)</f>
        <v>1418869</v>
      </c>
      <c r="Z45" s="73">
        <f>SUM(Z3:Z43)</f>
        <v>404880</v>
      </c>
      <c r="AA45" s="35">
        <f>SUM(AA3:AA44)</f>
        <v>1656565.8</v>
      </c>
      <c r="AB45" s="27"/>
      <c r="AC45" s="9">
        <f>SUM(AC1:AC43)</f>
        <v>1656565.8</v>
      </c>
      <c r="AD45" s="5">
        <f>SUM(AD1:AD43)</f>
        <v>0</v>
      </c>
      <c r="AE45" s="5">
        <f>SUM(AE1:AE43)</f>
        <v>0</v>
      </c>
      <c r="AF45" s="5">
        <f>SUM(AF1:AF43)</f>
        <v>280</v>
      </c>
      <c r="AG45" s="5">
        <f>SUM(AG1:AG43)</f>
        <v>404600</v>
      </c>
      <c r="AQ45" s="3">
        <f>SUM(AQ4:AQ44)</f>
        <v>0</v>
      </c>
      <c r="AR45" s="5">
        <f>+AQ45-AA45</f>
        <v>-1656565.8</v>
      </c>
    </row>
    <row r="46" spans="1:48" ht="3.6" customHeight="1">
      <c r="AB46" s="27"/>
      <c r="AD46" s="5"/>
    </row>
    <row r="47" spans="1:48">
      <c r="D47" s="74"/>
      <c r="AD47" s="5"/>
      <c r="AG47" s="5"/>
    </row>
    <row r="48" spans="1:48">
      <c r="D48" s="5"/>
      <c r="X48" s="126" t="s">
        <v>85</v>
      </c>
      <c r="Y48" s="127"/>
      <c r="Z48" s="127"/>
      <c r="AA48" s="62">
        <f>+AA45/1000</f>
        <v>1656.5658000000001</v>
      </c>
      <c r="AD48" s="5" t="s">
        <v>71</v>
      </c>
      <c r="AG48" s="3" t="s">
        <v>78</v>
      </c>
    </row>
    <row r="49" spans="24:33">
      <c r="X49" s="3" t="s">
        <v>70</v>
      </c>
      <c r="Y49" s="61"/>
      <c r="Z49" s="61"/>
      <c r="AA49" s="63"/>
      <c r="AD49" s="5" t="s">
        <v>72</v>
      </c>
      <c r="AE49" s="3">
        <f>+AG45/1000</f>
        <v>404.6</v>
      </c>
      <c r="AG49" s="3">
        <v>0</v>
      </c>
    </row>
    <row r="50" spans="24:33">
      <c r="Y50" s="61"/>
      <c r="Z50" s="61"/>
      <c r="AA50" s="63"/>
      <c r="AD50" s="3" t="s">
        <v>73</v>
      </c>
      <c r="AE50" s="3">
        <f>+AE45/1000</f>
        <v>0</v>
      </c>
    </row>
    <row r="51" spans="24:33">
      <c r="Y51" s="61"/>
      <c r="Z51" s="61"/>
      <c r="AA51" s="63"/>
      <c r="AD51" s="3" t="s">
        <v>74</v>
      </c>
      <c r="AE51" s="3">
        <f>+AF45/1000</f>
        <v>0.28000000000000003</v>
      </c>
      <c r="AG51" s="3">
        <f>+AG45/1000</f>
        <v>404.6</v>
      </c>
    </row>
    <row r="52" spans="24:33">
      <c r="X52" s="126" t="s">
        <v>67</v>
      </c>
      <c r="Y52" s="127"/>
      <c r="Z52" s="127"/>
      <c r="AA52" s="64">
        <f>+AA48-AA49-AA50-AA51</f>
        <v>1656.5658000000001</v>
      </c>
      <c r="AD52" s="63"/>
      <c r="AE52" s="3">
        <f>SUM(AE49:AE51)</f>
        <v>404.88</v>
      </c>
    </row>
    <row r="53" spans="24:33">
      <c r="AD53" s="63"/>
      <c r="AE53" s="63"/>
    </row>
    <row r="54" spans="24:33">
      <c r="AE54" s="63"/>
    </row>
    <row r="55" spans="24:33">
      <c r="Y55" s="5"/>
    </row>
    <row r="56" spans="24:33">
      <c r="Y56" s="5"/>
      <c r="AA56" s="63"/>
    </row>
  </sheetData>
  <mergeCells count="7">
    <mergeCell ref="AD1:AD2"/>
    <mergeCell ref="X48:Z48"/>
    <mergeCell ref="X52:Z52"/>
    <mergeCell ref="A1:A2"/>
    <mergeCell ref="C1:C2"/>
    <mergeCell ref="D1:V1"/>
    <mergeCell ref="X1:AA1"/>
  </mergeCells>
  <pageMargins left="0.31496062992125984" right="0.70866141732283472" top="0.15748031496062992" bottom="0.15748031496062992" header="0" footer="0.31496062992125984"/>
  <pageSetup paperSize="32004" scale="24" orientation="landscape" horizontalDpi="203" verticalDpi="203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Marzo2026</vt:lpstr>
      <vt:lpstr>Febrero2026</vt:lpstr>
      <vt:lpstr>Enero2026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Cruzado (PFRO)</dc:creator>
  <cp:lastModifiedBy>Xitanium</cp:lastModifiedBy>
  <cp:lastPrinted>2025-03-28T22:25:46Z</cp:lastPrinted>
  <dcterms:created xsi:type="dcterms:W3CDTF">2025-03-21T00:36:50Z</dcterms:created>
  <dcterms:modified xsi:type="dcterms:W3CDTF">2026-03-29T07:28:42Z</dcterms:modified>
</cp:coreProperties>
</file>