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7B4A742C-2AFB-4B63-802E-57694C129C6B}" xr6:coauthVersionLast="47" xr6:coauthVersionMax="47" xr10:uidLastSave="{00000000-0000-0000-0000-000000000000}"/>
  <bookViews>
    <workbookView xWindow="-108" yWindow="-108" windowWidth="23256" windowHeight="13896" xr2:uid="{205FC62D-6C5F-4689-A9D3-4E40E2295EC5}"/>
  </bookViews>
  <sheets>
    <sheet name="RESUMEN AL 31-8-2026" sheetId="3" r:id="rId1"/>
    <sheet name="TD" sheetId="2" r:id="rId2"/>
    <sheet name="STOCK LIBRE" sheetId="1" r:id="rId3"/>
  </sheets>
  <calcPr calcId="191029" iterate="1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8" i="3" l="1"/>
  <c r="J7" i="3"/>
  <c r="J8" i="3"/>
  <c r="J40" i="3" s="1"/>
  <c r="J9" i="3"/>
  <c r="J10" i="3"/>
  <c r="J11" i="3"/>
  <c r="J12" i="3"/>
  <c r="J44" i="3" s="1"/>
  <c r="J13" i="3"/>
  <c r="J45" i="3" s="1"/>
  <c r="J14" i="3"/>
  <c r="J15" i="3"/>
  <c r="J16" i="3"/>
  <c r="J17" i="3"/>
  <c r="J49" i="3" s="1"/>
  <c r="I7" i="3"/>
  <c r="I8" i="3"/>
  <c r="I9" i="3"/>
  <c r="I10" i="3"/>
  <c r="I11" i="3"/>
  <c r="I12" i="3"/>
  <c r="I13" i="3"/>
  <c r="I45" i="3" s="1"/>
  <c r="I14" i="3"/>
  <c r="I15" i="3"/>
  <c r="I16" i="3"/>
  <c r="I48" i="3" s="1"/>
  <c r="I17" i="3"/>
  <c r="H7" i="3"/>
  <c r="H8" i="3"/>
  <c r="H40" i="3" s="1"/>
  <c r="H9" i="3"/>
  <c r="H10" i="3"/>
  <c r="H11" i="3"/>
  <c r="H12" i="3"/>
  <c r="H44" i="3" s="1"/>
  <c r="H13" i="3"/>
  <c r="H14" i="3"/>
  <c r="H15" i="3"/>
  <c r="H16" i="3"/>
  <c r="H17" i="3"/>
  <c r="H49" i="3" s="1"/>
  <c r="G7" i="3"/>
  <c r="G8" i="3"/>
  <c r="G40" i="3" s="1"/>
  <c r="G9" i="3"/>
  <c r="G10" i="3"/>
  <c r="M10" i="3" s="1"/>
  <c r="N10" i="3" s="1"/>
  <c r="G11" i="3"/>
  <c r="G12" i="3"/>
  <c r="G44" i="3" s="1"/>
  <c r="G13" i="3"/>
  <c r="G45" i="3" s="1"/>
  <c r="G14" i="3"/>
  <c r="G15" i="3"/>
  <c r="G16" i="3"/>
  <c r="G48" i="3" s="1"/>
  <c r="G17" i="3"/>
  <c r="F7" i="3"/>
  <c r="F8" i="3"/>
  <c r="E8" i="3" s="1"/>
  <c r="F9" i="3"/>
  <c r="F10" i="3"/>
  <c r="E10" i="3" s="1"/>
  <c r="E30" i="3" s="1"/>
  <c r="F30" i="3" s="1"/>
  <c r="F11" i="3"/>
  <c r="F12" i="3"/>
  <c r="E12" i="3" s="1"/>
  <c r="F13" i="3"/>
  <c r="E13" i="3" s="1"/>
  <c r="F14" i="3"/>
  <c r="F15" i="3"/>
  <c r="F16" i="3"/>
  <c r="F48" i="3" s="1"/>
  <c r="F17" i="3"/>
  <c r="F49" i="3" s="1"/>
  <c r="D7" i="3"/>
  <c r="E7" i="3" s="1"/>
  <c r="E25" i="3" s="1"/>
  <c r="F25" i="3" s="1"/>
  <c r="D8" i="3"/>
  <c r="D40" i="3" s="1"/>
  <c r="D9" i="3"/>
  <c r="D10" i="3"/>
  <c r="D11" i="3"/>
  <c r="R11" i="3" s="1"/>
  <c r="D12" i="3"/>
  <c r="D13" i="3"/>
  <c r="D45" i="3" s="1"/>
  <c r="D14" i="3"/>
  <c r="D46" i="3" s="1"/>
  <c r="D15" i="3"/>
  <c r="D47" i="3" s="1"/>
  <c r="D16" i="3"/>
  <c r="D17" i="3"/>
  <c r="D49" i="3" s="1"/>
  <c r="R18" i="3"/>
  <c r="K50" i="3"/>
  <c r="S49" i="3"/>
  <c r="I49" i="3"/>
  <c r="S48" i="3"/>
  <c r="P48" i="3"/>
  <c r="S47" i="3"/>
  <c r="S46" i="3"/>
  <c r="S45" i="3"/>
  <c r="S44" i="3"/>
  <c r="S43" i="3"/>
  <c r="S42" i="3"/>
  <c r="S41" i="3"/>
  <c r="T41" i="3" s="1"/>
  <c r="D41" i="3"/>
  <c r="P41" i="3" s="1"/>
  <c r="S40" i="3"/>
  <c r="I40" i="3"/>
  <c r="F40" i="3"/>
  <c r="S39" i="3"/>
  <c r="L33" i="3"/>
  <c r="K31" i="3"/>
  <c r="D31" i="3"/>
  <c r="S55" i="3" s="1"/>
  <c r="R30" i="3"/>
  <c r="G30" i="3"/>
  <c r="R29" i="3"/>
  <c r="G29" i="3"/>
  <c r="G47" i="3" s="1"/>
  <c r="R28" i="3"/>
  <c r="R31" i="3" s="1"/>
  <c r="Q31" i="3" s="1"/>
  <c r="G28" i="3"/>
  <c r="R27" i="3"/>
  <c r="G27" i="3"/>
  <c r="R26" i="3"/>
  <c r="G26" i="3"/>
  <c r="R25" i="3"/>
  <c r="G25" i="3"/>
  <c r="R22" i="3"/>
  <c r="K20" i="3"/>
  <c r="K33" i="3" s="1"/>
  <c r="O19" i="3"/>
  <c r="R19" i="3"/>
  <c r="J48" i="3"/>
  <c r="H48" i="3"/>
  <c r="H45" i="3"/>
  <c r="I44" i="3"/>
  <c r="R10" i="3"/>
  <c r="G42" i="3"/>
  <c r="D42" i="3"/>
  <c r="P42" i="3" s="1"/>
  <c r="R9" i="3"/>
  <c r="G39" i="3"/>
  <c r="H39" i="1"/>
  <c r="H38" i="1"/>
  <c r="H37" i="1"/>
  <c r="H36" i="1"/>
  <c r="H35" i="1"/>
  <c r="H34" i="1"/>
  <c r="H33" i="1"/>
  <c r="H26" i="1"/>
  <c r="H27" i="1"/>
  <c r="H28" i="1"/>
  <c r="H29" i="1"/>
  <c r="H30" i="1"/>
  <c r="H31" i="1"/>
  <c r="H32" i="1"/>
  <c r="H20" i="1"/>
  <c r="H21" i="1"/>
  <c r="H22" i="1"/>
  <c r="H23" i="1"/>
  <c r="H24" i="1"/>
  <c r="H25" i="1"/>
  <c r="H10" i="1"/>
  <c r="H9" i="1"/>
  <c r="H8" i="1"/>
  <c r="H3" i="1"/>
  <c r="H4" i="1"/>
  <c r="H5" i="1"/>
  <c r="H6" i="1"/>
  <c r="H7" i="1"/>
  <c r="H19" i="1"/>
  <c r="H18" i="1"/>
  <c r="H17" i="1"/>
  <c r="H11" i="1"/>
  <c r="H12" i="1"/>
  <c r="H13" i="1"/>
  <c r="H14" i="1"/>
  <c r="H15" i="1"/>
  <c r="H16" i="1"/>
  <c r="G31" i="3" l="1"/>
  <c r="R8" i="3"/>
  <c r="R15" i="3"/>
  <c r="F45" i="3"/>
  <c r="G41" i="3"/>
  <c r="D43" i="3"/>
  <c r="P43" i="3" s="1"/>
  <c r="M9" i="3"/>
  <c r="N9" i="3" s="1"/>
  <c r="O7" i="3"/>
  <c r="P7" i="3" s="1"/>
  <c r="J20" i="3"/>
  <c r="J30" i="3" s="1"/>
  <c r="J42" i="3" s="1"/>
  <c r="T42" i="3"/>
  <c r="T40" i="3"/>
  <c r="P46" i="3"/>
  <c r="O16" i="3"/>
  <c r="M16" i="3"/>
  <c r="M13" i="3"/>
  <c r="N13" i="3" s="1"/>
  <c r="O11" i="3"/>
  <c r="P11" i="3" s="1"/>
  <c r="O9" i="3"/>
  <c r="E17" i="3"/>
  <c r="E16" i="3"/>
  <c r="O10" i="3"/>
  <c r="P10" i="3" s="1"/>
  <c r="M11" i="3"/>
  <c r="N11" i="3" s="1"/>
  <c r="N16" i="3"/>
  <c r="P16" i="3"/>
  <c r="P9" i="3"/>
  <c r="R16" i="3"/>
  <c r="T48" i="3"/>
  <c r="E18" i="3"/>
  <c r="R14" i="3"/>
  <c r="E48" i="3"/>
  <c r="U40" i="3"/>
  <c r="P47" i="3"/>
  <c r="M17" i="3"/>
  <c r="N17" i="3" s="1"/>
  <c r="G49" i="3"/>
  <c r="M49" i="3" s="1"/>
  <c r="O17" i="3"/>
  <c r="P17" i="3" s="1"/>
  <c r="E40" i="3"/>
  <c r="M40" i="3"/>
  <c r="N40" i="3" s="1"/>
  <c r="R7" i="3"/>
  <c r="D20" i="3"/>
  <c r="D33" i="3" s="1"/>
  <c r="D39" i="3"/>
  <c r="T39" i="3" s="1"/>
  <c r="M14" i="3"/>
  <c r="G46" i="3"/>
  <c r="O14" i="3"/>
  <c r="P14" i="3" s="1"/>
  <c r="E19" i="3"/>
  <c r="D44" i="3"/>
  <c r="R12" i="3"/>
  <c r="H20" i="3"/>
  <c r="O12" i="3"/>
  <c r="P12" i="3" s="1"/>
  <c r="M12" i="3"/>
  <c r="N12" i="3" s="1"/>
  <c r="F44" i="3"/>
  <c r="P19" i="3"/>
  <c r="S9" i="3"/>
  <c r="T9" i="3" s="1"/>
  <c r="F39" i="3"/>
  <c r="E11" i="3"/>
  <c r="E27" i="3" s="1"/>
  <c r="F27" i="3" s="1"/>
  <c r="G20" i="3"/>
  <c r="G33" i="3" s="1"/>
  <c r="P49" i="3"/>
  <c r="R13" i="3"/>
  <c r="M15" i="3"/>
  <c r="N15" i="3" s="1"/>
  <c r="P40" i="3"/>
  <c r="M19" i="3"/>
  <c r="N19" i="3" s="1"/>
  <c r="I20" i="3"/>
  <c r="U10" i="3"/>
  <c r="V10" i="3" s="1"/>
  <c r="S10" i="3"/>
  <c r="T10" i="3" s="1"/>
  <c r="O13" i="3"/>
  <c r="P13" i="3" s="1"/>
  <c r="O15" i="3"/>
  <c r="P15" i="3" s="1"/>
  <c r="R17" i="3"/>
  <c r="O18" i="3"/>
  <c r="P18" i="3" s="1"/>
  <c r="M18" i="3"/>
  <c r="N18" i="3" s="1"/>
  <c r="T46" i="3"/>
  <c r="M48" i="3"/>
  <c r="U48" i="3" s="1"/>
  <c r="F20" i="3"/>
  <c r="M7" i="3"/>
  <c r="G43" i="3"/>
  <c r="M45" i="3"/>
  <c r="M8" i="3"/>
  <c r="S8" i="3" s="1"/>
  <c r="T8" i="3" s="1"/>
  <c r="O8" i="3"/>
  <c r="P8" i="3" s="1"/>
  <c r="F42" i="3"/>
  <c r="E14" i="3"/>
  <c r="E28" i="3" s="1"/>
  <c r="F28" i="3" s="1"/>
  <c r="E9" i="3"/>
  <c r="E26" i="3" s="1"/>
  <c r="F26" i="3" s="1"/>
  <c r="E15" i="3"/>
  <c r="E29" i="3" s="1"/>
  <c r="F29" i="3" s="1"/>
  <c r="F47" i="3" s="1"/>
  <c r="J28" i="3" l="1"/>
  <c r="J46" i="3" s="1"/>
  <c r="T43" i="3"/>
  <c r="U9" i="3"/>
  <c r="V9" i="3" s="1"/>
  <c r="S16" i="3"/>
  <c r="T16" i="3" s="1"/>
  <c r="U16" i="3"/>
  <c r="V16" i="3" s="1"/>
  <c r="Q40" i="3"/>
  <c r="R40" i="3" s="1"/>
  <c r="G50" i="3"/>
  <c r="S18" i="3"/>
  <c r="T18" i="3" s="1"/>
  <c r="S19" i="3"/>
  <c r="T19" i="3" s="1"/>
  <c r="U19" i="3"/>
  <c r="V19" i="3" s="1"/>
  <c r="S15" i="3"/>
  <c r="T15" i="3" s="1"/>
  <c r="S11" i="3"/>
  <c r="T11" i="3" s="1"/>
  <c r="U15" i="3"/>
  <c r="V15" i="3" s="1"/>
  <c r="S14" i="3"/>
  <c r="T14" i="3" s="1"/>
  <c r="U11" i="3"/>
  <c r="V11" i="3" s="1"/>
  <c r="N49" i="3"/>
  <c r="F43" i="3"/>
  <c r="U12" i="3"/>
  <c r="V12" i="3" s="1"/>
  <c r="S12" i="3"/>
  <c r="T12" i="3" s="1"/>
  <c r="E42" i="3"/>
  <c r="E47" i="3"/>
  <c r="M44" i="3"/>
  <c r="N44" i="3" s="1"/>
  <c r="E44" i="3"/>
  <c r="N7" i="3"/>
  <c r="M20" i="3"/>
  <c r="U17" i="3"/>
  <c r="V17" i="3" s="1"/>
  <c r="S17" i="3"/>
  <c r="T17" i="3" s="1"/>
  <c r="Q49" i="3"/>
  <c r="E39" i="3"/>
  <c r="J26" i="3"/>
  <c r="J41" i="3" s="1"/>
  <c r="R20" i="3"/>
  <c r="U7" i="3"/>
  <c r="S7" i="3"/>
  <c r="N8" i="3"/>
  <c r="U8" i="3"/>
  <c r="V8" i="3" s="1"/>
  <c r="E20" i="3"/>
  <c r="J27" i="3"/>
  <c r="J43" i="3" s="1"/>
  <c r="N45" i="3"/>
  <c r="E49" i="3"/>
  <c r="P39" i="3"/>
  <c r="D50" i="3"/>
  <c r="D52" i="3" s="1"/>
  <c r="T49" i="3"/>
  <c r="U49" i="3" s="1"/>
  <c r="P45" i="3"/>
  <c r="Q45" i="3" s="1"/>
  <c r="T45" i="3"/>
  <c r="U45" i="3" s="1"/>
  <c r="E45" i="3"/>
  <c r="H27" i="3"/>
  <c r="H43" i="3" s="1"/>
  <c r="H26" i="3"/>
  <c r="H41" i="3" s="1"/>
  <c r="H29" i="3"/>
  <c r="H47" i="3" s="1"/>
  <c r="H25" i="3"/>
  <c r="H30" i="3"/>
  <c r="H28" i="3"/>
  <c r="H46" i="3" s="1"/>
  <c r="J29" i="3"/>
  <c r="J47" i="3" s="1"/>
  <c r="J25" i="3"/>
  <c r="O20" i="3"/>
  <c r="T47" i="3"/>
  <c r="U18" i="3"/>
  <c r="V18" i="3" s="1"/>
  <c r="N14" i="3"/>
  <c r="U14" i="3"/>
  <c r="V14" i="3" s="1"/>
  <c r="N48" i="3"/>
  <c r="Q48" i="3"/>
  <c r="I27" i="3"/>
  <c r="I43" i="3" s="1"/>
  <c r="I30" i="3"/>
  <c r="I42" i="3" s="1"/>
  <c r="I25" i="3"/>
  <c r="I26" i="3"/>
  <c r="I41" i="3" s="1"/>
  <c r="I28" i="3"/>
  <c r="I46" i="3" s="1"/>
  <c r="I29" i="3"/>
  <c r="I47" i="3" s="1"/>
  <c r="P44" i="3"/>
  <c r="T44" i="3"/>
  <c r="F41" i="3"/>
  <c r="F46" i="3"/>
  <c r="S13" i="3"/>
  <c r="T13" i="3" s="1"/>
  <c r="U13" i="3"/>
  <c r="V13" i="3" s="1"/>
  <c r="F31" i="3"/>
  <c r="E31" i="3" s="1"/>
  <c r="K19" i="1"/>
  <c r="M19" i="1" s="1"/>
  <c r="J19" i="1"/>
  <c r="L19" i="1"/>
  <c r="B14" i="2"/>
  <c r="B13" i="2"/>
  <c r="B12" i="2"/>
  <c r="B11" i="2"/>
  <c r="B10" i="2"/>
  <c r="B9" i="2"/>
  <c r="B8" i="2"/>
  <c r="B7" i="2"/>
  <c r="B6" i="2"/>
  <c r="B5" i="2"/>
  <c r="B4" i="2"/>
  <c r="E40" i="1"/>
  <c r="E9" i="1"/>
  <c r="K9" i="1" s="1"/>
  <c r="Q40" i="1"/>
  <c r="R40" i="1"/>
  <c r="M3" i="1"/>
  <c r="M4" i="1"/>
  <c r="M5" i="1"/>
  <c r="M6" i="1"/>
  <c r="M7" i="1"/>
  <c r="M8" i="1"/>
  <c r="M10" i="1"/>
  <c r="M11" i="1"/>
  <c r="M12" i="1"/>
  <c r="M15" i="1"/>
  <c r="M16" i="1"/>
  <c r="M17" i="1"/>
  <c r="M18" i="1"/>
  <c r="M20" i="1"/>
  <c r="M21" i="1"/>
  <c r="M22" i="1"/>
  <c r="M23" i="1"/>
  <c r="M24" i="1"/>
  <c r="M25" i="1"/>
  <c r="M28" i="1"/>
  <c r="M29" i="1"/>
  <c r="M30" i="1"/>
  <c r="M31" i="1"/>
  <c r="M32" i="1"/>
  <c r="M33" i="1"/>
  <c r="M34" i="1"/>
  <c r="M35" i="1"/>
  <c r="M36" i="1"/>
  <c r="M37" i="1"/>
  <c r="K3" i="1"/>
  <c r="K4" i="1"/>
  <c r="K5" i="1"/>
  <c r="K6" i="1"/>
  <c r="K7" i="1"/>
  <c r="K8" i="1"/>
  <c r="K10" i="1"/>
  <c r="K11" i="1"/>
  <c r="K12" i="1"/>
  <c r="K13" i="1"/>
  <c r="M13" i="1" s="1"/>
  <c r="K14" i="1"/>
  <c r="M14" i="1" s="1"/>
  <c r="K15" i="1"/>
  <c r="K16" i="1"/>
  <c r="K17" i="1"/>
  <c r="K18" i="1"/>
  <c r="K20" i="1"/>
  <c r="K21" i="1"/>
  <c r="K22" i="1"/>
  <c r="K23" i="1"/>
  <c r="K24" i="1"/>
  <c r="K25" i="1"/>
  <c r="K26" i="1"/>
  <c r="M26" i="1" s="1"/>
  <c r="K27" i="1"/>
  <c r="M27" i="1" s="1"/>
  <c r="K28" i="1"/>
  <c r="K29" i="1"/>
  <c r="K30" i="1"/>
  <c r="K31" i="1"/>
  <c r="K32" i="1"/>
  <c r="K33" i="1"/>
  <c r="K34" i="1"/>
  <c r="K35" i="1"/>
  <c r="K36" i="1"/>
  <c r="K37" i="1"/>
  <c r="K38" i="1"/>
  <c r="M38" i="1" s="1"/>
  <c r="K39" i="1"/>
  <c r="M39" i="1" s="1"/>
  <c r="J45" i="1"/>
  <c r="H46" i="1" s="1"/>
  <c r="I45" i="1"/>
  <c r="I46" i="1" s="1"/>
  <c r="V40" i="3" l="1"/>
  <c r="M47" i="3"/>
  <c r="N47" i="3" s="1"/>
  <c r="U47" i="3"/>
  <c r="T50" i="3"/>
  <c r="S50" i="3" s="1"/>
  <c r="Q47" i="3"/>
  <c r="V47" i="3" s="1"/>
  <c r="F33" i="3"/>
  <c r="E33" i="3" s="1"/>
  <c r="V49" i="3"/>
  <c r="R49" i="3"/>
  <c r="R45" i="3"/>
  <c r="V45" i="3"/>
  <c r="O28" i="3"/>
  <c r="P28" i="3" s="1"/>
  <c r="S20" i="3"/>
  <c r="T7" i="3"/>
  <c r="M26" i="3"/>
  <c r="O26" i="3"/>
  <c r="P26" i="3" s="1"/>
  <c r="N20" i="3"/>
  <c r="N21" i="3"/>
  <c r="M46" i="3"/>
  <c r="E46" i="3"/>
  <c r="R47" i="3"/>
  <c r="M28" i="3"/>
  <c r="V7" i="3"/>
  <c r="U20" i="3"/>
  <c r="Q20" i="3"/>
  <c r="R33" i="3"/>
  <c r="Q33" i="3" s="1"/>
  <c r="H42" i="3"/>
  <c r="M42" i="3" s="1"/>
  <c r="O30" i="3"/>
  <c r="P30" i="3" s="1"/>
  <c r="M30" i="3"/>
  <c r="O27" i="3"/>
  <c r="P27" i="3" s="1"/>
  <c r="M41" i="3"/>
  <c r="E41" i="3"/>
  <c r="V48" i="3"/>
  <c r="R48" i="3"/>
  <c r="U44" i="3"/>
  <c r="F50" i="3"/>
  <c r="M29" i="3"/>
  <c r="M43" i="3"/>
  <c r="E43" i="3"/>
  <c r="P20" i="3"/>
  <c r="J31" i="3"/>
  <c r="J33" i="3" s="1"/>
  <c r="J39" i="3"/>
  <c r="J50" i="3" s="1"/>
  <c r="Q44" i="3"/>
  <c r="I31" i="3"/>
  <c r="I33" i="3" s="1"/>
  <c r="I39" i="3"/>
  <c r="I50" i="3" s="1"/>
  <c r="H31" i="3"/>
  <c r="H33" i="3" s="1"/>
  <c r="M25" i="3"/>
  <c r="O25" i="3"/>
  <c r="H39" i="3"/>
  <c r="P50" i="3"/>
  <c r="O29" i="3"/>
  <c r="P29" i="3" s="1"/>
  <c r="M27" i="3"/>
  <c r="M9" i="1"/>
  <c r="M40" i="1" s="1"/>
  <c r="K40" i="1"/>
  <c r="O20" i="1" s="1"/>
  <c r="N3" i="1"/>
  <c r="O5" i="1"/>
  <c r="O29" i="1"/>
  <c r="O15" i="1"/>
  <c r="O3" i="1"/>
  <c r="P28" i="1"/>
  <c r="P9" i="1"/>
  <c r="O14" i="1"/>
  <c r="P39" i="1"/>
  <c r="P32" i="1"/>
  <c r="P20" i="1"/>
  <c r="N28" i="1"/>
  <c r="P18" i="1"/>
  <c r="N27" i="1"/>
  <c r="P30" i="1"/>
  <c r="O4" i="1"/>
  <c r="P16" i="1"/>
  <c r="N25" i="1"/>
  <c r="O28" i="1"/>
  <c r="O31" i="1"/>
  <c r="O6" i="1"/>
  <c r="P31" i="1"/>
  <c r="N39" i="1"/>
  <c r="O17" i="1"/>
  <c r="P4" i="1"/>
  <c r="N38" i="1"/>
  <c r="N26" i="1"/>
  <c r="N13" i="1"/>
  <c r="P29" i="1"/>
  <c r="N12" i="1"/>
  <c r="P15" i="1"/>
  <c r="N36" i="1"/>
  <c r="N24" i="1"/>
  <c r="N11" i="1"/>
  <c r="O39" i="1"/>
  <c r="O27" i="1"/>
  <c r="N23" i="1"/>
  <c r="N10" i="1"/>
  <c r="O38" i="1"/>
  <c r="P26" i="1"/>
  <c r="P13" i="1"/>
  <c r="N34" i="1"/>
  <c r="N22" i="1"/>
  <c r="N9" i="1"/>
  <c r="O37" i="1"/>
  <c r="O12" i="1"/>
  <c r="P37" i="1"/>
  <c r="P25" i="1"/>
  <c r="P12" i="1"/>
  <c r="P5" i="1"/>
  <c r="N14" i="1"/>
  <c r="O30" i="1"/>
  <c r="P17" i="1"/>
  <c r="N33" i="1"/>
  <c r="N8" i="1"/>
  <c r="O36" i="1"/>
  <c r="O24" i="1"/>
  <c r="O11" i="1"/>
  <c r="P36" i="1"/>
  <c r="N32" i="1"/>
  <c r="N20" i="1"/>
  <c r="N7" i="1"/>
  <c r="O35" i="1"/>
  <c r="O10" i="1"/>
  <c r="P35" i="1"/>
  <c r="P23" i="1"/>
  <c r="H47" i="1"/>
  <c r="P25" i="3" l="1"/>
  <c r="O31" i="3"/>
  <c r="S25" i="3"/>
  <c r="U25" i="3"/>
  <c r="M31" i="3"/>
  <c r="N25" i="3"/>
  <c r="N46" i="3"/>
  <c r="Q46" i="3"/>
  <c r="U46" i="3"/>
  <c r="S53" i="3"/>
  <c r="S54" i="3" s="1"/>
  <c r="E50" i="3"/>
  <c r="N43" i="3"/>
  <c r="Q43" i="3"/>
  <c r="U43" i="3"/>
  <c r="N41" i="3"/>
  <c r="U41" i="3"/>
  <c r="Q41" i="3"/>
  <c r="T20" i="3"/>
  <c r="N30" i="3"/>
  <c r="U30" i="3"/>
  <c r="S30" i="3"/>
  <c r="T30" i="3" s="1"/>
  <c r="N42" i="3"/>
  <c r="Q42" i="3"/>
  <c r="U42" i="3"/>
  <c r="V44" i="3"/>
  <c r="R44" i="3"/>
  <c r="V20" i="3"/>
  <c r="N27" i="3"/>
  <c r="U27" i="3"/>
  <c r="V27" i="3" s="1"/>
  <c r="S27" i="3"/>
  <c r="T27" i="3" s="1"/>
  <c r="N26" i="3"/>
  <c r="U26" i="3"/>
  <c r="S26" i="3"/>
  <c r="T26" i="3" s="1"/>
  <c r="H50" i="3"/>
  <c r="M39" i="3"/>
  <c r="S29" i="3"/>
  <c r="T29" i="3" s="1"/>
  <c r="U29" i="3"/>
  <c r="N29" i="3"/>
  <c r="O50" i="3"/>
  <c r="P52" i="3"/>
  <c r="N28" i="3"/>
  <c r="U28" i="3"/>
  <c r="V28" i="3" s="1"/>
  <c r="S28" i="3"/>
  <c r="T28" i="3" s="1"/>
  <c r="P14" i="1"/>
  <c r="P19" i="1"/>
  <c r="O19" i="1"/>
  <c r="N19" i="1"/>
  <c r="S19" i="1" s="1"/>
  <c r="T19" i="1" s="1"/>
  <c r="P11" i="1"/>
  <c r="O18" i="1"/>
  <c r="P38" i="1"/>
  <c r="N37" i="1"/>
  <c r="P6" i="1"/>
  <c r="P24" i="1"/>
  <c r="N15" i="1"/>
  <c r="O26" i="1"/>
  <c r="P3" i="1"/>
  <c r="O7" i="1"/>
  <c r="P27" i="1"/>
  <c r="O23" i="1"/>
  <c r="N21" i="1"/>
  <c r="O25" i="1"/>
  <c r="N35" i="1"/>
  <c r="O16" i="1"/>
  <c r="O13" i="1"/>
  <c r="P10" i="1"/>
  <c r="O22" i="1"/>
  <c r="O32" i="1"/>
  <c r="P7" i="1"/>
  <c r="O34" i="1"/>
  <c r="P8" i="1"/>
  <c r="N4" i="1"/>
  <c r="N5" i="1"/>
  <c r="P22" i="1"/>
  <c r="P33" i="1"/>
  <c r="N16" i="1"/>
  <c r="P34" i="1"/>
  <c r="N17" i="1"/>
  <c r="N18" i="1"/>
  <c r="O9" i="1"/>
  <c r="N30" i="1"/>
  <c r="O33" i="1"/>
  <c r="P21" i="1"/>
  <c r="N6" i="1"/>
  <c r="O8" i="1"/>
  <c r="N29" i="1"/>
  <c r="O21" i="1"/>
  <c r="N31" i="1"/>
  <c r="J3" i="1"/>
  <c r="L3" i="1" s="1"/>
  <c r="S3" i="1" s="1"/>
  <c r="J15" i="1"/>
  <c r="L15" i="1" s="1"/>
  <c r="J28" i="1"/>
  <c r="J17" i="1"/>
  <c r="L17" i="1" s="1"/>
  <c r="S17" i="1" s="1"/>
  <c r="T17" i="1" s="1"/>
  <c r="J18" i="1"/>
  <c r="L18" i="1" s="1"/>
  <c r="J7" i="1"/>
  <c r="L7" i="1" s="1"/>
  <c r="S7" i="1" s="1"/>
  <c r="T7" i="1" s="1"/>
  <c r="J9" i="1"/>
  <c r="J10" i="1"/>
  <c r="J23" i="1"/>
  <c r="J36" i="1"/>
  <c r="J12" i="1"/>
  <c r="J38" i="1"/>
  <c r="J14" i="1"/>
  <c r="L14" i="1" s="1"/>
  <c r="J27" i="1"/>
  <c r="J4" i="1"/>
  <c r="L4" i="1" s="1"/>
  <c r="S4" i="1" s="1"/>
  <c r="T4" i="1" s="1"/>
  <c r="J16" i="1"/>
  <c r="L16" i="1" s="1"/>
  <c r="J29" i="1"/>
  <c r="L29" i="1" s="1"/>
  <c r="J5" i="1"/>
  <c r="L5" i="1" s="1"/>
  <c r="J30" i="1"/>
  <c r="J6" i="1"/>
  <c r="L6" i="1" s="1"/>
  <c r="J31" i="1"/>
  <c r="L31" i="1" s="1"/>
  <c r="J20" i="1"/>
  <c r="J32" i="1"/>
  <c r="J8" i="1"/>
  <c r="L8" i="1" s="1"/>
  <c r="J21" i="1"/>
  <c r="L21" i="1" s="1"/>
  <c r="J33" i="1"/>
  <c r="L33" i="1" s="1"/>
  <c r="S33" i="1" s="1"/>
  <c r="T33" i="1" s="1"/>
  <c r="J22" i="1"/>
  <c r="J34" i="1"/>
  <c r="J35" i="1"/>
  <c r="J11" i="1"/>
  <c r="J24" i="1"/>
  <c r="J25" i="1"/>
  <c r="J37" i="1"/>
  <c r="J13" i="1"/>
  <c r="J26" i="1"/>
  <c r="J39" i="1"/>
  <c r="S14" i="1"/>
  <c r="T14" i="1" s="1"/>
  <c r="V43" i="3" l="1"/>
  <c r="R43" i="3"/>
  <c r="S31" i="3"/>
  <c r="T25" i="3"/>
  <c r="M50" i="3"/>
  <c r="N50" i="3" s="1"/>
  <c r="N39" i="3"/>
  <c r="U39" i="3"/>
  <c r="U50" i="3" s="1"/>
  <c r="Q39" i="3"/>
  <c r="N31" i="3"/>
  <c r="R23" i="3"/>
  <c r="S23" i="3" s="1"/>
  <c r="T23" i="3" s="1"/>
  <c r="M33" i="3"/>
  <c r="N33" i="3" s="1"/>
  <c r="U31" i="3"/>
  <c r="V25" i="3"/>
  <c r="V46" i="3"/>
  <c r="R46" i="3"/>
  <c r="V42" i="3"/>
  <c r="R42" i="3"/>
  <c r="P31" i="3"/>
  <c r="O33" i="3"/>
  <c r="P33" i="3" s="1"/>
  <c r="V41" i="3"/>
  <c r="R41" i="3"/>
  <c r="S15" i="1"/>
  <c r="T15" i="1" s="1"/>
  <c r="P40" i="1"/>
  <c r="L11" i="1"/>
  <c r="S11" i="1" s="1"/>
  <c r="T11" i="1" s="1"/>
  <c r="L22" i="1"/>
  <c r="S22" i="1" s="1"/>
  <c r="T22" i="1" s="1"/>
  <c r="L28" i="1"/>
  <c r="S28" i="1" s="1"/>
  <c r="T28" i="1" s="1"/>
  <c r="S18" i="1"/>
  <c r="T18" i="1" s="1"/>
  <c r="L27" i="1"/>
  <c r="S27" i="1" s="1"/>
  <c r="T27" i="1" s="1"/>
  <c r="L38" i="1"/>
  <c r="S38" i="1" s="1"/>
  <c r="T38" i="1" s="1"/>
  <c r="L26" i="1"/>
  <c r="S26" i="1" s="1"/>
  <c r="T26" i="1" s="1"/>
  <c r="L12" i="1"/>
  <c r="S12" i="1" s="1"/>
  <c r="T12" i="1" s="1"/>
  <c r="L20" i="1"/>
  <c r="S20" i="1" s="1"/>
  <c r="T20" i="1" s="1"/>
  <c r="L10" i="1"/>
  <c r="S10" i="1" s="1"/>
  <c r="T10" i="1" s="1"/>
  <c r="S6" i="1"/>
  <c r="T6" i="1" s="1"/>
  <c r="N40" i="1"/>
  <c r="L35" i="1"/>
  <c r="S35" i="1" s="1"/>
  <c r="T35" i="1" s="1"/>
  <c r="L34" i="1"/>
  <c r="S34" i="1" s="1"/>
  <c r="T34" i="1" s="1"/>
  <c r="L39" i="1"/>
  <c r="S39" i="1" s="1"/>
  <c r="T39" i="1" s="1"/>
  <c r="L32" i="1"/>
  <c r="S32" i="1" s="1"/>
  <c r="T32" i="1" s="1"/>
  <c r="S21" i="1"/>
  <c r="T21" i="1" s="1"/>
  <c r="L13" i="1"/>
  <c r="S13" i="1" s="1"/>
  <c r="T13" i="1" s="1"/>
  <c r="L36" i="1"/>
  <c r="S36" i="1" s="1"/>
  <c r="T36" i="1" s="1"/>
  <c r="S29" i="1"/>
  <c r="T29" i="1" s="1"/>
  <c r="L37" i="1"/>
  <c r="S37" i="1" s="1"/>
  <c r="T37" i="1" s="1"/>
  <c r="L23" i="1"/>
  <c r="S23" i="1" s="1"/>
  <c r="T23" i="1" s="1"/>
  <c r="O40" i="1"/>
  <c r="S5" i="1"/>
  <c r="T5" i="1" s="1"/>
  <c r="L25" i="1"/>
  <c r="S25" i="1" s="1"/>
  <c r="T25" i="1" s="1"/>
  <c r="L24" i="1"/>
  <c r="S24" i="1" s="1"/>
  <c r="T24" i="1" s="1"/>
  <c r="L30" i="1"/>
  <c r="S30" i="1" s="1"/>
  <c r="T30" i="1" s="1"/>
  <c r="L9" i="1"/>
  <c r="S9" i="1" s="1"/>
  <c r="T9" i="1" s="1"/>
  <c r="S31" i="1"/>
  <c r="T31" i="1" s="1"/>
  <c r="S16" i="1"/>
  <c r="T16" i="1" s="1"/>
  <c r="S8" i="1"/>
  <c r="T8" i="1" s="1"/>
  <c r="T3" i="1"/>
  <c r="V31" i="3" l="1"/>
  <c r="U33" i="3"/>
  <c r="V33" i="3" s="1"/>
  <c r="T31" i="3"/>
  <c r="S33" i="3"/>
  <c r="T33" i="3" s="1"/>
  <c r="V39" i="3"/>
  <c r="V50" i="3" s="1"/>
  <c r="R39" i="3"/>
  <c r="Q50" i="3"/>
  <c r="R50" i="3" s="1"/>
  <c r="L40" i="1"/>
  <c r="S40" i="1"/>
  <c r="T4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tc={49224487-0F2F-49AE-9950-9D2F093293EF}</author>
    <author>tc={F5756735-AEB2-44EE-9174-4261B56A7A93}</author>
    <author>tc={D6790995-1BAC-4E5A-B647-22E57314E429}</author>
  </authors>
  <commentList>
    <comment ref="Q25" authorId="0" shapeId="0" xr:uid="{49224487-0F2F-49AE-9950-9D2F093293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1500</t>
      </text>
    </comment>
    <comment ref="Q27" authorId="1" shapeId="0" xr:uid="{F5756735-AEB2-44EE-9174-4261B56A7A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2275</t>
      </text>
    </comment>
    <comment ref="Q28" authorId="2" shapeId="0" xr:uid="{D6790995-1BAC-4E5A-B647-22E57314E4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venta 3400</t>
      </text>
    </comment>
  </commentList>
</comments>
</file>

<file path=xl/sharedStrings.xml><?xml version="1.0" encoding="utf-8"?>
<sst xmlns="http://schemas.openxmlformats.org/spreadsheetml/2006/main" count="222" uniqueCount="146">
  <si>
    <t>COD</t>
  </si>
  <si>
    <t>DESCRIPCIÓN</t>
  </si>
  <si>
    <t>10006668</t>
  </si>
  <si>
    <t>POTA ALAS FR C/P C/C &lt; 0.5 BL10 S20</t>
  </si>
  <si>
    <t>10009178</t>
  </si>
  <si>
    <t>POTA ALAS FR C/P C/C AA S/COD BL10 S20</t>
  </si>
  <si>
    <t>10006720</t>
  </si>
  <si>
    <t>POTA ALAS FR C/P C/C 1.0-2.0 BL10 S20</t>
  </si>
  <si>
    <t>10010110</t>
  </si>
  <si>
    <t>POTA ALAS FR C/P C/C 1.0-2.0 ENT BL10 S20</t>
  </si>
  <si>
    <t>10006722</t>
  </si>
  <si>
    <t>POTA ALAS FR C/P C/C 2.0-UP BL10 S20</t>
  </si>
  <si>
    <t>10009241</t>
  </si>
  <si>
    <t>POTA ALAS PRE COC S/COD BL10 S20</t>
  </si>
  <si>
    <t>10009331</t>
  </si>
  <si>
    <t>POTA ALAS PRE COC 0.3 - UP BL9 S18</t>
  </si>
  <si>
    <t>10009334</t>
  </si>
  <si>
    <t>POTA ALAS PRE COC AA BL9 S18</t>
  </si>
  <si>
    <t>10004434</t>
  </si>
  <si>
    <t>POTA FILETE C/M C/T FR 1.0 - 2.0 BL10 S20</t>
  </si>
  <si>
    <t>10005708</t>
  </si>
  <si>
    <t>POTA FILETE C/M C/T FR &lt; 0.5 AA BL10 S20</t>
  </si>
  <si>
    <t>10005718</t>
  </si>
  <si>
    <t>POTA FILETE C/M C/T FR 1.0 - 2.0 AA BL10 S20</t>
  </si>
  <si>
    <t>10010126</t>
  </si>
  <si>
    <t>POTA FILETE C/M C/T FR 1.0 - 3.0 AA BL10 S20</t>
  </si>
  <si>
    <t>10005721</t>
  </si>
  <si>
    <t>POTA FILETE C/M C/T FR 2.0 - 4.0 AA BL10 S20</t>
  </si>
  <si>
    <t>10009298</t>
  </si>
  <si>
    <t>POTA FILETE S/M S/T FR 1.0-2.0 CM/ESP BL10 S20</t>
  </si>
  <si>
    <t>10009239</t>
  </si>
  <si>
    <t>POTA FILETE PRE COCIDO S/M S/T C/P S/COD BL10 S20</t>
  </si>
  <si>
    <t>10009251</t>
  </si>
  <si>
    <t>POTA FILETE PRE COCIDO S/M S/T 0.6 - 1.0 BL10 S20</t>
  </si>
  <si>
    <t>10009183</t>
  </si>
  <si>
    <t>POTA NUCAS CERRADAS &lt; 0.1 BL10 S20</t>
  </si>
  <si>
    <t>10009271</t>
  </si>
  <si>
    <t>POTA NUCAS CERRADAS 0.1 - 0.3 BL10 S20</t>
  </si>
  <si>
    <t>10009184</t>
  </si>
  <si>
    <t>POTA NUCAS FR ABIERTAS 0.1 - 0.3 BL10 S20</t>
  </si>
  <si>
    <t>10005776</t>
  </si>
  <si>
    <t>POTA NUCAS FR ABIERTAS 0.3 - 0.5 BL10 S20</t>
  </si>
  <si>
    <t>10005779</t>
  </si>
  <si>
    <t>POTA NUCAS FR ABIERTAS 0.5 - 1.0 BL10 S20</t>
  </si>
  <si>
    <t>10005781</t>
  </si>
  <si>
    <t>POTA NUCAS FR ABIERTAS 1.0 - 2.0 BL10 S20</t>
  </si>
  <si>
    <t>10009186</t>
  </si>
  <si>
    <t>POTA REJOS FR S-S/POR C/UV 0.1 - 0.3 BL10 S20</t>
  </si>
  <si>
    <t>10009187</t>
  </si>
  <si>
    <t>POTA REJOS FR C/B S/U S/V S/OR 0.3 - 0.5 BL10 S20</t>
  </si>
  <si>
    <t>10007161</t>
  </si>
  <si>
    <t>POTA REJOS FR C/B S/U S/V S/OR 0.5 - 1.0 BL10 S20</t>
  </si>
  <si>
    <t>10007162</t>
  </si>
  <si>
    <t>POTA REJOS FR C/B S/U S/V S/OR 1.0 - 2.0 BL10 S20</t>
  </si>
  <si>
    <t>10009639</t>
  </si>
  <si>
    <t>POTA REJOS FR C/B S/U S/V S/OR 2.0 - UP BL10 S20</t>
  </si>
  <si>
    <t>10009777</t>
  </si>
  <si>
    <t>POTA REJOS FR S-S/POR C/UV 0.3 - 0.5 BL10 S20</t>
  </si>
  <si>
    <t>10009658</t>
  </si>
  <si>
    <t>POTA REJOS FR C/B C/U C/V S/OR 1.0 - UP BL10 S20</t>
  </si>
  <si>
    <t>10009975</t>
  </si>
  <si>
    <t>POTA REJOS OR FR LIMPIOS &lt;60 CM BL10 S20</t>
  </si>
  <si>
    <t>10010107</t>
  </si>
  <si>
    <t>10009336</t>
  </si>
  <si>
    <t>POTA VENTOSAS C/U FR BL10 S20</t>
  </si>
  <si>
    <t>10007050</t>
  </si>
  <si>
    <t>POTA RECORTES PRE COC BL10 S20</t>
  </si>
  <si>
    <t>10009337</t>
  </si>
  <si>
    <t>POTA RECORTES LAM PRE COC (M) BL7.5 S15</t>
  </si>
  <si>
    <t>10009332</t>
  </si>
  <si>
    <t>POTA RECORTES LAM PRE COC (T) BL7.5 S15</t>
  </si>
  <si>
    <t>10009207</t>
  </si>
  <si>
    <t>POTA LABIOS FR S/COD BL10 S20</t>
  </si>
  <si>
    <t>STOCK LIBRE</t>
  </si>
  <si>
    <t>POTA CONOS</t>
  </si>
  <si>
    <t>CÓDIGO</t>
  </si>
  <si>
    <t>CU X TM</t>
  </si>
  <si>
    <t>% MP</t>
  </si>
  <si>
    <t>incremento MP</t>
  </si>
  <si>
    <t>Costo Ventas</t>
  </si>
  <si>
    <t>Gasto Ventas</t>
  </si>
  <si>
    <t>Gasto ADM</t>
  </si>
  <si>
    <t>Gasto Fin</t>
  </si>
  <si>
    <t>Depreciación</t>
  </si>
  <si>
    <t>Utilidad Neta</t>
  </si>
  <si>
    <t>Margen Neto</t>
  </si>
  <si>
    <t>Venta Equilibrio</t>
  </si>
  <si>
    <t>Precio Equilibrio x TM</t>
  </si>
  <si>
    <t>totales</t>
  </si>
  <si>
    <t>COSTO ABRIL</t>
  </si>
  <si>
    <t>tm</t>
  </si>
  <si>
    <t>Asignación</t>
  </si>
  <si>
    <t>JUNIO</t>
  </si>
  <si>
    <t>JULIO</t>
  </si>
  <si>
    <t>PROM JUN Y JUL</t>
  </si>
  <si>
    <t>TASA</t>
  </si>
  <si>
    <t>TM en Stock libre</t>
  </si>
  <si>
    <t>Etiquetas de fila</t>
  </si>
  <si>
    <t>Total general</t>
  </si>
  <si>
    <t>Suma de TM en Stock libre</t>
  </si>
  <si>
    <t>Suma de Costo Ventas</t>
  </si>
  <si>
    <t>Suma de Gasto ADM</t>
  </si>
  <si>
    <t>Suma de Gasto Ventas</t>
  </si>
  <si>
    <t>Suma de Gasto Fin</t>
  </si>
  <si>
    <t>Suma de Depreciación</t>
  </si>
  <si>
    <t>POTA FILETE CONGELADO</t>
  </si>
  <si>
    <t>POTA NUCAS CONGELADAS</t>
  </si>
  <si>
    <t>POTA ALAS CONGELADAS</t>
  </si>
  <si>
    <t>POTA RECORTES COCIDOS</t>
  </si>
  <si>
    <t>POTA REJOS CONGELADOS</t>
  </si>
  <si>
    <t>POTA REPRODUCTORES</t>
  </si>
  <si>
    <t>POTA FILETE DARUMA</t>
  </si>
  <si>
    <t>POTA ALAS COCIDAS</t>
  </si>
  <si>
    <t>VENTOSAS</t>
  </si>
  <si>
    <t>OTROS</t>
  </si>
  <si>
    <t>FILETE PARA REPROCESO</t>
  </si>
  <si>
    <t>ALAS PARA REPROCESO</t>
  </si>
  <si>
    <t>PERU FROST</t>
  </si>
  <si>
    <t>RENTABILIDAD DEL INVENTARIO</t>
  </si>
  <si>
    <t>Código</t>
  </si>
  <si>
    <t>Producto</t>
  </si>
  <si>
    <t>TM en 
Stock Libre</t>
  </si>
  <si>
    <t>CU</t>
  </si>
  <si>
    <t>Venta Equilibrio 
a Utd Neta</t>
  </si>
  <si>
    <t>Precio Equilibrio 
x TM a Utd Neta</t>
  </si>
  <si>
    <t>Venta Equilibro 
a EBITDA</t>
  </si>
  <si>
    <t>Precio Equilibrio 
x TM a EBITDA</t>
  </si>
  <si>
    <t>Precio Mercado</t>
  </si>
  <si>
    <t>Venta total</t>
  </si>
  <si>
    <t>Utilidad</t>
  </si>
  <si>
    <t>Mg Neto</t>
  </si>
  <si>
    <t>EBITDA</t>
  </si>
  <si>
    <t>Mg EBITDA</t>
  </si>
  <si>
    <t>TOTAL</t>
  </si>
  <si>
    <t>TM en Almacén de Yantai Jiahong</t>
  </si>
  <si>
    <t>INVENTARIO TOTAL VALORIZADO</t>
  </si>
  <si>
    <t>Precio Venta</t>
  </si>
  <si>
    <t>Venta Esperada</t>
  </si>
  <si>
    <t>Precio actual</t>
  </si>
  <si>
    <t>venta con precio actual</t>
  </si>
  <si>
    <t>P/L</t>
  </si>
  <si>
    <t>variación</t>
  </si>
  <si>
    <t>costo financiero mes</t>
  </si>
  <si>
    <t>costo financiero por tm</t>
  </si>
  <si>
    <t>costo almacenamiento mensual</t>
  </si>
  <si>
    <t>AVANCE COMERCIAL AL 31-8-2026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</si>
</sst>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_-* #,##0_-;\-* #,##0_-;_-* &quot;-&quot;??_-;_-@_-"/>
    <numFmt numFmtId="166" formatCode="0.000"/>
    <numFmt numFmtId="168" formatCode="_(* #,##0_);_(* \(#,##0\);_(* &quot;-&quot;??_);_(@_)"/>
    <numFmt numFmtId="171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Cambria"/>
      <family val="1"/>
    </font>
    <font>
      <b/>
      <sz val="11"/>
      <color rgb="FFFF0000"/>
      <name val="Cambria"/>
      <family val="1"/>
    </font>
    <font>
      <sz val="12"/>
      <color theme="1"/>
      <name val="Aptos Narrow"/>
      <family val="2"/>
      <scheme val="minor"/>
    </font>
    <font>
      <sz val="11"/>
      <color theme="1"/>
      <name val="Cambria"/>
      <family val="1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2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9" fontId="6" fillId="0" borderId="6" xfId="0" applyNumberFormat="1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top"/>
    </xf>
    <xf numFmtId="166" fontId="8" fillId="0" borderId="0" xfId="0" applyNumberFormat="1" applyFont="1"/>
    <xf numFmtId="9" fontId="9" fillId="0" borderId="0" xfId="2" applyFon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9" xfId="1" applyNumberFormat="1" applyFont="1" applyBorder="1"/>
    <xf numFmtId="165" fontId="9" fillId="0" borderId="0" xfId="1" applyNumberFormat="1" applyFont="1" applyBorder="1"/>
    <xf numFmtId="165" fontId="9" fillId="0" borderId="0" xfId="1" applyNumberFormat="1" applyFont="1"/>
    <xf numFmtId="165" fontId="9" fillId="0" borderId="0" xfId="1" applyNumberFormat="1" applyFont="1" applyAlignment="1">
      <alignment horizontal="center"/>
    </xf>
    <xf numFmtId="165" fontId="9" fillId="4" borderId="10" xfId="1" applyNumberFormat="1" applyFont="1" applyFill="1" applyBorder="1"/>
    <xf numFmtId="0" fontId="0" fillId="8" borderId="8" xfId="0" applyFill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0" fillId="9" borderId="8" xfId="0" applyFill="1" applyBorder="1" applyAlignment="1">
      <alignment horizontal="center" vertical="top"/>
    </xf>
    <xf numFmtId="0" fontId="0" fillId="5" borderId="8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10" borderId="8" xfId="0" applyFill="1" applyBorder="1" applyAlignment="1">
      <alignment horizontal="center" vertical="top"/>
    </xf>
    <xf numFmtId="0" fontId="0" fillId="0" borderId="11" xfId="0" applyBorder="1" applyAlignment="1">
      <alignment horizontal="center"/>
    </xf>
    <xf numFmtId="166" fontId="10" fillId="0" borderId="0" xfId="0" applyNumberFormat="1" applyFont="1"/>
    <xf numFmtId="165" fontId="6" fillId="0" borderId="5" xfId="1" applyNumberFormat="1" applyFont="1" applyBorder="1"/>
    <xf numFmtId="165" fontId="6" fillId="0" borderId="6" xfId="1" applyNumberFormat="1" applyFont="1" applyBorder="1"/>
    <xf numFmtId="165" fontId="6" fillId="0" borderId="6" xfId="1" applyNumberFormat="1" applyFont="1" applyBorder="1" applyAlignment="1">
      <alignment horizontal="center"/>
    </xf>
    <xf numFmtId="165" fontId="6" fillId="4" borderId="7" xfId="1" applyNumberFormat="1" applyFont="1" applyFill="1" applyBorder="1"/>
    <xf numFmtId="0" fontId="8" fillId="0" borderId="0" xfId="0" applyFont="1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6" fontId="0" fillId="0" borderId="0" xfId="1" applyNumberFormat="1" applyFont="1"/>
    <xf numFmtId="165" fontId="0" fillId="0" borderId="0" xfId="1" applyNumberFormat="1" applyFont="1"/>
    <xf numFmtId="9" fontId="0" fillId="0" borderId="0" xfId="2" applyFont="1"/>
    <xf numFmtId="168" fontId="0" fillId="0" borderId="2" xfId="1" applyNumberFormat="1" applyFont="1" applyBorder="1" applyAlignment="1">
      <alignment vertical="center"/>
    </xf>
    <xf numFmtId="168" fontId="2" fillId="2" borderId="3" xfId="0" applyNumberFormat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3" fillId="0" borderId="0" xfId="0" applyFont="1"/>
    <xf numFmtId="0" fontId="0" fillId="0" borderId="12" xfId="0" applyBorder="1"/>
    <xf numFmtId="0" fontId="0" fillId="0" borderId="12" xfId="0" applyBorder="1" applyAlignment="1">
      <alignment vertical="top"/>
    </xf>
    <xf numFmtId="0" fontId="11" fillId="0" borderId="0" xfId="0" applyFont="1"/>
    <xf numFmtId="0" fontId="4" fillId="0" borderId="0" xfId="0" applyFont="1"/>
    <xf numFmtId="171" fontId="0" fillId="0" borderId="0" xfId="2" applyNumberFormat="1" applyFont="1"/>
    <xf numFmtId="43" fontId="0" fillId="0" borderId="0" xfId="0" applyNumberFormat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11" borderId="4" xfId="0" applyFont="1" applyFill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1" fontId="0" fillId="6" borderId="14" xfId="0" applyNumberFormat="1" applyFill="1" applyBorder="1" applyAlignment="1">
      <alignment horizontal="center"/>
    </xf>
    <xf numFmtId="165" fontId="0" fillId="6" borderId="18" xfId="1" applyNumberFormat="1" applyFont="1" applyFill="1" applyBorder="1" applyAlignment="1">
      <alignment horizontal="center"/>
    </xf>
    <xf numFmtId="165" fontId="0" fillId="0" borderId="0" xfId="1" applyNumberFormat="1" applyFont="1" applyBorder="1"/>
    <xf numFmtId="9" fontId="0" fillId="0" borderId="0" xfId="0" applyNumberFormat="1"/>
    <xf numFmtId="165" fontId="12" fillId="4" borderId="10" xfId="0" applyNumberFormat="1" applyFont="1" applyFill="1" applyBorder="1"/>
    <xf numFmtId="165" fontId="12" fillId="4" borderId="10" xfId="1" applyNumberFormat="1" applyFont="1" applyFill="1" applyBorder="1"/>
    <xf numFmtId="165" fontId="12" fillId="0" borderId="10" xfId="1" applyNumberFormat="1" applyFont="1" applyFill="1" applyBorder="1"/>
    <xf numFmtId="9" fontId="12" fillId="0" borderId="10" xfId="2" applyFont="1" applyFill="1" applyBorder="1" applyAlignment="1">
      <alignment horizontal="center"/>
    </xf>
    <xf numFmtId="165" fontId="12" fillId="0" borderId="19" xfId="1" applyNumberFormat="1" applyFont="1" applyFill="1" applyBorder="1"/>
    <xf numFmtId="0" fontId="4" fillId="0" borderId="20" xfId="0" applyFont="1" applyBorder="1" applyAlignment="1">
      <alignment horizontal="center"/>
    </xf>
    <xf numFmtId="1" fontId="4" fillId="6" borderId="21" xfId="0" applyNumberFormat="1" applyFont="1" applyFill="1" applyBorder="1" applyAlignment="1">
      <alignment horizontal="center"/>
    </xf>
    <xf numFmtId="165" fontId="4" fillId="6" borderId="22" xfId="1" applyNumberFormat="1" applyFont="1" applyFill="1" applyBorder="1" applyAlignment="1">
      <alignment horizontal="center"/>
    </xf>
    <xf numFmtId="165" fontId="4" fillId="0" borderId="6" xfId="1" applyNumberFormat="1" applyFont="1" applyBorder="1"/>
    <xf numFmtId="9" fontId="4" fillId="0" borderId="6" xfId="2" applyFont="1" applyBorder="1"/>
    <xf numFmtId="165" fontId="5" fillId="4" borderId="7" xfId="1" applyNumberFormat="1" applyFont="1" applyFill="1" applyBorder="1"/>
    <xf numFmtId="165" fontId="5" fillId="0" borderId="7" xfId="1" applyNumberFormat="1" applyFont="1" applyFill="1" applyBorder="1"/>
    <xf numFmtId="165" fontId="5" fillId="0" borderId="13" xfId="1" applyNumberFormat="1" applyFont="1" applyFill="1" applyBorder="1"/>
    <xf numFmtId="9" fontId="5" fillId="0" borderId="7" xfId="2" applyFont="1" applyFill="1" applyBorder="1" applyAlignment="1">
      <alignment horizontal="center"/>
    </xf>
    <xf numFmtId="0" fontId="4" fillId="0" borderId="0" xfId="0" applyFont="1" applyAlignment="1">
      <alignment vertical="top"/>
    </xf>
    <xf numFmtId="165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/>
    </xf>
    <xf numFmtId="0" fontId="13" fillId="0" borderId="0" xfId="0" applyFont="1"/>
    <xf numFmtId="0" fontId="5" fillId="4" borderId="5" xfId="0" applyFont="1" applyFill="1" applyBorder="1" applyAlignment="1">
      <alignment horizontal="center" vertical="center" wrapText="1"/>
    </xf>
    <xf numFmtId="165" fontId="1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12" fillId="4" borderId="9" xfId="1" applyNumberFormat="1" applyFont="1" applyFill="1" applyBorder="1"/>
    <xf numFmtId="165" fontId="14" fillId="0" borderId="1" xfId="1" applyNumberFormat="1" applyFont="1" applyBorder="1"/>
    <xf numFmtId="165" fontId="0" fillId="0" borderId="1" xfId="1" applyNumberFormat="1" applyFont="1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165" fontId="1" fillId="0" borderId="1" xfId="1" applyNumberFormat="1" applyFont="1" applyBorder="1"/>
    <xf numFmtId="9" fontId="1" fillId="0" borderId="1" xfId="2" applyFont="1" applyBorder="1" applyAlignment="1">
      <alignment horizontal="center" vertical="center"/>
    </xf>
    <xf numFmtId="165" fontId="4" fillId="0" borderId="0" xfId="1" applyNumberFormat="1" applyFont="1"/>
    <xf numFmtId="165" fontId="0" fillId="0" borderId="1" xfId="0" applyNumberFormat="1" applyBorder="1"/>
    <xf numFmtId="165" fontId="0" fillId="0" borderId="1" xfId="2" applyNumberFormat="1" applyFont="1" applyBorder="1"/>
    <xf numFmtId="165" fontId="0" fillId="0" borderId="0" xfId="2" applyNumberFormat="1" applyFont="1"/>
    <xf numFmtId="165" fontId="5" fillId="4" borderId="5" xfId="1" applyNumberFormat="1" applyFont="1" applyFill="1" applyBorder="1"/>
    <xf numFmtId="165" fontId="14" fillId="0" borderId="1" xfId="0" applyNumberFormat="1" applyFont="1" applyBorder="1"/>
    <xf numFmtId="165" fontId="4" fillId="0" borderId="1" xfId="0" applyNumberFormat="1" applyFont="1" applyBorder="1"/>
    <xf numFmtId="9" fontId="4" fillId="0" borderId="1" xfId="2" applyFont="1" applyBorder="1" applyAlignment="1">
      <alignment horizontal="center" vertical="center"/>
    </xf>
    <xf numFmtId="165" fontId="4" fillId="0" borderId="0" xfId="0" applyNumberFormat="1" applyFont="1"/>
    <xf numFmtId="10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drigo Sebastian Martinez Montalvo (PFRO)" id="{3BC102D7-9903-4269-B6C2-AD61FDB45702}" userId="S::rodrigom@perufrost.com::75c07d1f-87b1-48a3-938c-bed2666ad39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265.706586921297" createdVersion="8" refreshedVersion="8" minRefreshableVersion="3" recordCount="37" xr:uid="{7638D25B-DF34-4F80-AD91-E182151270C8}">
  <cacheSource type="worksheet">
    <worksheetSource ref="G2:P39" sheet="STOCK LIBRE"/>
  </cacheSource>
  <cacheFields count="10">
    <cacheField name="CÓDIGO" numFmtId="0">
      <sharedItems containsSemiMixedTypes="0" containsString="0" containsNumber="1" containsInteger="1" minValue="10005721" maxValue="10009386" count="11">
        <n v="10006719"/>
        <n v="10009334"/>
        <n v="10005721"/>
        <n v="10009239"/>
        <n v="10007969"/>
        <n v="10005779"/>
        <n v="10007162"/>
        <n v="10007567"/>
        <n v="10009386"/>
        <n v="10007050"/>
        <n v="10009207"/>
      </sharedItems>
    </cacheField>
    <cacheField name="CU X TM" numFmtId="166">
      <sharedItems containsSemiMixedTypes="0" containsString="0" containsNumber="1" minValue="1.22635851472471" maxValue="3.2308044090056303"/>
    </cacheField>
    <cacheField name="% MP" numFmtId="9">
      <sharedItems containsSemiMixedTypes="0" containsString="0" containsNumber="1" minValue="0.56000000000000005" maxValue="0.71"/>
    </cacheField>
    <cacheField name="incremento MP" numFmtId="9">
      <sharedItems containsSemiMixedTypes="0" containsString="0" containsNumber="1" minValue="-0.10965909090909082" maxValue="-0.10965909090909082"/>
    </cacheField>
    <cacheField name="TM en Stock libre" numFmtId="165">
      <sharedItems containsSemiMixedTypes="0" containsString="0" containsNumber="1" minValue="0" maxValue="296.76400000000001"/>
    </cacheField>
    <cacheField name="Costo Ventas" numFmtId="165">
      <sharedItems containsSemiMixedTypes="0" containsString="0" containsNumber="1" minValue="0" maxValue="764114.77277200005"/>
    </cacheField>
    <cacheField name="Gasto Ventas" numFmtId="165">
      <sharedItems containsSemiMixedTypes="0" containsString="0" containsNumber="1" minValue="0" maxValue="61679.429760000006"/>
    </cacheField>
    <cacheField name="Gasto ADM" numFmtId="165">
      <sharedItems containsSemiMixedTypes="0" containsString="0" containsNumber="1" minValue="0" maxValue="19813.886172672304"/>
    </cacheField>
    <cacheField name="Gasto Fin" numFmtId="165">
      <sharedItems containsSemiMixedTypes="0" containsString="0" containsNumber="1" minValue="0" maxValue="38950.743057957079"/>
    </cacheField>
    <cacheField name="Depreciación" numFmtId="165">
      <sharedItems containsSemiMixedTypes="0" containsString="0" containsNumber="1" minValue="0" maxValue="31136.8795098744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1.6520360000000001"/>
    <n v="0.71"/>
    <n v="-0.10965909090909082"/>
    <n v="0.68"/>
    <n v="1123.3844800000002"/>
    <n v="141.33120000000002"/>
    <n v="45.401202967398902"/>
    <n v="89.251072500070137"/>
    <n v="71.346517996504474"/>
  </r>
  <r>
    <x v="0"/>
    <n v="1.6520360000000001"/>
    <n v="0.71"/>
    <n v="-0.10965909090909082"/>
    <n v="14.84"/>
    <n v="24516.214240000001"/>
    <n v="3084.3456000000001"/>
    <n v="990.81448828852899"/>
    <n v="1947.7734057368245"/>
    <n v="1557.0328339237151"/>
  </r>
  <r>
    <x v="0"/>
    <n v="1.6520360000000001"/>
    <n v="0.71"/>
    <n v="-0.10965909090909082"/>
    <n v="0.04"/>
    <n v="66.081440000000001"/>
    <n v="8.313600000000001"/>
    <n v="2.6706589980822883"/>
    <n v="5.2500630882394193"/>
    <n v="4.1968539997943806"/>
  </r>
  <r>
    <x v="0"/>
    <n v="1.6520360000000001"/>
    <n v="0.71"/>
    <n v="-0.10965909090909082"/>
    <n v="2.34"/>
    <n v="3865.76424"/>
    <n v="486.34559999999999"/>
    <n v="156.23355138781386"/>
    <n v="307.12869066200602"/>
    <n v="245.51595898797123"/>
  </r>
  <r>
    <x v="0"/>
    <n v="1.6520360000000001"/>
    <n v="0.71"/>
    <n v="-0.10965909090909082"/>
    <n v="0.12"/>
    <n v="198.24431999999999"/>
    <n v="24.940799999999999"/>
    <n v="8.011976994246865"/>
    <n v="15.750189264718257"/>
    <n v="12.590561999383141"/>
  </r>
  <r>
    <x v="1"/>
    <n v="2.5748229999999999"/>
    <n v="0.71"/>
    <n v="-0.10965909090909082"/>
    <n v="0.26"/>
    <n v="669.45398"/>
    <n v="54.038400000000003"/>
    <n v="17.359283487534874"/>
    <n v="34.125410073556225"/>
    <n v="27.279550998663474"/>
  </r>
  <r>
    <x v="1"/>
    <n v="2.5748229999999999"/>
    <n v="0.68"/>
    <n v="-0.10965909090909082"/>
    <n v="296.76400000000001"/>
    <n v="764114.77277200005"/>
    <n v="61679.429760000006"/>
    <n v="19813.886172672304"/>
    <n v="38950.743057957079"/>
    <n v="31136.879509874489"/>
  </r>
  <r>
    <x v="1"/>
    <n v="2.5748229999999999"/>
    <n v="0.68"/>
    <n v="-0.10965909090909082"/>
    <n v="14.744"/>
    <n v="37963.190311999992"/>
    <n v="3064.3929600000001"/>
    <n v="984.40490669313147"/>
    <n v="1935.17325432505"/>
    <n v="1546.9603843242087"/>
  </r>
  <r>
    <x v="2"/>
    <n v="1.8311059999999999"/>
    <n v="0.67"/>
    <n v="-0.10965909090909082"/>
    <n v="1.76"/>
    <n v="3222.74656"/>
    <n v="365.79840000000002"/>
    <n v="117.50899591562069"/>
    <n v="231.00277588253445"/>
    <n v="184.66157599095274"/>
  </r>
  <r>
    <x v="2"/>
    <n v="1.8311059999999999"/>
    <n v="0.67"/>
    <n v="-0.10965909090909082"/>
    <n v="1.08"/>
    <n v="1977.59448"/>
    <n v="224.46720000000002"/>
    <n v="72.107792948221785"/>
    <n v="141.75170338246434"/>
    <n v="113.31505799444828"/>
  </r>
  <r>
    <x v="2"/>
    <n v="1.8311059999999999"/>
    <n v="0.67"/>
    <n v="-0.10965909090909082"/>
    <n v="20.239999999999998"/>
    <n v="37061.585439999995"/>
    <n v="4206.6815999999999"/>
    <n v="1351.3534530296379"/>
    <n v="2656.5319226491461"/>
    <n v="2123.6081238959564"/>
  </r>
  <r>
    <x v="2"/>
    <n v="1.8311059999999999"/>
    <n v="0.67"/>
    <n v="-0.10965909090909082"/>
    <n v="5.28"/>
    <n v="9668.2396799999988"/>
    <n v="1097.3952000000002"/>
    <n v="352.52698774686206"/>
    <n v="693.00832764760344"/>
    <n v="553.9847279728582"/>
  </r>
  <r>
    <x v="2"/>
    <n v="1.8311059999999999"/>
    <n v="0.67"/>
    <n v="-0.10965909090909082"/>
    <n v="3.1"/>
    <n v="5676.4285999999993"/>
    <n v="644.30399999999997"/>
    <n v="206.97607235137735"/>
    <n v="406.87988933855502"/>
    <n v="325.25618498406448"/>
  </r>
  <r>
    <x v="2"/>
    <n v="1.8311059999999999"/>
    <n v="0.67"/>
    <n v="-0.10965909090909082"/>
    <n v="3.2"/>
    <n v="5859.5392000000002"/>
    <n v="665.08800000000008"/>
    <n v="213.65271984658307"/>
    <n v="420.00504705915358"/>
    <n v="335.74831998355046"/>
  </r>
  <r>
    <x v="3"/>
    <n v="2.8469569999999997"/>
    <n v="0.56000000000000005"/>
    <n v="-0.10965909090909082"/>
    <n v="16.48"/>
    <n v="46917.851360000001"/>
    <n v="3425.2031999999999"/>
    <n v="1100.3115072099029"/>
    <n v="2163.0259923546409"/>
    <n v="1729.1038479152849"/>
  </r>
  <r>
    <x v="3"/>
    <n v="2.8469569999999997"/>
    <n v="0.56000000000000005"/>
    <n v="-0.10965909090909082"/>
    <n v="0.02"/>
    <n v="56.939140000000002"/>
    <n v="4.1568000000000005"/>
    <n v="1.3353294990411442"/>
    <n v="2.6250315441197096"/>
    <n v="2.0984269998971903"/>
  </r>
  <r>
    <x v="4"/>
    <n v="1.22635851472471"/>
    <n v="0.56000000000000005"/>
    <n v="-0.10965909090909082"/>
    <n v="0"/>
    <n v="0"/>
    <n v="0"/>
    <n v="0"/>
    <n v="0"/>
    <n v="0"/>
  </r>
  <r>
    <x v="5"/>
    <n v="1.793326"/>
    <n v="0.65"/>
    <n v="-0.10965909090909082"/>
    <n v="1.04"/>
    <n v="1865.0590400000001"/>
    <n v="216.15360000000001"/>
    <n v="69.437133950139497"/>
    <n v="136.5016402942249"/>
    <n v="109.1182039946539"/>
  </r>
  <r>
    <x v="5"/>
    <n v="1.793326"/>
    <n v="0.65"/>
    <n v="-0.10965909090909082"/>
    <n v="41.82"/>
    <n v="74996.893320000003"/>
    <n v="8691.8688000000002"/>
    <n v="2792.1739824950323"/>
    <n v="5488.9409587543132"/>
    <n v="4387.810856785025"/>
  </r>
  <r>
    <x v="5"/>
    <n v="1.793326"/>
    <n v="0.65"/>
    <n v="-0.10965909090909082"/>
    <n v="138.02000000000001"/>
    <n v="247514.85452000002"/>
    <n v="28686.076800000003"/>
    <n v="9215.1088728829363"/>
    <n v="18115.342685970118"/>
    <n v="14481.244726290512"/>
  </r>
  <r>
    <x v="5"/>
    <n v="1.793326"/>
    <n v="0.65"/>
    <n v="-0.10965909090909082"/>
    <n v="174.24"/>
    <n v="312469.12224"/>
    <n v="36214.041600000004"/>
    <n v="11633.390595646448"/>
    <n v="22869.274812370913"/>
    <n v="18281.496023104322"/>
  </r>
  <r>
    <x v="5"/>
    <n v="1.793326"/>
    <n v="0.65"/>
    <n v="-0.10965909090909082"/>
    <n v="0"/>
    <n v="0"/>
    <n v="0"/>
    <n v="0"/>
    <n v="0"/>
    <n v="0"/>
  </r>
  <r>
    <x v="5"/>
    <n v="1.793326"/>
    <n v="0.65"/>
    <n v="-0.10965909090909082"/>
    <n v="0"/>
    <n v="0"/>
    <n v="0"/>
    <n v="0"/>
    <n v="0"/>
    <n v="0"/>
  </r>
  <r>
    <x v="6"/>
    <n v="1.7839849999999999"/>
    <n v="0.68"/>
    <n v="-0.10965909090909082"/>
    <n v="0.04"/>
    <n v="71.359400000000008"/>
    <n v="8.313600000000001"/>
    <n v="2.6706589980822883"/>
    <n v="5.2500630882394193"/>
    <n v="4.1968539997943806"/>
  </r>
  <r>
    <x v="6"/>
    <n v="1.7839849999999999"/>
    <n v="0.68"/>
    <n v="-0.10965909090909082"/>
    <n v="0.12"/>
    <n v="214.07820000000001"/>
    <n v="24.940799999999999"/>
    <n v="8.011976994246865"/>
    <n v="15.750189264718257"/>
    <n v="12.590561999383141"/>
  </r>
  <r>
    <x v="6"/>
    <n v="1.7839849999999999"/>
    <n v="0.68"/>
    <n v="-0.10965909090909082"/>
    <n v="3.8"/>
    <n v="6779.1429999999991"/>
    <n v="789.79200000000003"/>
    <n v="253.71260481781738"/>
    <n v="498.7559933827448"/>
    <n v="398.70112998046613"/>
  </r>
  <r>
    <x v="6"/>
    <n v="1.7839849999999999"/>
    <n v="0.68"/>
    <n v="-0.10965909090909082"/>
    <n v="172.7"/>
    <n v="308094.2095"/>
    <n v="35893.968000000001"/>
    <n v="11530.570224220279"/>
    <n v="22667.14738347369"/>
    <n v="18119.917144112238"/>
  </r>
  <r>
    <x v="6"/>
    <n v="1.7839849999999999"/>
    <n v="0.68"/>
    <n v="-0.10965909090909082"/>
    <n v="37.18"/>
    <n v="66328.562300000005"/>
    <n v="7727.4912000000004"/>
    <n v="2482.3775387174869"/>
    <n v="4879.9336405185404"/>
    <n v="3900.9757928088766"/>
  </r>
  <r>
    <x v="6"/>
    <n v="1.7839849999999999"/>
    <n v="0.68"/>
    <n v="-0.10965909090909082"/>
    <n v="12.84"/>
    <n v="22906.367399999999"/>
    <n v="2668.6655999999998"/>
    <n v="857.2815383844146"/>
    <n v="1685.2702513248537"/>
    <n v="1347.1901339339961"/>
  </r>
  <r>
    <x v="6"/>
    <n v="1.7839849999999999"/>
    <n v="0.68"/>
    <n v="-0.10965909090909082"/>
    <n v="1.96"/>
    <n v="3496.6106"/>
    <n v="407.3664"/>
    <n v="130.86229090603211"/>
    <n v="257.25309132373155"/>
    <n v="205.64584598992465"/>
  </r>
  <r>
    <x v="7"/>
    <n v="1.7121729999999999"/>
    <n v="0.68"/>
    <n v="-0.10965909090909082"/>
    <n v="31.12"/>
    <n v="53282.823759999999"/>
    <n v="6467.9808000000003"/>
    <n v="2077.7727005080205"/>
    <n v="4084.5490826502682"/>
    <n v="3265.152411840028"/>
  </r>
  <r>
    <x v="7"/>
    <n v="1.7121729999999999"/>
    <n v="0.68"/>
    <n v="-0.10965909090909082"/>
    <n v="4.54"/>
    <n v="7773.2654199999997"/>
    <n v="943.59360000000004"/>
    <n v="303.11979628233973"/>
    <n v="595.88216051517406"/>
    <n v="476.34292897666217"/>
  </r>
  <r>
    <x v="8"/>
    <n v="3.2308044090056303"/>
    <n v="0.68"/>
    <n v="-0.10965909090909082"/>
    <n v="21.28"/>
    <n v="68751.517823639821"/>
    <n v="4422.8352000000004"/>
    <n v="1420.7905869797776"/>
    <n v="2793.0335629433712"/>
    <n v="2232.7263278906107"/>
  </r>
  <r>
    <x v="9"/>
    <n v="2.2466200000000001"/>
    <n v="0.68"/>
    <n v="-0.10965909090909082"/>
    <n v="49.12"/>
    <n v="110353.97439999999"/>
    <n v="10209.1008"/>
    <n v="3279.5692496450497"/>
    <n v="6447.0774723580071"/>
    <n v="5153.7367117474987"/>
  </r>
  <r>
    <x v="9"/>
    <n v="2.2466200000000001"/>
    <n v="0.68"/>
    <n v="-0.10965909090909082"/>
    <n v="30.99"/>
    <n v="69622.753799999991"/>
    <n v="6440.9615999999996"/>
    <n v="2069.0930587642529"/>
    <n v="4067.4863776134898"/>
    <n v="3251.5126363406962"/>
  </r>
  <r>
    <x v="9"/>
    <n v="2.2466200000000001"/>
    <n v="0.68"/>
    <n v="-0.10965909090909082"/>
    <n v="44.225000000000001"/>
    <n v="99356.769500000009"/>
    <n v="9191.7240000000002"/>
    <n v="2952.7473547547302"/>
    <n v="5804.6010019347086"/>
    <n v="4640.1467035226624"/>
  </r>
  <r>
    <x v="10"/>
    <n v="1.40857659987072"/>
    <n v="0.71"/>
    <n v="-0.10965909090909082"/>
    <n v="30.94"/>
    <n v="43581.360000000081"/>
    <n v="6430.5696000000007"/>
    <n v="2065.7547350166501"/>
    <n v="4060.923798753191"/>
    <n v="3246.26656884095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5CF7C-7B55-45C2-927C-F963BEC9298F}" name="TablaDinámica1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K15" firstHeaderRow="0" firstDataRow="1" firstDataCol="1"/>
  <pivotFields count="10">
    <pivotField axis="axisRow" showAll="0">
      <items count="12">
        <item x="2"/>
        <item x="5"/>
        <item x="0"/>
        <item x="9"/>
        <item x="6"/>
        <item x="7"/>
        <item x="4"/>
        <item x="3"/>
        <item x="1"/>
        <item x="8"/>
        <item x="10"/>
        <item t="default"/>
      </items>
    </pivotField>
    <pivotField numFmtId="166" showAll="0"/>
    <pivotField numFmtId="9" showAll="0"/>
    <pivotField numFmtId="9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TM en Stock libre" fld="4" baseField="0" baseItem="0" numFmtId="165"/>
    <dataField name="Suma de Costo Ventas" fld="5" baseField="0" baseItem="0" numFmtId="165"/>
    <dataField name="Suma de Gasto Ventas" fld="6" baseField="0" baseItem="0" numFmtId="165"/>
    <dataField name="Suma de Gasto ADM" fld="7" baseField="0" baseItem="0" numFmtId="165"/>
    <dataField name="Suma de Gasto Fin" fld="8" baseField="0" baseItem="0" numFmtId="165"/>
    <dataField name="Suma de Depreciación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5" dT="2026-08-03T21:04:12.65" personId="{3BC102D7-9903-4269-B6C2-AD61FDB45702}" id="{49224487-0F2F-49AE-9950-9D2F093293EF}">
    <text>Precio venta 1500</text>
  </threadedComment>
  <threadedComment ref="Q27" dT="2026-08-03T21:04:38.98" personId="{3BC102D7-9903-4269-B6C2-AD61FDB45702}" id="{F5756735-AEB2-44EE-9174-4261B56A7A93}">
    <text>Precio de venta 2275</text>
  </threadedComment>
  <threadedComment ref="Q28" dT="2026-08-03T21:04:24.79" personId="{3BC102D7-9903-4269-B6C2-AD61FDB45702}" id="{D6790995-1BAC-4E5A-B647-22E57314E429}">
    <text>Precio venta 3400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E497-64E9-4DEA-820C-B87D0F1465BC}">
  <dimension ref="B2:X57"/>
  <sheetViews>
    <sheetView showGridLines="0" tabSelected="1" zoomScale="60" zoomScaleNormal="60" workbookViewId="0">
      <pane xSplit="4" ySplit="6" topLeftCell="E13" activePane="bottomRight" state="frozen"/>
      <selection pane="topRight" activeCell="E1" sqref="E1"/>
      <selection pane="bottomLeft" activeCell="A7" sqref="A7"/>
      <selection pane="bottomRight" activeCell="O2" sqref="O2"/>
    </sheetView>
  </sheetViews>
  <sheetFormatPr baseColWidth="10" defaultRowHeight="14.4" outlineLevelCol="2" x14ac:dyDescent="0.3"/>
  <cols>
    <col min="1" max="1" width="7.77734375" customWidth="1"/>
    <col min="2" max="2" width="14.33203125" hidden="1" customWidth="1" outlineLevel="1"/>
    <col min="3" max="3" width="34.109375" customWidth="1" collapsed="1"/>
    <col min="4" max="4" width="16.21875" customWidth="1" outlineLevel="1"/>
    <col min="5" max="5" width="12.88671875" customWidth="1" outlineLevel="1"/>
    <col min="6" max="6" width="16.44140625" bestFit="1" customWidth="1" outlineLevel="2"/>
    <col min="7" max="7" width="16.5546875" bestFit="1" customWidth="1" outlineLevel="2"/>
    <col min="8" max="8" width="14.21875" bestFit="1" customWidth="1" outlineLevel="2"/>
    <col min="9" max="9" width="12.5546875" bestFit="1" customWidth="1" outlineLevel="2"/>
    <col min="10" max="11" width="16.21875" bestFit="1" customWidth="1" outlineLevel="2"/>
    <col min="12" max="12" width="15.88671875" bestFit="1" customWidth="1" outlineLevel="2"/>
    <col min="13" max="13" width="17.33203125" customWidth="1" outlineLevel="2"/>
    <col min="14" max="16" width="16" customWidth="1" outlineLevel="2"/>
    <col min="17" max="22" width="17.5546875" customWidth="1" outlineLevel="2"/>
    <col min="23" max="23" width="9.6640625" customWidth="1" outlineLevel="1"/>
  </cols>
  <sheetData>
    <row r="2" spans="2:24" ht="15.6" x14ac:dyDescent="0.3">
      <c r="C2" s="48" t="s">
        <v>117</v>
      </c>
    </row>
    <row r="3" spans="2:24" x14ac:dyDescent="0.3">
      <c r="C3" s="49" t="s">
        <v>145</v>
      </c>
      <c r="G3" s="44"/>
      <c r="M3" s="50"/>
      <c r="N3" s="44"/>
      <c r="O3" s="44"/>
      <c r="P3" s="44"/>
      <c r="R3" s="51"/>
    </row>
    <row r="4" spans="2:24" ht="15" thickBot="1" x14ac:dyDescent="0.35">
      <c r="C4" s="49"/>
      <c r="G4" s="51"/>
      <c r="M4" s="51"/>
    </row>
    <row r="5" spans="2:24" ht="15" thickBot="1" x14ac:dyDescent="0.35">
      <c r="F5" s="52" t="s">
        <v>118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4"/>
    </row>
    <row r="6" spans="2:24" s="64" customFormat="1" ht="29.4" thickBot="1" x14ac:dyDescent="0.35">
      <c r="B6" s="55" t="s">
        <v>119</v>
      </c>
      <c r="C6" s="56" t="s">
        <v>120</v>
      </c>
      <c r="D6" s="57" t="s">
        <v>121</v>
      </c>
      <c r="E6" s="58" t="s">
        <v>122</v>
      </c>
      <c r="F6" s="59" t="s">
        <v>79</v>
      </c>
      <c r="G6" s="60" t="s">
        <v>80</v>
      </c>
      <c r="H6" s="60" t="s">
        <v>81</v>
      </c>
      <c r="I6" s="60" t="s">
        <v>82</v>
      </c>
      <c r="J6" s="60" t="s">
        <v>83</v>
      </c>
      <c r="K6" s="60" t="s">
        <v>84</v>
      </c>
      <c r="L6" s="61" t="s">
        <v>85</v>
      </c>
      <c r="M6" s="62" t="s">
        <v>123</v>
      </c>
      <c r="N6" s="62" t="s">
        <v>124</v>
      </c>
      <c r="O6" s="62" t="s">
        <v>125</v>
      </c>
      <c r="P6" s="62" t="s">
        <v>126</v>
      </c>
      <c r="Q6" s="63" t="s">
        <v>127</v>
      </c>
      <c r="R6" s="63" t="s">
        <v>128</v>
      </c>
      <c r="S6" s="63" t="s">
        <v>129</v>
      </c>
      <c r="T6" s="63" t="s">
        <v>130</v>
      </c>
      <c r="U6" s="63" t="s">
        <v>131</v>
      </c>
      <c r="V6" s="63" t="s">
        <v>132</v>
      </c>
    </row>
    <row r="7" spans="2:24" x14ac:dyDescent="0.3">
      <c r="B7" s="43">
        <v>10005721</v>
      </c>
      <c r="C7" s="46" t="s">
        <v>105</v>
      </c>
      <c r="D7" s="66">
        <f>TD!F4</f>
        <v>34.660000000000004</v>
      </c>
      <c r="E7" s="67">
        <f t="shared" ref="E7:E20" si="0">IFERROR(F7/D7,0)</f>
        <v>1831.1059999999995</v>
      </c>
      <c r="F7" s="38">
        <f>TD!G4</f>
        <v>63466.133959999992</v>
      </c>
      <c r="G7" s="44">
        <f>TD!H4</f>
        <v>7203.7343999999994</v>
      </c>
      <c r="H7" s="44">
        <f>TD!I4</f>
        <v>2314.1260218383031</v>
      </c>
      <c r="I7" s="44">
        <f>TD!J4</f>
        <v>4549.1796659594565</v>
      </c>
      <c r="J7" s="44">
        <f>TD!K4</f>
        <v>3636.5739908218306</v>
      </c>
      <c r="K7" s="68">
        <v>0</v>
      </c>
      <c r="L7" s="69">
        <v>0</v>
      </c>
      <c r="M7" s="70">
        <f>F7+G7+H7+I7</f>
        <v>77533.174047797758</v>
      </c>
      <c r="N7" s="71">
        <f>IFERROR(M7/D7,0)</f>
        <v>2236.9640521580423</v>
      </c>
      <c r="O7" s="71">
        <f t="shared" ref="O7:O19" si="1">F7+G7+H7-J7</f>
        <v>69347.42039101648</v>
      </c>
      <c r="P7" s="71">
        <f t="shared" ref="P7:P20" si="2">IFERROR(O7/D7,0)</f>
        <v>2000.7911249571978</v>
      </c>
      <c r="Q7" s="72">
        <v>1800</v>
      </c>
      <c r="R7" s="72">
        <f>Q7*D7</f>
        <v>62388.000000000007</v>
      </c>
      <c r="S7" s="72">
        <f t="shared" ref="S7:S19" si="3">R7-M7</f>
        <v>-15145.174047797751</v>
      </c>
      <c r="T7" s="73">
        <f t="shared" ref="T7:T19" si="4">IFERROR(S7/R7,0)</f>
        <v>-0.24275780675446798</v>
      </c>
      <c r="U7" s="72">
        <f t="shared" ref="U7:U9" si="5">R7-(M7-J7-I7)</f>
        <v>-6959.4203910164724</v>
      </c>
      <c r="V7" s="73">
        <f t="shared" ref="V7:V20" si="6">IFERROR(U7/R7,0)</f>
        <v>-0.11155062497622094</v>
      </c>
      <c r="X7" s="51"/>
    </row>
    <row r="8" spans="2:24" x14ac:dyDescent="0.3">
      <c r="B8" s="43">
        <v>10005779</v>
      </c>
      <c r="C8" s="47" t="s">
        <v>106</v>
      </c>
      <c r="D8" s="66">
        <f>TD!F5</f>
        <v>355.12</v>
      </c>
      <c r="E8" s="67">
        <f t="shared" si="0"/>
        <v>1793.326</v>
      </c>
      <c r="F8" s="44">
        <f>TD!G5</f>
        <v>636845.92911999999</v>
      </c>
      <c r="G8" s="44">
        <f>TD!H5</f>
        <v>73808.140800000008</v>
      </c>
      <c r="H8" s="44">
        <f>TD!I5</f>
        <v>23710.110584974558</v>
      </c>
      <c r="I8" s="44">
        <f>TD!J5</f>
        <v>46610.060097389563</v>
      </c>
      <c r="J8" s="44">
        <f>TD!K5</f>
        <v>37259.669810174513</v>
      </c>
      <c r="K8" s="68">
        <v>0</v>
      </c>
      <c r="L8" s="69">
        <v>0</v>
      </c>
      <c r="M8" s="70">
        <f t="shared" ref="M8:M19" si="7">F8+G8+H8+I8</f>
        <v>780974.24060236407</v>
      </c>
      <c r="N8" s="71">
        <f>IFERROR(M8/D8,0)</f>
        <v>2199.1840521580425</v>
      </c>
      <c r="O8" s="71">
        <f t="shared" si="1"/>
        <v>697104.51069480006</v>
      </c>
      <c r="P8" s="71">
        <f t="shared" si="2"/>
        <v>1963.0111249571978</v>
      </c>
      <c r="Q8" s="72">
        <v>1400</v>
      </c>
      <c r="R8" s="72">
        <f t="shared" ref="R8:R14" si="8">Q8*D8</f>
        <v>497168</v>
      </c>
      <c r="S8" s="72">
        <f t="shared" si="3"/>
        <v>-283806.24060236407</v>
      </c>
      <c r="T8" s="73">
        <f t="shared" si="4"/>
        <v>-0.570845751541459</v>
      </c>
      <c r="U8" s="72">
        <f t="shared" si="5"/>
        <v>-199936.51069479994</v>
      </c>
      <c r="V8" s="73">
        <f t="shared" si="6"/>
        <v>-0.40215080354085531</v>
      </c>
    </row>
    <row r="9" spans="2:24" x14ac:dyDescent="0.3">
      <c r="B9" s="43">
        <v>10006719</v>
      </c>
      <c r="C9" s="47" t="s">
        <v>107</v>
      </c>
      <c r="D9" s="66">
        <f>TD!F6</f>
        <v>18.02</v>
      </c>
      <c r="E9" s="67">
        <f t="shared" si="0"/>
        <v>1652.0360000000003</v>
      </c>
      <c r="F9" s="44">
        <f>TD!G6</f>
        <v>29769.688720000006</v>
      </c>
      <c r="G9" s="44">
        <f>TD!H6</f>
        <v>3745.2768000000001</v>
      </c>
      <c r="H9" s="44">
        <f>TD!I6</f>
        <v>1203.1318786360707</v>
      </c>
      <c r="I9" s="44">
        <f>TD!J6</f>
        <v>2365.1534212518586</v>
      </c>
      <c r="J9" s="44">
        <f>TD!K6</f>
        <v>1890.6827269073685</v>
      </c>
      <c r="K9" s="68">
        <v>0</v>
      </c>
      <c r="L9" s="69">
        <v>0</v>
      </c>
      <c r="M9" s="70">
        <f t="shared" si="7"/>
        <v>37083.250819887937</v>
      </c>
      <c r="N9" s="71">
        <f t="shared" ref="N9:N14" si="9">IFERROR(M9/D9,0)</f>
        <v>2057.894052158043</v>
      </c>
      <c r="O9" s="71">
        <f t="shared" si="1"/>
        <v>32827.414671728708</v>
      </c>
      <c r="P9" s="71">
        <f t="shared" si="2"/>
        <v>1821.7211249571981</v>
      </c>
      <c r="Q9" s="72">
        <v>1950</v>
      </c>
      <c r="R9" s="72">
        <f t="shared" si="8"/>
        <v>35139</v>
      </c>
      <c r="S9" s="72">
        <f t="shared" si="3"/>
        <v>-1944.2508198879368</v>
      </c>
      <c r="T9" s="73">
        <f t="shared" si="4"/>
        <v>-5.5330283157970825E-2</v>
      </c>
      <c r="U9" s="72">
        <f t="shared" si="5"/>
        <v>2311.5853282712924</v>
      </c>
      <c r="V9" s="73">
        <f t="shared" si="6"/>
        <v>6.5784038483488211E-2</v>
      </c>
    </row>
    <row r="10" spans="2:24" x14ac:dyDescent="0.3">
      <c r="B10" s="43">
        <v>10007050</v>
      </c>
      <c r="C10" s="47" t="s">
        <v>108</v>
      </c>
      <c r="D10" s="66">
        <f>TD!F7</f>
        <v>124.33500000000001</v>
      </c>
      <c r="E10" s="67">
        <f t="shared" si="0"/>
        <v>2246.62</v>
      </c>
      <c r="F10" s="44">
        <f>TD!G7</f>
        <v>279333.49770000001</v>
      </c>
      <c r="G10" s="44">
        <f>TD!H7</f>
        <v>25841.786399999997</v>
      </c>
      <c r="H10" s="44">
        <f>TD!I7</f>
        <v>8301.4096631640332</v>
      </c>
      <c r="I10" s="44">
        <f>TD!J7</f>
        <v>16319.164851906206</v>
      </c>
      <c r="J10" s="44">
        <f>TD!K7</f>
        <v>13045.396051610856</v>
      </c>
      <c r="K10" s="68">
        <v>0</v>
      </c>
      <c r="L10" s="69">
        <v>0</v>
      </c>
      <c r="M10" s="70">
        <f t="shared" si="7"/>
        <v>329795.85861507023</v>
      </c>
      <c r="N10" s="71">
        <f t="shared" si="9"/>
        <v>2652.4780521580424</v>
      </c>
      <c r="O10" s="71">
        <f t="shared" si="1"/>
        <v>300431.29771155317</v>
      </c>
      <c r="P10" s="71">
        <f t="shared" si="2"/>
        <v>2416.3051249571977</v>
      </c>
      <c r="Q10" s="72">
        <v>1700</v>
      </c>
      <c r="R10" s="72">
        <f t="shared" si="8"/>
        <v>211369.5</v>
      </c>
      <c r="S10" s="72">
        <f t="shared" si="3"/>
        <v>-118426.35861507023</v>
      </c>
      <c r="T10" s="73">
        <f t="shared" si="4"/>
        <v>-0.56028120715178975</v>
      </c>
      <c r="U10" s="72">
        <f>R10-(M10-J10-I10)</f>
        <v>-89061.797711553168</v>
      </c>
      <c r="V10" s="73">
        <f t="shared" si="6"/>
        <v>-0.42135595585717506</v>
      </c>
    </row>
    <row r="11" spans="2:24" x14ac:dyDescent="0.3">
      <c r="B11" s="43">
        <v>10007162</v>
      </c>
      <c r="C11" s="47" t="s">
        <v>109</v>
      </c>
      <c r="D11" s="66">
        <f>TD!F8</f>
        <v>228.64000000000001</v>
      </c>
      <c r="E11" s="67">
        <f t="shared" si="0"/>
        <v>1783.9849999999997</v>
      </c>
      <c r="F11" s="44">
        <f>TD!G8</f>
        <v>407890.33039999998</v>
      </c>
      <c r="G11" s="44">
        <f>TD!H8</f>
        <v>47520.537600000003</v>
      </c>
      <c r="H11" s="44">
        <f>TD!I8</f>
        <v>15265.48683303836</v>
      </c>
      <c r="I11" s="44">
        <f>TD!J8</f>
        <v>30009.36061237652</v>
      </c>
      <c r="J11" s="44">
        <f>TD!K8</f>
        <v>23989.217462824679</v>
      </c>
      <c r="K11" s="68">
        <v>0</v>
      </c>
      <c r="L11" s="69">
        <v>0</v>
      </c>
      <c r="M11" s="70">
        <f t="shared" si="7"/>
        <v>500685.71544541483</v>
      </c>
      <c r="N11" s="71">
        <f t="shared" si="9"/>
        <v>2189.8430521580422</v>
      </c>
      <c r="O11" s="71">
        <f t="shared" si="1"/>
        <v>446687.13737021363</v>
      </c>
      <c r="P11" s="71">
        <f t="shared" si="2"/>
        <v>1953.6701249571975</v>
      </c>
      <c r="Q11" s="72">
        <v>2700</v>
      </c>
      <c r="R11" s="72">
        <f t="shared" si="8"/>
        <v>617328</v>
      </c>
      <c r="S11" s="72">
        <f t="shared" si="3"/>
        <v>116642.28455458517</v>
      </c>
      <c r="T11" s="73">
        <f t="shared" si="4"/>
        <v>0.18894701771924355</v>
      </c>
      <c r="U11" s="72">
        <f t="shared" ref="U11:U19" si="10">R11-(M11-J11-I11)</f>
        <v>170640.86262978637</v>
      </c>
      <c r="V11" s="73">
        <f t="shared" si="6"/>
        <v>0.27641847223807503</v>
      </c>
    </row>
    <row r="12" spans="2:24" x14ac:dyDescent="0.3">
      <c r="B12" s="43">
        <v>10007567</v>
      </c>
      <c r="C12" s="47" t="s">
        <v>110</v>
      </c>
      <c r="D12" s="66">
        <f>TD!F9</f>
        <v>35.660000000000004</v>
      </c>
      <c r="E12" s="67">
        <f t="shared" si="0"/>
        <v>1712.1729999999998</v>
      </c>
      <c r="F12" s="44">
        <f>TD!G9</f>
        <v>61056.089179999995</v>
      </c>
      <c r="G12" s="44">
        <f>TD!H9</f>
        <v>7411.5744000000004</v>
      </c>
      <c r="H12" s="44">
        <f>TD!I9</f>
        <v>2380.8924967903604</v>
      </c>
      <c r="I12" s="44">
        <f>TD!J9</f>
        <v>4680.4312431654425</v>
      </c>
      <c r="J12" s="44">
        <f>TD!K9</f>
        <v>3741.4953408166903</v>
      </c>
      <c r="K12" s="68">
        <v>0</v>
      </c>
      <c r="L12" s="69">
        <v>0</v>
      </c>
      <c r="M12" s="70">
        <f t="shared" si="7"/>
        <v>75528.987319955791</v>
      </c>
      <c r="N12" s="71">
        <f t="shared" si="9"/>
        <v>2118.0310521580423</v>
      </c>
      <c r="O12" s="71">
        <f t="shared" si="1"/>
        <v>67107.06073597366</v>
      </c>
      <c r="P12" s="71">
        <f t="shared" si="2"/>
        <v>1881.8581249571973</v>
      </c>
      <c r="Q12" s="72">
        <v>2800</v>
      </c>
      <c r="R12" s="72">
        <f t="shared" si="8"/>
        <v>99848.000000000015</v>
      </c>
      <c r="S12" s="72">
        <f t="shared" si="3"/>
        <v>24319.012680044223</v>
      </c>
      <c r="T12" s="73">
        <f t="shared" si="4"/>
        <v>0.24356033851498499</v>
      </c>
      <c r="U12" s="72">
        <f t="shared" si="10"/>
        <v>32740.939264026354</v>
      </c>
      <c r="V12" s="73">
        <f t="shared" si="6"/>
        <v>0.32790781251528672</v>
      </c>
    </row>
    <row r="13" spans="2:24" x14ac:dyDescent="0.3">
      <c r="B13" s="43">
        <v>10007969</v>
      </c>
      <c r="C13" s="47" t="s">
        <v>74</v>
      </c>
      <c r="D13" s="66">
        <f>TD!F10</f>
        <v>0</v>
      </c>
      <c r="E13" s="67">
        <f t="shared" si="0"/>
        <v>0</v>
      </c>
      <c r="F13" s="44">
        <f>TD!G10</f>
        <v>0</v>
      </c>
      <c r="G13" s="44">
        <f>TD!H10</f>
        <v>0</v>
      </c>
      <c r="H13" s="44">
        <f>TD!I10</f>
        <v>0</v>
      </c>
      <c r="I13" s="44">
        <f>TD!J10</f>
        <v>0</v>
      </c>
      <c r="J13" s="44">
        <f>TD!K10</f>
        <v>0</v>
      </c>
      <c r="K13" s="68">
        <v>0</v>
      </c>
      <c r="L13" s="69">
        <v>0</v>
      </c>
      <c r="M13" s="70">
        <f t="shared" si="7"/>
        <v>0</v>
      </c>
      <c r="N13" s="71">
        <f t="shared" si="9"/>
        <v>0</v>
      </c>
      <c r="O13" s="71">
        <f t="shared" si="1"/>
        <v>0</v>
      </c>
      <c r="P13" s="71">
        <f t="shared" si="2"/>
        <v>0</v>
      </c>
      <c r="Q13" s="72">
        <v>1700</v>
      </c>
      <c r="R13" s="72">
        <f t="shared" si="8"/>
        <v>0</v>
      </c>
      <c r="S13" s="72">
        <f t="shared" si="3"/>
        <v>0</v>
      </c>
      <c r="T13" s="73">
        <f t="shared" si="4"/>
        <v>0</v>
      </c>
      <c r="U13" s="72">
        <f t="shared" si="10"/>
        <v>0</v>
      </c>
      <c r="V13" s="73">
        <f t="shared" si="6"/>
        <v>0</v>
      </c>
    </row>
    <row r="14" spans="2:24" x14ac:dyDescent="0.3">
      <c r="B14" s="43">
        <v>10009239</v>
      </c>
      <c r="C14" s="47" t="s">
        <v>111</v>
      </c>
      <c r="D14" s="66">
        <f>TD!F11</f>
        <v>16.5</v>
      </c>
      <c r="E14" s="67">
        <f t="shared" si="0"/>
        <v>2846.9570000000003</v>
      </c>
      <c r="F14" s="44">
        <f>TD!G11</f>
        <v>46974.790500000003</v>
      </c>
      <c r="G14" s="44">
        <f>TD!H11</f>
        <v>3429.36</v>
      </c>
      <c r="H14" s="44">
        <f>TD!I11</f>
        <v>1101.646836708944</v>
      </c>
      <c r="I14" s="44">
        <f>TD!J11</f>
        <v>2165.6510238987607</v>
      </c>
      <c r="J14" s="44">
        <f>TD!K11</f>
        <v>1731.202274915182</v>
      </c>
      <c r="K14" s="68">
        <v>0</v>
      </c>
      <c r="L14" s="69">
        <v>0</v>
      </c>
      <c r="M14" s="70">
        <f t="shared" si="7"/>
        <v>53671.448360607712</v>
      </c>
      <c r="N14" s="71">
        <f t="shared" si="9"/>
        <v>3252.8150521580433</v>
      </c>
      <c r="O14" s="71">
        <f t="shared" si="1"/>
        <v>49774.595061793771</v>
      </c>
      <c r="P14" s="71">
        <f t="shared" si="2"/>
        <v>3016.6421249571981</v>
      </c>
      <c r="Q14" s="72">
        <v>3500</v>
      </c>
      <c r="R14" s="72">
        <f t="shared" si="8"/>
        <v>57750</v>
      </c>
      <c r="S14" s="72">
        <f t="shared" si="3"/>
        <v>4078.5516393922881</v>
      </c>
      <c r="T14" s="73">
        <f t="shared" si="4"/>
        <v>7.0624270811987674E-2</v>
      </c>
      <c r="U14" s="72">
        <f t="shared" si="10"/>
        <v>7975.4049382062294</v>
      </c>
      <c r="V14" s="73">
        <f t="shared" si="6"/>
        <v>0.13810225001222909</v>
      </c>
    </row>
    <row r="15" spans="2:24" x14ac:dyDescent="0.3">
      <c r="B15" s="43">
        <v>10009334</v>
      </c>
      <c r="C15" s="47" t="s">
        <v>112</v>
      </c>
      <c r="D15" s="66">
        <f>TD!F12</f>
        <v>311.76800000000003</v>
      </c>
      <c r="E15" s="67">
        <f t="shared" si="0"/>
        <v>2574.8229999999999</v>
      </c>
      <c r="F15" s="44">
        <f>TD!G12</f>
        <v>802747.41706400004</v>
      </c>
      <c r="G15" s="44">
        <f>TD!H12</f>
        <v>64797.861120000001</v>
      </c>
      <c r="H15" s="44">
        <f>TD!I12</f>
        <v>20815.650362852972</v>
      </c>
      <c r="I15" s="44">
        <f>TD!J12</f>
        <v>40920.04172235568</v>
      </c>
      <c r="J15" s="44">
        <f>TD!K12</f>
        <v>32711.119445197361</v>
      </c>
      <c r="K15" s="68">
        <v>0</v>
      </c>
      <c r="L15" s="69">
        <v>0</v>
      </c>
      <c r="M15" s="70">
        <f t="shared" si="7"/>
        <v>929280.97026920866</v>
      </c>
      <c r="N15" s="71">
        <f>IFERROR(M15/D15,0)</f>
        <v>2980.6810521580423</v>
      </c>
      <c r="O15" s="71">
        <f t="shared" si="1"/>
        <v>855649.80910165561</v>
      </c>
      <c r="P15" s="71">
        <f t="shared" si="2"/>
        <v>2744.5081249571977</v>
      </c>
      <c r="Q15" s="72">
        <v>3500</v>
      </c>
      <c r="R15" s="72">
        <f>Q15*D15</f>
        <v>1091188</v>
      </c>
      <c r="S15" s="72">
        <f t="shared" si="3"/>
        <v>161907.02973079134</v>
      </c>
      <c r="T15" s="73">
        <f t="shared" si="4"/>
        <v>0.14837684224055922</v>
      </c>
      <c r="U15" s="72">
        <f t="shared" si="10"/>
        <v>235538.19089834439</v>
      </c>
      <c r="V15" s="73">
        <f t="shared" si="6"/>
        <v>0.21585482144080065</v>
      </c>
    </row>
    <row r="16" spans="2:24" x14ac:dyDescent="0.3">
      <c r="B16" s="43">
        <v>10009386</v>
      </c>
      <c r="C16" s="47" t="s">
        <v>113</v>
      </c>
      <c r="D16" s="66">
        <f>TD!F13</f>
        <v>21.28</v>
      </c>
      <c r="E16" s="67">
        <f t="shared" si="0"/>
        <v>3230.8044090056305</v>
      </c>
      <c r="F16" s="44">
        <f>TD!G13</f>
        <v>68751.517823639821</v>
      </c>
      <c r="G16" s="44">
        <f>TD!H13</f>
        <v>4422.8352000000004</v>
      </c>
      <c r="H16" s="44">
        <f>TD!I13</f>
        <v>1420.7905869797776</v>
      </c>
      <c r="I16" s="44">
        <f>TD!J13</f>
        <v>2793.0335629433712</v>
      </c>
      <c r="J16" s="44">
        <f>TD!K13</f>
        <v>2232.7263278906107</v>
      </c>
      <c r="K16" s="68">
        <v>0</v>
      </c>
      <c r="L16" s="69">
        <v>0</v>
      </c>
      <c r="M16" s="70">
        <f t="shared" si="7"/>
        <v>77388.177173562974</v>
      </c>
      <c r="N16" s="71">
        <f>IFERROR(M16/D16,0)</f>
        <v>3636.6624611636735</v>
      </c>
      <c r="O16" s="71">
        <f t="shared" si="1"/>
        <v>72362.417282728988</v>
      </c>
      <c r="P16" s="71">
        <f t="shared" si="2"/>
        <v>3400.4895339628283</v>
      </c>
      <c r="Q16" s="72">
        <v>2000</v>
      </c>
      <c r="R16" s="72">
        <f>Q16*D16</f>
        <v>42560</v>
      </c>
      <c r="S16" s="72">
        <f t="shared" si="3"/>
        <v>-34828.177173562974</v>
      </c>
      <c r="T16" s="73">
        <f t="shared" si="4"/>
        <v>-0.81833123058183677</v>
      </c>
      <c r="U16" s="72">
        <f t="shared" si="10"/>
        <v>-29802.417282728988</v>
      </c>
      <c r="V16" s="73">
        <f t="shared" si="6"/>
        <v>-0.70024476698141414</v>
      </c>
    </row>
    <row r="17" spans="2:23" x14ac:dyDescent="0.3">
      <c r="B17" s="43">
        <v>10009386</v>
      </c>
      <c r="C17" s="47" t="s">
        <v>114</v>
      </c>
      <c r="D17" s="66">
        <f>TD!F14</f>
        <v>30.94</v>
      </c>
      <c r="E17" s="67">
        <f t="shared" si="0"/>
        <v>1408.57659987072</v>
      </c>
      <c r="F17" s="44">
        <f>TD!G14</f>
        <v>43581.360000000081</v>
      </c>
      <c r="G17" s="44">
        <f>TD!H14</f>
        <v>6430.5696000000007</v>
      </c>
      <c r="H17" s="44">
        <f>TD!I14</f>
        <v>2065.7547350166501</v>
      </c>
      <c r="I17" s="44">
        <f>TD!J14</f>
        <v>4060.923798753191</v>
      </c>
      <c r="J17" s="44">
        <f>TD!K14</f>
        <v>3246.2665688409534</v>
      </c>
      <c r="K17" s="68">
        <v>0</v>
      </c>
      <c r="L17" s="69">
        <v>0</v>
      </c>
      <c r="M17" s="70">
        <f t="shared" si="7"/>
        <v>56138.608133769922</v>
      </c>
      <c r="N17" s="71">
        <f t="shared" ref="N17:N19" si="11">IFERROR(M17/D17,0)</f>
        <v>1814.4346520287627</v>
      </c>
      <c r="O17" s="71">
        <f t="shared" si="1"/>
        <v>48831.417766175779</v>
      </c>
      <c r="P17" s="71">
        <f t="shared" si="2"/>
        <v>1578.2617248279178</v>
      </c>
      <c r="Q17" s="72">
        <v>1700</v>
      </c>
      <c r="R17" s="72">
        <f>Q17*D17</f>
        <v>52598</v>
      </c>
      <c r="S17" s="72">
        <f t="shared" si="3"/>
        <v>-3540.6081337699216</v>
      </c>
      <c r="T17" s="73">
        <f t="shared" si="4"/>
        <v>-6.7314501193389886E-2</v>
      </c>
      <c r="U17" s="72">
        <f t="shared" si="10"/>
        <v>3766.5822338242215</v>
      </c>
      <c r="V17" s="73">
        <f t="shared" si="6"/>
        <v>7.1610750101224793E-2</v>
      </c>
    </row>
    <row r="18" spans="2:23" x14ac:dyDescent="0.3">
      <c r="B18" s="43"/>
      <c r="C18" s="47" t="s">
        <v>115</v>
      </c>
      <c r="D18" s="66">
        <v>0</v>
      </c>
      <c r="E18" s="67">
        <f t="shared" si="0"/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68">
        <v>0</v>
      </c>
      <c r="L18" s="69">
        <v>0</v>
      </c>
      <c r="M18" s="70">
        <f t="shared" si="7"/>
        <v>0</v>
      </c>
      <c r="N18" s="71">
        <f t="shared" si="11"/>
        <v>0</v>
      </c>
      <c r="O18" s="71">
        <f t="shared" si="1"/>
        <v>0</v>
      </c>
      <c r="P18" s="71">
        <f t="shared" si="2"/>
        <v>0</v>
      </c>
      <c r="Q18" s="72">
        <v>1800</v>
      </c>
      <c r="R18" s="74">
        <f>Q18*D18</f>
        <v>0</v>
      </c>
      <c r="S18" s="72">
        <f t="shared" si="3"/>
        <v>0</v>
      </c>
      <c r="T18" s="73">
        <f t="shared" si="4"/>
        <v>0</v>
      </c>
      <c r="U18" s="72">
        <f t="shared" si="10"/>
        <v>0</v>
      </c>
      <c r="V18" s="73">
        <f t="shared" si="6"/>
        <v>0</v>
      </c>
    </row>
    <row r="19" spans="2:23" ht="15" thickBot="1" x14ac:dyDescent="0.35">
      <c r="B19" s="43"/>
      <c r="C19" s="47" t="s">
        <v>116</v>
      </c>
      <c r="D19" s="66">
        <v>0</v>
      </c>
      <c r="E19" s="67">
        <f t="shared" si="0"/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68">
        <v>0</v>
      </c>
      <c r="L19" s="69">
        <v>0</v>
      </c>
      <c r="M19" s="70">
        <f t="shared" si="7"/>
        <v>0</v>
      </c>
      <c r="N19" s="71">
        <f t="shared" si="11"/>
        <v>0</v>
      </c>
      <c r="O19" s="71">
        <f t="shared" si="1"/>
        <v>0</v>
      </c>
      <c r="P19" s="71">
        <f t="shared" si="2"/>
        <v>0</v>
      </c>
      <c r="Q19" s="72">
        <v>1950</v>
      </c>
      <c r="R19" s="74">
        <f>Q19*D19</f>
        <v>0</v>
      </c>
      <c r="S19" s="72">
        <f t="shared" si="3"/>
        <v>0</v>
      </c>
      <c r="T19" s="73">
        <f t="shared" si="4"/>
        <v>0</v>
      </c>
      <c r="U19" s="72">
        <f t="shared" si="10"/>
        <v>0</v>
      </c>
      <c r="V19" s="73">
        <f t="shared" si="6"/>
        <v>0</v>
      </c>
    </row>
    <row r="20" spans="2:23" ht="15" thickBot="1" x14ac:dyDescent="0.35">
      <c r="C20" s="75" t="s">
        <v>133</v>
      </c>
      <c r="D20" s="76">
        <f>SUM(D7:D19)</f>
        <v>1176.923</v>
      </c>
      <c r="E20" s="77">
        <f t="shared" si="0"/>
        <v>2073.5568550088997</v>
      </c>
      <c r="F20" s="78">
        <f t="shared" ref="F20:K20" si="12">SUM(F7:F19)</f>
        <v>2440416.7544676391</v>
      </c>
      <c r="G20" s="78">
        <f t="shared" si="12"/>
        <v>244611.67632</v>
      </c>
      <c r="H20" s="78">
        <f t="shared" si="12"/>
        <v>78579.000000000044</v>
      </c>
      <c r="I20" s="78">
        <f t="shared" si="12"/>
        <v>154473.00000000003</v>
      </c>
      <c r="J20" s="78">
        <f t="shared" si="12"/>
        <v>123484.35000000003</v>
      </c>
      <c r="K20" s="78">
        <f t="shared" si="12"/>
        <v>0</v>
      </c>
      <c r="L20" s="79">
        <v>0</v>
      </c>
      <c r="M20" s="80">
        <f>SUM(M7:M19)</f>
        <v>2918080.4307876402</v>
      </c>
      <c r="N20" s="80">
        <f>IFERROR(M20/D20,0)</f>
        <v>2479.4149071669431</v>
      </c>
      <c r="O20" s="80">
        <f>SUM(O7:O19)</f>
        <v>2640123.0807876401</v>
      </c>
      <c r="P20" s="80">
        <f t="shared" si="2"/>
        <v>2243.2419799660979</v>
      </c>
      <c r="Q20" s="81">
        <f>R20/D20</f>
        <v>2351.3318203484851</v>
      </c>
      <c r="R20" s="82">
        <f t="shared" ref="R20:S20" si="13">SUM(R7:R19)</f>
        <v>2767336.5</v>
      </c>
      <c r="S20" s="81">
        <f t="shared" si="13"/>
        <v>-150743.93078763984</v>
      </c>
      <c r="T20" s="83">
        <f>S20/R20</f>
        <v>-5.4472569847447118E-2</v>
      </c>
      <c r="U20" s="81">
        <f>SUM(U7:U19)</f>
        <v>127213.41921236031</v>
      </c>
      <c r="V20" s="83">
        <f t="shared" si="6"/>
        <v>4.5969624298440148E-2</v>
      </c>
    </row>
    <row r="21" spans="2:23" x14ac:dyDescent="0.3">
      <c r="I21" s="51"/>
      <c r="J21" s="51"/>
      <c r="N21" s="44">
        <f>M20-R20</f>
        <v>150743.93078764016</v>
      </c>
      <c r="O21" s="44"/>
    </row>
    <row r="22" spans="2:23" x14ac:dyDescent="0.3">
      <c r="C22" s="84" t="s">
        <v>134</v>
      </c>
      <c r="L22" s="35"/>
      <c r="M22" s="44"/>
      <c r="N22" s="85"/>
      <c r="O22" s="85"/>
      <c r="P22" s="85"/>
      <c r="Q22" s="85"/>
      <c r="R22" s="86">
        <f>7%/12</f>
        <v>5.8333333333333336E-3</v>
      </c>
      <c r="S22" s="85"/>
      <c r="T22" s="85"/>
      <c r="U22" s="85"/>
      <c r="V22" s="85"/>
      <c r="W22" s="44"/>
    </row>
    <row r="23" spans="2:23" ht="15" thickBot="1" x14ac:dyDescent="0.35">
      <c r="C23" s="84"/>
      <c r="L23" s="35"/>
      <c r="M23" s="44"/>
      <c r="N23" s="85"/>
      <c r="O23" s="85"/>
      <c r="P23" s="85"/>
      <c r="Q23" s="85"/>
      <c r="R23" s="86">
        <f>R22*M31</f>
        <v>22038.631756650539</v>
      </c>
      <c r="S23" s="85">
        <f>R23*7</f>
        <v>154270.42229655376</v>
      </c>
      <c r="T23" s="85">
        <f>S23/D31</f>
        <v>109.94969873605143</v>
      </c>
      <c r="U23" s="85"/>
      <c r="V23" s="85"/>
      <c r="W23" s="44"/>
    </row>
    <row r="24" spans="2:23" ht="29.4" thickBot="1" x14ac:dyDescent="0.35">
      <c r="C24" s="65" t="s">
        <v>120</v>
      </c>
      <c r="D24" s="87" t="s">
        <v>121</v>
      </c>
      <c r="E24" s="88" t="s">
        <v>122</v>
      </c>
      <c r="F24" s="65" t="s">
        <v>79</v>
      </c>
      <c r="G24" s="65" t="s">
        <v>80</v>
      </c>
      <c r="H24" s="65" t="s">
        <v>81</v>
      </c>
      <c r="I24" s="65" t="s">
        <v>82</v>
      </c>
      <c r="J24" s="65" t="s">
        <v>83</v>
      </c>
      <c r="K24" s="65" t="s">
        <v>84</v>
      </c>
      <c r="L24" s="89" t="s">
        <v>85</v>
      </c>
      <c r="M24" s="90" t="s">
        <v>123</v>
      </c>
      <c r="N24" s="90" t="s">
        <v>124</v>
      </c>
      <c r="O24" s="90" t="s">
        <v>125</v>
      </c>
      <c r="P24" s="90" t="s">
        <v>126</v>
      </c>
      <c r="Q24" s="63" t="s">
        <v>127</v>
      </c>
      <c r="R24" s="63" t="s">
        <v>128</v>
      </c>
      <c r="S24" s="63" t="s">
        <v>129</v>
      </c>
      <c r="T24" s="63" t="s">
        <v>130</v>
      </c>
      <c r="U24" s="63" t="s">
        <v>131</v>
      </c>
      <c r="V24" s="63" t="s">
        <v>132</v>
      </c>
      <c r="W24" s="44"/>
    </row>
    <row r="25" spans="2:23" x14ac:dyDescent="0.3">
      <c r="C25" s="47" t="s">
        <v>105</v>
      </c>
      <c r="D25" s="66">
        <v>567</v>
      </c>
      <c r="E25" s="67">
        <f>E7</f>
        <v>1831.1059999999995</v>
      </c>
      <c r="F25" s="44">
        <f t="shared" ref="F25:F30" si="14">E25*D25</f>
        <v>1038237.1019999997</v>
      </c>
      <c r="G25" s="44">
        <f t="shared" ref="G25:G30" si="15">D25*207.84</f>
        <v>117845.28</v>
      </c>
      <c r="H25" s="44">
        <f t="shared" ref="H25:J30" si="16">H$20/$D$20*$D25</f>
        <v>37856.591297816449</v>
      </c>
      <c r="I25" s="44">
        <f t="shared" si="16"/>
        <v>74419.644275793748</v>
      </c>
      <c r="J25" s="44">
        <f t="shared" si="16"/>
        <v>59490.405447085344</v>
      </c>
      <c r="K25" s="68">
        <v>0</v>
      </c>
      <c r="L25" s="69">
        <v>0</v>
      </c>
      <c r="M25" s="70">
        <f t="shared" ref="M25:M30" si="17">F25+G25+H25+I25</f>
        <v>1268358.61757361</v>
      </c>
      <c r="N25" s="71">
        <f t="shared" ref="N25:N30" si="18">IFERROR(M25/D25,0)</f>
        <v>2236.9640521580423</v>
      </c>
      <c r="O25" s="71">
        <f t="shared" ref="O25:O30" si="19">F25+G25+H25-J25</f>
        <v>1134448.5678507308</v>
      </c>
      <c r="P25" s="71">
        <f t="shared" ref="P25:P30" si="20">IFERROR(O25/D25,0)</f>
        <v>2000.7911249571973</v>
      </c>
      <c r="Q25" s="72">
        <v>1500</v>
      </c>
      <c r="R25" s="72">
        <f t="shared" ref="R25:R30" si="21">Q25*D25</f>
        <v>850500</v>
      </c>
      <c r="S25" s="72">
        <f t="shared" ref="S25:S30" si="22">R25-M25</f>
        <v>-417858.61757361004</v>
      </c>
      <c r="T25" s="73">
        <f t="shared" ref="T25:T30" si="23">IFERROR(S25/R25,0)</f>
        <v>-0.49130936810536158</v>
      </c>
      <c r="U25" s="72">
        <f t="shared" ref="U25:U30" si="24">R25-(M25-J25-I25)</f>
        <v>-283948.56785073085</v>
      </c>
      <c r="V25" s="73">
        <f t="shared" ref="V25:V27" si="25">IFERROR(U25/R25,0)</f>
        <v>-0.33386074997146487</v>
      </c>
      <c r="W25" s="44"/>
    </row>
    <row r="26" spans="2:23" x14ac:dyDescent="0.3">
      <c r="C26" s="47" t="s">
        <v>107</v>
      </c>
      <c r="D26" s="66">
        <v>54</v>
      </c>
      <c r="E26" s="67">
        <f>E9</f>
        <v>1652.0360000000003</v>
      </c>
      <c r="F26" s="44">
        <f t="shared" si="14"/>
        <v>89209.944000000018</v>
      </c>
      <c r="G26" s="44">
        <f t="shared" si="15"/>
        <v>11223.36</v>
      </c>
      <c r="H26" s="44">
        <f t="shared" si="16"/>
        <v>3605.3896474110902</v>
      </c>
      <c r="I26" s="44">
        <f t="shared" si="16"/>
        <v>7087.5851691232147</v>
      </c>
      <c r="J26" s="44">
        <f t="shared" si="16"/>
        <v>5665.7528997224135</v>
      </c>
      <c r="K26" s="68">
        <v>0</v>
      </c>
      <c r="L26" s="69">
        <v>0</v>
      </c>
      <c r="M26" s="70">
        <f t="shared" si="17"/>
        <v>111126.27881653432</v>
      </c>
      <c r="N26" s="71">
        <f t="shared" si="18"/>
        <v>2057.894052158043</v>
      </c>
      <c r="O26" s="71">
        <f t="shared" si="19"/>
        <v>98372.940747688699</v>
      </c>
      <c r="P26" s="71">
        <f t="shared" si="20"/>
        <v>1821.7211249571981</v>
      </c>
      <c r="Q26" s="72">
        <v>1700</v>
      </c>
      <c r="R26" s="72">
        <f t="shared" si="21"/>
        <v>91800</v>
      </c>
      <c r="S26" s="72">
        <f>R26-M26</f>
        <v>-19326.278816534323</v>
      </c>
      <c r="T26" s="73">
        <f t="shared" si="23"/>
        <v>-0.21052591303414295</v>
      </c>
      <c r="U26" s="72">
        <f t="shared" si="24"/>
        <v>-6572.940747688699</v>
      </c>
      <c r="V26" s="73"/>
      <c r="W26" s="44"/>
    </row>
    <row r="27" spans="2:23" x14ac:dyDescent="0.3">
      <c r="C27" s="47" t="s">
        <v>109</v>
      </c>
      <c r="D27" s="66">
        <v>108</v>
      </c>
      <c r="E27" s="67">
        <f>E11</f>
        <v>1783.9849999999997</v>
      </c>
      <c r="F27" s="44">
        <f t="shared" si="14"/>
        <v>192670.37999999998</v>
      </c>
      <c r="G27" s="44">
        <f t="shared" si="15"/>
        <v>22446.720000000001</v>
      </c>
      <c r="H27" s="44">
        <f t="shared" si="16"/>
        <v>7210.7792948221804</v>
      </c>
      <c r="I27" s="44">
        <f t="shared" si="16"/>
        <v>14175.170338246429</v>
      </c>
      <c r="J27" s="44">
        <f t="shared" si="16"/>
        <v>11331.505799444827</v>
      </c>
      <c r="K27" s="68">
        <v>0</v>
      </c>
      <c r="L27" s="69">
        <v>0</v>
      </c>
      <c r="M27" s="70">
        <f t="shared" si="17"/>
        <v>236503.04963306859</v>
      </c>
      <c r="N27" s="71">
        <f t="shared" si="18"/>
        <v>2189.8430521580426</v>
      </c>
      <c r="O27" s="71">
        <f t="shared" si="19"/>
        <v>210996.37349537734</v>
      </c>
      <c r="P27" s="71">
        <f t="shared" si="20"/>
        <v>1953.6701249571977</v>
      </c>
      <c r="Q27" s="72">
        <v>2275</v>
      </c>
      <c r="R27" s="72">
        <f t="shared" si="21"/>
        <v>245700</v>
      </c>
      <c r="S27" s="72">
        <f t="shared" si="22"/>
        <v>9196.9503669314145</v>
      </c>
      <c r="T27" s="73">
        <f t="shared" si="23"/>
        <v>3.743162542503628E-2</v>
      </c>
      <c r="U27" s="72">
        <f t="shared" si="24"/>
        <v>34703.626504622662</v>
      </c>
      <c r="V27" s="73">
        <f t="shared" si="25"/>
        <v>0.14124390111771534</v>
      </c>
      <c r="W27" s="44"/>
    </row>
    <row r="28" spans="2:23" x14ac:dyDescent="0.3">
      <c r="C28" s="47" t="s">
        <v>111</v>
      </c>
      <c r="D28" s="66">
        <v>594</v>
      </c>
      <c r="E28" s="67">
        <f t="shared" ref="E28:E29" si="26">E14</f>
        <v>2846.9570000000003</v>
      </c>
      <c r="F28" s="44">
        <f t="shared" si="14"/>
        <v>1691092.4580000001</v>
      </c>
      <c r="G28" s="44">
        <f t="shared" si="15"/>
        <v>123456.96000000001</v>
      </c>
      <c r="H28" s="44">
        <f t="shared" si="16"/>
        <v>39659.286121521989</v>
      </c>
      <c r="I28" s="44">
        <f t="shared" si="16"/>
        <v>77963.436860355359</v>
      </c>
      <c r="J28" s="44">
        <f t="shared" si="16"/>
        <v>62323.281896946552</v>
      </c>
      <c r="K28" s="68">
        <v>0</v>
      </c>
      <c r="L28" s="69">
        <v>0</v>
      </c>
      <c r="M28" s="70">
        <f t="shared" si="17"/>
        <v>1932172.1409818775</v>
      </c>
      <c r="N28" s="71">
        <f t="shared" si="18"/>
        <v>3252.8150521580428</v>
      </c>
      <c r="O28" s="71">
        <f t="shared" si="19"/>
        <v>1791885.4222245757</v>
      </c>
      <c r="P28" s="71">
        <f t="shared" si="20"/>
        <v>3016.6421249571981</v>
      </c>
      <c r="Q28" s="72">
        <v>3400</v>
      </c>
      <c r="R28" s="72">
        <f t="shared" si="21"/>
        <v>2019600</v>
      </c>
      <c r="S28" s="72">
        <f t="shared" si="22"/>
        <v>87427.859018122545</v>
      </c>
      <c r="T28" s="73">
        <f t="shared" si="23"/>
        <v>4.32896905417521E-2</v>
      </c>
      <c r="U28" s="72">
        <f t="shared" si="24"/>
        <v>227714.57777542435</v>
      </c>
      <c r="V28" s="73">
        <f>IFERROR(U28/R28,0)</f>
        <v>0.11275231618905938</v>
      </c>
      <c r="W28" s="44"/>
    </row>
    <row r="29" spans="2:23" x14ac:dyDescent="0.3">
      <c r="C29" s="47" t="s">
        <v>112</v>
      </c>
      <c r="D29" s="66">
        <v>53.1</v>
      </c>
      <c r="E29" s="67">
        <f t="shared" si="26"/>
        <v>2574.8229999999999</v>
      </c>
      <c r="F29" s="44">
        <f t="shared" si="14"/>
        <v>136723.10130000001</v>
      </c>
      <c r="G29" s="44">
        <f t="shared" si="15"/>
        <v>11036.304</v>
      </c>
      <c r="H29" s="44">
        <f t="shared" si="16"/>
        <v>3545.2998199542385</v>
      </c>
      <c r="I29" s="44">
        <f t="shared" si="16"/>
        <v>6969.4587496378281</v>
      </c>
      <c r="J29" s="44">
        <f t="shared" si="16"/>
        <v>5571.32368472704</v>
      </c>
      <c r="K29" s="68">
        <v>0</v>
      </c>
      <c r="L29" s="69">
        <v>0</v>
      </c>
      <c r="M29" s="70">
        <f t="shared" si="17"/>
        <v>158274.16386959207</v>
      </c>
      <c r="N29" s="71">
        <f t="shared" si="18"/>
        <v>2980.6810521580428</v>
      </c>
      <c r="O29" s="71">
        <f t="shared" si="19"/>
        <v>145733.3814352272</v>
      </c>
      <c r="P29" s="71">
        <f t="shared" si="20"/>
        <v>2744.5081249571977</v>
      </c>
      <c r="Q29" s="72">
        <v>3400</v>
      </c>
      <c r="R29" s="74">
        <f t="shared" si="21"/>
        <v>180540</v>
      </c>
      <c r="S29" s="74">
        <f t="shared" si="22"/>
        <v>22265.83613040793</v>
      </c>
      <c r="T29" s="73">
        <f t="shared" si="23"/>
        <v>0.12332910230645801</v>
      </c>
      <c r="U29" s="74">
        <f t="shared" si="24"/>
        <v>34806.618564772798</v>
      </c>
      <c r="V29" s="73"/>
      <c r="W29" s="44"/>
    </row>
    <row r="30" spans="2:23" ht="15" thickBot="1" x14ac:dyDescent="0.35">
      <c r="C30" s="47" t="s">
        <v>108</v>
      </c>
      <c r="D30" s="66">
        <v>27</v>
      </c>
      <c r="E30" s="67">
        <f>E10</f>
        <v>2246.62</v>
      </c>
      <c r="F30" s="44">
        <f t="shared" si="14"/>
        <v>60658.74</v>
      </c>
      <c r="G30" s="44">
        <f t="shared" si="15"/>
        <v>5611.68</v>
      </c>
      <c r="H30" s="44">
        <f t="shared" si="16"/>
        <v>1802.6948237055451</v>
      </c>
      <c r="I30" s="44">
        <f t="shared" si="16"/>
        <v>3543.7925845616073</v>
      </c>
      <c r="J30" s="44">
        <f t="shared" si="16"/>
        <v>2832.8764498612068</v>
      </c>
      <c r="K30" s="68">
        <v>0</v>
      </c>
      <c r="L30" s="69">
        <v>0</v>
      </c>
      <c r="M30" s="70">
        <f t="shared" si="17"/>
        <v>71616.907408267158</v>
      </c>
      <c r="N30" s="71">
        <f t="shared" si="18"/>
        <v>2652.4780521580428</v>
      </c>
      <c r="O30" s="71">
        <f t="shared" si="19"/>
        <v>65240.238373844339</v>
      </c>
      <c r="P30" s="71">
        <f t="shared" si="20"/>
        <v>2416.3051249571977</v>
      </c>
      <c r="Q30" s="72">
        <v>1800</v>
      </c>
      <c r="R30" s="74">
        <f t="shared" si="21"/>
        <v>48600</v>
      </c>
      <c r="S30" s="74">
        <f t="shared" si="22"/>
        <v>-23016.907408267158</v>
      </c>
      <c r="T30" s="73">
        <f t="shared" si="23"/>
        <v>-0.47359891786557939</v>
      </c>
      <c r="U30" s="74">
        <f t="shared" si="24"/>
        <v>-16640.238373844353</v>
      </c>
      <c r="V30" s="73"/>
      <c r="W30" s="44"/>
    </row>
    <row r="31" spans="2:23" ht="15" thickBot="1" x14ac:dyDescent="0.35">
      <c r="C31" s="91" t="s">
        <v>133</v>
      </c>
      <c r="D31" s="76">
        <f>SUM(D25:D30)</f>
        <v>1403.1</v>
      </c>
      <c r="E31" s="77">
        <f>F31/D31</f>
        <v>2286.7876311738296</v>
      </c>
      <c r="F31" s="78">
        <f t="shared" ref="F31:K31" si="27">SUM(F25:F30)</f>
        <v>3208591.7253</v>
      </c>
      <c r="G31" s="78">
        <f t="shared" si="27"/>
        <v>291620.304</v>
      </c>
      <c r="H31" s="78">
        <f t="shared" si="27"/>
        <v>93680.041005231484</v>
      </c>
      <c r="I31" s="78">
        <f t="shared" si="27"/>
        <v>184159.08797771818</v>
      </c>
      <c r="J31" s="78">
        <f t="shared" si="27"/>
        <v>147215.14617778739</v>
      </c>
      <c r="K31" s="78">
        <f t="shared" si="27"/>
        <v>0</v>
      </c>
      <c r="L31" s="79">
        <v>0</v>
      </c>
      <c r="M31" s="80">
        <f>SUM(M25:M30)</f>
        <v>3778051.1582829491</v>
      </c>
      <c r="N31" s="80">
        <f>IFERROR(M31/D31,0)</f>
        <v>2692.6456833318716</v>
      </c>
      <c r="O31" s="80">
        <f>SUM(O25:O30)</f>
        <v>3446676.9241274442</v>
      </c>
      <c r="P31" s="80">
        <f>IFERROR(O31/D31,0)</f>
        <v>2456.4727561310274</v>
      </c>
      <c r="Q31" s="81">
        <f>R31/D31</f>
        <v>2449.3906350224506</v>
      </c>
      <c r="R31" s="82">
        <f>SUM(R25:R30)</f>
        <v>3436740</v>
      </c>
      <c r="S31" s="82">
        <f>SUM(S25:S30)</f>
        <v>-341311.15828294965</v>
      </c>
      <c r="T31" s="83">
        <f>S31/R31</f>
        <v>-9.9312475858793409E-2</v>
      </c>
      <c r="U31" s="82">
        <f>SUM(U25:U30)</f>
        <v>-9936.9241274440938</v>
      </c>
      <c r="V31" s="83">
        <f>IFERROR(U31/R31,0)</f>
        <v>-2.8913808223619167E-3</v>
      </c>
      <c r="W31" s="44"/>
    </row>
    <row r="32" spans="2:23" ht="15" thickBot="1" x14ac:dyDescent="0.35">
      <c r="G32" s="44"/>
      <c r="J32" s="51"/>
      <c r="L32" s="35"/>
      <c r="N32" s="85"/>
      <c r="O32" s="85"/>
      <c r="P32" s="85"/>
      <c r="Q32" s="85"/>
      <c r="R32" s="85"/>
      <c r="S32" s="85"/>
      <c r="T32" s="85"/>
      <c r="U32" s="85"/>
      <c r="V32" s="85"/>
      <c r="W32" s="44"/>
    </row>
    <row r="33" spans="3:23" ht="15" thickBot="1" x14ac:dyDescent="0.35">
      <c r="C33" s="91" t="s">
        <v>133</v>
      </c>
      <c r="D33" s="76">
        <f>D20+D31</f>
        <v>2580.0230000000001</v>
      </c>
      <c r="E33" s="77">
        <f>F33/D33</f>
        <v>2189.5186514878505</v>
      </c>
      <c r="F33" s="78">
        <f t="shared" ref="F33:M33" si="28">F20+F31</f>
        <v>5649008.4797676392</v>
      </c>
      <c r="G33" s="78">
        <f t="shared" si="28"/>
        <v>536231.98031999997</v>
      </c>
      <c r="H33" s="78">
        <f t="shared" si="28"/>
        <v>172259.04100523153</v>
      </c>
      <c r="I33" s="78">
        <f t="shared" si="28"/>
        <v>338632.08797771821</v>
      </c>
      <c r="J33" s="78">
        <f t="shared" si="28"/>
        <v>270699.49617778743</v>
      </c>
      <c r="K33" s="78">
        <f t="shared" si="28"/>
        <v>0</v>
      </c>
      <c r="L33" s="79">
        <f t="shared" si="28"/>
        <v>0</v>
      </c>
      <c r="M33" s="80">
        <f t="shared" si="28"/>
        <v>6696131.5890705893</v>
      </c>
      <c r="N33" s="80">
        <f>IFERROR(M33/D33,0)</f>
        <v>2595.3767036458935</v>
      </c>
      <c r="O33" s="80">
        <f>O20+O31</f>
        <v>6086800.0049150847</v>
      </c>
      <c r="P33" s="80">
        <f>IFERROR(O33/D33,0)</f>
        <v>2359.2037764450488</v>
      </c>
      <c r="Q33" s="81">
        <f>R33/D33</f>
        <v>2404.6593770675686</v>
      </c>
      <c r="R33" s="82">
        <f>R20+R31</f>
        <v>6204076.5</v>
      </c>
      <c r="S33" s="82">
        <f>S20+S31</f>
        <v>-492055.08907058951</v>
      </c>
      <c r="T33" s="83">
        <f>S33/R33</f>
        <v>-7.9311576681975068E-2</v>
      </c>
      <c r="U33" s="82">
        <f>U20+U31</f>
        <v>117276.49508491621</v>
      </c>
      <c r="V33" s="83">
        <f>IFERROR(U33/R33,0)</f>
        <v>1.8903134912168832E-2</v>
      </c>
    </row>
    <row r="34" spans="3:23" x14ac:dyDescent="0.3">
      <c r="L34" s="35"/>
      <c r="N34" s="44"/>
      <c r="O34" s="85"/>
      <c r="P34" s="85"/>
      <c r="Q34" s="85"/>
      <c r="R34" s="85"/>
      <c r="S34" s="85"/>
      <c r="T34" s="85"/>
      <c r="U34" s="85"/>
      <c r="V34" s="85"/>
      <c r="W34" s="44"/>
    </row>
    <row r="35" spans="3:23" x14ac:dyDescent="0.3">
      <c r="L35" s="35"/>
      <c r="N35" s="44"/>
      <c r="O35" s="85"/>
      <c r="P35" s="85"/>
      <c r="Q35" s="85"/>
      <c r="R35" s="85"/>
      <c r="S35" s="85"/>
      <c r="T35" s="85"/>
      <c r="U35" s="85"/>
      <c r="V35" s="85"/>
      <c r="W35" s="44"/>
    </row>
    <row r="36" spans="3:23" x14ac:dyDescent="0.3">
      <c r="C36" s="92" t="s">
        <v>135</v>
      </c>
      <c r="L36" s="35"/>
      <c r="N36" s="44"/>
      <c r="O36" s="85"/>
      <c r="P36" s="85"/>
      <c r="Q36" s="85"/>
      <c r="R36" s="85"/>
      <c r="S36" s="85"/>
      <c r="T36" s="85"/>
      <c r="U36" s="85"/>
      <c r="V36" s="85"/>
      <c r="W36" s="44"/>
    </row>
    <row r="37" spans="3:23" ht="15" thickBot="1" x14ac:dyDescent="0.35">
      <c r="L37" s="35"/>
      <c r="N37" s="44"/>
      <c r="O37" s="85"/>
      <c r="P37" s="85"/>
      <c r="Q37" s="85"/>
      <c r="R37" s="85"/>
      <c r="S37" s="85"/>
      <c r="T37" s="85"/>
      <c r="U37" s="85"/>
      <c r="V37" s="85"/>
      <c r="W37" s="44"/>
    </row>
    <row r="38" spans="3:23" ht="29.4" thickBot="1" x14ac:dyDescent="0.35">
      <c r="C38" s="65" t="s">
        <v>120</v>
      </c>
      <c r="D38" s="57" t="s">
        <v>121</v>
      </c>
      <c r="E38" s="58" t="s">
        <v>122</v>
      </c>
      <c r="F38" s="59" t="s">
        <v>79</v>
      </c>
      <c r="G38" s="60" t="s">
        <v>80</v>
      </c>
      <c r="H38" s="60" t="s">
        <v>81</v>
      </c>
      <c r="I38" s="60" t="s">
        <v>82</v>
      </c>
      <c r="J38" s="60" t="s">
        <v>83</v>
      </c>
      <c r="K38" s="60" t="s">
        <v>84</v>
      </c>
      <c r="L38" s="61" t="s">
        <v>85</v>
      </c>
      <c r="M38" s="62" t="s">
        <v>123</v>
      </c>
      <c r="N38" s="93" t="s">
        <v>124</v>
      </c>
      <c r="O38" s="94" t="s">
        <v>136</v>
      </c>
      <c r="P38" s="95" t="s">
        <v>137</v>
      </c>
      <c r="Q38" s="95" t="s">
        <v>84</v>
      </c>
      <c r="R38" s="95" t="s">
        <v>85</v>
      </c>
      <c r="S38" s="85" t="s">
        <v>138</v>
      </c>
      <c r="T38" s="85" t="s">
        <v>139</v>
      </c>
      <c r="U38" s="85" t="s">
        <v>140</v>
      </c>
      <c r="V38" s="85" t="s">
        <v>141</v>
      </c>
      <c r="W38" s="44"/>
    </row>
    <row r="39" spans="3:23" x14ac:dyDescent="0.3">
      <c r="C39" s="46" t="s">
        <v>105</v>
      </c>
      <c r="D39" s="66">
        <f>D7+D25</f>
        <v>601.66</v>
      </c>
      <c r="E39" s="67">
        <f>IFERROR(F39/D39,0)</f>
        <v>1831.1059999999995</v>
      </c>
      <c r="F39" s="38">
        <f>F7+F25</f>
        <v>1101703.2359599997</v>
      </c>
      <c r="G39" s="38">
        <f t="shared" ref="G39:J39" si="29">G7+G25</f>
        <v>125049.0144</v>
      </c>
      <c r="H39" s="38">
        <f t="shared" si="29"/>
        <v>40170.717319654752</v>
      </c>
      <c r="I39" s="38">
        <f t="shared" si="29"/>
        <v>78968.823941753202</v>
      </c>
      <c r="J39" s="38">
        <f t="shared" si="29"/>
        <v>63126.979437907175</v>
      </c>
      <c r="K39" s="68">
        <v>0</v>
      </c>
      <c r="L39" s="69">
        <v>0</v>
      </c>
      <c r="M39" s="70">
        <f t="shared" ref="M39:M49" si="30">F39+G39+H39+I39</f>
        <v>1345891.7916214077</v>
      </c>
      <c r="N39" s="96">
        <f t="shared" ref="N39:N50" si="31">IFERROR(M39/D39,0)</f>
        <v>2236.9640521580423</v>
      </c>
      <c r="O39" s="97">
        <v>2200</v>
      </c>
      <c r="P39" s="98">
        <f t="shared" ref="P39:P49" si="32">O39*D39</f>
        <v>1323652</v>
      </c>
      <c r="Q39" s="98">
        <f t="shared" ref="Q39:Q49" si="33">P39-M39</f>
        <v>-22239.791621407727</v>
      </c>
      <c r="R39" s="99">
        <f t="shared" ref="R39:R50" si="34">Q39/P39</f>
        <v>-1.6801841890019226E-2</v>
      </c>
      <c r="S39" s="85">
        <f>Q25</f>
        <v>1500</v>
      </c>
      <c r="T39" s="85">
        <f t="shared" ref="T39:T49" si="35">S39*D39</f>
        <v>902490</v>
      </c>
      <c r="U39" s="85">
        <f>T39-M39</f>
        <v>-443401.79162140773</v>
      </c>
      <c r="V39" s="85">
        <f>Q39-U39</f>
        <v>421162</v>
      </c>
    </row>
    <row r="40" spans="3:23" x14ac:dyDescent="0.3">
      <c r="C40" s="47" t="s">
        <v>106</v>
      </c>
      <c r="D40" s="66">
        <f t="shared" ref="D40:J49" si="36">D8</f>
        <v>355.12</v>
      </c>
      <c r="E40" s="67">
        <f t="shared" ref="E40:E49" si="37">IFERROR(F40/D40,0)</f>
        <v>1793.326</v>
      </c>
      <c r="F40" s="38">
        <f t="shared" si="36"/>
        <v>636845.92911999999</v>
      </c>
      <c r="G40" s="38">
        <f t="shared" si="36"/>
        <v>73808.140800000008</v>
      </c>
      <c r="H40" s="38">
        <f t="shared" si="36"/>
        <v>23710.110584974558</v>
      </c>
      <c r="I40" s="38">
        <f t="shared" si="36"/>
        <v>46610.060097389563</v>
      </c>
      <c r="J40" s="38">
        <f t="shared" si="36"/>
        <v>37259.669810174513</v>
      </c>
      <c r="K40" s="68">
        <v>0</v>
      </c>
      <c r="L40" s="69">
        <v>0</v>
      </c>
      <c r="M40" s="70">
        <f t="shared" si="30"/>
        <v>780974.24060236407</v>
      </c>
      <c r="N40" s="96">
        <f t="shared" si="31"/>
        <v>2199.1840521580425</v>
      </c>
      <c r="O40" s="97">
        <v>1400</v>
      </c>
      <c r="P40" s="98">
        <f t="shared" si="32"/>
        <v>497168</v>
      </c>
      <c r="Q40" s="98">
        <f t="shared" si="33"/>
        <v>-283806.24060236407</v>
      </c>
      <c r="R40" s="99">
        <f t="shared" si="34"/>
        <v>-0.570845751541459</v>
      </c>
      <c r="S40" s="85">
        <f t="shared" ref="S40:S49" si="38">Q8</f>
        <v>1400</v>
      </c>
      <c r="T40" s="85">
        <f t="shared" si="35"/>
        <v>497168</v>
      </c>
      <c r="U40" s="85">
        <f t="shared" ref="U40:U49" si="39">T40-M40</f>
        <v>-283806.24060236407</v>
      </c>
      <c r="V40" s="85">
        <f t="shared" ref="V40:V49" si="40">Q40-U40</f>
        <v>0</v>
      </c>
    </row>
    <row r="41" spans="3:23" x14ac:dyDescent="0.3">
      <c r="C41" s="47" t="s">
        <v>107</v>
      </c>
      <c r="D41" s="66">
        <f>D9+D26</f>
        <v>72.02</v>
      </c>
      <c r="E41" s="67">
        <f t="shared" si="37"/>
        <v>1652.0360000000005</v>
      </c>
      <c r="F41" s="38">
        <f>F9+F26</f>
        <v>118979.63272000002</v>
      </c>
      <c r="G41" s="38">
        <f t="shared" ref="G41:J41" si="41">G9+G26</f>
        <v>14968.6368</v>
      </c>
      <c r="H41" s="38">
        <f t="shared" si="41"/>
        <v>4808.5215260471614</v>
      </c>
      <c r="I41" s="38">
        <f t="shared" si="41"/>
        <v>9452.7385903750728</v>
      </c>
      <c r="J41" s="38">
        <f t="shared" si="41"/>
        <v>7556.4356266297818</v>
      </c>
      <c r="K41" s="68">
        <v>0</v>
      </c>
      <c r="L41" s="69">
        <v>0</v>
      </c>
      <c r="M41" s="70">
        <f t="shared" si="30"/>
        <v>148209.52963642229</v>
      </c>
      <c r="N41" s="96">
        <f t="shared" si="31"/>
        <v>2057.8940521580435</v>
      </c>
      <c r="O41" s="97">
        <v>2400</v>
      </c>
      <c r="P41" s="98">
        <f t="shared" si="32"/>
        <v>172848</v>
      </c>
      <c r="Q41" s="98">
        <f t="shared" si="33"/>
        <v>24638.470363577711</v>
      </c>
      <c r="R41" s="99">
        <f t="shared" si="34"/>
        <v>0.14254414493414858</v>
      </c>
      <c r="S41" s="85">
        <f t="shared" si="38"/>
        <v>1950</v>
      </c>
      <c r="T41" s="85">
        <f t="shared" si="35"/>
        <v>140439</v>
      </c>
      <c r="U41" s="85">
        <f t="shared" si="39"/>
        <v>-7770.5296364222886</v>
      </c>
      <c r="V41" s="85">
        <f t="shared" si="40"/>
        <v>32409</v>
      </c>
    </row>
    <row r="42" spans="3:23" x14ac:dyDescent="0.3">
      <c r="C42" s="47" t="s">
        <v>108</v>
      </c>
      <c r="D42" s="66">
        <f>D10+D30</f>
        <v>151.33500000000001</v>
      </c>
      <c r="E42" s="67">
        <f t="shared" si="37"/>
        <v>2246.62</v>
      </c>
      <c r="F42" s="38">
        <f>F10+F30</f>
        <v>339992.2377</v>
      </c>
      <c r="G42" s="38">
        <f t="shared" ref="G42:J42" si="42">G10+G30</f>
        <v>31453.466399999998</v>
      </c>
      <c r="H42" s="38">
        <f t="shared" si="42"/>
        <v>10104.104486869579</v>
      </c>
      <c r="I42" s="38">
        <f t="shared" si="42"/>
        <v>19862.957436467812</v>
      </c>
      <c r="J42" s="38">
        <f t="shared" si="42"/>
        <v>15878.272501472064</v>
      </c>
      <c r="K42" s="68">
        <v>0</v>
      </c>
      <c r="L42" s="69">
        <v>0</v>
      </c>
      <c r="M42" s="70">
        <f t="shared" si="30"/>
        <v>401412.76602333738</v>
      </c>
      <c r="N42" s="96">
        <f t="shared" si="31"/>
        <v>2652.4780521580424</v>
      </c>
      <c r="O42" s="97">
        <v>2500</v>
      </c>
      <c r="P42" s="98">
        <f t="shared" si="32"/>
        <v>378337.5</v>
      </c>
      <c r="Q42" s="100">
        <f t="shared" si="33"/>
        <v>-23075.266023337375</v>
      </c>
      <c r="R42" s="101">
        <f t="shared" si="34"/>
        <v>-6.0991220863217038E-2</v>
      </c>
      <c r="S42" s="102">
        <f>Q10</f>
        <v>1700</v>
      </c>
      <c r="T42" s="102">
        <f t="shared" si="35"/>
        <v>257269.5</v>
      </c>
      <c r="U42" s="102">
        <f t="shared" si="39"/>
        <v>-144143.26602333738</v>
      </c>
      <c r="V42" s="102">
        <f t="shared" si="40"/>
        <v>121068</v>
      </c>
    </row>
    <row r="43" spans="3:23" x14ac:dyDescent="0.3">
      <c r="C43" s="47" t="s">
        <v>109</v>
      </c>
      <c r="D43" s="66">
        <f>D11+D27</f>
        <v>336.64</v>
      </c>
      <c r="E43" s="67">
        <f t="shared" si="37"/>
        <v>1783.9850000000001</v>
      </c>
      <c r="F43" s="38">
        <f>F11+F27</f>
        <v>600560.71039999998</v>
      </c>
      <c r="G43" s="38">
        <f t="shared" ref="G43:J43" si="43">G11+G27</f>
        <v>69967.257600000012</v>
      </c>
      <c r="H43" s="38">
        <f t="shared" si="43"/>
        <v>22476.266127860541</v>
      </c>
      <c r="I43" s="38">
        <f t="shared" si="43"/>
        <v>44184.530950622953</v>
      </c>
      <c r="J43" s="38">
        <f t="shared" si="43"/>
        <v>35320.723262269508</v>
      </c>
      <c r="K43" s="68">
        <v>0</v>
      </c>
      <c r="L43" s="69">
        <v>0</v>
      </c>
      <c r="M43" s="70">
        <f t="shared" si="30"/>
        <v>737188.7650784835</v>
      </c>
      <c r="N43" s="96">
        <f t="shared" si="31"/>
        <v>2189.8430521580426</v>
      </c>
      <c r="O43" s="97">
        <v>2800</v>
      </c>
      <c r="P43" s="98">
        <f t="shared" si="32"/>
        <v>942592</v>
      </c>
      <c r="Q43" s="103">
        <f t="shared" si="33"/>
        <v>205403.2349215165</v>
      </c>
      <c r="R43" s="99">
        <f t="shared" si="34"/>
        <v>0.2179131956578419</v>
      </c>
      <c r="S43" s="44">
        <f t="shared" si="38"/>
        <v>2700</v>
      </c>
      <c r="T43" s="38">
        <f t="shared" si="35"/>
        <v>908928</v>
      </c>
      <c r="U43" s="44">
        <f t="shared" si="39"/>
        <v>171739.2349215165</v>
      </c>
      <c r="V43" s="44">
        <f t="shared" si="40"/>
        <v>33664</v>
      </c>
    </row>
    <row r="44" spans="3:23" x14ac:dyDescent="0.3">
      <c r="C44" s="47" t="s">
        <v>110</v>
      </c>
      <c r="D44" s="66">
        <f t="shared" si="36"/>
        <v>35.660000000000004</v>
      </c>
      <c r="E44" s="67">
        <f t="shared" si="37"/>
        <v>1712.1729999999998</v>
      </c>
      <c r="F44" s="38">
        <f t="shared" si="36"/>
        <v>61056.089179999995</v>
      </c>
      <c r="G44" s="38">
        <f t="shared" si="36"/>
        <v>7411.5744000000004</v>
      </c>
      <c r="H44" s="38">
        <f t="shared" si="36"/>
        <v>2380.8924967903604</v>
      </c>
      <c r="I44" s="38">
        <f t="shared" si="36"/>
        <v>4680.4312431654425</v>
      </c>
      <c r="J44" s="38">
        <f t="shared" si="36"/>
        <v>3741.4953408166903</v>
      </c>
      <c r="K44" s="68">
        <v>0</v>
      </c>
      <c r="L44" s="69">
        <v>0</v>
      </c>
      <c r="M44" s="70">
        <f t="shared" si="30"/>
        <v>75528.987319955791</v>
      </c>
      <c r="N44" s="96">
        <f t="shared" si="31"/>
        <v>2118.0310521580423</v>
      </c>
      <c r="O44" s="97">
        <v>2800</v>
      </c>
      <c r="P44" s="98">
        <f t="shared" si="32"/>
        <v>99848.000000000015</v>
      </c>
      <c r="Q44" s="103">
        <f t="shared" si="33"/>
        <v>24319.012680044223</v>
      </c>
      <c r="R44" s="99">
        <f t="shared" si="34"/>
        <v>0.24356033851498499</v>
      </c>
      <c r="S44" s="44">
        <f t="shared" si="38"/>
        <v>2800</v>
      </c>
      <c r="T44" s="38">
        <f t="shared" si="35"/>
        <v>99848.000000000015</v>
      </c>
      <c r="U44" s="44">
        <f t="shared" si="39"/>
        <v>24319.012680044223</v>
      </c>
      <c r="V44" s="44">
        <f t="shared" si="40"/>
        <v>0</v>
      </c>
    </row>
    <row r="45" spans="3:23" x14ac:dyDescent="0.3">
      <c r="C45" s="47" t="s">
        <v>74</v>
      </c>
      <c r="D45" s="66">
        <f>D13</f>
        <v>0</v>
      </c>
      <c r="E45" s="67">
        <f t="shared" si="37"/>
        <v>0</v>
      </c>
      <c r="F45" s="38">
        <f t="shared" si="36"/>
        <v>0</v>
      </c>
      <c r="G45" s="38">
        <f t="shared" si="36"/>
        <v>0</v>
      </c>
      <c r="H45" s="38">
        <f t="shared" si="36"/>
        <v>0</v>
      </c>
      <c r="I45" s="38">
        <f t="shared" si="36"/>
        <v>0</v>
      </c>
      <c r="J45" s="38">
        <f t="shared" si="36"/>
        <v>0</v>
      </c>
      <c r="K45" s="68">
        <v>0</v>
      </c>
      <c r="L45" s="69">
        <v>0</v>
      </c>
      <c r="M45" s="70">
        <f t="shared" si="30"/>
        <v>0</v>
      </c>
      <c r="N45" s="96">
        <f t="shared" si="31"/>
        <v>0</v>
      </c>
      <c r="O45" s="97">
        <v>1800</v>
      </c>
      <c r="P45" s="98">
        <f t="shared" si="32"/>
        <v>0</v>
      </c>
      <c r="Q45" s="103">
        <f t="shared" si="33"/>
        <v>0</v>
      </c>
      <c r="R45" s="99" t="e">
        <f t="shared" si="34"/>
        <v>#DIV/0!</v>
      </c>
      <c r="S45" s="44">
        <f t="shared" si="38"/>
        <v>1700</v>
      </c>
      <c r="T45" s="38">
        <f t="shared" si="35"/>
        <v>0</v>
      </c>
      <c r="U45" s="44">
        <f t="shared" si="39"/>
        <v>0</v>
      </c>
      <c r="V45" s="44">
        <f t="shared" si="40"/>
        <v>0</v>
      </c>
    </row>
    <row r="46" spans="3:23" x14ac:dyDescent="0.3">
      <c r="C46" s="47" t="s">
        <v>111</v>
      </c>
      <c r="D46" s="66">
        <f>D14+D28+D18</f>
        <v>610.5</v>
      </c>
      <c r="E46" s="67">
        <f t="shared" si="37"/>
        <v>2846.9570000000003</v>
      </c>
      <c r="F46" s="38">
        <f t="shared" ref="F46:J47" si="44">F14+F28+F18</f>
        <v>1738067.2485000002</v>
      </c>
      <c r="G46" s="38">
        <f t="shared" si="44"/>
        <v>126886.32</v>
      </c>
      <c r="H46" s="38">
        <f t="shared" si="44"/>
        <v>40760.932958230936</v>
      </c>
      <c r="I46" s="38">
        <f t="shared" si="44"/>
        <v>80129.087884254113</v>
      </c>
      <c r="J46" s="38">
        <f t="shared" si="44"/>
        <v>64054.484171861732</v>
      </c>
      <c r="K46" s="68">
        <v>0</v>
      </c>
      <c r="L46" s="69">
        <v>0</v>
      </c>
      <c r="M46" s="70">
        <f t="shared" si="30"/>
        <v>1985843.5893424852</v>
      </c>
      <c r="N46" s="96">
        <f t="shared" si="31"/>
        <v>3252.8150521580428</v>
      </c>
      <c r="O46" s="97">
        <v>4000</v>
      </c>
      <c r="P46" s="98">
        <f t="shared" si="32"/>
        <v>2442000</v>
      </c>
      <c r="Q46" s="104">
        <f t="shared" si="33"/>
        <v>456156.41065751482</v>
      </c>
      <c r="R46" s="99">
        <f t="shared" si="34"/>
        <v>0.18679623696048928</v>
      </c>
      <c r="S46" s="105">
        <f t="shared" si="38"/>
        <v>3500</v>
      </c>
      <c r="T46" s="38">
        <f t="shared" si="35"/>
        <v>2136750</v>
      </c>
      <c r="U46" s="105">
        <f t="shared" si="39"/>
        <v>150906.41065751482</v>
      </c>
      <c r="V46" s="105">
        <f t="shared" si="40"/>
        <v>305250</v>
      </c>
    </row>
    <row r="47" spans="3:23" x14ac:dyDescent="0.3">
      <c r="C47" s="47" t="s">
        <v>112</v>
      </c>
      <c r="D47" s="66">
        <f>D15+D29+D19</f>
        <v>364.86800000000005</v>
      </c>
      <c r="E47" s="67">
        <f>IFERROR(F47/D47,0)</f>
        <v>2574.8229999999999</v>
      </c>
      <c r="F47" s="38">
        <f>F15+F29+F19</f>
        <v>939470.51836400002</v>
      </c>
      <c r="G47" s="38">
        <f t="shared" si="44"/>
        <v>75834.165120000005</v>
      </c>
      <c r="H47" s="38">
        <f t="shared" si="44"/>
        <v>24360.95018280721</v>
      </c>
      <c r="I47" s="38">
        <f t="shared" si="44"/>
        <v>47889.50047199351</v>
      </c>
      <c r="J47" s="38">
        <f t="shared" si="44"/>
        <v>38282.443129924402</v>
      </c>
      <c r="K47" s="68">
        <v>0</v>
      </c>
      <c r="L47" s="69">
        <v>0</v>
      </c>
      <c r="M47" s="70">
        <f t="shared" si="30"/>
        <v>1087555.1341388007</v>
      </c>
      <c r="N47" s="96">
        <f t="shared" si="31"/>
        <v>2980.6810521580423</v>
      </c>
      <c r="O47" s="97">
        <v>4000</v>
      </c>
      <c r="P47" s="98">
        <f t="shared" si="32"/>
        <v>1459472.0000000002</v>
      </c>
      <c r="Q47" s="103">
        <f t="shared" si="33"/>
        <v>371916.86586119956</v>
      </c>
      <c r="R47" s="99">
        <f t="shared" si="34"/>
        <v>0.25482973696048949</v>
      </c>
      <c r="S47" s="44">
        <f t="shared" si="38"/>
        <v>3500</v>
      </c>
      <c r="T47" s="38">
        <f t="shared" si="35"/>
        <v>1277038.0000000002</v>
      </c>
      <c r="U47" s="44">
        <f t="shared" si="39"/>
        <v>189482.86586119956</v>
      </c>
      <c r="V47" s="44">
        <f t="shared" si="40"/>
        <v>182434</v>
      </c>
    </row>
    <row r="48" spans="3:23" x14ac:dyDescent="0.3">
      <c r="C48" s="47" t="s">
        <v>113</v>
      </c>
      <c r="D48" s="66">
        <f>D16</f>
        <v>21.28</v>
      </c>
      <c r="E48" s="67">
        <f t="shared" si="37"/>
        <v>3230.8044090056305</v>
      </c>
      <c r="F48" s="38">
        <f t="shared" si="36"/>
        <v>68751.517823639821</v>
      </c>
      <c r="G48" s="38">
        <f t="shared" si="36"/>
        <v>4422.8352000000004</v>
      </c>
      <c r="H48" s="38">
        <f t="shared" si="36"/>
        <v>1420.7905869797776</v>
      </c>
      <c r="I48" s="38">
        <f t="shared" si="36"/>
        <v>2793.0335629433712</v>
      </c>
      <c r="J48" s="38">
        <f t="shared" si="36"/>
        <v>2232.7263278906107</v>
      </c>
      <c r="K48" s="68">
        <v>0</v>
      </c>
      <c r="L48" s="69">
        <v>0</v>
      </c>
      <c r="M48" s="70">
        <f t="shared" si="30"/>
        <v>77388.177173562974</v>
      </c>
      <c r="N48" s="96">
        <f t="shared" si="31"/>
        <v>3636.6624611636735</v>
      </c>
      <c r="O48" s="97">
        <v>1800</v>
      </c>
      <c r="P48" s="98">
        <f t="shared" si="32"/>
        <v>38304</v>
      </c>
      <c r="Q48" s="103">
        <f t="shared" si="33"/>
        <v>-39084.177173562974</v>
      </c>
      <c r="R48" s="99">
        <f t="shared" si="34"/>
        <v>-1.0203680339798187</v>
      </c>
      <c r="S48" s="44">
        <f t="shared" si="38"/>
        <v>2000</v>
      </c>
      <c r="T48" s="38">
        <f t="shared" si="35"/>
        <v>42560</v>
      </c>
      <c r="U48" s="44">
        <f t="shared" si="39"/>
        <v>-34828.177173562974</v>
      </c>
      <c r="V48" s="44">
        <f t="shared" si="40"/>
        <v>-4256</v>
      </c>
    </row>
    <row r="49" spans="3:22" ht="15" thickBot="1" x14ac:dyDescent="0.35">
      <c r="C49" s="47" t="s">
        <v>114</v>
      </c>
      <c r="D49" s="66">
        <f>D17</f>
        <v>30.94</v>
      </c>
      <c r="E49" s="67">
        <f t="shared" si="37"/>
        <v>1408.57659987072</v>
      </c>
      <c r="F49" s="38">
        <f t="shared" si="36"/>
        <v>43581.360000000081</v>
      </c>
      <c r="G49" s="38">
        <f t="shared" si="36"/>
        <v>6430.5696000000007</v>
      </c>
      <c r="H49" s="38">
        <f t="shared" si="36"/>
        <v>2065.7547350166501</v>
      </c>
      <c r="I49" s="38">
        <f t="shared" si="36"/>
        <v>4060.923798753191</v>
      </c>
      <c r="J49" s="38">
        <f t="shared" si="36"/>
        <v>3246.2665688409534</v>
      </c>
      <c r="K49" s="68">
        <v>0</v>
      </c>
      <c r="L49" s="69">
        <v>0</v>
      </c>
      <c r="M49" s="70">
        <f t="shared" si="30"/>
        <v>56138.608133769922</v>
      </c>
      <c r="N49" s="96">
        <f t="shared" si="31"/>
        <v>1814.4346520287627</v>
      </c>
      <c r="O49" s="97">
        <v>2000</v>
      </c>
      <c r="P49" s="103">
        <f t="shared" si="32"/>
        <v>61880</v>
      </c>
      <c r="Q49" s="103">
        <f t="shared" si="33"/>
        <v>5741.3918662300784</v>
      </c>
      <c r="R49" s="99">
        <f t="shared" si="34"/>
        <v>9.2782673985618597E-2</v>
      </c>
      <c r="S49" s="44">
        <f t="shared" si="38"/>
        <v>1700</v>
      </c>
      <c r="T49" s="38">
        <f t="shared" si="35"/>
        <v>52598</v>
      </c>
      <c r="U49" s="44">
        <f t="shared" si="39"/>
        <v>-3540.6081337699216</v>
      </c>
      <c r="V49" s="44">
        <f t="shared" si="40"/>
        <v>9282</v>
      </c>
    </row>
    <row r="50" spans="3:22" ht="15" thickBot="1" x14ac:dyDescent="0.35">
      <c r="C50" s="91" t="s">
        <v>133</v>
      </c>
      <c r="D50" s="76">
        <f>SUM(D39:D49)</f>
        <v>2580.0230000000006</v>
      </c>
      <c r="E50" s="77">
        <f>F50/D50</f>
        <v>2189.518651487851</v>
      </c>
      <c r="F50" s="78">
        <f t="shared" ref="F50:M50" si="45">SUM(F39:F49)</f>
        <v>5649008.4797676411</v>
      </c>
      <c r="G50" s="78">
        <f t="shared" si="45"/>
        <v>536231.98032000009</v>
      </c>
      <c r="H50" s="78">
        <f t="shared" si="45"/>
        <v>172259.04100523153</v>
      </c>
      <c r="I50" s="78">
        <f t="shared" si="45"/>
        <v>338632.08797771827</v>
      </c>
      <c r="J50" s="78">
        <f t="shared" si="45"/>
        <v>270699.49617778737</v>
      </c>
      <c r="K50" s="78">
        <f t="shared" si="45"/>
        <v>0</v>
      </c>
      <c r="L50" s="79">
        <v>0</v>
      </c>
      <c r="M50" s="80">
        <f t="shared" si="45"/>
        <v>6696131.5890705884</v>
      </c>
      <c r="N50" s="106">
        <f t="shared" si="31"/>
        <v>2595.3767036458926</v>
      </c>
      <c r="O50" s="107">
        <f>P50/D50</f>
        <v>2874.4323209521767</v>
      </c>
      <c r="P50" s="108">
        <f>SUM(P39:P49)</f>
        <v>7416101.5</v>
      </c>
      <c r="Q50" s="108">
        <f>SUM(Q39:Q49)</f>
        <v>719969.91092941072</v>
      </c>
      <c r="R50" s="109">
        <f t="shared" si="34"/>
        <v>9.7081992598053127E-2</v>
      </c>
      <c r="S50" s="110">
        <f>T50/D50</f>
        <v>2447.6869004656155</v>
      </c>
      <c r="T50" s="110">
        <f>SUM(T39:T49)</f>
        <v>6315088.5</v>
      </c>
      <c r="U50" s="110">
        <f>SUM(U39:U49)</f>
        <v>-381043.08907058934</v>
      </c>
      <c r="V50" s="110">
        <f>SUM(V39:V49)</f>
        <v>1101013</v>
      </c>
    </row>
    <row r="51" spans="3:22" x14ac:dyDescent="0.3">
      <c r="Q51" s="44"/>
    </row>
    <row r="52" spans="3:22" x14ac:dyDescent="0.3">
      <c r="D52">
        <f>D50/3</f>
        <v>860.00766666666686</v>
      </c>
      <c r="M52" s="111"/>
      <c r="P52" s="38">
        <f>P50/3</f>
        <v>2472033.8333333335</v>
      </c>
    </row>
    <row r="53" spans="3:22" x14ac:dyDescent="0.3">
      <c r="M53" s="44"/>
      <c r="S53" s="44">
        <f>F50*7%/12</f>
        <v>32952.549465311247</v>
      </c>
      <c r="T53" t="s">
        <v>142</v>
      </c>
      <c r="U53" s="39"/>
    </row>
    <row r="54" spans="3:22" x14ac:dyDescent="0.3">
      <c r="D54" s="39"/>
      <c r="M54" s="51"/>
      <c r="S54" s="51">
        <f>S53/D50</f>
        <v>12.772192133679134</v>
      </c>
      <c r="T54" t="s">
        <v>143</v>
      </c>
    </row>
    <row r="55" spans="3:22" x14ac:dyDescent="0.3">
      <c r="S55">
        <f>42/6*D31</f>
        <v>9821.6999999999989</v>
      </c>
      <c r="T55" t="s">
        <v>144</v>
      </c>
    </row>
    <row r="56" spans="3:22" x14ac:dyDescent="0.3">
      <c r="S56" s="51"/>
    </row>
    <row r="57" spans="3:22" x14ac:dyDescent="0.3">
      <c r="S57" s="51"/>
    </row>
  </sheetData>
  <mergeCells count="1">
    <mergeCell ref="F5:V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23A2-8EB0-4BDE-B02E-999CB8051731}">
  <dimension ref="B3:K16"/>
  <sheetViews>
    <sheetView zoomScale="90" zoomScaleNormal="90" workbookViewId="0">
      <selection activeCell="D22" sqref="D22"/>
    </sheetView>
  </sheetViews>
  <sheetFormatPr baseColWidth="10" defaultRowHeight="14.4" x14ac:dyDescent="0.3"/>
  <cols>
    <col min="4" max="4" width="25" bestFit="1" customWidth="1"/>
    <col min="5" max="5" width="17.44140625" bestFit="1" customWidth="1"/>
    <col min="6" max="6" width="23.88671875" bestFit="1" customWidth="1"/>
    <col min="7" max="7" width="20.5546875" bestFit="1" customWidth="1"/>
    <col min="8" max="8" width="20.44140625" bestFit="1" customWidth="1"/>
    <col min="9" max="9" width="18.5546875" bestFit="1" customWidth="1"/>
    <col min="10" max="10" width="17" bestFit="1" customWidth="1"/>
    <col min="11" max="11" width="20.77734375" bestFit="1" customWidth="1"/>
  </cols>
  <sheetData>
    <row r="3" spans="2:11" x14ac:dyDescent="0.3">
      <c r="E3" s="42" t="s">
        <v>97</v>
      </c>
      <c r="F3" t="s">
        <v>99</v>
      </c>
      <c r="G3" t="s">
        <v>100</v>
      </c>
      <c r="H3" t="s">
        <v>102</v>
      </c>
      <c r="I3" t="s">
        <v>101</v>
      </c>
      <c r="J3" t="s">
        <v>103</v>
      </c>
      <c r="K3" t="s">
        <v>104</v>
      </c>
    </row>
    <row r="4" spans="2:11" x14ac:dyDescent="0.3">
      <c r="B4" s="45" t="b">
        <f t="shared" ref="B4:B14" si="0">C4=E4</f>
        <v>1</v>
      </c>
      <c r="C4" s="43">
        <v>10005721</v>
      </c>
      <c r="D4" s="46" t="s">
        <v>105</v>
      </c>
      <c r="E4" s="43">
        <v>10005721</v>
      </c>
      <c r="F4" s="44">
        <v>34.660000000000004</v>
      </c>
      <c r="G4" s="44">
        <v>63466.133959999992</v>
      </c>
      <c r="H4" s="44">
        <v>7203.7343999999994</v>
      </c>
      <c r="I4" s="44">
        <v>2314.1260218383031</v>
      </c>
      <c r="J4" s="44">
        <v>4549.1796659594565</v>
      </c>
      <c r="K4" s="44">
        <v>3636.5739908218306</v>
      </c>
    </row>
    <row r="5" spans="2:11" x14ac:dyDescent="0.3">
      <c r="B5" s="45" t="b">
        <f t="shared" si="0"/>
        <v>1</v>
      </c>
      <c r="C5" s="43">
        <v>10005779</v>
      </c>
      <c r="D5" s="47" t="s">
        <v>106</v>
      </c>
      <c r="E5" s="43">
        <v>10005779</v>
      </c>
      <c r="F5" s="44">
        <v>355.12</v>
      </c>
      <c r="G5" s="44">
        <v>636845.92911999999</v>
      </c>
      <c r="H5" s="44">
        <v>73808.140800000008</v>
      </c>
      <c r="I5" s="44">
        <v>23710.110584974558</v>
      </c>
      <c r="J5" s="44">
        <v>46610.060097389563</v>
      </c>
      <c r="K5" s="44">
        <v>37259.669810174513</v>
      </c>
    </row>
    <row r="6" spans="2:11" x14ac:dyDescent="0.3">
      <c r="B6" s="45" t="b">
        <f t="shared" si="0"/>
        <v>1</v>
      </c>
      <c r="C6" s="43">
        <v>10006719</v>
      </c>
      <c r="D6" s="47" t="s">
        <v>107</v>
      </c>
      <c r="E6" s="43">
        <v>10006719</v>
      </c>
      <c r="F6" s="44">
        <v>18.02</v>
      </c>
      <c r="G6" s="44">
        <v>29769.688720000006</v>
      </c>
      <c r="H6" s="44">
        <v>3745.2768000000001</v>
      </c>
      <c r="I6" s="44">
        <v>1203.1318786360707</v>
      </c>
      <c r="J6" s="44">
        <v>2365.1534212518586</v>
      </c>
      <c r="K6" s="44">
        <v>1890.6827269073685</v>
      </c>
    </row>
    <row r="7" spans="2:11" x14ac:dyDescent="0.3">
      <c r="B7" s="45" t="b">
        <f t="shared" si="0"/>
        <v>1</v>
      </c>
      <c r="C7" s="43">
        <v>10007050</v>
      </c>
      <c r="D7" s="47" t="s">
        <v>108</v>
      </c>
      <c r="E7" s="43">
        <v>10007050</v>
      </c>
      <c r="F7" s="44">
        <v>124.33500000000001</v>
      </c>
      <c r="G7" s="44">
        <v>279333.49770000001</v>
      </c>
      <c r="H7" s="44">
        <v>25841.786399999997</v>
      </c>
      <c r="I7" s="44">
        <v>8301.4096631640332</v>
      </c>
      <c r="J7" s="44">
        <v>16319.164851906206</v>
      </c>
      <c r="K7" s="44">
        <v>13045.396051610856</v>
      </c>
    </row>
    <row r="8" spans="2:11" x14ac:dyDescent="0.3">
      <c r="B8" s="45" t="b">
        <f t="shared" si="0"/>
        <v>1</v>
      </c>
      <c r="C8" s="43">
        <v>10007162</v>
      </c>
      <c r="D8" s="47" t="s">
        <v>109</v>
      </c>
      <c r="E8" s="43">
        <v>10007162</v>
      </c>
      <c r="F8" s="44">
        <v>228.64000000000001</v>
      </c>
      <c r="G8" s="44">
        <v>407890.33039999998</v>
      </c>
      <c r="H8" s="44">
        <v>47520.537600000003</v>
      </c>
      <c r="I8" s="44">
        <v>15265.48683303836</v>
      </c>
      <c r="J8" s="44">
        <v>30009.36061237652</v>
      </c>
      <c r="K8" s="44">
        <v>23989.217462824679</v>
      </c>
    </row>
    <row r="9" spans="2:11" x14ac:dyDescent="0.3">
      <c r="B9" s="45" t="b">
        <f t="shared" si="0"/>
        <v>1</v>
      </c>
      <c r="C9" s="43">
        <v>10007567</v>
      </c>
      <c r="D9" s="47" t="s">
        <v>110</v>
      </c>
      <c r="E9" s="43">
        <v>10007567</v>
      </c>
      <c r="F9" s="44">
        <v>35.660000000000004</v>
      </c>
      <c r="G9" s="44">
        <v>61056.089179999995</v>
      </c>
      <c r="H9" s="44">
        <v>7411.5744000000004</v>
      </c>
      <c r="I9" s="44">
        <v>2380.8924967903604</v>
      </c>
      <c r="J9" s="44">
        <v>4680.4312431654425</v>
      </c>
      <c r="K9" s="44">
        <v>3741.4953408166903</v>
      </c>
    </row>
    <row r="10" spans="2:11" x14ac:dyDescent="0.3">
      <c r="B10" s="45" t="b">
        <f t="shared" si="0"/>
        <v>1</v>
      </c>
      <c r="C10" s="43">
        <v>10007969</v>
      </c>
      <c r="D10" s="47" t="s">
        <v>74</v>
      </c>
      <c r="E10" s="43">
        <v>10007969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</row>
    <row r="11" spans="2:11" x14ac:dyDescent="0.3">
      <c r="B11" s="45" t="b">
        <f t="shared" si="0"/>
        <v>1</v>
      </c>
      <c r="C11" s="43">
        <v>10009239</v>
      </c>
      <c r="D11" s="47" t="s">
        <v>111</v>
      </c>
      <c r="E11" s="43">
        <v>10009239</v>
      </c>
      <c r="F11" s="44">
        <v>16.5</v>
      </c>
      <c r="G11" s="44">
        <v>46974.790500000003</v>
      </c>
      <c r="H11" s="44">
        <v>3429.36</v>
      </c>
      <c r="I11" s="44">
        <v>1101.646836708944</v>
      </c>
      <c r="J11" s="44">
        <v>2165.6510238987607</v>
      </c>
      <c r="K11" s="44">
        <v>1731.202274915182</v>
      </c>
    </row>
    <row r="12" spans="2:11" x14ac:dyDescent="0.3">
      <c r="B12" s="45" t="b">
        <f t="shared" si="0"/>
        <v>1</v>
      </c>
      <c r="C12" s="43">
        <v>10009334</v>
      </c>
      <c r="D12" s="47" t="s">
        <v>112</v>
      </c>
      <c r="E12" s="43">
        <v>10009334</v>
      </c>
      <c r="F12" s="44">
        <v>311.76800000000003</v>
      </c>
      <c r="G12" s="44">
        <v>802747.41706400004</v>
      </c>
      <c r="H12" s="44">
        <v>64797.861120000001</v>
      </c>
      <c r="I12" s="44">
        <v>20815.650362852972</v>
      </c>
      <c r="J12" s="44">
        <v>40920.04172235568</v>
      </c>
      <c r="K12" s="44">
        <v>32711.119445197361</v>
      </c>
    </row>
    <row r="13" spans="2:11" x14ac:dyDescent="0.3">
      <c r="B13" s="45" t="b">
        <f t="shared" si="0"/>
        <v>1</v>
      </c>
      <c r="C13" s="43">
        <v>10009386</v>
      </c>
      <c r="D13" s="47" t="s">
        <v>113</v>
      </c>
      <c r="E13" s="43">
        <v>10009386</v>
      </c>
      <c r="F13" s="44">
        <v>21.28</v>
      </c>
      <c r="G13" s="44">
        <v>68751.517823639821</v>
      </c>
      <c r="H13" s="44">
        <v>4422.8352000000004</v>
      </c>
      <c r="I13" s="44">
        <v>1420.7905869797776</v>
      </c>
      <c r="J13" s="44">
        <v>2793.0335629433712</v>
      </c>
      <c r="K13" s="44">
        <v>2232.7263278906107</v>
      </c>
    </row>
    <row r="14" spans="2:11" x14ac:dyDescent="0.3">
      <c r="B14" s="45" t="b">
        <f t="shared" si="0"/>
        <v>0</v>
      </c>
      <c r="D14" s="47" t="s">
        <v>114</v>
      </c>
      <c r="E14" s="43">
        <v>10009207</v>
      </c>
      <c r="F14" s="44">
        <v>30.94</v>
      </c>
      <c r="G14" s="44">
        <v>43581.360000000081</v>
      </c>
      <c r="H14" s="44">
        <v>6430.5696000000007</v>
      </c>
      <c r="I14" s="44">
        <v>2065.7547350166501</v>
      </c>
      <c r="J14" s="44">
        <v>4060.923798753191</v>
      </c>
      <c r="K14" s="44">
        <v>3246.2665688409534</v>
      </c>
    </row>
    <row r="15" spans="2:11" x14ac:dyDescent="0.3">
      <c r="D15" t="s">
        <v>115</v>
      </c>
      <c r="E15" s="43" t="s">
        <v>98</v>
      </c>
      <c r="F15" s="44">
        <v>1176.923</v>
      </c>
      <c r="G15" s="44">
        <v>2440416.7544676391</v>
      </c>
      <c r="H15" s="44">
        <v>244611.67632</v>
      </c>
      <c r="I15" s="44">
        <v>78579.000000000044</v>
      </c>
      <c r="J15" s="44">
        <v>154473.00000000003</v>
      </c>
      <c r="K15" s="44">
        <v>123484.35000000003</v>
      </c>
    </row>
    <row r="16" spans="2:11" x14ac:dyDescent="0.3">
      <c r="D16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3A07-E7A1-466D-B610-F164D0D50F78}">
  <dimension ref="B1:T53"/>
  <sheetViews>
    <sheetView zoomScale="70" zoomScaleNormal="70" workbookViewId="0">
      <selection activeCell="L29" sqref="L29"/>
    </sheetView>
  </sheetViews>
  <sheetFormatPr baseColWidth="10" defaultRowHeight="14.4" x14ac:dyDescent="0.3"/>
  <cols>
    <col min="3" max="3" width="9" bestFit="1" customWidth="1"/>
    <col min="4" max="4" width="46.5546875" bestFit="1" customWidth="1"/>
    <col min="5" max="5" width="14.21875" customWidth="1"/>
    <col min="10" max="10" width="16" bestFit="1" customWidth="1"/>
    <col min="11" max="11" width="18.21875" bestFit="1" customWidth="1"/>
    <col min="12" max="12" width="16.109375" customWidth="1"/>
    <col min="13" max="13" width="13.5546875" bestFit="1" customWidth="1"/>
    <col min="16" max="16" width="14.109375" bestFit="1" customWidth="1"/>
    <col min="17" max="17" width="13.77734375" bestFit="1" customWidth="1"/>
    <col min="18" max="18" width="13.44140625" bestFit="1" customWidth="1"/>
    <col min="19" max="19" width="17.33203125" bestFit="1" customWidth="1"/>
    <col min="20" max="20" width="23.33203125" bestFit="1" customWidth="1"/>
  </cols>
  <sheetData>
    <row r="1" spans="2:20" ht="15" thickBot="1" x14ac:dyDescent="0.35"/>
    <row r="2" spans="2:20" ht="15" thickBot="1" x14ac:dyDescent="0.35">
      <c r="B2" s="1"/>
      <c r="C2" s="1" t="s">
        <v>0</v>
      </c>
      <c r="D2" s="1" t="s">
        <v>1</v>
      </c>
      <c r="E2" s="1" t="s">
        <v>73</v>
      </c>
      <c r="G2" s="7" t="s">
        <v>75</v>
      </c>
      <c r="H2" s="7" t="s">
        <v>76</v>
      </c>
      <c r="I2" s="7" t="s">
        <v>77</v>
      </c>
      <c r="J2" s="7" t="s">
        <v>78</v>
      </c>
      <c r="K2" s="8" t="s">
        <v>96</v>
      </c>
      <c r="L2" s="9" t="s">
        <v>79</v>
      </c>
      <c r="M2" s="9" t="s">
        <v>80</v>
      </c>
      <c r="N2" s="9" t="s">
        <v>81</v>
      </c>
      <c r="O2" s="9" t="s">
        <v>82</v>
      </c>
      <c r="P2" s="9" t="s">
        <v>83</v>
      </c>
      <c r="Q2" s="9" t="s">
        <v>84</v>
      </c>
      <c r="R2" s="10" t="s">
        <v>85</v>
      </c>
      <c r="S2" s="11" t="s">
        <v>86</v>
      </c>
      <c r="T2" s="11" t="s">
        <v>87</v>
      </c>
    </row>
    <row r="3" spans="2:20" ht="15.6" x14ac:dyDescent="0.3">
      <c r="B3" s="2"/>
      <c r="C3" s="2" t="s">
        <v>2</v>
      </c>
      <c r="D3" s="3" t="s">
        <v>3</v>
      </c>
      <c r="E3" s="40">
        <v>680</v>
      </c>
      <c r="G3" s="12">
        <v>10006719</v>
      </c>
      <c r="H3" s="28">
        <f t="shared" ref="H3:H8" si="0">1652.036/1000</f>
        <v>1.6520360000000001</v>
      </c>
      <c r="I3" s="14">
        <v>0.71</v>
      </c>
      <c r="J3" s="15">
        <f t="shared" ref="J3:J39" si="1">$H$47</f>
        <v>-0.10965909090909082</v>
      </c>
      <c r="K3" s="16">
        <f t="shared" ref="K3:K39" si="2">IF(E3&lt;0,0,E3)/1000</f>
        <v>0.68</v>
      </c>
      <c r="L3" s="17">
        <f t="shared" ref="L3:L39" si="3">IFERROR(H3*K3,0)*1000</f>
        <v>1123.3844800000002</v>
      </c>
      <c r="M3" s="18">
        <f t="shared" ref="M3:M39" si="4">207.84*K3</f>
        <v>141.33120000000002</v>
      </c>
      <c r="N3" s="17">
        <f>$N$42/$K$40*K3</f>
        <v>45.401202967398902</v>
      </c>
      <c r="O3" s="17">
        <f>$O$42/$K$40*K3</f>
        <v>89.251072500070137</v>
      </c>
      <c r="P3" s="17">
        <f>$P$42/$K$40*K3</f>
        <v>71.346517996504474</v>
      </c>
      <c r="Q3" s="17">
        <v>0</v>
      </c>
      <c r="R3" s="19">
        <v>0</v>
      </c>
      <c r="S3" s="20">
        <f t="shared" ref="S3:S33" si="5">L3+M3+N3+O3</f>
        <v>1399.3679554674693</v>
      </c>
      <c r="T3" s="20">
        <f t="shared" ref="T3:T33" si="6">IFERROR(S3/K3,0)</f>
        <v>2057.894052158043</v>
      </c>
    </row>
    <row r="4" spans="2:20" ht="15.6" x14ac:dyDescent="0.3">
      <c r="B4" s="2"/>
      <c r="C4" s="2" t="s">
        <v>4</v>
      </c>
      <c r="D4" s="3" t="s">
        <v>5</v>
      </c>
      <c r="E4" s="40">
        <v>14840</v>
      </c>
      <c r="G4" s="12">
        <v>10006719</v>
      </c>
      <c r="H4" s="28">
        <f t="shared" si="0"/>
        <v>1.6520360000000001</v>
      </c>
      <c r="I4" s="14">
        <v>0.71</v>
      </c>
      <c r="J4" s="15">
        <f t="shared" si="1"/>
        <v>-0.10965909090909082</v>
      </c>
      <c r="K4" s="16">
        <f t="shared" si="2"/>
        <v>14.84</v>
      </c>
      <c r="L4" s="17">
        <f t="shared" si="3"/>
        <v>24516.214240000001</v>
      </c>
      <c r="M4" s="18">
        <f t="shared" si="4"/>
        <v>3084.3456000000001</v>
      </c>
      <c r="N4" s="17">
        <f>$N$42/$K$40*K4</f>
        <v>990.81448828852899</v>
      </c>
      <c r="O4" s="17">
        <f>$O$42/$K$40*K4</f>
        <v>1947.7734057368245</v>
      </c>
      <c r="P4" s="17">
        <f>$P$42/$K$40*K4</f>
        <v>1557.0328339237151</v>
      </c>
      <c r="Q4" s="17">
        <v>0</v>
      </c>
      <c r="R4" s="19">
        <v>0</v>
      </c>
      <c r="S4" s="20">
        <f t="shared" si="5"/>
        <v>30539.147734025355</v>
      </c>
      <c r="T4" s="20">
        <f t="shared" si="6"/>
        <v>2057.894052158043</v>
      </c>
    </row>
    <row r="5" spans="2:20" ht="15.6" x14ac:dyDescent="0.3">
      <c r="B5" s="2"/>
      <c r="C5" s="2" t="s">
        <v>6</v>
      </c>
      <c r="D5" s="3" t="s">
        <v>7</v>
      </c>
      <c r="E5" s="40">
        <v>40</v>
      </c>
      <c r="G5" s="12">
        <v>10006719</v>
      </c>
      <c r="H5" s="28">
        <f t="shared" si="0"/>
        <v>1.6520360000000001</v>
      </c>
      <c r="I5" s="14">
        <v>0.71</v>
      </c>
      <c r="J5" s="15">
        <f t="shared" si="1"/>
        <v>-0.10965909090909082</v>
      </c>
      <c r="K5" s="16">
        <f t="shared" si="2"/>
        <v>0.04</v>
      </c>
      <c r="L5" s="17">
        <f t="shared" si="3"/>
        <v>66.081440000000001</v>
      </c>
      <c r="M5" s="18">
        <f t="shared" si="4"/>
        <v>8.313600000000001</v>
      </c>
      <c r="N5" s="17">
        <f>$N$42/$K$40*K5</f>
        <v>2.6706589980822883</v>
      </c>
      <c r="O5" s="17">
        <f>$O$42/$K$40*K5</f>
        <v>5.2500630882394193</v>
      </c>
      <c r="P5" s="17">
        <f>$P$42/$K$40*K5</f>
        <v>4.1968539997943806</v>
      </c>
      <c r="Q5" s="17">
        <v>0</v>
      </c>
      <c r="R5" s="19">
        <v>0</v>
      </c>
      <c r="S5" s="20">
        <f t="shared" si="5"/>
        <v>82.315762086321698</v>
      </c>
      <c r="T5" s="20">
        <f t="shared" si="6"/>
        <v>2057.8940521580425</v>
      </c>
    </row>
    <row r="6" spans="2:20" ht="15.6" x14ac:dyDescent="0.3">
      <c r="B6" s="2"/>
      <c r="C6" s="2" t="s">
        <v>8</v>
      </c>
      <c r="D6" s="3" t="s">
        <v>9</v>
      </c>
      <c r="E6" s="40">
        <v>2340</v>
      </c>
      <c r="G6" s="12">
        <v>10006719</v>
      </c>
      <c r="H6" s="28">
        <f t="shared" si="0"/>
        <v>1.6520360000000001</v>
      </c>
      <c r="I6" s="14">
        <v>0.71</v>
      </c>
      <c r="J6" s="15">
        <f t="shared" si="1"/>
        <v>-0.10965909090909082</v>
      </c>
      <c r="K6" s="16">
        <f t="shared" si="2"/>
        <v>2.34</v>
      </c>
      <c r="L6" s="17">
        <f t="shared" si="3"/>
        <v>3865.76424</v>
      </c>
      <c r="M6" s="18">
        <f t="shared" si="4"/>
        <v>486.34559999999999</v>
      </c>
      <c r="N6" s="17">
        <f>$N$42/$K$40*K6</f>
        <v>156.23355138781386</v>
      </c>
      <c r="O6" s="17">
        <f>$O$42/$K$40*K6</f>
        <v>307.12869066200602</v>
      </c>
      <c r="P6" s="17">
        <f>$P$42/$K$40*K6</f>
        <v>245.51595898797123</v>
      </c>
      <c r="Q6" s="17">
        <v>0</v>
      </c>
      <c r="R6" s="19">
        <v>0</v>
      </c>
      <c r="S6" s="20">
        <f t="shared" si="5"/>
        <v>4815.4720820498205</v>
      </c>
      <c r="T6" s="20">
        <f t="shared" si="6"/>
        <v>2057.894052158043</v>
      </c>
    </row>
    <row r="7" spans="2:20" ht="15.6" x14ac:dyDescent="0.3">
      <c r="B7" s="2"/>
      <c r="C7" s="2" t="s">
        <v>10</v>
      </c>
      <c r="D7" s="3" t="s">
        <v>11</v>
      </c>
      <c r="E7" s="40">
        <v>120</v>
      </c>
      <c r="G7" s="12">
        <v>10006719</v>
      </c>
      <c r="H7" s="28">
        <f t="shared" si="0"/>
        <v>1.6520360000000001</v>
      </c>
      <c r="I7" s="14">
        <v>0.71</v>
      </c>
      <c r="J7" s="15">
        <f t="shared" si="1"/>
        <v>-0.10965909090909082</v>
      </c>
      <c r="K7" s="16">
        <f t="shared" si="2"/>
        <v>0.12</v>
      </c>
      <c r="L7" s="17">
        <f t="shared" si="3"/>
        <v>198.24431999999999</v>
      </c>
      <c r="M7" s="18">
        <f t="shared" si="4"/>
        <v>24.940799999999999</v>
      </c>
      <c r="N7" s="17">
        <f>$N$42/$K$40*K7</f>
        <v>8.011976994246865</v>
      </c>
      <c r="O7" s="17">
        <f>$O$42/$K$40*K7</f>
        <v>15.750189264718257</v>
      </c>
      <c r="P7" s="17">
        <f>$P$42/$K$40*K7</f>
        <v>12.590561999383141</v>
      </c>
      <c r="Q7" s="17">
        <v>0</v>
      </c>
      <c r="R7" s="19">
        <v>0</v>
      </c>
      <c r="S7" s="20">
        <f t="shared" si="5"/>
        <v>246.94728625896511</v>
      </c>
      <c r="T7" s="20">
        <f t="shared" si="6"/>
        <v>2057.8940521580425</v>
      </c>
    </row>
    <row r="8" spans="2:20" ht="15.6" x14ac:dyDescent="0.3">
      <c r="B8" s="2"/>
      <c r="C8" s="2" t="s">
        <v>12</v>
      </c>
      <c r="D8" s="3" t="s">
        <v>13</v>
      </c>
      <c r="E8" s="40">
        <v>260</v>
      </c>
      <c r="G8" s="27">
        <v>10009334</v>
      </c>
      <c r="H8" s="28">
        <f>2574.823/1000</f>
        <v>2.5748229999999999</v>
      </c>
      <c r="I8" s="14">
        <v>0.71</v>
      </c>
      <c r="J8" s="15">
        <f t="shared" si="1"/>
        <v>-0.10965909090909082</v>
      </c>
      <c r="K8" s="16">
        <f t="shared" si="2"/>
        <v>0.26</v>
      </c>
      <c r="L8" s="17">
        <f t="shared" si="3"/>
        <v>669.45398</v>
      </c>
      <c r="M8" s="18">
        <f t="shared" si="4"/>
        <v>54.038400000000003</v>
      </c>
      <c r="N8" s="17">
        <f>$N$42/$K$40*K8</f>
        <v>17.359283487534874</v>
      </c>
      <c r="O8" s="17">
        <f>$O$42/$K$40*K8</f>
        <v>34.125410073556225</v>
      </c>
      <c r="P8" s="17">
        <f>$P$42/$K$40*K8</f>
        <v>27.279550998663474</v>
      </c>
      <c r="Q8" s="17">
        <v>0</v>
      </c>
      <c r="R8" s="19">
        <v>0</v>
      </c>
      <c r="S8" s="20">
        <f t="shared" si="5"/>
        <v>774.97707356109117</v>
      </c>
      <c r="T8" s="20">
        <f t="shared" si="6"/>
        <v>2980.6810521580428</v>
      </c>
    </row>
    <row r="9" spans="2:20" ht="15.6" x14ac:dyDescent="0.3">
      <c r="B9" s="2"/>
      <c r="C9" s="2" t="s">
        <v>14</v>
      </c>
      <c r="D9" s="3" t="s">
        <v>15</v>
      </c>
      <c r="E9" s="40">
        <f>163764+108000+50000/2</f>
        <v>296764</v>
      </c>
      <c r="G9" s="27">
        <v>10009334</v>
      </c>
      <c r="H9" s="28">
        <f>2574.823/1000</f>
        <v>2.5748229999999999</v>
      </c>
      <c r="I9" s="14">
        <v>0.68</v>
      </c>
      <c r="J9" s="15">
        <f t="shared" si="1"/>
        <v>-0.10965909090909082</v>
      </c>
      <c r="K9" s="16">
        <f t="shared" si="2"/>
        <v>296.76400000000001</v>
      </c>
      <c r="L9" s="17">
        <f t="shared" si="3"/>
        <v>764114.77277200005</v>
      </c>
      <c r="M9" s="18">
        <f t="shared" si="4"/>
        <v>61679.429760000006</v>
      </c>
      <c r="N9" s="17">
        <f>$N$42/$K$40*K9</f>
        <v>19813.886172672304</v>
      </c>
      <c r="O9" s="17">
        <f>$O$42/$K$40*K9</f>
        <v>38950.743057957079</v>
      </c>
      <c r="P9" s="17">
        <f>$P$42/$K$40*K9</f>
        <v>31136.879509874489</v>
      </c>
      <c r="Q9" s="17">
        <v>0</v>
      </c>
      <c r="R9" s="19">
        <v>0</v>
      </c>
      <c r="S9" s="20">
        <f>L9+M9+N9+O9</f>
        <v>884558.83176262933</v>
      </c>
      <c r="T9" s="20">
        <f>IFERROR(S9/K9,0)</f>
        <v>2980.6810521580423</v>
      </c>
    </row>
    <row r="10" spans="2:20" ht="15.6" x14ac:dyDescent="0.3">
      <c r="B10" s="2"/>
      <c r="C10" s="2" t="s">
        <v>16</v>
      </c>
      <c r="D10" s="3" t="s">
        <v>17</v>
      </c>
      <c r="E10" s="40">
        <v>14744</v>
      </c>
      <c r="G10" s="27">
        <v>10009334</v>
      </c>
      <c r="H10" s="28">
        <f>2574.823/1000</f>
        <v>2.5748229999999999</v>
      </c>
      <c r="I10" s="14">
        <v>0.68</v>
      </c>
      <c r="J10" s="15">
        <f t="shared" si="1"/>
        <v>-0.10965909090909082</v>
      </c>
      <c r="K10" s="16">
        <f t="shared" si="2"/>
        <v>14.744</v>
      </c>
      <c r="L10" s="17">
        <f t="shared" si="3"/>
        <v>37963.190311999992</v>
      </c>
      <c r="M10" s="18">
        <f t="shared" si="4"/>
        <v>3064.3929600000001</v>
      </c>
      <c r="N10" s="17">
        <f>$N$42/$K$40*K10</f>
        <v>984.40490669313147</v>
      </c>
      <c r="O10" s="17">
        <f>$O$42/$K$40*K10</f>
        <v>1935.17325432505</v>
      </c>
      <c r="P10" s="17">
        <f>$P$42/$K$40*K10</f>
        <v>1546.9603843242087</v>
      </c>
      <c r="Q10" s="17">
        <v>0</v>
      </c>
      <c r="R10" s="19">
        <v>0</v>
      </c>
      <c r="S10" s="20">
        <f>L10+M10+N10+O10</f>
        <v>43947.161433018169</v>
      </c>
      <c r="T10" s="20">
        <f>IFERROR(S10/K10,0)</f>
        <v>2980.6810521580419</v>
      </c>
    </row>
    <row r="11" spans="2:20" ht="15.6" x14ac:dyDescent="0.3">
      <c r="B11" s="2"/>
      <c r="C11" s="2" t="s">
        <v>18</v>
      </c>
      <c r="D11" s="3" t="s">
        <v>19</v>
      </c>
      <c r="E11" s="40">
        <v>1760</v>
      </c>
      <c r="G11" s="22">
        <v>10005721</v>
      </c>
      <c r="H11" s="28">
        <f t="shared" ref="H11:H16" si="7">1831.106/1000</f>
        <v>1.8311059999999999</v>
      </c>
      <c r="I11" s="14">
        <v>0.67</v>
      </c>
      <c r="J11" s="15">
        <f t="shared" si="1"/>
        <v>-0.10965909090909082</v>
      </c>
      <c r="K11" s="16">
        <f t="shared" si="2"/>
        <v>1.76</v>
      </c>
      <c r="L11" s="17">
        <f t="shared" si="3"/>
        <v>3222.74656</v>
      </c>
      <c r="M11" s="18">
        <f t="shared" si="4"/>
        <v>365.79840000000002</v>
      </c>
      <c r="N11" s="17">
        <f>$N$42/$K$40*K11</f>
        <v>117.50899591562069</v>
      </c>
      <c r="O11" s="17">
        <f>$O$42/$K$40*K11</f>
        <v>231.00277588253445</v>
      </c>
      <c r="P11" s="17">
        <f>$P$42/$K$40*K11</f>
        <v>184.66157599095274</v>
      </c>
      <c r="Q11" s="17">
        <v>0</v>
      </c>
      <c r="R11" s="19">
        <v>0</v>
      </c>
      <c r="S11" s="20">
        <f t="shared" ref="S11" si="8">L11+M11+N11+O11</f>
        <v>3937.0567317981554</v>
      </c>
      <c r="T11" s="20">
        <f t="shared" ref="T11" si="9">IFERROR(S11/K11,0)</f>
        <v>2236.9640521580427</v>
      </c>
    </row>
    <row r="12" spans="2:20" ht="15.6" x14ac:dyDescent="0.3">
      <c r="B12" s="2"/>
      <c r="C12" s="2" t="s">
        <v>20</v>
      </c>
      <c r="D12" s="3" t="s">
        <v>21</v>
      </c>
      <c r="E12" s="40">
        <v>1080</v>
      </c>
      <c r="G12" s="22">
        <v>10005721</v>
      </c>
      <c r="H12" s="28">
        <f t="shared" si="7"/>
        <v>1.8311059999999999</v>
      </c>
      <c r="I12" s="14">
        <v>0.67</v>
      </c>
      <c r="J12" s="15">
        <f t="shared" si="1"/>
        <v>-0.10965909090909082</v>
      </c>
      <c r="K12" s="16">
        <f t="shared" si="2"/>
        <v>1.08</v>
      </c>
      <c r="L12" s="17">
        <f t="shared" si="3"/>
        <v>1977.59448</v>
      </c>
      <c r="M12" s="18">
        <f t="shared" si="4"/>
        <v>224.46720000000002</v>
      </c>
      <c r="N12" s="17">
        <f>$N$42/$K$40*K12</f>
        <v>72.107792948221785</v>
      </c>
      <c r="O12" s="17">
        <f>$O$42/$K$40*K12</f>
        <v>141.75170338246434</v>
      </c>
      <c r="P12" s="17">
        <f>$P$42/$K$40*K12</f>
        <v>113.31505799444828</v>
      </c>
      <c r="Q12" s="17">
        <v>0</v>
      </c>
      <c r="R12" s="19">
        <v>0</v>
      </c>
      <c r="S12" s="20">
        <f t="shared" si="5"/>
        <v>2415.9211763306857</v>
      </c>
      <c r="T12" s="20">
        <f t="shared" si="6"/>
        <v>2236.9640521580423</v>
      </c>
    </row>
    <row r="13" spans="2:20" ht="15.6" x14ac:dyDescent="0.3">
      <c r="B13" s="2"/>
      <c r="C13" s="2" t="s">
        <v>22</v>
      </c>
      <c r="D13" s="3" t="s">
        <v>23</v>
      </c>
      <c r="E13" s="40">
        <v>20240</v>
      </c>
      <c r="G13" s="22">
        <v>10005721</v>
      </c>
      <c r="H13" s="28">
        <f t="shared" si="7"/>
        <v>1.8311059999999999</v>
      </c>
      <c r="I13" s="14">
        <v>0.67</v>
      </c>
      <c r="J13" s="15">
        <f t="shared" si="1"/>
        <v>-0.10965909090909082</v>
      </c>
      <c r="K13" s="16">
        <f t="shared" si="2"/>
        <v>20.239999999999998</v>
      </c>
      <c r="L13" s="17">
        <f t="shared" si="3"/>
        <v>37061.585439999995</v>
      </c>
      <c r="M13" s="18">
        <f t="shared" si="4"/>
        <v>4206.6815999999999</v>
      </c>
      <c r="N13" s="17">
        <f>$N$42/$K$40*K13</f>
        <v>1351.3534530296379</v>
      </c>
      <c r="O13" s="17">
        <f>$O$42/$K$40*K13</f>
        <v>2656.5319226491461</v>
      </c>
      <c r="P13" s="17">
        <f>$P$42/$K$40*K13</f>
        <v>2123.6081238959564</v>
      </c>
      <c r="Q13" s="17">
        <v>0</v>
      </c>
      <c r="R13" s="19">
        <v>0</v>
      </c>
      <c r="S13" s="20">
        <f t="shared" si="5"/>
        <v>45276.152415678778</v>
      </c>
      <c r="T13" s="20">
        <f t="shared" si="6"/>
        <v>2236.9640521580427</v>
      </c>
    </row>
    <row r="14" spans="2:20" ht="15.6" x14ac:dyDescent="0.3">
      <c r="B14" s="2"/>
      <c r="C14" s="2" t="s">
        <v>24</v>
      </c>
      <c r="D14" s="3" t="s">
        <v>25</v>
      </c>
      <c r="E14" s="40">
        <v>5280</v>
      </c>
      <c r="G14" s="22">
        <v>10005721</v>
      </c>
      <c r="H14" s="28">
        <f t="shared" si="7"/>
        <v>1.8311059999999999</v>
      </c>
      <c r="I14" s="14">
        <v>0.67</v>
      </c>
      <c r="J14" s="15">
        <f t="shared" si="1"/>
        <v>-0.10965909090909082</v>
      </c>
      <c r="K14" s="16">
        <f t="shared" si="2"/>
        <v>5.28</v>
      </c>
      <c r="L14" s="17">
        <f t="shared" si="3"/>
        <v>9668.2396799999988</v>
      </c>
      <c r="M14" s="18">
        <f t="shared" si="4"/>
        <v>1097.3952000000002</v>
      </c>
      <c r="N14" s="17">
        <f>$N$42/$K$40*K14</f>
        <v>352.52698774686206</v>
      </c>
      <c r="O14" s="17">
        <f>$O$42/$K$40*K14</f>
        <v>693.00832764760344</v>
      </c>
      <c r="P14" s="17">
        <f>$P$42/$K$40*K14</f>
        <v>553.9847279728582</v>
      </c>
      <c r="Q14" s="17">
        <v>0</v>
      </c>
      <c r="R14" s="19">
        <v>0</v>
      </c>
      <c r="S14" s="20">
        <f t="shared" si="5"/>
        <v>11811.170195394465</v>
      </c>
      <c r="T14" s="20">
        <f t="shared" si="6"/>
        <v>2236.9640521580423</v>
      </c>
    </row>
    <row r="15" spans="2:20" ht="15.6" x14ac:dyDescent="0.3">
      <c r="B15" s="2"/>
      <c r="C15" s="2" t="s">
        <v>26</v>
      </c>
      <c r="D15" s="3" t="s">
        <v>27</v>
      </c>
      <c r="E15" s="40">
        <v>3100</v>
      </c>
      <c r="G15" s="22">
        <v>10005721</v>
      </c>
      <c r="H15" s="28">
        <f t="shared" si="7"/>
        <v>1.8311059999999999</v>
      </c>
      <c r="I15" s="14">
        <v>0.67</v>
      </c>
      <c r="J15" s="15">
        <f t="shared" si="1"/>
        <v>-0.10965909090909082</v>
      </c>
      <c r="K15" s="16">
        <f t="shared" si="2"/>
        <v>3.1</v>
      </c>
      <c r="L15" s="17">
        <f t="shared" si="3"/>
        <v>5676.4285999999993</v>
      </c>
      <c r="M15" s="18">
        <f t="shared" si="4"/>
        <v>644.30399999999997</v>
      </c>
      <c r="N15" s="17">
        <f>$N$42/$K$40*K15</f>
        <v>206.97607235137735</v>
      </c>
      <c r="O15" s="17">
        <f>$O$42/$K$40*K15</f>
        <v>406.87988933855502</v>
      </c>
      <c r="P15" s="17">
        <f>$P$42/$K$40*K15</f>
        <v>325.25618498406448</v>
      </c>
      <c r="Q15" s="17">
        <v>0</v>
      </c>
      <c r="R15" s="19">
        <v>0</v>
      </c>
      <c r="S15" s="20">
        <f t="shared" si="5"/>
        <v>6934.5885616899313</v>
      </c>
      <c r="T15" s="20">
        <f t="shared" si="6"/>
        <v>2236.9640521580423</v>
      </c>
    </row>
    <row r="16" spans="2:20" ht="15.6" x14ac:dyDescent="0.3">
      <c r="B16" s="2"/>
      <c r="C16" s="2" t="s">
        <v>28</v>
      </c>
      <c r="D16" s="3" t="s">
        <v>29</v>
      </c>
      <c r="E16" s="40">
        <v>3200</v>
      </c>
      <c r="G16" s="22">
        <v>10005721</v>
      </c>
      <c r="H16" s="28">
        <f t="shared" si="7"/>
        <v>1.8311059999999999</v>
      </c>
      <c r="I16" s="14">
        <v>0.67</v>
      </c>
      <c r="J16" s="15">
        <f t="shared" si="1"/>
        <v>-0.10965909090909082</v>
      </c>
      <c r="K16" s="16">
        <f t="shared" si="2"/>
        <v>3.2</v>
      </c>
      <c r="L16" s="17">
        <f t="shared" si="3"/>
        <v>5859.5392000000002</v>
      </c>
      <c r="M16" s="18">
        <f t="shared" si="4"/>
        <v>665.08800000000008</v>
      </c>
      <c r="N16" s="17">
        <f>$N$42/$K$40*K16</f>
        <v>213.65271984658307</v>
      </c>
      <c r="O16" s="17">
        <f>$O$42/$K$40*K16</f>
        <v>420.00504705915358</v>
      </c>
      <c r="P16" s="17">
        <f>$P$42/$K$40*K16</f>
        <v>335.74831998355046</v>
      </c>
      <c r="Q16" s="17">
        <v>0</v>
      </c>
      <c r="R16" s="19">
        <v>0</v>
      </c>
      <c r="S16" s="20">
        <f t="shared" si="5"/>
        <v>7158.2849669057359</v>
      </c>
      <c r="T16" s="20">
        <f t="shared" si="6"/>
        <v>2236.9640521580423</v>
      </c>
    </row>
    <row r="17" spans="2:20" ht="15.6" x14ac:dyDescent="0.3">
      <c r="B17" s="2"/>
      <c r="C17" s="2" t="s">
        <v>30</v>
      </c>
      <c r="D17" s="3" t="s">
        <v>31</v>
      </c>
      <c r="E17" s="40">
        <v>16480</v>
      </c>
      <c r="G17" s="26">
        <v>10009239</v>
      </c>
      <c r="H17" s="28">
        <f>2846.957/1000</f>
        <v>2.8469569999999997</v>
      </c>
      <c r="I17" s="14">
        <v>0.56000000000000005</v>
      </c>
      <c r="J17" s="15">
        <f t="shared" si="1"/>
        <v>-0.10965909090909082</v>
      </c>
      <c r="K17" s="16">
        <f t="shared" si="2"/>
        <v>16.48</v>
      </c>
      <c r="L17" s="17">
        <f t="shared" si="3"/>
        <v>46917.851360000001</v>
      </c>
      <c r="M17" s="18">
        <f t="shared" si="4"/>
        <v>3425.2031999999999</v>
      </c>
      <c r="N17" s="17">
        <f>$N$42/$K$40*K17</f>
        <v>1100.3115072099029</v>
      </c>
      <c r="O17" s="17">
        <f>$O$42/$K$40*K17</f>
        <v>2163.0259923546409</v>
      </c>
      <c r="P17" s="17">
        <f>$P$42/$K$40*K17</f>
        <v>1729.1038479152849</v>
      </c>
      <c r="Q17" s="17">
        <v>0</v>
      </c>
      <c r="R17" s="19">
        <v>0</v>
      </c>
      <c r="S17" s="20">
        <f>L17+M17+N17+O17</f>
        <v>53606.392059564547</v>
      </c>
      <c r="T17" s="20">
        <f>IFERROR(S17/K17,0)</f>
        <v>3252.8150521580428</v>
      </c>
    </row>
    <row r="18" spans="2:20" ht="15.6" x14ac:dyDescent="0.3">
      <c r="B18" s="2"/>
      <c r="C18" s="2" t="s">
        <v>32</v>
      </c>
      <c r="D18" s="3" t="s">
        <v>33</v>
      </c>
      <c r="E18" s="40">
        <v>20</v>
      </c>
      <c r="G18" s="26">
        <v>10009239</v>
      </c>
      <c r="H18" s="28">
        <f>2846.957/1000</f>
        <v>2.8469569999999997</v>
      </c>
      <c r="I18" s="14">
        <v>0.56000000000000005</v>
      </c>
      <c r="J18" s="15">
        <f t="shared" si="1"/>
        <v>-0.10965909090909082</v>
      </c>
      <c r="K18" s="16">
        <f t="shared" si="2"/>
        <v>0.02</v>
      </c>
      <c r="L18" s="17">
        <f t="shared" si="3"/>
        <v>56.939140000000002</v>
      </c>
      <c r="M18" s="18">
        <f t="shared" si="4"/>
        <v>4.1568000000000005</v>
      </c>
      <c r="N18" s="17">
        <f>$N$42/$K$40*K18</f>
        <v>1.3353294990411442</v>
      </c>
      <c r="O18" s="17">
        <f>$O$42/$K$40*K18</f>
        <v>2.6250315441197096</v>
      </c>
      <c r="P18" s="17">
        <f>$P$42/$K$40*K18</f>
        <v>2.0984269998971903</v>
      </c>
      <c r="Q18" s="17">
        <v>0</v>
      </c>
      <c r="R18" s="19">
        <v>0</v>
      </c>
      <c r="S18" s="20">
        <f>L18+M18+N18+O18</f>
        <v>65.056301043160857</v>
      </c>
      <c r="T18" s="20">
        <f>IFERROR(S18/K18,0)</f>
        <v>3252.8150521580428</v>
      </c>
    </row>
    <row r="19" spans="2:20" ht="15.6" x14ac:dyDescent="0.3">
      <c r="B19" s="2"/>
      <c r="C19" s="2"/>
      <c r="D19" s="3" t="s">
        <v>74</v>
      </c>
      <c r="E19" s="40"/>
      <c r="G19" s="21">
        <v>10007969</v>
      </c>
      <c r="H19" s="28">
        <f>1226.35851472471/1000</f>
        <v>1.22635851472471</v>
      </c>
      <c r="I19" s="14">
        <v>0.56000000000000005</v>
      </c>
      <c r="J19" s="15">
        <f t="shared" si="1"/>
        <v>-0.10965909090909082</v>
      </c>
      <c r="K19" s="16">
        <f t="shared" ref="K19" si="10">IF(E19&lt;0,0,E19)/1000</f>
        <v>0</v>
      </c>
      <c r="L19" s="17">
        <f t="shared" ref="L19" si="11">IFERROR(H19*K19,0)*1000</f>
        <v>0</v>
      </c>
      <c r="M19" s="18">
        <f t="shared" ref="M19" si="12">207.84*K19</f>
        <v>0</v>
      </c>
      <c r="N19" s="17">
        <f>$N$42/$K$40*K19</f>
        <v>0</v>
      </c>
      <c r="O19" s="17">
        <f>$O$42/$K$40*K19</f>
        <v>0</v>
      </c>
      <c r="P19" s="17">
        <f>$P$42/$K$40*K19</f>
        <v>0</v>
      </c>
      <c r="Q19" s="17">
        <v>0</v>
      </c>
      <c r="R19" s="19">
        <v>0</v>
      </c>
      <c r="S19" s="20">
        <f>L19+M19+N19+O19</f>
        <v>0</v>
      </c>
      <c r="T19" s="20">
        <f>IFERROR(S19/K19,0)</f>
        <v>0</v>
      </c>
    </row>
    <row r="20" spans="2:20" ht="15.6" x14ac:dyDescent="0.3">
      <c r="B20" s="2"/>
      <c r="C20" s="2" t="s">
        <v>34</v>
      </c>
      <c r="D20" s="3" t="s">
        <v>35</v>
      </c>
      <c r="E20" s="40">
        <v>1040</v>
      </c>
      <c r="G20" s="23">
        <v>10005779</v>
      </c>
      <c r="H20" s="28">
        <f t="shared" ref="H20:H25" si="13">1793.326/1000</f>
        <v>1.793326</v>
      </c>
      <c r="I20" s="14">
        <v>0.65</v>
      </c>
      <c r="J20" s="15">
        <f t="shared" si="1"/>
        <v>-0.10965909090909082</v>
      </c>
      <c r="K20" s="16">
        <f t="shared" si="2"/>
        <v>1.04</v>
      </c>
      <c r="L20" s="17">
        <f t="shared" si="3"/>
        <v>1865.0590400000001</v>
      </c>
      <c r="M20" s="18">
        <f t="shared" si="4"/>
        <v>216.15360000000001</v>
      </c>
      <c r="N20" s="17">
        <f>$N$42/$K$40*K20</f>
        <v>69.437133950139497</v>
      </c>
      <c r="O20" s="17">
        <f>$O$42/$K$40*K20</f>
        <v>136.5016402942249</v>
      </c>
      <c r="P20" s="17">
        <f>$P$42/$K$40*K20</f>
        <v>109.1182039946539</v>
      </c>
      <c r="Q20" s="17">
        <v>0</v>
      </c>
      <c r="R20" s="19">
        <v>0</v>
      </c>
      <c r="S20" s="20">
        <f t="shared" ref="S20:S32" si="14">L20+M20+N20+O20</f>
        <v>2287.1514142443648</v>
      </c>
      <c r="T20" s="20">
        <f t="shared" ref="T20:T32" si="15">IFERROR(S20/K20,0)</f>
        <v>2199.184052158043</v>
      </c>
    </row>
    <row r="21" spans="2:20" ht="15.6" x14ac:dyDescent="0.3">
      <c r="B21" s="2"/>
      <c r="C21" s="2" t="s">
        <v>36</v>
      </c>
      <c r="D21" s="3" t="s">
        <v>37</v>
      </c>
      <c r="E21" s="40">
        <v>41820</v>
      </c>
      <c r="G21" s="23">
        <v>10005779</v>
      </c>
      <c r="H21" s="28">
        <f t="shared" si="13"/>
        <v>1.793326</v>
      </c>
      <c r="I21" s="14">
        <v>0.65</v>
      </c>
      <c r="J21" s="15">
        <f t="shared" si="1"/>
        <v>-0.10965909090909082</v>
      </c>
      <c r="K21" s="16">
        <f t="shared" si="2"/>
        <v>41.82</v>
      </c>
      <c r="L21" s="17">
        <f t="shared" si="3"/>
        <v>74996.893320000003</v>
      </c>
      <c r="M21" s="18">
        <f t="shared" si="4"/>
        <v>8691.8688000000002</v>
      </c>
      <c r="N21" s="17">
        <f>$N$42/$K$40*K21</f>
        <v>2792.1739824950323</v>
      </c>
      <c r="O21" s="17">
        <f>$O$42/$K$40*K21</f>
        <v>5488.9409587543132</v>
      </c>
      <c r="P21" s="17">
        <f>$P$42/$K$40*K21</f>
        <v>4387.810856785025</v>
      </c>
      <c r="Q21" s="17">
        <v>0</v>
      </c>
      <c r="R21" s="19">
        <v>0</v>
      </c>
      <c r="S21" s="20">
        <f t="shared" si="14"/>
        <v>91969.877061249354</v>
      </c>
      <c r="T21" s="20">
        <f t="shared" si="15"/>
        <v>2199.184052158043</v>
      </c>
    </row>
    <row r="22" spans="2:20" ht="15.6" x14ac:dyDescent="0.3">
      <c r="B22" s="2"/>
      <c r="C22" s="2" t="s">
        <v>38</v>
      </c>
      <c r="D22" s="3" t="s">
        <v>39</v>
      </c>
      <c r="E22" s="40">
        <v>138020</v>
      </c>
      <c r="G22" s="23">
        <v>10005779</v>
      </c>
      <c r="H22" s="28">
        <f t="shared" si="13"/>
        <v>1.793326</v>
      </c>
      <c r="I22" s="14">
        <v>0.65</v>
      </c>
      <c r="J22" s="15">
        <f t="shared" si="1"/>
        <v>-0.10965909090909082</v>
      </c>
      <c r="K22" s="16">
        <f t="shared" si="2"/>
        <v>138.02000000000001</v>
      </c>
      <c r="L22" s="17">
        <f t="shared" si="3"/>
        <v>247514.85452000002</v>
      </c>
      <c r="M22" s="18">
        <f t="shared" si="4"/>
        <v>28686.076800000003</v>
      </c>
      <c r="N22" s="17">
        <f>$N$42/$K$40*K22</f>
        <v>9215.1088728829363</v>
      </c>
      <c r="O22" s="17">
        <f>$O$42/$K$40*K22</f>
        <v>18115.342685970118</v>
      </c>
      <c r="P22" s="17">
        <f>$P$42/$K$40*K22</f>
        <v>14481.244726290512</v>
      </c>
      <c r="Q22" s="17">
        <v>0</v>
      </c>
      <c r="R22" s="19">
        <v>0</v>
      </c>
      <c r="S22" s="20">
        <f t="shared" si="14"/>
        <v>303531.38287885312</v>
      </c>
      <c r="T22" s="20">
        <f t="shared" si="15"/>
        <v>2199.184052158043</v>
      </c>
    </row>
    <row r="23" spans="2:20" ht="15.6" x14ac:dyDescent="0.3">
      <c r="B23" s="2"/>
      <c r="C23" s="2" t="s">
        <v>40</v>
      </c>
      <c r="D23" s="3" t="s">
        <v>41</v>
      </c>
      <c r="E23" s="40">
        <v>174240</v>
      </c>
      <c r="G23" s="23">
        <v>10005779</v>
      </c>
      <c r="H23" s="28">
        <f t="shared" si="13"/>
        <v>1.793326</v>
      </c>
      <c r="I23" s="14">
        <v>0.65</v>
      </c>
      <c r="J23" s="15">
        <f t="shared" si="1"/>
        <v>-0.10965909090909082</v>
      </c>
      <c r="K23" s="16">
        <f t="shared" si="2"/>
        <v>174.24</v>
      </c>
      <c r="L23" s="17">
        <f t="shared" si="3"/>
        <v>312469.12224</v>
      </c>
      <c r="M23" s="18">
        <f t="shared" si="4"/>
        <v>36214.041600000004</v>
      </c>
      <c r="N23" s="17">
        <f>$N$42/$K$40*K23</f>
        <v>11633.390595646448</v>
      </c>
      <c r="O23" s="17">
        <f>$O$42/$K$40*K23</f>
        <v>22869.274812370913</v>
      </c>
      <c r="P23" s="17">
        <f>$P$42/$K$40*K23</f>
        <v>18281.496023104322</v>
      </c>
      <c r="Q23" s="17">
        <v>0</v>
      </c>
      <c r="R23" s="19">
        <v>0</v>
      </c>
      <c r="S23" s="20">
        <f t="shared" si="14"/>
        <v>383185.82924801734</v>
      </c>
      <c r="T23" s="20">
        <f t="shared" si="15"/>
        <v>2199.1840521580425</v>
      </c>
    </row>
    <row r="24" spans="2:20" ht="15.6" x14ac:dyDescent="0.3">
      <c r="B24" s="2"/>
      <c r="C24" s="2" t="s">
        <v>42</v>
      </c>
      <c r="D24" s="3" t="s">
        <v>43</v>
      </c>
      <c r="E24" s="40">
        <v>0</v>
      </c>
      <c r="G24" s="23">
        <v>10005779</v>
      </c>
      <c r="H24" s="28">
        <f t="shared" si="13"/>
        <v>1.793326</v>
      </c>
      <c r="I24" s="14">
        <v>0.65</v>
      </c>
      <c r="J24" s="15">
        <f t="shared" si="1"/>
        <v>-0.10965909090909082</v>
      </c>
      <c r="K24" s="16">
        <f t="shared" si="2"/>
        <v>0</v>
      </c>
      <c r="L24" s="17">
        <f t="shared" si="3"/>
        <v>0</v>
      </c>
      <c r="M24" s="18">
        <f t="shared" si="4"/>
        <v>0</v>
      </c>
      <c r="N24" s="17">
        <f>$N$42/$K$40*K24</f>
        <v>0</v>
      </c>
      <c r="O24" s="17">
        <f>$O$42/$K$40*K24</f>
        <v>0</v>
      </c>
      <c r="P24" s="17">
        <f>$P$42/$K$40*K24</f>
        <v>0</v>
      </c>
      <c r="Q24" s="17">
        <v>0</v>
      </c>
      <c r="R24" s="19">
        <v>0</v>
      </c>
      <c r="S24" s="20">
        <f t="shared" si="14"/>
        <v>0</v>
      </c>
      <c r="T24" s="20">
        <f t="shared" si="15"/>
        <v>0</v>
      </c>
    </row>
    <row r="25" spans="2:20" ht="15.6" x14ac:dyDescent="0.3">
      <c r="B25" s="2"/>
      <c r="C25" s="2" t="s">
        <v>44</v>
      </c>
      <c r="D25" s="3" t="s">
        <v>45</v>
      </c>
      <c r="E25" s="40">
        <v>0</v>
      </c>
      <c r="G25" s="23">
        <v>10005779</v>
      </c>
      <c r="H25" s="28">
        <f t="shared" si="13"/>
        <v>1.793326</v>
      </c>
      <c r="I25" s="14">
        <v>0.65</v>
      </c>
      <c r="J25" s="15">
        <f t="shared" si="1"/>
        <v>-0.10965909090909082</v>
      </c>
      <c r="K25" s="16">
        <f t="shared" si="2"/>
        <v>0</v>
      </c>
      <c r="L25" s="17">
        <f t="shared" si="3"/>
        <v>0</v>
      </c>
      <c r="M25" s="18">
        <f t="shared" si="4"/>
        <v>0</v>
      </c>
      <c r="N25" s="17">
        <f>$N$42/$K$40*K25</f>
        <v>0</v>
      </c>
      <c r="O25" s="17">
        <f>$O$42/$K$40*K25</f>
        <v>0</v>
      </c>
      <c r="P25" s="17">
        <f>$P$42/$K$40*K25</f>
        <v>0</v>
      </c>
      <c r="Q25" s="17">
        <v>0</v>
      </c>
      <c r="R25" s="19">
        <v>0</v>
      </c>
      <c r="S25" s="20">
        <f t="shared" si="14"/>
        <v>0</v>
      </c>
      <c r="T25" s="20">
        <f t="shared" si="15"/>
        <v>0</v>
      </c>
    </row>
    <row r="26" spans="2:20" ht="15.6" x14ac:dyDescent="0.3">
      <c r="B26" s="2"/>
      <c r="C26" s="2" t="s">
        <v>46</v>
      </c>
      <c r="D26" s="3" t="s">
        <v>47</v>
      </c>
      <c r="E26" s="40">
        <v>40</v>
      </c>
      <c r="G26" s="24">
        <v>10007162</v>
      </c>
      <c r="H26" s="28">
        <f t="shared" ref="H26:H32" si="16">1783.985/1000</f>
        <v>1.7839849999999999</v>
      </c>
      <c r="I26" s="15">
        <v>0.68</v>
      </c>
      <c r="J26" s="15">
        <f t="shared" si="1"/>
        <v>-0.10965909090909082</v>
      </c>
      <c r="K26" s="16">
        <f t="shared" si="2"/>
        <v>0.04</v>
      </c>
      <c r="L26" s="17">
        <f t="shared" si="3"/>
        <v>71.359400000000008</v>
      </c>
      <c r="M26" s="18">
        <f t="shared" si="4"/>
        <v>8.313600000000001</v>
      </c>
      <c r="N26" s="17">
        <f>$N$42/$K$40*K26</f>
        <v>2.6706589980822883</v>
      </c>
      <c r="O26" s="17">
        <f>$O$42/$K$40*K26</f>
        <v>5.2500630882394193</v>
      </c>
      <c r="P26" s="17">
        <f>$P$42/$K$40*K26</f>
        <v>4.1968539997943806</v>
      </c>
      <c r="Q26" s="17">
        <v>0</v>
      </c>
      <c r="R26" s="19">
        <v>0</v>
      </c>
      <c r="S26" s="20">
        <f t="shared" si="14"/>
        <v>87.593722086321705</v>
      </c>
      <c r="T26" s="20">
        <f t="shared" si="15"/>
        <v>2189.8430521580426</v>
      </c>
    </row>
    <row r="27" spans="2:20" ht="15.6" x14ac:dyDescent="0.3">
      <c r="B27" s="2"/>
      <c r="C27" s="2" t="s">
        <v>48</v>
      </c>
      <c r="D27" s="3" t="s">
        <v>49</v>
      </c>
      <c r="E27" s="40">
        <v>120</v>
      </c>
      <c r="G27" s="24">
        <v>10007162</v>
      </c>
      <c r="H27" s="28">
        <f t="shared" si="16"/>
        <v>1.7839849999999999</v>
      </c>
      <c r="I27" s="15">
        <v>0.68</v>
      </c>
      <c r="J27" s="15">
        <f t="shared" si="1"/>
        <v>-0.10965909090909082</v>
      </c>
      <c r="K27" s="16">
        <f t="shared" si="2"/>
        <v>0.12</v>
      </c>
      <c r="L27" s="17">
        <f t="shared" si="3"/>
        <v>214.07820000000001</v>
      </c>
      <c r="M27" s="18">
        <f t="shared" si="4"/>
        <v>24.940799999999999</v>
      </c>
      <c r="N27" s="17">
        <f>$N$42/$K$40*K27</f>
        <v>8.011976994246865</v>
      </c>
      <c r="O27" s="17">
        <f>$O$42/$K$40*K27</f>
        <v>15.750189264718257</v>
      </c>
      <c r="P27" s="17">
        <f>$P$42/$K$40*K27</f>
        <v>12.590561999383141</v>
      </c>
      <c r="Q27" s="17">
        <v>0</v>
      </c>
      <c r="R27" s="19">
        <v>0</v>
      </c>
      <c r="S27" s="20">
        <f t="shared" si="14"/>
        <v>262.78116625896513</v>
      </c>
      <c r="T27" s="20">
        <f t="shared" si="15"/>
        <v>2189.8430521580426</v>
      </c>
    </row>
    <row r="28" spans="2:20" ht="15.6" x14ac:dyDescent="0.3">
      <c r="B28" s="2"/>
      <c r="C28" s="2" t="s">
        <v>50</v>
      </c>
      <c r="D28" s="3" t="s">
        <v>51</v>
      </c>
      <c r="E28" s="40">
        <v>3800</v>
      </c>
      <c r="G28" s="24">
        <v>10007162</v>
      </c>
      <c r="H28" s="28">
        <f t="shared" si="16"/>
        <v>1.7839849999999999</v>
      </c>
      <c r="I28" s="15">
        <v>0.68</v>
      </c>
      <c r="J28" s="15">
        <f t="shared" si="1"/>
        <v>-0.10965909090909082</v>
      </c>
      <c r="K28" s="16">
        <f t="shared" si="2"/>
        <v>3.8</v>
      </c>
      <c r="L28" s="17">
        <f t="shared" si="3"/>
        <v>6779.1429999999991</v>
      </c>
      <c r="M28" s="18">
        <f t="shared" si="4"/>
        <v>789.79200000000003</v>
      </c>
      <c r="N28" s="17">
        <f>$N$42/$K$40*K28</f>
        <v>253.71260481781738</v>
      </c>
      <c r="O28" s="17">
        <f>$O$42/$K$40*K28</f>
        <v>498.7559933827448</v>
      </c>
      <c r="P28" s="17">
        <f>$P$42/$K$40*K28</f>
        <v>398.70112998046613</v>
      </c>
      <c r="Q28" s="17">
        <v>0</v>
      </c>
      <c r="R28" s="19">
        <v>0</v>
      </c>
      <c r="S28" s="20">
        <f t="shared" si="14"/>
        <v>8321.4035982005607</v>
      </c>
      <c r="T28" s="20">
        <f t="shared" si="15"/>
        <v>2189.8430521580426</v>
      </c>
    </row>
    <row r="29" spans="2:20" ht="15.6" x14ac:dyDescent="0.3">
      <c r="B29" s="2"/>
      <c r="C29" s="2" t="s">
        <v>52</v>
      </c>
      <c r="D29" s="3" t="s">
        <v>53</v>
      </c>
      <c r="E29" s="40">
        <v>172700</v>
      </c>
      <c r="G29" s="24">
        <v>10007162</v>
      </c>
      <c r="H29" s="28">
        <f t="shared" si="16"/>
        <v>1.7839849999999999</v>
      </c>
      <c r="I29" s="15">
        <v>0.68</v>
      </c>
      <c r="J29" s="15">
        <f t="shared" si="1"/>
        <v>-0.10965909090909082</v>
      </c>
      <c r="K29" s="16">
        <f t="shared" si="2"/>
        <v>172.7</v>
      </c>
      <c r="L29" s="17">
        <f t="shared" si="3"/>
        <v>308094.2095</v>
      </c>
      <c r="M29" s="18">
        <f t="shared" si="4"/>
        <v>35893.968000000001</v>
      </c>
      <c r="N29" s="17">
        <f>$N$42/$K$40*K29</f>
        <v>11530.570224220279</v>
      </c>
      <c r="O29" s="17">
        <f>$O$42/$K$40*K29</f>
        <v>22667.14738347369</v>
      </c>
      <c r="P29" s="17">
        <f>$P$42/$K$40*K29</f>
        <v>18119.917144112238</v>
      </c>
      <c r="Q29" s="17">
        <v>0</v>
      </c>
      <c r="R29" s="19">
        <v>0</v>
      </c>
      <c r="S29" s="20">
        <f t="shared" si="14"/>
        <v>378185.89510769397</v>
      </c>
      <c r="T29" s="20">
        <f t="shared" si="15"/>
        <v>2189.8430521580426</v>
      </c>
    </row>
    <row r="30" spans="2:20" ht="15.6" x14ac:dyDescent="0.3">
      <c r="B30" s="2"/>
      <c r="C30" s="2" t="s">
        <v>54</v>
      </c>
      <c r="D30" s="3" t="s">
        <v>55</v>
      </c>
      <c r="E30" s="40">
        <v>37180</v>
      </c>
      <c r="G30" s="24">
        <v>10007162</v>
      </c>
      <c r="H30" s="28">
        <f t="shared" si="16"/>
        <v>1.7839849999999999</v>
      </c>
      <c r="I30" s="15">
        <v>0.68</v>
      </c>
      <c r="J30" s="15">
        <f t="shared" si="1"/>
        <v>-0.10965909090909082</v>
      </c>
      <c r="K30" s="16">
        <f t="shared" si="2"/>
        <v>37.18</v>
      </c>
      <c r="L30" s="17">
        <f t="shared" si="3"/>
        <v>66328.562300000005</v>
      </c>
      <c r="M30" s="18">
        <f t="shared" si="4"/>
        <v>7727.4912000000004</v>
      </c>
      <c r="N30" s="17">
        <f>$N$42/$K$40*K30</f>
        <v>2482.3775387174869</v>
      </c>
      <c r="O30" s="17">
        <f>$O$42/$K$40*K30</f>
        <v>4879.9336405185404</v>
      </c>
      <c r="P30" s="17">
        <f>$P$42/$K$40*K30</f>
        <v>3900.9757928088766</v>
      </c>
      <c r="Q30" s="17">
        <v>0</v>
      </c>
      <c r="R30" s="19">
        <v>0</v>
      </c>
      <c r="S30" s="20">
        <f t="shared" si="14"/>
        <v>81418.364679236038</v>
      </c>
      <c r="T30" s="20">
        <f t="shared" si="15"/>
        <v>2189.8430521580431</v>
      </c>
    </row>
    <row r="31" spans="2:20" ht="15.6" x14ac:dyDescent="0.3">
      <c r="B31" s="2"/>
      <c r="C31" s="2" t="s">
        <v>56</v>
      </c>
      <c r="D31" s="3" t="s">
        <v>57</v>
      </c>
      <c r="E31" s="40">
        <v>12840</v>
      </c>
      <c r="G31" s="24">
        <v>10007162</v>
      </c>
      <c r="H31" s="28">
        <f t="shared" si="16"/>
        <v>1.7839849999999999</v>
      </c>
      <c r="I31" s="15">
        <v>0.68</v>
      </c>
      <c r="J31" s="15">
        <f t="shared" si="1"/>
        <v>-0.10965909090909082</v>
      </c>
      <c r="K31" s="16">
        <f t="shared" si="2"/>
        <v>12.84</v>
      </c>
      <c r="L31" s="17">
        <f t="shared" si="3"/>
        <v>22906.367399999999</v>
      </c>
      <c r="M31" s="18">
        <f t="shared" si="4"/>
        <v>2668.6655999999998</v>
      </c>
      <c r="N31" s="17">
        <f>$N$42/$K$40*K31</f>
        <v>857.2815383844146</v>
      </c>
      <c r="O31" s="17">
        <f>$O$42/$K$40*K31</f>
        <v>1685.2702513248537</v>
      </c>
      <c r="P31" s="17">
        <f>$P$42/$K$40*K31</f>
        <v>1347.1901339339961</v>
      </c>
      <c r="Q31" s="17">
        <v>0</v>
      </c>
      <c r="R31" s="19">
        <v>0</v>
      </c>
      <c r="S31" s="20">
        <f t="shared" si="14"/>
        <v>28117.584789709268</v>
      </c>
      <c r="T31" s="20">
        <f t="shared" si="15"/>
        <v>2189.8430521580426</v>
      </c>
    </row>
    <row r="32" spans="2:20" ht="15.6" x14ac:dyDescent="0.3">
      <c r="B32" s="2"/>
      <c r="C32" s="2" t="s">
        <v>58</v>
      </c>
      <c r="D32" s="3" t="s">
        <v>59</v>
      </c>
      <c r="E32" s="40">
        <v>1960</v>
      </c>
      <c r="G32" s="24">
        <v>10007162</v>
      </c>
      <c r="H32" s="28">
        <f t="shared" si="16"/>
        <v>1.7839849999999999</v>
      </c>
      <c r="I32" s="15">
        <v>0.68</v>
      </c>
      <c r="J32" s="15">
        <f t="shared" si="1"/>
        <v>-0.10965909090909082</v>
      </c>
      <c r="K32" s="16">
        <f t="shared" si="2"/>
        <v>1.96</v>
      </c>
      <c r="L32" s="17">
        <f t="shared" si="3"/>
        <v>3496.6106</v>
      </c>
      <c r="M32" s="18">
        <f t="shared" si="4"/>
        <v>407.3664</v>
      </c>
      <c r="N32" s="17">
        <f>$N$42/$K$40*K32</f>
        <v>130.86229090603211</v>
      </c>
      <c r="O32" s="17">
        <f>$O$42/$K$40*K32</f>
        <v>257.25309132373155</v>
      </c>
      <c r="P32" s="17">
        <f>$P$42/$K$40*K32</f>
        <v>205.64584598992465</v>
      </c>
      <c r="Q32" s="17">
        <v>0</v>
      </c>
      <c r="R32" s="19">
        <v>0</v>
      </c>
      <c r="S32" s="20">
        <f t="shared" si="14"/>
        <v>4292.0923822297636</v>
      </c>
      <c r="T32" s="20">
        <f t="shared" si="15"/>
        <v>2189.8430521580426</v>
      </c>
    </row>
    <row r="33" spans="2:20" ht="15.6" x14ac:dyDescent="0.3">
      <c r="B33" s="6"/>
      <c r="C33" s="6" t="s">
        <v>60</v>
      </c>
      <c r="D33" s="5" t="s">
        <v>61</v>
      </c>
      <c r="E33" s="40">
        <v>31120</v>
      </c>
      <c r="G33" s="24">
        <v>10007567</v>
      </c>
      <c r="H33" s="28">
        <f>1712.173/1000</f>
        <v>1.7121729999999999</v>
      </c>
      <c r="I33" s="14">
        <v>0.68</v>
      </c>
      <c r="J33" s="15">
        <f t="shared" si="1"/>
        <v>-0.10965909090909082</v>
      </c>
      <c r="K33" s="16">
        <f t="shared" si="2"/>
        <v>31.12</v>
      </c>
      <c r="L33" s="17">
        <f t="shared" si="3"/>
        <v>53282.823759999999</v>
      </c>
      <c r="M33" s="18">
        <f t="shared" si="4"/>
        <v>6467.9808000000003</v>
      </c>
      <c r="N33" s="17">
        <f>$N$42/$K$40*K33</f>
        <v>2077.7727005080205</v>
      </c>
      <c r="O33" s="17">
        <f>$O$42/$K$40*K33</f>
        <v>4084.5490826502682</v>
      </c>
      <c r="P33" s="17">
        <f>$P$42/$K$40*K33</f>
        <v>3265.152411840028</v>
      </c>
      <c r="Q33" s="17">
        <v>0</v>
      </c>
      <c r="R33" s="19">
        <v>0</v>
      </c>
      <c r="S33" s="20">
        <f t="shared" si="5"/>
        <v>65913.126343158292</v>
      </c>
      <c r="T33" s="20">
        <f t="shared" si="6"/>
        <v>2118.0310521580427</v>
      </c>
    </row>
    <row r="34" spans="2:20" ht="15.6" x14ac:dyDescent="0.3">
      <c r="B34" s="6"/>
      <c r="C34" s="6" t="s">
        <v>62</v>
      </c>
      <c r="D34" s="5" t="s">
        <v>61</v>
      </c>
      <c r="E34" s="40">
        <v>4540</v>
      </c>
      <c r="G34" s="24">
        <v>10007567</v>
      </c>
      <c r="H34" s="28">
        <f>1712.173/1000</f>
        <v>1.7121729999999999</v>
      </c>
      <c r="I34" s="14">
        <v>0.68</v>
      </c>
      <c r="J34" s="15">
        <f t="shared" si="1"/>
        <v>-0.10965909090909082</v>
      </c>
      <c r="K34" s="16">
        <f t="shared" si="2"/>
        <v>4.54</v>
      </c>
      <c r="L34" s="17">
        <f t="shared" si="3"/>
        <v>7773.2654199999997</v>
      </c>
      <c r="M34" s="18">
        <f t="shared" si="4"/>
        <v>943.59360000000004</v>
      </c>
      <c r="N34" s="17">
        <f>$N$42/$K$40*K34</f>
        <v>303.11979628233973</v>
      </c>
      <c r="O34" s="17">
        <f>$O$42/$K$40*K34</f>
        <v>595.88216051517406</v>
      </c>
      <c r="P34" s="17">
        <f>$P$42/$K$40*K34</f>
        <v>476.34292897666217</v>
      </c>
      <c r="Q34" s="17">
        <v>0</v>
      </c>
      <c r="R34" s="19">
        <v>0</v>
      </c>
      <c r="S34" s="20">
        <f t="shared" ref="S34" si="17">L34+M34+N34+O34</f>
        <v>9615.8609767975122</v>
      </c>
      <c r="T34" s="20">
        <f t="shared" ref="T34" si="18">IFERROR(S34/K34,0)</f>
        <v>2118.0310521580423</v>
      </c>
    </row>
    <row r="35" spans="2:20" ht="15.6" x14ac:dyDescent="0.3">
      <c r="B35" s="2"/>
      <c r="C35" s="2" t="s">
        <v>63</v>
      </c>
      <c r="D35" s="3" t="s">
        <v>64</v>
      </c>
      <c r="E35" s="40">
        <v>21280</v>
      </c>
      <c r="G35" s="25">
        <v>10009386</v>
      </c>
      <c r="H35" s="28">
        <f>3230.80440900563/1000</f>
        <v>3.2308044090056303</v>
      </c>
      <c r="I35" s="15">
        <v>0.68</v>
      </c>
      <c r="J35" s="15">
        <f t="shared" si="1"/>
        <v>-0.10965909090909082</v>
      </c>
      <c r="K35" s="16">
        <f t="shared" si="2"/>
        <v>21.28</v>
      </c>
      <c r="L35" s="17">
        <f t="shared" si="3"/>
        <v>68751.517823639821</v>
      </c>
      <c r="M35" s="18">
        <f t="shared" si="4"/>
        <v>4422.8352000000004</v>
      </c>
      <c r="N35" s="17">
        <f>$N$42/$K$40*K35</f>
        <v>1420.7905869797776</v>
      </c>
      <c r="O35" s="17">
        <f>$O$42/$K$40*K35</f>
        <v>2793.0335629433712</v>
      </c>
      <c r="P35" s="17">
        <f>$P$42/$K$40*K35</f>
        <v>2232.7263278906107</v>
      </c>
      <c r="Q35" s="17">
        <v>0</v>
      </c>
      <c r="R35" s="19">
        <v>0</v>
      </c>
      <c r="S35" s="20">
        <f>L35+M35+N35+O35</f>
        <v>77388.177173562974</v>
      </c>
      <c r="T35" s="20">
        <f>IFERROR(S35/K35,0)</f>
        <v>3636.6624611636735</v>
      </c>
    </row>
    <row r="36" spans="2:20" ht="15.6" x14ac:dyDescent="0.3">
      <c r="B36" s="2"/>
      <c r="C36" s="2" t="s">
        <v>65</v>
      </c>
      <c r="D36" s="3" t="s">
        <v>66</v>
      </c>
      <c r="E36" s="40">
        <v>49120</v>
      </c>
      <c r="G36" s="26">
        <v>10007050</v>
      </c>
      <c r="H36" s="28">
        <f>2246.62/1000</f>
        <v>2.2466200000000001</v>
      </c>
      <c r="I36" s="14">
        <v>0.68</v>
      </c>
      <c r="J36" s="15">
        <f t="shared" si="1"/>
        <v>-0.10965909090909082</v>
      </c>
      <c r="K36" s="16">
        <f t="shared" si="2"/>
        <v>49.12</v>
      </c>
      <c r="L36" s="17">
        <f t="shared" si="3"/>
        <v>110353.97439999999</v>
      </c>
      <c r="M36" s="18">
        <f t="shared" si="4"/>
        <v>10209.1008</v>
      </c>
      <c r="N36" s="17">
        <f>$N$42/$K$40*K36</f>
        <v>3279.5692496450497</v>
      </c>
      <c r="O36" s="17">
        <f>$O$42/$K$40*K36</f>
        <v>6447.0774723580071</v>
      </c>
      <c r="P36" s="17">
        <f>$P$42/$K$40*K36</f>
        <v>5153.7367117474987</v>
      </c>
      <c r="Q36" s="17">
        <v>0</v>
      </c>
      <c r="R36" s="19">
        <v>0</v>
      </c>
      <c r="S36" s="20">
        <f>L36+M36+N36+O36</f>
        <v>130289.72192200305</v>
      </c>
      <c r="T36" s="20">
        <f>IFERROR(S36/K36,0)</f>
        <v>2652.4780521580428</v>
      </c>
    </row>
    <row r="37" spans="2:20" ht="15.6" x14ac:dyDescent="0.3">
      <c r="B37" s="2"/>
      <c r="C37" s="2" t="s">
        <v>67</v>
      </c>
      <c r="D37" s="3" t="s">
        <v>68</v>
      </c>
      <c r="E37" s="40">
        <v>30990</v>
      </c>
      <c r="G37" s="26">
        <v>10007050</v>
      </c>
      <c r="H37" s="28">
        <f>2246.62/1000</f>
        <v>2.2466200000000001</v>
      </c>
      <c r="I37" s="14">
        <v>0.68</v>
      </c>
      <c r="J37" s="15">
        <f t="shared" si="1"/>
        <v>-0.10965909090909082</v>
      </c>
      <c r="K37" s="16">
        <f t="shared" si="2"/>
        <v>30.99</v>
      </c>
      <c r="L37" s="17">
        <f t="shared" si="3"/>
        <v>69622.753799999991</v>
      </c>
      <c r="M37" s="18">
        <f t="shared" si="4"/>
        <v>6440.9615999999996</v>
      </c>
      <c r="N37" s="17">
        <f>$N$42/$K$40*K37</f>
        <v>2069.0930587642529</v>
      </c>
      <c r="O37" s="17">
        <f>$O$42/$K$40*K37</f>
        <v>4067.4863776134898</v>
      </c>
      <c r="P37" s="17">
        <f>$P$42/$K$40*K37</f>
        <v>3251.5126363406962</v>
      </c>
      <c r="Q37" s="17">
        <v>0</v>
      </c>
      <c r="R37" s="19">
        <v>0</v>
      </c>
      <c r="S37" s="20">
        <f>L37+M37+N37+O37</f>
        <v>82200.294836377725</v>
      </c>
      <c r="T37" s="20">
        <f>IFERROR(S37/K37,0)</f>
        <v>2652.4780521580424</v>
      </c>
    </row>
    <row r="38" spans="2:20" ht="15.6" x14ac:dyDescent="0.3">
      <c r="B38" s="2"/>
      <c r="C38" s="2" t="s">
        <v>69</v>
      </c>
      <c r="D38" s="3" t="s">
        <v>70</v>
      </c>
      <c r="E38" s="40">
        <v>44225</v>
      </c>
      <c r="G38" s="26">
        <v>10007050</v>
      </c>
      <c r="H38" s="28">
        <f>2246.62/1000</f>
        <v>2.2466200000000001</v>
      </c>
      <c r="I38" s="14">
        <v>0.68</v>
      </c>
      <c r="J38" s="15">
        <f t="shared" si="1"/>
        <v>-0.10965909090909082</v>
      </c>
      <c r="K38" s="16">
        <f t="shared" si="2"/>
        <v>44.225000000000001</v>
      </c>
      <c r="L38" s="17">
        <f t="shared" si="3"/>
        <v>99356.769500000009</v>
      </c>
      <c r="M38" s="18">
        <f t="shared" si="4"/>
        <v>9191.7240000000002</v>
      </c>
      <c r="N38" s="17">
        <f>$N$42/$K$40*K38</f>
        <v>2952.7473547547302</v>
      </c>
      <c r="O38" s="17">
        <f>$O$42/$K$40*K38</f>
        <v>5804.6010019347086</v>
      </c>
      <c r="P38" s="17">
        <f>$P$42/$K$40*K38</f>
        <v>4640.1467035226624</v>
      </c>
      <c r="Q38" s="17">
        <v>0</v>
      </c>
      <c r="R38" s="19">
        <v>0</v>
      </c>
      <c r="S38" s="20">
        <f>L38+M38+N38+O38</f>
        <v>117305.84185668945</v>
      </c>
      <c r="T38" s="20">
        <f>IFERROR(S38/K38,0)</f>
        <v>2652.4780521580428</v>
      </c>
    </row>
    <row r="39" spans="2:20" ht="16.2" thickBot="1" x14ac:dyDescent="0.35">
      <c r="B39" s="2"/>
      <c r="C39" s="2" t="s">
        <v>71</v>
      </c>
      <c r="D39" s="3" t="s">
        <v>72</v>
      </c>
      <c r="E39" s="40">
        <v>30940</v>
      </c>
      <c r="G39" s="21">
        <v>10009207</v>
      </c>
      <c r="H39" s="28">
        <f>1408.57659987072/1000</f>
        <v>1.40857659987072</v>
      </c>
      <c r="I39" s="15">
        <v>0.71</v>
      </c>
      <c r="J39" s="15">
        <f t="shared" si="1"/>
        <v>-0.10965909090909082</v>
      </c>
      <c r="K39" s="16">
        <f t="shared" si="2"/>
        <v>30.94</v>
      </c>
      <c r="L39" s="17">
        <f t="shared" si="3"/>
        <v>43581.360000000081</v>
      </c>
      <c r="M39" s="18">
        <f t="shared" si="4"/>
        <v>6430.5696000000007</v>
      </c>
      <c r="N39" s="17">
        <f>$N$42/$K$40*K39</f>
        <v>2065.7547350166501</v>
      </c>
      <c r="O39" s="17">
        <f>$O$42/$K$40*K39</f>
        <v>4060.923798753191</v>
      </c>
      <c r="P39" s="17">
        <f>$P$42/$K$40*K39</f>
        <v>3246.2665688409534</v>
      </c>
      <c r="Q39" s="17">
        <v>0</v>
      </c>
      <c r="R39" s="19">
        <v>0</v>
      </c>
      <c r="S39" s="20">
        <f t="shared" ref="S39" si="19">L39+M39+N39+O39</f>
        <v>56138.608133769922</v>
      </c>
      <c r="T39" s="20">
        <f t="shared" ref="T39" si="20">IFERROR(S39/K39,0)</f>
        <v>1814.4346520287627</v>
      </c>
    </row>
    <row r="40" spans="2:20" ht="15.6" thickTop="1" thickBot="1" x14ac:dyDescent="0.35">
      <c r="B40" s="4"/>
      <c r="C40" s="4"/>
      <c r="D40" s="4"/>
      <c r="E40" s="41">
        <f>SUM(E3:E39)</f>
        <v>1176923</v>
      </c>
      <c r="K40" s="29">
        <f>SUM(K3:K39)</f>
        <v>1176.9229999999998</v>
      </c>
      <c r="L40" s="30">
        <f>SUM(L3:L39)</f>
        <v>2440416.7544676405</v>
      </c>
      <c r="M40" s="30">
        <f>SUM(M3:M39)</f>
        <v>244611.67631999994</v>
      </c>
      <c r="N40" s="30">
        <f>SUM(N3:N39)</f>
        <v>78579.000000000044</v>
      </c>
      <c r="O40" s="30">
        <f>SUM(O3:O39)</f>
        <v>154473.00000000003</v>
      </c>
      <c r="P40" s="30">
        <f t="shared" ref="P40:S40" si="21">SUM(P3:P39)</f>
        <v>123484.35000000008</v>
      </c>
      <c r="Q40" s="30">
        <f t="shared" si="21"/>
        <v>0</v>
      </c>
      <c r="R40" s="31">
        <f t="shared" si="21"/>
        <v>0</v>
      </c>
      <c r="S40" s="32">
        <f t="shared" si="21"/>
        <v>2918080.4307876402</v>
      </c>
      <c r="T40" s="32">
        <f>IFERROR(S40/K40,0)</f>
        <v>2479.4149071669435</v>
      </c>
    </row>
    <row r="41" spans="2:20" ht="15.6" thickTop="1" thickBot="1" x14ac:dyDescent="0.35"/>
    <row r="42" spans="2:20" ht="16.2" thickBot="1" x14ac:dyDescent="0.35">
      <c r="K42" s="33"/>
      <c r="M42" t="s">
        <v>88</v>
      </c>
      <c r="N42" s="30">
        <v>78579.000000000015</v>
      </c>
      <c r="O42" s="30">
        <v>154473.00000000003</v>
      </c>
      <c r="P42" s="30">
        <v>123484.35000000002</v>
      </c>
    </row>
    <row r="43" spans="2:20" x14ac:dyDescent="0.3">
      <c r="G43" t="s">
        <v>89</v>
      </c>
      <c r="H43" s="34">
        <v>3.52</v>
      </c>
      <c r="I43" s="35" t="s">
        <v>90</v>
      </c>
      <c r="J43" s="36" t="s">
        <v>91</v>
      </c>
    </row>
    <row r="44" spans="2:20" x14ac:dyDescent="0.3">
      <c r="G44" t="s">
        <v>92</v>
      </c>
      <c r="H44" s="37">
        <v>3.3010000000000002</v>
      </c>
      <c r="I44" s="38">
        <v>3644</v>
      </c>
      <c r="J44" s="39">
        <v>0.75</v>
      </c>
    </row>
    <row r="45" spans="2:20" x14ac:dyDescent="0.3">
      <c r="G45" t="s">
        <v>93</v>
      </c>
      <c r="H45" s="37">
        <v>2.633</v>
      </c>
      <c r="I45" s="38">
        <f>3218</f>
        <v>3218</v>
      </c>
      <c r="J45" s="39">
        <f>1-J44</f>
        <v>0.25</v>
      </c>
    </row>
    <row r="46" spans="2:20" x14ac:dyDescent="0.3">
      <c r="G46" t="s">
        <v>94</v>
      </c>
      <c r="H46" s="37">
        <f>H44*J44+H45*J45</f>
        <v>3.1340000000000003</v>
      </c>
      <c r="I46" s="38">
        <f>I44+I45</f>
        <v>6862</v>
      </c>
    </row>
    <row r="47" spans="2:20" x14ac:dyDescent="0.3">
      <c r="G47" t="s">
        <v>95</v>
      </c>
      <c r="H47" s="39">
        <f>(H46-H43)/H43</f>
        <v>-0.10965909090909082</v>
      </c>
    </row>
    <row r="50" spans="7:20" ht="15.6" x14ac:dyDescent="0.3">
      <c r="G50" s="26"/>
      <c r="H50" s="13"/>
      <c r="I50" s="14"/>
      <c r="J50" s="15"/>
      <c r="K50" s="16"/>
      <c r="L50" s="17"/>
      <c r="M50" s="18"/>
      <c r="N50" s="17"/>
      <c r="O50" s="17"/>
      <c r="P50" s="17"/>
      <c r="Q50" s="17"/>
      <c r="R50" s="19"/>
      <c r="S50" s="20"/>
      <c r="T50" s="20"/>
    </row>
    <row r="51" spans="7:20" ht="15.6" x14ac:dyDescent="0.3">
      <c r="G51" s="26"/>
      <c r="H51" s="13"/>
      <c r="I51" s="14"/>
      <c r="J51" s="15"/>
      <c r="K51" s="16"/>
      <c r="L51" s="17"/>
      <c r="M51" s="18"/>
      <c r="N51" s="17"/>
      <c r="O51" s="17"/>
      <c r="P51" s="17"/>
      <c r="Q51" s="17"/>
      <c r="R51" s="19"/>
      <c r="S51" s="20"/>
      <c r="T51" s="20"/>
    </row>
    <row r="52" spans="7:20" ht="15.6" x14ac:dyDescent="0.3">
      <c r="G52" s="22"/>
      <c r="H52" s="28"/>
      <c r="I52" s="14"/>
      <c r="J52" s="15"/>
      <c r="K52" s="16"/>
      <c r="L52" s="17"/>
      <c r="M52" s="18"/>
      <c r="N52" s="17"/>
      <c r="O52" s="17"/>
      <c r="P52" s="17"/>
      <c r="Q52" s="17"/>
      <c r="R52" s="19"/>
      <c r="S52" s="20"/>
      <c r="T52" s="20"/>
    </row>
    <row r="53" spans="7:20" ht="15.6" x14ac:dyDescent="0.3">
      <c r="G53" s="12"/>
      <c r="H53" s="28"/>
      <c r="I53" s="14"/>
      <c r="J53" s="15"/>
      <c r="K53" s="16"/>
      <c r="L53" s="17"/>
      <c r="M53" s="18"/>
      <c r="N53" s="17"/>
      <c r="O53" s="17"/>
      <c r="P53" s="17"/>
      <c r="Q53" s="17"/>
      <c r="R53" s="19"/>
      <c r="S53" s="20"/>
      <c r="T53" s="20"/>
    </row>
  </sheetData>
  <conditionalFormatting sqref="B3:B39">
    <cfRule type="duplicateValues" dxfId="1" priority="3"/>
  </conditionalFormatting>
  <conditionalFormatting sqref="C3:C3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AL 31-8-2026</vt:lpstr>
      <vt:lpstr>TD</vt:lpstr>
      <vt:lpstr>STOCK 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Produccionpf</dc:creator>
  <cp:lastModifiedBy>Rodrigo Sebastian Martinez Montalvo (PFRO)</cp:lastModifiedBy>
  <dcterms:created xsi:type="dcterms:W3CDTF">2026-08-31T19:56:03Z</dcterms:created>
  <dcterms:modified xsi:type="dcterms:W3CDTF">2026-08-31T22:15:20Z</dcterms:modified>
</cp:coreProperties>
</file>