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MEN AL 24-8-2026" sheetId="1" state="visible" r:id="rId3"/>
    <sheet name="TD" sheetId="2" state="visible" r:id="rId4"/>
    <sheet name="Stock Libre" sheetId="3" state="visible" r:id="rId5"/>
  </sheets>
  <externalReferences>
    <externalReference r:id="rId6"/>
    <externalReference r:id="rId7"/>
    <externalReference r:id="rId8"/>
  </externalReferences>
  <calcPr iterateCount="100" refMode="A1" iterate="tru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tc={85AEDC41-5D01-45D0-B7CB-E11422789551}</author>
    <author>tc={B8D30928-EBEA-4978-B856-72D99E354EA3}</author>
    <author>tc={C3D571A2-EA0D-4343-AEAB-3C4D64EB033A}</author>
  </authors>
  <commentList>
    <comment ref="Q25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1500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12</xdr:colOff>
                <xdr:row>23</xdr:row>
                <xdr:rowOff>34</xdr:rowOff>
              </xdr:from>
              <xdr:to>
                <xdr:col>18</xdr:col>
                <xdr:colOff>20</xdr:colOff>
                <xdr:row>27</xdr:row>
                <xdr:rowOff>14</xdr:rowOff>
              </xdr:to>
            </anchor>
          </commentPr>
        </mc:Choice>
        <mc:Fallback/>
      </mc:AlternateContent>
    </comment>
    <comment ref="Q27" authorId="1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2275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12</xdr:colOff>
                <xdr:row>25</xdr:row>
                <xdr:rowOff>11</xdr:rowOff>
              </xdr:from>
              <xdr:to>
                <xdr:col>18</xdr:col>
                <xdr:colOff>20</xdr:colOff>
                <xdr:row>29</xdr:row>
                <xdr:rowOff>14</xdr:rowOff>
              </xdr:to>
            </anchor>
          </commentPr>
        </mc:Choice>
        <mc:Fallback/>
      </mc:AlternateContent>
    </comment>
    <comment ref="Q28" authorId="2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3400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12</xdr:colOff>
                <xdr:row>26</xdr:row>
                <xdr:rowOff>11</xdr:rowOff>
              </xdr:from>
              <xdr:to>
                <xdr:col>18</xdr:col>
                <xdr:colOff>20</xdr:colOff>
                <xdr:row>30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<sst xmlns="http://schemas.openxmlformats.org/spreadsheetml/2006/main" count="227" uniqueCount="124">
  <si>
    <t xml:space="preserve">PERU FROST</t>
  </si>
  <si>
    <t xml:space="preserve">AVANCE COMERCIAL AL 24-8-2026</t>
  </si>
  <si>
    <t xml:space="preserve">RENTABILIDAD DEL INVENTARIO</t>
  </si>
  <si>
    <t xml:space="preserve">TOTAL PROYECTADO AGOSTO 2026</t>
  </si>
  <si>
    <t xml:space="preserve">UNITARIOS POR TM</t>
  </si>
  <si>
    <t xml:space="preserve">Código</t>
  </si>
  <si>
    <t xml:space="preserve">Producto</t>
  </si>
  <si>
    <t xml:space="preserve">TM en 
Stock Libre</t>
  </si>
  <si>
    <t xml:space="preserve">CU</t>
  </si>
  <si>
    <t xml:space="preserve">Costo Ventas</t>
  </si>
  <si>
    <t xml:space="preserve">Gasto Ventas</t>
  </si>
  <si>
    <t xml:space="preserve">Gasto ADM</t>
  </si>
  <si>
    <t xml:space="preserve">Gasto Fin</t>
  </si>
  <si>
    <t xml:space="preserve">Depreciación</t>
  </si>
  <si>
    <t xml:space="preserve">Utilidad Neta</t>
  </si>
  <si>
    <t xml:space="preserve">Margen Neto</t>
  </si>
  <si>
    <t xml:space="preserve">Venta Equilibrio 
a Utd Neta</t>
  </si>
  <si>
    <t xml:space="preserve">Precio Equilibrio 
x TM a Utd Neta</t>
  </si>
  <si>
    <t xml:space="preserve">Venta Equilibro 
a EBITDA</t>
  </si>
  <si>
    <t xml:space="preserve">Precio Equilibrio 
x TM a EBITDA</t>
  </si>
  <si>
    <t xml:space="preserve">Precio Mercado</t>
  </si>
  <si>
    <t xml:space="preserve">Venta total</t>
  </si>
  <si>
    <t xml:space="preserve">Utilidad</t>
  </si>
  <si>
    <t xml:space="preserve">Mg Neto</t>
  </si>
  <si>
    <t xml:space="preserve">EBITDA</t>
  </si>
  <si>
    <t xml:space="preserve">Mg EBITDA</t>
  </si>
  <si>
    <t xml:space="preserve">TM</t>
  </si>
  <si>
    <t xml:space="preserve">Venta</t>
  </si>
  <si>
    <t xml:space="preserve">Precio x TM</t>
  </si>
  <si>
    <t xml:space="preserve">Gasto Adm</t>
  </si>
  <si>
    <t xml:space="preserve">Drawback</t>
  </si>
  <si>
    <t xml:space="preserve">Utilidad 
Neta</t>
  </si>
  <si>
    <t xml:space="preserve">Mg Neto %</t>
  </si>
  <si>
    <t xml:space="preserve">MG 
EBITDA</t>
  </si>
  <si>
    <t xml:space="preserve">POTA FILETE CONGELADO</t>
  </si>
  <si>
    <t xml:space="preserve">POTA NUCAS CONGELADAS</t>
  </si>
  <si>
    <t xml:space="preserve">POTA ALAS CONGELADAS</t>
  </si>
  <si>
    <t xml:space="preserve">POTA RECORTES COCIDOS</t>
  </si>
  <si>
    <t xml:space="preserve">POTA REJOS CONGELADOS</t>
  </si>
  <si>
    <t xml:space="preserve">POTA REPRODUCTORES</t>
  </si>
  <si>
    <t xml:space="preserve">POTA CONOS</t>
  </si>
  <si>
    <t xml:space="preserve">POTA FILETE DARUMA</t>
  </si>
  <si>
    <t xml:space="preserve">POTA ALAS COCIDAS</t>
  </si>
  <si>
    <t xml:space="preserve">VENTOSAS</t>
  </si>
  <si>
    <t xml:space="preserve">OTROS</t>
  </si>
  <si>
    <t xml:space="preserve">FILETE PARA REPROCESO</t>
  </si>
  <si>
    <t xml:space="preserve">ALAS PARA REPROCESO</t>
  </si>
  <si>
    <t xml:space="preserve">TOTAL</t>
  </si>
  <si>
    <t xml:space="preserve">flete x tm</t>
  </si>
  <si>
    <t xml:space="preserve">TM en Almacén de Yantai Jiahong</t>
  </si>
  <si>
    <t xml:space="preserve">INVENTARIO TOTAL VALORIZADO</t>
  </si>
  <si>
    <t xml:space="preserve">Precio Venta</t>
  </si>
  <si>
    <t xml:space="preserve">Venta Esperada</t>
  </si>
  <si>
    <t xml:space="preserve">Precio actual</t>
  </si>
  <si>
    <t xml:space="preserve">venta con precio actual</t>
  </si>
  <si>
    <t xml:space="preserve">P/L</t>
  </si>
  <si>
    <t xml:space="preserve">variación</t>
  </si>
  <si>
    <t xml:space="preserve">ebitda con nuevos precios</t>
  </si>
  <si>
    <t xml:space="preserve">costo financiero mes</t>
  </si>
  <si>
    <t xml:space="preserve">costo financiero por tm</t>
  </si>
  <si>
    <t xml:space="preserve">costo almacenamiento mensual</t>
  </si>
  <si>
    <t xml:space="preserve">CÓDIGO</t>
  </si>
  <si>
    <t xml:space="preserve">Suma de TM en Stock Total</t>
  </si>
  <si>
    <t xml:space="preserve">Suma de Costo Ventas</t>
  </si>
  <si>
    <t xml:space="preserve">Suma de Gasto Ventas</t>
  </si>
  <si>
    <t xml:space="preserve">Suma de Gasto ADM</t>
  </si>
  <si>
    <t xml:space="preserve">Suma de Gasto Fin</t>
  </si>
  <si>
    <t xml:space="preserve">Suma de Depreciación</t>
  </si>
  <si>
    <t xml:space="preserve">Total Resultado</t>
  </si>
  <si>
    <t xml:space="preserve">PRODUCTO</t>
  </si>
  <si>
    <t xml:space="preserve">TOTAL STOCK</t>
  </si>
  <si>
    <t xml:space="preserve">POR EMBARCAR</t>
  </si>
  <si>
    <t xml:space="preserve">STOCK LIBRE</t>
  </si>
  <si>
    <t xml:space="preserve">CU X TM</t>
  </si>
  <si>
    <t xml:space="preserve">% MP</t>
  </si>
  <si>
    <t xml:space="preserve">incremento MP</t>
  </si>
  <si>
    <t xml:space="preserve">TM en Stock Total</t>
  </si>
  <si>
    <t xml:space="preserve">TM en Stock</t>
  </si>
  <si>
    <t xml:space="preserve">Venta Equilibrio</t>
  </si>
  <si>
    <t xml:space="preserve">Precio Equilibrio x TM</t>
  </si>
  <si>
    <t xml:space="preserve">POTA ALAS FR C/P C/C &lt; 0.5 BL10 S20</t>
  </si>
  <si>
    <t xml:space="preserve">POTA ALAS FR C/P C/C AA S/COD BL10 S20</t>
  </si>
  <si>
    <t xml:space="preserve">POTA ALAS FR C/P C/C 1.0-2.0 BL10 S20</t>
  </si>
  <si>
    <t xml:space="preserve">POTA ALAS FR C/P C/C 1.0-2.0 ENT BL10 S20</t>
  </si>
  <si>
    <t xml:space="preserve">POTA ALAS FR C/P C/C 2.0-UP BL10 S20</t>
  </si>
  <si>
    <t xml:space="preserve">POTA ALAS PRE COC S/COD BL10 S20</t>
  </si>
  <si>
    <t xml:space="preserve">POTA ALAS PRE COC 0.3 - UP BL9 S18</t>
  </si>
  <si>
    <t xml:space="preserve">POTA ALAS PRE COC AA BL9 S18</t>
  </si>
  <si>
    <t xml:space="preserve">POTA FILETE C/M C/T FR 1.0 - 2.0 BL10 S20</t>
  </si>
  <si>
    <t xml:space="preserve">POTA FILETE C/M C/T FR &lt; 0.5 AA BL10 S20</t>
  </si>
  <si>
    <t xml:space="preserve">POTA FILETE C/M C/T FR 1.0 - 2.0 AA BL10 S20</t>
  </si>
  <si>
    <t xml:space="preserve">POTA FILETE C/M C/T FR 1.0 - 3.0 AA BL10 S20</t>
  </si>
  <si>
    <t xml:space="preserve">POTA FILETE C/M C/T FR 2.0 - 4.0 AA BL10 S20</t>
  </si>
  <si>
    <t xml:space="preserve">POTA FILETE S/M S/T FR 1.0-2.0 CM/ESP BL10 S20</t>
  </si>
  <si>
    <t xml:space="preserve">POTA FILETE PRE COCIDO S/M S/T C/P S/COD BL10 S20</t>
  </si>
  <si>
    <t xml:space="preserve">POTA FILETE PRE COCIDO S/M S/T 0.6 - 1.0 BL10 S20</t>
  </si>
  <si>
    <t xml:space="preserve">POTA NUCAS CERRADAS &lt; 0.1 BL10 S20</t>
  </si>
  <si>
    <t xml:space="preserve">POTA NUCAS CERRADAS 0.1 - 0.3 BL10 S20</t>
  </si>
  <si>
    <t xml:space="preserve">POTA NUCAS FR ABIERTAS 0.1 - 0.3 BL10 S20</t>
  </si>
  <si>
    <t xml:space="preserve">POTA NUCAS FR ABIERTAS 0.3 - 0.5 BL10 S20</t>
  </si>
  <si>
    <t xml:space="preserve">POTA NUCAS FR ABIERTAS 0.5 - 1.0 BL10 S20</t>
  </si>
  <si>
    <t xml:space="preserve">POTA NUCAS FR ABIERTAS 1.0 - 2.0 BL10 S20</t>
  </si>
  <si>
    <t xml:space="preserve">POTA REJOS FR S-S/POR C/UV 0.1 - 0.3 BL10 S20</t>
  </si>
  <si>
    <t xml:space="preserve">POTA REJOS FR C/B S/U S/V S/OR 0.3 - 0.5 BL10 S20</t>
  </si>
  <si>
    <t xml:space="preserve">POTA REJOS FR C/B S/U S/V S/OR 0.5 - 1.0 BL10 S20</t>
  </si>
  <si>
    <t xml:space="preserve">POTA REJOS FR C/B S/U S/V S/OR 1.0 - 2.0 BL10 S20</t>
  </si>
  <si>
    <t xml:space="preserve">POTA REJOS FR C/B S/U S/V S/OR 2.0 - UP BL10 S20</t>
  </si>
  <si>
    <t xml:space="preserve">POTA REJOS FR S-S/POR C/UV 0.3 - 0.5 BL10 S20</t>
  </si>
  <si>
    <t xml:space="preserve">POTA REJOS FR C/B C/U C/V S/OR 1.0 - UP BL10 S20</t>
  </si>
  <si>
    <t xml:space="preserve">POTA REJOS OR FR LIMPIOS &lt;60 CM BL10 S20</t>
  </si>
  <si>
    <t xml:space="preserve">POTA VENTOSAS C/U FR BL10 S20</t>
  </si>
  <si>
    <t xml:space="preserve">POTA RECORTES PRE COC BL10 S20</t>
  </si>
  <si>
    <t xml:space="preserve">POTA RECORTES LAM PRE COC (M) BL7.5 S15</t>
  </si>
  <si>
    <t xml:space="preserve">POTA RECORTES LAM PRE COC (T) BL7.5 S15</t>
  </si>
  <si>
    <t xml:space="preserve">POTA LABIOS FR S/COD BL10 S20</t>
  </si>
  <si>
    <t xml:space="preserve">TOTAL LIBRE</t>
  </si>
  <si>
    <t xml:space="preserve">totales</t>
  </si>
  <si>
    <t xml:space="preserve">COSTO ABRIL</t>
  </si>
  <si>
    <t xml:space="preserve">tm</t>
  </si>
  <si>
    <t xml:space="preserve">Asignación</t>
  </si>
  <si>
    <t xml:space="preserve">JUNIO</t>
  </si>
  <si>
    <t xml:space="preserve">JULIO</t>
  </si>
  <si>
    <t xml:space="preserve">PROM JUN Y JUL</t>
  </si>
  <si>
    <t xml:space="preserve">TASA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</si>
</sst>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_-;\-* #,##0_-;_-* \-??_-;_-@_-"/>
    <numFmt numFmtId="166" formatCode="0\ %"/>
    <numFmt numFmtId="167" formatCode="0.0%"/>
    <numFmt numFmtId="168" formatCode="_-* #,##0.00_-;\-* #,##0.00_-;_-* \-??_-;_-@_-"/>
    <numFmt numFmtId="169" formatCode="dd\-mmm"/>
    <numFmt numFmtId="170" formatCode="0"/>
    <numFmt numFmtId="171" formatCode="_-* #,##0.0000_-;\-* #,##0.0000_-;_-* \-??_-;_-@_-"/>
    <numFmt numFmtId="172" formatCode="#,##0.00"/>
    <numFmt numFmtId="173" formatCode="#,##0"/>
    <numFmt numFmtId="174" formatCode="0.00\ %"/>
    <numFmt numFmtId="175" formatCode="_(* #,##0_);_(* \(#,##0\);_(* \-??_);_(@_)"/>
    <numFmt numFmtId="176" formatCode="0.000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u val="single"/>
      <sz val="11"/>
      <color theme="1"/>
      <name val="Aptos Narrow"/>
      <family val="2"/>
      <charset val="1"/>
    </font>
    <font>
      <b val="true"/>
      <sz val="11"/>
      <color theme="4"/>
      <name val="Aptos Narrow"/>
      <family val="2"/>
      <charset val="1"/>
    </font>
    <font>
      <sz val="10"/>
      <name val="Arial"/>
      <family val="2"/>
    </font>
    <font>
      <b val="true"/>
      <sz val="11"/>
      <color theme="1"/>
      <name val="Cambria"/>
      <family val="1"/>
      <charset val="1"/>
    </font>
    <font>
      <b val="true"/>
      <sz val="11"/>
      <color rgb="FFFF0000"/>
      <name val="Cambria"/>
      <family val="1"/>
      <charset val="1"/>
    </font>
    <font>
      <sz val="12"/>
      <color theme="1"/>
      <name val="Aptos Narrow"/>
      <family val="2"/>
      <charset val="1"/>
    </font>
    <font>
      <sz val="11"/>
      <color theme="1"/>
      <name val="Cambria"/>
      <family val="1"/>
      <charset val="1"/>
    </font>
    <font>
      <b val="true"/>
      <sz val="11"/>
      <color rgb="FFFF0000"/>
      <name val="Aptos Narrow"/>
      <family val="2"/>
      <charset val="1"/>
    </font>
    <font>
      <sz val="12"/>
      <color rgb="FFFF0000"/>
      <name val="Aptos Narrow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7" tint="0.7999"/>
        <bgColor rgb="FFC1E5F5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AEEFB"/>
      </patternFill>
    </fill>
    <fill>
      <patternFill patternType="solid">
        <fgColor theme="9" tint="0.7999"/>
        <bgColor rgb="FFC2F1C8"/>
      </patternFill>
    </fill>
    <fill>
      <patternFill patternType="solid">
        <fgColor theme="7" tint="0.3999"/>
        <bgColor rgb="FF96DCF8"/>
      </patternFill>
    </fill>
    <fill>
      <patternFill patternType="solid">
        <fgColor theme="9" tint="0.5999"/>
        <bgColor rgb="FFC2F1C8"/>
      </patternFill>
    </fill>
    <fill>
      <patternFill patternType="solid">
        <fgColor theme="0" tint="-0.15"/>
        <bgColor rgb="FFF2CFEE"/>
      </patternFill>
    </fill>
    <fill>
      <patternFill patternType="solid">
        <fgColor theme="0"/>
        <bgColor rgb="FFFBE3D6"/>
      </patternFill>
    </fill>
    <fill>
      <patternFill patternType="solid">
        <fgColor theme="5" tint="0.7999"/>
        <bgColor rgb="FFF2CFEE"/>
      </patternFill>
    </fill>
    <fill>
      <patternFill patternType="solid">
        <fgColor theme="6" tint="0.7999"/>
        <bgColor rgb="FFD9F2D0"/>
      </patternFill>
    </fill>
    <fill>
      <patternFill patternType="solid">
        <fgColor theme="8" tint="0.7999"/>
        <bgColor rgb="FFD9D9D9"/>
      </patternFill>
    </fill>
    <fill>
      <patternFill patternType="solid">
        <fgColor theme="5" tint="0.3999"/>
        <bgColor rgb="FFF6C6AD"/>
      </patternFill>
    </fill>
    <fill>
      <patternFill patternType="solid">
        <fgColor theme="7" tint="0.5999"/>
        <bgColor rgb="FFC1E5F5"/>
      </patternFill>
    </fill>
    <fill>
      <patternFill patternType="solid">
        <fgColor theme="5" tint="0.5999"/>
        <bgColor rgb="FFF2CFEE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6" borderId="1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0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7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4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1" borderId="3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2" borderId="3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3" borderId="3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3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8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tegoría de la tabla dinámica" xfId="22"/>
    <cellStyle name="Campo de la tabla dinámica" xfId="23"/>
    <cellStyle name="Título de la tabla dinámica" xfId="24"/>
    <cellStyle name="Resultado de la tabla dinámica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E5A2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F2D0"/>
      <rgbColor rgb="FFC2F1C8"/>
      <rgbColor rgb="FFC1E5F5"/>
      <rgbColor rgb="FF96DCF8"/>
      <rgbColor rgb="FFF2AA84"/>
      <rgbColor rgb="FFF2CFEE"/>
      <rgbColor rgb="FFF6C6AD"/>
      <rgbColor rgb="FF3366FF"/>
      <rgbColor rgb="FF61CBF4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RESUMEN%20VENTAS%20EXPORTACION%202025%20al%2024-8-2026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Inventario%20PT%20y%20Avance%20Comercial%20al%2017-8-2026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Ajuste%20Stock%20Abril%202026%20v2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talle1"/>
      <sheetName val="FLETES"/>
      <sheetName val="Hoja1"/>
      <sheetName val="Hoja2"/>
      <sheetName val="Hoja3"/>
      <sheetName val="OPERADORES LOGISTICOS"/>
      <sheetName val="Hoja5"/>
      <sheetName val="2026"/>
      <sheetName val="PROGRAMACION"/>
      <sheetName val="ALMACENAJE CHINA "/>
      <sheetName val="FP CHINA"/>
      <sheetName val="2025 TOTAS FP"/>
      <sheetName val="Tabla"/>
      <sheetName val="Hoja4"/>
      <sheetName val="VARIOS CHINA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E6">
            <v>46235</v>
          </cell>
        </row>
        <row r="6">
          <cell r="H6">
            <v>26.4</v>
          </cell>
          <cell r="I6">
            <v>42240</v>
          </cell>
          <cell r="J6" t="str">
            <v>POTA CONOS</v>
          </cell>
        </row>
        <row r="7">
          <cell r="E7">
            <v>46235</v>
          </cell>
        </row>
        <row r="7">
          <cell r="H7">
            <v>81</v>
          </cell>
          <cell r="I7">
            <v>213300</v>
          </cell>
          <cell r="J7" t="str">
            <v>POTA REJOS CONGELADOS</v>
          </cell>
        </row>
        <row r="8">
          <cell r="E8">
            <v>46235</v>
          </cell>
        </row>
        <row r="8">
          <cell r="H8">
            <v>25.875</v>
          </cell>
          <cell r="I8">
            <v>41400</v>
          </cell>
          <cell r="J8" t="str">
            <v>OTROS</v>
          </cell>
        </row>
        <row r="9">
          <cell r="E9">
            <v>46245</v>
          </cell>
        </row>
        <row r="9">
          <cell r="H9">
            <v>27</v>
          </cell>
          <cell r="I9">
            <v>48600</v>
          </cell>
          <cell r="J9" t="str">
            <v>POTA ALAS CONGELADAS</v>
          </cell>
        </row>
        <row r="10">
          <cell r="E10">
            <v>46250</v>
          </cell>
        </row>
        <row r="10">
          <cell r="H10">
            <v>25.665</v>
          </cell>
          <cell r="I10">
            <v>41064</v>
          </cell>
          <cell r="J10" t="str">
            <v>OTROS</v>
          </cell>
        </row>
        <row r="11">
          <cell r="E11">
            <v>46259</v>
          </cell>
        </row>
        <row r="11">
          <cell r="H11">
            <v>20.38</v>
          </cell>
          <cell r="I11">
            <v>36684</v>
          </cell>
          <cell r="J11" t="str">
            <v>POTA CONOS</v>
          </cell>
        </row>
        <row r="12">
          <cell r="E12">
            <v>46259</v>
          </cell>
        </row>
        <row r="12">
          <cell r="H12">
            <v>78</v>
          </cell>
          <cell r="I12">
            <v>103740</v>
          </cell>
          <cell r="J12" t="str">
            <v>POTA NUCAS CONGELADAS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UMEN AL 17-8-2026"/>
      <sheetName val="TD"/>
      <sheetName val="Stock Libre"/>
    </sheetNames>
    <sheetDataSet>
      <sheetData sheetId="0"/>
      <sheetData sheetId="1"/>
      <sheetData sheetId="2">
        <row r="54">
          <cell r="O54">
            <v>78579</v>
          </cell>
          <cell r="P54">
            <v>154473</v>
          </cell>
          <cell r="Q54">
            <v>123484.35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K3">
            <v>2126.23065827932</v>
          </cell>
        </row>
        <row r="4">
          <cell r="K4">
            <v>2094.63611692601</v>
          </cell>
        </row>
        <row r="5">
          <cell r="K5">
            <v>1946.62027761428</v>
          </cell>
        </row>
        <row r="6">
          <cell r="K6">
            <v>2025.34244618655</v>
          </cell>
        </row>
        <row r="7">
          <cell r="K7">
            <v>2107.15119288635</v>
          </cell>
        </row>
        <row r="8">
          <cell r="C8">
            <v>10005721</v>
          </cell>
        </row>
        <row r="8">
          <cell r="K8">
            <v>2136.68678336387</v>
          </cell>
        </row>
        <row r="9">
          <cell r="K9">
            <v>1974.71978697415</v>
          </cell>
        </row>
        <row r="10">
          <cell r="K10">
            <v>1840.55642056797</v>
          </cell>
        </row>
        <row r="11">
          <cell r="C11">
            <v>10005779</v>
          </cell>
        </row>
        <row r="11">
          <cell r="K11">
            <v>1753.69344749958</v>
          </cell>
        </row>
        <row r="12">
          <cell r="K12">
            <v>1782.56409434187</v>
          </cell>
        </row>
        <row r="13">
          <cell r="K13">
            <v>1915.88691844407</v>
          </cell>
        </row>
        <row r="14">
          <cell r="C14">
            <v>10006719</v>
          </cell>
        </row>
        <row r="14">
          <cell r="K14">
            <v>2035.73856788373</v>
          </cell>
        </row>
        <row r="15">
          <cell r="C15">
            <v>10006720</v>
          </cell>
        </row>
        <row r="15">
          <cell r="K15">
            <v>1529.27573112526</v>
          </cell>
        </row>
        <row r="16">
          <cell r="K16">
            <v>1866.91666666667</v>
          </cell>
        </row>
        <row r="17">
          <cell r="K17">
            <v>1532.48942090589</v>
          </cell>
        </row>
        <row r="18">
          <cell r="K18">
            <v>1275.09950579163</v>
          </cell>
        </row>
        <row r="19">
          <cell r="K19" t="str">
            <v> </v>
          </cell>
        </row>
        <row r="20">
          <cell r="K20" t="str">
            <v> </v>
          </cell>
        </row>
        <row r="21">
          <cell r="K21">
            <v>1931.12800654429</v>
          </cell>
        </row>
        <row r="22">
          <cell r="K22">
            <v>1772.12990036488</v>
          </cell>
        </row>
        <row r="23">
          <cell r="C23">
            <v>10007162</v>
          </cell>
        </row>
        <row r="23">
          <cell r="K23">
            <v>1882.17951856385</v>
          </cell>
        </row>
        <row r="24">
          <cell r="C24">
            <v>10007969</v>
          </cell>
        </row>
        <row r="24">
          <cell r="K24">
            <v>1494.67937944409</v>
          </cell>
        </row>
        <row r="25">
          <cell r="K25">
            <v>1490.79158163265</v>
          </cell>
        </row>
        <row r="26">
          <cell r="K26">
            <v>1367.0473271805</v>
          </cell>
        </row>
        <row r="27">
          <cell r="K27">
            <v>1758.0827207757</v>
          </cell>
        </row>
        <row r="28">
          <cell r="K28">
            <v>1838.93571755725</v>
          </cell>
        </row>
        <row r="29">
          <cell r="C29">
            <v>10005781</v>
          </cell>
        </row>
        <row r="29">
          <cell r="K29">
            <v>1856.34584587274</v>
          </cell>
        </row>
        <row r="30">
          <cell r="K30">
            <v>1788.71150844786</v>
          </cell>
        </row>
        <row r="31">
          <cell r="K31">
            <v>2014.30392367067</v>
          </cell>
        </row>
        <row r="32">
          <cell r="C32">
            <v>10009207</v>
          </cell>
        </row>
        <row r="32">
          <cell r="K32">
            <v>1545.57560633382</v>
          </cell>
        </row>
        <row r="33">
          <cell r="K33">
            <v>3641.29464285714</v>
          </cell>
        </row>
        <row r="34">
          <cell r="C34">
            <v>10009239</v>
          </cell>
        </row>
        <row r="34">
          <cell r="K34">
            <v>3441.68166599735</v>
          </cell>
        </row>
        <row r="35">
          <cell r="K35">
            <v>1956.38461538462</v>
          </cell>
        </row>
        <row r="36">
          <cell r="K36">
            <v>3381.32058336714</v>
          </cell>
        </row>
        <row r="37">
          <cell r="K37" t="str">
            <v> </v>
          </cell>
        </row>
        <row r="38">
          <cell r="K38" t="str">
            <v> </v>
          </cell>
        </row>
        <row r="39">
          <cell r="K39">
            <v>1836.2230548455</v>
          </cell>
        </row>
        <row r="40">
          <cell r="K40" t="str">
            <v> </v>
          </cell>
        </row>
        <row r="41">
          <cell r="K41" t="str">
            <v> </v>
          </cell>
        </row>
        <row r="42">
          <cell r="K42" t="str">
            <v> </v>
          </cell>
        </row>
        <row r="43">
          <cell r="C43">
            <v>10009334</v>
          </cell>
        </row>
        <row r="43">
          <cell r="K43">
            <v>3020.07403558104</v>
          </cell>
        </row>
        <row r="44">
          <cell r="K44">
            <v>1504.53923414462</v>
          </cell>
        </row>
        <row r="45">
          <cell r="K45">
            <v>2737.63484521898</v>
          </cell>
        </row>
        <row r="46">
          <cell r="C46">
            <v>10009386</v>
          </cell>
        </row>
        <row r="46">
          <cell r="K46">
            <v>1883.72629867809</v>
          </cell>
        </row>
        <row r="47">
          <cell r="C47">
            <v>10007050</v>
          </cell>
        </row>
        <row r="47">
          <cell r="K47">
            <v>1570.59633628428</v>
          </cell>
        </row>
        <row r="48">
          <cell r="K48">
            <v>1878.16553097233</v>
          </cell>
        </row>
        <row r="49">
          <cell r="K49" t="str">
            <v> </v>
          </cell>
        </row>
        <row r="50">
          <cell r="K50">
            <v>14619.0692051979</v>
          </cell>
        </row>
        <row r="51">
          <cell r="K51">
            <v>48443.9880507842</v>
          </cell>
        </row>
        <row r="52">
          <cell r="K52">
            <v>12634.3815513627</v>
          </cell>
        </row>
        <row r="53">
          <cell r="K53" t="str">
            <v> </v>
          </cell>
        </row>
        <row r="54">
          <cell r="K54" t="str">
            <v> </v>
          </cell>
        </row>
        <row r="55">
          <cell r="K55">
            <v>1849.50510204082</v>
          </cell>
        </row>
        <row r="56">
          <cell r="K56">
            <v>1784.02062793132</v>
          </cell>
        </row>
        <row r="57">
          <cell r="K57" t="str">
            <v> </v>
          </cell>
        </row>
        <row r="58">
          <cell r="K58">
            <v>2043.36320805775</v>
          </cell>
        </row>
        <row r="59">
          <cell r="K59">
            <v>2049.91149401842</v>
          </cell>
        </row>
        <row r="60">
          <cell r="C60">
            <v>10007567</v>
          </cell>
        </row>
        <row r="60">
          <cell r="K60">
            <v>1821.2402425897</v>
          </cell>
        </row>
        <row r="61">
          <cell r="K61">
            <v>1783.79839127504</v>
          </cell>
        </row>
        <row r="62">
          <cell r="K62">
            <v>1333.24417569816</v>
          </cell>
        </row>
        <row r="63">
          <cell r="K63">
            <v>1945.14829598407</v>
          </cell>
        </row>
      </sheetData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" createdVersion="3">
  <cacheSource type="worksheet">
    <worksheetSource ref="G1:Q51" sheet="Stock Libre"/>
  </cacheSource>
  <cacheFields count="11">
    <cacheField name="CÓDIGO" numFmtId="0">
      <sharedItems containsSemiMixedTypes="0" containsString="0" containsNumber="1" containsInteger="1" minValue="10005721" maxValue="10009650" count="13">
        <n v="10005721"/>
        <n v="10005779"/>
        <n v="10006719"/>
        <n v="10007050"/>
        <n v="10007162"/>
        <n v="10007567"/>
        <n v="10007969"/>
        <n v="10009207"/>
        <n v="10009239"/>
        <n v="10009334"/>
        <n v="10009386"/>
        <n v="10009649"/>
        <n v="10009650"/>
      </sharedItems>
    </cacheField>
    <cacheField name="CU X TM" numFmtId="0">
      <sharedItems containsSemiMixedTypes="0" containsString="0" containsNumber="1" minValue="1.2330367002593" maxValue="3.08506112368996" count="11">
        <n v="1.2330367002593"/>
        <n v="1.27997025102932"/>
        <n v="1.30820982311726"/>
        <n v="1.48342296852866"/>
        <n v="1.54016366904569"/>
        <n v="1.59655881400912"/>
        <n v="1.59799025354257"/>
        <n v="1.73197012699901"/>
        <n v="1.83443100611569"/>
        <n v="2.64960260579146"/>
        <n v="3.08506112368996"/>
      </sharedItems>
    </cacheField>
    <cacheField name="% MP" numFmtId="0">
      <sharedItems containsSemiMixedTypes="0" containsString="0" containsNumber="1" minValue="0.56" maxValue="0.71" count="5">
        <n v="0.56"/>
        <n v="0.65"/>
        <n v="0.67"/>
        <n v="0.68"/>
        <n v="0.71"/>
      </sharedItems>
    </cacheField>
    <cacheField name="incremento MP" numFmtId="0">
      <sharedItems containsSemiMixedTypes="0" containsString="0" containsNumber="1" minValue="-0.109659090909091" maxValue="-0.109659090909091" count="1">
        <n v="-0.109659090909091"/>
      </sharedItems>
    </cacheField>
    <cacheField name="TM en Stock Total" numFmtId="0">
      <sharedItems containsSemiMixedTypes="0" containsString="0" containsNumber="1" minValue="0" maxValue="331.56" count="38">
        <n v="0"/>
        <n v="0.04"/>
        <n v="0.12"/>
        <n v="0.26"/>
        <n v="0.68"/>
        <n v="1.04"/>
        <n v="1.08"/>
        <n v="1.76"/>
        <n v="2.34"/>
        <n v="2.68"/>
        <n v="2.72"/>
        <n v="3.1"/>
        <n v="3.2"/>
        <n v="3.8"/>
        <n v="5.28"/>
        <n v="7.84"/>
        <n v="7.994"/>
        <n v="12.84"/>
        <n v="14.84"/>
        <n v="16.18"/>
        <n v="16.48"/>
        <n v="17.64"/>
        <n v="21.28"/>
        <n v="30.765"/>
        <n v="30.94"/>
        <n v="32.18"/>
        <n v="35.66"/>
        <n v="37.18"/>
        <n v="41.08"/>
        <n v="41.82"/>
        <n v="44.675"/>
        <n v="49.1"/>
        <n v="96.72"/>
        <n v="129.576"/>
        <n v="138.02"/>
        <n v="172.7"/>
        <n v="174.24"/>
        <n v="331.56"/>
      </sharedItems>
    </cacheField>
    <cacheField name="TM en Stock" numFmtId="0">
      <sharedItems containsSemiMixedTypes="0" containsString="0" containsNumber="1" minValue="0" maxValue="331.56" count="38">
        <n v="0"/>
        <n v="0.04"/>
        <n v="0.12"/>
        <n v="0.26"/>
        <n v="0.68"/>
        <n v="1.04"/>
        <n v="1.08"/>
        <n v="1.76"/>
        <n v="2.34"/>
        <n v="2.68"/>
        <n v="2.72"/>
        <n v="3.1"/>
        <n v="3.2"/>
        <n v="3.8"/>
        <n v="5.28"/>
        <n v="7.84"/>
        <n v="7.994"/>
        <n v="12.84"/>
        <n v="14.84"/>
        <n v="16.18"/>
        <n v="16.48"/>
        <n v="17.64"/>
        <n v="21.28"/>
        <n v="30.765"/>
        <n v="30.94"/>
        <n v="32.18"/>
        <n v="35.66"/>
        <n v="37.18"/>
        <n v="41.08"/>
        <n v="41.82"/>
        <n v="44.675"/>
        <n v="49.1"/>
        <n v="96.72"/>
        <n v="129.576"/>
        <n v="138.02"/>
        <n v="172.7"/>
        <n v="174.24"/>
        <n v="331.56"/>
      </sharedItems>
    </cacheField>
    <cacheField name="Costo Ventas" numFmtId="0">
      <sharedItems containsSemiMixedTypes="0" containsString="0" containsNumber="1" minValue="0" maxValue="574252.015307791" count="38">
        <n v="0"/>
        <n v="69.2788050799604"/>
        <n v="191.587057681095"/>
        <n v="688.896677505779"/>
        <n v="1177.73968635933"/>
        <n v="1542.7598872698"/>
        <n v="1981.18548660495"/>
        <n v="3228.59857076362"/>
        <n v="4052.81009717768"/>
        <n v="4278.77762154445"/>
        <n v="4989.65233663469"/>
        <n v="5686.73611895865"/>
        <n v="5870.17921957022"/>
        <n v="6066.92349323467"/>
        <n v="9685.79571229086"/>
        <n v="11630.0360732647"/>
        <n v="20499.8151718772"/>
        <n v="21180.9232306969"/>
        <n v="24001.7836307937"/>
        <n v="25702.4366846653"/>
        <n v="32359.3629478808"/>
        <n v="34005.2325953859"/>
        <n v="39602.2795668472"/>
        <n v="40247.0752082025"/>
        <n v="50841.8073184106"/>
        <n v="54922.2364381691"/>
        <n v="58444.2738477636"/>
        <n v="59031.989776803"/>
        <n v="59360.0567048592"/>
        <n v="62036.7485438685"/>
        <n v="64233.1023150574"/>
        <n v="65586.6360794948"/>
        <n v="148964.630070099"/>
        <n v="204742.038116325"/>
        <n v="258471.618036433"/>
        <n v="275725.707179376"/>
        <n v="343324.907248034"/>
        <n v="574252.015307791"/>
      </sharedItems>
    </cacheField>
    <cacheField name="Gasto Ventas" numFmtId="0">
      <sharedItems containsSemiMixedTypes="0" containsString="0" containsNumber="1" minValue="0" maxValue="68911.4304" count="38">
        <n v="0"/>
        <n v="8.3136"/>
        <n v="24.9408"/>
        <n v="54.0384"/>
        <n v="141.3312"/>
        <n v="216.1536"/>
        <n v="224.4672"/>
        <n v="365.7984"/>
        <n v="486.3456"/>
        <n v="557.0112"/>
        <n v="565.3248"/>
        <n v="644.304"/>
        <n v="665.088"/>
        <n v="789.792"/>
        <n v="1097.3952"/>
        <n v="1629.4656"/>
        <n v="1661.47296"/>
        <n v="2668.6656"/>
        <n v="3084.3456"/>
        <n v="3362.8512"/>
        <n v="3425.2032"/>
        <n v="3666.2976"/>
        <n v="4422.8352"/>
        <n v="6394.1976"/>
        <n v="6430.5696"/>
        <n v="6688.2912"/>
        <n v="7411.5744"/>
        <n v="7727.4912"/>
        <n v="8538.0672"/>
        <n v="8691.8688"/>
        <n v="9285.252"/>
        <n v="10204.944"/>
        <n v="20102.2848"/>
        <n v="26931.07584"/>
        <n v="28686.0768"/>
        <n v="35893.968"/>
        <n v="36214.0416"/>
        <n v="68911.4304"/>
      </sharedItems>
    </cacheField>
    <cacheField name="Gasto ADM" numFmtId="0">
      <sharedItems containsSemiMixedTypes="0" containsString="0" containsNumber="1" minValue="0" maxValue="17035.1006205007" count="38">
        <n v="0"/>
        <n v="2.05514544824475"/>
        <n v="6.16543634473425"/>
        <n v="13.3584454135909"/>
        <n v="34.9374726201607"/>
        <n v="53.4337816543635"/>
        <n v="55.4889271026082"/>
        <n v="90.4263997227689"/>
        <n v="120.226008722318"/>
        <n v="137.694745032398"/>
        <n v="139.749890480643"/>
        <n v="159.273772238968"/>
        <n v="164.41163585958"/>
        <n v="195.238817583251"/>
        <n v="271.279199168307"/>
        <n v="402.808507855971"/>
        <n v="410.720817831713"/>
        <n v="659.701688886564"/>
        <n v="762.458961298802"/>
        <n v="831.306333815001"/>
        <n v="846.719924676836"/>
        <n v="906.319142675934"/>
        <n v="1093.33737846621"/>
        <n v="1580.66374288124"/>
        <n v="1589.65500421731"/>
        <n v="1653.3645131129"/>
        <n v="1832.16216711019"/>
        <n v="1910.25769414349"/>
        <n v="2110.63437534736"/>
        <n v="2148.65456613988"/>
        <n v="2295.34057250835"/>
        <n v="2522.69103772043"/>
        <n v="4969.3416938558"/>
        <n v="6657.43816504404"/>
        <n v="7091.27936916851"/>
        <n v="8873.0904727967"/>
        <n v="8952.21357255413"/>
        <n v="17035.1006205007"/>
      </sharedItems>
    </cacheField>
    <cacheField name="Gasto Fin" numFmtId="0">
      <sharedItems containsSemiMixedTypes="0" containsString="0" containsNumber="1" minValue="0" maxValue="33488.1214847556" count="38">
        <n v="0"/>
        <n v="4.0400677385397"/>
        <n v="12.1202032156191"/>
        <n v="26.260440300508"/>
        <n v="68.6811515551749"/>
        <n v="105.041761202032"/>
        <n v="109.081828940572"/>
        <n v="177.762980495747"/>
        <n v="236.343962704572"/>
        <n v="270.68453848216"/>
        <n v="274.7246062207"/>
        <n v="313.105249736827"/>
        <n v="323.205419083176"/>
        <n v="383.806435161271"/>
        <n v="533.28894148724"/>
        <n v="791.853276753781"/>
        <n v="807.407537547159"/>
        <n v="1296.86174407124"/>
        <n v="1498.86513099823"/>
        <n v="1634.20740023931"/>
        <n v="1664.50790827836"/>
        <n v="1781.66987269601"/>
        <n v="2149.31603690312"/>
        <n v="3107.31709940435"/>
        <n v="3124.99239576046"/>
        <n v="3250.23449565519"/>
        <n v="3601.72038890814"/>
        <n v="3755.24296297265"/>
        <n v="4149.14956748027"/>
        <n v="4223.89082064326"/>
        <n v="4512.25065548153"/>
        <n v="4959.18314905748"/>
        <n v="9768.88379178899"/>
        <n v="13087.3954322255"/>
        <n v="13940.2537318312"/>
        <n v="17442.9924611452"/>
        <n v="17598.5350690789"/>
        <n v="33488.1214847556"/>
      </sharedItems>
    </cacheField>
    <cacheField name="Depreciación" numFmtId="0">
      <sharedItems containsSemiMixedTypes="0" containsString="0" containsNumber="1" minValue="0" maxValue="26770.1081371248" count="38">
        <n v="0"/>
        <n v="3.22959441876279"/>
        <n v="9.68878325628837"/>
        <n v="20.9923637219582"/>
        <n v="54.9031051189675"/>
        <n v="83.9694548878326"/>
        <n v="87.1990493065954"/>
        <n v="142.102154425563"/>
        <n v="188.931273497623"/>
        <n v="216.382826057107"/>
        <n v="219.61242047587"/>
        <n v="250.293567454116"/>
        <n v="258.367553501023"/>
        <n v="306.811469782465"/>
        <n v="426.306463276689"/>
        <n v="633.000506077507"/>
        <n v="645.434444589744"/>
        <n v="1036.69980842286"/>
        <n v="1198.179529361"/>
        <n v="1306.37094238955"/>
        <n v="1330.59290053027"/>
        <n v="1424.25113867439"/>
        <n v="1718.14423078181"/>
        <n v="2483.96180733093"/>
        <n v="2498.09128291302"/>
        <n v="2598.20870989467"/>
        <n v="2879.18342432703"/>
        <n v="3001.90801224002"/>
        <n v="3316.79346806939"/>
        <n v="3376.5409648165"/>
        <n v="3607.05326645569"/>
        <n v="3964.32714903133"/>
        <n v="7809.15930456843"/>
        <n v="10461.9481601402"/>
        <n v="11143.715541941"/>
        <n v="13943.7739030084"/>
        <n v="14068.1132881307"/>
        <n v="26770.108137124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2"/>
    <x v="7"/>
    <x v="4"/>
    <x v="0"/>
    <x v="18"/>
    <x v="18"/>
    <x v="19"/>
    <x v="18"/>
    <x v="18"/>
    <x v="18"/>
    <x v="18"/>
  </r>
  <r>
    <x v="2"/>
    <x v="7"/>
    <x v="4"/>
    <x v="0"/>
    <x v="4"/>
    <x v="4"/>
    <x v="4"/>
    <x v="4"/>
    <x v="4"/>
    <x v="4"/>
    <x v="4"/>
  </r>
  <r>
    <x v="2"/>
    <x v="7"/>
    <x v="4"/>
    <x v="0"/>
    <x v="0"/>
    <x v="0"/>
    <x v="0"/>
    <x v="0"/>
    <x v="0"/>
    <x v="0"/>
    <x v="0"/>
  </r>
  <r>
    <x v="2"/>
    <x v="7"/>
    <x v="4"/>
    <x v="0"/>
    <x v="0"/>
    <x v="0"/>
    <x v="0"/>
    <x v="0"/>
    <x v="0"/>
    <x v="0"/>
    <x v="0"/>
  </r>
  <r>
    <x v="2"/>
    <x v="7"/>
    <x v="4"/>
    <x v="0"/>
    <x v="1"/>
    <x v="1"/>
    <x v="1"/>
    <x v="1"/>
    <x v="1"/>
    <x v="1"/>
    <x v="1"/>
  </r>
  <r>
    <x v="2"/>
    <x v="7"/>
    <x v="4"/>
    <x v="0"/>
    <x v="8"/>
    <x v="8"/>
    <x v="8"/>
    <x v="8"/>
    <x v="8"/>
    <x v="8"/>
    <x v="8"/>
  </r>
  <r>
    <x v="2"/>
    <x v="7"/>
    <x v="4"/>
    <x v="0"/>
    <x v="0"/>
    <x v="0"/>
    <x v="0"/>
    <x v="0"/>
    <x v="0"/>
    <x v="0"/>
    <x v="0"/>
  </r>
  <r>
    <x v="7"/>
    <x v="1"/>
    <x v="4"/>
    <x v="0"/>
    <x v="24"/>
    <x v="24"/>
    <x v="22"/>
    <x v="24"/>
    <x v="24"/>
    <x v="24"/>
    <x v="24"/>
  </r>
  <r>
    <x v="6"/>
    <x v="0"/>
    <x v="4"/>
    <x v="0"/>
    <x v="0"/>
    <x v="0"/>
    <x v="0"/>
    <x v="0"/>
    <x v="0"/>
    <x v="0"/>
    <x v="0"/>
  </r>
  <r>
    <x v="0"/>
    <x v="8"/>
    <x v="2"/>
    <x v="0"/>
    <x v="0"/>
    <x v="0"/>
    <x v="0"/>
    <x v="0"/>
    <x v="0"/>
    <x v="0"/>
    <x v="0"/>
  </r>
  <r>
    <x v="0"/>
    <x v="8"/>
    <x v="2"/>
    <x v="0"/>
    <x v="7"/>
    <x v="7"/>
    <x v="7"/>
    <x v="7"/>
    <x v="7"/>
    <x v="7"/>
    <x v="7"/>
  </r>
  <r>
    <x v="0"/>
    <x v="8"/>
    <x v="2"/>
    <x v="0"/>
    <x v="0"/>
    <x v="0"/>
    <x v="0"/>
    <x v="0"/>
    <x v="0"/>
    <x v="0"/>
    <x v="0"/>
  </r>
  <r>
    <x v="0"/>
    <x v="8"/>
    <x v="2"/>
    <x v="0"/>
    <x v="25"/>
    <x v="25"/>
    <x v="27"/>
    <x v="25"/>
    <x v="25"/>
    <x v="25"/>
    <x v="25"/>
  </r>
  <r>
    <x v="0"/>
    <x v="8"/>
    <x v="2"/>
    <x v="0"/>
    <x v="6"/>
    <x v="6"/>
    <x v="6"/>
    <x v="6"/>
    <x v="6"/>
    <x v="6"/>
    <x v="6"/>
  </r>
  <r>
    <x v="0"/>
    <x v="8"/>
    <x v="2"/>
    <x v="0"/>
    <x v="11"/>
    <x v="11"/>
    <x v="11"/>
    <x v="11"/>
    <x v="11"/>
    <x v="11"/>
    <x v="11"/>
  </r>
  <r>
    <x v="0"/>
    <x v="8"/>
    <x v="2"/>
    <x v="0"/>
    <x v="0"/>
    <x v="0"/>
    <x v="0"/>
    <x v="0"/>
    <x v="0"/>
    <x v="0"/>
    <x v="0"/>
  </r>
  <r>
    <x v="0"/>
    <x v="8"/>
    <x v="2"/>
    <x v="0"/>
    <x v="14"/>
    <x v="14"/>
    <x v="14"/>
    <x v="14"/>
    <x v="14"/>
    <x v="14"/>
    <x v="14"/>
  </r>
  <r>
    <x v="0"/>
    <x v="8"/>
    <x v="2"/>
    <x v="0"/>
    <x v="21"/>
    <x v="21"/>
    <x v="20"/>
    <x v="21"/>
    <x v="21"/>
    <x v="21"/>
    <x v="21"/>
  </r>
  <r>
    <x v="0"/>
    <x v="8"/>
    <x v="2"/>
    <x v="0"/>
    <x v="0"/>
    <x v="0"/>
    <x v="0"/>
    <x v="0"/>
    <x v="0"/>
    <x v="0"/>
    <x v="0"/>
  </r>
  <r>
    <x v="0"/>
    <x v="8"/>
    <x v="2"/>
    <x v="0"/>
    <x v="10"/>
    <x v="10"/>
    <x v="10"/>
    <x v="10"/>
    <x v="10"/>
    <x v="10"/>
    <x v="10"/>
  </r>
  <r>
    <x v="0"/>
    <x v="8"/>
    <x v="2"/>
    <x v="0"/>
    <x v="0"/>
    <x v="0"/>
    <x v="0"/>
    <x v="0"/>
    <x v="0"/>
    <x v="0"/>
    <x v="0"/>
  </r>
  <r>
    <x v="0"/>
    <x v="8"/>
    <x v="2"/>
    <x v="0"/>
    <x v="12"/>
    <x v="12"/>
    <x v="12"/>
    <x v="12"/>
    <x v="12"/>
    <x v="12"/>
    <x v="12"/>
  </r>
  <r>
    <x v="1"/>
    <x v="3"/>
    <x v="1"/>
    <x v="0"/>
    <x v="34"/>
    <x v="34"/>
    <x v="33"/>
    <x v="34"/>
    <x v="34"/>
    <x v="34"/>
    <x v="34"/>
  </r>
  <r>
    <x v="1"/>
    <x v="3"/>
    <x v="1"/>
    <x v="0"/>
    <x v="29"/>
    <x v="29"/>
    <x v="29"/>
    <x v="29"/>
    <x v="29"/>
    <x v="29"/>
    <x v="29"/>
  </r>
  <r>
    <x v="1"/>
    <x v="3"/>
    <x v="1"/>
    <x v="0"/>
    <x v="5"/>
    <x v="5"/>
    <x v="5"/>
    <x v="5"/>
    <x v="5"/>
    <x v="5"/>
    <x v="5"/>
  </r>
  <r>
    <x v="1"/>
    <x v="3"/>
    <x v="1"/>
    <x v="0"/>
    <x v="19"/>
    <x v="19"/>
    <x v="18"/>
    <x v="19"/>
    <x v="19"/>
    <x v="19"/>
    <x v="19"/>
  </r>
  <r>
    <x v="1"/>
    <x v="3"/>
    <x v="1"/>
    <x v="0"/>
    <x v="36"/>
    <x v="36"/>
    <x v="34"/>
    <x v="36"/>
    <x v="36"/>
    <x v="36"/>
    <x v="36"/>
  </r>
  <r>
    <x v="1"/>
    <x v="3"/>
    <x v="1"/>
    <x v="0"/>
    <x v="15"/>
    <x v="15"/>
    <x v="15"/>
    <x v="15"/>
    <x v="15"/>
    <x v="15"/>
    <x v="15"/>
  </r>
  <r>
    <x v="5"/>
    <x v="4"/>
    <x v="3"/>
    <x v="0"/>
    <x v="32"/>
    <x v="32"/>
    <x v="32"/>
    <x v="32"/>
    <x v="32"/>
    <x v="32"/>
    <x v="32"/>
  </r>
  <r>
    <x v="5"/>
    <x v="4"/>
    <x v="3"/>
    <x v="0"/>
    <x v="26"/>
    <x v="26"/>
    <x v="25"/>
    <x v="26"/>
    <x v="26"/>
    <x v="26"/>
    <x v="26"/>
  </r>
  <r>
    <x v="4"/>
    <x v="5"/>
    <x v="3"/>
    <x v="0"/>
    <x v="0"/>
    <x v="0"/>
    <x v="0"/>
    <x v="0"/>
    <x v="0"/>
    <x v="0"/>
    <x v="0"/>
  </r>
  <r>
    <x v="4"/>
    <x v="5"/>
    <x v="3"/>
    <x v="0"/>
    <x v="0"/>
    <x v="0"/>
    <x v="0"/>
    <x v="0"/>
    <x v="0"/>
    <x v="0"/>
    <x v="0"/>
  </r>
  <r>
    <x v="4"/>
    <x v="5"/>
    <x v="3"/>
    <x v="0"/>
    <x v="17"/>
    <x v="17"/>
    <x v="16"/>
    <x v="17"/>
    <x v="17"/>
    <x v="17"/>
    <x v="17"/>
  </r>
  <r>
    <x v="4"/>
    <x v="5"/>
    <x v="3"/>
    <x v="0"/>
    <x v="28"/>
    <x v="28"/>
    <x v="31"/>
    <x v="28"/>
    <x v="28"/>
    <x v="28"/>
    <x v="28"/>
  </r>
  <r>
    <x v="4"/>
    <x v="5"/>
    <x v="3"/>
    <x v="0"/>
    <x v="2"/>
    <x v="2"/>
    <x v="2"/>
    <x v="2"/>
    <x v="2"/>
    <x v="2"/>
    <x v="2"/>
  </r>
  <r>
    <x v="4"/>
    <x v="5"/>
    <x v="3"/>
    <x v="0"/>
    <x v="13"/>
    <x v="13"/>
    <x v="13"/>
    <x v="13"/>
    <x v="13"/>
    <x v="13"/>
    <x v="13"/>
  </r>
  <r>
    <x v="4"/>
    <x v="5"/>
    <x v="3"/>
    <x v="0"/>
    <x v="9"/>
    <x v="9"/>
    <x v="9"/>
    <x v="9"/>
    <x v="9"/>
    <x v="9"/>
    <x v="9"/>
  </r>
  <r>
    <x v="4"/>
    <x v="5"/>
    <x v="3"/>
    <x v="0"/>
    <x v="27"/>
    <x v="27"/>
    <x v="28"/>
    <x v="27"/>
    <x v="27"/>
    <x v="27"/>
    <x v="27"/>
  </r>
  <r>
    <x v="4"/>
    <x v="5"/>
    <x v="3"/>
    <x v="0"/>
    <x v="35"/>
    <x v="35"/>
    <x v="35"/>
    <x v="35"/>
    <x v="35"/>
    <x v="35"/>
    <x v="35"/>
  </r>
  <r>
    <x v="10"/>
    <x v="6"/>
    <x v="3"/>
    <x v="0"/>
    <x v="22"/>
    <x v="22"/>
    <x v="21"/>
    <x v="22"/>
    <x v="22"/>
    <x v="22"/>
    <x v="22"/>
  </r>
  <r>
    <x v="8"/>
    <x v="10"/>
    <x v="0"/>
    <x v="0"/>
    <x v="20"/>
    <x v="20"/>
    <x v="24"/>
    <x v="20"/>
    <x v="20"/>
    <x v="20"/>
    <x v="20"/>
  </r>
  <r>
    <x v="8"/>
    <x v="10"/>
    <x v="0"/>
    <x v="0"/>
    <x v="0"/>
    <x v="0"/>
    <x v="0"/>
    <x v="0"/>
    <x v="0"/>
    <x v="0"/>
    <x v="0"/>
  </r>
  <r>
    <x v="9"/>
    <x v="9"/>
    <x v="3"/>
    <x v="0"/>
    <x v="3"/>
    <x v="3"/>
    <x v="3"/>
    <x v="3"/>
    <x v="3"/>
    <x v="3"/>
    <x v="3"/>
  </r>
  <r>
    <x v="9"/>
    <x v="9"/>
    <x v="3"/>
    <x v="0"/>
    <x v="33"/>
    <x v="33"/>
    <x v="36"/>
    <x v="33"/>
    <x v="33"/>
    <x v="33"/>
    <x v="33"/>
  </r>
  <r>
    <x v="9"/>
    <x v="9"/>
    <x v="3"/>
    <x v="0"/>
    <x v="16"/>
    <x v="16"/>
    <x v="17"/>
    <x v="16"/>
    <x v="16"/>
    <x v="16"/>
    <x v="16"/>
  </r>
  <r>
    <x v="3"/>
    <x v="2"/>
    <x v="3"/>
    <x v="0"/>
    <x v="31"/>
    <x v="31"/>
    <x v="30"/>
    <x v="31"/>
    <x v="31"/>
    <x v="31"/>
    <x v="31"/>
  </r>
  <r>
    <x v="3"/>
    <x v="2"/>
    <x v="3"/>
    <x v="0"/>
    <x v="23"/>
    <x v="23"/>
    <x v="23"/>
    <x v="23"/>
    <x v="23"/>
    <x v="23"/>
    <x v="23"/>
  </r>
  <r>
    <x v="3"/>
    <x v="2"/>
    <x v="3"/>
    <x v="0"/>
    <x v="30"/>
    <x v="30"/>
    <x v="26"/>
    <x v="30"/>
    <x v="30"/>
    <x v="30"/>
    <x v="30"/>
  </r>
  <r>
    <x v="12"/>
    <x v="8"/>
    <x v="2"/>
    <x v="0"/>
    <x v="0"/>
    <x v="0"/>
    <x v="0"/>
    <x v="0"/>
    <x v="0"/>
    <x v="0"/>
    <x v="0"/>
  </r>
  <r>
    <x v="11"/>
    <x v="7"/>
    <x v="4"/>
    <x v="0"/>
    <x v="37"/>
    <x v="37"/>
    <x v="37"/>
    <x v="37"/>
    <x v="37"/>
    <x v="37"/>
    <x v="3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4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E3:K17" firstHeaderRow="0" firstDataRow="1" firstDataCol="1"/>
  <pivotFields count="11">
    <pivotField axis="axisRow" showAll="0">
      <items count="14">
        <item x="0"/>
        <item x="1"/>
        <item x="2"/>
        <item x="3"/>
        <item x="4"/>
        <item x="5"/>
        <item x="6"/>
        <item x="8"/>
        <item x="9"/>
        <item x="10"/>
        <item x="7"/>
        <item x="12"/>
        <item x="1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6">
    <i/>
    <i/>
    <i/>
    <i/>
    <i/>
    <i/>
  </colItems>
  <dataFields count="6">
    <dataField name="Suma de TM en Stock Total" fld="4" subtotal="sum" numFmtId="165"/>
    <dataField name="Suma de Costo Ventas" fld="6" subtotal="sum" numFmtId="165"/>
    <dataField name="Suma de Gasto Ventas" fld="7" subtotal="sum" numFmtId="165"/>
    <dataField name="Suma de Gasto ADM" fld="8" subtotal="sum" numFmtId="165"/>
    <dataField name="Suma de Gasto Fin" fld="9" subtotal="sum" numFmtId="165"/>
    <dataField name="Suma de Depreciación" fld="10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G5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6" topLeftCell="N7" activePane="bottomRight" state="frozen"/>
      <selection pane="topLeft" activeCell="A1" activeCellId="0" sqref="A1"/>
      <selection pane="topRight" activeCell="N1" activeCellId="0" sqref="N1"/>
      <selection pane="bottomLeft" activeCell="A7" activeCellId="0" sqref="A7"/>
      <selection pane="bottomRight" activeCell="P52" activeCellId="0" sqref="P52"/>
    </sheetView>
  </sheetViews>
  <sheetFormatPr defaultColWidth="10.59765625" defaultRowHeight="14.25" customHeight="false" zeroHeight="false" outlineLevelRow="0" outlineLevelCol="2"/>
  <cols>
    <col collapsed="false" customWidth="true" hidden="false" outlineLevel="0" max="1" min="1" style="0" width="7.78"/>
    <col collapsed="false" customWidth="true" hidden="true" outlineLevel="1" max="2" min="2" style="0" width="14.34"/>
    <col collapsed="false" customWidth="true" hidden="false" outlineLevel="0" max="3" min="3" style="0" width="34.11"/>
    <col collapsed="false" customWidth="true" hidden="false" outlineLevel="1" max="5" min="4" style="0" width="12.89"/>
    <col collapsed="false" customWidth="true" hidden="false" outlineLevel="2" max="7" min="6" style="0" width="13.56"/>
    <col collapsed="false" customWidth="true" hidden="false" outlineLevel="2" max="8" min="8" style="0" width="11.78"/>
    <col collapsed="false" customWidth="false" hidden="false" outlineLevel="2" max="9" min="9" style="0" width="10.56"/>
    <col collapsed="false" customWidth="true" hidden="false" outlineLevel="2" max="10" min="10" style="0" width="14.11"/>
    <col collapsed="false" customWidth="true" hidden="false" outlineLevel="2" max="11" min="11" style="0" width="13.78"/>
    <col collapsed="false" customWidth="true" hidden="false" outlineLevel="2" max="12" min="12" style="0" width="13.44"/>
    <col collapsed="false" customWidth="true" hidden="false" outlineLevel="2" max="13" min="13" style="0" width="17.33"/>
    <col collapsed="false" customWidth="true" hidden="false" outlineLevel="2" max="16" min="14" style="0" width="16"/>
    <col collapsed="false" customWidth="true" hidden="false" outlineLevel="2" max="22" min="17" style="0" width="17.56"/>
    <col collapsed="false" customWidth="true" hidden="false" outlineLevel="1" max="23" min="23" style="0" width="9.66"/>
    <col collapsed="false" customWidth="true" hidden="false" outlineLevel="1" max="25" min="24" style="0" width="11.55"/>
    <col collapsed="false" customWidth="true" hidden="false" outlineLevel="1" max="35" min="26" style="0" width="12.67"/>
    <col collapsed="false" customWidth="true" hidden="false" outlineLevel="0" max="37" min="37" style="0" width="13.78"/>
    <col collapsed="false" customWidth="true" hidden="false" outlineLevel="0" max="38" min="38" style="0" width="14.89"/>
    <col collapsed="false" customWidth="true" hidden="false" outlineLevel="1" max="44" min="39" style="0" width="12.67"/>
    <col collapsed="false" customWidth="true" hidden="false" outlineLevel="0" max="45" min="45" style="0" width="12"/>
    <col collapsed="false" customWidth="true" hidden="false" outlineLevel="0" max="50" min="50" style="0" width="14.78"/>
    <col collapsed="false" customWidth="true" hidden="false" outlineLevel="0" max="51" min="51" style="0" width="12.67"/>
    <col collapsed="false" customWidth="true" hidden="false" outlineLevel="0" max="52" min="52" style="0" width="12.45"/>
    <col collapsed="false" customWidth="true" hidden="false" outlineLevel="0" max="55" min="55" style="0" width="12.67"/>
    <col collapsed="false" customWidth="true" hidden="false" outlineLevel="0" max="58" min="58" style="0" width="12.67"/>
  </cols>
  <sheetData>
    <row r="2" customFormat="false" ht="15" hidden="false" customHeight="false" outlineLevel="0" collapsed="false">
      <c r="C2" s="1" t="s">
        <v>0</v>
      </c>
    </row>
    <row r="3" customFormat="false" ht="14.25" hidden="false" customHeight="false" outlineLevel="0" collapsed="false">
      <c r="C3" s="2" t="s">
        <v>1</v>
      </c>
      <c r="G3" s="3"/>
      <c r="M3" s="4"/>
      <c r="N3" s="3"/>
      <c r="O3" s="3"/>
      <c r="P3" s="3"/>
      <c r="R3" s="5"/>
    </row>
    <row r="4" customFormat="false" ht="14.25" hidden="false" customHeight="false" outlineLevel="0" collapsed="false">
      <c r="C4" s="2"/>
      <c r="G4" s="5"/>
      <c r="M4" s="5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7"/>
      <c r="AV4" s="7"/>
    </row>
    <row r="5" customFormat="false" ht="14.25" hidden="false" customHeight="false" outlineLevel="0" collapsed="false">
      <c r="F5" s="8" t="s">
        <v>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X5" s="9" t="n">
        <v>46235</v>
      </c>
      <c r="Y5" s="9"/>
      <c r="Z5" s="9"/>
      <c r="AA5" s="9" t="n">
        <v>46245</v>
      </c>
      <c r="AB5" s="9"/>
      <c r="AC5" s="9"/>
      <c r="AD5" s="9" t="n">
        <v>46250</v>
      </c>
      <c r="AE5" s="9"/>
      <c r="AF5" s="9"/>
      <c r="AG5" s="9" t="n">
        <v>46259</v>
      </c>
      <c r="AH5" s="9"/>
      <c r="AI5" s="9"/>
      <c r="AJ5" s="10" t="s">
        <v>3</v>
      </c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X5" s="11" t="s">
        <v>4</v>
      </c>
      <c r="AY5" s="11"/>
      <c r="AZ5" s="11"/>
      <c r="BA5" s="11"/>
      <c r="BB5" s="11"/>
      <c r="BC5" s="11"/>
      <c r="BD5" s="11"/>
      <c r="BE5" s="11"/>
      <c r="BF5" s="11"/>
    </row>
    <row r="6" s="12" customFormat="true" ht="31.3" hidden="false" customHeight="false" outlineLevel="0" collapsed="false">
      <c r="B6" s="13" t="s">
        <v>5</v>
      </c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8" t="s">
        <v>12</v>
      </c>
      <c r="J6" s="18" t="s">
        <v>13</v>
      </c>
      <c r="K6" s="18" t="s">
        <v>14</v>
      </c>
      <c r="L6" s="19" t="s">
        <v>15</v>
      </c>
      <c r="M6" s="20" t="s">
        <v>16</v>
      </c>
      <c r="N6" s="20" t="s">
        <v>17</v>
      </c>
      <c r="O6" s="20" t="s">
        <v>18</v>
      </c>
      <c r="P6" s="20" t="s">
        <v>19</v>
      </c>
      <c r="Q6" s="21" t="s">
        <v>20</v>
      </c>
      <c r="R6" s="21" t="s">
        <v>21</v>
      </c>
      <c r="S6" s="21" t="s">
        <v>22</v>
      </c>
      <c r="T6" s="21" t="s">
        <v>23</v>
      </c>
      <c r="U6" s="21" t="s">
        <v>24</v>
      </c>
      <c r="V6" s="21" t="s">
        <v>25</v>
      </c>
      <c r="X6" s="22" t="s">
        <v>26</v>
      </c>
      <c r="Y6" s="23" t="s">
        <v>27</v>
      </c>
      <c r="Z6" s="24" t="s">
        <v>28</v>
      </c>
      <c r="AA6" s="22" t="s">
        <v>26</v>
      </c>
      <c r="AB6" s="23" t="s">
        <v>27</v>
      </c>
      <c r="AC6" s="24" t="s">
        <v>28</v>
      </c>
      <c r="AD6" s="22" t="s">
        <v>26</v>
      </c>
      <c r="AE6" s="23" t="s">
        <v>27</v>
      </c>
      <c r="AF6" s="24" t="s">
        <v>28</v>
      </c>
      <c r="AG6" s="22" t="s">
        <v>26</v>
      </c>
      <c r="AH6" s="23" t="s">
        <v>27</v>
      </c>
      <c r="AI6" s="24" t="s">
        <v>28</v>
      </c>
      <c r="AJ6" s="25" t="s">
        <v>26</v>
      </c>
      <c r="AK6" s="26" t="s">
        <v>27</v>
      </c>
      <c r="AL6" s="26" t="s">
        <v>28</v>
      </c>
      <c r="AM6" s="26" t="s">
        <v>9</v>
      </c>
      <c r="AN6" s="26" t="s">
        <v>10</v>
      </c>
      <c r="AO6" s="26" t="s">
        <v>29</v>
      </c>
      <c r="AP6" s="27" t="s">
        <v>12</v>
      </c>
      <c r="AQ6" s="26" t="s">
        <v>13</v>
      </c>
      <c r="AR6" s="26" t="s">
        <v>30</v>
      </c>
      <c r="AS6" s="27" t="s">
        <v>31</v>
      </c>
      <c r="AT6" s="26" t="s">
        <v>32</v>
      </c>
      <c r="AU6" s="26" t="s">
        <v>24</v>
      </c>
      <c r="AV6" s="27" t="s">
        <v>33</v>
      </c>
      <c r="AX6" s="28" t="s">
        <v>28</v>
      </c>
      <c r="AY6" s="28" t="s">
        <v>9</v>
      </c>
      <c r="AZ6" s="28" t="s">
        <v>10</v>
      </c>
      <c r="BA6" s="28" t="s">
        <v>29</v>
      </c>
      <c r="BB6" s="29" t="s">
        <v>12</v>
      </c>
      <c r="BC6" s="28" t="s">
        <v>13</v>
      </c>
      <c r="BD6" s="28" t="s">
        <v>30</v>
      </c>
      <c r="BE6" s="29" t="s">
        <v>31</v>
      </c>
      <c r="BF6" s="29" t="s">
        <v>24</v>
      </c>
    </row>
    <row r="7" customFormat="false" ht="14.25" hidden="false" customHeight="false" outlineLevel="0" collapsed="false">
      <c r="B7" s="30" t="n">
        <v>10005721</v>
      </c>
      <c r="C7" s="31" t="s">
        <v>34</v>
      </c>
      <c r="D7" s="32" t="n">
        <f aca="false">TD!F4</f>
        <v>66.96</v>
      </c>
      <c r="E7" s="33" t="n">
        <f aca="false">IFERROR(F7/D7,0)</f>
        <v>1834.43100611569</v>
      </c>
      <c r="F7" s="34" t="n">
        <f aca="false">TD!G4</f>
        <v>122833.500169507</v>
      </c>
      <c r="G7" s="3" t="n">
        <f aca="false">TD!H4</f>
        <v>13916.9664</v>
      </c>
      <c r="H7" s="3" t="n">
        <f aca="false">TD!I4</f>
        <v>3440.31348036171</v>
      </c>
      <c r="I7" s="3" t="n">
        <f aca="false">TD!J4</f>
        <v>6763.07339431546</v>
      </c>
      <c r="J7" s="3" t="n">
        <f aca="false">TD!K4</f>
        <v>5406.34105700891</v>
      </c>
      <c r="K7" s="34" t="n">
        <v>0</v>
      </c>
      <c r="L7" s="35" t="n">
        <v>0</v>
      </c>
      <c r="M7" s="36" t="n">
        <f aca="false">F7+G7+H7+I7</f>
        <v>146953.853444184</v>
      </c>
      <c r="N7" s="37" t="n">
        <f aca="false">IFERROR(M7/D7,0)</f>
        <v>2194.65133578531</v>
      </c>
      <c r="O7" s="37" t="n">
        <f aca="false">F7+G7+H7-J7</f>
        <v>134784.43899286</v>
      </c>
      <c r="P7" s="37" t="n">
        <f aca="false">IFERROR(O7/D7,0)</f>
        <v>2012.90978185274</v>
      </c>
      <c r="Q7" s="38" t="n">
        <v>1800</v>
      </c>
      <c r="R7" s="38" t="n">
        <f aca="false">Q7*D7</f>
        <v>120528</v>
      </c>
      <c r="S7" s="38" t="n">
        <f aca="false">R7-M7</f>
        <v>-26425.853444184</v>
      </c>
      <c r="T7" s="39" t="n">
        <f aca="false">IFERROR(S7/R7,0)</f>
        <v>-0.219250742102947</v>
      </c>
      <c r="U7" s="38" t="n">
        <f aca="false">R7-(M7-J7-I7)</f>
        <v>-14256.4389928596</v>
      </c>
      <c r="V7" s="39" t="n">
        <f aca="false">IFERROR(U7/R7,0)</f>
        <v>-0.118283212140413</v>
      </c>
      <c r="X7" s="40" t="n">
        <f aca="false" t="array" ref="X7:X7">SUM([1]Hoja5!$H$6:$H$12*([1]Hoja5!$E$6:$E$12=X$5)*($C7=[1]Hoja5!$J$6:$J$12))</f>
        <v>0</v>
      </c>
      <c r="Y7" s="40" t="n">
        <f aca="false" t="array" ref="Y7:Y7">SUM([1]Hoja5!$I$6:$I$12*([1]Hoja5!$E$6:$E$12=X$5)*($C7=[1]Hoja5!$J$6:$J$12))</f>
        <v>0</v>
      </c>
      <c r="Z7" s="41" t="n">
        <f aca="false">IFERROR(Y7/X7,0)</f>
        <v>0</v>
      </c>
      <c r="AA7" s="40" t="n">
        <f aca="false" t="array" ref="AA7:AA7">SUM([1]Hoja5!$H$6:$H$12*([1]Hoja5!$E$6:$E$12=AA$5)*($C7=[1]Hoja5!$J$6:$J$12))</f>
        <v>0</v>
      </c>
      <c r="AB7" s="40" t="n">
        <f aca="false" t="array" ref="AB7:AB7">SUM([1]Hoja5!$I$6:$I$12*([1]Hoja5!$E$6:$E$12=AA$5)*($C7=[1]Hoja5!$J$6:$J$12))</f>
        <v>0</v>
      </c>
      <c r="AC7" s="41" t="n">
        <f aca="false">IFERROR(AB7/AA7,0)</f>
        <v>0</v>
      </c>
      <c r="AD7" s="40" t="n">
        <f aca="false" t="array" ref="AD7:AD7">SUM([1]Hoja5!$H$6:$H$12*([1]Hoja5!$E$6:$E$12=AD$5)*($C7=[1]Hoja5!$J$6:$J$12))</f>
        <v>0</v>
      </c>
      <c r="AE7" s="40" t="n">
        <f aca="false" t="array" ref="AE7:AE7">SUM([1]Hoja5!$I$6:$I$12*([1]Hoja5!$E$6:$E$12=AD$5)*($C7=[1]Hoja5!$J$6:$J$12))</f>
        <v>0</v>
      </c>
      <c r="AF7" s="41" t="n">
        <f aca="false">IFERROR(AE7/AD7,0)</f>
        <v>0</v>
      </c>
      <c r="AG7" s="40" t="n">
        <f aca="false" t="array" ref="AG7:AG7">SUM([1]Hoja5!$H$6:$H$12*([1]Hoja5!$E$6:$E$12=AG$5)*($C7=[1]Hoja5!$J$6:$J$12))</f>
        <v>0</v>
      </c>
      <c r="AH7" s="40" t="n">
        <f aca="false" t="array" ref="AH7:AH7">SUM([1]Hoja5!$I$6:$I$12*([1]Hoja5!$E$6:$E$12=AG$5)*($C7=[1]Hoja5!$J$6:$J$12))</f>
        <v>0</v>
      </c>
      <c r="AI7" s="41" t="n">
        <f aca="false">IFERROR(AH7/AG7,0)</f>
        <v>0</v>
      </c>
      <c r="AJ7" s="42" t="n">
        <f aca="false">X7+AA7+AD7+AG7</f>
        <v>0</v>
      </c>
      <c r="AK7" s="43" t="n">
        <f aca="false">Y7+AB7+AE7+AH7</f>
        <v>0</v>
      </c>
      <c r="AL7" s="44" t="n">
        <f aca="false">IFERROR(AK7/AJ7,0)</f>
        <v>0</v>
      </c>
      <c r="AM7" s="43" t="n">
        <f aca="false">-IFERROR(F7/D7*AJ7,0)</f>
        <v>-0</v>
      </c>
      <c r="AN7" s="44" t="n">
        <f aca="false">-207.84*AJ7</f>
        <v>-0</v>
      </c>
      <c r="AO7" s="43" t="n">
        <f aca="false">$AO$20/$AJ$20*$AJ7</f>
        <v>-0</v>
      </c>
      <c r="AP7" s="44" t="n">
        <f aca="false">$AP$20/$AJ$20*$AJ7</f>
        <v>-0</v>
      </c>
      <c r="AQ7" s="43" t="n">
        <f aca="false">$AQ$20/$AJ$20*$AJ7</f>
        <v>-0</v>
      </c>
      <c r="AR7" s="44" t="n">
        <f aca="false">(AK7-AJ7*$AO$21)*0.03</f>
        <v>0</v>
      </c>
      <c r="AS7" s="43" t="n">
        <f aca="false">AK7+SUM(AM7:AP7,AR7)</f>
        <v>0</v>
      </c>
      <c r="AT7" s="45" t="n">
        <f aca="false">IFERROR(AS7/AK7,0)</f>
        <v>0</v>
      </c>
      <c r="AU7" s="46" t="n">
        <f aca="false">AK7+AM7+AN7+AO7+AR7-AQ7</f>
        <v>0</v>
      </c>
      <c r="AV7" s="47" t="n">
        <f aca="false">IFERROR(AU7/AK7,0)</f>
        <v>0</v>
      </c>
      <c r="AX7" s="48" t="n">
        <f aca="false">AL7</f>
        <v>0</v>
      </c>
      <c r="AY7" s="49" t="n">
        <f aca="false">IFERROR(AM7/$AJ7,0)</f>
        <v>0</v>
      </c>
      <c r="AZ7" s="49" t="n">
        <f aca="false">IFERROR(AN7/$AJ7,0)</f>
        <v>0</v>
      </c>
      <c r="BA7" s="49" t="n">
        <f aca="false">IFERROR(AO7/$AJ7,0)</f>
        <v>0</v>
      </c>
      <c r="BB7" s="49" t="n">
        <f aca="false">IFERROR(AP7/$AJ7,0)</f>
        <v>0</v>
      </c>
      <c r="BC7" s="49" t="n">
        <f aca="false">IFERROR(AQ7/$AJ7,0)</f>
        <v>0</v>
      </c>
      <c r="BD7" s="49" t="n">
        <f aca="false">IFERROR(AR7/$AJ7,0)</f>
        <v>0</v>
      </c>
      <c r="BE7" s="49" t="n">
        <f aca="false">IFERROR(AS7/$AJ7,0)</f>
        <v>0</v>
      </c>
      <c r="BF7" s="49" t="n">
        <f aca="false">IFERROR(AU7/$AJ7,0)</f>
        <v>0</v>
      </c>
      <c r="BG7" s="5"/>
    </row>
    <row r="8" customFormat="false" ht="14.25" hidden="false" customHeight="false" outlineLevel="0" collapsed="false">
      <c r="B8" s="30" t="n">
        <v>10005779</v>
      </c>
      <c r="C8" s="50" t="s">
        <v>35</v>
      </c>
      <c r="D8" s="32" t="n">
        <f aca="false">TD!F5</f>
        <v>379.14</v>
      </c>
      <c r="E8" s="33" t="n">
        <f aca="false">IFERROR(F8/D8,0)</f>
        <v>1483.42296852866</v>
      </c>
      <c r="F8" s="3" t="n">
        <f aca="false">TD!G5</f>
        <v>562424.984287955</v>
      </c>
      <c r="G8" s="3" t="n">
        <f aca="false">TD!H5</f>
        <v>78800.4576</v>
      </c>
      <c r="H8" s="3" t="n">
        <f aca="false">TD!I5</f>
        <v>19479.6961311879</v>
      </c>
      <c r="I8" s="3" t="n">
        <f aca="false">TD!J5</f>
        <v>38293.7820597486</v>
      </c>
      <c r="J8" s="3" t="n">
        <f aca="false">TD!K5</f>
        <v>30611.7106982431</v>
      </c>
      <c r="K8" s="34" t="n">
        <v>0</v>
      </c>
      <c r="L8" s="35" t="n">
        <v>0</v>
      </c>
      <c r="M8" s="36" t="n">
        <f aca="false">F8+G8+H8+I8</f>
        <v>698998.920078892</v>
      </c>
      <c r="N8" s="37" t="n">
        <f aca="false">IFERROR(M8/D8,0)</f>
        <v>1843.64329819827</v>
      </c>
      <c r="O8" s="37" t="n">
        <f aca="false">F8+G8+H8-J8</f>
        <v>630093.4273209</v>
      </c>
      <c r="P8" s="37" t="n">
        <f aca="false">IFERROR(O8/D8,0)</f>
        <v>1661.90174426571</v>
      </c>
      <c r="Q8" s="38" t="n">
        <v>1400</v>
      </c>
      <c r="R8" s="38" t="n">
        <f aca="false">Q8*D8</f>
        <v>530796</v>
      </c>
      <c r="S8" s="38" t="n">
        <f aca="false">R8-M8</f>
        <v>-168202.920078892</v>
      </c>
      <c r="T8" s="39" t="n">
        <f aca="false">IFERROR(S8/R8,0)</f>
        <v>-0.31688807014162</v>
      </c>
      <c r="U8" s="38" t="n">
        <f aca="false">R8-(M8-J8-I8)</f>
        <v>-99297.4273208999</v>
      </c>
      <c r="V8" s="39" t="n">
        <f aca="false">IFERROR(U8/R8,0)</f>
        <v>-0.187072674475505</v>
      </c>
      <c r="X8" s="40" t="n">
        <f aca="false" t="array" ref="X8:X8">SUM([1]Hoja5!$H$6:$H$12*([1]Hoja5!$E$6:$E$12=X$5)*($C8=[1]Hoja5!$J$6:$J$12))</f>
        <v>0</v>
      </c>
      <c r="Y8" s="40" t="n">
        <f aca="false" t="array" ref="Y8:Y8">SUM([1]Hoja5!$I$6:$I$12*([1]Hoja5!$E$6:$E$12=X$5)*($C8=[1]Hoja5!$J$6:$J$12))</f>
        <v>0</v>
      </c>
      <c r="Z8" s="51" t="n">
        <f aca="false">IFERROR(Y8/X8,0)</f>
        <v>0</v>
      </c>
      <c r="AA8" s="40" t="n">
        <f aca="false" t="array" ref="AA8:AA8">SUM([1]Hoja5!$H$6:$H$12*([1]Hoja5!$E$6:$E$12=AA$5)*($C8=[1]Hoja5!$J$6:$J$12))</f>
        <v>0</v>
      </c>
      <c r="AB8" s="40" t="n">
        <f aca="false" t="array" ref="AB8:AB8">SUM([1]Hoja5!$I$6:$I$12*([1]Hoja5!$E$6:$E$12=AA$5)*($C8=[1]Hoja5!$J$6:$J$12))</f>
        <v>0</v>
      </c>
      <c r="AC8" s="51" t="n">
        <f aca="false">IFERROR(AB8/AA8,0)</f>
        <v>0</v>
      </c>
      <c r="AD8" s="40" t="n">
        <f aca="false" t="array" ref="AD8:AD8">SUM([1]Hoja5!$H$6:$H$12*([1]Hoja5!$E$6:$E$12=AD$5)*($C8=[1]Hoja5!$J$6:$J$12))</f>
        <v>0</v>
      </c>
      <c r="AE8" s="40" t="n">
        <f aca="false" t="array" ref="AE8:AE8">SUM([1]Hoja5!$I$6:$I$12*([1]Hoja5!$E$6:$E$12=AD$5)*($C8=[1]Hoja5!$J$6:$J$12))</f>
        <v>0</v>
      </c>
      <c r="AF8" s="51" t="n">
        <f aca="false">IFERROR(AE8/AD8,0)</f>
        <v>0</v>
      </c>
      <c r="AG8" s="40" t="n">
        <f aca="false" t="array" ref="AG8:AG8">SUM([1]Hoja5!$H$6:$H$12*([1]Hoja5!$E$6:$E$12=AG$5)*($C8=[1]Hoja5!$J$6:$J$12))</f>
        <v>78</v>
      </c>
      <c r="AH8" s="40" t="n">
        <f aca="false" t="array" ref="AH8:AH8">SUM([1]Hoja5!$I$6:$I$12*([1]Hoja5!$E$6:$E$12=AG$5)*($C8=[1]Hoja5!$J$6:$J$12))</f>
        <v>103740</v>
      </c>
      <c r="AI8" s="51" t="n">
        <f aca="false">IFERROR(AH8/AG8,0)</f>
        <v>1330</v>
      </c>
      <c r="AJ8" s="42" t="n">
        <f aca="false">X8+AA8+AD8+AG8</f>
        <v>78</v>
      </c>
      <c r="AK8" s="43" t="n">
        <f aca="false">Y8+AB8+AE8+AH8</f>
        <v>103740</v>
      </c>
      <c r="AL8" s="44" t="n">
        <f aca="false">IFERROR(AK8/AJ8,0)</f>
        <v>1330</v>
      </c>
      <c r="AM8" s="43" t="n">
        <f aca="false">-IFERROR(F8/D8*AJ8,0)</f>
        <v>-115706.991545235</v>
      </c>
      <c r="AN8" s="44" t="n">
        <f aca="false">-207.84*AJ8</f>
        <v>-16211.52</v>
      </c>
      <c r="AO8" s="43" t="n">
        <f aca="false">$AO$20/$AJ$20*$AJ8</f>
        <v>-21557.2664603264</v>
      </c>
      <c r="AP8" s="44" t="n">
        <f aca="false">$AP$20/$AJ$20*$AJ8</f>
        <v>-42377.9333145751</v>
      </c>
      <c r="AQ8" s="43" t="n">
        <f aca="false">$AQ$20/$AJ$20*$AJ8</f>
        <v>-33876.5450900394</v>
      </c>
      <c r="AR8" s="44" t="n">
        <f aca="false">(AK8-AJ8*$AO$21)*0.03</f>
        <v>2845.02438218093</v>
      </c>
      <c r="AS8" s="43" t="n">
        <f aca="false">AK8+SUM(AM8:AP8,AR8)</f>
        <v>-89268.6869379559</v>
      </c>
      <c r="AT8" s="45" t="n">
        <f aca="false">IFERROR(AS8/AK8,0)</f>
        <v>-0.860504019066473</v>
      </c>
      <c r="AU8" s="46" t="n">
        <f aca="false">AK8+AM8+AN8+AO8+AR8-AQ8</f>
        <v>-13014.2085333414</v>
      </c>
      <c r="AV8" s="47" t="n">
        <f aca="false">IFERROR(AU8/AK8,0)</f>
        <v>-0.125450246128218</v>
      </c>
      <c r="AX8" s="48" t="n">
        <f aca="false">AL8</f>
        <v>1330</v>
      </c>
      <c r="AY8" s="49" t="n">
        <f aca="false">IFERROR(AM8/$AJ8,0)</f>
        <v>-1483.42296852866</v>
      </c>
      <c r="AZ8" s="49" t="n">
        <f aca="false">IFERROR(AN8/$AJ8,0)</f>
        <v>-207.84</v>
      </c>
      <c r="BA8" s="49" t="n">
        <f aca="false">IFERROR(AO8/$AJ8,0)</f>
        <v>-276.375211029826</v>
      </c>
      <c r="BB8" s="49" t="n">
        <f aca="false">IFERROR(AP8/$AJ8,0)</f>
        <v>-543.306837366348</v>
      </c>
      <c r="BC8" s="49" t="n">
        <f aca="false">IFERROR(AQ8/$AJ8,0)</f>
        <v>-434.314680641531</v>
      </c>
      <c r="BD8" s="49" t="n">
        <f aca="false">IFERROR(AR8/$AJ8,0)</f>
        <v>36.4746715664222</v>
      </c>
      <c r="BE8" s="49" t="n">
        <f aca="false">IFERROR(AS8/$AJ8,0)</f>
        <v>-1144.47034535841</v>
      </c>
      <c r="BF8" s="49" t="n">
        <f aca="false">IFERROR(AU8/$AJ8,0)</f>
        <v>-166.84882735053</v>
      </c>
    </row>
    <row r="9" customFormat="false" ht="14.25" hidden="false" customHeight="false" outlineLevel="0" collapsed="false">
      <c r="B9" s="30" t="n">
        <v>10006719</v>
      </c>
      <c r="C9" s="50" t="s">
        <v>36</v>
      </c>
      <c r="D9" s="32" t="n">
        <f aca="false">TD!F6</f>
        <v>17.9</v>
      </c>
      <c r="E9" s="33" t="n">
        <f aca="false">IFERROR(F9/D9,0)</f>
        <v>1731.97012699901</v>
      </c>
      <c r="F9" s="3" t="n">
        <f aca="false">TD!G6</f>
        <v>31002.2652732823</v>
      </c>
      <c r="G9" s="3" t="n">
        <f aca="false">TD!H6</f>
        <v>3720.336</v>
      </c>
      <c r="H9" s="3" t="n">
        <f aca="false">TD!I6</f>
        <v>919.677588089525</v>
      </c>
      <c r="I9" s="3" t="n">
        <f aca="false">TD!J6</f>
        <v>1807.93031299652</v>
      </c>
      <c r="J9" s="3" t="n">
        <f aca="false">TD!K6</f>
        <v>1445.24350239635</v>
      </c>
      <c r="K9" s="34" t="n">
        <v>0</v>
      </c>
      <c r="L9" s="35" t="n">
        <v>0</v>
      </c>
      <c r="M9" s="36" t="n">
        <f aca="false">F9+G9+H9+I9</f>
        <v>37450.2091743683</v>
      </c>
      <c r="N9" s="37" t="n">
        <f aca="false">IFERROR(M9/D9,0)</f>
        <v>2092.19045666862</v>
      </c>
      <c r="O9" s="37" t="n">
        <f aca="false">F9+G9+H9-J9</f>
        <v>34197.0353589754</v>
      </c>
      <c r="P9" s="37" t="n">
        <f aca="false">IFERROR(O9/D9,0)</f>
        <v>1910.44890273606</v>
      </c>
      <c r="Q9" s="38" t="n">
        <v>1950</v>
      </c>
      <c r="R9" s="38" t="n">
        <f aca="false">Q9*D9</f>
        <v>34905</v>
      </c>
      <c r="S9" s="38" t="n">
        <f aca="false">R9-M9</f>
        <v>-2545.20917436831</v>
      </c>
      <c r="T9" s="39" t="n">
        <f aca="false">IFERROR(S9/R9,0)</f>
        <v>-0.0729181829069848</v>
      </c>
      <c r="U9" s="38" t="n">
        <f aca="false">R9-(M9-J9-I9)</f>
        <v>707.964641024562</v>
      </c>
      <c r="V9" s="39" t="n">
        <f aca="false">IFERROR(U9/R9,0)</f>
        <v>0.0202826139815087</v>
      </c>
      <c r="X9" s="40" t="n">
        <f aca="false" t="array" ref="X9:X9">SUM([1]Hoja5!$H$6:$H$12*([1]Hoja5!$E$6:$E$12=X$5)*($C9=[1]Hoja5!$J$6:$J$12))</f>
        <v>0</v>
      </c>
      <c r="Y9" s="40" t="n">
        <f aca="false" t="array" ref="Y9:Y9">SUM([1]Hoja5!$I$6:$I$12*([1]Hoja5!$E$6:$E$12=X$5)*($C9=[1]Hoja5!$J$6:$J$12))</f>
        <v>0</v>
      </c>
      <c r="Z9" s="51" t="n">
        <f aca="false">IFERROR(Y9/X9,0)</f>
        <v>0</v>
      </c>
      <c r="AA9" s="40" t="n">
        <f aca="false" t="array" ref="AA9:AA9">SUM([1]Hoja5!$H$6:$H$12*([1]Hoja5!$E$6:$E$12=AA$5)*($C9=[1]Hoja5!$J$6:$J$12))</f>
        <v>27</v>
      </c>
      <c r="AB9" s="40" t="n">
        <f aca="false" t="array" ref="AB9:AB9">SUM([1]Hoja5!$I$6:$I$12*([1]Hoja5!$E$6:$E$12=AA$5)*($C9=[1]Hoja5!$J$6:$J$12))</f>
        <v>48600</v>
      </c>
      <c r="AC9" s="51" t="n">
        <f aca="false">IFERROR(AB9/AA9,0)</f>
        <v>1800</v>
      </c>
      <c r="AD9" s="40" t="n">
        <f aca="false" t="array" ref="AD9:AD9">SUM([1]Hoja5!$H$6:$H$12*([1]Hoja5!$E$6:$E$12=AD$5)*($C9=[1]Hoja5!$J$6:$J$12))</f>
        <v>0</v>
      </c>
      <c r="AE9" s="40" t="n">
        <f aca="false" t="array" ref="AE9:AE9">SUM([1]Hoja5!$I$6:$I$12*([1]Hoja5!$E$6:$E$12=AD$5)*($C9=[1]Hoja5!$J$6:$J$12))</f>
        <v>0</v>
      </c>
      <c r="AF9" s="51" t="n">
        <f aca="false">IFERROR(AE9/AD9,0)</f>
        <v>0</v>
      </c>
      <c r="AG9" s="40" t="n">
        <f aca="false" t="array" ref="AG9:AG9">SUM([1]Hoja5!$H$6:$H$12*([1]Hoja5!$E$6:$E$12=AG$5)*($C9=[1]Hoja5!$J$6:$J$12))</f>
        <v>0</v>
      </c>
      <c r="AH9" s="40" t="n">
        <f aca="false" t="array" ref="AH9:AH9">SUM([1]Hoja5!$I$6:$I$12*([1]Hoja5!$E$6:$E$12=AG$5)*($C9=[1]Hoja5!$J$6:$J$12))</f>
        <v>0</v>
      </c>
      <c r="AI9" s="51" t="n">
        <f aca="false">IFERROR(AH9/AG9,0)</f>
        <v>0</v>
      </c>
      <c r="AJ9" s="42" t="n">
        <f aca="false">X9+AA9+AD9+AG9</f>
        <v>27</v>
      </c>
      <c r="AK9" s="43" t="n">
        <f aca="false">Y9+AB9+AE9+AH9</f>
        <v>48600</v>
      </c>
      <c r="AL9" s="44" t="n">
        <f aca="false">IFERROR(AK9/AJ9,0)</f>
        <v>1800</v>
      </c>
      <c r="AM9" s="43" t="n">
        <f aca="false">-IFERROR(F9/D9*AJ9,0)</f>
        <v>-46763.1934289733</v>
      </c>
      <c r="AN9" s="44" t="n">
        <f aca="false">-207.84*AJ9</f>
        <v>-5611.68</v>
      </c>
      <c r="AO9" s="43" t="n">
        <f aca="false">$AO$20/$AJ$20*$AJ9</f>
        <v>-7462.13069780529</v>
      </c>
      <c r="AP9" s="44" t="n">
        <f aca="false">$AP$20/$AJ$20*$AJ9</f>
        <v>-14669.2846088914</v>
      </c>
      <c r="AQ9" s="43" t="n">
        <f aca="false">$AQ$20/$AJ$20*$AJ9</f>
        <v>-11726.4963773213</v>
      </c>
      <c r="AR9" s="44" t="n">
        <f aca="false">(AK9-AJ9*$AO$21)*0.03</f>
        <v>1365.5161322934</v>
      </c>
      <c r="AS9" s="43" t="n">
        <f aca="false">AK9+SUM(AM9:AP9,AR9)</f>
        <v>-24540.7726033765</v>
      </c>
      <c r="AT9" s="45" t="n">
        <f aca="false">IFERROR(AS9/AK9,0)</f>
        <v>-0.504954168793756</v>
      </c>
      <c r="AU9" s="46" t="n">
        <f aca="false">AK9+AM9+AN9+AO9+AR9-AQ9</f>
        <v>1855.00838283618</v>
      </c>
      <c r="AV9" s="47" t="n">
        <f aca="false">IFERROR(AU9/AK9,0)</f>
        <v>0.0381688967661766</v>
      </c>
      <c r="AX9" s="48" t="n">
        <f aca="false">AL9</f>
        <v>1800</v>
      </c>
      <c r="AY9" s="49" t="n">
        <f aca="false">IFERROR(AM9/$AJ9,0)</f>
        <v>-1731.97012699901</v>
      </c>
      <c r="AZ9" s="49" t="n">
        <f aca="false">IFERROR(AN9/$AJ9,0)</f>
        <v>-207.84</v>
      </c>
      <c r="BA9" s="49" t="n">
        <f aca="false">IFERROR(AO9/$AJ9,0)</f>
        <v>-276.375211029826</v>
      </c>
      <c r="BB9" s="49" t="n">
        <f aca="false">IFERROR(AP9/$AJ9,0)</f>
        <v>-543.306837366348</v>
      </c>
      <c r="BC9" s="49" t="n">
        <f aca="false">IFERROR(AQ9/$AJ9,0)</f>
        <v>-434.314680641531</v>
      </c>
      <c r="BD9" s="49" t="n">
        <f aca="false">IFERROR(AR9/$AJ9,0)</f>
        <v>50.5746715664222</v>
      </c>
      <c r="BE9" s="49" t="n">
        <f aca="false">IFERROR(AS9/$AJ9,0)</f>
        <v>-908.917503828761</v>
      </c>
      <c r="BF9" s="49" t="n">
        <f aca="false">IFERROR(AU9/$AJ9,0)</f>
        <v>68.7040141791179</v>
      </c>
    </row>
    <row r="10" customFormat="false" ht="14.25" hidden="false" customHeight="false" outlineLevel="0" collapsed="false">
      <c r="B10" s="30" t="n">
        <v>10007050</v>
      </c>
      <c r="C10" s="50" t="s">
        <v>37</v>
      </c>
      <c r="D10" s="32" t="n">
        <f aca="false">TD!F7</f>
        <v>124.54</v>
      </c>
      <c r="E10" s="33" t="n">
        <f aca="false">IFERROR(F10/D10,0)</f>
        <v>1308.20982311726</v>
      </c>
      <c r="F10" s="3" t="n">
        <f aca="false">TD!G7</f>
        <v>162924.451371024</v>
      </c>
      <c r="G10" s="3" t="n">
        <f aca="false">TD!H7</f>
        <v>25884.3936</v>
      </c>
      <c r="H10" s="3" t="n">
        <f aca="false">TD!I7</f>
        <v>6398.69535311003</v>
      </c>
      <c r="I10" s="3" t="n">
        <f aca="false">TD!J7</f>
        <v>12578.7509039434</v>
      </c>
      <c r="J10" s="3" t="n">
        <f aca="false">TD!K7</f>
        <v>10055.342222818</v>
      </c>
      <c r="K10" s="34" t="n">
        <v>0</v>
      </c>
      <c r="L10" s="35" t="n">
        <v>0</v>
      </c>
      <c r="M10" s="36" t="n">
        <f aca="false">F10+G10+H10+I10</f>
        <v>207786.291228077</v>
      </c>
      <c r="N10" s="37" t="n">
        <f aca="false">IFERROR(M10/D10,0)</f>
        <v>1668.43015278687</v>
      </c>
      <c r="O10" s="37" t="n">
        <f aca="false">F10+G10+H10-J10</f>
        <v>185152.198101316</v>
      </c>
      <c r="P10" s="37" t="n">
        <f aca="false">IFERROR(O10/D10,0)</f>
        <v>1486.68859885431</v>
      </c>
      <c r="Q10" s="38" t="n">
        <v>1700</v>
      </c>
      <c r="R10" s="38" t="n">
        <f aca="false">Q10*D10</f>
        <v>211718</v>
      </c>
      <c r="S10" s="38" t="n">
        <f aca="false">R10-M10</f>
        <v>3931.70877192312</v>
      </c>
      <c r="T10" s="39" t="n">
        <f aca="false">IFERROR(S10/R10,0)</f>
        <v>0.0185704983606643</v>
      </c>
      <c r="U10" s="38" t="n">
        <f aca="false">R10-(M10-J10-I10)</f>
        <v>26565.8018986844</v>
      </c>
      <c r="V10" s="39" t="n">
        <f aca="false">IFERROR(U10/R10,0)</f>
        <v>0.125477294791583</v>
      </c>
      <c r="X10" s="40" t="n">
        <f aca="false" t="array" ref="X10:X10">SUM([1]Hoja5!$H$6:$H$12*([1]Hoja5!$E$6:$E$12=X$5)*($C10=[1]Hoja5!$J$6:$J$12))</f>
        <v>0</v>
      </c>
      <c r="Y10" s="40" t="n">
        <f aca="false" t="array" ref="Y10:Y10">SUM([1]Hoja5!$I$6:$I$12*([1]Hoja5!$E$6:$E$12=X$5)*($C10=[1]Hoja5!$J$6:$J$12))</f>
        <v>0</v>
      </c>
      <c r="Z10" s="51" t="n">
        <f aca="false">IFERROR(Y10/X10,0)</f>
        <v>0</v>
      </c>
      <c r="AA10" s="40" t="n">
        <f aca="false" t="array" ref="AA10:AA10">SUM([1]Hoja5!$H$6:$H$12*([1]Hoja5!$E$6:$E$12=AA$5)*($C10=[1]Hoja5!$J$6:$J$12))</f>
        <v>0</v>
      </c>
      <c r="AB10" s="40" t="n">
        <f aca="false" t="array" ref="AB10:AB10">SUM([1]Hoja5!$I$6:$I$12*([1]Hoja5!$E$6:$E$12=AA$5)*($C10=[1]Hoja5!$J$6:$J$12))</f>
        <v>0</v>
      </c>
      <c r="AC10" s="51" t="n">
        <f aca="false">IFERROR(AB10/AA10,0)</f>
        <v>0</v>
      </c>
      <c r="AD10" s="40" t="n">
        <f aca="false" t="array" ref="AD10:AD10">SUM([1]Hoja5!$H$6:$H$12*([1]Hoja5!$E$6:$E$12=AD$5)*($C10=[1]Hoja5!$J$6:$J$12))</f>
        <v>0</v>
      </c>
      <c r="AE10" s="40" t="n">
        <f aca="false" t="array" ref="AE10:AE10">SUM([1]Hoja5!$I$6:$I$12*([1]Hoja5!$E$6:$E$12=AD$5)*($C10=[1]Hoja5!$J$6:$J$12))</f>
        <v>0</v>
      </c>
      <c r="AF10" s="51" t="n">
        <f aca="false">IFERROR(AE10/AD10,0)</f>
        <v>0</v>
      </c>
      <c r="AG10" s="40" t="n">
        <f aca="false" t="array" ref="AG10:AG10">SUM([1]Hoja5!$H$6:$H$12*([1]Hoja5!$E$6:$E$12=AG$5)*($C10=[1]Hoja5!$J$6:$J$12))</f>
        <v>0</v>
      </c>
      <c r="AH10" s="40" t="n">
        <f aca="false" t="array" ref="AH10:AH10">SUM([1]Hoja5!$I$6:$I$12*([1]Hoja5!$E$6:$E$12=AG$5)*($C10=[1]Hoja5!$J$6:$J$12))</f>
        <v>0</v>
      </c>
      <c r="AI10" s="51" t="n">
        <f aca="false">IFERROR(AH10/AG10,0)</f>
        <v>0</v>
      </c>
      <c r="AJ10" s="42" t="n">
        <f aca="false">X10+AA10+AD10+AG10</f>
        <v>0</v>
      </c>
      <c r="AK10" s="43" t="n">
        <f aca="false">Y10+AB10+AE10+AH10</f>
        <v>0</v>
      </c>
      <c r="AL10" s="44" t="n">
        <f aca="false">IFERROR(AK10/AJ10,0)</f>
        <v>0</v>
      </c>
      <c r="AM10" s="43" t="n">
        <f aca="false">-IFERROR(F10/D10*AJ10,0)</f>
        <v>-0</v>
      </c>
      <c r="AN10" s="44" t="n">
        <f aca="false">-207.84*AJ10</f>
        <v>-0</v>
      </c>
      <c r="AO10" s="43" t="n">
        <f aca="false">$AO$20/$AJ$20*$AJ10</f>
        <v>-0</v>
      </c>
      <c r="AP10" s="44" t="n">
        <f aca="false">$AP$20/$AJ$20*$AJ10</f>
        <v>-0</v>
      </c>
      <c r="AQ10" s="43" t="n">
        <f aca="false">$AQ$20/$AJ$20*$AJ10</f>
        <v>-0</v>
      </c>
      <c r="AR10" s="44" t="n">
        <f aca="false">(AK10-AJ10*$AO$21)*0.03</f>
        <v>0</v>
      </c>
      <c r="AS10" s="43" t="n">
        <f aca="false">AK10+SUM(AM10:AP10,AR10)</f>
        <v>0</v>
      </c>
      <c r="AT10" s="45" t="n">
        <f aca="false">IFERROR(AS10/AK10,0)</f>
        <v>0</v>
      </c>
      <c r="AU10" s="46" t="n">
        <f aca="false">AK10+AM10+AN10+AO10+AR10-AQ10</f>
        <v>0</v>
      </c>
      <c r="AV10" s="47" t="n">
        <f aca="false">IFERROR(AU10/AK10,0)</f>
        <v>0</v>
      </c>
      <c r="AX10" s="48" t="n">
        <f aca="false">AL10</f>
        <v>0</v>
      </c>
      <c r="AY10" s="49" t="n">
        <f aca="false">IFERROR(AM10/$AJ10,0)</f>
        <v>0</v>
      </c>
      <c r="AZ10" s="49" t="n">
        <f aca="false">IFERROR(AN10/$AJ10,0)</f>
        <v>0</v>
      </c>
      <c r="BA10" s="49" t="n">
        <f aca="false">IFERROR(AO10/$AJ10,0)</f>
        <v>0</v>
      </c>
      <c r="BB10" s="49" t="n">
        <f aca="false">IFERROR(AP10/$AJ10,0)</f>
        <v>0</v>
      </c>
      <c r="BC10" s="49" t="n">
        <f aca="false">IFERROR(AQ10/$AJ10,0)</f>
        <v>0</v>
      </c>
      <c r="BD10" s="49" t="n">
        <f aca="false">IFERROR(AR10/$AJ10,0)</f>
        <v>0</v>
      </c>
      <c r="BE10" s="49" t="n">
        <f aca="false">IFERROR(AS10/$AJ10,0)</f>
        <v>0</v>
      </c>
      <c r="BF10" s="49" t="n">
        <f aca="false">IFERROR(AU10/$AJ10,0)</f>
        <v>0</v>
      </c>
    </row>
    <row r="11" customFormat="false" ht="14.25" hidden="false" customHeight="false" outlineLevel="0" collapsed="false">
      <c r="B11" s="30" t="n">
        <v>10007162</v>
      </c>
      <c r="C11" s="50" t="s">
        <v>38</v>
      </c>
      <c r="D11" s="32" t="n">
        <f aca="false">TD!F8</f>
        <v>270.4</v>
      </c>
      <c r="E11" s="33" t="n">
        <f aca="false">IFERROR(F11/D11,0)</f>
        <v>1596.55881400912</v>
      </c>
      <c r="F11" s="3" t="n">
        <f aca="false">TD!G8</f>
        <v>431709.503308067</v>
      </c>
      <c r="G11" s="3" t="n">
        <f aca="false">TD!H8</f>
        <v>56199.936</v>
      </c>
      <c r="H11" s="3" t="n">
        <f aca="false">TD!I8</f>
        <v>13892.7832301345</v>
      </c>
      <c r="I11" s="3" t="n">
        <f aca="false">TD!J8</f>
        <v>27310.8579125284</v>
      </c>
      <c r="J11" s="3" t="n">
        <f aca="false">TD!K8</f>
        <v>21832.0582708365</v>
      </c>
      <c r="K11" s="34" t="n">
        <v>0</v>
      </c>
      <c r="L11" s="35" t="n">
        <v>0</v>
      </c>
      <c r="M11" s="36" t="n">
        <f aca="false">F11+G11+H11+I11</f>
        <v>529113.08045073</v>
      </c>
      <c r="N11" s="37" t="n">
        <f aca="false">IFERROR(M11/D11,0)</f>
        <v>1956.77914367874</v>
      </c>
      <c r="O11" s="37" t="n">
        <f aca="false">F11+G11+H11-J11</f>
        <v>479970.164267365</v>
      </c>
      <c r="P11" s="37" t="n">
        <f aca="false">IFERROR(O11/D11,0)</f>
        <v>1775.03758974617</v>
      </c>
      <c r="Q11" s="38" t="n">
        <v>2700</v>
      </c>
      <c r="R11" s="38" t="n">
        <f aca="false">Q11*D11</f>
        <v>730080</v>
      </c>
      <c r="S11" s="38" t="n">
        <f aca="false">R11-M11</f>
        <v>200966.91954927</v>
      </c>
      <c r="T11" s="39" t="n">
        <f aca="false">IFERROR(S11/R11,0)</f>
        <v>0.275266983822691</v>
      </c>
      <c r="U11" s="38" t="n">
        <f aca="false">R11-(M11-J11-I11)</f>
        <v>250109.835732635</v>
      </c>
      <c r="V11" s="39" t="n">
        <f aca="false">IFERROR(U11/R11,0)</f>
        <v>0.34257867046438</v>
      </c>
      <c r="X11" s="40" t="n">
        <f aca="false" t="array" ref="X11:X11">SUM([1]Hoja5!$H$6:$H$12*([1]Hoja5!$E$6:$E$12=X$5)*($C11=[1]Hoja5!$J$6:$J$12))</f>
        <v>81</v>
      </c>
      <c r="Y11" s="40" t="n">
        <f aca="false" t="array" ref="Y11:Y11">SUM([1]Hoja5!$I$6:$I$12*([1]Hoja5!$E$6:$E$12=X$5)*($C11=[1]Hoja5!$J$6:$J$12))</f>
        <v>213300</v>
      </c>
      <c r="Z11" s="51" t="n">
        <f aca="false">IFERROR(Y11/X11,0)</f>
        <v>2633.33333333333</v>
      </c>
      <c r="AA11" s="40" t="n">
        <f aca="false" t="array" ref="AA11:AA11">SUM([1]Hoja5!$H$6:$H$12*([1]Hoja5!$E$6:$E$12=AA$5)*($C11=[1]Hoja5!$J$6:$J$12))</f>
        <v>0</v>
      </c>
      <c r="AB11" s="40" t="n">
        <f aca="false" t="array" ref="AB11:AB11">SUM([1]Hoja5!$I$6:$I$12*([1]Hoja5!$E$6:$E$12=AA$5)*($C11=[1]Hoja5!$J$6:$J$12))</f>
        <v>0</v>
      </c>
      <c r="AC11" s="51" t="n">
        <f aca="false">IFERROR(AB11/AA11,0)</f>
        <v>0</v>
      </c>
      <c r="AD11" s="40" t="n">
        <f aca="false" t="array" ref="AD11:AD11">SUM([1]Hoja5!$H$6:$H$12*([1]Hoja5!$E$6:$E$12=AD$5)*($C11=[1]Hoja5!$J$6:$J$12))</f>
        <v>0</v>
      </c>
      <c r="AE11" s="40" t="n">
        <f aca="false" t="array" ref="AE11:AE11">SUM([1]Hoja5!$I$6:$I$12*([1]Hoja5!$E$6:$E$12=AD$5)*($C11=[1]Hoja5!$J$6:$J$12))</f>
        <v>0</v>
      </c>
      <c r="AF11" s="51" t="n">
        <f aca="false">IFERROR(AE11/AD11,0)</f>
        <v>0</v>
      </c>
      <c r="AG11" s="40" t="n">
        <f aca="false" t="array" ref="AG11:AG11">SUM([1]Hoja5!$H$6:$H$12*([1]Hoja5!$E$6:$E$12=AG$5)*($C11=[1]Hoja5!$J$6:$J$12))</f>
        <v>0</v>
      </c>
      <c r="AH11" s="40" t="n">
        <f aca="false" t="array" ref="AH11:AH11">SUM([1]Hoja5!$I$6:$I$12*([1]Hoja5!$E$6:$E$12=AG$5)*($C11=[1]Hoja5!$J$6:$J$12))</f>
        <v>0</v>
      </c>
      <c r="AI11" s="51" t="n">
        <f aca="false">IFERROR(AH11/AG11,0)</f>
        <v>0</v>
      </c>
      <c r="AJ11" s="42" t="n">
        <f aca="false">X11+AA11+AD11+AG11</f>
        <v>81</v>
      </c>
      <c r="AK11" s="43" t="n">
        <f aca="false">Y11+AB11+AE11+AH11</f>
        <v>213300</v>
      </c>
      <c r="AL11" s="44" t="n">
        <f aca="false">IFERROR(AK11/AJ11,0)</f>
        <v>2633.33333333333</v>
      </c>
      <c r="AM11" s="43" t="n">
        <f aca="false">-IFERROR(F11/D11*AJ11,0)</f>
        <v>-129321.263934739</v>
      </c>
      <c r="AN11" s="44" t="n">
        <f aca="false">-207.84*AJ11</f>
        <v>-16835.04</v>
      </c>
      <c r="AO11" s="43" t="n">
        <f aca="false">$AO$20/$AJ$20*$AJ11</f>
        <v>-22386.3920934159</v>
      </c>
      <c r="AP11" s="44" t="n">
        <f aca="false">$AP$20/$AJ$20*$AJ11</f>
        <v>-44007.8538266742</v>
      </c>
      <c r="AQ11" s="43" t="n">
        <f aca="false">$AQ$20/$AJ$20*$AJ11</f>
        <v>-35179.489131964</v>
      </c>
      <c r="AR11" s="44" t="n">
        <f aca="false">(AK11-AJ11*$AO$21)*0.03</f>
        <v>6121.5483968802</v>
      </c>
      <c r="AS11" s="43" t="n">
        <f aca="false">AK11+SUM(AM11:AP11,AR11)</f>
        <v>6870.99854205109</v>
      </c>
      <c r="AT11" s="45" t="n">
        <f aca="false">IFERROR(AS11/AK11,0)</f>
        <v>0.0322128389219461</v>
      </c>
      <c r="AU11" s="46" t="n">
        <f aca="false">AK11+AM11+AN11+AO11+AR11-AQ11</f>
        <v>86058.3415006893</v>
      </c>
      <c r="AV11" s="47" t="n">
        <f aca="false">IFERROR(AU11/AK11,0)</f>
        <v>0.403461516646457</v>
      </c>
      <c r="AX11" s="48" t="n">
        <f aca="false">AL11</f>
        <v>2633.33333333333</v>
      </c>
      <c r="AY11" s="49" t="n">
        <f aca="false">IFERROR(AM11/$AJ11,0)</f>
        <v>-1596.55881400912</v>
      </c>
      <c r="AZ11" s="49" t="n">
        <f aca="false">IFERROR(AN11/$AJ11,0)</f>
        <v>-207.84</v>
      </c>
      <c r="BA11" s="49" t="n">
        <f aca="false">IFERROR(AO11/$AJ11,0)</f>
        <v>-276.375211029826</v>
      </c>
      <c r="BB11" s="49" t="n">
        <f aca="false">IFERROR(AP11/$AJ11,0)</f>
        <v>-543.306837366348</v>
      </c>
      <c r="BC11" s="49" t="n">
        <f aca="false">IFERROR(AQ11/$AJ11,0)</f>
        <v>-434.314680641531</v>
      </c>
      <c r="BD11" s="49" t="n">
        <f aca="false">IFERROR(AR11/$AJ11,0)</f>
        <v>75.5746715664222</v>
      </c>
      <c r="BE11" s="49" t="n">
        <f aca="false">IFERROR(AS11/$AJ11,0)</f>
        <v>84.8271424944579</v>
      </c>
      <c r="BF11" s="49" t="n">
        <f aca="false">IFERROR(AU11/$AJ11,0)</f>
        <v>1062.44866050234</v>
      </c>
    </row>
    <row r="12" customFormat="false" ht="14.25" hidden="false" customHeight="false" outlineLevel="0" collapsed="false">
      <c r="B12" s="30" t="n">
        <v>10007567</v>
      </c>
      <c r="C12" s="50" t="s">
        <v>39</v>
      </c>
      <c r="D12" s="32" t="n">
        <f aca="false">TD!F9</f>
        <v>132.38</v>
      </c>
      <c r="E12" s="33" t="n">
        <f aca="false">IFERROR(F12/D12,0)</f>
        <v>1540.16366904568</v>
      </c>
      <c r="F12" s="3" t="n">
        <f aca="false">TD!G9</f>
        <v>203886.866508268</v>
      </c>
      <c r="G12" s="3" t="n">
        <f aca="false">TD!H9</f>
        <v>27513.8592</v>
      </c>
      <c r="H12" s="3" t="n">
        <f aca="false">TD!I9</f>
        <v>6801.503860966</v>
      </c>
      <c r="I12" s="3" t="n">
        <f aca="false">TD!J9</f>
        <v>13370.6041806971</v>
      </c>
      <c r="J12" s="3" t="n">
        <f aca="false">TD!K9</f>
        <v>10688.3427288955</v>
      </c>
      <c r="K12" s="34" t="n">
        <v>0</v>
      </c>
      <c r="L12" s="35" t="n">
        <v>0</v>
      </c>
      <c r="M12" s="36" t="n">
        <f aca="false">F12+G12+H12+I12</f>
        <v>251572.833749931</v>
      </c>
      <c r="N12" s="37" t="n">
        <f aca="false">IFERROR(M12/D12,0)</f>
        <v>1900.3839987153</v>
      </c>
      <c r="O12" s="37" t="n">
        <f aca="false">F12+G12+H12-J12</f>
        <v>227513.886840338</v>
      </c>
      <c r="P12" s="37" t="n">
        <f aca="false">IFERROR(O12/D12,0)</f>
        <v>1718.64244478273</v>
      </c>
      <c r="Q12" s="38" t="n">
        <v>2800</v>
      </c>
      <c r="R12" s="38" t="n">
        <f aca="false">Q12*D12</f>
        <v>370664</v>
      </c>
      <c r="S12" s="38" t="n">
        <f aca="false">R12-M12</f>
        <v>119091.166250069</v>
      </c>
      <c r="T12" s="39" t="n">
        <f aca="false">IFERROR(S12/R12,0)</f>
        <v>0.321291429030251</v>
      </c>
      <c r="U12" s="38" t="n">
        <f aca="false">R12-(M12-J12-I12)</f>
        <v>143150.113159662</v>
      </c>
      <c r="V12" s="39" t="n">
        <f aca="false">IFERROR(U12/R12,0)</f>
        <v>0.386199126863309</v>
      </c>
      <c r="X12" s="40" t="n">
        <f aca="false" t="array" ref="X12:X12">SUM([1]Hoja5!$H$6:$H$12*([1]Hoja5!$E$6:$E$12=X$5)*($C12=[1]Hoja5!$J$6:$J$12))</f>
        <v>0</v>
      </c>
      <c r="Y12" s="40" t="n">
        <f aca="false" t="array" ref="Y12:Y12">SUM([1]Hoja5!$I$6:$I$12*([1]Hoja5!$E$6:$E$12=X$5)*($C12=[1]Hoja5!$J$6:$J$12))</f>
        <v>0</v>
      </c>
      <c r="Z12" s="51" t="n">
        <f aca="false">IFERROR(Y12/X12,0)</f>
        <v>0</v>
      </c>
      <c r="AA12" s="40" t="n">
        <f aca="false" t="array" ref="AA12:AA12">SUM([1]Hoja5!$H$6:$H$12*([1]Hoja5!$E$6:$E$12=AA$5)*($C12=[1]Hoja5!$J$6:$J$12))</f>
        <v>0</v>
      </c>
      <c r="AB12" s="40" t="n">
        <f aca="false" t="array" ref="AB12:AB12">SUM([1]Hoja5!$I$6:$I$12*([1]Hoja5!$E$6:$E$12=AA$5)*($C12=[1]Hoja5!$J$6:$J$12))</f>
        <v>0</v>
      </c>
      <c r="AC12" s="51" t="n">
        <f aca="false">IFERROR(AB12/AA12,0)</f>
        <v>0</v>
      </c>
      <c r="AD12" s="40" t="n">
        <f aca="false" t="array" ref="AD12:AD12">SUM([1]Hoja5!$H$6:$H$12*([1]Hoja5!$E$6:$E$12=AD$5)*($C12=[1]Hoja5!$J$6:$J$12))</f>
        <v>0</v>
      </c>
      <c r="AE12" s="40" t="n">
        <f aca="false" t="array" ref="AE12:AE12">SUM([1]Hoja5!$I$6:$I$12*([1]Hoja5!$E$6:$E$12=AD$5)*($C12=[1]Hoja5!$J$6:$J$12))</f>
        <v>0</v>
      </c>
      <c r="AF12" s="51" t="n">
        <f aca="false">IFERROR(AE12/AD12,0)</f>
        <v>0</v>
      </c>
      <c r="AG12" s="40" t="n">
        <f aca="false" t="array" ref="AG12:AG12">SUM([1]Hoja5!$H$6:$H$12*([1]Hoja5!$E$6:$E$12=AG$5)*($C12=[1]Hoja5!$J$6:$J$12))</f>
        <v>0</v>
      </c>
      <c r="AH12" s="40" t="n">
        <f aca="false" t="array" ref="AH12:AH12">SUM([1]Hoja5!$I$6:$I$12*([1]Hoja5!$E$6:$E$12=AG$5)*($C12=[1]Hoja5!$J$6:$J$12))</f>
        <v>0</v>
      </c>
      <c r="AI12" s="51" t="n">
        <f aca="false">IFERROR(AH12/AG12,0)</f>
        <v>0</v>
      </c>
      <c r="AJ12" s="42" t="n">
        <f aca="false">X12+AA12+AD12+AG12</f>
        <v>0</v>
      </c>
      <c r="AK12" s="43" t="n">
        <f aca="false">Y12+AB12+AE12+AH12</f>
        <v>0</v>
      </c>
      <c r="AL12" s="44" t="n">
        <f aca="false">IFERROR(AK12/AJ12,0)</f>
        <v>0</v>
      </c>
      <c r="AM12" s="43" t="n">
        <f aca="false">-IFERROR(F12/D12*AJ12,0)</f>
        <v>-0</v>
      </c>
      <c r="AN12" s="44" t="n">
        <f aca="false">-207.84*AJ12</f>
        <v>-0</v>
      </c>
      <c r="AO12" s="43" t="n">
        <f aca="false">$AO$20/$AJ$20*$AJ12</f>
        <v>-0</v>
      </c>
      <c r="AP12" s="44" t="n">
        <f aca="false">$AP$20/$AJ$20*$AJ12</f>
        <v>-0</v>
      </c>
      <c r="AQ12" s="43" t="n">
        <f aca="false">$AQ$20/$AJ$20*$AJ12</f>
        <v>-0</v>
      </c>
      <c r="AR12" s="44" t="n">
        <f aca="false">(AK12-AJ12*$AO$21)*0.03</f>
        <v>0</v>
      </c>
      <c r="AS12" s="43" t="n">
        <f aca="false">AK12+SUM(AM12:AP12,AR12)</f>
        <v>0</v>
      </c>
      <c r="AT12" s="45" t="n">
        <f aca="false">IFERROR(AS12/AK12,0)</f>
        <v>0</v>
      </c>
      <c r="AU12" s="46" t="n">
        <f aca="false">AK12+AM12+AN12+AO12+AR12-AQ12</f>
        <v>0</v>
      </c>
      <c r="AV12" s="47" t="n">
        <f aca="false">IFERROR(AU12/AK12,0)</f>
        <v>0</v>
      </c>
      <c r="AX12" s="48" t="n">
        <f aca="false">AL12</f>
        <v>0</v>
      </c>
      <c r="AY12" s="49" t="n">
        <f aca="false">IFERROR(AM12/$AJ12,0)</f>
        <v>0</v>
      </c>
      <c r="AZ12" s="49" t="n">
        <f aca="false">IFERROR(AN12/$AJ12,0)</f>
        <v>0</v>
      </c>
      <c r="BA12" s="49" t="n">
        <f aca="false">IFERROR(AO12/$AJ12,0)</f>
        <v>0</v>
      </c>
      <c r="BB12" s="49" t="n">
        <f aca="false">IFERROR(AP12/$AJ12,0)</f>
        <v>0</v>
      </c>
      <c r="BC12" s="49" t="n">
        <f aca="false">IFERROR(AQ12/$AJ12,0)</f>
        <v>0</v>
      </c>
      <c r="BD12" s="49" t="n">
        <f aca="false">IFERROR(AR12/$AJ12,0)</f>
        <v>0</v>
      </c>
      <c r="BE12" s="49" t="n">
        <f aca="false">IFERROR(AS12/$AJ12,0)</f>
        <v>0</v>
      </c>
      <c r="BF12" s="49" t="n">
        <f aca="false">IFERROR(AU12/$AJ12,0)</f>
        <v>0</v>
      </c>
    </row>
    <row r="13" customFormat="false" ht="14.25" hidden="false" customHeight="false" outlineLevel="0" collapsed="false">
      <c r="B13" s="30" t="n">
        <v>10007969</v>
      </c>
      <c r="C13" s="50" t="s">
        <v>40</v>
      </c>
      <c r="D13" s="32" t="n">
        <f aca="false">TD!F10</f>
        <v>0</v>
      </c>
      <c r="E13" s="33" t="n">
        <f aca="false">IFERROR(F13/D13,0)</f>
        <v>0</v>
      </c>
      <c r="F13" s="3" t="n">
        <f aca="false">TD!G10</f>
        <v>0</v>
      </c>
      <c r="G13" s="3" t="n">
        <f aca="false">TD!H10</f>
        <v>0</v>
      </c>
      <c r="H13" s="3" t="n">
        <f aca="false">TD!I10</f>
        <v>0</v>
      </c>
      <c r="I13" s="3" t="n">
        <f aca="false">TD!J10</f>
        <v>0</v>
      </c>
      <c r="J13" s="3" t="n">
        <f aca="false">TD!K10</f>
        <v>0</v>
      </c>
      <c r="K13" s="34" t="n">
        <v>0</v>
      </c>
      <c r="L13" s="35" t="n">
        <v>0</v>
      </c>
      <c r="M13" s="36" t="n">
        <f aca="false">F13+G13+H13+I13</f>
        <v>0</v>
      </c>
      <c r="N13" s="37" t="n">
        <f aca="false">IFERROR(M13/D13,0)</f>
        <v>0</v>
      </c>
      <c r="O13" s="37" t="n">
        <f aca="false">F13+G13+H13-J13</f>
        <v>0</v>
      </c>
      <c r="P13" s="37" t="n">
        <f aca="false">IFERROR(O13/D13,0)</f>
        <v>0</v>
      </c>
      <c r="Q13" s="38" t="n">
        <v>1700</v>
      </c>
      <c r="R13" s="38" t="n">
        <f aca="false">Q13*D13</f>
        <v>0</v>
      </c>
      <c r="S13" s="38" t="n">
        <f aca="false">R13-M13</f>
        <v>0</v>
      </c>
      <c r="T13" s="39" t="n">
        <f aca="false">IFERROR(S13/R13,0)</f>
        <v>0</v>
      </c>
      <c r="U13" s="38" t="n">
        <f aca="false">R13-(M13-J13-I13)</f>
        <v>0</v>
      </c>
      <c r="V13" s="39" t="n">
        <f aca="false">IFERROR(U13/R13,0)</f>
        <v>0</v>
      </c>
      <c r="X13" s="40" t="n">
        <f aca="false" t="array" ref="X13:X13">SUM([1]Hoja5!$H$6:$H$12*([1]Hoja5!$E$6:$E$12=X$5)*($C13=[1]Hoja5!$J$6:$J$12))</f>
        <v>26.4</v>
      </c>
      <c r="Y13" s="40" t="n">
        <f aca="false" t="array" ref="Y13:Y13">SUM([1]Hoja5!$I$6:$I$12*([1]Hoja5!$E$6:$E$12=X$5)*($C13=[1]Hoja5!$J$6:$J$12))</f>
        <v>42240</v>
      </c>
      <c r="Z13" s="51" t="n">
        <f aca="false">IFERROR(Y13/X13,0)</f>
        <v>1600</v>
      </c>
      <c r="AA13" s="40" t="n">
        <f aca="false" t="array" ref="AA13:AA13">SUM([1]Hoja5!$H$6:$H$12*([1]Hoja5!$E$6:$E$12=AA$5)*($C13=[1]Hoja5!$J$6:$J$12))</f>
        <v>0</v>
      </c>
      <c r="AB13" s="40" t="n">
        <f aca="false" t="array" ref="AB13:AB13">SUM([1]Hoja5!$I$6:$I$12*([1]Hoja5!$E$6:$E$12=AA$5)*($C13=[1]Hoja5!$J$6:$J$12))</f>
        <v>0</v>
      </c>
      <c r="AC13" s="51" t="n">
        <f aca="false">IFERROR(AB13/AA13,0)</f>
        <v>0</v>
      </c>
      <c r="AD13" s="40" t="n">
        <f aca="false" t="array" ref="AD13:AD13">SUM([1]Hoja5!$H$6:$H$12*([1]Hoja5!$E$6:$E$12=AD$5)*($C13=[1]Hoja5!$J$6:$J$12))</f>
        <v>0</v>
      </c>
      <c r="AE13" s="40" t="n">
        <f aca="false" t="array" ref="AE13:AE13">SUM([1]Hoja5!$I$6:$I$12*([1]Hoja5!$E$6:$E$12=AD$5)*($C13=[1]Hoja5!$J$6:$J$12))</f>
        <v>0</v>
      </c>
      <c r="AF13" s="51" t="n">
        <f aca="false">IFERROR(AE13/AD13,0)</f>
        <v>0</v>
      </c>
      <c r="AG13" s="40" t="n">
        <f aca="false" t="array" ref="AG13:AG13">SUM([1]Hoja5!$H$6:$H$12*([1]Hoja5!$E$6:$E$12=AG$5)*($C13=[1]Hoja5!$J$6:$J$12))</f>
        <v>20.38</v>
      </c>
      <c r="AH13" s="40" t="n">
        <f aca="false" t="array" ref="AH13:AH13">SUM([1]Hoja5!$I$6:$I$12*([1]Hoja5!$E$6:$E$12=AG$5)*($C13=[1]Hoja5!$J$6:$J$12))</f>
        <v>36684</v>
      </c>
      <c r="AI13" s="51" t="n">
        <f aca="false">IFERROR(AH13/AG13,0)</f>
        <v>1800</v>
      </c>
      <c r="AJ13" s="42" t="n">
        <f aca="false">X13+AA13+AD13+AG13</f>
        <v>46.78</v>
      </c>
      <c r="AK13" s="43" t="n">
        <f aca="false">Y13+AB13+AE13+AH13</f>
        <v>78924</v>
      </c>
      <c r="AL13" s="44" t="n">
        <f aca="false">IFERROR(AK13/AJ13,0)</f>
        <v>1687.13125267208</v>
      </c>
      <c r="AM13" s="43" t="n">
        <f aca="false">-AJ13*'Stock Libre'!H10*1000</f>
        <v>-57681.45683813</v>
      </c>
      <c r="AN13" s="44" t="n">
        <f aca="false">-207.84*AJ13</f>
        <v>-9722.7552</v>
      </c>
      <c r="AO13" s="43" t="n">
        <f aca="false">$AO$20/$AJ$20*$AJ13</f>
        <v>-12928.8323719752</v>
      </c>
      <c r="AP13" s="44" t="n">
        <f aca="false">$AP$20/$AJ$20*$AJ13</f>
        <v>-25415.8938519978</v>
      </c>
      <c r="AQ13" s="43" t="n">
        <f aca="false">$AQ$20/$AJ$20*$AJ13</f>
        <v>-20317.2407604108</v>
      </c>
      <c r="AR13" s="44" t="n">
        <f aca="false">(AK13-AJ13*$AO$21)*0.03</f>
        <v>2207.48313587723</v>
      </c>
      <c r="AS13" s="43" t="n">
        <f aca="false">AK13+SUM(AM13:AP13,AR13)</f>
        <v>-24617.4551262258</v>
      </c>
      <c r="AT13" s="45" t="n">
        <f aca="false">IFERROR(AS13/AK13,0)</f>
        <v>-0.31191342463922</v>
      </c>
      <c r="AU13" s="46" t="n">
        <f aca="false">AK13+AM13+AN13+AO13+AR13-AQ13</f>
        <v>21115.6794861828</v>
      </c>
      <c r="AV13" s="47" t="n">
        <f aca="false">IFERROR(AU13/AK13,0)</f>
        <v>0.267544466653778</v>
      </c>
      <c r="AX13" s="48" t="n">
        <f aca="false">AL13</f>
        <v>1687.13125267208</v>
      </c>
      <c r="AY13" s="49" t="n">
        <f aca="false">IFERROR(AM13/$AJ13,0)</f>
        <v>-1233.0367002593</v>
      </c>
      <c r="AZ13" s="49" t="n">
        <f aca="false">IFERROR(AN13/$AJ13,0)</f>
        <v>-207.84</v>
      </c>
      <c r="BA13" s="49" t="n">
        <f aca="false">IFERROR(AO13/$AJ13,0)</f>
        <v>-276.375211029826</v>
      </c>
      <c r="BB13" s="49" t="n">
        <f aca="false">IFERROR(AP13/$AJ13,0)</f>
        <v>-543.306837366348</v>
      </c>
      <c r="BC13" s="49" t="n">
        <f aca="false">IFERROR(AQ13/$AJ13,0)</f>
        <v>-434.314680641531</v>
      </c>
      <c r="BD13" s="49" t="n">
        <f aca="false">IFERROR(AR13/$AJ13,0)</f>
        <v>47.1886091465846</v>
      </c>
      <c r="BE13" s="49" t="n">
        <f aca="false">IFERROR(AS13/$AJ13,0)</f>
        <v>-526.238886836806</v>
      </c>
      <c r="BF13" s="49" t="n">
        <f aca="false">IFERROR(AU13/$AJ13,0)</f>
        <v>451.382631171072</v>
      </c>
    </row>
    <row r="14" customFormat="false" ht="14.25" hidden="false" customHeight="false" outlineLevel="0" collapsed="false">
      <c r="B14" s="30" t="n">
        <v>10009239</v>
      </c>
      <c r="C14" s="50" t="s">
        <v>41</v>
      </c>
      <c r="D14" s="32" t="n">
        <f aca="false">TD!F11</f>
        <v>16.48</v>
      </c>
      <c r="E14" s="33" t="n">
        <f aca="false">IFERROR(F14/D14,0)</f>
        <v>3085.06112368996</v>
      </c>
      <c r="F14" s="3" t="n">
        <f aca="false">TD!G11</f>
        <v>50841.8073184106</v>
      </c>
      <c r="G14" s="3" t="n">
        <f aca="false">TD!H11</f>
        <v>3425.2032</v>
      </c>
      <c r="H14" s="3" t="n">
        <f aca="false">TD!I11</f>
        <v>846.719924676837</v>
      </c>
      <c r="I14" s="3" t="n">
        <f aca="false">TD!J11</f>
        <v>1664.50790827836</v>
      </c>
      <c r="J14" s="3" t="n">
        <f aca="false">TD!K11</f>
        <v>1330.59290053027</v>
      </c>
      <c r="K14" s="34" t="n">
        <v>0</v>
      </c>
      <c r="L14" s="35" t="n">
        <v>0</v>
      </c>
      <c r="M14" s="36" t="n">
        <f aca="false">F14+G14+H14+I14</f>
        <v>56778.2383513658</v>
      </c>
      <c r="N14" s="37" t="n">
        <f aca="false">IFERROR(M14/D14,0)</f>
        <v>3445.28145335958</v>
      </c>
      <c r="O14" s="37" t="n">
        <f aca="false">F14+G14+H14-J14</f>
        <v>53783.1375425572</v>
      </c>
      <c r="P14" s="37" t="n">
        <f aca="false">IFERROR(O14/D14,0)</f>
        <v>3263.53989942701</v>
      </c>
      <c r="Q14" s="38" t="n">
        <v>3500</v>
      </c>
      <c r="R14" s="38" t="n">
        <f aca="false">Q14*D14</f>
        <v>57680</v>
      </c>
      <c r="S14" s="38" t="n">
        <f aca="false">R14-M14</f>
        <v>901.761648634187</v>
      </c>
      <c r="T14" s="39" t="n">
        <f aca="false">IFERROR(S14/R14,0)</f>
        <v>0.0156338704686926</v>
      </c>
      <c r="U14" s="38" t="n">
        <f aca="false">R14-(M14-J14-I14)</f>
        <v>3896.86245744281</v>
      </c>
      <c r="V14" s="39" t="n">
        <f aca="false">IFERROR(U14/R14,0)</f>
        <v>0.0675600287351389</v>
      </c>
      <c r="X14" s="40" t="n">
        <f aca="false" t="array" ref="X14:X14">SUM([1]Hoja5!$H$6:$H$12*([1]Hoja5!$E$6:$E$12=X$5)*($C14=[1]Hoja5!$J$6:$J$12))</f>
        <v>0</v>
      </c>
      <c r="Y14" s="40" t="n">
        <f aca="false" t="array" ref="Y14:Y14">SUM([1]Hoja5!$I$6:$I$12*([1]Hoja5!$E$6:$E$12=X$5)*($C14=[1]Hoja5!$J$6:$J$12))</f>
        <v>0</v>
      </c>
      <c r="Z14" s="51" t="n">
        <f aca="false">IFERROR(Y14/X14,0)</f>
        <v>0</v>
      </c>
      <c r="AA14" s="40" t="n">
        <f aca="false" t="array" ref="AA14:AA14">SUM([1]Hoja5!$H$6:$H$12*([1]Hoja5!$E$6:$E$12=AA$5)*($C14=[1]Hoja5!$J$6:$J$12))</f>
        <v>0</v>
      </c>
      <c r="AB14" s="40" t="n">
        <f aca="false" t="array" ref="AB14:AB14">SUM([1]Hoja5!$I$6:$I$12*([1]Hoja5!$E$6:$E$12=AA$5)*($C14=[1]Hoja5!$J$6:$J$12))</f>
        <v>0</v>
      </c>
      <c r="AC14" s="51" t="n">
        <f aca="false">IFERROR(AB14/AA14,0)</f>
        <v>0</v>
      </c>
      <c r="AD14" s="40" t="n">
        <f aca="false" t="array" ref="AD14:AD14">SUM([1]Hoja5!$H$6:$H$12*([1]Hoja5!$E$6:$E$12=AD$5)*($C14=[1]Hoja5!$J$6:$J$12))</f>
        <v>0</v>
      </c>
      <c r="AE14" s="40" t="n">
        <f aca="false" t="array" ref="AE14:AE14">SUM([1]Hoja5!$I$6:$I$12*([1]Hoja5!$E$6:$E$12=AD$5)*($C14=[1]Hoja5!$J$6:$J$12))</f>
        <v>0</v>
      </c>
      <c r="AF14" s="51" t="n">
        <f aca="false">IFERROR(AE14/AD14,0)</f>
        <v>0</v>
      </c>
      <c r="AG14" s="40" t="n">
        <f aca="false" t="array" ref="AG14:AG14">SUM([1]Hoja5!$H$6:$H$12*([1]Hoja5!$E$6:$E$12=AG$5)*($C14=[1]Hoja5!$J$6:$J$12))</f>
        <v>0</v>
      </c>
      <c r="AH14" s="40" t="n">
        <f aca="false" t="array" ref="AH14:AH14">SUM([1]Hoja5!$I$6:$I$12*([1]Hoja5!$E$6:$E$12=AG$5)*($C14=[1]Hoja5!$J$6:$J$12))</f>
        <v>0</v>
      </c>
      <c r="AI14" s="51" t="n">
        <f aca="false">IFERROR(AH14/AG14,0)</f>
        <v>0</v>
      </c>
      <c r="AJ14" s="42" t="n">
        <f aca="false">X14+AA14+AD14+AG14</f>
        <v>0</v>
      </c>
      <c r="AK14" s="43" t="n">
        <f aca="false">Y14+AB14+AE14+AH14</f>
        <v>0</v>
      </c>
      <c r="AL14" s="44" t="n">
        <f aca="false">IFERROR(AK14/AJ14,0)</f>
        <v>0</v>
      </c>
      <c r="AM14" s="43" t="n">
        <f aca="false">-IFERROR(F14/D14*AJ14,0)</f>
        <v>-0</v>
      </c>
      <c r="AN14" s="44" t="n">
        <f aca="false">-207.84*AJ14</f>
        <v>-0</v>
      </c>
      <c r="AO14" s="43" t="n">
        <f aca="false">$AO$20/$AJ$20*$AJ14</f>
        <v>-0</v>
      </c>
      <c r="AP14" s="44" t="n">
        <f aca="false">$AP$20/$AJ$20*$AJ14</f>
        <v>-0</v>
      </c>
      <c r="AQ14" s="43" t="n">
        <f aca="false">$AQ$20/$AJ$20*$AJ14</f>
        <v>-0</v>
      </c>
      <c r="AR14" s="44" t="n">
        <f aca="false">(AK14-AJ14*$AO$21)*0.03</f>
        <v>0</v>
      </c>
      <c r="AS14" s="43" t="n">
        <f aca="false">AK14+SUM(AM14:AP14,AR14)</f>
        <v>0</v>
      </c>
      <c r="AT14" s="45" t="n">
        <f aca="false">IFERROR(AS14/AK14,0)</f>
        <v>0</v>
      </c>
      <c r="AU14" s="46" t="n">
        <f aca="false">AK14+AM14+AN14+AO14+AR14-AQ14</f>
        <v>0</v>
      </c>
      <c r="AV14" s="47" t="n">
        <f aca="false">IFERROR(AU14/AK14,0)</f>
        <v>0</v>
      </c>
      <c r="AX14" s="48" t="n">
        <f aca="false">AL14</f>
        <v>0</v>
      </c>
      <c r="AY14" s="49" t="n">
        <f aca="false">IFERROR(AM14/$AJ14,0)</f>
        <v>0</v>
      </c>
      <c r="AZ14" s="49" t="n">
        <f aca="false">IFERROR(AN14/$AJ14,0)</f>
        <v>0</v>
      </c>
      <c r="BA14" s="49" t="n">
        <f aca="false">IFERROR(AO14/$AJ14,0)</f>
        <v>0</v>
      </c>
      <c r="BB14" s="49" t="n">
        <f aca="false">IFERROR(AP14/$AJ14,0)</f>
        <v>0</v>
      </c>
      <c r="BC14" s="49" t="n">
        <f aca="false">IFERROR(AQ14/$AJ14,0)</f>
        <v>0</v>
      </c>
      <c r="BD14" s="49" t="n">
        <f aca="false">IFERROR(AR14/$AJ14,0)</f>
        <v>0</v>
      </c>
      <c r="BE14" s="49" t="n">
        <f aca="false">IFERROR(AS14/$AJ14,0)</f>
        <v>0</v>
      </c>
      <c r="BF14" s="49" t="n">
        <f aca="false">IFERROR(AU14/$AJ14,0)</f>
        <v>0</v>
      </c>
    </row>
    <row r="15" customFormat="false" ht="14.25" hidden="false" customHeight="false" outlineLevel="0" collapsed="false">
      <c r="B15" s="30" t="n">
        <v>10009334</v>
      </c>
      <c r="C15" s="50" t="s">
        <v>42</v>
      </c>
      <c r="D15" s="32" t="n">
        <f aca="false">TD!F12</f>
        <v>137.83</v>
      </c>
      <c r="E15" s="33" t="n">
        <f aca="false">IFERROR(F15/D15,0)</f>
        <v>2649.60260579146</v>
      </c>
      <c r="F15" s="3" t="n">
        <f aca="false">TD!G12</f>
        <v>365194.727156237</v>
      </c>
      <c r="G15" s="3" t="n">
        <f aca="false">TD!H12</f>
        <v>28646.5872</v>
      </c>
      <c r="H15" s="3" t="n">
        <f aca="false">TD!I12</f>
        <v>7081.51742828934</v>
      </c>
      <c r="I15" s="3" t="n">
        <f aca="false">TD!J12</f>
        <v>13921.0634100732</v>
      </c>
      <c r="J15" s="3" t="n">
        <f aca="false">TD!K12</f>
        <v>11128.3749684519</v>
      </c>
      <c r="K15" s="34" t="n">
        <v>0</v>
      </c>
      <c r="L15" s="35" t="n">
        <v>0</v>
      </c>
      <c r="M15" s="36" t="n">
        <f aca="false">F15+G15+H15+I15</f>
        <v>414843.895194599</v>
      </c>
      <c r="N15" s="37" t="n">
        <f aca="false">IFERROR(M15/D15,0)</f>
        <v>3009.82293546107</v>
      </c>
      <c r="O15" s="37" t="n">
        <f aca="false">F15+G15+H15-J15</f>
        <v>389794.456816074</v>
      </c>
      <c r="P15" s="37" t="n">
        <f aca="false">IFERROR(O15/D15,0)</f>
        <v>2828.08138152851</v>
      </c>
      <c r="Q15" s="38" t="n">
        <v>3500</v>
      </c>
      <c r="R15" s="38" t="n">
        <f aca="false">Q15*D15</f>
        <v>482405</v>
      </c>
      <c r="S15" s="38" t="n">
        <f aca="false">R15-M15</f>
        <v>67561.1048054007</v>
      </c>
      <c r="T15" s="39" t="n">
        <f aca="false">IFERROR(S15/R15,0)</f>
        <v>0.140050589868266</v>
      </c>
      <c r="U15" s="38" t="n">
        <f aca="false">R15-(M15-J15-I15)</f>
        <v>92610.5431839258</v>
      </c>
      <c r="V15" s="39" t="n">
        <f aca="false">IFERROR(U15/R15,0)</f>
        <v>0.191976748134712</v>
      </c>
      <c r="X15" s="40" t="n">
        <f aca="false" t="array" ref="X15:X15">SUM([1]Hoja5!$H$6:$H$12*([1]Hoja5!$E$6:$E$12=X$5)*($C15=[1]Hoja5!$J$6:$J$12))</f>
        <v>0</v>
      </c>
      <c r="Y15" s="40" t="n">
        <f aca="false" t="array" ref="Y15:Y15">SUM([1]Hoja5!$I$6:$I$12*([1]Hoja5!$E$6:$E$12=X$5)*($C15=[1]Hoja5!$J$6:$J$12))</f>
        <v>0</v>
      </c>
      <c r="Z15" s="51" t="n">
        <f aca="false">IFERROR(Y15/X15,0)</f>
        <v>0</v>
      </c>
      <c r="AA15" s="40" t="n">
        <f aca="false" t="array" ref="AA15:AA15">SUM([1]Hoja5!$H$6:$H$12*([1]Hoja5!$E$6:$E$12=AA$5)*($C15=[1]Hoja5!$J$6:$J$12))</f>
        <v>0</v>
      </c>
      <c r="AB15" s="40" t="n">
        <f aca="false" t="array" ref="AB15:AB15">SUM([1]Hoja5!$I$6:$I$12*([1]Hoja5!$E$6:$E$12=AA$5)*($C15=[1]Hoja5!$J$6:$J$12))</f>
        <v>0</v>
      </c>
      <c r="AC15" s="51" t="n">
        <f aca="false">IFERROR(AB15/AA15,0)</f>
        <v>0</v>
      </c>
      <c r="AD15" s="40" t="n">
        <f aca="false" t="array" ref="AD15:AD15">SUM([1]Hoja5!$H$6:$H$12*([1]Hoja5!$E$6:$E$12=AD$5)*($C15=[1]Hoja5!$J$6:$J$12))</f>
        <v>0</v>
      </c>
      <c r="AE15" s="40" t="n">
        <f aca="false" t="array" ref="AE15:AE15">SUM([1]Hoja5!$I$6:$I$12*([1]Hoja5!$E$6:$E$12=AD$5)*($C15=[1]Hoja5!$J$6:$J$12))</f>
        <v>0</v>
      </c>
      <c r="AF15" s="51" t="n">
        <f aca="false">IFERROR(AE15/AD15,0)</f>
        <v>0</v>
      </c>
      <c r="AG15" s="40" t="n">
        <f aca="false" t="array" ref="AG15:AG15">SUM([1]Hoja5!$H$6:$H$12*([1]Hoja5!$E$6:$E$12=AG$5)*($C15=[1]Hoja5!$J$6:$J$12))</f>
        <v>0</v>
      </c>
      <c r="AH15" s="40" t="n">
        <f aca="false" t="array" ref="AH15:AH15">SUM([1]Hoja5!$I$6:$I$12*([1]Hoja5!$E$6:$E$12=AG$5)*($C15=[1]Hoja5!$J$6:$J$12))</f>
        <v>0</v>
      </c>
      <c r="AI15" s="51" t="n">
        <f aca="false">IFERROR(AH15/AG15,0)</f>
        <v>0</v>
      </c>
      <c r="AJ15" s="42" t="n">
        <f aca="false">X15+AA15+AD15+AG15</f>
        <v>0</v>
      </c>
      <c r="AK15" s="43" t="n">
        <f aca="false">Y15+AB15+AE15+AH15</f>
        <v>0</v>
      </c>
      <c r="AL15" s="44" t="n">
        <f aca="false">IFERROR(AK15/AJ15,0)</f>
        <v>0</v>
      </c>
      <c r="AM15" s="43" t="n">
        <f aca="false">-IFERROR(F15/D15*AJ15,0)</f>
        <v>-0</v>
      </c>
      <c r="AN15" s="44" t="n">
        <f aca="false">-207.84*AJ15</f>
        <v>-0</v>
      </c>
      <c r="AO15" s="43" t="n">
        <f aca="false">$AO$20/$AJ$20*$AJ15</f>
        <v>-0</v>
      </c>
      <c r="AP15" s="44" t="n">
        <f aca="false">$AP$20/$AJ$20*$AJ15</f>
        <v>-0</v>
      </c>
      <c r="AQ15" s="43" t="n">
        <f aca="false">$AQ$20/$AJ$20*$AJ15</f>
        <v>-0</v>
      </c>
      <c r="AR15" s="44" t="n">
        <f aca="false">(AK15-AJ15*$AO$21)*0.03</f>
        <v>0</v>
      </c>
      <c r="AS15" s="43" t="n">
        <f aca="false">AK15+SUM(AM15:AP15,AR15)</f>
        <v>0</v>
      </c>
      <c r="AT15" s="45" t="n">
        <f aca="false">IFERROR(AS15/AK15,0)</f>
        <v>0</v>
      </c>
      <c r="AU15" s="46" t="n">
        <f aca="false">AK15+AM15+AN15+AO15+AR15-AQ15</f>
        <v>0</v>
      </c>
      <c r="AV15" s="47" t="n">
        <f aca="false">IFERROR(AU15/AK15,0)</f>
        <v>0</v>
      </c>
      <c r="AX15" s="48" t="n">
        <f aca="false">AL15</f>
        <v>0</v>
      </c>
      <c r="AY15" s="49" t="n">
        <f aca="false">IFERROR(AM15/$AJ15,0)</f>
        <v>0</v>
      </c>
      <c r="AZ15" s="49" t="n">
        <f aca="false">IFERROR(AN15/$AJ15,0)</f>
        <v>0</v>
      </c>
      <c r="BA15" s="49" t="n">
        <f aca="false">IFERROR(AO15/$AJ15,0)</f>
        <v>0</v>
      </c>
      <c r="BB15" s="49" t="n">
        <f aca="false">IFERROR(AP15/$AJ15,0)</f>
        <v>0</v>
      </c>
      <c r="BC15" s="49" t="n">
        <f aca="false">IFERROR(AQ15/$AJ15,0)</f>
        <v>0</v>
      </c>
      <c r="BD15" s="49" t="n">
        <f aca="false">IFERROR(AR15/$AJ15,0)</f>
        <v>0</v>
      </c>
      <c r="BE15" s="49" t="n">
        <f aca="false">IFERROR(AS15/$AJ15,0)</f>
        <v>0</v>
      </c>
      <c r="BF15" s="49" t="n">
        <f aca="false">IFERROR(AU15/$AJ15,0)</f>
        <v>0</v>
      </c>
    </row>
    <row r="16" customFormat="false" ht="14.25" hidden="false" customHeight="false" outlineLevel="0" collapsed="false">
      <c r="B16" s="30" t="n">
        <v>10009386</v>
      </c>
      <c r="C16" s="50" t="s">
        <v>43</v>
      </c>
      <c r="D16" s="32" t="n">
        <f aca="false">TD!F13</f>
        <v>21.28</v>
      </c>
      <c r="E16" s="33" t="n">
        <f aca="false">IFERROR(F16/D16,0)</f>
        <v>1597.99025354257</v>
      </c>
      <c r="F16" s="3" t="n">
        <f aca="false">TD!G13</f>
        <v>34005.2325953859</v>
      </c>
      <c r="G16" s="3" t="n">
        <f aca="false">TD!H13</f>
        <v>4422.8352</v>
      </c>
      <c r="H16" s="3" t="n">
        <f aca="false">TD!I13</f>
        <v>1093.33737846621</v>
      </c>
      <c r="I16" s="3" t="n">
        <f aca="false">TD!J13</f>
        <v>2149.31603690312</v>
      </c>
      <c r="J16" s="3" t="n">
        <f aca="false">TD!K13</f>
        <v>1718.14423078181</v>
      </c>
      <c r="K16" s="34" t="n">
        <v>0</v>
      </c>
      <c r="L16" s="35" t="n">
        <v>0</v>
      </c>
      <c r="M16" s="36" t="n">
        <f aca="false">F16+G16+H16+I16</f>
        <v>41670.7212107553</v>
      </c>
      <c r="N16" s="37" t="n">
        <f aca="false">IFERROR(M16/D16,0)</f>
        <v>1958.21058321218</v>
      </c>
      <c r="O16" s="37" t="n">
        <f aca="false">F16+G16+H16-J16</f>
        <v>37803.2609430703</v>
      </c>
      <c r="P16" s="37" t="n">
        <f aca="false">IFERROR(O16/D16,0)</f>
        <v>1776.46902927962</v>
      </c>
      <c r="Q16" s="38" t="n">
        <v>2000</v>
      </c>
      <c r="R16" s="38" t="n">
        <f aca="false">Q16*D16</f>
        <v>42560</v>
      </c>
      <c r="S16" s="38" t="n">
        <f aca="false">R16-M16</f>
        <v>889.278789244745</v>
      </c>
      <c r="T16" s="39" t="n">
        <f aca="false">IFERROR(S16/R16,0)</f>
        <v>0.0208947083939085</v>
      </c>
      <c r="U16" s="38" t="n">
        <f aca="false">R16-(M16-J16-I16)</f>
        <v>4756.73905692967</v>
      </c>
      <c r="V16" s="39" t="n">
        <f aca="false">IFERROR(U16/R16,0)</f>
        <v>0.11176548536019</v>
      </c>
      <c r="X16" s="40" t="n">
        <f aca="false" t="array" ref="X16:X16">SUM([1]Hoja5!$H$6:$H$12*([1]Hoja5!$E$6:$E$12=X$5)*($C16=[1]Hoja5!$J$6:$J$12))</f>
        <v>0</v>
      </c>
      <c r="Y16" s="40" t="n">
        <f aca="false" t="array" ref="Y16:Y16">SUM([1]Hoja5!$I$6:$I$12*([1]Hoja5!$E$6:$E$12=X$5)*($C16=[1]Hoja5!$J$6:$J$12))</f>
        <v>0</v>
      </c>
      <c r="Z16" s="51" t="n">
        <f aca="false">IFERROR(Y16/X16,0)</f>
        <v>0</v>
      </c>
      <c r="AA16" s="40" t="n">
        <f aca="false" t="array" ref="AA16:AA16">SUM([1]Hoja5!$H$6:$H$12*([1]Hoja5!$E$6:$E$12=AA$5)*($C16=[1]Hoja5!$J$6:$J$12))</f>
        <v>0</v>
      </c>
      <c r="AB16" s="40" t="n">
        <f aca="false" t="array" ref="AB16:AB16">SUM([1]Hoja5!$I$6:$I$12*([1]Hoja5!$E$6:$E$12=AA$5)*($C16=[1]Hoja5!$J$6:$J$12))</f>
        <v>0</v>
      </c>
      <c r="AC16" s="51" t="n">
        <f aca="false">IFERROR(AB16/AA16,0)</f>
        <v>0</v>
      </c>
      <c r="AD16" s="40" t="n">
        <f aca="false" t="array" ref="AD16:AD16">SUM([1]Hoja5!$H$6:$H$12*([1]Hoja5!$E$6:$E$12=AD$5)*($C16=[1]Hoja5!$J$6:$J$12))</f>
        <v>0</v>
      </c>
      <c r="AE16" s="40" t="n">
        <f aca="false" t="array" ref="AE16:AE16">SUM([1]Hoja5!$I$6:$I$12*([1]Hoja5!$E$6:$E$12=AD$5)*($C16=[1]Hoja5!$J$6:$J$12))</f>
        <v>0</v>
      </c>
      <c r="AF16" s="51" t="n">
        <f aca="false">IFERROR(AE16/AD16,0)</f>
        <v>0</v>
      </c>
      <c r="AG16" s="40" t="n">
        <f aca="false" t="array" ref="AG16:AG16">SUM([1]Hoja5!$H$6:$H$12*([1]Hoja5!$E$6:$E$12=AG$5)*($C16=[1]Hoja5!$J$6:$J$12))</f>
        <v>0</v>
      </c>
      <c r="AH16" s="40" t="n">
        <f aca="false" t="array" ref="AH16:AH16">SUM([1]Hoja5!$I$6:$I$12*([1]Hoja5!$E$6:$E$12=AG$5)*($C16=[1]Hoja5!$J$6:$J$12))</f>
        <v>0</v>
      </c>
      <c r="AI16" s="51" t="n">
        <f aca="false">IFERROR(AH16/AG16,0)</f>
        <v>0</v>
      </c>
      <c r="AJ16" s="42" t="n">
        <f aca="false">X16+AA16+AD16+AG16</f>
        <v>0</v>
      </c>
      <c r="AK16" s="43" t="n">
        <f aca="false">Y16+AB16+AE16+AH16</f>
        <v>0</v>
      </c>
      <c r="AL16" s="44" t="n">
        <f aca="false">IFERROR(AK16/AJ16,0)</f>
        <v>0</v>
      </c>
      <c r="AM16" s="43" t="n">
        <f aca="false">-IFERROR(F16/D16*AJ16,0)</f>
        <v>-0</v>
      </c>
      <c r="AN16" s="44" t="n">
        <f aca="false">-207.84*AJ16</f>
        <v>-0</v>
      </c>
      <c r="AO16" s="43" t="n">
        <f aca="false">$AO$20/$AJ$20*$AJ16</f>
        <v>-0</v>
      </c>
      <c r="AP16" s="44" t="n">
        <f aca="false">$AP$20/$AJ$20*$AJ16</f>
        <v>-0</v>
      </c>
      <c r="AQ16" s="43" t="n">
        <f aca="false">$AQ$20/$AJ$20*$AJ16</f>
        <v>-0</v>
      </c>
      <c r="AR16" s="44" t="n">
        <f aca="false">(AK16-AJ16*$AO$21)*0.03</f>
        <v>0</v>
      </c>
      <c r="AS16" s="43" t="n">
        <f aca="false">AK16+SUM(AM16:AP16,AR16)</f>
        <v>0</v>
      </c>
      <c r="AT16" s="45" t="n">
        <f aca="false">IFERROR(AS16/AK16,0)</f>
        <v>0</v>
      </c>
      <c r="AU16" s="46" t="n">
        <f aca="false">AK16+AM16+AN16+AO16+AR16-AQ16</f>
        <v>0</v>
      </c>
      <c r="AV16" s="47" t="n">
        <f aca="false">IFERROR(AU16/AK16,0)</f>
        <v>0</v>
      </c>
      <c r="AX16" s="48" t="n">
        <f aca="false">AL16</f>
        <v>0</v>
      </c>
      <c r="AY16" s="49" t="n">
        <f aca="false">IFERROR(AM16/$AJ16,0)</f>
        <v>0</v>
      </c>
      <c r="AZ16" s="49" t="n">
        <f aca="false">IFERROR(AN16/$AJ16,0)</f>
        <v>0</v>
      </c>
      <c r="BA16" s="49" t="n">
        <f aca="false">IFERROR(AO16/$AJ16,0)</f>
        <v>0</v>
      </c>
      <c r="BB16" s="49" t="n">
        <f aca="false">IFERROR(AP16/$AJ16,0)</f>
        <v>0</v>
      </c>
      <c r="BC16" s="49" t="n">
        <f aca="false">IFERROR(AQ16/$AJ16,0)</f>
        <v>0</v>
      </c>
      <c r="BD16" s="49" t="n">
        <f aca="false">IFERROR(AR16/$AJ16,0)</f>
        <v>0</v>
      </c>
      <c r="BE16" s="49" t="n">
        <f aca="false">IFERROR(AS16/$AJ16,0)</f>
        <v>0</v>
      </c>
      <c r="BF16" s="49" t="n">
        <f aca="false">IFERROR(AU16/$AJ16,0)</f>
        <v>0</v>
      </c>
    </row>
    <row r="17" customFormat="false" ht="14.25" hidden="false" customHeight="false" outlineLevel="0" collapsed="false">
      <c r="B17" s="30" t="n">
        <v>10009386</v>
      </c>
      <c r="C17" s="50" t="s">
        <v>44</v>
      </c>
      <c r="D17" s="32" t="n">
        <f aca="false">TD!F14</f>
        <v>30.94</v>
      </c>
      <c r="E17" s="33" t="n">
        <f aca="false">IFERROR(F17/D17,0)</f>
        <v>1279.97025102932</v>
      </c>
      <c r="F17" s="3" t="n">
        <f aca="false">TD!G14</f>
        <v>39602.2795668472</v>
      </c>
      <c r="G17" s="3" t="n">
        <f aca="false">TD!H14</f>
        <v>6430.5696</v>
      </c>
      <c r="H17" s="3" t="n">
        <f aca="false">TD!I14</f>
        <v>1589.65500421731</v>
      </c>
      <c r="I17" s="3" t="n">
        <f aca="false">TD!J14</f>
        <v>3124.99239576046</v>
      </c>
      <c r="J17" s="3" t="n">
        <f aca="false">TD!K14</f>
        <v>2498.09128291302</v>
      </c>
      <c r="K17" s="34" t="n">
        <v>0</v>
      </c>
      <c r="L17" s="35" t="n">
        <v>0</v>
      </c>
      <c r="M17" s="36" t="n">
        <f aca="false">F17+G17+H17+I17</f>
        <v>50747.496566825</v>
      </c>
      <c r="N17" s="37" t="n">
        <f aca="false">IFERROR(M17/D17,0)</f>
        <v>1640.19058069893</v>
      </c>
      <c r="O17" s="37" t="n">
        <f aca="false">F17+G17+H17-J17</f>
        <v>45124.4128881515</v>
      </c>
      <c r="P17" s="37" t="n">
        <f aca="false">IFERROR(O17/D17,0)</f>
        <v>1458.44902676637</v>
      </c>
      <c r="Q17" s="38" t="n">
        <v>1700</v>
      </c>
      <c r="R17" s="38" t="n">
        <f aca="false">Q17*D17</f>
        <v>52598</v>
      </c>
      <c r="S17" s="38" t="n">
        <f aca="false">R17-M17</f>
        <v>1850.50343317499</v>
      </c>
      <c r="T17" s="39" t="n">
        <f aca="false">IFERROR(S17/R17,0)</f>
        <v>0.0351820113535684</v>
      </c>
      <c r="U17" s="38" t="n">
        <f aca="false">R17-(M17-J17-I17)</f>
        <v>7473.58711184847</v>
      </c>
      <c r="V17" s="39" t="n">
        <f aca="false">IFERROR(U17/R17,0)</f>
        <v>0.142088807784487</v>
      </c>
      <c r="X17" s="40" t="n">
        <f aca="false" t="array" ref="X17:X17">SUM([1]Hoja5!$H$6:$H$12*([1]Hoja5!$E$6:$E$12=X$5)*($C17=[1]Hoja5!$J$6:$J$12))</f>
        <v>25.875</v>
      </c>
      <c r="Y17" s="40" t="n">
        <f aca="false" t="array" ref="Y17:Y17">SUM([1]Hoja5!$I$6:$I$12*([1]Hoja5!$E$6:$E$12=X$5)*($C17=[1]Hoja5!$J$6:$J$12))</f>
        <v>41400</v>
      </c>
      <c r="Z17" s="51" t="n">
        <f aca="false">IFERROR(Y17/X17,0)</f>
        <v>1600</v>
      </c>
      <c r="AA17" s="40" t="n">
        <f aca="false" t="array" ref="AA17:AA17">SUM([1]Hoja5!$H$6:$H$12*([1]Hoja5!$E$6:$E$12=AA$5)*($C17=[1]Hoja5!$J$6:$J$12))</f>
        <v>0</v>
      </c>
      <c r="AB17" s="40" t="n">
        <f aca="false" t="array" ref="AB17:AB17">SUM([1]Hoja5!$I$6:$I$12*([1]Hoja5!$E$6:$E$12=AA$5)*($C17=[1]Hoja5!$J$6:$J$12))</f>
        <v>0</v>
      </c>
      <c r="AC17" s="51" t="n">
        <f aca="false">IFERROR(AB17/AA17,0)</f>
        <v>0</v>
      </c>
      <c r="AD17" s="40" t="n">
        <f aca="false" t="array" ref="AD17:AD17">SUM([1]Hoja5!$H$6:$H$12*([1]Hoja5!$E$6:$E$12=AD$5)*($C17=[1]Hoja5!$J$6:$J$12))</f>
        <v>25.665</v>
      </c>
      <c r="AE17" s="40" t="n">
        <f aca="false" t="array" ref="AE17:AE17">SUM([1]Hoja5!$I$6:$I$12*([1]Hoja5!$E$6:$E$12=AD$5)*($C17=[1]Hoja5!$J$6:$J$12))</f>
        <v>41064</v>
      </c>
      <c r="AF17" s="51" t="n">
        <f aca="false">IFERROR(AE17/AD17,0)</f>
        <v>1600</v>
      </c>
      <c r="AG17" s="40" t="n">
        <f aca="false" t="array" ref="AG17:AG17">SUM([1]Hoja5!$H$6:$H$12*([1]Hoja5!$E$6:$E$12=AG$5)*($C17=[1]Hoja5!$J$6:$J$12))</f>
        <v>0</v>
      </c>
      <c r="AH17" s="40" t="n">
        <f aca="false" t="array" ref="AH17:AH17">SUM([1]Hoja5!$I$6:$I$12*([1]Hoja5!$E$6:$E$12=AG$5)*($C17=[1]Hoja5!$J$6:$J$12))</f>
        <v>0</v>
      </c>
      <c r="AI17" s="51" t="n">
        <f aca="false">IFERROR(AH17/AG17,0)</f>
        <v>0</v>
      </c>
      <c r="AJ17" s="42" t="n">
        <f aca="false">X17+AA17+AD17+AG17</f>
        <v>51.54</v>
      </c>
      <c r="AK17" s="43" t="n">
        <f aca="false">Y17+AB17+AE17+AH17</f>
        <v>82464</v>
      </c>
      <c r="AL17" s="44" t="n">
        <f aca="false">IFERROR(AK17/AJ17,0)</f>
        <v>1600</v>
      </c>
      <c r="AM17" s="43" t="n">
        <f aca="false">-IFERROR(F17/D17*AJ17,0)</f>
        <v>-65969.6667380513</v>
      </c>
      <c r="AN17" s="44" t="n">
        <f aca="false">-207.84*AJ17</f>
        <v>-10712.0736</v>
      </c>
      <c r="AO17" s="43" t="n">
        <f aca="false">$AO$20/$AJ$20*$AJ17</f>
        <v>-14244.3783764772</v>
      </c>
      <c r="AP17" s="44" t="n">
        <f aca="false">$AP$20/$AJ$20*$AJ17</f>
        <v>-28002.0343978616</v>
      </c>
      <c r="AQ17" s="43" t="n">
        <f aca="false">$AQ$20/$AJ$20*$AJ17</f>
        <v>-22384.5786402645</v>
      </c>
      <c r="AR17" s="44" t="n">
        <f aca="false">(AK17-AJ17*$AO$21)*0.03</f>
        <v>2297.3785725334</v>
      </c>
      <c r="AS17" s="43" t="n">
        <f aca="false">AK17+SUM(AM17:AP17,AR17)</f>
        <v>-34166.7745398567</v>
      </c>
      <c r="AT17" s="45" t="n">
        <f aca="false">IFERROR(AS17/AK17,0)</f>
        <v>-0.414323517411921</v>
      </c>
      <c r="AU17" s="46" t="n">
        <f aca="false">AK17+AM17+AN17+AO17+AR17-AQ17</f>
        <v>16219.8384982694</v>
      </c>
      <c r="AV17" s="47" t="n">
        <f aca="false">IFERROR(AU17/AK17,0)</f>
        <v>0.196689931343003</v>
      </c>
      <c r="AX17" s="48" t="n">
        <f aca="false">AL17</f>
        <v>1600</v>
      </c>
      <c r="AY17" s="49" t="n">
        <f aca="false">IFERROR(AM17/$AJ17,0)</f>
        <v>-1279.97025102932</v>
      </c>
      <c r="AZ17" s="49" t="n">
        <f aca="false">IFERROR(AN17/$AJ17,0)</f>
        <v>-207.84</v>
      </c>
      <c r="BA17" s="49" t="n">
        <f aca="false">IFERROR(AO17/$AJ17,0)</f>
        <v>-276.375211029826</v>
      </c>
      <c r="BB17" s="49" t="n">
        <f aca="false">IFERROR(AP17/$AJ17,0)</f>
        <v>-543.306837366348</v>
      </c>
      <c r="BC17" s="49" t="n">
        <f aca="false">IFERROR(AQ17/$AJ17,0)</f>
        <v>-434.314680641531</v>
      </c>
      <c r="BD17" s="49" t="n">
        <f aca="false">IFERROR(AR17/$AJ17,0)</f>
        <v>44.5746715664222</v>
      </c>
      <c r="BE17" s="49" t="n">
        <f aca="false">IFERROR(AS17/$AJ17,0)</f>
        <v>-662.917627859074</v>
      </c>
      <c r="BF17" s="49" t="n">
        <f aca="false">IFERROR(AU17/$AJ17,0)</f>
        <v>314.703890148805</v>
      </c>
    </row>
    <row r="18" customFormat="false" ht="14.25" hidden="false" customHeight="false" outlineLevel="0" collapsed="false">
      <c r="B18" s="30"/>
      <c r="C18" s="50" t="s">
        <v>45</v>
      </c>
      <c r="D18" s="32" t="n">
        <f aca="false">TD!F15</f>
        <v>0</v>
      </c>
      <c r="E18" s="33" t="n">
        <f aca="false">IFERROR(F18/D18,0)</f>
        <v>0</v>
      </c>
      <c r="F18" s="3" t="n">
        <f aca="false">TD!G15</f>
        <v>0</v>
      </c>
      <c r="G18" s="3" t="n">
        <f aca="false">TD!H15</f>
        <v>0</v>
      </c>
      <c r="H18" s="3" t="n">
        <f aca="false">TD!I15</f>
        <v>0</v>
      </c>
      <c r="I18" s="3" t="n">
        <f aca="false">TD!J15</f>
        <v>0</v>
      </c>
      <c r="J18" s="3" t="n">
        <f aca="false">TD!K15</f>
        <v>0</v>
      </c>
      <c r="K18" s="34" t="n">
        <v>0</v>
      </c>
      <c r="L18" s="35" t="n">
        <v>0</v>
      </c>
      <c r="M18" s="36" t="n">
        <f aca="false">F18+G18+H18+I18</f>
        <v>0</v>
      </c>
      <c r="N18" s="37" t="n">
        <f aca="false">IFERROR(M18/D18,0)</f>
        <v>0</v>
      </c>
      <c r="O18" s="37" t="n">
        <f aca="false">F18+G18+H18-J18</f>
        <v>0</v>
      </c>
      <c r="P18" s="37" t="n">
        <f aca="false">IFERROR(O18/D18,0)</f>
        <v>0</v>
      </c>
      <c r="Q18" s="38" t="n">
        <v>1800</v>
      </c>
      <c r="R18" s="52" t="n">
        <f aca="false">Q18*D18</f>
        <v>0</v>
      </c>
      <c r="S18" s="38" t="n">
        <f aca="false">R18-M18</f>
        <v>0</v>
      </c>
      <c r="T18" s="39" t="n">
        <f aca="false">IFERROR(S18/R18,0)</f>
        <v>0</v>
      </c>
      <c r="U18" s="38" t="n">
        <f aca="false">R18-(M18-J18-I18)</f>
        <v>0</v>
      </c>
      <c r="V18" s="39" t="n">
        <f aca="false">IFERROR(U18/R18,0)</f>
        <v>0</v>
      </c>
      <c r="X18" s="40" t="n">
        <f aca="false" t="array" ref="X18:X18">SUM([1]Hoja5!$H$6:$H$12*([1]Hoja5!$E$6:$E$12=X$5)*($C18=[1]Hoja5!$J$6:$J$12))</f>
        <v>0</v>
      </c>
      <c r="Y18" s="40" t="n">
        <f aca="false" t="array" ref="Y18:Y18">SUM([1]Hoja5!$I$6:$I$12*([1]Hoja5!$E$6:$E$12=X$5)*($C18=[1]Hoja5!$J$6:$J$12))</f>
        <v>0</v>
      </c>
      <c r="Z18" s="51" t="n">
        <f aca="false">IFERROR(Y18/X18,0)</f>
        <v>0</v>
      </c>
      <c r="AA18" s="40" t="n">
        <f aca="false" t="array" ref="AA18:AA18">SUM([1]Hoja5!$H$6:$H$12*([1]Hoja5!$E$6:$E$12=AA$5)*($C18=[1]Hoja5!$J$6:$J$12))</f>
        <v>0</v>
      </c>
      <c r="AB18" s="40" t="n">
        <f aca="false" t="array" ref="AB18:AB18">SUM([1]Hoja5!$I$6:$I$12*([1]Hoja5!$E$6:$E$12=AA$5)*($C18=[1]Hoja5!$J$6:$J$12))</f>
        <v>0</v>
      </c>
      <c r="AC18" s="51" t="n">
        <f aca="false">IFERROR(AB18/AA18,0)</f>
        <v>0</v>
      </c>
      <c r="AD18" s="40" t="n">
        <f aca="false" t="array" ref="AD18:AD18">SUM([1]Hoja5!$H$6:$H$12*([1]Hoja5!$E$6:$E$12=AD$5)*($C18=[1]Hoja5!$J$6:$J$12))</f>
        <v>0</v>
      </c>
      <c r="AE18" s="40" t="n">
        <f aca="false" t="array" ref="AE18:AE18">SUM([1]Hoja5!$I$6:$I$12*([1]Hoja5!$E$6:$E$12=AD$5)*($C18=[1]Hoja5!$J$6:$J$12))</f>
        <v>0</v>
      </c>
      <c r="AF18" s="51" t="n">
        <f aca="false">IFERROR(AE18/AD18,0)</f>
        <v>0</v>
      </c>
      <c r="AG18" s="40" t="n">
        <f aca="false" t="array" ref="AG18:AG18">SUM([1]Hoja5!$H$6:$H$12*([1]Hoja5!$E$6:$E$12=AG$5)*($C18=[1]Hoja5!$J$6:$J$12))</f>
        <v>0</v>
      </c>
      <c r="AH18" s="40" t="n">
        <f aca="false" t="array" ref="AH18:AH18">SUM([1]Hoja5!$I$6:$I$12*([1]Hoja5!$E$6:$E$12=AG$5)*($C18=[1]Hoja5!$J$6:$J$12))</f>
        <v>0</v>
      </c>
      <c r="AI18" s="51" t="n">
        <f aca="false">IFERROR(AH18/AG18,0)</f>
        <v>0</v>
      </c>
      <c r="AJ18" s="42" t="n">
        <f aca="false">X18+AA18+AD18+AG18</f>
        <v>0</v>
      </c>
      <c r="AK18" s="43" t="n">
        <f aca="false">Y18+AB18+AE18+AH18</f>
        <v>0</v>
      </c>
      <c r="AL18" s="44" t="n">
        <f aca="false">IFERROR(AK18/AJ18,0)</f>
        <v>0</v>
      </c>
      <c r="AM18" s="43" t="n">
        <f aca="false">-IFERROR(F18/D18*AJ18,0)</f>
        <v>-0</v>
      </c>
      <c r="AN18" s="44" t="n">
        <f aca="false">-207.84*AJ18</f>
        <v>-0</v>
      </c>
      <c r="AO18" s="43" t="n">
        <f aca="false">$AO$20/$AJ$20*$AJ18</f>
        <v>-0</v>
      </c>
      <c r="AP18" s="44" t="n">
        <f aca="false">$AP$20/$AJ$20*$AJ18</f>
        <v>-0</v>
      </c>
      <c r="AQ18" s="43" t="n">
        <f aca="false">$AQ$20/$AJ$20*$AJ18</f>
        <v>-0</v>
      </c>
      <c r="AR18" s="44" t="n">
        <f aca="false">(AK18-AJ18*$AO$21)*0.03</f>
        <v>0</v>
      </c>
      <c r="AS18" s="43" t="n">
        <f aca="false">AK18+SUM(AM18:AP18,AR18)</f>
        <v>0</v>
      </c>
      <c r="AT18" s="45" t="n">
        <f aca="false">IFERROR(AS18/AK18,0)</f>
        <v>0</v>
      </c>
      <c r="AU18" s="46" t="n">
        <f aca="false">AK18+AM18+AN18+AO18+AR18-AQ18</f>
        <v>0</v>
      </c>
      <c r="AV18" s="47" t="n">
        <f aca="false">IFERROR(AU18/AK18,0)</f>
        <v>0</v>
      </c>
      <c r="AX18" s="48" t="n">
        <f aca="false">AL18</f>
        <v>0</v>
      </c>
      <c r="AY18" s="49" t="n">
        <f aca="false">IFERROR(AM18/$AJ18,0)</f>
        <v>0</v>
      </c>
      <c r="AZ18" s="49" t="n">
        <f aca="false">IFERROR(AN18/$AJ18,0)</f>
        <v>0</v>
      </c>
      <c r="BA18" s="49" t="n">
        <f aca="false">IFERROR(AO18/$AJ18,0)</f>
        <v>0</v>
      </c>
      <c r="BB18" s="49" t="n">
        <f aca="false">IFERROR(AP18/$AJ18,0)</f>
        <v>0</v>
      </c>
      <c r="BC18" s="49" t="n">
        <f aca="false">IFERROR(AQ18/$AJ18,0)</f>
        <v>0</v>
      </c>
      <c r="BD18" s="49" t="n">
        <f aca="false">IFERROR(AR18/$AJ18,0)</f>
        <v>0</v>
      </c>
      <c r="BE18" s="49" t="n">
        <f aca="false">IFERROR(AS18/$AJ18,0)</f>
        <v>0</v>
      </c>
      <c r="BF18" s="49" t="n">
        <f aca="false">IFERROR(AU18/$AJ18,0)</f>
        <v>0</v>
      </c>
    </row>
    <row r="19" customFormat="false" ht="14.25" hidden="false" customHeight="false" outlineLevel="0" collapsed="false">
      <c r="B19" s="30"/>
      <c r="C19" s="50" t="s">
        <v>46</v>
      </c>
      <c r="D19" s="32" t="n">
        <f aca="false">TD!F16</f>
        <v>331.56</v>
      </c>
      <c r="E19" s="33" t="n">
        <f aca="false">IFERROR(F19/D19,0)</f>
        <v>1731.97012699901</v>
      </c>
      <c r="F19" s="3" t="n">
        <f aca="false">TD!G16</f>
        <v>574252.015307791</v>
      </c>
      <c r="G19" s="3" t="n">
        <f aca="false">TD!H16</f>
        <v>68911.4304</v>
      </c>
      <c r="H19" s="3" t="n">
        <f aca="false">TD!I16</f>
        <v>17035.1006205007</v>
      </c>
      <c r="I19" s="3" t="n">
        <f aca="false">TD!J16</f>
        <v>33488.1214847556</v>
      </c>
      <c r="J19" s="3" t="n">
        <f aca="false">TD!K16</f>
        <v>26770.1081371248</v>
      </c>
      <c r="K19" s="34" t="n">
        <v>0</v>
      </c>
      <c r="L19" s="35" t="n">
        <v>0</v>
      </c>
      <c r="M19" s="36" t="n">
        <f aca="false">F19+G19+H19+I19</f>
        <v>693686.667813048</v>
      </c>
      <c r="N19" s="37" t="n">
        <f aca="false">IFERROR(M19/D19,0)</f>
        <v>2092.19045666862</v>
      </c>
      <c r="O19" s="37" t="n">
        <f aca="false">F19+G19+H19-J19</f>
        <v>633428.438191167</v>
      </c>
      <c r="P19" s="37" t="n">
        <f aca="false">IFERROR(O19/D19,0)</f>
        <v>1910.44890273606</v>
      </c>
      <c r="Q19" s="38" t="n">
        <v>1950</v>
      </c>
      <c r="R19" s="52" t="n">
        <f aca="false">Q19*D19</f>
        <v>646542</v>
      </c>
      <c r="S19" s="38" t="n">
        <f aca="false">R19-M19</f>
        <v>-47144.6678130477</v>
      </c>
      <c r="T19" s="39" t="n">
        <f aca="false">IFERROR(S19/R19,0)</f>
        <v>-0.0729181829069846</v>
      </c>
      <c r="U19" s="38" t="n">
        <f aca="false">R19-(M19-J19-I19)</f>
        <v>13113.5618088327</v>
      </c>
      <c r="V19" s="39" t="n">
        <f aca="false">IFERROR(U19/R19,0)</f>
        <v>0.0202826139815088</v>
      </c>
      <c r="X19" s="40" t="n">
        <f aca="false" t="array" ref="X19:X19">SUM([1]Hoja5!$H$6:$H$12*([1]Hoja5!$E$6:$E$12=X$5)*($C19=[1]Hoja5!$J$6:$J$12))</f>
        <v>0</v>
      </c>
      <c r="Y19" s="40" t="n">
        <f aca="false" t="array" ref="Y19:Y19">SUM([1]Hoja5!$I$6:$I$12*([1]Hoja5!$E$6:$E$12=X$5)*($C19=[1]Hoja5!$J$6:$J$12))</f>
        <v>0</v>
      </c>
      <c r="Z19" s="51" t="n">
        <f aca="false">IFERROR(Y19/X19,0)</f>
        <v>0</v>
      </c>
      <c r="AA19" s="40" t="n">
        <f aca="false" t="array" ref="AA19:AA19">SUM([1]Hoja5!$H$6:$H$12*([1]Hoja5!$E$6:$E$12=AA$5)*($C19=[1]Hoja5!$J$6:$J$12))</f>
        <v>0</v>
      </c>
      <c r="AB19" s="40" t="n">
        <f aca="false" t="array" ref="AB19:AB19">SUM([1]Hoja5!$I$6:$I$12*([1]Hoja5!$E$6:$E$12=AA$5)*($C19=[1]Hoja5!$J$6:$J$12))</f>
        <v>0</v>
      </c>
      <c r="AC19" s="51" t="n">
        <f aca="false">IFERROR(AB19/AA19,0)</f>
        <v>0</v>
      </c>
      <c r="AD19" s="40" t="n">
        <f aca="false" t="array" ref="AD19:AD19">SUM([1]Hoja5!$H$6:$H$12*([1]Hoja5!$E$6:$E$12=AD$5)*($C19=[1]Hoja5!$J$6:$J$12))</f>
        <v>0</v>
      </c>
      <c r="AE19" s="40" t="n">
        <f aca="false" t="array" ref="AE19:AE19">SUM([1]Hoja5!$I$6:$I$12*([1]Hoja5!$E$6:$E$12=AD$5)*($C19=[1]Hoja5!$J$6:$J$12))</f>
        <v>0</v>
      </c>
      <c r="AF19" s="51" t="n">
        <f aca="false">IFERROR(AE19/AD19,0)</f>
        <v>0</v>
      </c>
      <c r="AG19" s="40" t="n">
        <f aca="false" t="array" ref="AG19:AG19">SUM([1]Hoja5!$H$6:$H$12*([1]Hoja5!$E$6:$E$12=AG$5)*($C19=[1]Hoja5!$J$6:$J$12))</f>
        <v>0</v>
      </c>
      <c r="AH19" s="40" t="n">
        <f aca="false" t="array" ref="AH19:AH19">SUM([1]Hoja5!$I$6:$I$12*([1]Hoja5!$E$6:$E$12=AG$5)*($C19=[1]Hoja5!$J$6:$J$12))</f>
        <v>0</v>
      </c>
      <c r="AI19" s="51" t="n">
        <f aca="false">IFERROR(AH19/AG19,0)</f>
        <v>0</v>
      </c>
      <c r="AJ19" s="42" t="n">
        <f aca="false">X19+AA19+AD19+AG19</f>
        <v>0</v>
      </c>
      <c r="AK19" s="43" t="n">
        <f aca="false">Y19+AB19+AE19+AH19</f>
        <v>0</v>
      </c>
      <c r="AL19" s="44" t="n">
        <f aca="false">IFERROR(AK19/AJ19,0)</f>
        <v>0</v>
      </c>
      <c r="AM19" s="43" t="n">
        <f aca="false">-IFERROR(F19/D19*AJ19,0)</f>
        <v>-0</v>
      </c>
      <c r="AN19" s="44" t="n">
        <f aca="false">-207.84*AJ19</f>
        <v>-0</v>
      </c>
      <c r="AO19" s="43" t="n">
        <f aca="false">$AO$20/$AJ$20*$AJ19</f>
        <v>-0</v>
      </c>
      <c r="AP19" s="44" t="n">
        <f aca="false">$AP$20/$AJ$20*$AJ19</f>
        <v>-0</v>
      </c>
      <c r="AQ19" s="43" t="n">
        <f aca="false">$AQ$20/$AJ$20*$AJ19</f>
        <v>-0</v>
      </c>
      <c r="AR19" s="44" t="n">
        <f aca="false">(AK19-AJ19*$AO$21)*0.03</f>
        <v>0</v>
      </c>
      <c r="AS19" s="43" t="n">
        <f aca="false">AK19+SUM(AM19:AP19,AR19)</f>
        <v>0</v>
      </c>
      <c r="AT19" s="45" t="n">
        <f aca="false">IFERROR(AS19/AK19,0)</f>
        <v>0</v>
      </c>
      <c r="AU19" s="46" t="n">
        <f aca="false">AK19+AM19+AN19+AO19+AR19-AQ19</f>
        <v>0</v>
      </c>
      <c r="AV19" s="47" t="n">
        <f aca="false">IFERROR(AU19/AK19,0)</f>
        <v>0</v>
      </c>
      <c r="AX19" s="48" t="n">
        <f aca="false">AL19</f>
        <v>0</v>
      </c>
      <c r="AY19" s="49" t="n">
        <f aca="false">IFERROR(AM19/$AJ19,0)</f>
        <v>0</v>
      </c>
      <c r="AZ19" s="49" t="n">
        <f aca="false">IFERROR(AN19/$AJ19,0)</f>
        <v>0</v>
      </c>
      <c r="BA19" s="49" t="n">
        <f aca="false">IFERROR(AO19/$AJ19,0)</f>
        <v>0</v>
      </c>
      <c r="BB19" s="49" t="n">
        <f aca="false">IFERROR(AP19/$AJ19,0)</f>
        <v>0</v>
      </c>
      <c r="BC19" s="49" t="n">
        <f aca="false">IFERROR(AQ19/$AJ19,0)</f>
        <v>0</v>
      </c>
      <c r="BD19" s="49" t="n">
        <f aca="false">IFERROR(AR19/$AJ19,0)</f>
        <v>0</v>
      </c>
      <c r="BE19" s="49" t="n">
        <f aca="false">IFERROR(AS19/$AJ19,0)</f>
        <v>0</v>
      </c>
      <c r="BF19" s="49" t="n">
        <f aca="false">IFERROR(AU19/$AJ19,0)</f>
        <v>0</v>
      </c>
    </row>
    <row r="20" customFormat="false" ht="14.25" hidden="false" customHeight="false" outlineLevel="0" collapsed="false">
      <c r="C20" s="53" t="s">
        <v>47</v>
      </c>
      <c r="D20" s="54" t="n">
        <f aca="false">SUM(D7:D19)</f>
        <v>1529.41</v>
      </c>
      <c r="E20" s="55" t="n">
        <f aca="false">IFERROR(F20/D20,0)</f>
        <v>1686.06039771073</v>
      </c>
      <c r="F20" s="56" t="n">
        <f aca="false">SUM(F7:F19)</f>
        <v>2578677.63286277</v>
      </c>
      <c r="G20" s="56" t="n">
        <f aca="false">SUM(G7:G19)</f>
        <v>317872.5744</v>
      </c>
      <c r="H20" s="56" t="n">
        <f aca="false">SUM(H7:H19)</f>
        <v>78579</v>
      </c>
      <c r="I20" s="56" t="n">
        <f aca="false">SUM(I7:I19)</f>
        <v>154473</v>
      </c>
      <c r="J20" s="56" t="n">
        <f aca="false">SUM(J7:J19)</f>
        <v>123484.35</v>
      </c>
      <c r="K20" s="56" t="n">
        <f aca="false">SUM(K7:K19)</f>
        <v>0</v>
      </c>
      <c r="L20" s="57" t="n">
        <v>0</v>
      </c>
      <c r="M20" s="58" t="n">
        <f aca="false">SUM(M7:M19)</f>
        <v>3129602.20726278</v>
      </c>
      <c r="N20" s="58" t="n">
        <f aca="false">IFERROR(M20/D20,0)</f>
        <v>2046.28072738035</v>
      </c>
      <c r="O20" s="58" t="n">
        <f aca="false">SUM(O7:O19)</f>
        <v>2851644.85726277</v>
      </c>
      <c r="P20" s="58" t="n">
        <f aca="false">IFERROR(O20/D20,0)</f>
        <v>1864.53917344778</v>
      </c>
      <c r="Q20" s="59" t="n">
        <f aca="false">R20/D20</f>
        <v>2144.9290903028</v>
      </c>
      <c r="R20" s="60" t="n">
        <f aca="false">SUM(R7:R19)</f>
        <v>3280476</v>
      </c>
      <c r="S20" s="59" t="n">
        <f aca="false">SUM(S7:S19)</f>
        <v>150873.792737225</v>
      </c>
      <c r="T20" s="61" t="n">
        <f aca="false">S20/R20</f>
        <v>0.0459914331753152</v>
      </c>
      <c r="U20" s="59" t="n">
        <f aca="false">SUM(U7:U19)</f>
        <v>428831.142737225</v>
      </c>
      <c r="V20" s="61" t="n">
        <f aca="false">IFERROR(U20/R20,0)</f>
        <v>0.130722231388745</v>
      </c>
      <c r="X20" s="62" t="n">
        <f aca="false">SUM(X7:X19)</f>
        <v>133.275</v>
      </c>
      <c r="Y20" s="62" t="n">
        <f aca="false">SUM(Y7:Y19)</f>
        <v>296940</v>
      </c>
      <c r="Z20" s="63" t="n">
        <f aca="false">IFERROR(Y20/X20,0)</f>
        <v>2228.02476083286</v>
      </c>
      <c r="AA20" s="62" t="n">
        <f aca="false">SUM(AA7:AA19)</f>
        <v>27</v>
      </c>
      <c r="AB20" s="62" t="n">
        <f aca="false">SUM(AB7:AB19)</f>
        <v>48600</v>
      </c>
      <c r="AC20" s="63" t="n">
        <f aca="false">IFERROR(AB20/AA20,0)</f>
        <v>1800</v>
      </c>
      <c r="AD20" s="62" t="n">
        <f aca="false">SUM(AD7:AD19)</f>
        <v>25.665</v>
      </c>
      <c r="AE20" s="62" t="n">
        <f aca="false">SUM(AE7:AE19)</f>
        <v>41064</v>
      </c>
      <c r="AF20" s="63" t="n">
        <f aca="false">IFERROR(AE20/AD20,0)</f>
        <v>1600</v>
      </c>
      <c r="AG20" s="62" t="n">
        <f aca="false">SUM(AG7:AG19)</f>
        <v>98.38</v>
      </c>
      <c r="AH20" s="62" t="n">
        <f aca="false">SUM(AH7:AH19)</f>
        <v>140424</v>
      </c>
      <c r="AI20" s="63" t="n">
        <f aca="false">IFERROR(AH20/AG20,0)</f>
        <v>1427.36328522057</v>
      </c>
      <c r="AJ20" s="64" t="n">
        <f aca="false">SUM(AJ7:AJ19)</f>
        <v>284.32</v>
      </c>
      <c r="AK20" s="64" t="n">
        <f aca="false">SUM(AK7:AK19)</f>
        <v>527028</v>
      </c>
      <c r="AL20" s="65" t="n">
        <f aca="false">IFERROR(AK20/AJ20,0)</f>
        <v>1853.64378165447</v>
      </c>
      <c r="AM20" s="64" t="n">
        <f aca="false">SUM(AM7:AM19)</f>
        <v>-415442.572485129</v>
      </c>
      <c r="AN20" s="64" t="n">
        <f aca="false">SUM(AN7:AN19)</f>
        <v>-59093.0688</v>
      </c>
      <c r="AO20" s="66" t="n">
        <f aca="false">-'[2]Stock Libre'!O54</f>
        <v>-78579</v>
      </c>
      <c r="AP20" s="65" t="n">
        <f aca="false">-'[2]Stock Libre'!P54</f>
        <v>-154473</v>
      </c>
      <c r="AQ20" s="66" t="n">
        <f aca="false">-'[2]Stock Libre'!Q54</f>
        <v>-123484.35</v>
      </c>
      <c r="AR20" s="65" t="n">
        <f aca="false">SUM(AR7:AR19)</f>
        <v>14836.9506197652</v>
      </c>
      <c r="AS20" s="64" t="n">
        <f aca="false">SUM(AS7:AS19)</f>
        <v>-165722.690665364</v>
      </c>
      <c r="AT20" s="67" t="n">
        <f aca="false">IFERROR(AS20/AK20,0)</f>
        <v>-0.314447601769477</v>
      </c>
      <c r="AU20" s="64" t="n">
        <f aca="false">SUM(AU7:AU19)</f>
        <v>112234.659334636</v>
      </c>
      <c r="AV20" s="68" t="n">
        <f aca="false">IFERROR(AU20/AK20,0)</f>
        <v>0.212957678405391</v>
      </c>
      <c r="AX20" s="69" t="n">
        <f aca="false">AL20</f>
        <v>1853.64378165447</v>
      </c>
      <c r="AY20" s="70" t="n">
        <f aca="false">IFERROR(AM20/$AJ20,0)</f>
        <v>-1461.17955995051</v>
      </c>
      <c r="AZ20" s="70" t="n">
        <f aca="false">IFERROR(AN20/$AJ20,0)</f>
        <v>-207.84</v>
      </c>
      <c r="BA20" s="70" t="n">
        <f aca="false">IFERROR(AO20/$AJ20,0)</f>
        <v>-276.375211029826</v>
      </c>
      <c r="BB20" s="70" t="n">
        <f aca="false">IFERROR(AP20/$AJ20,0)</f>
        <v>-543.306837366348</v>
      </c>
      <c r="BC20" s="70" t="n">
        <f aca="false">IFERROR(AQ20/$AJ20,0)</f>
        <v>-434.314680641531</v>
      </c>
      <c r="BD20" s="70" t="n">
        <f aca="false">IFERROR(AR20/$AJ20,0)</f>
        <v>52.1839850160564</v>
      </c>
      <c r="BE20" s="70" t="n">
        <f aca="false">IFERROR(AS20/$AJ20,0)</f>
        <v>-582.873841676153</v>
      </c>
      <c r="BF20" s="70" t="n">
        <f aca="false">IFERROR(AU20/$AJ20,0)</f>
        <v>394.747676331726</v>
      </c>
    </row>
    <row r="21" customFormat="false" ht="14.25" hidden="false" customHeight="false" outlineLevel="0" collapsed="false">
      <c r="I21" s="5"/>
      <c r="J21" s="5"/>
      <c r="N21" s="3" t="n">
        <f aca="false">M20-R20</f>
        <v>-150873.792737225</v>
      </c>
      <c r="O21" s="3"/>
      <c r="AN21" s="5" t="s">
        <v>48</v>
      </c>
      <c r="AO21" s="0" t="n">
        <v>114.177614452594</v>
      </c>
    </row>
    <row r="22" customFormat="false" ht="14.25" hidden="false" customHeight="false" outlineLevel="0" collapsed="false">
      <c r="C22" s="71" t="s">
        <v>49</v>
      </c>
      <c r="L22" s="72"/>
      <c r="M22" s="3"/>
      <c r="N22" s="73"/>
      <c r="O22" s="73"/>
      <c r="P22" s="73"/>
      <c r="Q22" s="73"/>
      <c r="R22" s="74" t="n">
        <f aca="false">7%/12</f>
        <v>0.00583333333333333</v>
      </c>
      <c r="S22" s="73"/>
      <c r="T22" s="73"/>
      <c r="U22" s="73"/>
      <c r="V22" s="73"/>
      <c r="W22" s="3"/>
      <c r="X22" s="3"/>
      <c r="Y22" s="75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Y22" s="3" t="n">
        <f aca="false">SUM(AY7:BB7)</f>
        <v>0</v>
      </c>
    </row>
    <row r="23" customFormat="false" ht="14.25" hidden="false" customHeight="false" outlineLevel="0" collapsed="false">
      <c r="C23" s="71"/>
      <c r="L23" s="72"/>
      <c r="M23" s="3"/>
      <c r="N23" s="73"/>
      <c r="O23" s="73"/>
      <c r="P23" s="73"/>
      <c r="Q23" s="73"/>
      <c r="R23" s="74" t="n">
        <f aca="false">R22*M31</f>
        <v>22283.590786692</v>
      </c>
      <c r="S23" s="73" t="n">
        <f aca="false">R23*7</f>
        <v>155985.135506844</v>
      </c>
      <c r="T23" s="73" t="n">
        <f aca="false">S23/D31</f>
        <v>111.171787831833</v>
      </c>
      <c r="U23" s="73"/>
      <c r="V23" s="73"/>
      <c r="W23" s="3"/>
      <c r="X23" s="3"/>
      <c r="Y23" s="75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0" t="n">
        <f aca="false">286</f>
        <v>286</v>
      </c>
      <c r="AM23" s="5"/>
      <c r="AN23" s="77"/>
      <c r="AS23" s="78"/>
      <c r="AY23" s="3"/>
    </row>
    <row r="24" customFormat="false" ht="31.3" hidden="false" customHeight="false" outlineLevel="0" collapsed="false">
      <c r="C24" s="23" t="s">
        <v>6</v>
      </c>
      <c r="D24" s="79" t="s">
        <v>7</v>
      </c>
      <c r="E24" s="80" t="s">
        <v>8</v>
      </c>
      <c r="F24" s="23" t="s">
        <v>9</v>
      </c>
      <c r="G24" s="23" t="s">
        <v>10</v>
      </c>
      <c r="H24" s="23" t="s">
        <v>11</v>
      </c>
      <c r="I24" s="23" t="s">
        <v>12</v>
      </c>
      <c r="J24" s="23" t="s">
        <v>13</v>
      </c>
      <c r="K24" s="23" t="s">
        <v>14</v>
      </c>
      <c r="L24" s="81" t="s">
        <v>15</v>
      </c>
      <c r="M24" s="82" t="s">
        <v>16</v>
      </c>
      <c r="N24" s="82" t="s">
        <v>17</v>
      </c>
      <c r="O24" s="82" t="s">
        <v>18</v>
      </c>
      <c r="P24" s="82" t="s">
        <v>19</v>
      </c>
      <c r="Q24" s="21" t="s">
        <v>20</v>
      </c>
      <c r="R24" s="21" t="s">
        <v>21</v>
      </c>
      <c r="S24" s="21" t="s">
        <v>22</v>
      </c>
      <c r="T24" s="21" t="s">
        <v>23</v>
      </c>
      <c r="U24" s="21" t="s">
        <v>24</v>
      </c>
      <c r="V24" s="21" t="s">
        <v>25</v>
      </c>
      <c r="W24" s="3"/>
      <c r="X24" s="3"/>
      <c r="Y24" s="75"/>
      <c r="AJ24" s="3" t="n">
        <f aca="false">AK20/AJ20*AJ23</f>
        <v>530142.12155318</v>
      </c>
      <c r="AM24" s="3" t="n">
        <f aca="false">AK20+AM20+AN20</f>
        <v>52492.3587148711</v>
      </c>
      <c r="AR24" s="83"/>
      <c r="AY24" s="5" t="n">
        <f aca="false">AY7/0.5</f>
        <v>0</v>
      </c>
    </row>
    <row r="25" customFormat="false" ht="14.25" hidden="false" customHeight="false" outlineLevel="0" collapsed="false">
      <c r="C25" s="50" t="s">
        <v>34</v>
      </c>
      <c r="D25" s="84" t="n">
        <v>567</v>
      </c>
      <c r="E25" s="33" t="n">
        <f aca="false">E7</f>
        <v>1834.43100611569</v>
      </c>
      <c r="F25" s="3" t="n">
        <f aca="false">E25*D25</f>
        <v>1040122.3804676</v>
      </c>
      <c r="G25" s="3" t="n">
        <f aca="false">D25*207.84</f>
        <v>117845.28</v>
      </c>
      <c r="H25" s="3" t="n">
        <f aca="false">H$20/$D$20*$D25</f>
        <v>29131.6867288693</v>
      </c>
      <c r="I25" s="3" t="n">
        <f aca="false">I$20/$D$20*$D25</f>
        <v>57267.9601938003</v>
      </c>
      <c r="J25" s="3" t="n">
        <f aca="false">J$20/$D$20*$D25</f>
        <v>45779.5008859626</v>
      </c>
      <c r="K25" s="34" t="n">
        <v>0</v>
      </c>
      <c r="L25" s="35" t="n">
        <v>0</v>
      </c>
      <c r="M25" s="36" t="n">
        <f aca="false">F25+G25+H25+I25</f>
        <v>1244367.30739027</v>
      </c>
      <c r="N25" s="37" t="n">
        <f aca="false">IFERROR(M25/D25,0)</f>
        <v>2194.65133578531</v>
      </c>
      <c r="O25" s="37" t="n">
        <f aca="false">F25+G25+H25-J25</f>
        <v>1141319.84631051</v>
      </c>
      <c r="P25" s="37" t="n">
        <f aca="false">IFERROR(O25/D25,0)</f>
        <v>2012.90978185274</v>
      </c>
      <c r="Q25" s="38" t="n">
        <v>1500</v>
      </c>
      <c r="R25" s="38" t="n">
        <f aca="false">Q25*D25</f>
        <v>850500</v>
      </c>
      <c r="S25" s="38" t="n">
        <f aca="false">R25-M25</f>
        <v>-393867.307390268</v>
      </c>
      <c r="T25" s="39" t="n">
        <f aca="false">IFERROR(S25/R25,0)</f>
        <v>-0.463100890523537</v>
      </c>
      <c r="U25" s="38" t="n">
        <f aca="false">R25-(M25-J25-I25)</f>
        <v>-290819.846310505</v>
      </c>
      <c r="V25" s="39" t="n">
        <f aca="false">IFERROR(U25/R25,0)</f>
        <v>-0.341939854568495</v>
      </c>
      <c r="W25" s="3"/>
      <c r="X25" s="3"/>
      <c r="Y25" s="34"/>
      <c r="AK25" s="34"/>
      <c r="AL25" s="5"/>
      <c r="AN25" s="5"/>
      <c r="AP25" s="3"/>
      <c r="AR25" s="5"/>
    </row>
    <row r="26" customFormat="false" ht="14.25" hidden="false" customHeight="false" outlineLevel="0" collapsed="false">
      <c r="C26" s="50" t="s">
        <v>36</v>
      </c>
      <c r="D26" s="84" t="n">
        <v>54</v>
      </c>
      <c r="E26" s="33" t="n">
        <f aca="false">E9</f>
        <v>1731.97012699901</v>
      </c>
      <c r="F26" s="3" t="n">
        <f aca="false">E26*D26</f>
        <v>93526.3868579465</v>
      </c>
      <c r="G26" s="3" t="n">
        <f aca="false">D26*207.84</f>
        <v>11223.36</v>
      </c>
      <c r="H26" s="3" t="n">
        <f aca="false">H$20/$D$20*$D26</f>
        <v>2774.44635513041</v>
      </c>
      <c r="I26" s="3" t="n">
        <f aca="false">I$20/$D$20*$D26</f>
        <v>5454.0914470286</v>
      </c>
      <c r="J26" s="3" t="n">
        <f aca="false">J$20/$D$20*$D26</f>
        <v>4359.95246532977</v>
      </c>
      <c r="K26" s="34" t="n">
        <v>0</v>
      </c>
      <c r="L26" s="35" t="n">
        <v>0</v>
      </c>
      <c r="M26" s="36" t="n">
        <f aca="false">F26+G26+H26+I26</f>
        <v>112978.284660106</v>
      </c>
      <c r="N26" s="37" t="n">
        <f aca="false">IFERROR(M26/D26,0)</f>
        <v>2092.19045666862</v>
      </c>
      <c r="O26" s="37" t="n">
        <f aca="false">F26+G26+H26-J26</f>
        <v>103164.240747747</v>
      </c>
      <c r="P26" s="37" t="n">
        <f aca="false">IFERROR(O26/D26,0)</f>
        <v>1910.44890273606</v>
      </c>
      <c r="Q26" s="38" t="n">
        <v>1700</v>
      </c>
      <c r="R26" s="38" t="n">
        <f aca="false">Q26*D26</f>
        <v>91800</v>
      </c>
      <c r="S26" s="38" t="n">
        <f aca="false">R26-M26</f>
        <v>-21178.2846601055</v>
      </c>
      <c r="T26" s="39" t="n">
        <f aca="false">IFERROR(S26/R26,0)</f>
        <v>-0.2307002686286</v>
      </c>
      <c r="U26" s="38" t="n">
        <f aca="false">R26-(M26-J26-I26)</f>
        <v>-11364.2407477471</v>
      </c>
      <c r="V26" s="39"/>
      <c r="W26" s="3"/>
      <c r="X26" s="3"/>
      <c r="Y26" s="34"/>
      <c r="AK26" s="77" t="n">
        <v>386604</v>
      </c>
      <c r="AL26" s="5"/>
      <c r="AN26" s="5"/>
      <c r="AP26" s="3"/>
      <c r="AR26" s="5"/>
    </row>
    <row r="27" customFormat="false" ht="14.25" hidden="false" customHeight="false" outlineLevel="0" collapsed="false">
      <c r="C27" s="50" t="s">
        <v>38</v>
      </c>
      <c r="D27" s="84" t="n">
        <v>108</v>
      </c>
      <c r="E27" s="33" t="n">
        <f aca="false">E11</f>
        <v>1596.55881400912</v>
      </c>
      <c r="F27" s="3" t="n">
        <f aca="false">E27*D27</f>
        <v>172428.351912985</v>
      </c>
      <c r="G27" s="3" t="n">
        <f aca="false">D27*207.84</f>
        <v>22446.72</v>
      </c>
      <c r="H27" s="3" t="n">
        <f aca="false">H$20/$D$20*$D27</f>
        <v>5548.89271026082</v>
      </c>
      <c r="I27" s="3" t="n">
        <f aca="false">I$20/$D$20*$D27</f>
        <v>10908.1828940572</v>
      </c>
      <c r="J27" s="3" t="n">
        <f aca="false">J$20/$D$20*$D27</f>
        <v>8719.90493065954</v>
      </c>
      <c r="K27" s="34" t="n">
        <v>0</v>
      </c>
      <c r="L27" s="35" t="n">
        <v>0</v>
      </c>
      <c r="M27" s="36" t="n">
        <f aca="false">F27+G27+H27+I27</f>
        <v>211332.147517303</v>
      </c>
      <c r="N27" s="37" t="n">
        <f aca="false">IFERROR(M27/D27,0)</f>
        <v>1956.77914367874</v>
      </c>
      <c r="O27" s="37" t="n">
        <f aca="false">F27+G27+H27-J27</f>
        <v>191704.059692587</v>
      </c>
      <c r="P27" s="37" t="n">
        <f aca="false">IFERROR(O27/D27,0)</f>
        <v>1775.03758974617</v>
      </c>
      <c r="Q27" s="38" t="n">
        <v>2275</v>
      </c>
      <c r="R27" s="38" t="n">
        <f aca="false">Q27*D27</f>
        <v>245700</v>
      </c>
      <c r="S27" s="38" t="n">
        <f aca="false">R27-M27</f>
        <v>34367.8524826966</v>
      </c>
      <c r="T27" s="39" t="n">
        <f aca="false">IFERROR(S27/R27,0)</f>
        <v>0.139877299481875</v>
      </c>
      <c r="U27" s="38" t="n">
        <f aca="false">R27-(M27-J27-I27)</f>
        <v>53995.9403074133</v>
      </c>
      <c r="V27" s="39" t="n">
        <f aca="false">IFERROR(U27/R27,0)</f>
        <v>0.219763696814869</v>
      </c>
      <c r="W27" s="3"/>
      <c r="X27" s="3"/>
      <c r="Y27" s="34"/>
      <c r="AK27" s="34" t="n">
        <f aca="false">AK20-AK26</f>
        <v>140424</v>
      </c>
      <c r="AL27" s="5"/>
      <c r="AN27" s="5"/>
      <c r="AP27" s="3"/>
      <c r="AR27" s="5"/>
    </row>
    <row r="28" customFormat="false" ht="14.25" hidden="false" customHeight="false" outlineLevel="0" collapsed="false">
      <c r="C28" s="50" t="s">
        <v>41</v>
      </c>
      <c r="D28" s="84" t="n">
        <v>594</v>
      </c>
      <c r="E28" s="33" t="n">
        <f aca="false">E14</f>
        <v>3085.06112368996</v>
      </c>
      <c r="F28" s="3" t="n">
        <f aca="false">E28*D28</f>
        <v>1832526.30747184</v>
      </c>
      <c r="G28" s="3" t="n">
        <f aca="false">D28*207.84</f>
        <v>123456.96</v>
      </c>
      <c r="H28" s="3" t="n">
        <f aca="false">H$20/$D$20*$D28</f>
        <v>30518.9099064345</v>
      </c>
      <c r="I28" s="3" t="n">
        <f aca="false">I$20/$D$20*$D28</f>
        <v>59995.0059173146</v>
      </c>
      <c r="J28" s="3" t="n">
        <f aca="false">J$20/$D$20*$D28</f>
        <v>47959.4771186275</v>
      </c>
      <c r="K28" s="34" t="n">
        <v>0</v>
      </c>
      <c r="L28" s="35" t="n">
        <v>0</v>
      </c>
      <c r="M28" s="36" t="n">
        <f aca="false">F28+G28+H28+I28</f>
        <v>2046497.18329559</v>
      </c>
      <c r="N28" s="37" t="n">
        <f aca="false">IFERROR(M28/D28,0)</f>
        <v>3445.28145335958</v>
      </c>
      <c r="O28" s="37" t="n">
        <f aca="false">F28+G28+H28-J28</f>
        <v>1938542.70025965</v>
      </c>
      <c r="P28" s="37" t="n">
        <f aca="false">IFERROR(O28/D28,0)</f>
        <v>3263.53989942701</v>
      </c>
      <c r="Q28" s="38" t="n">
        <v>3400</v>
      </c>
      <c r="R28" s="38" t="n">
        <f aca="false">Q28*D28</f>
        <v>2019600</v>
      </c>
      <c r="S28" s="38" t="n">
        <f aca="false">R28-M28</f>
        <v>-26897.183295588</v>
      </c>
      <c r="T28" s="39" t="n">
        <f aca="false">IFERROR(S28/R28,0)</f>
        <v>-0.0133180745175223</v>
      </c>
      <c r="U28" s="38" t="n">
        <f aca="false">R28-(M28-J28-I28)</f>
        <v>81057.2997403541</v>
      </c>
      <c r="V28" s="39" t="n">
        <f aca="false">IFERROR(U28/R28,0)</f>
        <v>0.0401353236979373</v>
      </c>
      <c r="W28" s="3"/>
      <c r="X28" s="3"/>
      <c r="Y28" s="34"/>
      <c r="AK28" s="3"/>
      <c r="AN28" s="5"/>
      <c r="AP28" s="5"/>
    </row>
    <row r="29" customFormat="false" ht="14.25" hidden="false" customHeight="false" outlineLevel="0" collapsed="false">
      <c r="C29" s="50" t="s">
        <v>42</v>
      </c>
      <c r="D29" s="84" t="n">
        <v>53.1</v>
      </c>
      <c r="E29" s="33" t="n">
        <f aca="false">E15</f>
        <v>2649.60260579146</v>
      </c>
      <c r="F29" s="3" t="n">
        <f aca="false">E29*D29</f>
        <v>140693.898367526</v>
      </c>
      <c r="G29" s="3" t="n">
        <f aca="false">D29*207.84</f>
        <v>11036.304</v>
      </c>
      <c r="H29" s="3" t="n">
        <f aca="false">H$20/$D$20*$D29</f>
        <v>2728.2055825449</v>
      </c>
      <c r="I29" s="3" t="n">
        <f aca="false">I$20/$D$20*$D29</f>
        <v>5363.18992291145</v>
      </c>
      <c r="J29" s="3" t="n">
        <f aca="false">J$20/$D$20*$D29</f>
        <v>4287.28659090761</v>
      </c>
      <c r="K29" s="34" t="n">
        <v>0</v>
      </c>
      <c r="L29" s="35" t="n">
        <v>0</v>
      </c>
      <c r="M29" s="36" t="n">
        <f aca="false">F29+G29+H29+I29</f>
        <v>159821.597872983</v>
      </c>
      <c r="N29" s="37" t="n">
        <f aca="false">IFERROR(M29/D29,0)</f>
        <v>3009.82293546107</v>
      </c>
      <c r="O29" s="37" t="n">
        <f aca="false">F29+G29+H29-J29</f>
        <v>150171.121359164</v>
      </c>
      <c r="P29" s="37" t="n">
        <f aca="false">IFERROR(O29/D29,0)</f>
        <v>2828.08138152851</v>
      </c>
      <c r="Q29" s="38" t="n">
        <v>3400</v>
      </c>
      <c r="R29" s="52" t="n">
        <f aca="false">Q29*D29</f>
        <v>180540</v>
      </c>
      <c r="S29" s="52" t="n">
        <f aca="false">R29-M29</f>
        <v>20718.4021270172</v>
      </c>
      <c r="T29" s="39" t="n">
        <f aca="false">IFERROR(S29/R29,0)</f>
        <v>0.114757960158509</v>
      </c>
      <c r="U29" s="52" t="n">
        <f aca="false">R29-(M29-J29-I29)</f>
        <v>30368.8786408363</v>
      </c>
      <c r="V29" s="39"/>
      <c r="W29" s="3"/>
      <c r="X29" s="3"/>
      <c r="Y29" s="34"/>
      <c r="AK29" s="3"/>
      <c r="AN29" s="5"/>
      <c r="AP29" s="5"/>
    </row>
    <row r="30" customFormat="false" ht="14.25" hidden="false" customHeight="false" outlineLevel="0" collapsed="false">
      <c r="C30" s="50" t="s">
        <v>37</v>
      </c>
      <c r="D30" s="84" t="n">
        <v>27</v>
      </c>
      <c r="E30" s="33" t="n">
        <f aca="false">E10</f>
        <v>1308.20982311726</v>
      </c>
      <c r="F30" s="3" t="n">
        <f aca="false">E30*D30</f>
        <v>35321.665224166</v>
      </c>
      <c r="G30" s="3" t="n">
        <f aca="false">D30*207.84</f>
        <v>5611.68</v>
      </c>
      <c r="H30" s="3" t="n">
        <f aca="false">H$20/$D$20*$D30</f>
        <v>1387.22317756521</v>
      </c>
      <c r="I30" s="3" t="n">
        <f aca="false">I$20/$D$20*$D30</f>
        <v>2727.0457235143</v>
      </c>
      <c r="J30" s="3" t="n">
        <f aca="false">J$20/$D$20*$D30</f>
        <v>2179.97623266489</v>
      </c>
      <c r="K30" s="34" t="n">
        <v>0</v>
      </c>
      <c r="L30" s="35" t="n">
        <v>0</v>
      </c>
      <c r="M30" s="36" t="n">
        <f aca="false">F30+G30+H30+I30</f>
        <v>45047.6141252455</v>
      </c>
      <c r="N30" s="37" t="n">
        <f aca="false">IFERROR(M30/D30,0)</f>
        <v>1668.43015278687</v>
      </c>
      <c r="O30" s="37" t="n">
        <f aca="false">F30+G30+H30-J30</f>
        <v>40140.5921690663</v>
      </c>
      <c r="P30" s="37" t="n">
        <f aca="false">IFERROR(O30/D30,0)</f>
        <v>1486.68859885431</v>
      </c>
      <c r="Q30" s="38" t="n">
        <v>1800</v>
      </c>
      <c r="R30" s="52" t="n">
        <f aca="false">Q30*D30</f>
        <v>48600</v>
      </c>
      <c r="S30" s="52" t="n">
        <f aca="false">R30-M30</f>
        <v>3552.38587475449</v>
      </c>
      <c r="T30" s="39" t="n">
        <f aca="false">IFERROR(S30/R30,0)</f>
        <v>0.0730943595628497</v>
      </c>
      <c r="U30" s="52" t="n">
        <f aca="false">R30-(M30-J30-I30)</f>
        <v>8459.40783093368</v>
      </c>
      <c r="V30" s="39"/>
      <c r="W30" s="3"/>
      <c r="X30" s="3"/>
      <c r="Y30" s="34"/>
      <c r="AK30" s="3"/>
      <c r="AN30" s="5"/>
      <c r="AP30" s="5"/>
    </row>
    <row r="31" customFormat="false" ht="14.25" hidden="false" customHeight="false" outlineLevel="0" collapsed="false">
      <c r="C31" s="85" t="s">
        <v>47</v>
      </c>
      <c r="D31" s="54" t="n">
        <f aca="false">SUM(D25:D30)</f>
        <v>1403.1</v>
      </c>
      <c r="E31" s="55" t="n">
        <f aca="false">F31/D31</f>
        <v>2362.354066212</v>
      </c>
      <c r="F31" s="56" t="n">
        <f aca="false">SUM(F25:F30)</f>
        <v>3314618.99030206</v>
      </c>
      <c r="G31" s="56" t="n">
        <f aca="false">SUM(G25:G30)</f>
        <v>291620.304</v>
      </c>
      <c r="H31" s="56" t="n">
        <f aca="false">SUM(H25:H30)</f>
        <v>72089.3644608052</v>
      </c>
      <c r="I31" s="56" t="n">
        <f aca="false">SUM(I25:I30)</f>
        <v>141715.476098626</v>
      </c>
      <c r="J31" s="56" t="n">
        <f aca="false">SUM(J25:J30)</f>
        <v>113286.098224152</v>
      </c>
      <c r="K31" s="56" t="n">
        <f aca="false">SUM(K25:K30)</f>
        <v>0</v>
      </c>
      <c r="L31" s="57" t="n">
        <v>0</v>
      </c>
      <c r="M31" s="58" t="n">
        <f aca="false">SUM(M25:M30)</f>
        <v>3820044.13486149</v>
      </c>
      <c r="N31" s="58" t="n">
        <f aca="false">IFERROR(M31/D31,0)</f>
        <v>2722.57439588161</v>
      </c>
      <c r="O31" s="58" t="n">
        <f aca="false">SUM(O25:O30)</f>
        <v>3565042.56053872</v>
      </c>
      <c r="P31" s="58" t="n">
        <f aca="false">IFERROR(O31/D31,0)</f>
        <v>2540.83284194905</v>
      </c>
      <c r="Q31" s="59" t="n">
        <f aca="false">R31/D31</f>
        <v>2449.39063502245</v>
      </c>
      <c r="R31" s="60" t="n">
        <f aca="false">SUM(R25:R30)</f>
        <v>3436740</v>
      </c>
      <c r="S31" s="60" t="n">
        <f aca="false">SUM(S25:S30)</f>
        <v>-383304.134861493</v>
      </c>
      <c r="T31" s="61" t="n">
        <f aca="false">S31/R31</f>
        <v>-0.111531315974293</v>
      </c>
      <c r="U31" s="60" t="n">
        <f aca="false">SUM(U25:U30)</f>
        <v>-128302.560538715</v>
      </c>
      <c r="V31" s="61" t="n">
        <f aca="false">IFERROR(U31/R31,0)</f>
        <v>-0.0373326351538711</v>
      </c>
      <c r="W31" s="3"/>
      <c r="X31" s="3"/>
      <c r="Y31" s="34"/>
      <c r="AK31" s="86"/>
      <c r="AL31" s="3"/>
    </row>
    <row r="32" customFormat="false" ht="14.25" hidden="false" customHeight="false" outlineLevel="0" collapsed="false">
      <c r="G32" s="3"/>
      <c r="J32" s="5"/>
      <c r="L32" s="72"/>
      <c r="N32" s="73"/>
      <c r="O32" s="73"/>
      <c r="P32" s="73"/>
      <c r="Q32" s="73"/>
      <c r="R32" s="73"/>
      <c r="S32" s="73"/>
      <c r="T32" s="73"/>
      <c r="U32" s="73"/>
      <c r="V32" s="73"/>
      <c r="W32" s="3"/>
      <c r="X32" s="3"/>
      <c r="Y32" s="34"/>
      <c r="AL32" s="34"/>
    </row>
    <row r="33" customFormat="false" ht="14.25" hidden="false" customHeight="false" outlineLevel="0" collapsed="false">
      <c r="C33" s="85" t="s">
        <v>47</v>
      </c>
      <c r="D33" s="54" t="n">
        <f aca="false">D20+D31</f>
        <v>2932.51</v>
      </c>
      <c r="E33" s="55" t="n">
        <f aca="false">F33/D33</f>
        <v>2009.64246436153</v>
      </c>
      <c r="F33" s="56" t="n">
        <f aca="false">F20+F31</f>
        <v>5893296.62316484</v>
      </c>
      <c r="G33" s="56" t="n">
        <f aca="false">G20+G31</f>
        <v>609492.8784</v>
      </c>
      <c r="H33" s="56" t="n">
        <f aca="false">H20+H31</f>
        <v>150668.364460805</v>
      </c>
      <c r="I33" s="56" t="n">
        <f aca="false">I20+I31</f>
        <v>296188.476098627</v>
      </c>
      <c r="J33" s="56" t="n">
        <f aca="false">J20+J31</f>
        <v>236770.448224152</v>
      </c>
      <c r="K33" s="56" t="n">
        <f aca="false">K20+K31</f>
        <v>0</v>
      </c>
      <c r="L33" s="57" t="n">
        <f aca="false">L20+L31</f>
        <v>0</v>
      </c>
      <c r="M33" s="58" t="n">
        <f aca="false">M20+M31</f>
        <v>6949646.34212427</v>
      </c>
      <c r="N33" s="58" t="n">
        <f aca="false">IFERROR(M33/D33,0)</f>
        <v>2369.86279403114</v>
      </c>
      <c r="O33" s="58" t="n">
        <f aca="false">O20+O31</f>
        <v>6416687.41780149</v>
      </c>
      <c r="P33" s="58" t="n">
        <f aca="false">IFERROR(O33/D33,0)</f>
        <v>2188.12124009858</v>
      </c>
      <c r="Q33" s="59" t="n">
        <f aca="false">R33/D33</f>
        <v>2290.60293059529</v>
      </c>
      <c r="R33" s="60" t="n">
        <f aca="false">R20+R31</f>
        <v>6717216</v>
      </c>
      <c r="S33" s="60" t="n">
        <f aca="false">S20+S31</f>
        <v>-232430.342124268</v>
      </c>
      <c r="T33" s="61" t="n">
        <f aca="false">S33/R33</f>
        <v>-0.0346021837207956</v>
      </c>
      <c r="U33" s="60" t="n">
        <f aca="false">U20+U31</f>
        <v>300528.58219851</v>
      </c>
      <c r="V33" s="61" t="n">
        <f aca="false">IFERROR(U33/R33,0)</f>
        <v>0.0447400503718371</v>
      </c>
      <c r="X33" s="3"/>
      <c r="Y33" s="34"/>
      <c r="AK33" s="2"/>
      <c r="AL33" s="87"/>
    </row>
    <row r="34" customFormat="false" ht="14.25" hidden="false" customHeight="false" outlineLevel="0" collapsed="false">
      <c r="L34" s="72"/>
      <c r="N34" s="3"/>
      <c r="O34" s="73"/>
      <c r="P34" s="73"/>
      <c r="Q34" s="73"/>
      <c r="R34" s="73"/>
      <c r="S34" s="73"/>
      <c r="T34" s="73"/>
      <c r="U34" s="73"/>
      <c r="V34" s="73"/>
      <c r="W34" s="3"/>
      <c r="X34" s="3"/>
      <c r="Y34" s="34"/>
      <c r="AK34" s="34"/>
    </row>
    <row r="35" customFormat="false" ht="14.25" hidden="false" customHeight="false" outlineLevel="0" collapsed="false">
      <c r="L35" s="72"/>
      <c r="N35" s="3"/>
      <c r="O35" s="73"/>
      <c r="P35" s="73"/>
      <c r="Q35" s="73"/>
      <c r="R35" s="73"/>
      <c r="S35" s="73"/>
      <c r="T35" s="73"/>
      <c r="U35" s="73"/>
      <c r="V35" s="73"/>
      <c r="W35" s="3"/>
      <c r="X35" s="3"/>
      <c r="Y35" s="34"/>
      <c r="AK35" s="34"/>
    </row>
    <row r="36" customFormat="false" ht="14.25" hidden="false" customHeight="false" outlineLevel="0" collapsed="false">
      <c r="C36" s="88" t="s">
        <v>50</v>
      </c>
      <c r="L36" s="72"/>
      <c r="N36" s="3"/>
      <c r="O36" s="73"/>
      <c r="P36" s="73"/>
      <c r="Q36" s="73"/>
      <c r="R36" s="73"/>
      <c r="S36" s="73"/>
      <c r="T36" s="73"/>
      <c r="U36" s="73"/>
      <c r="V36" s="73"/>
      <c r="W36" s="3"/>
      <c r="X36" s="3"/>
      <c r="Y36" s="34"/>
      <c r="AK36" s="34"/>
    </row>
    <row r="37" customFormat="false" ht="14.25" hidden="false" customHeight="false" outlineLevel="0" collapsed="false">
      <c r="L37" s="72"/>
      <c r="N37" s="3"/>
      <c r="O37" s="73"/>
      <c r="P37" s="73"/>
      <c r="Q37" s="73"/>
      <c r="R37" s="73"/>
      <c r="S37" s="73"/>
      <c r="T37" s="73"/>
      <c r="U37" s="73"/>
      <c r="V37" s="73"/>
      <c r="W37" s="3"/>
      <c r="X37" s="3"/>
      <c r="Y37" s="34"/>
      <c r="AK37" s="34"/>
    </row>
    <row r="38" customFormat="false" ht="31.3" hidden="false" customHeight="false" outlineLevel="0" collapsed="false">
      <c r="C38" s="23" t="s">
        <v>6</v>
      </c>
      <c r="D38" s="15" t="s">
        <v>7</v>
      </c>
      <c r="E38" s="16" t="s">
        <v>8</v>
      </c>
      <c r="F38" s="17" t="s">
        <v>9</v>
      </c>
      <c r="G38" s="18" t="s">
        <v>10</v>
      </c>
      <c r="H38" s="18" t="s">
        <v>11</v>
      </c>
      <c r="I38" s="18" t="s">
        <v>12</v>
      </c>
      <c r="J38" s="18" t="s">
        <v>13</v>
      </c>
      <c r="K38" s="18" t="s">
        <v>14</v>
      </c>
      <c r="L38" s="19" t="s">
        <v>15</v>
      </c>
      <c r="M38" s="20" t="s">
        <v>16</v>
      </c>
      <c r="N38" s="89" t="s">
        <v>17</v>
      </c>
      <c r="O38" s="90" t="s">
        <v>51</v>
      </c>
      <c r="P38" s="91" t="s">
        <v>52</v>
      </c>
      <c r="Q38" s="91" t="s">
        <v>14</v>
      </c>
      <c r="R38" s="91" t="s">
        <v>15</v>
      </c>
      <c r="S38" s="73" t="s">
        <v>53</v>
      </c>
      <c r="T38" s="73" t="s">
        <v>54</v>
      </c>
      <c r="U38" s="73" t="s">
        <v>55</v>
      </c>
      <c r="V38" s="73" t="s">
        <v>56</v>
      </c>
      <c r="W38" s="3"/>
      <c r="X38" s="3" t="s">
        <v>57</v>
      </c>
      <c r="Y38" s="34"/>
    </row>
    <row r="39" customFormat="false" ht="14.25" hidden="false" customHeight="false" outlineLevel="0" collapsed="false">
      <c r="C39" s="31" t="s">
        <v>34</v>
      </c>
      <c r="D39" s="32" t="n">
        <f aca="false">D7+D25</f>
        <v>633.96</v>
      </c>
      <c r="E39" s="33" t="n">
        <f aca="false">IFERROR(F39/D39,0)</f>
        <v>1834.43100611569</v>
      </c>
      <c r="F39" s="34" t="n">
        <f aca="false">F7+F25</f>
        <v>1162955.88063711</v>
      </c>
      <c r="G39" s="34" t="n">
        <f aca="false">G7+G25</f>
        <v>131762.2464</v>
      </c>
      <c r="H39" s="34" t="n">
        <f aca="false">H7+H25</f>
        <v>32572.000209231</v>
      </c>
      <c r="I39" s="34" t="n">
        <f aca="false">I7+I25</f>
        <v>64031.0335881157</v>
      </c>
      <c r="J39" s="34" t="n">
        <f aca="false">J7+J25</f>
        <v>51185.8419429715</v>
      </c>
      <c r="K39" s="34" t="n">
        <v>0</v>
      </c>
      <c r="L39" s="35" t="n">
        <v>0</v>
      </c>
      <c r="M39" s="36" t="n">
        <f aca="false">F39+G39+H39+I39</f>
        <v>1391321.16083445</v>
      </c>
      <c r="N39" s="92" t="n">
        <f aca="false">IFERROR(M39/D39,0)</f>
        <v>2194.6513357853</v>
      </c>
      <c r="O39" s="93" t="n">
        <v>2200</v>
      </c>
      <c r="P39" s="94" t="n">
        <f aca="false">O39*D39</f>
        <v>1394712</v>
      </c>
      <c r="Q39" s="94" t="n">
        <f aca="false">P39-M39</f>
        <v>3390.8391655481</v>
      </c>
      <c r="R39" s="95" t="n">
        <f aca="false">Q39/P39</f>
        <v>0.00243121100667958</v>
      </c>
      <c r="S39" s="73" t="n">
        <f aca="false">Q25</f>
        <v>1500</v>
      </c>
      <c r="T39" s="73" t="n">
        <f aca="false">S39*D39</f>
        <v>950940</v>
      </c>
      <c r="U39" s="73" t="n">
        <f aca="false">T39-M39</f>
        <v>-440381.160834452</v>
      </c>
      <c r="V39" s="73" t="n">
        <f aca="false">Q39-U39</f>
        <v>443772</v>
      </c>
      <c r="X39" s="3" t="n">
        <f aca="false">Q39+I39+J39</f>
        <v>118607.714696635</v>
      </c>
      <c r="Y39" s="34"/>
    </row>
    <row r="40" customFormat="false" ht="14.25" hidden="false" customHeight="false" outlineLevel="0" collapsed="false">
      <c r="C40" s="50" t="s">
        <v>35</v>
      </c>
      <c r="D40" s="32" t="n">
        <f aca="false">D8</f>
        <v>379.14</v>
      </c>
      <c r="E40" s="33" t="n">
        <f aca="false">IFERROR(F40/D40,0)</f>
        <v>1483.42296852866</v>
      </c>
      <c r="F40" s="34" t="n">
        <f aca="false">F8</f>
        <v>562424.984287955</v>
      </c>
      <c r="G40" s="34" t="n">
        <f aca="false">G8</f>
        <v>78800.4576</v>
      </c>
      <c r="H40" s="34" t="n">
        <f aca="false">H8</f>
        <v>19479.6961311879</v>
      </c>
      <c r="I40" s="34" t="n">
        <f aca="false">I8</f>
        <v>38293.7820597486</v>
      </c>
      <c r="J40" s="34" t="n">
        <f aca="false">J8</f>
        <v>30611.7106982431</v>
      </c>
      <c r="K40" s="34" t="n">
        <v>0</v>
      </c>
      <c r="L40" s="35" t="n">
        <v>0</v>
      </c>
      <c r="M40" s="36" t="n">
        <f aca="false">F40+G40+H40+I40</f>
        <v>698998.920078892</v>
      </c>
      <c r="N40" s="92" t="n">
        <f aca="false">IFERROR(M40/D40,0)</f>
        <v>1843.64329819827</v>
      </c>
      <c r="O40" s="93" t="n">
        <v>1400</v>
      </c>
      <c r="P40" s="94" t="n">
        <f aca="false">O40*D40</f>
        <v>530796</v>
      </c>
      <c r="Q40" s="94" t="n">
        <f aca="false">P40-M40</f>
        <v>-168202.920078892</v>
      </c>
      <c r="R40" s="95" t="n">
        <f aca="false">Q40/P40</f>
        <v>-0.31688807014162</v>
      </c>
      <c r="S40" s="73" t="n">
        <f aca="false">Q8</f>
        <v>1400</v>
      </c>
      <c r="T40" s="73" t="n">
        <f aca="false">S40*D40</f>
        <v>530796</v>
      </c>
      <c r="U40" s="73" t="n">
        <f aca="false">T40-M40</f>
        <v>-168202.920078892</v>
      </c>
      <c r="V40" s="73" t="n">
        <f aca="false">Q40-U40</f>
        <v>0</v>
      </c>
      <c r="X40" s="3" t="n">
        <f aca="false">Q40+I40+J40</f>
        <v>-99297.4273208999</v>
      </c>
      <c r="Y40" s="34"/>
    </row>
    <row r="41" customFormat="false" ht="14.25" hidden="false" customHeight="false" outlineLevel="0" collapsed="false">
      <c r="C41" s="50" t="s">
        <v>36</v>
      </c>
      <c r="D41" s="32" t="n">
        <f aca="false">D9+D26</f>
        <v>71.9</v>
      </c>
      <c r="E41" s="33" t="n">
        <f aca="false">IFERROR(F41/D41,0)</f>
        <v>1731.97012699901</v>
      </c>
      <c r="F41" s="34" t="n">
        <f aca="false">F9+F26</f>
        <v>124528.652131229</v>
      </c>
      <c r="G41" s="34" t="n">
        <f aca="false">G9+G26</f>
        <v>14943.696</v>
      </c>
      <c r="H41" s="34" t="n">
        <f aca="false">H9+H26</f>
        <v>3694.12394321994</v>
      </c>
      <c r="I41" s="34" t="n">
        <f aca="false">I9+I26</f>
        <v>7262.02176002511</v>
      </c>
      <c r="J41" s="34" t="n">
        <f aca="false">J9+J26</f>
        <v>5805.19596772612</v>
      </c>
      <c r="K41" s="34" t="n">
        <v>0</v>
      </c>
      <c r="L41" s="35" t="n">
        <v>0</v>
      </c>
      <c r="M41" s="36" t="n">
        <f aca="false">F41+G41+H41+I41</f>
        <v>150428.493834474</v>
      </c>
      <c r="N41" s="92" t="n">
        <f aca="false">IFERROR(M41/D41,0)</f>
        <v>2092.19045666862</v>
      </c>
      <c r="O41" s="93" t="n">
        <v>2400</v>
      </c>
      <c r="P41" s="94" t="n">
        <f aca="false">O41*D41</f>
        <v>172560</v>
      </c>
      <c r="Q41" s="94" t="n">
        <f aca="false">P41-M41</f>
        <v>22131.5061655262</v>
      </c>
      <c r="R41" s="95" t="n">
        <f aca="false">Q41/P41</f>
        <v>0.128253976388075</v>
      </c>
      <c r="S41" s="73" t="n">
        <f aca="false">Q9</f>
        <v>1950</v>
      </c>
      <c r="T41" s="73" t="n">
        <f aca="false">S41*D41</f>
        <v>140205</v>
      </c>
      <c r="U41" s="73" t="n">
        <f aca="false">T41-M41</f>
        <v>-10223.4938344738</v>
      </c>
      <c r="V41" s="73" t="n">
        <f aca="false">Q41-U41</f>
        <v>32355</v>
      </c>
      <c r="X41" s="3" t="n">
        <f aca="false">Q41+I41+J41</f>
        <v>35198.7238932774</v>
      </c>
      <c r="Y41" s="34"/>
    </row>
    <row r="42" customFormat="false" ht="14.25" hidden="false" customHeight="false" outlineLevel="0" collapsed="false">
      <c r="C42" s="50" t="s">
        <v>37</v>
      </c>
      <c r="D42" s="32" t="n">
        <f aca="false">D10+D30</f>
        <v>151.54</v>
      </c>
      <c r="E42" s="33" t="n">
        <f aca="false">IFERROR(F42/D42,0)</f>
        <v>1308.20982311726</v>
      </c>
      <c r="F42" s="34" t="n">
        <f aca="false">F10+F30</f>
        <v>198246.11659519</v>
      </c>
      <c r="G42" s="34" t="n">
        <f aca="false">G10+G30</f>
        <v>31496.0736</v>
      </c>
      <c r="H42" s="34" t="n">
        <f aca="false">H10+H30</f>
        <v>7785.91853067523</v>
      </c>
      <c r="I42" s="34" t="n">
        <f aca="false">I10+I30</f>
        <v>15305.7966274577</v>
      </c>
      <c r="J42" s="34" t="n">
        <f aca="false">J10+J30</f>
        <v>12235.3184554828</v>
      </c>
      <c r="K42" s="34" t="n">
        <v>0</v>
      </c>
      <c r="L42" s="35" t="n">
        <v>0</v>
      </c>
      <c r="M42" s="36" t="n">
        <f aca="false">F42+G42+H42+I42</f>
        <v>252833.905353322</v>
      </c>
      <c r="N42" s="92" t="n">
        <f aca="false">IFERROR(M42/D42,0)</f>
        <v>1668.43015278687</v>
      </c>
      <c r="O42" s="93" t="n">
        <v>2500</v>
      </c>
      <c r="P42" s="94" t="n">
        <f aca="false">O42*D42</f>
        <v>378850</v>
      </c>
      <c r="Q42" s="96" t="n">
        <f aca="false">P42-M42</f>
        <v>126016.094646678</v>
      </c>
      <c r="R42" s="95" t="n">
        <f aca="false">Q42/P42</f>
        <v>0.332627938885252</v>
      </c>
      <c r="S42" s="97" t="n">
        <f aca="false">Q10</f>
        <v>1700</v>
      </c>
      <c r="T42" s="97" t="n">
        <f aca="false">S42*D42</f>
        <v>257618</v>
      </c>
      <c r="U42" s="97" t="n">
        <f aca="false">T42-M42</f>
        <v>4784.09464667764</v>
      </c>
      <c r="V42" s="97" t="n">
        <f aca="false">Q42-U42</f>
        <v>121232</v>
      </c>
      <c r="X42" s="3" t="n">
        <f aca="false">Q42+I42+J42</f>
        <v>153557.209729618</v>
      </c>
      <c r="Y42" s="97"/>
    </row>
    <row r="43" customFormat="false" ht="14.25" hidden="false" customHeight="false" outlineLevel="0" collapsed="false">
      <c r="C43" s="50" t="s">
        <v>38</v>
      </c>
      <c r="D43" s="32" t="n">
        <f aca="false">D11+D27</f>
        <v>378.4</v>
      </c>
      <c r="E43" s="33" t="n">
        <f aca="false">IFERROR(F43/D43,0)</f>
        <v>1596.55881400912</v>
      </c>
      <c r="F43" s="34" t="n">
        <f aca="false">F11+F27</f>
        <v>604137.855221052</v>
      </c>
      <c r="G43" s="34" t="n">
        <f aca="false">G11+G27</f>
        <v>78646.656</v>
      </c>
      <c r="H43" s="34" t="n">
        <f aca="false">H11+H27</f>
        <v>19441.6759403953</v>
      </c>
      <c r="I43" s="34" t="n">
        <f aca="false">I11+I27</f>
        <v>38219.0408065856</v>
      </c>
      <c r="J43" s="34" t="n">
        <f aca="false">J11+J27</f>
        <v>30551.963201496</v>
      </c>
      <c r="K43" s="34" t="n">
        <v>0</v>
      </c>
      <c r="L43" s="35" t="n">
        <v>0</v>
      </c>
      <c r="M43" s="36" t="n">
        <f aca="false">F43+G43+H43+I43</f>
        <v>740445.227968033</v>
      </c>
      <c r="N43" s="92" t="n">
        <f aca="false">IFERROR(M43/D43,0)</f>
        <v>1956.77914367874</v>
      </c>
      <c r="O43" s="93" t="n">
        <v>2800</v>
      </c>
      <c r="P43" s="94" t="n">
        <f aca="false">O43*D43</f>
        <v>1059520</v>
      </c>
      <c r="Q43" s="98" t="n">
        <f aca="false">P43-M43</f>
        <v>319074.772031967</v>
      </c>
      <c r="R43" s="95" t="n">
        <f aca="false">Q43/P43</f>
        <v>0.301150305829023</v>
      </c>
      <c r="S43" s="3" t="n">
        <f aca="false">Q11</f>
        <v>2700</v>
      </c>
      <c r="T43" s="34" t="n">
        <f aca="false">S43*D43</f>
        <v>1021680</v>
      </c>
      <c r="U43" s="3" t="n">
        <f aca="false">T43-M43</f>
        <v>281234.772031967</v>
      </c>
      <c r="V43" s="3" t="n">
        <f aca="false">Q43-U43</f>
        <v>37840.0000000001</v>
      </c>
      <c r="X43" s="3" t="n">
        <f aca="false">Q43+I43+J43</f>
        <v>387845.776040048</v>
      </c>
    </row>
    <row r="44" customFormat="false" ht="14.25" hidden="false" customHeight="false" outlineLevel="0" collapsed="false">
      <c r="C44" s="50" t="s">
        <v>39</v>
      </c>
      <c r="D44" s="32" t="n">
        <f aca="false">D12</f>
        <v>132.38</v>
      </c>
      <c r="E44" s="33" t="n">
        <f aca="false">IFERROR(F44/D44,0)</f>
        <v>1540.16366904568</v>
      </c>
      <c r="F44" s="34" t="n">
        <f aca="false">F12</f>
        <v>203886.866508268</v>
      </c>
      <c r="G44" s="34" t="n">
        <f aca="false">G12</f>
        <v>27513.8592</v>
      </c>
      <c r="H44" s="34" t="n">
        <f aca="false">H12</f>
        <v>6801.503860966</v>
      </c>
      <c r="I44" s="34" t="n">
        <f aca="false">I12</f>
        <v>13370.6041806971</v>
      </c>
      <c r="J44" s="34" t="n">
        <f aca="false">J12</f>
        <v>10688.3427288955</v>
      </c>
      <c r="K44" s="34" t="n">
        <v>0</v>
      </c>
      <c r="L44" s="35" t="n">
        <v>0</v>
      </c>
      <c r="M44" s="36" t="n">
        <f aca="false">F44+G44+H44+I44</f>
        <v>251572.833749931</v>
      </c>
      <c r="N44" s="92" t="n">
        <f aca="false">IFERROR(M44/D44,0)</f>
        <v>1900.3839987153</v>
      </c>
      <c r="O44" s="93" t="n">
        <v>2800</v>
      </c>
      <c r="P44" s="94" t="n">
        <f aca="false">O44*D44</f>
        <v>370664</v>
      </c>
      <c r="Q44" s="98" t="n">
        <f aca="false">P44-M44</f>
        <v>119091.166250069</v>
      </c>
      <c r="R44" s="95" t="n">
        <f aca="false">Q44/P44</f>
        <v>0.321291429030251</v>
      </c>
      <c r="S44" s="3" t="n">
        <f aca="false">Q12</f>
        <v>2800</v>
      </c>
      <c r="T44" s="34" t="n">
        <f aca="false">S44*D44</f>
        <v>370664</v>
      </c>
      <c r="U44" s="3" t="n">
        <f aca="false">T44-M44</f>
        <v>119091.166250069</v>
      </c>
      <c r="V44" s="3" t="n">
        <f aca="false">Q44-U44</f>
        <v>0</v>
      </c>
      <c r="X44" s="3" t="n">
        <f aca="false">Q44+I44+J44</f>
        <v>143150.113159662</v>
      </c>
    </row>
    <row r="45" customFormat="false" ht="14.25" hidden="false" customHeight="false" outlineLevel="0" collapsed="false">
      <c r="C45" s="50" t="s">
        <v>40</v>
      </c>
      <c r="D45" s="32" t="n">
        <f aca="false">D13</f>
        <v>0</v>
      </c>
      <c r="E45" s="33" t="n">
        <f aca="false">IFERROR(F45/D45,0)</f>
        <v>0</v>
      </c>
      <c r="F45" s="34" t="n">
        <f aca="false">F13</f>
        <v>0</v>
      </c>
      <c r="G45" s="34" t="n">
        <f aca="false">G13</f>
        <v>0</v>
      </c>
      <c r="H45" s="34" t="n">
        <f aca="false">H13</f>
        <v>0</v>
      </c>
      <c r="I45" s="34" t="n">
        <f aca="false">I13</f>
        <v>0</v>
      </c>
      <c r="J45" s="34" t="n">
        <f aca="false">J13</f>
        <v>0</v>
      </c>
      <c r="K45" s="34" t="n">
        <v>0</v>
      </c>
      <c r="L45" s="35" t="n">
        <v>0</v>
      </c>
      <c r="M45" s="36" t="n">
        <f aca="false">F45+G45+H45+I45</f>
        <v>0</v>
      </c>
      <c r="N45" s="92" t="n">
        <f aca="false">IFERROR(M45/D45,0)</f>
        <v>0</v>
      </c>
      <c r="O45" s="93" t="n">
        <v>1800</v>
      </c>
      <c r="P45" s="94" t="n">
        <f aca="false">O45*D45</f>
        <v>0</v>
      </c>
      <c r="Q45" s="98" t="n">
        <f aca="false">P45-M45</f>
        <v>0</v>
      </c>
      <c r="R45" s="95" t="e">
        <f aca="false">Q45/P45</f>
        <v>#DIV/0!</v>
      </c>
      <c r="S45" s="3" t="n">
        <f aca="false">Q13</f>
        <v>1700</v>
      </c>
      <c r="T45" s="34" t="n">
        <f aca="false">S45*D45</f>
        <v>0</v>
      </c>
      <c r="U45" s="3" t="n">
        <f aca="false">T45-M45</f>
        <v>0</v>
      </c>
      <c r="V45" s="3" t="n">
        <f aca="false">Q45-U45</f>
        <v>0</v>
      </c>
      <c r="X45" s="3" t="n">
        <f aca="false">Q45+I45+J45</f>
        <v>0</v>
      </c>
    </row>
    <row r="46" customFormat="false" ht="14.25" hidden="false" customHeight="false" outlineLevel="0" collapsed="false">
      <c r="C46" s="50" t="s">
        <v>41</v>
      </c>
      <c r="D46" s="32" t="n">
        <f aca="false">D14+D28+D18*0.5</f>
        <v>610.48</v>
      </c>
      <c r="E46" s="33" t="n">
        <f aca="false">IFERROR(F46/D46,0)</f>
        <v>3085.06112368996</v>
      </c>
      <c r="F46" s="34" t="n">
        <f aca="false">F14+F28+F18</f>
        <v>1883368.11479025</v>
      </c>
      <c r="G46" s="34" t="n">
        <f aca="false">G14+G28+G18</f>
        <v>126882.1632</v>
      </c>
      <c r="H46" s="34" t="n">
        <f aca="false">H14+H28+H18</f>
        <v>31365.6298311114</v>
      </c>
      <c r="I46" s="34" t="n">
        <f aca="false">I14+I28+I18</f>
        <v>61659.5138255929</v>
      </c>
      <c r="J46" s="34" t="n">
        <f aca="false">J14+J28+J18</f>
        <v>49290.0700191577</v>
      </c>
      <c r="K46" s="34" t="n">
        <v>0</v>
      </c>
      <c r="L46" s="35" t="n">
        <v>0</v>
      </c>
      <c r="M46" s="36" t="n">
        <f aca="false">F46+G46+H46+I46</f>
        <v>2103275.42164695</v>
      </c>
      <c r="N46" s="92" t="n">
        <f aca="false">IFERROR(M46/D46,0)</f>
        <v>3445.28145335958</v>
      </c>
      <c r="O46" s="93" t="n">
        <v>4000</v>
      </c>
      <c r="P46" s="94" t="n">
        <f aca="false">O46*D46</f>
        <v>2441920</v>
      </c>
      <c r="Q46" s="99" t="n">
        <f aca="false">P46-M46</f>
        <v>338644.578353046</v>
      </c>
      <c r="R46" s="95" t="n">
        <f aca="false">Q46/P46</f>
        <v>0.138679636660106</v>
      </c>
      <c r="S46" s="100" t="n">
        <f aca="false">Q14</f>
        <v>3500</v>
      </c>
      <c r="T46" s="34" t="n">
        <f aca="false">S46*D46</f>
        <v>2136680</v>
      </c>
      <c r="U46" s="100" t="n">
        <f aca="false">T46-M46</f>
        <v>33404.5783530464</v>
      </c>
      <c r="V46" s="100" t="n">
        <f aca="false">Q46-U46</f>
        <v>305240</v>
      </c>
      <c r="X46" s="3" t="n">
        <f aca="false">Q46+I46+J46</f>
        <v>449594.162197797</v>
      </c>
    </row>
    <row r="47" customFormat="false" ht="14.25" hidden="false" customHeight="false" outlineLevel="0" collapsed="false">
      <c r="C47" s="50" t="s">
        <v>42</v>
      </c>
      <c r="D47" s="32" t="n">
        <f aca="false">D15+D29+D19*0.5</f>
        <v>356.71</v>
      </c>
      <c r="E47" s="33" t="n">
        <f aca="false">IFERROR(F47/D47,0)</f>
        <v>3028.06380766324</v>
      </c>
      <c r="F47" s="34" t="n">
        <f aca="false">F15+F29+F19</f>
        <v>1080140.64083155</v>
      </c>
      <c r="G47" s="34" t="n">
        <f aca="false">G15+G29+G19</f>
        <v>108594.3216</v>
      </c>
      <c r="H47" s="34" t="n">
        <f aca="false">H15+H29+H19</f>
        <v>26844.823631335</v>
      </c>
      <c r="I47" s="34" t="n">
        <f aca="false">I15+I29+I19</f>
        <v>52772.3748177402</v>
      </c>
      <c r="J47" s="34" t="n">
        <f aca="false">J15+J29+J19</f>
        <v>42185.7696964843</v>
      </c>
      <c r="K47" s="34" t="n">
        <v>0</v>
      </c>
      <c r="L47" s="35" t="n">
        <v>0</v>
      </c>
      <c r="M47" s="36" t="n">
        <f aca="false">F47+G47+H47+I47</f>
        <v>1268352.16088063</v>
      </c>
      <c r="N47" s="92" t="n">
        <f aca="false">IFERROR(M47/D47,0)</f>
        <v>3555.69555347658</v>
      </c>
      <c r="O47" s="93" t="n">
        <v>4000</v>
      </c>
      <c r="P47" s="94" t="n">
        <f aca="false">O47*D47</f>
        <v>1426840</v>
      </c>
      <c r="Q47" s="98" t="n">
        <f aca="false">P47-M47</f>
        <v>158487.83911937</v>
      </c>
      <c r="R47" s="95" t="n">
        <f aca="false">Q47/P47</f>
        <v>0.111076111630856</v>
      </c>
      <c r="S47" s="3" t="n">
        <f aca="false">Q15</f>
        <v>3500</v>
      </c>
      <c r="T47" s="34" t="n">
        <f aca="false">S47*D47</f>
        <v>1248485</v>
      </c>
      <c r="U47" s="3" t="n">
        <f aca="false">T47-M47</f>
        <v>-19867.1608806297</v>
      </c>
      <c r="V47" s="3" t="n">
        <f aca="false">Q47-U47</f>
        <v>178355</v>
      </c>
      <c r="X47" s="3" t="n">
        <f aca="false">Q47+I47+J47</f>
        <v>253445.983633595</v>
      </c>
    </row>
    <row r="48" customFormat="false" ht="14.25" hidden="false" customHeight="false" outlineLevel="0" collapsed="false">
      <c r="C48" s="50" t="s">
        <v>43</v>
      </c>
      <c r="D48" s="32" t="n">
        <f aca="false">D16</f>
        <v>21.28</v>
      </c>
      <c r="E48" s="33" t="n">
        <f aca="false">IFERROR(F48/D48,0)</f>
        <v>1597.99025354257</v>
      </c>
      <c r="F48" s="34" t="n">
        <f aca="false">F16</f>
        <v>34005.2325953859</v>
      </c>
      <c r="G48" s="34" t="n">
        <f aca="false">G16</f>
        <v>4422.8352</v>
      </c>
      <c r="H48" s="34" t="n">
        <f aca="false">H16</f>
        <v>1093.33737846621</v>
      </c>
      <c r="I48" s="34" t="n">
        <f aca="false">I16</f>
        <v>2149.31603690312</v>
      </c>
      <c r="J48" s="34" t="n">
        <f aca="false">J16</f>
        <v>1718.14423078181</v>
      </c>
      <c r="K48" s="34" t="n">
        <v>0</v>
      </c>
      <c r="L48" s="35" t="n">
        <v>0</v>
      </c>
      <c r="M48" s="36" t="n">
        <f aca="false">F48+G48+H48+I48</f>
        <v>41670.7212107553</v>
      </c>
      <c r="N48" s="92" t="n">
        <f aca="false">IFERROR(M48/D48,0)</f>
        <v>1958.21058321218</v>
      </c>
      <c r="O48" s="93" t="n">
        <v>1800</v>
      </c>
      <c r="P48" s="94" t="n">
        <f aca="false">O48*D48</f>
        <v>38304</v>
      </c>
      <c r="Q48" s="98" t="n">
        <f aca="false">P48-M48</f>
        <v>-3366.72121075526</v>
      </c>
      <c r="R48" s="95" t="n">
        <f aca="false">Q48/P48</f>
        <v>-0.0878947684512128</v>
      </c>
      <c r="S48" s="3" t="n">
        <f aca="false">Q16</f>
        <v>2000</v>
      </c>
      <c r="T48" s="34" t="n">
        <f aca="false">S48*D48</f>
        <v>42560</v>
      </c>
      <c r="U48" s="3" t="n">
        <f aca="false">T48-M48</f>
        <v>889.278789244745</v>
      </c>
      <c r="V48" s="3" t="n">
        <f aca="false">Q48-U48</f>
        <v>-4256</v>
      </c>
      <c r="X48" s="3" t="n">
        <f aca="false">Q48+I48+J48</f>
        <v>500.739056929671</v>
      </c>
    </row>
    <row r="49" customFormat="false" ht="14.25" hidden="false" customHeight="false" outlineLevel="0" collapsed="false">
      <c r="C49" s="50" t="s">
        <v>44</v>
      </c>
      <c r="D49" s="32" t="n">
        <f aca="false">D17</f>
        <v>30.94</v>
      </c>
      <c r="E49" s="33" t="n">
        <f aca="false">IFERROR(F49/D49,0)</f>
        <v>1279.97025102932</v>
      </c>
      <c r="F49" s="34" t="n">
        <f aca="false">F17</f>
        <v>39602.2795668472</v>
      </c>
      <c r="G49" s="34" t="n">
        <f aca="false">G17</f>
        <v>6430.5696</v>
      </c>
      <c r="H49" s="34" t="n">
        <f aca="false">H17</f>
        <v>1589.65500421731</v>
      </c>
      <c r="I49" s="34" t="n">
        <f aca="false">I17</f>
        <v>3124.99239576046</v>
      </c>
      <c r="J49" s="34" t="n">
        <f aca="false">J17</f>
        <v>2498.09128291302</v>
      </c>
      <c r="K49" s="34" t="n">
        <v>0</v>
      </c>
      <c r="L49" s="35" t="n">
        <v>0</v>
      </c>
      <c r="M49" s="36" t="n">
        <f aca="false">F49+G49+H49+I49</f>
        <v>50747.496566825</v>
      </c>
      <c r="N49" s="92" t="n">
        <f aca="false">IFERROR(M49/D49,0)</f>
        <v>1640.19058069893</v>
      </c>
      <c r="O49" s="93" t="n">
        <v>2000</v>
      </c>
      <c r="P49" s="98" t="n">
        <f aca="false">O49*D49</f>
        <v>61880</v>
      </c>
      <c r="Q49" s="98" t="n">
        <f aca="false">P49-M49</f>
        <v>11132.503433175</v>
      </c>
      <c r="R49" s="95" t="n">
        <f aca="false">Q49/P49</f>
        <v>0.179904709650533</v>
      </c>
      <c r="S49" s="3" t="n">
        <f aca="false">Q17</f>
        <v>1700</v>
      </c>
      <c r="T49" s="34" t="n">
        <f aca="false">S49*D49</f>
        <v>52598</v>
      </c>
      <c r="U49" s="3" t="n">
        <f aca="false">T49-M49</f>
        <v>1850.50343317499</v>
      </c>
      <c r="V49" s="3" t="n">
        <f aca="false">Q49-U49</f>
        <v>9282</v>
      </c>
      <c r="X49" s="3" t="n">
        <f aca="false">Q49+I49+J49</f>
        <v>16755.5871118485</v>
      </c>
    </row>
    <row r="50" customFormat="false" ht="14.25" hidden="false" customHeight="false" outlineLevel="0" collapsed="false">
      <c r="C50" s="85" t="s">
        <v>47</v>
      </c>
      <c r="D50" s="54" t="n">
        <f aca="false">SUM(D39:D49)</f>
        <v>2766.73</v>
      </c>
      <c r="E50" s="55" t="n">
        <f aca="false">F50/D50</f>
        <v>2130.05845281789</v>
      </c>
      <c r="F50" s="56" t="n">
        <f aca="false">SUM(F39:F49)</f>
        <v>5893296.62316484</v>
      </c>
      <c r="G50" s="56" t="n">
        <f aca="false">SUM(G39:G49)</f>
        <v>609492.8784</v>
      </c>
      <c r="H50" s="56" t="n">
        <f aca="false">SUM(H39:H49)</f>
        <v>150668.364460805</v>
      </c>
      <c r="I50" s="56" t="n">
        <f aca="false">SUM(I39:I49)</f>
        <v>296188.476098626</v>
      </c>
      <c r="J50" s="56" t="n">
        <f aca="false">SUM(J39:J49)</f>
        <v>236770.448224152</v>
      </c>
      <c r="K50" s="56" t="n">
        <f aca="false">SUM(K39:K49)</f>
        <v>0</v>
      </c>
      <c r="L50" s="57" t="n">
        <v>0</v>
      </c>
      <c r="M50" s="58" t="n">
        <f aca="false">SUM(M39:M49)</f>
        <v>6949646.34212427</v>
      </c>
      <c r="N50" s="101" t="n">
        <f aca="false">IFERROR(M50/D50,0)</f>
        <v>2511.86286414803</v>
      </c>
      <c r="O50" s="102" t="n">
        <f aca="false">P50/D50</f>
        <v>2846.69844907165</v>
      </c>
      <c r="P50" s="103" t="n">
        <f aca="false">SUM(P39:P49)</f>
        <v>7876046</v>
      </c>
      <c r="Q50" s="103" t="n">
        <f aca="false">SUM(Q39:Q49)</f>
        <v>926399.657875733</v>
      </c>
      <c r="R50" s="104" t="n">
        <f aca="false">Q50/P50</f>
        <v>0.117622428547996</v>
      </c>
      <c r="S50" s="105" t="n">
        <f aca="false">T50/D50</f>
        <v>2440.50774741301</v>
      </c>
      <c r="T50" s="105" t="n">
        <f aca="false">SUM(T39:T49)</f>
        <v>6752226</v>
      </c>
      <c r="U50" s="105" t="n">
        <f aca="false">SUM(U39:U49)</f>
        <v>-197420.342124268</v>
      </c>
      <c r="V50" s="105" t="n">
        <f aca="false">SUM(V39:V49)</f>
        <v>1123820</v>
      </c>
      <c r="X50" s="105" t="n">
        <f aca="false">SUM(X39:X49)</f>
        <v>1459358.58219851</v>
      </c>
    </row>
    <row r="51" customFormat="false" ht="14.25" hidden="false" customHeight="false" outlineLevel="0" collapsed="false">
      <c r="Q51" s="3"/>
    </row>
    <row r="52" customFormat="false" ht="14.25" hidden="false" customHeight="false" outlineLevel="0" collapsed="false">
      <c r="D52" s="0" t="n">
        <f aca="false">D50/3</f>
        <v>922.243333333334</v>
      </c>
      <c r="M52" s="106"/>
      <c r="P52" s="34" t="n">
        <f aca="false">P50/3</f>
        <v>2625348.66666667</v>
      </c>
      <c r="X52" s="3"/>
    </row>
    <row r="53" customFormat="false" ht="14.25" hidden="false" customHeight="false" outlineLevel="0" collapsed="false">
      <c r="M53" s="3"/>
      <c r="S53" s="3" t="n">
        <f aca="false">F50*7%/12</f>
        <v>34377.5636351282</v>
      </c>
      <c r="T53" s="0" t="s">
        <v>58</v>
      </c>
      <c r="U53" s="78"/>
    </row>
    <row r="54" customFormat="false" ht="14.25" hidden="false" customHeight="false" outlineLevel="0" collapsed="false">
      <c r="D54" s="78"/>
      <c r="M54" s="5"/>
      <c r="S54" s="5" t="n">
        <f aca="false">S53/D50</f>
        <v>12.425340974771</v>
      </c>
      <c r="T54" s="0" t="s">
        <v>59</v>
      </c>
    </row>
    <row r="55" customFormat="false" ht="14.25" hidden="false" customHeight="false" outlineLevel="0" collapsed="false">
      <c r="S55" s="0" t="n">
        <f aca="false">42/6*D31</f>
        <v>9821.7</v>
      </c>
      <c r="T55" s="0" t="s">
        <v>60</v>
      </c>
    </row>
    <row r="56" customFormat="false" ht="14.25" hidden="false" customHeight="false" outlineLevel="0" collapsed="false">
      <c r="S56" s="5"/>
    </row>
    <row r="57" customFormat="false" ht="14.25" hidden="false" customHeight="false" outlineLevel="0" collapsed="false">
      <c r="S57" s="5"/>
    </row>
  </sheetData>
  <mergeCells count="8">
    <mergeCell ref="AJ4:AT4"/>
    <mergeCell ref="F5:V5"/>
    <mergeCell ref="X5:Z5"/>
    <mergeCell ref="AA5:AC5"/>
    <mergeCell ref="AD5:AF5"/>
    <mergeCell ref="AG5:AI5"/>
    <mergeCell ref="AJ5:AV5"/>
    <mergeCell ref="AX5:BF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K17"/>
  <sheetViews>
    <sheetView showFormulas="false" showGridLines="true" showRowColHeaders="true" showZeros="true" rightToLeft="false" tabSelected="false" showOutlineSymbols="true" defaultGridColor="true" view="normal" topLeftCell="D1" colorId="64" zoomScale="90" zoomScaleNormal="90" zoomScalePageLayoutView="100" workbookViewId="0">
      <selection pane="topLeft" activeCell="G13" activeCellId="0" sqref="G13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4" min="4" style="0" width="25"/>
    <col collapsed="false" customWidth="true" hidden="false" outlineLevel="0" max="5" min="5" style="0" width="17.44"/>
    <col collapsed="false" customWidth="true" hidden="false" outlineLevel="0" max="6" min="6" style="0" width="24.22"/>
    <col collapsed="false" customWidth="true" hidden="false" outlineLevel="0" max="7" min="7" style="0" width="20.55"/>
    <col collapsed="false" customWidth="true" hidden="false" outlineLevel="0" max="8" min="8" style="0" width="20.45"/>
    <col collapsed="false" customWidth="true" hidden="false" outlineLevel="0" max="9" min="9" style="0" width="18.56"/>
    <col collapsed="false" customWidth="true" hidden="false" outlineLevel="0" max="10" min="10" style="0" width="17"/>
    <col collapsed="false" customWidth="true" hidden="false" outlineLevel="0" max="11" min="11" style="0" width="20.78"/>
  </cols>
  <sheetData>
    <row r="3" customFormat="false" ht="14.25" hidden="false" customHeight="false" outlineLevel="0" collapsed="false">
      <c r="E3" s="107" t="s">
        <v>61</v>
      </c>
      <c r="F3" s="108" t="s">
        <v>62</v>
      </c>
      <c r="G3" s="109" t="s">
        <v>63</v>
      </c>
      <c r="H3" s="109" t="s">
        <v>64</v>
      </c>
      <c r="I3" s="109" t="s">
        <v>65</v>
      </c>
      <c r="J3" s="109" t="s">
        <v>66</v>
      </c>
      <c r="K3" s="110" t="s">
        <v>67</v>
      </c>
    </row>
    <row r="4" customFormat="false" ht="14.25" hidden="false" customHeight="false" outlineLevel="0" collapsed="false">
      <c r="B4" s="111" t="b">
        <f aca="false">C4=E4</f>
        <v>1</v>
      </c>
      <c r="C4" s="30" t="n">
        <v>10005721</v>
      </c>
      <c r="D4" s="31" t="s">
        <v>34</v>
      </c>
      <c r="E4" s="112" t="n">
        <v>10005721</v>
      </c>
      <c r="F4" s="113" t="n">
        <v>66.96</v>
      </c>
      <c r="G4" s="114" t="n">
        <v>122833.500169507</v>
      </c>
      <c r="H4" s="114" t="n">
        <v>13916.9664</v>
      </c>
      <c r="I4" s="114" t="n">
        <v>3440.31348036171</v>
      </c>
      <c r="J4" s="114" t="n">
        <v>6763.07339431546</v>
      </c>
      <c r="K4" s="115" t="n">
        <v>5406.34105700891</v>
      </c>
    </row>
    <row r="5" customFormat="false" ht="14.25" hidden="false" customHeight="false" outlineLevel="0" collapsed="false">
      <c r="B5" s="111" t="b">
        <f aca="false">C5=E5</f>
        <v>1</v>
      </c>
      <c r="C5" s="30" t="n">
        <v>10005779</v>
      </c>
      <c r="D5" s="50" t="s">
        <v>35</v>
      </c>
      <c r="E5" s="116" t="n">
        <v>10005779</v>
      </c>
      <c r="F5" s="117" t="n">
        <v>379.14</v>
      </c>
      <c r="G5" s="118" t="n">
        <v>562424.984287955</v>
      </c>
      <c r="H5" s="118" t="n">
        <v>78800.4576</v>
      </c>
      <c r="I5" s="118" t="n">
        <v>19479.6961311879</v>
      </c>
      <c r="J5" s="118" t="n">
        <v>38293.7820597485</v>
      </c>
      <c r="K5" s="119" t="n">
        <v>30611.7106982431</v>
      </c>
    </row>
    <row r="6" customFormat="false" ht="14.25" hidden="false" customHeight="false" outlineLevel="0" collapsed="false">
      <c r="B6" s="111" t="b">
        <f aca="false">C6=E6</f>
        <v>1</v>
      </c>
      <c r="C6" s="30" t="n">
        <v>10006719</v>
      </c>
      <c r="D6" s="50" t="s">
        <v>36</v>
      </c>
      <c r="E6" s="116" t="n">
        <v>10006719</v>
      </c>
      <c r="F6" s="117" t="n">
        <v>17.9</v>
      </c>
      <c r="G6" s="118" t="n">
        <v>31002.2652732823</v>
      </c>
      <c r="H6" s="118" t="n">
        <v>3720.336</v>
      </c>
      <c r="I6" s="118" t="n">
        <v>919.677588089525</v>
      </c>
      <c r="J6" s="118" t="n">
        <v>1807.93031299652</v>
      </c>
      <c r="K6" s="119" t="n">
        <v>1445.24350239635</v>
      </c>
    </row>
    <row r="7" customFormat="false" ht="14.25" hidden="false" customHeight="false" outlineLevel="0" collapsed="false">
      <c r="B7" s="111" t="b">
        <f aca="false">C7=E7</f>
        <v>1</v>
      </c>
      <c r="C7" s="30" t="n">
        <v>10007050</v>
      </c>
      <c r="D7" s="50" t="s">
        <v>37</v>
      </c>
      <c r="E7" s="116" t="n">
        <v>10007050</v>
      </c>
      <c r="F7" s="117" t="n">
        <v>124.54</v>
      </c>
      <c r="G7" s="118" t="n">
        <v>162924.451371024</v>
      </c>
      <c r="H7" s="118" t="n">
        <v>25884.3936</v>
      </c>
      <c r="I7" s="118" t="n">
        <v>6398.69535311002</v>
      </c>
      <c r="J7" s="118" t="n">
        <v>12578.7509039434</v>
      </c>
      <c r="K7" s="119" t="n">
        <v>10055.342222818</v>
      </c>
    </row>
    <row r="8" customFormat="false" ht="14.25" hidden="false" customHeight="false" outlineLevel="0" collapsed="false">
      <c r="B8" s="111" t="b">
        <f aca="false">C8=E8</f>
        <v>1</v>
      </c>
      <c r="C8" s="30" t="n">
        <v>10007162</v>
      </c>
      <c r="D8" s="50" t="s">
        <v>38</v>
      </c>
      <c r="E8" s="116" t="n">
        <v>10007162</v>
      </c>
      <c r="F8" s="117" t="n">
        <v>270.4</v>
      </c>
      <c r="G8" s="118" t="n">
        <v>431709.503308067</v>
      </c>
      <c r="H8" s="118" t="n">
        <v>56199.936</v>
      </c>
      <c r="I8" s="118" t="n">
        <v>13892.7832301345</v>
      </c>
      <c r="J8" s="118" t="n">
        <v>27310.8579125284</v>
      </c>
      <c r="K8" s="119" t="n">
        <v>21832.0582708365</v>
      </c>
    </row>
    <row r="9" customFormat="false" ht="14.25" hidden="false" customHeight="false" outlineLevel="0" collapsed="false">
      <c r="B9" s="111" t="b">
        <f aca="false">C9=E9</f>
        <v>1</v>
      </c>
      <c r="C9" s="30" t="n">
        <v>10007567</v>
      </c>
      <c r="D9" s="50" t="s">
        <v>39</v>
      </c>
      <c r="E9" s="116" t="n">
        <v>10007567</v>
      </c>
      <c r="F9" s="117" t="n">
        <v>132.38</v>
      </c>
      <c r="G9" s="118" t="n">
        <v>203886.866508268</v>
      </c>
      <c r="H9" s="118" t="n">
        <v>27513.8592</v>
      </c>
      <c r="I9" s="118" t="n">
        <v>6801.503860966</v>
      </c>
      <c r="J9" s="118" t="n">
        <v>13370.6041806971</v>
      </c>
      <c r="K9" s="119" t="n">
        <v>10688.3427288955</v>
      </c>
    </row>
    <row r="10" customFormat="false" ht="14.25" hidden="false" customHeight="false" outlineLevel="0" collapsed="false">
      <c r="B10" s="111" t="b">
        <f aca="false">C10=E10</f>
        <v>1</v>
      </c>
      <c r="C10" s="30" t="n">
        <v>10007969</v>
      </c>
      <c r="D10" s="50" t="s">
        <v>40</v>
      </c>
      <c r="E10" s="116" t="n">
        <v>10007969</v>
      </c>
      <c r="F10" s="117" t="n">
        <v>0</v>
      </c>
      <c r="G10" s="118" t="n">
        <v>0</v>
      </c>
      <c r="H10" s="118" t="n">
        <v>0</v>
      </c>
      <c r="I10" s="118" t="n">
        <v>0</v>
      </c>
      <c r="J10" s="118" t="n">
        <v>0</v>
      </c>
      <c r="K10" s="119" t="n">
        <v>0</v>
      </c>
    </row>
    <row r="11" customFormat="false" ht="14.25" hidden="false" customHeight="false" outlineLevel="0" collapsed="false">
      <c r="B11" s="111" t="b">
        <f aca="false">C11=E11</f>
        <v>1</v>
      </c>
      <c r="C11" s="30" t="n">
        <v>10009239</v>
      </c>
      <c r="D11" s="50" t="s">
        <v>41</v>
      </c>
      <c r="E11" s="116" t="n">
        <v>10009239</v>
      </c>
      <c r="F11" s="117" t="n">
        <v>16.48</v>
      </c>
      <c r="G11" s="118" t="n">
        <v>50841.8073184106</v>
      </c>
      <c r="H11" s="118" t="n">
        <v>3425.2032</v>
      </c>
      <c r="I11" s="118" t="n">
        <v>846.719924676836</v>
      </c>
      <c r="J11" s="118" t="n">
        <v>1664.50790827836</v>
      </c>
      <c r="K11" s="119" t="n">
        <v>1330.59290053027</v>
      </c>
    </row>
    <row r="12" customFormat="false" ht="14.25" hidden="false" customHeight="false" outlineLevel="0" collapsed="false">
      <c r="B12" s="111" t="b">
        <f aca="false">C12=E12</f>
        <v>1</v>
      </c>
      <c r="C12" s="30" t="n">
        <v>10009334</v>
      </c>
      <c r="D12" s="50" t="s">
        <v>42</v>
      </c>
      <c r="E12" s="116" t="n">
        <v>10009334</v>
      </c>
      <c r="F12" s="117" t="n">
        <v>137.83</v>
      </c>
      <c r="G12" s="118" t="n">
        <v>365194.727156237</v>
      </c>
      <c r="H12" s="118" t="n">
        <v>28646.5872</v>
      </c>
      <c r="I12" s="118" t="n">
        <v>7081.51742828934</v>
      </c>
      <c r="J12" s="118" t="n">
        <v>13921.0634100732</v>
      </c>
      <c r="K12" s="119" t="n">
        <v>11128.3749684519</v>
      </c>
    </row>
    <row r="13" customFormat="false" ht="14.25" hidden="false" customHeight="false" outlineLevel="0" collapsed="false">
      <c r="B13" s="111" t="b">
        <f aca="false">C13=E13</f>
        <v>1</v>
      </c>
      <c r="C13" s="30" t="n">
        <v>10009386</v>
      </c>
      <c r="D13" s="50" t="s">
        <v>43</v>
      </c>
      <c r="E13" s="116" t="n">
        <v>10009386</v>
      </c>
      <c r="F13" s="117" t="n">
        <v>21.28</v>
      </c>
      <c r="G13" s="118" t="n">
        <v>34005.2325953859</v>
      </c>
      <c r="H13" s="118" t="n">
        <v>4422.8352</v>
      </c>
      <c r="I13" s="118" t="n">
        <v>1093.33737846621</v>
      </c>
      <c r="J13" s="118" t="n">
        <v>2149.31603690312</v>
      </c>
      <c r="K13" s="119" t="n">
        <v>1718.14423078181</v>
      </c>
    </row>
    <row r="14" customFormat="false" ht="14.25" hidden="false" customHeight="false" outlineLevel="0" collapsed="false">
      <c r="B14" s="111" t="b">
        <f aca="false">C14=E14</f>
        <v>0</v>
      </c>
      <c r="D14" s="50" t="s">
        <v>44</v>
      </c>
      <c r="E14" s="116" t="n">
        <v>10009207</v>
      </c>
      <c r="F14" s="117" t="n">
        <v>30.94</v>
      </c>
      <c r="G14" s="118" t="n">
        <v>39602.2795668472</v>
      </c>
      <c r="H14" s="118" t="n">
        <v>6430.5696</v>
      </c>
      <c r="I14" s="118" t="n">
        <v>1589.65500421731</v>
      </c>
      <c r="J14" s="118" t="n">
        <v>3124.99239576046</v>
      </c>
      <c r="K14" s="119" t="n">
        <v>2498.09128291302</v>
      </c>
    </row>
    <row r="15" customFormat="false" ht="14.25" hidden="false" customHeight="false" outlineLevel="0" collapsed="false">
      <c r="D15" s="0" t="s">
        <v>45</v>
      </c>
      <c r="E15" s="116" t="n">
        <v>10009650</v>
      </c>
      <c r="F15" s="117" t="n">
        <v>0</v>
      </c>
      <c r="G15" s="118" t="n">
        <v>0</v>
      </c>
      <c r="H15" s="118" t="n">
        <v>0</v>
      </c>
      <c r="I15" s="118" t="n">
        <v>0</v>
      </c>
      <c r="J15" s="118" t="n">
        <v>0</v>
      </c>
      <c r="K15" s="119" t="n">
        <v>0</v>
      </c>
    </row>
    <row r="16" customFormat="false" ht="14.25" hidden="false" customHeight="false" outlineLevel="0" collapsed="false">
      <c r="D16" s="0" t="s">
        <v>46</v>
      </c>
      <c r="E16" s="116" t="n">
        <v>10009649</v>
      </c>
      <c r="F16" s="120" t="n">
        <v>331.56</v>
      </c>
      <c r="G16" s="121" t="n">
        <v>574252.015307791</v>
      </c>
      <c r="H16" s="121" t="n">
        <v>68911.4304</v>
      </c>
      <c r="I16" s="121" t="n">
        <v>17035.1006205007</v>
      </c>
      <c r="J16" s="121" t="n">
        <v>33488.1214847556</v>
      </c>
      <c r="K16" s="122" t="n">
        <v>26770.1081371248</v>
      </c>
    </row>
    <row r="17" customFormat="false" ht="14.25" hidden="false" customHeight="false" outlineLevel="0" collapsed="false">
      <c r="E17" s="123" t="s">
        <v>68</v>
      </c>
      <c r="F17" s="124" t="n">
        <v>1529.41</v>
      </c>
      <c r="G17" s="125" t="n">
        <v>2578677.63286277</v>
      </c>
      <c r="H17" s="125" t="n">
        <v>317872.5744</v>
      </c>
      <c r="I17" s="125" t="n">
        <v>78579</v>
      </c>
      <c r="J17" s="125" t="n">
        <v>154473</v>
      </c>
      <c r="K17" s="126" t="n">
        <v>123484.35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59"/>
  <sheetViews>
    <sheetView showFormulas="false" showGridLines="true" showRowColHeaders="true" showZeros="true" rightToLeft="false" tabSelected="true" showOutlineSymbols="true" defaultGridColor="true" view="normal" topLeftCell="A33" colorId="64" zoomScale="80" zoomScaleNormal="80" zoomScalePageLayoutView="100" workbookViewId="0">
      <selection pane="topLeft" activeCell="D56" activeCellId="0" sqref="D56"/>
    </sheetView>
  </sheetViews>
  <sheetFormatPr defaultColWidth="11.55859375" defaultRowHeight="14.25" customHeight="false" zeroHeight="false" outlineLevelRow="0" outlineLevelCol="0"/>
  <cols>
    <col collapsed="false" customWidth="false" hidden="false" outlineLevel="0" max="1" min="1" style="127" width="11.55"/>
    <col collapsed="false" customWidth="true" hidden="false" outlineLevel="0" max="2" min="2" style="127" width="48.78"/>
    <col collapsed="false" customWidth="true" hidden="false" outlineLevel="0" max="3" min="3" style="127" width="16.89"/>
    <col collapsed="false" customWidth="true" hidden="false" outlineLevel="0" max="4" min="4" style="127" width="16.55"/>
    <col collapsed="false" customWidth="true" hidden="false" outlineLevel="0" max="5" min="5" style="127" width="16.33"/>
    <col collapsed="false" customWidth="false" hidden="false" outlineLevel="0" max="9" min="6" style="127" width="11.55"/>
    <col collapsed="false" customWidth="true" hidden="false" outlineLevel="0" max="10" min="10" style="127" width="16"/>
    <col collapsed="false" customWidth="true" hidden="false" outlineLevel="0" max="11" min="11" style="127" width="18.56"/>
    <col collapsed="false" customWidth="true" hidden="false" outlineLevel="0" max="12" min="12" style="127" width="12.89"/>
    <col collapsed="false" customWidth="true" hidden="false" outlineLevel="0" max="14" min="13" style="127" width="13.56"/>
    <col collapsed="false" customWidth="true" hidden="false" outlineLevel="0" max="15" min="15" style="127" width="11.78"/>
    <col collapsed="false" customWidth="true" hidden="false" outlineLevel="0" max="16" min="16" style="127" width="10.56"/>
    <col collapsed="false" customWidth="true" hidden="false" outlineLevel="0" max="17" min="17" style="127" width="14.11"/>
    <col collapsed="false" customWidth="true" hidden="false" outlineLevel="0" max="18" min="18" style="127" width="13.78"/>
    <col collapsed="false" customWidth="true" hidden="false" outlineLevel="0" max="19" min="19" style="127" width="13.44"/>
    <col collapsed="false" customWidth="true" hidden="false" outlineLevel="0" max="20" min="20" style="127" width="17.33"/>
    <col collapsed="false" customWidth="true" hidden="false" outlineLevel="0" max="21" min="21" style="127" width="23.33"/>
    <col collapsed="false" customWidth="false" hidden="false" outlineLevel="0" max="16384" min="22" style="127" width="11.55"/>
  </cols>
  <sheetData>
    <row r="1" customFormat="false" ht="14.25" hidden="false" customHeight="false" outlineLevel="0" collapsed="false">
      <c r="B1" s="128" t="s">
        <v>69</v>
      </c>
      <c r="C1" s="129" t="s">
        <v>70</v>
      </c>
      <c r="D1" s="130" t="s">
        <v>71</v>
      </c>
      <c r="E1" s="131" t="s">
        <v>72</v>
      </c>
      <c r="G1" s="132" t="s">
        <v>61</v>
      </c>
      <c r="H1" s="132" t="s">
        <v>73</v>
      </c>
      <c r="I1" s="132" t="s">
        <v>74</v>
      </c>
      <c r="J1" s="132" t="s">
        <v>75</v>
      </c>
      <c r="K1" s="132" t="s">
        <v>76</v>
      </c>
      <c r="L1" s="133" t="s">
        <v>77</v>
      </c>
      <c r="M1" s="134" t="s">
        <v>9</v>
      </c>
      <c r="N1" s="134" t="s">
        <v>10</v>
      </c>
      <c r="O1" s="134" t="s">
        <v>11</v>
      </c>
      <c r="P1" s="134" t="s">
        <v>12</v>
      </c>
      <c r="Q1" s="134" t="s">
        <v>13</v>
      </c>
      <c r="R1" s="134" t="s">
        <v>14</v>
      </c>
      <c r="S1" s="135" t="s">
        <v>15</v>
      </c>
      <c r="T1" s="136" t="s">
        <v>78</v>
      </c>
      <c r="U1" s="136" t="s">
        <v>79</v>
      </c>
    </row>
    <row r="2" customFormat="false" ht="15" hidden="false" customHeight="false" outlineLevel="0" collapsed="false">
      <c r="B2" s="137" t="s">
        <v>80</v>
      </c>
      <c r="C2" s="138" t="n">
        <v>680</v>
      </c>
      <c r="D2" s="139"/>
      <c r="E2" s="140"/>
      <c r="G2" s="141" t="n">
        <v>10006719</v>
      </c>
      <c r="H2" s="142" t="n">
        <f aca="false">IFERROR(INDEX([3]Resumen!$K$3:$K$63,MATCH(G2,[3]Resumen!$C$3:$C$63,0)),0)*(1+I2*J2)/1000-51.89/1000-93.38/1000</f>
        <v>1.73197012699901</v>
      </c>
      <c r="I2" s="143" t="n">
        <v>0.71</v>
      </c>
      <c r="J2" s="144" t="n">
        <f aca="false">$H$59</f>
        <v>-0.109659090909091</v>
      </c>
      <c r="K2" s="145" t="n">
        <f aca="false">C2/1000</f>
        <v>0.68</v>
      </c>
      <c r="L2" s="146" t="n">
        <f aca="false">IF(C2&lt;0,0,C2)/1000</f>
        <v>0.68</v>
      </c>
      <c r="M2" s="147" t="n">
        <f aca="false">IFERROR(H2*L2,0)*1000</f>
        <v>1177.73968635933</v>
      </c>
      <c r="N2" s="147" t="n">
        <f aca="false">207.84*L2</f>
        <v>141.3312</v>
      </c>
      <c r="O2" s="147" t="n">
        <f aca="false">$O$54/$L$52*L2</f>
        <v>45.4012029673989</v>
      </c>
      <c r="P2" s="147" t="n">
        <f aca="false">$P$54/$L$52*L2</f>
        <v>89.2510725000701</v>
      </c>
      <c r="Q2" s="147" t="n">
        <f aca="false">$Q$54/$L$52*L2</f>
        <v>71.3465179965045</v>
      </c>
      <c r="R2" s="147" t="n">
        <v>0</v>
      </c>
      <c r="S2" s="148" t="n">
        <v>0</v>
      </c>
      <c r="T2" s="149" t="n">
        <f aca="false">M2+N2+O2+P2</f>
        <v>1453.7231618268</v>
      </c>
      <c r="U2" s="149" t="n">
        <f aca="false">IFERROR(T2/L2,0)</f>
        <v>2137.82817915705</v>
      </c>
    </row>
    <row r="3" customFormat="false" ht="15" hidden="false" customHeight="false" outlineLevel="0" collapsed="false">
      <c r="B3" s="137" t="s">
        <v>81</v>
      </c>
      <c r="C3" s="138" t="n">
        <v>14840</v>
      </c>
      <c r="D3" s="139"/>
      <c r="E3" s="140"/>
      <c r="G3" s="141" t="n">
        <v>10006719</v>
      </c>
      <c r="H3" s="142" t="n">
        <f aca="false">IFERROR(INDEX([3]Resumen!$K$3:$K$63,MATCH(G3,[3]Resumen!$C$3:$C$63,0)),0)*(1+I3*J3)/1000-51.89/1000-93.38/1000</f>
        <v>1.73197012699901</v>
      </c>
      <c r="I3" s="143" t="n">
        <v>0.71</v>
      </c>
      <c r="J3" s="144" t="n">
        <f aca="false">$H$59</f>
        <v>-0.109659090909091</v>
      </c>
      <c r="K3" s="145" t="n">
        <f aca="false">C3/1000</f>
        <v>14.84</v>
      </c>
      <c r="L3" s="146" t="n">
        <f aca="false">IF(C3&lt;0,0,C3)/1000</f>
        <v>14.84</v>
      </c>
      <c r="M3" s="147" t="n">
        <f aca="false">IFERROR(H3*L3,0)*1000</f>
        <v>25702.4366846653</v>
      </c>
      <c r="N3" s="147" t="n">
        <f aca="false">207.84*L3</f>
        <v>3084.3456</v>
      </c>
      <c r="O3" s="147" t="n">
        <f aca="false">$O$54/$L$52*L3</f>
        <v>990.814488288529</v>
      </c>
      <c r="P3" s="147" t="n">
        <f aca="false">$P$54/$L$52*L3</f>
        <v>1947.77340573682</v>
      </c>
      <c r="Q3" s="147" t="n">
        <f aca="false">$Q$54/$L$52*L3</f>
        <v>1557.03283392371</v>
      </c>
      <c r="R3" s="147" t="n">
        <v>0</v>
      </c>
      <c r="S3" s="148" t="n">
        <v>0</v>
      </c>
      <c r="T3" s="149" t="n">
        <f aca="false">M3+N3+O3+P3</f>
        <v>31725.3701786907</v>
      </c>
      <c r="U3" s="149" t="n">
        <f aca="false">IFERROR(T3/L3,0)</f>
        <v>2137.82817915705</v>
      </c>
    </row>
    <row r="4" customFormat="false" ht="15" hidden="false" customHeight="false" outlineLevel="0" collapsed="false">
      <c r="B4" s="137" t="s">
        <v>82</v>
      </c>
      <c r="C4" s="138" t="n">
        <v>40</v>
      </c>
      <c r="D4" s="139"/>
      <c r="E4" s="140"/>
      <c r="G4" s="141" t="n">
        <v>10006719</v>
      </c>
      <c r="H4" s="142" t="n">
        <f aca="false">IFERROR(INDEX([3]Resumen!$K$3:$K$63,MATCH(G4,[3]Resumen!$C$3:$C$63,0)),0)*(1+I4*J4)/1000-51.89/1000-93.38/1000</f>
        <v>1.73197012699901</v>
      </c>
      <c r="I4" s="143" t="n">
        <v>0.71</v>
      </c>
      <c r="J4" s="144" t="n">
        <f aca="false">$H$59</f>
        <v>-0.109659090909091</v>
      </c>
      <c r="K4" s="145" t="n">
        <f aca="false">C4/1000</f>
        <v>0.04</v>
      </c>
      <c r="L4" s="146" t="n">
        <f aca="false">IF(C4&lt;0,0,C4)/1000</f>
        <v>0.04</v>
      </c>
      <c r="M4" s="147" t="n">
        <f aca="false">IFERROR(H4*L4,0)*1000</f>
        <v>69.2788050799604</v>
      </c>
      <c r="N4" s="147" t="n">
        <f aca="false">207.84*L4</f>
        <v>8.3136</v>
      </c>
      <c r="O4" s="147" t="n">
        <f aca="false">$O$54/$L$52*L4</f>
        <v>2.67065899808229</v>
      </c>
      <c r="P4" s="147" t="n">
        <f aca="false">$P$54/$L$52*L4</f>
        <v>5.25006308823942</v>
      </c>
      <c r="Q4" s="147" t="n">
        <f aca="false">$Q$54/$L$52*L4</f>
        <v>4.19685399979438</v>
      </c>
      <c r="R4" s="147" t="n">
        <v>0</v>
      </c>
      <c r="S4" s="148" t="n">
        <v>0</v>
      </c>
      <c r="T4" s="149" t="n">
        <f aca="false">M4+N4+O4+P4</f>
        <v>85.5131271662821</v>
      </c>
      <c r="U4" s="149" t="n">
        <f aca="false">IFERROR(T4/L4,0)</f>
        <v>2137.82817915705</v>
      </c>
    </row>
    <row r="5" customFormat="false" ht="15" hidden="false" customHeight="false" outlineLevel="0" collapsed="false">
      <c r="B5" s="137" t="s">
        <v>83</v>
      </c>
      <c r="C5" s="138" t="n">
        <v>2340</v>
      </c>
      <c r="D5" s="139"/>
      <c r="E5" s="140"/>
      <c r="G5" s="141" t="n">
        <v>10006719</v>
      </c>
      <c r="H5" s="142" t="n">
        <f aca="false">IFERROR(INDEX([3]Resumen!$K$3:$K$63,MATCH(G5,[3]Resumen!$C$3:$C$63,0)),0)*(1+I5*J5)/1000-51.89/1000-93.38/1000</f>
        <v>1.73197012699901</v>
      </c>
      <c r="I5" s="143" t="n">
        <v>0.71</v>
      </c>
      <c r="J5" s="144" t="n">
        <f aca="false">$H$59</f>
        <v>-0.109659090909091</v>
      </c>
      <c r="K5" s="145" t="n">
        <f aca="false">C5/1000</f>
        <v>2.34</v>
      </c>
      <c r="L5" s="146" t="n">
        <f aca="false">IF(C5&lt;0,0,C5)/1000</f>
        <v>2.34</v>
      </c>
      <c r="M5" s="147" t="n">
        <f aca="false">IFERROR(H5*L5,0)*1000</f>
        <v>4052.81009717768</v>
      </c>
      <c r="N5" s="147" t="n">
        <f aca="false">207.84*L5</f>
        <v>486.3456</v>
      </c>
      <c r="O5" s="147" t="n">
        <f aca="false">$O$54/$L$52*L5</f>
        <v>156.233551387814</v>
      </c>
      <c r="P5" s="147" t="n">
        <f aca="false">$P$54/$L$52*L5</f>
        <v>307.128690662006</v>
      </c>
      <c r="Q5" s="147" t="n">
        <f aca="false">$Q$54/$L$52*L5</f>
        <v>245.515958987971</v>
      </c>
      <c r="R5" s="147" t="n">
        <v>0</v>
      </c>
      <c r="S5" s="148" t="n">
        <v>0</v>
      </c>
      <c r="T5" s="149" t="n">
        <f aca="false">M5+N5+O5+P5</f>
        <v>5002.5179392275</v>
      </c>
      <c r="U5" s="149" t="n">
        <f aca="false">IFERROR(T5/L5,0)</f>
        <v>2137.82817915705</v>
      </c>
    </row>
    <row r="6" customFormat="false" ht="15" hidden="false" customHeight="false" outlineLevel="0" collapsed="false">
      <c r="B6" s="137" t="s">
        <v>84</v>
      </c>
      <c r="C6" s="138" t="n">
        <v>120</v>
      </c>
      <c r="D6" s="139"/>
      <c r="E6" s="140"/>
      <c r="G6" s="141" t="n">
        <v>10006719</v>
      </c>
      <c r="H6" s="142" t="n">
        <f aca="false">IFERROR(INDEX([3]Resumen!$K$3:$K$63,MATCH(G6,[3]Resumen!$C$3:$C$63,0)),0)*(1+I6*J6)/1000-51.89/1000-93.38/1000</f>
        <v>1.73197012699901</v>
      </c>
      <c r="I6" s="143" t="n">
        <v>0.71</v>
      </c>
      <c r="J6" s="144" t="n">
        <f aca="false">$H$59</f>
        <v>-0.109659090909091</v>
      </c>
      <c r="K6" s="145" t="n">
        <f aca="false">C6/1000</f>
        <v>0.12</v>
      </c>
      <c r="L6" s="146" t="n">
        <f aca="false">IF(C6&lt;0,0,C6)/1000</f>
        <v>0.12</v>
      </c>
      <c r="M6" s="147" t="n">
        <f aca="false">IFERROR(H6*L6,0)*1000</f>
        <v>207.836415239881</v>
      </c>
      <c r="N6" s="147" t="n">
        <f aca="false">207.84*L6</f>
        <v>24.9408</v>
      </c>
      <c r="O6" s="147" t="n">
        <f aca="false">$O$54/$L$52*L6</f>
        <v>8.01197699424686</v>
      </c>
      <c r="P6" s="147" t="n">
        <f aca="false">$P$54/$L$52*L6</f>
        <v>15.7501892647183</v>
      </c>
      <c r="Q6" s="147" t="n">
        <f aca="false">$Q$54/$L$52*L6</f>
        <v>12.5905619993831</v>
      </c>
      <c r="R6" s="147" t="n">
        <v>0</v>
      </c>
      <c r="S6" s="148" t="n">
        <v>0</v>
      </c>
      <c r="T6" s="149" t="n">
        <f aca="false">M6+N6+O6+P6</f>
        <v>256.539381498846</v>
      </c>
      <c r="U6" s="149" t="n">
        <f aca="false">IFERROR(T6/L6,0)</f>
        <v>2137.82817915705</v>
      </c>
    </row>
    <row r="7" customFormat="false" ht="15" hidden="false" customHeight="false" outlineLevel="0" collapsed="false">
      <c r="B7" s="137" t="s">
        <v>85</v>
      </c>
      <c r="C7" s="138" t="n">
        <v>260</v>
      </c>
      <c r="D7" s="139"/>
      <c r="E7" s="140"/>
      <c r="G7" s="141" t="n">
        <v>10006719</v>
      </c>
      <c r="H7" s="142" t="n">
        <f aca="false">IFERROR(INDEX([3]Resumen!$K$3:$K$63,MATCH(G7,[3]Resumen!$C$3:$C$63,0)),0)*(1+I7*J7)/1000-51.89/1000-93.38/1000</f>
        <v>1.73197012699901</v>
      </c>
      <c r="I7" s="143" t="n">
        <v>0.71</v>
      </c>
      <c r="J7" s="144" t="n">
        <f aca="false">$H$59</f>
        <v>-0.109659090909091</v>
      </c>
      <c r="K7" s="145" t="n">
        <f aca="false">C7/1000</f>
        <v>0.26</v>
      </c>
      <c r="L7" s="146" t="n">
        <f aca="false">IF(C7&lt;0,0,C7)/1000</f>
        <v>0.26</v>
      </c>
      <c r="M7" s="147" t="n">
        <f aca="false">IFERROR(H7*L7,0)*1000</f>
        <v>450.312233019742</v>
      </c>
      <c r="N7" s="147" t="n">
        <f aca="false">207.84*L7</f>
        <v>54.0384</v>
      </c>
      <c r="O7" s="147" t="n">
        <f aca="false">$O$54/$L$52*L7</f>
        <v>17.3592834875349</v>
      </c>
      <c r="P7" s="147" t="n">
        <f aca="false">$P$54/$L$52*L7</f>
        <v>34.1254100735562</v>
      </c>
      <c r="Q7" s="147" t="n">
        <f aca="false">$Q$54/$L$52*L7</f>
        <v>27.2795509986635</v>
      </c>
      <c r="R7" s="147" t="n">
        <v>0</v>
      </c>
      <c r="S7" s="148" t="n">
        <v>0</v>
      </c>
      <c r="T7" s="149" t="n">
        <f aca="false">M7+N7+O7+P7</f>
        <v>555.835326580834</v>
      </c>
      <c r="U7" s="149" t="n">
        <f aca="false">IFERROR(T7/L7,0)</f>
        <v>2137.82817915705</v>
      </c>
    </row>
    <row r="8" customFormat="false" ht="15" hidden="false" customHeight="false" outlineLevel="0" collapsed="false">
      <c r="B8" s="137" t="s">
        <v>86</v>
      </c>
      <c r="C8" s="138" t="n">
        <f aca="false">163764+108000+50000/2</f>
        <v>296764</v>
      </c>
      <c r="D8" s="139"/>
      <c r="E8" s="140"/>
      <c r="G8" s="141" t="n">
        <v>10006719</v>
      </c>
      <c r="H8" s="142" t="n">
        <f aca="false">IFERROR(INDEX([3]Resumen!$K$3:$K$63,MATCH(G8,[3]Resumen!$C$3:$C$63,0)),0)*(1+I8*J8)/1000-51.89/1000-93.38/1000</f>
        <v>1.73197012699901</v>
      </c>
      <c r="I8" s="143" t="n">
        <v>0.71</v>
      </c>
      <c r="J8" s="144" t="n">
        <f aca="false">$H$59</f>
        <v>-0.109659090909091</v>
      </c>
      <c r="K8" s="145" t="n">
        <f aca="false">C8/1000</f>
        <v>296.764</v>
      </c>
      <c r="L8" s="146" t="n">
        <f aca="false">IF(C8&lt;0,0,C8)/1000</f>
        <v>296.764</v>
      </c>
      <c r="M8" s="147" t="n">
        <f aca="false">IFERROR(H8*L8,0)*1000</f>
        <v>513986.382768734</v>
      </c>
      <c r="N8" s="147" t="n">
        <f aca="false">207.84*L8</f>
        <v>61679.42976</v>
      </c>
      <c r="O8" s="147" t="n">
        <f aca="false">$O$54/$L$52*L8</f>
        <v>19813.8861726723</v>
      </c>
      <c r="P8" s="147" t="n">
        <f aca="false">$P$54/$L$52*L8</f>
        <v>38950.7430579571</v>
      </c>
      <c r="Q8" s="147" t="n">
        <f aca="false">$Q$54/$L$52*L8</f>
        <v>31136.8795098745</v>
      </c>
      <c r="R8" s="147" t="n">
        <v>0</v>
      </c>
      <c r="S8" s="148" t="n">
        <v>0</v>
      </c>
      <c r="T8" s="149" t="n">
        <f aca="false">M8+N8+O8+P8</f>
        <v>634430.441759363</v>
      </c>
      <c r="U8" s="149" t="n">
        <f aca="false">IFERROR(T8/L8,0)</f>
        <v>2137.82817915705</v>
      </c>
    </row>
    <row r="9" customFormat="false" ht="15" hidden="false" customHeight="false" outlineLevel="0" collapsed="false">
      <c r="B9" s="137" t="s">
        <v>87</v>
      </c>
      <c r="C9" s="138" t="n">
        <v>14744</v>
      </c>
      <c r="D9" s="139"/>
      <c r="E9" s="140"/>
      <c r="G9" s="150" t="n">
        <v>10009207</v>
      </c>
      <c r="H9" s="142" t="n">
        <f aca="false">IFERROR(INDEX([3]Resumen!$K$3:$K$63,MATCH(G9,[3]Resumen!$C$3:$C$63,0)),0)*(1+I9*J9)/1000-51.89/1000-93.38/1000</f>
        <v>1.27997025102932</v>
      </c>
      <c r="I9" s="144" t="n">
        <v>0.71</v>
      </c>
      <c r="J9" s="144" t="n">
        <f aca="false">$H$59</f>
        <v>-0.109659090909091</v>
      </c>
      <c r="K9" s="145" t="n">
        <f aca="false">C9/1000</f>
        <v>14.744</v>
      </c>
      <c r="L9" s="146" t="n">
        <f aca="false">IF(C9&lt;0,0,C9)/1000</f>
        <v>14.744</v>
      </c>
      <c r="M9" s="147" t="n">
        <f aca="false">IFERROR(H9*L9,0)*1000</f>
        <v>18871.8813811763</v>
      </c>
      <c r="N9" s="147" t="n">
        <f aca="false">207.84*L9</f>
        <v>3064.39296</v>
      </c>
      <c r="O9" s="147" t="n">
        <f aca="false">$O$54/$L$52*L9</f>
        <v>984.404906693131</v>
      </c>
      <c r="P9" s="147" t="n">
        <f aca="false">$P$54/$L$52*L9</f>
        <v>1935.17325432505</v>
      </c>
      <c r="Q9" s="147" t="n">
        <f aca="false">$Q$54/$L$52*L9</f>
        <v>1546.96038432421</v>
      </c>
      <c r="R9" s="147" t="n">
        <v>0</v>
      </c>
      <c r="S9" s="148" t="n">
        <v>0</v>
      </c>
      <c r="T9" s="149" t="n">
        <f aca="false">M9+N9+O9+P9</f>
        <v>24855.8525021945</v>
      </c>
      <c r="U9" s="149" t="n">
        <f aca="false">IFERROR(T9/L9,0)</f>
        <v>1685.82830318737</v>
      </c>
    </row>
    <row r="10" customFormat="false" ht="15" hidden="false" customHeight="false" outlineLevel="0" collapsed="false">
      <c r="B10" s="137" t="s">
        <v>88</v>
      </c>
      <c r="C10" s="138" t="n">
        <v>1760</v>
      </c>
      <c r="D10" s="139"/>
      <c r="E10" s="140"/>
      <c r="G10" s="150" t="n">
        <v>10007969</v>
      </c>
      <c r="H10" s="142" t="n">
        <f aca="false">IFERROR(INDEX([3]Resumen!$K$3:$K$63,MATCH(G10,[3]Resumen!$C$3:$C$63,0)),0)*(1+I10*J10)/1000-51.89/1000-93.38/1000</f>
        <v>1.2330367002593</v>
      </c>
      <c r="I10" s="144" t="n">
        <v>0.71</v>
      </c>
      <c r="J10" s="144" t="n">
        <f aca="false">$H$59</f>
        <v>-0.109659090909091</v>
      </c>
      <c r="K10" s="145" t="n">
        <f aca="false">C10/1000</f>
        <v>1.76</v>
      </c>
      <c r="L10" s="146" t="n">
        <f aca="false">IF(C10&lt;0,0,C10)/1000</f>
        <v>1.76</v>
      </c>
      <c r="M10" s="147" t="n">
        <f aca="false">IFERROR(H10*L10,0)*1000</f>
        <v>2170.14459245637</v>
      </c>
      <c r="N10" s="147" t="n">
        <f aca="false">207.84*L10</f>
        <v>365.7984</v>
      </c>
      <c r="O10" s="147" t="n">
        <f aca="false">$O$54/$L$52*L10</f>
        <v>117.508995915621</v>
      </c>
      <c r="P10" s="147" t="n">
        <f aca="false">$P$54/$L$52*L10</f>
        <v>231.002775882534</v>
      </c>
      <c r="Q10" s="147" t="n">
        <f aca="false">$Q$54/$L$52*L10</f>
        <v>184.661575990953</v>
      </c>
      <c r="R10" s="147" t="n">
        <v>0</v>
      </c>
      <c r="S10" s="148" t="n">
        <v>0</v>
      </c>
      <c r="T10" s="149" t="n">
        <f aca="false">M10+N10+O10+P10</f>
        <v>2884.45476425452</v>
      </c>
      <c r="U10" s="149" t="n">
        <f aca="false">IFERROR(T10/L10,0)</f>
        <v>1638.89475241734</v>
      </c>
    </row>
    <row r="11" customFormat="false" ht="15" hidden="false" customHeight="false" outlineLevel="0" collapsed="false">
      <c r="B11" s="137" t="s">
        <v>89</v>
      </c>
      <c r="C11" s="138" t="n">
        <v>1080</v>
      </c>
      <c r="D11" s="139"/>
      <c r="E11" s="140"/>
      <c r="G11" s="151" t="n">
        <v>10005721</v>
      </c>
      <c r="H11" s="142" t="n">
        <f aca="false">IFERROR(INDEX([3]Resumen!$K$3:$K$63,MATCH(G11,[3]Resumen!$C$3:$C$63,0)),0)*(1+I11*J11)/1000-51.89/1000-93.38/1000</f>
        <v>1.83443100611569</v>
      </c>
      <c r="I11" s="143" t="n">
        <v>0.67</v>
      </c>
      <c r="J11" s="144" t="n">
        <f aca="false">$H$59</f>
        <v>-0.109659090909091</v>
      </c>
      <c r="K11" s="145" t="n">
        <f aca="false">C11/1000</f>
        <v>1.08</v>
      </c>
      <c r="L11" s="146" t="n">
        <f aca="false">IF(C11&lt;0,0,C11)/1000</f>
        <v>1.08</v>
      </c>
      <c r="M11" s="147" t="n">
        <f aca="false">IFERROR(H11*L11,0)*1000</f>
        <v>1981.18548660495</v>
      </c>
      <c r="N11" s="147" t="n">
        <f aca="false">207.84*L11</f>
        <v>224.4672</v>
      </c>
      <c r="O11" s="147" t="n">
        <f aca="false">$O$54/$L$52*L11</f>
        <v>72.1077929482218</v>
      </c>
      <c r="P11" s="147" t="n">
        <f aca="false">$P$54/$L$52*L11</f>
        <v>141.751703382464</v>
      </c>
      <c r="Q11" s="147" t="n">
        <f aca="false">$Q$54/$L$52*L11</f>
        <v>113.315057994448</v>
      </c>
      <c r="R11" s="147" t="n">
        <v>0</v>
      </c>
      <c r="S11" s="148" t="n">
        <v>0</v>
      </c>
      <c r="T11" s="149" t="n">
        <f aca="false">M11+N11+O11+P11</f>
        <v>2419.51218293564</v>
      </c>
      <c r="U11" s="149" t="n">
        <f aca="false">IFERROR(T11/L11,0)</f>
        <v>2240.28905827374</v>
      </c>
    </row>
    <row r="12" customFormat="false" ht="15" hidden="false" customHeight="false" outlineLevel="0" collapsed="false">
      <c r="B12" s="137" t="s">
        <v>90</v>
      </c>
      <c r="C12" s="138" t="n">
        <v>20240</v>
      </c>
      <c r="D12" s="139"/>
      <c r="E12" s="140"/>
      <c r="G12" s="151" t="n">
        <v>10005721</v>
      </c>
      <c r="H12" s="142" t="n">
        <f aca="false">IFERROR(INDEX([3]Resumen!$K$3:$K$63,MATCH(G12,[3]Resumen!$C$3:$C$63,0)),0)*(1+I12*J12)/1000-51.89/1000-93.38/1000</f>
        <v>1.83443100611569</v>
      </c>
      <c r="I12" s="143" t="n">
        <v>0.67</v>
      </c>
      <c r="J12" s="144" t="n">
        <f aca="false">$H$59</f>
        <v>-0.109659090909091</v>
      </c>
      <c r="K12" s="145" t="n">
        <f aca="false">C12/1000</f>
        <v>20.24</v>
      </c>
      <c r="L12" s="146" t="n">
        <f aca="false">IF(C12&lt;0,0,C12)/1000</f>
        <v>20.24</v>
      </c>
      <c r="M12" s="147" t="n">
        <f aca="false">IFERROR(H12*L12,0)*1000</f>
        <v>37128.8835637816</v>
      </c>
      <c r="N12" s="147" t="n">
        <f aca="false">207.84*L12</f>
        <v>4206.6816</v>
      </c>
      <c r="O12" s="147" t="n">
        <f aca="false">$O$54/$L$52*L12</f>
        <v>1351.35345302964</v>
      </c>
      <c r="P12" s="147" t="n">
        <f aca="false">$P$54/$L$52*L12</f>
        <v>2656.53192264915</v>
      </c>
      <c r="Q12" s="147" t="n">
        <f aca="false">$Q$54/$L$52*L12</f>
        <v>2123.60812389596</v>
      </c>
      <c r="R12" s="147" t="n">
        <v>0</v>
      </c>
      <c r="S12" s="148" t="n">
        <v>0</v>
      </c>
      <c r="T12" s="149" t="n">
        <f aca="false">M12+N12+O12+P12</f>
        <v>45343.4505394604</v>
      </c>
      <c r="U12" s="149" t="n">
        <f aca="false">IFERROR(T12/L12,0)</f>
        <v>2240.28905827374</v>
      </c>
    </row>
    <row r="13" customFormat="false" ht="15" hidden="false" customHeight="false" outlineLevel="0" collapsed="false">
      <c r="B13" s="137" t="s">
        <v>91</v>
      </c>
      <c r="C13" s="138" t="n">
        <v>5280</v>
      </c>
      <c r="D13" s="139"/>
      <c r="E13" s="140"/>
      <c r="G13" s="151" t="n">
        <v>10005721</v>
      </c>
      <c r="H13" s="142" t="n">
        <f aca="false">IFERROR(INDEX([3]Resumen!$K$3:$K$63,MATCH(G13,[3]Resumen!$C$3:$C$63,0)),0)*(1+I13*J13)/1000-51.89/1000-93.38/1000</f>
        <v>1.83443100611569</v>
      </c>
      <c r="I13" s="143" t="n">
        <v>0.67</v>
      </c>
      <c r="J13" s="144" t="n">
        <f aca="false">$H$59</f>
        <v>-0.109659090909091</v>
      </c>
      <c r="K13" s="145" t="n">
        <f aca="false">C13/1000</f>
        <v>5.28</v>
      </c>
      <c r="L13" s="146" t="n">
        <f aca="false">IF(C13&lt;0,0,C13)/1000</f>
        <v>5.28</v>
      </c>
      <c r="M13" s="147" t="n">
        <f aca="false">IFERROR(H13*L13,0)*1000</f>
        <v>9685.79571229086</v>
      </c>
      <c r="N13" s="147" t="n">
        <f aca="false">207.84*L13</f>
        <v>1097.3952</v>
      </c>
      <c r="O13" s="147" t="n">
        <f aca="false">$O$54/$L$52*L13</f>
        <v>352.526987746862</v>
      </c>
      <c r="P13" s="147" t="n">
        <f aca="false">$P$54/$L$52*L13</f>
        <v>693.008327647603</v>
      </c>
      <c r="Q13" s="147" t="n">
        <f aca="false">$Q$54/$L$52*L13</f>
        <v>553.984727972858</v>
      </c>
      <c r="R13" s="147" t="n">
        <v>0</v>
      </c>
      <c r="S13" s="148" t="n">
        <v>0</v>
      </c>
      <c r="T13" s="149" t="n">
        <f aca="false">M13+N13+O13+P13</f>
        <v>11828.7262276853</v>
      </c>
      <c r="U13" s="149" t="n">
        <f aca="false">IFERROR(T13/L13,0)</f>
        <v>2240.28905827374</v>
      </c>
    </row>
    <row r="14" customFormat="false" ht="15" hidden="false" customHeight="false" outlineLevel="0" collapsed="false">
      <c r="B14" s="137" t="s">
        <v>92</v>
      </c>
      <c r="C14" s="138" t="n">
        <v>3100</v>
      </c>
      <c r="D14" s="139"/>
      <c r="E14" s="140"/>
      <c r="G14" s="151" t="n">
        <v>10005721</v>
      </c>
      <c r="H14" s="142" t="n">
        <f aca="false">IFERROR(INDEX([3]Resumen!$K$3:$K$63,MATCH(G14,[3]Resumen!$C$3:$C$63,0)),0)*(1+I14*J14)/1000-51.89/1000-93.38/1000</f>
        <v>1.83443100611569</v>
      </c>
      <c r="I14" s="143" t="n">
        <v>0.67</v>
      </c>
      <c r="J14" s="144" t="n">
        <f aca="false">$H$59</f>
        <v>-0.109659090909091</v>
      </c>
      <c r="K14" s="145" t="n">
        <f aca="false">C14/1000</f>
        <v>3.1</v>
      </c>
      <c r="L14" s="146" t="n">
        <f aca="false">IF(C14&lt;0,0,C14)/1000</f>
        <v>3.1</v>
      </c>
      <c r="M14" s="147" t="n">
        <f aca="false">IFERROR(H14*L14,0)*1000</f>
        <v>5686.73611895865</v>
      </c>
      <c r="N14" s="147" t="n">
        <f aca="false">207.84*L14</f>
        <v>644.304</v>
      </c>
      <c r="O14" s="147" t="n">
        <f aca="false">$O$54/$L$52*L14</f>
        <v>206.976072351377</v>
      </c>
      <c r="P14" s="147" t="n">
        <f aca="false">$P$54/$L$52*L14</f>
        <v>406.879889338555</v>
      </c>
      <c r="Q14" s="147" t="n">
        <f aca="false">$Q$54/$L$52*L14</f>
        <v>325.256184984065</v>
      </c>
      <c r="R14" s="147" t="n">
        <v>0</v>
      </c>
      <c r="S14" s="148" t="n">
        <v>0</v>
      </c>
      <c r="T14" s="149" t="n">
        <f aca="false">M14+N14+O14+P14</f>
        <v>6944.89608064858</v>
      </c>
      <c r="U14" s="149" t="n">
        <f aca="false">IFERROR(T14/L14,0)</f>
        <v>2240.28905827374</v>
      </c>
    </row>
    <row r="15" customFormat="false" ht="15" hidden="false" customHeight="false" outlineLevel="0" collapsed="false">
      <c r="B15" s="137" t="s">
        <v>93</v>
      </c>
      <c r="C15" s="138" t="n">
        <v>3200</v>
      </c>
      <c r="D15" s="139"/>
      <c r="E15" s="140"/>
      <c r="G15" s="151" t="n">
        <v>10005721</v>
      </c>
      <c r="H15" s="142" t="n">
        <f aca="false">IFERROR(INDEX([3]Resumen!$K$3:$K$63,MATCH(G15,[3]Resumen!$C$3:$C$63,0)),0)*(1+I15*J15)/1000-51.89/1000-93.38/1000</f>
        <v>1.83443100611569</v>
      </c>
      <c r="I15" s="143" t="n">
        <v>0.67</v>
      </c>
      <c r="J15" s="144" t="n">
        <f aca="false">$H$59</f>
        <v>-0.109659090909091</v>
      </c>
      <c r="K15" s="145" t="n">
        <f aca="false">C15/1000</f>
        <v>3.2</v>
      </c>
      <c r="L15" s="146" t="n">
        <f aca="false">IF(C15&lt;0,0,C15)/1000</f>
        <v>3.2</v>
      </c>
      <c r="M15" s="147" t="n">
        <f aca="false">IFERROR(H15*L15,0)*1000</f>
        <v>5870.17921957022</v>
      </c>
      <c r="N15" s="147" t="n">
        <f aca="false">207.84*L15</f>
        <v>665.088</v>
      </c>
      <c r="O15" s="147" t="n">
        <f aca="false">$O$54/$L$52*L15</f>
        <v>213.652719846583</v>
      </c>
      <c r="P15" s="147" t="n">
        <f aca="false">$P$54/$L$52*L15</f>
        <v>420.005047059153</v>
      </c>
      <c r="Q15" s="147" t="n">
        <f aca="false">$Q$54/$L$52*L15</f>
        <v>335.74831998355</v>
      </c>
      <c r="R15" s="147" t="n">
        <v>0</v>
      </c>
      <c r="S15" s="148" t="n">
        <v>0</v>
      </c>
      <c r="T15" s="149" t="n">
        <f aca="false">M15+N15+O15+P15</f>
        <v>7168.92498647596</v>
      </c>
      <c r="U15" s="149" t="n">
        <f aca="false">IFERROR(T15/L15,0)</f>
        <v>2240.28905827374</v>
      </c>
    </row>
    <row r="16" customFormat="false" ht="15" hidden="false" customHeight="false" outlineLevel="0" collapsed="false">
      <c r="B16" s="137" t="s">
        <v>94</v>
      </c>
      <c r="C16" s="138" t="n">
        <v>16480</v>
      </c>
      <c r="D16" s="139"/>
      <c r="E16" s="140"/>
      <c r="G16" s="151" t="n">
        <v>10005721</v>
      </c>
      <c r="H16" s="142" t="n">
        <f aca="false">IFERROR(INDEX([3]Resumen!$K$3:$K$63,MATCH(G16,[3]Resumen!$C$3:$C$63,0)),0)*(1+I16*J16)/1000-51.89/1000-93.38/1000</f>
        <v>1.83443100611569</v>
      </c>
      <c r="I16" s="143" t="n">
        <v>0.67</v>
      </c>
      <c r="J16" s="144" t="n">
        <f aca="false">$H$59</f>
        <v>-0.109659090909091</v>
      </c>
      <c r="K16" s="145" t="n">
        <f aca="false">C16/1000</f>
        <v>16.48</v>
      </c>
      <c r="L16" s="146" t="n">
        <f aca="false">IF(C16&lt;0,0,C16)/1000</f>
        <v>16.48</v>
      </c>
      <c r="M16" s="147" t="n">
        <f aca="false">IFERROR(H16*L16,0)*1000</f>
        <v>30231.4229807866</v>
      </c>
      <c r="N16" s="147" t="n">
        <f aca="false">207.84*L16</f>
        <v>3425.2032</v>
      </c>
      <c r="O16" s="147" t="n">
        <f aca="false">$O$54/$L$52*L16</f>
        <v>1100.3115072099</v>
      </c>
      <c r="P16" s="147" t="n">
        <f aca="false">$P$54/$L$52*L16</f>
        <v>2163.02599235464</v>
      </c>
      <c r="Q16" s="147" t="n">
        <f aca="false">$Q$54/$L$52*L16</f>
        <v>1729.10384791528</v>
      </c>
      <c r="R16" s="147" t="n">
        <v>0</v>
      </c>
      <c r="S16" s="148" t="n">
        <v>0</v>
      </c>
      <c r="T16" s="149" t="n">
        <f aca="false">M16+N16+O16+P16</f>
        <v>36919.9636803512</v>
      </c>
      <c r="U16" s="149" t="n">
        <f aca="false">IFERROR(T16/L16,0)</f>
        <v>2240.28905827374</v>
      </c>
    </row>
    <row r="17" customFormat="false" ht="15" hidden="false" customHeight="false" outlineLevel="0" collapsed="false">
      <c r="B17" s="137" t="s">
        <v>95</v>
      </c>
      <c r="C17" s="138" t="n">
        <v>20</v>
      </c>
      <c r="D17" s="139"/>
      <c r="E17" s="140"/>
      <c r="G17" s="151" t="n">
        <v>10005721</v>
      </c>
      <c r="H17" s="142" t="n">
        <f aca="false">IFERROR(INDEX([3]Resumen!$K$3:$K$63,MATCH(G17,[3]Resumen!$C$3:$C$63,0)),0)*(1+I17*J17)/1000-51.89/1000-93.38/1000</f>
        <v>1.83443100611569</v>
      </c>
      <c r="I17" s="143" t="n">
        <v>0.67</v>
      </c>
      <c r="J17" s="144" t="n">
        <f aca="false">$H$59</f>
        <v>-0.109659090909091</v>
      </c>
      <c r="K17" s="145" t="n">
        <f aca="false">C17/1000</f>
        <v>0.02</v>
      </c>
      <c r="L17" s="146" t="n">
        <f aca="false">IF(C17&lt;0,0,C17)/1000</f>
        <v>0.02</v>
      </c>
      <c r="M17" s="147" t="n">
        <f aca="false">IFERROR(H17*L17,0)*1000</f>
        <v>36.6886201223139</v>
      </c>
      <c r="N17" s="147" t="n">
        <f aca="false">207.84*L17</f>
        <v>4.1568</v>
      </c>
      <c r="O17" s="147" t="n">
        <f aca="false">$O$54/$L$52*L17</f>
        <v>1.33532949904114</v>
      </c>
      <c r="P17" s="147" t="n">
        <f aca="false">$P$54/$L$52*L17</f>
        <v>2.62503154411971</v>
      </c>
      <c r="Q17" s="147" t="n">
        <f aca="false">$Q$54/$L$52*L17</f>
        <v>2.09842699989719</v>
      </c>
      <c r="R17" s="147" t="n">
        <v>0</v>
      </c>
      <c r="S17" s="148" t="n">
        <v>0</v>
      </c>
      <c r="T17" s="149" t="n">
        <f aca="false">M17+N17+O17+P17</f>
        <v>44.8057811654747</v>
      </c>
      <c r="U17" s="149" t="n">
        <f aca="false">IFERROR(T17/L17,0)</f>
        <v>2240.28905827374</v>
      </c>
    </row>
    <row r="18" customFormat="false" ht="15" hidden="false" customHeight="false" outlineLevel="0" collapsed="false">
      <c r="B18" s="137" t="s">
        <v>40</v>
      </c>
      <c r="C18" s="138"/>
      <c r="D18" s="139"/>
      <c r="E18" s="140"/>
      <c r="G18" s="151" t="n">
        <v>10005721</v>
      </c>
      <c r="H18" s="142" t="n">
        <f aca="false">IFERROR(INDEX([3]Resumen!$K$3:$K$63,MATCH(G18,[3]Resumen!$C$3:$C$63,0)),0)*(1+I18*J18)/1000-51.89/1000-93.38/1000</f>
        <v>1.83443100611569</v>
      </c>
      <c r="I18" s="143" t="n">
        <v>0.67</v>
      </c>
      <c r="J18" s="144" t="n">
        <f aca="false">$H$59</f>
        <v>-0.109659090909091</v>
      </c>
      <c r="K18" s="145" t="n">
        <f aca="false">C18/1000</f>
        <v>0</v>
      </c>
      <c r="L18" s="146" t="n">
        <f aca="false">IF(C18&lt;0,0,C18)/1000</f>
        <v>0</v>
      </c>
      <c r="M18" s="147" t="n">
        <f aca="false">IFERROR(H18*L18,0)*1000</f>
        <v>0</v>
      </c>
      <c r="N18" s="147" t="n">
        <f aca="false">207.84*L18</f>
        <v>0</v>
      </c>
      <c r="O18" s="147" t="n">
        <f aca="false">$O$54/$L$52*L18</f>
        <v>0</v>
      </c>
      <c r="P18" s="147" t="n">
        <f aca="false">$P$54/$L$52*L18</f>
        <v>0</v>
      </c>
      <c r="Q18" s="147" t="n">
        <f aca="false">$Q$54/$L$52*L18</f>
        <v>0</v>
      </c>
      <c r="R18" s="147" t="n">
        <v>0</v>
      </c>
      <c r="S18" s="148" t="n">
        <v>0</v>
      </c>
      <c r="T18" s="149" t="n">
        <f aca="false">M18+N18+O18+P18</f>
        <v>0</v>
      </c>
      <c r="U18" s="149" t="n">
        <f aca="false">IFERROR(T18/L18,0)</f>
        <v>0</v>
      </c>
    </row>
    <row r="19" customFormat="false" ht="15" hidden="false" customHeight="false" outlineLevel="0" collapsed="false">
      <c r="B19" s="137" t="s">
        <v>96</v>
      </c>
      <c r="C19" s="138" t="n">
        <v>1040</v>
      </c>
      <c r="D19" s="139"/>
      <c r="E19" s="140"/>
      <c r="G19" s="151" t="n">
        <v>10005721</v>
      </c>
      <c r="H19" s="142" t="n">
        <f aca="false">IFERROR(INDEX([3]Resumen!$K$3:$K$63,MATCH(G19,[3]Resumen!$C$3:$C$63,0)),0)*(1+I19*J19)/1000-51.89/1000-93.38/1000</f>
        <v>1.83443100611569</v>
      </c>
      <c r="I19" s="143" t="n">
        <v>0.67</v>
      </c>
      <c r="J19" s="144" t="n">
        <f aca="false">$H$59</f>
        <v>-0.109659090909091</v>
      </c>
      <c r="K19" s="145" t="n">
        <f aca="false">C19/1000</f>
        <v>1.04</v>
      </c>
      <c r="L19" s="146" t="n">
        <f aca="false">IF(C19&lt;0,0,C19)/1000</f>
        <v>1.04</v>
      </c>
      <c r="M19" s="147" t="n">
        <f aca="false">IFERROR(H19*L19,0)*1000</f>
        <v>1907.80824636032</v>
      </c>
      <c r="N19" s="147" t="n">
        <f aca="false">207.84*L19</f>
        <v>216.1536</v>
      </c>
      <c r="O19" s="147" t="n">
        <f aca="false">$O$54/$L$52*L19</f>
        <v>69.4371339501395</v>
      </c>
      <c r="P19" s="147" t="n">
        <f aca="false">$P$54/$L$52*L19</f>
        <v>136.501640294225</v>
      </c>
      <c r="Q19" s="147" t="n">
        <f aca="false">$Q$54/$L$52*L19</f>
        <v>109.118203994654</v>
      </c>
      <c r="R19" s="147" t="n">
        <v>0</v>
      </c>
      <c r="S19" s="148" t="n">
        <v>0</v>
      </c>
      <c r="T19" s="149" t="n">
        <f aca="false">M19+N19+O19+P19</f>
        <v>2329.90062060469</v>
      </c>
      <c r="U19" s="149" t="n">
        <f aca="false">IFERROR(T19/L19,0)</f>
        <v>2240.28905827374</v>
      </c>
    </row>
    <row r="20" customFormat="false" ht="15" hidden="false" customHeight="false" outlineLevel="0" collapsed="false">
      <c r="B20" s="137" t="s">
        <v>97</v>
      </c>
      <c r="C20" s="138" t="n">
        <v>41820</v>
      </c>
      <c r="D20" s="139"/>
      <c r="E20" s="140"/>
      <c r="G20" s="151" t="n">
        <v>10005721</v>
      </c>
      <c r="H20" s="142" t="n">
        <f aca="false">IFERROR(INDEX([3]Resumen!$K$3:$K$63,MATCH(G20,[3]Resumen!$C$3:$C$63,0)),0)*(1+I20*J20)/1000-51.89/1000-93.38/1000</f>
        <v>1.83443100611569</v>
      </c>
      <c r="I20" s="143" t="n">
        <v>0.67</v>
      </c>
      <c r="J20" s="144" t="n">
        <f aca="false">$H$59</f>
        <v>-0.109659090909091</v>
      </c>
      <c r="K20" s="145" t="n">
        <f aca="false">C20/1000</f>
        <v>41.82</v>
      </c>
      <c r="L20" s="146" t="n">
        <f aca="false">IF(C20&lt;0,0,C20)/1000</f>
        <v>41.82</v>
      </c>
      <c r="M20" s="147" t="n">
        <f aca="false">IFERROR(H20*L20,0)*1000</f>
        <v>76715.9046757583</v>
      </c>
      <c r="N20" s="147" t="n">
        <f aca="false">207.84*L20</f>
        <v>8691.8688</v>
      </c>
      <c r="O20" s="147" t="n">
        <f aca="false">$O$54/$L$52*L20</f>
        <v>2792.17398249503</v>
      </c>
      <c r="P20" s="147" t="n">
        <f aca="false">$P$54/$L$52*L20</f>
        <v>5488.94095875431</v>
      </c>
      <c r="Q20" s="147" t="n">
        <f aca="false">$Q$54/$L$52*L20</f>
        <v>4387.81085678502</v>
      </c>
      <c r="R20" s="147" t="n">
        <v>0</v>
      </c>
      <c r="S20" s="148" t="n">
        <v>0</v>
      </c>
      <c r="T20" s="149" t="n">
        <f aca="false">M20+N20+O20+P20</f>
        <v>93688.8884170077</v>
      </c>
      <c r="U20" s="149" t="n">
        <f aca="false">IFERROR(T20/L20,0)</f>
        <v>2240.28905827374</v>
      </c>
    </row>
    <row r="21" customFormat="false" ht="15" hidden="false" customHeight="false" outlineLevel="0" collapsed="false">
      <c r="B21" s="137" t="s">
        <v>98</v>
      </c>
      <c r="C21" s="138" t="n">
        <v>138020</v>
      </c>
      <c r="D21" s="139"/>
      <c r="E21" s="140"/>
      <c r="G21" s="151" t="n">
        <v>10005721</v>
      </c>
      <c r="H21" s="142" t="n">
        <f aca="false">IFERROR(INDEX([3]Resumen!$K$3:$K$63,MATCH(G21,[3]Resumen!$C$3:$C$63,0)),0)*(1+I21*J21)/1000-51.89/1000-93.38/1000</f>
        <v>1.83443100611569</v>
      </c>
      <c r="I21" s="143" t="n">
        <v>0.67</v>
      </c>
      <c r="J21" s="144" t="n">
        <f aca="false">$H$59</f>
        <v>-0.109659090909091</v>
      </c>
      <c r="K21" s="145" t="n">
        <f aca="false">C21/1000</f>
        <v>138.02</v>
      </c>
      <c r="L21" s="146" t="n">
        <f aca="false">IF(C21&lt;0,0,C21)/1000</f>
        <v>138.02</v>
      </c>
      <c r="M21" s="147" t="n">
        <f aca="false">IFERROR(H21*L21,0)*1000</f>
        <v>253188.167464088</v>
      </c>
      <c r="N21" s="147" t="n">
        <f aca="false">207.84*L21</f>
        <v>28686.0768</v>
      </c>
      <c r="O21" s="147" t="n">
        <f aca="false">$O$54/$L$52*L21</f>
        <v>9215.10887288294</v>
      </c>
      <c r="P21" s="147" t="n">
        <f aca="false">$P$54/$L$52*L21</f>
        <v>18115.3426859701</v>
      </c>
      <c r="Q21" s="147" t="n">
        <f aca="false">$Q$54/$L$52*L21</f>
        <v>14481.2447262905</v>
      </c>
      <c r="R21" s="147" t="n">
        <v>0</v>
      </c>
      <c r="S21" s="148" t="n">
        <v>0</v>
      </c>
      <c r="T21" s="149" t="n">
        <f aca="false">M21+N21+O21+P21</f>
        <v>309204.695822941</v>
      </c>
      <c r="U21" s="149" t="n">
        <f aca="false">IFERROR(T21/L21,0)</f>
        <v>2240.28905827374</v>
      </c>
    </row>
    <row r="22" customFormat="false" ht="15" hidden="false" customHeight="false" outlineLevel="0" collapsed="false">
      <c r="B22" s="137" t="s">
        <v>99</v>
      </c>
      <c r="C22" s="138" t="n">
        <v>174240</v>
      </c>
      <c r="D22" s="139"/>
      <c r="E22" s="140"/>
      <c r="G22" s="151" t="n">
        <v>10005721</v>
      </c>
      <c r="H22" s="142" t="n">
        <f aca="false">IFERROR(INDEX([3]Resumen!$K$3:$K$63,MATCH(G22,[3]Resumen!$C$3:$C$63,0)),0)*(1+I22*J22)/1000-51.89/1000-93.38/1000</f>
        <v>1.83443100611569</v>
      </c>
      <c r="I22" s="143" t="n">
        <v>0.67</v>
      </c>
      <c r="J22" s="144" t="n">
        <f aca="false">$H$59</f>
        <v>-0.109659090909091</v>
      </c>
      <c r="K22" s="145" t="n">
        <f aca="false">C22/1000</f>
        <v>174.24</v>
      </c>
      <c r="L22" s="146" t="n">
        <f aca="false">IF(C22&lt;0,0,C22)/1000</f>
        <v>174.24</v>
      </c>
      <c r="M22" s="147" t="n">
        <f aca="false">IFERROR(H22*L22,0)*1000</f>
        <v>319631.258505599</v>
      </c>
      <c r="N22" s="147" t="n">
        <f aca="false">207.84*L22</f>
        <v>36214.0416</v>
      </c>
      <c r="O22" s="147" t="n">
        <f aca="false">$O$54/$L$52*L22</f>
        <v>11633.3905956464</v>
      </c>
      <c r="P22" s="147" t="n">
        <f aca="false">$P$54/$L$52*L22</f>
        <v>22869.2748123709</v>
      </c>
      <c r="Q22" s="147" t="n">
        <f aca="false">$Q$54/$L$52*L22</f>
        <v>18281.4960231043</v>
      </c>
      <c r="R22" s="147" t="n">
        <v>0</v>
      </c>
      <c r="S22" s="148" t="n">
        <v>0</v>
      </c>
      <c r="T22" s="149" t="n">
        <f aca="false">M22+N22+O22+P22</f>
        <v>390347.965513616</v>
      </c>
      <c r="U22" s="149" t="n">
        <f aca="false">IFERROR(T22/L22,0)</f>
        <v>2240.28905827374</v>
      </c>
    </row>
    <row r="23" customFormat="false" ht="15" hidden="false" customHeight="false" outlineLevel="0" collapsed="false">
      <c r="B23" s="137" t="s">
        <v>100</v>
      </c>
      <c r="C23" s="138" t="n">
        <v>0</v>
      </c>
      <c r="D23" s="139"/>
      <c r="E23" s="140"/>
      <c r="G23" s="151" t="n">
        <v>10005721</v>
      </c>
      <c r="H23" s="142" t="n">
        <f aca="false">IFERROR(INDEX([3]Resumen!$K$3:$K$63,MATCH(G23,[3]Resumen!$C$3:$C$63,0)),0)*(1+I23*J23)/1000-51.89/1000-93.38/1000</f>
        <v>1.83443100611569</v>
      </c>
      <c r="I23" s="143" t="n">
        <v>0.67</v>
      </c>
      <c r="J23" s="144" t="n">
        <f aca="false">$H$59</f>
        <v>-0.109659090909091</v>
      </c>
      <c r="K23" s="145" t="n">
        <f aca="false">C23/1000</f>
        <v>0</v>
      </c>
      <c r="L23" s="146" t="n">
        <f aca="false">IF(C23&lt;0,0,C23)/1000</f>
        <v>0</v>
      </c>
      <c r="M23" s="147" t="n">
        <f aca="false">IFERROR(H23*L23,0)*1000</f>
        <v>0</v>
      </c>
      <c r="N23" s="147" t="n">
        <f aca="false">207.84*L23</f>
        <v>0</v>
      </c>
      <c r="O23" s="147" t="n">
        <f aca="false">$O$54/$L$52*L23</f>
        <v>0</v>
      </c>
      <c r="P23" s="147" t="n">
        <f aca="false">$P$54/$L$52*L23</f>
        <v>0</v>
      </c>
      <c r="Q23" s="147" t="n">
        <f aca="false">$Q$54/$L$52*L23</f>
        <v>0</v>
      </c>
      <c r="R23" s="147" t="n">
        <v>0</v>
      </c>
      <c r="S23" s="148" t="n">
        <v>0</v>
      </c>
      <c r="T23" s="149" t="n">
        <f aca="false">M23+N23+O23+P23</f>
        <v>0</v>
      </c>
      <c r="U23" s="149" t="n">
        <f aca="false">IFERROR(T23/L23,0)</f>
        <v>0</v>
      </c>
    </row>
    <row r="24" customFormat="false" ht="15" hidden="false" customHeight="false" outlineLevel="0" collapsed="false">
      <c r="B24" s="137" t="s">
        <v>101</v>
      </c>
      <c r="C24" s="138" t="n">
        <v>0</v>
      </c>
      <c r="D24" s="139"/>
      <c r="E24" s="140"/>
      <c r="G24" s="152" t="n">
        <v>10005779</v>
      </c>
      <c r="H24" s="142" t="n">
        <f aca="false">IFERROR(INDEX([3]Resumen!$K$3:$K$63,MATCH(G24,[3]Resumen!$C$3:$C$63,0)),0)*(1+I24*J24)/1000-51.89/1000-93.38/1000</f>
        <v>1.48342296852866</v>
      </c>
      <c r="I24" s="143" t="n">
        <v>0.65</v>
      </c>
      <c r="J24" s="144" t="n">
        <f aca="false">$H$59</f>
        <v>-0.109659090909091</v>
      </c>
      <c r="K24" s="145" t="n">
        <f aca="false">C24/1000</f>
        <v>0</v>
      </c>
      <c r="L24" s="146" t="n">
        <f aca="false">IF(C24&lt;0,0,C24)/1000</f>
        <v>0</v>
      </c>
      <c r="M24" s="147" t="n">
        <f aca="false">IFERROR(H24*L24,0)*1000</f>
        <v>0</v>
      </c>
      <c r="N24" s="147" t="n">
        <f aca="false">207.84*L24</f>
        <v>0</v>
      </c>
      <c r="O24" s="147" t="n">
        <f aca="false">$O$54/$L$52*L24</f>
        <v>0</v>
      </c>
      <c r="P24" s="147" t="n">
        <f aca="false">$P$54/$L$52*L24</f>
        <v>0</v>
      </c>
      <c r="Q24" s="147" t="n">
        <f aca="false">$Q$54/$L$52*L24</f>
        <v>0</v>
      </c>
      <c r="R24" s="147" t="n">
        <v>0</v>
      </c>
      <c r="S24" s="148" t="n">
        <v>0</v>
      </c>
      <c r="T24" s="149" t="n">
        <f aca="false">M24+N24+O24+P24</f>
        <v>0</v>
      </c>
      <c r="U24" s="149" t="n">
        <f aca="false">IFERROR(T24/L24,0)</f>
        <v>0</v>
      </c>
    </row>
    <row r="25" customFormat="false" ht="15" hidden="false" customHeight="false" outlineLevel="0" collapsed="false">
      <c r="B25" s="137" t="s">
        <v>102</v>
      </c>
      <c r="C25" s="138" t="n">
        <v>40</v>
      </c>
      <c r="D25" s="139"/>
      <c r="E25" s="140"/>
      <c r="G25" s="152" t="n">
        <v>10005779</v>
      </c>
      <c r="H25" s="142" t="n">
        <f aca="false">IFERROR(INDEX([3]Resumen!$K$3:$K$63,MATCH(G25,[3]Resumen!$C$3:$C$63,0)),0)*(1+I25*J25)/1000-51.89/1000-93.38/1000</f>
        <v>1.48342296852866</v>
      </c>
      <c r="I25" s="143" t="n">
        <v>0.65</v>
      </c>
      <c r="J25" s="144" t="n">
        <f aca="false">$H$59</f>
        <v>-0.109659090909091</v>
      </c>
      <c r="K25" s="145" t="n">
        <f aca="false">C25/1000</f>
        <v>0.04</v>
      </c>
      <c r="L25" s="146" t="n">
        <f aca="false">IF(C25&lt;0,0,C25)/1000</f>
        <v>0.04</v>
      </c>
      <c r="M25" s="147" t="n">
        <f aca="false">IFERROR(H25*L25,0)*1000</f>
        <v>59.3369187411463</v>
      </c>
      <c r="N25" s="147" t="n">
        <f aca="false">207.84*L25</f>
        <v>8.3136</v>
      </c>
      <c r="O25" s="147" t="n">
        <f aca="false">$O$54/$L$52*L25</f>
        <v>2.67065899808229</v>
      </c>
      <c r="P25" s="147" t="n">
        <f aca="false">$P$54/$L$52*L25</f>
        <v>5.25006308823942</v>
      </c>
      <c r="Q25" s="147" t="n">
        <f aca="false">$Q$54/$L$52*L25</f>
        <v>4.19685399979438</v>
      </c>
      <c r="R25" s="147" t="n">
        <v>0</v>
      </c>
      <c r="S25" s="148" t="n">
        <v>0</v>
      </c>
      <c r="T25" s="149" t="n">
        <f aca="false">M25+N25+O25+P25</f>
        <v>75.571240827468</v>
      </c>
      <c r="U25" s="149" t="n">
        <f aca="false">IFERROR(T25/L25,0)</f>
        <v>1889.2810206867</v>
      </c>
    </row>
    <row r="26" customFormat="false" ht="15" hidden="false" customHeight="false" outlineLevel="0" collapsed="false">
      <c r="B26" s="137" t="s">
        <v>103</v>
      </c>
      <c r="C26" s="138" t="n">
        <v>120</v>
      </c>
      <c r="D26" s="139"/>
      <c r="E26" s="140"/>
      <c r="G26" s="152" t="n">
        <v>10005779</v>
      </c>
      <c r="H26" s="142" t="n">
        <f aca="false">IFERROR(INDEX([3]Resumen!$K$3:$K$63,MATCH(G26,[3]Resumen!$C$3:$C$63,0)),0)*(1+I26*J26)/1000-51.89/1000-93.38/1000</f>
        <v>1.48342296852866</v>
      </c>
      <c r="I26" s="143" t="n">
        <v>0.65</v>
      </c>
      <c r="J26" s="144" t="n">
        <f aca="false">$H$59</f>
        <v>-0.109659090909091</v>
      </c>
      <c r="K26" s="145" t="n">
        <f aca="false">C26/1000</f>
        <v>0.12</v>
      </c>
      <c r="L26" s="146" t="n">
        <f aca="false">IF(C26&lt;0,0,C26)/1000</f>
        <v>0.12</v>
      </c>
      <c r="M26" s="147" t="n">
        <f aca="false">IFERROR(H26*L26,0)*1000</f>
        <v>178.010756223439</v>
      </c>
      <c r="N26" s="147" t="n">
        <f aca="false">207.84*L26</f>
        <v>24.9408</v>
      </c>
      <c r="O26" s="147" t="n">
        <f aca="false">$O$54/$L$52*L26</f>
        <v>8.01197699424686</v>
      </c>
      <c r="P26" s="147" t="n">
        <f aca="false">$P$54/$L$52*L26</f>
        <v>15.7501892647183</v>
      </c>
      <c r="Q26" s="147" t="n">
        <f aca="false">$Q$54/$L$52*L26</f>
        <v>12.5905619993831</v>
      </c>
      <c r="R26" s="147" t="n">
        <v>0</v>
      </c>
      <c r="S26" s="148" t="n">
        <v>0</v>
      </c>
      <c r="T26" s="149" t="n">
        <f aca="false">M26+N26+O26+P26</f>
        <v>226.713722482404</v>
      </c>
      <c r="U26" s="149" t="n">
        <f aca="false">IFERROR(T26/L26,0)</f>
        <v>1889.2810206867</v>
      </c>
    </row>
    <row r="27" customFormat="false" ht="15" hidden="false" customHeight="false" outlineLevel="0" collapsed="false">
      <c r="B27" s="137" t="s">
        <v>104</v>
      </c>
      <c r="C27" s="138" t="n">
        <v>3800</v>
      </c>
      <c r="D27" s="139"/>
      <c r="E27" s="140"/>
      <c r="G27" s="152" t="n">
        <v>10005779</v>
      </c>
      <c r="H27" s="142" t="n">
        <f aca="false">IFERROR(INDEX([3]Resumen!$K$3:$K$63,MATCH(G27,[3]Resumen!$C$3:$C$63,0)),0)*(1+I27*J27)/1000-51.89/1000-93.38/1000</f>
        <v>1.48342296852866</v>
      </c>
      <c r="I27" s="143" t="n">
        <v>0.65</v>
      </c>
      <c r="J27" s="144" t="n">
        <f aca="false">$H$59</f>
        <v>-0.109659090909091</v>
      </c>
      <c r="K27" s="145" t="n">
        <f aca="false">C27/1000</f>
        <v>3.8</v>
      </c>
      <c r="L27" s="146" t="n">
        <f aca="false">IF(C27&lt;0,0,C27)/1000</f>
        <v>3.8</v>
      </c>
      <c r="M27" s="147" t="n">
        <f aca="false">IFERROR(H27*L27,0)*1000</f>
        <v>5637.0072804089</v>
      </c>
      <c r="N27" s="147" t="n">
        <f aca="false">207.84*L27</f>
        <v>789.792</v>
      </c>
      <c r="O27" s="147" t="n">
        <f aca="false">$O$54/$L$52*L27</f>
        <v>253.712604817817</v>
      </c>
      <c r="P27" s="147" t="n">
        <f aca="false">$P$54/$L$52*L27</f>
        <v>498.755993382745</v>
      </c>
      <c r="Q27" s="147" t="n">
        <f aca="false">$Q$54/$L$52*L27</f>
        <v>398.701129980466</v>
      </c>
      <c r="R27" s="147" t="n">
        <v>0</v>
      </c>
      <c r="S27" s="148" t="n">
        <v>0</v>
      </c>
      <c r="T27" s="149" t="n">
        <f aca="false">M27+N27+O27+P27</f>
        <v>7179.26787860946</v>
      </c>
      <c r="U27" s="149" t="n">
        <f aca="false">IFERROR(T27/L27,0)</f>
        <v>1889.2810206867</v>
      </c>
    </row>
    <row r="28" customFormat="false" ht="15" hidden="false" customHeight="false" outlineLevel="0" collapsed="false">
      <c r="B28" s="137" t="s">
        <v>105</v>
      </c>
      <c r="C28" s="138" t="n">
        <v>172700</v>
      </c>
      <c r="D28" s="139"/>
      <c r="E28" s="140"/>
      <c r="G28" s="152" t="n">
        <v>10005779</v>
      </c>
      <c r="H28" s="142" t="n">
        <f aca="false">IFERROR(INDEX([3]Resumen!$K$3:$K$63,MATCH(G28,[3]Resumen!$C$3:$C$63,0)),0)*(1+I28*J28)/1000-51.89/1000-93.38/1000</f>
        <v>1.48342296852866</v>
      </c>
      <c r="I28" s="143" t="n">
        <v>0.65</v>
      </c>
      <c r="J28" s="144" t="n">
        <f aca="false">$H$59</f>
        <v>-0.109659090909091</v>
      </c>
      <c r="K28" s="145" t="n">
        <f aca="false">C28/1000</f>
        <v>172.7</v>
      </c>
      <c r="L28" s="146" t="n">
        <f aca="false">IF(C28&lt;0,0,C28)/1000</f>
        <v>172.7</v>
      </c>
      <c r="M28" s="147" t="n">
        <f aca="false">IFERROR(H28*L28,0)*1000</f>
        <v>256187.146664899</v>
      </c>
      <c r="N28" s="147" t="n">
        <f aca="false">207.84*L28</f>
        <v>35893.968</v>
      </c>
      <c r="O28" s="147" t="n">
        <f aca="false">$O$54/$L$52*L28</f>
        <v>11530.5702242203</v>
      </c>
      <c r="P28" s="147" t="n">
        <f aca="false">$P$54/$L$52*L28</f>
        <v>22667.1473834737</v>
      </c>
      <c r="Q28" s="147" t="n">
        <f aca="false">$Q$54/$L$52*L28</f>
        <v>18119.9171441122</v>
      </c>
      <c r="R28" s="147" t="n">
        <v>0</v>
      </c>
      <c r="S28" s="148" t="n">
        <v>0</v>
      </c>
      <c r="T28" s="149" t="n">
        <f aca="false">M28+N28+O28+P28</f>
        <v>326278.832272593</v>
      </c>
      <c r="U28" s="149" t="n">
        <f aca="false">IFERROR(T28/L28,0)</f>
        <v>1889.2810206867</v>
      </c>
    </row>
    <row r="29" customFormat="false" ht="15" hidden="false" customHeight="false" outlineLevel="0" collapsed="false">
      <c r="B29" s="137" t="s">
        <v>106</v>
      </c>
      <c r="C29" s="138" t="n">
        <v>37180</v>
      </c>
      <c r="D29" s="139"/>
      <c r="E29" s="140"/>
      <c r="G29" s="152" t="n">
        <v>10005779</v>
      </c>
      <c r="H29" s="142" t="n">
        <f aca="false">IFERROR(INDEX([3]Resumen!$K$3:$K$63,MATCH(G29,[3]Resumen!$C$3:$C$63,0)),0)*(1+I29*J29)/1000-51.89/1000-93.38/1000</f>
        <v>1.48342296852866</v>
      </c>
      <c r="I29" s="143" t="n">
        <v>0.65</v>
      </c>
      <c r="J29" s="144" t="n">
        <f aca="false">$H$59</f>
        <v>-0.109659090909091</v>
      </c>
      <c r="K29" s="145" t="n">
        <f aca="false">C29/1000</f>
        <v>37.18</v>
      </c>
      <c r="L29" s="146" t="n">
        <f aca="false">IF(C29&lt;0,0,C29)/1000</f>
        <v>37.18</v>
      </c>
      <c r="M29" s="147" t="n">
        <f aca="false">IFERROR(H29*L29,0)*1000</f>
        <v>55153.6659698955</v>
      </c>
      <c r="N29" s="147" t="n">
        <f aca="false">207.84*L29</f>
        <v>7727.4912</v>
      </c>
      <c r="O29" s="147" t="n">
        <f aca="false">$O$54/$L$52*L29</f>
        <v>2482.37753871749</v>
      </c>
      <c r="P29" s="147" t="n">
        <f aca="false">$P$54/$L$52*L29</f>
        <v>4879.93364051854</v>
      </c>
      <c r="Q29" s="147" t="n">
        <f aca="false">$Q$54/$L$52*L29</f>
        <v>3900.97579280888</v>
      </c>
      <c r="R29" s="147" t="n">
        <v>0</v>
      </c>
      <c r="S29" s="148" t="n">
        <v>0</v>
      </c>
      <c r="T29" s="149" t="n">
        <f aca="false">M29+N29+O29+P29</f>
        <v>70243.4683491315</v>
      </c>
      <c r="U29" s="149" t="n">
        <f aca="false">IFERROR(T29/L29,0)</f>
        <v>1889.2810206867</v>
      </c>
    </row>
    <row r="30" customFormat="false" ht="15" hidden="false" customHeight="false" outlineLevel="0" collapsed="false">
      <c r="B30" s="137" t="s">
        <v>107</v>
      </c>
      <c r="C30" s="138" t="n">
        <v>12840</v>
      </c>
      <c r="D30" s="139"/>
      <c r="E30" s="140"/>
      <c r="G30" s="153" t="n">
        <v>10007567</v>
      </c>
      <c r="H30" s="142" t="n">
        <f aca="false">IFERROR(INDEX([3]Resumen!$K$3:$K$63,MATCH(G30,[3]Resumen!$C$3:$C$63,0)),0)*(1+I30*J30)/1000-51.89/1000-93.38/1000</f>
        <v>1.54016366904569</v>
      </c>
      <c r="I30" s="143" t="n">
        <v>0.68</v>
      </c>
      <c r="J30" s="144" t="n">
        <f aca="false">$H$59</f>
        <v>-0.109659090909091</v>
      </c>
      <c r="K30" s="145" t="n">
        <f aca="false">C30/1000</f>
        <v>12.84</v>
      </c>
      <c r="L30" s="146" t="n">
        <f aca="false">IF(C30&lt;0,0,C30)/1000</f>
        <v>12.84</v>
      </c>
      <c r="M30" s="147" t="n">
        <f aca="false">IFERROR(H30*L30,0)*1000</f>
        <v>19775.7015105466</v>
      </c>
      <c r="N30" s="147" t="n">
        <f aca="false">207.84*L30</f>
        <v>2668.6656</v>
      </c>
      <c r="O30" s="147" t="n">
        <f aca="false">$O$54/$L$52*L30</f>
        <v>857.281538384414</v>
      </c>
      <c r="P30" s="147" t="n">
        <f aca="false">$P$54/$L$52*L30</f>
        <v>1685.27025132485</v>
      </c>
      <c r="Q30" s="147" t="n">
        <f aca="false">$Q$54/$L$52*L30</f>
        <v>1347.190133934</v>
      </c>
      <c r="R30" s="147" t="n">
        <v>0</v>
      </c>
      <c r="S30" s="148" t="n">
        <v>0</v>
      </c>
      <c r="T30" s="149" t="n">
        <f aca="false">M30+N30+O30+P30</f>
        <v>24986.9189002559</v>
      </c>
      <c r="U30" s="149" t="n">
        <f aca="false">IFERROR(T30/L30,0)</f>
        <v>1946.02172120373</v>
      </c>
    </row>
    <row r="31" customFormat="false" ht="15" hidden="false" customHeight="false" outlineLevel="0" collapsed="false">
      <c r="B31" s="137" t="s">
        <v>108</v>
      </c>
      <c r="C31" s="138" t="n">
        <v>1960</v>
      </c>
      <c r="D31" s="139"/>
      <c r="E31" s="140"/>
      <c r="G31" s="153" t="n">
        <v>10007567</v>
      </c>
      <c r="H31" s="142" t="n">
        <f aca="false">IFERROR(INDEX([3]Resumen!$K$3:$K$63,MATCH(G31,[3]Resumen!$C$3:$C$63,0)),0)*(1+I31*J31)/1000-51.89/1000-93.38/1000</f>
        <v>1.54016366904569</v>
      </c>
      <c r="I31" s="143" t="n">
        <v>0.68</v>
      </c>
      <c r="J31" s="144" t="n">
        <f aca="false">$H$59</f>
        <v>-0.109659090909091</v>
      </c>
      <c r="K31" s="145" t="n">
        <f aca="false">C31/1000</f>
        <v>1.96</v>
      </c>
      <c r="L31" s="146" t="n">
        <f aca="false">IF(C31&lt;0,0,C31)/1000</f>
        <v>1.96</v>
      </c>
      <c r="M31" s="147" t="n">
        <f aca="false">IFERROR(H31*L31,0)*1000</f>
        <v>3018.72079132954</v>
      </c>
      <c r="N31" s="147" t="n">
        <f aca="false">207.84*L31</f>
        <v>407.3664</v>
      </c>
      <c r="O31" s="147" t="n">
        <f aca="false">$O$54/$L$52*L31</f>
        <v>130.862290906032</v>
      </c>
      <c r="P31" s="147" t="n">
        <f aca="false">$P$54/$L$52*L31</f>
        <v>257.253091323732</v>
      </c>
      <c r="Q31" s="147" t="n">
        <f aca="false">$Q$54/$L$52*L31</f>
        <v>205.645845989925</v>
      </c>
      <c r="R31" s="147" t="n">
        <v>0</v>
      </c>
      <c r="S31" s="148" t="n">
        <v>0</v>
      </c>
      <c r="T31" s="149" t="n">
        <f aca="false">M31+N31+O31+P31</f>
        <v>3814.20257355931</v>
      </c>
      <c r="U31" s="149" t="n">
        <f aca="false">IFERROR(T31/L31,0)</f>
        <v>1946.02172120373</v>
      </c>
    </row>
    <row r="32" customFormat="false" ht="15" hidden="false" customHeight="false" outlineLevel="0" collapsed="false">
      <c r="B32" s="154" t="s">
        <v>109</v>
      </c>
      <c r="C32" s="138" t="n">
        <v>31120</v>
      </c>
      <c r="D32" s="139"/>
      <c r="E32" s="140"/>
      <c r="G32" s="153" t="n">
        <v>10007162</v>
      </c>
      <c r="H32" s="142" t="n">
        <f aca="false">IFERROR(INDEX([3]Resumen!$K$3:$K$63,MATCH(G32,[3]Resumen!$C$3:$C$63,0)),0)*(1+I32*J32)/1000-51.89/1000-93.38/1000</f>
        <v>1.59655881400912</v>
      </c>
      <c r="I32" s="144" t="n">
        <v>0.68</v>
      </c>
      <c r="J32" s="144" t="n">
        <f aca="false">$H$59</f>
        <v>-0.109659090909091</v>
      </c>
      <c r="K32" s="145" t="n">
        <f aca="false">C32/1000</f>
        <v>31.12</v>
      </c>
      <c r="L32" s="146" t="n">
        <f aca="false">IF(C32&lt;0,0,C32)/1000</f>
        <v>31.12</v>
      </c>
      <c r="M32" s="147" t="n">
        <f aca="false">IFERROR(H32*L32,0)*1000</f>
        <v>49684.9102919639</v>
      </c>
      <c r="N32" s="147" t="n">
        <f aca="false">207.84*L32</f>
        <v>6467.9808</v>
      </c>
      <c r="O32" s="147" t="n">
        <f aca="false">$O$54/$L$52*L32</f>
        <v>2077.77270050802</v>
      </c>
      <c r="P32" s="147" t="n">
        <f aca="false">$P$54/$L$52*L32</f>
        <v>4084.54908265027</v>
      </c>
      <c r="Q32" s="147" t="n">
        <f aca="false">$Q$54/$L$52*L32</f>
        <v>3265.15241184003</v>
      </c>
      <c r="R32" s="147" t="n">
        <v>0</v>
      </c>
      <c r="S32" s="148" t="n">
        <v>0</v>
      </c>
      <c r="T32" s="149" t="n">
        <f aca="false">M32+N32+O32+P32</f>
        <v>62315.2128751222</v>
      </c>
      <c r="U32" s="149" t="n">
        <f aca="false">IFERROR(T32/L32,0)</f>
        <v>2002.41686616717</v>
      </c>
    </row>
    <row r="33" customFormat="false" ht="15" hidden="false" customHeight="false" outlineLevel="0" collapsed="false">
      <c r="B33" s="154" t="s">
        <v>109</v>
      </c>
      <c r="C33" s="138" t="n">
        <v>4540</v>
      </c>
      <c r="D33" s="139"/>
      <c r="E33" s="140"/>
      <c r="G33" s="153" t="n">
        <v>10007162</v>
      </c>
      <c r="H33" s="142" t="n">
        <f aca="false">IFERROR(INDEX([3]Resumen!$K$3:$K$63,MATCH(G33,[3]Resumen!$C$3:$C$63,0)),0)*(1+I33*J33)/1000-51.89/1000-93.38/1000</f>
        <v>1.59655881400912</v>
      </c>
      <c r="I33" s="144" t="n">
        <v>0.68</v>
      </c>
      <c r="J33" s="144" t="n">
        <f aca="false">$H$59</f>
        <v>-0.109659090909091</v>
      </c>
      <c r="K33" s="145" t="n">
        <f aca="false">C33/1000</f>
        <v>4.54</v>
      </c>
      <c r="L33" s="146" t="n">
        <f aca="false">IF(C33&lt;0,0,C33)/1000</f>
        <v>4.54</v>
      </c>
      <c r="M33" s="147" t="n">
        <f aca="false">IFERROR(H33*L33,0)*1000</f>
        <v>7248.37701560142</v>
      </c>
      <c r="N33" s="147" t="n">
        <f aca="false">207.84*L33</f>
        <v>943.5936</v>
      </c>
      <c r="O33" s="147" t="n">
        <f aca="false">$O$54/$L$52*L33</f>
        <v>303.11979628234</v>
      </c>
      <c r="P33" s="147" t="n">
        <f aca="false">$P$54/$L$52*L33</f>
        <v>595.882160515174</v>
      </c>
      <c r="Q33" s="147" t="n">
        <f aca="false">$Q$54/$L$52*L33</f>
        <v>476.342928976662</v>
      </c>
      <c r="R33" s="147" t="n">
        <v>0</v>
      </c>
      <c r="S33" s="148" t="n">
        <v>0</v>
      </c>
      <c r="T33" s="149" t="n">
        <f aca="false">M33+N33+O33+P33</f>
        <v>9090.97257239894</v>
      </c>
      <c r="U33" s="149" t="n">
        <f aca="false">IFERROR(T33/L33,0)</f>
        <v>2002.41686616717</v>
      </c>
    </row>
    <row r="34" customFormat="false" ht="15" hidden="false" customHeight="false" outlineLevel="0" collapsed="false">
      <c r="B34" s="137" t="s">
        <v>110</v>
      </c>
      <c r="C34" s="138" t="n">
        <v>21280</v>
      </c>
      <c r="D34" s="139"/>
      <c r="E34" s="140"/>
      <c r="G34" s="153" t="n">
        <v>10007162</v>
      </c>
      <c r="H34" s="142" t="n">
        <f aca="false">IFERROR(INDEX([3]Resumen!$K$3:$K$63,MATCH(G34,[3]Resumen!$C$3:$C$63,0)),0)*(1+I34*J34)/1000-51.89/1000-93.38/1000</f>
        <v>1.59655881400912</v>
      </c>
      <c r="I34" s="144" t="n">
        <v>0.68</v>
      </c>
      <c r="J34" s="144" t="n">
        <f aca="false">$H$59</f>
        <v>-0.109659090909091</v>
      </c>
      <c r="K34" s="145" t="n">
        <f aca="false">C34/1000</f>
        <v>21.28</v>
      </c>
      <c r="L34" s="146" t="n">
        <f aca="false">IF(C34&lt;0,0,C34)/1000</f>
        <v>21.28</v>
      </c>
      <c r="M34" s="147" t="n">
        <f aca="false">IFERROR(H34*L34,0)*1000</f>
        <v>33974.7715621142</v>
      </c>
      <c r="N34" s="147" t="n">
        <f aca="false">207.84*L34</f>
        <v>4422.8352</v>
      </c>
      <c r="O34" s="147" t="n">
        <f aca="false">$O$54/$L$52*L34</f>
        <v>1420.79058697978</v>
      </c>
      <c r="P34" s="147" t="n">
        <f aca="false">$P$54/$L$52*L34</f>
        <v>2793.03356294337</v>
      </c>
      <c r="Q34" s="147" t="n">
        <f aca="false">$Q$54/$L$52*L34</f>
        <v>2232.72632789061</v>
      </c>
      <c r="R34" s="147" t="n">
        <v>0</v>
      </c>
      <c r="S34" s="148" t="n">
        <v>0</v>
      </c>
      <c r="T34" s="149" t="n">
        <f aca="false">M34+N34+O34+P34</f>
        <v>42611.4309120373</v>
      </c>
      <c r="U34" s="149" t="n">
        <f aca="false">IFERROR(T34/L34,0)</f>
        <v>2002.41686616717</v>
      </c>
    </row>
    <row r="35" customFormat="false" ht="15" hidden="false" customHeight="false" outlineLevel="0" collapsed="false">
      <c r="B35" s="137" t="s">
        <v>111</v>
      </c>
      <c r="C35" s="138" t="n">
        <v>49120</v>
      </c>
      <c r="D35" s="139"/>
      <c r="E35" s="140"/>
      <c r="G35" s="153" t="n">
        <v>10007162</v>
      </c>
      <c r="H35" s="142" t="n">
        <f aca="false">IFERROR(INDEX([3]Resumen!$K$3:$K$63,MATCH(G35,[3]Resumen!$C$3:$C$63,0)),0)*(1+I35*J35)/1000-51.89/1000-93.38/1000</f>
        <v>1.59655881400912</v>
      </c>
      <c r="I35" s="144" t="n">
        <v>0.68</v>
      </c>
      <c r="J35" s="144" t="n">
        <f aca="false">$H$59</f>
        <v>-0.109659090909091</v>
      </c>
      <c r="K35" s="145" t="n">
        <f aca="false">C35/1000</f>
        <v>49.12</v>
      </c>
      <c r="L35" s="146" t="n">
        <f aca="false">IF(C35&lt;0,0,C35)/1000</f>
        <v>49.12</v>
      </c>
      <c r="M35" s="147" t="n">
        <f aca="false">IFERROR(H35*L35,0)*1000</f>
        <v>78422.9689441282</v>
      </c>
      <c r="N35" s="147" t="n">
        <f aca="false">207.84*L35</f>
        <v>10209.1008</v>
      </c>
      <c r="O35" s="147" t="n">
        <f aca="false">$O$54/$L$52*L35</f>
        <v>3279.56924964505</v>
      </c>
      <c r="P35" s="147" t="n">
        <f aca="false">$P$54/$L$52*L35</f>
        <v>6447.07747235801</v>
      </c>
      <c r="Q35" s="147" t="n">
        <f aca="false">$Q$54/$L$52*L35</f>
        <v>5153.7367117475</v>
      </c>
      <c r="R35" s="147" t="n">
        <v>0</v>
      </c>
      <c r="S35" s="148" t="n">
        <v>0</v>
      </c>
      <c r="T35" s="149" t="n">
        <f aca="false">M35+N35+O35+P35</f>
        <v>98358.7164661312</v>
      </c>
      <c r="U35" s="149" t="n">
        <f aca="false">IFERROR(T35/L35,0)</f>
        <v>2002.41686616717</v>
      </c>
    </row>
    <row r="36" customFormat="false" ht="15" hidden="false" customHeight="false" outlineLevel="0" collapsed="false">
      <c r="B36" s="137" t="s">
        <v>112</v>
      </c>
      <c r="C36" s="138" t="n">
        <v>30990</v>
      </c>
      <c r="D36" s="139"/>
      <c r="E36" s="140"/>
      <c r="G36" s="153" t="n">
        <v>10007162</v>
      </c>
      <c r="H36" s="142" t="n">
        <f aca="false">IFERROR(INDEX([3]Resumen!$K$3:$K$63,MATCH(G36,[3]Resumen!$C$3:$C$63,0)),0)*(1+I36*J36)/1000-51.89/1000-93.38/1000</f>
        <v>1.59655881400912</v>
      </c>
      <c r="I36" s="144" t="n">
        <v>0.68</v>
      </c>
      <c r="J36" s="144" t="n">
        <f aca="false">$H$59</f>
        <v>-0.109659090909091</v>
      </c>
      <c r="K36" s="145" t="n">
        <f aca="false">C36/1000</f>
        <v>30.99</v>
      </c>
      <c r="L36" s="146" t="n">
        <f aca="false">IF(C36&lt;0,0,C36)/1000</f>
        <v>30.99</v>
      </c>
      <c r="M36" s="147" t="n">
        <f aca="false">IFERROR(H36*L36,0)*1000</f>
        <v>49477.3576461428</v>
      </c>
      <c r="N36" s="147" t="n">
        <f aca="false">207.84*L36</f>
        <v>6440.9616</v>
      </c>
      <c r="O36" s="147" t="n">
        <f aca="false">$O$54/$L$52*L36</f>
        <v>2069.09305876425</v>
      </c>
      <c r="P36" s="147" t="n">
        <f aca="false">$P$54/$L$52*L36</f>
        <v>4067.48637761349</v>
      </c>
      <c r="Q36" s="147" t="n">
        <f aca="false">$Q$54/$L$52*L36</f>
        <v>3251.5126363407</v>
      </c>
      <c r="R36" s="147" t="n">
        <v>0</v>
      </c>
      <c r="S36" s="148" t="n">
        <v>0</v>
      </c>
      <c r="T36" s="149" t="n">
        <f aca="false">M36+N36+O36+P36</f>
        <v>62054.8986825205</v>
      </c>
      <c r="U36" s="149" t="n">
        <f aca="false">IFERROR(T36/L36,0)</f>
        <v>2002.41686616717</v>
      </c>
    </row>
    <row r="37" customFormat="false" ht="15" hidden="false" customHeight="false" outlineLevel="0" collapsed="false">
      <c r="B37" s="137" t="s">
        <v>113</v>
      </c>
      <c r="C37" s="138" t="n">
        <v>44225</v>
      </c>
      <c r="D37" s="139"/>
      <c r="E37" s="140"/>
      <c r="G37" s="153" t="n">
        <v>10007162</v>
      </c>
      <c r="H37" s="142" t="n">
        <f aca="false">IFERROR(INDEX([3]Resumen!$K$3:$K$63,MATCH(G37,[3]Resumen!$C$3:$C$63,0)),0)*(1+I37*J37)/1000-51.89/1000-93.38/1000</f>
        <v>1.59655881400912</v>
      </c>
      <c r="I37" s="144" t="n">
        <v>0.68</v>
      </c>
      <c r="J37" s="144" t="n">
        <f aca="false">$H$59</f>
        <v>-0.109659090909091</v>
      </c>
      <c r="K37" s="145" t="n">
        <f aca="false">C37/1000</f>
        <v>44.225</v>
      </c>
      <c r="L37" s="146" t="n">
        <f aca="false">IF(C37&lt;0,0,C37)/1000</f>
        <v>44.225</v>
      </c>
      <c r="M37" s="147" t="n">
        <f aca="false">IFERROR(H37*L37,0)*1000</f>
        <v>70607.8135495535</v>
      </c>
      <c r="N37" s="147" t="n">
        <f aca="false">207.84*L37</f>
        <v>9191.724</v>
      </c>
      <c r="O37" s="147" t="n">
        <f aca="false">$O$54/$L$52*L37</f>
        <v>2952.74735475473</v>
      </c>
      <c r="P37" s="147" t="n">
        <f aca="false">$P$54/$L$52*L37</f>
        <v>5804.60100193471</v>
      </c>
      <c r="Q37" s="147" t="n">
        <f aca="false">$Q$54/$L$52*L37</f>
        <v>4640.14670352266</v>
      </c>
      <c r="R37" s="147" t="n">
        <v>0</v>
      </c>
      <c r="S37" s="148" t="n">
        <v>0</v>
      </c>
      <c r="T37" s="149" t="n">
        <f aca="false">M37+N37+O37+P37</f>
        <v>88556.8859062429</v>
      </c>
      <c r="U37" s="149" t="n">
        <f aca="false">IFERROR(T37/L37,0)</f>
        <v>2002.41686616717</v>
      </c>
    </row>
    <row r="38" customFormat="false" ht="15" hidden="false" customHeight="false" outlineLevel="0" collapsed="false">
      <c r="B38" s="137" t="s">
        <v>114</v>
      </c>
      <c r="C38" s="138" t="n">
        <v>30940</v>
      </c>
      <c r="D38" s="139"/>
      <c r="E38" s="140"/>
      <c r="G38" s="153" t="n">
        <v>10007162</v>
      </c>
      <c r="H38" s="142" t="n">
        <f aca="false">IFERROR(INDEX([3]Resumen!$K$3:$K$63,MATCH(G38,[3]Resumen!$C$3:$C$63,0)),0)*(1+I38*J38)/1000-51.89/1000-93.38/1000</f>
        <v>1.59655881400912</v>
      </c>
      <c r="I38" s="144" t="n">
        <v>0.68</v>
      </c>
      <c r="J38" s="144" t="n">
        <f aca="false">$H$59</f>
        <v>-0.109659090909091</v>
      </c>
      <c r="K38" s="145" t="n">
        <f aca="false">C38/1000</f>
        <v>30.94</v>
      </c>
      <c r="L38" s="146" t="n">
        <f aca="false">IF(C38&lt;0,0,C38)/1000</f>
        <v>30.94</v>
      </c>
      <c r="M38" s="147" t="n">
        <f aca="false">IFERROR(H38*L38,0)*1000</f>
        <v>49397.5297054423</v>
      </c>
      <c r="N38" s="147" t="n">
        <f aca="false">207.84*L38</f>
        <v>6430.5696</v>
      </c>
      <c r="O38" s="147" t="n">
        <f aca="false">$O$54/$L$52*L38</f>
        <v>2065.75473501665</v>
      </c>
      <c r="P38" s="147" t="n">
        <f aca="false">$P$54/$L$52*L38</f>
        <v>4060.92379875319</v>
      </c>
      <c r="Q38" s="147" t="n">
        <f aca="false">$Q$54/$L$52*L38</f>
        <v>3246.26656884095</v>
      </c>
      <c r="R38" s="147" t="n">
        <v>0</v>
      </c>
      <c r="S38" s="148" t="n">
        <v>0</v>
      </c>
      <c r="T38" s="149" t="n">
        <f aca="false">M38+N38+O38+P38</f>
        <v>61954.7778392121</v>
      </c>
      <c r="U38" s="149" t="n">
        <f aca="false">IFERROR(T38/L38,0)</f>
        <v>2002.41686616717</v>
      </c>
    </row>
    <row r="39" customFormat="false" ht="15" hidden="false" customHeight="false" outlineLevel="0" collapsed="false">
      <c r="B39" s="155"/>
      <c r="C39" s="156"/>
      <c r="D39" s="139"/>
      <c r="E39" s="140"/>
      <c r="G39" s="153" t="n">
        <v>10007162</v>
      </c>
      <c r="H39" s="142" t="n">
        <f aca="false">IFERROR(INDEX([3]Resumen!$K$3:$K$63,MATCH(G39,[3]Resumen!$C$3:$C$63,0)),0)*(1+I39*J39)/1000-51.89/1000-93.38/1000</f>
        <v>1.59655881400912</v>
      </c>
      <c r="I39" s="144" t="n">
        <v>0.68</v>
      </c>
      <c r="J39" s="144" t="n">
        <f aca="false">$H$59</f>
        <v>-0.109659090909091</v>
      </c>
      <c r="K39" s="145" t="n">
        <f aca="false">C39/1000</f>
        <v>0</v>
      </c>
      <c r="L39" s="146" t="n">
        <f aca="false">IF(C39&lt;0,0,C39)/1000</f>
        <v>0</v>
      </c>
      <c r="M39" s="147" t="n">
        <f aca="false">IFERROR(H39*L39,0)*1000</f>
        <v>0</v>
      </c>
      <c r="N39" s="147" t="n">
        <f aca="false">207.84*L39</f>
        <v>0</v>
      </c>
      <c r="O39" s="147" t="n">
        <f aca="false">$O$54/$L$52*L39</f>
        <v>0</v>
      </c>
      <c r="P39" s="147" t="n">
        <f aca="false">$P$54/$L$52*L39</f>
        <v>0</v>
      </c>
      <c r="Q39" s="147" t="n">
        <f aca="false">$Q$54/$L$52*L39</f>
        <v>0</v>
      </c>
      <c r="R39" s="147" t="n">
        <v>0</v>
      </c>
      <c r="S39" s="148" t="n">
        <v>0</v>
      </c>
      <c r="T39" s="149" t="n">
        <f aca="false">M39+N39+O39+P39</f>
        <v>0</v>
      </c>
      <c r="U39" s="149" t="n">
        <f aca="false">IFERROR(T39/L39,0)</f>
        <v>0</v>
      </c>
    </row>
    <row r="40" customFormat="false" ht="15" hidden="false" customHeight="false" outlineLevel="0" collapsed="false">
      <c r="B40" s="155"/>
      <c r="C40" s="156"/>
      <c r="D40" s="139"/>
      <c r="E40" s="140"/>
      <c r="G40" s="153" t="n">
        <v>10007162</v>
      </c>
      <c r="H40" s="142" t="n">
        <f aca="false">IFERROR(INDEX([3]Resumen!$K$3:$K$63,MATCH(G40,[3]Resumen!$C$3:$C$63,0)),0)*(1+I40*J40)/1000-51.89/1000-93.38/1000</f>
        <v>1.59655881400912</v>
      </c>
      <c r="I40" s="144" t="n">
        <v>0.68</v>
      </c>
      <c r="J40" s="144" t="n">
        <f aca="false">$H$59</f>
        <v>-0.109659090909091</v>
      </c>
      <c r="K40" s="145" t="n">
        <f aca="false">C40/1000</f>
        <v>0</v>
      </c>
      <c r="L40" s="146" t="n">
        <f aca="false">IF(C40&lt;0,0,C40)/1000</f>
        <v>0</v>
      </c>
      <c r="M40" s="147" t="n">
        <f aca="false">IFERROR(H40*L40,0)*1000</f>
        <v>0</v>
      </c>
      <c r="N40" s="147" t="n">
        <f aca="false">207.84*L40</f>
        <v>0</v>
      </c>
      <c r="O40" s="147" t="n">
        <f aca="false">$O$54/$L$52*L40</f>
        <v>0</v>
      </c>
      <c r="P40" s="147" t="n">
        <f aca="false">$P$54/$L$52*L40</f>
        <v>0</v>
      </c>
      <c r="Q40" s="147" t="n">
        <f aca="false">$Q$54/$L$52*L40</f>
        <v>0</v>
      </c>
      <c r="R40" s="147" t="n">
        <v>0</v>
      </c>
      <c r="S40" s="148" t="n">
        <v>0</v>
      </c>
      <c r="T40" s="149" t="n">
        <f aca="false">M40+N40+O40+P40</f>
        <v>0</v>
      </c>
      <c r="U40" s="149" t="n">
        <f aca="false">IFERROR(T40/L40,0)</f>
        <v>0</v>
      </c>
    </row>
    <row r="41" customFormat="false" ht="15" hidden="false" customHeight="false" outlineLevel="0" collapsed="false">
      <c r="B41" s="155"/>
      <c r="C41" s="156"/>
      <c r="D41" s="139"/>
      <c r="E41" s="140"/>
      <c r="G41" s="157" t="n">
        <v>10009386</v>
      </c>
      <c r="H41" s="142" t="n">
        <f aca="false">IFERROR(INDEX([3]Resumen!$K$3:$K$63,MATCH(G41,[3]Resumen!$C$3:$C$63,0)),0)*(1+I41*J41)/1000-51.89/1000-93.38/1000</f>
        <v>1.59799025354257</v>
      </c>
      <c r="I41" s="144" t="n">
        <v>0.68</v>
      </c>
      <c r="J41" s="144" t="n">
        <f aca="false">$H$59</f>
        <v>-0.109659090909091</v>
      </c>
      <c r="K41" s="145" t="n">
        <f aca="false">C41/1000</f>
        <v>0</v>
      </c>
      <c r="L41" s="146" t="n">
        <f aca="false">IF(C41&lt;0,0,C41)/1000</f>
        <v>0</v>
      </c>
      <c r="M41" s="147" t="n">
        <f aca="false">IFERROR(H41*L41,0)*1000</f>
        <v>0</v>
      </c>
      <c r="N41" s="147" t="n">
        <f aca="false">207.84*L41</f>
        <v>0</v>
      </c>
      <c r="O41" s="147" t="n">
        <f aca="false">$O$54/$L$52*L41</f>
        <v>0</v>
      </c>
      <c r="P41" s="147" t="n">
        <f aca="false">$P$54/$L$52*L41</f>
        <v>0</v>
      </c>
      <c r="Q41" s="147" t="n">
        <f aca="false">$Q$54/$L$52*L41</f>
        <v>0</v>
      </c>
      <c r="R41" s="147" t="n">
        <v>0</v>
      </c>
      <c r="S41" s="148" t="n">
        <v>0</v>
      </c>
      <c r="T41" s="149" t="n">
        <f aca="false">M41+N41+O41+P41</f>
        <v>0</v>
      </c>
      <c r="U41" s="149" t="n">
        <f aca="false">IFERROR(T41/L41,0)</f>
        <v>0</v>
      </c>
    </row>
    <row r="42" customFormat="false" ht="15" hidden="false" customHeight="false" outlineLevel="0" collapsed="false">
      <c r="B42" s="158"/>
      <c r="C42" s="156"/>
      <c r="D42" s="139"/>
      <c r="E42" s="140"/>
      <c r="G42" s="159" t="n">
        <v>10009239</v>
      </c>
      <c r="H42" s="142" t="n">
        <f aca="false">IFERROR(INDEX([3]Resumen!$K$3:$K$63,MATCH(G42,[3]Resumen!$C$3:$C$63,0)),0)*(1+I42*J42)/1000-51.89/1000-93.38/1000</f>
        <v>3.08506112368996</v>
      </c>
      <c r="I42" s="143" t="n">
        <v>0.56</v>
      </c>
      <c r="J42" s="144" t="n">
        <f aca="false">$H$59</f>
        <v>-0.109659090909091</v>
      </c>
      <c r="K42" s="145" t="n">
        <f aca="false">C42/1000</f>
        <v>0</v>
      </c>
      <c r="L42" s="146" t="n">
        <f aca="false">IF(C42&lt;0,0,C42)/1000</f>
        <v>0</v>
      </c>
      <c r="M42" s="147" t="n">
        <f aca="false">IFERROR(H42*L42,0)*1000</f>
        <v>0</v>
      </c>
      <c r="N42" s="147" t="n">
        <f aca="false">207.84*L42</f>
        <v>0</v>
      </c>
      <c r="O42" s="147" t="n">
        <f aca="false">$O$54/$L$52*L42</f>
        <v>0</v>
      </c>
      <c r="P42" s="147" t="n">
        <f aca="false">$P$54/$L$52*L42</f>
        <v>0</v>
      </c>
      <c r="Q42" s="147" t="n">
        <f aca="false">$Q$54/$L$52*L42</f>
        <v>0</v>
      </c>
      <c r="R42" s="147" t="n">
        <v>0</v>
      </c>
      <c r="S42" s="148" t="n">
        <v>0</v>
      </c>
      <c r="T42" s="149" t="n">
        <f aca="false">M42+N42+O42+P42</f>
        <v>0</v>
      </c>
      <c r="U42" s="149" t="n">
        <f aca="false">IFERROR(T42/L42,0)</f>
        <v>0</v>
      </c>
    </row>
    <row r="43" customFormat="false" ht="15" hidden="false" customHeight="false" outlineLevel="0" collapsed="false">
      <c r="B43" s="158"/>
      <c r="C43" s="156"/>
      <c r="D43" s="139"/>
      <c r="E43" s="140"/>
      <c r="G43" s="159" t="n">
        <v>10009239</v>
      </c>
      <c r="H43" s="142" t="n">
        <f aca="false">IFERROR(INDEX([3]Resumen!$K$3:$K$63,MATCH(G43,[3]Resumen!$C$3:$C$63,0)),0)*(1+I43*J43)/1000-51.89/1000-93.38/1000</f>
        <v>3.08506112368996</v>
      </c>
      <c r="I43" s="143" t="n">
        <v>0.56</v>
      </c>
      <c r="J43" s="144" t="n">
        <f aca="false">$H$59</f>
        <v>-0.109659090909091</v>
      </c>
      <c r="K43" s="145" t="n">
        <f aca="false">C43/1000</f>
        <v>0</v>
      </c>
      <c r="L43" s="146" t="n">
        <f aca="false">IF(C43&lt;0,0,C43)/1000</f>
        <v>0</v>
      </c>
      <c r="M43" s="147" t="n">
        <f aca="false">IFERROR(H43*L43,0)*1000</f>
        <v>0</v>
      </c>
      <c r="N43" s="147" t="n">
        <f aca="false">207.84*L43</f>
        <v>0</v>
      </c>
      <c r="O43" s="147" t="n">
        <f aca="false">$O$54/$L$52*L43</f>
        <v>0</v>
      </c>
      <c r="P43" s="147" t="n">
        <f aca="false">$P$54/$L$52*L43</f>
        <v>0</v>
      </c>
      <c r="Q43" s="147" t="n">
        <f aca="false">$Q$54/$L$52*L43</f>
        <v>0</v>
      </c>
      <c r="R43" s="147" t="n">
        <v>0</v>
      </c>
      <c r="S43" s="148" t="n">
        <v>0</v>
      </c>
      <c r="T43" s="149" t="n">
        <f aca="false">M43+N43+O43+P43</f>
        <v>0</v>
      </c>
      <c r="U43" s="149" t="n">
        <f aca="false">IFERROR(T43/L43,0)</f>
        <v>0</v>
      </c>
    </row>
    <row r="44" customFormat="false" ht="15" hidden="false" customHeight="false" outlineLevel="0" collapsed="false">
      <c r="B44" s="160"/>
      <c r="C44" s="156"/>
      <c r="D44" s="139"/>
      <c r="E44" s="140"/>
      <c r="G44" s="161" t="n">
        <v>10009334</v>
      </c>
      <c r="H44" s="142" t="n">
        <f aca="false">IFERROR(INDEX([3]Resumen!$K$3:$K$63,MATCH(G44,[3]Resumen!$C$3:$C$63,0)),0)*(1+I44*J44)/1000-51.89/1000-93.38/1000</f>
        <v>2.64960260579146</v>
      </c>
      <c r="I44" s="143" t="n">
        <v>0.68</v>
      </c>
      <c r="J44" s="144" t="n">
        <f aca="false">$H$59</f>
        <v>-0.109659090909091</v>
      </c>
      <c r="K44" s="145" t="n">
        <f aca="false">C44/1000</f>
        <v>0</v>
      </c>
      <c r="L44" s="146" t="n">
        <f aca="false">IF(C44&lt;0,0,C44)/1000</f>
        <v>0</v>
      </c>
      <c r="M44" s="147" t="n">
        <f aca="false">IFERROR(H44*L44,0)*1000</f>
        <v>0</v>
      </c>
      <c r="N44" s="147" t="n">
        <f aca="false">207.84*L44</f>
        <v>0</v>
      </c>
      <c r="O44" s="147" t="n">
        <f aca="false">$O$54/$L$52*L44</f>
        <v>0</v>
      </c>
      <c r="P44" s="147" t="n">
        <f aca="false">$P$54/$L$52*L44</f>
        <v>0</v>
      </c>
      <c r="Q44" s="147" t="n">
        <f aca="false">$Q$54/$L$52*L44</f>
        <v>0</v>
      </c>
      <c r="R44" s="147" t="n">
        <v>0</v>
      </c>
      <c r="S44" s="148" t="n">
        <v>0</v>
      </c>
      <c r="T44" s="149" t="n">
        <f aca="false">M44+N44+O44+P44</f>
        <v>0</v>
      </c>
      <c r="U44" s="149" t="n">
        <f aca="false">IFERROR(T44/L44,0)</f>
        <v>0</v>
      </c>
    </row>
    <row r="45" customFormat="false" ht="15" hidden="false" customHeight="false" outlineLevel="0" collapsed="false">
      <c r="B45" s="160"/>
      <c r="C45" s="156"/>
      <c r="D45" s="139"/>
      <c r="E45" s="162"/>
      <c r="G45" s="161" t="n">
        <v>10009334</v>
      </c>
      <c r="H45" s="142" t="n">
        <f aca="false">IFERROR(INDEX([3]Resumen!$K$3:$K$63,MATCH(G45,[3]Resumen!$C$3:$C$63,0)),0)*(1+I45*J45)/1000-51.89/1000-93.38/1000</f>
        <v>2.64960260579146</v>
      </c>
      <c r="I45" s="143" t="n">
        <v>0.68</v>
      </c>
      <c r="J45" s="144" t="n">
        <f aca="false">$H$59</f>
        <v>-0.109659090909091</v>
      </c>
      <c r="K45" s="145" t="n">
        <f aca="false">C45/1000</f>
        <v>0</v>
      </c>
      <c r="L45" s="146" t="n">
        <f aca="false">IF(C45&lt;0,0,C45)/1000</f>
        <v>0</v>
      </c>
      <c r="M45" s="147" t="n">
        <f aca="false">IFERROR(H45*L45,0)*1000</f>
        <v>0</v>
      </c>
      <c r="N45" s="147" t="n">
        <f aca="false">207.84*L45</f>
        <v>0</v>
      </c>
      <c r="O45" s="147" t="n">
        <f aca="false">$O$54/$L$52*L45</f>
        <v>0</v>
      </c>
      <c r="P45" s="147" t="n">
        <f aca="false">$P$54/$L$52*L45</f>
        <v>0</v>
      </c>
      <c r="Q45" s="147" t="n">
        <f aca="false">$Q$54/$L$52*L45</f>
        <v>0</v>
      </c>
      <c r="R45" s="147" t="n">
        <v>0</v>
      </c>
      <c r="S45" s="148" t="n">
        <v>0</v>
      </c>
      <c r="T45" s="149" t="n">
        <f aca="false">M45+N45+O45+P45</f>
        <v>0</v>
      </c>
      <c r="U45" s="149" t="n">
        <f aca="false">IFERROR(T45/L45,0)</f>
        <v>0</v>
      </c>
    </row>
    <row r="46" customFormat="false" ht="15" hidden="false" customHeight="false" outlineLevel="0" collapsed="false">
      <c r="B46" s="160"/>
      <c r="C46" s="156"/>
      <c r="D46" s="139"/>
      <c r="E46" s="140"/>
      <c r="G46" s="161" t="n">
        <v>10009334</v>
      </c>
      <c r="H46" s="142" t="n">
        <f aca="false">IFERROR(INDEX([3]Resumen!$K$3:$K$63,MATCH(G46,[3]Resumen!$C$3:$C$63,0)),0)*(1+I46*J46)/1000-51.89/1000-93.38/1000</f>
        <v>2.64960260579146</v>
      </c>
      <c r="I46" s="143" t="n">
        <v>0.68</v>
      </c>
      <c r="J46" s="144" t="n">
        <f aca="false">$H$59</f>
        <v>-0.109659090909091</v>
      </c>
      <c r="K46" s="145" t="n">
        <f aca="false">C46/1000</f>
        <v>0</v>
      </c>
      <c r="L46" s="146" t="n">
        <f aca="false">IF(C46&lt;0,0,C46)/1000</f>
        <v>0</v>
      </c>
      <c r="M46" s="147" t="n">
        <f aca="false">IFERROR(H46*L46,0)*1000</f>
        <v>0</v>
      </c>
      <c r="N46" s="147" t="n">
        <f aca="false">207.84*L46</f>
        <v>0</v>
      </c>
      <c r="O46" s="147" t="n">
        <f aca="false">$O$54/$L$52*L46</f>
        <v>0</v>
      </c>
      <c r="P46" s="147" t="n">
        <f aca="false">$P$54/$L$52*L46</f>
        <v>0</v>
      </c>
      <c r="Q46" s="147" t="n">
        <f aca="false">$Q$54/$L$52*L46</f>
        <v>0</v>
      </c>
      <c r="R46" s="147" t="n">
        <v>0</v>
      </c>
      <c r="S46" s="148" t="n">
        <v>0</v>
      </c>
      <c r="T46" s="149" t="n">
        <f aca="false">M46+N46+O46+P46</f>
        <v>0</v>
      </c>
      <c r="U46" s="149" t="n">
        <f aca="false">IFERROR(T46/L46,0)</f>
        <v>0</v>
      </c>
    </row>
    <row r="47" customFormat="false" ht="15" hidden="false" customHeight="false" outlineLevel="0" collapsed="false">
      <c r="B47" s="22"/>
      <c r="C47" s="156"/>
      <c r="D47" s="139"/>
      <c r="E47" s="140"/>
      <c r="G47" s="159" t="n">
        <v>10007050</v>
      </c>
      <c r="H47" s="142" t="n">
        <f aca="false">IFERROR(INDEX([3]Resumen!$K$3:$K$63,MATCH(G47,[3]Resumen!$C$3:$C$63,0)),0)*(1+I47*J47)/1000-51.89/1000-93.38/1000</f>
        <v>1.30820982311726</v>
      </c>
      <c r="I47" s="143" t="n">
        <v>0.68</v>
      </c>
      <c r="J47" s="144" t="n">
        <f aca="false">$H$59</f>
        <v>-0.109659090909091</v>
      </c>
      <c r="K47" s="145" t="n">
        <f aca="false">C47/1000</f>
        <v>0</v>
      </c>
      <c r="L47" s="146" t="n">
        <f aca="false">IF(C47&lt;0,0,C47)/1000</f>
        <v>0</v>
      </c>
      <c r="M47" s="147" t="n">
        <f aca="false">IFERROR(H47*L47,0)*1000</f>
        <v>0</v>
      </c>
      <c r="N47" s="147" t="n">
        <f aca="false">207.84*L47</f>
        <v>0</v>
      </c>
      <c r="O47" s="147" t="n">
        <f aca="false">$O$54/$L$52*L47</f>
        <v>0</v>
      </c>
      <c r="P47" s="147" t="n">
        <f aca="false">$P$54/$L$52*L47</f>
        <v>0</v>
      </c>
      <c r="Q47" s="147" t="n">
        <f aca="false">$Q$54/$L$52*L47</f>
        <v>0</v>
      </c>
      <c r="R47" s="147" t="n">
        <v>0</v>
      </c>
      <c r="S47" s="148" t="n">
        <v>0</v>
      </c>
      <c r="T47" s="149" t="n">
        <f aca="false">M47+N47+O47+P47</f>
        <v>0</v>
      </c>
      <c r="U47" s="149" t="n">
        <f aca="false">IFERROR(T47/L47,0)</f>
        <v>0</v>
      </c>
    </row>
    <row r="48" customFormat="false" ht="15" hidden="false" customHeight="false" outlineLevel="0" collapsed="false">
      <c r="B48" s="22"/>
      <c r="C48" s="156"/>
      <c r="D48" s="139"/>
      <c r="E48" s="140"/>
      <c r="G48" s="159" t="n">
        <v>10007050</v>
      </c>
      <c r="H48" s="142" t="n">
        <f aca="false">IFERROR(INDEX([3]Resumen!$K$3:$K$63,MATCH(G48,[3]Resumen!$C$3:$C$63,0)),0)*(1+I48*J48)/1000-51.89/1000-93.38/1000</f>
        <v>1.30820982311726</v>
      </c>
      <c r="I48" s="143" t="n">
        <v>0.68</v>
      </c>
      <c r="J48" s="144" t="n">
        <f aca="false">$H$59</f>
        <v>-0.109659090909091</v>
      </c>
      <c r="K48" s="145" t="n">
        <f aca="false">C48/1000</f>
        <v>0</v>
      </c>
      <c r="L48" s="146" t="n">
        <f aca="false">IF(C48&lt;0,0,C48)/1000</f>
        <v>0</v>
      </c>
      <c r="M48" s="147" t="n">
        <f aca="false">IFERROR(H48*L48,0)*1000</f>
        <v>0</v>
      </c>
      <c r="N48" s="147" t="n">
        <f aca="false">207.84*L48</f>
        <v>0</v>
      </c>
      <c r="O48" s="147" t="n">
        <f aca="false">$O$54/$L$52*L48</f>
        <v>0</v>
      </c>
      <c r="P48" s="147" t="n">
        <f aca="false">$P$54/$L$52*L48</f>
        <v>0</v>
      </c>
      <c r="Q48" s="147" t="n">
        <f aca="false">$Q$54/$L$52*L48</f>
        <v>0</v>
      </c>
      <c r="R48" s="147" t="n">
        <v>0</v>
      </c>
      <c r="S48" s="148" t="n">
        <v>0</v>
      </c>
      <c r="T48" s="149" t="n">
        <f aca="false">M48+N48+O48+P48</f>
        <v>0</v>
      </c>
      <c r="U48" s="149" t="n">
        <f aca="false">IFERROR(T48/L48,0)</f>
        <v>0</v>
      </c>
    </row>
    <row r="49" customFormat="false" ht="15" hidden="false" customHeight="false" outlineLevel="0" collapsed="false">
      <c r="B49" s="22"/>
      <c r="C49" s="156"/>
      <c r="D49" s="139"/>
      <c r="E49" s="140"/>
      <c r="G49" s="159" t="n">
        <v>10007050</v>
      </c>
      <c r="H49" s="142" t="n">
        <f aca="false">IFERROR(INDEX([3]Resumen!$K$3:$K$63,MATCH(G49,[3]Resumen!$C$3:$C$63,0)),0)*(1+I49*J49)/1000-51.89/1000-93.38/1000</f>
        <v>1.30820982311726</v>
      </c>
      <c r="I49" s="143" t="n">
        <v>0.68</v>
      </c>
      <c r="J49" s="144" t="n">
        <f aca="false">$H$59</f>
        <v>-0.109659090909091</v>
      </c>
      <c r="K49" s="145" t="n">
        <f aca="false">C49/1000</f>
        <v>0</v>
      </c>
      <c r="L49" s="146" t="n">
        <f aca="false">IF(C49&lt;0,0,C49)/1000</f>
        <v>0</v>
      </c>
      <c r="M49" s="147" t="n">
        <f aca="false">IFERROR(H49*L49,0)*1000</f>
        <v>0</v>
      </c>
      <c r="N49" s="147" t="n">
        <f aca="false">207.84*L49</f>
        <v>0</v>
      </c>
      <c r="O49" s="147" t="n">
        <f aca="false">$O$54/$L$52*L49</f>
        <v>0</v>
      </c>
      <c r="P49" s="147" t="n">
        <f aca="false">$P$54/$L$52*L49</f>
        <v>0</v>
      </c>
      <c r="Q49" s="147" t="n">
        <f aca="false">$Q$54/$L$52*L49</f>
        <v>0</v>
      </c>
      <c r="R49" s="147" t="n">
        <v>0</v>
      </c>
      <c r="S49" s="148" t="n">
        <v>0</v>
      </c>
      <c r="T49" s="149" t="n">
        <f aca="false">M49+N49+O49+P49</f>
        <v>0</v>
      </c>
      <c r="U49" s="149" t="n">
        <f aca="false">IFERROR(T49/L49,0)</f>
        <v>0</v>
      </c>
    </row>
    <row r="50" customFormat="false" ht="15" hidden="false" customHeight="false" outlineLevel="0" collapsed="false">
      <c r="B50" s="22"/>
      <c r="C50" s="156"/>
      <c r="D50" s="139"/>
      <c r="E50" s="140"/>
      <c r="G50" s="151" t="n">
        <v>10009650</v>
      </c>
      <c r="H50" s="163" t="n">
        <f aca="false">H11</f>
        <v>1.83443100611569</v>
      </c>
      <c r="I50" s="143" t="n">
        <f aca="false">I11</f>
        <v>0.67</v>
      </c>
      <c r="J50" s="144" t="n">
        <f aca="false">$H$59</f>
        <v>-0.109659090909091</v>
      </c>
      <c r="K50" s="145" t="n">
        <f aca="false">C50/1000</f>
        <v>0</v>
      </c>
      <c r="L50" s="146" t="n">
        <f aca="false">IF(C50&lt;0,0,C50)/1000</f>
        <v>0</v>
      </c>
      <c r="M50" s="147" t="n">
        <f aca="false">IFERROR(H50*L50,0)*1000</f>
        <v>0</v>
      </c>
      <c r="N50" s="147" t="n">
        <f aca="false">207.84*L50</f>
        <v>0</v>
      </c>
      <c r="O50" s="147" t="n">
        <f aca="false">$O$54/$L$52*L50</f>
        <v>0</v>
      </c>
      <c r="P50" s="147" t="n">
        <f aca="false">$P$54/$L$52*L50</f>
        <v>0</v>
      </c>
      <c r="Q50" s="147" t="n">
        <f aca="false">$Q$54/$L$52*L50</f>
        <v>0</v>
      </c>
      <c r="R50" s="147" t="n">
        <v>0</v>
      </c>
      <c r="S50" s="148" t="n">
        <v>0</v>
      </c>
      <c r="T50" s="149" t="n">
        <f aca="false">M50+N50+O50+P50</f>
        <v>0</v>
      </c>
      <c r="U50" s="149" t="n">
        <f aca="false">IFERROR(T50/L50,0)</f>
        <v>0</v>
      </c>
    </row>
    <row r="51" customFormat="false" ht="15" hidden="false" customHeight="false" outlineLevel="0" collapsed="false">
      <c r="B51" s="22"/>
      <c r="C51" s="156"/>
      <c r="D51" s="139"/>
      <c r="E51" s="140"/>
      <c r="G51" s="141" t="n">
        <v>10009649</v>
      </c>
      <c r="H51" s="163" t="n">
        <f aca="false">H2</f>
        <v>1.73197012699901</v>
      </c>
      <c r="I51" s="143" t="n">
        <f aca="false">I2</f>
        <v>0.71</v>
      </c>
      <c r="J51" s="144" t="n">
        <f aca="false">$H$59</f>
        <v>-0.109659090909091</v>
      </c>
      <c r="K51" s="145" t="n">
        <f aca="false">C51/1000</f>
        <v>0</v>
      </c>
      <c r="L51" s="146" t="n">
        <f aca="false">IF(C51&lt;0,0,C51)/1000</f>
        <v>0</v>
      </c>
      <c r="M51" s="147" t="n">
        <f aca="false">IFERROR(H51*L51,0)*1000</f>
        <v>0</v>
      </c>
      <c r="N51" s="147" t="n">
        <f aca="false">207.84*L51</f>
        <v>0</v>
      </c>
      <c r="O51" s="147" t="n">
        <f aca="false">$O$54/$L$52*L51</f>
        <v>0</v>
      </c>
      <c r="P51" s="147" t="n">
        <f aca="false">$P$54/$L$52*L51</f>
        <v>0</v>
      </c>
      <c r="Q51" s="147" t="n">
        <f aca="false">$Q$54/$L$52*L51</f>
        <v>0</v>
      </c>
      <c r="R51" s="147" t="n">
        <v>0</v>
      </c>
      <c r="S51" s="148" t="n">
        <v>0</v>
      </c>
      <c r="T51" s="149" t="n">
        <f aca="false">M51+N51+O51+P51</f>
        <v>0</v>
      </c>
      <c r="U51" s="149" t="n">
        <f aca="false">IFERROR(T51/L51,0)</f>
        <v>0</v>
      </c>
    </row>
    <row r="52" customFormat="false" ht="14.25" hidden="false" customHeight="false" outlineLevel="0" collapsed="false">
      <c r="B52" s="164" t="s">
        <v>115</v>
      </c>
      <c r="C52" s="156" t="n">
        <f aca="false">SUM(C2:C51)</f>
        <v>1176923</v>
      </c>
      <c r="D52" s="139"/>
      <c r="E52" s="140"/>
      <c r="K52" s="165" t="n">
        <f aca="false">SUM(K2:K51)</f>
        <v>1176.923</v>
      </c>
      <c r="L52" s="165" t="n">
        <f aca="false">SUM(L2:L51)</f>
        <v>1176.923</v>
      </c>
      <c r="M52" s="166" t="n">
        <f aca="false">SUM(M2:M51)</f>
        <v>1987576.17186482</v>
      </c>
      <c r="N52" s="166" t="n">
        <f aca="false">SUM(N2:N51)</f>
        <v>244611.67632</v>
      </c>
      <c r="O52" s="166" t="n">
        <f aca="false">SUM(O2:O51)</f>
        <v>78579</v>
      </c>
      <c r="P52" s="166" t="n">
        <f aca="false">SUM(P2:P51)</f>
        <v>154473</v>
      </c>
      <c r="Q52" s="166" t="n">
        <f aca="false">SUM(Q2:Q51)</f>
        <v>123484.35</v>
      </c>
      <c r="R52" s="166" t="n">
        <f aca="false">SUM(R2:R51)</f>
        <v>0</v>
      </c>
      <c r="S52" s="167" t="n">
        <f aca="false">SUM(S2:S51)</f>
        <v>0</v>
      </c>
      <c r="T52" s="168" t="n">
        <f aca="false">SUM(T2:T51)</f>
        <v>2465239.84818482</v>
      </c>
      <c r="U52" s="168" t="n">
        <f aca="false">IFERROR(T52/L52,0)</f>
        <v>2094.6483739249</v>
      </c>
    </row>
    <row r="54" customFormat="false" ht="15" hidden="false" customHeight="false" outlineLevel="0" collapsed="false">
      <c r="L54" s="169"/>
      <c r="N54" s="127" t="s">
        <v>116</v>
      </c>
      <c r="O54" s="166" t="n">
        <v>78579</v>
      </c>
      <c r="P54" s="166" t="n">
        <v>154473</v>
      </c>
      <c r="Q54" s="166" t="n">
        <v>123484.35</v>
      </c>
    </row>
    <row r="55" customFormat="false" ht="14.25" hidden="false" customHeight="false" outlineLevel="0" collapsed="false">
      <c r="G55" s="127" t="s">
        <v>117</v>
      </c>
      <c r="H55" s="170" t="n">
        <v>3.52</v>
      </c>
      <c r="I55" s="72" t="s">
        <v>118</v>
      </c>
      <c r="J55" s="171" t="s">
        <v>119</v>
      </c>
    </row>
    <row r="56" customFormat="false" ht="14.25" hidden="false" customHeight="false" outlineLevel="0" collapsed="false">
      <c r="G56" s="127" t="s">
        <v>120</v>
      </c>
      <c r="H56" s="172" t="n">
        <v>3.301</v>
      </c>
      <c r="I56" s="34" t="n">
        <v>3644</v>
      </c>
      <c r="J56" s="78" t="n">
        <v>0.75</v>
      </c>
      <c r="K56" s="78"/>
    </row>
    <row r="57" customFormat="false" ht="14.25" hidden="false" customHeight="false" outlineLevel="0" collapsed="false">
      <c r="G57" s="127" t="s">
        <v>121</v>
      </c>
      <c r="H57" s="172" t="n">
        <v>2.633</v>
      </c>
      <c r="I57" s="34" t="n">
        <f aca="false">3218</f>
        <v>3218</v>
      </c>
      <c r="J57" s="78" t="n">
        <f aca="false">1-J56</f>
        <v>0.25</v>
      </c>
      <c r="K57" s="78"/>
    </row>
    <row r="58" customFormat="false" ht="14.25" hidden="false" customHeight="false" outlineLevel="0" collapsed="false">
      <c r="G58" s="127" t="s">
        <v>122</v>
      </c>
      <c r="H58" s="172" t="n">
        <f aca="false">H56*J56+H57*J57</f>
        <v>3.134</v>
      </c>
      <c r="I58" s="34" t="n">
        <f aca="false">I56+I57</f>
        <v>6862</v>
      </c>
    </row>
    <row r="59" customFormat="false" ht="14.25" hidden="false" customHeight="false" outlineLevel="0" collapsed="false">
      <c r="G59" s="127" t="s">
        <v>123</v>
      </c>
      <c r="H59" s="78" t="n">
        <f aca="false">(H58-H55)/H55</f>
        <v>-0.109659090909091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2026-08-24T16:53:59Z</dcterms:created>
  <dc:creator>Jerecson Frank Ali Encalada (PFRO)</dc:creator>
  <dc:description/>
  <dc:language>es-ES</dc:language>
  <cp:lastModifiedBy/>
  <dcterms:modified xsi:type="dcterms:W3CDTF">2026-09-01T00:54:58Z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