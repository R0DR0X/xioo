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E7A13EFB-622F-4EE4-912D-9174AF8D5C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8" r:id="rId1"/>
    <sheet name="Hoja6" sheetId="12" r:id="rId2"/>
    <sheet name="DÍAS" sheetId="10" r:id="rId3"/>
    <sheet name="Data" sheetId="1" r:id="rId4"/>
  </sheets>
  <definedNames>
    <definedName name="_xlnm._FilterDatabase" localSheetId="3" hidden="1">Data!$A$1:$Q$203</definedName>
  </definedNames>
  <calcPr calcId="191029"/>
  <pivotCaches>
    <pivotCache cacheId="18" r:id="rId5"/>
    <pivotCache cacheId="6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1" l="1"/>
  <c r="O100" i="1"/>
  <c r="N100" i="1"/>
  <c r="P100" i="1"/>
  <c r="L100" i="1"/>
  <c r="K100" i="1"/>
  <c r="O112" i="1"/>
  <c r="P113" i="1"/>
  <c r="O113" i="1"/>
  <c r="N113" i="1"/>
  <c r="L113" i="1"/>
  <c r="K113" i="1"/>
  <c r="O110" i="1"/>
  <c r="P111" i="1"/>
  <c r="O111" i="1"/>
  <c r="N111" i="1"/>
  <c r="L111" i="1"/>
  <c r="K111" i="1"/>
  <c r="O109" i="1"/>
  <c r="O108" i="1"/>
  <c r="N109" i="1"/>
  <c r="P109" i="1"/>
  <c r="L109" i="1"/>
  <c r="K109" i="1"/>
  <c r="O106" i="1"/>
  <c r="N107" i="1"/>
  <c r="P107" i="1"/>
  <c r="O107" i="1"/>
  <c r="L107" i="1"/>
  <c r="K107" i="1"/>
  <c r="N105" i="1"/>
  <c r="O105" i="1"/>
  <c r="O104" i="1"/>
  <c r="P105" i="1"/>
  <c r="L105" i="1"/>
  <c r="K105" i="1"/>
  <c r="O102" i="1"/>
  <c r="O103" i="1"/>
  <c r="N103" i="1"/>
  <c r="P103" i="1"/>
  <c r="L103" i="1"/>
  <c r="K103" i="1"/>
  <c r="L199" i="1" l="1"/>
  <c r="L198" i="1"/>
  <c r="L193" i="1"/>
  <c r="L189" i="1"/>
  <c r="L188" i="1"/>
  <c r="L187" i="1"/>
  <c r="L177" i="1"/>
  <c r="L172" i="1"/>
  <c r="L171" i="1"/>
  <c r="L170" i="1"/>
  <c r="L169" i="1"/>
  <c r="L151" i="1"/>
  <c r="L150" i="1"/>
  <c r="L149" i="1"/>
  <c r="L148" i="1"/>
  <c r="L120" i="1"/>
  <c r="L119" i="1"/>
  <c r="L118" i="1"/>
  <c r="L104" i="1"/>
  <c r="L102" i="1"/>
  <c r="L101" i="1"/>
  <c r="L99" i="1"/>
  <c r="L42" i="1"/>
  <c r="L41" i="1"/>
  <c r="L40" i="1"/>
  <c r="L37" i="1"/>
  <c r="L36" i="1"/>
  <c r="L34" i="1"/>
  <c r="L33" i="1"/>
  <c r="L32" i="1"/>
  <c r="P203" i="1" l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79" i="1"/>
  <c r="P178" i="1"/>
  <c r="P177" i="1"/>
  <c r="P172" i="1"/>
  <c r="P171" i="1"/>
  <c r="P170" i="1"/>
  <c r="P169" i="1"/>
  <c r="P152" i="1"/>
  <c r="P151" i="1"/>
  <c r="P150" i="1"/>
  <c r="P149" i="1"/>
  <c r="P148" i="1"/>
  <c r="P147" i="1"/>
  <c r="P146" i="1"/>
  <c r="P145" i="1"/>
  <c r="P122" i="1"/>
  <c r="P121" i="1"/>
  <c r="P120" i="1"/>
  <c r="P119" i="1"/>
  <c r="P118" i="1"/>
  <c r="P117" i="1"/>
  <c r="P116" i="1"/>
  <c r="P115" i="1"/>
  <c r="P114" i="1"/>
  <c r="P112" i="1"/>
  <c r="P110" i="1"/>
  <c r="P108" i="1"/>
  <c r="P106" i="1"/>
  <c r="P104" i="1"/>
  <c r="P102" i="1"/>
  <c r="P101" i="1"/>
  <c r="P99" i="1"/>
  <c r="P98" i="1"/>
  <c r="P97" i="1"/>
  <c r="P96" i="1"/>
  <c r="P95" i="1"/>
  <c r="P42" i="1"/>
  <c r="P41" i="1"/>
  <c r="P40" i="1"/>
  <c r="P39" i="1"/>
  <c r="P38" i="1"/>
  <c r="P37" i="1"/>
  <c r="P36" i="1"/>
  <c r="P35" i="1"/>
  <c r="P34" i="1"/>
  <c r="P33" i="1"/>
  <c r="P32" i="1"/>
  <c r="P24" i="1"/>
  <c r="P23" i="1"/>
  <c r="P22" i="1"/>
  <c r="P21" i="1"/>
  <c r="P20" i="1"/>
  <c r="P19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79" i="1"/>
  <c r="K178" i="1"/>
  <c r="K177" i="1"/>
  <c r="K172" i="1"/>
  <c r="K171" i="1"/>
  <c r="K170" i="1"/>
  <c r="K169" i="1"/>
  <c r="K152" i="1"/>
  <c r="K151" i="1"/>
  <c r="K150" i="1"/>
  <c r="K149" i="1"/>
  <c r="K148" i="1"/>
  <c r="K147" i="1"/>
  <c r="K146" i="1"/>
  <c r="K145" i="1"/>
  <c r="K122" i="1"/>
  <c r="K121" i="1"/>
  <c r="K120" i="1"/>
  <c r="K119" i="1"/>
  <c r="K118" i="1"/>
  <c r="K117" i="1"/>
  <c r="K116" i="1"/>
  <c r="K115" i="1"/>
  <c r="K114" i="1"/>
  <c r="K112" i="1"/>
  <c r="K110" i="1"/>
  <c r="K108" i="1"/>
  <c r="K106" i="1"/>
  <c r="K104" i="1"/>
  <c r="K102" i="1"/>
  <c r="K101" i="1"/>
  <c r="K99" i="1"/>
  <c r="K98" i="1"/>
  <c r="K97" i="1"/>
  <c r="K96" i="1"/>
  <c r="K95" i="1"/>
  <c r="K42" i="1"/>
  <c r="K41" i="1"/>
  <c r="K40" i="1"/>
  <c r="K39" i="1"/>
  <c r="K38" i="1"/>
  <c r="K37" i="1"/>
  <c r="K36" i="1"/>
  <c r="K35" i="1"/>
  <c r="K34" i="1"/>
  <c r="K33" i="1"/>
  <c r="K32" i="1"/>
  <c r="K24" i="1"/>
  <c r="K23" i="1"/>
  <c r="K22" i="1"/>
  <c r="K21" i="1"/>
  <c r="K20" i="1"/>
  <c r="K19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79" i="1"/>
  <c r="O178" i="1"/>
  <c r="O177" i="1"/>
  <c r="O172" i="1"/>
  <c r="O171" i="1"/>
  <c r="O170" i="1"/>
  <c r="O169" i="1"/>
  <c r="O152" i="1"/>
  <c r="O151" i="1"/>
  <c r="O150" i="1"/>
  <c r="O149" i="1"/>
  <c r="O148" i="1"/>
  <c r="O147" i="1"/>
  <c r="O146" i="1"/>
  <c r="O145" i="1"/>
  <c r="O122" i="1"/>
  <c r="O121" i="1"/>
  <c r="O120" i="1"/>
  <c r="O119" i="1"/>
  <c r="O118" i="1"/>
  <c r="O117" i="1"/>
  <c r="O116" i="1"/>
  <c r="O115" i="1"/>
  <c r="O114" i="1"/>
  <c r="O101" i="1"/>
  <c r="O98" i="1"/>
  <c r="O97" i="1"/>
  <c r="O96" i="1"/>
  <c r="O95" i="1"/>
  <c r="O42" i="1"/>
  <c r="O41" i="1"/>
  <c r="O40" i="1"/>
  <c r="O39" i="1"/>
  <c r="O38" i="1"/>
  <c r="O37" i="1"/>
  <c r="O36" i="1"/>
  <c r="O35" i="1"/>
  <c r="O34" i="1"/>
  <c r="O33" i="1"/>
  <c r="O32" i="1"/>
  <c r="O24" i="1"/>
  <c r="O23" i="1"/>
  <c r="O22" i="1"/>
  <c r="O21" i="1"/>
  <c r="O20" i="1"/>
  <c r="O19" i="1"/>
  <c r="N203" i="1"/>
  <c r="N202" i="1"/>
  <c r="N201" i="1"/>
  <c r="N200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79" i="1"/>
  <c r="N178" i="1"/>
  <c r="N172" i="1"/>
  <c r="N152" i="1"/>
  <c r="N151" i="1"/>
  <c r="N150" i="1"/>
  <c r="N149" i="1"/>
  <c r="N147" i="1"/>
  <c r="N146" i="1"/>
  <c r="N145" i="1"/>
  <c r="N122" i="1"/>
  <c r="N121" i="1"/>
  <c r="N120" i="1"/>
  <c r="N119" i="1"/>
  <c r="N118" i="1"/>
  <c r="N117" i="1"/>
  <c r="N116" i="1"/>
  <c r="N115" i="1"/>
  <c r="N114" i="1"/>
  <c r="N112" i="1"/>
  <c r="N110" i="1"/>
  <c r="N108" i="1"/>
  <c r="N106" i="1"/>
  <c r="N104" i="1"/>
  <c r="N102" i="1"/>
  <c r="N101" i="1"/>
  <c r="N99" i="1"/>
  <c r="N98" i="1"/>
  <c r="N97" i="1"/>
  <c r="N96" i="1"/>
  <c r="N95" i="1"/>
  <c r="N42" i="1"/>
  <c r="N39" i="1"/>
  <c r="N38" i="1"/>
  <c r="N36" i="1"/>
  <c r="N35" i="1"/>
  <c r="N34" i="1"/>
  <c r="N32" i="1"/>
  <c r="N24" i="1"/>
  <c r="N23" i="1"/>
  <c r="N22" i="1"/>
  <c r="N21" i="1"/>
  <c r="N20" i="1"/>
  <c r="N19" i="1"/>
  <c r="O186" i="1"/>
  <c r="O185" i="1"/>
  <c r="O184" i="1"/>
  <c r="O183" i="1"/>
  <c r="O182" i="1"/>
  <c r="O181" i="1"/>
  <c r="O180" i="1"/>
  <c r="O176" i="1"/>
  <c r="O175" i="1"/>
  <c r="O174" i="1"/>
  <c r="O173" i="1"/>
  <c r="O166" i="1"/>
  <c r="O165" i="1"/>
  <c r="O164" i="1"/>
  <c r="O163" i="1"/>
  <c r="O162" i="1"/>
  <c r="O161" i="1"/>
  <c r="O160" i="1"/>
  <c r="O159" i="1"/>
  <c r="O158" i="1"/>
  <c r="O157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31" i="1"/>
  <c r="O30" i="1"/>
  <c r="O29" i="1"/>
  <c r="O28" i="1"/>
  <c r="O27" i="1"/>
  <c r="O26" i="1"/>
  <c r="O25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186" i="1"/>
  <c r="N185" i="1"/>
  <c r="N184" i="1"/>
  <c r="N183" i="1"/>
  <c r="N182" i="1"/>
  <c r="N181" i="1"/>
  <c r="N180" i="1"/>
  <c r="N176" i="1"/>
  <c r="N175" i="1"/>
  <c r="N174" i="1"/>
  <c r="N173" i="1"/>
  <c r="N166" i="1"/>
  <c r="N165" i="1"/>
  <c r="N164" i="1"/>
  <c r="N163" i="1"/>
  <c r="N162" i="1"/>
  <c r="N161" i="1"/>
  <c r="N160" i="1"/>
  <c r="N159" i="1"/>
  <c r="N158" i="1"/>
  <c r="N157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31" i="1"/>
  <c r="N30" i="1"/>
  <c r="N29" i="1"/>
  <c r="N28" i="1"/>
  <c r="N27" i="1"/>
  <c r="N26" i="1"/>
  <c r="N25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O168" i="1"/>
  <c r="N168" i="1"/>
  <c r="O167" i="1"/>
  <c r="N167" i="1"/>
  <c r="O154" i="1"/>
  <c r="O155" i="1"/>
  <c r="O156" i="1"/>
  <c r="O153" i="1"/>
  <c r="N154" i="1"/>
  <c r="N155" i="1"/>
  <c r="N156" i="1"/>
  <c r="N153" i="1"/>
</calcChain>
</file>

<file path=xl/sharedStrings.xml><?xml version="1.0" encoding="utf-8"?>
<sst xmlns="http://schemas.openxmlformats.org/spreadsheetml/2006/main" count="1552" uniqueCount="470">
  <si>
    <t>Cliente</t>
  </si>
  <si>
    <t>Nombre de cliente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</si>
  <si>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</si>
  <si>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</si>
  <si>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</si>
  <si>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</si>
  <si>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</si>
  <si>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</si>
  <si>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</si>
  <si>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DB</t>
  </si>
  <si>
    <t>PEN</t>
  </si>
  <si>
    <t>1000013966</t>
  </si>
  <si>
    <t>ARKANO TRADING SOCIEDAD ANONIMA CER</t>
  </si>
  <si>
    <t>01-0F101-0004694</t>
  </si>
  <si>
    <t>DF</t>
  </si>
  <si>
    <t>ARKANO TRADING SOCIEDAD ANONIMA CER</t>
  </si>
  <si>
    <t>01-0F101-0004700</t>
  </si>
  <si>
    <t>ARKANO TRADING SOCIEDAD ANONIMA CER</t>
  </si>
  <si>
    <t>01-0F101-0004710</t>
  </si>
  <si>
    <t>ARKANO TRADING SOCIEDAD ANONIMA CER</t>
  </si>
  <si>
    <t>01-0F101-0004729</t>
  </si>
  <si>
    <t>ARKANO TRADING SOCIEDAD ANONIMA CER</t>
  </si>
  <si>
    <t>01-0F101-0004736</t>
  </si>
  <si>
    <t>ARKANO TRADING SOCIEDAD ANONIMA CER</t>
  </si>
  <si>
    <t>01-0F101-0004758</t>
  </si>
  <si>
    <t>ARKANO TRADING SOCIEDAD ANONIMA CER</t>
  </si>
  <si>
    <t>01-0F101-0004762</t>
  </si>
  <si>
    <t>ARKANO TRADING SOCIEDAD ANONIMA CER</t>
  </si>
  <si>
    <t>01-0F101-0004763</t>
  </si>
  <si>
    <t>ARKANO TRADING SOCIEDAD ANONIMA CER</t>
  </si>
  <si>
    <t>01-0F101-0004772</t>
  </si>
  <si>
    <t>ARKANO TRADING SOCIEDAD ANONIMA CER</t>
  </si>
  <si>
    <t>01-0F101-0004803</t>
  </si>
  <si>
    <t>ARKANO TRADING SOCIEDAD ANONIMA CER</t>
  </si>
  <si>
    <t>01-0F101-0004855</t>
  </si>
  <si>
    <t>ARKANO TRADING SOCIEDAD ANONIMA CER</t>
  </si>
  <si>
    <t>01-0F101-0005160</t>
  </si>
  <si>
    <t>ARKANO TRADING SOCIEDAD ANONIMA CER</t>
  </si>
  <si>
    <t>01-0F101-0005198</t>
  </si>
  <si>
    <t>ARKANO TRADING SOCIEDAD ANONIMA CER</t>
  </si>
  <si>
    <t>01-0F101-0005211</t>
  </si>
  <si>
    <t>ARKANO TRADING SOCIEDAD ANONIMA CER</t>
  </si>
  <si>
    <t>01-0F101-0005224</t>
  </si>
  <si>
    <t>ARKANO TRADING SOCIEDAD ANONIMA CER</t>
  </si>
  <si>
    <t>01-0F101-0005225</t>
  </si>
  <si>
    <t>ARKANO TRADING SOCIEDAD ANONIMA CER</t>
  </si>
  <si>
    <t>01-0F101-0005231</t>
  </si>
  <si>
    <t>2000001028</t>
  </si>
  <si>
    <t>AVANCE GROUP LTD</t>
  </si>
  <si>
    <t>ANTICIPO FP229</t>
  </si>
  <si>
    <t>DZ</t>
  </si>
  <si>
    <t>USD</t>
  </si>
  <si>
    <t>AVANCE GROUP LTD</t>
  </si>
  <si>
    <t>ANTICIPO FP230</t>
  </si>
  <si>
    <t>AVANCE GROUP LTD</t>
  </si>
  <si>
    <t>01-0F002-0000339</t>
  </si>
  <si>
    <t>DE</t>
  </si>
  <si>
    <t>AVANCE GROUP LTD</t>
  </si>
  <si>
    <t>01-0F002-0000353</t>
  </si>
  <si>
    <t>AVANCE GROUP LTD</t>
  </si>
  <si>
    <t>01-0F002-0000359</t>
  </si>
  <si>
    <t>AVANCE GROUP LTD</t>
  </si>
  <si>
    <t>01-0F002-0000360</t>
  </si>
  <si>
    <t>1000013676</t>
  </si>
  <si>
    <t>CARLOS ALBERTO MARTINEZ QUEREVALU</t>
  </si>
  <si>
    <t>03-0B001-0004567</t>
  </si>
  <si>
    <t>CARLOS ALBERTO MARTINEZ QUEREVALU</t>
  </si>
  <si>
    <t>03-0B001-0004568</t>
  </si>
  <si>
    <t>SA</t>
  </si>
  <si>
    <t>1000013678</t>
  </si>
  <si>
    <t>CORPORACION NACIONAL PERU EXPORTACI</t>
  </si>
  <si>
    <t>SALDO A FAVOR</t>
  </si>
  <si>
    <t>ZV</t>
  </si>
  <si>
    <t>CORPORACION NACIONAL PERU EXPORTACI</t>
  </si>
  <si>
    <t>01-0F101-0006570</t>
  </si>
  <si>
    <t>CORPORACION NACIONAL PERU EXPORTACI</t>
  </si>
  <si>
    <t>01-0F101-0006606</t>
  </si>
  <si>
    <t>1000002057</t>
  </si>
  <si>
    <t>CRISTO DE LA VICTORIA S.A.C.</t>
  </si>
  <si>
    <t>01-0F101-0006631</t>
  </si>
  <si>
    <t>CRISTO DE LA VICTORIA S.A.C.</t>
  </si>
  <si>
    <t>01-0F101-0006632</t>
  </si>
  <si>
    <t>2000001381</t>
  </si>
  <si>
    <t>DAIRECK SA</t>
  </si>
  <si>
    <t>01-0F002-0000333</t>
  </si>
  <si>
    <t>DAIRECK SA</t>
  </si>
  <si>
    <t>FT-0F002-0000329</t>
  </si>
  <si>
    <t>2000001368</t>
  </si>
  <si>
    <t>FOOD &amp; BEVERAGES TRADERS, S.L.</t>
  </si>
  <si>
    <t>2000001441</t>
  </si>
  <si>
    <t>Giant Ocean Food Company Limited</t>
  </si>
  <si>
    <t>ANTICIPO GIANT</t>
  </si>
  <si>
    <t>Giant Ocean Food Company Limited</t>
  </si>
  <si>
    <t>01-0F002-0000327</t>
  </si>
  <si>
    <t>2000001361</t>
  </si>
  <si>
    <t>GLOBAL OCEAN FLEXTRADING, S. L</t>
  </si>
  <si>
    <t>GLOBAL OCEAN FLEXTRADING, S. L</t>
  </si>
  <si>
    <t>FT-0F002-0000295</t>
  </si>
  <si>
    <t>GLOBAL OCEAN FLEXTRADING, S. L</t>
  </si>
  <si>
    <t>01-0F002-0000342</t>
  </si>
  <si>
    <t>GLOBAL OCEAN FLEXTRADING, S. L</t>
  </si>
  <si>
    <t>01-0F002-0000351</t>
  </si>
  <si>
    <t>2000001398</t>
  </si>
  <si>
    <t>Hunan Jinyueyang Import and Export</t>
  </si>
  <si>
    <t>FT-0F002-0000315</t>
  </si>
  <si>
    <t>Hunan Jinyueyang Import and Export</t>
  </si>
  <si>
    <t>FT-0F002-0000323</t>
  </si>
  <si>
    <t>Hunan Jinyueyang Import and Export</t>
  </si>
  <si>
    <t>01-0F002-0000331</t>
  </si>
  <si>
    <t>1000006830</t>
  </si>
  <si>
    <t>JAHFISH E.I.R.L.</t>
  </si>
  <si>
    <t>01-0F101-0006222</t>
  </si>
  <si>
    <t>JAHFISH E.I.R.L.</t>
  </si>
  <si>
    <t>01-0F101-0006223</t>
  </si>
  <si>
    <t>JAHFISH E.I.R.L.</t>
  </si>
  <si>
    <t>01-0F101-0006236</t>
  </si>
  <si>
    <t>JAHFISH E.I.R.L.</t>
  </si>
  <si>
    <t>01-0F101-0006237</t>
  </si>
  <si>
    <t>JAHFISH E.I.R.L.</t>
  </si>
  <si>
    <t>01-0F101-0006241</t>
  </si>
  <si>
    <t>JAHFISH E.I.R.L.</t>
  </si>
  <si>
    <t>01-0F101-0006242</t>
  </si>
  <si>
    <t>JAHFISH E.I.R.L.</t>
  </si>
  <si>
    <t>01-0F101-0006253</t>
  </si>
  <si>
    <t>JAHFISH E.I.R.L.</t>
  </si>
  <si>
    <t>01-0F101-0006254</t>
  </si>
  <si>
    <t>JAHFISH E.I.R.L.</t>
  </si>
  <si>
    <t>01-0F101-0006266</t>
  </si>
  <si>
    <t>JAHFISH E.I.R.L.</t>
  </si>
  <si>
    <t>01-0F101-0006267</t>
  </si>
  <si>
    <t>JAHFISH E.I.R.L.</t>
  </si>
  <si>
    <t>01-0F101-0006293</t>
  </si>
  <si>
    <t>JAHFISH E.I.R.L.</t>
  </si>
  <si>
    <t>01-0F101-0006294</t>
  </si>
  <si>
    <t>JAHFISH E.I.R.L.</t>
  </si>
  <si>
    <t>01-0F101-0006332</t>
  </si>
  <si>
    <t>JAHFISH E.I.R.L.</t>
  </si>
  <si>
    <t>01-0F101-0006333</t>
  </si>
  <si>
    <t>JAHFISH E.I.R.L.</t>
  </si>
  <si>
    <t>01-0F101-0006338</t>
  </si>
  <si>
    <t>JAHFISH E.I.R.L.</t>
  </si>
  <si>
    <t>01-0F101-0006339</t>
  </si>
  <si>
    <t>JAHFISH E.I.R.L.</t>
  </si>
  <si>
    <t>01-0F101-0006367</t>
  </si>
  <si>
    <t>JAHFISH E.I.R.L.</t>
  </si>
  <si>
    <t>01-0F101-0006368</t>
  </si>
  <si>
    <t>JAHFISH E.I.R.L.</t>
  </si>
  <si>
    <t>01-0F101-0006369</t>
  </si>
  <si>
    <t>JAHFISH E.I.R.L.</t>
  </si>
  <si>
    <t>01-0F101-0006370</t>
  </si>
  <si>
    <t>JAHFISH E.I.R.L.</t>
  </si>
  <si>
    <t>01-0F101-0006378</t>
  </si>
  <si>
    <t>JAHFISH E.I.R.L.</t>
  </si>
  <si>
    <t>01-0F101-0006379</t>
  </si>
  <si>
    <t>JAHFISH E.I.R.L.</t>
  </si>
  <si>
    <t>01-0F101-0006380</t>
  </si>
  <si>
    <t>JAHFISH E.I.R.L.</t>
  </si>
  <si>
    <t>01-0F101-0006381</t>
  </si>
  <si>
    <t>JAHFISH E.I.R.L.</t>
  </si>
  <si>
    <t>01-0F101-0006407</t>
  </si>
  <si>
    <t>JAHFISH E.I.R.L.</t>
  </si>
  <si>
    <t>01-0F101-0006408</t>
  </si>
  <si>
    <t>JAHFISH E.I.R.L.</t>
  </si>
  <si>
    <t>01-0F101-0006409</t>
  </si>
  <si>
    <t>JAHFISH E.I.R.L.</t>
  </si>
  <si>
    <t>01-0F101-0006410</t>
  </si>
  <si>
    <t>JAHFISH E.I.R.L.</t>
  </si>
  <si>
    <t>01-0F101-0006443</t>
  </si>
  <si>
    <t>JAHFISH E.I.R.L.</t>
  </si>
  <si>
    <t>01-0F101-0006444</t>
  </si>
  <si>
    <t>JAHFISH E.I.R.L.</t>
  </si>
  <si>
    <t>01-0F101-0006459</t>
  </si>
  <si>
    <t>JAHFISH E.I.R.L.</t>
  </si>
  <si>
    <t>01-0F101-0006460</t>
  </si>
  <si>
    <t>JAHFISH E.I.R.L.</t>
  </si>
  <si>
    <t>01-0F101-0006468</t>
  </si>
  <si>
    <t>JAHFISH E.I.R.L.</t>
  </si>
  <si>
    <t>01-0F101-0006469</t>
  </si>
  <si>
    <t>JAHFISH E.I.R.L.</t>
  </si>
  <si>
    <t>01-0F101-0006489</t>
  </si>
  <si>
    <t>JAHFISH E.I.R.L.</t>
  </si>
  <si>
    <t>01-0F101-0006490</t>
  </si>
  <si>
    <t>JAHFISH E.I.R.L.</t>
  </si>
  <si>
    <t>01-0F101-0006502</t>
  </si>
  <si>
    <t>JAHFISH E.I.R.L.</t>
  </si>
  <si>
    <t>01-0F101-0006503</t>
  </si>
  <si>
    <t>JAHFISH E.I.R.L.</t>
  </si>
  <si>
    <t>01-0F101-0006527</t>
  </si>
  <si>
    <t>JAHFISH E.I.R.L.</t>
  </si>
  <si>
    <t>01-0F101-0006528</t>
  </si>
  <si>
    <t>JAHFISH E.I.R.L.</t>
  </si>
  <si>
    <t>01-0F101-0006555</t>
  </si>
  <si>
    <t>JAHFISH E.I.R.L.</t>
  </si>
  <si>
    <t>01-0F101-0006556</t>
  </si>
  <si>
    <t>JAHFISH E.I.R.L.</t>
  </si>
  <si>
    <t>01-0F101-0006597</t>
  </si>
  <si>
    <t>JAHFISH E.I.R.L.</t>
  </si>
  <si>
    <t>01-0F101-0006598</t>
  </si>
  <si>
    <t>JAHFISH E.I.R.L.</t>
  </si>
  <si>
    <t>01-0F101-0006610</t>
  </si>
  <si>
    <t>JAHFISH E.I.R.L.</t>
  </si>
  <si>
    <t>01-0F101-0006611</t>
  </si>
  <si>
    <t>JAHFISH E.I.R.L.</t>
  </si>
  <si>
    <t>01-0F101-0006612</t>
  </si>
  <si>
    <t>JAHFISH E.I.R.L.</t>
  </si>
  <si>
    <t>01-0F101-0006613</t>
  </si>
  <si>
    <t>JAHFISH E.I.R.L.</t>
  </si>
  <si>
    <t>01-0F101-0006633</t>
  </si>
  <si>
    <t>JAHFISH E.I.R.L.</t>
  </si>
  <si>
    <t>01-0F101-0006634</t>
  </si>
  <si>
    <t>JAHFISH E.I.R.L.</t>
  </si>
  <si>
    <t>01-0F101-0006641</t>
  </si>
  <si>
    <t>JAHFISH E.I.R.L.</t>
  </si>
  <si>
    <t>01-0F101-0006642</t>
  </si>
  <si>
    <t>2000001172</t>
  </si>
  <si>
    <t>KULALIA SL</t>
  </si>
  <si>
    <t>KULALIA SL</t>
  </si>
  <si>
    <t>ANTICIPO KULALIA</t>
  </si>
  <si>
    <t>KULALIA SL</t>
  </si>
  <si>
    <t>ANTICIPO FP238</t>
  </si>
  <si>
    <t>KULALIA SL</t>
  </si>
  <si>
    <t>DEVOL PAG</t>
  </si>
  <si>
    <t>KULALIA SL</t>
  </si>
  <si>
    <t>01-0F002-0000343</t>
  </si>
  <si>
    <t>2000001173</t>
  </si>
  <si>
    <t>LONGKOU BOHAI FOODSTUFF CO.,</t>
  </si>
  <si>
    <t>01-0F002-0000334</t>
  </si>
  <si>
    <t>2000000231</t>
  </si>
  <si>
    <t>LONGKOU JIABAO AQUATIC FOODSTUFFS</t>
  </si>
  <si>
    <t>01-0F002-0000307</t>
  </si>
  <si>
    <t>LONGKOU JIABAO AQUATIC FOODSTUFFS</t>
  </si>
  <si>
    <t>01-0F002-0000326</t>
  </si>
  <si>
    <t>LONGKOU JIABAO AQUATIC FOODSTUFFS</t>
  </si>
  <si>
    <t>01-0F002-0000337</t>
  </si>
  <si>
    <t>LONGKOU JIABAO AQUATIC FOODSTUFFS</t>
  </si>
  <si>
    <t>01-0F002-0000344</t>
  </si>
  <si>
    <t>LONGKOU JIABAO AQUATIC FOODSTUFFS</t>
  </si>
  <si>
    <t>01-0F002-0000346</t>
  </si>
  <si>
    <t>LONGKOU JIABAO AQUATIC FOODSTUFFS</t>
  </si>
  <si>
    <t>01-0F002-0000354</t>
  </si>
  <si>
    <t>LONGKOU JIABAO AQUATIC FOODSTUFFS</t>
  </si>
  <si>
    <t>01-0F002-0000357</t>
  </si>
  <si>
    <t>2000000233</t>
  </si>
  <si>
    <t>LONGKOU SANMING AQUATIC</t>
  </si>
  <si>
    <t>ANTICIPO FP237</t>
  </si>
  <si>
    <t>LONGKOU SANMING AQUATIC</t>
  </si>
  <si>
    <t>01-0F002-0000350</t>
  </si>
  <si>
    <t>LONGKOU SANMING AQUATIC</t>
  </si>
  <si>
    <t>01-0F002-0000364</t>
  </si>
  <si>
    <t>2000001409</t>
  </si>
  <si>
    <t>Longkou Yunfeng Aquatic Food Co.,Lt</t>
  </si>
  <si>
    <t>SALDO A FAVOR</t>
  </si>
  <si>
    <t>Longkou Yunfeng Aquatic Food Co.,Lt</t>
  </si>
  <si>
    <t>01-0F002-0000319</t>
  </si>
  <si>
    <t>Longkou Yunfeng Aquatic Food Co.,Lt</t>
  </si>
  <si>
    <t>01-0F002-0000328</t>
  </si>
  <si>
    <t>Longkou Yunfeng Aquatic Food Co.,Lt</t>
  </si>
  <si>
    <t>01-0F002-0000336</t>
  </si>
  <si>
    <t>Longkou Yunfeng Aquatic Food Co.,Lt</t>
  </si>
  <si>
    <t>01-0F002-0000348</t>
  </si>
  <si>
    <t>Longkou Yunfeng Aquatic Food Co.,Lt</t>
  </si>
  <si>
    <t>01-0F002-0000356</t>
  </si>
  <si>
    <t>6002007</t>
  </si>
  <si>
    <t>NAVAPEZ E.I.R.L.</t>
  </si>
  <si>
    <t>01-0F101-0004638</t>
  </si>
  <si>
    <t>NAVAPEZ E.I.R.L.</t>
  </si>
  <si>
    <t>01-0F101-0004639</t>
  </si>
  <si>
    <t>NAVAPEZ E.I.R.L.</t>
  </si>
  <si>
    <t>01-0F101-0004653</t>
  </si>
  <si>
    <t>NAVAPEZ E.I.R.L.</t>
  </si>
  <si>
    <t>01-0F101-0004654</t>
  </si>
  <si>
    <t>NAVAPEZ E.I.R.L.</t>
  </si>
  <si>
    <t>01-0F101-0006226</t>
  </si>
  <si>
    <t>NAVAPEZ E.I.R.L.</t>
  </si>
  <si>
    <t>01-0F101-0006227</t>
  </si>
  <si>
    <t>NAVAPEZ E.I.R.L.</t>
  </si>
  <si>
    <t>01-0F101-0006232</t>
  </si>
  <si>
    <t>NAVAPEZ E.I.R.L.</t>
  </si>
  <si>
    <t>01-0F101-0006233</t>
  </si>
  <si>
    <t>NAVAPEZ E.I.R.L.</t>
  </si>
  <si>
    <t>01-0F101-0006311</t>
  </si>
  <si>
    <t>NAVAPEZ E.I.R.L.</t>
  </si>
  <si>
    <t>01-0F101-0006312</t>
  </si>
  <si>
    <t>NAVAPEZ E.I.R.L.</t>
  </si>
  <si>
    <t>01-0F101-0006447</t>
  </si>
  <si>
    <t>NAVAPEZ E.I.R.L.</t>
  </si>
  <si>
    <t>01-0F101-0006448</t>
  </si>
  <si>
    <t>NAVAPEZ E.I.R.L.</t>
  </si>
  <si>
    <t>01-0F101-0006626</t>
  </si>
  <si>
    <t>NAVAPEZ E.I.R.L.</t>
  </si>
  <si>
    <t>01-0F101-0006627</t>
  </si>
  <si>
    <t>6001105</t>
  </si>
  <si>
    <t>NEGOCIOS PESQUEROS AARON EIRL</t>
  </si>
  <si>
    <t>01-0F101-0006073</t>
  </si>
  <si>
    <t>NEGOCIOS PESQUEROS AARON EIRL</t>
  </si>
  <si>
    <t>01-0F101-0006074</t>
  </si>
  <si>
    <t>NEGOCIOS PESQUEROS AARON EIRL</t>
  </si>
  <si>
    <t>01-0F101-0006075</t>
  </si>
  <si>
    <t>NEGOCIOS PESQUEROS AARON EIRL</t>
  </si>
  <si>
    <t>FT-0F101-0006072</t>
  </si>
  <si>
    <t>NEGOCIOS PESQUEROS AARON EIRL</t>
  </si>
  <si>
    <t>01-0F101-0006336</t>
  </si>
  <si>
    <t>NEGOCIOS PESQUEROS AARON EIRL</t>
  </si>
  <si>
    <t>01-0F101-0006337</t>
  </si>
  <si>
    <t>NEGOCIOS PESQUEROS AARON EIRL</t>
  </si>
  <si>
    <t>01-0F101-0006647</t>
  </si>
  <si>
    <t>NEGOCIOS PESQUEROS AARON EIRL</t>
  </si>
  <si>
    <t>01-0F101-0006648</t>
  </si>
  <si>
    <t>2000001443</t>
  </si>
  <si>
    <t>NINGBO JUN TAO IMPORT AND</t>
  </si>
  <si>
    <t>ANTICIPO NINGBO</t>
  </si>
  <si>
    <t>NINGBO JUN TAO IMPORT AND</t>
  </si>
  <si>
    <t>ANTICIPO NINGBO</t>
  </si>
  <si>
    <t>NINGBO JUN TAO IMPORT AND</t>
  </si>
  <si>
    <t>01-0F002-0000355</t>
  </si>
  <si>
    <t>2000001359</t>
  </si>
  <si>
    <t>OCEANUS FISH S.L.</t>
  </si>
  <si>
    <t>01-0F002-0000296</t>
  </si>
  <si>
    <t>OCEANUS FISH S.L.</t>
  </si>
  <si>
    <t>01-0F002-0000297</t>
  </si>
  <si>
    <t>OCEANUS FISH S.L.</t>
  </si>
  <si>
    <t>01-0F002-0000301</t>
  </si>
  <si>
    <t>OCEANUS FISH S.L.</t>
  </si>
  <si>
    <t>01-0F002-0000309</t>
  </si>
  <si>
    <t>OCEANUS FISH S.L.</t>
  </si>
  <si>
    <t>01-0F002-0000341</t>
  </si>
  <si>
    <t>1000013925</t>
  </si>
  <si>
    <t>PEGASUS ENTERPRISE S.A.C.</t>
  </si>
  <si>
    <t>FT-0F003-0000101</t>
  </si>
  <si>
    <t>PEGASUS ENTERPRISE S.A.C.</t>
  </si>
  <si>
    <t>01-0F003-0000129</t>
  </si>
  <si>
    <t>PEGASUS ENTERPRISE S.A.C.</t>
  </si>
  <si>
    <t>01-0F003-0000168</t>
  </si>
  <si>
    <t>PEGASUS ENTERPRISE S.A.C.</t>
  </si>
  <si>
    <t>01-0F003-0000174</t>
  </si>
  <si>
    <t>1000015185</t>
  </si>
  <si>
    <t>PESCACORD PERU SOCIEDAD ANONIMA CER</t>
  </si>
  <si>
    <t>01-0F101-0006524</t>
  </si>
  <si>
    <t>PESCACORD PERU SOCIEDAD ANONIMA CER</t>
  </si>
  <si>
    <t>01-0F101-0006525</t>
  </si>
  <si>
    <t>PESCACORD PERU SOCIEDAD ANONIMA CER</t>
  </si>
  <si>
    <t>01-0F101-0006553</t>
  </si>
  <si>
    <t>PESCACORD PERU SOCIEDAD ANONIMA CER</t>
  </si>
  <si>
    <t>01-0F101-0006554</t>
  </si>
  <si>
    <t>PESCACORD PERU SOCIEDAD ANONIMA CER</t>
  </si>
  <si>
    <t>01-0F101-0006599</t>
  </si>
  <si>
    <t>PESCACORD PERU SOCIEDAD ANONIMA CER</t>
  </si>
  <si>
    <t>01-0F101-0006600</t>
  </si>
  <si>
    <t>PESCACORD PERU SOCIEDAD ANONIMA CER</t>
  </si>
  <si>
    <t>01-0F101-0006623</t>
  </si>
  <si>
    <t>PESCACORD PERU SOCIEDAD ANONIMA CER</t>
  </si>
  <si>
    <t>01-0F101-0006624</t>
  </si>
  <si>
    <t>PESCACORD PERU SOCIEDAD ANONIMA CER</t>
  </si>
  <si>
    <t>01-0F101-0006672</t>
  </si>
  <si>
    <t>PESCACORD PERU SOCIEDAD ANONIMA CER</t>
  </si>
  <si>
    <t>01-0F101-0006673</t>
  </si>
  <si>
    <t>6000434</t>
  </si>
  <si>
    <t>PESQUERA HAYDUK S.A.</t>
  </si>
  <si>
    <t>01-0F003-0000083</t>
  </si>
  <si>
    <t>1000001607</t>
  </si>
  <si>
    <t>PROVEEDORA DE PRODUCTOS MARINOS</t>
  </si>
  <si>
    <t>01-0F003-0000186</t>
  </si>
  <si>
    <t>2000001438</t>
  </si>
  <si>
    <t>Qingdao Haiyujia International Trad</t>
  </si>
  <si>
    <t>FT-0F002-0000320</t>
  </si>
  <si>
    <t>Qingdao Haiyujia International Trad</t>
  </si>
  <si>
    <t>FT-0F002-0000324</t>
  </si>
  <si>
    <t>Qingdao Haiyujia International Trad</t>
  </si>
  <si>
    <t>FT-0F002-0000313</t>
  </si>
  <si>
    <t>Qingdao Haiyujia International Trad</t>
  </si>
  <si>
    <t>01-0F002-0000332</t>
  </si>
  <si>
    <t>1000001965</t>
  </si>
  <si>
    <t>SERVICIOS DIESEL EXPRESS E.I.R.L.</t>
  </si>
  <si>
    <t>01-0F101-0006500</t>
  </si>
  <si>
    <t>SERVICIOS DIESEL EXPRESS E.I.R.L.</t>
  </si>
  <si>
    <t>01-0F101-0006534</t>
  </si>
  <si>
    <t>SERVICIOS DIESEL EXPRESS E.I.R.L.</t>
  </si>
  <si>
    <t>01-0F101-0006575</t>
  </si>
  <si>
    <t>SERVICIOS DIESEL EXPRESS E.I.R.L.</t>
  </si>
  <si>
    <t>01-0F101-0006607</t>
  </si>
  <si>
    <t>2000001440</t>
  </si>
  <si>
    <t>Shenzhen Yueshi Supply Chain</t>
  </si>
  <si>
    <t>FT-0F002-0000321</t>
  </si>
  <si>
    <t>Shenzhen Yueshi Supply Chain</t>
  </si>
  <si>
    <t>ANTICIPO FP231</t>
  </si>
  <si>
    <t>Shenzhen Yueshi Supply Chain</t>
  </si>
  <si>
    <t>01-0F002-0000361</t>
  </si>
  <si>
    <t>1000013801</t>
  </si>
  <si>
    <t>STL 5.0 S.A.C.</t>
  </si>
  <si>
    <t>01-0F101-0006658</t>
  </si>
  <si>
    <t>STL 5.0 S.A.C.</t>
  </si>
  <si>
    <t>01-0F101-0006659</t>
  </si>
  <si>
    <t>1000013686</t>
  </si>
  <si>
    <t>TRANSPORTES O Y G S.A.C.</t>
  </si>
  <si>
    <t>01-0F101-0006552</t>
  </si>
  <si>
    <t>TRANSPORTES O Y G S.A.C.</t>
  </si>
  <si>
    <t>01-0F101-0006578</t>
  </si>
  <si>
    <t>TRANSPORTES O Y G S.A.C.</t>
  </si>
  <si>
    <t>01-0F101-0006601</t>
  </si>
  <si>
    <t>TRANSPORTES O Y G S.A.C.</t>
  </si>
  <si>
    <t>01-0F101-0006656</t>
  </si>
  <si>
    <t>TRANSPORTES O Y G S.A.C.</t>
  </si>
  <si>
    <t>01-0F101-0006657</t>
  </si>
  <si>
    <t>2000000786</t>
  </si>
  <si>
    <t>TSUJINO &amp; CO., LTD</t>
  </si>
  <si>
    <t>TSUJINO &amp; CO., LTD</t>
  </si>
  <si>
    <t>01-0F002-0000318</t>
  </si>
  <si>
    <t>TSUJINO &amp; CO., LTD</t>
  </si>
  <si>
    <t>01-0F002-0000330</t>
  </si>
  <si>
    <t>TSUJINO &amp; CO., LTD</t>
  </si>
  <si>
    <t>01-0F002-0000340</t>
  </si>
  <si>
    <t>TSUJINO &amp; CO., LTD</t>
  </si>
  <si>
    <t>01-0F002-0000362</t>
  </si>
  <si>
    <t>TSUJINO &amp; CO., LTD</t>
  </si>
  <si>
    <t>01-0F002-0000363</t>
  </si>
  <si>
    <t>2000000590</t>
  </si>
  <si>
    <t>TT Interbiz Company Limited</t>
  </si>
  <si>
    <t>ANTICIPO TT INTE</t>
  </si>
  <si>
    <t>TT Interbiz Company Limited</t>
  </si>
  <si>
    <t>01-0F002-0000338</t>
  </si>
  <si>
    <t>2000001442</t>
  </si>
  <si>
    <t>YANTAI HIZEN INTERNATIONAL TRADE CO</t>
  </si>
  <si>
    <t>ANTICIPO YANTAHI</t>
  </si>
  <si>
    <t>YANTAI HIZEN INTERNATIONAL TRADE CO</t>
  </si>
  <si>
    <t>01-0F002-0000358</t>
  </si>
  <si>
    <t>2000001444</t>
  </si>
  <si>
    <t>YANTAI HONGCHANG IMPORT AND EXPORT</t>
  </si>
  <si>
    <t>ANTICIPO YANTAHO</t>
  </si>
  <si>
    <t>YANTAI HONGCHANG IMPORT AND EXPORT</t>
  </si>
  <si>
    <t>01-0F002-0000345</t>
  </si>
  <si>
    <t>2000001348</t>
  </si>
  <si>
    <t>YANTAI JIAHONG IMP &amp; EXP CO., LTD.</t>
  </si>
  <si>
    <t>01-0F002-0000302</t>
  </si>
  <si>
    <t>2000001069</t>
  </si>
  <si>
    <t>YANTAI TAIXI FOODSTUFF CO., LTD</t>
  </si>
  <si>
    <t>FT-0F002-0000300</t>
  </si>
  <si>
    <t>2000001446</t>
  </si>
  <si>
    <t>ZHEJIANG ZHOUFU FOOD CO.,LTD</t>
  </si>
  <si>
    <t>ANTICIPO FP234</t>
  </si>
  <si>
    <t>ZHEJIANG ZHOUFU FOOD CO.,LTD</t>
  </si>
  <si>
    <t>01-0F002-0000352</t>
  </si>
  <si>
    <t>2000001449</t>
  </si>
  <si>
    <t>ZHOUSHAN EAST CHINA SEA RURAL FOOD</t>
  </si>
  <si>
    <t>ANTICIPO FP234</t>
  </si>
  <si>
    <t>ZHOUSHAN EAST CHINA SEA RURAL FOOD</t>
  </si>
  <si>
    <t>01-0F002-0000349</t>
  </si>
  <si>
    <t>UNIDAD DE NEGOCIO</t>
  </si>
  <si>
    <t>NACIONAL</t>
  </si>
  <si>
    <t>EXPORTACIÓN</t>
  </si>
  <si>
    <t>RESIDUOS</t>
  </si>
  <si>
    <t>CISTERNA COMBUSTIBLE</t>
  </si>
  <si>
    <t>OTROS</t>
  </si>
  <si>
    <t>Etiquetas de fila</t>
  </si>
  <si>
    <t>Total general</t>
  </si>
  <si>
    <t>Etiquetas de columna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</si>
  <si>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</si>
  <si>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</si>
  <si>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</si>
  <si>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</si>
  <si>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</si>
  <si>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</si>
  <si>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</si>
  <si>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</si>
  <si>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</si>
  <si>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FT-0F002-0000311</t>
  </si>
  <si>
    <t>(Todas)</t>
  </si>
  <si>
    <t>(Varios elementos)</t>
  </si>
  <si>
    <t>Suma de USD HOMOL</t>
  </si>
  <si>
    <t>Suma de DÍAS ATRASADOS</t>
  </si>
  <si>
    <t>Cuenta de DÍAS VENCIDOS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</si>
</sst>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3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3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3" applyFont="1" applyFill="1" applyAlignment="1">
      <alignment vertical="top" wrapText="1"/>
    </xf>
    <xf numFmtId="0" fontId="4" fillId="5" borderId="0" xfId="3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horizontal="left" vertical="top"/>
    </xf>
    <xf numFmtId="4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3" fontId="0" fillId="6" borderId="0" xfId="0" applyNumberFormat="1" applyFill="1" applyAlignment="1">
      <alignment horizontal="left" vertical="top"/>
    </xf>
    <xf numFmtId="165" fontId="0" fillId="6" borderId="0" xfId="0" applyNumberFormat="1" applyFill="1" applyAlignment="1">
      <alignment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3" fontId="5" fillId="0" borderId="0" xfId="0" quotePrefix="1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</cellXfs>
  <cellStyles count="4">
    <cellStyle name="Millares" xfId="1" builtinId="3"/>
    <cellStyle name="Millares 2" xfId="2" xr:uid="{CBDAA455-7617-42A7-81BE-A326B61D18F0}"/>
    <cellStyle name="Normal" xfId="0" builtinId="0"/>
    <cellStyle name="Normal 2" xfId="3" xr:uid="{821D4083-A77B-4337-8F32-29C946ED2CD6}"/>
  </cellStyles>
  <dxfs count="5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74.662986805553" createdVersion="8" refreshedVersion="8" minRefreshableVersion="3" recordCount="195" xr:uid="{3C2336E3-802B-4E29-87C6-E11BFD597D1F}">
  <cacheSource type="worksheet">
    <worksheetSource ref="A1:Q203" sheet="Data"/>
  </cacheSource>
  <cacheFields count="17">
    <cacheField name="Cliente" numFmtId="0">
      <sharedItems/>
    </cacheField>
    <cacheField name="Nombre de cliente" numFmtId="0">
      <sharedItems count="37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FOOD &amp; BEVERAGES TRADERS, S.L."/>
        <s v="Giant Ocean Food Company Limited"/>
        <s v="GLOBAL OCEAN FLEXTRADING, S. L"/>
        <s v="Hunan Jinyueyang Import and Export"/>
        <s v="JAHFISH E.I.R.L."/>
        <s v="KULALIA SL"/>
        <s v="LONGKOU BOHAI FOODSTUFF CO.,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QUERA HAYDUK S.A."/>
        <s v="PROVEEDORA DE PRODUCTOS MARINOS"/>
        <s v="Qingdao Haiyujia International Trad"/>
        <s v="SERVICIOS DIESEL EXPRESS E.I.R.L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</sharedItems>
    </cacheField>
    <cacheField name="Referencia" numFmtId="0">
      <sharedItems count="192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ANTICIPO FP229"/>
        <s v="ANTICIPO FP230"/>
        <s v="01-0F002-0000339"/>
        <s v="01-0F002-0000353"/>
        <s v="01-0F002-0000359"/>
        <s v="01-0F002-0000360"/>
        <s v="03-0B001-0004567"/>
        <s v="03-0B001-0004568"/>
        <s v="SALDO A FAVOR"/>
        <s v="01-0F101-0006570"/>
        <s v="01-0F101-0006606"/>
        <s v="01-0F101-0006631"/>
        <s v="01-0F101-0006632"/>
        <s v="01-0F002-0000333"/>
        <s v="FT-0F002-0000329"/>
        <s v="FT-0F002-0000311"/>
        <s v="ANTICIPO GIANT"/>
        <s v="01-0F002-0000327"/>
        <s v="FT-0F002-0000295"/>
        <s v="01-0F002-0000342"/>
        <s v="01-0F002-0000351"/>
        <s v="FT-0F002-0000315"/>
        <s v="FT-0F002-0000323"/>
        <s v="01-0F002-0000331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01-0F101-0006293"/>
        <s v="01-0F101-0006294"/>
        <s v="01-0F101-0006332"/>
        <s v="01-0F101-0006333"/>
        <s v="01-0F101-0006338"/>
        <s v="01-0F101-0006339"/>
        <s v="01-0F101-0006367"/>
        <s v="01-0F101-0006368"/>
        <s v="01-0F101-0006369"/>
        <s v="01-0F101-0006370"/>
        <s v="01-0F101-0006378"/>
        <s v="01-0F101-0006379"/>
        <s v="01-0F101-0006380"/>
        <s v="01-0F101-0006381"/>
        <s v="01-0F101-0006407"/>
        <s v="01-0F101-0006408"/>
        <s v="01-0F101-0006409"/>
        <s v="01-0F101-0006410"/>
        <s v="01-0F101-0006443"/>
        <s v="01-0F101-0006444"/>
        <s v="01-0F101-0006459"/>
        <s v="01-0F101-0006460"/>
        <s v="01-0F101-0006468"/>
        <s v="01-0F101-0006469"/>
        <s v="01-0F101-0006489"/>
        <s v="01-0F101-0006490"/>
        <s v="01-0F101-0006502"/>
        <s v="01-0F101-0006503"/>
        <s v="01-0F101-0006527"/>
        <s v="01-0F101-0006528"/>
        <s v="01-0F101-0006555"/>
        <s v="01-0F101-0006556"/>
        <s v="01-0F101-0006597"/>
        <s v="01-0F101-0006598"/>
        <s v="01-0F101-0006610"/>
        <s v="01-0F101-0006611"/>
        <s v="01-0F101-0006612"/>
        <s v="01-0F101-0006613"/>
        <s v="01-0F101-0006633"/>
        <s v="01-0F101-0006634"/>
        <s v="01-0F101-0006641"/>
        <s v="01-0F101-0006642"/>
        <s v="ANTICIPO KULALIA"/>
        <s v="ANTICIPO FP238"/>
        <s v="DEVOL PAG"/>
        <s v="01-0F002-0000343"/>
        <s v="01-0F002-0000334"/>
        <s v="01-0F002-0000307"/>
        <s v="01-0F002-0000326"/>
        <s v="01-0F002-0000337"/>
        <s v="01-0F002-0000344"/>
        <s v="01-0F002-0000346"/>
        <s v="01-0F002-0000354"/>
        <s v="01-0F002-0000357"/>
        <s v="ANTICIPO FP237"/>
        <s v="01-0F002-0000350"/>
        <s v="01-0F002-0000364"/>
        <s v="01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073"/>
        <s v="01-0F101-0006074"/>
        <s v="01-0F101-0006075"/>
        <s v="FT-0F101-0006072"/>
        <s v="01-0F101-0006336"/>
        <s v="01-0F101-0006337"/>
        <s v="01-0F101-0006647"/>
        <s v="01-0F101-0006648"/>
        <s v="ANTICIPO NINGBO"/>
        <s v="01-0F002-0000355"/>
        <s v="01-0F002-0000296"/>
        <s v="01-0F002-0000297"/>
        <s v="01-0F002-0000301"/>
        <s v="01-0F002-0000309"/>
        <s v="01-0F002-0000341"/>
        <s v="FT-0F003-0000101"/>
        <s v="01-0F003-0000129"/>
        <s v="01-0F003-0000168"/>
        <s v="01-0F003-0000174"/>
        <s v="01-0F101-0006524"/>
        <s v="01-0F101-0006525"/>
        <s v="01-0F101-0006553"/>
        <s v="01-0F101-0006554"/>
        <s v="01-0F101-0006599"/>
        <s v="01-0F101-0006600"/>
        <s v="01-0F101-0006623"/>
        <s v="01-0F101-0006624"/>
        <s v="01-0F101-0006672"/>
        <s v="01-0F101-0006673"/>
        <s v="01-0F003-0000083"/>
        <s v="01-0F003-0000186"/>
        <s v="FT-0F002-0000320"/>
        <s v="FT-0F002-0000324"/>
        <s v="FT-0F002-0000313"/>
        <s v="01-0F002-0000332"/>
        <s v="01-0F101-0006500"/>
        <s v="01-0F101-0006534"/>
        <s v="01-0F101-0006575"/>
        <s v="01-0F101-0006607"/>
        <s v="FT-0F002-0000321"/>
        <s v="ANTICIPO FP231"/>
        <s v="01-0F002-0000361"/>
        <s v="01-0F101-0006658"/>
        <s v="01-0F101-0006659"/>
        <s v="01-0F101-0006552"/>
        <s v="01-0F101-0006578"/>
        <s v="01-0F101-0006601"/>
        <s v="01-0F101-0006656"/>
        <s v="01-0F101-0006657"/>
        <s v="01-0F002-0000318"/>
        <s v="01-0F002-0000330"/>
        <s v="01-0F002-0000340"/>
        <s v="01-0F002-0000362"/>
        <s v="01-0F002-0000363"/>
        <s v="ANTICIPO TT INTE"/>
        <s v="01-0F002-0000338"/>
        <s v="ANTICIPO YANTAHI"/>
        <s v="01-0F002-0000358"/>
        <s v="ANTICIPO YANTAHO"/>
        <s v="01-0F002-0000345"/>
        <s v="01-0F002-0000302"/>
        <s v="FT-0F002-0000300"/>
        <s v="ANTICIPO FP234"/>
        <s v="01-0F002-0000352"/>
        <s v="01-0F002-0000349"/>
      </sharedItems>
    </cacheField>
    <cacheField name="Clase de documento" numFmtId="0">
      <sharedItems count="6">
        <s v="DF"/>
        <s v="DZ"/>
        <s v="DE"/>
        <s v="DB"/>
        <s v="ZV"/>
        <s v="SA"/>
      </sharedItems>
    </cacheField>
    <cacheField name="Fecha de documento" numFmtId="14">
      <sharedItems containsSemiMixedTypes="0" containsNonDate="0" containsDate="1" containsString="0" minDate="2025-10-07T00:00:00" maxDate="2026-05-31T00:00:00"/>
    </cacheField>
    <cacheField name="Demora tras vencimiento neto" numFmtId="3">
      <sharedItems containsSemiMixedTypes="0" containsString="0" containsNumber="1" containsInteger="1" minValue="-42" maxValue="230"/>
    </cacheField>
    <cacheField name="Fecha de pago" numFmtId="14">
      <sharedItems containsSemiMixedTypes="0" containsNonDate="0" containsDate="1" containsString="0" minDate="2025-10-14T00:00:00" maxDate="2026-07-14T00:00:00"/>
    </cacheField>
    <cacheField name="Importe en moneda doc." numFmtId="4">
      <sharedItems containsSemiMixedTypes="0" containsString="0" containsNumber="1" minValue="-254051.7" maxValue="436320"/>
    </cacheField>
    <cacheField name="Moneda del documento" numFmtId="0">
      <sharedItems/>
    </cacheField>
    <cacheField name="UNIDAD DE NEGOCIO" numFmtId="0">
      <sharedItems count="5">
        <s v="NACIONAL"/>
        <s v="EXPORTACIÓN"/>
        <s v="CISTERNA COMBUSTIBLE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7-14T00:00:00"/>
    </cacheField>
    <cacheField name="DÍAS VENCIDOS" numFmtId="0">
      <sharedItems containsString="0" containsBlank="1" containsNumber="1" containsInteger="1" minValue="-35" maxValue="5"/>
    </cacheField>
    <cacheField name="Vcto finanzas SEMANA PASADA" numFmtId="0">
      <sharedItems containsNonDate="0" containsDate="1" containsString="0" containsBlank="1" minDate="2026-05-27T00:00:00" maxDate="2026-07-07T00:00:00"/>
    </cacheField>
    <cacheField name="Vcto finanzas" numFmtId="14">
      <sharedItems containsSemiMixedTypes="0" containsNonDate="0" containsDate="1" containsString="0" minDate="2025-10-14T00:00:00" maxDate="2026-07-14T00:00:00"/>
    </cacheField>
    <cacheField name="USD HOMOL" numFmtId="0">
      <sharedItems containsSemiMixedTypes="0" containsString="0" containsNumber="1" minValue="-254051.7" maxValue="436320"/>
    </cacheField>
    <cacheField name="DÍAS ATRASADOS" numFmtId="0">
      <sharedItems containsString="0" containsBlank="1" containsNumber="1" containsInteger="1" minValue="3" maxValue="50"/>
    </cacheField>
    <cacheField name="ANTIGÜEDAD" numFmtId="0">
      <sharedItems containsBlank="1" count="3">
        <m/>
        <s v="0-45"/>
        <s v="46-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74.709121180553" createdVersion="8" refreshedVersion="8" minRefreshableVersion="3" recordCount="203" xr:uid="{30D3D482-6377-4C7C-A7ED-7C435F18B6AD}">
  <cacheSource type="worksheet">
    <worksheetSource ref="A1:Q1048576" sheet="Data"/>
  </cacheSource>
  <cacheFields count="23">
    <cacheField name="Cliente" numFmtId="0">
      <sharedItems containsBlank="1"/>
    </cacheField>
    <cacheField name="Nombre de cliente" numFmtId="0">
      <sharedItems containsBlank="1" count="38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FOOD &amp; BEVERAGES TRADERS, S.L."/>
        <s v="Giant Ocean Food Company Limited"/>
        <s v="GLOBAL OCEAN FLEXTRADING, S. L"/>
        <s v="Hunan Jinyueyang Import and Export"/>
        <s v="JAHFISH E.I.R.L."/>
        <s v="KULALIA SL"/>
        <s v="LONGKOU BOHAI FOODSTUFF CO.,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QUERA HAYDUK S.A."/>
        <s v="PROVEEDORA DE PRODUCTOS MARINOS"/>
        <s v="Qingdao Haiyujia International Trad"/>
        <s v="SERVICIOS DIESEL EXPRESS E.I.R.L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  <m/>
      </sharedItems>
    </cacheField>
    <cacheField name="Referencia" numFmtId="0">
      <sharedItems containsBlank="1" count="193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ANTICIPO FP229"/>
        <s v="ANTICIPO FP230"/>
        <s v="01-0F002-0000339"/>
        <s v="01-0F002-0000353"/>
        <s v="01-0F002-0000359"/>
        <s v="01-0F002-0000360"/>
        <s v="03-0B001-0004567"/>
        <s v="03-0B001-0004568"/>
        <s v="SALDO A FAVOR"/>
        <s v="01-0F101-0006570"/>
        <s v="01-0F101-0006606"/>
        <s v="01-0F101-0006631"/>
        <s v="01-0F101-0006632"/>
        <s v="01-0F002-0000333"/>
        <s v="FT-0F002-0000329"/>
        <s v="FT-0F002-0000311"/>
        <s v="ANTICIPO GIANT"/>
        <s v="01-0F002-0000327"/>
        <s v="FT-0F002-0000295"/>
        <s v="01-0F002-0000342"/>
        <s v="01-0F002-0000351"/>
        <s v="FT-0F002-0000315"/>
        <s v="FT-0F002-0000323"/>
        <s v="01-0F002-0000331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01-0F101-0006293"/>
        <s v="01-0F101-0006294"/>
        <s v="01-0F101-0006332"/>
        <s v="01-0F101-0006333"/>
        <s v="01-0F101-0006338"/>
        <s v="01-0F101-0006339"/>
        <s v="01-0F101-0006367"/>
        <s v="01-0F101-0006368"/>
        <s v="01-0F101-0006369"/>
        <s v="01-0F101-0006370"/>
        <s v="01-0F101-0006378"/>
        <s v="01-0F101-0006379"/>
        <s v="01-0F101-0006380"/>
        <s v="01-0F101-0006381"/>
        <s v="01-0F101-0006407"/>
        <s v="01-0F101-0006408"/>
        <s v="01-0F101-0006409"/>
        <s v="01-0F101-0006410"/>
        <s v="01-0F101-0006443"/>
        <s v="01-0F101-0006444"/>
        <s v="01-0F101-0006459"/>
        <s v="01-0F101-0006460"/>
        <s v="01-0F101-0006468"/>
        <s v="01-0F101-0006469"/>
        <s v="01-0F101-0006489"/>
        <s v="01-0F101-0006490"/>
        <s v="01-0F101-0006502"/>
        <s v="01-0F101-0006503"/>
        <s v="01-0F101-0006527"/>
        <s v="01-0F101-0006528"/>
        <s v="01-0F101-0006555"/>
        <s v="01-0F101-0006556"/>
        <s v="01-0F101-0006597"/>
        <s v="01-0F101-0006598"/>
        <s v="01-0F101-0006610"/>
        <s v="01-0F101-0006611"/>
        <s v="01-0F101-0006612"/>
        <s v="01-0F101-0006613"/>
        <s v="01-0F101-0006633"/>
        <s v="01-0F101-0006634"/>
        <s v="01-0F101-0006641"/>
        <s v="01-0F101-0006642"/>
        <s v="ANTICIPO KULALIA"/>
        <s v="ANTICIPO FP238"/>
        <s v="DEVOL PAG"/>
        <s v="01-0F002-0000343"/>
        <s v="01-0F002-0000334"/>
        <s v="01-0F002-0000307"/>
        <s v="01-0F002-0000326"/>
        <s v="01-0F002-0000337"/>
        <s v="01-0F002-0000344"/>
        <s v="01-0F002-0000346"/>
        <s v="01-0F002-0000354"/>
        <s v="01-0F002-0000357"/>
        <s v="ANTICIPO FP237"/>
        <s v="01-0F002-0000350"/>
        <s v="01-0F002-0000364"/>
        <s v="01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073"/>
        <s v="01-0F101-0006074"/>
        <s v="01-0F101-0006075"/>
        <s v="FT-0F101-0006072"/>
        <s v="01-0F101-0006336"/>
        <s v="01-0F101-0006337"/>
        <s v="01-0F101-0006647"/>
        <s v="01-0F101-0006648"/>
        <s v="ANTICIPO NINGBO"/>
        <s v="01-0F002-0000355"/>
        <s v="01-0F002-0000296"/>
        <s v="01-0F002-0000297"/>
        <s v="01-0F002-0000301"/>
        <s v="01-0F002-0000309"/>
        <s v="01-0F002-0000341"/>
        <s v="FT-0F003-0000101"/>
        <s v="01-0F003-0000129"/>
        <s v="01-0F003-0000168"/>
        <s v="01-0F003-0000174"/>
        <s v="01-0F101-0006524"/>
        <s v="01-0F101-0006525"/>
        <s v="01-0F101-0006553"/>
        <s v="01-0F101-0006554"/>
        <s v="01-0F101-0006599"/>
        <s v="01-0F101-0006600"/>
        <s v="01-0F101-0006623"/>
        <s v="01-0F101-0006624"/>
        <s v="01-0F101-0006672"/>
        <s v="01-0F101-0006673"/>
        <s v="01-0F003-0000083"/>
        <s v="01-0F003-0000186"/>
        <s v="FT-0F002-0000320"/>
        <s v="FT-0F002-0000324"/>
        <s v="FT-0F002-0000313"/>
        <s v="01-0F002-0000332"/>
        <s v="01-0F101-0006500"/>
        <s v="01-0F101-0006534"/>
        <s v="01-0F101-0006575"/>
        <s v="01-0F101-0006607"/>
        <s v="FT-0F002-0000321"/>
        <s v="ANTICIPO FP231"/>
        <s v="01-0F002-0000361"/>
        <s v="01-0F101-0006658"/>
        <s v="01-0F101-0006659"/>
        <s v="01-0F101-0006552"/>
        <s v="01-0F101-0006578"/>
        <s v="01-0F101-0006601"/>
        <s v="01-0F101-0006656"/>
        <s v="01-0F101-0006657"/>
        <s v="01-0F002-0000318"/>
        <s v="01-0F002-0000330"/>
        <s v="01-0F002-0000340"/>
        <s v="01-0F002-0000362"/>
        <s v="01-0F002-0000363"/>
        <s v="ANTICIPO TT INTE"/>
        <s v="01-0F002-0000338"/>
        <s v="ANTICIPO YANTAHI"/>
        <s v="01-0F002-0000358"/>
        <s v="ANTICIPO YANTAHO"/>
        <s v="01-0F002-0000345"/>
        <s v="01-0F002-0000302"/>
        <s v="FT-0F002-0000300"/>
        <s v="ANTICIPO FP234"/>
        <s v="01-0F002-0000352"/>
        <s v="01-0F002-0000349"/>
        <m/>
      </sharedItems>
    </cacheField>
    <cacheField name="Clase de documento" numFmtId="0">
      <sharedItems containsBlank="1" count="7">
        <s v="DF"/>
        <s v="DZ"/>
        <s v="DE"/>
        <s v="DB"/>
        <s v="ZV"/>
        <s v="SA"/>
        <m/>
      </sharedItems>
    </cacheField>
    <cacheField name="Fecha de documento" numFmtId="0">
      <sharedItems containsNonDate="0" containsDate="1" containsString="0" containsBlank="1" minDate="2025-10-07T00:00:00" maxDate="2026-05-31T00:00:00" count="49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15T00:00:00"/>
        <d v="2026-05-19T00:00:00"/>
        <d v="2026-05-22T00:00:00"/>
        <d v="2026-05-26T00:00:00"/>
        <d v="2026-05-29T00:00:00"/>
        <d v="2026-05-17T00:00:00"/>
        <d v="2026-04-27T00:00:00"/>
        <d v="2026-05-21T00:00:00"/>
        <d v="2026-05-28T00:00:00"/>
        <d v="2026-04-15T00:00:00"/>
        <d v="2026-05-16T00:00:00"/>
        <d v="2026-04-12T00:00:00"/>
        <d v="2026-04-29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8T00:00:00"/>
        <d v="2026-05-20T00:00:00"/>
        <d v="2026-05-25T00:00:00"/>
        <d v="2026-04-28T00:00:00"/>
        <d v="2026-04-26T00:00:00"/>
        <d v="2026-05-24T00:00:00"/>
        <d v="2025-11-03T00:00:00"/>
        <d v="2025-11-06T00:00:00"/>
        <d v="2026-05-27T00:00:00"/>
        <d v="2026-04-22T00:00:00"/>
        <d v="2025-10-21T00:00:00"/>
        <d v="2025-11-04T00:00:00"/>
        <d v="2026-01-31T00:00:00"/>
        <d v="2026-03-03T00:00:00"/>
        <d v="2026-05-30T00:00:00"/>
        <d v="2025-10-07T00:00:00"/>
        <d v="2026-04-30T00:00:00"/>
        <d v="2026-04-24T00:00:00"/>
        <m/>
      </sharedItems>
      <fieldGroup par="22"/>
    </cacheField>
    <cacheField name="Demora tras vencimiento neto" numFmtId="0">
      <sharedItems containsString="0" containsBlank="1" containsNumber="1" containsInteger="1" minValue="-42" maxValue="230"/>
    </cacheField>
    <cacheField name="Fecha de pago" numFmtId="0">
      <sharedItems containsNonDate="0" containsDate="1" containsString="0" containsBlank="1" minDate="2025-10-14T00:00:00" maxDate="2026-07-14T00:00:00"/>
    </cacheField>
    <cacheField name="Importe en moneda doc." numFmtId="0">
      <sharedItems containsString="0" containsBlank="1" containsNumber="1" minValue="-254051.7" maxValue="436320"/>
    </cacheField>
    <cacheField name="Moneda del documento" numFmtId="0">
      <sharedItems containsBlank="1"/>
    </cacheField>
    <cacheField name="UNIDAD DE NEGOCIO" numFmtId="0">
      <sharedItems containsBlank="1" count="6">
        <s v="NACIONAL"/>
        <s v="EXPORTACIÓN"/>
        <s v="CISTERNA COMBUSTIBLE"/>
        <s v="OTROS"/>
        <s v="RESIDUOS"/>
        <m/>
      </sharedItems>
    </cacheField>
    <cacheField name="FECHA IDEAL DE PAGO" numFmtId="0">
      <sharedItems containsNonDate="0" containsDate="1" containsString="0" containsBlank="1" minDate="2026-05-27T00:00:00" maxDate="2026-07-14T00:00:00"/>
    </cacheField>
    <cacheField name="DÍAS VENCIDOS" numFmtId="0">
      <sharedItems containsString="0" containsBlank="1" containsNumber="1" containsInteger="1" minValue="-35" maxValue="5"/>
    </cacheField>
    <cacheField name="Vcto finanzas SEMANA PASADA" numFmtId="0">
      <sharedItems containsNonDate="0" containsDate="1" containsString="0" containsBlank="1" minDate="2026-05-27T00:00:00" maxDate="2026-07-07T00:00:00"/>
    </cacheField>
    <cacheField name="Vcto finanzas" numFmtId="0">
      <sharedItems containsNonDate="0" containsDate="1" containsString="0" containsBlank="1" minDate="2025-10-14T00:00:00" maxDate="2026-07-14T00:00:00" count="58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5-31T00:00:00"/>
        <d v="2026-07-06T00:00:00"/>
        <d v="2026-07-10T00:00:00"/>
        <d v="2026-07-13T00:00:00"/>
        <d v="2026-05-24T00:00:00"/>
        <d v="2026-04-27T00:00:00"/>
        <d v="2026-05-28T00:00:00"/>
        <d v="2026-06-02T00:00:00"/>
        <d v="2026-06-04T00:00:00"/>
        <d v="2026-07-01T00:00:00"/>
        <d v="2026-06-11T00:00:00"/>
        <d v="2026-04-30T00:00:00"/>
        <d v="2026-06-30T00:00:00"/>
        <d v="2026-06-15T00:00:00"/>
        <d v="2026-06-13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6-01T00:00:00"/>
        <d v="2026-06-05T00:00:00"/>
        <d v="2026-07-03T00:00:00"/>
        <d v="2026-06-03T00:00:00"/>
        <d v="2026-06-10T00:00:00"/>
        <d v="2026-06-26T00:00:00"/>
        <d v="2026-06-06T00:00:00"/>
        <d v="2026-07-08T00:00:00"/>
        <d v="2026-06-08T00:00:00"/>
        <d v="2026-04-26T00:00:00"/>
        <d v="2025-11-10T00:00:00"/>
        <d v="2025-11-13T00:00:00"/>
        <d v="2026-04-28T00:00:00"/>
        <d v="2026-05-12T00:00:00"/>
        <d v="2026-05-29T00:00:00"/>
        <d v="2025-10-21T00:00:00"/>
        <d v="2025-11-11T00:00:00"/>
        <d v="2026-02-07T00:00:00"/>
        <d v="2026-03-10T00:00:00"/>
        <d v="2025-10-14T00:00:00"/>
        <m/>
      </sharedItems>
      <fieldGroup par="19"/>
    </cacheField>
    <cacheField name="USD HOMOL" numFmtId="0">
      <sharedItems containsString="0" containsBlank="1" containsNumber="1" minValue="-254051.7" maxValue="436320"/>
    </cacheField>
    <cacheField name="DÍAS ATRASADOS" numFmtId="0">
      <sharedItems containsString="0" containsBlank="1" containsNumber="1" containsInteger="1" minValue="3" maxValue="50"/>
    </cacheField>
    <cacheField name="ANTIGÜEDAD" numFmtId="0">
      <sharedItems containsBlank="1"/>
    </cacheField>
    <cacheField name="Meses (Vcto finanzas)" numFmtId="0" databaseField="0">
      <fieldGroup base="13">
        <rangePr groupBy="months" startDate="2025-10-14T00:00:00" endDate="2026-07-14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7/2026"/>
        </groupItems>
      </fieldGroup>
    </cacheField>
    <cacheField name="Trimestres (Vcto finanzas)" numFmtId="0" databaseField="0">
      <fieldGroup base="13">
        <rangePr groupBy="quarters" startDate="2025-10-14T00:00:00" endDate="2026-07-14T00:00:00"/>
        <groupItems count="6">
          <s v="&lt;14/10/2025"/>
          <s v="Trim.1"/>
          <s v="Trim.2"/>
          <s v="Trim.3"/>
          <s v="Trim.4"/>
          <s v="&gt;14/07/2026"/>
        </groupItems>
      </fieldGroup>
    </cacheField>
    <cacheField name="Años (Vcto finanzas)" numFmtId="0" databaseField="0">
      <fieldGroup base="13">
        <rangePr groupBy="years" startDate="2025-10-14T00:00:00" endDate="2026-07-14T00:00:00"/>
        <groupItems count="4">
          <s v="&lt;14/10/2025"/>
          <s v="2025"/>
          <s v="2026"/>
          <s v="&gt;14/07/2026"/>
        </groupItems>
      </fieldGroup>
    </cacheField>
    <cacheField name="Meses (Fecha de documento)" numFmtId="0" databaseField="0">
      <fieldGroup base="4">
        <rangePr groupBy="months" startDate="2025-10-07T00:00:00" endDate="2026-05-31T00:00:00"/>
        <groupItems count="14">
          <s v="&lt;7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05/2026"/>
        </groupItems>
      </fieldGroup>
    </cacheField>
    <cacheField name="Trimestres (Fecha de documento)" numFmtId="0" databaseField="0">
      <fieldGroup base="4">
        <rangePr groupBy="quarters" startDate="2025-10-07T00:00:00" endDate="2026-05-31T00:00:00"/>
        <groupItems count="6">
          <s v="&lt;7/10/2025"/>
          <s v="Trim.1"/>
          <s v="Trim.2"/>
          <s v="Trim.3"/>
          <s v="Trim.4"/>
          <s v="&gt;31/05/2026"/>
        </groupItems>
      </fieldGroup>
    </cacheField>
    <cacheField name="Años (Fecha de documento)" numFmtId="0" databaseField="0">
      <fieldGroup base="4">
        <rangePr groupBy="years" startDate="2025-10-07T00:00:00" endDate="2026-05-31T00:00:00"/>
        <groupItems count="4">
          <s v="&lt;7/10/2025"/>
          <s v="2025"/>
          <s v="2026"/>
          <s v="&gt;31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s v="1000013966"/>
    <x v="0"/>
    <x v="0"/>
    <x v="0"/>
    <d v="2025-11-19T00:00:00"/>
    <n v="187"/>
    <d v="2025-11-26T00:00:00"/>
    <n v="42.48"/>
    <s v="PEN"/>
    <x v="0"/>
    <m/>
    <m/>
    <m/>
    <d v="2025-11-26T00:00:00"/>
    <n v="12.431957857769973"/>
    <m/>
    <x v="0"/>
  </r>
  <r>
    <s v="1000013966"/>
    <x v="0"/>
    <x v="1"/>
    <x v="0"/>
    <d v="2025-11-19T00:00:00"/>
    <n v="187"/>
    <d v="2025-11-26T00:00:00"/>
    <n v="14.16"/>
    <s v="PEN"/>
    <x v="0"/>
    <m/>
    <m/>
    <m/>
    <d v="2025-11-26T00:00:00"/>
    <n v="4.1439859525899916"/>
    <m/>
    <x v="0"/>
  </r>
  <r>
    <s v="1000013966"/>
    <x v="0"/>
    <x v="2"/>
    <x v="0"/>
    <d v="2025-11-19T00:00:00"/>
    <n v="187"/>
    <d v="2025-11-26T00:00:00"/>
    <n v="14.16"/>
    <s v="PEN"/>
    <x v="0"/>
    <m/>
    <m/>
    <m/>
    <d v="2025-11-26T00:00:00"/>
    <n v="4.1439859525899916"/>
    <m/>
    <x v="0"/>
  </r>
  <r>
    <s v="1000013966"/>
    <x v="0"/>
    <x v="3"/>
    <x v="0"/>
    <d v="2025-11-20T00:00:00"/>
    <n v="186"/>
    <d v="2025-11-27T00:00:00"/>
    <n v="28.32"/>
    <s v="PEN"/>
    <x v="0"/>
    <m/>
    <m/>
    <m/>
    <d v="2025-11-27T00:00:00"/>
    <n v="8.2879719051799832"/>
    <m/>
    <x v="0"/>
  </r>
  <r>
    <s v="1000013966"/>
    <x v="0"/>
    <x v="4"/>
    <x v="0"/>
    <d v="2025-11-20T00:00:00"/>
    <n v="186"/>
    <d v="2025-11-27T00:00:00"/>
    <n v="14.16"/>
    <s v="PEN"/>
    <x v="0"/>
    <m/>
    <m/>
    <m/>
    <d v="2025-11-27T00:00:00"/>
    <n v="4.1439859525899916"/>
    <m/>
    <x v="0"/>
  </r>
  <r>
    <s v="1000013966"/>
    <x v="0"/>
    <x v="5"/>
    <x v="0"/>
    <d v="2025-11-21T00:00:00"/>
    <n v="185"/>
    <d v="2025-11-28T00:00:00"/>
    <n v="28.32"/>
    <s v="PEN"/>
    <x v="0"/>
    <m/>
    <m/>
    <m/>
    <d v="2025-11-28T00:00:00"/>
    <n v="8.2879719051799832"/>
    <m/>
    <x v="0"/>
  </r>
  <r>
    <s v="1000013966"/>
    <x v="0"/>
    <x v="6"/>
    <x v="0"/>
    <d v="2025-11-21T00:00:00"/>
    <n v="185"/>
    <d v="2025-11-28T00:00:00"/>
    <n v="42.48"/>
    <s v="PEN"/>
    <x v="0"/>
    <m/>
    <m/>
    <m/>
    <d v="2025-11-28T00:00:00"/>
    <n v="12.431957857769973"/>
    <m/>
    <x v="0"/>
  </r>
  <r>
    <s v="1000013966"/>
    <x v="0"/>
    <x v="7"/>
    <x v="0"/>
    <d v="2025-11-21T00:00:00"/>
    <n v="185"/>
    <d v="2025-11-28T00:00:00"/>
    <n v="42.48"/>
    <s v="PEN"/>
    <x v="0"/>
    <m/>
    <m/>
    <m/>
    <d v="2025-11-28T00:00:00"/>
    <n v="12.431957857769973"/>
    <m/>
    <x v="0"/>
  </r>
  <r>
    <s v="1000013966"/>
    <x v="0"/>
    <x v="8"/>
    <x v="0"/>
    <d v="2025-11-21T00:00:00"/>
    <n v="185"/>
    <d v="2025-11-28T00:00:00"/>
    <n v="14.16"/>
    <s v="PEN"/>
    <x v="0"/>
    <m/>
    <m/>
    <m/>
    <d v="2025-11-28T00:00:00"/>
    <n v="4.1439859525899916"/>
    <m/>
    <x v="0"/>
  </r>
  <r>
    <s v="1000013966"/>
    <x v="0"/>
    <x v="9"/>
    <x v="0"/>
    <d v="2025-11-22T00:00:00"/>
    <n v="184"/>
    <d v="2025-11-29T00:00:00"/>
    <n v="28.32"/>
    <s v="PEN"/>
    <x v="0"/>
    <m/>
    <m/>
    <m/>
    <d v="2025-11-29T00:00:00"/>
    <n v="8.2879719051799832"/>
    <m/>
    <x v="0"/>
  </r>
  <r>
    <s v="1000013966"/>
    <x v="0"/>
    <x v="10"/>
    <x v="0"/>
    <d v="2025-11-27T00:00:00"/>
    <n v="179"/>
    <d v="2025-12-04T00:00:00"/>
    <n v="14.16"/>
    <s v="PEN"/>
    <x v="0"/>
    <m/>
    <m/>
    <m/>
    <d v="2025-12-04T00:00:00"/>
    <n v="4.1439859525899916"/>
    <m/>
    <x v="0"/>
  </r>
  <r>
    <s v="1000013966"/>
    <x v="0"/>
    <x v="11"/>
    <x v="0"/>
    <d v="2026-01-06T00:00:00"/>
    <n v="139"/>
    <d v="2026-01-13T00:00:00"/>
    <n v="14.16"/>
    <s v="PEN"/>
    <x v="0"/>
    <m/>
    <m/>
    <m/>
    <d v="2026-01-13T00:00:00"/>
    <n v="4.1439859525899916"/>
    <m/>
    <x v="0"/>
  </r>
  <r>
    <s v="1000013966"/>
    <x v="0"/>
    <x v="12"/>
    <x v="0"/>
    <d v="2026-01-08T00:00:00"/>
    <n v="137"/>
    <d v="2026-01-15T00:00:00"/>
    <n v="14.16"/>
    <s v="PEN"/>
    <x v="0"/>
    <m/>
    <m/>
    <m/>
    <d v="2026-01-15T00:00:00"/>
    <n v="4.1439859525899916"/>
    <m/>
    <x v="0"/>
  </r>
  <r>
    <s v="1000013966"/>
    <x v="0"/>
    <x v="13"/>
    <x v="0"/>
    <d v="2026-01-10T00:00:00"/>
    <n v="135"/>
    <d v="2026-01-17T00:00:00"/>
    <n v="14.16"/>
    <s v="PEN"/>
    <x v="0"/>
    <m/>
    <m/>
    <m/>
    <d v="2026-01-17T00:00:00"/>
    <n v="4.1439859525899916"/>
    <m/>
    <x v="0"/>
  </r>
  <r>
    <s v="1000013966"/>
    <x v="0"/>
    <x v="14"/>
    <x v="0"/>
    <d v="2026-01-16T00:00:00"/>
    <n v="129"/>
    <d v="2026-01-23T00:00:00"/>
    <n v="14.16"/>
    <s v="PEN"/>
    <x v="0"/>
    <m/>
    <m/>
    <m/>
    <d v="2026-01-23T00:00:00"/>
    <n v="4.1439859525899916"/>
    <m/>
    <x v="0"/>
  </r>
  <r>
    <s v="1000013966"/>
    <x v="0"/>
    <x v="15"/>
    <x v="0"/>
    <d v="2026-01-16T00:00:00"/>
    <n v="129"/>
    <d v="2026-01-23T00:00:00"/>
    <n v="14.16"/>
    <s v="PEN"/>
    <x v="0"/>
    <m/>
    <m/>
    <m/>
    <d v="2026-01-23T00:00:00"/>
    <n v="4.1439859525899916"/>
    <m/>
    <x v="0"/>
  </r>
  <r>
    <s v="1000013966"/>
    <x v="0"/>
    <x v="16"/>
    <x v="0"/>
    <d v="2026-01-19T00:00:00"/>
    <n v="126"/>
    <d v="2026-01-26T00:00:00"/>
    <n v="14.16"/>
    <s v="PEN"/>
    <x v="0"/>
    <m/>
    <m/>
    <m/>
    <d v="2026-01-26T00:00:00"/>
    <n v="4.1439859525899916"/>
    <m/>
    <x v="0"/>
  </r>
  <r>
    <s v="2000001028"/>
    <x v="1"/>
    <x v="17"/>
    <x v="1"/>
    <d v="2026-05-15T00:00:00"/>
    <n v="0"/>
    <d v="2026-05-31T00:00:00"/>
    <n v="-125250"/>
    <s v="USD"/>
    <x v="1"/>
    <d v="2026-06-29T00:00:00"/>
    <m/>
    <m/>
    <d v="2026-05-31T00:00:00"/>
    <n v="-125250"/>
    <n v="17"/>
    <x v="1"/>
  </r>
  <r>
    <s v="2000001028"/>
    <x v="1"/>
    <x v="18"/>
    <x v="1"/>
    <d v="2026-05-19T00:00:00"/>
    <n v="0"/>
    <d v="2026-05-31T00:00:00"/>
    <n v="-84210"/>
    <s v="USD"/>
    <x v="1"/>
    <d v="2026-07-03T00:00:00"/>
    <m/>
    <m/>
    <d v="2026-05-31T00:00:00"/>
    <n v="-84210"/>
    <n v="13"/>
    <x v="1"/>
  </r>
  <r>
    <s v="2000001028"/>
    <x v="1"/>
    <x v="19"/>
    <x v="2"/>
    <d v="2026-05-22T00:00:00"/>
    <n v="-35"/>
    <d v="2026-07-06T00:00:00"/>
    <n v="234900"/>
    <s v="USD"/>
    <x v="1"/>
    <d v="2026-07-06T00:00:00"/>
    <m/>
    <m/>
    <d v="2026-07-06T00:00:00"/>
    <n v="234900"/>
    <n v="10"/>
    <x v="1"/>
  </r>
  <r>
    <s v="2000001028"/>
    <x v="1"/>
    <x v="20"/>
    <x v="2"/>
    <d v="2026-05-26T00:00:00"/>
    <n v="-39"/>
    <d v="2026-07-10T00:00:00"/>
    <n v="156600"/>
    <s v="USD"/>
    <x v="1"/>
    <d v="2026-07-10T00:00:00"/>
    <m/>
    <m/>
    <d v="2026-07-10T00:00:00"/>
    <n v="156600"/>
    <n v="6"/>
    <x v="1"/>
  </r>
  <r>
    <s v="2000001028"/>
    <x v="1"/>
    <x v="21"/>
    <x v="2"/>
    <d v="2026-05-29T00:00:00"/>
    <n v="-42"/>
    <d v="2026-07-13T00:00:00"/>
    <n v="234900"/>
    <s v="USD"/>
    <x v="1"/>
    <d v="2026-07-13T00:00:00"/>
    <m/>
    <m/>
    <d v="2026-07-13T00:00:00"/>
    <n v="234900"/>
    <n v="3"/>
    <x v="1"/>
  </r>
  <r>
    <s v="2000001028"/>
    <x v="1"/>
    <x v="22"/>
    <x v="2"/>
    <d v="2026-05-29T00:00:00"/>
    <n v="-42"/>
    <d v="2026-07-13T00:00:00"/>
    <n v="421200"/>
    <s v="USD"/>
    <x v="1"/>
    <d v="2026-07-13T00:00:00"/>
    <m/>
    <m/>
    <d v="2026-07-13T00:00:00"/>
    <n v="421200"/>
    <n v="3"/>
    <x v="1"/>
  </r>
  <r>
    <s v="1000013676"/>
    <x v="2"/>
    <x v="23"/>
    <x v="3"/>
    <d v="2026-05-17T00:00:00"/>
    <n v="8"/>
    <d v="2026-05-24T00:00:00"/>
    <n v="365.8"/>
    <s v="PEN"/>
    <x v="0"/>
    <m/>
    <m/>
    <m/>
    <d v="2026-05-24T00:00:00"/>
    <n v="107.05297044190812"/>
    <m/>
    <x v="0"/>
  </r>
  <r>
    <s v="1000013676"/>
    <x v="2"/>
    <x v="24"/>
    <x v="3"/>
    <d v="2026-05-17T00:00:00"/>
    <n v="8"/>
    <d v="2026-05-24T00:00:00"/>
    <n v="47.2"/>
    <s v="PEN"/>
    <x v="0"/>
    <m/>
    <m/>
    <m/>
    <d v="2026-05-24T00:00:00"/>
    <n v="13.813286508633306"/>
    <m/>
    <x v="0"/>
  </r>
  <r>
    <s v="1000013678"/>
    <x v="3"/>
    <x v="25"/>
    <x v="4"/>
    <d v="2026-04-27T00:00:00"/>
    <n v="0"/>
    <d v="2026-04-27T00:00:00"/>
    <n v="-218.4"/>
    <s v="PEN"/>
    <x v="0"/>
    <m/>
    <m/>
    <m/>
    <d v="2026-04-27T00:00:00"/>
    <n v="-63.915715539947328"/>
    <m/>
    <x v="0"/>
  </r>
  <r>
    <s v="1000013678"/>
    <x v="3"/>
    <x v="26"/>
    <x v="0"/>
    <d v="2026-05-21T00:00:00"/>
    <n v="4"/>
    <d v="2026-05-28T00:00:00"/>
    <n v="283.2"/>
    <s v="PEN"/>
    <x v="0"/>
    <m/>
    <m/>
    <m/>
    <d v="2026-05-28T00:00:00"/>
    <n v="82.879719051799825"/>
    <m/>
    <x v="0"/>
  </r>
  <r>
    <s v="1000013678"/>
    <x v="3"/>
    <x v="27"/>
    <x v="0"/>
    <d v="2026-05-26T00:00:00"/>
    <n v="-1"/>
    <d v="2026-06-02T00:00:00"/>
    <n v="283.2"/>
    <s v="PEN"/>
    <x v="0"/>
    <m/>
    <m/>
    <m/>
    <d v="2026-06-02T00:00:00"/>
    <n v="82.879719051799825"/>
    <m/>
    <x v="0"/>
  </r>
  <r>
    <s v="1000002057"/>
    <x v="4"/>
    <x v="28"/>
    <x v="0"/>
    <d v="2026-05-28T00:00:00"/>
    <n v="-3"/>
    <d v="2026-06-04T00:00:00"/>
    <n v="211.69"/>
    <s v="PEN"/>
    <x v="0"/>
    <m/>
    <m/>
    <m/>
    <d v="2026-06-04T00:00:00"/>
    <n v="61.952004682470005"/>
    <m/>
    <x v="0"/>
  </r>
  <r>
    <s v="1000002057"/>
    <x v="4"/>
    <x v="29"/>
    <x v="0"/>
    <d v="2026-05-28T00:00:00"/>
    <n v="-3"/>
    <d v="2026-06-04T00:00:00"/>
    <n v="35.4"/>
    <s v="PEN"/>
    <x v="0"/>
    <m/>
    <m/>
    <m/>
    <d v="2026-06-04T00:00:00"/>
    <n v="10.359964881474978"/>
    <m/>
    <x v="0"/>
  </r>
  <r>
    <s v="2000001381"/>
    <x v="5"/>
    <x v="30"/>
    <x v="2"/>
    <d v="2026-05-17T00:00:00"/>
    <n v="-30"/>
    <d v="2026-07-01T00:00:00"/>
    <n v="28150"/>
    <s v="USD"/>
    <x v="1"/>
    <d v="2026-07-01T00:00:00"/>
    <n v="-30"/>
    <d v="2026-07-01T00:00:00"/>
    <d v="2026-07-01T00:00:00"/>
    <n v="28150"/>
    <n v="15"/>
    <x v="1"/>
  </r>
  <r>
    <s v="2000001381"/>
    <x v="5"/>
    <x v="31"/>
    <x v="4"/>
    <d v="2026-05-17T00:00:00"/>
    <n v="15"/>
    <d v="2026-05-17T00:00:00"/>
    <n v="6821"/>
    <s v="USD"/>
    <x v="1"/>
    <d v="2026-07-01T00:00:00"/>
    <n v="-30"/>
    <d v="2026-07-01T00:00:00"/>
    <d v="2026-07-01T00:00:00"/>
    <n v="6821"/>
    <n v="15"/>
    <x v="1"/>
  </r>
  <r>
    <s v="2000001368"/>
    <x v="6"/>
    <x v="32"/>
    <x v="4"/>
    <d v="2026-04-27T00:00:00"/>
    <n v="-10"/>
    <d v="2026-06-11T00:00:00"/>
    <n v="311070"/>
    <s v="USD"/>
    <x v="1"/>
    <d v="2026-06-11T00:00:00"/>
    <n v="-10"/>
    <d v="2026-06-11T00:00:00"/>
    <d v="2026-06-11T00:00:00"/>
    <n v="311070"/>
    <n v="35"/>
    <x v="1"/>
  </r>
  <r>
    <s v="2000001441"/>
    <x v="7"/>
    <x v="33"/>
    <x v="1"/>
    <d v="2026-04-15T00:00:00"/>
    <n v="0"/>
    <d v="2026-04-30T00:00:00"/>
    <n v="-16145"/>
    <s v="USD"/>
    <x v="1"/>
    <d v="2026-05-30T00:00:00"/>
    <m/>
    <m/>
    <d v="2026-04-30T00:00:00"/>
    <n v="-16145"/>
    <n v="47"/>
    <x v="1"/>
  </r>
  <r>
    <s v="2000001441"/>
    <x v="7"/>
    <x v="34"/>
    <x v="2"/>
    <d v="2026-05-16T00:00:00"/>
    <n v="-29"/>
    <d v="2026-06-30T00:00:00"/>
    <n v="54080"/>
    <s v="USD"/>
    <x v="1"/>
    <d v="2026-06-30T00:00:00"/>
    <n v="-29"/>
    <d v="2026-06-30T00:00:00"/>
    <d v="2026-06-30T00:00:00"/>
    <n v="54080"/>
    <n v="16"/>
    <x v="1"/>
  </r>
  <r>
    <s v="2000001361"/>
    <x v="8"/>
    <x v="35"/>
    <x v="4"/>
    <d v="2026-04-12T00:00:00"/>
    <n v="50"/>
    <d v="2026-04-12T00:00:00"/>
    <n v="16355.92"/>
    <s v="USD"/>
    <x v="1"/>
    <d v="2026-05-27T00:00:00"/>
    <n v="5"/>
    <d v="2026-05-27T00:00:00"/>
    <d v="2026-06-15T00:00:00"/>
    <n v="16355.92"/>
    <n v="50"/>
    <x v="1"/>
  </r>
  <r>
    <s v="2000001361"/>
    <x v="8"/>
    <x v="36"/>
    <x v="2"/>
    <d v="2026-05-22T00:00:00"/>
    <n v="-35"/>
    <d v="2026-07-06T00:00:00"/>
    <n v="60536"/>
    <s v="USD"/>
    <x v="1"/>
    <d v="2026-07-06T00:00:00"/>
    <m/>
    <m/>
    <d v="2026-07-06T00:00:00"/>
    <n v="60536"/>
    <n v="10"/>
    <x v="1"/>
  </r>
  <r>
    <s v="2000001361"/>
    <x v="8"/>
    <x v="37"/>
    <x v="2"/>
    <d v="2026-05-26T00:00:00"/>
    <n v="-39"/>
    <d v="2026-07-10T00:00:00"/>
    <n v="74100"/>
    <s v="USD"/>
    <x v="1"/>
    <d v="2026-07-10T00:00:00"/>
    <m/>
    <m/>
    <d v="2026-07-10T00:00:00"/>
    <n v="74100"/>
    <n v="6"/>
    <x v="1"/>
  </r>
  <r>
    <s v="2000001398"/>
    <x v="9"/>
    <x v="38"/>
    <x v="4"/>
    <d v="2026-04-27T00:00:00"/>
    <n v="35"/>
    <d v="2026-04-27T00:00:00"/>
    <n v="19830"/>
    <s v="USD"/>
    <x v="1"/>
    <d v="2026-06-11T00:00:00"/>
    <n v="-10"/>
    <d v="2026-06-11T00:00:00"/>
    <d v="2026-06-11T00:00:00"/>
    <n v="19830"/>
    <n v="35"/>
    <x v="1"/>
  </r>
  <r>
    <s v="2000001398"/>
    <x v="9"/>
    <x v="39"/>
    <x v="4"/>
    <d v="2026-04-29T00:00:00"/>
    <n v="33"/>
    <d v="2026-04-29T00:00:00"/>
    <n v="36040"/>
    <s v="USD"/>
    <x v="1"/>
    <d v="2026-06-13T00:00:00"/>
    <n v="-12"/>
    <d v="2026-06-13T00:00:00"/>
    <d v="2026-06-13T00:00:00"/>
    <n v="36040"/>
    <n v="33"/>
    <x v="1"/>
  </r>
  <r>
    <s v="2000001398"/>
    <x v="9"/>
    <x v="40"/>
    <x v="2"/>
    <d v="2026-05-17T00:00:00"/>
    <n v="-30"/>
    <d v="2026-07-01T00:00:00"/>
    <n v="53812.5"/>
    <s v="USD"/>
    <x v="1"/>
    <d v="2026-07-01T00:00:00"/>
    <n v="-30"/>
    <d v="2026-07-01T00:00:00"/>
    <d v="2026-07-01T00:00:00"/>
    <n v="53812.5"/>
    <n v="15"/>
    <x v="1"/>
  </r>
  <r>
    <s v="1000006830"/>
    <x v="10"/>
    <x v="41"/>
    <x v="0"/>
    <d v="2026-05-06T00:00:00"/>
    <n v="19"/>
    <d v="2026-05-13T00:00:00"/>
    <n v="301.37"/>
    <s v="PEN"/>
    <x v="0"/>
    <m/>
    <m/>
    <m/>
    <d v="2026-05-13T00:00:00"/>
    <n v="88.197249048873289"/>
    <m/>
    <x v="0"/>
  </r>
  <r>
    <s v="1000006830"/>
    <x v="10"/>
    <x v="42"/>
    <x v="0"/>
    <d v="2026-05-06T00:00:00"/>
    <n v="19"/>
    <d v="2026-05-13T00:00:00"/>
    <n v="47.2"/>
    <s v="PEN"/>
    <x v="0"/>
    <m/>
    <m/>
    <m/>
    <d v="2026-05-13T00:00:00"/>
    <n v="13.813286508633306"/>
    <m/>
    <x v="0"/>
  </r>
  <r>
    <s v="1000006830"/>
    <x v="10"/>
    <x v="43"/>
    <x v="0"/>
    <d v="2026-05-06T00:00:00"/>
    <n v="19"/>
    <d v="2026-05-13T00:00:00"/>
    <n v="70.8"/>
    <s v="PEN"/>
    <x v="0"/>
    <m/>
    <m/>
    <m/>
    <d v="2026-05-13T00:00:00"/>
    <n v="20.719929762949956"/>
    <m/>
    <x v="0"/>
  </r>
  <r>
    <s v="1000006830"/>
    <x v="10"/>
    <x v="44"/>
    <x v="0"/>
    <d v="2026-05-06T00:00:00"/>
    <n v="19"/>
    <d v="2026-05-13T00:00:00"/>
    <n v="318.83999999999997"/>
    <s v="PEN"/>
    <x v="0"/>
    <m/>
    <m/>
    <m/>
    <d v="2026-05-13T00:00:00"/>
    <n v="93.309920983318705"/>
    <m/>
    <x v="0"/>
  </r>
  <r>
    <s v="1000006830"/>
    <x v="10"/>
    <x v="45"/>
    <x v="0"/>
    <d v="2026-05-06T00:00:00"/>
    <n v="19"/>
    <d v="2026-05-13T00:00:00"/>
    <n v="321.14999999999998"/>
    <s v="PEN"/>
    <x v="0"/>
    <m/>
    <m/>
    <m/>
    <d v="2026-05-13T00:00:00"/>
    <n v="93.985952589991214"/>
    <m/>
    <x v="0"/>
  </r>
  <r>
    <s v="1000006830"/>
    <x v="10"/>
    <x v="46"/>
    <x v="0"/>
    <d v="2026-05-06T00:00:00"/>
    <n v="19"/>
    <d v="2026-05-13T00:00:00"/>
    <n v="135.69999999999999"/>
    <s v="PEN"/>
    <x v="0"/>
    <m/>
    <m/>
    <m/>
    <d v="2026-05-13T00:00:00"/>
    <n v="39.713198712320747"/>
    <m/>
    <x v="0"/>
  </r>
  <r>
    <s v="1000006830"/>
    <x v="10"/>
    <x v="47"/>
    <x v="0"/>
    <d v="2026-05-07T00:00:00"/>
    <n v="18"/>
    <d v="2026-05-14T00:00:00"/>
    <n v="70.8"/>
    <s v="PEN"/>
    <x v="0"/>
    <m/>
    <m/>
    <m/>
    <d v="2026-05-14T00:00:00"/>
    <n v="20.719929762949956"/>
    <m/>
    <x v="0"/>
  </r>
  <r>
    <s v="1000006830"/>
    <x v="10"/>
    <x v="48"/>
    <x v="0"/>
    <d v="2026-05-07T00:00:00"/>
    <n v="18"/>
    <d v="2026-05-14T00:00:00"/>
    <n v="256.52999999999997"/>
    <s v="PEN"/>
    <x v="0"/>
    <m/>
    <m/>
    <m/>
    <d v="2026-05-14T00:00:00"/>
    <n v="75.074626865671632"/>
    <m/>
    <x v="0"/>
  </r>
  <r>
    <s v="1000006830"/>
    <x v="10"/>
    <x v="49"/>
    <x v="0"/>
    <d v="2026-05-08T00:00:00"/>
    <n v="17"/>
    <d v="2026-05-15T00:00:00"/>
    <n v="258.37"/>
    <s v="PEN"/>
    <x v="0"/>
    <m/>
    <m/>
    <m/>
    <d v="2026-05-15T00:00:00"/>
    <n v="75.613110916008196"/>
    <m/>
    <x v="0"/>
  </r>
  <r>
    <s v="1000006830"/>
    <x v="10"/>
    <x v="50"/>
    <x v="0"/>
    <d v="2026-05-08T00:00:00"/>
    <n v="17"/>
    <d v="2026-05-15T00:00:00"/>
    <n v="135.69999999999999"/>
    <s v="PEN"/>
    <x v="0"/>
    <m/>
    <m/>
    <m/>
    <d v="2026-05-15T00:00:00"/>
    <n v="39.713198712320747"/>
    <m/>
    <x v="0"/>
  </r>
  <r>
    <s v="1000006830"/>
    <x v="10"/>
    <x v="51"/>
    <x v="0"/>
    <d v="2026-05-11T00:00:00"/>
    <n v="14"/>
    <d v="2026-05-18T00:00:00"/>
    <n v="185.5"/>
    <s v="PEN"/>
    <x v="0"/>
    <m/>
    <m/>
    <m/>
    <d v="2026-05-18T00:00:00"/>
    <n v="54.28738659642962"/>
    <m/>
    <x v="0"/>
  </r>
  <r>
    <s v="1000006830"/>
    <x v="10"/>
    <x v="52"/>
    <x v="0"/>
    <d v="2026-05-11T00:00:00"/>
    <n v="14"/>
    <d v="2026-05-18T00:00:00"/>
    <n v="47.2"/>
    <s v="PEN"/>
    <x v="0"/>
    <m/>
    <m/>
    <m/>
    <d v="2026-05-18T00:00:00"/>
    <n v="13.813286508633306"/>
    <m/>
    <x v="0"/>
  </r>
  <r>
    <s v="1000006830"/>
    <x v="10"/>
    <x v="53"/>
    <x v="0"/>
    <d v="2026-05-12T00:00:00"/>
    <n v="13"/>
    <d v="2026-05-19T00:00:00"/>
    <n v="1310.74"/>
    <s v="PEN"/>
    <x v="0"/>
    <m/>
    <m/>
    <m/>
    <d v="2026-05-19T00:00:00"/>
    <n v="383.59379572724612"/>
    <m/>
    <x v="0"/>
  </r>
  <r>
    <s v="1000006830"/>
    <x v="10"/>
    <x v="54"/>
    <x v="0"/>
    <d v="2026-05-12T00:00:00"/>
    <n v="13"/>
    <d v="2026-05-19T00:00:00"/>
    <n v="188.8"/>
    <s v="PEN"/>
    <x v="0"/>
    <m/>
    <m/>
    <m/>
    <d v="2026-05-19T00:00:00"/>
    <n v="55.253146034533223"/>
    <m/>
    <x v="0"/>
  </r>
  <r>
    <s v="1000006830"/>
    <x v="10"/>
    <x v="55"/>
    <x v="0"/>
    <d v="2026-05-13T00:00:00"/>
    <n v="12"/>
    <d v="2026-05-20T00:00:00"/>
    <n v="550.78"/>
    <s v="PEN"/>
    <x v="0"/>
    <m/>
    <m/>
    <m/>
    <d v="2026-05-20T00:00:00"/>
    <n v="161.18817676324261"/>
    <m/>
    <x v="0"/>
  </r>
  <r>
    <s v="1000006830"/>
    <x v="10"/>
    <x v="56"/>
    <x v="0"/>
    <d v="2026-05-13T00:00:00"/>
    <n v="12"/>
    <d v="2026-05-20T00:00:00"/>
    <n v="188.8"/>
    <s v="PEN"/>
    <x v="0"/>
    <m/>
    <m/>
    <m/>
    <d v="2026-05-20T00:00:00"/>
    <n v="55.253146034533223"/>
    <m/>
    <x v="0"/>
  </r>
  <r>
    <s v="1000006830"/>
    <x v="10"/>
    <x v="57"/>
    <x v="0"/>
    <d v="2026-05-13T00:00:00"/>
    <n v="12"/>
    <d v="2026-05-20T00:00:00"/>
    <n v="730.66"/>
    <s v="PEN"/>
    <x v="0"/>
    <m/>
    <m/>
    <m/>
    <d v="2026-05-20T00:00:00"/>
    <n v="213.83084577114428"/>
    <m/>
    <x v="0"/>
  </r>
  <r>
    <s v="1000006830"/>
    <x v="10"/>
    <x v="58"/>
    <x v="0"/>
    <d v="2026-05-13T00:00:00"/>
    <n v="12"/>
    <d v="2026-05-20T00:00:00"/>
    <n v="94.4"/>
    <s v="PEN"/>
    <x v="0"/>
    <m/>
    <m/>
    <m/>
    <d v="2026-05-20T00:00:00"/>
    <n v="27.626573017266612"/>
    <m/>
    <x v="0"/>
  </r>
  <r>
    <s v="1000006830"/>
    <x v="10"/>
    <x v="59"/>
    <x v="0"/>
    <d v="2026-05-13T00:00:00"/>
    <n v="12"/>
    <d v="2026-05-20T00:00:00"/>
    <n v="635.36"/>
    <s v="PEN"/>
    <x v="0"/>
    <m/>
    <m/>
    <m/>
    <d v="2026-05-20T00:00:00"/>
    <n v="185.94088381621307"/>
    <m/>
    <x v="0"/>
  </r>
  <r>
    <s v="1000006830"/>
    <x v="10"/>
    <x v="60"/>
    <x v="0"/>
    <d v="2026-05-13T00:00:00"/>
    <n v="12"/>
    <d v="2026-05-20T00:00:00"/>
    <n v="212.4"/>
    <s v="PEN"/>
    <x v="0"/>
    <m/>
    <m/>
    <m/>
    <d v="2026-05-20T00:00:00"/>
    <n v="62.159789288849872"/>
    <m/>
    <x v="0"/>
  </r>
  <r>
    <s v="1000006830"/>
    <x v="10"/>
    <x v="61"/>
    <x v="0"/>
    <d v="2026-05-14T00:00:00"/>
    <n v="11"/>
    <d v="2026-05-21T00:00:00"/>
    <n v="318.36"/>
    <s v="PEN"/>
    <x v="0"/>
    <m/>
    <m/>
    <m/>
    <d v="2026-05-21T00:00:00"/>
    <n v="93.169446883230918"/>
    <m/>
    <x v="0"/>
  </r>
  <r>
    <s v="1000006830"/>
    <x v="10"/>
    <x v="62"/>
    <x v="0"/>
    <d v="2026-05-14T00:00:00"/>
    <n v="11"/>
    <d v="2026-05-21T00:00:00"/>
    <n v="47.2"/>
    <s v="PEN"/>
    <x v="0"/>
    <m/>
    <m/>
    <m/>
    <d v="2026-05-21T00:00:00"/>
    <n v="13.813286508633306"/>
    <m/>
    <x v="0"/>
  </r>
  <r>
    <s v="1000006830"/>
    <x v="10"/>
    <x v="63"/>
    <x v="0"/>
    <d v="2026-05-14T00:00:00"/>
    <n v="11"/>
    <d v="2026-05-21T00:00:00"/>
    <n v="657.5"/>
    <s v="PEN"/>
    <x v="0"/>
    <m/>
    <m/>
    <m/>
    <d v="2026-05-21T00:00:00"/>
    <n v="192.42025168276265"/>
    <m/>
    <x v="0"/>
  </r>
  <r>
    <s v="1000006830"/>
    <x v="10"/>
    <x v="64"/>
    <x v="0"/>
    <d v="2026-05-14T00:00:00"/>
    <n v="11"/>
    <d v="2026-05-21T00:00:00"/>
    <n v="194.7"/>
    <s v="PEN"/>
    <x v="0"/>
    <m/>
    <m/>
    <m/>
    <d v="2026-05-21T00:00:00"/>
    <n v="56.979806848112382"/>
    <m/>
    <x v="0"/>
  </r>
  <r>
    <s v="1000006830"/>
    <x v="10"/>
    <x v="65"/>
    <x v="0"/>
    <d v="2026-05-15T00:00:00"/>
    <n v="10"/>
    <d v="2026-05-22T00:00:00"/>
    <n v="1100.47"/>
    <s v="PEN"/>
    <x v="0"/>
    <m/>
    <m/>
    <m/>
    <d v="2026-05-22T00:00:00"/>
    <n v="322.05736025753589"/>
    <m/>
    <x v="0"/>
  </r>
  <r>
    <s v="1000006830"/>
    <x v="10"/>
    <x v="66"/>
    <x v="0"/>
    <d v="2026-05-15T00:00:00"/>
    <n v="10"/>
    <d v="2026-05-22T00:00:00"/>
    <n v="118"/>
    <s v="PEN"/>
    <x v="0"/>
    <m/>
    <m/>
    <m/>
    <d v="2026-05-22T00:00:00"/>
    <n v="34.533216271583264"/>
    <m/>
    <x v="0"/>
  </r>
  <r>
    <s v="1000006830"/>
    <x v="10"/>
    <x v="67"/>
    <x v="0"/>
    <d v="2026-05-15T00:00:00"/>
    <n v="10"/>
    <d v="2026-05-22T00:00:00"/>
    <n v="577.87"/>
    <s v="PEN"/>
    <x v="0"/>
    <m/>
    <m/>
    <m/>
    <d v="2026-05-22T00:00:00"/>
    <n v="169.11618378694763"/>
    <m/>
    <x v="0"/>
  </r>
  <r>
    <s v="1000006830"/>
    <x v="10"/>
    <x v="68"/>
    <x v="0"/>
    <d v="2026-05-15T00:00:00"/>
    <n v="10"/>
    <d v="2026-05-22T00:00:00"/>
    <n v="159.30000000000001"/>
    <s v="PEN"/>
    <x v="0"/>
    <m/>
    <m/>
    <m/>
    <d v="2026-05-22T00:00:00"/>
    <n v="46.619841966637409"/>
    <m/>
    <x v="0"/>
  </r>
  <r>
    <s v="1000006830"/>
    <x v="10"/>
    <x v="69"/>
    <x v="0"/>
    <d v="2026-05-16T00:00:00"/>
    <n v="9"/>
    <d v="2026-05-23T00:00:00"/>
    <n v="1361.72"/>
    <s v="PEN"/>
    <x v="0"/>
    <m/>
    <m/>
    <m/>
    <d v="2026-05-23T00:00:00"/>
    <n v="398.51331577407086"/>
    <m/>
    <x v="0"/>
  </r>
  <r>
    <s v="1000006830"/>
    <x v="10"/>
    <x v="70"/>
    <x v="0"/>
    <d v="2026-05-16T00:00:00"/>
    <n v="9"/>
    <d v="2026-05-23T00:00:00"/>
    <n v="141.6"/>
    <s v="PEN"/>
    <x v="0"/>
    <m/>
    <m/>
    <m/>
    <d v="2026-05-23T00:00:00"/>
    <n v="41.439859525899912"/>
    <m/>
    <x v="0"/>
  </r>
  <r>
    <s v="1000006830"/>
    <x v="10"/>
    <x v="71"/>
    <x v="0"/>
    <d v="2026-05-17T00:00:00"/>
    <n v="8"/>
    <d v="2026-05-24T00:00:00"/>
    <n v="1001.35"/>
    <s v="PEN"/>
    <x v="0"/>
    <m/>
    <m/>
    <m/>
    <d v="2026-05-24T00:00:00"/>
    <n v="293.04945858940596"/>
    <m/>
    <x v="0"/>
  </r>
  <r>
    <s v="1000006830"/>
    <x v="10"/>
    <x v="72"/>
    <x v="0"/>
    <d v="2026-05-17T00:00:00"/>
    <n v="8"/>
    <d v="2026-05-24T00:00:00"/>
    <n v="106.2"/>
    <s v="PEN"/>
    <x v="0"/>
    <m/>
    <m/>
    <m/>
    <d v="2026-05-24T00:00:00"/>
    <n v="31.079894644424936"/>
    <m/>
    <x v="0"/>
  </r>
  <r>
    <s v="1000006830"/>
    <x v="10"/>
    <x v="73"/>
    <x v="0"/>
    <d v="2026-05-18T00:00:00"/>
    <n v="7"/>
    <d v="2026-05-25T00:00:00"/>
    <n v="413.99"/>
    <s v="PEN"/>
    <x v="0"/>
    <m/>
    <m/>
    <m/>
    <d v="2026-05-25T00:00:00"/>
    <n v="121.15598478197251"/>
    <m/>
    <x v="0"/>
  </r>
  <r>
    <s v="1000006830"/>
    <x v="10"/>
    <x v="74"/>
    <x v="0"/>
    <d v="2026-05-18T00:00:00"/>
    <n v="7"/>
    <d v="2026-05-25T00:00:00"/>
    <n v="135.69999999999999"/>
    <s v="PEN"/>
    <x v="0"/>
    <m/>
    <m/>
    <m/>
    <d v="2026-05-25T00:00:00"/>
    <n v="39.713198712320747"/>
    <m/>
    <x v="0"/>
  </r>
  <r>
    <s v="1000006830"/>
    <x v="10"/>
    <x v="75"/>
    <x v="0"/>
    <d v="2026-05-18T00:00:00"/>
    <n v="7"/>
    <d v="2026-05-25T00:00:00"/>
    <n v="1158.52"/>
    <s v="PEN"/>
    <x v="0"/>
    <m/>
    <m/>
    <m/>
    <d v="2026-05-25T00:00:00"/>
    <n v="339.04594673690372"/>
    <m/>
    <x v="0"/>
  </r>
  <r>
    <s v="1000006830"/>
    <x v="10"/>
    <x v="76"/>
    <x v="0"/>
    <d v="2026-05-18T00:00:00"/>
    <n v="7"/>
    <d v="2026-05-25T00:00:00"/>
    <n v="106.2"/>
    <s v="PEN"/>
    <x v="0"/>
    <m/>
    <m/>
    <m/>
    <d v="2026-05-25T00:00:00"/>
    <n v="31.079894644424936"/>
    <m/>
    <x v="0"/>
  </r>
  <r>
    <s v="1000006830"/>
    <x v="10"/>
    <x v="77"/>
    <x v="0"/>
    <d v="2026-05-19T00:00:00"/>
    <n v="6"/>
    <d v="2026-05-26T00:00:00"/>
    <n v="388.46"/>
    <s v="PEN"/>
    <x v="0"/>
    <m/>
    <m/>
    <m/>
    <d v="2026-05-26T00:00:00"/>
    <n v="113.68451858355283"/>
    <m/>
    <x v="0"/>
  </r>
  <r>
    <s v="1000006830"/>
    <x v="10"/>
    <x v="78"/>
    <x v="0"/>
    <d v="2026-05-19T00:00:00"/>
    <n v="6"/>
    <d v="2026-05-26T00:00:00"/>
    <n v="47.2"/>
    <s v="PEN"/>
    <x v="0"/>
    <m/>
    <m/>
    <m/>
    <d v="2026-05-26T00:00:00"/>
    <n v="13.813286508633306"/>
    <m/>
    <x v="0"/>
  </r>
  <r>
    <s v="1000006830"/>
    <x v="10"/>
    <x v="79"/>
    <x v="0"/>
    <d v="2026-05-20T00:00:00"/>
    <n v="5"/>
    <d v="2026-05-27T00:00:00"/>
    <n v="381.14"/>
    <s v="PEN"/>
    <x v="0"/>
    <m/>
    <m/>
    <m/>
    <d v="2026-05-27T00:00:00"/>
    <n v="111.54228855721394"/>
    <m/>
    <x v="0"/>
  </r>
  <r>
    <s v="1000006830"/>
    <x v="10"/>
    <x v="80"/>
    <x v="0"/>
    <d v="2026-05-20T00:00:00"/>
    <n v="5"/>
    <d v="2026-05-27T00:00:00"/>
    <n v="47.2"/>
    <s v="PEN"/>
    <x v="0"/>
    <m/>
    <m/>
    <m/>
    <d v="2026-05-27T00:00:00"/>
    <n v="13.813286508633306"/>
    <m/>
    <x v="0"/>
  </r>
  <r>
    <s v="1000006830"/>
    <x v="10"/>
    <x v="81"/>
    <x v="0"/>
    <d v="2026-05-21T00:00:00"/>
    <n v="4"/>
    <d v="2026-05-28T00:00:00"/>
    <n v="581.5"/>
    <s v="PEN"/>
    <x v="0"/>
    <m/>
    <m/>
    <m/>
    <d v="2026-05-28T00:00:00"/>
    <n v="170.17851916886158"/>
    <m/>
    <x v="0"/>
  </r>
  <r>
    <s v="1000006830"/>
    <x v="10"/>
    <x v="82"/>
    <x v="0"/>
    <d v="2026-05-21T00:00:00"/>
    <n v="4"/>
    <d v="2026-05-28T00:00:00"/>
    <n v="153.4"/>
    <s v="PEN"/>
    <x v="0"/>
    <m/>
    <m/>
    <m/>
    <d v="2026-05-28T00:00:00"/>
    <n v="44.893181153058244"/>
    <m/>
    <x v="0"/>
  </r>
  <r>
    <s v="1000006830"/>
    <x v="10"/>
    <x v="83"/>
    <x v="0"/>
    <d v="2026-05-25T00:00:00"/>
    <n v="0"/>
    <d v="2026-06-01T00:00:00"/>
    <n v="237.23"/>
    <s v="PEN"/>
    <x v="0"/>
    <m/>
    <m/>
    <m/>
    <d v="2026-06-01T00:00:00"/>
    <n v="69.426397424641493"/>
    <m/>
    <x v="0"/>
  </r>
  <r>
    <s v="1000006830"/>
    <x v="10"/>
    <x v="84"/>
    <x v="0"/>
    <d v="2026-05-25T00:00:00"/>
    <n v="0"/>
    <d v="2026-06-01T00:00:00"/>
    <n v="135.69999999999999"/>
    <s v="PEN"/>
    <x v="0"/>
    <m/>
    <m/>
    <m/>
    <d v="2026-06-01T00:00:00"/>
    <n v="39.713198712320747"/>
    <m/>
    <x v="0"/>
  </r>
  <r>
    <s v="1000006830"/>
    <x v="10"/>
    <x v="85"/>
    <x v="0"/>
    <d v="2026-05-26T00:00:00"/>
    <n v="-1"/>
    <d v="2026-06-02T00:00:00"/>
    <n v="303.97000000000003"/>
    <s v="PEN"/>
    <x v="0"/>
    <m/>
    <m/>
    <m/>
    <d v="2026-06-02T00:00:00"/>
    <n v="88.958150424348858"/>
    <m/>
    <x v="0"/>
  </r>
  <r>
    <s v="1000006830"/>
    <x v="10"/>
    <x v="86"/>
    <x v="0"/>
    <d v="2026-05-26T00:00:00"/>
    <n v="-1"/>
    <d v="2026-06-02T00:00:00"/>
    <n v="47.2"/>
    <s v="PEN"/>
    <x v="0"/>
    <m/>
    <m/>
    <m/>
    <d v="2026-06-02T00:00:00"/>
    <n v="13.813286508633306"/>
    <m/>
    <x v="0"/>
  </r>
  <r>
    <s v="1000006830"/>
    <x v="10"/>
    <x v="87"/>
    <x v="0"/>
    <d v="2026-05-26T00:00:00"/>
    <n v="-1"/>
    <d v="2026-06-02T00:00:00"/>
    <n v="587.78"/>
    <s v="PEN"/>
    <x v="0"/>
    <m/>
    <m/>
    <m/>
    <d v="2026-06-02T00:00:00"/>
    <n v="172.01638864501024"/>
    <m/>
    <x v="0"/>
  </r>
  <r>
    <s v="1000006830"/>
    <x v="10"/>
    <x v="88"/>
    <x v="0"/>
    <d v="2026-05-26T00:00:00"/>
    <n v="-1"/>
    <d v="2026-06-02T00:00:00"/>
    <n v="159.30000000000001"/>
    <s v="PEN"/>
    <x v="0"/>
    <m/>
    <m/>
    <m/>
    <d v="2026-06-02T00:00:00"/>
    <n v="46.619841966637409"/>
    <m/>
    <x v="0"/>
  </r>
  <r>
    <s v="1000006830"/>
    <x v="10"/>
    <x v="89"/>
    <x v="0"/>
    <d v="2026-05-28T00:00:00"/>
    <n v="-3"/>
    <d v="2026-06-04T00:00:00"/>
    <n v="188.8"/>
    <s v="PEN"/>
    <x v="0"/>
    <m/>
    <m/>
    <m/>
    <d v="2026-06-04T00:00:00"/>
    <n v="55.253146034533223"/>
    <m/>
    <x v="0"/>
  </r>
  <r>
    <s v="1000006830"/>
    <x v="10"/>
    <x v="90"/>
    <x v="0"/>
    <d v="2026-05-28T00:00:00"/>
    <n v="-3"/>
    <d v="2026-06-04T00:00:00"/>
    <n v="47.2"/>
    <s v="PEN"/>
    <x v="0"/>
    <m/>
    <m/>
    <m/>
    <d v="2026-06-04T00:00:00"/>
    <n v="13.813286508633306"/>
    <m/>
    <x v="0"/>
  </r>
  <r>
    <s v="1000006830"/>
    <x v="10"/>
    <x v="91"/>
    <x v="0"/>
    <d v="2026-05-29T00:00:00"/>
    <n v="-4"/>
    <d v="2026-06-05T00:00:00"/>
    <n v="333.7"/>
    <s v="PEN"/>
    <x v="0"/>
    <m/>
    <m/>
    <m/>
    <d v="2026-06-05T00:00:00"/>
    <n v="97.658764998536725"/>
    <m/>
    <x v="0"/>
  </r>
  <r>
    <s v="1000006830"/>
    <x v="10"/>
    <x v="92"/>
    <x v="0"/>
    <d v="2026-05-29T00:00:00"/>
    <n v="-4"/>
    <d v="2026-06-05T00:00:00"/>
    <n v="153.4"/>
    <s v="PEN"/>
    <x v="0"/>
    <m/>
    <m/>
    <m/>
    <d v="2026-06-05T00:00:00"/>
    <n v="44.893181153058244"/>
    <m/>
    <x v="0"/>
  </r>
  <r>
    <s v="2000001172"/>
    <x v="11"/>
    <x v="93"/>
    <x v="1"/>
    <d v="2026-04-28T00:00:00"/>
    <n v="0"/>
    <d v="2026-04-30T00:00:00"/>
    <n v="-36224"/>
    <s v="USD"/>
    <x v="1"/>
    <d v="2026-06-12T00:00:00"/>
    <m/>
    <m/>
    <d v="2026-04-30T00:00:00"/>
    <n v="-36224"/>
    <n v="34"/>
    <x v="1"/>
  </r>
  <r>
    <s v="2000001172"/>
    <x v="11"/>
    <x v="94"/>
    <x v="1"/>
    <d v="2026-05-13T00:00:00"/>
    <n v="0"/>
    <d v="2026-05-31T00:00:00"/>
    <n v="-36370"/>
    <s v="USD"/>
    <x v="1"/>
    <d v="2026-06-27T00:00:00"/>
    <m/>
    <m/>
    <d v="2026-05-31T00:00:00"/>
    <n v="-36370"/>
    <n v="19"/>
    <x v="1"/>
  </r>
  <r>
    <s v="2000001172"/>
    <x v="11"/>
    <x v="95"/>
    <x v="5"/>
    <d v="2026-05-19T00:00:00"/>
    <n v="13"/>
    <d v="2026-05-19T00:00:00"/>
    <n v="-254051.7"/>
    <s v="USD"/>
    <x v="1"/>
    <d v="2026-07-03T00:00:00"/>
    <m/>
    <m/>
    <d v="2026-05-19T00:00:00"/>
    <n v="-254051.7"/>
    <n v="13"/>
    <x v="1"/>
  </r>
  <r>
    <s v="2000001172"/>
    <x v="11"/>
    <x v="96"/>
    <x v="2"/>
    <d v="2026-05-22T00:00:00"/>
    <n v="-35"/>
    <d v="2026-07-06T00:00:00"/>
    <n v="34720"/>
    <s v="USD"/>
    <x v="1"/>
    <d v="2026-07-06T00:00:00"/>
    <m/>
    <m/>
    <d v="2026-07-06T00:00:00"/>
    <n v="34720"/>
    <n v="10"/>
    <x v="1"/>
  </r>
  <r>
    <s v="2000001173"/>
    <x v="12"/>
    <x v="97"/>
    <x v="2"/>
    <d v="2026-05-19T00:00:00"/>
    <n v="-32"/>
    <d v="2026-07-03T00:00:00"/>
    <n v="299700"/>
    <s v="USD"/>
    <x v="1"/>
    <d v="2026-07-03T00:00:00"/>
    <n v="-32"/>
    <d v="2026-07-03T00:00:00"/>
    <d v="2026-07-03T00:00:00"/>
    <n v="299700"/>
    <n v="13"/>
    <x v="1"/>
  </r>
  <r>
    <s v="2000000231"/>
    <x v="13"/>
    <x v="98"/>
    <x v="2"/>
    <d v="2026-04-26T00:00:00"/>
    <n v="-9"/>
    <d v="2026-06-10T00:00:00"/>
    <n v="105300"/>
    <s v="USD"/>
    <x v="1"/>
    <d v="2026-06-10T00:00:00"/>
    <n v="-9"/>
    <d v="2026-06-10T00:00:00"/>
    <d v="2026-06-10T00:00:00"/>
    <n v="105300"/>
    <n v="36"/>
    <x v="1"/>
  </r>
  <r>
    <s v="2000000231"/>
    <x v="13"/>
    <x v="99"/>
    <x v="2"/>
    <d v="2026-05-12T00:00:00"/>
    <n v="-25"/>
    <d v="2026-06-26T00:00:00"/>
    <n v="420417"/>
    <s v="USD"/>
    <x v="1"/>
    <d v="2026-06-26T00:00:00"/>
    <n v="-25"/>
    <d v="2026-06-26T00:00:00"/>
    <d v="2026-06-26T00:00:00"/>
    <n v="420417"/>
    <n v="20"/>
    <x v="1"/>
  </r>
  <r>
    <s v="2000000231"/>
    <x v="13"/>
    <x v="100"/>
    <x v="2"/>
    <d v="2026-05-22T00:00:00"/>
    <n v="-35"/>
    <d v="2026-07-06T00:00:00"/>
    <n v="103806"/>
    <s v="USD"/>
    <x v="1"/>
    <d v="2026-07-06T00:00:00"/>
    <n v="-35"/>
    <d v="2026-07-06T00:00:00"/>
    <d v="2026-07-06T00:00:00"/>
    <n v="103806"/>
    <n v="10"/>
    <x v="1"/>
  </r>
  <r>
    <s v="2000000231"/>
    <x v="13"/>
    <x v="101"/>
    <x v="2"/>
    <d v="2026-05-24T00:00:00"/>
    <n v="-37"/>
    <d v="2026-07-08T00:00:00"/>
    <n v="104872.5"/>
    <s v="USD"/>
    <x v="1"/>
    <d v="2026-07-08T00:00:00"/>
    <m/>
    <m/>
    <d v="2026-07-08T00:00:00"/>
    <n v="104872.5"/>
    <n v="8"/>
    <x v="1"/>
  </r>
  <r>
    <s v="2000000231"/>
    <x v="13"/>
    <x v="102"/>
    <x v="2"/>
    <d v="2026-05-24T00:00:00"/>
    <n v="-37"/>
    <d v="2026-07-08T00:00:00"/>
    <n v="421200"/>
    <s v="USD"/>
    <x v="1"/>
    <d v="2026-07-08T00:00:00"/>
    <m/>
    <m/>
    <d v="2026-07-08T00:00:00"/>
    <n v="421200"/>
    <n v="8"/>
    <x v="1"/>
  </r>
  <r>
    <s v="2000000231"/>
    <x v="13"/>
    <x v="103"/>
    <x v="2"/>
    <d v="2026-05-29T00:00:00"/>
    <n v="-42"/>
    <d v="2026-07-13T00:00:00"/>
    <n v="104161.5"/>
    <s v="USD"/>
    <x v="1"/>
    <d v="2026-07-13T00:00:00"/>
    <m/>
    <m/>
    <d v="2026-07-13T00:00:00"/>
    <n v="104161.5"/>
    <n v="3"/>
    <x v="1"/>
  </r>
  <r>
    <s v="2000000231"/>
    <x v="13"/>
    <x v="104"/>
    <x v="2"/>
    <d v="2026-05-29T00:00:00"/>
    <n v="-42"/>
    <d v="2026-07-13T00:00:00"/>
    <n v="105300"/>
    <s v="USD"/>
    <x v="1"/>
    <d v="2026-07-13T00:00:00"/>
    <m/>
    <m/>
    <d v="2026-07-13T00:00:00"/>
    <n v="105300"/>
    <n v="3"/>
    <x v="1"/>
  </r>
  <r>
    <s v="2000000233"/>
    <x v="14"/>
    <x v="105"/>
    <x v="1"/>
    <d v="2026-05-13T00:00:00"/>
    <n v="0"/>
    <d v="2026-05-31T00:00:00"/>
    <n v="-223726"/>
    <s v="USD"/>
    <x v="1"/>
    <d v="2026-06-27T00:00:00"/>
    <m/>
    <m/>
    <d v="2026-05-31T00:00:00"/>
    <n v="-223726"/>
    <n v="19"/>
    <x v="1"/>
  </r>
  <r>
    <s v="2000000233"/>
    <x v="14"/>
    <x v="106"/>
    <x v="2"/>
    <d v="2026-05-24T00:00:00"/>
    <n v="-37"/>
    <d v="2026-07-08T00:00:00"/>
    <n v="436320"/>
    <s v="USD"/>
    <x v="1"/>
    <d v="2026-07-08T00:00:00"/>
    <m/>
    <m/>
    <d v="2026-07-08T00:00:00"/>
    <n v="436320"/>
    <n v="8"/>
    <x v="1"/>
  </r>
  <r>
    <s v="2000000233"/>
    <x v="14"/>
    <x v="107"/>
    <x v="2"/>
    <d v="2026-05-29T00:00:00"/>
    <n v="-42"/>
    <d v="2026-07-13T00:00:00"/>
    <n v="54540"/>
    <s v="USD"/>
    <x v="1"/>
    <d v="2026-07-13T00:00:00"/>
    <m/>
    <m/>
    <d v="2026-07-13T00:00:00"/>
    <n v="54540"/>
    <n v="3"/>
    <x v="1"/>
  </r>
  <r>
    <s v="2000001409"/>
    <x v="15"/>
    <x v="25"/>
    <x v="4"/>
    <d v="2026-04-26T00:00:00"/>
    <n v="0"/>
    <d v="2026-04-26T00:00:00"/>
    <n v="-4560"/>
    <s v="USD"/>
    <x v="1"/>
    <d v="2026-06-10T00:00:00"/>
    <m/>
    <m/>
    <d v="2026-04-26T00:00:00"/>
    <n v="-4560"/>
    <n v="36"/>
    <x v="1"/>
  </r>
  <r>
    <s v="2000001409"/>
    <x v="15"/>
    <x v="108"/>
    <x v="2"/>
    <d v="2026-04-29T00:00:00"/>
    <n v="-12"/>
    <d v="2026-06-13T00:00:00"/>
    <n v="396900"/>
    <s v="USD"/>
    <x v="1"/>
    <d v="2026-06-13T00:00:00"/>
    <n v="-12"/>
    <d v="2026-06-13T00:00:00"/>
    <d v="2026-06-13T00:00:00"/>
    <n v="396900"/>
    <n v="33"/>
    <x v="1"/>
  </r>
  <r>
    <s v="2000001409"/>
    <x v="15"/>
    <x v="109"/>
    <x v="2"/>
    <d v="2026-05-17T00:00:00"/>
    <n v="-30"/>
    <d v="2026-07-01T00:00:00"/>
    <n v="113820"/>
    <s v="USD"/>
    <x v="1"/>
    <d v="2026-07-01T00:00:00"/>
    <n v="-30"/>
    <d v="2026-07-01T00:00:00"/>
    <d v="2026-07-01T00:00:00"/>
    <n v="113820"/>
    <n v="15"/>
    <x v="1"/>
  </r>
  <r>
    <s v="2000001409"/>
    <x v="15"/>
    <x v="110"/>
    <x v="2"/>
    <d v="2026-05-22T00:00:00"/>
    <n v="-35"/>
    <d v="2026-07-06T00:00:00"/>
    <n v="56280"/>
    <s v="USD"/>
    <x v="1"/>
    <d v="2026-07-06T00:00:00"/>
    <n v="-35"/>
    <d v="2026-07-06T00:00:00"/>
    <d v="2026-07-06T00:00:00"/>
    <n v="56280"/>
    <n v="10"/>
    <x v="1"/>
  </r>
  <r>
    <s v="2000001409"/>
    <x v="15"/>
    <x v="111"/>
    <x v="2"/>
    <d v="2026-05-24T00:00:00"/>
    <n v="-37"/>
    <d v="2026-07-08T00:00:00"/>
    <n v="113400"/>
    <s v="USD"/>
    <x v="1"/>
    <d v="2026-07-08T00:00:00"/>
    <m/>
    <m/>
    <d v="2026-07-08T00:00:00"/>
    <n v="113400"/>
    <n v="8"/>
    <x v="1"/>
  </r>
  <r>
    <s v="2000001409"/>
    <x v="15"/>
    <x v="112"/>
    <x v="2"/>
    <d v="2026-05-29T00:00:00"/>
    <n v="-42"/>
    <d v="2026-07-13T00:00:00"/>
    <n v="56700"/>
    <s v="USD"/>
    <x v="1"/>
    <d v="2026-07-13T00:00:00"/>
    <m/>
    <m/>
    <d v="2026-07-13T00:00:00"/>
    <n v="56700"/>
    <n v="3"/>
    <x v="1"/>
  </r>
  <r>
    <s v="6002007"/>
    <x v="16"/>
    <x v="113"/>
    <x v="0"/>
    <d v="2025-11-03T00:00:00"/>
    <n v="203"/>
    <d v="2025-11-10T00:00:00"/>
    <n v="1403.26"/>
    <s v="PEN"/>
    <x v="0"/>
    <m/>
    <m/>
    <m/>
    <d v="2025-11-10T00:00:00"/>
    <n v="410.67017851916887"/>
    <m/>
    <x v="0"/>
  </r>
  <r>
    <s v="6002007"/>
    <x v="16"/>
    <x v="114"/>
    <x v="0"/>
    <d v="2025-11-03T00:00:00"/>
    <n v="203"/>
    <d v="2025-11-10T00:00:00"/>
    <n v="141.6"/>
    <s v="PEN"/>
    <x v="0"/>
    <m/>
    <m/>
    <m/>
    <d v="2025-11-10T00:00:00"/>
    <n v="41.439859525899912"/>
    <m/>
    <x v="0"/>
  </r>
  <r>
    <s v="6002007"/>
    <x v="16"/>
    <x v="115"/>
    <x v="0"/>
    <d v="2025-11-06T00:00:00"/>
    <n v="200"/>
    <d v="2025-11-13T00:00:00"/>
    <n v="1193.22"/>
    <s v="PEN"/>
    <x v="0"/>
    <m/>
    <m/>
    <m/>
    <d v="2025-11-13T00:00:00"/>
    <n v="349.20105355575066"/>
    <m/>
    <x v="0"/>
  </r>
  <r>
    <s v="6002007"/>
    <x v="16"/>
    <x v="116"/>
    <x v="0"/>
    <d v="2025-11-06T00:00:00"/>
    <n v="200"/>
    <d v="2025-11-13T00:00:00"/>
    <n v="106.2"/>
    <s v="PEN"/>
    <x v="0"/>
    <m/>
    <m/>
    <m/>
    <d v="2025-11-13T00:00:00"/>
    <n v="31.079894644424936"/>
    <m/>
    <x v="0"/>
  </r>
  <r>
    <s v="6002007"/>
    <x v="16"/>
    <x v="117"/>
    <x v="0"/>
    <d v="2026-05-06T00:00:00"/>
    <n v="19"/>
    <d v="2026-05-13T00:00:00"/>
    <n v="23.6"/>
    <s v="PEN"/>
    <x v="0"/>
    <m/>
    <m/>
    <m/>
    <d v="2026-05-13T00:00:00"/>
    <n v="6.9066432543166529"/>
    <m/>
    <x v="0"/>
  </r>
  <r>
    <s v="6002007"/>
    <x v="16"/>
    <x v="118"/>
    <x v="0"/>
    <d v="2026-05-06T00:00:00"/>
    <n v="19"/>
    <d v="2026-05-13T00:00:00"/>
    <n v="261.49"/>
    <s v="PEN"/>
    <x v="0"/>
    <m/>
    <m/>
    <m/>
    <d v="2026-05-13T00:00:00"/>
    <n v="76.526192566578871"/>
    <m/>
    <x v="0"/>
  </r>
  <r>
    <s v="6002007"/>
    <x v="16"/>
    <x v="119"/>
    <x v="0"/>
    <d v="2026-05-06T00:00:00"/>
    <n v="19"/>
    <d v="2026-05-13T00:00:00"/>
    <n v="387.51"/>
    <s v="PEN"/>
    <x v="0"/>
    <m/>
    <m/>
    <m/>
    <d v="2026-05-13T00:00:00"/>
    <n v="113.40649692712907"/>
    <m/>
    <x v="0"/>
  </r>
  <r>
    <s v="6002007"/>
    <x v="16"/>
    <x v="120"/>
    <x v="0"/>
    <d v="2026-05-06T00:00:00"/>
    <n v="19"/>
    <d v="2026-05-13T00:00:00"/>
    <n v="35.4"/>
    <s v="PEN"/>
    <x v="0"/>
    <m/>
    <m/>
    <m/>
    <d v="2026-05-13T00:00:00"/>
    <n v="10.359964881474978"/>
    <m/>
    <x v="0"/>
  </r>
  <r>
    <s v="6002007"/>
    <x v="16"/>
    <x v="121"/>
    <x v="0"/>
    <d v="2026-05-12T00:00:00"/>
    <n v="13"/>
    <d v="2026-05-19T00:00:00"/>
    <n v="482.86"/>
    <s v="PEN"/>
    <x v="0"/>
    <m/>
    <m/>
    <m/>
    <d v="2026-05-19T00:00:00"/>
    <n v="141.31109160081945"/>
    <m/>
    <x v="0"/>
  </r>
  <r>
    <s v="6002007"/>
    <x v="16"/>
    <x v="122"/>
    <x v="0"/>
    <d v="2026-05-12T00:00:00"/>
    <n v="13"/>
    <d v="2026-05-19T00:00:00"/>
    <n v="47.2"/>
    <s v="PEN"/>
    <x v="0"/>
    <m/>
    <m/>
    <m/>
    <d v="2026-05-19T00:00:00"/>
    <n v="13.813286508633306"/>
    <m/>
    <x v="0"/>
  </r>
  <r>
    <s v="6002007"/>
    <x v="16"/>
    <x v="123"/>
    <x v="0"/>
    <d v="2026-05-16T00:00:00"/>
    <n v="9"/>
    <d v="2026-05-23T00:00:00"/>
    <n v="544.45000000000005"/>
    <s v="PEN"/>
    <x v="0"/>
    <m/>
    <m/>
    <m/>
    <d v="2026-05-23T00:00:00"/>
    <n v="159.33567456833481"/>
    <m/>
    <x v="0"/>
  </r>
  <r>
    <s v="6002007"/>
    <x v="16"/>
    <x v="124"/>
    <x v="0"/>
    <d v="2026-05-16T00:00:00"/>
    <n v="9"/>
    <d v="2026-05-23T00:00:00"/>
    <n v="47.2"/>
    <s v="PEN"/>
    <x v="0"/>
    <m/>
    <m/>
    <m/>
    <d v="2026-05-23T00:00:00"/>
    <n v="13.813286508633306"/>
    <m/>
    <x v="0"/>
  </r>
  <r>
    <s v="6002007"/>
    <x v="16"/>
    <x v="125"/>
    <x v="0"/>
    <d v="2026-05-27T00:00:00"/>
    <n v="-2"/>
    <d v="2026-06-03T00:00:00"/>
    <n v="591.65"/>
    <s v="PEN"/>
    <x v="0"/>
    <m/>
    <m/>
    <m/>
    <d v="2026-06-03T00:00:00"/>
    <n v="173.14896107696811"/>
    <m/>
    <x v="0"/>
  </r>
  <r>
    <s v="6002007"/>
    <x v="16"/>
    <x v="126"/>
    <x v="0"/>
    <d v="2026-05-27T00:00:00"/>
    <n v="-2"/>
    <d v="2026-06-03T00:00:00"/>
    <n v="70.8"/>
    <s v="PEN"/>
    <x v="0"/>
    <m/>
    <m/>
    <m/>
    <d v="2026-06-03T00:00:00"/>
    <n v="20.719929762949956"/>
    <m/>
    <x v="0"/>
  </r>
  <r>
    <s v="6001105"/>
    <x v="17"/>
    <x v="127"/>
    <x v="0"/>
    <d v="2026-04-28T00:00:00"/>
    <n v="34"/>
    <d v="2026-04-28T00:00:00"/>
    <n v="59"/>
    <s v="PEN"/>
    <x v="0"/>
    <m/>
    <m/>
    <m/>
    <d v="2026-04-28T00:00:00"/>
    <n v="17.266608135791632"/>
    <m/>
    <x v="0"/>
  </r>
  <r>
    <s v="6001105"/>
    <x v="17"/>
    <x v="128"/>
    <x v="0"/>
    <d v="2026-04-28T00:00:00"/>
    <n v="34"/>
    <d v="2026-04-28T00:00:00"/>
    <n v="716.71"/>
    <s v="PEN"/>
    <x v="0"/>
    <m/>
    <m/>
    <m/>
    <d v="2026-04-28T00:00:00"/>
    <n v="209.74831723734272"/>
    <m/>
    <x v="0"/>
  </r>
  <r>
    <s v="6001105"/>
    <x v="17"/>
    <x v="129"/>
    <x v="0"/>
    <d v="2026-04-28T00:00:00"/>
    <n v="34"/>
    <d v="2026-04-28T00:00:00"/>
    <n v="129.80000000000001"/>
    <s v="PEN"/>
    <x v="0"/>
    <m/>
    <m/>
    <m/>
    <d v="2026-04-28T00:00:00"/>
    <n v="37.986537898741588"/>
    <m/>
    <x v="0"/>
  </r>
  <r>
    <s v="6001105"/>
    <x v="17"/>
    <x v="130"/>
    <x v="4"/>
    <d v="2026-04-28T00:00:00"/>
    <n v="34"/>
    <d v="2026-04-28T00:00:00"/>
    <n v="422.56"/>
    <s v="PEN"/>
    <x v="0"/>
    <m/>
    <m/>
    <m/>
    <d v="2026-04-28T00:00:00"/>
    <n v="123.66403277729003"/>
    <m/>
    <x v="0"/>
  </r>
  <r>
    <s v="6001105"/>
    <x v="17"/>
    <x v="131"/>
    <x v="0"/>
    <d v="2026-05-12T00:00:00"/>
    <n v="20"/>
    <d v="2026-05-12T00:00:00"/>
    <n v="404.98"/>
    <s v="PEN"/>
    <x v="0"/>
    <m/>
    <m/>
    <m/>
    <d v="2026-05-12T00:00:00"/>
    <n v="118.51916886157449"/>
    <m/>
    <x v="0"/>
  </r>
  <r>
    <s v="6001105"/>
    <x v="17"/>
    <x v="132"/>
    <x v="0"/>
    <d v="2026-05-12T00:00:00"/>
    <n v="20"/>
    <d v="2026-05-12T00:00:00"/>
    <n v="59"/>
    <s v="PEN"/>
    <x v="0"/>
    <m/>
    <m/>
    <m/>
    <d v="2026-05-12T00:00:00"/>
    <n v="17.266608135791632"/>
    <m/>
    <x v="0"/>
  </r>
  <r>
    <s v="6001105"/>
    <x v="17"/>
    <x v="133"/>
    <x v="0"/>
    <d v="2026-05-29T00:00:00"/>
    <n v="3"/>
    <d v="2026-05-29T00:00:00"/>
    <n v="534.29999999999995"/>
    <s v="PEN"/>
    <x v="0"/>
    <m/>
    <m/>
    <m/>
    <d v="2026-05-29T00:00:00"/>
    <n v="156.36523266022826"/>
    <m/>
    <x v="0"/>
  </r>
  <r>
    <s v="6001105"/>
    <x v="17"/>
    <x v="134"/>
    <x v="0"/>
    <d v="2026-05-29T00:00:00"/>
    <n v="3"/>
    <d v="2026-05-29T00:00:00"/>
    <n v="59"/>
    <s v="PEN"/>
    <x v="0"/>
    <m/>
    <m/>
    <m/>
    <d v="2026-05-29T00:00:00"/>
    <n v="17.266608135791632"/>
    <m/>
    <x v="0"/>
  </r>
  <r>
    <s v="2000001443"/>
    <x v="18"/>
    <x v="135"/>
    <x v="1"/>
    <d v="2026-05-06T00:00:00"/>
    <n v="0"/>
    <d v="2026-05-31T00:00:00"/>
    <n v="-33334"/>
    <s v="USD"/>
    <x v="1"/>
    <d v="2026-06-20T00:00:00"/>
    <m/>
    <m/>
    <d v="2026-05-31T00:00:00"/>
    <n v="-33334"/>
    <n v="26"/>
    <x v="1"/>
  </r>
  <r>
    <s v="2000001443"/>
    <x v="18"/>
    <x v="135"/>
    <x v="1"/>
    <d v="2026-05-06T00:00:00"/>
    <n v="0"/>
    <d v="2026-05-31T00:00:00"/>
    <n v="-16692"/>
    <s v="USD"/>
    <x v="1"/>
    <d v="2026-06-20T00:00:00"/>
    <m/>
    <m/>
    <d v="2026-05-31T00:00:00"/>
    <n v="-16692"/>
    <n v="26"/>
    <x v="1"/>
  </r>
  <r>
    <s v="2000001443"/>
    <x v="18"/>
    <x v="136"/>
    <x v="2"/>
    <d v="2026-05-29T00:00:00"/>
    <n v="-42"/>
    <d v="2026-07-13T00:00:00"/>
    <n v="83700"/>
    <s v="USD"/>
    <x v="1"/>
    <d v="2026-07-13T00:00:00"/>
    <m/>
    <m/>
    <d v="2026-07-13T00:00:00"/>
    <n v="83700"/>
    <n v="3"/>
    <x v="1"/>
  </r>
  <r>
    <s v="2000001359"/>
    <x v="19"/>
    <x v="137"/>
    <x v="2"/>
    <d v="2026-04-12T00:00:00"/>
    <n v="5"/>
    <d v="2026-05-27T00:00:00"/>
    <n v="36400"/>
    <s v="USD"/>
    <x v="1"/>
    <d v="2026-05-27T00:00:00"/>
    <n v="5"/>
    <d v="2026-05-27T00:00:00"/>
    <d v="2026-06-08T00:00:00"/>
    <n v="36400"/>
    <n v="50"/>
    <x v="2"/>
  </r>
  <r>
    <s v="2000001359"/>
    <x v="19"/>
    <x v="138"/>
    <x v="2"/>
    <d v="2026-04-12T00:00:00"/>
    <n v="-10"/>
    <d v="2026-06-11T00:00:00"/>
    <n v="80600"/>
    <s v="USD"/>
    <x v="1"/>
    <d v="2026-05-27T00:00:00"/>
    <n v="-10"/>
    <d v="2026-06-11T00:00:00"/>
    <d v="2026-06-11T00:00:00"/>
    <n v="80600"/>
    <n v="50"/>
    <x v="2"/>
  </r>
  <r>
    <s v="2000001359"/>
    <x v="19"/>
    <x v="139"/>
    <x v="2"/>
    <d v="2026-04-22T00:00:00"/>
    <n v="-5"/>
    <d v="2026-06-06T00:00:00"/>
    <n v="36400"/>
    <s v="USD"/>
    <x v="1"/>
    <d v="2026-06-06T00:00:00"/>
    <n v="-5"/>
    <d v="2026-06-06T00:00:00"/>
    <d v="2026-06-06T00:00:00"/>
    <n v="36400"/>
    <n v="40"/>
    <x v="1"/>
  </r>
  <r>
    <s v="2000001359"/>
    <x v="19"/>
    <x v="140"/>
    <x v="2"/>
    <d v="2026-04-27T00:00:00"/>
    <n v="-10"/>
    <d v="2026-06-11T00:00:00"/>
    <n v="36400"/>
    <s v="USD"/>
    <x v="1"/>
    <d v="2026-06-11T00:00:00"/>
    <n v="-10"/>
    <d v="2026-06-11T00:00:00"/>
    <d v="2026-06-11T00:00:00"/>
    <n v="36400"/>
    <n v="35"/>
    <x v="1"/>
  </r>
  <r>
    <s v="2000001359"/>
    <x v="19"/>
    <x v="141"/>
    <x v="2"/>
    <d v="2026-05-22T00:00:00"/>
    <n v="-35"/>
    <d v="2026-07-06T00:00:00"/>
    <n v="80600"/>
    <s v="USD"/>
    <x v="1"/>
    <d v="2026-07-06T00:00:00"/>
    <m/>
    <m/>
    <d v="2026-07-06T00:00:00"/>
    <n v="80600"/>
    <n v="10"/>
    <x v="1"/>
  </r>
  <r>
    <s v="1000013925"/>
    <x v="20"/>
    <x v="142"/>
    <x v="4"/>
    <d v="2025-10-21T00:00:00"/>
    <n v="223"/>
    <d v="2025-10-21T00:00:00"/>
    <n v="4460"/>
    <s v="PEN"/>
    <x v="2"/>
    <m/>
    <m/>
    <m/>
    <d v="2025-10-21T00:00:00"/>
    <n v="1305.2385133157741"/>
    <m/>
    <x v="0"/>
  </r>
  <r>
    <s v="1000013925"/>
    <x v="20"/>
    <x v="143"/>
    <x v="0"/>
    <d v="2025-11-04T00:00:00"/>
    <n v="202"/>
    <d v="2025-11-11T00:00:00"/>
    <n v="7097.98"/>
    <s v="PEN"/>
    <x v="2"/>
    <m/>
    <m/>
    <m/>
    <d v="2025-11-11T00:00:00"/>
    <n v="2077.2549019607841"/>
    <m/>
    <x v="0"/>
  </r>
  <r>
    <s v="1000013925"/>
    <x v="20"/>
    <x v="144"/>
    <x v="0"/>
    <d v="2026-01-31T00:00:00"/>
    <n v="114"/>
    <d v="2026-02-07T00:00:00"/>
    <n v="4003.46"/>
    <s v="PEN"/>
    <x v="2"/>
    <m/>
    <m/>
    <m/>
    <d v="2026-02-07T00:00:00"/>
    <n v="1171.6300848697688"/>
    <m/>
    <x v="0"/>
  </r>
  <r>
    <s v="1000013925"/>
    <x v="20"/>
    <x v="145"/>
    <x v="0"/>
    <d v="2026-03-03T00:00:00"/>
    <n v="83"/>
    <d v="2026-03-10T00:00:00"/>
    <n v="4956"/>
    <s v="PEN"/>
    <x v="2"/>
    <m/>
    <m/>
    <m/>
    <d v="2026-03-10T00:00:00"/>
    <n v="1450.395083406497"/>
    <m/>
    <x v="0"/>
  </r>
  <r>
    <s v="1000015185"/>
    <x v="21"/>
    <x v="146"/>
    <x v="0"/>
    <d v="2026-05-20T00:00:00"/>
    <n v="5"/>
    <d v="2026-05-27T00:00:00"/>
    <n v="731.18"/>
    <s v="PEN"/>
    <x v="0"/>
    <m/>
    <m/>
    <m/>
    <d v="2026-05-27T00:00:00"/>
    <n v="213.98302604623939"/>
    <m/>
    <x v="0"/>
  </r>
  <r>
    <s v="1000015185"/>
    <x v="21"/>
    <x v="147"/>
    <x v="0"/>
    <d v="2026-05-20T00:00:00"/>
    <n v="5"/>
    <d v="2026-05-27T00:00:00"/>
    <n v="177"/>
    <s v="PEN"/>
    <x v="0"/>
    <m/>
    <m/>
    <m/>
    <d v="2026-05-27T00:00:00"/>
    <n v="51.799824407374892"/>
    <m/>
    <x v="0"/>
  </r>
  <r>
    <s v="1000015185"/>
    <x v="21"/>
    <x v="148"/>
    <x v="0"/>
    <d v="2026-05-20T00:00:00"/>
    <n v="5"/>
    <d v="2026-05-27T00:00:00"/>
    <n v="452.98"/>
    <s v="PEN"/>
    <x v="0"/>
    <m/>
    <m/>
    <m/>
    <d v="2026-05-27T00:00:00"/>
    <n v="132.56657887035414"/>
    <m/>
    <x v="0"/>
  </r>
  <r>
    <s v="1000015185"/>
    <x v="21"/>
    <x v="149"/>
    <x v="0"/>
    <d v="2026-05-20T00:00:00"/>
    <n v="5"/>
    <d v="2026-05-27T00:00:00"/>
    <n v="177"/>
    <s v="PEN"/>
    <x v="0"/>
    <m/>
    <m/>
    <m/>
    <d v="2026-05-27T00:00:00"/>
    <n v="51.799824407374892"/>
    <m/>
    <x v="0"/>
  </r>
  <r>
    <s v="1000015185"/>
    <x v="21"/>
    <x v="150"/>
    <x v="0"/>
    <d v="2026-05-25T00:00:00"/>
    <n v="0"/>
    <d v="2026-06-01T00:00:00"/>
    <n v="215.42"/>
    <s v="PEN"/>
    <x v="0"/>
    <m/>
    <m/>
    <m/>
    <d v="2026-06-01T00:00:00"/>
    <n v="63.043605501902256"/>
    <m/>
    <x v="0"/>
  </r>
  <r>
    <s v="1000015185"/>
    <x v="21"/>
    <x v="151"/>
    <x v="0"/>
    <d v="2026-05-25T00:00:00"/>
    <n v="0"/>
    <d v="2026-06-01T00:00:00"/>
    <n v="135.69999999999999"/>
    <s v="PEN"/>
    <x v="0"/>
    <m/>
    <m/>
    <m/>
    <d v="2026-06-01T00:00:00"/>
    <n v="39.713198712320747"/>
    <m/>
    <x v="0"/>
  </r>
  <r>
    <s v="1000015185"/>
    <x v="21"/>
    <x v="152"/>
    <x v="0"/>
    <d v="2026-05-27T00:00:00"/>
    <n v="-2"/>
    <d v="2026-06-03T00:00:00"/>
    <n v="604.63"/>
    <s v="PEN"/>
    <x v="0"/>
    <m/>
    <m/>
    <m/>
    <d v="2026-06-03T00:00:00"/>
    <n v="176.94761486684226"/>
    <m/>
    <x v="0"/>
  </r>
  <r>
    <s v="1000015185"/>
    <x v="21"/>
    <x v="153"/>
    <x v="0"/>
    <d v="2026-05-27T00:00:00"/>
    <n v="-2"/>
    <d v="2026-06-03T00:00:00"/>
    <n v="247.8"/>
    <s v="PEN"/>
    <x v="0"/>
    <m/>
    <m/>
    <m/>
    <d v="2026-06-03T00:00:00"/>
    <n v="72.519754170324859"/>
    <m/>
    <x v="0"/>
  </r>
  <r>
    <s v="1000015185"/>
    <x v="21"/>
    <x v="154"/>
    <x v="0"/>
    <d v="2026-05-30T00:00:00"/>
    <n v="-5"/>
    <d v="2026-06-06T00:00:00"/>
    <n v="358.48"/>
    <s v="PEN"/>
    <x v="0"/>
    <m/>
    <m/>
    <m/>
    <d v="2026-06-06T00:00:00"/>
    <n v="104.91074041556922"/>
    <m/>
    <x v="0"/>
  </r>
  <r>
    <s v="1000015185"/>
    <x v="21"/>
    <x v="155"/>
    <x v="0"/>
    <d v="2026-05-30T00:00:00"/>
    <n v="-5"/>
    <d v="2026-06-06T00:00:00"/>
    <n v="188.8"/>
    <s v="PEN"/>
    <x v="0"/>
    <m/>
    <m/>
    <m/>
    <d v="2026-06-06T00:00:00"/>
    <n v="55.253146034533223"/>
    <m/>
    <x v="0"/>
  </r>
  <r>
    <s v="6000434"/>
    <x v="22"/>
    <x v="156"/>
    <x v="0"/>
    <d v="2025-10-07T00:00:00"/>
    <n v="230"/>
    <d v="2025-10-14T00:00:00"/>
    <n v="790"/>
    <s v="PEN"/>
    <x v="3"/>
    <m/>
    <m/>
    <m/>
    <d v="2025-10-14T00:00:00"/>
    <n v="231.1969563944981"/>
    <m/>
    <x v="0"/>
  </r>
  <r>
    <s v="1000001607"/>
    <x v="23"/>
    <x v="157"/>
    <x v="0"/>
    <d v="2026-05-30T00:00:00"/>
    <n v="-1"/>
    <d v="2026-06-02T00:00:00"/>
    <n v="79349.03"/>
    <s v="PEN"/>
    <x v="4"/>
    <m/>
    <m/>
    <m/>
    <d v="2026-06-02T00:00:00"/>
    <n v="23221.8407960199"/>
    <m/>
    <x v="0"/>
  </r>
  <r>
    <s v="2000001438"/>
    <x v="24"/>
    <x v="158"/>
    <x v="4"/>
    <d v="2026-04-29T00:00:00"/>
    <n v="33"/>
    <d v="2026-04-29T00:00:00"/>
    <n v="123265"/>
    <s v="USD"/>
    <x v="1"/>
    <d v="2026-06-13T00:00:00"/>
    <n v="-12"/>
    <d v="2026-06-13T00:00:00"/>
    <d v="2026-06-13T00:00:00"/>
    <n v="123265"/>
    <n v="33"/>
    <x v="1"/>
  </r>
  <r>
    <s v="2000001438"/>
    <x v="24"/>
    <x v="159"/>
    <x v="4"/>
    <d v="2026-04-29T00:00:00"/>
    <n v="33"/>
    <d v="2026-04-29T00:00:00"/>
    <n v="162355"/>
    <s v="USD"/>
    <x v="1"/>
    <d v="2026-06-13T00:00:00"/>
    <n v="-12"/>
    <d v="2026-06-13T00:00:00"/>
    <d v="2026-06-13T00:00:00"/>
    <n v="162355"/>
    <n v="33"/>
    <x v="1"/>
  </r>
  <r>
    <s v="2000001438"/>
    <x v="24"/>
    <x v="160"/>
    <x v="4"/>
    <d v="2026-04-30T00:00:00"/>
    <n v="32"/>
    <d v="2026-04-30T00:00:00"/>
    <n v="77257"/>
    <s v="USD"/>
    <x v="1"/>
    <d v="2026-06-14T00:00:00"/>
    <n v="-10"/>
    <d v="2026-06-11T00:00:00"/>
    <d v="2026-06-11T00:00:00"/>
    <n v="77257"/>
    <n v="32"/>
    <x v="1"/>
  </r>
  <r>
    <s v="2000001438"/>
    <x v="24"/>
    <x v="161"/>
    <x v="2"/>
    <d v="2026-05-17T00:00:00"/>
    <n v="-30"/>
    <d v="2026-07-01T00:00:00"/>
    <n v="230850"/>
    <s v="USD"/>
    <x v="1"/>
    <d v="2026-07-01T00:00:00"/>
    <n v="-30"/>
    <d v="2026-07-01T00:00:00"/>
    <d v="2026-07-01T00:00:00"/>
    <n v="230850"/>
    <n v="15"/>
    <x v="1"/>
  </r>
  <r>
    <s v="1000001965"/>
    <x v="25"/>
    <x v="162"/>
    <x v="0"/>
    <d v="2026-05-19T00:00:00"/>
    <n v="6"/>
    <d v="2026-05-26T00:00:00"/>
    <n v="590"/>
    <s v="PEN"/>
    <x v="0"/>
    <m/>
    <m/>
    <m/>
    <d v="2026-05-26T00:00:00"/>
    <n v="172.66608135791631"/>
    <m/>
    <x v="0"/>
  </r>
  <r>
    <s v="1000001965"/>
    <x v="25"/>
    <x v="163"/>
    <x v="0"/>
    <d v="2026-05-20T00:00:00"/>
    <n v="5"/>
    <d v="2026-05-27T00:00:00"/>
    <n v="590"/>
    <s v="PEN"/>
    <x v="0"/>
    <m/>
    <m/>
    <m/>
    <d v="2026-05-27T00:00:00"/>
    <n v="172.66608135791631"/>
    <m/>
    <x v="0"/>
  </r>
  <r>
    <s v="1000001965"/>
    <x v="25"/>
    <x v="164"/>
    <x v="0"/>
    <d v="2026-05-22T00:00:00"/>
    <n v="3"/>
    <d v="2026-05-29T00:00:00"/>
    <n v="590"/>
    <s v="PEN"/>
    <x v="0"/>
    <m/>
    <m/>
    <m/>
    <d v="2026-05-29T00:00:00"/>
    <n v="172.66608135791631"/>
    <m/>
    <x v="0"/>
  </r>
  <r>
    <s v="1000001965"/>
    <x v="25"/>
    <x v="165"/>
    <x v="0"/>
    <d v="2026-05-26T00:00:00"/>
    <n v="-1"/>
    <d v="2026-06-02T00:00:00"/>
    <n v="590"/>
    <s v="PEN"/>
    <x v="0"/>
    <m/>
    <m/>
    <m/>
    <d v="2026-06-02T00:00:00"/>
    <n v="172.66608135791631"/>
    <m/>
    <x v="0"/>
  </r>
  <r>
    <s v="2000001440"/>
    <x v="26"/>
    <x v="166"/>
    <x v="4"/>
    <d v="2026-04-29T00:00:00"/>
    <n v="33"/>
    <d v="2026-04-29T00:00:00"/>
    <n v="56785"/>
    <s v="USD"/>
    <x v="1"/>
    <d v="2026-06-13T00:00:00"/>
    <n v="-12"/>
    <d v="2026-06-13T00:00:00"/>
    <d v="2026-06-13T00:00:00"/>
    <n v="56785"/>
    <n v="33"/>
    <x v="1"/>
  </r>
  <r>
    <s v="2000001440"/>
    <x v="26"/>
    <x v="167"/>
    <x v="1"/>
    <d v="2026-05-08T00:00:00"/>
    <n v="0"/>
    <d v="2026-05-31T00:00:00"/>
    <n v="-23675"/>
    <s v="USD"/>
    <x v="1"/>
    <d v="2026-06-22T00:00:00"/>
    <m/>
    <m/>
    <d v="2026-05-31T00:00:00"/>
    <n v="-23675"/>
    <n v="24"/>
    <x v="1"/>
  </r>
  <r>
    <s v="2000001440"/>
    <x v="26"/>
    <x v="168"/>
    <x v="2"/>
    <d v="2026-05-29T00:00:00"/>
    <n v="-42"/>
    <d v="2026-07-13T00:00:00"/>
    <n v="59400"/>
    <s v="USD"/>
    <x v="1"/>
    <d v="2026-07-13T00:00:00"/>
    <m/>
    <m/>
    <d v="2026-07-13T00:00:00"/>
    <n v="59400"/>
    <n v="3"/>
    <x v="1"/>
  </r>
  <r>
    <s v="1000013801"/>
    <x v="27"/>
    <x v="169"/>
    <x v="0"/>
    <d v="2026-05-29T00:00:00"/>
    <n v="-4"/>
    <d v="2026-06-05T00:00:00"/>
    <n v="658.68"/>
    <s v="PEN"/>
    <x v="0"/>
    <m/>
    <m/>
    <m/>
    <d v="2026-06-05T00:00:00"/>
    <n v="192.76558384547849"/>
    <m/>
    <x v="0"/>
  </r>
  <r>
    <s v="1000013801"/>
    <x v="27"/>
    <x v="170"/>
    <x v="0"/>
    <d v="2026-05-29T00:00:00"/>
    <n v="-4"/>
    <d v="2026-06-05T00:00:00"/>
    <n v="123.9"/>
    <s v="PEN"/>
    <x v="0"/>
    <m/>
    <m/>
    <m/>
    <d v="2026-06-05T00:00:00"/>
    <n v="36.259877085162429"/>
    <m/>
    <x v="0"/>
  </r>
  <r>
    <s v="1000013686"/>
    <x v="28"/>
    <x v="171"/>
    <x v="0"/>
    <d v="2026-05-20T00:00:00"/>
    <n v="5"/>
    <d v="2026-05-27T00:00:00"/>
    <n v="396.48"/>
    <s v="PEN"/>
    <x v="0"/>
    <m/>
    <m/>
    <m/>
    <d v="2026-05-27T00:00:00"/>
    <n v="116.03160667251977"/>
    <m/>
    <x v="0"/>
  </r>
  <r>
    <s v="1000013686"/>
    <x v="28"/>
    <x v="172"/>
    <x v="0"/>
    <d v="2026-05-22T00:00:00"/>
    <n v="3"/>
    <d v="2026-05-29T00:00:00"/>
    <n v="792.96"/>
    <s v="PEN"/>
    <x v="0"/>
    <m/>
    <m/>
    <m/>
    <d v="2026-05-29T00:00:00"/>
    <n v="232.06321334503954"/>
    <m/>
    <x v="0"/>
  </r>
  <r>
    <s v="1000013686"/>
    <x v="28"/>
    <x v="173"/>
    <x v="0"/>
    <d v="2026-05-25T00:00:00"/>
    <n v="0"/>
    <d v="2026-06-01T00:00:00"/>
    <n v="807.12"/>
    <s v="PEN"/>
    <x v="0"/>
    <m/>
    <m/>
    <m/>
    <d v="2026-06-01T00:00:00"/>
    <n v="236.2071992976295"/>
    <m/>
    <x v="0"/>
  </r>
  <r>
    <s v="1000013686"/>
    <x v="28"/>
    <x v="174"/>
    <x v="0"/>
    <d v="2026-05-29T00:00:00"/>
    <n v="-4"/>
    <d v="2026-06-05T00:00:00"/>
    <n v="396.48"/>
    <s v="PEN"/>
    <x v="0"/>
    <m/>
    <m/>
    <m/>
    <d v="2026-06-05T00:00:00"/>
    <n v="116.03160667251977"/>
    <m/>
    <x v="0"/>
  </r>
  <r>
    <s v="1000013686"/>
    <x v="28"/>
    <x v="175"/>
    <x v="0"/>
    <d v="2026-05-29T00:00:00"/>
    <n v="-4"/>
    <d v="2026-06-05T00:00:00"/>
    <n v="396.48"/>
    <s v="PEN"/>
    <x v="0"/>
    <m/>
    <m/>
    <m/>
    <d v="2026-06-05T00:00:00"/>
    <n v="116.03160667251977"/>
    <m/>
    <x v="0"/>
  </r>
  <r>
    <s v="2000000786"/>
    <x v="29"/>
    <x v="176"/>
    <x v="2"/>
    <d v="2026-04-29T00:00:00"/>
    <n v="-12"/>
    <d v="2026-06-13T00:00:00"/>
    <n v="52800"/>
    <s v="USD"/>
    <x v="1"/>
    <d v="2026-06-13T00:00:00"/>
    <n v="-12"/>
    <d v="2026-06-13T00:00:00"/>
    <d v="2026-06-13T00:00:00"/>
    <n v="52800"/>
    <n v="33"/>
    <x v="1"/>
  </r>
  <r>
    <s v="2000000786"/>
    <x v="29"/>
    <x v="177"/>
    <x v="2"/>
    <d v="2026-05-17T00:00:00"/>
    <n v="-30"/>
    <d v="2026-07-01T00:00:00"/>
    <n v="140000"/>
    <s v="USD"/>
    <x v="1"/>
    <d v="2026-07-01T00:00:00"/>
    <n v="-30"/>
    <d v="2026-07-01T00:00:00"/>
    <d v="2026-07-01T00:00:00"/>
    <n v="140000"/>
    <n v="15"/>
    <x v="1"/>
  </r>
  <r>
    <s v="2000000786"/>
    <x v="29"/>
    <x v="178"/>
    <x v="2"/>
    <d v="2026-05-22T00:00:00"/>
    <n v="-35"/>
    <d v="2026-07-06T00:00:00"/>
    <n v="107640"/>
    <s v="USD"/>
    <x v="1"/>
    <d v="2026-07-06T00:00:00"/>
    <n v="-32"/>
    <d v="2026-07-03T00:00:00"/>
    <d v="2026-07-06T00:00:00"/>
    <n v="107640"/>
    <n v="10"/>
    <x v="1"/>
  </r>
  <r>
    <s v="2000000786"/>
    <x v="29"/>
    <x v="179"/>
    <x v="2"/>
    <d v="2026-05-29T00:00:00"/>
    <n v="-42"/>
    <d v="2026-07-13T00:00:00"/>
    <n v="53360"/>
    <s v="USD"/>
    <x v="1"/>
    <d v="2026-07-13T00:00:00"/>
    <m/>
    <m/>
    <d v="2026-07-13T00:00:00"/>
    <n v="53360"/>
    <n v="3"/>
    <x v="1"/>
  </r>
  <r>
    <s v="2000000786"/>
    <x v="29"/>
    <x v="180"/>
    <x v="2"/>
    <d v="2026-05-29T00:00:00"/>
    <n v="-42"/>
    <d v="2026-07-13T00:00:00"/>
    <n v="43200"/>
    <s v="USD"/>
    <x v="1"/>
    <d v="2026-07-13T00:00:00"/>
    <m/>
    <m/>
    <d v="2026-07-13T00:00:00"/>
    <n v="43200"/>
    <n v="3"/>
    <x v="1"/>
  </r>
  <r>
    <s v="2000000590"/>
    <x v="30"/>
    <x v="181"/>
    <x v="1"/>
    <d v="2026-04-30T00:00:00"/>
    <n v="0"/>
    <d v="2026-04-30T00:00:00"/>
    <n v="-6675"/>
    <s v="USD"/>
    <x v="1"/>
    <d v="2026-06-14T00:00:00"/>
    <m/>
    <m/>
    <d v="2026-04-30T00:00:00"/>
    <n v="-6675"/>
    <n v="32"/>
    <x v="1"/>
  </r>
  <r>
    <s v="2000000590"/>
    <x v="30"/>
    <x v="182"/>
    <x v="2"/>
    <d v="2026-05-22T00:00:00"/>
    <n v="-35"/>
    <d v="2026-07-06T00:00:00"/>
    <n v="29250"/>
    <s v="USD"/>
    <x v="1"/>
    <d v="2026-07-06T00:00:00"/>
    <n v="-35"/>
    <d v="2026-07-06T00:00:00"/>
    <d v="2026-07-06T00:00:00"/>
    <n v="29250"/>
    <n v="10"/>
    <x v="1"/>
  </r>
  <r>
    <s v="2000001442"/>
    <x v="31"/>
    <x v="183"/>
    <x v="1"/>
    <d v="2026-05-06T00:00:00"/>
    <n v="0"/>
    <d v="2026-05-31T00:00:00"/>
    <n v="-13316.5"/>
    <s v="USD"/>
    <x v="1"/>
    <d v="2026-06-20T00:00:00"/>
    <m/>
    <m/>
    <d v="2026-05-31T00:00:00"/>
    <n v="-13316.5"/>
    <n v="26"/>
    <x v="1"/>
  </r>
  <r>
    <s v="2000001442"/>
    <x v="31"/>
    <x v="184"/>
    <x v="2"/>
    <d v="2026-05-29T00:00:00"/>
    <n v="-42"/>
    <d v="2026-07-13T00:00:00"/>
    <n v="66250"/>
    <s v="USD"/>
    <x v="1"/>
    <d v="2026-07-13T00:00:00"/>
    <m/>
    <m/>
    <d v="2026-07-13T00:00:00"/>
    <n v="66250"/>
    <n v="3"/>
    <x v="1"/>
  </r>
  <r>
    <s v="2000001444"/>
    <x v="32"/>
    <x v="185"/>
    <x v="1"/>
    <d v="2026-04-30T00:00:00"/>
    <n v="0"/>
    <d v="2026-04-30T00:00:00"/>
    <n v="-74009"/>
    <s v="USD"/>
    <x v="1"/>
    <d v="2026-06-14T00:00:00"/>
    <m/>
    <m/>
    <d v="2026-04-30T00:00:00"/>
    <n v="-74009"/>
    <n v="32"/>
    <x v="1"/>
  </r>
  <r>
    <s v="2000001444"/>
    <x v="32"/>
    <x v="186"/>
    <x v="2"/>
    <d v="2026-05-24T00:00:00"/>
    <n v="-37"/>
    <d v="2026-07-08T00:00:00"/>
    <n v="164700"/>
    <s v="USD"/>
    <x v="1"/>
    <d v="2026-07-08T00:00:00"/>
    <m/>
    <m/>
    <d v="2026-07-08T00:00:00"/>
    <n v="164700"/>
    <n v="8"/>
    <x v="1"/>
  </r>
  <r>
    <s v="2000001348"/>
    <x v="33"/>
    <x v="187"/>
    <x v="2"/>
    <d v="2026-04-24T00:00:00"/>
    <n v="-7"/>
    <d v="2026-06-08T00:00:00"/>
    <n v="30250"/>
    <s v="USD"/>
    <x v="1"/>
    <d v="2026-06-08T00:00:00"/>
    <n v="-7"/>
    <d v="2026-06-08T00:00:00"/>
    <d v="2026-06-08T00:00:00"/>
    <n v="30250"/>
    <n v="38"/>
    <x v="1"/>
  </r>
  <r>
    <s v="2000001069"/>
    <x v="34"/>
    <x v="188"/>
    <x v="4"/>
    <d v="2026-04-22T00:00:00"/>
    <n v="40"/>
    <d v="2026-04-22T00:00:00"/>
    <n v="67066"/>
    <s v="USD"/>
    <x v="1"/>
    <d v="2026-06-06T00:00:00"/>
    <n v="-5"/>
    <d v="2026-06-06T00:00:00"/>
    <d v="2026-06-06T00:00:00"/>
    <n v="67066"/>
    <n v="40"/>
    <x v="1"/>
  </r>
  <r>
    <s v="2000001446"/>
    <x v="35"/>
    <x v="189"/>
    <x v="1"/>
    <d v="2026-05-12T00:00:00"/>
    <n v="0"/>
    <d v="2026-05-31T00:00:00"/>
    <n v="-32801"/>
    <s v="USD"/>
    <x v="1"/>
    <d v="2026-06-26T00:00:00"/>
    <m/>
    <m/>
    <d v="2026-05-31T00:00:00"/>
    <n v="-32801"/>
    <n v="20"/>
    <x v="1"/>
  </r>
  <r>
    <s v="2000001446"/>
    <x v="35"/>
    <x v="190"/>
    <x v="2"/>
    <d v="2026-05-26T00:00:00"/>
    <n v="-39"/>
    <d v="2026-07-10T00:00:00"/>
    <n v="105560"/>
    <s v="USD"/>
    <x v="1"/>
    <d v="2026-07-10T00:00:00"/>
    <m/>
    <m/>
    <d v="2026-07-10T00:00:00"/>
    <n v="105560"/>
    <n v="6"/>
    <x v="1"/>
  </r>
  <r>
    <s v="2000001449"/>
    <x v="36"/>
    <x v="189"/>
    <x v="1"/>
    <d v="2026-05-12T00:00:00"/>
    <n v="0"/>
    <d v="2026-05-31T00:00:00"/>
    <n v="-52139"/>
    <s v="USD"/>
    <x v="1"/>
    <d v="2026-06-26T00:00:00"/>
    <m/>
    <m/>
    <d v="2026-05-31T00:00:00"/>
    <n v="-52139"/>
    <n v="20"/>
    <x v="1"/>
  </r>
  <r>
    <s v="2000001449"/>
    <x v="36"/>
    <x v="191"/>
    <x v="2"/>
    <d v="2026-05-24T00:00:00"/>
    <n v="-37"/>
    <d v="2026-07-08T00:00:00"/>
    <n v="167700"/>
    <s v="PEN"/>
    <x v="1"/>
    <d v="2026-07-08T00:00:00"/>
    <m/>
    <m/>
    <d v="2026-07-08T00:00:00"/>
    <n v="167700"/>
    <n v="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s v="1000013966"/>
    <x v="0"/>
    <x v="0"/>
    <x v="0"/>
    <x v="0"/>
    <n v="187"/>
    <d v="2025-11-26T00:00:00"/>
    <n v="42.48"/>
    <s v="PEN"/>
    <x v="0"/>
    <m/>
    <m/>
    <m/>
    <x v="0"/>
    <n v="12.431957857769973"/>
    <m/>
    <m/>
  </r>
  <r>
    <s v="1000013966"/>
    <x v="0"/>
    <x v="1"/>
    <x v="0"/>
    <x v="0"/>
    <n v="187"/>
    <d v="2025-11-26T00:00:00"/>
    <n v="14.16"/>
    <s v="PEN"/>
    <x v="0"/>
    <m/>
    <m/>
    <m/>
    <x v="0"/>
    <n v="4.1439859525899916"/>
    <m/>
    <m/>
  </r>
  <r>
    <s v="1000013966"/>
    <x v="0"/>
    <x v="2"/>
    <x v="0"/>
    <x v="0"/>
    <n v="187"/>
    <d v="2025-11-26T00:00:00"/>
    <n v="14.16"/>
    <s v="PEN"/>
    <x v="0"/>
    <m/>
    <m/>
    <m/>
    <x v="0"/>
    <n v="4.1439859525899916"/>
    <m/>
    <m/>
  </r>
  <r>
    <s v="1000013966"/>
    <x v="0"/>
    <x v="3"/>
    <x v="0"/>
    <x v="1"/>
    <n v="186"/>
    <d v="2025-11-27T00:00:00"/>
    <n v="28.32"/>
    <s v="PEN"/>
    <x v="0"/>
    <m/>
    <m/>
    <m/>
    <x v="1"/>
    <n v="8.2879719051799832"/>
    <m/>
    <m/>
  </r>
  <r>
    <s v="1000013966"/>
    <x v="0"/>
    <x v="4"/>
    <x v="0"/>
    <x v="1"/>
    <n v="186"/>
    <d v="2025-11-27T00:00:00"/>
    <n v="14.16"/>
    <s v="PEN"/>
    <x v="0"/>
    <m/>
    <m/>
    <m/>
    <x v="1"/>
    <n v="4.1439859525899916"/>
    <m/>
    <m/>
  </r>
  <r>
    <s v="1000013966"/>
    <x v="0"/>
    <x v="5"/>
    <x v="0"/>
    <x v="2"/>
    <n v="185"/>
    <d v="2025-11-28T00:00:00"/>
    <n v="28.32"/>
    <s v="PEN"/>
    <x v="0"/>
    <m/>
    <m/>
    <m/>
    <x v="2"/>
    <n v="8.2879719051799832"/>
    <m/>
    <m/>
  </r>
  <r>
    <s v="1000013966"/>
    <x v="0"/>
    <x v="6"/>
    <x v="0"/>
    <x v="2"/>
    <n v="185"/>
    <d v="2025-11-28T00:00:00"/>
    <n v="42.48"/>
    <s v="PEN"/>
    <x v="0"/>
    <m/>
    <m/>
    <m/>
    <x v="2"/>
    <n v="12.431957857769973"/>
    <m/>
    <m/>
  </r>
  <r>
    <s v="1000013966"/>
    <x v="0"/>
    <x v="7"/>
    <x v="0"/>
    <x v="2"/>
    <n v="185"/>
    <d v="2025-11-28T00:00:00"/>
    <n v="42.48"/>
    <s v="PEN"/>
    <x v="0"/>
    <m/>
    <m/>
    <m/>
    <x v="2"/>
    <n v="12.431957857769973"/>
    <m/>
    <m/>
  </r>
  <r>
    <s v="1000013966"/>
    <x v="0"/>
    <x v="8"/>
    <x v="0"/>
    <x v="2"/>
    <n v="185"/>
    <d v="2025-11-28T00:00:00"/>
    <n v="14.16"/>
    <s v="PEN"/>
    <x v="0"/>
    <m/>
    <m/>
    <m/>
    <x v="2"/>
    <n v="4.1439859525899916"/>
    <m/>
    <m/>
  </r>
  <r>
    <s v="1000013966"/>
    <x v="0"/>
    <x v="9"/>
    <x v="0"/>
    <x v="3"/>
    <n v="184"/>
    <d v="2025-11-29T00:00:00"/>
    <n v="28.32"/>
    <s v="PEN"/>
    <x v="0"/>
    <m/>
    <m/>
    <m/>
    <x v="3"/>
    <n v="8.2879719051799832"/>
    <m/>
    <m/>
  </r>
  <r>
    <s v="1000013966"/>
    <x v="0"/>
    <x v="10"/>
    <x v="0"/>
    <x v="4"/>
    <n v="179"/>
    <d v="2025-12-04T00:00:00"/>
    <n v="14.16"/>
    <s v="PEN"/>
    <x v="0"/>
    <m/>
    <m/>
    <m/>
    <x v="4"/>
    <n v="4.1439859525899916"/>
    <m/>
    <m/>
  </r>
  <r>
    <s v="1000013966"/>
    <x v="0"/>
    <x v="11"/>
    <x v="0"/>
    <x v="5"/>
    <n v="139"/>
    <d v="2026-01-13T00:00:00"/>
    <n v="14.16"/>
    <s v="PEN"/>
    <x v="0"/>
    <m/>
    <m/>
    <m/>
    <x v="5"/>
    <n v="4.1439859525899916"/>
    <m/>
    <m/>
  </r>
  <r>
    <s v="1000013966"/>
    <x v="0"/>
    <x v="12"/>
    <x v="0"/>
    <x v="6"/>
    <n v="137"/>
    <d v="2026-01-15T00:00:00"/>
    <n v="14.16"/>
    <s v="PEN"/>
    <x v="0"/>
    <m/>
    <m/>
    <m/>
    <x v="6"/>
    <n v="4.1439859525899916"/>
    <m/>
    <m/>
  </r>
  <r>
    <s v="1000013966"/>
    <x v="0"/>
    <x v="13"/>
    <x v="0"/>
    <x v="7"/>
    <n v="135"/>
    <d v="2026-01-17T00:00:00"/>
    <n v="14.16"/>
    <s v="PEN"/>
    <x v="0"/>
    <m/>
    <m/>
    <m/>
    <x v="7"/>
    <n v="4.1439859525899916"/>
    <m/>
    <m/>
  </r>
  <r>
    <s v="1000013966"/>
    <x v="0"/>
    <x v="14"/>
    <x v="0"/>
    <x v="8"/>
    <n v="129"/>
    <d v="2026-01-23T00:00:00"/>
    <n v="14.16"/>
    <s v="PEN"/>
    <x v="0"/>
    <m/>
    <m/>
    <m/>
    <x v="8"/>
    <n v="4.1439859525899916"/>
    <m/>
    <m/>
  </r>
  <r>
    <s v="1000013966"/>
    <x v="0"/>
    <x v="15"/>
    <x v="0"/>
    <x v="8"/>
    <n v="129"/>
    <d v="2026-01-23T00:00:00"/>
    <n v="14.16"/>
    <s v="PEN"/>
    <x v="0"/>
    <m/>
    <m/>
    <m/>
    <x v="8"/>
    <n v="4.1439859525899916"/>
    <m/>
    <m/>
  </r>
  <r>
    <s v="1000013966"/>
    <x v="0"/>
    <x v="16"/>
    <x v="0"/>
    <x v="9"/>
    <n v="126"/>
    <d v="2026-01-26T00:00:00"/>
    <n v="14.16"/>
    <s v="PEN"/>
    <x v="0"/>
    <m/>
    <m/>
    <m/>
    <x v="9"/>
    <n v="4.1439859525899916"/>
    <m/>
    <m/>
  </r>
  <r>
    <s v="2000001028"/>
    <x v="1"/>
    <x v="17"/>
    <x v="1"/>
    <x v="10"/>
    <n v="0"/>
    <d v="2026-05-31T00:00:00"/>
    <n v="-125250"/>
    <s v="USD"/>
    <x v="1"/>
    <d v="2026-06-29T00:00:00"/>
    <m/>
    <m/>
    <x v="10"/>
    <n v="-125250"/>
    <n v="17"/>
    <s v="0-45"/>
  </r>
  <r>
    <s v="2000001028"/>
    <x v="1"/>
    <x v="18"/>
    <x v="1"/>
    <x v="11"/>
    <n v="0"/>
    <d v="2026-05-31T00:00:00"/>
    <n v="-84210"/>
    <s v="USD"/>
    <x v="1"/>
    <d v="2026-07-03T00:00:00"/>
    <m/>
    <m/>
    <x v="10"/>
    <n v="-84210"/>
    <n v="13"/>
    <s v="0-45"/>
  </r>
  <r>
    <s v="2000001028"/>
    <x v="1"/>
    <x v="19"/>
    <x v="2"/>
    <x v="12"/>
    <n v="-35"/>
    <d v="2026-07-06T00:00:00"/>
    <n v="234900"/>
    <s v="USD"/>
    <x v="1"/>
    <d v="2026-07-06T00:00:00"/>
    <m/>
    <m/>
    <x v="11"/>
    <n v="234900"/>
    <n v="10"/>
    <s v="0-45"/>
  </r>
  <r>
    <s v="2000001028"/>
    <x v="1"/>
    <x v="20"/>
    <x v="2"/>
    <x v="13"/>
    <n v="-39"/>
    <d v="2026-07-10T00:00:00"/>
    <n v="156600"/>
    <s v="USD"/>
    <x v="1"/>
    <d v="2026-07-10T00:00:00"/>
    <m/>
    <m/>
    <x v="12"/>
    <n v="156600"/>
    <n v="6"/>
    <s v="0-45"/>
  </r>
  <r>
    <s v="2000001028"/>
    <x v="1"/>
    <x v="21"/>
    <x v="2"/>
    <x v="14"/>
    <n v="-42"/>
    <d v="2026-07-13T00:00:00"/>
    <n v="234900"/>
    <s v="USD"/>
    <x v="1"/>
    <d v="2026-07-13T00:00:00"/>
    <m/>
    <m/>
    <x v="13"/>
    <n v="234900"/>
    <n v="3"/>
    <s v="0-45"/>
  </r>
  <r>
    <s v="2000001028"/>
    <x v="1"/>
    <x v="22"/>
    <x v="2"/>
    <x v="14"/>
    <n v="-42"/>
    <d v="2026-07-13T00:00:00"/>
    <n v="421200"/>
    <s v="USD"/>
    <x v="1"/>
    <d v="2026-07-13T00:00:00"/>
    <m/>
    <m/>
    <x v="13"/>
    <n v="421200"/>
    <n v="3"/>
    <s v="0-45"/>
  </r>
  <r>
    <s v="1000013676"/>
    <x v="2"/>
    <x v="23"/>
    <x v="3"/>
    <x v="15"/>
    <n v="8"/>
    <d v="2026-05-24T00:00:00"/>
    <n v="365.8"/>
    <s v="PEN"/>
    <x v="0"/>
    <m/>
    <m/>
    <m/>
    <x v="14"/>
    <n v="107.05297044190812"/>
    <m/>
    <m/>
  </r>
  <r>
    <s v="1000013676"/>
    <x v="2"/>
    <x v="24"/>
    <x v="3"/>
    <x v="15"/>
    <n v="8"/>
    <d v="2026-05-24T00:00:00"/>
    <n v="47.2"/>
    <s v="PEN"/>
    <x v="0"/>
    <m/>
    <m/>
    <m/>
    <x v="14"/>
    <n v="13.813286508633306"/>
    <m/>
    <m/>
  </r>
  <r>
    <s v="1000013678"/>
    <x v="3"/>
    <x v="25"/>
    <x v="4"/>
    <x v="16"/>
    <n v="0"/>
    <d v="2026-04-27T00:00:00"/>
    <n v="-218.4"/>
    <s v="PEN"/>
    <x v="0"/>
    <m/>
    <m/>
    <m/>
    <x v="15"/>
    <n v="-63.915715539947328"/>
    <m/>
    <m/>
  </r>
  <r>
    <s v="1000013678"/>
    <x v="3"/>
    <x v="26"/>
    <x v="0"/>
    <x v="17"/>
    <n v="4"/>
    <d v="2026-05-28T00:00:00"/>
    <n v="283.2"/>
    <s v="PEN"/>
    <x v="0"/>
    <m/>
    <m/>
    <m/>
    <x v="16"/>
    <n v="82.879719051799825"/>
    <m/>
    <m/>
  </r>
  <r>
    <s v="1000013678"/>
    <x v="3"/>
    <x v="27"/>
    <x v="0"/>
    <x v="13"/>
    <n v="-1"/>
    <d v="2026-06-02T00:00:00"/>
    <n v="283.2"/>
    <s v="PEN"/>
    <x v="0"/>
    <m/>
    <m/>
    <m/>
    <x v="17"/>
    <n v="82.879719051799825"/>
    <m/>
    <m/>
  </r>
  <r>
    <s v="1000002057"/>
    <x v="4"/>
    <x v="28"/>
    <x v="0"/>
    <x v="18"/>
    <n v="-3"/>
    <d v="2026-06-04T00:00:00"/>
    <n v="211.69"/>
    <s v="PEN"/>
    <x v="0"/>
    <m/>
    <m/>
    <m/>
    <x v="18"/>
    <n v="61.952004682470005"/>
    <m/>
    <m/>
  </r>
  <r>
    <s v="1000002057"/>
    <x v="4"/>
    <x v="29"/>
    <x v="0"/>
    <x v="18"/>
    <n v="-3"/>
    <d v="2026-06-04T00:00:00"/>
    <n v="35.4"/>
    <s v="PEN"/>
    <x v="0"/>
    <m/>
    <m/>
    <m/>
    <x v="18"/>
    <n v="10.359964881474978"/>
    <m/>
    <m/>
  </r>
  <r>
    <s v="2000001381"/>
    <x v="5"/>
    <x v="30"/>
    <x v="2"/>
    <x v="15"/>
    <n v="-30"/>
    <d v="2026-07-01T00:00:00"/>
    <n v="28150"/>
    <s v="USD"/>
    <x v="1"/>
    <d v="2026-07-01T00:00:00"/>
    <n v="-30"/>
    <d v="2026-07-01T00:00:00"/>
    <x v="19"/>
    <n v="28150"/>
    <n v="15"/>
    <s v="0-45"/>
  </r>
  <r>
    <s v="2000001381"/>
    <x v="5"/>
    <x v="31"/>
    <x v="4"/>
    <x v="15"/>
    <n v="15"/>
    <d v="2026-05-17T00:00:00"/>
    <n v="6821"/>
    <s v="USD"/>
    <x v="1"/>
    <d v="2026-07-01T00:00:00"/>
    <n v="-30"/>
    <d v="2026-07-01T00:00:00"/>
    <x v="19"/>
    <n v="6821"/>
    <n v="15"/>
    <s v="0-45"/>
  </r>
  <r>
    <s v="2000001368"/>
    <x v="6"/>
    <x v="32"/>
    <x v="4"/>
    <x v="16"/>
    <n v="-10"/>
    <d v="2026-06-11T00:00:00"/>
    <n v="311070"/>
    <s v="USD"/>
    <x v="1"/>
    <d v="2026-06-11T00:00:00"/>
    <n v="-10"/>
    <d v="2026-06-11T00:00:00"/>
    <x v="20"/>
    <n v="311070"/>
    <n v="35"/>
    <s v="0-45"/>
  </r>
  <r>
    <s v="2000001441"/>
    <x v="7"/>
    <x v="33"/>
    <x v="1"/>
    <x v="19"/>
    <n v="0"/>
    <d v="2026-04-30T00:00:00"/>
    <n v="-16145"/>
    <s v="USD"/>
    <x v="1"/>
    <d v="2026-05-30T00:00:00"/>
    <m/>
    <m/>
    <x v="21"/>
    <n v="-16145"/>
    <n v="47"/>
    <s v="0-45"/>
  </r>
  <r>
    <s v="2000001441"/>
    <x v="7"/>
    <x v="34"/>
    <x v="2"/>
    <x v="20"/>
    <n v="-29"/>
    <d v="2026-06-30T00:00:00"/>
    <n v="54080"/>
    <s v="USD"/>
    <x v="1"/>
    <d v="2026-06-30T00:00:00"/>
    <n v="-29"/>
    <d v="2026-06-30T00:00:00"/>
    <x v="22"/>
    <n v="54080"/>
    <n v="16"/>
    <s v="0-45"/>
  </r>
  <r>
    <s v="2000001361"/>
    <x v="8"/>
    <x v="35"/>
    <x v="4"/>
    <x v="21"/>
    <n v="50"/>
    <d v="2026-04-12T00:00:00"/>
    <n v="16355.92"/>
    <s v="USD"/>
    <x v="1"/>
    <d v="2026-05-27T00:00:00"/>
    <n v="5"/>
    <d v="2026-05-27T00:00:00"/>
    <x v="23"/>
    <n v="16355.92"/>
    <n v="50"/>
    <s v="0-45"/>
  </r>
  <r>
    <s v="2000001361"/>
    <x v="8"/>
    <x v="36"/>
    <x v="2"/>
    <x v="12"/>
    <n v="-35"/>
    <d v="2026-07-06T00:00:00"/>
    <n v="60536"/>
    <s v="USD"/>
    <x v="1"/>
    <d v="2026-07-06T00:00:00"/>
    <m/>
    <m/>
    <x v="11"/>
    <n v="60536"/>
    <n v="10"/>
    <s v="0-45"/>
  </r>
  <r>
    <s v="2000001361"/>
    <x v="8"/>
    <x v="37"/>
    <x v="2"/>
    <x v="13"/>
    <n v="-39"/>
    <d v="2026-07-10T00:00:00"/>
    <n v="74100"/>
    <s v="USD"/>
    <x v="1"/>
    <d v="2026-07-10T00:00:00"/>
    <m/>
    <m/>
    <x v="12"/>
    <n v="74100"/>
    <n v="6"/>
    <s v="0-45"/>
  </r>
  <r>
    <s v="2000001398"/>
    <x v="9"/>
    <x v="38"/>
    <x v="4"/>
    <x v="16"/>
    <n v="35"/>
    <d v="2026-04-27T00:00:00"/>
    <n v="19830"/>
    <s v="USD"/>
    <x v="1"/>
    <d v="2026-06-11T00:00:00"/>
    <n v="-10"/>
    <d v="2026-06-11T00:00:00"/>
    <x v="20"/>
    <n v="19830"/>
    <n v="35"/>
    <s v="0-45"/>
  </r>
  <r>
    <s v="2000001398"/>
    <x v="9"/>
    <x v="39"/>
    <x v="4"/>
    <x v="22"/>
    <n v="33"/>
    <d v="2026-04-29T00:00:00"/>
    <n v="36040"/>
    <s v="USD"/>
    <x v="1"/>
    <d v="2026-06-13T00:00:00"/>
    <n v="-12"/>
    <d v="2026-06-13T00:00:00"/>
    <x v="24"/>
    <n v="36040"/>
    <n v="33"/>
    <s v="0-45"/>
  </r>
  <r>
    <s v="2000001398"/>
    <x v="9"/>
    <x v="40"/>
    <x v="2"/>
    <x v="15"/>
    <n v="-30"/>
    <d v="2026-07-01T00:00:00"/>
    <n v="53812.5"/>
    <s v="USD"/>
    <x v="1"/>
    <d v="2026-07-01T00:00:00"/>
    <n v="-30"/>
    <d v="2026-07-01T00:00:00"/>
    <x v="19"/>
    <n v="53812.5"/>
    <n v="15"/>
    <s v="0-45"/>
  </r>
  <r>
    <s v="1000006830"/>
    <x v="10"/>
    <x v="41"/>
    <x v="0"/>
    <x v="23"/>
    <n v="19"/>
    <d v="2026-05-13T00:00:00"/>
    <n v="301.37"/>
    <s v="PEN"/>
    <x v="0"/>
    <m/>
    <m/>
    <m/>
    <x v="25"/>
    <n v="88.197249048873289"/>
    <m/>
    <m/>
  </r>
  <r>
    <s v="1000006830"/>
    <x v="10"/>
    <x v="42"/>
    <x v="0"/>
    <x v="23"/>
    <n v="19"/>
    <d v="2026-05-13T00:00:00"/>
    <n v="47.2"/>
    <s v="PEN"/>
    <x v="0"/>
    <m/>
    <m/>
    <m/>
    <x v="25"/>
    <n v="13.813286508633306"/>
    <m/>
    <m/>
  </r>
  <r>
    <s v="1000006830"/>
    <x v="10"/>
    <x v="43"/>
    <x v="0"/>
    <x v="23"/>
    <n v="19"/>
    <d v="2026-05-13T00:00:00"/>
    <n v="70.8"/>
    <s v="PEN"/>
    <x v="0"/>
    <m/>
    <m/>
    <m/>
    <x v="25"/>
    <n v="20.719929762949956"/>
    <m/>
    <m/>
  </r>
  <r>
    <s v="1000006830"/>
    <x v="10"/>
    <x v="44"/>
    <x v="0"/>
    <x v="23"/>
    <n v="19"/>
    <d v="2026-05-13T00:00:00"/>
    <n v="318.83999999999997"/>
    <s v="PEN"/>
    <x v="0"/>
    <m/>
    <m/>
    <m/>
    <x v="25"/>
    <n v="93.309920983318705"/>
    <m/>
    <m/>
  </r>
  <r>
    <s v="1000006830"/>
    <x v="10"/>
    <x v="45"/>
    <x v="0"/>
    <x v="23"/>
    <n v="19"/>
    <d v="2026-05-13T00:00:00"/>
    <n v="321.14999999999998"/>
    <s v="PEN"/>
    <x v="0"/>
    <m/>
    <m/>
    <m/>
    <x v="25"/>
    <n v="93.985952589991214"/>
    <m/>
    <m/>
  </r>
  <r>
    <s v="1000006830"/>
    <x v="10"/>
    <x v="46"/>
    <x v="0"/>
    <x v="23"/>
    <n v="19"/>
    <d v="2026-05-13T00:00:00"/>
    <n v="135.69999999999999"/>
    <s v="PEN"/>
    <x v="0"/>
    <m/>
    <m/>
    <m/>
    <x v="25"/>
    <n v="39.713198712320747"/>
    <m/>
    <m/>
  </r>
  <r>
    <s v="1000006830"/>
    <x v="10"/>
    <x v="47"/>
    <x v="0"/>
    <x v="24"/>
    <n v="18"/>
    <d v="2026-05-14T00:00:00"/>
    <n v="70.8"/>
    <s v="PEN"/>
    <x v="0"/>
    <m/>
    <m/>
    <m/>
    <x v="26"/>
    <n v="20.719929762949956"/>
    <m/>
    <m/>
  </r>
  <r>
    <s v="1000006830"/>
    <x v="10"/>
    <x v="48"/>
    <x v="0"/>
    <x v="24"/>
    <n v="18"/>
    <d v="2026-05-14T00:00:00"/>
    <n v="256.52999999999997"/>
    <s v="PEN"/>
    <x v="0"/>
    <m/>
    <m/>
    <m/>
    <x v="26"/>
    <n v="75.074626865671632"/>
    <m/>
    <m/>
  </r>
  <r>
    <s v="1000006830"/>
    <x v="10"/>
    <x v="49"/>
    <x v="0"/>
    <x v="25"/>
    <n v="17"/>
    <d v="2026-05-15T00:00:00"/>
    <n v="258.37"/>
    <s v="PEN"/>
    <x v="0"/>
    <m/>
    <m/>
    <m/>
    <x v="27"/>
    <n v="75.613110916008196"/>
    <m/>
    <m/>
  </r>
  <r>
    <s v="1000006830"/>
    <x v="10"/>
    <x v="50"/>
    <x v="0"/>
    <x v="25"/>
    <n v="17"/>
    <d v="2026-05-15T00:00:00"/>
    <n v="135.69999999999999"/>
    <s v="PEN"/>
    <x v="0"/>
    <m/>
    <m/>
    <m/>
    <x v="27"/>
    <n v="39.713198712320747"/>
    <m/>
    <m/>
  </r>
  <r>
    <s v="1000006830"/>
    <x v="10"/>
    <x v="51"/>
    <x v="0"/>
    <x v="26"/>
    <n v="14"/>
    <d v="2026-05-18T00:00:00"/>
    <n v="185.5"/>
    <s v="PEN"/>
    <x v="0"/>
    <m/>
    <m/>
    <m/>
    <x v="28"/>
    <n v="54.28738659642962"/>
    <m/>
    <m/>
  </r>
  <r>
    <s v="1000006830"/>
    <x v="10"/>
    <x v="52"/>
    <x v="0"/>
    <x v="26"/>
    <n v="14"/>
    <d v="2026-05-18T00:00:00"/>
    <n v="47.2"/>
    <s v="PEN"/>
    <x v="0"/>
    <m/>
    <m/>
    <m/>
    <x v="28"/>
    <n v="13.813286508633306"/>
    <m/>
    <m/>
  </r>
  <r>
    <s v="1000006830"/>
    <x v="10"/>
    <x v="53"/>
    <x v="0"/>
    <x v="27"/>
    <n v="13"/>
    <d v="2026-05-19T00:00:00"/>
    <n v="1310.74"/>
    <s v="PEN"/>
    <x v="0"/>
    <m/>
    <m/>
    <m/>
    <x v="29"/>
    <n v="383.59379572724612"/>
    <m/>
    <m/>
  </r>
  <r>
    <s v="1000006830"/>
    <x v="10"/>
    <x v="54"/>
    <x v="0"/>
    <x v="27"/>
    <n v="13"/>
    <d v="2026-05-19T00:00:00"/>
    <n v="188.8"/>
    <s v="PEN"/>
    <x v="0"/>
    <m/>
    <m/>
    <m/>
    <x v="29"/>
    <n v="55.253146034533223"/>
    <m/>
    <m/>
  </r>
  <r>
    <s v="1000006830"/>
    <x v="10"/>
    <x v="55"/>
    <x v="0"/>
    <x v="28"/>
    <n v="12"/>
    <d v="2026-05-20T00:00:00"/>
    <n v="550.78"/>
    <s v="PEN"/>
    <x v="0"/>
    <m/>
    <m/>
    <m/>
    <x v="30"/>
    <n v="161.18817676324261"/>
    <m/>
    <m/>
  </r>
  <r>
    <s v="1000006830"/>
    <x v="10"/>
    <x v="56"/>
    <x v="0"/>
    <x v="28"/>
    <n v="12"/>
    <d v="2026-05-20T00:00:00"/>
    <n v="188.8"/>
    <s v="PEN"/>
    <x v="0"/>
    <m/>
    <m/>
    <m/>
    <x v="30"/>
    <n v="55.253146034533223"/>
    <m/>
    <m/>
  </r>
  <r>
    <s v="1000006830"/>
    <x v="10"/>
    <x v="57"/>
    <x v="0"/>
    <x v="28"/>
    <n v="12"/>
    <d v="2026-05-20T00:00:00"/>
    <n v="730.66"/>
    <s v="PEN"/>
    <x v="0"/>
    <m/>
    <m/>
    <m/>
    <x v="30"/>
    <n v="213.83084577114428"/>
    <m/>
    <m/>
  </r>
  <r>
    <s v="1000006830"/>
    <x v="10"/>
    <x v="58"/>
    <x v="0"/>
    <x v="28"/>
    <n v="12"/>
    <d v="2026-05-20T00:00:00"/>
    <n v="94.4"/>
    <s v="PEN"/>
    <x v="0"/>
    <m/>
    <m/>
    <m/>
    <x v="30"/>
    <n v="27.626573017266612"/>
    <m/>
    <m/>
  </r>
  <r>
    <s v="1000006830"/>
    <x v="10"/>
    <x v="59"/>
    <x v="0"/>
    <x v="28"/>
    <n v="12"/>
    <d v="2026-05-20T00:00:00"/>
    <n v="635.36"/>
    <s v="PEN"/>
    <x v="0"/>
    <m/>
    <m/>
    <m/>
    <x v="30"/>
    <n v="185.94088381621307"/>
    <m/>
    <m/>
  </r>
  <r>
    <s v="1000006830"/>
    <x v="10"/>
    <x v="60"/>
    <x v="0"/>
    <x v="28"/>
    <n v="12"/>
    <d v="2026-05-20T00:00:00"/>
    <n v="212.4"/>
    <s v="PEN"/>
    <x v="0"/>
    <m/>
    <m/>
    <m/>
    <x v="30"/>
    <n v="62.159789288849872"/>
    <m/>
    <m/>
  </r>
  <r>
    <s v="1000006830"/>
    <x v="10"/>
    <x v="61"/>
    <x v="0"/>
    <x v="29"/>
    <n v="11"/>
    <d v="2026-05-21T00:00:00"/>
    <n v="318.36"/>
    <s v="PEN"/>
    <x v="0"/>
    <m/>
    <m/>
    <m/>
    <x v="31"/>
    <n v="93.169446883230918"/>
    <m/>
    <m/>
  </r>
  <r>
    <s v="1000006830"/>
    <x v="10"/>
    <x v="62"/>
    <x v="0"/>
    <x v="29"/>
    <n v="11"/>
    <d v="2026-05-21T00:00:00"/>
    <n v="47.2"/>
    <s v="PEN"/>
    <x v="0"/>
    <m/>
    <m/>
    <m/>
    <x v="31"/>
    <n v="13.813286508633306"/>
    <m/>
    <m/>
  </r>
  <r>
    <s v="1000006830"/>
    <x v="10"/>
    <x v="63"/>
    <x v="0"/>
    <x v="29"/>
    <n v="11"/>
    <d v="2026-05-21T00:00:00"/>
    <n v="657.5"/>
    <s v="PEN"/>
    <x v="0"/>
    <m/>
    <m/>
    <m/>
    <x v="31"/>
    <n v="192.42025168276265"/>
    <m/>
    <m/>
  </r>
  <r>
    <s v="1000006830"/>
    <x v="10"/>
    <x v="64"/>
    <x v="0"/>
    <x v="29"/>
    <n v="11"/>
    <d v="2026-05-21T00:00:00"/>
    <n v="194.7"/>
    <s v="PEN"/>
    <x v="0"/>
    <m/>
    <m/>
    <m/>
    <x v="31"/>
    <n v="56.979806848112382"/>
    <m/>
    <m/>
  </r>
  <r>
    <s v="1000006830"/>
    <x v="10"/>
    <x v="65"/>
    <x v="0"/>
    <x v="10"/>
    <n v="10"/>
    <d v="2026-05-22T00:00:00"/>
    <n v="1100.47"/>
    <s v="PEN"/>
    <x v="0"/>
    <m/>
    <m/>
    <m/>
    <x v="32"/>
    <n v="322.05736025753589"/>
    <m/>
    <m/>
  </r>
  <r>
    <s v="1000006830"/>
    <x v="10"/>
    <x v="66"/>
    <x v="0"/>
    <x v="10"/>
    <n v="10"/>
    <d v="2026-05-22T00:00:00"/>
    <n v="118"/>
    <s v="PEN"/>
    <x v="0"/>
    <m/>
    <m/>
    <m/>
    <x v="32"/>
    <n v="34.533216271583264"/>
    <m/>
    <m/>
  </r>
  <r>
    <s v="1000006830"/>
    <x v="10"/>
    <x v="67"/>
    <x v="0"/>
    <x v="10"/>
    <n v="10"/>
    <d v="2026-05-22T00:00:00"/>
    <n v="577.87"/>
    <s v="PEN"/>
    <x v="0"/>
    <m/>
    <m/>
    <m/>
    <x v="32"/>
    <n v="169.11618378694763"/>
    <m/>
    <m/>
  </r>
  <r>
    <s v="1000006830"/>
    <x v="10"/>
    <x v="68"/>
    <x v="0"/>
    <x v="10"/>
    <n v="10"/>
    <d v="2026-05-22T00:00:00"/>
    <n v="159.30000000000001"/>
    <s v="PEN"/>
    <x v="0"/>
    <m/>
    <m/>
    <m/>
    <x v="32"/>
    <n v="46.619841966637409"/>
    <m/>
    <m/>
  </r>
  <r>
    <s v="1000006830"/>
    <x v="10"/>
    <x v="69"/>
    <x v="0"/>
    <x v="20"/>
    <n v="9"/>
    <d v="2026-05-23T00:00:00"/>
    <n v="1361.72"/>
    <s v="PEN"/>
    <x v="0"/>
    <m/>
    <m/>
    <m/>
    <x v="33"/>
    <n v="398.51331577407086"/>
    <m/>
    <m/>
  </r>
  <r>
    <s v="1000006830"/>
    <x v="10"/>
    <x v="70"/>
    <x v="0"/>
    <x v="20"/>
    <n v="9"/>
    <d v="2026-05-23T00:00:00"/>
    <n v="141.6"/>
    <s v="PEN"/>
    <x v="0"/>
    <m/>
    <m/>
    <m/>
    <x v="33"/>
    <n v="41.439859525899912"/>
    <m/>
    <m/>
  </r>
  <r>
    <s v="1000006830"/>
    <x v="10"/>
    <x v="71"/>
    <x v="0"/>
    <x v="15"/>
    <n v="8"/>
    <d v="2026-05-24T00:00:00"/>
    <n v="1001.35"/>
    <s v="PEN"/>
    <x v="0"/>
    <m/>
    <m/>
    <m/>
    <x v="14"/>
    <n v="293.04945858940596"/>
    <m/>
    <m/>
  </r>
  <r>
    <s v="1000006830"/>
    <x v="10"/>
    <x v="72"/>
    <x v="0"/>
    <x v="15"/>
    <n v="8"/>
    <d v="2026-05-24T00:00:00"/>
    <n v="106.2"/>
    <s v="PEN"/>
    <x v="0"/>
    <m/>
    <m/>
    <m/>
    <x v="14"/>
    <n v="31.079894644424936"/>
    <m/>
    <m/>
  </r>
  <r>
    <s v="1000006830"/>
    <x v="10"/>
    <x v="73"/>
    <x v="0"/>
    <x v="30"/>
    <n v="7"/>
    <d v="2026-05-25T00:00:00"/>
    <n v="413.99"/>
    <s v="PEN"/>
    <x v="0"/>
    <m/>
    <m/>
    <m/>
    <x v="34"/>
    <n v="121.15598478197251"/>
    <m/>
    <m/>
  </r>
  <r>
    <s v="1000006830"/>
    <x v="10"/>
    <x v="74"/>
    <x v="0"/>
    <x v="30"/>
    <n v="7"/>
    <d v="2026-05-25T00:00:00"/>
    <n v="135.69999999999999"/>
    <s v="PEN"/>
    <x v="0"/>
    <m/>
    <m/>
    <m/>
    <x v="34"/>
    <n v="39.713198712320747"/>
    <m/>
    <m/>
  </r>
  <r>
    <s v="1000006830"/>
    <x v="10"/>
    <x v="75"/>
    <x v="0"/>
    <x v="30"/>
    <n v="7"/>
    <d v="2026-05-25T00:00:00"/>
    <n v="1158.52"/>
    <s v="PEN"/>
    <x v="0"/>
    <m/>
    <m/>
    <m/>
    <x v="34"/>
    <n v="339.04594673690372"/>
    <m/>
    <m/>
  </r>
  <r>
    <s v="1000006830"/>
    <x v="10"/>
    <x v="76"/>
    <x v="0"/>
    <x v="30"/>
    <n v="7"/>
    <d v="2026-05-25T00:00:00"/>
    <n v="106.2"/>
    <s v="PEN"/>
    <x v="0"/>
    <m/>
    <m/>
    <m/>
    <x v="34"/>
    <n v="31.079894644424936"/>
    <m/>
    <m/>
  </r>
  <r>
    <s v="1000006830"/>
    <x v="10"/>
    <x v="77"/>
    <x v="0"/>
    <x v="11"/>
    <n v="6"/>
    <d v="2026-05-26T00:00:00"/>
    <n v="388.46"/>
    <s v="PEN"/>
    <x v="0"/>
    <m/>
    <m/>
    <m/>
    <x v="35"/>
    <n v="113.68451858355283"/>
    <m/>
    <m/>
  </r>
  <r>
    <s v="1000006830"/>
    <x v="10"/>
    <x v="78"/>
    <x v="0"/>
    <x v="11"/>
    <n v="6"/>
    <d v="2026-05-26T00:00:00"/>
    <n v="47.2"/>
    <s v="PEN"/>
    <x v="0"/>
    <m/>
    <m/>
    <m/>
    <x v="35"/>
    <n v="13.813286508633306"/>
    <m/>
    <m/>
  </r>
  <r>
    <s v="1000006830"/>
    <x v="10"/>
    <x v="79"/>
    <x v="0"/>
    <x v="31"/>
    <n v="5"/>
    <d v="2026-05-27T00:00:00"/>
    <n v="381.14"/>
    <s v="PEN"/>
    <x v="0"/>
    <m/>
    <m/>
    <m/>
    <x v="36"/>
    <n v="111.54228855721394"/>
    <m/>
    <m/>
  </r>
  <r>
    <s v="1000006830"/>
    <x v="10"/>
    <x v="80"/>
    <x v="0"/>
    <x v="31"/>
    <n v="5"/>
    <d v="2026-05-27T00:00:00"/>
    <n v="47.2"/>
    <s v="PEN"/>
    <x v="0"/>
    <m/>
    <m/>
    <m/>
    <x v="36"/>
    <n v="13.813286508633306"/>
    <m/>
    <m/>
  </r>
  <r>
    <s v="1000006830"/>
    <x v="10"/>
    <x v="81"/>
    <x v="0"/>
    <x v="17"/>
    <n v="4"/>
    <d v="2026-05-28T00:00:00"/>
    <n v="581.5"/>
    <s v="PEN"/>
    <x v="0"/>
    <m/>
    <m/>
    <m/>
    <x v="16"/>
    <n v="170.17851916886158"/>
    <m/>
    <m/>
  </r>
  <r>
    <s v="1000006830"/>
    <x v="10"/>
    <x v="82"/>
    <x v="0"/>
    <x v="17"/>
    <n v="4"/>
    <d v="2026-05-28T00:00:00"/>
    <n v="153.4"/>
    <s v="PEN"/>
    <x v="0"/>
    <m/>
    <m/>
    <m/>
    <x v="16"/>
    <n v="44.893181153058244"/>
    <m/>
    <m/>
  </r>
  <r>
    <s v="1000006830"/>
    <x v="10"/>
    <x v="83"/>
    <x v="0"/>
    <x v="32"/>
    <n v="0"/>
    <d v="2026-06-01T00:00:00"/>
    <n v="237.23"/>
    <s v="PEN"/>
    <x v="0"/>
    <m/>
    <m/>
    <m/>
    <x v="37"/>
    <n v="69.426397424641493"/>
    <m/>
    <m/>
  </r>
  <r>
    <s v="1000006830"/>
    <x v="10"/>
    <x v="84"/>
    <x v="0"/>
    <x v="32"/>
    <n v="0"/>
    <d v="2026-06-01T00:00:00"/>
    <n v="135.69999999999999"/>
    <s v="PEN"/>
    <x v="0"/>
    <m/>
    <m/>
    <m/>
    <x v="37"/>
    <n v="39.713198712320747"/>
    <m/>
    <m/>
  </r>
  <r>
    <s v="1000006830"/>
    <x v="10"/>
    <x v="85"/>
    <x v="0"/>
    <x v="13"/>
    <n v="-1"/>
    <d v="2026-06-02T00:00:00"/>
    <n v="303.97000000000003"/>
    <s v="PEN"/>
    <x v="0"/>
    <m/>
    <m/>
    <m/>
    <x v="17"/>
    <n v="88.958150424348858"/>
    <m/>
    <m/>
  </r>
  <r>
    <s v="1000006830"/>
    <x v="10"/>
    <x v="86"/>
    <x v="0"/>
    <x v="13"/>
    <n v="-1"/>
    <d v="2026-06-02T00:00:00"/>
    <n v="47.2"/>
    <s v="PEN"/>
    <x v="0"/>
    <m/>
    <m/>
    <m/>
    <x v="17"/>
    <n v="13.813286508633306"/>
    <m/>
    <m/>
  </r>
  <r>
    <s v="1000006830"/>
    <x v="10"/>
    <x v="87"/>
    <x v="0"/>
    <x v="13"/>
    <n v="-1"/>
    <d v="2026-06-02T00:00:00"/>
    <n v="587.78"/>
    <s v="PEN"/>
    <x v="0"/>
    <m/>
    <m/>
    <m/>
    <x v="17"/>
    <n v="172.01638864501024"/>
    <m/>
    <m/>
  </r>
  <r>
    <s v="1000006830"/>
    <x v="10"/>
    <x v="88"/>
    <x v="0"/>
    <x v="13"/>
    <n v="-1"/>
    <d v="2026-06-02T00:00:00"/>
    <n v="159.30000000000001"/>
    <s v="PEN"/>
    <x v="0"/>
    <m/>
    <m/>
    <m/>
    <x v="17"/>
    <n v="46.619841966637409"/>
    <m/>
    <m/>
  </r>
  <r>
    <s v="1000006830"/>
    <x v="10"/>
    <x v="89"/>
    <x v="0"/>
    <x v="18"/>
    <n v="-3"/>
    <d v="2026-06-04T00:00:00"/>
    <n v="188.8"/>
    <s v="PEN"/>
    <x v="0"/>
    <m/>
    <m/>
    <m/>
    <x v="18"/>
    <n v="55.253146034533223"/>
    <m/>
    <m/>
  </r>
  <r>
    <s v="1000006830"/>
    <x v="10"/>
    <x v="90"/>
    <x v="0"/>
    <x v="18"/>
    <n v="-3"/>
    <d v="2026-06-04T00:00:00"/>
    <n v="47.2"/>
    <s v="PEN"/>
    <x v="0"/>
    <m/>
    <m/>
    <m/>
    <x v="18"/>
    <n v="13.813286508633306"/>
    <m/>
    <m/>
  </r>
  <r>
    <s v="1000006830"/>
    <x v="10"/>
    <x v="91"/>
    <x v="0"/>
    <x v="14"/>
    <n v="-4"/>
    <d v="2026-06-05T00:00:00"/>
    <n v="333.7"/>
    <s v="PEN"/>
    <x v="0"/>
    <m/>
    <m/>
    <m/>
    <x v="38"/>
    <n v="97.658764998536725"/>
    <m/>
    <m/>
  </r>
  <r>
    <s v="1000006830"/>
    <x v="10"/>
    <x v="92"/>
    <x v="0"/>
    <x v="14"/>
    <n v="-4"/>
    <d v="2026-06-05T00:00:00"/>
    <n v="153.4"/>
    <s v="PEN"/>
    <x v="0"/>
    <m/>
    <m/>
    <m/>
    <x v="38"/>
    <n v="44.893181153058244"/>
    <m/>
    <m/>
  </r>
  <r>
    <s v="2000001172"/>
    <x v="11"/>
    <x v="93"/>
    <x v="1"/>
    <x v="33"/>
    <n v="0"/>
    <d v="2026-04-30T00:00:00"/>
    <n v="-36224"/>
    <s v="USD"/>
    <x v="1"/>
    <d v="2026-06-12T00:00:00"/>
    <m/>
    <m/>
    <x v="21"/>
    <n v="-36224"/>
    <n v="34"/>
    <s v="0-45"/>
  </r>
  <r>
    <s v="2000001172"/>
    <x v="11"/>
    <x v="94"/>
    <x v="1"/>
    <x v="28"/>
    <n v="0"/>
    <d v="2026-05-31T00:00:00"/>
    <n v="-36370"/>
    <s v="USD"/>
    <x v="1"/>
    <d v="2026-06-27T00:00:00"/>
    <m/>
    <m/>
    <x v="10"/>
    <n v="-36370"/>
    <n v="19"/>
    <s v="0-45"/>
  </r>
  <r>
    <s v="2000001172"/>
    <x v="11"/>
    <x v="95"/>
    <x v="5"/>
    <x v="11"/>
    <n v="13"/>
    <d v="2026-05-19T00:00:00"/>
    <n v="-254051.7"/>
    <s v="USD"/>
    <x v="1"/>
    <d v="2026-07-03T00:00:00"/>
    <m/>
    <m/>
    <x v="29"/>
    <n v="-254051.7"/>
    <n v="13"/>
    <s v="0-45"/>
  </r>
  <r>
    <s v="2000001172"/>
    <x v="11"/>
    <x v="96"/>
    <x v="2"/>
    <x v="12"/>
    <n v="-35"/>
    <d v="2026-07-06T00:00:00"/>
    <n v="34720"/>
    <s v="USD"/>
    <x v="1"/>
    <d v="2026-07-06T00:00:00"/>
    <m/>
    <m/>
    <x v="11"/>
    <n v="34720"/>
    <n v="10"/>
    <s v="0-45"/>
  </r>
  <r>
    <s v="2000001173"/>
    <x v="12"/>
    <x v="97"/>
    <x v="2"/>
    <x v="11"/>
    <n v="-32"/>
    <d v="2026-07-03T00:00:00"/>
    <n v="299700"/>
    <s v="USD"/>
    <x v="1"/>
    <d v="2026-07-03T00:00:00"/>
    <n v="-32"/>
    <d v="2026-07-03T00:00:00"/>
    <x v="39"/>
    <n v="149850"/>
    <n v="13"/>
    <s v="0-45"/>
  </r>
  <r>
    <s v="2000001173"/>
    <x v="12"/>
    <x v="97"/>
    <x v="2"/>
    <x v="11"/>
    <n v="-32"/>
    <d v="2026-07-03T00:00:00"/>
    <n v="299700"/>
    <s v="USD"/>
    <x v="1"/>
    <d v="2026-07-03T00:00:00"/>
    <n v="-32"/>
    <d v="2026-07-03T00:00:00"/>
    <x v="40"/>
    <n v="149850"/>
    <n v="13"/>
    <s v="0-45"/>
  </r>
  <r>
    <s v="2000000231"/>
    <x v="13"/>
    <x v="98"/>
    <x v="2"/>
    <x v="34"/>
    <n v="-9"/>
    <d v="2026-06-10T00:00:00"/>
    <n v="105300"/>
    <s v="USD"/>
    <x v="1"/>
    <d v="2026-06-10T00:00:00"/>
    <n v="-9"/>
    <d v="2026-06-10T00:00:00"/>
    <x v="41"/>
    <n v="105300"/>
    <n v="36"/>
    <s v="0-45"/>
  </r>
  <r>
    <s v="2000000231"/>
    <x v="13"/>
    <x v="99"/>
    <x v="2"/>
    <x v="27"/>
    <n v="-25"/>
    <d v="2026-06-26T00:00:00"/>
    <n v="420417"/>
    <s v="USD"/>
    <x v="1"/>
    <d v="2026-06-26T00:00:00"/>
    <n v="-25"/>
    <d v="2026-06-26T00:00:00"/>
    <x v="42"/>
    <n v="210208.5"/>
    <n v="20"/>
    <s v="0-45"/>
  </r>
  <r>
    <s v="2000000231"/>
    <x v="13"/>
    <x v="99"/>
    <x v="2"/>
    <x v="27"/>
    <n v="-25"/>
    <d v="2026-06-26T00:00:00"/>
    <n v="420417"/>
    <s v="USD"/>
    <x v="1"/>
    <d v="2026-06-26T00:00:00"/>
    <n v="-25"/>
    <d v="2026-06-26T00:00:00"/>
    <x v="43"/>
    <n v="210208.5"/>
    <n v="20"/>
    <s v="0-45"/>
  </r>
  <r>
    <s v="2000000231"/>
    <x v="13"/>
    <x v="100"/>
    <x v="2"/>
    <x v="12"/>
    <n v="-35"/>
    <d v="2026-07-06T00:00:00"/>
    <n v="103806"/>
    <s v="USD"/>
    <x v="1"/>
    <d v="2026-07-06T00:00:00"/>
    <n v="-35"/>
    <d v="2026-07-06T00:00:00"/>
    <x v="11"/>
    <n v="51903"/>
    <n v="10"/>
    <s v="0-45"/>
  </r>
  <r>
    <s v="2000000231"/>
    <x v="13"/>
    <x v="100"/>
    <x v="2"/>
    <x v="12"/>
    <n v="-35"/>
    <d v="2026-07-06T00:00:00"/>
    <n v="103806"/>
    <s v="USD"/>
    <x v="1"/>
    <d v="2026-07-06T00:00:00"/>
    <n v="-35"/>
    <d v="2026-07-06T00:00:00"/>
    <x v="43"/>
    <n v="51903"/>
    <n v="10"/>
    <s v="0-45"/>
  </r>
  <r>
    <s v="2000000231"/>
    <x v="13"/>
    <x v="101"/>
    <x v="2"/>
    <x v="35"/>
    <n v="-37"/>
    <d v="2026-07-08T00:00:00"/>
    <n v="104872.5"/>
    <s v="USD"/>
    <x v="1"/>
    <d v="2026-07-08T00:00:00"/>
    <m/>
    <m/>
    <x v="44"/>
    <n v="52436.25"/>
    <n v="8"/>
    <s v="0-45"/>
  </r>
  <r>
    <s v="2000000231"/>
    <x v="13"/>
    <x v="101"/>
    <x v="2"/>
    <x v="35"/>
    <n v="-37"/>
    <d v="2026-07-08T00:00:00"/>
    <n v="104872.5"/>
    <s v="USD"/>
    <x v="1"/>
    <d v="2026-07-08T00:00:00"/>
    <n v="-35"/>
    <d v="2026-07-06T00:00:00"/>
    <x v="45"/>
    <n v="52436.25"/>
    <n v="8"/>
    <s v="0-45"/>
  </r>
  <r>
    <s v="2000000231"/>
    <x v="13"/>
    <x v="102"/>
    <x v="2"/>
    <x v="35"/>
    <n v="-37"/>
    <d v="2026-07-08T00:00:00"/>
    <n v="421200"/>
    <s v="USD"/>
    <x v="1"/>
    <d v="2026-07-08T00:00:00"/>
    <m/>
    <m/>
    <x v="44"/>
    <n v="210600"/>
    <n v="8"/>
    <s v="0-45"/>
  </r>
  <r>
    <s v="2000000231"/>
    <x v="13"/>
    <x v="102"/>
    <x v="2"/>
    <x v="35"/>
    <n v="-37"/>
    <d v="2026-07-08T00:00:00"/>
    <n v="421200"/>
    <s v="USD"/>
    <x v="1"/>
    <d v="2026-07-08T00:00:00"/>
    <n v="-35"/>
    <d v="2026-07-06T00:00:00"/>
    <x v="45"/>
    <n v="210600"/>
    <n v="8"/>
    <s v="0-45"/>
  </r>
  <r>
    <s v="2000000231"/>
    <x v="13"/>
    <x v="103"/>
    <x v="2"/>
    <x v="14"/>
    <n v="-42"/>
    <d v="2026-07-13T00:00:00"/>
    <n v="104161.5"/>
    <s v="USD"/>
    <x v="1"/>
    <d v="2026-07-13T00:00:00"/>
    <m/>
    <m/>
    <x v="13"/>
    <n v="52080.75"/>
    <n v="3"/>
    <s v="0-45"/>
  </r>
  <r>
    <s v="2000000231"/>
    <x v="13"/>
    <x v="103"/>
    <x v="2"/>
    <x v="14"/>
    <n v="-42"/>
    <d v="2026-07-13T00:00:00"/>
    <n v="104161.5"/>
    <s v="USD"/>
    <x v="1"/>
    <d v="2026-07-13T00:00:00"/>
    <n v="-35"/>
    <d v="2026-07-06T00:00:00"/>
    <x v="24"/>
    <n v="52080.75"/>
    <n v="3"/>
    <s v="0-45"/>
  </r>
  <r>
    <s v="2000000231"/>
    <x v="13"/>
    <x v="104"/>
    <x v="2"/>
    <x v="14"/>
    <n v="-42"/>
    <d v="2026-07-13T00:00:00"/>
    <n v="105300"/>
    <s v="USD"/>
    <x v="1"/>
    <d v="2026-07-13T00:00:00"/>
    <m/>
    <m/>
    <x v="13"/>
    <n v="52650"/>
    <n v="3"/>
    <s v="0-45"/>
  </r>
  <r>
    <s v="2000000231"/>
    <x v="13"/>
    <x v="104"/>
    <x v="2"/>
    <x v="14"/>
    <n v="-42"/>
    <d v="2026-07-13T00:00:00"/>
    <n v="105300"/>
    <s v="USD"/>
    <x v="1"/>
    <d v="2026-07-13T00:00:00"/>
    <n v="-35"/>
    <d v="2026-07-06T00:00:00"/>
    <x v="24"/>
    <n v="52650"/>
    <n v="3"/>
    <s v="0-45"/>
  </r>
  <r>
    <s v="2000000233"/>
    <x v="14"/>
    <x v="105"/>
    <x v="1"/>
    <x v="28"/>
    <n v="0"/>
    <d v="2026-05-31T00:00:00"/>
    <n v="-223726"/>
    <s v="USD"/>
    <x v="1"/>
    <d v="2026-06-27T00:00:00"/>
    <m/>
    <m/>
    <x v="10"/>
    <n v="-223726"/>
    <n v="19"/>
    <s v="0-45"/>
  </r>
  <r>
    <s v="2000000233"/>
    <x v="14"/>
    <x v="106"/>
    <x v="2"/>
    <x v="35"/>
    <n v="-37"/>
    <d v="2026-07-08T00:00:00"/>
    <n v="436320"/>
    <s v="USD"/>
    <x v="1"/>
    <d v="2026-07-08T00:00:00"/>
    <m/>
    <m/>
    <x v="44"/>
    <n v="436320"/>
    <n v="8"/>
    <s v="0-45"/>
  </r>
  <r>
    <s v="2000000233"/>
    <x v="14"/>
    <x v="107"/>
    <x v="2"/>
    <x v="14"/>
    <n v="-42"/>
    <d v="2026-07-13T00:00:00"/>
    <n v="54540"/>
    <s v="USD"/>
    <x v="1"/>
    <d v="2026-07-13T00:00:00"/>
    <m/>
    <m/>
    <x v="13"/>
    <n v="54540"/>
    <n v="3"/>
    <s v="0-45"/>
  </r>
  <r>
    <s v="2000001409"/>
    <x v="15"/>
    <x v="25"/>
    <x v="4"/>
    <x v="34"/>
    <n v="0"/>
    <d v="2026-04-26T00:00:00"/>
    <n v="-4560"/>
    <s v="USD"/>
    <x v="1"/>
    <d v="2026-06-10T00:00:00"/>
    <m/>
    <m/>
    <x v="46"/>
    <n v="-4560"/>
    <n v="36"/>
    <s v="0-45"/>
  </r>
  <r>
    <s v="2000001409"/>
    <x v="15"/>
    <x v="108"/>
    <x v="2"/>
    <x v="22"/>
    <n v="-12"/>
    <d v="2026-06-13T00:00:00"/>
    <n v="396900"/>
    <s v="USD"/>
    <x v="1"/>
    <d v="2026-06-13T00:00:00"/>
    <n v="-12"/>
    <d v="2026-06-13T00:00:00"/>
    <x v="24"/>
    <n v="396900"/>
    <n v="33"/>
    <s v="0-45"/>
  </r>
  <r>
    <s v="2000001409"/>
    <x v="15"/>
    <x v="109"/>
    <x v="2"/>
    <x v="15"/>
    <n v="-30"/>
    <d v="2026-07-01T00:00:00"/>
    <n v="113820"/>
    <s v="USD"/>
    <x v="1"/>
    <d v="2026-07-01T00:00:00"/>
    <n v="-30"/>
    <d v="2026-07-01T00:00:00"/>
    <x v="19"/>
    <n v="113820"/>
    <n v="15"/>
    <s v="0-45"/>
  </r>
  <r>
    <s v="2000001409"/>
    <x v="15"/>
    <x v="110"/>
    <x v="2"/>
    <x v="12"/>
    <n v="-35"/>
    <d v="2026-07-06T00:00:00"/>
    <n v="56280"/>
    <s v="USD"/>
    <x v="1"/>
    <d v="2026-07-06T00:00:00"/>
    <n v="-35"/>
    <d v="2026-07-06T00:00:00"/>
    <x v="11"/>
    <n v="56280"/>
    <n v="10"/>
    <s v="0-45"/>
  </r>
  <r>
    <s v="2000001409"/>
    <x v="15"/>
    <x v="111"/>
    <x v="2"/>
    <x v="35"/>
    <n v="-37"/>
    <d v="2026-07-08T00:00:00"/>
    <n v="113400"/>
    <s v="USD"/>
    <x v="1"/>
    <d v="2026-07-08T00:00:00"/>
    <m/>
    <m/>
    <x v="44"/>
    <n v="113400"/>
    <n v="8"/>
    <s v="0-45"/>
  </r>
  <r>
    <s v="2000001409"/>
    <x v="15"/>
    <x v="112"/>
    <x v="2"/>
    <x v="14"/>
    <n v="-42"/>
    <d v="2026-07-13T00:00:00"/>
    <n v="56700"/>
    <s v="USD"/>
    <x v="1"/>
    <d v="2026-07-13T00:00:00"/>
    <m/>
    <m/>
    <x v="13"/>
    <n v="56700"/>
    <n v="3"/>
    <s v="0-45"/>
  </r>
  <r>
    <s v="6002007"/>
    <x v="16"/>
    <x v="113"/>
    <x v="0"/>
    <x v="36"/>
    <n v="203"/>
    <d v="2025-11-10T00:00:00"/>
    <n v="1403.26"/>
    <s v="PEN"/>
    <x v="0"/>
    <m/>
    <m/>
    <m/>
    <x v="47"/>
    <n v="410.67017851916887"/>
    <m/>
    <m/>
  </r>
  <r>
    <s v="6002007"/>
    <x v="16"/>
    <x v="114"/>
    <x v="0"/>
    <x v="36"/>
    <n v="203"/>
    <d v="2025-11-10T00:00:00"/>
    <n v="141.6"/>
    <s v="PEN"/>
    <x v="0"/>
    <m/>
    <m/>
    <m/>
    <x v="47"/>
    <n v="41.439859525899912"/>
    <m/>
    <m/>
  </r>
  <r>
    <s v="6002007"/>
    <x v="16"/>
    <x v="115"/>
    <x v="0"/>
    <x v="37"/>
    <n v="200"/>
    <d v="2025-11-13T00:00:00"/>
    <n v="1193.22"/>
    <s v="PEN"/>
    <x v="0"/>
    <m/>
    <m/>
    <m/>
    <x v="48"/>
    <n v="349.20105355575066"/>
    <m/>
    <m/>
  </r>
  <r>
    <s v="6002007"/>
    <x v="16"/>
    <x v="116"/>
    <x v="0"/>
    <x v="37"/>
    <n v="200"/>
    <d v="2025-11-13T00:00:00"/>
    <n v="106.2"/>
    <s v="PEN"/>
    <x v="0"/>
    <m/>
    <m/>
    <m/>
    <x v="48"/>
    <n v="31.079894644424936"/>
    <m/>
    <m/>
  </r>
  <r>
    <s v="6002007"/>
    <x v="16"/>
    <x v="117"/>
    <x v="0"/>
    <x v="23"/>
    <n v="19"/>
    <d v="2026-05-13T00:00:00"/>
    <n v="23.6"/>
    <s v="PEN"/>
    <x v="0"/>
    <m/>
    <m/>
    <m/>
    <x v="25"/>
    <n v="6.9066432543166529"/>
    <m/>
    <m/>
  </r>
  <r>
    <s v="6002007"/>
    <x v="16"/>
    <x v="118"/>
    <x v="0"/>
    <x v="23"/>
    <n v="19"/>
    <d v="2026-05-13T00:00:00"/>
    <n v="261.49"/>
    <s v="PEN"/>
    <x v="0"/>
    <m/>
    <m/>
    <m/>
    <x v="25"/>
    <n v="76.526192566578871"/>
    <m/>
    <m/>
  </r>
  <r>
    <s v="6002007"/>
    <x v="16"/>
    <x v="119"/>
    <x v="0"/>
    <x v="23"/>
    <n v="19"/>
    <d v="2026-05-13T00:00:00"/>
    <n v="387.51"/>
    <s v="PEN"/>
    <x v="0"/>
    <m/>
    <m/>
    <m/>
    <x v="25"/>
    <n v="113.40649692712907"/>
    <m/>
    <m/>
  </r>
  <r>
    <s v="6002007"/>
    <x v="16"/>
    <x v="120"/>
    <x v="0"/>
    <x v="23"/>
    <n v="19"/>
    <d v="2026-05-13T00:00:00"/>
    <n v="35.4"/>
    <s v="PEN"/>
    <x v="0"/>
    <m/>
    <m/>
    <m/>
    <x v="25"/>
    <n v="10.359964881474978"/>
    <m/>
    <m/>
  </r>
  <r>
    <s v="6002007"/>
    <x v="16"/>
    <x v="121"/>
    <x v="0"/>
    <x v="27"/>
    <n v="13"/>
    <d v="2026-05-19T00:00:00"/>
    <n v="482.86"/>
    <s v="PEN"/>
    <x v="0"/>
    <m/>
    <m/>
    <m/>
    <x v="29"/>
    <n v="141.31109160081945"/>
    <m/>
    <m/>
  </r>
  <r>
    <s v="6002007"/>
    <x v="16"/>
    <x v="122"/>
    <x v="0"/>
    <x v="27"/>
    <n v="13"/>
    <d v="2026-05-19T00:00:00"/>
    <n v="47.2"/>
    <s v="PEN"/>
    <x v="0"/>
    <m/>
    <m/>
    <m/>
    <x v="29"/>
    <n v="13.813286508633306"/>
    <m/>
    <m/>
  </r>
  <r>
    <s v="6002007"/>
    <x v="16"/>
    <x v="123"/>
    <x v="0"/>
    <x v="20"/>
    <n v="9"/>
    <d v="2026-05-23T00:00:00"/>
    <n v="544.45000000000005"/>
    <s v="PEN"/>
    <x v="0"/>
    <m/>
    <m/>
    <m/>
    <x v="33"/>
    <n v="159.33567456833481"/>
    <m/>
    <m/>
  </r>
  <r>
    <s v="6002007"/>
    <x v="16"/>
    <x v="124"/>
    <x v="0"/>
    <x v="20"/>
    <n v="9"/>
    <d v="2026-05-23T00:00:00"/>
    <n v="47.2"/>
    <s v="PEN"/>
    <x v="0"/>
    <m/>
    <m/>
    <m/>
    <x v="33"/>
    <n v="13.813286508633306"/>
    <m/>
    <m/>
  </r>
  <r>
    <s v="6002007"/>
    <x v="16"/>
    <x v="125"/>
    <x v="0"/>
    <x v="38"/>
    <n v="-2"/>
    <d v="2026-06-03T00:00:00"/>
    <n v="591.65"/>
    <s v="PEN"/>
    <x v="0"/>
    <m/>
    <m/>
    <m/>
    <x v="40"/>
    <n v="173.14896107696811"/>
    <m/>
    <m/>
  </r>
  <r>
    <s v="6002007"/>
    <x v="16"/>
    <x v="126"/>
    <x v="0"/>
    <x v="38"/>
    <n v="-2"/>
    <d v="2026-06-03T00:00:00"/>
    <n v="70.8"/>
    <s v="PEN"/>
    <x v="0"/>
    <m/>
    <m/>
    <m/>
    <x v="40"/>
    <n v="20.719929762949956"/>
    <m/>
    <m/>
  </r>
  <r>
    <s v="6001105"/>
    <x v="17"/>
    <x v="127"/>
    <x v="0"/>
    <x v="33"/>
    <n v="34"/>
    <d v="2026-04-28T00:00:00"/>
    <n v="59"/>
    <s v="PEN"/>
    <x v="0"/>
    <m/>
    <m/>
    <m/>
    <x v="49"/>
    <n v="17.266608135791632"/>
    <m/>
    <m/>
  </r>
  <r>
    <s v="6001105"/>
    <x v="17"/>
    <x v="128"/>
    <x v="0"/>
    <x v="33"/>
    <n v="34"/>
    <d v="2026-04-28T00:00:00"/>
    <n v="716.71"/>
    <s v="PEN"/>
    <x v="0"/>
    <m/>
    <m/>
    <m/>
    <x v="49"/>
    <n v="209.74831723734272"/>
    <m/>
    <m/>
  </r>
  <r>
    <s v="6001105"/>
    <x v="17"/>
    <x v="129"/>
    <x v="0"/>
    <x v="33"/>
    <n v="34"/>
    <d v="2026-04-28T00:00:00"/>
    <n v="129.80000000000001"/>
    <s v="PEN"/>
    <x v="0"/>
    <m/>
    <m/>
    <m/>
    <x v="49"/>
    <n v="37.986537898741588"/>
    <m/>
    <m/>
  </r>
  <r>
    <s v="6001105"/>
    <x v="17"/>
    <x v="130"/>
    <x v="4"/>
    <x v="33"/>
    <n v="34"/>
    <d v="2026-04-28T00:00:00"/>
    <n v="422.56"/>
    <s v="PEN"/>
    <x v="0"/>
    <m/>
    <m/>
    <m/>
    <x v="49"/>
    <n v="123.66403277729003"/>
    <m/>
    <m/>
  </r>
  <r>
    <s v="6001105"/>
    <x v="17"/>
    <x v="131"/>
    <x v="0"/>
    <x v="27"/>
    <n v="20"/>
    <d v="2026-05-12T00:00:00"/>
    <n v="404.98"/>
    <s v="PEN"/>
    <x v="0"/>
    <m/>
    <m/>
    <m/>
    <x v="50"/>
    <n v="118.51916886157449"/>
    <m/>
    <m/>
  </r>
  <r>
    <s v="6001105"/>
    <x v="17"/>
    <x v="132"/>
    <x v="0"/>
    <x v="27"/>
    <n v="20"/>
    <d v="2026-05-12T00:00:00"/>
    <n v="59"/>
    <s v="PEN"/>
    <x v="0"/>
    <m/>
    <m/>
    <m/>
    <x v="50"/>
    <n v="17.266608135791632"/>
    <m/>
    <m/>
  </r>
  <r>
    <s v="6001105"/>
    <x v="17"/>
    <x v="133"/>
    <x v="0"/>
    <x v="14"/>
    <n v="3"/>
    <d v="2026-05-29T00:00:00"/>
    <n v="534.29999999999995"/>
    <s v="PEN"/>
    <x v="0"/>
    <m/>
    <m/>
    <m/>
    <x v="51"/>
    <n v="156.36523266022826"/>
    <m/>
    <m/>
  </r>
  <r>
    <s v="6001105"/>
    <x v="17"/>
    <x v="134"/>
    <x v="0"/>
    <x v="14"/>
    <n v="3"/>
    <d v="2026-05-29T00:00:00"/>
    <n v="59"/>
    <s v="PEN"/>
    <x v="0"/>
    <m/>
    <m/>
    <m/>
    <x v="51"/>
    <n v="17.266608135791632"/>
    <m/>
    <m/>
  </r>
  <r>
    <s v="2000001443"/>
    <x v="18"/>
    <x v="135"/>
    <x v="1"/>
    <x v="23"/>
    <n v="0"/>
    <d v="2026-05-31T00:00:00"/>
    <n v="-33334"/>
    <s v="USD"/>
    <x v="1"/>
    <d v="2026-06-20T00:00:00"/>
    <m/>
    <m/>
    <x v="10"/>
    <n v="-33334"/>
    <n v="26"/>
    <s v="0-45"/>
  </r>
  <r>
    <s v="2000001443"/>
    <x v="18"/>
    <x v="135"/>
    <x v="1"/>
    <x v="23"/>
    <n v="0"/>
    <d v="2026-05-31T00:00:00"/>
    <n v="-16692"/>
    <s v="USD"/>
    <x v="1"/>
    <d v="2026-06-20T00:00:00"/>
    <m/>
    <m/>
    <x v="10"/>
    <n v="-16692"/>
    <n v="26"/>
    <s v="0-45"/>
  </r>
  <r>
    <s v="2000001443"/>
    <x v="18"/>
    <x v="136"/>
    <x v="2"/>
    <x v="14"/>
    <n v="-42"/>
    <d v="2026-07-13T00:00:00"/>
    <n v="83700"/>
    <s v="USD"/>
    <x v="1"/>
    <d v="2026-07-13T00:00:00"/>
    <m/>
    <m/>
    <x v="13"/>
    <n v="83700"/>
    <n v="3"/>
    <s v="0-45"/>
  </r>
  <r>
    <s v="2000001359"/>
    <x v="19"/>
    <x v="137"/>
    <x v="2"/>
    <x v="21"/>
    <n v="5"/>
    <d v="2026-05-27T00:00:00"/>
    <n v="36400"/>
    <s v="USD"/>
    <x v="1"/>
    <d v="2026-05-27T00:00:00"/>
    <n v="5"/>
    <d v="2026-05-27T00:00:00"/>
    <x v="45"/>
    <n v="36400"/>
    <n v="50"/>
    <s v="46-60"/>
  </r>
  <r>
    <s v="2000001359"/>
    <x v="19"/>
    <x v="138"/>
    <x v="2"/>
    <x v="21"/>
    <n v="-10"/>
    <d v="2026-06-11T00:00:00"/>
    <n v="80600"/>
    <s v="USD"/>
    <x v="1"/>
    <d v="2026-05-27T00:00:00"/>
    <n v="-10"/>
    <d v="2026-06-11T00:00:00"/>
    <x v="20"/>
    <n v="80600"/>
    <n v="50"/>
    <s v="46-60"/>
  </r>
  <r>
    <s v="2000001359"/>
    <x v="19"/>
    <x v="139"/>
    <x v="2"/>
    <x v="39"/>
    <n v="-5"/>
    <d v="2026-06-06T00:00:00"/>
    <n v="36400"/>
    <s v="USD"/>
    <x v="1"/>
    <d v="2026-06-06T00:00:00"/>
    <n v="-5"/>
    <d v="2026-06-06T00:00:00"/>
    <x v="43"/>
    <n v="36400"/>
    <n v="40"/>
    <s v="0-45"/>
  </r>
  <r>
    <s v="2000001359"/>
    <x v="19"/>
    <x v="140"/>
    <x v="2"/>
    <x v="16"/>
    <n v="-10"/>
    <d v="2026-06-11T00:00:00"/>
    <n v="36400"/>
    <s v="USD"/>
    <x v="1"/>
    <d v="2026-06-11T00:00:00"/>
    <n v="-10"/>
    <d v="2026-06-11T00:00:00"/>
    <x v="20"/>
    <n v="36400"/>
    <n v="35"/>
    <s v="0-45"/>
  </r>
  <r>
    <s v="2000001359"/>
    <x v="19"/>
    <x v="141"/>
    <x v="2"/>
    <x v="12"/>
    <n v="-35"/>
    <d v="2026-07-06T00:00:00"/>
    <n v="80600"/>
    <s v="USD"/>
    <x v="1"/>
    <d v="2026-07-06T00:00:00"/>
    <m/>
    <m/>
    <x v="11"/>
    <n v="80600"/>
    <n v="10"/>
    <s v="0-45"/>
  </r>
  <r>
    <s v="1000013925"/>
    <x v="20"/>
    <x v="142"/>
    <x v="4"/>
    <x v="40"/>
    <n v="223"/>
    <d v="2025-10-21T00:00:00"/>
    <n v="4460"/>
    <s v="PEN"/>
    <x v="2"/>
    <m/>
    <m/>
    <m/>
    <x v="52"/>
    <n v="1305.2385133157741"/>
    <m/>
    <m/>
  </r>
  <r>
    <s v="1000013925"/>
    <x v="20"/>
    <x v="143"/>
    <x v="0"/>
    <x v="41"/>
    <n v="202"/>
    <d v="2025-11-11T00:00:00"/>
    <n v="7097.98"/>
    <s v="PEN"/>
    <x v="2"/>
    <m/>
    <m/>
    <m/>
    <x v="53"/>
    <n v="2077.2549019607841"/>
    <m/>
    <m/>
  </r>
  <r>
    <s v="1000013925"/>
    <x v="20"/>
    <x v="144"/>
    <x v="0"/>
    <x v="42"/>
    <n v="114"/>
    <d v="2026-02-07T00:00:00"/>
    <n v="4003.46"/>
    <s v="PEN"/>
    <x v="2"/>
    <m/>
    <m/>
    <m/>
    <x v="54"/>
    <n v="1171.6300848697688"/>
    <m/>
    <m/>
  </r>
  <r>
    <s v="1000013925"/>
    <x v="20"/>
    <x v="145"/>
    <x v="0"/>
    <x v="43"/>
    <n v="83"/>
    <d v="2026-03-10T00:00:00"/>
    <n v="4956"/>
    <s v="PEN"/>
    <x v="2"/>
    <m/>
    <m/>
    <m/>
    <x v="55"/>
    <n v="1450.395083406497"/>
    <m/>
    <m/>
  </r>
  <r>
    <s v="1000015185"/>
    <x v="21"/>
    <x v="146"/>
    <x v="0"/>
    <x v="31"/>
    <n v="5"/>
    <d v="2026-05-27T00:00:00"/>
    <n v="731.18"/>
    <s v="PEN"/>
    <x v="0"/>
    <m/>
    <m/>
    <m/>
    <x v="36"/>
    <n v="213.98302604623939"/>
    <m/>
    <m/>
  </r>
  <r>
    <s v="1000015185"/>
    <x v="21"/>
    <x v="147"/>
    <x v="0"/>
    <x v="31"/>
    <n v="5"/>
    <d v="2026-05-27T00:00:00"/>
    <n v="177"/>
    <s v="PEN"/>
    <x v="0"/>
    <m/>
    <m/>
    <m/>
    <x v="36"/>
    <n v="51.799824407374892"/>
    <m/>
    <m/>
  </r>
  <r>
    <s v="1000015185"/>
    <x v="21"/>
    <x v="148"/>
    <x v="0"/>
    <x v="31"/>
    <n v="5"/>
    <d v="2026-05-27T00:00:00"/>
    <n v="452.98"/>
    <s v="PEN"/>
    <x v="0"/>
    <m/>
    <m/>
    <m/>
    <x v="36"/>
    <n v="132.56657887035414"/>
    <m/>
    <m/>
  </r>
  <r>
    <s v="1000015185"/>
    <x v="21"/>
    <x v="149"/>
    <x v="0"/>
    <x v="31"/>
    <n v="5"/>
    <d v="2026-05-27T00:00:00"/>
    <n v="177"/>
    <s v="PEN"/>
    <x v="0"/>
    <m/>
    <m/>
    <m/>
    <x v="36"/>
    <n v="51.799824407374892"/>
    <m/>
    <m/>
  </r>
  <r>
    <s v="1000015185"/>
    <x v="21"/>
    <x v="150"/>
    <x v="0"/>
    <x v="32"/>
    <n v="0"/>
    <d v="2026-06-01T00:00:00"/>
    <n v="215.42"/>
    <s v="PEN"/>
    <x v="0"/>
    <m/>
    <m/>
    <m/>
    <x v="37"/>
    <n v="63.043605501902256"/>
    <m/>
    <m/>
  </r>
  <r>
    <s v="1000015185"/>
    <x v="21"/>
    <x v="151"/>
    <x v="0"/>
    <x v="32"/>
    <n v="0"/>
    <d v="2026-06-01T00:00:00"/>
    <n v="135.69999999999999"/>
    <s v="PEN"/>
    <x v="0"/>
    <m/>
    <m/>
    <m/>
    <x v="37"/>
    <n v="39.713198712320747"/>
    <m/>
    <m/>
  </r>
  <r>
    <s v="1000015185"/>
    <x v="21"/>
    <x v="152"/>
    <x v="0"/>
    <x v="38"/>
    <n v="-2"/>
    <d v="2026-06-03T00:00:00"/>
    <n v="604.63"/>
    <s v="PEN"/>
    <x v="0"/>
    <m/>
    <m/>
    <m/>
    <x v="40"/>
    <n v="176.94761486684226"/>
    <m/>
    <m/>
  </r>
  <r>
    <s v="1000015185"/>
    <x v="21"/>
    <x v="153"/>
    <x v="0"/>
    <x v="38"/>
    <n v="-2"/>
    <d v="2026-06-03T00:00:00"/>
    <n v="247.8"/>
    <s v="PEN"/>
    <x v="0"/>
    <m/>
    <m/>
    <m/>
    <x v="40"/>
    <n v="72.519754170324859"/>
    <m/>
    <m/>
  </r>
  <r>
    <s v="1000015185"/>
    <x v="21"/>
    <x v="154"/>
    <x v="0"/>
    <x v="44"/>
    <n v="-5"/>
    <d v="2026-06-06T00:00:00"/>
    <n v="358.48"/>
    <s v="PEN"/>
    <x v="0"/>
    <m/>
    <m/>
    <m/>
    <x v="43"/>
    <n v="104.91074041556922"/>
    <m/>
    <m/>
  </r>
  <r>
    <s v="1000015185"/>
    <x v="21"/>
    <x v="155"/>
    <x v="0"/>
    <x v="44"/>
    <n v="-5"/>
    <d v="2026-06-06T00:00:00"/>
    <n v="188.8"/>
    <s v="PEN"/>
    <x v="0"/>
    <m/>
    <m/>
    <m/>
    <x v="43"/>
    <n v="55.253146034533223"/>
    <m/>
    <m/>
  </r>
  <r>
    <s v="6000434"/>
    <x v="22"/>
    <x v="156"/>
    <x v="0"/>
    <x v="45"/>
    <n v="230"/>
    <d v="2025-10-14T00:00:00"/>
    <n v="790"/>
    <s v="PEN"/>
    <x v="3"/>
    <m/>
    <m/>
    <m/>
    <x v="56"/>
    <n v="231.1969563944981"/>
    <m/>
    <m/>
  </r>
  <r>
    <s v="1000001607"/>
    <x v="23"/>
    <x v="157"/>
    <x v="0"/>
    <x v="44"/>
    <n v="-1"/>
    <d v="2026-06-02T00:00:00"/>
    <n v="79349.03"/>
    <s v="PEN"/>
    <x v="4"/>
    <m/>
    <m/>
    <m/>
    <x v="17"/>
    <n v="23221.8407960199"/>
    <m/>
    <m/>
  </r>
  <r>
    <s v="2000001438"/>
    <x v="24"/>
    <x v="158"/>
    <x v="4"/>
    <x v="22"/>
    <n v="33"/>
    <d v="2026-04-29T00:00:00"/>
    <n v="123265"/>
    <s v="USD"/>
    <x v="1"/>
    <d v="2026-06-13T00:00:00"/>
    <n v="-12"/>
    <d v="2026-06-13T00:00:00"/>
    <x v="24"/>
    <n v="123265"/>
    <n v="33"/>
    <s v="0-45"/>
  </r>
  <r>
    <s v="2000001438"/>
    <x v="24"/>
    <x v="159"/>
    <x v="4"/>
    <x v="22"/>
    <n v="33"/>
    <d v="2026-04-29T00:00:00"/>
    <n v="162355"/>
    <s v="USD"/>
    <x v="1"/>
    <d v="2026-06-13T00:00:00"/>
    <n v="-12"/>
    <d v="2026-06-13T00:00:00"/>
    <x v="24"/>
    <n v="162355"/>
    <n v="33"/>
    <s v="0-45"/>
  </r>
  <r>
    <s v="2000001438"/>
    <x v="24"/>
    <x v="160"/>
    <x v="4"/>
    <x v="46"/>
    <n v="32"/>
    <d v="2026-04-30T00:00:00"/>
    <n v="77257"/>
    <s v="USD"/>
    <x v="1"/>
    <d v="2026-06-14T00:00:00"/>
    <n v="-10"/>
    <d v="2026-06-11T00:00:00"/>
    <x v="20"/>
    <n v="77257"/>
    <n v="32"/>
    <s v="0-45"/>
  </r>
  <r>
    <s v="2000001438"/>
    <x v="24"/>
    <x v="161"/>
    <x v="2"/>
    <x v="15"/>
    <n v="-30"/>
    <d v="2026-07-01T00:00:00"/>
    <n v="230850"/>
    <s v="USD"/>
    <x v="1"/>
    <d v="2026-07-01T00:00:00"/>
    <n v="-30"/>
    <d v="2026-07-01T00:00:00"/>
    <x v="19"/>
    <n v="230850"/>
    <n v="15"/>
    <s v="0-45"/>
  </r>
  <r>
    <s v="1000001965"/>
    <x v="25"/>
    <x v="162"/>
    <x v="0"/>
    <x v="11"/>
    <n v="6"/>
    <d v="2026-05-26T00:00:00"/>
    <n v="590"/>
    <s v="PEN"/>
    <x v="0"/>
    <m/>
    <m/>
    <m/>
    <x v="35"/>
    <n v="172.66608135791631"/>
    <m/>
    <m/>
  </r>
  <r>
    <s v="1000001965"/>
    <x v="25"/>
    <x v="163"/>
    <x v="0"/>
    <x v="31"/>
    <n v="5"/>
    <d v="2026-05-27T00:00:00"/>
    <n v="590"/>
    <s v="PEN"/>
    <x v="0"/>
    <m/>
    <m/>
    <m/>
    <x v="36"/>
    <n v="172.66608135791631"/>
    <m/>
    <m/>
  </r>
  <r>
    <s v="1000001965"/>
    <x v="25"/>
    <x v="164"/>
    <x v="0"/>
    <x v="12"/>
    <n v="3"/>
    <d v="2026-05-29T00:00:00"/>
    <n v="590"/>
    <s v="PEN"/>
    <x v="0"/>
    <m/>
    <m/>
    <m/>
    <x v="51"/>
    <n v="172.66608135791631"/>
    <m/>
    <m/>
  </r>
  <r>
    <s v="1000001965"/>
    <x v="25"/>
    <x v="165"/>
    <x v="0"/>
    <x v="13"/>
    <n v="-1"/>
    <d v="2026-06-02T00:00:00"/>
    <n v="590"/>
    <s v="PEN"/>
    <x v="0"/>
    <m/>
    <m/>
    <m/>
    <x v="17"/>
    <n v="172.66608135791631"/>
    <m/>
    <m/>
  </r>
  <r>
    <s v="2000001440"/>
    <x v="26"/>
    <x v="166"/>
    <x v="4"/>
    <x v="22"/>
    <n v="33"/>
    <d v="2026-04-29T00:00:00"/>
    <n v="56785"/>
    <s v="USD"/>
    <x v="1"/>
    <d v="2026-06-13T00:00:00"/>
    <n v="-12"/>
    <d v="2026-06-13T00:00:00"/>
    <x v="24"/>
    <n v="56785"/>
    <n v="33"/>
    <s v="0-45"/>
  </r>
  <r>
    <s v="2000001440"/>
    <x v="26"/>
    <x v="167"/>
    <x v="1"/>
    <x v="25"/>
    <n v="0"/>
    <d v="2026-05-31T00:00:00"/>
    <n v="-23675"/>
    <s v="USD"/>
    <x v="1"/>
    <d v="2026-06-22T00:00:00"/>
    <m/>
    <m/>
    <x v="10"/>
    <n v="-23675"/>
    <n v="24"/>
    <s v="0-45"/>
  </r>
  <r>
    <s v="2000001440"/>
    <x v="26"/>
    <x v="168"/>
    <x v="2"/>
    <x v="14"/>
    <n v="-42"/>
    <d v="2026-07-13T00:00:00"/>
    <n v="59400"/>
    <s v="USD"/>
    <x v="1"/>
    <d v="2026-07-13T00:00:00"/>
    <m/>
    <m/>
    <x v="13"/>
    <n v="59400"/>
    <n v="3"/>
    <s v="0-45"/>
  </r>
  <r>
    <s v="1000013801"/>
    <x v="27"/>
    <x v="169"/>
    <x v="0"/>
    <x v="14"/>
    <n v="-4"/>
    <d v="2026-06-05T00:00:00"/>
    <n v="658.68"/>
    <s v="PEN"/>
    <x v="0"/>
    <m/>
    <m/>
    <m/>
    <x v="38"/>
    <n v="192.76558384547849"/>
    <m/>
    <m/>
  </r>
  <r>
    <s v="1000013801"/>
    <x v="27"/>
    <x v="170"/>
    <x v="0"/>
    <x v="14"/>
    <n v="-4"/>
    <d v="2026-06-05T00:00:00"/>
    <n v="123.9"/>
    <s v="PEN"/>
    <x v="0"/>
    <m/>
    <m/>
    <m/>
    <x v="38"/>
    <n v="36.259877085162429"/>
    <m/>
    <m/>
  </r>
  <r>
    <s v="1000013686"/>
    <x v="28"/>
    <x v="171"/>
    <x v="0"/>
    <x v="31"/>
    <n v="5"/>
    <d v="2026-05-27T00:00:00"/>
    <n v="396.48"/>
    <s v="PEN"/>
    <x v="0"/>
    <m/>
    <m/>
    <m/>
    <x v="36"/>
    <n v="116.03160667251977"/>
    <m/>
    <m/>
  </r>
  <r>
    <s v="1000013686"/>
    <x v="28"/>
    <x v="172"/>
    <x v="0"/>
    <x v="12"/>
    <n v="3"/>
    <d v="2026-05-29T00:00:00"/>
    <n v="792.96"/>
    <s v="PEN"/>
    <x v="0"/>
    <m/>
    <m/>
    <m/>
    <x v="51"/>
    <n v="232.06321334503954"/>
    <m/>
    <m/>
  </r>
  <r>
    <s v="1000013686"/>
    <x v="28"/>
    <x v="173"/>
    <x v="0"/>
    <x v="32"/>
    <n v="0"/>
    <d v="2026-06-01T00:00:00"/>
    <n v="807.12"/>
    <s v="PEN"/>
    <x v="0"/>
    <m/>
    <m/>
    <m/>
    <x v="37"/>
    <n v="236.2071992976295"/>
    <m/>
    <m/>
  </r>
  <r>
    <s v="1000013686"/>
    <x v="28"/>
    <x v="174"/>
    <x v="0"/>
    <x v="14"/>
    <n v="-4"/>
    <d v="2026-06-05T00:00:00"/>
    <n v="396.48"/>
    <s v="PEN"/>
    <x v="0"/>
    <m/>
    <m/>
    <m/>
    <x v="38"/>
    <n v="116.03160667251977"/>
    <m/>
    <m/>
  </r>
  <r>
    <s v="1000013686"/>
    <x v="28"/>
    <x v="175"/>
    <x v="0"/>
    <x v="14"/>
    <n v="-4"/>
    <d v="2026-06-05T00:00:00"/>
    <n v="396.48"/>
    <s v="PEN"/>
    <x v="0"/>
    <m/>
    <m/>
    <m/>
    <x v="38"/>
    <n v="116.03160667251977"/>
    <m/>
    <m/>
  </r>
  <r>
    <s v="2000000786"/>
    <x v="29"/>
    <x v="176"/>
    <x v="2"/>
    <x v="22"/>
    <n v="-12"/>
    <d v="2026-06-13T00:00:00"/>
    <n v="52800"/>
    <s v="USD"/>
    <x v="1"/>
    <d v="2026-06-13T00:00:00"/>
    <n v="-12"/>
    <d v="2026-06-13T00:00:00"/>
    <x v="24"/>
    <n v="52800"/>
    <n v="33"/>
    <s v="0-45"/>
  </r>
  <r>
    <s v="2000000786"/>
    <x v="29"/>
    <x v="177"/>
    <x v="2"/>
    <x v="15"/>
    <n v="-30"/>
    <d v="2026-07-01T00:00:00"/>
    <n v="140000"/>
    <s v="USD"/>
    <x v="1"/>
    <d v="2026-07-01T00:00:00"/>
    <n v="-30"/>
    <d v="2026-07-01T00:00:00"/>
    <x v="19"/>
    <n v="140000"/>
    <n v="15"/>
    <s v="0-45"/>
  </r>
  <r>
    <s v="2000000786"/>
    <x v="29"/>
    <x v="178"/>
    <x v="2"/>
    <x v="12"/>
    <n v="-35"/>
    <d v="2026-07-06T00:00:00"/>
    <n v="107640"/>
    <s v="USD"/>
    <x v="1"/>
    <d v="2026-07-06T00:00:00"/>
    <n v="-32"/>
    <d v="2026-07-03T00:00:00"/>
    <x v="11"/>
    <n v="107640"/>
    <n v="10"/>
    <s v="0-45"/>
  </r>
  <r>
    <s v="2000000786"/>
    <x v="29"/>
    <x v="179"/>
    <x v="2"/>
    <x v="14"/>
    <n v="-42"/>
    <d v="2026-07-13T00:00:00"/>
    <n v="53360"/>
    <s v="USD"/>
    <x v="1"/>
    <d v="2026-07-13T00:00:00"/>
    <m/>
    <m/>
    <x v="13"/>
    <n v="53360"/>
    <n v="3"/>
    <s v="0-45"/>
  </r>
  <r>
    <s v="2000000786"/>
    <x v="29"/>
    <x v="180"/>
    <x v="2"/>
    <x v="14"/>
    <n v="-42"/>
    <d v="2026-07-13T00:00:00"/>
    <n v="43200"/>
    <s v="USD"/>
    <x v="1"/>
    <d v="2026-07-13T00:00:00"/>
    <m/>
    <m/>
    <x v="13"/>
    <n v="43200"/>
    <n v="3"/>
    <s v="0-45"/>
  </r>
  <r>
    <s v="2000000590"/>
    <x v="30"/>
    <x v="181"/>
    <x v="1"/>
    <x v="46"/>
    <n v="0"/>
    <d v="2026-04-30T00:00:00"/>
    <n v="-6675"/>
    <s v="USD"/>
    <x v="1"/>
    <d v="2026-06-14T00:00:00"/>
    <m/>
    <m/>
    <x v="21"/>
    <n v="-6675"/>
    <n v="32"/>
    <s v="0-45"/>
  </r>
  <r>
    <s v="2000000590"/>
    <x v="30"/>
    <x v="182"/>
    <x v="2"/>
    <x v="12"/>
    <n v="-35"/>
    <d v="2026-07-06T00:00:00"/>
    <n v="29250"/>
    <s v="USD"/>
    <x v="1"/>
    <d v="2026-07-06T00:00:00"/>
    <n v="-35"/>
    <d v="2026-07-06T00:00:00"/>
    <x v="11"/>
    <n v="29250"/>
    <n v="10"/>
    <s v="0-45"/>
  </r>
  <r>
    <s v="2000001442"/>
    <x v="31"/>
    <x v="183"/>
    <x v="1"/>
    <x v="23"/>
    <n v="0"/>
    <d v="2026-05-31T00:00:00"/>
    <n v="-13316.5"/>
    <s v="USD"/>
    <x v="1"/>
    <d v="2026-06-20T00:00:00"/>
    <m/>
    <m/>
    <x v="10"/>
    <n v="-13316.5"/>
    <n v="26"/>
    <s v="0-45"/>
  </r>
  <r>
    <s v="2000001442"/>
    <x v="31"/>
    <x v="184"/>
    <x v="2"/>
    <x v="14"/>
    <n v="-42"/>
    <d v="2026-07-13T00:00:00"/>
    <n v="66250"/>
    <s v="USD"/>
    <x v="1"/>
    <d v="2026-07-13T00:00:00"/>
    <m/>
    <m/>
    <x v="13"/>
    <n v="66250"/>
    <n v="3"/>
    <s v="0-45"/>
  </r>
  <r>
    <s v="2000001444"/>
    <x v="32"/>
    <x v="185"/>
    <x v="1"/>
    <x v="46"/>
    <n v="0"/>
    <d v="2026-04-30T00:00:00"/>
    <n v="-74009"/>
    <s v="USD"/>
    <x v="1"/>
    <d v="2026-06-14T00:00:00"/>
    <m/>
    <m/>
    <x v="21"/>
    <n v="-74009"/>
    <n v="32"/>
    <s v="0-45"/>
  </r>
  <r>
    <s v="2000001444"/>
    <x v="32"/>
    <x v="186"/>
    <x v="2"/>
    <x v="35"/>
    <n v="-37"/>
    <d v="2026-07-08T00:00:00"/>
    <n v="164700"/>
    <s v="USD"/>
    <x v="1"/>
    <d v="2026-07-08T00:00:00"/>
    <m/>
    <m/>
    <x v="44"/>
    <n v="164700"/>
    <n v="8"/>
    <s v="0-45"/>
  </r>
  <r>
    <s v="2000001348"/>
    <x v="33"/>
    <x v="187"/>
    <x v="2"/>
    <x v="47"/>
    <n v="-7"/>
    <d v="2026-06-08T00:00:00"/>
    <n v="30250"/>
    <s v="USD"/>
    <x v="1"/>
    <d v="2026-06-08T00:00:00"/>
    <n v="-7"/>
    <d v="2026-06-08T00:00:00"/>
    <x v="45"/>
    <n v="30250"/>
    <n v="38"/>
    <s v="0-45"/>
  </r>
  <r>
    <s v="2000001069"/>
    <x v="34"/>
    <x v="188"/>
    <x v="4"/>
    <x v="39"/>
    <n v="40"/>
    <d v="2026-04-22T00:00:00"/>
    <n v="67066"/>
    <s v="USD"/>
    <x v="1"/>
    <d v="2026-06-06T00:00:00"/>
    <n v="-5"/>
    <d v="2026-06-06T00:00:00"/>
    <x v="43"/>
    <n v="67066"/>
    <n v="40"/>
    <s v="0-45"/>
  </r>
  <r>
    <s v="2000001446"/>
    <x v="35"/>
    <x v="189"/>
    <x v="1"/>
    <x v="27"/>
    <n v="0"/>
    <d v="2026-05-31T00:00:00"/>
    <n v="-32801"/>
    <s v="USD"/>
    <x v="1"/>
    <d v="2026-06-26T00:00:00"/>
    <m/>
    <m/>
    <x v="10"/>
    <n v="-32801"/>
    <n v="20"/>
    <s v="0-45"/>
  </r>
  <r>
    <s v="2000001446"/>
    <x v="35"/>
    <x v="190"/>
    <x v="2"/>
    <x v="13"/>
    <n v="-39"/>
    <d v="2026-07-10T00:00:00"/>
    <n v="105560"/>
    <s v="USD"/>
    <x v="1"/>
    <d v="2026-07-10T00:00:00"/>
    <m/>
    <m/>
    <x v="12"/>
    <n v="105560"/>
    <n v="6"/>
    <s v="0-45"/>
  </r>
  <r>
    <s v="2000001449"/>
    <x v="36"/>
    <x v="189"/>
    <x v="1"/>
    <x v="27"/>
    <n v="0"/>
    <d v="2026-05-31T00:00:00"/>
    <n v="-52139"/>
    <s v="USD"/>
    <x v="1"/>
    <d v="2026-06-26T00:00:00"/>
    <m/>
    <m/>
    <x v="10"/>
    <n v="-52139"/>
    <n v="20"/>
    <s v="0-45"/>
  </r>
  <r>
    <s v="2000001449"/>
    <x v="36"/>
    <x v="191"/>
    <x v="2"/>
    <x v="35"/>
    <n v="-37"/>
    <d v="2026-07-08T00:00:00"/>
    <n v="167700"/>
    <s v="PEN"/>
    <x v="1"/>
    <d v="2026-07-08T00:00:00"/>
    <m/>
    <m/>
    <x v="44"/>
    <n v="167700"/>
    <n v="8"/>
    <s v="0-45"/>
  </r>
  <r>
    <m/>
    <x v="37"/>
    <x v="192"/>
    <x v="6"/>
    <x v="48"/>
    <m/>
    <m/>
    <m/>
    <m/>
    <x v="5"/>
    <m/>
    <m/>
    <m/>
    <x v="5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D45FE-9E8C-4E54-91F4-29164676A4B2}" name="TablaDinámica3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U29" firstHeaderRow="1" firstDataRow="2" firstDataCol="1" rowPageCount="2" colPageCount="1"/>
  <pivotFields count="23">
    <pivotField showAll="0"/>
    <pivotField axis="axisRow" showAll="0">
      <items count="39">
        <item x="0"/>
        <item x="12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Page" multipleItemSelectionAllowed="1" showAll="0">
      <items count="8">
        <item x="3"/>
        <item x="2"/>
        <item x="0"/>
        <item x="1"/>
        <item x="5"/>
        <item x="4"/>
        <item x="6"/>
        <item t="default"/>
      </items>
    </pivotField>
    <pivotField showAll="0">
      <items count="50">
        <item x="45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8"/>
        <item x="9"/>
        <item x="42"/>
        <item x="43"/>
        <item x="21"/>
        <item x="19"/>
        <item x="39"/>
        <item x="47"/>
        <item x="34"/>
        <item x="16"/>
        <item x="33"/>
        <item x="22"/>
        <item x="46"/>
        <item x="23"/>
        <item x="24"/>
        <item x="25"/>
        <item x="26"/>
        <item x="27"/>
        <item x="28"/>
        <item x="29"/>
        <item x="10"/>
        <item x="20"/>
        <item x="15"/>
        <item x="30"/>
        <item x="11"/>
        <item x="31"/>
        <item x="17"/>
        <item x="12"/>
        <item x="35"/>
        <item x="32"/>
        <item x="13"/>
        <item x="38"/>
        <item x="18"/>
        <item x="14"/>
        <item x="44"/>
        <item x="48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h="1" x="2"/>
        <item x="1"/>
        <item h="1" x="0"/>
        <item h="1" x="3"/>
        <item h="1" x="4"/>
        <item h="1" x="5"/>
        <item t="default"/>
      </items>
    </pivotField>
    <pivotField showAll="0"/>
    <pivotField showAll="0"/>
    <pivotField showAll="0"/>
    <pivotField axis="axisCol" showAll="0">
      <items count="59">
        <item x="56"/>
        <item x="52"/>
        <item x="47"/>
        <item x="53"/>
        <item x="48"/>
        <item x="0"/>
        <item x="1"/>
        <item x="2"/>
        <item x="3"/>
        <item x="4"/>
        <item x="5"/>
        <item x="6"/>
        <item x="7"/>
        <item x="8"/>
        <item x="9"/>
        <item x="54"/>
        <item x="55"/>
        <item x="46"/>
        <item x="15"/>
        <item x="49"/>
        <item x="21"/>
        <item x="50"/>
        <item x="25"/>
        <item x="26"/>
        <item x="27"/>
        <item x="28"/>
        <item x="29"/>
        <item x="30"/>
        <item x="31"/>
        <item x="32"/>
        <item x="33"/>
        <item x="14"/>
        <item x="34"/>
        <item x="35"/>
        <item x="36"/>
        <item x="16"/>
        <item x="51"/>
        <item x="10"/>
        <item x="37"/>
        <item x="17"/>
        <item x="40"/>
        <item x="18"/>
        <item x="38"/>
        <item x="43"/>
        <item x="45"/>
        <item x="41"/>
        <item x="20"/>
        <item x="24"/>
        <item x="23"/>
        <item x="42"/>
        <item x="22"/>
        <item x="19"/>
        <item x="39"/>
        <item x="11"/>
        <item x="44"/>
        <item x="12"/>
        <item x="13"/>
        <item x="57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4"/>
    </i>
    <i>
      <x v="26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3"/>
  </colFields>
  <colItems count="20">
    <i>
      <x v="17"/>
    </i>
    <i>
      <x v="20"/>
    </i>
    <i>
      <x v="26"/>
    </i>
    <i>
      <x v="37"/>
    </i>
    <i>
      <x v="40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colItems>
  <pageFields count="2">
    <pageField fld="3" hier="-1"/>
    <pageField fld="9" hier="-1"/>
  </pageFields>
  <dataFields count="1">
    <dataField name="Suma de USD HOMOL" fld="14" baseField="0" baseItem="0" numFmtId="165"/>
  </dataFields>
  <formats count="5"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1">
      <pivotArea outline="0" collapsedLevelsAreSubtotals="1" fieldPosition="0"/>
    </format>
    <format dxfId="50">
      <pivotArea collapsedLevelsAreSubtotals="1" fieldPosition="0">
        <references count="1">
          <reference field="1" count="2">
            <x v="1"/>
            <x v="2"/>
          </reference>
        </references>
      </pivotArea>
    </format>
    <format dxfId="49">
      <pivotArea dataOnly="0" labelOnly="1" fieldPosition="0">
        <references count="1">
          <reference field="1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39C12-993B-4C7B-B6DA-1E435656E01C}" name="TablaDinámica8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97" firstHeaderRow="1" firstDataRow="1" firstDataCol="1" rowPageCount="3" colPageCount="1"/>
  <pivotFields count="23">
    <pivotField showAll="0"/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194">
        <item x="137"/>
        <item x="138"/>
        <item x="139"/>
        <item x="187"/>
        <item x="98"/>
        <item x="140"/>
        <item x="176"/>
        <item x="108"/>
        <item x="99"/>
        <item x="34"/>
        <item x="109"/>
        <item x="177"/>
        <item x="40"/>
        <item x="161"/>
        <item x="30"/>
        <item x="97"/>
        <item x="110"/>
        <item x="100"/>
        <item x="182"/>
        <item x="19"/>
        <item x="178"/>
        <item x="141"/>
        <item x="36"/>
        <item x="96"/>
        <item x="101"/>
        <item x="186"/>
        <item x="102"/>
        <item x="111"/>
        <item x="191"/>
        <item x="106"/>
        <item x="37"/>
        <item x="190"/>
        <item x="20"/>
        <item x="103"/>
        <item x="136"/>
        <item x="112"/>
        <item x="104"/>
        <item x="184"/>
        <item x="21"/>
        <item x="22"/>
        <item x="168"/>
        <item x="179"/>
        <item x="180"/>
        <item x="107"/>
        <item x="156"/>
        <item x="143"/>
        <item x="144"/>
        <item x="145"/>
        <item x="157"/>
        <item x="113"/>
        <item x="114"/>
        <item x="115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7"/>
        <item x="128"/>
        <item x="129"/>
        <item x="41"/>
        <item x="42"/>
        <item x="117"/>
        <item x="118"/>
        <item x="119"/>
        <item x="120"/>
        <item x="43"/>
        <item x="44"/>
        <item x="45"/>
        <item x="46"/>
        <item x="47"/>
        <item x="48"/>
        <item x="49"/>
        <item x="50"/>
        <item x="51"/>
        <item x="52"/>
        <item x="121"/>
        <item x="122"/>
        <item x="53"/>
        <item x="54"/>
        <item x="131"/>
        <item x="13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23"/>
        <item x="124"/>
        <item x="71"/>
        <item x="72"/>
        <item x="73"/>
        <item x="74"/>
        <item x="75"/>
        <item x="76"/>
        <item x="162"/>
        <item x="77"/>
        <item x="78"/>
        <item x="146"/>
        <item x="147"/>
        <item x="79"/>
        <item x="80"/>
        <item x="163"/>
        <item x="171"/>
        <item x="148"/>
        <item x="149"/>
        <item x="81"/>
        <item x="82"/>
        <item x="26"/>
        <item x="164"/>
        <item x="172"/>
        <item x="83"/>
        <item x="84"/>
        <item x="150"/>
        <item x="151"/>
        <item x="173"/>
        <item x="27"/>
        <item x="165"/>
        <item x="85"/>
        <item x="86"/>
        <item x="87"/>
        <item x="88"/>
        <item x="152"/>
        <item x="153"/>
        <item x="125"/>
        <item x="126"/>
        <item x="28"/>
        <item x="29"/>
        <item x="89"/>
        <item x="90"/>
        <item x="91"/>
        <item x="92"/>
        <item x="133"/>
        <item x="134"/>
        <item x="174"/>
        <item x="175"/>
        <item x="169"/>
        <item x="170"/>
        <item x="154"/>
        <item x="155"/>
        <item x="23"/>
        <item x="24"/>
        <item x="17"/>
        <item x="18"/>
        <item x="167"/>
        <item x="189"/>
        <item x="105"/>
        <item x="94"/>
        <item x="33"/>
        <item x="93"/>
        <item x="135"/>
        <item x="181"/>
        <item x="183"/>
        <item x="185"/>
        <item x="95"/>
        <item x="35"/>
        <item x="188"/>
        <item x="32"/>
        <item x="160"/>
        <item x="38"/>
        <item x="158"/>
        <item x="166"/>
        <item x="39"/>
        <item x="159"/>
        <item x="31"/>
        <item x="142"/>
        <item x="130"/>
        <item x="25"/>
        <item x="192"/>
        <item t="default"/>
      </items>
    </pivotField>
    <pivotField axis="axisPage" multipleItemSelectionAllowed="1" showAll="0">
      <items count="8">
        <item h="1" x="3"/>
        <item x="2"/>
        <item h="1" x="0"/>
        <item x="1"/>
        <item h="1" x="5"/>
        <item x="4"/>
        <item h="1" x="6"/>
        <item t="default"/>
      </items>
    </pivotField>
    <pivotField axis="axisPage" showAll="0">
      <items count="50">
        <item x="45"/>
        <item x="40"/>
        <item x="36"/>
        <item x="41"/>
        <item x="37"/>
        <item x="0"/>
        <item x="1"/>
        <item x="2"/>
        <item x="3"/>
        <item x="4"/>
        <item x="5"/>
        <item x="6"/>
        <item x="7"/>
        <item x="8"/>
        <item x="9"/>
        <item x="42"/>
        <item x="43"/>
        <item x="21"/>
        <item x="19"/>
        <item x="39"/>
        <item x="47"/>
        <item x="34"/>
        <item x="16"/>
        <item x="33"/>
        <item x="22"/>
        <item x="46"/>
        <item x="23"/>
        <item x="24"/>
        <item x="25"/>
        <item x="26"/>
        <item x="27"/>
        <item x="28"/>
        <item x="29"/>
        <item x="10"/>
        <item x="20"/>
        <item x="15"/>
        <item x="30"/>
        <item x="11"/>
        <item x="31"/>
        <item x="17"/>
        <item x="12"/>
        <item x="35"/>
        <item x="32"/>
        <item x="13"/>
        <item x="38"/>
        <item x="18"/>
        <item x="14"/>
        <item x="44"/>
        <item x="48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h="1" x="2"/>
        <item x="1"/>
        <item h="1" x="0"/>
        <item h="1" x="3"/>
        <item h="1" x="4"/>
        <item h="1" x="5"/>
        <item t="default"/>
      </items>
    </pivotField>
    <pivotField showAll="0"/>
    <pivotField showAll="0"/>
    <pivotField showAll="0"/>
    <pivotField showAll="0">
      <items count="59">
        <item x="56"/>
        <item x="52"/>
        <item x="47"/>
        <item x="53"/>
        <item x="48"/>
        <item x="0"/>
        <item x="1"/>
        <item x="2"/>
        <item x="3"/>
        <item x="4"/>
        <item x="5"/>
        <item x="6"/>
        <item x="7"/>
        <item x="8"/>
        <item x="9"/>
        <item x="54"/>
        <item x="55"/>
        <item x="46"/>
        <item x="15"/>
        <item x="49"/>
        <item x="21"/>
        <item x="50"/>
        <item x="25"/>
        <item x="26"/>
        <item x="27"/>
        <item x="28"/>
        <item x="29"/>
        <item x="30"/>
        <item x="31"/>
        <item x="32"/>
        <item x="33"/>
        <item x="14"/>
        <item x="34"/>
        <item x="35"/>
        <item x="36"/>
        <item x="16"/>
        <item x="51"/>
        <item x="10"/>
        <item x="37"/>
        <item x="17"/>
        <item x="40"/>
        <item x="18"/>
        <item x="38"/>
        <item x="43"/>
        <item x="45"/>
        <item x="41"/>
        <item x="20"/>
        <item x="24"/>
        <item x="23"/>
        <item x="42"/>
        <item x="22"/>
        <item x="19"/>
        <item x="39"/>
        <item x="11"/>
        <item x="44"/>
        <item x="12"/>
        <item x="13"/>
        <item x="57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2"/>
  </rowFields>
  <rowItems count="92">
    <i>
      <x v="1"/>
    </i>
    <i r="1">
      <x v="19"/>
    </i>
    <i r="1">
      <x v="32"/>
    </i>
    <i r="1">
      <x v="38"/>
    </i>
    <i r="1">
      <x v="39"/>
    </i>
    <i r="1">
      <x v="166"/>
    </i>
    <i r="1">
      <x v="167"/>
    </i>
    <i>
      <x v="5"/>
    </i>
    <i r="1">
      <x v="14"/>
    </i>
    <i r="1">
      <x v="188"/>
    </i>
    <i>
      <x v="6"/>
    </i>
    <i r="1">
      <x v="181"/>
    </i>
    <i>
      <x v="7"/>
    </i>
    <i r="1">
      <x v="9"/>
    </i>
    <i r="1">
      <x v="172"/>
    </i>
    <i>
      <x v="8"/>
    </i>
    <i r="1">
      <x v="22"/>
    </i>
    <i r="1">
      <x v="30"/>
    </i>
    <i r="1">
      <x v="179"/>
    </i>
    <i>
      <x v="9"/>
    </i>
    <i r="1">
      <x v="12"/>
    </i>
    <i r="1">
      <x v="183"/>
    </i>
    <i r="1">
      <x v="186"/>
    </i>
    <i>
      <x v="11"/>
    </i>
    <i r="1">
      <x v="23"/>
    </i>
    <i r="1">
      <x v="171"/>
    </i>
    <i r="1">
      <x v="173"/>
    </i>
    <i>
      <x v="12"/>
    </i>
    <i r="1">
      <x v="15"/>
    </i>
    <i>
      <x v="13"/>
    </i>
    <i r="1">
      <x v="4"/>
    </i>
    <i r="1">
      <x v="8"/>
    </i>
    <i r="1">
      <x v="17"/>
    </i>
    <i r="1">
      <x v="24"/>
    </i>
    <i r="1">
      <x v="26"/>
    </i>
    <i r="1">
      <x v="33"/>
    </i>
    <i r="1">
      <x v="36"/>
    </i>
    <i>
      <x v="14"/>
    </i>
    <i r="1">
      <x v="29"/>
    </i>
    <i r="1">
      <x v="43"/>
    </i>
    <i r="1">
      <x v="170"/>
    </i>
    <i>
      <x v="15"/>
    </i>
    <i r="1">
      <x v="7"/>
    </i>
    <i r="1">
      <x v="10"/>
    </i>
    <i r="1">
      <x v="16"/>
    </i>
    <i r="1">
      <x v="27"/>
    </i>
    <i r="1">
      <x v="35"/>
    </i>
    <i r="1">
      <x v="191"/>
    </i>
    <i>
      <x v="18"/>
    </i>
    <i r="1">
      <x v="34"/>
    </i>
    <i r="1">
      <x v="174"/>
    </i>
    <i>
      <x v="19"/>
    </i>
    <i r="1">
      <x/>
    </i>
    <i r="1">
      <x v="1"/>
    </i>
    <i r="1">
      <x v="2"/>
    </i>
    <i r="1">
      <x v="5"/>
    </i>
    <i r="1">
      <x v="21"/>
    </i>
    <i>
      <x v="24"/>
    </i>
    <i r="1">
      <x v="13"/>
    </i>
    <i r="1">
      <x v="182"/>
    </i>
    <i r="1">
      <x v="184"/>
    </i>
    <i r="1">
      <x v="187"/>
    </i>
    <i>
      <x v="26"/>
    </i>
    <i r="1">
      <x v="40"/>
    </i>
    <i r="1">
      <x v="168"/>
    </i>
    <i r="1">
      <x v="185"/>
    </i>
    <i>
      <x v="29"/>
    </i>
    <i r="1">
      <x v="6"/>
    </i>
    <i r="1">
      <x v="11"/>
    </i>
    <i r="1">
      <x v="20"/>
    </i>
    <i r="1">
      <x v="41"/>
    </i>
    <i r="1">
      <x v="42"/>
    </i>
    <i>
      <x v="30"/>
    </i>
    <i r="1">
      <x v="18"/>
    </i>
    <i r="1">
      <x v="175"/>
    </i>
    <i>
      <x v="31"/>
    </i>
    <i r="1">
      <x v="37"/>
    </i>
    <i r="1">
      <x v="176"/>
    </i>
    <i>
      <x v="32"/>
    </i>
    <i r="1">
      <x v="25"/>
    </i>
    <i r="1">
      <x v="177"/>
    </i>
    <i>
      <x v="33"/>
    </i>
    <i r="1">
      <x v="3"/>
    </i>
    <i>
      <x v="34"/>
    </i>
    <i r="1">
      <x v="180"/>
    </i>
    <i>
      <x v="35"/>
    </i>
    <i r="1">
      <x v="31"/>
    </i>
    <i r="1">
      <x v="169"/>
    </i>
    <i>
      <x v="36"/>
    </i>
    <i r="1">
      <x v="28"/>
    </i>
    <i r="1">
      <x v="169"/>
    </i>
    <i t="grand">
      <x/>
    </i>
  </rowItems>
  <colItems count="1">
    <i/>
  </colItems>
  <pageFields count="3">
    <pageField fld="4" hier="-1"/>
    <pageField fld="9" hier="-1"/>
    <pageField fld="3" hier="-1"/>
  </pageFields>
  <dataFields count="1">
    <dataField name="Suma de USD HOMOL" fld="14" baseField="0" baseItem="0" numFmtId="43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63686-79FE-4305-9BC6-BCCA6FF47999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95" firstHeaderRow="0" firstDataRow="1" firstDataCol="1" rowPageCount="3" colPageCount="1"/>
  <pivotFields count="17"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showAll="0">
      <items count="193">
        <item x="137"/>
        <item x="138"/>
        <item x="139"/>
        <item x="187"/>
        <item x="98"/>
        <item x="140"/>
        <item x="176"/>
        <item x="108"/>
        <item x="99"/>
        <item x="34"/>
        <item x="109"/>
        <item x="177"/>
        <item x="40"/>
        <item x="161"/>
        <item x="30"/>
        <item x="97"/>
        <item x="110"/>
        <item x="100"/>
        <item x="182"/>
        <item x="19"/>
        <item x="178"/>
        <item x="141"/>
        <item x="36"/>
        <item x="96"/>
        <item x="101"/>
        <item x="186"/>
        <item x="102"/>
        <item x="111"/>
        <item x="191"/>
        <item x="106"/>
        <item x="37"/>
        <item x="190"/>
        <item x="20"/>
        <item x="103"/>
        <item x="136"/>
        <item x="112"/>
        <item x="104"/>
        <item x="184"/>
        <item x="21"/>
        <item x="22"/>
        <item x="168"/>
        <item x="179"/>
        <item x="180"/>
        <item x="107"/>
        <item x="156"/>
        <item x="143"/>
        <item x="144"/>
        <item x="145"/>
        <item x="157"/>
        <item x="113"/>
        <item x="114"/>
        <item x="115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7"/>
        <item x="128"/>
        <item x="129"/>
        <item x="41"/>
        <item x="42"/>
        <item x="117"/>
        <item x="118"/>
        <item x="119"/>
        <item x="120"/>
        <item x="43"/>
        <item x="44"/>
        <item x="45"/>
        <item x="46"/>
        <item x="47"/>
        <item x="48"/>
        <item x="49"/>
        <item x="50"/>
        <item x="51"/>
        <item x="52"/>
        <item x="121"/>
        <item x="122"/>
        <item x="53"/>
        <item x="54"/>
        <item x="131"/>
        <item x="13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23"/>
        <item x="124"/>
        <item x="71"/>
        <item x="72"/>
        <item x="73"/>
        <item x="74"/>
        <item x="75"/>
        <item x="76"/>
        <item x="162"/>
        <item x="77"/>
        <item x="78"/>
        <item x="146"/>
        <item x="147"/>
        <item x="79"/>
        <item x="80"/>
        <item x="163"/>
        <item x="171"/>
        <item x="148"/>
        <item x="149"/>
        <item x="81"/>
        <item x="82"/>
        <item x="26"/>
        <item x="164"/>
        <item x="172"/>
        <item x="83"/>
        <item x="84"/>
        <item x="150"/>
        <item x="151"/>
        <item x="173"/>
        <item x="27"/>
        <item x="165"/>
        <item x="85"/>
        <item x="86"/>
        <item x="87"/>
        <item x="88"/>
        <item x="152"/>
        <item x="153"/>
        <item x="125"/>
        <item x="126"/>
        <item x="28"/>
        <item x="29"/>
        <item x="89"/>
        <item x="90"/>
        <item x="91"/>
        <item x="92"/>
        <item x="133"/>
        <item x="134"/>
        <item x="174"/>
        <item x="175"/>
        <item x="169"/>
        <item x="170"/>
        <item x="154"/>
        <item x="155"/>
        <item x="23"/>
        <item x="24"/>
        <item x="17"/>
        <item x="18"/>
        <item x="167"/>
        <item x="189"/>
        <item x="105"/>
        <item x="94"/>
        <item x="33"/>
        <item x="93"/>
        <item x="135"/>
        <item x="181"/>
        <item x="183"/>
        <item x="185"/>
        <item x="95"/>
        <item x="35"/>
        <item x="188"/>
        <item x="32"/>
        <item x="160"/>
        <item x="38"/>
        <item x="158"/>
        <item x="166"/>
        <item x="39"/>
        <item x="159"/>
        <item x="31"/>
        <item x="142"/>
        <item x="130"/>
        <item x="25"/>
        <item t="default"/>
      </items>
    </pivotField>
    <pivotField axis="axisPage" multipleItemSelectionAllowed="1" showAll="0">
      <items count="7">
        <item h="1" x="3"/>
        <item x="2"/>
        <item h="1" x="0"/>
        <item x="1"/>
        <item h="1" x="5"/>
        <item x="4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2"/>
        <item x="1"/>
        <item h="1" x="0"/>
        <item h="1" x="3"/>
        <item h="1" x="4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4">
        <item x="1"/>
        <item h="1" x="2"/>
        <item h="1" x="0"/>
        <item t="default"/>
      </items>
    </pivotField>
  </pivotFields>
  <rowFields count="2">
    <field x="1"/>
    <field x="2"/>
  </rowFields>
  <rowItems count="90">
    <i>
      <x v="1"/>
    </i>
    <i r="1">
      <x v="19"/>
    </i>
    <i r="1">
      <x v="32"/>
    </i>
    <i r="1">
      <x v="38"/>
    </i>
    <i r="1">
      <x v="39"/>
    </i>
    <i r="1">
      <x v="166"/>
    </i>
    <i r="1">
      <x v="167"/>
    </i>
    <i>
      <x v="5"/>
    </i>
    <i r="1">
      <x v="14"/>
    </i>
    <i r="1">
      <x v="188"/>
    </i>
    <i>
      <x v="6"/>
    </i>
    <i r="1">
      <x v="181"/>
    </i>
    <i>
      <x v="7"/>
    </i>
    <i r="1">
      <x v="9"/>
    </i>
    <i r="1">
      <x v="172"/>
    </i>
    <i>
      <x v="8"/>
    </i>
    <i r="1">
      <x v="22"/>
    </i>
    <i r="1">
      <x v="30"/>
    </i>
    <i r="1">
      <x v="179"/>
    </i>
    <i>
      <x v="9"/>
    </i>
    <i r="1">
      <x v="12"/>
    </i>
    <i r="1">
      <x v="183"/>
    </i>
    <i r="1">
      <x v="186"/>
    </i>
    <i>
      <x v="11"/>
    </i>
    <i r="1">
      <x v="23"/>
    </i>
    <i r="1">
      <x v="171"/>
    </i>
    <i r="1">
      <x v="173"/>
    </i>
    <i>
      <x v="12"/>
    </i>
    <i r="1">
      <x v="15"/>
    </i>
    <i>
      <x v="13"/>
    </i>
    <i r="1">
      <x v="4"/>
    </i>
    <i r="1">
      <x v="8"/>
    </i>
    <i r="1">
      <x v="17"/>
    </i>
    <i r="1">
      <x v="24"/>
    </i>
    <i r="1">
      <x v="26"/>
    </i>
    <i r="1">
      <x v="33"/>
    </i>
    <i r="1">
      <x v="36"/>
    </i>
    <i>
      <x v="14"/>
    </i>
    <i r="1">
      <x v="29"/>
    </i>
    <i r="1">
      <x v="43"/>
    </i>
    <i r="1">
      <x v="170"/>
    </i>
    <i>
      <x v="15"/>
    </i>
    <i r="1">
      <x v="7"/>
    </i>
    <i r="1">
      <x v="10"/>
    </i>
    <i r="1">
      <x v="16"/>
    </i>
    <i r="1">
      <x v="27"/>
    </i>
    <i r="1">
      <x v="35"/>
    </i>
    <i r="1">
      <x v="191"/>
    </i>
    <i>
      <x v="18"/>
    </i>
    <i r="1">
      <x v="34"/>
    </i>
    <i r="1">
      <x v="174"/>
    </i>
    <i>
      <x v="19"/>
    </i>
    <i r="1">
      <x v="2"/>
    </i>
    <i r="1">
      <x v="5"/>
    </i>
    <i r="1">
      <x v="21"/>
    </i>
    <i>
      <x v="24"/>
    </i>
    <i r="1">
      <x v="13"/>
    </i>
    <i r="1">
      <x v="182"/>
    </i>
    <i r="1">
      <x v="184"/>
    </i>
    <i r="1">
      <x v="187"/>
    </i>
    <i>
      <x v="26"/>
    </i>
    <i r="1">
      <x v="40"/>
    </i>
    <i r="1">
      <x v="168"/>
    </i>
    <i r="1">
      <x v="185"/>
    </i>
    <i>
      <x v="29"/>
    </i>
    <i r="1">
      <x v="6"/>
    </i>
    <i r="1">
      <x v="11"/>
    </i>
    <i r="1">
      <x v="20"/>
    </i>
    <i r="1">
      <x v="41"/>
    </i>
    <i r="1">
      <x v="42"/>
    </i>
    <i>
      <x v="30"/>
    </i>
    <i r="1">
      <x v="18"/>
    </i>
    <i r="1">
      <x v="175"/>
    </i>
    <i>
      <x v="31"/>
    </i>
    <i r="1">
      <x v="37"/>
    </i>
    <i r="1">
      <x v="176"/>
    </i>
    <i>
      <x v="32"/>
    </i>
    <i r="1">
      <x v="25"/>
    </i>
    <i r="1">
      <x v="177"/>
    </i>
    <i>
      <x v="33"/>
    </i>
    <i r="1">
      <x v="3"/>
    </i>
    <i>
      <x v="34"/>
    </i>
    <i r="1">
      <x v="180"/>
    </i>
    <i>
      <x v="35"/>
    </i>
    <i r="1">
      <x v="31"/>
    </i>
    <i r="1">
      <x v="169"/>
    </i>
    <i>
      <x v="36"/>
    </i>
    <i r="1">
      <x v="28"/>
    </i>
    <i r="1">
      <x v="16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16" hier="-1"/>
    <pageField fld="9" hier="-1"/>
  </pageFields>
  <dataFields count="3">
    <dataField name="Cuenta de DÍAS VENCIDOS" fld="11" subtotal="count" baseField="1" baseItem="0"/>
    <dataField name="Suma de DÍAS ATRASADOS" fld="15" baseField="0" baseItem="0"/>
    <dataField name="Suma de USD HOMOL" fld="14" baseField="0" baseItem="0"/>
  </dataFields>
  <formats count="1"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436AB-4DD1-41E1-B1F1-36FE7353563F}" name="TablaDiná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9" firstHeaderRow="0" firstDataRow="1" firstDataCol="1" rowPageCount="3" colPageCount="1"/>
  <pivotFields count="17"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showAll="0">
      <items count="193">
        <item x="137"/>
        <item x="138"/>
        <item x="139"/>
        <item x="187"/>
        <item x="98"/>
        <item x="140"/>
        <item x="176"/>
        <item x="108"/>
        <item x="99"/>
        <item x="34"/>
        <item x="109"/>
        <item x="177"/>
        <item x="40"/>
        <item x="161"/>
        <item x="30"/>
        <item x="97"/>
        <item x="110"/>
        <item x="100"/>
        <item x="182"/>
        <item x="19"/>
        <item x="178"/>
        <item x="141"/>
        <item x="36"/>
        <item x="96"/>
        <item x="101"/>
        <item x="186"/>
        <item x="102"/>
        <item x="111"/>
        <item x="191"/>
        <item x="106"/>
        <item x="37"/>
        <item x="190"/>
        <item x="20"/>
        <item x="103"/>
        <item x="136"/>
        <item x="112"/>
        <item x="104"/>
        <item x="184"/>
        <item x="21"/>
        <item x="22"/>
        <item x="168"/>
        <item x="179"/>
        <item x="180"/>
        <item x="107"/>
        <item x="156"/>
        <item x="143"/>
        <item x="144"/>
        <item x="145"/>
        <item x="157"/>
        <item x="113"/>
        <item x="114"/>
        <item x="115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7"/>
        <item x="128"/>
        <item x="129"/>
        <item x="41"/>
        <item x="42"/>
        <item x="117"/>
        <item x="118"/>
        <item x="119"/>
        <item x="120"/>
        <item x="43"/>
        <item x="44"/>
        <item x="45"/>
        <item x="46"/>
        <item x="47"/>
        <item x="48"/>
        <item x="49"/>
        <item x="50"/>
        <item x="51"/>
        <item x="52"/>
        <item x="121"/>
        <item x="122"/>
        <item x="53"/>
        <item x="54"/>
        <item x="131"/>
        <item x="13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23"/>
        <item x="124"/>
        <item x="71"/>
        <item x="72"/>
        <item x="73"/>
        <item x="74"/>
        <item x="75"/>
        <item x="76"/>
        <item x="162"/>
        <item x="77"/>
        <item x="78"/>
        <item x="146"/>
        <item x="147"/>
        <item x="79"/>
        <item x="80"/>
        <item x="163"/>
        <item x="171"/>
        <item x="148"/>
        <item x="149"/>
        <item x="81"/>
        <item x="82"/>
        <item x="26"/>
        <item x="164"/>
        <item x="172"/>
        <item x="83"/>
        <item x="84"/>
        <item x="150"/>
        <item x="151"/>
        <item x="173"/>
        <item x="27"/>
        <item x="165"/>
        <item x="85"/>
        <item x="86"/>
        <item x="87"/>
        <item x="88"/>
        <item x="152"/>
        <item x="153"/>
        <item x="125"/>
        <item x="126"/>
        <item x="28"/>
        <item x="29"/>
        <item x="89"/>
        <item x="90"/>
        <item x="91"/>
        <item x="92"/>
        <item x="133"/>
        <item x="134"/>
        <item x="174"/>
        <item x="175"/>
        <item x="169"/>
        <item x="170"/>
        <item x="154"/>
        <item x="155"/>
        <item x="23"/>
        <item x="24"/>
        <item x="17"/>
        <item x="18"/>
        <item x="167"/>
        <item x="189"/>
        <item x="105"/>
        <item x="94"/>
        <item x="33"/>
        <item x="93"/>
        <item x="135"/>
        <item x="181"/>
        <item x="183"/>
        <item x="185"/>
        <item x="95"/>
        <item x="35"/>
        <item x="188"/>
        <item x="32"/>
        <item x="160"/>
        <item x="38"/>
        <item x="158"/>
        <item x="166"/>
        <item x="39"/>
        <item x="159"/>
        <item x="31"/>
        <item x="142"/>
        <item x="130"/>
        <item x="25"/>
        <item t="default"/>
      </items>
    </pivotField>
    <pivotField axis="axisPage" multipleItemSelectionAllowed="1" showAll="0">
      <items count="7">
        <item h="1" x="3"/>
        <item x="2"/>
        <item h="1" x="0"/>
        <item x="1"/>
        <item h="1" x="5"/>
        <item x="4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2"/>
        <item x="1"/>
        <item h="1" x="0"/>
        <item h="1" x="3"/>
        <item h="1" x="4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4">
        <item h="1" x="1"/>
        <item x="2"/>
        <item h="1" x="0"/>
        <item t="default"/>
      </items>
    </pivotField>
  </pivotFields>
  <rowFields count="2">
    <field x="1"/>
    <field x="2"/>
  </rowFields>
  <rowItems count="4">
    <i>
      <x v="19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16" hier="-1"/>
    <pageField fld="9" hier="-1"/>
  </pageFields>
  <dataFields count="3">
    <dataField name="Cuenta de DÍAS VENCIDOS" fld="11" subtotal="count" baseField="1" baseItem="0"/>
    <dataField name="Suma de DÍAS ATRASADOS" fld="15" baseField="0" baseItem="0"/>
    <dataField name="Suma de USD HOMOL" fld="14" baseField="0" baseItem="0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3539-176A-4963-8404-75388559F156}">
  <dimension ref="A1:AA31"/>
  <sheetViews>
    <sheetView tabSelected="1" zoomScale="80" zoomScaleNormal="80" workbookViewId="0">
      <selection activeCell="H33" sqref="H33"/>
    </sheetView>
  </sheetViews>
  <sheetFormatPr baseColWidth="10" defaultRowHeight="14.4" x14ac:dyDescent="0.3"/>
  <cols>
    <col min="1" max="1" width="39.33203125" bestFit="1" customWidth="1"/>
    <col min="2" max="2" width="22.77734375" bestFit="1" customWidth="1"/>
    <col min="3" max="5" width="10.33203125" bestFit="1" customWidth="1"/>
    <col min="6" max="8" width="9.33203125" bestFit="1" customWidth="1"/>
    <col min="9" max="14" width="10.33203125" bestFit="1" customWidth="1"/>
    <col min="15" max="17" width="9.33203125" bestFit="1" customWidth="1"/>
    <col min="18" max="18" width="10.44140625" bestFit="1" customWidth="1"/>
    <col min="19" max="19" width="10.33203125" bestFit="1" customWidth="1"/>
    <col min="20" max="20" width="10.44140625" bestFit="1" customWidth="1"/>
    <col min="21" max="21" width="12.21875" bestFit="1" customWidth="1"/>
    <col min="22" max="22" width="10.33203125" bestFit="1" customWidth="1"/>
    <col min="23" max="25" width="10.44140625" bestFit="1" customWidth="1"/>
    <col min="26" max="26" width="12.21875" bestFit="1" customWidth="1"/>
  </cols>
  <sheetData>
    <row r="1" spans="1:21" x14ac:dyDescent="0.3">
      <c r="A1" s="9" t="s">
        <v>3</v>
      </c>
      <c r="B1" t="s">
        <v>465</v>
      </c>
    </row>
    <row r="2" spans="1:21" x14ac:dyDescent="0.3">
      <c r="A2" s="9" t="s">
        <v>446</v>
      </c>
      <c r="B2" t="s">
        <v>448</v>
      </c>
    </row>
    <row r="4" spans="1:21" x14ac:dyDescent="0.3">
      <c r="A4" s="9" t="s">
        <v>467</v>
      </c>
      <c r="B4" s="9" t="s">
        <v>454</v>
      </c>
    </row>
    <row r="5" spans="1:21" x14ac:dyDescent="0.3">
      <c r="A5" s="9" t="s">
        <v>452</v>
      </c>
      <c r="B5" s="19">
        <v>46138</v>
      </c>
      <c r="C5" s="19">
        <v>46142</v>
      </c>
      <c r="D5" s="19">
        <v>46161</v>
      </c>
      <c r="E5" s="19">
        <v>46173</v>
      </c>
      <c r="F5" s="19">
        <v>46176</v>
      </c>
      <c r="G5" s="19">
        <v>46179</v>
      </c>
      <c r="H5" s="19">
        <v>46181</v>
      </c>
      <c r="I5" s="19">
        <v>46183</v>
      </c>
      <c r="J5" s="19">
        <v>46184</v>
      </c>
      <c r="K5" s="19">
        <v>46186</v>
      </c>
      <c r="L5" s="19">
        <v>46188</v>
      </c>
      <c r="M5" s="19">
        <v>46199</v>
      </c>
      <c r="N5" s="19">
        <v>46203</v>
      </c>
      <c r="O5" s="19">
        <v>46204</v>
      </c>
      <c r="P5" s="19">
        <v>46206</v>
      </c>
      <c r="Q5" s="19">
        <v>46209</v>
      </c>
      <c r="R5" s="19">
        <v>46211</v>
      </c>
      <c r="S5" s="19">
        <v>46213</v>
      </c>
      <c r="T5" s="19">
        <v>46216</v>
      </c>
      <c r="U5" t="s">
        <v>453</v>
      </c>
    </row>
    <row r="6" spans="1:21" x14ac:dyDescent="0.3">
      <c r="A6" s="24" t="s">
        <v>225</v>
      </c>
      <c r="B6" s="25"/>
      <c r="C6" s="25"/>
      <c r="D6" s="25"/>
      <c r="E6" s="25"/>
      <c r="F6" s="25">
        <v>149850</v>
      </c>
      <c r="G6" s="25"/>
      <c r="H6" s="25"/>
      <c r="I6" s="25"/>
      <c r="J6" s="25"/>
      <c r="K6" s="25"/>
      <c r="L6" s="25"/>
      <c r="M6" s="25"/>
      <c r="N6" s="25"/>
      <c r="O6" s="25"/>
      <c r="P6" s="25">
        <v>149850</v>
      </c>
      <c r="Q6" s="25"/>
      <c r="R6" s="25"/>
      <c r="S6" s="25"/>
      <c r="T6" s="25"/>
      <c r="U6" s="25">
        <v>299700</v>
      </c>
    </row>
    <row r="7" spans="1:21" x14ac:dyDescent="0.3">
      <c r="A7" s="24" t="s">
        <v>228</v>
      </c>
      <c r="B7" s="25"/>
      <c r="C7" s="25"/>
      <c r="D7" s="25"/>
      <c r="E7" s="25"/>
      <c r="F7" s="25"/>
      <c r="G7" s="25">
        <v>262111.5</v>
      </c>
      <c r="H7" s="25">
        <v>263036.25</v>
      </c>
      <c r="I7" s="25">
        <v>105300</v>
      </c>
      <c r="J7" s="25"/>
      <c r="K7" s="25">
        <v>104730.75</v>
      </c>
      <c r="L7" s="25"/>
      <c r="M7" s="25">
        <v>210208.5</v>
      </c>
      <c r="N7" s="25"/>
      <c r="O7" s="25"/>
      <c r="P7" s="25"/>
      <c r="Q7" s="25">
        <v>51903</v>
      </c>
      <c r="R7" s="25">
        <v>263036.25</v>
      </c>
      <c r="S7" s="25"/>
      <c r="T7" s="25">
        <v>104730.75</v>
      </c>
      <c r="U7" s="25">
        <v>1365057</v>
      </c>
    </row>
    <row r="8" spans="1:21" x14ac:dyDescent="0.3">
      <c r="A8" s="21" t="s">
        <v>48</v>
      </c>
      <c r="B8" s="23"/>
      <c r="C8" s="23"/>
      <c r="D8" s="23"/>
      <c r="E8" s="23">
        <v>-209460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>
        <v>234900</v>
      </c>
      <c r="R8" s="23"/>
      <c r="S8" s="23">
        <v>156600</v>
      </c>
      <c r="T8" s="23">
        <v>656100</v>
      </c>
      <c r="U8" s="23">
        <v>838140</v>
      </c>
    </row>
    <row r="9" spans="1:21" x14ac:dyDescent="0.3">
      <c r="A9" s="21" t="s">
        <v>83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>
        <v>34971</v>
      </c>
      <c r="P9" s="23"/>
      <c r="Q9" s="23"/>
      <c r="R9" s="23"/>
      <c r="S9" s="23"/>
      <c r="T9" s="23"/>
      <c r="U9" s="23">
        <v>34971</v>
      </c>
    </row>
    <row r="10" spans="1:21" x14ac:dyDescent="0.3">
      <c r="A10" s="21" t="s">
        <v>88</v>
      </c>
      <c r="B10" s="23"/>
      <c r="C10" s="23"/>
      <c r="D10" s="23"/>
      <c r="E10" s="23"/>
      <c r="F10" s="23"/>
      <c r="G10" s="23"/>
      <c r="H10" s="23"/>
      <c r="I10" s="23"/>
      <c r="J10" s="23">
        <v>311070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>
        <v>311070</v>
      </c>
    </row>
    <row r="11" spans="1:21" x14ac:dyDescent="0.3">
      <c r="A11" s="21" t="s">
        <v>90</v>
      </c>
      <c r="B11" s="23"/>
      <c r="C11" s="23">
        <v>-16145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>
        <v>54080</v>
      </c>
      <c r="O11" s="23"/>
      <c r="P11" s="23"/>
      <c r="Q11" s="23"/>
      <c r="R11" s="23"/>
      <c r="S11" s="23"/>
      <c r="T11" s="23"/>
      <c r="U11" s="23">
        <v>37935</v>
      </c>
    </row>
    <row r="12" spans="1:21" x14ac:dyDescent="0.3">
      <c r="A12" s="21" t="s">
        <v>95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>
        <v>16355.92</v>
      </c>
      <c r="M12" s="23"/>
      <c r="N12" s="23"/>
      <c r="O12" s="23"/>
      <c r="P12" s="23"/>
      <c r="Q12" s="23">
        <v>60536</v>
      </c>
      <c r="R12" s="23"/>
      <c r="S12" s="23">
        <v>74100</v>
      </c>
      <c r="T12" s="23"/>
      <c r="U12" s="23">
        <v>150991.91999999998</v>
      </c>
    </row>
    <row r="13" spans="1:21" x14ac:dyDescent="0.3">
      <c r="A13" s="21" t="s">
        <v>103</v>
      </c>
      <c r="B13" s="23"/>
      <c r="C13" s="23"/>
      <c r="D13" s="23"/>
      <c r="E13" s="23"/>
      <c r="F13" s="23"/>
      <c r="G13" s="23"/>
      <c r="H13" s="23"/>
      <c r="I13" s="23"/>
      <c r="J13" s="23">
        <v>19830</v>
      </c>
      <c r="K13" s="23">
        <v>36040</v>
      </c>
      <c r="L13" s="23"/>
      <c r="M13" s="23"/>
      <c r="N13" s="23"/>
      <c r="O13" s="23">
        <v>53812.5</v>
      </c>
      <c r="P13" s="23"/>
      <c r="Q13" s="23"/>
      <c r="R13" s="23"/>
      <c r="S13" s="23"/>
      <c r="T13" s="23"/>
      <c r="U13" s="23">
        <v>109682.5</v>
      </c>
    </row>
    <row r="14" spans="1:21" x14ac:dyDescent="0.3">
      <c r="A14" s="21" t="s">
        <v>215</v>
      </c>
      <c r="B14" s="23"/>
      <c r="C14" s="23">
        <v>-36224</v>
      </c>
      <c r="D14" s="23">
        <v>-254051.7</v>
      </c>
      <c r="E14" s="23">
        <v>-36370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>
        <v>34720</v>
      </c>
      <c r="R14" s="23"/>
      <c r="S14" s="23"/>
      <c r="T14" s="23"/>
      <c r="U14" s="23">
        <v>-291925.7</v>
      </c>
    </row>
    <row r="15" spans="1:21" x14ac:dyDescent="0.3">
      <c r="A15" s="21" t="s">
        <v>243</v>
      </c>
      <c r="B15" s="23"/>
      <c r="C15" s="23"/>
      <c r="D15" s="23"/>
      <c r="E15" s="23">
        <v>-223726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>
        <v>436320</v>
      </c>
      <c r="S15" s="23"/>
      <c r="T15" s="23">
        <v>54540</v>
      </c>
      <c r="U15" s="23">
        <v>267134</v>
      </c>
    </row>
    <row r="16" spans="1:21" x14ac:dyDescent="0.3">
      <c r="A16" s="21" t="s">
        <v>250</v>
      </c>
      <c r="B16" s="23">
        <v>-4560</v>
      </c>
      <c r="C16" s="23"/>
      <c r="D16" s="23"/>
      <c r="E16" s="23"/>
      <c r="F16" s="23"/>
      <c r="G16" s="23"/>
      <c r="H16" s="23"/>
      <c r="I16" s="23"/>
      <c r="J16" s="23"/>
      <c r="K16" s="23">
        <v>396900</v>
      </c>
      <c r="L16" s="23"/>
      <c r="M16" s="23"/>
      <c r="N16" s="23"/>
      <c r="O16" s="23">
        <v>113820</v>
      </c>
      <c r="P16" s="23"/>
      <c r="Q16" s="23">
        <v>56280</v>
      </c>
      <c r="R16" s="23">
        <v>113400</v>
      </c>
      <c r="S16" s="23"/>
      <c r="T16" s="23">
        <v>56700</v>
      </c>
      <c r="U16" s="23">
        <v>732540</v>
      </c>
    </row>
    <row r="17" spans="1:27" x14ac:dyDescent="0.3">
      <c r="A17" s="21" t="s">
        <v>309</v>
      </c>
      <c r="B17" s="23"/>
      <c r="C17" s="23"/>
      <c r="D17" s="23"/>
      <c r="E17" s="23">
        <v>-50026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>
        <v>83700</v>
      </c>
      <c r="U17" s="23">
        <v>33674</v>
      </c>
    </row>
    <row r="18" spans="1:27" x14ac:dyDescent="0.3">
      <c r="A18" s="21" t="s">
        <v>316</v>
      </c>
      <c r="B18" s="23"/>
      <c r="C18" s="23"/>
      <c r="D18" s="23"/>
      <c r="E18" s="23"/>
      <c r="F18" s="23"/>
      <c r="G18" s="23">
        <v>36400</v>
      </c>
      <c r="H18" s="23">
        <v>36400</v>
      </c>
      <c r="I18" s="23"/>
      <c r="J18" s="23">
        <v>117000</v>
      </c>
      <c r="K18" s="23"/>
      <c r="L18" s="23"/>
      <c r="M18" s="23"/>
      <c r="N18" s="23"/>
      <c r="O18" s="23"/>
      <c r="P18" s="23"/>
      <c r="Q18" s="23">
        <v>80600</v>
      </c>
      <c r="R18" s="23"/>
      <c r="S18" s="23"/>
      <c r="T18" s="23"/>
      <c r="U18" s="23">
        <v>270400</v>
      </c>
    </row>
    <row r="19" spans="1:27" x14ac:dyDescent="0.3">
      <c r="A19" s="21" t="s">
        <v>363</v>
      </c>
      <c r="B19" s="23"/>
      <c r="C19" s="23"/>
      <c r="D19" s="23"/>
      <c r="E19" s="23"/>
      <c r="F19" s="23"/>
      <c r="G19" s="23"/>
      <c r="H19" s="23"/>
      <c r="I19" s="23"/>
      <c r="J19" s="23">
        <v>77257</v>
      </c>
      <c r="K19" s="23">
        <v>285620</v>
      </c>
      <c r="L19" s="23"/>
      <c r="M19" s="23"/>
      <c r="N19" s="23"/>
      <c r="O19" s="23">
        <v>230850</v>
      </c>
      <c r="P19" s="23"/>
      <c r="Q19" s="23"/>
      <c r="R19" s="23"/>
      <c r="S19" s="23"/>
      <c r="T19" s="23"/>
      <c r="U19" s="23">
        <v>593727</v>
      </c>
    </row>
    <row r="20" spans="1:27" x14ac:dyDescent="0.3">
      <c r="A20" s="21" t="s">
        <v>381</v>
      </c>
      <c r="B20" s="23"/>
      <c r="C20" s="23"/>
      <c r="D20" s="23"/>
      <c r="E20" s="23">
        <v>-23675</v>
      </c>
      <c r="F20" s="23"/>
      <c r="G20" s="23"/>
      <c r="H20" s="23"/>
      <c r="I20" s="23"/>
      <c r="J20" s="23"/>
      <c r="K20" s="23">
        <v>56785</v>
      </c>
      <c r="L20" s="23"/>
      <c r="M20" s="23"/>
      <c r="N20" s="23"/>
      <c r="O20" s="23"/>
      <c r="P20" s="23"/>
      <c r="Q20" s="23"/>
      <c r="R20" s="23"/>
      <c r="S20" s="23"/>
      <c r="T20" s="23">
        <v>59400</v>
      </c>
      <c r="U20" s="23">
        <v>92510</v>
      </c>
    </row>
    <row r="21" spans="1:27" x14ac:dyDescent="0.3">
      <c r="A21" s="21" t="s">
        <v>404</v>
      </c>
      <c r="B21" s="23"/>
      <c r="C21" s="23"/>
      <c r="D21" s="23"/>
      <c r="E21" s="23"/>
      <c r="F21" s="23"/>
      <c r="G21" s="23"/>
      <c r="H21" s="23"/>
      <c r="I21" s="23"/>
      <c r="J21" s="23"/>
      <c r="K21" s="23">
        <v>52800</v>
      </c>
      <c r="L21" s="23"/>
      <c r="M21" s="23"/>
      <c r="N21" s="23"/>
      <c r="O21" s="23">
        <v>140000</v>
      </c>
      <c r="P21" s="23"/>
      <c r="Q21" s="23">
        <v>107640</v>
      </c>
      <c r="R21" s="23"/>
      <c r="S21" s="23"/>
      <c r="T21" s="23">
        <v>96560</v>
      </c>
      <c r="U21" s="23">
        <v>397000</v>
      </c>
    </row>
    <row r="22" spans="1:27" x14ac:dyDescent="0.3">
      <c r="A22" s="21" t="s">
        <v>416</v>
      </c>
      <c r="B22" s="23"/>
      <c r="C22" s="23">
        <v>-6675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>
        <v>29250</v>
      </c>
      <c r="R22" s="23"/>
      <c r="S22" s="23"/>
      <c r="T22" s="23"/>
      <c r="U22" s="23">
        <v>22575</v>
      </c>
    </row>
    <row r="23" spans="1:27" x14ac:dyDescent="0.3">
      <c r="A23" s="21" t="s">
        <v>421</v>
      </c>
      <c r="B23" s="23"/>
      <c r="C23" s="23"/>
      <c r="D23" s="23"/>
      <c r="E23" s="23">
        <v>-13316.5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>
        <v>66250</v>
      </c>
      <c r="U23" s="23">
        <v>52933.5</v>
      </c>
    </row>
    <row r="24" spans="1:27" x14ac:dyDescent="0.3">
      <c r="A24" s="21" t="s">
        <v>426</v>
      </c>
      <c r="B24" s="23"/>
      <c r="C24" s="23">
        <v>-74009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>
        <v>164700</v>
      </c>
      <c r="S24" s="23"/>
      <c r="T24" s="23"/>
      <c r="U24" s="23">
        <v>90691</v>
      </c>
    </row>
    <row r="25" spans="1:27" x14ac:dyDescent="0.3">
      <c r="A25" s="21" t="s">
        <v>431</v>
      </c>
      <c r="B25" s="23"/>
      <c r="C25" s="23"/>
      <c r="D25" s="23"/>
      <c r="E25" s="23"/>
      <c r="F25" s="23"/>
      <c r="G25" s="23"/>
      <c r="H25" s="23">
        <v>30250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>
        <v>30250</v>
      </c>
    </row>
    <row r="26" spans="1:27" x14ac:dyDescent="0.3">
      <c r="A26" s="21" t="s">
        <v>434</v>
      </c>
      <c r="B26" s="23"/>
      <c r="C26" s="23"/>
      <c r="D26" s="23"/>
      <c r="E26" s="23"/>
      <c r="F26" s="23"/>
      <c r="G26" s="23">
        <v>67066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>
        <v>67066</v>
      </c>
    </row>
    <row r="27" spans="1:27" x14ac:dyDescent="0.3">
      <c r="A27" s="21" t="s">
        <v>437</v>
      </c>
      <c r="B27" s="23"/>
      <c r="C27" s="23"/>
      <c r="D27" s="23"/>
      <c r="E27" s="23">
        <v>-32801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>
        <v>105560</v>
      </c>
      <c r="T27" s="23"/>
      <c r="U27" s="23">
        <v>72759</v>
      </c>
    </row>
    <row r="28" spans="1:27" x14ac:dyDescent="0.3">
      <c r="A28" s="21" t="s">
        <v>442</v>
      </c>
      <c r="B28" s="23"/>
      <c r="C28" s="23"/>
      <c r="D28" s="23"/>
      <c r="E28" s="23">
        <v>-52139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>
        <v>167700</v>
      </c>
      <c r="S28" s="23"/>
      <c r="T28" s="23"/>
      <c r="U28" s="23">
        <v>115561</v>
      </c>
    </row>
    <row r="29" spans="1:27" x14ac:dyDescent="0.3">
      <c r="A29" s="21" t="s">
        <v>453</v>
      </c>
      <c r="B29" s="23">
        <v>-4560</v>
      </c>
      <c r="C29" s="23">
        <v>-133053</v>
      </c>
      <c r="D29" s="23">
        <v>-254051.7</v>
      </c>
      <c r="E29" s="23">
        <v>-641513.5</v>
      </c>
      <c r="F29" s="23">
        <v>149850</v>
      </c>
      <c r="G29" s="23">
        <v>365577.5</v>
      </c>
      <c r="H29" s="23">
        <v>329686.25</v>
      </c>
      <c r="I29" s="23">
        <v>105300</v>
      </c>
      <c r="J29" s="23">
        <v>525157</v>
      </c>
      <c r="K29" s="23">
        <v>932875.75</v>
      </c>
      <c r="L29" s="23">
        <v>16355.92</v>
      </c>
      <c r="M29" s="23">
        <v>210208.5</v>
      </c>
      <c r="N29" s="23">
        <v>54080</v>
      </c>
      <c r="O29" s="23">
        <v>573453.5</v>
      </c>
      <c r="P29" s="23">
        <v>149850</v>
      </c>
      <c r="Q29" s="23">
        <v>655829</v>
      </c>
      <c r="R29" s="23">
        <v>1145156.25</v>
      </c>
      <c r="S29" s="23">
        <v>336260</v>
      </c>
      <c r="T29" s="23">
        <v>1177980.75</v>
      </c>
      <c r="U29" s="23">
        <v>5694442.2199999997</v>
      </c>
    </row>
    <row r="31" spans="1:27" x14ac:dyDescent="0.3">
      <c r="AA3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4231-E1D0-4CA4-BDB4-74B546211182}">
  <dimension ref="A1:B97"/>
  <sheetViews>
    <sheetView workbookViewId="0">
      <selection activeCell="A11" sqref="A11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9" t="s">
        <v>4</v>
      </c>
      <c r="B1" t="s">
        <v>465</v>
      </c>
    </row>
    <row r="2" spans="1:2" x14ac:dyDescent="0.3">
      <c r="A2" s="9" t="s">
        <v>446</v>
      </c>
      <c r="B2" t="s">
        <v>448</v>
      </c>
    </row>
    <row r="3" spans="1:2" x14ac:dyDescent="0.3">
      <c r="A3" s="9" t="s">
        <v>3</v>
      </c>
      <c r="B3" t="s">
        <v>466</v>
      </c>
    </row>
    <row r="5" spans="1:2" x14ac:dyDescent="0.3">
      <c r="A5" s="9" t="s">
        <v>452</v>
      </c>
      <c r="B5" t="s">
        <v>467</v>
      </c>
    </row>
    <row r="6" spans="1:2" x14ac:dyDescent="0.3">
      <c r="A6" s="10" t="s">
        <v>48</v>
      </c>
      <c r="B6" s="22">
        <v>838140</v>
      </c>
    </row>
    <row r="7" spans="1:2" x14ac:dyDescent="0.3">
      <c r="A7" s="12" t="s">
        <v>55</v>
      </c>
      <c r="B7" s="22">
        <v>234900</v>
      </c>
    </row>
    <row r="8" spans="1:2" x14ac:dyDescent="0.3">
      <c r="A8" s="12" t="s">
        <v>58</v>
      </c>
      <c r="B8" s="22">
        <v>156600</v>
      </c>
    </row>
    <row r="9" spans="1:2" x14ac:dyDescent="0.3">
      <c r="A9" s="12" t="s">
        <v>60</v>
      </c>
      <c r="B9" s="22">
        <v>234900</v>
      </c>
    </row>
    <row r="10" spans="1:2" x14ac:dyDescent="0.3">
      <c r="A10" s="12" t="s">
        <v>62</v>
      </c>
      <c r="B10" s="22">
        <v>421200</v>
      </c>
    </row>
    <row r="11" spans="1:2" x14ac:dyDescent="0.3">
      <c r="A11" s="12" t="s">
        <v>49</v>
      </c>
      <c r="B11" s="22">
        <v>-125250</v>
      </c>
    </row>
    <row r="12" spans="1:2" x14ac:dyDescent="0.3">
      <c r="A12" s="12" t="s">
        <v>53</v>
      </c>
      <c r="B12" s="22">
        <v>-84210</v>
      </c>
    </row>
    <row r="13" spans="1:2" x14ac:dyDescent="0.3">
      <c r="A13" s="10" t="s">
        <v>83</v>
      </c>
      <c r="B13" s="22">
        <v>34971</v>
      </c>
    </row>
    <row r="14" spans="1:2" x14ac:dyDescent="0.3">
      <c r="A14" s="12" t="s">
        <v>84</v>
      </c>
      <c r="B14" s="22">
        <v>28150</v>
      </c>
    </row>
    <row r="15" spans="1:2" x14ac:dyDescent="0.3">
      <c r="A15" s="12" t="s">
        <v>86</v>
      </c>
      <c r="B15" s="22">
        <v>6821</v>
      </c>
    </row>
    <row r="16" spans="1:2" x14ac:dyDescent="0.3">
      <c r="A16" s="10" t="s">
        <v>88</v>
      </c>
      <c r="B16" s="22">
        <v>311070</v>
      </c>
    </row>
    <row r="17" spans="1:2" x14ac:dyDescent="0.3">
      <c r="A17" s="12" t="s">
        <v>464</v>
      </c>
      <c r="B17" s="22">
        <v>311070</v>
      </c>
    </row>
    <row r="18" spans="1:2" x14ac:dyDescent="0.3">
      <c r="A18" s="10" t="s">
        <v>90</v>
      </c>
      <c r="B18" s="22">
        <v>37935</v>
      </c>
    </row>
    <row r="19" spans="1:2" x14ac:dyDescent="0.3">
      <c r="A19" s="12" t="s">
        <v>93</v>
      </c>
      <c r="B19" s="22">
        <v>54080</v>
      </c>
    </row>
    <row r="20" spans="1:2" x14ac:dyDescent="0.3">
      <c r="A20" s="12" t="s">
        <v>91</v>
      </c>
      <c r="B20" s="22">
        <v>-16145</v>
      </c>
    </row>
    <row r="21" spans="1:2" x14ac:dyDescent="0.3">
      <c r="A21" s="10" t="s">
        <v>95</v>
      </c>
      <c r="B21" s="22">
        <v>150991.92000000001</v>
      </c>
    </row>
    <row r="22" spans="1:2" x14ac:dyDescent="0.3">
      <c r="A22" s="12" t="s">
        <v>99</v>
      </c>
      <c r="B22" s="22">
        <v>60536</v>
      </c>
    </row>
    <row r="23" spans="1:2" x14ac:dyDescent="0.3">
      <c r="A23" s="12" t="s">
        <v>101</v>
      </c>
      <c r="B23" s="22">
        <v>74100</v>
      </c>
    </row>
    <row r="24" spans="1:2" x14ac:dyDescent="0.3">
      <c r="A24" s="12" t="s">
        <v>97</v>
      </c>
      <c r="B24" s="22">
        <v>16355.92</v>
      </c>
    </row>
    <row r="25" spans="1:2" x14ac:dyDescent="0.3">
      <c r="A25" s="10" t="s">
        <v>103</v>
      </c>
      <c r="B25" s="22">
        <v>109682.5</v>
      </c>
    </row>
    <row r="26" spans="1:2" x14ac:dyDescent="0.3">
      <c r="A26" s="12" t="s">
        <v>108</v>
      </c>
      <c r="B26" s="22">
        <v>53812.5</v>
      </c>
    </row>
    <row r="27" spans="1:2" x14ac:dyDescent="0.3">
      <c r="A27" s="12" t="s">
        <v>104</v>
      </c>
      <c r="B27" s="22">
        <v>19830</v>
      </c>
    </row>
    <row r="28" spans="1:2" x14ac:dyDescent="0.3">
      <c r="A28" s="12" t="s">
        <v>106</v>
      </c>
      <c r="B28" s="22">
        <v>36040</v>
      </c>
    </row>
    <row r="29" spans="1:2" x14ac:dyDescent="0.3">
      <c r="A29" s="10" t="s">
        <v>215</v>
      </c>
      <c r="B29" s="22">
        <v>-37874</v>
      </c>
    </row>
    <row r="30" spans="1:2" x14ac:dyDescent="0.3">
      <c r="A30" s="12" t="s">
        <v>223</v>
      </c>
      <c r="B30" s="22">
        <v>34720</v>
      </c>
    </row>
    <row r="31" spans="1:2" x14ac:dyDescent="0.3">
      <c r="A31" s="12" t="s">
        <v>219</v>
      </c>
      <c r="B31" s="22">
        <v>-36370</v>
      </c>
    </row>
    <row r="32" spans="1:2" x14ac:dyDescent="0.3">
      <c r="A32" s="12" t="s">
        <v>217</v>
      </c>
      <c r="B32" s="22">
        <v>-36224</v>
      </c>
    </row>
    <row r="33" spans="1:2" x14ac:dyDescent="0.3">
      <c r="A33" s="10" t="s">
        <v>225</v>
      </c>
      <c r="B33" s="22">
        <v>299700</v>
      </c>
    </row>
    <row r="34" spans="1:2" x14ac:dyDescent="0.3">
      <c r="A34" s="12" t="s">
        <v>226</v>
      </c>
      <c r="B34" s="22">
        <v>299700</v>
      </c>
    </row>
    <row r="35" spans="1:2" x14ac:dyDescent="0.3">
      <c r="A35" s="10" t="s">
        <v>228</v>
      </c>
      <c r="B35" s="22">
        <v>1365057</v>
      </c>
    </row>
    <row r="36" spans="1:2" x14ac:dyDescent="0.3">
      <c r="A36" s="12" t="s">
        <v>229</v>
      </c>
      <c r="B36" s="22">
        <v>105300</v>
      </c>
    </row>
    <row r="37" spans="1:2" x14ac:dyDescent="0.3">
      <c r="A37" s="12" t="s">
        <v>231</v>
      </c>
      <c r="B37" s="22">
        <v>420417</v>
      </c>
    </row>
    <row r="38" spans="1:2" x14ac:dyDescent="0.3">
      <c r="A38" s="12" t="s">
        <v>233</v>
      </c>
      <c r="B38" s="22">
        <v>103806</v>
      </c>
    </row>
    <row r="39" spans="1:2" x14ac:dyDescent="0.3">
      <c r="A39" s="12" t="s">
        <v>235</v>
      </c>
      <c r="B39" s="22">
        <v>104872.5</v>
      </c>
    </row>
    <row r="40" spans="1:2" x14ac:dyDescent="0.3">
      <c r="A40" s="12" t="s">
        <v>237</v>
      </c>
      <c r="B40" s="22">
        <v>421200</v>
      </c>
    </row>
    <row r="41" spans="1:2" x14ac:dyDescent="0.3">
      <c r="A41" s="12" t="s">
        <v>239</v>
      </c>
      <c r="B41" s="22">
        <v>104161.5</v>
      </c>
    </row>
    <row r="42" spans="1:2" x14ac:dyDescent="0.3">
      <c r="A42" s="12" t="s">
        <v>241</v>
      </c>
      <c r="B42" s="22">
        <v>105300</v>
      </c>
    </row>
    <row r="43" spans="1:2" x14ac:dyDescent="0.3">
      <c r="A43" s="10" t="s">
        <v>243</v>
      </c>
      <c r="B43" s="22">
        <v>267134</v>
      </c>
    </row>
    <row r="44" spans="1:2" x14ac:dyDescent="0.3">
      <c r="A44" s="12" t="s">
        <v>246</v>
      </c>
      <c r="B44" s="22">
        <v>436320</v>
      </c>
    </row>
    <row r="45" spans="1:2" x14ac:dyDescent="0.3">
      <c r="A45" s="12" t="s">
        <v>248</v>
      </c>
      <c r="B45" s="22">
        <v>54540</v>
      </c>
    </row>
    <row r="46" spans="1:2" x14ac:dyDescent="0.3">
      <c r="A46" s="12" t="s">
        <v>244</v>
      </c>
      <c r="B46" s="22">
        <v>-223726</v>
      </c>
    </row>
    <row r="47" spans="1:2" x14ac:dyDescent="0.3">
      <c r="A47" s="10" t="s">
        <v>250</v>
      </c>
      <c r="B47" s="22">
        <v>732540</v>
      </c>
    </row>
    <row r="48" spans="1:2" x14ac:dyDescent="0.3">
      <c r="A48" s="12" t="s">
        <v>253</v>
      </c>
      <c r="B48" s="22">
        <v>396900</v>
      </c>
    </row>
    <row r="49" spans="1:2" x14ac:dyDescent="0.3">
      <c r="A49" s="12" t="s">
        <v>255</v>
      </c>
      <c r="B49" s="22">
        <v>113820</v>
      </c>
    </row>
    <row r="50" spans="1:2" x14ac:dyDescent="0.3">
      <c r="A50" s="12" t="s">
        <v>257</v>
      </c>
      <c r="B50" s="22">
        <v>56280</v>
      </c>
    </row>
    <row r="51" spans="1:2" x14ac:dyDescent="0.3">
      <c r="A51" s="12" t="s">
        <v>259</v>
      </c>
      <c r="B51" s="22">
        <v>113400</v>
      </c>
    </row>
    <row r="52" spans="1:2" x14ac:dyDescent="0.3">
      <c r="A52" s="12" t="s">
        <v>261</v>
      </c>
      <c r="B52" s="22">
        <v>56700</v>
      </c>
    </row>
    <row r="53" spans="1:2" x14ac:dyDescent="0.3">
      <c r="A53" s="12" t="s">
        <v>71</v>
      </c>
      <c r="B53" s="22">
        <v>-4560</v>
      </c>
    </row>
    <row r="54" spans="1:2" x14ac:dyDescent="0.3">
      <c r="A54" s="10" t="s">
        <v>309</v>
      </c>
      <c r="B54" s="22">
        <v>33674</v>
      </c>
    </row>
    <row r="55" spans="1:2" x14ac:dyDescent="0.3">
      <c r="A55" s="12" t="s">
        <v>314</v>
      </c>
      <c r="B55" s="22">
        <v>83700</v>
      </c>
    </row>
    <row r="56" spans="1:2" x14ac:dyDescent="0.3">
      <c r="A56" s="12" t="s">
        <v>310</v>
      </c>
      <c r="B56" s="22">
        <v>-50026</v>
      </c>
    </row>
    <row r="57" spans="1:2" x14ac:dyDescent="0.3">
      <c r="A57" s="10" t="s">
        <v>316</v>
      </c>
      <c r="B57" s="22">
        <v>270400</v>
      </c>
    </row>
    <row r="58" spans="1:2" x14ac:dyDescent="0.3">
      <c r="A58" s="12" t="s">
        <v>317</v>
      </c>
      <c r="B58" s="22">
        <v>36400</v>
      </c>
    </row>
    <row r="59" spans="1:2" x14ac:dyDescent="0.3">
      <c r="A59" s="12" t="s">
        <v>319</v>
      </c>
      <c r="B59" s="22">
        <v>80600</v>
      </c>
    </row>
    <row r="60" spans="1:2" x14ac:dyDescent="0.3">
      <c r="A60" s="12" t="s">
        <v>321</v>
      </c>
      <c r="B60" s="22">
        <v>36400</v>
      </c>
    </row>
    <row r="61" spans="1:2" x14ac:dyDescent="0.3">
      <c r="A61" s="12" t="s">
        <v>323</v>
      </c>
      <c r="B61" s="22">
        <v>36400</v>
      </c>
    </row>
    <row r="62" spans="1:2" x14ac:dyDescent="0.3">
      <c r="A62" s="12" t="s">
        <v>325</v>
      </c>
      <c r="B62" s="22">
        <v>80600</v>
      </c>
    </row>
    <row r="63" spans="1:2" x14ac:dyDescent="0.3">
      <c r="A63" s="10" t="s">
        <v>363</v>
      </c>
      <c r="B63" s="22">
        <v>593727</v>
      </c>
    </row>
    <row r="64" spans="1:2" x14ac:dyDescent="0.3">
      <c r="A64" s="12" t="s">
        <v>370</v>
      </c>
      <c r="B64" s="22">
        <v>230850</v>
      </c>
    </row>
    <row r="65" spans="1:2" x14ac:dyDescent="0.3">
      <c r="A65" s="12" t="s">
        <v>368</v>
      </c>
      <c r="B65" s="22">
        <v>77257</v>
      </c>
    </row>
    <row r="66" spans="1:2" x14ac:dyDescent="0.3">
      <c r="A66" s="12" t="s">
        <v>364</v>
      </c>
      <c r="B66" s="22">
        <v>123265</v>
      </c>
    </row>
    <row r="67" spans="1:2" x14ac:dyDescent="0.3">
      <c r="A67" s="12" t="s">
        <v>366</v>
      </c>
      <c r="B67" s="22">
        <v>162355</v>
      </c>
    </row>
    <row r="68" spans="1:2" x14ac:dyDescent="0.3">
      <c r="A68" s="10" t="s">
        <v>381</v>
      </c>
      <c r="B68" s="22">
        <v>92510</v>
      </c>
    </row>
    <row r="69" spans="1:2" x14ac:dyDescent="0.3">
      <c r="A69" s="12" t="s">
        <v>386</v>
      </c>
      <c r="B69" s="22">
        <v>59400</v>
      </c>
    </row>
    <row r="70" spans="1:2" x14ac:dyDescent="0.3">
      <c r="A70" s="12" t="s">
        <v>384</v>
      </c>
      <c r="B70" s="22">
        <v>-23675</v>
      </c>
    </row>
    <row r="71" spans="1:2" x14ac:dyDescent="0.3">
      <c r="A71" s="12" t="s">
        <v>382</v>
      </c>
      <c r="B71" s="22">
        <v>56785</v>
      </c>
    </row>
    <row r="72" spans="1:2" x14ac:dyDescent="0.3">
      <c r="A72" s="10" t="s">
        <v>404</v>
      </c>
      <c r="B72" s="22">
        <v>397000</v>
      </c>
    </row>
    <row r="73" spans="1:2" x14ac:dyDescent="0.3">
      <c r="A73" s="12" t="s">
        <v>406</v>
      </c>
      <c r="B73" s="22">
        <v>52800</v>
      </c>
    </row>
    <row r="74" spans="1:2" x14ac:dyDescent="0.3">
      <c r="A74" s="12" t="s">
        <v>408</v>
      </c>
      <c r="B74" s="22">
        <v>140000</v>
      </c>
    </row>
    <row r="75" spans="1:2" x14ac:dyDescent="0.3">
      <c r="A75" s="12" t="s">
        <v>410</v>
      </c>
      <c r="B75" s="22">
        <v>107640</v>
      </c>
    </row>
    <row r="76" spans="1:2" x14ac:dyDescent="0.3">
      <c r="A76" s="12" t="s">
        <v>412</v>
      </c>
      <c r="B76" s="22">
        <v>53360</v>
      </c>
    </row>
    <row r="77" spans="1:2" x14ac:dyDescent="0.3">
      <c r="A77" s="12" t="s">
        <v>414</v>
      </c>
      <c r="B77" s="22">
        <v>43200</v>
      </c>
    </row>
    <row r="78" spans="1:2" x14ac:dyDescent="0.3">
      <c r="A78" s="10" t="s">
        <v>416</v>
      </c>
      <c r="B78" s="22">
        <v>22575</v>
      </c>
    </row>
    <row r="79" spans="1:2" x14ac:dyDescent="0.3">
      <c r="A79" s="12" t="s">
        <v>419</v>
      </c>
      <c r="B79" s="22">
        <v>29250</v>
      </c>
    </row>
    <row r="80" spans="1:2" x14ac:dyDescent="0.3">
      <c r="A80" s="12" t="s">
        <v>417</v>
      </c>
      <c r="B80" s="22">
        <v>-6675</v>
      </c>
    </row>
    <row r="81" spans="1:2" x14ac:dyDescent="0.3">
      <c r="A81" s="10" t="s">
        <v>421</v>
      </c>
      <c r="B81" s="22">
        <v>52933.5</v>
      </c>
    </row>
    <row r="82" spans="1:2" x14ac:dyDescent="0.3">
      <c r="A82" s="12" t="s">
        <v>424</v>
      </c>
      <c r="B82" s="22">
        <v>66250</v>
      </c>
    </row>
    <row r="83" spans="1:2" x14ac:dyDescent="0.3">
      <c r="A83" s="12" t="s">
        <v>422</v>
      </c>
      <c r="B83" s="22">
        <v>-13316.5</v>
      </c>
    </row>
    <row r="84" spans="1:2" x14ac:dyDescent="0.3">
      <c r="A84" s="10" t="s">
        <v>426</v>
      </c>
      <c r="B84" s="22">
        <v>90691</v>
      </c>
    </row>
    <row r="85" spans="1:2" x14ac:dyDescent="0.3">
      <c r="A85" s="12" t="s">
        <v>429</v>
      </c>
      <c r="B85" s="22">
        <v>164700</v>
      </c>
    </row>
    <row r="86" spans="1:2" x14ac:dyDescent="0.3">
      <c r="A86" s="12" t="s">
        <v>427</v>
      </c>
      <c r="B86" s="22">
        <v>-74009</v>
      </c>
    </row>
    <row r="87" spans="1:2" x14ac:dyDescent="0.3">
      <c r="A87" s="10" t="s">
        <v>431</v>
      </c>
      <c r="B87" s="22">
        <v>30250</v>
      </c>
    </row>
    <row r="88" spans="1:2" x14ac:dyDescent="0.3">
      <c r="A88" s="12" t="s">
        <v>432</v>
      </c>
      <c r="B88" s="22">
        <v>30250</v>
      </c>
    </row>
    <row r="89" spans="1:2" x14ac:dyDescent="0.3">
      <c r="A89" s="10" t="s">
        <v>434</v>
      </c>
      <c r="B89" s="22">
        <v>67066</v>
      </c>
    </row>
    <row r="90" spans="1:2" x14ac:dyDescent="0.3">
      <c r="A90" s="12" t="s">
        <v>435</v>
      </c>
      <c r="B90" s="22">
        <v>67066</v>
      </c>
    </row>
    <row r="91" spans="1:2" x14ac:dyDescent="0.3">
      <c r="A91" s="10" t="s">
        <v>437</v>
      </c>
      <c r="B91" s="22">
        <v>72759</v>
      </c>
    </row>
    <row r="92" spans="1:2" x14ac:dyDescent="0.3">
      <c r="A92" s="12" t="s">
        <v>440</v>
      </c>
      <c r="B92" s="22">
        <v>105560</v>
      </c>
    </row>
    <row r="93" spans="1:2" x14ac:dyDescent="0.3">
      <c r="A93" s="12" t="s">
        <v>438</v>
      </c>
      <c r="B93" s="22">
        <v>-32801</v>
      </c>
    </row>
    <row r="94" spans="1:2" x14ac:dyDescent="0.3">
      <c r="A94" s="10" t="s">
        <v>442</v>
      </c>
      <c r="B94" s="22">
        <v>115561</v>
      </c>
    </row>
    <row r="95" spans="1:2" x14ac:dyDescent="0.3">
      <c r="A95" s="12" t="s">
        <v>445</v>
      </c>
      <c r="B95" s="22">
        <v>167700</v>
      </c>
    </row>
    <row r="96" spans="1:2" x14ac:dyDescent="0.3">
      <c r="A96" s="12" t="s">
        <v>438</v>
      </c>
      <c r="B96" s="22">
        <v>-52139</v>
      </c>
    </row>
    <row r="97" spans="1:2" x14ac:dyDescent="0.3">
      <c r="A97" s="10" t="s">
        <v>453</v>
      </c>
      <c r="B97" s="22">
        <v>5948493.9199999999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464D-31C3-4EAF-ADBF-0110A9065AD5}">
  <dimension ref="A1:I95"/>
  <sheetViews>
    <sheetView workbookViewId="0">
      <selection activeCell="F1" sqref="F1:I82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19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9" t="s">
        <v>3</v>
      </c>
      <c r="B1" t="s">
        <v>466</v>
      </c>
      <c r="F1" s="9" t="s">
        <v>3</v>
      </c>
      <c r="G1" t="s">
        <v>466</v>
      </c>
    </row>
    <row r="2" spans="1:9" x14ac:dyDescent="0.3">
      <c r="A2" s="9" t="s">
        <v>461</v>
      </c>
      <c r="B2" t="s">
        <v>462</v>
      </c>
      <c r="F2" s="9" t="s">
        <v>461</v>
      </c>
      <c r="G2" t="s">
        <v>463</v>
      </c>
    </row>
    <row r="3" spans="1:9" x14ac:dyDescent="0.3">
      <c r="A3" s="9" t="s">
        <v>446</v>
      </c>
      <c r="B3" t="s">
        <v>448</v>
      </c>
      <c r="F3" s="9" t="s">
        <v>446</v>
      </c>
      <c r="G3" t="s">
        <v>448</v>
      </c>
    </row>
    <row r="5" spans="1:9" x14ac:dyDescent="0.3">
      <c r="A5" s="9" t="s">
        <v>452</v>
      </c>
      <c r="B5" t="s">
        <v>469</v>
      </c>
      <c r="C5" t="s">
        <v>468</v>
      </c>
      <c r="D5" t="s">
        <v>467</v>
      </c>
      <c r="F5" s="9" t="s">
        <v>452</v>
      </c>
      <c r="G5" t="s">
        <v>469</v>
      </c>
      <c r="H5" t="s">
        <v>468</v>
      </c>
      <c r="I5" t="s">
        <v>467</v>
      </c>
    </row>
    <row r="6" spans="1:9" x14ac:dyDescent="0.3">
      <c r="A6" s="10" t="s">
        <v>48</v>
      </c>
      <c r="B6" s="22"/>
      <c r="C6" s="22">
        <v>52</v>
      </c>
      <c r="D6" s="22">
        <v>838140</v>
      </c>
      <c r="F6" s="10" t="s">
        <v>316</v>
      </c>
      <c r="G6" s="22">
        <v>2</v>
      </c>
      <c r="H6" s="22">
        <v>100</v>
      </c>
      <c r="I6" s="22">
        <v>117000</v>
      </c>
    </row>
    <row r="7" spans="1:9" x14ac:dyDescent="0.3">
      <c r="A7" s="12" t="s">
        <v>55</v>
      </c>
      <c r="B7" s="22"/>
      <c r="C7" s="22">
        <v>10</v>
      </c>
      <c r="D7" s="22">
        <v>234900</v>
      </c>
      <c r="F7" s="12" t="s">
        <v>317</v>
      </c>
      <c r="G7" s="22">
        <v>1</v>
      </c>
      <c r="H7" s="22">
        <v>50</v>
      </c>
      <c r="I7" s="22">
        <v>36400</v>
      </c>
    </row>
    <row r="8" spans="1:9" x14ac:dyDescent="0.3">
      <c r="A8" s="12" t="s">
        <v>58</v>
      </c>
      <c r="B8" s="22"/>
      <c r="C8" s="22">
        <v>6</v>
      </c>
      <c r="D8" s="22">
        <v>156600</v>
      </c>
      <c r="F8" s="12" t="s">
        <v>319</v>
      </c>
      <c r="G8" s="22">
        <v>1</v>
      </c>
      <c r="H8" s="22">
        <v>50</v>
      </c>
      <c r="I8" s="22">
        <v>80600</v>
      </c>
    </row>
    <row r="9" spans="1:9" x14ac:dyDescent="0.3">
      <c r="A9" s="12" t="s">
        <v>60</v>
      </c>
      <c r="B9" s="22"/>
      <c r="C9" s="22">
        <v>3</v>
      </c>
      <c r="D9" s="22">
        <v>234900</v>
      </c>
      <c r="F9" s="10" t="s">
        <v>453</v>
      </c>
      <c r="G9" s="22">
        <v>2</v>
      </c>
      <c r="H9" s="22">
        <v>100</v>
      </c>
      <c r="I9" s="22">
        <v>117000</v>
      </c>
    </row>
    <row r="10" spans="1:9" x14ac:dyDescent="0.3">
      <c r="A10" s="12" t="s">
        <v>62</v>
      </c>
      <c r="B10" s="22"/>
      <c r="C10" s="22">
        <v>3</v>
      </c>
      <c r="D10" s="22">
        <v>421200</v>
      </c>
    </row>
    <row r="11" spans="1:9" x14ac:dyDescent="0.3">
      <c r="A11" s="12" t="s">
        <v>49</v>
      </c>
      <c r="B11" s="22"/>
      <c r="C11" s="22">
        <v>17</v>
      </c>
      <c r="D11" s="22">
        <v>-125250</v>
      </c>
    </row>
    <row r="12" spans="1:9" x14ac:dyDescent="0.3">
      <c r="A12" s="12" t="s">
        <v>53</v>
      </c>
      <c r="B12" s="22"/>
      <c r="C12" s="22">
        <v>13</v>
      </c>
      <c r="D12" s="22">
        <v>-84210</v>
      </c>
    </row>
    <row r="13" spans="1:9" x14ac:dyDescent="0.3">
      <c r="A13" s="10" t="s">
        <v>83</v>
      </c>
      <c r="B13" s="22">
        <v>2</v>
      </c>
      <c r="C13" s="22">
        <v>30</v>
      </c>
      <c r="D13" s="22">
        <v>34971</v>
      </c>
    </row>
    <row r="14" spans="1:9" x14ac:dyDescent="0.3">
      <c r="A14" s="12" t="s">
        <v>84</v>
      </c>
      <c r="B14" s="22">
        <v>1</v>
      </c>
      <c r="C14" s="22">
        <v>15</v>
      </c>
      <c r="D14" s="22">
        <v>28150</v>
      </c>
    </row>
    <row r="15" spans="1:9" x14ac:dyDescent="0.3">
      <c r="A15" s="12" t="s">
        <v>86</v>
      </c>
      <c r="B15" s="22">
        <v>1</v>
      </c>
      <c r="C15" s="22">
        <v>15</v>
      </c>
      <c r="D15" s="22">
        <v>6821</v>
      </c>
    </row>
    <row r="16" spans="1:9" x14ac:dyDescent="0.3">
      <c r="A16" s="10" t="s">
        <v>88</v>
      </c>
      <c r="B16" s="22">
        <v>1</v>
      </c>
      <c r="C16" s="22">
        <v>35</v>
      </c>
      <c r="D16" s="22">
        <v>311070</v>
      </c>
    </row>
    <row r="17" spans="1:4" x14ac:dyDescent="0.3">
      <c r="A17" s="12" t="s">
        <v>464</v>
      </c>
      <c r="B17" s="22">
        <v>1</v>
      </c>
      <c r="C17" s="22">
        <v>35</v>
      </c>
      <c r="D17" s="22">
        <v>311070</v>
      </c>
    </row>
    <row r="18" spans="1:4" x14ac:dyDescent="0.3">
      <c r="A18" s="10" t="s">
        <v>90</v>
      </c>
      <c r="B18" s="22">
        <v>1</v>
      </c>
      <c r="C18" s="22">
        <v>63</v>
      </c>
      <c r="D18" s="22">
        <v>37935</v>
      </c>
    </row>
    <row r="19" spans="1:4" x14ac:dyDescent="0.3">
      <c r="A19" s="12" t="s">
        <v>93</v>
      </c>
      <c r="B19" s="22">
        <v>1</v>
      </c>
      <c r="C19" s="22">
        <v>16</v>
      </c>
      <c r="D19" s="22">
        <v>54080</v>
      </c>
    </row>
    <row r="20" spans="1:4" x14ac:dyDescent="0.3">
      <c r="A20" s="12" t="s">
        <v>91</v>
      </c>
      <c r="B20" s="22"/>
      <c r="C20" s="22">
        <v>47</v>
      </c>
      <c r="D20" s="22">
        <v>-16145</v>
      </c>
    </row>
    <row r="21" spans="1:4" x14ac:dyDescent="0.3">
      <c r="A21" s="10" t="s">
        <v>95</v>
      </c>
      <c r="B21" s="22">
        <v>1</v>
      </c>
      <c r="C21" s="22">
        <v>66</v>
      </c>
      <c r="D21" s="22">
        <v>150991.92000000001</v>
      </c>
    </row>
    <row r="22" spans="1:4" x14ac:dyDescent="0.3">
      <c r="A22" s="12" t="s">
        <v>99</v>
      </c>
      <c r="B22" s="22"/>
      <c r="C22" s="22">
        <v>10</v>
      </c>
      <c r="D22" s="22">
        <v>60536</v>
      </c>
    </row>
    <row r="23" spans="1:4" x14ac:dyDescent="0.3">
      <c r="A23" s="12" t="s">
        <v>101</v>
      </c>
      <c r="B23" s="22"/>
      <c r="C23" s="22">
        <v>6</v>
      </c>
      <c r="D23" s="22">
        <v>74100</v>
      </c>
    </row>
    <row r="24" spans="1:4" x14ac:dyDescent="0.3">
      <c r="A24" s="12" t="s">
        <v>97</v>
      </c>
      <c r="B24" s="22">
        <v>1</v>
      </c>
      <c r="C24" s="22">
        <v>50</v>
      </c>
      <c r="D24" s="22">
        <v>16355.92</v>
      </c>
    </row>
    <row r="25" spans="1:4" x14ac:dyDescent="0.3">
      <c r="A25" s="10" t="s">
        <v>103</v>
      </c>
      <c r="B25" s="22">
        <v>3</v>
      </c>
      <c r="C25" s="22">
        <v>83</v>
      </c>
      <c r="D25" s="22">
        <v>109682.5</v>
      </c>
    </row>
    <row r="26" spans="1:4" x14ac:dyDescent="0.3">
      <c r="A26" s="12" t="s">
        <v>108</v>
      </c>
      <c r="B26" s="22">
        <v>1</v>
      </c>
      <c r="C26" s="22">
        <v>15</v>
      </c>
      <c r="D26" s="22">
        <v>53812.5</v>
      </c>
    </row>
    <row r="27" spans="1:4" x14ac:dyDescent="0.3">
      <c r="A27" s="12" t="s">
        <v>104</v>
      </c>
      <c r="B27" s="22">
        <v>1</v>
      </c>
      <c r="C27" s="22">
        <v>35</v>
      </c>
      <c r="D27" s="22">
        <v>19830</v>
      </c>
    </row>
    <row r="28" spans="1:4" x14ac:dyDescent="0.3">
      <c r="A28" s="12" t="s">
        <v>106</v>
      </c>
      <c r="B28" s="22">
        <v>1</v>
      </c>
      <c r="C28" s="22">
        <v>33</v>
      </c>
      <c r="D28" s="22">
        <v>36040</v>
      </c>
    </row>
    <row r="29" spans="1:4" x14ac:dyDescent="0.3">
      <c r="A29" s="10" t="s">
        <v>215</v>
      </c>
      <c r="B29" s="22"/>
      <c r="C29" s="22">
        <v>63</v>
      </c>
      <c r="D29" s="22">
        <v>-37874</v>
      </c>
    </row>
    <row r="30" spans="1:4" x14ac:dyDescent="0.3">
      <c r="A30" s="12" t="s">
        <v>223</v>
      </c>
      <c r="B30" s="22"/>
      <c r="C30" s="22">
        <v>10</v>
      </c>
      <c r="D30" s="22">
        <v>34720</v>
      </c>
    </row>
    <row r="31" spans="1:4" x14ac:dyDescent="0.3">
      <c r="A31" s="12" t="s">
        <v>219</v>
      </c>
      <c r="B31" s="22"/>
      <c r="C31" s="22">
        <v>19</v>
      </c>
      <c r="D31" s="22">
        <v>-36370</v>
      </c>
    </row>
    <row r="32" spans="1:4" x14ac:dyDescent="0.3">
      <c r="A32" s="12" t="s">
        <v>217</v>
      </c>
      <c r="B32" s="22"/>
      <c r="C32" s="22">
        <v>34</v>
      </c>
      <c r="D32" s="22">
        <v>-36224</v>
      </c>
    </row>
    <row r="33" spans="1:4" x14ac:dyDescent="0.3">
      <c r="A33" s="10" t="s">
        <v>225</v>
      </c>
      <c r="B33" s="22">
        <v>1</v>
      </c>
      <c r="C33" s="22">
        <v>13</v>
      </c>
      <c r="D33" s="22">
        <v>299700</v>
      </c>
    </row>
    <row r="34" spans="1:4" x14ac:dyDescent="0.3">
      <c r="A34" s="12" t="s">
        <v>226</v>
      </c>
      <c r="B34" s="22">
        <v>1</v>
      </c>
      <c r="C34" s="22">
        <v>13</v>
      </c>
      <c r="D34" s="22">
        <v>299700</v>
      </c>
    </row>
    <row r="35" spans="1:4" x14ac:dyDescent="0.3">
      <c r="A35" s="10" t="s">
        <v>228</v>
      </c>
      <c r="B35" s="22">
        <v>3</v>
      </c>
      <c r="C35" s="22">
        <v>88</v>
      </c>
      <c r="D35" s="22">
        <v>1365057</v>
      </c>
    </row>
    <row r="36" spans="1:4" x14ac:dyDescent="0.3">
      <c r="A36" s="12" t="s">
        <v>229</v>
      </c>
      <c r="B36" s="22">
        <v>1</v>
      </c>
      <c r="C36" s="22">
        <v>36</v>
      </c>
      <c r="D36" s="22">
        <v>105300</v>
      </c>
    </row>
    <row r="37" spans="1:4" x14ac:dyDescent="0.3">
      <c r="A37" s="12" t="s">
        <v>231</v>
      </c>
      <c r="B37" s="22">
        <v>1</v>
      </c>
      <c r="C37" s="22">
        <v>20</v>
      </c>
      <c r="D37" s="22">
        <v>420417</v>
      </c>
    </row>
    <row r="38" spans="1:4" x14ac:dyDescent="0.3">
      <c r="A38" s="12" t="s">
        <v>233</v>
      </c>
      <c r="B38" s="22">
        <v>1</v>
      </c>
      <c r="C38" s="22">
        <v>10</v>
      </c>
      <c r="D38" s="22">
        <v>103806</v>
      </c>
    </row>
    <row r="39" spans="1:4" x14ac:dyDescent="0.3">
      <c r="A39" s="12" t="s">
        <v>235</v>
      </c>
      <c r="B39" s="22"/>
      <c r="C39" s="22">
        <v>8</v>
      </c>
      <c r="D39" s="22">
        <v>104872.5</v>
      </c>
    </row>
    <row r="40" spans="1:4" x14ac:dyDescent="0.3">
      <c r="A40" s="12" t="s">
        <v>237</v>
      </c>
      <c r="B40" s="22"/>
      <c r="C40" s="22">
        <v>8</v>
      </c>
      <c r="D40" s="22">
        <v>421200</v>
      </c>
    </row>
    <row r="41" spans="1:4" x14ac:dyDescent="0.3">
      <c r="A41" s="12" t="s">
        <v>239</v>
      </c>
      <c r="B41" s="22"/>
      <c r="C41" s="22">
        <v>3</v>
      </c>
      <c r="D41" s="22">
        <v>104161.5</v>
      </c>
    </row>
    <row r="42" spans="1:4" x14ac:dyDescent="0.3">
      <c r="A42" s="12" t="s">
        <v>241</v>
      </c>
      <c r="B42" s="22"/>
      <c r="C42" s="22">
        <v>3</v>
      </c>
      <c r="D42" s="22">
        <v>105300</v>
      </c>
    </row>
    <row r="43" spans="1:4" x14ac:dyDescent="0.3">
      <c r="A43" s="10" t="s">
        <v>243</v>
      </c>
      <c r="B43" s="22"/>
      <c r="C43" s="22">
        <v>30</v>
      </c>
      <c r="D43" s="22">
        <v>267134</v>
      </c>
    </row>
    <row r="44" spans="1:4" x14ac:dyDescent="0.3">
      <c r="A44" s="12" t="s">
        <v>246</v>
      </c>
      <c r="B44" s="22"/>
      <c r="C44" s="22">
        <v>8</v>
      </c>
      <c r="D44" s="22">
        <v>436320</v>
      </c>
    </row>
    <row r="45" spans="1:4" x14ac:dyDescent="0.3">
      <c r="A45" s="12" t="s">
        <v>248</v>
      </c>
      <c r="B45" s="22"/>
      <c r="C45" s="22">
        <v>3</v>
      </c>
      <c r="D45" s="22">
        <v>54540</v>
      </c>
    </row>
    <row r="46" spans="1:4" x14ac:dyDescent="0.3">
      <c r="A46" s="12" t="s">
        <v>244</v>
      </c>
      <c r="B46" s="22"/>
      <c r="C46" s="22">
        <v>19</v>
      </c>
      <c r="D46" s="22">
        <v>-223726</v>
      </c>
    </row>
    <row r="47" spans="1:4" x14ac:dyDescent="0.3">
      <c r="A47" s="10" t="s">
        <v>250</v>
      </c>
      <c r="B47" s="22">
        <v>3</v>
      </c>
      <c r="C47" s="22">
        <v>105</v>
      </c>
      <c r="D47" s="22">
        <v>732540</v>
      </c>
    </row>
    <row r="48" spans="1:4" x14ac:dyDescent="0.3">
      <c r="A48" s="12" t="s">
        <v>253</v>
      </c>
      <c r="B48" s="22">
        <v>1</v>
      </c>
      <c r="C48" s="22">
        <v>33</v>
      </c>
      <c r="D48" s="22">
        <v>396900</v>
      </c>
    </row>
    <row r="49" spans="1:4" x14ac:dyDescent="0.3">
      <c r="A49" s="12" t="s">
        <v>255</v>
      </c>
      <c r="B49" s="22">
        <v>1</v>
      </c>
      <c r="C49" s="22">
        <v>15</v>
      </c>
      <c r="D49" s="22">
        <v>113820</v>
      </c>
    </row>
    <row r="50" spans="1:4" x14ac:dyDescent="0.3">
      <c r="A50" s="12" t="s">
        <v>257</v>
      </c>
      <c r="B50" s="22">
        <v>1</v>
      </c>
      <c r="C50" s="22">
        <v>10</v>
      </c>
      <c r="D50" s="22">
        <v>56280</v>
      </c>
    </row>
    <row r="51" spans="1:4" x14ac:dyDescent="0.3">
      <c r="A51" s="12" t="s">
        <v>259</v>
      </c>
      <c r="B51" s="22"/>
      <c r="C51" s="22">
        <v>8</v>
      </c>
      <c r="D51" s="22">
        <v>113400</v>
      </c>
    </row>
    <row r="52" spans="1:4" x14ac:dyDescent="0.3">
      <c r="A52" s="12" t="s">
        <v>261</v>
      </c>
      <c r="B52" s="22"/>
      <c r="C52" s="22">
        <v>3</v>
      </c>
      <c r="D52" s="22">
        <v>56700</v>
      </c>
    </row>
    <row r="53" spans="1:4" x14ac:dyDescent="0.3">
      <c r="A53" s="12" t="s">
        <v>71</v>
      </c>
      <c r="B53" s="22"/>
      <c r="C53" s="22">
        <v>36</v>
      </c>
      <c r="D53" s="22">
        <v>-4560</v>
      </c>
    </row>
    <row r="54" spans="1:4" x14ac:dyDescent="0.3">
      <c r="A54" s="10" t="s">
        <v>309</v>
      </c>
      <c r="B54" s="22"/>
      <c r="C54" s="22">
        <v>55</v>
      </c>
      <c r="D54" s="22">
        <v>33674</v>
      </c>
    </row>
    <row r="55" spans="1:4" x14ac:dyDescent="0.3">
      <c r="A55" s="12" t="s">
        <v>314</v>
      </c>
      <c r="B55" s="22"/>
      <c r="C55" s="22">
        <v>3</v>
      </c>
      <c r="D55" s="22">
        <v>83700</v>
      </c>
    </row>
    <row r="56" spans="1:4" x14ac:dyDescent="0.3">
      <c r="A56" s="12" t="s">
        <v>310</v>
      </c>
      <c r="B56" s="22"/>
      <c r="C56" s="22">
        <v>52</v>
      </c>
      <c r="D56" s="22">
        <v>-50026</v>
      </c>
    </row>
    <row r="57" spans="1:4" x14ac:dyDescent="0.3">
      <c r="A57" s="10" t="s">
        <v>316</v>
      </c>
      <c r="B57" s="22">
        <v>2</v>
      </c>
      <c r="C57" s="22">
        <v>85</v>
      </c>
      <c r="D57" s="22">
        <v>153400</v>
      </c>
    </row>
    <row r="58" spans="1:4" x14ac:dyDescent="0.3">
      <c r="A58" s="12" t="s">
        <v>321</v>
      </c>
      <c r="B58" s="22">
        <v>1</v>
      </c>
      <c r="C58" s="22">
        <v>40</v>
      </c>
      <c r="D58" s="22">
        <v>36400</v>
      </c>
    </row>
    <row r="59" spans="1:4" x14ac:dyDescent="0.3">
      <c r="A59" s="12" t="s">
        <v>323</v>
      </c>
      <c r="B59" s="22">
        <v>1</v>
      </c>
      <c r="C59" s="22">
        <v>35</v>
      </c>
      <c r="D59" s="22">
        <v>36400</v>
      </c>
    </row>
    <row r="60" spans="1:4" x14ac:dyDescent="0.3">
      <c r="A60" s="12" t="s">
        <v>325</v>
      </c>
      <c r="B60" s="22"/>
      <c r="C60" s="22">
        <v>10</v>
      </c>
      <c r="D60" s="22">
        <v>80600</v>
      </c>
    </row>
    <row r="61" spans="1:4" x14ac:dyDescent="0.3">
      <c r="A61" s="10" t="s">
        <v>363</v>
      </c>
      <c r="B61" s="22">
        <v>4</v>
      </c>
      <c r="C61" s="22">
        <v>113</v>
      </c>
      <c r="D61" s="22">
        <v>593727</v>
      </c>
    </row>
    <row r="62" spans="1:4" x14ac:dyDescent="0.3">
      <c r="A62" s="12" t="s">
        <v>370</v>
      </c>
      <c r="B62" s="22">
        <v>1</v>
      </c>
      <c r="C62" s="22">
        <v>15</v>
      </c>
      <c r="D62" s="22">
        <v>230850</v>
      </c>
    </row>
    <row r="63" spans="1:4" x14ac:dyDescent="0.3">
      <c r="A63" s="12" t="s">
        <v>368</v>
      </c>
      <c r="B63" s="22">
        <v>1</v>
      </c>
      <c r="C63" s="22">
        <v>32</v>
      </c>
      <c r="D63" s="22">
        <v>77257</v>
      </c>
    </row>
    <row r="64" spans="1:4" x14ac:dyDescent="0.3">
      <c r="A64" s="12" t="s">
        <v>364</v>
      </c>
      <c r="B64" s="22">
        <v>1</v>
      </c>
      <c r="C64" s="22">
        <v>33</v>
      </c>
      <c r="D64" s="22">
        <v>123265</v>
      </c>
    </row>
    <row r="65" spans="1:4" x14ac:dyDescent="0.3">
      <c r="A65" s="12" t="s">
        <v>366</v>
      </c>
      <c r="B65" s="22">
        <v>1</v>
      </c>
      <c r="C65" s="22">
        <v>33</v>
      </c>
      <c r="D65" s="22">
        <v>162355</v>
      </c>
    </row>
    <row r="66" spans="1:4" x14ac:dyDescent="0.3">
      <c r="A66" s="10" t="s">
        <v>381</v>
      </c>
      <c r="B66" s="22">
        <v>1</v>
      </c>
      <c r="C66" s="22">
        <v>60</v>
      </c>
      <c r="D66" s="22">
        <v>92510</v>
      </c>
    </row>
    <row r="67" spans="1:4" x14ac:dyDescent="0.3">
      <c r="A67" s="12" t="s">
        <v>386</v>
      </c>
      <c r="B67" s="22"/>
      <c r="C67" s="22">
        <v>3</v>
      </c>
      <c r="D67" s="22">
        <v>59400</v>
      </c>
    </row>
    <row r="68" spans="1:4" x14ac:dyDescent="0.3">
      <c r="A68" s="12" t="s">
        <v>384</v>
      </c>
      <c r="B68" s="22"/>
      <c r="C68" s="22">
        <v>24</v>
      </c>
      <c r="D68" s="22">
        <v>-23675</v>
      </c>
    </row>
    <row r="69" spans="1:4" x14ac:dyDescent="0.3">
      <c r="A69" s="12" t="s">
        <v>382</v>
      </c>
      <c r="B69" s="22">
        <v>1</v>
      </c>
      <c r="C69" s="22">
        <v>33</v>
      </c>
      <c r="D69" s="22">
        <v>56785</v>
      </c>
    </row>
    <row r="70" spans="1:4" x14ac:dyDescent="0.3">
      <c r="A70" s="10" t="s">
        <v>404</v>
      </c>
      <c r="B70" s="22">
        <v>3</v>
      </c>
      <c r="C70" s="22">
        <v>64</v>
      </c>
      <c r="D70" s="22">
        <v>397000</v>
      </c>
    </row>
    <row r="71" spans="1:4" x14ac:dyDescent="0.3">
      <c r="A71" s="12" t="s">
        <v>406</v>
      </c>
      <c r="B71" s="22">
        <v>1</v>
      </c>
      <c r="C71" s="22">
        <v>33</v>
      </c>
      <c r="D71" s="22">
        <v>52800</v>
      </c>
    </row>
    <row r="72" spans="1:4" x14ac:dyDescent="0.3">
      <c r="A72" s="12" t="s">
        <v>408</v>
      </c>
      <c r="B72" s="22">
        <v>1</v>
      </c>
      <c r="C72" s="22">
        <v>15</v>
      </c>
      <c r="D72" s="22">
        <v>140000</v>
      </c>
    </row>
    <row r="73" spans="1:4" x14ac:dyDescent="0.3">
      <c r="A73" s="12" t="s">
        <v>410</v>
      </c>
      <c r="B73" s="22">
        <v>1</v>
      </c>
      <c r="C73" s="22">
        <v>10</v>
      </c>
      <c r="D73" s="22">
        <v>107640</v>
      </c>
    </row>
    <row r="74" spans="1:4" x14ac:dyDescent="0.3">
      <c r="A74" s="12" t="s">
        <v>412</v>
      </c>
      <c r="B74" s="22"/>
      <c r="C74" s="22">
        <v>3</v>
      </c>
      <c r="D74" s="22">
        <v>53360</v>
      </c>
    </row>
    <row r="75" spans="1:4" x14ac:dyDescent="0.3">
      <c r="A75" s="12" t="s">
        <v>414</v>
      </c>
      <c r="B75" s="22"/>
      <c r="C75" s="22">
        <v>3</v>
      </c>
      <c r="D75" s="22">
        <v>43200</v>
      </c>
    </row>
    <row r="76" spans="1:4" x14ac:dyDescent="0.3">
      <c r="A76" s="10" t="s">
        <v>416</v>
      </c>
      <c r="B76" s="22">
        <v>1</v>
      </c>
      <c r="C76" s="22">
        <v>42</v>
      </c>
      <c r="D76" s="22">
        <v>22575</v>
      </c>
    </row>
    <row r="77" spans="1:4" x14ac:dyDescent="0.3">
      <c r="A77" s="12" t="s">
        <v>419</v>
      </c>
      <c r="B77" s="22">
        <v>1</v>
      </c>
      <c r="C77" s="22">
        <v>10</v>
      </c>
      <c r="D77" s="22">
        <v>29250</v>
      </c>
    </row>
    <row r="78" spans="1:4" x14ac:dyDescent="0.3">
      <c r="A78" s="12" t="s">
        <v>417</v>
      </c>
      <c r="B78" s="22"/>
      <c r="C78" s="22">
        <v>32</v>
      </c>
      <c r="D78" s="22">
        <v>-6675</v>
      </c>
    </row>
    <row r="79" spans="1:4" x14ac:dyDescent="0.3">
      <c r="A79" s="10" t="s">
        <v>421</v>
      </c>
      <c r="B79" s="22"/>
      <c r="C79" s="22">
        <v>29</v>
      </c>
      <c r="D79" s="22">
        <v>52933.5</v>
      </c>
    </row>
    <row r="80" spans="1:4" x14ac:dyDescent="0.3">
      <c r="A80" s="12" t="s">
        <v>424</v>
      </c>
      <c r="B80" s="22"/>
      <c r="C80" s="22">
        <v>3</v>
      </c>
      <c r="D80" s="22">
        <v>66250</v>
      </c>
    </row>
    <row r="81" spans="1:4" x14ac:dyDescent="0.3">
      <c r="A81" s="12" t="s">
        <v>422</v>
      </c>
      <c r="B81" s="22"/>
      <c r="C81" s="22">
        <v>26</v>
      </c>
      <c r="D81" s="22">
        <v>-13316.5</v>
      </c>
    </row>
    <row r="82" spans="1:4" x14ac:dyDescent="0.3">
      <c r="A82" s="10" t="s">
        <v>426</v>
      </c>
      <c r="B82" s="22"/>
      <c r="C82" s="22">
        <v>40</v>
      </c>
      <c r="D82" s="22">
        <v>90691</v>
      </c>
    </row>
    <row r="83" spans="1:4" x14ac:dyDescent="0.3">
      <c r="A83" s="12" t="s">
        <v>429</v>
      </c>
      <c r="B83" s="22"/>
      <c r="C83" s="22">
        <v>8</v>
      </c>
      <c r="D83" s="22">
        <v>164700</v>
      </c>
    </row>
    <row r="84" spans="1:4" x14ac:dyDescent="0.3">
      <c r="A84" s="12" t="s">
        <v>427</v>
      </c>
      <c r="B84" s="22"/>
      <c r="C84" s="22">
        <v>32</v>
      </c>
      <c r="D84" s="22">
        <v>-74009</v>
      </c>
    </row>
    <row r="85" spans="1:4" x14ac:dyDescent="0.3">
      <c r="A85" s="10" t="s">
        <v>431</v>
      </c>
      <c r="B85" s="22">
        <v>1</v>
      </c>
      <c r="C85" s="22">
        <v>38</v>
      </c>
      <c r="D85" s="22">
        <v>30250</v>
      </c>
    </row>
    <row r="86" spans="1:4" x14ac:dyDescent="0.3">
      <c r="A86" s="12" t="s">
        <v>432</v>
      </c>
      <c r="B86" s="22">
        <v>1</v>
      </c>
      <c r="C86" s="22">
        <v>38</v>
      </c>
      <c r="D86" s="22">
        <v>30250</v>
      </c>
    </row>
    <row r="87" spans="1:4" x14ac:dyDescent="0.3">
      <c r="A87" s="10" t="s">
        <v>434</v>
      </c>
      <c r="B87" s="22">
        <v>1</v>
      </c>
      <c r="C87" s="22">
        <v>40</v>
      </c>
      <c r="D87" s="22">
        <v>67066</v>
      </c>
    </row>
    <row r="88" spans="1:4" x14ac:dyDescent="0.3">
      <c r="A88" s="12" t="s">
        <v>435</v>
      </c>
      <c r="B88" s="22">
        <v>1</v>
      </c>
      <c r="C88" s="22">
        <v>40</v>
      </c>
      <c r="D88" s="22">
        <v>67066</v>
      </c>
    </row>
    <row r="89" spans="1:4" x14ac:dyDescent="0.3">
      <c r="A89" s="10" t="s">
        <v>437</v>
      </c>
      <c r="B89" s="22"/>
      <c r="C89" s="22">
        <v>26</v>
      </c>
      <c r="D89" s="22">
        <v>72759</v>
      </c>
    </row>
    <row r="90" spans="1:4" x14ac:dyDescent="0.3">
      <c r="A90" s="12" t="s">
        <v>440</v>
      </c>
      <c r="B90" s="22"/>
      <c r="C90" s="22">
        <v>6</v>
      </c>
      <c r="D90" s="22">
        <v>105560</v>
      </c>
    </row>
    <row r="91" spans="1:4" x14ac:dyDescent="0.3">
      <c r="A91" s="12" t="s">
        <v>438</v>
      </c>
      <c r="B91" s="22"/>
      <c r="C91" s="22">
        <v>20</v>
      </c>
      <c r="D91" s="22">
        <v>-32801</v>
      </c>
    </row>
    <row r="92" spans="1:4" x14ac:dyDescent="0.3">
      <c r="A92" s="10" t="s">
        <v>442</v>
      </c>
      <c r="B92" s="22"/>
      <c r="C92" s="22">
        <v>28</v>
      </c>
      <c r="D92" s="22">
        <v>115561</v>
      </c>
    </row>
    <row r="93" spans="1:4" x14ac:dyDescent="0.3">
      <c r="A93" s="12" t="s">
        <v>445</v>
      </c>
      <c r="B93" s="22"/>
      <c r="C93" s="22">
        <v>8</v>
      </c>
      <c r="D93" s="22">
        <v>167700</v>
      </c>
    </row>
    <row r="94" spans="1:4" x14ac:dyDescent="0.3">
      <c r="A94" s="12" t="s">
        <v>438</v>
      </c>
      <c r="B94" s="22"/>
      <c r="C94" s="22">
        <v>20</v>
      </c>
      <c r="D94" s="22">
        <v>-52139</v>
      </c>
    </row>
    <row r="95" spans="1:4" x14ac:dyDescent="0.3">
      <c r="A95" s="10" t="s">
        <v>453</v>
      </c>
      <c r="B95" s="22">
        <v>28</v>
      </c>
      <c r="C95" s="22">
        <v>1248</v>
      </c>
      <c r="D95" s="22">
        <v>5831493.9199999999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03"/>
  <sheetViews>
    <sheetView topLeftCell="C1" workbookViewId="0">
      <pane ySplit="1" topLeftCell="A99" activePane="bottomLeft" state="frozen"/>
      <selection pane="bottomLeft" activeCell="J99" sqref="J99:J113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7" bestFit="1" customWidth="1"/>
    <col min="4" max="5" width="19" bestFit="1" customWidth="1"/>
    <col min="6" max="6" width="29" bestFit="1" customWidth="1"/>
    <col min="7" max="7" width="14" bestFit="1" customWidth="1"/>
    <col min="8" max="8" width="23" bestFit="1" customWidth="1"/>
    <col min="9" max="9" width="21" customWidth="1"/>
    <col min="10" max="10" width="26" customWidth="1"/>
    <col min="11" max="11" width="11.33203125" customWidth="1"/>
    <col min="12" max="12" width="9.88671875" customWidth="1"/>
    <col min="13" max="13" width="10.88671875" bestFit="1" customWidth="1"/>
    <col min="14" max="14" width="12.77734375" bestFit="1" customWidth="1"/>
    <col min="15" max="15" width="12.21875" bestFit="1" customWidth="1"/>
    <col min="16" max="16" width="12.44140625" customWidth="1"/>
    <col min="17" max="17" width="12.6640625" bestFit="1" customWidth="1"/>
  </cols>
  <sheetData>
    <row r="1" spans="1:17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446</v>
      </c>
      <c r="K1" s="13" t="s">
        <v>455</v>
      </c>
      <c r="L1" s="14" t="s">
        <v>456</v>
      </c>
      <c r="M1" s="15" t="s">
        <v>457</v>
      </c>
      <c r="N1" s="16" t="s">
        <v>458</v>
      </c>
      <c r="O1" s="16" t="s">
        <v>459</v>
      </c>
      <c r="P1" s="17" t="s">
        <v>460</v>
      </c>
      <c r="Q1" s="18" t="s">
        <v>461</v>
      </c>
    </row>
    <row r="2" spans="1:17" hidden="1" outlineLevel="1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45980</v>
      </c>
      <c r="F2" s="4">
        <v>187</v>
      </c>
      <c r="G2" s="3">
        <v>45987</v>
      </c>
      <c r="H2" s="5">
        <v>42.48</v>
      </c>
      <c r="I2" s="2" t="s">
        <v>10</v>
      </c>
      <c r="J2" s="2" t="s">
        <v>447</v>
      </c>
      <c r="N2" s="19">
        <f>G2</f>
        <v>45987</v>
      </c>
      <c r="O2" s="8">
        <f>H2/3.417</f>
        <v>12.431957857769973</v>
      </c>
    </row>
    <row r="3" spans="1:17" hidden="1" outlineLevel="1" x14ac:dyDescent="0.3">
      <c r="A3" s="2" t="s">
        <v>11</v>
      </c>
      <c r="B3" s="2" t="s">
        <v>15</v>
      </c>
      <c r="C3" s="2" t="s">
        <v>16</v>
      </c>
      <c r="D3" s="2" t="s">
        <v>14</v>
      </c>
      <c r="E3" s="3">
        <v>45980</v>
      </c>
      <c r="F3" s="4">
        <v>187</v>
      </c>
      <c r="G3" s="3">
        <v>45987</v>
      </c>
      <c r="H3" s="5">
        <v>14.16</v>
      </c>
      <c r="I3" s="2" t="s">
        <v>10</v>
      </c>
      <c r="J3" s="2" t="s">
        <v>447</v>
      </c>
      <c r="N3" s="19">
        <f t="shared" ref="N3:N18" si="0">G3</f>
        <v>45987</v>
      </c>
      <c r="O3" s="8">
        <f t="shared" ref="O3:O18" si="1">H3/3.417</f>
        <v>4.1439859525899916</v>
      </c>
    </row>
    <row r="4" spans="1:17" hidden="1" outlineLevel="1" x14ac:dyDescent="0.3">
      <c r="A4" s="2" t="s">
        <v>11</v>
      </c>
      <c r="B4" s="2" t="s">
        <v>17</v>
      </c>
      <c r="C4" s="2" t="s">
        <v>18</v>
      </c>
      <c r="D4" s="2" t="s">
        <v>14</v>
      </c>
      <c r="E4" s="3">
        <v>45980</v>
      </c>
      <c r="F4" s="4">
        <v>187</v>
      </c>
      <c r="G4" s="3">
        <v>45987</v>
      </c>
      <c r="H4" s="5">
        <v>14.16</v>
      </c>
      <c r="I4" s="2" t="s">
        <v>10</v>
      </c>
      <c r="J4" s="2" t="s">
        <v>447</v>
      </c>
      <c r="N4" s="19">
        <f t="shared" si="0"/>
        <v>45987</v>
      </c>
      <c r="O4" s="8">
        <f t="shared" si="1"/>
        <v>4.1439859525899916</v>
      </c>
    </row>
    <row r="5" spans="1:17" hidden="1" outlineLevel="1" x14ac:dyDescent="0.3">
      <c r="A5" s="2" t="s">
        <v>11</v>
      </c>
      <c r="B5" s="2" t="s">
        <v>19</v>
      </c>
      <c r="C5" s="2" t="s">
        <v>20</v>
      </c>
      <c r="D5" s="2" t="s">
        <v>14</v>
      </c>
      <c r="E5" s="3">
        <v>45981</v>
      </c>
      <c r="F5" s="4">
        <v>186</v>
      </c>
      <c r="G5" s="3">
        <v>45988</v>
      </c>
      <c r="H5" s="5">
        <v>28.32</v>
      </c>
      <c r="I5" s="2" t="s">
        <v>10</v>
      </c>
      <c r="J5" s="2" t="s">
        <v>447</v>
      </c>
      <c r="N5" s="19">
        <f t="shared" si="0"/>
        <v>45988</v>
      </c>
      <c r="O5" s="8">
        <f t="shared" si="1"/>
        <v>8.2879719051799832</v>
      </c>
    </row>
    <row r="6" spans="1:17" hidden="1" outlineLevel="1" x14ac:dyDescent="0.3">
      <c r="A6" s="2" t="s">
        <v>11</v>
      </c>
      <c r="B6" s="2" t="s">
        <v>21</v>
      </c>
      <c r="C6" s="2" t="s">
        <v>22</v>
      </c>
      <c r="D6" s="2" t="s">
        <v>14</v>
      </c>
      <c r="E6" s="3">
        <v>45981</v>
      </c>
      <c r="F6" s="4">
        <v>186</v>
      </c>
      <c r="G6" s="3">
        <v>45988</v>
      </c>
      <c r="H6" s="5">
        <v>14.16</v>
      </c>
      <c r="I6" s="2" t="s">
        <v>10</v>
      </c>
      <c r="J6" s="2" t="s">
        <v>447</v>
      </c>
      <c r="N6" s="19">
        <f t="shared" si="0"/>
        <v>45988</v>
      </c>
      <c r="O6" s="8">
        <f t="shared" si="1"/>
        <v>4.1439859525899916</v>
      </c>
    </row>
    <row r="7" spans="1:17" hidden="1" outlineLevel="1" x14ac:dyDescent="0.3">
      <c r="A7" s="2" t="s">
        <v>11</v>
      </c>
      <c r="B7" s="2" t="s">
        <v>23</v>
      </c>
      <c r="C7" s="2" t="s">
        <v>24</v>
      </c>
      <c r="D7" s="2" t="s">
        <v>14</v>
      </c>
      <c r="E7" s="3">
        <v>45982</v>
      </c>
      <c r="F7" s="4">
        <v>185</v>
      </c>
      <c r="G7" s="3">
        <v>45989</v>
      </c>
      <c r="H7" s="5">
        <v>28.32</v>
      </c>
      <c r="I7" s="2" t="s">
        <v>10</v>
      </c>
      <c r="J7" s="2" t="s">
        <v>447</v>
      </c>
      <c r="N7" s="19">
        <f t="shared" si="0"/>
        <v>45989</v>
      </c>
      <c r="O7" s="8">
        <f t="shared" si="1"/>
        <v>8.2879719051799832</v>
      </c>
    </row>
    <row r="8" spans="1:17" hidden="1" outlineLevel="1" x14ac:dyDescent="0.3">
      <c r="A8" s="2" t="s">
        <v>11</v>
      </c>
      <c r="B8" s="2" t="s">
        <v>25</v>
      </c>
      <c r="C8" s="2" t="s">
        <v>26</v>
      </c>
      <c r="D8" s="2" t="s">
        <v>14</v>
      </c>
      <c r="E8" s="3">
        <v>45982</v>
      </c>
      <c r="F8" s="4">
        <v>185</v>
      </c>
      <c r="G8" s="3">
        <v>45989</v>
      </c>
      <c r="H8" s="5">
        <v>42.48</v>
      </c>
      <c r="I8" s="2" t="s">
        <v>10</v>
      </c>
      <c r="J8" s="2" t="s">
        <v>447</v>
      </c>
      <c r="N8" s="19">
        <f t="shared" si="0"/>
        <v>45989</v>
      </c>
      <c r="O8" s="8">
        <f t="shared" si="1"/>
        <v>12.431957857769973</v>
      </c>
    </row>
    <row r="9" spans="1:17" hidden="1" outlineLevel="1" x14ac:dyDescent="0.3">
      <c r="A9" s="2" t="s">
        <v>11</v>
      </c>
      <c r="B9" s="2" t="s">
        <v>27</v>
      </c>
      <c r="C9" s="2" t="s">
        <v>28</v>
      </c>
      <c r="D9" s="2" t="s">
        <v>14</v>
      </c>
      <c r="E9" s="3">
        <v>45982</v>
      </c>
      <c r="F9" s="4">
        <v>185</v>
      </c>
      <c r="G9" s="3">
        <v>45989</v>
      </c>
      <c r="H9" s="5">
        <v>42.48</v>
      </c>
      <c r="I9" s="2" t="s">
        <v>10</v>
      </c>
      <c r="J9" s="2" t="s">
        <v>447</v>
      </c>
      <c r="N9" s="19">
        <f t="shared" si="0"/>
        <v>45989</v>
      </c>
      <c r="O9" s="8">
        <f t="shared" si="1"/>
        <v>12.431957857769973</v>
      </c>
    </row>
    <row r="10" spans="1:17" hidden="1" outlineLevel="1" x14ac:dyDescent="0.3">
      <c r="A10" s="2" t="s">
        <v>11</v>
      </c>
      <c r="B10" s="2" t="s">
        <v>29</v>
      </c>
      <c r="C10" s="2" t="s">
        <v>30</v>
      </c>
      <c r="D10" s="2" t="s">
        <v>14</v>
      </c>
      <c r="E10" s="3">
        <v>45982</v>
      </c>
      <c r="F10" s="4">
        <v>185</v>
      </c>
      <c r="G10" s="3">
        <v>45989</v>
      </c>
      <c r="H10" s="5">
        <v>14.16</v>
      </c>
      <c r="I10" s="2" t="s">
        <v>10</v>
      </c>
      <c r="J10" s="2" t="s">
        <v>447</v>
      </c>
      <c r="N10" s="19">
        <f t="shared" si="0"/>
        <v>45989</v>
      </c>
      <c r="O10" s="8">
        <f t="shared" si="1"/>
        <v>4.1439859525899916</v>
      </c>
    </row>
    <row r="11" spans="1:17" hidden="1" outlineLevel="1" x14ac:dyDescent="0.3">
      <c r="A11" s="2" t="s">
        <v>11</v>
      </c>
      <c r="B11" s="2" t="s">
        <v>31</v>
      </c>
      <c r="C11" s="2" t="s">
        <v>32</v>
      </c>
      <c r="D11" s="2" t="s">
        <v>14</v>
      </c>
      <c r="E11" s="3">
        <v>45983</v>
      </c>
      <c r="F11" s="4">
        <v>184</v>
      </c>
      <c r="G11" s="3">
        <v>45990</v>
      </c>
      <c r="H11" s="5">
        <v>28.32</v>
      </c>
      <c r="I11" s="2" t="s">
        <v>10</v>
      </c>
      <c r="J11" s="2" t="s">
        <v>447</v>
      </c>
      <c r="N11" s="19">
        <f t="shared" si="0"/>
        <v>45990</v>
      </c>
      <c r="O11" s="8">
        <f t="shared" si="1"/>
        <v>8.2879719051799832</v>
      </c>
    </row>
    <row r="12" spans="1:17" hidden="1" outlineLevel="1" x14ac:dyDescent="0.3">
      <c r="A12" s="2" t="s">
        <v>11</v>
      </c>
      <c r="B12" s="2" t="s">
        <v>33</v>
      </c>
      <c r="C12" s="2" t="s">
        <v>34</v>
      </c>
      <c r="D12" s="2" t="s">
        <v>14</v>
      </c>
      <c r="E12" s="3">
        <v>45988</v>
      </c>
      <c r="F12" s="4">
        <v>179</v>
      </c>
      <c r="G12" s="3">
        <v>45995</v>
      </c>
      <c r="H12" s="5">
        <v>14.16</v>
      </c>
      <c r="I12" s="2" t="s">
        <v>10</v>
      </c>
      <c r="J12" s="2" t="s">
        <v>447</v>
      </c>
      <c r="N12" s="19">
        <f t="shared" si="0"/>
        <v>45995</v>
      </c>
      <c r="O12" s="8">
        <f t="shared" si="1"/>
        <v>4.1439859525899916</v>
      </c>
    </row>
    <row r="13" spans="1:17" hidden="1" outlineLevel="1" x14ac:dyDescent="0.3">
      <c r="A13" s="2" t="s">
        <v>11</v>
      </c>
      <c r="B13" s="2" t="s">
        <v>35</v>
      </c>
      <c r="C13" s="2" t="s">
        <v>36</v>
      </c>
      <c r="D13" s="2" t="s">
        <v>14</v>
      </c>
      <c r="E13" s="3">
        <v>46028</v>
      </c>
      <c r="F13" s="4">
        <v>139</v>
      </c>
      <c r="G13" s="3">
        <v>46035</v>
      </c>
      <c r="H13" s="5">
        <v>14.16</v>
      </c>
      <c r="I13" s="2" t="s">
        <v>10</v>
      </c>
      <c r="J13" s="2" t="s">
        <v>447</v>
      </c>
      <c r="N13" s="19">
        <f t="shared" si="0"/>
        <v>46035</v>
      </c>
      <c r="O13" s="8">
        <f t="shared" si="1"/>
        <v>4.1439859525899916</v>
      </c>
    </row>
    <row r="14" spans="1:17" hidden="1" outlineLevel="1" x14ac:dyDescent="0.3">
      <c r="A14" s="2" t="s">
        <v>11</v>
      </c>
      <c r="B14" s="2" t="s">
        <v>37</v>
      </c>
      <c r="C14" s="2" t="s">
        <v>38</v>
      </c>
      <c r="D14" s="2" t="s">
        <v>14</v>
      </c>
      <c r="E14" s="3">
        <v>46030</v>
      </c>
      <c r="F14" s="4">
        <v>137</v>
      </c>
      <c r="G14" s="3">
        <v>46037</v>
      </c>
      <c r="H14" s="5">
        <v>14.16</v>
      </c>
      <c r="I14" s="2" t="s">
        <v>10</v>
      </c>
      <c r="J14" s="2" t="s">
        <v>447</v>
      </c>
      <c r="N14" s="19">
        <f t="shared" si="0"/>
        <v>46037</v>
      </c>
      <c r="O14" s="8">
        <f t="shared" si="1"/>
        <v>4.1439859525899916</v>
      </c>
    </row>
    <row r="15" spans="1:17" hidden="1" outlineLevel="1" x14ac:dyDescent="0.3">
      <c r="A15" s="2" t="s">
        <v>11</v>
      </c>
      <c r="B15" s="2" t="s">
        <v>39</v>
      </c>
      <c r="C15" s="2" t="s">
        <v>40</v>
      </c>
      <c r="D15" s="2" t="s">
        <v>14</v>
      </c>
      <c r="E15" s="3">
        <v>46032</v>
      </c>
      <c r="F15" s="4">
        <v>135</v>
      </c>
      <c r="G15" s="3">
        <v>46039</v>
      </c>
      <c r="H15" s="5">
        <v>14.16</v>
      </c>
      <c r="I15" s="2" t="s">
        <v>10</v>
      </c>
      <c r="J15" s="2" t="s">
        <v>447</v>
      </c>
      <c r="N15" s="19">
        <f t="shared" si="0"/>
        <v>46039</v>
      </c>
      <c r="O15" s="8">
        <f t="shared" si="1"/>
        <v>4.1439859525899916</v>
      </c>
    </row>
    <row r="16" spans="1:17" hidden="1" outlineLevel="1" x14ac:dyDescent="0.3">
      <c r="A16" s="2" t="s">
        <v>11</v>
      </c>
      <c r="B16" s="2" t="s">
        <v>41</v>
      </c>
      <c r="C16" s="2" t="s">
        <v>42</v>
      </c>
      <c r="D16" s="2" t="s">
        <v>14</v>
      </c>
      <c r="E16" s="3">
        <v>46038</v>
      </c>
      <c r="F16" s="4">
        <v>129</v>
      </c>
      <c r="G16" s="3">
        <v>46045</v>
      </c>
      <c r="H16" s="5">
        <v>14.16</v>
      </c>
      <c r="I16" s="2" t="s">
        <v>10</v>
      </c>
      <c r="J16" s="2" t="s">
        <v>447</v>
      </c>
      <c r="N16" s="19">
        <f t="shared" si="0"/>
        <v>46045</v>
      </c>
      <c r="O16" s="8">
        <f t="shared" si="1"/>
        <v>4.1439859525899916</v>
      </c>
    </row>
    <row r="17" spans="1:17" hidden="1" outlineLevel="1" x14ac:dyDescent="0.3">
      <c r="A17" s="2" t="s">
        <v>11</v>
      </c>
      <c r="B17" s="2" t="s">
        <v>43</v>
      </c>
      <c r="C17" s="2" t="s">
        <v>44</v>
      </c>
      <c r="D17" s="2" t="s">
        <v>14</v>
      </c>
      <c r="E17" s="3">
        <v>46038</v>
      </c>
      <c r="F17" s="4">
        <v>129</v>
      </c>
      <c r="G17" s="3">
        <v>46045</v>
      </c>
      <c r="H17" s="5">
        <v>14.16</v>
      </c>
      <c r="I17" s="2" t="s">
        <v>10</v>
      </c>
      <c r="J17" s="2" t="s">
        <v>447</v>
      </c>
      <c r="N17" s="19">
        <f t="shared" si="0"/>
        <v>46045</v>
      </c>
      <c r="O17" s="8">
        <f t="shared" si="1"/>
        <v>4.1439859525899916</v>
      </c>
    </row>
    <row r="18" spans="1:17" hidden="1" outlineLevel="1" x14ac:dyDescent="0.3">
      <c r="A18" s="2" t="s">
        <v>11</v>
      </c>
      <c r="B18" s="2" t="s">
        <v>45</v>
      </c>
      <c r="C18" s="2" t="s">
        <v>46</v>
      </c>
      <c r="D18" s="2" t="s">
        <v>14</v>
      </c>
      <c r="E18" s="3">
        <v>46041</v>
      </c>
      <c r="F18" s="4">
        <v>126</v>
      </c>
      <c r="G18" s="3">
        <v>46048</v>
      </c>
      <c r="H18" s="5">
        <v>14.16</v>
      </c>
      <c r="I18" s="2" t="s">
        <v>10</v>
      </c>
      <c r="J18" s="2" t="s">
        <v>447</v>
      </c>
      <c r="N18" s="19">
        <f t="shared" si="0"/>
        <v>46048</v>
      </c>
      <c r="O18" s="8">
        <f t="shared" si="1"/>
        <v>4.1439859525899916</v>
      </c>
    </row>
    <row r="19" spans="1:17" hidden="1" outlineLevel="1" x14ac:dyDescent="0.3">
      <c r="A19" s="2" t="s">
        <v>47</v>
      </c>
      <c r="B19" s="2" t="s">
        <v>48</v>
      </c>
      <c r="C19" s="2" t="s">
        <v>49</v>
      </c>
      <c r="D19" s="2" t="s">
        <v>50</v>
      </c>
      <c r="E19" s="3">
        <v>46157</v>
      </c>
      <c r="F19" s="4">
        <v>0</v>
      </c>
      <c r="G19" s="3">
        <v>46173</v>
      </c>
      <c r="H19" s="6">
        <v>-125250</v>
      </c>
      <c r="I19" s="2" t="s">
        <v>51</v>
      </c>
      <c r="J19" s="2" t="s">
        <v>448</v>
      </c>
      <c r="K19" s="19">
        <f>E19+45</f>
        <v>46202</v>
      </c>
      <c r="L19" s="20"/>
      <c r="M19" s="19"/>
      <c r="N19" s="19">
        <f>G19</f>
        <v>46173</v>
      </c>
      <c r="O19" s="11">
        <f>H19</f>
        <v>-125250</v>
      </c>
      <c r="P19" s="20">
        <f ca="1">TODAY()-E19</f>
        <v>17</v>
      </c>
      <c r="Q19" t="s">
        <v>462</v>
      </c>
    </row>
    <row r="20" spans="1:17" hidden="1" outlineLevel="1" x14ac:dyDescent="0.3">
      <c r="A20" s="2" t="s">
        <v>47</v>
      </c>
      <c r="B20" s="2" t="s">
        <v>52</v>
      </c>
      <c r="C20" s="2" t="s">
        <v>53</v>
      </c>
      <c r="D20" s="2" t="s">
        <v>50</v>
      </c>
      <c r="E20" s="3">
        <v>46161</v>
      </c>
      <c r="F20" s="4">
        <v>0</v>
      </c>
      <c r="G20" s="3">
        <v>46173</v>
      </c>
      <c r="H20" s="6">
        <v>-84210</v>
      </c>
      <c r="I20" s="2" t="s">
        <v>51</v>
      </c>
      <c r="J20" s="2" t="s">
        <v>448</v>
      </c>
      <c r="K20" s="19">
        <f t="shared" ref="K20:K24" si="2">E20+45</f>
        <v>46206</v>
      </c>
      <c r="L20" s="20"/>
      <c r="M20" s="19"/>
      <c r="N20" s="19">
        <f t="shared" ref="N20:N24" si="3">G20</f>
        <v>46173</v>
      </c>
      <c r="O20" s="11">
        <f t="shared" ref="O20:O24" si="4">H20</f>
        <v>-84210</v>
      </c>
      <c r="P20" s="20">
        <f t="shared" ref="P20:P24" ca="1" si="5">TODAY()-E20</f>
        <v>13</v>
      </c>
      <c r="Q20" t="s">
        <v>462</v>
      </c>
    </row>
    <row r="21" spans="1:17" hidden="1" outlineLevel="1" x14ac:dyDescent="0.3">
      <c r="A21" s="2" t="s">
        <v>47</v>
      </c>
      <c r="B21" s="2" t="s">
        <v>54</v>
      </c>
      <c r="C21" s="2" t="s">
        <v>55</v>
      </c>
      <c r="D21" s="2" t="s">
        <v>56</v>
      </c>
      <c r="E21" s="3">
        <v>46164</v>
      </c>
      <c r="F21" s="7">
        <v>-35</v>
      </c>
      <c r="G21" s="3">
        <v>46209</v>
      </c>
      <c r="H21" s="5">
        <v>234900</v>
      </c>
      <c r="I21" s="2" t="s">
        <v>51</v>
      </c>
      <c r="J21" s="2" t="s">
        <v>448</v>
      </c>
      <c r="K21" s="19">
        <f t="shared" si="2"/>
        <v>46209</v>
      </c>
      <c r="L21" s="20"/>
      <c r="M21" s="19"/>
      <c r="N21" s="19">
        <f t="shared" si="3"/>
        <v>46209</v>
      </c>
      <c r="O21" s="11">
        <f t="shared" si="4"/>
        <v>234900</v>
      </c>
      <c r="P21" s="20">
        <f t="shared" ca="1" si="5"/>
        <v>10</v>
      </c>
      <c r="Q21" t="s">
        <v>462</v>
      </c>
    </row>
    <row r="22" spans="1:17" hidden="1" outlineLevel="1" x14ac:dyDescent="0.3">
      <c r="A22" s="2" t="s">
        <v>47</v>
      </c>
      <c r="B22" s="2" t="s">
        <v>57</v>
      </c>
      <c r="C22" s="2" t="s">
        <v>58</v>
      </c>
      <c r="D22" s="2" t="s">
        <v>56</v>
      </c>
      <c r="E22" s="3">
        <v>46168</v>
      </c>
      <c r="F22" s="7">
        <v>-39</v>
      </c>
      <c r="G22" s="3">
        <v>46213</v>
      </c>
      <c r="H22" s="5">
        <v>156600</v>
      </c>
      <c r="I22" s="2" t="s">
        <v>51</v>
      </c>
      <c r="J22" s="2" t="s">
        <v>448</v>
      </c>
      <c r="K22" s="19">
        <f t="shared" si="2"/>
        <v>46213</v>
      </c>
      <c r="L22" s="20"/>
      <c r="M22" s="19"/>
      <c r="N22" s="19">
        <f t="shared" si="3"/>
        <v>46213</v>
      </c>
      <c r="O22" s="11">
        <f t="shared" si="4"/>
        <v>156600</v>
      </c>
      <c r="P22" s="20">
        <f t="shared" ca="1" si="5"/>
        <v>6</v>
      </c>
      <c r="Q22" t="s">
        <v>462</v>
      </c>
    </row>
    <row r="23" spans="1:17" hidden="1" outlineLevel="1" x14ac:dyDescent="0.3">
      <c r="A23" s="2" t="s">
        <v>47</v>
      </c>
      <c r="B23" s="2" t="s">
        <v>59</v>
      </c>
      <c r="C23" s="2" t="s">
        <v>60</v>
      </c>
      <c r="D23" s="2" t="s">
        <v>56</v>
      </c>
      <c r="E23" s="3">
        <v>46171</v>
      </c>
      <c r="F23" s="7">
        <v>-42</v>
      </c>
      <c r="G23" s="3">
        <v>46216</v>
      </c>
      <c r="H23" s="5">
        <v>234900</v>
      </c>
      <c r="I23" s="2" t="s">
        <v>51</v>
      </c>
      <c r="J23" s="2" t="s">
        <v>448</v>
      </c>
      <c r="K23" s="19">
        <f t="shared" si="2"/>
        <v>46216</v>
      </c>
      <c r="L23" s="20"/>
      <c r="M23" s="19"/>
      <c r="N23" s="19">
        <f t="shared" si="3"/>
        <v>46216</v>
      </c>
      <c r="O23" s="11">
        <f t="shared" si="4"/>
        <v>234900</v>
      </c>
      <c r="P23" s="20">
        <f t="shared" ca="1" si="5"/>
        <v>3</v>
      </c>
      <c r="Q23" t="s">
        <v>462</v>
      </c>
    </row>
    <row r="24" spans="1:17" hidden="1" outlineLevel="1" x14ac:dyDescent="0.3">
      <c r="A24" s="2" t="s">
        <v>47</v>
      </c>
      <c r="B24" s="2" t="s">
        <v>61</v>
      </c>
      <c r="C24" s="2" t="s">
        <v>62</v>
      </c>
      <c r="D24" s="2" t="s">
        <v>56</v>
      </c>
      <c r="E24" s="3">
        <v>46171</v>
      </c>
      <c r="F24" s="7">
        <v>-42</v>
      </c>
      <c r="G24" s="3">
        <v>46216</v>
      </c>
      <c r="H24" s="5">
        <v>421200</v>
      </c>
      <c r="I24" s="2" t="s">
        <v>51</v>
      </c>
      <c r="J24" s="2" t="s">
        <v>448</v>
      </c>
      <c r="K24" s="19">
        <f t="shared" si="2"/>
        <v>46216</v>
      </c>
      <c r="L24" s="20"/>
      <c r="M24" s="19"/>
      <c r="N24" s="19">
        <f t="shared" si="3"/>
        <v>46216</v>
      </c>
      <c r="O24" s="11">
        <f t="shared" si="4"/>
        <v>421200</v>
      </c>
      <c r="P24" s="20">
        <f t="shared" ca="1" si="5"/>
        <v>3</v>
      </c>
      <c r="Q24" t="s">
        <v>462</v>
      </c>
    </row>
    <row r="25" spans="1:17" hidden="1" outlineLevel="1" x14ac:dyDescent="0.3">
      <c r="A25" s="2" t="s">
        <v>63</v>
      </c>
      <c r="B25" s="2" t="s">
        <v>64</v>
      </c>
      <c r="C25" s="2" t="s">
        <v>65</v>
      </c>
      <c r="D25" s="2" t="s">
        <v>9</v>
      </c>
      <c r="E25" s="3">
        <v>46159</v>
      </c>
      <c r="F25" s="4">
        <v>8</v>
      </c>
      <c r="G25" s="3">
        <v>46166</v>
      </c>
      <c r="H25" s="5">
        <v>365.8</v>
      </c>
      <c r="I25" s="2" t="s">
        <v>10</v>
      </c>
      <c r="J25" s="2" t="s">
        <v>447</v>
      </c>
      <c r="N25" s="19">
        <f t="shared" ref="N25:N42" si="6">G25</f>
        <v>46166</v>
      </c>
      <c r="O25" s="8">
        <f t="shared" ref="O25:O31" si="7">H25/3.417</f>
        <v>107.05297044190812</v>
      </c>
    </row>
    <row r="26" spans="1:17" hidden="1" outlineLevel="1" x14ac:dyDescent="0.3">
      <c r="A26" s="2" t="s">
        <v>63</v>
      </c>
      <c r="B26" s="2" t="s">
        <v>66</v>
      </c>
      <c r="C26" s="2" t="s">
        <v>67</v>
      </c>
      <c r="D26" s="2" t="s">
        <v>9</v>
      </c>
      <c r="E26" s="3">
        <v>46159</v>
      </c>
      <c r="F26" s="4">
        <v>8</v>
      </c>
      <c r="G26" s="3">
        <v>46166</v>
      </c>
      <c r="H26" s="5">
        <v>47.2</v>
      </c>
      <c r="I26" s="2" t="s">
        <v>10</v>
      </c>
      <c r="J26" s="2" t="s">
        <v>447</v>
      </c>
      <c r="N26" s="19">
        <f t="shared" si="6"/>
        <v>46166</v>
      </c>
      <c r="O26" s="8">
        <f t="shared" si="7"/>
        <v>13.813286508633306</v>
      </c>
    </row>
    <row r="27" spans="1:17" hidden="1" outlineLevel="1" x14ac:dyDescent="0.3">
      <c r="A27" s="2" t="s">
        <v>69</v>
      </c>
      <c r="B27" s="2" t="s">
        <v>70</v>
      </c>
      <c r="C27" s="2" t="s">
        <v>71</v>
      </c>
      <c r="D27" s="2" t="s">
        <v>72</v>
      </c>
      <c r="E27" s="3">
        <v>46139</v>
      </c>
      <c r="F27" s="4">
        <v>0</v>
      </c>
      <c r="G27" s="3">
        <v>46139</v>
      </c>
      <c r="H27" s="6">
        <v>-218.4</v>
      </c>
      <c r="I27" s="2" t="s">
        <v>10</v>
      </c>
      <c r="J27" s="2" t="s">
        <v>447</v>
      </c>
      <c r="N27" s="19">
        <f t="shared" si="6"/>
        <v>46139</v>
      </c>
      <c r="O27" s="8">
        <f t="shared" si="7"/>
        <v>-63.915715539947328</v>
      </c>
    </row>
    <row r="28" spans="1:17" hidden="1" outlineLevel="1" x14ac:dyDescent="0.3">
      <c r="A28" s="2" t="s">
        <v>69</v>
      </c>
      <c r="B28" s="2" t="s">
        <v>73</v>
      </c>
      <c r="C28" s="2" t="s">
        <v>74</v>
      </c>
      <c r="D28" s="2" t="s">
        <v>14</v>
      </c>
      <c r="E28" s="3">
        <v>46163</v>
      </c>
      <c r="F28" s="4">
        <v>4</v>
      </c>
      <c r="G28" s="3">
        <v>46170</v>
      </c>
      <c r="H28" s="5">
        <v>283.2</v>
      </c>
      <c r="I28" s="2" t="s">
        <v>10</v>
      </c>
      <c r="J28" s="2" t="s">
        <v>447</v>
      </c>
      <c r="N28" s="19">
        <f t="shared" si="6"/>
        <v>46170</v>
      </c>
      <c r="O28" s="8">
        <f t="shared" si="7"/>
        <v>82.879719051799825</v>
      </c>
    </row>
    <row r="29" spans="1:17" hidden="1" outlineLevel="1" x14ac:dyDescent="0.3">
      <c r="A29" s="2" t="s">
        <v>69</v>
      </c>
      <c r="B29" s="2" t="s">
        <v>75</v>
      </c>
      <c r="C29" s="2" t="s">
        <v>76</v>
      </c>
      <c r="D29" s="2" t="s">
        <v>14</v>
      </c>
      <c r="E29" s="3">
        <v>46168</v>
      </c>
      <c r="F29" s="7">
        <v>-1</v>
      </c>
      <c r="G29" s="3">
        <v>46175</v>
      </c>
      <c r="H29" s="5">
        <v>283.2</v>
      </c>
      <c r="I29" s="2" t="s">
        <v>10</v>
      </c>
      <c r="J29" s="2" t="s">
        <v>447</v>
      </c>
      <c r="N29" s="19">
        <f t="shared" si="6"/>
        <v>46175</v>
      </c>
      <c r="O29" s="8">
        <f t="shared" si="7"/>
        <v>82.879719051799825</v>
      </c>
    </row>
    <row r="30" spans="1:17" hidden="1" outlineLevel="1" x14ac:dyDescent="0.3">
      <c r="A30" s="2" t="s">
        <v>77</v>
      </c>
      <c r="B30" s="2" t="s">
        <v>78</v>
      </c>
      <c r="C30" s="2" t="s">
        <v>79</v>
      </c>
      <c r="D30" s="2" t="s">
        <v>14</v>
      </c>
      <c r="E30" s="3">
        <v>46170</v>
      </c>
      <c r="F30" s="7">
        <v>-3</v>
      </c>
      <c r="G30" s="3">
        <v>46177</v>
      </c>
      <c r="H30" s="5">
        <v>211.69</v>
      </c>
      <c r="I30" s="2" t="s">
        <v>10</v>
      </c>
      <c r="J30" s="2" t="s">
        <v>447</v>
      </c>
      <c r="N30" s="19">
        <f t="shared" si="6"/>
        <v>46177</v>
      </c>
      <c r="O30" s="8">
        <f t="shared" si="7"/>
        <v>61.952004682470005</v>
      </c>
    </row>
    <row r="31" spans="1:17" hidden="1" outlineLevel="1" x14ac:dyDescent="0.3">
      <c r="A31" s="2" t="s">
        <v>77</v>
      </c>
      <c r="B31" s="2" t="s">
        <v>80</v>
      </c>
      <c r="C31" s="2" t="s">
        <v>81</v>
      </c>
      <c r="D31" s="2" t="s">
        <v>14</v>
      </c>
      <c r="E31" s="3">
        <v>46170</v>
      </c>
      <c r="F31" s="7">
        <v>-3</v>
      </c>
      <c r="G31" s="3">
        <v>46177</v>
      </c>
      <c r="H31" s="5">
        <v>35.4</v>
      </c>
      <c r="I31" s="2" t="s">
        <v>10</v>
      </c>
      <c r="J31" s="2" t="s">
        <v>447</v>
      </c>
      <c r="N31" s="19">
        <f t="shared" si="6"/>
        <v>46177</v>
      </c>
      <c r="O31" s="8">
        <f t="shared" si="7"/>
        <v>10.359964881474978</v>
      </c>
    </row>
    <row r="32" spans="1:17" hidden="1" outlineLevel="1" x14ac:dyDescent="0.3">
      <c r="A32" s="2" t="s">
        <v>82</v>
      </c>
      <c r="B32" s="2" t="s">
        <v>83</v>
      </c>
      <c r="C32" s="2" t="s">
        <v>84</v>
      </c>
      <c r="D32" s="2" t="s">
        <v>56</v>
      </c>
      <c r="E32" s="3">
        <v>46159</v>
      </c>
      <c r="F32" s="7">
        <v>-30</v>
      </c>
      <c r="G32" s="3">
        <v>46204</v>
      </c>
      <c r="H32" s="5">
        <v>28150</v>
      </c>
      <c r="I32" s="2" t="s">
        <v>51</v>
      </c>
      <c r="J32" s="2" t="s">
        <v>448</v>
      </c>
      <c r="K32" s="19">
        <f t="shared" ref="K32:K42" si="8">E32+45</f>
        <v>46204</v>
      </c>
      <c r="L32" s="20">
        <f t="shared" ref="L32:L42" ca="1" si="9">TODAY()-M32</f>
        <v>-30</v>
      </c>
      <c r="M32" s="19">
        <v>46204</v>
      </c>
      <c r="N32" s="19">
        <f t="shared" si="6"/>
        <v>46204</v>
      </c>
      <c r="O32" s="11">
        <f t="shared" ref="O32:O42" si="10">H32</f>
        <v>28150</v>
      </c>
      <c r="P32" s="20">
        <f t="shared" ref="P32:P42" ca="1" si="11">TODAY()-E32</f>
        <v>15</v>
      </c>
      <c r="Q32" t="s">
        <v>462</v>
      </c>
    </row>
    <row r="33" spans="1:17" hidden="1" outlineLevel="1" x14ac:dyDescent="0.3">
      <c r="A33" s="2" t="s">
        <v>82</v>
      </c>
      <c r="B33" s="2" t="s">
        <v>85</v>
      </c>
      <c r="C33" s="2" t="s">
        <v>86</v>
      </c>
      <c r="D33" s="2" t="s">
        <v>72</v>
      </c>
      <c r="E33" s="3">
        <v>46159</v>
      </c>
      <c r="F33" s="4">
        <v>15</v>
      </c>
      <c r="G33" s="3">
        <v>46159</v>
      </c>
      <c r="H33" s="5">
        <v>6821</v>
      </c>
      <c r="I33" s="2" t="s">
        <v>51</v>
      </c>
      <c r="J33" s="2" t="s">
        <v>448</v>
      </c>
      <c r="K33" s="19">
        <f t="shared" si="8"/>
        <v>46204</v>
      </c>
      <c r="L33" s="20">
        <f t="shared" ca="1" si="9"/>
        <v>-30</v>
      </c>
      <c r="M33" s="19">
        <v>46204</v>
      </c>
      <c r="N33" s="19">
        <v>46204</v>
      </c>
      <c r="O33" s="11">
        <f t="shared" si="10"/>
        <v>6821</v>
      </c>
      <c r="P33" s="20">
        <f t="shared" ca="1" si="11"/>
        <v>15</v>
      </c>
      <c r="Q33" t="s">
        <v>462</v>
      </c>
    </row>
    <row r="34" spans="1:17" hidden="1" outlineLevel="1" x14ac:dyDescent="0.3">
      <c r="A34" s="2" t="s">
        <v>87</v>
      </c>
      <c r="B34" s="2" t="s">
        <v>88</v>
      </c>
      <c r="C34" s="2" t="s">
        <v>464</v>
      </c>
      <c r="D34" s="2" t="s">
        <v>72</v>
      </c>
      <c r="E34" s="3">
        <v>46139</v>
      </c>
      <c r="F34" s="7">
        <v>-10</v>
      </c>
      <c r="G34" s="3">
        <v>46184</v>
      </c>
      <c r="H34" s="5">
        <v>311070</v>
      </c>
      <c r="I34" s="2" t="s">
        <v>51</v>
      </c>
      <c r="J34" s="2" t="s">
        <v>448</v>
      </c>
      <c r="K34" s="19">
        <f t="shared" si="8"/>
        <v>46184</v>
      </c>
      <c r="L34" s="20">
        <f t="shared" ca="1" si="9"/>
        <v>-10</v>
      </c>
      <c r="M34" s="19">
        <v>46184</v>
      </c>
      <c r="N34" s="19">
        <f t="shared" si="6"/>
        <v>46184</v>
      </c>
      <c r="O34" s="11">
        <f t="shared" si="10"/>
        <v>311070</v>
      </c>
      <c r="P34" s="20">
        <f t="shared" ca="1" si="11"/>
        <v>35</v>
      </c>
      <c r="Q34" t="s">
        <v>462</v>
      </c>
    </row>
    <row r="35" spans="1:17" hidden="1" outlineLevel="1" x14ac:dyDescent="0.3">
      <c r="A35" s="2" t="s">
        <v>89</v>
      </c>
      <c r="B35" s="2" t="s">
        <v>90</v>
      </c>
      <c r="C35" s="2" t="s">
        <v>91</v>
      </c>
      <c r="D35" s="2" t="s">
        <v>50</v>
      </c>
      <c r="E35" s="3">
        <v>46127</v>
      </c>
      <c r="F35" s="4">
        <v>0</v>
      </c>
      <c r="G35" s="3">
        <v>46142</v>
      </c>
      <c r="H35" s="6">
        <v>-16145</v>
      </c>
      <c r="I35" s="2" t="s">
        <v>51</v>
      </c>
      <c r="J35" s="2" t="s">
        <v>448</v>
      </c>
      <c r="K35" s="19">
        <f t="shared" si="8"/>
        <v>46172</v>
      </c>
      <c r="L35" s="20"/>
      <c r="M35" s="19"/>
      <c r="N35" s="19">
        <f t="shared" si="6"/>
        <v>46142</v>
      </c>
      <c r="O35" s="11">
        <f t="shared" si="10"/>
        <v>-16145</v>
      </c>
      <c r="P35" s="20">
        <f t="shared" ca="1" si="11"/>
        <v>47</v>
      </c>
      <c r="Q35" t="s">
        <v>462</v>
      </c>
    </row>
    <row r="36" spans="1:17" hidden="1" outlineLevel="1" x14ac:dyDescent="0.3">
      <c r="A36" s="2" t="s">
        <v>89</v>
      </c>
      <c r="B36" s="2" t="s">
        <v>92</v>
      </c>
      <c r="C36" s="2" t="s">
        <v>93</v>
      </c>
      <c r="D36" s="2" t="s">
        <v>56</v>
      </c>
      <c r="E36" s="3">
        <v>46158</v>
      </c>
      <c r="F36" s="7">
        <v>-29</v>
      </c>
      <c r="G36" s="3">
        <v>46203</v>
      </c>
      <c r="H36" s="5">
        <v>54080</v>
      </c>
      <c r="I36" s="2" t="s">
        <v>51</v>
      </c>
      <c r="J36" s="2" t="s">
        <v>448</v>
      </c>
      <c r="K36" s="19">
        <f t="shared" si="8"/>
        <v>46203</v>
      </c>
      <c r="L36" s="20">
        <f t="shared" ca="1" si="9"/>
        <v>-29</v>
      </c>
      <c r="M36" s="19">
        <v>46203</v>
      </c>
      <c r="N36" s="19">
        <f t="shared" si="6"/>
        <v>46203</v>
      </c>
      <c r="O36" s="11">
        <f t="shared" si="10"/>
        <v>54080</v>
      </c>
      <c r="P36" s="20">
        <f t="shared" ca="1" si="11"/>
        <v>16</v>
      </c>
      <c r="Q36" t="s">
        <v>462</v>
      </c>
    </row>
    <row r="37" spans="1:17" hidden="1" outlineLevel="1" x14ac:dyDescent="0.3">
      <c r="A37" s="2" t="s">
        <v>94</v>
      </c>
      <c r="B37" s="2" t="s">
        <v>96</v>
      </c>
      <c r="C37" s="2" t="s">
        <v>97</v>
      </c>
      <c r="D37" s="2" t="s">
        <v>72</v>
      </c>
      <c r="E37" s="3">
        <v>46124</v>
      </c>
      <c r="F37" s="4">
        <v>50</v>
      </c>
      <c r="G37" s="3">
        <v>46124</v>
      </c>
      <c r="H37" s="5">
        <v>16355.92</v>
      </c>
      <c r="I37" s="2" t="s">
        <v>51</v>
      </c>
      <c r="J37" s="2" t="s">
        <v>448</v>
      </c>
      <c r="K37" s="19">
        <f t="shared" si="8"/>
        <v>46169</v>
      </c>
      <c r="L37" s="20">
        <f t="shared" ca="1" si="9"/>
        <v>5</v>
      </c>
      <c r="M37" s="19">
        <v>46169</v>
      </c>
      <c r="N37" s="19">
        <v>46188</v>
      </c>
      <c r="O37" s="11">
        <f t="shared" si="10"/>
        <v>16355.92</v>
      </c>
      <c r="P37" s="20">
        <f t="shared" ca="1" si="11"/>
        <v>50</v>
      </c>
      <c r="Q37" t="s">
        <v>462</v>
      </c>
    </row>
    <row r="38" spans="1:17" hidden="1" outlineLevel="1" x14ac:dyDescent="0.3">
      <c r="A38" s="2" t="s">
        <v>94</v>
      </c>
      <c r="B38" s="2" t="s">
        <v>98</v>
      </c>
      <c r="C38" s="2" t="s">
        <v>99</v>
      </c>
      <c r="D38" s="2" t="s">
        <v>56</v>
      </c>
      <c r="E38" s="3">
        <v>46164</v>
      </c>
      <c r="F38" s="7">
        <v>-35</v>
      </c>
      <c r="G38" s="3">
        <v>46209</v>
      </c>
      <c r="H38" s="5">
        <v>60536</v>
      </c>
      <c r="I38" s="2" t="s">
        <v>51</v>
      </c>
      <c r="J38" s="2" t="s">
        <v>448</v>
      </c>
      <c r="K38" s="19">
        <f t="shared" si="8"/>
        <v>46209</v>
      </c>
      <c r="L38" s="20"/>
      <c r="M38" s="19"/>
      <c r="N38" s="19">
        <f t="shared" si="6"/>
        <v>46209</v>
      </c>
      <c r="O38" s="11">
        <f t="shared" si="10"/>
        <v>60536</v>
      </c>
      <c r="P38" s="20">
        <f t="shared" ca="1" si="11"/>
        <v>10</v>
      </c>
      <c r="Q38" t="s">
        <v>462</v>
      </c>
    </row>
    <row r="39" spans="1:17" hidden="1" outlineLevel="1" x14ac:dyDescent="0.3">
      <c r="A39" s="2" t="s">
        <v>94</v>
      </c>
      <c r="B39" s="2" t="s">
        <v>100</v>
      </c>
      <c r="C39" s="2" t="s">
        <v>101</v>
      </c>
      <c r="D39" s="2" t="s">
        <v>56</v>
      </c>
      <c r="E39" s="3">
        <v>46168</v>
      </c>
      <c r="F39" s="7">
        <v>-39</v>
      </c>
      <c r="G39" s="3">
        <v>46213</v>
      </c>
      <c r="H39" s="5">
        <v>74100</v>
      </c>
      <c r="I39" s="2" t="s">
        <v>51</v>
      </c>
      <c r="J39" s="2" t="s">
        <v>448</v>
      </c>
      <c r="K39" s="19">
        <f t="shared" si="8"/>
        <v>46213</v>
      </c>
      <c r="L39" s="20"/>
      <c r="M39" s="19"/>
      <c r="N39" s="19">
        <f t="shared" si="6"/>
        <v>46213</v>
      </c>
      <c r="O39" s="11">
        <f t="shared" si="10"/>
        <v>74100</v>
      </c>
      <c r="P39" s="20">
        <f t="shared" ca="1" si="11"/>
        <v>6</v>
      </c>
      <c r="Q39" t="s">
        <v>462</v>
      </c>
    </row>
    <row r="40" spans="1:17" hidden="1" outlineLevel="1" x14ac:dyDescent="0.3">
      <c r="A40" s="2" t="s">
        <v>102</v>
      </c>
      <c r="B40" s="2" t="s">
        <v>103</v>
      </c>
      <c r="C40" s="2" t="s">
        <v>104</v>
      </c>
      <c r="D40" s="2" t="s">
        <v>72</v>
      </c>
      <c r="E40" s="3">
        <v>46139</v>
      </c>
      <c r="F40" s="4">
        <v>35</v>
      </c>
      <c r="G40" s="3">
        <v>46139</v>
      </c>
      <c r="H40" s="5">
        <v>19830</v>
      </c>
      <c r="I40" s="2" t="s">
        <v>51</v>
      </c>
      <c r="J40" s="2" t="s">
        <v>448</v>
      </c>
      <c r="K40" s="19">
        <f t="shared" si="8"/>
        <v>46184</v>
      </c>
      <c r="L40" s="20">
        <f t="shared" ca="1" si="9"/>
        <v>-10</v>
      </c>
      <c r="M40" s="19">
        <v>46184</v>
      </c>
      <c r="N40" s="19">
        <v>46184</v>
      </c>
      <c r="O40" s="11">
        <f t="shared" si="10"/>
        <v>19830</v>
      </c>
      <c r="P40" s="20">
        <f t="shared" ca="1" si="11"/>
        <v>35</v>
      </c>
      <c r="Q40" t="s">
        <v>462</v>
      </c>
    </row>
    <row r="41" spans="1:17" hidden="1" outlineLevel="1" x14ac:dyDescent="0.3">
      <c r="A41" s="2" t="s">
        <v>102</v>
      </c>
      <c r="B41" s="2" t="s">
        <v>105</v>
      </c>
      <c r="C41" s="2" t="s">
        <v>106</v>
      </c>
      <c r="D41" s="2" t="s">
        <v>72</v>
      </c>
      <c r="E41" s="3">
        <v>46141</v>
      </c>
      <c r="F41" s="4">
        <v>33</v>
      </c>
      <c r="G41" s="3">
        <v>46141</v>
      </c>
      <c r="H41" s="5">
        <v>36040</v>
      </c>
      <c r="I41" s="2" t="s">
        <v>51</v>
      </c>
      <c r="J41" s="2" t="s">
        <v>448</v>
      </c>
      <c r="K41" s="19">
        <f t="shared" si="8"/>
        <v>46186</v>
      </c>
      <c r="L41" s="20">
        <f t="shared" ca="1" si="9"/>
        <v>-12</v>
      </c>
      <c r="M41" s="19">
        <v>46186</v>
      </c>
      <c r="N41" s="19">
        <v>46186</v>
      </c>
      <c r="O41" s="11">
        <f t="shared" si="10"/>
        <v>36040</v>
      </c>
      <c r="P41" s="20">
        <f t="shared" ca="1" si="11"/>
        <v>33</v>
      </c>
      <c r="Q41" t="s">
        <v>462</v>
      </c>
    </row>
    <row r="42" spans="1:17" hidden="1" outlineLevel="1" x14ac:dyDescent="0.3">
      <c r="A42" s="2" t="s">
        <v>102</v>
      </c>
      <c r="B42" s="2" t="s">
        <v>107</v>
      </c>
      <c r="C42" s="2" t="s">
        <v>108</v>
      </c>
      <c r="D42" s="2" t="s">
        <v>56</v>
      </c>
      <c r="E42" s="3">
        <v>46159</v>
      </c>
      <c r="F42" s="7">
        <v>-30</v>
      </c>
      <c r="G42" s="3">
        <v>46204</v>
      </c>
      <c r="H42" s="5">
        <v>53812.5</v>
      </c>
      <c r="I42" s="2" t="s">
        <v>51</v>
      </c>
      <c r="J42" s="2" t="s">
        <v>448</v>
      </c>
      <c r="K42" s="19">
        <f t="shared" si="8"/>
        <v>46204</v>
      </c>
      <c r="L42" s="20">
        <f t="shared" ca="1" si="9"/>
        <v>-30</v>
      </c>
      <c r="M42" s="19">
        <v>46204</v>
      </c>
      <c r="N42" s="19">
        <f t="shared" si="6"/>
        <v>46204</v>
      </c>
      <c r="O42" s="11">
        <f t="shared" si="10"/>
        <v>53812.5</v>
      </c>
      <c r="P42" s="20">
        <f t="shared" ca="1" si="11"/>
        <v>15</v>
      </c>
      <c r="Q42" t="s">
        <v>462</v>
      </c>
    </row>
    <row r="43" spans="1:17" hidden="1" outlineLevel="1" x14ac:dyDescent="0.3">
      <c r="A43" s="2" t="s">
        <v>109</v>
      </c>
      <c r="B43" s="2" t="s">
        <v>110</v>
      </c>
      <c r="C43" s="2" t="s">
        <v>111</v>
      </c>
      <c r="D43" s="2" t="s">
        <v>14</v>
      </c>
      <c r="E43" s="3">
        <v>46148</v>
      </c>
      <c r="F43" s="4">
        <v>19</v>
      </c>
      <c r="G43" s="3">
        <v>46155</v>
      </c>
      <c r="H43" s="5">
        <v>301.37</v>
      </c>
      <c r="I43" s="2" t="s">
        <v>10</v>
      </c>
      <c r="J43" s="2" t="s">
        <v>447</v>
      </c>
      <c r="M43" s="19"/>
      <c r="N43" s="19">
        <f t="shared" ref="N43:N108" si="12">G43</f>
        <v>46155</v>
      </c>
      <c r="O43" s="8">
        <f t="shared" ref="O43:O94" si="13">H43/3.417</f>
        <v>88.197249048873289</v>
      </c>
    </row>
    <row r="44" spans="1:17" hidden="1" outlineLevel="1" x14ac:dyDescent="0.3">
      <c r="A44" s="2" t="s">
        <v>109</v>
      </c>
      <c r="B44" s="2" t="s">
        <v>112</v>
      </c>
      <c r="C44" s="2" t="s">
        <v>113</v>
      </c>
      <c r="D44" s="2" t="s">
        <v>14</v>
      </c>
      <c r="E44" s="3">
        <v>46148</v>
      </c>
      <c r="F44" s="4">
        <v>19</v>
      </c>
      <c r="G44" s="3">
        <v>46155</v>
      </c>
      <c r="H44" s="5">
        <v>47.2</v>
      </c>
      <c r="I44" s="2" t="s">
        <v>10</v>
      </c>
      <c r="J44" s="2" t="s">
        <v>447</v>
      </c>
      <c r="M44" s="19"/>
      <c r="N44" s="19">
        <f t="shared" si="12"/>
        <v>46155</v>
      </c>
      <c r="O44" s="8">
        <f t="shared" si="13"/>
        <v>13.813286508633306</v>
      </c>
    </row>
    <row r="45" spans="1:17" hidden="1" outlineLevel="1" x14ac:dyDescent="0.3">
      <c r="A45" s="2" t="s">
        <v>109</v>
      </c>
      <c r="B45" s="2" t="s">
        <v>114</v>
      </c>
      <c r="C45" s="2" t="s">
        <v>115</v>
      </c>
      <c r="D45" s="2" t="s">
        <v>14</v>
      </c>
      <c r="E45" s="3">
        <v>46148</v>
      </c>
      <c r="F45" s="4">
        <v>19</v>
      </c>
      <c r="G45" s="3">
        <v>46155</v>
      </c>
      <c r="H45" s="5">
        <v>70.8</v>
      </c>
      <c r="I45" s="2" t="s">
        <v>10</v>
      </c>
      <c r="J45" s="2" t="s">
        <v>447</v>
      </c>
      <c r="M45" s="19"/>
      <c r="N45" s="19">
        <f t="shared" si="12"/>
        <v>46155</v>
      </c>
      <c r="O45" s="8">
        <f t="shared" si="13"/>
        <v>20.719929762949956</v>
      </c>
    </row>
    <row r="46" spans="1:17" hidden="1" outlineLevel="1" x14ac:dyDescent="0.3">
      <c r="A46" s="2" t="s">
        <v>109</v>
      </c>
      <c r="B46" s="2" t="s">
        <v>116</v>
      </c>
      <c r="C46" s="2" t="s">
        <v>117</v>
      </c>
      <c r="D46" s="2" t="s">
        <v>14</v>
      </c>
      <c r="E46" s="3">
        <v>46148</v>
      </c>
      <c r="F46" s="4">
        <v>19</v>
      </c>
      <c r="G46" s="3">
        <v>46155</v>
      </c>
      <c r="H46" s="5">
        <v>318.83999999999997</v>
      </c>
      <c r="I46" s="2" t="s">
        <v>10</v>
      </c>
      <c r="J46" s="2" t="s">
        <v>447</v>
      </c>
      <c r="M46" s="19"/>
      <c r="N46" s="19">
        <f t="shared" si="12"/>
        <v>46155</v>
      </c>
      <c r="O46" s="8">
        <f t="shared" si="13"/>
        <v>93.309920983318705</v>
      </c>
    </row>
    <row r="47" spans="1:17" hidden="1" outlineLevel="1" x14ac:dyDescent="0.3">
      <c r="A47" s="2" t="s">
        <v>109</v>
      </c>
      <c r="B47" s="2" t="s">
        <v>118</v>
      </c>
      <c r="C47" s="2" t="s">
        <v>119</v>
      </c>
      <c r="D47" s="2" t="s">
        <v>14</v>
      </c>
      <c r="E47" s="3">
        <v>46148</v>
      </c>
      <c r="F47" s="4">
        <v>19</v>
      </c>
      <c r="G47" s="3">
        <v>46155</v>
      </c>
      <c r="H47" s="5">
        <v>321.14999999999998</v>
      </c>
      <c r="I47" s="2" t="s">
        <v>10</v>
      </c>
      <c r="J47" s="2" t="s">
        <v>447</v>
      </c>
      <c r="M47" s="19"/>
      <c r="N47" s="19">
        <f t="shared" si="12"/>
        <v>46155</v>
      </c>
      <c r="O47" s="8">
        <f t="shared" si="13"/>
        <v>93.985952589991214</v>
      </c>
    </row>
    <row r="48" spans="1:17" hidden="1" outlineLevel="1" x14ac:dyDescent="0.3">
      <c r="A48" s="2" t="s">
        <v>109</v>
      </c>
      <c r="B48" s="2" t="s">
        <v>120</v>
      </c>
      <c r="C48" s="2" t="s">
        <v>121</v>
      </c>
      <c r="D48" s="2" t="s">
        <v>14</v>
      </c>
      <c r="E48" s="3">
        <v>46148</v>
      </c>
      <c r="F48" s="4">
        <v>19</v>
      </c>
      <c r="G48" s="3">
        <v>46155</v>
      </c>
      <c r="H48" s="5">
        <v>135.69999999999999</v>
      </c>
      <c r="I48" s="2" t="s">
        <v>10</v>
      </c>
      <c r="J48" s="2" t="s">
        <v>447</v>
      </c>
      <c r="M48" s="19"/>
      <c r="N48" s="19">
        <f t="shared" si="12"/>
        <v>46155</v>
      </c>
      <c r="O48" s="8">
        <f t="shared" si="13"/>
        <v>39.713198712320747</v>
      </c>
    </row>
    <row r="49" spans="1:15" hidden="1" outlineLevel="1" x14ac:dyDescent="0.3">
      <c r="A49" s="2" t="s">
        <v>109</v>
      </c>
      <c r="B49" s="2" t="s">
        <v>122</v>
      </c>
      <c r="C49" s="2" t="s">
        <v>123</v>
      </c>
      <c r="D49" s="2" t="s">
        <v>14</v>
      </c>
      <c r="E49" s="3">
        <v>46149</v>
      </c>
      <c r="F49" s="4">
        <v>18</v>
      </c>
      <c r="G49" s="3">
        <v>46156</v>
      </c>
      <c r="H49" s="5">
        <v>70.8</v>
      </c>
      <c r="I49" s="2" t="s">
        <v>10</v>
      </c>
      <c r="J49" s="2" t="s">
        <v>447</v>
      </c>
      <c r="M49" s="19"/>
      <c r="N49" s="19">
        <f t="shared" si="12"/>
        <v>46156</v>
      </c>
      <c r="O49" s="8">
        <f t="shared" si="13"/>
        <v>20.719929762949956</v>
      </c>
    </row>
    <row r="50" spans="1:15" hidden="1" outlineLevel="1" x14ac:dyDescent="0.3">
      <c r="A50" s="2" t="s">
        <v>109</v>
      </c>
      <c r="B50" s="2" t="s">
        <v>124</v>
      </c>
      <c r="C50" s="2" t="s">
        <v>125</v>
      </c>
      <c r="D50" s="2" t="s">
        <v>14</v>
      </c>
      <c r="E50" s="3">
        <v>46149</v>
      </c>
      <c r="F50" s="4">
        <v>18</v>
      </c>
      <c r="G50" s="3">
        <v>46156</v>
      </c>
      <c r="H50" s="5">
        <v>256.52999999999997</v>
      </c>
      <c r="I50" s="2" t="s">
        <v>10</v>
      </c>
      <c r="J50" s="2" t="s">
        <v>447</v>
      </c>
      <c r="M50" s="19"/>
      <c r="N50" s="19">
        <f t="shared" si="12"/>
        <v>46156</v>
      </c>
      <c r="O50" s="8">
        <f t="shared" si="13"/>
        <v>75.074626865671632</v>
      </c>
    </row>
    <row r="51" spans="1:15" hidden="1" outlineLevel="1" x14ac:dyDescent="0.3">
      <c r="A51" s="2" t="s">
        <v>109</v>
      </c>
      <c r="B51" s="2" t="s">
        <v>126</v>
      </c>
      <c r="C51" s="2" t="s">
        <v>127</v>
      </c>
      <c r="D51" s="2" t="s">
        <v>14</v>
      </c>
      <c r="E51" s="3">
        <v>46150</v>
      </c>
      <c r="F51" s="4">
        <v>17</v>
      </c>
      <c r="G51" s="3">
        <v>46157</v>
      </c>
      <c r="H51" s="5">
        <v>258.37</v>
      </c>
      <c r="I51" s="2" t="s">
        <v>10</v>
      </c>
      <c r="J51" s="2" t="s">
        <v>447</v>
      </c>
      <c r="M51" s="19"/>
      <c r="N51" s="19">
        <f t="shared" si="12"/>
        <v>46157</v>
      </c>
      <c r="O51" s="8">
        <f t="shared" si="13"/>
        <v>75.613110916008196</v>
      </c>
    </row>
    <row r="52" spans="1:15" hidden="1" outlineLevel="1" x14ac:dyDescent="0.3">
      <c r="A52" s="2" t="s">
        <v>109</v>
      </c>
      <c r="B52" s="2" t="s">
        <v>128</v>
      </c>
      <c r="C52" s="2" t="s">
        <v>129</v>
      </c>
      <c r="D52" s="2" t="s">
        <v>14</v>
      </c>
      <c r="E52" s="3">
        <v>46150</v>
      </c>
      <c r="F52" s="4">
        <v>17</v>
      </c>
      <c r="G52" s="3">
        <v>46157</v>
      </c>
      <c r="H52" s="5">
        <v>135.69999999999999</v>
      </c>
      <c r="I52" s="2" t="s">
        <v>10</v>
      </c>
      <c r="J52" s="2" t="s">
        <v>447</v>
      </c>
      <c r="M52" s="19"/>
      <c r="N52" s="19">
        <f t="shared" si="12"/>
        <v>46157</v>
      </c>
      <c r="O52" s="8">
        <f t="shared" si="13"/>
        <v>39.713198712320747</v>
      </c>
    </row>
    <row r="53" spans="1:15" hidden="1" outlineLevel="1" x14ac:dyDescent="0.3">
      <c r="A53" s="2" t="s">
        <v>109</v>
      </c>
      <c r="B53" s="2" t="s">
        <v>130</v>
      </c>
      <c r="C53" s="2" t="s">
        <v>131</v>
      </c>
      <c r="D53" s="2" t="s">
        <v>14</v>
      </c>
      <c r="E53" s="3">
        <v>46153</v>
      </c>
      <c r="F53" s="4">
        <v>14</v>
      </c>
      <c r="G53" s="3">
        <v>46160</v>
      </c>
      <c r="H53" s="5">
        <v>185.5</v>
      </c>
      <c r="I53" s="2" t="s">
        <v>10</v>
      </c>
      <c r="J53" s="2" t="s">
        <v>447</v>
      </c>
      <c r="M53" s="19"/>
      <c r="N53" s="19">
        <f t="shared" si="12"/>
        <v>46160</v>
      </c>
      <c r="O53" s="8">
        <f t="shared" si="13"/>
        <v>54.28738659642962</v>
      </c>
    </row>
    <row r="54" spans="1:15" hidden="1" outlineLevel="1" x14ac:dyDescent="0.3">
      <c r="A54" s="2" t="s">
        <v>109</v>
      </c>
      <c r="B54" s="2" t="s">
        <v>132</v>
      </c>
      <c r="C54" s="2" t="s">
        <v>133</v>
      </c>
      <c r="D54" s="2" t="s">
        <v>14</v>
      </c>
      <c r="E54" s="3">
        <v>46153</v>
      </c>
      <c r="F54" s="4">
        <v>14</v>
      </c>
      <c r="G54" s="3">
        <v>46160</v>
      </c>
      <c r="H54" s="5">
        <v>47.2</v>
      </c>
      <c r="I54" s="2" t="s">
        <v>10</v>
      </c>
      <c r="J54" s="2" t="s">
        <v>447</v>
      </c>
      <c r="M54" s="19"/>
      <c r="N54" s="19">
        <f t="shared" si="12"/>
        <v>46160</v>
      </c>
      <c r="O54" s="8">
        <f t="shared" si="13"/>
        <v>13.813286508633306</v>
      </c>
    </row>
    <row r="55" spans="1:15" hidden="1" outlineLevel="1" x14ac:dyDescent="0.3">
      <c r="A55" s="2" t="s">
        <v>109</v>
      </c>
      <c r="B55" s="2" t="s">
        <v>134</v>
      </c>
      <c r="C55" s="2" t="s">
        <v>135</v>
      </c>
      <c r="D55" s="2" t="s">
        <v>14</v>
      </c>
      <c r="E55" s="3">
        <v>46154</v>
      </c>
      <c r="F55" s="4">
        <v>13</v>
      </c>
      <c r="G55" s="3">
        <v>46161</v>
      </c>
      <c r="H55" s="5">
        <v>1310.74</v>
      </c>
      <c r="I55" s="2" t="s">
        <v>10</v>
      </c>
      <c r="J55" s="2" t="s">
        <v>447</v>
      </c>
      <c r="M55" s="19"/>
      <c r="N55" s="19">
        <f t="shared" si="12"/>
        <v>46161</v>
      </c>
      <c r="O55" s="8">
        <f t="shared" si="13"/>
        <v>383.59379572724612</v>
      </c>
    </row>
    <row r="56" spans="1:15" hidden="1" outlineLevel="1" x14ac:dyDescent="0.3">
      <c r="A56" s="2" t="s">
        <v>109</v>
      </c>
      <c r="B56" s="2" t="s">
        <v>136</v>
      </c>
      <c r="C56" s="2" t="s">
        <v>137</v>
      </c>
      <c r="D56" s="2" t="s">
        <v>14</v>
      </c>
      <c r="E56" s="3">
        <v>46154</v>
      </c>
      <c r="F56" s="4">
        <v>13</v>
      </c>
      <c r="G56" s="3">
        <v>46161</v>
      </c>
      <c r="H56" s="5">
        <v>188.8</v>
      </c>
      <c r="I56" s="2" t="s">
        <v>10</v>
      </c>
      <c r="J56" s="2" t="s">
        <v>447</v>
      </c>
      <c r="M56" s="19"/>
      <c r="N56" s="19">
        <f t="shared" si="12"/>
        <v>46161</v>
      </c>
      <c r="O56" s="8">
        <f t="shared" si="13"/>
        <v>55.253146034533223</v>
      </c>
    </row>
    <row r="57" spans="1:15" hidden="1" outlineLevel="1" x14ac:dyDescent="0.3">
      <c r="A57" s="2" t="s">
        <v>109</v>
      </c>
      <c r="B57" s="2" t="s">
        <v>138</v>
      </c>
      <c r="C57" s="2" t="s">
        <v>139</v>
      </c>
      <c r="D57" s="2" t="s">
        <v>14</v>
      </c>
      <c r="E57" s="3">
        <v>46155</v>
      </c>
      <c r="F57" s="4">
        <v>12</v>
      </c>
      <c r="G57" s="3">
        <v>46162</v>
      </c>
      <c r="H57" s="5">
        <v>550.78</v>
      </c>
      <c r="I57" s="2" t="s">
        <v>10</v>
      </c>
      <c r="J57" s="2" t="s">
        <v>447</v>
      </c>
      <c r="M57" s="19"/>
      <c r="N57" s="19">
        <f t="shared" si="12"/>
        <v>46162</v>
      </c>
      <c r="O57" s="8">
        <f t="shared" si="13"/>
        <v>161.18817676324261</v>
      </c>
    </row>
    <row r="58" spans="1:15" hidden="1" outlineLevel="1" x14ac:dyDescent="0.3">
      <c r="A58" s="2" t="s">
        <v>109</v>
      </c>
      <c r="B58" s="2" t="s">
        <v>140</v>
      </c>
      <c r="C58" s="2" t="s">
        <v>141</v>
      </c>
      <c r="D58" s="2" t="s">
        <v>14</v>
      </c>
      <c r="E58" s="3">
        <v>46155</v>
      </c>
      <c r="F58" s="4">
        <v>12</v>
      </c>
      <c r="G58" s="3">
        <v>46162</v>
      </c>
      <c r="H58" s="5">
        <v>188.8</v>
      </c>
      <c r="I58" s="2" t="s">
        <v>10</v>
      </c>
      <c r="J58" s="2" t="s">
        <v>447</v>
      </c>
      <c r="M58" s="19"/>
      <c r="N58" s="19">
        <f t="shared" si="12"/>
        <v>46162</v>
      </c>
      <c r="O58" s="8">
        <f t="shared" si="13"/>
        <v>55.253146034533223</v>
      </c>
    </row>
    <row r="59" spans="1:15" hidden="1" outlineLevel="1" x14ac:dyDescent="0.3">
      <c r="A59" s="2" t="s">
        <v>109</v>
      </c>
      <c r="B59" s="2" t="s">
        <v>142</v>
      </c>
      <c r="C59" s="2" t="s">
        <v>143</v>
      </c>
      <c r="D59" s="2" t="s">
        <v>14</v>
      </c>
      <c r="E59" s="3">
        <v>46155</v>
      </c>
      <c r="F59" s="4">
        <v>12</v>
      </c>
      <c r="G59" s="3">
        <v>46162</v>
      </c>
      <c r="H59" s="5">
        <v>730.66</v>
      </c>
      <c r="I59" s="2" t="s">
        <v>10</v>
      </c>
      <c r="J59" s="2" t="s">
        <v>447</v>
      </c>
      <c r="M59" s="19"/>
      <c r="N59" s="19">
        <f t="shared" si="12"/>
        <v>46162</v>
      </c>
      <c r="O59" s="8">
        <f t="shared" si="13"/>
        <v>213.83084577114428</v>
      </c>
    </row>
    <row r="60" spans="1:15" hidden="1" outlineLevel="1" x14ac:dyDescent="0.3">
      <c r="A60" s="2" t="s">
        <v>109</v>
      </c>
      <c r="B60" s="2" t="s">
        <v>144</v>
      </c>
      <c r="C60" s="2" t="s">
        <v>145</v>
      </c>
      <c r="D60" s="2" t="s">
        <v>14</v>
      </c>
      <c r="E60" s="3">
        <v>46155</v>
      </c>
      <c r="F60" s="4">
        <v>12</v>
      </c>
      <c r="G60" s="3">
        <v>46162</v>
      </c>
      <c r="H60" s="5">
        <v>94.4</v>
      </c>
      <c r="I60" s="2" t="s">
        <v>10</v>
      </c>
      <c r="J60" s="2" t="s">
        <v>447</v>
      </c>
      <c r="M60" s="19"/>
      <c r="N60" s="19">
        <f t="shared" si="12"/>
        <v>46162</v>
      </c>
      <c r="O60" s="8">
        <f t="shared" si="13"/>
        <v>27.626573017266612</v>
      </c>
    </row>
    <row r="61" spans="1:15" hidden="1" outlineLevel="1" x14ac:dyDescent="0.3">
      <c r="A61" s="2" t="s">
        <v>109</v>
      </c>
      <c r="B61" s="2" t="s">
        <v>146</v>
      </c>
      <c r="C61" s="2" t="s">
        <v>147</v>
      </c>
      <c r="D61" s="2" t="s">
        <v>14</v>
      </c>
      <c r="E61" s="3">
        <v>46155</v>
      </c>
      <c r="F61" s="4">
        <v>12</v>
      </c>
      <c r="G61" s="3">
        <v>46162</v>
      </c>
      <c r="H61" s="5">
        <v>635.36</v>
      </c>
      <c r="I61" s="2" t="s">
        <v>10</v>
      </c>
      <c r="J61" s="2" t="s">
        <v>447</v>
      </c>
      <c r="M61" s="19"/>
      <c r="N61" s="19">
        <f t="shared" si="12"/>
        <v>46162</v>
      </c>
      <c r="O61" s="8">
        <f t="shared" si="13"/>
        <v>185.94088381621307</v>
      </c>
    </row>
    <row r="62" spans="1:15" hidden="1" outlineLevel="1" x14ac:dyDescent="0.3">
      <c r="A62" s="2" t="s">
        <v>109</v>
      </c>
      <c r="B62" s="2" t="s">
        <v>148</v>
      </c>
      <c r="C62" s="2" t="s">
        <v>149</v>
      </c>
      <c r="D62" s="2" t="s">
        <v>14</v>
      </c>
      <c r="E62" s="3">
        <v>46155</v>
      </c>
      <c r="F62" s="4">
        <v>12</v>
      </c>
      <c r="G62" s="3">
        <v>46162</v>
      </c>
      <c r="H62" s="5">
        <v>212.4</v>
      </c>
      <c r="I62" s="2" t="s">
        <v>10</v>
      </c>
      <c r="J62" s="2" t="s">
        <v>447</v>
      </c>
      <c r="M62" s="19"/>
      <c r="N62" s="19">
        <f t="shared" si="12"/>
        <v>46162</v>
      </c>
      <c r="O62" s="8">
        <f t="shared" si="13"/>
        <v>62.159789288849872</v>
      </c>
    </row>
    <row r="63" spans="1:15" hidden="1" outlineLevel="1" x14ac:dyDescent="0.3">
      <c r="A63" s="2" t="s">
        <v>109</v>
      </c>
      <c r="B63" s="2" t="s">
        <v>150</v>
      </c>
      <c r="C63" s="2" t="s">
        <v>151</v>
      </c>
      <c r="D63" s="2" t="s">
        <v>14</v>
      </c>
      <c r="E63" s="3">
        <v>46156</v>
      </c>
      <c r="F63" s="4">
        <v>11</v>
      </c>
      <c r="G63" s="3">
        <v>46163</v>
      </c>
      <c r="H63" s="5">
        <v>318.36</v>
      </c>
      <c r="I63" s="2" t="s">
        <v>10</v>
      </c>
      <c r="J63" s="2" t="s">
        <v>447</v>
      </c>
      <c r="M63" s="19"/>
      <c r="N63" s="19">
        <f t="shared" si="12"/>
        <v>46163</v>
      </c>
      <c r="O63" s="8">
        <f t="shared" si="13"/>
        <v>93.169446883230918</v>
      </c>
    </row>
    <row r="64" spans="1:15" hidden="1" outlineLevel="1" x14ac:dyDescent="0.3">
      <c r="A64" s="2" t="s">
        <v>109</v>
      </c>
      <c r="B64" s="2" t="s">
        <v>152</v>
      </c>
      <c r="C64" s="2" t="s">
        <v>153</v>
      </c>
      <c r="D64" s="2" t="s">
        <v>14</v>
      </c>
      <c r="E64" s="3">
        <v>46156</v>
      </c>
      <c r="F64" s="4">
        <v>11</v>
      </c>
      <c r="G64" s="3">
        <v>46163</v>
      </c>
      <c r="H64" s="5">
        <v>47.2</v>
      </c>
      <c r="I64" s="2" t="s">
        <v>10</v>
      </c>
      <c r="J64" s="2" t="s">
        <v>447</v>
      </c>
      <c r="M64" s="19"/>
      <c r="N64" s="19">
        <f t="shared" si="12"/>
        <v>46163</v>
      </c>
      <c r="O64" s="8">
        <f t="shared" si="13"/>
        <v>13.813286508633306</v>
      </c>
    </row>
    <row r="65" spans="1:15" hidden="1" outlineLevel="1" x14ac:dyDescent="0.3">
      <c r="A65" s="2" t="s">
        <v>109</v>
      </c>
      <c r="B65" s="2" t="s">
        <v>154</v>
      </c>
      <c r="C65" s="2" t="s">
        <v>155</v>
      </c>
      <c r="D65" s="2" t="s">
        <v>14</v>
      </c>
      <c r="E65" s="3">
        <v>46156</v>
      </c>
      <c r="F65" s="4">
        <v>11</v>
      </c>
      <c r="G65" s="3">
        <v>46163</v>
      </c>
      <c r="H65" s="5">
        <v>657.5</v>
      </c>
      <c r="I65" s="2" t="s">
        <v>10</v>
      </c>
      <c r="J65" s="2" t="s">
        <v>447</v>
      </c>
      <c r="M65" s="19"/>
      <c r="N65" s="19">
        <f t="shared" si="12"/>
        <v>46163</v>
      </c>
      <c r="O65" s="8">
        <f t="shared" si="13"/>
        <v>192.42025168276265</v>
      </c>
    </row>
    <row r="66" spans="1:15" hidden="1" outlineLevel="1" x14ac:dyDescent="0.3">
      <c r="A66" s="2" t="s">
        <v>109</v>
      </c>
      <c r="B66" s="2" t="s">
        <v>156</v>
      </c>
      <c r="C66" s="2" t="s">
        <v>157</v>
      </c>
      <c r="D66" s="2" t="s">
        <v>14</v>
      </c>
      <c r="E66" s="3">
        <v>46156</v>
      </c>
      <c r="F66" s="4">
        <v>11</v>
      </c>
      <c r="G66" s="3">
        <v>46163</v>
      </c>
      <c r="H66" s="5">
        <v>194.7</v>
      </c>
      <c r="I66" s="2" t="s">
        <v>10</v>
      </c>
      <c r="J66" s="2" t="s">
        <v>447</v>
      </c>
      <c r="M66" s="19"/>
      <c r="N66" s="19">
        <f t="shared" si="12"/>
        <v>46163</v>
      </c>
      <c r="O66" s="8">
        <f t="shared" si="13"/>
        <v>56.979806848112382</v>
      </c>
    </row>
    <row r="67" spans="1:15" hidden="1" outlineLevel="1" x14ac:dyDescent="0.3">
      <c r="A67" s="2" t="s">
        <v>109</v>
      </c>
      <c r="B67" s="2" t="s">
        <v>158</v>
      </c>
      <c r="C67" s="2" t="s">
        <v>159</v>
      </c>
      <c r="D67" s="2" t="s">
        <v>14</v>
      </c>
      <c r="E67" s="3">
        <v>46157</v>
      </c>
      <c r="F67" s="4">
        <v>10</v>
      </c>
      <c r="G67" s="3">
        <v>46164</v>
      </c>
      <c r="H67" s="5">
        <v>1100.47</v>
      </c>
      <c r="I67" s="2" t="s">
        <v>10</v>
      </c>
      <c r="J67" s="2" t="s">
        <v>447</v>
      </c>
      <c r="M67" s="19"/>
      <c r="N67" s="19">
        <f t="shared" si="12"/>
        <v>46164</v>
      </c>
      <c r="O67" s="8">
        <f t="shared" si="13"/>
        <v>322.05736025753589</v>
      </c>
    </row>
    <row r="68" spans="1:15" hidden="1" outlineLevel="1" x14ac:dyDescent="0.3">
      <c r="A68" s="2" t="s">
        <v>109</v>
      </c>
      <c r="B68" s="2" t="s">
        <v>160</v>
      </c>
      <c r="C68" s="2" t="s">
        <v>161</v>
      </c>
      <c r="D68" s="2" t="s">
        <v>14</v>
      </c>
      <c r="E68" s="3">
        <v>46157</v>
      </c>
      <c r="F68" s="4">
        <v>10</v>
      </c>
      <c r="G68" s="3">
        <v>46164</v>
      </c>
      <c r="H68" s="5">
        <v>118</v>
      </c>
      <c r="I68" s="2" t="s">
        <v>10</v>
      </c>
      <c r="J68" s="2" t="s">
        <v>447</v>
      </c>
      <c r="M68" s="19"/>
      <c r="N68" s="19">
        <f t="shared" si="12"/>
        <v>46164</v>
      </c>
      <c r="O68" s="8">
        <f t="shared" si="13"/>
        <v>34.533216271583264</v>
      </c>
    </row>
    <row r="69" spans="1:15" hidden="1" outlineLevel="1" x14ac:dyDescent="0.3">
      <c r="A69" s="2" t="s">
        <v>109</v>
      </c>
      <c r="B69" s="2" t="s">
        <v>162</v>
      </c>
      <c r="C69" s="2" t="s">
        <v>163</v>
      </c>
      <c r="D69" s="2" t="s">
        <v>14</v>
      </c>
      <c r="E69" s="3">
        <v>46157</v>
      </c>
      <c r="F69" s="4">
        <v>10</v>
      </c>
      <c r="G69" s="3">
        <v>46164</v>
      </c>
      <c r="H69" s="5">
        <v>577.87</v>
      </c>
      <c r="I69" s="2" t="s">
        <v>10</v>
      </c>
      <c r="J69" s="2" t="s">
        <v>447</v>
      </c>
      <c r="M69" s="19"/>
      <c r="N69" s="19">
        <f t="shared" si="12"/>
        <v>46164</v>
      </c>
      <c r="O69" s="8">
        <f t="shared" si="13"/>
        <v>169.11618378694763</v>
      </c>
    </row>
    <row r="70" spans="1:15" hidden="1" outlineLevel="1" x14ac:dyDescent="0.3">
      <c r="A70" s="2" t="s">
        <v>109</v>
      </c>
      <c r="B70" s="2" t="s">
        <v>164</v>
      </c>
      <c r="C70" s="2" t="s">
        <v>165</v>
      </c>
      <c r="D70" s="2" t="s">
        <v>14</v>
      </c>
      <c r="E70" s="3">
        <v>46157</v>
      </c>
      <c r="F70" s="4">
        <v>10</v>
      </c>
      <c r="G70" s="3">
        <v>46164</v>
      </c>
      <c r="H70" s="5">
        <v>159.30000000000001</v>
      </c>
      <c r="I70" s="2" t="s">
        <v>10</v>
      </c>
      <c r="J70" s="2" t="s">
        <v>447</v>
      </c>
      <c r="M70" s="19"/>
      <c r="N70" s="19">
        <f t="shared" si="12"/>
        <v>46164</v>
      </c>
      <c r="O70" s="8">
        <f t="shared" si="13"/>
        <v>46.619841966637409</v>
      </c>
    </row>
    <row r="71" spans="1:15" hidden="1" outlineLevel="1" x14ac:dyDescent="0.3">
      <c r="A71" s="2" t="s">
        <v>109</v>
      </c>
      <c r="B71" s="2" t="s">
        <v>166</v>
      </c>
      <c r="C71" s="2" t="s">
        <v>167</v>
      </c>
      <c r="D71" s="2" t="s">
        <v>14</v>
      </c>
      <c r="E71" s="3">
        <v>46158</v>
      </c>
      <c r="F71" s="4">
        <v>9</v>
      </c>
      <c r="G71" s="3">
        <v>46165</v>
      </c>
      <c r="H71" s="5">
        <v>1361.72</v>
      </c>
      <c r="I71" s="2" t="s">
        <v>10</v>
      </c>
      <c r="J71" s="2" t="s">
        <v>447</v>
      </c>
      <c r="M71" s="19"/>
      <c r="N71" s="19">
        <f t="shared" si="12"/>
        <v>46165</v>
      </c>
      <c r="O71" s="8">
        <f t="shared" si="13"/>
        <v>398.51331577407086</v>
      </c>
    </row>
    <row r="72" spans="1:15" hidden="1" outlineLevel="1" x14ac:dyDescent="0.3">
      <c r="A72" s="2" t="s">
        <v>109</v>
      </c>
      <c r="B72" s="2" t="s">
        <v>168</v>
      </c>
      <c r="C72" s="2" t="s">
        <v>169</v>
      </c>
      <c r="D72" s="2" t="s">
        <v>14</v>
      </c>
      <c r="E72" s="3">
        <v>46158</v>
      </c>
      <c r="F72" s="4">
        <v>9</v>
      </c>
      <c r="G72" s="3">
        <v>46165</v>
      </c>
      <c r="H72" s="5">
        <v>141.6</v>
      </c>
      <c r="I72" s="2" t="s">
        <v>10</v>
      </c>
      <c r="J72" s="2" t="s">
        <v>447</v>
      </c>
      <c r="M72" s="19"/>
      <c r="N72" s="19">
        <f t="shared" si="12"/>
        <v>46165</v>
      </c>
      <c r="O72" s="8">
        <f t="shared" si="13"/>
        <v>41.439859525899912</v>
      </c>
    </row>
    <row r="73" spans="1:15" hidden="1" outlineLevel="1" x14ac:dyDescent="0.3">
      <c r="A73" s="2" t="s">
        <v>109</v>
      </c>
      <c r="B73" s="2" t="s">
        <v>170</v>
      </c>
      <c r="C73" s="2" t="s">
        <v>171</v>
      </c>
      <c r="D73" s="2" t="s">
        <v>14</v>
      </c>
      <c r="E73" s="3">
        <v>46159</v>
      </c>
      <c r="F73" s="4">
        <v>8</v>
      </c>
      <c r="G73" s="3">
        <v>46166</v>
      </c>
      <c r="H73" s="5">
        <v>1001.35</v>
      </c>
      <c r="I73" s="2" t="s">
        <v>10</v>
      </c>
      <c r="J73" s="2" t="s">
        <v>447</v>
      </c>
      <c r="M73" s="19"/>
      <c r="N73" s="19">
        <f t="shared" si="12"/>
        <v>46166</v>
      </c>
      <c r="O73" s="8">
        <f t="shared" si="13"/>
        <v>293.04945858940596</v>
      </c>
    </row>
    <row r="74" spans="1:15" hidden="1" outlineLevel="1" x14ac:dyDescent="0.3">
      <c r="A74" s="2" t="s">
        <v>109</v>
      </c>
      <c r="B74" s="2" t="s">
        <v>172</v>
      </c>
      <c r="C74" s="2" t="s">
        <v>173</v>
      </c>
      <c r="D74" s="2" t="s">
        <v>14</v>
      </c>
      <c r="E74" s="3">
        <v>46159</v>
      </c>
      <c r="F74" s="4">
        <v>8</v>
      </c>
      <c r="G74" s="3">
        <v>46166</v>
      </c>
      <c r="H74" s="5">
        <v>106.2</v>
      </c>
      <c r="I74" s="2" t="s">
        <v>10</v>
      </c>
      <c r="J74" s="2" t="s">
        <v>447</v>
      </c>
      <c r="M74" s="19"/>
      <c r="N74" s="19">
        <f t="shared" si="12"/>
        <v>46166</v>
      </c>
      <c r="O74" s="8">
        <f t="shared" si="13"/>
        <v>31.079894644424936</v>
      </c>
    </row>
    <row r="75" spans="1:15" hidden="1" outlineLevel="1" x14ac:dyDescent="0.3">
      <c r="A75" s="2" t="s">
        <v>109</v>
      </c>
      <c r="B75" s="2" t="s">
        <v>174</v>
      </c>
      <c r="C75" s="2" t="s">
        <v>175</v>
      </c>
      <c r="D75" s="2" t="s">
        <v>14</v>
      </c>
      <c r="E75" s="3">
        <v>46160</v>
      </c>
      <c r="F75" s="4">
        <v>7</v>
      </c>
      <c r="G75" s="3">
        <v>46167</v>
      </c>
      <c r="H75" s="5">
        <v>413.99</v>
      </c>
      <c r="I75" s="2" t="s">
        <v>10</v>
      </c>
      <c r="J75" s="2" t="s">
        <v>447</v>
      </c>
      <c r="M75" s="19"/>
      <c r="N75" s="19">
        <f t="shared" si="12"/>
        <v>46167</v>
      </c>
      <c r="O75" s="8">
        <f t="shared" si="13"/>
        <v>121.15598478197251</v>
      </c>
    </row>
    <row r="76" spans="1:15" hidden="1" outlineLevel="1" x14ac:dyDescent="0.3">
      <c r="A76" s="2" t="s">
        <v>109</v>
      </c>
      <c r="B76" s="2" t="s">
        <v>176</v>
      </c>
      <c r="C76" s="2" t="s">
        <v>177</v>
      </c>
      <c r="D76" s="2" t="s">
        <v>14</v>
      </c>
      <c r="E76" s="3">
        <v>46160</v>
      </c>
      <c r="F76" s="4">
        <v>7</v>
      </c>
      <c r="G76" s="3">
        <v>46167</v>
      </c>
      <c r="H76" s="5">
        <v>135.69999999999999</v>
      </c>
      <c r="I76" s="2" t="s">
        <v>10</v>
      </c>
      <c r="J76" s="2" t="s">
        <v>447</v>
      </c>
      <c r="M76" s="19"/>
      <c r="N76" s="19">
        <f t="shared" si="12"/>
        <v>46167</v>
      </c>
      <c r="O76" s="8">
        <f t="shared" si="13"/>
        <v>39.713198712320747</v>
      </c>
    </row>
    <row r="77" spans="1:15" hidden="1" outlineLevel="1" x14ac:dyDescent="0.3">
      <c r="A77" s="2" t="s">
        <v>109</v>
      </c>
      <c r="B77" s="2" t="s">
        <v>178</v>
      </c>
      <c r="C77" s="2" t="s">
        <v>179</v>
      </c>
      <c r="D77" s="2" t="s">
        <v>14</v>
      </c>
      <c r="E77" s="3">
        <v>46160</v>
      </c>
      <c r="F77" s="4">
        <v>7</v>
      </c>
      <c r="G77" s="3">
        <v>46167</v>
      </c>
      <c r="H77" s="5">
        <v>1158.52</v>
      </c>
      <c r="I77" s="2" t="s">
        <v>10</v>
      </c>
      <c r="J77" s="2" t="s">
        <v>447</v>
      </c>
      <c r="M77" s="19"/>
      <c r="N77" s="19">
        <f t="shared" si="12"/>
        <v>46167</v>
      </c>
      <c r="O77" s="8">
        <f t="shared" si="13"/>
        <v>339.04594673690372</v>
      </c>
    </row>
    <row r="78" spans="1:15" hidden="1" outlineLevel="1" x14ac:dyDescent="0.3">
      <c r="A78" s="2" t="s">
        <v>109</v>
      </c>
      <c r="B78" s="2" t="s">
        <v>180</v>
      </c>
      <c r="C78" s="2" t="s">
        <v>181</v>
      </c>
      <c r="D78" s="2" t="s">
        <v>14</v>
      </c>
      <c r="E78" s="3">
        <v>46160</v>
      </c>
      <c r="F78" s="4">
        <v>7</v>
      </c>
      <c r="G78" s="3">
        <v>46167</v>
      </c>
      <c r="H78" s="5">
        <v>106.2</v>
      </c>
      <c r="I78" s="2" t="s">
        <v>10</v>
      </c>
      <c r="J78" s="2" t="s">
        <v>447</v>
      </c>
      <c r="M78" s="19"/>
      <c r="N78" s="19">
        <f t="shared" si="12"/>
        <v>46167</v>
      </c>
      <c r="O78" s="8">
        <f t="shared" si="13"/>
        <v>31.079894644424936</v>
      </c>
    </row>
    <row r="79" spans="1:15" hidden="1" outlineLevel="1" x14ac:dyDescent="0.3">
      <c r="A79" s="2" t="s">
        <v>109</v>
      </c>
      <c r="B79" s="2" t="s">
        <v>182</v>
      </c>
      <c r="C79" s="2" t="s">
        <v>183</v>
      </c>
      <c r="D79" s="2" t="s">
        <v>14</v>
      </c>
      <c r="E79" s="3">
        <v>46161</v>
      </c>
      <c r="F79" s="4">
        <v>6</v>
      </c>
      <c r="G79" s="3">
        <v>46168</v>
      </c>
      <c r="H79" s="5">
        <v>388.46</v>
      </c>
      <c r="I79" s="2" t="s">
        <v>10</v>
      </c>
      <c r="J79" s="2" t="s">
        <v>447</v>
      </c>
      <c r="M79" s="19"/>
      <c r="N79" s="19">
        <f t="shared" si="12"/>
        <v>46168</v>
      </c>
      <c r="O79" s="8">
        <f t="shared" si="13"/>
        <v>113.68451858355283</v>
      </c>
    </row>
    <row r="80" spans="1:15" hidden="1" outlineLevel="1" x14ac:dyDescent="0.3">
      <c r="A80" s="2" t="s">
        <v>109</v>
      </c>
      <c r="B80" s="2" t="s">
        <v>184</v>
      </c>
      <c r="C80" s="2" t="s">
        <v>185</v>
      </c>
      <c r="D80" s="2" t="s">
        <v>14</v>
      </c>
      <c r="E80" s="3">
        <v>46161</v>
      </c>
      <c r="F80" s="4">
        <v>6</v>
      </c>
      <c r="G80" s="3">
        <v>46168</v>
      </c>
      <c r="H80" s="5">
        <v>47.2</v>
      </c>
      <c r="I80" s="2" t="s">
        <v>10</v>
      </c>
      <c r="J80" s="2" t="s">
        <v>447</v>
      </c>
      <c r="M80" s="19"/>
      <c r="N80" s="19">
        <f t="shared" si="12"/>
        <v>46168</v>
      </c>
      <c r="O80" s="8">
        <f t="shared" si="13"/>
        <v>13.813286508633306</v>
      </c>
    </row>
    <row r="81" spans="1:17" hidden="1" outlineLevel="1" x14ac:dyDescent="0.3">
      <c r="A81" s="2" t="s">
        <v>109</v>
      </c>
      <c r="B81" s="2" t="s">
        <v>186</v>
      </c>
      <c r="C81" s="2" t="s">
        <v>187</v>
      </c>
      <c r="D81" s="2" t="s">
        <v>14</v>
      </c>
      <c r="E81" s="3">
        <v>46162</v>
      </c>
      <c r="F81" s="4">
        <v>5</v>
      </c>
      <c r="G81" s="3">
        <v>46169</v>
      </c>
      <c r="H81" s="5">
        <v>381.14</v>
      </c>
      <c r="I81" s="2" t="s">
        <v>10</v>
      </c>
      <c r="J81" s="2" t="s">
        <v>447</v>
      </c>
      <c r="M81" s="19"/>
      <c r="N81" s="19">
        <f t="shared" si="12"/>
        <v>46169</v>
      </c>
      <c r="O81" s="8">
        <f t="shared" si="13"/>
        <v>111.54228855721394</v>
      </c>
    </row>
    <row r="82" spans="1:17" hidden="1" outlineLevel="1" x14ac:dyDescent="0.3">
      <c r="A82" s="2" t="s">
        <v>109</v>
      </c>
      <c r="B82" s="2" t="s">
        <v>188</v>
      </c>
      <c r="C82" s="2" t="s">
        <v>189</v>
      </c>
      <c r="D82" s="2" t="s">
        <v>14</v>
      </c>
      <c r="E82" s="3">
        <v>46162</v>
      </c>
      <c r="F82" s="4">
        <v>5</v>
      </c>
      <c r="G82" s="3">
        <v>46169</v>
      </c>
      <c r="H82" s="5">
        <v>47.2</v>
      </c>
      <c r="I82" s="2" t="s">
        <v>10</v>
      </c>
      <c r="J82" s="2" t="s">
        <v>447</v>
      </c>
      <c r="M82" s="19"/>
      <c r="N82" s="19">
        <f t="shared" si="12"/>
        <v>46169</v>
      </c>
      <c r="O82" s="8">
        <f t="shared" si="13"/>
        <v>13.813286508633306</v>
      </c>
    </row>
    <row r="83" spans="1:17" hidden="1" outlineLevel="1" x14ac:dyDescent="0.3">
      <c r="A83" s="2" t="s">
        <v>109</v>
      </c>
      <c r="B83" s="2" t="s">
        <v>190</v>
      </c>
      <c r="C83" s="2" t="s">
        <v>191</v>
      </c>
      <c r="D83" s="2" t="s">
        <v>14</v>
      </c>
      <c r="E83" s="3">
        <v>46163</v>
      </c>
      <c r="F83" s="4">
        <v>4</v>
      </c>
      <c r="G83" s="3">
        <v>46170</v>
      </c>
      <c r="H83" s="5">
        <v>581.5</v>
      </c>
      <c r="I83" s="2" t="s">
        <v>10</v>
      </c>
      <c r="J83" s="2" t="s">
        <v>447</v>
      </c>
      <c r="M83" s="19"/>
      <c r="N83" s="19">
        <f t="shared" si="12"/>
        <v>46170</v>
      </c>
      <c r="O83" s="8">
        <f t="shared" si="13"/>
        <v>170.17851916886158</v>
      </c>
    </row>
    <row r="84" spans="1:17" hidden="1" outlineLevel="1" x14ac:dyDescent="0.3">
      <c r="A84" s="2" t="s">
        <v>109</v>
      </c>
      <c r="B84" s="2" t="s">
        <v>192</v>
      </c>
      <c r="C84" s="2" t="s">
        <v>193</v>
      </c>
      <c r="D84" s="2" t="s">
        <v>14</v>
      </c>
      <c r="E84" s="3">
        <v>46163</v>
      </c>
      <c r="F84" s="4">
        <v>4</v>
      </c>
      <c r="G84" s="3">
        <v>46170</v>
      </c>
      <c r="H84" s="5">
        <v>153.4</v>
      </c>
      <c r="I84" s="2" t="s">
        <v>10</v>
      </c>
      <c r="J84" s="2" t="s">
        <v>447</v>
      </c>
      <c r="M84" s="19"/>
      <c r="N84" s="19">
        <f t="shared" si="12"/>
        <v>46170</v>
      </c>
      <c r="O84" s="8">
        <f t="shared" si="13"/>
        <v>44.893181153058244</v>
      </c>
    </row>
    <row r="85" spans="1:17" hidden="1" outlineLevel="1" x14ac:dyDescent="0.3">
      <c r="A85" s="2" t="s">
        <v>109</v>
      </c>
      <c r="B85" s="2" t="s">
        <v>194</v>
      </c>
      <c r="C85" s="2" t="s">
        <v>195</v>
      </c>
      <c r="D85" s="2" t="s">
        <v>14</v>
      </c>
      <c r="E85" s="3">
        <v>46167</v>
      </c>
      <c r="F85" s="4">
        <v>0</v>
      </c>
      <c r="G85" s="3">
        <v>46174</v>
      </c>
      <c r="H85" s="5">
        <v>237.23</v>
      </c>
      <c r="I85" s="2" t="s">
        <v>10</v>
      </c>
      <c r="J85" s="2" t="s">
        <v>447</v>
      </c>
      <c r="M85" s="19"/>
      <c r="N85" s="19">
        <f t="shared" si="12"/>
        <v>46174</v>
      </c>
      <c r="O85" s="8">
        <f t="shared" si="13"/>
        <v>69.426397424641493</v>
      </c>
    </row>
    <row r="86" spans="1:17" hidden="1" outlineLevel="1" x14ac:dyDescent="0.3">
      <c r="A86" s="2" t="s">
        <v>109</v>
      </c>
      <c r="B86" s="2" t="s">
        <v>196</v>
      </c>
      <c r="C86" s="2" t="s">
        <v>197</v>
      </c>
      <c r="D86" s="2" t="s">
        <v>14</v>
      </c>
      <c r="E86" s="3">
        <v>46167</v>
      </c>
      <c r="F86" s="4">
        <v>0</v>
      </c>
      <c r="G86" s="3">
        <v>46174</v>
      </c>
      <c r="H86" s="5">
        <v>135.69999999999999</v>
      </c>
      <c r="I86" s="2" t="s">
        <v>10</v>
      </c>
      <c r="J86" s="2" t="s">
        <v>447</v>
      </c>
      <c r="M86" s="19"/>
      <c r="N86" s="19">
        <f t="shared" si="12"/>
        <v>46174</v>
      </c>
      <c r="O86" s="8">
        <f t="shared" si="13"/>
        <v>39.713198712320747</v>
      </c>
    </row>
    <row r="87" spans="1:17" hidden="1" outlineLevel="1" x14ac:dyDescent="0.3">
      <c r="A87" s="2" t="s">
        <v>109</v>
      </c>
      <c r="B87" s="2" t="s">
        <v>198</v>
      </c>
      <c r="C87" s="2" t="s">
        <v>199</v>
      </c>
      <c r="D87" s="2" t="s">
        <v>14</v>
      </c>
      <c r="E87" s="3">
        <v>46168</v>
      </c>
      <c r="F87" s="7">
        <v>-1</v>
      </c>
      <c r="G87" s="3">
        <v>46175</v>
      </c>
      <c r="H87" s="5">
        <v>303.97000000000003</v>
      </c>
      <c r="I87" s="2" t="s">
        <v>10</v>
      </c>
      <c r="J87" s="2" t="s">
        <v>447</v>
      </c>
      <c r="M87" s="19"/>
      <c r="N87" s="19">
        <f t="shared" si="12"/>
        <v>46175</v>
      </c>
      <c r="O87" s="8">
        <f t="shared" si="13"/>
        <v>88.958150424348858</v>
      </c>
    </row>
    <row r="88" spans="1:17" hidden="1" outlineLevel="1" x14ac:dyDescent="0.3">
      <c r="A88" s="2" t="s">
        <v>109</v>
      </c>
      <c r="B88" s="2" t="s">
        <v>200</v>
      </c>
      <c r="C88" s="2" t="s">
        <v>201</v>
      </c>
      <c r="D88" s="2" t="s">
        <v>14</v>
      </c>
      <c r="E88" s="3">
        <v>46168</v>
      </c>
      <c r="F88" s="7">
        <v>-1</v>
      </c>
      <c r="G88" s="3">
        <v>46175</v>
      </c>
      <c r="H88" s="5">
        <v>47.2</v>
      </c>
      <c r="I88" s="2" t="s">
        <v>10</v>
      </c>
      <c r="J88" s="2" t="s">
        <v>447</v>
      </c>
      <c r="M88" s="19"/>
      <c r="N88" s="19">
        <f t="shared" si="12"/>
        <v>46175</v>
      </c>
      <c r="O88" s="8">
        <f t="shared" si="13"/>
        <v>13.813286508633306</v>
      </c>
    </row>
    <row r="89" spans="1:17" hidden="1" outlineLevel="1" x14ac:dyDescent="0.3">
      <c r="A89" s="2" t="s">
        <v>109</v>
      </c>
      <c r="B89" s="2" t="s">
        <v>202</v>
      </c>
      <c r="C89" s="2" t="s">
        <v>203</v>
      </c>
      <c r="D89" s="2" t="s">
        <v>14</v>
      </c>
      <c r="E89" s="3">
        <v>46168</v>
      </c>
      <c r="F89" s="7">
        <v>-1</v>
      </c>
      <c r="G89" s="3">
        <v>46175</v>
      </c>
      <c r="H89" s="5">
        <v>587.78</v>
      </c>
      <c r="I89" s="2" t="s">
        <v>10</v>
      </c>
      <c r="J89" s="2" t="s">
        <v>447</v>
      </c>
      <c r="M89" s="19"/>
      <c r="N89" s="19">
        <f t="shared" si="12"/>
        <v>46175</v>
      </c>
      <c r="O89" s="8">
        <f t="shared" si="13"/>
        <v>172.01638864501024</v>
      </c>
    </row>
    <row r="90" spans="1:17" hidden="1" outlineLevel="1" x14ac:dyDescent="0.3">
      <c r="A90" s="2" t="s">
        <v>109</v>
      </c>
      <c r="B90" s="2" t="s">
        <v>204</v>
      </c>
      <c r="C90" s="2" t="s">
        <v>205</v>
      </c>
      <c r="D90" s="2" t="s">
        <v>14</v>
      </c>
      <c r="E90" s="3">
        <v>46168</v>
      </c>
      <c r="F90" s="7">
        <v>-1</v>
      </c>
      <c r="G90" s="3">
        <v>46175</v>
      </c>
      <c r="H90" s="5">
        <v>159.30000000000001</v>
      </c>
      <c r="I90" s="2" t="s">
        <v>10</v>
      </c>
      <c r="J90" s="2" t="s">
        <v>447</v>
      </c>
      <c r="M90" s="19"/>
      <c r="N90" s="19">
        <f t="shared" si="12"/>
        <v>46175</v>
      </c>
      <c r="O90" s="8">
        <f t="shared" si="13"/>
        <v>46.619841966637409</v>
      </c>
    </row>
    <row r="91" spans="1:17" hidden="1" outlineLevel="1" x14ac:dyDescent="0.3">
      <c r="A91" s="2" t="s">
        <v>109</v>
      </c>
      <c r="B91" s="2" t="s">
        <v>206</v>
      </c>
      <c r="C91" s="2" t="s">
        <v>207</v>
      </c>
      <c r="D91" s="2" t="s">
        <v>14</v>
      </c>
      <c r="E91" s="3">
        <v>46170</v>
      </c>
      <c r="F91" s="7">
        <v>-3</v>
      </c>
      <c r="G91" s="3">
        <v>46177</v>
      </c>
      <c r="H91" s="5">
        <v>188.8</v>
      </c>
      <c r="I91" s="2" t="s">
        <v>10</v>
      </c>
      <c r="J91" s="2" t="s">
        <v>447</v>
      </c>
      <c r="M91" s="19"/>
      <c r="N91" s="19">
        <f t="shared" si="12"/>
        <v>46177</v>
      </c>
      <c r="O91" s="8">
        <f t="shared" si="13"/>
        <v>55.253146034533223</v>
      </c>
    </row>
    <row r="92" spans="1:17" hidden="1" outlineLevel="1" x14ac:dyDescent="0.3">
      <c r="A92" s="2" t="s">
        <v>109</v>
      </c>
      <c r="B92" s="2" t="s">
        <v>208</v>
      </c>
      <c r="C92" s="2" t="s">
        <v>209</v>
      </c>
      <c r="D92" s="2" t="s">
        <v>14</v>
      </c>
      <c r="E92" s="3">
        <v>46170</v>
      </c>
      <c r="F92" s="7">
        <v>-3</v>
      </c>
      <c r="G92" s="3">
        <v>46177</v>
      </c>
      <c r="H92" s="5">
        <v>47.2</v>
      </c>
      <c r="I92" s="2" t="s">
        <v>10</v>
      </c>
      <c r="J92" s="2" t="s">
        <v>447</v>
      </c>
      <c r="M92" s="19"/>
      <c r="N92" s="19">
        <f t="shared" si="12"/>
        <v>46177</v>
      </c>
      <c r="O92" s="8">
        <f t="shared" si="13"/>
        <v>13.813286508633306</v>
      </c>
    </row>
    <row r="93" spans="1:17" hidden="1" outlineLevel="1" x14ac:dyDescent="0.3">
      <c r="A93" s="2" t="s">
        <v>109</v>
      </c>
      <c r="B93" s="2" t="s">
        <v>210</v>
      </c>
      <c r="C93" s="2" t="s">
        <v>211</v>
      </c>
      <c r="D93" s="2" t="s">
        <v>14</v>
      </c>
      <c r="E93" s="3">
        <v>46171</v>
      </c>
      <c r="F93" s="7">
        <v>-4</v>
      </c>
      <c r="G93" s="3">
        <v>46178</v>
      </c>
      <c r="H93" s="5">
        <v>333.7</v>
      </c>
      <c r="I93" s="2" t="s">
        <v>10</v>
      </c>
      <c r="J93" s="2" t="s">
        <v>447</v>
      </c>
      <c r="M93" s="19"/>
      <c r="N93" s="19">
        <f t="shared" si="12"/>
        <v>46178</v>
      </c>
      <c r="O93" s="8">
        <f t="shared" si="13"/>
        <v>97.658764998536725</v>
      </c>
    </row>
    <row r="94" spans="1:17" hidden="1" outlineLevel="1" x14ac:dyDescent="0.3">
      <c r="A94" s="2" t="s">
        <v>109</v>
      </c>
      <c r="B94" s="2" t="s">
        <v>212</v>
      </c>
      <c r="C94" s="2" t="s">
        <v>213</v>
      </c>
      <c r="D94" s="2" t="s">
        <v>14</v>
      </c>
      <c r="E94" s="3">
        <v>46171</v>
      </c>
      <c r="F94" s="7">
        <v>-4</v>
      </c>
      <c r="G94" s="3">
        <v>46178</v>
      </c>
      <c r="H94" s="5">
        <v>153.4</v>
      </c>
      <c r="I94" s="2" t="s">
        <v>10</v>
      </c>
      <c r="J94" s="2" t="s">
        <v>447</v>
      </c>
      <c r="M94" s="19"/>
      <c r="N94" s="19">
        <f t="shared" si="12"/>
        <v>46178</v>
      </c>
      <c r="O94" s="8">
        <f t="shared" si="13"/>
        <v>44.893181153058244</v>
      </c>
    </row>
    <row r="95" spans="1:17" hidden="1" outlineLevel="1" x14ac:dyDescent="0.3">
      <c r="A95" s="2" t="s">
        <v>214</v>
      </c>
      <c r="B95" s="2" t="s">
        <v>216</v>
      </c>
      <c r="C95" s="2" t="s">
        <v>217</v>
      </c>
      <c r="D95" s="2" t="s">
        <v>50</v>
      </c>
      <c r="E95" s="3">
        <v>46140</v>
      </c>
      <c r="F95" s="4">
        <v>0</v>
      </c>
      <c r="G95" s="3">
        <v>46142</v>
      </c>
      <c r="H95" s="6">
        <v>-36224</v>
      </c>
      <c r="I95" s="2" t="s">
        <v>51</v>
      </c>
      <c r="J95" s="2" t="s">
        <v>448</v>
      </c>
      <c r="K95" s="19">
        <f t="shared" ref="K95:K122" si="14">E95+45</f>
        <v>46185</v>
      </c>
      <c r="L95" s="20"/>
      <c r="M95" s="19"/>
      <c r="N95" s="19">
        <f t="shared" si="12"/>
        <v>46142</v>
      </c>
      <c r="O95" s="11">
        <f t="shared" ref="O95:O122" si="15">H95</f>
        <v>-36224</v>
      </c>
      <c r="P95" s="20">
        <f t="shared" ref="P95:P122" ca="1" si="16">TODAY()-E95</f>
        <v>34</v>
      </c>
      <c r="Q95" t="s">
        <v>462</v>
      </c>
    </row>
    <row r="96" spans="1:17" hidden="1" outlineLevel="1" x14ac:dyDescent="0.3">
      <c r="A96" s="2" t="s">
        <v>214</v>
      </c>
      <c r="B96" s="2" t="s">
        <v>218</v>
      </c>
      <c r="C96" s="2" t="s">
        <v>219</v>
      </c>
      <c r="D96" s="2" t="s">
        <v>50</v>
      </c>
      <c r="E96" s="3">
        <v>46155</v>
      </c>
      <c r="F96" s="4">
        <v>0</v>
      </c>
      <c r="G96" s="3">
        <v>46173</v>
      </c>
      <c r="H96" s="6">
        <v>-36370</v>
      </c>
      <c r="I96" s="2" t="s">
        <v>51</v>
      </c>
      <c r="J96" s="2" t="s">
        <v>448</v>
      </c>
      <c r="K96" s="19">
        <f t="shared" si="14"/>
        <v>46200</v>
      </c>
      <c r="L96" s="20"/>
      <c r="M96" s="19"/>
      <c r="N96" s="19">
        <f t="shared" si="12"/>
        <v>46173</v>
      </c>
      <c r="O96" s="11">
        <f t="shared" si="15"/>
        <v>-36370</v>
      </c>
      <c r="P96" s="20">
        <f t="shared" ca="1" si="16"/>
        <v>19</v>
      </c>
      <c r="Q96" t="s">
        <v>462</v>
      </c>
    </row>
    <row r="97" spans="1:17" hidden="1" outlineLevel="1" x14ac:dyDescent="0.3">
      <c r="A97" s="2" t="s">
        <v>214</v>
      </c>
      <c r="B97" s="2" t="s">
        <v>220</v>
      </c>
      <c r="C97" s="2" t="s">
        <v>221</v>
      </c>
      <c r="D97" s="2" t="s">
        <v>68</v>
      </c>
      <c r="E97" s="3">
        <v>46161</v>
      </c>
      <c r="F97" s="4">
        <v>13</v>
      </c>
      <c r="G97" s="3">
        <v>46161</v>
      </c>
      <c r="H97" s="6">
        <v>-254051.7</v>
      </c>
      <c r="I97" s="2" t="s">
        <v>51</v>
      </c>
      <c r="J97" s="2" t="s">
        <v>448</v>
      </c>
      <c r="K97" s="19">
        <f t="shared" si="14"/>
        <v>46206</v>
      </c>
      <c r="L97" s="20"/>
      <c r="M97" s="19"/>
      <c r="N97" s="19">
        <f t="shared" si="12"/>
        <v>46161</v>
      </c>
      <c r="O97" s="11">
        <f t="shared" si="15"/>
        <v>-254051.7</v>
      </c>
      <c r="P97" s="20">
        <f t="shared" ca="1" si="16"/>
        <v>13</v>
      </c>
      <c r="Q97" t="s">
        <v>462</v>
      </c>
    </row>
    <row r="98" spans="1:17" hidden="1" outlineLevel="1" x14ac:dyDescent="0.3">
      <c r="A98" s="2" t="s">
        <v>214</v>
      </c>
      <c r="B98" s="2" t="s">
        <v>222</v>
      </c>
      <c r="C98" s="2" t="s">
        <v>223</v>
      </c>
      <c r="D98" s="2" t="s">
        <v>56</v>
      </c>
      <c r="E98" s="3">
        <v>46164</v>
      </c>
      <c r="F98" s="7">
        <v>-35</v>
      </c>
      <c r="G98" s="3">
        <v>46209</v>
      </c>
      <c r="H98" s="5">
        <v>34720</v>
      </c>
      <c r="I98" s="2" t="s">
        <v>51</v>
      </c>
      <c r="J98" s="2" t="s">
        <v>448</v>
      </c>
      <c r="K98" s="19">
        <f t="shared" si="14"/>
        <v>46209</v>
      </c>
      <c r="L98" s="20"/>
      <c r="M98" s="19"/>
      <c r="N98" s="19">
        <f t="shared" si="12"/>
        <v>46209</v>
      </c>
      <c r="O98" s="11">
        <f t="shared" si="15"/>
        <v>34720</v>
      </c>
      <c r="P98" s="20">
        <f t="shared" ca="1" si="16"/>
        <v>10</v>
      </c>
      <c r="Q98" t="s">
        <v>462</v>
      </c>
    </row>
    <row r="99" spans="1:17" outlineLevel="1" x14ac:dyDescent="0.3">
      <c r="A99" s="2" t="s">
        <v>224</v>
      </c>
      <c r="B99" s="2" t="s">
        <v>225</v>
      </c>
      <c r="C99" s="2" t="s">
        <v>226</v>
      </c>
      <c r="D99" s="2" t="s">
        <v>56</v>
      </c>
      <c r="E99" s="3">
        <v>46161</v>
      </c>
      <c r="F99" s="7">
        <v>-32</v>
      </c>
      <c r="G99" s="3">
        <v>46206</v>
      </c>
      <c r="H99" s="5">
        <v>299700</v>
      </c>
      <c r="I99" s="2" t="s">
        <v>51</v>
      </c>
      <c r="J99" s="2" t="s">
        <v>448</v>
      </c>
      <c r="K99" s="19">
        <f t="shared" si="14"/>
        <v>46206</v>
      </c>
      <c r="L99" s="20">
        <f t="shared" ref="L99:L120" ca="1" si="17">TODAY()-M99</f>
        <v>-32</v>
      </c>
      <c r="M99" s="19">
        <v>46206</v>
      </c>
      <c r="N99" s="19">
        <f t="shared" si="12"/>
        <v>46206</v>
      </c>
      <c r="O99" s="11">
        <f>H99*0.5</f>
        <v>149850</v>
      </c>
      <c r="P99" s="20">
        <f t="shared" ca="1" si="16"/>
        <v>13</v>
      </c>
      <c r="Q99" t="s">
        <v>462</v>
      </c>
    </row>
    <row r="100" spans="1:17" outlineLevel="1" x14ac:dyDescent="0.3">
      <c r="A100" s="26" t="s">
        <v>224</v>
      </c>
      <c r="B100" s="26" t="s">
        <v>225</v>
      </c>
      <c r="C100" s="26" t="s">
        <v>226</v>
      </c>
      <c r="D100" s="26" t="s">
        <v>56</v>
      </c>
      <c r="E100" s="27">
        <v>46161</v>
      </c>
      <c r="F100" s="28">
        <v>-32</v>
      </c>
      <c r="G100" s="27">
        <v>46206</v>
      </c>
      <c r="H100" s="29">
        <v>299700</v>
      </c>
      <c r="I100" s="2" t="s">
        <v>51</v>
      </c>
      <c r="J100" s="2" t="s">
        <v>448</v>
      </c>
      <c r="K100" s="27">
        <f t="shared" ref="K100" si="18">E100+45</f>
        <v>46206</v>
      </c>
      <c r="L100" s="30">
        <f t="shared" ref="L100" ca="1" si="19">TODAY()-M100</f>
        <v>-32</v>
      </c>
      <c r="M100" s="27">
        <v>46206</v>
      </c>
      <c r="N100" s="27">
        <f>E100+15</f>
        <v>46176</v>
      </c>
      <c r="O100" s="29">
        <f>H100*0.5</f>
        <v>149850</v>
      </c>
      <c r="P100" s="30">
        <f t="shared" ref="P100" ca="1" si="20">TODAY()-E100</f>
        <v>13</v>
      </c>
      <c r="Q100" s="26" t="s">
        <v>462</v>
      </c>
    </row>
    <row r="101" spans="1:17" outlineLevel="1" x14ac:dyDescent="0.3">
      <c r="A101" s="2" t="s">
        <v>227</v>
      </c>
      <c r="B101" s="2" t="s">
        <v>228</v>
      </c>
      <c r="C101" s="2" t="s">
        <v>229</v>
      </c>
      <c r="D101" s="2" t="s">
        <v>56</v>
      </c>
      <c r="E101" s="3">
        <v>46138</v>
      </c>
      <c r="F101" s="7">
        <v>-9</v>
      </c>
      <c r="G101" s="3">
        <v>46183</v>
      </c>
      <c r="H101" s="5">
        <v>105300</v>
      </c>
      <c r="I101" s="2" t="s">
        <v>51</v>
      </c>
      <c r="J101" s="2" t="s">
        <v>448</v>
      </c>
      <c r="K101" s="19">
        <f t="shared" si="14"/>
        <v>46183</v>
      </c>
      <c r="L101" s="20">
        <f t="shared" ca="1" si="17"/>
        <v>-9</v>
      </c>
      <c r="M101" s="19">
        <v>46183</v>
      </c>
      <c r="N101" s="19">
        <f t="shared" si="12"/>
        <v>46183</v>
      </c>
      <c r="O101" s="11">
        <f t="shared" si="15"/>
        <v>105300</v>
      </c>
      <c r="P101" s="20">
        <f t="shared" ca="1" si="16"/>
        <v>36</v>
      </c>
      <c r="Q101" t="s">
        <v>462</v>
      </c>
    </row>
    <row r="102" spans="1:17" outlineLevel="1" x14ac:dyDescent="0.3">
      <c r="A102" s="2" t="s">
        <v>227</v>
      </c>
      <c r="B102" s="2" t="s">
        <v>230</v>
      </c>
      <c r="C102" s="2" t="s">
        <v>231</v>
      </c>
      <c r="D102" s="2" t="s">
        <v>56</v>
      </c>
      <c r="E102" s="3">
        <v>46154</v>
      </c>
      <c r="F102" s="7">
        <v>-25</v>
      </c>
      <c r="G102" s="3">
        <v>46199</v>
      </c>
      <c r="H102" s="5">
        <v>420417</v>
      </c>
      <c r="I102" s="2" t="s">
        <v>51</v>
      </c>
      <c r="J102" s="2" t="s">
        <v>448</v>
      </c>
      <c r="K102" s="19">
        <f t="shared" si="14"/>
        <v>46199</v>
      </c>
      <c r="L102" s="20">
        <f t="shared" ca="1" si="17"/>
        <v>-25</v>
      </c>
      <c r="M102" s="19">
        <v>46199</v>
      </c>
      <c r="N102" s="19">
        <f t="shared" si="12"/>
        <v>46199</v>
      </c>
      <c r="O102" s="11">
        <f>H102*0.5</f>
        <v>210208.5</v>
      </c>
      <c r="P102" s="20">
        <f t="shared" ca="1" si="16"/>
        <v>20</v>
      </c>
      <c r="Q102" t="s">
        <v>462</v>
      </c>
    </row>
    <row r="103" spans="1:17" outlineLevel="1" x14ac:dyDescent="0.3">
      <c r="A103" s="26" t="s">
        <v>227</v>
      </c>
      <c r="B103" s="26" t="s">
        <v>228</v>
      </c>
      <c r="C103" s="26" t="s">
        <v>231</v>
      </c>
      <c r="D103" s="26" t="s">
        <v>56</v>
      </c>
      <c r="E103" s="27">
        <v>46154</v>
      </c>
      <c r="F103" s="28">
        <v>-25</v>
      </c>
      <c r="G103" s="27">
        <v>46199</v>
      </c>
      <c r="H103" s="29">
        <v>420417</v>
      </c>
      <c r="I103" s="2" t="s">
        <v>51</v>
      </c>
      <c r="J103" s="2" t="s">
        <v>448</v>
      </c>
      <c r="K103" s="27">
        <f t="shared" ref="K103" si="21">E103+45</f>
        <v>46199</v>
      </c>
      <c r="L103" s="30">
        <f t="shared" ref="L103" ca="1" si="22">TODAY()-M103</f>
        <v>-25</v>
      </c>
      <c r="M103" s="27">
        <v>46199</v>
      </c>
      <c r="N103" s="27">
        <f>E103+25</f>
        <v>46179</v>
      </c>
      <c r="O103" s="29">
        <f>H103*0.5</f>
        <v>210208.5</v>
      </c>
      <c r="P103" s="30">
        <f t="shared" ref="P103" ca="1" si="23">TODAY()-E103</f>
        <v>20</v>
      </c>
      <c r="Q103" s="26" t="s">
        <v>462</v>
      </c>
    </row>
    <row r="104" spans="1:17" outlineLevel="1" x14ac:dyDescent="0.3">
      <c r="A104" s="2" t="s">
        <v>227</v>
      </c>
      <c r="B104" s="2" t="s">
        <v>232</v>
      </c>
      <c r="C104" s="2" t="s">
        <v>233</v>
      </c>
      <c r="D104" s="2" t="s">
        <v>56</v>
      </c>
      <c r="E104" s="3">
        <v>46164</v>
      </c>
      <c r="F104" s="7">
        <v>-35</v>
      </c>
      <c r="G104" s="3">
        <v>46209</v>
      </c>
      <c r="H104" s="5">
        <v>103806</v>
      </c>
      <c r="I104" s="2" t="s">
        <v>51</v>
      </c>
      <c r="J104" s="2" t="s">
        <v>448</v>
      </c>
      <c r="K104" s="19">
        <f t="shared" si="14"/>
        <v>46209</v>
      </c>
      <c r="L104" s="20">
        <f t="shared" ca="1" si="17"/>
        <v>-35</v>
      </c>
      <c r="M104" s="19">
        <v>46209</v>
      </c>
      <c r="N104" s="19">
        <f t="shared" si="12"/>
        <v>46209</v>
      </c>
      <c r="O104" s="11">
        <f>H104*0.5</f>
        <v>51903</v>
      </c>
      <c r="P104" s="20">
        <f t="shared" ca="1" si="16"/>
        <v>10</v>
      </c>
      <c r="Q104" t="s">
        <v>462</v>
      </c>
    </row>
    <row r="105" spans="1:17" outlineLevel="1" x14ac:dyDescent="0.3">
      <c r="A105" s="26" t="s">
        <v>227</v>
      </c>
      <c r="B105" s="26" t="s">
        <v>228</v>
      </c>
      <c r="C105" s="26" t="s">
        <v>233</v>
      </c>
      <c r="D105" s="26" t="s">
        <v>56</v>
      </c>
      <c r="E105" s="27">
        <v>46164</v>
      </c>
      <c r="F105" s="28">
        <v>-35</v>
      </c>
      <c r="G105" s="27">
        <v>46209</v>
      </c>
      <c r="H105" s="29">
        <v>103806</v>
      </c>
      <c r="I105" s="2" t="s">
        <v>51</v>
      </c>
      <c r="J105" s="2" t="s">
        <v>448</v>
      </c>
      <c r="K105" s="27">
        <f t="shared" ref="K105" si="24">E105+45</f>
        <v>46209</v>
      </c>
      <c r="L105" s="30">
        <f t="shared" ref="L105" ca="1" si="25">TODAY()-M105</f>
        <v>-35</v>
      </c>
      <c r="M105" s="27">
        <v>46209</v>
      </c>
      <c r="N105" s="27">
        <f>E105+15</f>
        <v>46179</v>
      </c>
      <c r="O105" s="29">
        <f>H105*0.5</f>
        <v>51903</v>
      </c>
      <c r="P105" s="30">
        <f t="shared" ref="P105" ca="1" si="26">TODAY()-E105</f>
        <v>10</v>
      </c>
      <c r="Q105" s="26" t="s">
        <v>462</v>
      </c>
    </row>
    <row r="106" spans="1:17" outlineLevel="1" x14ac:dyDescent="0.3">
      <c r="A106" s="2" t="s">
        <v>227</v>
      </c>
      <c r="B106" s="2" t="s">
        <v>234</v>
      </c>
      <c r="C106" s="2" t="s">
        <v>235</v>
      </c>
      <c r="D106" s="2" t="s">
        <v>56</v>
      </c>
      <c r="E106" s="3">
        <v>46166</v>
      </c>
      <c r="F106" s="7">
        <v>-37</v>
      </c>
      <c r="G106" s="3">
        <v>46211</v>
      </c>
      <c r="H106" s="5">
        <v>104872.5</v>
      </c>
      <c r="I106" s="2" t="s">
        <v>51</v>
      </c>
      <c r="J106" s="2" t="s">
        <v>448</v>
      </c>
      <c r="K106" s="19">
        <f t="shared" si="14"/>
        <v>46211</v>
      </c>
      <c r="L106" s="20"/>
      <c r="M106" s="19"/>
      <c r="N106" s="19">
        <f t="shared" si="12"/>
        <v>46211</v>
      </c>
      <c r="O106" s="11">
        <f>H106*0.5</f>
        <v>52436.25</v>
      </c>
      <c r="P106" s="20">
        <f t="shared" ca="1" si="16"/>
        <v>8</v>
      </c>
      <c r="Q106" t="s">
        <v>462</v>
      </c>
    </row>
    <row r="107" spans="1:17" outlineLevel="1" x14ac:dyDescent="0.3">
      <c r="A107" s="26" t="s">
        <v>227</v>
      </c>
      <c r="B107" s="26" t="s">
        <v>228</v>
      </c>
      <c r="C107" s="26" t="s">
        <v>235</v>
      </c>
      <c r="D107" s="26" t="s">
        <v>56</v>
      </c>
      <c r="E107" s="27">
        <v>46166</v>
      </c>
      <c r="F107" s="28">
        <v>-37</v>
      </c>
      <c r="G107" s="27">
        <v>46211</v>
      </c>
      <c r="H107" s="29">
        <v>104872.5</v>
      </c>
      <c r="I107" s="2" t="s">
        <v>51</v>
      </c>
      <c r="J107" s="2" t="s">
        <v>448</v>
      </c>
      <c r="K107" s="27">
        <f t="shared" si="14"/>
        <v>46211</v>
      </c>
      <c r="L107" s="30">
        <f t="shared" ref="L107" ca="1" si="27">TODAY()-M107</f>
        <v>-35</v>
      </c>
      <c r="M107" s="27">
        <v>46209</v>
      </c>
      <c r="N107" s="27">
        <f>E107+15</f>
        <v>46181</v>
      </c>
      <c r="O107" s="29">
        <f>H107*0.5</f>
        <v>52436.25</v>
      </c>
      <c r="P107" s="30">
        <f t="shared" ca="1" si="16"/>
        <v>8</v>
      </c>
      <c r="Q107" s="26" t="s">
        <v>462</v>
      </c>
    </row>
    <row r="108" spans="1:17" outlineLevel="1" x14ac:dyDescent="0.3">
      <c r="A108" s="2" t="s">
        <v>227</v>
      </c>
      <c r="B108" s="2" t="s">
        <v>236</v>
      </c>
      <c r="C108" s="2" t="s">
        <v>237</v>
      </c>
      <c r="D108" s="2" t="s">
        <v>56</v>
      </c>
      <c r="E108" s="3">
        <v>46166</v>
      </c>
      <c r="F108" s="7">
        <v>-37</v>
      </c>
      <c r="G108" s="3">
        <v>46211</v>
      </c>
      <c r="H108" s="5">
        <v>421200</v>
      </c>
      <c r="I108" s="2" t="s">
        <v>51</v>
      </c>
      <c r="J108" s="2" t="s">
        <v>448</v>
      </c>
      <c r="K108" s="19">
        <f t="shared" si="14"/>
        <v>46211</v>
      </c>
      <c r="L108" s="20"/>
      <c r="M108" s="19"/>
      <c r="N108" s="19">
        <f t="shared" si="12"/>
        <v>46211</v>
      </c>
      <c r="O108" s="11">
        <f>H108*0.5</f>
        <v>210600</v>
      </c>
      <c r="P108" s="20">
        <f t="shared" ca="1" si="16"/>
        <v>8</v>
      </c>
      <c r="Q108" t="s">
        <v>462</v>
      </c>
    </row>
    <row r="109" spans="1:17" outlineLevel="1" x14ac:dyDescent="0.3">
      <c r="A109" s="26" t="s">
        <v>227</v>
      </c>
      <c r="B109" s="26" t="s">
        <v>228</v>
      </c>
      <c r="C109" s="26" t="s">
        <v>237</v>
      </c>
      <c r="D109" s="26" t="s">
        <v>56</v>
      </c>
      <c r="E109" s="27">
        <v>46166</v>
      </c>
      <c r="F109" s="28">
        <v>-37</v>
      </c>
      <c r="G109" s="27">
        <v>46211</v>
      </c>
      <c r="H109" s="29">
        <v>421200</v>
      </c>
      <c r="I109" s="2" t="s">
        <v>51</v>
      </c>
      <c r="J109" s="2" t="s">
        <v>448</v>
      </c>
      <c r="K109" s="27">
        <f t="shared" ref="K109" si="28">E109+45</f>
        <v>46211</v>
      </c>
      <c r="L109" s="30">
        <f t="shared" ref="L109" ca="1" si="29">TODAY()-M109</f>
        <v>-35</v>
      </c>
      <c r="M109" s="27">
        <v>46209</v>
      </c>
      <c r="N109" s="27">
        <f>E109+15</f>
        <v>46181</v>
      </c>
      <c r="O109" s="29">
        <f>H109*0.5</f>
        <v>210600</v>
      </c>
      <c r="P109" s="30">
        <f t="shared" ref="P109" ca="1" si="30">TODAY()-E109</f>
        <v>8</v>
      </c>
      <c r="Q109" s="26" t="s">
        <v>462</v>
      </c>
    </row>
    <row r="110" spans="1:17" outlineLevel="1" x14ac:dyDescent="0.3">
      <c r="A110" s="2" t="s">
        <v>227</v>
      </c>
      <c r="B110" s="2" t="s">
        <v>238</v>
      </c>
      <c r="C110" s="2" t="s">
        <v>239</v>
      </c>
      <c r="D110" s="2" t="s">
        <v>56</v>
      </c>
      <c r="E110" s="3">
        <v>46171</v>
      </c>
      <c r="F110" s="7">
        <v>-42</v>
      </c>
      <c r="G110" s="3">
        <v>46216</v>
      </c>
      <c r="H110" s="5">
        <v>104161.5</v>
      </c>
      <c r="I110" s="2" t="s">
        <v>51</v>
      </c>
      <c r="J110" s="2" t="s">
        <v>448</v>
      </c>
      <c r="K110" s="19">
        <f t="shared" si="14"/>
        <v>46216</v>
      </c>
      <c r="L110" s="20"/>
      <c r="M110" s="19"/>
      <c r="N110" s="19">
        <f t="shared" ref="N110:N122" si="31">G110</f>
        <v>46216</v>
      </c>
      <c r="O110" s="11">
        <f>H110*0.5</f>
        <v>52080.75</v>
      </c>
      <c r="P110" s="20">
        <f t="shared" ca="1" si="16"/>
        <v>3</v>
      </c>
      <c r="Q110" t="s">
        <v>462</v>
      </c>
    </row>
    <row r="111" spans="1:17" outlineLevel="1" x14ac:dyDescent="0.3">
      <c r="A111" s="26" t="s">
        <v>227</v>
      </c>
      <c r="B111" s="26" t="s">
        <v>228</v>
      </c>
      <c r="C111" s="26" t="s">
        <v>239</v>
      </c>
      <c r="D111" s="26" t="s">
        <v>56</v>
      </c>
      <c r="E111" s="27">
        <v>46171</v>
      </c>
      <c r="F111" s="28">
        <v>-42</v>
      </c>
      <c r="G111" s="27">
        <v>46216</v>
      </c>
      <c r="H111" s="29">
        <v>104161.5</v>
      </c>
      <c r="I111" s="2" t="s">
        <v>51</v>
      </c>
      <c r="J111" s="2" t="s">
        <v>448</v>
      </c>
      <c r="K111" s="27">
        <f t="shared" si="14"/>
        <v>46216</v>
      </c>
      <c r="L111" s="30">
        <f t="shared" ref="L111" ca="1" si="32">TODAY()-M111</f>
        <v>-35</v>
      </c>
      <c r="M111" s="27">
        <v>46209</v>
      </c>
      <c r="N111" s="27">
        <f>E111+15</f>
        <v>46186</v>
      </c>
      <c r="O111" s="29">
        <f>H111*0.5</f>
        <v>52080.75</v>
      </c>
      <c r="P111" s="30">
        <f t="shared" ca="1" si="16"/>
        <v>3</v>
      </c>
      <c r="Q111" s="26" t="s">
        <v>462</v>
      </c>
    </row>
    <row r="112" spans="1:17" outlineLevel="1" x14ac:dyDescent="0.3">
      <c r="A112" s="2" t="s">
        <v>227</v>
      </c>
      <c r="B112" s="2" t="s">
        <v>240</v>
      </c>
      <c r="C112" s="2" t="s">
        <v>241</v>
      </c>
      <c r="D112" s="2" t="s">
        <v>56</v>
      </c>
      <c r="E112" s="3">
        <v>46171</v>
      </c>
      <c r="F112" s="7">
        <v>-42</v>
      </c>
      <c r="G112" s="3">
        <v>46216</v>
      </c>
      <c r="H112" s="5">
        <v>105300</v>
      </c>
      <c r="I112" s="2" t="s">
        <v>51</v>
      </c>
      <c r="J112" s="2" t="s">
        <v>448</v>
      </c>
      <c r="K112" s="19">
        <f t="shared" si="14"/>
        <v>46216</v>
      </c>
      <c r="L112" s="20"/>
      <c r="M112" s="19"/>
      <c r="N112" s="19">
        <f t="shared" si="31"/>
        <v>46216</v>
      </c>
      <c r="O112" s="11">
        <f>H112*0.5</f>
        <v>52650</v>
      </c>
      <c r="P112" s="20">
        <f t="shared" ca="1" si="16"/>
        <v>3</v>
      </c>
      <c r="Q112" t="s">
        <v>462</v>
      </c>
    </row>
    <row r="113" spans="1:17" outlineLevel="1" x14ac:dyDescent="0.3">
      <c r="A113" s="26" t="s">
        <v>227</v>
      </c>
      <c r="B113" s="26" t="s">
        <v>228</v>
      </c>
      <c r="C113" s="26" t="s">
        <v>241</v>
      </c>
      <c r="D113" s="26" t="s">
        <v>56</v>
      </c>
      <c r="E113" s="27">
        <v>46171</v>
      </c>
      <c r="F113" s="28">
        <v>-42</v>
      </c>
      <c r="G113" s="27">
        <v>46216</v>
      </c>
      <c r="H113" s="29">
        <v>105300</v>
      </c>
      <c r="I113" s="2" t="s">
        <v>51</v>
      </c>
      <c r="J113" s="2" t="s">
        <v>448</v>
      </c>
      <c r="K113" s="27">
        <f t="shared" ref="K113" si="33">E113+45</f>
        <v>46216</v>
      </c>
      <c r="L113" s="30">
        <f t="shared" ref="L113" ca="1" si="34">TODAY()-M113</f>
        <v>-35</v>
      </c>
      <c r="M113" s="27">
        <v>46209</v>
      </c>
      <c r="N113" s="27">
        <f>E113+15</f>
        <v>46186</v>
      </c>
      <c r="O113" s="29">
        <f>H113*0.5</f>
        <v>52650</v>
      </c>
      <c r="P113" s="30">
        <f t="shared" ref="P113" ca="1" si="35">TODAY()-E113</f>
        <v>3</v>
      </c>
      <c r="Q113" s="26" t="s">
        <v>462</v>
      </c>
    </row>
    <row r="114" spans="1:17" hidden="1" outlineLevel="1" x14ac:dyDescent="0.3">
      <c r="A114" s="2" t="s">
        <v>242</v>
      </c>
      <c r="B114" s="2" t="s">
        <v>243</v>
      </c>
      <c r="C114" s="2" t="s">
        <v>244</v>
      </c>
      <c r="D114" s="2" t="s">
        <v>50</v>
      </c>
      <c r="E114" s="3">
        <v>46155</v>
      </c>
      <c r="F114" s="4">
        <v>0</v>
      </c>
      <c r="G114" s="3">
        <v>46173</v>
      </c>
      <c r="H114" s="6">
        <v>-223726</v>
      </c>
      <c r="I114" s="2" t="s">
        <v>51</v>
      </c>
      <c r="J114" s="2" t="s">
        <v>448</v>
      </c>
      <c r="K114" s="19">
        <f t="shared" si="14"/>
        <v>46200</v>
      </c>
      <c r="L114" s="20"/>
      <c r="M114" s="19"/>
      <c r="N114" s="19">
        <f t="shared" si="31"/>
        <v>46173</v>
      </c>
      <c r="O114" s="11">
        <f t="shared" si="15"/>
        <v>-223726</v>
      </c>
      <c r="P114" s="20">
        <f t="shared" ca="1" si="16"/>
        <v>19</v>
      </c>
      <c r="Q114" t="s">
        <v>462</v>
      </c>
    </row>
    <row r="115" spans="1:17" hidden="1" outlineLevel="1" x14ac:dyDescent="0.3">
      <c r="A115" s="2" t="s">
        <v>242</v>
      </c>
      <c r="B115" s="2" t="s">
        <v>245</v>
      </c>
      <c r="C115" s="2" t="s">
        <v>246</v>
      </c>
      <c r="D115" s="2" t="s">
        <v>56</v>
      </c>
      <c r="E115" s="3">
        <v>46166</v>
      </c>
      <c r="F115" s="7">
        <v>-37</v>
      </c>
      <c r="G115" s="3">
        <v>46211</v>
      </c>
      <c r="H115" s="5">
        <v>436320</v>
      </c>
      <c r="I115" s="2" t="s">
        <v>51</v>
      </c>
      <c r="J115" s="2" t="s">
        <v>448</v>
      </c>
      <c r="K115" s="19">
        <f t="shared" si="14"/>
        <v>46211</v>
      </c>
      <c r="L115" s="20"/>
      <c r="M115" s="19"/>
      <c r="N115" s="19">
        <f t="shared" si="31"/>
        <v>46211</v>
      </c>
      <c r="O115" s="11">
        <f t="shared" si="15"/>
        <v>436320</v>
      </c>
      <c r="P115" s="20">
        <f t="shared" ca="1" si="16"/>
        <v>8</v>
      </c>
      <c r="Q115" t="s">
        <v>462</v>
      </c>
    </row>
    <row r="116" spans="1:17" hidden="1" outlineLevel="1" x14ac:dyDescent="0.3">
      <c r="A116" s="2" t="s">
        <v>242</v>
      </c>
      <c r="B116" s="2" t="s">
        <v>247</v>
      </c>
      <c r="C116" s="2" t="s">
        <v>248</v>
      </c>
      <c r="D116" s="2" t="s">
        <v>56</v>
      </c>
      <c r="E116" s="3">
        <v>46171</v>
      </c>
      <c r="F116" s="7">
        <v>-42</v>
      </c>
      <c r="G116" s="3">
        <v>46216</v>
      </c>
      <c r="H116" s="5">
        <v>54540</v>
      </c>
      <c r="I116" s="2" t="s">
        <v>51</v>
      </c>
      <c r="J116" s="2" t="s">
        <v>448</v>
      </c>
      <c r="K116" s="19">
        <f t="shared" si="14"/>
        <v>46216</v>
      </c>
      <c r="L116" s="20"/>
      <c r="M116" s="19"/>
      <c r="N116" s="19">
        <f t="shared" si="31"/>
        <v>46216</v>
      </c>
      <c r="O116" s="11">
        <f t="shared" si="15"/>
        <v>54540</v>
      </c>
      <c r="P116" s="20">
        <f t="shared" ca="1" si="16"/>
        <v>3</v>
      </c>
      <c r="Q116" t="s">
        <v>462</v>
      </c>
    </row>
    <row r="117" spans="1:17" hidden="1" outlineLevel="1" x14ac:dyDescent="0.3">
      <c r="A117" s="2" t="s">
        <v>249</v>
      </c>
      <c r="B117" s="2" t="s">
        <v>250</v>
      </c>
      <c r="C117" s="2" t="s">
        <v>251</v>
      </c>
      <c r="D117" s="2" t="s">
        <v>72</v>
      </c>
      <c r="E117" s="3">
        <v>46138</v>
      </c>
      <c r="F117" s="4">
        <v>0</v>
      </c>
      <c r="G117" s="3">
        <v>46138</v>
      </c>
      <c r="H117" s="6">
        <v>-4560</v>
      </c>
      <c r="I117" s="2" t="s">
        <v>51</v>
      </c>
      <c r="J117" s="2" t="s">
        <v>448</v>
      </c>
      <c r="K117" s="19">
        <f t="shared" si="14"/>
        <v>46183</v>
      </c>
      <c r="L117" s="20"/>
      <c r="M117" s="19"/>
      <c r="N117" s="19">
        <f t="shared" si="31"/>
        <v>46138</v>
      </c>
      <c r="O117" s="11">
        <f t="shared" si="15"/>
        <v>-4560</v>
      </c>
      <c r="P117" s="20">
        <f t="shared" ca="1" si="16"/>
        <v>36</v>
      </c>
      <c r="Q117" t="s">
        <v>462</v>
      </c>
    </row>
    <row r="118" spans="1:17" hidden="1" outlineLevel="1" x14ac:dyDescent="0.3">
      <c r="A118" s="2" t="s">
        <v>249</v>
      </c>
      <c r="B118" s="2" t="s">
        <v>252</v>
      </c>
      <c r="C118" s="2" t="s">
        <v>253</v>
      </c>
      <c r="D118" s="2" t="s">
        <v>56</v>
      </c>
      <c r="E118" s="3">
        <v>46141</v>
      </c>
      <c r="F118" s="7">
        <v>-12</v>
      </c>
      <c r="G118" s="3">
        <v>46186</v>
      </c>
      <c r="H118" s="5">
        <v>396900</v>
      </c>
      <c r="I118" s="2" t="s">
        <v>51</v>
      </c>
      <c r="J118" s="2" t="s">
        <v>448</v>
      </c>
      <c r="K118" s="19">
        <f t="shared" si="14"/>
        <v>46186</v>
      </c>
      <c r="L118" s="20">
        <f t="shared" ca="1" si="17"/>
        <v>-12</v>
      </c>
      <c r="M118" s="19">
        <v>46186</v>
      </c>
      <c r="N118" s="19">
        <f t="shared" si="31"/>
        <v>46186</v>
      </c>
      <c r="O118" s="11">
        <f t="shared" si="15"/>
        <v>396900</v>
      </c>
      <c r="P118" s="20">
        <f t="shared" ca="1" si="16"/>
        <v>33</v>
      </c>
      <c r="Q118" t="s">
        <v>462</v>
      </c>
    </row>
    <row r="119" spans="1:17" hidden="1" outlineLevel="1" x14ac:dyDescent="0.3">
      <c r="A119" s="2" t="s">
        <v>249</v>
      </c>
      <c r="B119" s="2" t="s">
        <v>254</v>
      </c>
      <c r="C119" s="2" t="s">
        <v>255</v>
      </c>
      <c r="D119" s="2" t="s">
        <v>56</v>
      </c>
      <c r="E119" s="3">
        <v>46159</v>
      </c>
      <c r="F119" s="7">
        <v>-30</v>
      </c>
      <c r="G119" s="3">
        <v>46204</v>
      </c>
      <c r="H119" s="5">
        <v>113820</v>
      </c>
      <c r="I119" s="2" t="s">
        <v>51</v>
      </c>
      <c r="J119" s="2" t="s">
        <v>448</v>
      </c>
      <c r="K119" s="19">
        <f t="shared" si="14"/>
        <v>46204</v>
      </c>
      <c r="L119" s="20">
        <f t="shared" ca="1" si="17"/>
        <v>-30</v>
      </c>
      <c r="M119" s="19">
        <v>46204</v>
      </c>
      <c r="N119" s="19">
        <f t="shared" si="31"/>
        <v>46204</v>
      </c>
      <c r="O119" s="11">
        <f t="shared" si="15"/>
        <v>113820</v>
      </c>
      <c r="P119" s="20">
        <f t="shared" ca="1" si="16"/>
        <v>15</v>
      </c>
      <c r="Q119" t="s">
        <v>462</v>
      </c>
    </row>
    <row r="120" spans="1:17" hidden="1" outlineLevel="1" x14ac:dyDescent="0.3">
      <c r="A120" s="2" t="s">
        <v>249</v>
      </c>
      <c r="B120" s="2" t="s">
        <v>256</v>
      </c>
      <c r="C120" s="2" t="s">
        <v>257</v>
      </c>
      <c r="D120" s="2" t="s">
        <v>56</v>
      </c>
      <c r="E120" s="3">
        <v>46164</v>
      </c>
      <c r="F120" s="7">
        <v>-35</v>
      </c>
      <c r="G120" s="3">
        <v>46209</v>
      </c>
      <c r="H120" s="5">
        <v>56280</v>
      </c>
      <c r="I120" s="2" t="s">
        <v>51</v>
      </c>
      <c r="J120" s="2" t="s">
        <v>448</v>
      </c>
      <c r="K120" s="19">
        <f t="shared" si="14"/>
        <v>46209</v>
      </c>
      <c r="L120" s="20">
        <f t="shared" ca="1" si="17"/>
        <v>-35</v>
      </c>
      <c r="M120" s="19">
        <v>46209</v>
      </c>
      <c r="N120" s="19">
        <f t="shared" si="31"/>
        <v>46209</v>
      </c>
      <c r="O120" s="11">
        <f t="shared" si="15"/>
        <v>56280</v>
      </c>
      <c r="P120" s="20">
        <f t="shared" ca="1" si="16"/>
        <v>10</v>
      </c>
      <c r="Q120" t="s">
        <v>462</v>
      </c>
    </row>
    <row r="121" spans="1:17" hidden="1" outlineLevel="1" x14ac:dyDescent="0.3">
      <c r="A121" s="2" t="s">
        <v>249</v>
      </c>
      <c r="B121" s="2" t="s">
        <v>258</v>
      </c>
      <c r="C121" s="2" t="s">
        <v>259</v>
      </c>
      <c r="D121" s="2" t="s">
        <v>56</v>
      </c>
      <c r="E121" s="3">
        <v>46166</v>
      </c>
      <c r="F121" s="7">
        <v>-37</v>
      </c>
      <c r="G121" s="3">
        <v>46211</v>
      </c>
      <c r="H121" s="5">
        <v>113400</v>
      </c>
      <c r="I121" s="2" t="s">
        <v>51</v>
      </c>
      <c r="J121" s="2" t="s">
        <v>448</v>
      </c>
      <c r="K121" s="19">
        <f t="shared" si="14"/>
        <v>46211</v>
      </c>
      <c r="L121" s="20"/>
      <c r="M121" s="19"/>
      <c r="N121" s="19">
        <f t="shared" si="31"/>
        <v>46211</v>
      </c>
      <c r="O121" s="11">
        <f t="shared" si="15"/>
        <v>113400</v>
      </c>
      <c r="P121" s="20">
        <f t="shared" ca="1" si="16"/>
        <v>8</v>
      </c>
      <c r="Q121" t="s">
        <v>462</v>
      </c>
    </row>
    <row r="122" spans="1:17" hidden="1" outlineLevel="1" x14ac:dyDescent="0.3">
      <c r="A122" s="2" t="s">
        <v>249</v>
      </c>
      <c r="B122" s="2" t="s">
        <v>260</v>
      </c>
      <c r="C122" s="2" t="s">
        <v>261</v>
      </c>
      <c r="D122" s="2" t="s">
        <v>56</v>
      </c>
      <c r="E122" s="3">
        <v>46171</v>
      </c>
      <c r="F122" s="7">
        <v>-42</v>
      </c>
      <c r="G122" s="3">
        <v>46216</v>
      </c>
      <c r="H122" s="5">
        <v>56700</v>
      </c>
      <c r="I122" s="2" t="s">
        <v>51</v>
      </c>
      <c r="J122" s="2" t="s">
        <v>448</v>
      </c>
      <c r="K122" s="19">
        <f t="shared" si="14"/>
        <v>46216</v>
      </c>
      <c r="L122" s="20"/>
      <c r="M122" s="19"/>
      <c r="N122" s="19">
        <f t="shared" si="31"/>
        <v>46216</v>
      </c>
      <c r="O122" s="11">
        <f t="shared" si="15"/>
        <v>56700</v>
      </c>
      <c r="P122" s="20">
        <f t="shared" ca="1" si="16"/>
        <v>3</v>
      </c>
      <c r="Q122" t="s">
        <v>462</v>
      </c>
    </row>
    <row r="123" spans="1:17" hidden="1" outlineLevel="1" x14ac:dyDescent="0.3">
      <c r="A123" s="2" t="s">
        <v>262</v>
      </c>
      <c r="B123" s="2" t="s">
        <v>263</v>
      </c>
      <c r="C123" s="2" t="s">
        <v>264</v>
      </c>
      <c r="D123" s="2" t="s">
        <v>14</v>
      </c>
      <c r="E123" s="3">
        <v>45964</v>
      </c>
      <c r="F123" s="4">
        <v>203</v>
      </c>
      <c r="G123" s="3">
        <v>45971</v>
      </c>
      <c r="H123" s="5">
        <v>1403.26</v>
      </c>
      <c r="I123" s="2" t="s">
        <v>10</v>
      </c>
      <c r="J123" s="2" t="s">
        <v>447</v>
      </c>
      <c r="M123" s="19"/>
      <c r="N123" s="19">
        <f t="shared" ref="N123:N152" si="36">G123</f>
        <v>45971</v>
      </c>
      <c r="O123" s="8">
        <f t="shared" ref="O123:O144" si="37">H123/3.417</f>
        <v>410.67017851916887</v>
      </c>
    </row>
    <row r="124" spans="1:17" hidden="1" outlineLevel="1" x14ac:dyDescent="0.3">
      <c r="A124" s="2" t="s">
        <v>262</v>
      </c>
      <c r="B124" s="2" t="s">
        <v>265</v>
      </c>
      <c r="C124" s="2" t="s">
        <v>266</v>
      </c>
      <c r="D124" s="2" t="s">
        <v>14</v>
      </c>
      <c r="E124" s="3">
        <v>45964</v>
      </c>
      <c r="F124" s="4">
        <v>203</v>
      </c>
      <c r="G124" s="3">
        <v>45971</v>
      </c>
      <c r="H124" s="5">
        <v>141.6</v>
      </c>
      <c r="I124" s="2" t="s">
        <v>10</v>
      </c>
      <c r="J124" s="2" t="s">
        <v>447</v>
      </c>
      <c r="M124" s="19"/>
      <c r="N124" s="19">
        <f t="shared" si="36"/>
        <v>45971</v>
      </c>
      <c r="O124" s="8">
        <f t="shared" si="37"/>
        <v>41.439859525899912</v>
      </c>
    </row>
    <row r="125" spans="1:17" hidden="1" outlineLevel="1" x14ac:dyDescent="0.3">
      <c r="A125" s="2" t="s">
        <v>262</v>
      </c>
      <c r="B125" s="2" t="s">
        <v>267</v>
      </c>
      <c r="C125" s="2" t="s">
        <v>268</v>
      </c>
      <c r="D125" s="2" t="s">
        <v>14</v>
      </c>
      <c r="E125" s="3">
        <v>45967</v>
      </c>
      <c r="F125" s="4">
        <v>200</v>
      </c>
      <c r="G125" s="3">
        <v>45974</v>
      </c>
      <c r="H125" s="5">
        <v>1193.22</v>
      </c>
      <c r="I125" s="2" t="s">
        <v>10</v>
      </c>
      <c r="J125" s="2" t="s">
        <v>447</v>
      </c>
      <c r="M125" s="19"/>
      <c r="N125" s="19">
        <f t="shared" si="36"/>
        <v>45974</v>
      </c>
      <c r="O125" s="8">
        <f t="shared" si="37"/>
        <v>349.20105355575066</v>
      </c>
    </row>
    <row r="126" spans="1:17" hidden="1" outlineLevel="1" x14ac:dyDescent="0.3">
      <c r="A126" s="2" t="s">
        <v>262</v>
      </c>
      <c r="B126" s="2" t="s">
        <v>269</v>
      </c>
      <c r="C126" s="2" t="s">
        <v>270</v>
      </c>
      <c r="D126" s="2" t="s">
        <v>14</v>
      </c>
      <c r="E126" s="3">
        <v>45967</v>
      </c>
      <c r="F126" s="4">
        <v>200</v>
      </c>
      <c r="G126" s="3">
        <v>45974</v>
      </c>
      <c r="H126" s="5">
        <v>106.2</v>
      </c>
      <c r="I126" s="2" t="s">
        <v>10</v>
      </c>
      <c r="J126" s="2" t="s">
        <v>447</v>
      </c>
      <c r="M126" s="19"/>
      <c r="N126" s="19">
        <f t="shared" si="36"/>
        <v>45974</v>
      </c>
      <c r="O126" s="8">
        <f t="shared" si="37"/>
        <v>31.079894644424936</v>
      </c>
    </row>
    <row r="127" spans="1:17" hidden="1" outlineLevel="1" x14ac:dyDescent="0.3">
      <c r="A127" s="2" t="s">
        <v>262</v>
      </c>
      <c r="B127" s="2" t="s">
        <v>271</v>
      </c>
      <c r="C127" s="2" t="s">
        <v>272</v>
      </c>
      <c r="D127" s="2" t="s">
        <v>14</v>
      </c>
      <c r="E127" s="3">
        <v>46148</v>
      </c>
      <c r="F127" s="4">
        <v>19</v>
      </c>
      <c r="G127" s="3">
        <v>46155</v>
      </c>
      <c r="H127" s="5">
        <v>23.6</v>
      </c>
      <c r="I127" s="2" t="s">
        <v>10</v>
      </c>
      <c r="J127" s="2" t="s">
        <v>447</v>
      </c>
      <c r="M127" s="19"/>
      <c r="N127" s="19">
        <f t="shared" si="36"/>
        <v>46155</v>
      </c>
      <c r="O127" s="8">
        <f t="shared" si="37"/>
        <v>6.9066432543166529</v>
      </c>
    </row>
    <row r="128" spans="1:17" hidden="1" outlineLevel="1" x14ac:dyDescent="0.3">
      <c r="A128" s="2" t="s">
        <v>262</v>
      </c>
      <c r="B128" s="2" t="s">
        <v>273</v>
      </c>
      <c r="C128" s="2" t="s">
        <v>274</v>
      </c>
      <c r="D128" s="2" t="s">
        <v>14</v>
      </c>
      <c r="E128" s="3">
        <v>46148</v>
      </c>
      <c r="F128" s="4">
        <v>19</v>
      </c>
      <c r="G128" s="3">
        <v>46155</v>
      </c>
      <c r="H128" s="5">
        <v>261.49</v>
      </c>
      <c r="I128" s="2" t="s">
        <v>10</v>
      </c>
      <c r="J128" s="2" t="s">
        <v>447</v>
      </c>
      <c r="M128" s="19"/>
      <c r="N128" s="19">
        <f t="shared" si="36"/>
        <v>46155</v>
      </c>
      <c r="O128" s="8">
        <f t="shared" si="37"/>
        <v>76.526192566578871</v>
      </c>
    </row>
    <row r="129" spans="1:15" hidden="1" outlineLevel="1" x14ac:dyDescent="0.3">
      <c r="A129" s="2" t="s">
        <v>262</v>
      </c>
      <c r="B129" s="2" t="s">
        <v>275</v>
      </c>
      <c r="C129" s="2" t="s">
        <v>276</v>
      </c>
      <c r="D129" s="2" t="s">
        <v>14</v>
      </c>
      <c r="E129" s="3">
        <v>46148</v>
      </c>
      <c r="F129" s="4">
        <v>19</v>
      </c>
      <c r="G129" s="3">
        <v>46155</v>
      </c>
      <c r="H129" s="5">
        <v>387.51</v>
      </c>
      <c r="I129" s="2" t="s">
        <v>10</v>
      </c>
      <c r="J129" s="2" t="s">
        <v>447</v>
      </c>
      <c r="M129" s="19"/>
      <c r="N129" s="19">
        <f t="shared" si="36"/>
        <v>46155</v>
      </c>
      <c r="O129" s="8">
        <f t="shared" si="37"/>
        <v>113.40649692712907</v>
      </c>
    </row>
    <row r="130" spans="1:15" hidden="1" outlineLevel="1" x14ac:dyDescent="0.3">
      <c r="A130" s="2" t="s">
        <v>262</v>
      </c>
      <c r="B130" s="2" t="s">
        <v>277</v>
      </c>
      <c r="C130" s="2" t="s">
        <v>278</v>
      </c>
      <c r="D130" s="2" t="s">
        <v>14</v>
      </c>
      <c r="E130" s="3">
        <v>46148</v>
      </c>
      <c r="F130" s="4">
        <v>19</v>
      </c>
      <c r="G130" s="3">
        <v>46155</v>
      </c>
      <c r="H130" s="5">
        <v>35.4</v>
      </c>
      <c r="I130" s="2" t="s">
        <v>10</v>
      </c>
      <c r="J130" s="2" t="s">
        <v>447</v>
      </c>
      <c r="M130" s="19"/>
      <c r="N130" s="19">
        <f t="shared" si="36"/>
        <v>46155</v>
      </c>
      <c r="O130" s="8">
        <f t="shared" si="37"/>
        <v>10.359964881474978</v>
      </c>
    </row>
    <row r="131" spans="1:15" hidden="1" outlineLevel="1" x14ac:dyDescent="0.3">
      <c r="A131" s="2" t="s">
        <v>262</v>
      </c>
      <c r="B131" s="2" t="s">
        <v>279</v>
      </c>
      <c r="C131" s="2" t="s">
        <v>280</v>
      </c>
      <c r="D131" s="2" t="s">
        <v>14</v>
      </c>
      <c r="E131" s="3">
        <v>46154</v>
      </c>
      <c r="F131" s="4">
        <v>13</v>
      </c>
      <c r="G131" s="3">
        <v>46161</v>
      </c>
      <c r="H131" s="5">
        <v>482.86</v>
      </c>
      <c r="I131" s="2" t="s">
        <v>10</v>
      </c>
      <c r="J131" s="2" t="s">
        <v>447</v>
      </c>
      <c r="M131" s="19"/>
      <c r="N131" s="19">
        <f t="shared" si="36"/>
        <v>46161</v>
      </c>
      <c r="O131" s="8">
        <f t="shared" si="37"/>
        <v>141.31109160081945</v>
      </c>
    </row>
    <row r="132" spans="1:15" hidden="1" outlineLevel="1" x14ac:dyDescent="0.3">
      <c r="A132" s="2" t="s">
        <v>262</v>
      </c>
      <c r="B132" s="2" t="s">
        <v>281</v>
      </c>
      <c r="C132" s="2" t="s">
        <v>282</v>
      </c>
      <c r="D132" s="2" t="s">
        <v>14</v>
      </c>
      <c r="E132" s="3">
        <v>46154</v>
      </c>
      <c r="F132" s="4">
        <v>13</v>
      </c>
      <c r="G132" s="3">
        <v>46161</v>
      </c>
      <c r="H132" s="5">
        <v>47.2</v>
      </c>
      <c r="I132" s="2" t="s">
        <v>10</v>
      </c>
      <c r="J132" s="2" t="s">
        <v>447</v>
      </c>
      <c r="M132" s="19"/>
      <c r="N132" s="19">
        <f t="shared" si="36"/>
        <v>46161</v>
      </c>
      <c r="O132" s="8">
        <f t="shared" si="37"/>
        <v>13.813286508633306</v>
      </c>
    </row>
    <row r="133" spans="1:15" hidden="1" outlineLevel="1" x14ac:dyDescent="0.3">
      <c r="A133" s="2" t="s">
        <v>262</v>
      </c>
      <c r="B133" s="2" t="s">
        <v>283</v>
      </c>
      <c r="C133" s="2" t="s">
        <v>284</v>
      </c>
      <c r="D133" s="2" t="s">
        <v>14</v>
      </c>
      <c r="E133" s="3">
        <v>46158</v>
      </c>
      <c r="F133" s="4">
        <v>9</v>
      </c>
      <c r="G133" s="3">
        <v>46165</v>
      </c>
      <c r="H133" s="5">
        <v>544.45000000000005</v>
      </c>
      <c r="I133" s="2" t="s">
        <v>10</v>
      </c>
      <c r="J133" s="2" t="s">
        <v>447</v>
      </c>
      <c r="M133" s="19"/>
      <c r="N133" s="19">
        <f t="shared" si="36"/>
        <v>46165</v>
      </c>
      <c r="O133" s="8">
        <f t="shared" si="37"/>
        <v>159.33567456833481</v>
      </c>
    </row>
    <row r="134" spans="1:15" hidden="1" outlineLevel="1" x14ac:dyDescent="0.3">
      <c r="A134" s="2" t="s">
        <v>262</v>
      </c>
      <c r="B134" s="2" t="s">
        <v>285</v>
      </c>
      <c r="C134" s="2" t="s">
        <v>286</v>
      </c>
      <c r="D134" s="2" t="s">
        <v>14</v>
      </c>
      <c r="E134" s="3">
        <v>46158</v>
      </c>
      <c r="F134" s="4">
        <v>9</v>
      </c>
      <c r="G134" s="3">
        <v>46165</v>
      </c>
      <c r="H134" s="5">
        <v>47.2</v>
      </c>
      <c r="I134" s="2" t="s">
        <v>10</v>
      </c>
      <c r="J134" s="2" t="s">
        <v>447</v>
      </c>
      <c r="M134" s="19"/>
      <c r="N134" s="19">
        <f t="shared" si="36"/>
        <v>46165</v>
      </c>
      <c r="O134" s="8">
        <f t="shared" si="37"/>
        <v>13.813286508633306</v>
      </c>
    </row>
    <row r="135" spans="1:15" hidden="1" outlineLevel="1" x14ac:dyDescent="0.3">
      <c r="A135" s="2" t="s">
        <v>262</v>
      </c>
      <c r="B135" s="2" t="s">
        <v>287</v>
      </c>
      <c r="C135" s="2" t="s">
        <v>288</v>
      </c>
      <c r="D135" s="2" t="s">
        <v>14</v>
      </c>
      <c r="E135" s="3">
        <v>46169</v>
      </c>
      <c r="F135" s="7">
        <v>-2</v>
      </c>
      <c r="G135" s="3">
        <v>46176</v>
      </c>
      <c r="H135" s="5">
        <v>591.65</v>
      </c>
      <c r="I135" s="2" t="s">
        <v>10</v>
      </c>
      <c r="J135" s="2" t="s">
        <v>447</v>
      </c>
      <c r="M135" s="19"/>
      <c r="N135" s="19">
        <f t="shared" si="36"/>
        <v>46176</v>
      </c>
      <c r="O135" s="8">
        <f t="shared" si="37"/>
        <v>173.14896107696811</v>
      </c>
    </row>
    <row r="136" spans="1:15" hidden="1" outlineLevel="1" x14ac:dyDescent="0.3">
      <c r="A136" s="2" t="s">
        <v>262</v>
      </c>
      <c r="B136" s="2" t="s">
        <v>289</v>
      </c>
      <c r="C136" s="2" t="s">
        <v>290</v>
      </c>
      <c r="D136" s="2" t="s">
        <v>14</v>
      </c>
      <c r="E136" s="3">
        <v>46169</v>
      </c>
      <c r="F136" s="7">
        <v>-2</v>
      </c>
      <c r="G136" s="3">
        <v>46176</v>
      </c>
      <c r="H136" s="5">
        <v>70.8</v>
      </c>
      <c r="I136" s="2" t="s">
        <v>10</v>
      </c>
      <c r="J136" s="2" t="s">
        <v>447</v>
      </c>
      <c r="M136" s="19"/>
      <c r="N136" s="19">
        <f t="shared" si="36"/>
        <v>46176</v>
      </c>
      <c r="O136" s="8">
        <f t="shared" si="37"/>
        <v>20.719929762949956</v>
      </c>
    </row>
    <row r="137" spans="1:15" hidden="1" outlineLevel="1" x14ac:dyDescent="0.3">
      <c r="A137" s="2" t="s">
        <v>291</v>
      </c>
      <c r="B137" s="2" t="s">
        <v>292</v>
      </c>
      <c r="C137" s="2" t="s">
        <v>293</v>
      </c>
      <c r="D137" s="2" t="s">
        <v>14</v>
      </c>
      <c r="E137" s="3">
        <v>46140</v>
      </c>
      <c r="F137" s="4">
        <v>34</v>
      </c>
      <c r="G137" s="3">
        <v>46140</v>
      </c>
      <c r="H137" s="5">
        <v>59</v>
      </c>
      <c r="I137" s="2" t="s">
        <v>10</v>
      </c>
      <c r="J137" s="2" t="s">
        <v>447</v>
      </c>
      <c r="M137" s="19"/>
      <c r="N137" s="19">
        <f t="shared" si="36"/>
        <v>46140</v>
      </c>
      <c r="O137" s="8">
        <f t="shared" si="37"/>
        <v>17.266608135791632</v>
      </c>
    </row>
    <row r="138" spans="1:15" hidden="1" outlineLevel="1" x14ac:dyDescent="0.3">
      <c r="A138" s="2" t="s">
        <v>291</v>
      </c>
      <c r="B138" s="2" t="s">
        <v>294</v>
      </c>
      <c r="C138" s="2" t="s">
        <v>295</v>
      </c>
      <c r="D138" s="2" t="s">
        <v>14</v>
      </c>
      <c r="E138" s="3">
        <v>46140</v>
      </c>
      <c r="F138" s="4">
        <v>34</v>
      </c>
      <c r="G138" s="3">
        <v>46140</v>
      </c>
      <c r="H138" s="5">
        <v>716.71</v>
      </c>
      <c r="I138" s="2" t="s">
        <v>10</v>
      </c>
      <c r="J138" s="2" t="s">
        <v>447</v>
      </c>
      <c r="M138" s="19"/>
      <c r="N138" s="19">
        <f t="shared" si="36"/>
        <v>46140</v>
      </c>
      <c r="O138" s="8">
        <f t="shared" si="37"/>
        <v>209.74831723734272</v>
      </c>
    </row>
    <row r="139" spans="1:15" hidden="1" outlineLevel="1" x14ac:dyDescent="0.3">
      <c r="A139" s="2" t="s">
        <v>291</v>
      </c>
      <c r="B139" s="2" t="s">
        <v>296</v>
      </c>
      <c r="C139" s="2" t="s">
        <v>297</v>
      </c>
      <c r="D139" s="2" t="s">
        <v>14</v>
      </c>
      <c r="E139" s="3">
        <v>46140</v>
      </c>
      <c r="F139" s="4">
        <v>34</v>
      </c>
      <c r="G139" s="3">
        <v>46140</v>
      </c>
      <c r="H139" s="5">
        <v>129.80000000000001</v>
      </c>
      <c r="I139" s="2" t="s">
        <v>10</v>
      </c>
      <c r="J139" s="2" t="s">
        <v>447</v>
      </c>
      <c r="M139" s="19"/>
      <c r="N139" s="19">
        <f t="shared" si="36"/>
        <v>46140</v>
      </c>
      <c r="O139" s="8">
        <f t="shared" si="37"/>
        <v>37.986537898741588</v>
      </c>
    </row>
    <row r="140" spans="1:15" hidden="1" outlineLevel="1" x14ac:dyDescent="0.3">
      <c r="A140" s="2" t="s">
        <v>291</v>
      </c>
      <c r="B140" s="2" t="s">
        <v>298</v>
      </c>
      <c r="C140" s="2" t="s">
        <v>299</v>
      </c>
      <c r="D140" s="2" t="s">
        <v>72</v>
      </c>
      <c r="E140" s="3">
        <v>46140</v>
      </c>
      <c r="F140" s="4">
        <v>34</v>
      </c>
      <c r="G140" s="3">
        <v>46140</v>
      </c>
      <c r="H140" s="5">
        <v>422.56</v>
      </c>
      <c r="I140" s="2" t="s">
        <v>10</v>
      </c>
      <c r="J140" s="2" t="s">
        <v>447</v>
      </c>
      <c r="M140" s="19"/>
      <c r="N140" s="19">
        <f t="shared" si="36"/>
        <v>46140</v>
      </c>
      <c r="O140" s="8">
        <f t="shared" si="37"/>
        <v>123.66403277729003</v>
      </c>
    </row>
    <row r="141" spans="1:15" hidden="1" outlineLevel="1" x14ac:dyDescent="0.3">
      <c r="A141" s="2" t="s">
        <v>291</v>
      </c>
      <c r="B141" s="2" t="s">
        <v>300</v>
      </c>
      <c r="C141" s="2" t="s">
        <v>301</v>
      </c>
      <c r="D141" s="2" t="s">
        <v>14</v>
      </c>
      <c r="E141" s="3">
        <v>46154</v>
      </c>
      <c r="F141" s="4">
        <v>20</v>
      </c>
      <c r="G141" s="3">
        <v>46154</v>
      </c>
      <c r="H141" s="5">
        <v>404.98</v>
      </c>
      <c r="I141" s="2" t="s">
        <v>10</v>
      </c>
      <c r="J141" s="2" t="s">
        <v>447</v>
      </c>
      <c r="M141" s="19"/>
      <c r="N141" s="19">
        <f t="shared" si="36"/>
        <v>46154</v>
      </c>
      <c r="O141" s="8">
        <f t="shared" si="37"/>
        <v>118.51916886157449</v>
      </c>
    </row>
    <row r="142" spans="1:15" hidden="1" outlineLevel="1" x14ac:dyDescent="0.3">
      <c r="A142" s="2" t="s">
        <v>291</v>
      </c>
      <c r="B142" s="2" t="s">
        <v>302</v>
      </c>
      <c r="C142" s="2" t="s">
        <v>303</v>
      </c>
      <c r="D142" s="2" t="s">
        <v>14</v>
      </c>
      <c r="E142" s="3">
        <v>46154</v>
      </c>
      <c r="F142" s="4">
        <v>20</v>
      </c>
      <c r="G142" s="3">
        <v>46154</v>
      </c>
      <c r="H142" s="5">
        <v>59</v>
      </c>
      <c r="I142" s="2" t="s">
        <v>10</v>
      </c>
      <c r="J142" s="2" t="s">
        <v>447</v>
      </c>
      <c r="M142" s="19"/>
      <c r="N142" s="19">
        <f t="shared" si="36"/>
        <v>46154</v>
      </c>
      <c r="O142" s="8">
        <f t="shared" si="37"/>
        <v>17.266608135791632</v>
      </c>
    </row>
    <row r="143" spans="1:15" hidden="1" outlineLevel="1" x14ac:dyDescent="0.3">
      <c r="A143" s="2" t="s">
        <v>291</v>
      </c>
      <c r="B143" s="2" t="s">
        <v>304</v>
      </c>
      <c r="C143" s="2" t="s">
        <v>305</v>
      </c>
      <c r="D143" s="2" t="s">
        <v>14</v>
      </c>
      <c r="E143" s="3">
        <v>46171</v>
      </c>
      <c r="F143" s="4">
        <v>3</v>
      </c>
      <c r="G143" s="3">
        <v>46171</v>
      </c>
      <c r="H143" s="5">
        <v>534.29999999999995</v>
      </c>
      <c r="I143" s="2" t="s">
        <v>10</v>
      </c>
      <c r="J143" s="2" t="s">
        <v>447</v>
      </c>
      <c r="M143" s="19"/>
      <c r="N143" s="19">
        <f t="shared" si="36"/>
        <v>46171</v>
      </c>
      <c r="O143" s="8">
        <f t="shared" si="37"/>
        <v>156.36523266022826</v>
      </c>
    </row>
    <row r="144" spans="1:15" hidden="1" outlineLevel="1" x14ac:dyDescent="0.3">
      <c r="A144" s="2" t="s">
        <v>291</v>
      </c>
      <c r="B144" s="2" t="s">
        <v>306</v>
      </c>
      <c r="C144" s="2" t="s">
        <v>307</v>
      </c>
      <c r="D144" s="2" t="s">
        <v>14</v>
      </c>
      <c r="E144" s="3">
        <v>46171</v>
      </c>
      <c r="F144" s="4">
        <v>3</v>
      </c>
      <c r="G144" s="3">
        <v>46171</v>
      </c>
      <c r="H144" s="5">
        <v>59</v>
      </c>
      <c r="I144" s="2" t="s">
        <v>10</v>
      </c>
      <c r="J144" s="2" t="s">
        <v>447</v>
      </c>
      <c r="M144" s="19"/>
      <c r="N144" s="19">
        <f t="shared" si="36"/>
        <v>46171</v>
      </c>
      <c r="O144" s="8">
        <f t="shared" si="37"/>
        <v>17.266608135791632</v>
      </c>
    </row>
    <row r="145" spans="1:17" hidden="1" outlineLevel="1" x14ac:dyDescent="0.3">
      <c r="A145" s="2" t="s">
        <v>308</v>
      </c>
      <c r="B145" s="2" t="s">
        <v>309</v>
      </c>
      <c r="C145" s="2" t="s">
        <v>310</v>
      </c>
      <c r="D145" s="2" t="s">
        <v>50</v>
      </c>
      <c r="E145" s="3">
        <v>46148</v>
      </c>
      <c r="F145" s="4">
        <v>0</v>
      </c>
      <c r="G145" s="3">
        <v>46173</v>
      </c>
      <c r="H145" s="6">
        <v>-33334</v>
      </c>
      <c r="I145" s="2" t="s">
        <v>51</v>
      </c>
      <c r="J145" s="2" t="s">
        <v>448</v>
      </c>
      <c r="K145" s="19">
        <f t="shared" ref="K145:K152" si="38">E145+45</f>
        <v>46193</v>
      </c>
      <c r="L145" s="20"/>
      <c r="M145" s="19"/>
      <c r="N145" s="19">
        <f t="shared" si="36"/>
        <v>46173</v>
      </c>
      <c r="O145" s="11">
        <f t="shared" ref="O145:O152" si="39">H145</f>
        <v>-33334</v>
      </c>
      <c r="P145" s="20">
        <f t="shared" ref="P145:P152" ca="1" si="40">TODAY()-E145</f>
        <v>26</v>
      </c>
      <c r="Q145" t="s">
        <v>462</v>
      </c>
    </row>
    <row r="146" spans="1:17" hidden="1" outlineLevel="1" x14ac:dyDescent="0.3">
      <c r="A146" s="2" t="s">
        <v>308</v>
      </c>
      <c r="B146" s="2" t="s">
        <v>311</v>
      </c>
      <c r="C146" s="2" t="s">
        <v>312</v>
      </c>
      <c r="D146" s="2" t="s">
        <v>50</v>
      </c>
      <c r="E146" s="3">
        <v>46148</v>
      </c>
      <c r="F146" s="4">
        <v>0</v>
      </c>
      <c r="G146" s="3">
        <v>46173</v>
      </c>
      <c r="H146" s="6">
        <v>-16692</v>
      </c>
      <c r="I146" s="2" t="s">
        <v>51</v>
      </c>
      <c r="J146" s="2" t="s">
        <v>448</v>
      </c>
      <c r="K146" s="19">
        <f t="shared" si="38"/>
        <v>46193</v>
      </c>
      <c r="L146" s="20"/>
      <c r="M146" s="19"/>
      <c r="N146" s="19">
        <f t="shared" si="36"/>
        <v>46173</v>
      </c>
      <c r="O146" s="11">
        <f t="shared" si="39"/>
        <v>-16692</v>
      </c>
      <c r="P146" s="20">
        <f t="shared" ca="1" si="40"/>
        <v>26</v>
      </c>
      <c r="Q146" t="s">
        <v>462</v>
      </c>
    </row>
    <row r="147" spans="1:17" hidden="1" outlineLevel="1" x14ac:dyDescent="0.3">
      <c r="A147" s="2" t="s">
        <v>308</v>
      </c>
      <c r="B147" s="2" t="s">
        <v>313</v>
      </c>
      <c r="C147" s="2" t="s">
        <v>314</v>
      </c>
      <c r="D147" s="2" t="s">
        <v>56</v>
      </c>
      <c r="E147" s="3">
        <v>46171</v>
      </c>
      <c r="F147" s="7">
        <v>-42</v>
      </c>
      <c r="G147" s="3">
        <v>46216</v>
      </c>
      <c r="H147" s="5">
        <v>83700</v>
      </c>
      <c r="I147" s="2" t="s">
        <v>51</v>
      </c>
      <c r="J147" s="2" t="s">
        <v>448</v>
      </c>
      <c r="K147" s="19">
        <f t="shared" si="38"/>
        <v>46216</v>
      </c>
      <c r="L147" s="20"/>
      <c r="M147" s="19"/>
      <c r="N147" s="19">
        <f t="shared" si="36"/>
        <v>46216</v>
      </c>
      <c r="O147" s="11">
        <f t="shared" si="39"/>
        <v>83700</v>
      </c>
      <c r="P147" s="20">
        <f t="shared" ca="1" si="40"/>
        <v>3</v>
      </c>
      <c r="Q147" t="s">
        <v>462</v>
      </c>
    </row>
    <row r="148" spans="1:17" hidden="1" outlineLevel="1" x14ac:dyDescent="0.3">
      <c r="A148" s="2" t="s">
        <v>315</v>
      </c>
      <c r="B148" s="2" t="s">
        <v>316</v>
      </c>
      <c r="C148" s="2" t="s">
        <v>317</v>
      </c>
      <c r="D148" s="2" t="s">
        <v>56</v>
      </c>
      <c r="E148" s="3">
        <v>46124</v>
      </c>
      <c r="F148" s="4">
        <v>5</v>
      </c>
      <c r="G148" s="3">
        <v>46169</v>
      </c>
      <c r="H148" s="5">
        <v>36400</v>
      </c>
      <c r="I148" s="2" t="s">
        <v>51</v>
      </c>
      <c r="J148" s="2" t="s">
        <v>448</v>
      </c>
      <c r="K148" s="19">
        <f t="shared" si="38"/>
        <v>46169</v>
      </c>
      <c r="L148" s="20">
        <f t="shared" ref="L148:L151" ca="1" si="41">TODAY()-M148</f>
        <v>5</v>
      </c>
      <c r="M148" s="19">
        <v>46169</v>
      </c>
      <c r="N148" s="19">
        <v>46181</v>
      </c>
      <c r="O148" s="11">
        <f t="shared" si="39"/>
        <v>36400</v>
      </c>
      <c r="P148" s="20">
        <f t="shared" ca="1" si="40"/>
        <v>50</v>
      </c>
      <c r="Q148" t="s">
        <v>463</v>
      </c>
    </row>
    <row r="149" spans="1:17" hidden="1" outlineLevel="1" x14ac:dyDescent="0.3">
      <c r="A149" s="2" t="s">
        <v>315</v>
      </c>
      <c r="B149" s="2" t="s">
        <v>318</v>
      </c>
      <c r="C149" s="2" t="s">
        <v>319</v>
      </c>
      <c r="D149" s="2" t="s">
        <v>56</v>
      </c>
      <c r="E149" s="3">
        <v>46124</v>
      </c>
      <c r="F149" s="7">
        <v>-10</v>
      </c>
      <c r="G149" s="3">
        <v>46184</v>
      </c>
      <c r="H149" s="5">
        <v>80600</v>
      </c>
      <c r="I149" s="2" t="s">
        <v>51</v>
      </c>
      <c r="J149" s="2" t="s">
        <v>448</v>
      </c>
      <c r="K149" s="19">
        <f t="shared" si="38"/>
        <v>46169</v>
      </c>
      <c r="L149" s="20">
        <f t="shared" ca="1" si="41"/>
        <v>-10</v>
      </c>
      <c r="M149" s="19">
        <v>46184</v>
      </c>
      <c r="N149" s="19">
        <f t="shared" si="36"/>
        <v>46184</v>
      </c>
      <c r="O149" s="11">
        <f t="shared" si="39"/>
        <v>80600</v>
      </c>
      <c r="P149" s="20">
        <f t="shared" ca="1" si="40"/>
        <v>50</v>
      </c>
      <c r="Q149" t="s">
        <v>463</v>
      </c>
    </row>
    <row r="150" spans="1:17" hidden="1" outlineLevel="1" x14ac:dyDescent="0.3">
      <c r="A150" s="2" t="s">
        <v>315</v>
      </c>
      <c r="B150" s="2" t="s">
        <v>320</v>
      </c>
      <c r="C150" s="2" t="s">
        <v>321</v>
      </c>
      <c r="D150" s="2" t="s">
        <v>56</v>
      </c>
      <c r="E150" s="3">
        <v>46134</v>
      </c>
      <c r="F150" s="7">
        <v>-5</v>
      </c>
      <c r="G150" s="3">
        <v>46179</v>
      </c>
      <c r="H150" s="5">
        <v>36400</v>
      </c>
      <c r="I150" s="2" t="s">
        <v>51</v>
      </c>
      <c r="J150" s="2" t="s">
        <v>448</v>
      </c>
      <c r="K150" s="19">
        <f t="shared" si="38"/>
        <v>46179</v>
      </c>
      <c r="L150" s="20">
        <f t="shared" ca="1" si="41"/>
        <v>-5</v>
      </c>
      <c r="M150" s="19">
        <v>46179</v>
      </c>
      <c r="N150" s="19">
        <f t="shared" si="36"/>
        <v>46179</v>
      </c>
      <c r="O150" s="11">
        <f t="shared" si="39"/>
        <v>36400</v>
      </c>
      <c r="P150" s="20">
        <f t="shared" ca="1" si="40"/>
        <v>40</v>
      </c>
      <c r="Q150" t="s">
        <v>462</v>
      </c>
    </row>
    <row r="151" spans="1:17" hidden="1" outlineLevel="1" x14ac:dyDescent="0.3">
      <c r="A151" s="2" t="s">
        <v>315</v>
      </c>
      <c r="B151" s="2" t="s">
        <v>322</v>
      </c>
      <c r="C151" s="2" t="s">
        <v>323</v>
      </c>
      <c r="D151" s="2" t="s">
        <v>56</v>
      </c>
      <c r="E151" s="3">
        <v>46139</v>
      </c>
      <c r="F151" s="7">
        <v>-10</v>
      </c>
      <c r="G151" s="3">
        <v>46184</v>
      </c>
      <c r="H151" s="5">
        <v>36400</v>
      </c>
      <c r="I151" s="2" t="s">
        <v>51</v>
      </c>
      <c r="J151" s="2" t="s">
        <v>448</v>
      </c>
      <c r="K151" s="19">
        <f t="shared" si="38"/>
        <v>46184</v>
      </c>
      <c r="L151" s="20">
        <f t="shared" ca="1" si="41"/>
        <v>-10</v>
      </c>
      <c r="M151" s="19">
        <v>46184</v>
      </c>
      <c r="N151" s="19">
        <f t="shared" si="36"/>
        <v>46184</v>
      </c>
      <c r="O151" s="11">
        <f t="shared" si="39"/>
        <v>36400</v>
      </c>
      <c r="P151" s="20">
        <f t="shared" ca="1" si="40"/>
        <v>35</v>
      </c>
      <c r="Q151" t="s">
        <v>462</v>
      </c>
    </row>
    <row r="152" spans="1:17" hidden="1" outlineLevel="1" x14ac:dyDescent="0.3">
      <c r="A152" s="2" t="s">
        <v>315</v>
      </c>
      <c r="B152" s="2" t="s">
        <v>324</v>
      </c>
      <c r="C152" s="2" t="s">
        <v>325</v>
      </c>
      <c r="D152" s="2" t="s">
        <v>56</v>
      </c>
      <c r="E152" s="3">
        <v>46164</v>
      </c>
      <c r="F152" s="7">
        <v>-35</v>
      </c>
      <c r="G152" s="3">
        <v>46209</v>
      </c>
      <c r="H152" s="5">
        <v>80600</v>
      </c>
      <c r="I152" s="2" t="s">
        <v>51</v>
      </c>
      <c r="J152" s="2" t="s">
        <v>448</v>
      </c>
      <c r="K152" s="19">
        <f t="shared" si="38"/>
        <v>46209</v>
      </c>
      <c r="L152" s="20"/>
      <c r="M152" s="19"/>
      <c r="N152" s="19">
        <f t="shared" si="36"/>
        <v>46209</v>
      </c>
      <c r="O152" s="11">
        <f t="shared" si="39"/>
        <v>80600</v>
      </c>
      <c r="P152" s="20">
        <f t="shared" ca="1" si="40"/>
        <v>10</v>
      </c>
      <c r="Q152" t="s">
        <v>462</v>
      </c>
    </row>
    <row r="153" spans="1:17" hidden="1" outlineLevel="1" x14ac:dyDescent="0.3">
      <c r="A153" s="2" t="s">
        <v>326</v>
      </c>
      <c r="B153" s="2" t="s">
        <v>327</v>
      </c>
      <c r="C153" s="2" t="s">
        <v>328</v>
      </c>
      <c r="D153" s="2" t="s">
        <v>72</v>
      </c>
      <c r="E153" s="3">
        <v>45951</v>
      </c>
      <c r="F153" s="4">
        <v>223</v>
      </c>
      <c r="G153" s="3">
        <v>45951</v>
      </c>
      <c r="H153" s="5">
        <v>4460</v>
      </c>
      <c r="I153" s="2" t="s">
        <v>10</v>
      </c>
      <c r="J153" s="2" t="s">
        <v>450</v>
      </c>
      <c r="M153" s="19"/>
      <c r="N153" s="19">
        <f>G153</f>
        <v>45951</v>
      </c>
      <c r="O153" s="8">
        <f>H153/3.417</f>
        <v>1305.2385133157741</v>
      </c>
    </row>
    <row r="154" spans="1:17" hidden="1" outlineLevel="1" x14ac:dyDescent="0.3">
      <c r="A154" s="2" t="s">
        <v>326</v>
      </c>
      <c r="B154" s="2" t="s">
        <v>329</v>
      </c>
      <c r="C154" s="2" t="s">
        <v>330</v>
      </c>
      <c r="D154" s="2" t="s">
        <v>14</v>
      </c>
      <c r="E154" s="3">
        <v>45965</v>
      </c>
      <c r="F154" s="4">
        <v>202</v>
      </c>
      <c r="G154" s="3">
        <v>45972</v>
      </c>
      <c r="H154" s="5">
        <v>7097.98</v>
      </c>
      <c r="I154" s="2" t="s">
        <v>10</v>
      </c>
      <c r="J154" s="2" t="s">
        <v>450</v>
      </c>
      <c r="M154" s="19"/>
      <c r="N154" s="19">
        <f t="shared" ref="N154:N166" si="42">G154</f>
        <v>45972</v>
      </c>
      <c r="O154" s="8">
        <f t="shared" ref="O154:O166" si="43">H154/3.417</f>
        <v>2077.2549019607841</v>
      </c>
    </row>
    <row r="155" spans="1:17" hidden="1" outlineLevel="1" x14ac:dyDescent="0.3">
      <c r="A155" s="2" t="s">
        <v>326</v>
      </c>
      <c r="B155" s="2" t="s">
        <v>331</v>
      </c>
      <c r="C155" s="2" t="s">
        <v>332</v>
      </c>
      <c r="D155" s="2" t="s">
        <v>14</v>
      </c>
      <c r="E155" s="3">
        <v>46053</v>
      </c>
      <c r="F155" s="4">
        <v>114</v>
      </c>
      <c r="G155" s="3">
        <v>46060</v>
      </c>
      <c r="H155" s="5">
        <v>4003.46</v>
      </c>
      <c r="I155" s="2" t="s">
        <v>10</v>
      </c>
      <c r="J155" s="2" t="s">
        <v>450</v>
      </c>
      <c r="M155" s="19"/>
      <c r="N155" s="19">
        <f t="shared" si="42"/>
        <v>46060</v>
      </c>
      <c r="O155" s="8">
        <f t="shared" si="43"/>
        <v>1171.6300848697688</v>
      </c>
    </row>
    <row r="156" spans="1:17" hidden="1" outlineLevel="1" x14ac:dyDescent="0.3">
      <c r="A156" s="2" t="s">
        <v>326</v>
      </c>
      <c r="B156" s="2" t="s">
        <v>333</v>
      </c>
      <c r="C156" s="2" t="s">
        <v>334</v>
      </c>
      <c r="D156" s="2" t="s">
        <v>14</v>
      </c>
      <c r="E156" s="3">
        <v>46084</v>
      </c>
      <c r="F156" s="4">
        <v>83</v>
      </c>
      <c r="G156" s="3">
        <v>46091</v>
      </c>
      <c r="H156" s="5">
        <v>4956</v>
      </c>
      <c r="I156" s="2" t="s">
        <v>10</v>
      </c>
      <c r="J156" s="2" t="s">
        <v>450</v>
      </c>
      <c r="M156" s="19"/>
      <c r="N156" s="19">
        <f t="shared" si="42"/>
        <v>46091</v>
      </c>
      <c r="O156" s="8">
        <f t="shared" si="43"/>
        <v>1450.395083406497</v>
      </c>
    </row>
    <row r="157" spans="1:17" hidden="1" outlineLevel="1" x14ac:dyDescent="0.3">
      <c r="A157" s="2" t="s">
        <v>335</v>
      </c>
      <c r="B157" s="2" t="s">
        <v>336</v>
      </c>
      <c r="C157" s="2" t="s">
        <v>337</v>
      </c>
      <c r="D157" s="2" t="s">
        <v>14</v>
      </c>
      <c r="E157" s="3">
        <v>46162</v>
      </c>
      <c r="F157" s="4">
        <v>5</v>
      </c>
      <c r="G157" s="3">
        <v>46169</v>
      </c>
      <c r="H157" s="5">
        <v>731.18</v>
      </c>
      <c r="I157" s="2" t="s">
        <v>10</v>
      </c>
      <c r="J157" s="2" t="s">
        <v>447</v>
      </c>
      <c r="M157" s="19"/>
      <c r="N157" s="19">
        <f t="shared" si="42"/>
        <v>46169</v>
      </c>
      <c r="O157" s="8">
        <f t="shared" si="43"/>
        <v>213.98302604623939</v>
      </c>
    </row>
    <row r="158" spans="1:17" hidden="1" outlineLevel="1" x14ac:dyDescent="0.3">
      <c r="A158" s="2" t="s">
        <v>335</v>
      </c>
      <c r="B158" s="2" t="s">
        <v>338</v>
      </c>
      <c r="C158" s="2" t="s">
        <v>339</v>
      </c>
      <c r="D158" s="2" t="s">
        <v>14</v>
      </c>
      <c r="E158" s="3">
        <v>46162</v>
      </c>
      <c r="F158" s="4">
        <v>5</v>
      </c>
      <c r="G158" s="3">
        <v>46169</v>
      </c>
      <c r="H158" s="5">
        <v>177</v>
      </c>
      <c r="I158" s="2" t="s">
        <v>10</v>
      </c>
      <c r="J158" s="2" t="s">
        <v>447</v>
      </c>
      <c r="M158" s="19"/>
      <c r="N158" s="19">
        <f t="shared" si="42"/>
        <v>46169</v>
      </c>
      <c r="O158" s="8">
        <f t="shared" si="43"/>
        <v>51.799824407374892</v>
      </c>
    </row>
    <row r="159" spans="1:17" hidden="1" outlineLevel="1" x14ac:dyDescent="0.3">
      <c r="A159" s="2" t="s">
        <v>335</v>
      </c>
      <c r="B159" s="2" t="s">
        <v>340</v>
      </c>
      <c r="C159" s="2" t="s">
        <v>341</v>
      </c>
      <c r="D159" s="2" t="s">
        <v>14</v>
      </c>
      <c r="E159" s="3">
        <v>46162</v>
      </c>
      <c r="F159" s="4">
        <v>5</v>
      </c>
      <c r="G159" s="3">
        <v>46169</v>
      </c>
      <c r="H159" s="5">
        <v>452.98</v>
      </c>
      <c r="I159" s="2" t="s">
        <v>10</v>
      </c>
      <c r="J159" s="2" t="s">
        <v>447</v>
      </c>
      <c r="M159" s="19"/>
      <c r="N159" s="19">
        <f t="shared" si="42"/>
        <v>46169</v>
      </c>
      <c r="O159" s="8">
        <f t="shared" si="43"/>
        <v>132.56657887035414</v>
      </c>
    </row>
    <row r="160" spans="1:17" hidden="1" outlineLevel="1" x14ac:dyDescent="0.3">
      <c r="A160" s="2" t="s">
        <v>335</v>
      </c>
      <c r="B160" s="2" t="s">
        <v>342</v>
      </c>
      <c r="C160" s="2" t="s">
        <v>343</v>
      </c>
      <c r="D160" s="2" t="s">
        <v>14</v>
      </c>
      <c r="E160" s="3">
        <v>46162</v>
      </c>
      <c r="F160" s="4">
        <v>5</v>
      </c>
      <c r="G160" s="3">
        <v>46169</v>
      </c>
      <c r="H160" s="5">
        <v>177</v>
      </c>
      <c r="I160" s="2" t="s">
        <v>10</v>
      </c>
      <c r="J160" s="2" t="s">
        <v>447</v>
      </c>
      <c r="M160" s="19"/>
      <c r="N160" s="19">
        <f t="shared" si="42"/>
        <v>46169</v>
      </c>
      <c r="O160" s="8">
        <f t="shared" si="43"/>
        <v>51.799824407374892</v>
      </c>
    </row>
    <row r="161" spans="1:17" hidden="1" outlineLevel="1" x14ac:dyDescent="0.3">
      <c r="A161" s="2" t="s">
        <v>335</v>
      </c>
      <c r="B161" s="2" t="s">
        <v>344</v>
      </c>
      <c r="C161" s="2" t="s">
        <v>345</v>
      </c>
      <c r="D161" s="2" t="s">
        <v>14</v>
      </c>
      <c r="E161" s="3">
        <v>46167</v>
      </c>
      <c r="F161" s="4">
        <v>0</v>
      </c>
      <c r="G161" s="3">
        <v>46174</v>
      </c>
      <c r="H161" s="5">
        <v>215.42</v>
      </c>
      <c r="I161" s="2" t="s">
        <v>10</v>
      </c>
      <c r="J161" s="2" t="s">
        <v>447</v>
      </c>
      <c r="M161" s="19"/>
      <c r="N161" s="19">
        <f t="shared" si="42"/>
        <v>46174</v>
      </c>
      <c r="O161" s="8">
        <f t="shared" si="43"/>
        <v>63.043605501902256</v>
      </c>
    </row>
    <row r="162" spans="1:17" hidden="1" outlineLevel="1" x14ac:dyDescent="0.3">
      <c r="A162" s="2" t="s">
        <v>335</v>
      </c>
      <c r="B162" s="2" t="s">
        <v>346</v>
      </c>
      <c r="C162" s="2" t="s">
        <v>347</v>
      </c>
      <c r="D162" s="2" t="s">
        <v>14</v>
      </c>
      <c r="E162" s="3">
        <v>46167</v>
      </c>
      <c r="F162" s="4">
        <v>0</v>
      </c>
      <c r="G162" s="3">
        <v>46174</v>
      </c>
      <c r="H162" s="5">
        <v>135.69999999999999</v>
      </c>
      <c r="I162" s="2" t="s">
        <v>10</v>
      </c>
      <c r="J162" s="2" t="s">
        <v>447</v>
      </c>
      <c r="M162" s="19"/>
      <c r="N162" s="19">
        <f t="shared" si="42"/>
        <v>46174</v>
      </c>
      <c r="O162" s="8">
        <f t="shared" si="43"/>
        <v>39.713198712320747</v>
      </c>
    </row>
    <row r="163" spans="1:17" hidden="1" outlineLevel="1" x14ac:dyDescent="0.3">
      <c r="A163" s="2" t="s">
        <v>335</v>
      </c>
      <c r="B163" s="2" t="s">
        <v>348</v>
      </c>
      <c r="C163" s="2" t="s">
        <v>349</v>
      </c>
      <c r="D163" s="2" t="s">
        <v>14</v>
      </c>
      <c r="E163" s="3">
        <v>46169</v>
      </c>
      <c r="F163" s="7">
        <v>-2</v>
      </c>
      <c r="G163" s="3">
        <v>46176</v>
      </c>
      <c r="H163" s="5">
        <v>604.63</v>
      </c>
      <c r="I163" s="2" t="s">
        <v>10</v>
      </c>
      <c r="J163" s="2" t="s">
        <v>447</v>
      </c>
      <c r="M163" s="19"/>
      <c r="N163" s="19">
        <f t="shared" si="42"/>
        <v>46176</v>
      </c>
      <c r="O163" s="8">
        <f t="shared" si="43"/>
        <v>176.94761486684226</v>
      </c>
    </row>
    <row r="164" spans="1:17" hidden="1" outlineLevel="1" x14ac:dyDescent="0.3">
      <c r="A164" s="2" t="s">
        <v>335</v>
      </c>
      <c r="B164" s="2" t="s">
        <v>350</v>
      </c>
      <c r="C164" s="2" t="s">
        <v>351</v>
      </c>
      <c r="D164" s="2" t="s">
        <v>14</v>
      </c>
      <c r="E164" s="3">
        <v>46169</v>
      </c>
      <c r="F164" s="7">
        <v>-2</v>
      </c>
      <c r="G164" s="3">
        <v>46176</v>
      </c>
      <c r="H164" s="5">
        <v>247.8</v>
      </c>
      <c r="I164" s="2" t="s">
        <v>10</v>
      </c>
      <c r="J164" s="2" t="s">
        <v>447</v>
      </c>
      <c r="M164" s="19"/>
      <c r="N164" s="19">
        <f t="shared" si="42"/>
        <v>46176</v>
      </c>
      <c r="O164" s="8">
        <f t="shared" si="43"/>
        <v>72.519754170324859</v>
      </c>
    </row>
    <row r="165" spans="1:17" hidden="1" outlineLevel="1" x14ac:dyDescent="0.3">
      <c r="A165" s="2" t="s">
        <v>335</v>
      </c>
      <c r="B165" s="2" t="s">
        <v>352</v>
      </c>
      <c r="C165" s="2" t="s">
        <v>353</v>
      </c>
      <c r="D165" s="2" t="s">
        <v>14</v>
      </c>
      <c r="E165" s="3">
        <v>46172</v>
      </c>
      <c r="F165" s="7">
        <v>-5</v>
      </c>
      <c r="G165" s="3">
        <v>46179</v>
      </c>
      <c r="H165" s="5">
        <v>358.48</v>
      </c>
      <c r="I165" s="2" t="s">
        <v>10</v>
      </c>
      <c r="J165" s="2" t="s">
        <v>447</v>
      </c>
      <c r="M165" s="19"/>
      <c r="N165" s="19">
        <f t="shared" si="42"/>
        <v>46179</v>
      </c>
      <c r="O165" s="8">
        <f t="shared" si="43"/>
        <v>104.91074041556922</v>
      </c>
    </row>
    <row r="166" spans="1:17" hidden="1" outlineLevel="1" x14ac:dyDescent="0.3">
      <c r="A166" s="2" t="s">
        <v>335</v>
      </c>
      <c r="B166" s="2" t="s">
        <v>354</v>
      </c>
      <c r="C166" s="2" t="s">
        <v>355</v>
      </c>
      <c r="D166" s="2" t="s">
        <v>14</v>
      </c>
      <c r="E166" s="3">
        <v>46172</v>
      </c>
      <c r="F166" s="7">
        <v>-5</v>
      </c>
      <c r="G166" s="3">
        <v>46179</v>
      </c>
      <c r="H166" s="5">
        <v>188.8</v>
      </c>
      <c r="I166" s="2" t="s">
        <v>10</v>
      </c>
      <c r="J166" s="2" t="s">
        <v>447</v>
      </c>
      <c r="M166" s="19"/>
      <c r="N166" s="19">
        <f t="shared" si="42"/>
        <v>46179</v>
      </c>
      <c r="O166" s="8">
        <f t="shared" si="43"/>
        <v>55.253146034533223</v>
      </c>
    </row>
    <row r="167" spans="1:17" hidden="1" outlineLevel="1" x14ac:dyDescent="0.3">
      <c r="A167" s="2" t="s">
        <v>356</v>
      </c>
      <c r="B167" s="2" t="s">
        <v>357</v>
      </c>
      <c r="C167" s="2" t="s">
        <v>358</v>
      </c>
      <c r="D167" s="2" t="s">
        <v>14</v>
      </c>
      <c r="E167" s="3">
        <v>45937</v>
      </c>
      <c r="F167" s="4">
        <v>230</v>
      </c>
      <c r="G167" s="3">
        <v>45944</v>
      </c>
      <c r="H167" s="5">
        <v>790</v>
      </c>
      <c r="I167" s="2" t="s">
        <v>10</v>
      </c>
      <c r="J167" s="2" t="s">
        <v>451</v>
      </c>
      <c r="M167" s="19"/>
      <c r="N167" s="19">
        <f>G167</f>
        <v>45944</v>
      </c>
      <c r="O167" s="8">
        <f>H167/3.417</f>
        <v>231.1969563944981</v>
      </c>
    </row>
    <row r="168" spans="1:17" hidden="1" outlineLevel="1" x14ac:dyDescent="0.3">
      <c r="A168" s="2" t="s">
        <v>359</v>
      </c>
      <c r="B168" s="2" t="s">
        <v>360</v>
      </c>
      <c r="C168" s="2" t="s">
        <v>361</v>
      </c>
      <c r="D168" s="2" t="s">
        <v>14</v>
      </c>
      <c r="E168" s="3">
        <v>46172</v>
      </c>
      <c r="F168" s="7">
        <v>-1</v>
      </c>
      <c r="G168" s="3">
        <v>46175</v>
      </c>
      <c r="H168" s="5">
        <v>79349.03</v>
      </c>
      <c r="I168" s="2" t="s">
        <v>10</v>
      </c>
      <c r="J168" s="2" t="s">
        <v>449</v>
      </c>
      <c r="M168" s="19"/>
      <c r="N168" s="19">
        <f>G168</f>
        <v>46175</v>
      </c>
      <c r="O168" s="8">
        <f>H168/3.417</f>
        <v>23221.8407960199</v>
      </c>
    </row>
    <row r="169" spans="1:17" hidden="1" outlineLevel="1" x14ac:dyDescent="0.3">
      <c r="A169" s="2" t="s">
        <v>362</v>
      </c>
      <c r="B169" s="2" t="s">
        <v>363</v>
      </c>
      <c r="C169" s="2" t="s">
        <v>364</v>
      </c>
      <c r="D169" s="2" t="s">
        <v>72</v>
      </c>
      <c r="E169" s="3">
        <v>46141</v>
      </c>
      <c r="F169" s="4">
        <v>33</v>
      </c>
      <c r="G169" s="3">
        <v>46141</v>
      </c>
      <c r="H169" s="5">
        <v>123265</v>
      </c>
      <c r="I169" s="2" t="s">
        <v>51</v>
      </c>
      <c r="J169" s="2" t="s">
        <v>448</v>
      </c>
      <c r="K169" s="19">
        <f t="shared" ref="K169:K172" si="44">E169+45</f>
        <v>46186</v>
      </c>
      <c r="L169" s="20">
        <f t="shared" ref="L169:L172" ca="1" si="45">TODAY()-M169</f>
        <v>-12</v>
      </c>
      <c r="M169" s="19">
        <v>46186</v>
      </c>
      <c r="N169" s="19">
        <v>46186</v>
      </c>
      <c r="O169" s="11">
        <f t="shared" ref="O169:O172" si="46">H169</f>
        <v>123265</v>
      </c>
      <c r="P169" s="20">
        <f t="shared" ref="P169:P172" ca="1" si="47">TODAY()-E169</f>
        <v>33</v>
      </c>
      <c r="Q169" t="s">
        <v>462</v>
      </c>
    </row>
    <row r="170" spans="1:17" hidden="1" outlineLevel="1" x14ac:dyDescent="0.3">
      <c r="A170" s="2" t="s">
        <v>362</v>
      </c>
      <c r="B170" s="2" t="s">
        <v>365</v>
      </c>
      <c r="C170" s="2" t="s">
        <v>366</v>
      </c>
      <c r="D170" s="2" t="s">
        <v>72</v>
      </c>
      <c r="E170" s="3">
        <v>46141</v>
      </c>
      <c r="F170" s="4">
        <v>33</v>
      </c>
      <c r="G170" s="3">
        <v>46141</v>
      </c>
      <c r="H170" s="5">
        <v>162355</v>
      </c>
      <c r="I170" s="2" t="s">
        <v>51</v>
      </c>
      <c r="J170" s="2" t="s">
        <v>448</v>
      </c>
      <c r="K170" s="19">
        <f t="shared" si="44"/>
        <v>46186</v>
      </c>
      <c r="L170" s="20">
        <f t="shared" ca="1" si="45"/>
        <v>-12</v>
      </c>
      <c r="M170" s="19">
        <v>46186</v>
      </c>
      <c r="N170" s="19">
        <v>46186</v>
      </c>
      <c r="O170" s="11">
        <f t="shared" si="46"/>
        <v>162355</v>
      </c>
      <c r="P170" s="20">
        <f t="shared" ca="1" si="47"/>
        <v>33</v>
      </c>
      <c r="Q170" t="s">
        <v>462</v>
      </c>
    </row>
    <row r="171" spans="1:17" hidden="1" outlineLevel="1" x14ac:dyDescent="0.3">
      <c r="A171" s="2" t="s">
        <v>362</v>
      </c>
      <c r="B171" s="2" t="s">
        <v>367</v>
      </c>
      <c r="C171" s="2" t="s">
        <v>368</v>
      </c>
      <c r="D171" s="2" t="s">
        <v>72</v>
      </c>
      <c r="E171" s="3">
        <v>46142</v>
      </c>
      <c r="F171" s="4">
        <v>32</v>
      </c>
      <c r="G171" s="3">
        <v>46142</v>
      </c>
      <c r="H171" s="5">
        <v>77257</v>
      </c>
      <c r="I171" s="2" t="s">
        <v>51</v>
      </c>
      <c r="J171" s="2" t="s">
        <v>448</v>
      </c>
      <c r="K171" s="19">
        <f t="shared" si="44"/>
        <v>46187</v>
      </c>
      <c r="L171" s="20">
        <f t="shared" ca="1" si="45"/>
        <v>-10</v>
      </c>
      <c r="M171" s="19">
        <v>46184</v>
      </c>
      <c r="N171" s="19">
        <v>46184</v>
      </c>
      <c r="O171" s="11">
        <f t="shared" si="46"/>
        <v>77257</v>
      </c>
      <c r="P171" s="20">
        <f t="shared" ca="1" si="47"/>
        <v>32</v>
      </c>
      <c r="Q171" t="s">
        <v>462</v>
      </c>
    </row>
    <row r="172" spans="1:17" hidden="1" outlineLevel="1" x14ac:dyDescent="0.3">
      <c r="A172" s="2" t="s">
        <v>362</v>
      </c>
      <c r="B172" s="2" t="s">
        <v>369</v>
      </c>
      <c r="C172" s="2" t="s">
        <v>370</v>
      </c>
      <c r="D172" s="2" t="s">
        <v>56</v>
      </c>
      <c r="E172" s="3">
        <v>46159</v>
      </c>
      <c r="F172" s="7">
        <v>-30</v>
      </c>
      <c r="G172" s="3">
        <v>46204</v>
      </c>
      <c r="H172" s="5">
        <v>230850</v>
      </c>
      <c r="I172" s="2" t="s">
        <v>51</v>
      </c>
      <c r="J172" s="2" t="s">
        <v>448</v>
      </c>
      <c r="K172" s="19">
        <f t="shared" si="44"/>
        <v>46204</v>
      </c>
      <c r="L172" s="20">
        <f t="shared" ca="1" si="45"/>
        <v>-30</v>
      </c>
      <c r="M172" s="19">
        <v>46204</v>
      </c>
      <c r="N172" s="19">
        <f t="shared" ref="N172" si="48">G172</f>
        <v>46204</v>
      </c>
      <c r="O172" s="11">
        <f t="shared" si="46"/>
        <v>230850</v>
      </c>
      <c r="P172" s="20">
        <f t="shared" ca="1" si="47"/>
        <v>15</v>
      </c>
      <c r="Q172" t="s">
        <v>462</v>
      </c>
    </row>
    <row r="173" spans="1:17" hidden="1" outlineLevel="1" x14ac:dyDescent="0.3">
      <c r="A173" s="2" t="s">
        <v>371</v>
      </c>
      <c r="B173" s="2" t="s">
        <v>372</v>
      </c>
      <c r="C173" s="2" t="s">
        <v>373</v>
      </c>
      <c r="D173" s="2" t="s">
        <v>14</v>
      </c>
      <c r="E173" s="3">
        <v>46161</v>
      </c>
      <c r="F173" s="4">
        <v>6</v>
      </c>
      <c r="G173" s="3">
        <v>46168</v>
      </c>
      <c r="H173" s="5">
        <v>590</v>
      </c>
      <c r="I173" s="2" t="s">
        <v>10</v>
      </c>
      <c r="J173" s="2" t="s">
        <v>447</v>
      </c>
      <c r="M173" s="19"/>
      <c r="N173" s="19">
        <f t="shared" ref="N173:N179" si="49">G173</f>
        <v>46168</v>
      </c>
      <c r="O173" s="8">
        <f t="shared" ref="O173:O176" si="50">H173/3.417</f>
        <v>172.66608135791631</v>
      </c>
    </row>
    <row r="174" spans="1:17" hidden="1" outlineLevel="1" x14ac:dyDescent="0.3">
      <c r="A174" s="2" t="s">
        <v>371</v>
      </c>
      <c r="B174" s="2" t="s">
        <v>374</v>
      </c>
      <c r="C174" s="2" t="s">
        <v>375</v>
      </c>
      <c r="D174" s="2" t="s">
        <v>14</v>
      </c>
      <c r="E174" s="3">
        <v>46162</v>
      </c>
      <c r="F174" s="4">
        <v>5</v>
      </c>
      <c r="G174" s="3">
        <v>46169</v>
      </c>
      <c r="H174" s="5">
        <v>590</v>
      </c>
      <c r="I174" s="2" t="s">
        <v>10</v>
      </c>
      <c r="J174" s="2" t="s">
        <v>447</v>
      </c>
      <c r="M174" s="19"/>
      <c r="N174" s="19">
        <f t="shared" si="49"/>
        <v>46169</v>
      </c>
      <c r="O174" s="8">
        <f t="shared" si="50"/>
        <v>172.66608135791631</v>
      </c>
    </row>
    <row r="175" spans="1:17" hidden="1" outlineLevel="1" x14ac:dyDescent="0.3">
      <c r="A175" s="2" t="s">
        <v>371</v>
      </c>
      <c r="B175" s="2" t="s">
        <v>376</v>
      </c>
      <c r="C175" s="2" t="s">
        <v>377</v>
      </c>
      <c r="D175" s="2" t="s">
        <v>14</v>
      </c>
      <c r="E175" s="3">
        <v>46164</v>
      </c>
      <c r="F175" s="4">
        <v>3</v>
      </c>
      <c r="G175" s="3">
        <v>46171</v>
      </c>
      <c r="H175" s="5">
        <v>590</v>
      </c>
      <c r="I175" s="2" t="s">
        <v>10</v>
      </c>
      <c r="J175" s="2" t="s">
        <v>447</v>
      </c>
      <c r="M175" s="19"/>
      <c r="N175" s="19">
        <f t="shared" si="49"/>
        <v>46171</v>
      </c>
      <c r="O175" s="8">
        <f t="shared" si="50"/>
        <v>172.66608135791631</v>
      </c>
    </row>
    <row r="176" spans="1:17" hidden="1" outlineLevel="1" x14ac:dyDescent="0.3">
      <c r="A176" s="2" t="s">
        <v>371</v>
      </c>
      <c r="B176" s="2" t="s">
        <v>378</v>
      </c>
      <c r="C176" s="2" t="s">
        <v>379</v>
      </c>
      <c r="D176" s="2" t="s">
        <v>14</v>
      </c>
      <c r="E176" s="3">
        <v>46168</v>
      </c>
      <c r="F176" s="7">
        <v>-1</v>
      </c>
      <c r="G176" s="3">
        <v>46175</v>
      </c>
      <c r="H176" s="5">
        <v>590</v>
      </c>
      <c r="I176" s="2" t="s">
        <v>10</v>
      </c>
      <c r="J176" s="2" t="s">
        <v>447</v>
      </c>
      <c r="M176" s="19"/>
      <c r="N176" s="19">
        <f t="shared" si="49"/>
        <v>46175</v>
      </c>
      <c r="O176" s="8">
        <f t="shared" si="50"/>
        <v>172.66608135791631</v>
      </c>
    </row>
    <row r="177" spans="1:17" hidden="1" outlineLevel="1" x14ac:dyDescent="0.3">
      <c r="A177" s="2" t="s">
        <v>380</v>
      </c>
      <c r="B177" s="2" t="s">
        <v>381</v>
      </c>
      <c r="C177" s="2" t="s">
        <v>382</v>
      </c>
      <c r="D177" s="2" t="s">
        <v>72</v>
      </c>
      <c r="E177" s="3">
        <v>46141</v>
      </c>
      <c r="F177" s="4">
        <v>33</v>
      </c>
      <c r="G177" s="3">
        <v>46141</v>
      </c>
      <c r="H177" s="5">
        <v>56785</v>
      </c>
      <c r="I177" s="2" t="s">
        <v>51</v>
      </c>
      <c r="J177" s="2" t="s">
        <v>448</v>
      </c>
      <c r="K177" s="19">
        <f t="shared" ref="K177:K179" si="51">E177+45</f>
        <v>46186</v>
      </c>
      <c r="L177" s="20">
        <f t="shared" ref="L177" ca="1" si="52">TODAY()-M177</f>
        <v>-12</v>
      </c>
      <c r="M177" s="19">
        <v>46186</v>
      </c>
      <c r="N177" s="19">
        <v>46186</v>
      </c>
      <c r="O177" s="11">
        <f t="shared" ref="O177:O179" si="53">H177</f>
        <v>56785</v>
      </c>
      <c r="P177" s="20">
        <f t="shared" ref="P177:P179" ca="1" si="54">TODAY()-E177</f>
        <v>33</v>
      </c>
      <c r="Q177" t="s">
        <v>462</v>
      </c>
    </row>
    <row r="178" spans="1:17" hidden="1" outlineLevel="1" x14ac:dyDescent="0.3">
      <c r="A178" s="2" t="s">
        <v>380</v>
      </c>
      <c r="B178" s="2" t="s">
        <v>383</v>
      </c>
      <c r="C178" s="2" t="s">
        <v>384</v>
      </c>
      <c r="D178" s="2" t="s">
        <v>50</v>
      </c>
      <c r="E178" s="3">
        <v>46150</v>
      </c>
      <c r="F178" s="4">
        <v>0</v>
      </c>
      <c r="G178" s="3">
        <v>46173</v>
      </c>
      <c r="H178" s="6">
        <v>-23675</v>
      </c>
      <c r="I178" s="2" t="s">
        <v>51</v>
      </c>
      <c r="J178" s="2" t="s">
        <v>448</v>
      </c>
      <c r="K178" s="19">
        <f t="shared" si="51"/>
        <v>46195</v>
      </c>
      <c r="L178" s="20"/>
      <c r="M178" s="19"/>
      <c r="N178" s="19">
        <f t="shared" si="49"/>
        <v>46173</v>
      </c>
      <c r="O178" s="11">
        <f t="shared" si="53"/>
        <v>-23675</v>
      </c>
      <c r="P178" s="20">
        <f t="shared" ca="1" si="54"/>
        <v>24</v>
      </c>
      <c r="Q178" t="s">
        <v>462</v>
      </c>
    </row>
    <row r="179" spans="1:17" hidden="1" outlineLevel="1" x14ac:dyDescent="0.3">
      <c r="A179" s="2" t="s">
        <v>380</v>
      </c>
      <c r="B179" s="2" t="s">
        <v>385</v>
      </c>
      <c r="C179" s="2" t="s">
        <v>386</v>
      </c>
      <c r="D179" s="2" t="s">
        <v>56</v>
      </c>
      <c r="E179" s="3">
        <v>46171</v>
      </c>
      <c r="F179" s="7">
        <v>-42</v>
      </c>
      <c r="G179" s="3">
        <v>46216</v>
      </c>
      <c r="H179" s="5">
        <v>59400</v>
      </c>
      <c r="I179" s="2" t="s">
        <v>51</v>
      </c>
      <c r="J179" s="2" t="s">
        <v>448</v>
      </c>
      <c r="K179" s="19">
        <f t="shared" si="51"/>
        <v>46216</v>
      </c>
      <c r="L179" s="20"/>
      <c r="M179" s="19"/>
      <c r="N179" s="19">
        <f t="shared" si="49"/>
        <v>46216</v>
      </c>
      <c r="O179" s="11">
        <f t="shared" si="53"/>
        <v>59400</v>
      </c>
      <c r="P179" s="20">
        <f t="shared" ca="1" si="54"/>
        <v>3</v>
      </c>
      <c r="Q179" t="s">
        <v>462</v>
      </c>
    </row>
    <row r="180" spans="1:17" hidden="1" outlineLevel="1" x14ac:dyDescent="0.3">
      <c r="A180" s="2" t="s">
        <v>387</v>
      </c>
      <c r="B180" s="2" t="s">
        <v>388</v>
      </c>
      <c r="C180" s="2" t="s">
        <v>389</v>
      </c>
      <c r="D180" s="2" t="s">
        <v>14</v>
      </c>
      <c r="E180" s="3">
        <v>46171</v>
      </c>
      <c r="F180" s="7">
        <v>-4</v>
      </c>
      <c r="G180" s="3">
        <v>46178</v>
      </c>
      <c r="H180" s="5">
        <v>658.68</v>
      </c>
      <c r="I180" s="2" t="s">
        <v>10</v>
      </c>
      <c r="J180" s="2" t="s">
        <v>447</v>
      </c>
      <c r="M180" s="19"/>
      <c r="N180" s="19">
        <f t="shared" ref="N180:N203" si="55">G180</f>
        <v>46178</v>
      </c>
      <c r="O180" s="8">
        <f t="shared" ref="O180:O186" si="56">H180/3.417</f>
        <v>192.76558384547849</v>
      </c>
    </row>
    <row r="181" spans="1:17" hidden="1" outlineLevel="1" x14ac:dyDescent="0.3">
      <c r="A181" s="2" t="s">
        <v>387</v>
      </c>
      <c r="B181" s="2" t="s">
        <v>390</v>
      </c>
      <c r="C181" s="2" t="s">
        <v>391</v>
      </c>
      <c r="D181" s="2" t="s">
        <v>14</v>
      </c>
      <c r="E181" s="3">
        <v>46171</v>
      </c>
      <c r="F181" s="7">
        <v>-4</v>
      </c>
      <c r="G181" s="3">
        <v>46178</v>
      </c>
      <c r="H181" s="5">
        <v>123.9</v>
      </c>
      <c r="I181" s="2" t="s">
        <v>10</v>
      </c>
      <c r="J181" s="2" t="s">
        <v>447</v>
      </c>
      <c r="M181" s="19"/>
      <c r="N181" s="19">
        <f t="shared" si="55"/>
        <v>46178</v>
      </c>
      <c r="O181" s="8">
        <f t="shared" si="56"/>
        <v>36.259877085162429</v>
      </c>
    </row>
    <row r="182" spans="1:17" hidden="1" outlineLevel="1" x14ac:dyDescent="0.3">
      <c r="A182" s="2" t="s">
        <v>392</v>
      </c>
      <c r="B182" s="2" t="s">
        <v>393</v>
      </c>
      <c r="C182" s="2" t="s">
        <v>394</v>
      </c>
      <c r="D182" s="2" t="s">
        <v>14</v>
      </c>
      <c r="E182" s="3">
        <v>46162</v>
      </c>
      <c r="F182" s="4">
        <v>5</v>
      </c>
      <c r="G182" s="3">
        <v>46169</v>
      </c>
      <c r="H182" s="5">
        <v>396.48</v>
      </c>
      <c r="I182" s="2" t="s">
        <v>10</v>
      </c>
      <c r="J182" s="2" t="s">
        <v>447</v>
      </c>
      <c r="M182" s="19"/>
      <c r="N182" s="19">
        <f t="shared" si="55"/>
        <v>46169</v>
      </c>
      <c r="O182" s="8">
        <f t="shared" si="56"/>
        <v>116.03160667251977</v>
      </c>
    </row>
    <row r="183" spans="1:17" hidden="1" outlineLevel="1" x14ac:dyDescent="0.3">
      <c r="A183" s="2" t="s">
        <v>392</v>
      </c>
      <c r="B183" s="2" t="s">
        <v>395</v>
      </c>
      <c r="C183" s="2" t="s">
        <v>396</v>
      </c>
      <c r="D183" s="2" t="s">
        <v>14</v>
      </c>
      <c r="E183" s="3">
        <v>46164</v>
      </c>
      <c r="F183" s="4">
        <v>3</v>
      </c>
      <c r="G183" s="3">
        <v>46171</v>
      </c>
      <c r="H183" s="5">
        <v>792.96</v>
      </c>
      <c r="I183" s="2" t="s">
        <v>10</v>
      </c>
      <c r="J183" s="2" t="s">
        <v>447</v>
      </c>
      <c r="M183" s="19"/>
      <c r="N183" s="19">
        <f t="shared" si="55"/>
        <v>46171</v>
      </c>
      <c r="O183" s="8">
        <f t="shared" si="56"/>
        <v>232.06321334503954</v>
      </c>
    </row>
    <row r="184" spans="1:17" hidden="1" outlineLevel="1" x14ac:dyDescent="0.3">
      <c r="A184" s="2" t="s">
        <v>392</v>
      </c>
      <c r="B184" s="2" t="s">
        <v>397</v>
      </c>
      <c r="C184" s="2" t="s">
        <v>398</v>
      </c>
      <c r="D184" s="2" t="s">
        <v>14</v>
      </c>
      <c r="E184" s="3">
        <v>46167</v>
      </c>
      <c r="F184" s="4">
        <v>0</v>
      </c>
      <c r="G184" s="3">
        <v>46174</v>
      </c>
      <c r="H184" s="5">
        <v>807.12</v>
      </c>
      <c r="I184" s="2" t="s">
        <v>10</v>
      </c>
      <c r="J184" s="2" t="s">
        <v>447</v>
      </c>
      <c r="M184" s="19"/>
      <c r="N184" s="19">
        <f t="shared" si="55"/>
        <v>46174</v>
      </c>
      <c r="O184" s="8">
        <f t="shared" si="56"/>
        <v>236.2071992976295</v>
      </c>
    </row>
    <row r="185" spans="1:17" hidden="1" outlineLevel="1" x14ac:dyDescent="0.3">
      <c r="A185" s="2" t="s">
        <v>392</v>
      </c>
      <c r="B185" s="2" t="s">
        <v>399</v>
      </c>
      <c r="C185" s="2" t="s">
        <v>400</v>
      </c>
      <c r="D185" s="2" t="s">
        <v>14</v>
      </c>
      <c r="E185" s="3">
        <v>46171</v>
      </c>
      <c r="F185" s="7">
        <v>-4</v>
      </c>
      <c r="G185" s="3">
        <v>46178</v>
      </c>
      <c r="H185" s="5">
        <v>396.48</v>
      </c>
      <c r="I185" s="2" t="s">
        <v>10</v>
      </c>
      <c r="J185" s="2" t="s">
        <v>447</v>
      </c>
      <c r="M185" s="19"/>
      <c r="N185" s="19">
        <f t="shared" si="55"/>
        <v>46178</v>
      </c>
      <c r="O185" s="8">
        <f t="shared" si="56"/>
        <v>116.03160667251977</v>
      </c>
    </row>
    <row r="186" spans="1:17" hidden="1" outlineLevel="1" x14ac:dyDescent="0.3">
      <c r="A186" s="2" t="s">
        <v>392</v>
      </c>
      <c r="B186" s="2" t="s">
        <v>401</v>
      </c>
      <c r="C186" s="2" t="s">
        <v>402</v>
      </c>
      <c r="D186" s="2" t="s">
        <v>14</v>
      </c>
      <c r="E186" s="3">
        <v>46171</v>
      </c>
      <c r="F186" s="7">
        <v>-4</v>
      </c>
      <c r="G186" s="3">
        <v>46178</v>
      </c>
      <c r="H186" s="5">
        <v>396.48</v>
      </c>
      <c r="I186" s="2" t="s">
        <v>10</v>
      </c>
      <c r="J186" s="2" t="s">
        <v>447</v>
      </c>
      <c r="M186" s="19"/>
      <c r="N186" s="19">
        <f t="shared" si="55"/>
        <v>46178</v>
      </c>
      <c r="O186" s="8">
        <f t="shared" si="56"/>
        <v>116.03160667251977</v>
      </c>
    </row>
    <row r="187" spans="1:17" hidden="1" outlineLevel="1" x14ac:dyDescent="0.3">
      <c r="A187" s="2" t="s">
        <v>403</v>
      </c>
      <c r="B187" s="2" t="s">
        <v>405</v>
      </c>
      <c r="C187" s="2" t="s">
        <v>406</v>
      </c>
      <c r="D187" s="2" t="s">
        <v>56</v>
      </c>
      <c r="E187" s="3">
        <v>46141</v>
      </c>
      <c r="F187" s="7">
        <v>-12</v>
      </c>
      <c r="G187" s="3">
        <v>46186</v>
      </c>
      <c r="H187" s="5">
        <v>52800</v>
      </c>
      <c r="I187" s="2" t="s">
        <v>51</v>
      </c>
      <c r="J187" s="2" t="s">
        <v>448</v>
      </c>
      <c r="K187" s="19">
        <f t="shared" ref="K187:K203" si="57">E187+45</f>
        <v>46186</v>
      </c>
      <c r="L187" s="20">
        <f t="shared" ref="L187:L199" ca="1" si="58">TODAY()-M187</f>
        <v>-12</v>
      </c>
      <c r="M187" s="19">
        <v>46186</v>
      </c>
      <c r="N187" s="19">
        <f t="shared" si="55"/>
        <v>46186</v>
      </c>
      <c r="O187" s="11">
        <f t="shared" ref="O187:O203" si="59">H187</f>
        <v>52800</v>
      </c>
      <c r="P187" s="20">
        <f t="shared" ref="P187:P203" ca="1" si="60">TODAY()-E187</f>
        <v>33</v>
      </c>
      <c r="Q187" t="s">
        <v>462</v>
      </c>
    </row>
    <row r="188" spans="1:17" hidden="1" outlineLevel="1" x14ac:dyDescent="0.3">
      <c r="A188" s="2" t="s">
        <v>403</v>
      </c>
      <c r="B188" s="2" t="s">
        <v>407</v>
      </c>
      <c r="C188" s="2" t="s">
        <v>408</v>
      </c>
      <c r="D188" s="2" t="s">
        <v>56</v>
      </c>
      <c r="E188" s="3">
        <v>46159</v>
      </c>
      <c r="F188" s="7">
        <v>-30</v>
      </c>
      <c r="G188" s="3">
        <v>46204</v>
      </c>
      <c r="H188" s="5">
        <v>140000</v>
      </c>
      <c r="I188" s="2" t="s">
        <v>51</v>
      </c>
      <c r="J188" s="2" t="s">
        <v>448</v>
      </c>
      <c r="K188" s="19">
        <f t="shared" si="57"/>
        <v>46204</v>
      </c>
      <c r="L188" s="20">
        <f t="shared" ca="1" si="58"/>
        <v>-30</v>
      </c>
      <c r="M188" s="19">
        <v>46204</v>
      </c>
      <c r="N188" s="19">
        <f t="shared" si="55"/>
        <v>46204</v>
      </c>
      <c r="O188" s="11">
        <f t="shared" si="59"/>
        <v>140000</v>
      </c>
      <c r="P188" s="20">
        <f t="shared" ca="1" si="60"/>
        <v>15</v>
      </c>
      <c r="Q188" t="s">
        <v>462</v>
      </c>
    </row>
    <row r="189" spans="1:17" hidden="1" outlineLevel="1" x14ac:dyDescent="0.3">
      <c r="A189" s="2" t="s">
        <v>403</v>
      </c>
      <c r="B189" s="2" t="s">
        <v>409</v>
      </c>
      <c r="C189" s="2" t="s">
        <v>410</v>
      </c>
      <c r="D189" s="2" t="s">
        <v>56</v>
      </c>
      <c r="E189" s="3">
        <v>46164</v>
      </c>
      <c r="F189" s="7">
        <v>-35</v>
      </c>
      <c r="G189" s="3">
        <v>46209</v>
      </c>
      <c r="H189" s="5">
        <v>107640</v>
      </c>
      <c r="I189" s="2" t="s">
        <v>51</v>
      </c>
      <c r="J189" s="2" t="s">
        <v>448</v>
      </c>
      <c r="K189" s="19">
        <f t="shared" si="57"/>
        <v>46209</v>
      </c>
      <c r="L189" s="20">
        <f t="shared" ca="1" si="58"/>
        <v>-32</v>
      </c>
      <c r="M189" s="19">
        <v>46206</v>
      </c>
      <c r="N189" s="19">
        <f t="shared" si="55"/>
        <v>46209</v>
      </c>
      <c r="O189" s="11">
        <f t="shared" si="59"/>
        <v>107640</v>
      </c>
      <c r="P189" s="20">
        <f t="shared" ca="1" si="60"/>
        <v>10</v>
      </c>
      <c r="Q189" t="s">
        <v>462</v>
      </c>
    </row>
    <row r="190" spans="1:17" hidden="1" outlineLevel="1" x14ac:dyDescent="0.3">
      <c r="A190" s="2" t="s">
        <v>403</v>
      </c>
      <c r="B190" s="2" t="s">
        <v>411</v>
      </c>
      <c r="C190" s="2" t="s">
        <v>412</v>
      </c>
      <c r="D190" s="2" t="s">
        <v>56</v>
      </c>
      <c r="E190" s="3">
        <v>46171</v>
      </c>
      <c r="F190" s="7">
        <v>-42</v>
      </c>
      <c r="G190" s="3">
        <v>46216</v>
      </c>
      <c r="H190" s="5">
        <v>53360</v>
      </c>
      <c r="I190" s="2" t="s">
        <v>51</v>
      </c>
      <c r="J190" s="2" t="s">
        <v>448</v>
      </c>
      <c r="K190" s="19">
        <f t="shared" si="57"/>
        <v>46216</v>
      </c>
      <c r="L190" s="20"/>
      <c r="M190" s="19"/>
      <c r="N190" s="19">
        <f t="shared" si="55"/>
        <v>46216</v>
      </c>
      <c r="O190" s="11">
        <f t="shared" si="59"/>
        <v>53360</v>
      </c>
      <c r="P190" s="20">
        <f t="shared" ca="1" si="60"/>
        <v>3</v>
      </c>
      <c r="Q190" t="s">
        <v>462</v>
      </c>
    </row>
    <row r="191" spans="1:17" hidden="1" outlineLevel="1" x14ac:dyDescent="0.3">
      <c r="A191" s="2" t="s">
        <v>403</v>
      </c>
      <c r="B191" s="2" t="s">
        <v>413</v>
      </c>
      <c r="C191" s="2" t="s">
        <v>414</v>
      </c>
      <c r="D191" s="2" t="s">
        <v>56</v>
      </c>
      <c r="E191" s="3">
        <v>46171</v>
      </c>
      <c r="F191" s="7">
        <v>-42</v>
      </c>
      <c r="G191" s="3">
        <v>46216</v>
      </c>
      <c r="H191" s="5">
        <v>43200</v>
      </c>
      <c r="I191" s="2" t="s">
        <v>51</v>
      </c>
      <c r="J191" s="2" t="s">
        <v>448</v>
      </c>
      <c r="K191" s="19">
        <f t="shared" si="57"/>
        <v>46216</v>
      </c>
      <c r="L191" s="20"/>
      <c r="M191" s="19"/>
      <c r="N191" s="19">
        <f t="shared" si="55"/>
        <v>46216</v>
      </c>
      <c r="O191" s="11">
        <f t="shared" si="59"/>
        <v>43200</v>
      </c>
      <c r="P191" s="20">
        <f t="shared" ca="1" si="60"/>
        <v>3</v>
      </c>
      <c r="Q191" t="s">
        <v>462</v>
      </c>
    </row>
    <row r="192" spans="1:17" hidden="1" outlineLevel="1" x14ac:dyDescent="0.3">
      <c r="A192" s="2" t="s">
        <v>415</v>
      </c>
      <c r="B192" s="2" t="s">
        <v>416</v>
      </c>
      <c r="C192" s="2" t="s">
        <v>417</v>
      </c>
      <c r="D192" s="2" t="s">
        <v>50</v>
      </c>
      <c r="E192" s="3">
        <v>46142</v>
      </c>
      <c r="F192" s="4">
        <v>0</v>
      </c>
      <c r="G192" s="3">
        <v>46142</v>
      </c>
      <c r="H192" s="6">
        <v>-6675</v>
      </c>
      <c r="I192" s="2" t="s">
        <v>51</v>
      </c>
      <c r="J192" s="2" t="s">
        <v>448</v>
      </c>
      <c r="K192" s="19">
        <f t="shared" si="57"/>
        <v>46187</v>
      </c>
      <c r="L192" s="20"/>
      <c r="M192" s="19"/>
      <c r="N192" s="19">
        <f t="shared" si="55"/>
        <v>46142</v>
      </c>
      <c r="O192" s="11">
        <f t="shared" si="59"/>
        <v>-6675</v>
      </c>
      <c r="P192" s="20">
        <f t="shared" ca="1" si="60"/>
        <v>32</v>
      </c>
      <c r="Q192" t="s">
        <v>462</v>
      </c>
    </row>
    <row r="193" spans="1:17" hidden="1" outlineLevel="1" x14ac:dyDescent="0.3">
      <c r="A193" s="2" t="s">
        <v>415</v>
      </c>
      <c r="B193" s="2" t="s">
        <v>418</v>
      </c>
      <c r="C193" s="2" t="s">
        <v>419</v>
      </c>
      <c r="D193" s="2" t="s">
        <v>56</v>
      </c>
      <c r="E193" s="3">
        <v>46164</v>
      </c>
      <c r="F193" s="7">
        <v>-35</v>
      </c>
      <c r="G193" s="3">
        <v>46209</v>
      </c>
      <c r="H193" s="5">
        <v>29250</v>
      </c>
      <c r="I193" s="2" t="s">
        <v>51</v>
      </c>
      <c r="J193" s="2" t="s">
        <v>448</v>
      </c>
      <c r="K193" s="19">
        <f t="shared" si="57"/>
        <v>46209</v>
      </c>
      <c r="L193" s="20">
        <f t="shared" ca="1" si="58"/>
        <v>-35</v>
      </c>
      <c r="M193" s="19">
        <v>46209</v>
      </c>
      <c r="N193" s="19">
        <f t="shared" si="55"/>
        <v>46209</v>
      </c>
      <c r="O193" s="11">
        <f t="shared" si="59"/>
        <v>29250</v>
      </c>
      <c r="P193" s="20">
        <f t="shared" ca="1" si="60"/>
        <v>10</v>
      </c>
      <c r="Q193" t="s">
        <v>462</v>
      </c>
    </row>
    <row r="194" spans="1:17" hidden="1" outlineLevel="1" x14ac:dyDescent="0.3">
      <c r="A194" s="2" t="s">
        <v>420</v>
      </c>
      <c r="B194" s="2" t="s">
        <v>421</v>
      </c>
      <c r="C194" s="2" t="s">
        <v>422</v>
      </c>
      <c r="D194" s="2" t="s">
        <v>50</v>
      </c>
      <c r="E194" s="3">
        <v>46148</v>
      </c>
      <c r="F194" s="4">
        <v>0</v>
      </c>
      <c r="G194" s="3">
        <v>46173</v>
      </c>
      <c r="H194" s="6">
        <v>-13316.5</v>
      </c>
      <c r="I194" s="2" t="s">
        <v>51</v>
      </c>
      <c r="J194" s="2" t="s">
        <v>448</v>
      </c>
      <c r="K194" s="19">
        <f t="shared" si="57"/>
        <v>46193</v>
      </c>
      <c r="L194" s="20"/>
      <c r="M194" s="19"/>
      <c r="N194" s="19">
        <f t="shared" si="55"/>
        <v>46173</v>
      </c>
      <c r="O194" s="11">
        <f t="shared" si="59"/>
        <v>-13316.5</v>
      </c>
      <c r="P194" s="20">
        <f t="shared" ca="1" si="60"/>
        <v>26</v>
      </c>
      <c r="Q194" t="s">
        <v>462</v>
      </c>
    </row>
    <row r="195" spans="1:17" hidden="1" outlineLevel="1" x14ac:dyDescent="0.3">
      <c r="A195" s="2" t="s">
        <v>420</v>
      </c>
      <c r="B195" s="2" t="s">
        <v>423</v>
      </c>
      <c r="C195" s="2" t="s">
        <v>424</v>
      </c>
      <c r="D195" s="2" t="s">
        <v>56</v>
      </c>
      <c r="E195" s="3">
        <v>46171</v>
      </c>
      <c r="F195" s="7">
        <v>-42</v>
      </c>
      <c r="G195" s="3">
        <v>46216</v>
      </c>
      <c r="H195" s="5">
        <v>66250</v>
      </c>
      <c r="I195" s="2" t="s">
        <v>51</v>
      </c>
      <c r="J195" s="2" t="s">
        <v>448</v>
      </c>
      <c r="K195" s="19">
        <f t="shared" si="57"/>
        <v>46216</v>
      </c>
      <c r="L195" s="20"/>
      <c r="M195" s="19"/>
      <c r="N195" s="19">
        <f t="shared" si="55"/>
        <v>46216</v>
      </c>
      <c r="O195" s="11">
        <f t="shared" si="59"/>
        <v>66250</v>
      </c>
      <c r="P195" s="20">
        <f t="shared" ca="1" si="60"/>
        <v>3</v>
      </c>
      <c r="Q195" t="s">
        <v>462</v>
      </c>
    </row>
    <row r="196" spans="1:17" hidden="1" outlineLevel="1" x14ac:dyDescent="0.3">
      <c r="A196" s="2" t="s">
        <v>425</v>
      </c>
      <c r="B196" s="2" t="s">
        <v>426</v>
      </c>
      <c r="C196" s="2" t="s">
        <v>427</v>
      </c>
      <c r="D196" s="2" t="s">
        <v>50</v>
      </c>
      <c r="E196" s="3">
        <v>46142</v>
      </c>
      <c r="F196" s="4">
        <v>0</v>
      </c>
      <c r="G196" s="3">
        <v>46142</v>
      </c>
      <c r="H196" s="6">
        <v>-74009</v>
      </c>
      <c r="I196" s="2" t="s">
        <v>51</v>
      </c>
      <c r="J196" s="2" t="s">
        <v>448</v>
      </c>
      <c r="K196" s="19">
        <f t="shared" si="57"/>
        <v>46187</v>
      </c>
      <c r="L196" s="20"/>
      <c r="M196" s="19"/>
      <c r="N196" s="19">
        <f t="shared" si="55"/>
        <v>46142</v>
      </c>
      <c r="O196" s="11">
        <f t="shared" si="59"/>
        <v>-74009</v>
      </c>
      <c r="P196" s="20">
        <f t="shared" ca="1" si="60"/>
        <v>32</v>
      </c>
      <c r="Q196" t="s">
        <v>462</v>
      </c>
    </row>
    <row r="197" spans="1:17" hidden="1" outlineLevel="1" x14ac:dyDescent="0.3">
      <c r="A197" s="2" t="s">
        <v>425</v>
      </c>
      <c r="B197" s="2" t="s">
        <v>428</v>
      </c>
      <c r="C197" s="2" t="s">
        <v>429</v>
      </c>
      <c r="D197" s="2" t="s">
        <v>56</v>
      </c>
      <c r="E197" s="3">
        <v>46166</v>
      </c>
      <c r="F197" s="7">
        <v>-37</v>
      </c>
      <c r="G197" s="3">
        <v>46211</v>
      </c>
      <c r="H197" s="5">
        <v>164700</v>
      </c>
      <c r="I197" s="2" t="s">
        <v>51</v>
      </c>
      <c r="J197" s="2" t="s">
        <v>448</v>
      </c>
      <c r="K197" s="19">
        <f t="shared" si="57"/>
        <v>46211</v>
      </c>
      <c r="L197" s="20"/>
      <c r="M197" s="19"/>
      <c r="N197" s="19">
        <f t="shared" si="55"/>
        <v>46211</v>
      </c>
      <c r="O197" s="11">
        <f t="shared" si="59"/>
        <v>164700</v>
      </c>
      <c r="P197" s="20">
        <f t="shared" ca="1" si="60"/>
        <v>8</v>
      </c>
      <c r="Q197" t="s">
        <v>462</v>
      </c>
    </row>
    <row r="198" spans="1:17" hidden="1" outlineLevel="1" x14ac:dyDescent="0.3">
      <c r="A198" s="2" t="s">
        <v>430</v>
      </c>
      <c r="B198" s="2" t="s">
        <v>431</v>
      </c>
      <c r="C198" s="2" t="s">
        <v>432</v>
      </c>
      <c r="D198" s="2" t="s">
        <v>56</v>
      </c>
      <c r="E198" s="3">
        <v>46136</v>
      </c>
      <c r="F198" s="7">
        <v>-7</v>
      </c>
      <c r="G198" s="3">
        <v>46181</v>
      </c>
      <c r="H198" s="5">
        <v>30250</v>
      </c>
      <c r="I198" s="2" t="s">
        <v>51</v>
      </c>
      <c r="J198" s="2" t="s">
        <v>448</v>
      </c>
      <c r="K198" s="19">
        <f t="shared" si="57"/>
        <v>46181</v>
      </c>
      <c r="L198" s="20">
        <f t="shared" ca="1" si="58"/>
        <v>-7</v>
      </c>
      <c r="M198" s="19">
        <v>46181</v>
      </c>
      <c r="N198" s="19">
        <f t="shared" si="55"/>
        <v>46181</v>
      </c>
      <c r="O198" s="11">
        <f t="shared" si="59"/>
        <v>30250</v>
      </c>
      <c r="P198" s="20">
        <f t="shared" ca="1" si="60"/>
        <v>38</v>
      </c>
      <c r="Q198" t="s">
        <v>462</v>
      </c>
    </row>
    <row r="199" spans="1:17" hidden="1" outlineLevel="1" x14ac:dyDescent="0.3">
      <c r="A199" s="2" t="s">
        <v>433</v>
      </c>
      <c r="B199" s="2" t="s">
        <v>434</v>
      </c>
      <c r="C199" s="2" t="s">
        <v>435</v>
      </c>
      <c r="D199" s="2" t="s">
        <v>72</v>
      </c>
      <c r="E199" s="3">
        <v>46134</v>
      </c>
      <c r="F199" s="4">
        <v>40</v>
      </c>
      <c r="G199" s="3">
        <v>46134</v>
      </c>
      <c r="H199" s="5">
        <v>67066</v>
      </c>
      <c r="I199" s="2" t="s">
        <v>51</v>
      </c>
      <c r="J199" s="2" t="s">
        <v>448</v>
      </c>
      <c r="K199" s="19">
        <f t="shared" si="57"/>
        <v>46179</v>
      </c>
      <c r="L199" s="20">
        <f t="shared" ca="1" si="58"/>
        <v>-5</v>
      </c>
      <c r="M199" s="19">
        <v>46179</v>
      </c>
      <c r="N199" s="19">
        <v>46179</v>
      </c>
      <c r="O199" s="11">
        <f t="shared" si="59"/>
        <v>67066</v>
      </c>
      <c r="P199" s="20">
        <f t="shared" ca="1" si="60"/>
        <v>40</v>
      </c>
      <c r="Q199" t="s">
        <v>462</v>
      </c>
    </row>
    <row r="200" spans="1:17" hidden="1" outlineLevel="1" x14ac:dyDescent="0.3">
      <c r="A200" s="2" t="s">
        <v>436</v>
      </c>
      <c r="B200" s="2" t="s">
        <v>437</v>
      </c>
      <c r="C200" s="2" t="s">
        <v>438</v>
      </c>
      <c r="D200" s="2" t="s">
        <v>50</v>
      </c>
      <c r="E200" s="3">
        <v>46154</v>
      </c>
      <c r="F200" s="4">
        <v>0</v>
      </c>
      <c r="G200" s="3">
        <v>46173</v>
      </c>
      <c r="H200" s="6">
        <v>-32801</v>
      </c>
      <c r="I200" s="2" t="s">
        <v>51</v>
      </c>
      <c r="J200" s="2" t="s">
        <v>448</v>
      </c>
      <c r="K200" s="19">
        <f t="shared" si="57"/>
        <v>46199</v>
      </c>
      <c r="L200" s="20"/>
      <c r="M200" s="19"/>
      <c r="N200" s="19">
        <f t="shared" si="55"/>
        <v>46173</v>
      </c>
      <c r="O200" s="11">
        <f t="shared" si="59"/>
        <v>-32801</v>
      </c>
      <c r="P200" s="20">
        <f t="shared" ca="1" si="60"/>
        <v>20</v>
      </c>
      <c r="Q200" t="s">
        <v>462</v>
      </c>
    </row>
    <row r="201" spans="1:17" hidden="1" outlineLevel="1" x14ac:dyDescent="0.3">
      <c r="A201" s="2" t="s">
        <v>436</v>
      </c>
      <c r="B201" s="2" t="s">
        <v>439</v>
      </c>
      <c r="C201" s="2" t="s">
        <v>440</v>
      </c>
      <c r="D201" s="2" t="s">
        <v>56</v>
      </c>
      <c r="E201" s="3">
        <v>46168</v>
      </c>
      <c r="F201" s="7">
        <v>-39</v>
      </c>
      <c r="G201" s="3">
        <v>46213</v>
      </c>
      <c r="H201" s="5">
        <v>105560</v>
      </c>
      <c r="I201" s="2" t="s">
        <v>51</v>
      </c>
      <c r="J201" s="2" t="s">
        <v>448</v>
      </c>
      <c r="K201" s="19">
        <f t="shared" si="57"/>
        <v>46213</v>
      </c>
      <c r="L201" s="20"/>
      <c r="M201" s="19"/>
      <c r="N201" s="19">
        <f t="shared" si="55"/>
        <v>46213</v>
      </c>
      <c r="O201" s="11">
        <f t="shared" si="59"/>
        <v>105560</v>
      </c>
      <c r="P201" s="20">
        <f t="shared" ca="1" si="60"/>
        <v>6</v>
      </c>
      <c r="Q201" t="s">
        <v>462</v>
      </c>
    </row>
    <row r="202" spans="1:17" hidden="1" outlineLevel="1" x14ac:dyDescent="0.3">
      <c r="A202" s="2" t="s">
        <v>441</v>
      </c>
      <c r="B202" s="2" t="s">
        <v>442</v>
      </c>
      <c r="C202" s="2" t="s">
        <v>443</v>
      </c>
      <c r="D202" s="2" t="s">
        <v>50</v>
      </c>
      <c r="E202" s="3">
        <v>46154</v>
      </c>
      <c r="F202" s="4">
        <v>0</v>
      </c>
      <c r="G202" s="3">
        <v>46173</v>
      </c>
      <c r="H202" s="6">
        <v>-52139</v>
      </c>
      <c r="I202" s="2" t="s">
        <v>51</v>
      </c>
      <c r="J202" s="2" t="s">
        <v>448</v>
      </c>
      <c r="K202" s="19">
        <f t="shared" si="57"/>
        <v>46199</v>
      </c>
      <c r="L202" s="20"/>
      <c r="M202" s="19"/>
      <c r="N202" s="19">
        <f t="shared" si="55"/>
        <v>46173</v>
      </c>
      <c r="O202" s="11">
        <f t="shared" si="59"/>
        <v>-52139</v>
      </c>
      <c r="P202" s="20">
        <f t="shared" ca="1" si="60"/>
        <v>20</v>
      </c>
      <c r="Q202" t="s">
        <v>462</v>
      </c>
    </row>
    <row r="203" spans="1:17" hidden="1" outlineLevel="1" x14ac:dyDescent="0.3">
      <c r="A203" s="2" t="s">
        <v>441</v>
      </c>
      <c r="B203" s="2" t="s">
        <v>444</v>
      </c>
      <c r="C203" s="2" t="s">
        <v>445</v>
      </c>
      <c r="D203" s="2" t="s">
        <v>56</v>
      </c>
      <c r="E203" s="3">
        <v>46166</v>
      </c>
      <c r="F203" s="7">
        <v>-37</v>
      </c>
      <c r="G203" s="3">
        <v>46211</v>
      </c>
      <c r="H203" s="5">
        <v>167700</v>
      </c>
      <c r="I203" s="2" t="s">
        <v>10</v>
      </c>
      <c r="J203" s="2" t="s">
        <v>448</v>
      </c>
      <c r="K203" s="19">
        <f t="shared" si="57"/>
        <v>46211</v>
      </c>
      <c r="L203" s="20"/>
      <c r="M203" s="19"/>
      <c r="N203" s="19">
        <f t="shared" si="55"/>
        <v>46211</v>
      </c>
      <c r="O203" s="11">
        <f t="shared" si="59"/>
        <v>167700</v>
      </c>
      <c r="P203" s="20">
        <f t="shared" ca="1" si="60"/>
        <v>8</v>
      </c>
      <c r="Q203" t="s">
        <v>462</v>
      </c>
    </row>
  </sheetData>
  <autoFilter ref="A1:Q203" xr:uid="{00000000-0001-0000-0000-000000000000}">
    <filterColumn colId="1">
      <filters>
        <filter val="LONGKOU BOHAI FOODSTUFF CO.,"/>
        <filter val="LONGKOU JIABAO AQUATIC FOODSTUFFS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Hoja6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2026-06-01T22:01:54Z</dcterms:created>
  <dcterms:modified xsi:type="dcterms:W3CDTF">2026-06-01T22:37:05Z</dcterms:modified>
  <cp:category/>
</cp:coreProperties>
</file>