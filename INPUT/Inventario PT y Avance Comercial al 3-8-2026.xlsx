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F2E6BAB5-088B-48C1-8CDE-2C2B74916076}" xr6:coauthVersionLast="47" xr6:coauthVersionMax="47" xr10:uidLastSave="{00000000-0000-0000-0000-000000000000}"/>
  <bookViews>
    <workbookView xWindow="-108" yWindow="-108" windowWidth="23256" windowHeight="13896" xr2:uid="{9F4D3D3E-52A4-4BAF-9805-FE563EC9DA58}"/>
  </bookViews>
  <sheets>
    <sheet name="RESUMEN AL 3-8-2026" sheetId="3" r:id="rId1"/>
    <sheet name="TD" sheetId="2" r:id="rId2"/>
    <sheet name="Stock Libre" sheetId="1" r:id="rId3"/>
  </sheets>
  <externalReferences>
    <externalReference r:id="rId4"/>
    <externalReference r:id="rId5"/>
    <externalReference r:id="rId6"/>
    <externalReference r:id="rId7"/>
  </externalReferences>
  <calcPr calcId="191029"/>
  <pivotCaches>
    <pivotCache cacheId="7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5" i="3" l="1"/>
  <c r="H4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3" i="1"/>
  <c r="H44" i="1"/>
  <c r="H45" i="1"/>
  <c r="H46" i="1"/>
  <c r="H47" i="1"/>
  <c r="H48" i="1"/>
  <c r="H49" i="1"/>
  <c r="BG20" i="3" l="1"/>
  <c r="BH20" i="3"/>
  <c r="BI20" i="3"/>
  <c r="AZ19" i="3" a="1"/>
  <c r="AZ19" i="3" s="1"/>
  <c r="AY19" i="3" a="1"/>
  <c r="AY19" i="3" s="1"/>
  <c r="AZ18" i="3" a="1"/>
  <c r="AZ18" i="3" s="1"/>
  <c r="AY18" i="3" a="1"/>
  <c r="AY18" i="3" s="1"/>
  <c r="AZ17" i="3" a="1"/>
  <c r="AZ17" i="3" s="1"/>
  <c r="AY17" i="3" a="1"/>
  <c r="AY17" i="3" s="1"/>
  <c r="AZ16" i="3" a="1"/>
  <c r="AZ16" i="3" s="1"/>
  <c r="AY16" i="3" a="1"/>
  <c r="AY16" i="3" s="1"/>
  <c r="AZ15" i="3" a="1"/>
  <c r="AZ15" i="3" s="1"/>
  <c r="AY15" i="3" a="1"/>
  <c r="AY15" i="3" s="1"/>
  <c r="AZ14" i="3" a="1"/>
  <c r="AZ14" i="3" s="1"/>
  <c r="AY14" i="3" a="1"/>
  <c r="AY14" i="3" s="1"/>
  <c r="AZ13" i="3" a="1"/>
  <c r="AZ13" i="3" s="1"/>
  <c r="AY13" i="3" a="1"/>
  <c r="AY13" i="3" s="1"/>
  <c r="AZ12" i="3" a="1"/>
  <c r="AZ12" i="3" s="1"/>
  <c r="AY12" i="3" a="1"/>
  <c r="AY12" i="3" s="1"/>
  <c r="AZ11" i="3" a="1"/>
  <c r="AZ11" i="3" s="1"/>
  <c r="AY11" i="3" a="1"/>
  <c r="AY11" i="3" s="1"/>
  <c r="AZ10" i="3" a="1"/>
  <c r="AZ10" i="3" s="1"/>
  <c r="AY10" i="3" a="1"/>
  <c r="AY10" i="3" s="1"/>
  <c r="AZ9" i="3" a="1"/>
  <c r="AZ9" i="3" s="1"/>
  <c r="AY9" i="3" a="1"/>
  <c r="AY9" i="3" s="1"/>
  <c r="AZ8" i="3" a="1"/>
  <c r="AZ8" i="3" s="1"/>
  <c r="AY8" i="3" a="1"/>
  <c r="AY8" i="3" s="1"/>
  <c r="AZ7" i="3" a="1"/>
  <c r="AZ7" i="3" s="1"/>
  <c r="AY7" i="3" a="1"/>
  <c r="AY7" i="3" s="1"/>
  <c r="AW19" i="3" a="1"/>
  <c r="AW19" i="3" s="1"/>
  <c r="AV19" i="3" a="1"/>
  <c r="AV19" i="3" s="1"/>
  <c r="AW18" i="3" a="1"/>
  <c r="AW18" i="3" s="1"/>
  <c r="AV18" i="3" a="1"/>
  <c r="AV18" i="3" s="1"/>
  <c r="AW17" i="3" a="1"/>
  <c r="AW17" i="3" s="1"/>
  <c r="AV17" i="3" a="1"/>
  <c r="AV17" i="3" s="1"/>
  <c r="AW16" i="3" a="1"/>
  <c r="AW16" i="3" s="1"/>
  <c r="AV16" i="3" a="1"/>
  <c r="AV16" i="3" s="1"/>
  <c r="AW15" i="3" a="1"/>
  <c r="AW15" i="3" s="1"/>
  <c r="AV15" i="3" a="1"/>
  <c r="AV15" i="3" s="1"/>
  <c r="AW14" i="3" a="1"/>
  <c r="AW14" i="3" s="1"/>
  <c r="AV14" i="3" a="1"/>
  <c r="AV14" i="3" s="1"/>
  <c r="AW13" i="3" a="1"/>
  <c r="AW13" i="3" s="1"/>
  <c r="AV13" i="3" a="1"/>
  <c r="AV13" i="3" s="1"/>
  <c r="AW12" i="3" a="1"/>
  <c r="AW12" i="3" s="1"/>
  <c r="AV12" i="3" a="1"/>
  <c r="AV12" i="3" s="1"/>
  <c r="AW11" i="3" a="1"/>
  <c r="AW11" i="3" s="1"/>
  <c r="AV11" i="3" a="1"/>
  <c r="AV11" i="3" s="1"/>
  <c r="AW10" i="3" a="1"/>
  <c r="AW10" i="3" s="1"/>
  <c r="AV10" i="3" a="1"/>
  <c r="AV10" i="3" s="1"/>
  <c r="AW9" i="3" a="1"/>
  <c r="AW9" i="3" s="1"/>
  <c r="AV9" i="3" a="1"/>
  <c r="AV9" i="3" s="1"/>
  <c r="AW8" i="3" a="1"/>
  <c r="AW8" i="3" s="1"/>
  <c r="AV8" i="3" a="1"/>
  <c r="AV8" i="3" s="1"/>
  <c r="AW7" i="3" a="1"/>
  <c r="AW7" i="3" s="1"/>
  <c r="AV7" i="3" a="1"/>
  <c r="AV7" i="3" s="1"/>
  <c r="AT19" i="3" a="1"/>
  <c r="AT19" i="3" s="1"/>
  <c r="AS19" i="3" a="1"/>
  <c r="AS19" i="3" s="1"/>
  <c r="AT18" i="3" a="1"/>
  <c r="AT18" i="3" s="1"/>
  <c r="AS18" i="3" a="1"/>
  <c r="AS18" i="3" s="1"/>
  <c r="AT17" i="3" a="1"/>
  <c r="AT17" i="3" s="1"/>
  <c r="AS17" i="3" a="1"/>
  <c r="AS17" i="3" s="1"/>
  <c r="AT16" i="3" a="1"/>
  <c r="AT16" i="3" s="1"/>
  <c r="AS16" i="3" a="1"/>
  <c r="AS16" i="3" s="1"/>
  <c r="AT15" i="3" a="1"/>
  <c r="AT15" i="3" s="1"/>
  <c r="AS15" i="3" a="1"/>
  <c r="AS15" i="3" s="1"/>
  <c r="AT14" i="3" a="1"/>
  <c r="AT14" i="3" s="1"/>
  <c r="AS14" i="3" a="1"/>
  <c r="AS14" i="3" s="1"/>
  <c r="AT13" i="3" a="1"/>
  <c r="AT13" i="3" s="1"/>
  <c r="AS13" i="3" a="1"/>
  <c r="AS13" i="3" s="1"/>
  <c r="AT12" i="3" a="1"/>
  <c r="AT12" i="3" s="1"/>
  <c r="AS12" i="3" a="1"/>
  <c r="AS12" i="3" s="1"/>
  <c r="AT11" i="3" a="1"/>
  <c r="AT11" i="3" s="1"/>
  <c r="AS11" i="3" a="1"/>
  <c r="AS11" i="3" s="1"/>
  <c r="AT10" i="3" a="1"/>
  <c r="AT10" i="3" s="1"/>
  <c r="AS10" i="3" a="1"/>
  <c r="AS10" i="3" s="1"/>
  <c r="AT9" i="3" a="1"/>
  <c r="AT9" i="3" s="1"/>
  <c r="AS9" i="3" a="1"/>
  <c r="AS9" i="3" s="1"/>
  <c r="AT8" i="3" a="1"/>
  <c r="AT8" i="3" s="1"/>
  <c r="AS8" i="3" a="1"/>
  <c r="AS8" i="3" s="1"/>
  <c r="AT7" i="3" a="1"/>
  <c r="AT7" i="3" s="1"/>
  <c r="AS7" i="3" a="1"/>
  <c r="AS7" i="3" s="1"/>
  <c r="AQ19" i="3" a="1"/>
  <c r="AQ19" i="3" s="1"/>
  <c r="AP19" i="3" a="1"/>
  <c r="AP19" i="3" s="1"/>
  <c r="AQ18" i="3" a="1"/>
  <c r="AQ18" i="3" s="1"/>
  <c r="AP18" i="3" a="1"/>
  <c r="AP18" i="3" s="1"/>
  <c r="AQ17" i="3" a="1"/>
  <c r="AQ17" i="3" s="1"/>
  <c r="AP17" i="3" a="1"/>
  <c r="AP17" i="3" s="1"/>
  <c r="AQ16" i="3" a="1"/>
  <c r="AQ16" i="3" s="1"/>
  <c r="AP16" i="3" a="1"/>
  <c r="AP16" i="3" s="1"/>
  <c r="AQ15" i="3" a="1"/>
  <c r="AQ15" i="3" s="1"/>
  <c r="AP15" i="3" a="1"/>
  <c r="AP15" i="3" s="1"/>
  <c r="AQ14" i="3" a="1"/>
  <c r="AQ14" i="3" s="1"/>
  <c r="AP14" i="3" a="1"/>
  <c r="AP14" i="3" s="1"/>
  <c r="AQ13" i="3" a="1"/>
  <c r="AQ13" i="3" s="1"/>
  <c r="AP13" i="3" a="1"/>
  <c r="AP13" i="3" s="1"/>
  <c r="AQ12" i="3" a="1"/>
  <c r="AQ12" i="3" s="1"/>
  <c r="AP12" i="3" a="1"/>
  <c r="AP12" i="3" s="1"/>
  <c r="AQ11" i="3" a="1"/>
  <c r="AQ11" i="3" s="1"/>
  <c r="AP11" i="3" a="1"/>
  <c r="AP11" i="3" s="1"/>
  <c r="AQ10" i="3" a="1"/>
  <c r="AQ10" i="3" s="1"/>
  <c r="AP10" i="3" a="1"/>
  <c r="AP10" i="3" s="1"/>
  <c r="AQ9" i="3" a="1"/>
  <c r="AQ9" i="3" s="1"/>
  <c r="AP9" i="3" a="1"/>
  <c r="AP9" i="3" s="1"/>
  <c r="AQ8" i="3" a="1"/>
  <c r="AQ8" i="3" s="1"/>
  <c r="AP8" i="3" a="1"/>
  <c r="AP8" i="3" s="1"/>
  <c r="AQ7" i="3" a="1"/>
  <c r="AQ7" i="3" s="1"/>
  <c r="AP7" i="3" a="1"/>
  <c r="AP7" i="3" s="1"/>
  <c r="AN19" i="3" a="1"/>
  <c r="AN19" i="3" s="1"/>
  <c r="AM19" i="3" a="1"/>
  <c r="AM19" i="3" s="1"/>
  <c r="AN18" i="3" a="1"/>
  <c r="AN18" i="3" s="1"/>
  <c r="AM18" i="3" a="1"/>
  <c r="AM18" i="3" s="1"/>
  <c r="AN17" i="3" a="1"/>
  <c r="AN17" i="3" s="1"/>
  <c r="AM17" i="3" a="1"/>
  <c r="AM17" i="3" s="1"/>
  <c r="AN16" i="3" a="1"/>
  <c r="AN16" i="3" s="1"/>
  <c r="AM16" i="3" a="1"/>
  <c r="AM16" i="3" s="1"/>
  <c r="AN15" i="3" a="1"/>
  <c r="AN15" i="3" s="1"/>
  <c r="AM15" i="3" a="1"/>
  <c r="AM15" i="3" s="1"/>
  <c r="AN14" i="3" a="1"/>
  <c r="AN14" i="3" s="1"/>
  <c r="AM14" i="3" a="1"/>
  <c r="AM14" i="3" s="1"/>
  <c r="AN13" i="3" a="1"/>
  <c r="AN13" i="3" s="1"/>
  <c r="AM13" i="3" a="1"/>
  <c r="AM13" i="3" s="1"/>
  <c r="AN12" i="3" a="1"/>
  <c r="AN12" i="3" s="1"/>
  <c r="AM12" i="3" a="1"/>
  <c r="AM12" i="3" s="1"/>
  <c r="AN11" i="3" a="1"/>
  <c r="AN11" i="3" s="1"/>
  <c r="AM11" i="3" a="1"/>
  <c r="AM11" i="3" s="1"/>
  <c r="AN10" i="3" a="1"/>
  <c r="AN10" i="3" s="1"/>
  <c r="AM10" i="3" a="1"/>
  <c r="AM10" i="3" s="1"/>
  <c r="AN9" i="3" a="1"/>
  <c r="AN9" i="3" s="1"/>
  <c r="AM9" i="3" a="1"/>
  <c r="AM9" i="3" s="1"/>
  <c r="AN8" i="3" a="1"/>
  <c r="AN8" i="3" s="1"/>
  <c r="AM8" i="3" a="1"/>
  <c r="AM8" i="3" s="1"/>
  <c r="AN7" i="3" a="1"/>
  <c r="AN7" i="3" s="1"/>
  <c r="AM7" i="3" a="1"/>
  <c r="AM7" i="3" s="1"/>
  <c r="AK19" i="3" a="1"/>
  <c r="AK19" i="3" s="1"/>
  <c r="AJ19" i="3" a="1"/>
  <c r="AJ19" i="3" s="1"/>
  <c r="AK18" i="3" a="1"/>
  <c r="AK18" i="3" s="1"/>
  <c r="AJ18" i="3" a="1"/>
  <c r="AJ18" i="3" s="1"/>
  <c r="AK17" i="3" a="1"/>
  <c r="AK17" i="3" s="1"/>
  <c r="AJ17" i="3" a="1"/>
  <c r="AJ17" i="3" s="1"/>
  <c r="AK16" i="3" a="1"/>
  <c r="AK16" i="3" s="1"/>
  <c r="AJ16" i="3" a="1"/>
  <c r="AJ16" i="3" s="1"/>
  <c r="AK15" i="3" a="1"/>
  <c r="AK15" i="3" s="1"/>
  <c r="AJ15" i="3" a="1"/>
  <c r="AJ15" i="3" s="1"/>
  <c r="AK14" i="3" a="1"/>
  <c r="AK14" i="3" s="1"/>
  <c r="AJ14" i="3" a="1"/>
  <c r="AJ14" i="3" s="1"/>
  <c r="AK13" i="3" a="1"/>
  <c r="AK13" i="3" s="1"/>
  <c r="AJ13" i="3" a="1"/>
  <c r="AJ13" i="3" s="1"/>
  <c r="AK12" i="3" a="1"/>
  <c r="AK12" i="3" s="1"/>
  <c r="AJ12" i="3" a="1"/>
  <c r="AJ12" i="3" s="1"/>
  <c r="AK11" i="3" a="1"/>
  <c r="AK11" i="3" s="1"/>
  <c r="AJ11" i="3" a="1"/>
  <c r="AJ11" i="3" s="1"/>
  <c r="AK10" i="3" a="1"/>
  <c r="AK10" i="3" s="1"/>
  <c r="AJ10" i="3" a="1"/>
  <c r="AJ10" i="3" s="1"/>
  <c r="AK9" i="3" a="1"/>
  <c r="AK9" i="3" s="1"/>
  <c r="AJ9" i="3" a="1"/>
  <c r="AJ9" i="3" s="1"/>
  <c r="AK8" i="3" a="1"/>
  <c r="AK8" i="3" s="1"/>
  <c r="AJ8" i="3" a="1"/>
  <c r="AJ8" i="3" s="1"/>
  <c r="AK7" i="3" a="1"/>
  <c r="AK7" i="3" s="1"/>
  <c r="AJ7" i="3" a="1"/>
  <c r="AJ7" i="3" s="1"/>
  <c r="AH19" i="3" a="1"/>
  <c r="AH19" i="3" s="1"/>
  <c r="AG19" i="3" a="1"/>
  <c r="AG19" i="3" s="1"/>
  <c r="AH18" i="3" a="1"/>
  <c r="AH18" i="3" s="1"/>
  <c r="AG18" i="3" a="1"/>
  <c r="AG18" i="3" s="1"/>
  <c r="AH17" i="3" a="1"/>
  <c r="AH17" i="3" s="1"/>
  <c r="AG17" i="3" a="1"/>
  <c r="AG17" i="3" s="1"/>
  <c r="AH16" i="3" a="1"/>
  <c r="AH16" i="3" s="1"/>
  <c r="AG16" i="3" a="1"/>
  <c r="AG16" i="3" s="1"/>
  <c r="AH15" i="3" a="1"/>
  <c r="AH15" i="3" s="1"/>
  <c r="AG15" i="3" a="1"/>
  <c r="AG15" i="3" s="1"/>
  <c r="AH14" i="3" a="1"/>
  <c r="AH14" i="3" s="1"/>
  <c r="AG14" i="3" a="1"/>
  <c r="AG14" i="3" s="1"/>
  <c r="AH13" i="3" a="1"/>
  <c r="AH13" i="3" s="1"/>
  <c r="AG13" i="3" a="1"/>
  <c r="AG13" i="3" s="1"/>
  <c r="AH12" i="3" a="1"/>
  <c r="AH12" i="3" s="1"/>
  <c r="AG12" i="3" a="1"/>
  <c r="AG12" i="3" s="1"/>
  <c r="AH11" i="3" a="1"/>
  <c r="AH11" i="3" s="1"/>
  <c r="AG11" i="3" a="1"/>
  <c r="AG11" i="3" s="1"/>
  <c r="AH10" i="3" a="1"/>
  <c r="AH10" i="3" s="1"/>
  <c r="AG10" i="3" a="1"/>
  <c r="AG10" i="3" s="1"/>
  <c r="AH9" i="3" a="1"/>
  <c r="AH9" i="3" s="1"/>
  <c r="AG9" i="3" a="1"/>
  <c r="AG9" i="3" s="1"/>
  <c r="AH8" i="3" a="1"/>
  <c r="AH8" i="3" s="1"/>
  <c r="AG8" i="3" a="1"/>
  <c r="AG8" i="3" s="1"/>
  <c r="AH7" i="3" a="1"/>
  <c r="AH7" i="3" s="1"/>
  <c r="AG7" i="3" a="1"/>
  <c r="AG7" i="3" s="1"/>
  <c r="AE19" i="3" a="1"/>
  <c r="AE19" i="3" s="1"/>
  <c r="AD19" i="3" a="1"/>
  <c r="AD19" i="3" s="1"/>
  <c r="AE18" i="3" a="1"/>
  <c r="AE18" i="3" s="1"/>
  <c r="AD18" i="3" a="1"/>
  <c r="AD18" i="3" s="1"/>
  <c r="AE17" i="3" a="1"/>
  <c r="AE17" i="3" s="1"/>
  <c r="AD17" i="3" a="1"/>
  <c r="AD17" i="3" s="1"/>
  <c r="AE16" i="3" a="1"/>
  <c r="AE16" i="3" s="1"/>
  <c r="AD16" i="3" a="1"/>
  <c r="AD16" i="3" s="1"/>
  <c r="AE15" i="3" a="1"/>
  <c r="AE15" i="3" s="1"/>
  <c r="AD15" i="3" a="1"/>
  <c r="AD15" i="3" s="1"/>
  <c r="AE14" i="3" a="1"/>
  <c r="AE14" i="3" s="1"/>
  <c r="AD14" i="3" a="1"/>
  <c r="AD14" i="3" s="1"/>
  <c r="AE13" i="3" a="1"/>
  <c r="AE13" i="3" s="1"/>
  <c r="AD13" i="3" a="1"/>
  <c r="AD13" i="3" s="1"/>
  <c r="AE12" i="3" a="1"/>
  <c r="AE12" i="3" s="1"/>
  <c r="AD12" i="3" a="1"/>
  <c r="AD12" i="3" s="1"/>
  <c r="AE11" i="3" a="1"/>
  <c r="AE11" i="3" s="1"/>
  <c r="AD11" i="3" a="1"/>
  <c r="AD11" i="3" s="1"/>
  <c r="AE10" i="3" a="1"/>
  <c r="AE10" i="3" s="1"/>
  <c r="AD10" i="3" a="1"/>
  <c r="AD10" i="3" s="1"/>
  <c r="AE9" i="3" a="1"/>
  <c r="AE9" i="3" s="1"/>
  <c r="AD9" i="3" a="1"/>
  <c r="AD9" i="3" s="1"/>
  <c r="AE8" i="3" a="1"/>
  <c r="AE8" i="3" s="1"/>
  <c r="AD8" i="3" a="1"/>
  <c r="AD8" i="3" s="1"/>
  <c r="AE7" i="3" a="1"/>
  <c r="AE7" i="3" s="1"/>
  <c r="AD7" i="3" a="1"/>
  <c r="AD7" i="3" s="1"/>
  <c r="AB19" i="3" a="1"/>
  <c r="AB19" i="3" s="1"/>
  <c r="AA19" i="3" a="1"/>
  <c r="AA19" i="3" s="1"/>
  <c r="AB18" i="3" a="1"/>
  <c r="AB18" i="3" s="1"/>
  <c r="AA18" i="3" a="1"/>
  <c r="AA18" i="3" s="1"/>
  <c r="AB17" i="3" a="1"/>
  <c r="AB17" i="3" s="1"/>
  <c r="AA17" i="3" a="1"/>
  <c r="AA17" i="3" s="1"/>
  <c r="AB16" i="3" a="1"/>
  <c r="AB16" i="3" s="1"/>
  <c r="AA16" i="3" a="1"/>
  <c r="AA16" i="3" s="1"/>
  <c r="AB15" i="3" a="1"/>
  <c r="AB15" i="3" s="1"/>
  <c r="AA15" i="3" a="1"/>
  <c r="AA15" i="3" s="1"/>
  <c r="AB14" i="3" a="1"/>
  <c r="AB14" i="3" s="1"/>
  <c r="AA14" i="3" a="1"/>
  <c r="AA14" i="3" s="1"/>
  <c r="AB13" i="3" a="1"/>
  <c r="AB13" i="3" s="1"/>
  <c r="AA13" i="3" a="1"/>
  <c r="AA13" i="3" s="1"/>
  <c r="AB12" i="3" a="1"/>
  <c r="AB12" i="3" s="1"/>
  <c r="AA12" i="3" a="1"/>
  <c r="AA12" i="3" s="1"/>
  <c r="AB11" i="3" a="1"/>
  <c r="AB11" i="3" s="1"/>
  <c r="AA11" i="3" a="1"/>
  <c r="AA11" i="3" s="1"/>
  <c r="AB10" i="3" a="1"/>
  <c r="AB10" i="3" s="1"/>
  <c r="AA10" i="3" a="1"/>
  <c r="AA10" i="3" s="1"/>
  <c r="AB9" i="3" a="1"/>
  <c r="AB9" i="3" s="1"/>
  <c r="AA9" i="3" a="1"/>
  <c r="AA9" i="3" s="1"/>
  <c r="AB8" i="3" a="1"/>
  <c r="AB8" i="3" s="1"/>
  <c r="AA8" i="3" a="1"/>
  <c r="AA8" i="3" s="1"/>
  <c r="AB7" i="3" a="1"/>
  <c r="AB7" i="3" s="1"/>
  <c r="AA7" i="3" a="1"/>
  <c r="AA7" i="3" s="1"/>
  <c r="Y7" i="3" a="1"/>
  <c r="Y7" i="3" s="1"/>
  <c r="Y8" i="3" a="1"/>
  <c r="Y8" i="3" s="1"/>
  <c r="Y9" i="3" a="1"/>
  <c r="Y9" i="3" s="1"/>
  <c r="BC9" i="3" s="1"/>
  <c r="Y10" i="3" a="1"/>
  <c r="Y10" i="3"/>
  <c r="Y11" i="3" a="1"/>
  <c r="Y11" i="3" s="1"/>
  <c r="Y12" i="3" a="1"/>
  <c r="Y12" i="3"/>
  <c r="Y13" i="3" a="1"/>
  <c r="Y13" i="3" s="1"/>
  <c r="Y14" i="3" a="1"/>
  <c r="Y14" i="3" s="1"/>
  <c r="Y15" i="3" a="1"/>
  <c r="Y15" i="3" s="1"/>
  <c r="Y16" i="3" a="1"/>
  <c r="Y16" i="3"/>
  <c r="Y17" i="3" a="1"/>
  <c r="Y17" i="3" s="1"/>
  <c r="Y18" i="3" a="1"/>
  <c r="Y18" i="3" s="1"/>
  <c r="Y19" i="3" a="1"/>
  <c r="Y19" i="3" s="1"/>
  <c r="X7" i="3" a="1"/>
  <c r="X7" i="3" s="1"/>
  <c r="X8" i="3" a="1"/>
  <c r="X8" i="3" s="1"/>
  <c r="X9" i="3" a="1"/>
  <c r="X9" i="3" s="1"/>
  <c r="X10" i="3" a="1"/>
  <c r="X10" i="3" s="1"/>
  <c r="X11" i="3" a="1"/>
  <c r="X11" i="3" s="1"/>
  <c r="X12" i="3" a="1"/>
  <c r="X12" i="3" s="1"/>
  <c r="X13" i="3" a="1"/>
  <c r="X13" i="3" s="1"/>
  <c r="X14" i="3" a="1"/>
  <c r="X14" i="3"/>
  <c r="X15" i="3" a="1"/>
  <c r="X15" i="3" s="1"/>
  <c r="X16" i="3" a="1"/>
  <c r="X16" i="3" s="1"/>
  <c r="X17" i="3" a="1"/>
  <c r="X17" i="3" s="1"/>
  <c r="X18" i="3" a="1"/>
  <c r="X18" i="3"/>
  <c r="X19" i="3" a="1"/>
  <c r="X19" i="3" s="1"/>
  <c r="R26" i="3"/>
  <c r="G25" i="3"/>
  <c r="G26" i="3"/>
  <c r="G27" i="3"/>
  <c r="K20" i="3"/>
  <c r="F7" i="3"/>
  <c r="G7" i="3"/>
  <c r="H7" i="3"/>
  <c r="I7" i="3"/>
  <c r="J7" i="3"/>
  <c r="F8" i="3"/>
  <c r="G8" i="3"/>
  <c r="H8" i="3"/>
  <c r="I8" i="3"/>
  <c r="J8" i="3"/>
  <c r="F9" i="3"/>
  <c r="G9" i="3"/>
  <c r="H9" i="3"/>
  <c r="I9" i="3"/>
  <c r="J9" i="3"/>
  <c r="F10" i="3"/>
  <c r="G10" i="3"/>
  <c r="H10" i="3"/>
  <c r="I10" i="3"/>
  <c r="J10" i="3"/>
  <c r="F11" i="3"/>
  <c r="G11" i="3"/>
  <c r="H11" i="3"/>
  <c r="I11" i="3"/>
  <c r="J11" i="3"/>
  <c r="F12" i="3"/>
  <c r="G12" i="3"/>
  <c r="H12" i="3"/>
  <c r="I12" i="3"/>
  <c r="J12" i="3"/>
  <c r="F13" i="3"/>
  <c r="G13" i="3"/>
  <c r="H13" i="3"/>
  <c r="I13" i="3"/>
  <c r="J13" i="3"/>
  <c r="F14" i="3"/>
  <c r="G14" i="3"/>
  <c r="H14" i="3"/>
  <c r="I14" i="3"/>
  <c r="J14" i="3"/>
  <c r="F15" i="3"/>
  <c r="G15" i="3"/>
  <c r="H15" i="3"/>
  <c r="I15" i="3"/>
  <c r="J15" i="3"/>
  <c r="F16" i="3"/>
  <c r="G16" i="3"/>
  <c r="H16" i="3"/>
  <c r="I16" i="3"/>
  <c r="J16" i="3"/>
  <c r="F17" i="3"/>
  <c r="G17" i="3"/>
  <c r="H17" i="3"/>
  <c r="I17" i="3"/>
  <c r="J17" i="3"/>
  <c r="F18" i="3"/>
  <c r="G18" i="3"/>
  <c r="H18" i="3"/>
  <c r="I18" i="3"/>
  <c r="J18" i="3"/>
  <c r="F19" i="3"/>
  <c r="G19" i="3"/>
  <c r="H19" i="3"/>
  <c r="I19" i="3"/>
  <c r="J19" i="3"/>
  <c r="D7" i="3"/>
  <c r="R7" i="3" s="1"/>
  <c r="D8" i="3"/>
  <c r="R8" i="3" s="1"/>
  <c r="D9" i="3"/>
  <c r="R9" i="3" s="1"/>
  <c r="D10" i="3"/>
  <c r="D11" i="3"/>
  <c r="R11" i="3" s="1"/>
  <c r="D12" i="3"/>
  <c r="R12" i="3" s="1"/>
  <c r="D13" i="3"/>
  <c r="R13" i="3" s="1"/>
  <c r="D14" i="3"/>
  <c r="R14" i="3" s="1"/>
  <c r="D15" i="3"/>
  <c r="R15" i="3" s="1"/>
  <c r="D16" i="3"/>
  <c r="R16" i="3" s="1"/>
  <c r="D17" i="3"/>
  <c r="D18" i="3"/>
  <c r="R18" i="3" s="1"/>
  <c r="D19" i="3"/>
  <c r="R19" i="3" s="1"/>
  <c r="L30" i="3"/>
  <c r="K28" i="3"/>
  <c r="D28" i="3"/>
  <c r="R27" i="3"/>
  <c r="R10" i="3"/>
  <c r="B14" i="2"/>
  <c r="B13" i="2"/>
  <c r="B12" i="2"/>
  <c r="B11" i="2"/>
  <c r="B10" i="2"/>
  <c r="B9" i="2"/>
  <c r="B8" i="2"/>
  <c r="B7" i="2"/>
  <c r="B6" i="2"/>
  <c r="B5" i="2"/>
  <c r="B4" i="2"/>
  <c r="I51" i="1"/>
  <c r="I50" i="1"/>
  <c r="J57" i="1"/>
  <c r="I57" i="1"/>
  <c r="S52" i="1"/>
  <c r="R52" i="1"/>
  <c r="L51" i="1"/>
  <c r="N51" i="1" s="1"/>
  <c r="K51" i="1"/>
  <c r="N50" i="1"/>
  <c r="L50" i="1"/>
  <c r="K50" i="1"/>
  <c r="L49" i="1"/>
  <c r="N49" i="1" s="1"/>
  <c r="K49" i="1"/>
  <c r="L48" i="1"/>
  <c r="N48" i="1" s="1"/>
  <c r="K48" i="1"/>
  <c r="L47" i="1"/>
  <c r="N47" i="1" s="1"/>
  <c r="K47" i="1"/>
  <c r="L46" i="1"/>
  <c r="N46" i="1" s="1"/>
  <c r="K46" i="1"/>
  <c r="L45" i="1"/>
  <c r="N45" i="1" s="1"/>
  <c r="K45" i="1"/>
  <c r="L44" i="1"/>
  <c r="N44" i="1" s="1"/>
  <c r="K44" i="1"/>
  <c r="L43" i="1"/>
  <c r="N43" i="1" s="1"/>
  <c r="K43" i="1"/>
  <c r="L42" i="1"/>
  <c r="N42" i="1" s="1"/>
  <c r="K42" i="1"/>
  <c r="N41" i="1"/>
  <c r="L41" i="1"/>
  <c r="K41" i="1"/>
  <c r="N40" i="1"/>
  <c r="L40" i="1"/>
  <c r="K40" i="1"/>
  <c r="L39" i="1"/>
  <c r="N39" i="1" s="1"/>
  <c r="K39" i="1"/>
  <c r="L38" i="1"/>
  <c r="N38" i="1" s="1"/>
  <c r="K38" i="1"/>
  <c r="L37" i="1"/>
  <c r="N37" i="1" s="1"/>
  <c r="K37" i="1"/>
  <c r="L36" i="1"/>
  <c r="N36" i="1" s="1"/>
  <c r="K36" i="1"/>
  <c r="L35" i="1"/>
  <c r="N35" i="1" s="1"/>
  <c r="K35" i="1"/>
  <c r="L34" i="1"/>
  <c r="N34" i="1" s="1"/>
  <c r="K34" i="1"/>
  <c r="L33" i="1"/>
  <c r="N33" i="1" s="1"/>
  <c r="K33" i="1"/>
  <c r="L32" i="1"/>
  <c r="N32" i="1" s="1"/>
  <c r="K32" i="1"/>
  <c r="L31" i="1"/>
  <c r="N31" i="1" s="1"/>
  <c r="K31" i="1"/>
  <c r="L30" i="1"/>
  <c r="N30" i="1" s="1"/>
  <c r="K30" i="1"/>
  <c r="N29" i="1"/>
  <c r="L29" i="1"/>
  <c r="K29" i="1"/>
  <c r="N28" i="1"/>
  <c r="L28" i="1"/>
  <c r="K28" i="1"/>
  <c r="L27" i="1"/>
  <c r="N27" i="1" s="1"/>
  <c r="K27" i="1"/>
  <c r="L26" i="1"/>
  <c r="N26" i="1" s="1"/>
  <c r="K26" i="1"/>
  <c r="L25" i="1"/>
  <c r="N25" i="1" s="1"/>
  <c r="K25" i="1"/>
  <c r="L24" i="1"/>
  <c r="N24" i="1" s="1"/>
  <c r="K24" i="1"/>
  <c r="L23" i="1"/>
  <c r="N23" i="1" s="1"/>
  <c r="K23" i="1"/>
  <c r="L22" i="1"/>
  <c r="N22" i="1" s="1"/>
  <c r="K22" i="1"/>
  <c r="L21" i="1"/>
  <c r="N21" i="1" s="1"/>
  <c r="K21" i="1"/>
  <c r="L20" i="1"/>
  <c r="N20" i="1" s="1"/>
  <c r="K20" i="1"/>
  <c r="L19" i="1"/>
  <c r="N19" i="1" s="1"/>
  <c r="K19" i="1"/>
  <c r="L18" i="1"/>
  <c r="N18" i="1" s="1"/>
  <c r="K18" i="1"/>
  <c r="N17" i="1"/>
  <c r="L17" i="1"/>
  <c r="K17" i="1"/>
  <c r="N16" i="1"/>
  <c r="L16" i="1"/>
  <c r="K16" i="1"/>
  <c r="L15" i="1"/>
  <c r="N15" i="1" s="1"/>
  <c r="K15" i="1"/>
  <c r="L14" i="1"/>
  <c r="N14" i="1" s="1"/>
  <c r="K14" i="1"/>
  <c r="L13" i="1"/>
  <c r="N13" i="1" s="1"/>
  <c r="K13" i="1"/>
  <c r="N12" i="1"/>
  <c r="L12" i="1"/>
  <c r="K12" i="1"/>
  <c r="L11" i="1"/>
  <c r="N11" i="1" s="1"/>
  <c r="K11" i="1"/>
  <c r="L10" i="1"/>
  <c r="N10" i="1" s="1"/>
  <c r="K10" i="1"/>
  <c r="N9" i="1"/>
  <c r="L9" i="1"/>
  <c r="K9" i="1"/>
  <c r="L8" i="1"/>
  <c r="N8" i="1" s="1"/>
  <c r="K8" i="1"/>
  <c r="L7" i="1"/>
  <c r="N7" i="1" s="1"/>
  <c r="K7" i="1"/>
  <c r="L6" i="1"/>
  <c r="N6" i="1" s="1"/>
  <c r="K6" i="1"/>
  <c r="N5" i="1"/>
  <c r="L5" i="1"/>
  <c r="K5" i="1"/>
  <c r="N4" i="1"/>
  <c r="L4" i="1"/>
  <c r="K4" i="1"/>
  <c r="N3" i="1"/>
  <c r="L3" i="1"/>
  <c r="K3" i="1"/>
  <c r="L2" i="1"/>
  <c r="N2" i="1" s="1"/>
  <c r="K2" i="1"/>
  <c r="C52" i="1"/>
  <c r="D52" i="1"/>
  <c r="BB7" i="3" l="1"/>
  <c r="AX12" i="3"/>
  <c r="AU15" i="3"/>
  <c r="M7" i="3"/>
  <c r="AF8" i="3"/>
  <c r="BC16" i="3"/>
  <c r="BB10" i="3"/>
  <c r="BE10" i="3" s="1"/>
  <c r="BC11" i="3"/>
  <c r="BB15" i="3"/>
  <c r="AX18" i="3"/>
  <c r="AU14" i="3"/>
  <c r="BB12" i="3"/>
  <c r="BF12" i="3" s="1"/>
  <c r="BR12" i="3" s="1"/>
  <c r="BB16" i="3"/>
  <c r="BF16" i="3" s="1"/>
  <c r="BR16" i="3" s="1"/>
  <c r="BB19" i="3"/>
  <c r="BB17" i="3"/>
  <c r="BF17" i="3" s="1"/>
  <c r="BR17" i="3" s="1"/>
  <c r="BC19" i="3"/>
  <c r="BB9" i="3"/>
  <c r="U10" i="3"/>
  <c r="S7" i="3"/>
  <c r="U7" i="3"/>
  <c r="S12" i="3"/>
  <c r="U8" i="3"/>
  <c r="E10" i="3"/>
  <c r="AC8" i="3"/>
  <c r="BC8" i="3"/>
  <c r="AI18" i="3"/>
  <c r="AU8" i="3"/>
  <c r="Z18" i="3"/>
  <c r="BC18" i="3"/>
  <c r="BC10" i="3"/>
  <c r="M18" i="3"/>
  <c r="U18" i="3" s="1"/>
  <c r="BE18" i="3"/>
  <c r="BQ18" i="3" s="1"/>
  <c r="AO18" i="3"/>
  <c r="AU10" i="3"/>
  <c r="BF19" i="3"/>
  <c r="BR19" i="3" s="1"/>
  <c r="BE19" i="3"/>
  <c r="BQ19" i="3" s="1"/>
  <c r="BB11" i="3"/>
  <c r="BB18" i="3"/>
  <c r="BF18" i="3" s="1"/>
  <c r="BR18" i="3" s="1"/>
  <c r="AL8" i="3"/>
  <c r="AX16" i="3"/>
  <c r="BE17" i="3"/>
  <c r="BJ19" i="3"/>
  <c r="BV19" i="3" s="1"/>
  <c r="BD19" i="3"/>
  <c r="BP19" i="3" s="1"/>
  <c r="AR10" i="3"/>
  <c r="BB13" i="3"/>
  <c r="BC17" i="3"/>
  <c r="AI8" i="3"/>
  <c r="AO13" i="3"/>
  <c r="Y20" i="3"/>
  <c r="BC12" i="3"/>
  <c r="AU12" i="3"/>
  <c r="BA15" i="3"/>
  <c r="X20" i="3"/>
  <c r="BB8" i="3"/>
  <c r="BF8" i="3" s="1"/>
  <c r="BR8" i="3" s="1"/>
  <c r="BB14" i="3"/>
  <c r="BC15" i="3"/>
  <c r="AR15" i="3"/>
  <c r="AU11" i="3"/>
  <c r="AC18" i="3"/>
  <c r="AX8" i="3"/>
  <c r="BA9" i="3"/>
  <c r="BA18" i="3"/>
  <c r="AC13" i="3"/>
  <c r="AO15" i="3"/>
  <c r="AR16" i="3"/>
  <c r="AX9" i="3"/>
  <c r="BC13" i="3"/>
  <c r="BC7" i="3"/>
  <c r="AL18" i="3"/>
  <c r="AR13" i="3"/>
  <c r="O18" i="3"/>
  <c r="P18" i="3" s="1"/>
  <c r="K30" i="3"/>
  <c r="Z19" i="3"/>
  <c r="AF14" i="3"/>
  <c r="Z17" i="3"/>
  <c r="AX17" i="3"/>
  <c r="AI14" i="3"/>
  <c r="AO9" i="3"/>
  <c r="AU16" i="3"/>
  <c r="AX13" i="3"/>
  <c r="BC14" i="3"/>
  <c r="BA10" i="3"/>
  <c r="BA19" i="3"/>
  <c r="AC14" i="3"/>
  <c r="AF18" i="3"/>
  <c r="AL13" i="3"/>
  <c r="AR8" i="3"/>
  <c r="AX19" i="3"/>
  <c r="AR9" i="3"/>
  <c r="AR14" i="3"/>
  <c r="AR19" i="3"/>
  <c r="BA13" i="3"/>
  <c r="BA12" i="3"/>
  <c r="BA14" i="3"/>
  <c r="BA11" i="3"/>
  <c r="AY20" i="3"/>
  <c r="BA16" i="3"/>
  <c r="AZ20" i="3"/>
  <c r="BA7" i="3"/>
  <c r="BA17" i="3"/>
  <c r="BA8" i="3"/>
  <c r="AX10" i="3"/>
  <c r="AX11" i="3"/>
  <c r="AX15" i="3"/>
  <c r="AV20" i="3"/>
  <c r="AW20" i="3"/>
  <c r="AX7" i="3"/>
  <c r="AX14" i="3"/>
  <c r="AU19" i="3"/>
  <c r="AS20" i="3"/>
  <c r="AU17" i="3"/>
  <c r="AT20" i="3"/>
  <c r="AU7" i="3"/>
  <c r="AU9" i="3"/>
  <c r="AU13" i="3"/>
  <c r="AU18" i="3"/>
  <c r="AP20" i="3"/>
  <c r="AR12" i="3"/>
  <c r="AR11" i="3"/>
  <c r="AQ20" i="3"/>
  <c r="AR7" i="3"/>
  <c r="AR17" i="3"/>
  <c r="AR18" i="3"/>
  <c r="AO10" i="3"/>
  <c r="AO11" i="3"/>
  <c r="AO16" i="3"/>
  <c r="AM20" i="3"/>
  <c r="AO12" i="3"/>
  <c r="AO17" i="3"/>
  <c r="AO7" i="3"/>
  <c r="AN20" i="3"/>
  <c r="AO8" i="3"/>
  <c r="AO14" i="3"/>
  <c r="AO19" i="3"/>
  <c r="AL19" i="3"/>
  <c r="AL14" i="3"/>
  <c r="AL9" i="3"/>
  <c r="AL15" i="3"/>
  <c r="AL10" i="3"/>
  <c r="AL16" i="3"/>
  <c r="AJ20" i="3"/>
  <c r="AL11" i="3"/>
  <c r="AL17" i="3"/>
  <c r="AK20" i="3"/>
  <c r="AL7" i="3"/>
  <c r="AL12" i="3"/>
  <c r="AI9" i="3"/>
  <c r="AI15" i="3"/>
  <c r="AI10" i="3"/>
  <c r="AI16" i="3"/>
  <c r="AG20" i="3"/>
  <c r="AI11" i="3"/>
  <c r="AI17" i="3"/>
  <c r="AH20" i="3"/>
  <c r="AI7" i="3"/>
  <c r="AI12" i="3"/>
  <c r="AI13" i="3"/>
  <c r="AI19" i="3"/>
  <c r="AF9" i="3"/>
  <c r="AF15" i="3"/>
  <c r="AF10" i="3"/>
  <c r="AF16" i="3"/>
  <c r="AF11" i="3"/>
  <c r="AF17" i="3"/>
  <c r="AD20" i="3"/>
  <c r="AF12" i="3"/>
  <c r="AE20" i="3"/>
  <c r="AF7" i="3"/>
  <c r="AF13" i="3"/>
  <c r="AF19" i="3"/>
  <c r="AC10" i="3"/>
  <c r="AC9" i="3"/>
  <c r="AC15" i="3"/>
  <c r="AC16" i="3"/>
  <c r="AA20" i="3"/>
  <c r="AC11" i="3"/>
  <c r="AC17" i="3"/>
  <c r="AB20" i="3"/>
  <c r="AC7" i="3"/>
  <c r="AC12" i="3"/>
  <c r="AC19" i="3"/>
  <c r="D20" i="3"/>
  <c r="D30" i="3" s="1"/>
  <c r="M19" i="3"/>
  <c r="U19" i="3" s="1"/>
  <c r="F20" i="3"/>
  <c r="G20" i="3"/>
  <c r="J20" i="3"/>
  <c r="M17" i="3"/>
  <c r="N17" i="3" s="1"/>
  <c r="I20" i="3"/>
  <c r="E17" i="3"/>
  <c r="H20" i="3"/>
  <c r="G28" i="3"/>
  <c r="E7" i="3"/>
  <c r="E25" i="3" s="1"/>
  <c r="F25" i="3" s="1"/>
  <c r="E19" i="3"/>
  <c r="O19" i="3"/>
  <c r="P19" i="3" s="1"/>
  <c r="O17" i="3"/>
  <c r="P17" i="3" s="1"/>
  <c r="E18" i="3"/>
  <c r="E12" i="3"/>
  <c r="M13" i="3"/>
  <c r="S13" i="3" s="1"/>
  <c r="M10" i="3"/>
  <c r="N10" i="3" s="1"/>
  <c r="O7" i="3"/>
  <c r="M11" i="3"/>
  <c r="O10" i="3"/>
  <c r="P10" i="3" s="1"/>
  <c r="E13" i="3"/>
  <c r="O13" i="3"/>
  <c r="P13" i="3" s="1"/>
  <c r="M16" i="3"/>
  <c r="N16" i="3" s="1"/>
  <c r="O16" i="3"/>
  <c r="P16" i="3" s="1"/>
  <c r="O12" i="3"/>
  <c r="P12" i="3" s="1"/>
  <c r="M12" i="3"/>
  <c r="R17" i="3"/>
  <c r="E9" i="3"/>
  <c r="O11" i="3"/>
  <c r="P11" i="3" s="1"/>
  <c r="Z16" i="3"/>
  <c r="M9" i="3"/>
  <c r="S9" i="3" s="1"/>
  <c r="O9" i="3"/>
  <c r="P9" i="3" s="1"/>
  <c r="Z13" i="3"/>
  <c r="E15" i="3"/>
  <c r="E16" i="3"/>
  <c r="Z15" i="3"/>
  <c r="Z8" i="3"/>
  <c r="Z11" i="3"/>
  <c r="Z7" i="3"/>
  <c r="E8" i="3"/>
  <c r="O8" i="3"/>
  <c r="P8" i="3" s="1"/>
  <c r="M8" i="3"/>
  <c r="BE7" i="3"/>
  <c r="Z10" i="3"/>
  <c r="E14" i="3"/>
  <c r="E11" i="3"/>
  <c r="E26" i="3" s="1"/>
  <c r="F26" i="3" s="1"/>
  <c r="BF11" i="3"/>
  <c r="BR11" i="3" s="1"/>
  <c r="M14" i="3"/>
  <c r="U14" i="3" s="1"/>
  <c r="O14" i="3"/>
  <c r="P14" i="3" s="1"/>
  <c r="Z12" i="3"/>
  <c r="M15" i="3"/>
  <c r="N15" i="3" s="1"/>
  <c r="O15" i="3"/>
  <c r="P15" i="3" s="1"/>
  <c r="Z14" i="3"/>
  <c r="R28" i="3"/>
  <c r="Q28" i="3" s="1"/>
  <c r="BF10" i="3"/>
  <c r="BR10" i="3" s="1"/>
  <c r="Z9" i="3"/>
  <c r="N52" i="1"/>
  <c r="L52" i="1"/>
  <c r="I58" i="1"/>
  <c r="AU20" i="3" l="1"/>
  <c r="BJ8" i="3"/>
  <c r="BA20" i="3"/>
  <c r="BB20" i="3"/>
  <c r="S8" i="3"/>
  <c r="T8" i="3" s="1"/>
  <c r="U16" i="3"/>
  <c r="V16" i="3" s="1"/>
  <c r="N13" i="3"/>
  <c r="U13" i="3"/>
  <c r="V13" i="3" s="1"/>
  <c r="S15" i="3"/>
  <c r="T15" i="3" s="1"/>
  <c r="U11" i="3"/>
  <c r="V11" i="3" s="1"/>
  <c r="U17" i="3"/>
  <c r="V17" i="3" s="1"/>
  <c r="S17" i="3"/>
  <c r="T17" i="3" s="1"/>
  <c r="S16" i="3"/>
  <c r="T16" i="3" s="1"/>
  <c r="S11" i="3"/>
  <c r="N19" i="3"/>
  <c r="S19" i="3"/>
  <c r="N9" i="3"/>
  <c r="U9" i="3"/>
  <c r="V9" i="3" s="1"/>
  <c r="S10" i="3"/>
  <c r="N12" i="3"/>
  <c r="U12" i="3"/>
  <c r="V12" i="3" s="1"/>
  <c r="G30" i="3"/>
  <c r="S18" i="3"/>
  <c r="T18" i="3" s="1"/>
  <c r="U15" i="3"/>
  <c r="V15" i="3" s="1"/>
  <c r="S14" i="3"/>
  <c r="T14" i="3" s="1"/>
  <c r="BG18" i="3"/>
  <c r="V19" i="3"/>
  <c r="BH17" i="3"/>
  <c r="BT17" i="3" s="1"/>
  <c r="BQ17" i="3"/>
  <c r="V18" i="3"/>
  <c r="BD17" i="3"/>
  <c r="BP17" i="3" s="1"/>
  <c r="BJ17" i="3"/>
  <c r="BV17" i="3" s="1"/>
  <c r="BG19" i="3"/>
  <c r="BS19" i="3" s="1"/>
  <c r="BI17" i="3"/>
  <c r="BU17" i="3" s="1"/>
  <c r="BG17" i="3"/>
  <c r="BS17" i="3" s="1"/>
  <c r="N18" i="3"/>
  <c r="BJ18" i="3"/>
  <c r="BV18" i="3" s="1"/>
  <c r="BD18" i="3"/>
  <c r="BP18" i="3" s="1"/>
  <c r="BH19" i="3"/>
  <c r="BT19" i="3" s="1"/>
  <c r="AL20" i="3"/>
  <c r="AR20" i="3"/>
  <c r="AF20" i="3"/>
  <c r="AO20" i="3"/>
  <c r="BC20" i="3"/>
  <c r="BD20" i="3" s="1"/>
  <c r="AC20" i="3"/>
  <c r="AI20" i="3"/>
  <c r="AX20" i="3"/>
  <c r="Z20" i="3"/>
  <c r="E27" i="3"/>
  <c r="F27" i="3" s="1"/>
  <c r="F28" i="3" s="1"/>
  <c r="J25" i="3"/>
  <c r="J26" i="3"/>
  <c r="J27" i="3"/>
  <c r="T19" i="3"/>
  <c r="I25" i="3"/>
  <c r="I26" i="3"/>
  <c r="I27" i="3"/>
  <c r="H26" i="3"/>
  <c r="H25" i="3"/>
  <c r="H27" i="3"/>
  <c r="V7" i="3"/>
  <c r="M20" i="3"/>
  <c r="P7" i="3"/>
  <c r="O20" i="3"/>
  <c r="R20" i="3"/>
  <c r="Q20" i="3" s="1"/>
  <c r="N11" i="3"/>
  <c r="BQ10" i="3"/>
  <c r="BD11" i="3"/>
  <c r="BP11" i="3" s="1"/>
  <c r="T13" i="3"/>
  <c r="BE16" i="3"/>
  <c r="BQ16" i="3" s="1"/>
  <c r="BE8" i="3"/>
  <c r="BQ8" i="3" s="1"/>
  <c r="T10" i="3"/>
  <c r="V10" i="3"/>
  <c r="T9" i="3"/>
  <c r="BE11" i="3"/>
  <c r="BQ11" i="3" s="1"/>
  <c r="T12" i="3"/>
  <c r="BD16" i="3"/>
  <c r="BP16" i="3" s="1"/>
  <c r="BJ16" i="3"/>
  <c r="BV16" i="3" s="1"/>
  <c r="BF13" i="3"/>
  <c r="BR13" i="3" s="1"/>
  <c r="BE13" i="3"/>
  <c r="BQ13" i="3" s="1"/>
  <c r="BV8" i="3"/>
  <c r="BD8" i="3"/>
  <c r="BP8" i="3" s="1"/>
  <c r="BJ7" i="3"/>
  <c r="BD7" i="3"/>
  <c r="BP7" i="3" s="1"/>
  <c r="BJ13" i="3"/>
  <c r="BV13" i="3" s="1"/>
  <c r="BD13" i="3"/>
  <c r="BP13" i="3" s="1"/>
  <c r="BD10" i="3"/>
  <c r="BP10" i="3" s="1"/>
  <c r="BJ10" i="3"/>
  <c r="BV10" i="3" s="1"/>
  <c r="N8" i="3"/>
  <c r="V8" i="3"/>
  <c r="E20" i="3"/>
  <c r="BJ11" i="3"/>
  <c r="BV11" i="3" s="1"/>
  <c r="N7" i="3"/>
  <c r="BQ7" i="3"/>
  <c r="BE15" i="3"/>
  <c r="BQ15" i="3" s="1"/>
  <c r="BF15" i="3"/>
  <c r="BR15" i="3" s="1"/>
  <c r="BJ14" i="3"/>
  <c r="BV14" i="3" s="1"/>
  <c r="BD14" i="3"/>
  <c r="BP14" i="3" s="1"/>
  <c r="N14" i="3"/>
  <c r="V14" i="3"/>
  <c r="BF7" i="3"/>
  <c r="BD15" i="3"/>
  <c r="BP15" i="3" s="1"/>
  <c r="BJ15" i="3"/>
  <c r="BV15" i="3" s="1"/>
  <c r="BE12" i="3"/>
  <c r="BF9" i="3"/>
  <c r="BR9" i="3" s="1"/>
  <c r="BE9" i="3"/>
  <c r="BQ9" i="3" s="1"/>
  <c r="BD12" i="3"/>
  <c r="BP12" i="3" s="1"/>
  <c r="BD9" i="3"/>
  <c r="BP9" i="3" s="1"/>
  <c r="BJ9" i="3"/>
  <c r="BV9" i="3" s="1"/>
  <c r="BF14" i="3"/>
  <c r="BR14" i="3" s="1"/>
  <c r="BE14" i="3"/>
  <c r="BQ14" i="3" s="1"/>
  <c r="BJ12" i="3"/>
  <c r="BV12" i="3" s="1"/>
  <c r="H58" i="1"/>
  <c r="H59" i="1" s="1"/>
  <c r="Q45" i="1"/>
  <c r="P44" i="1"/>
  <c r="O43" i="1"/>
  <c r="Q33" i="1"/>
  <c r="P32" i="1"/>
  <c r="O31" i="1"/>
  <c r="Q21" i="1"/>
  <c r="P20" i="1"/>
  <c r="O19" i="1"/>
  <c r="Q9" i="1"/>
  <c r="P8" i="1"/>
  <c r="O7" i="1"/>
  <c r="Q47" i="1"/>
  <c r="P46" i="1"/>
  <c r="O45" i="1"/>
  <c r="Q35" i="1"/>
  <c r="P34" i="1"/>
  <c r="O33" i="1"/>
  <c r="Q23" i="1"/>
  <c r="P22" i="1"/>
  <c r="O21" i="1"/>
  <c r="Q11" i="1"/>
  <c r="O9" i="1"/>
  <c r="Q48" i="1"/>
  <c r="P47" i="1"/>
  <c r="O46" i="1"/>
  <c r="Q46" i="1"/>
  <c r="P45" i="1"/>
  <c r="O44" i="1"/>
  <c r="Q34" i="1"/>
  <c r="P33" i="1"/>
  <c r="O32" i="1"/>
  <c r="Q22" i="1"/>
  <c r="P21" i="1"/>
  <c r="O20" i="1"/>
  <c r="Q10" i="1"/>
  <c r="P9" i="1"/>
  <c r="O8" i="1"/>
  <c r="P10" i="1"/>
  <c r="O51" i="1"/>
  <c r="Q43" i="1"/>
  <c r="Q39" i="1"/>
  <c r="Q32" i="1"/>
  <c r="P28" i="1"/>
  <c r="O24" i="1"/>
  <c r="O17" i="1"/>
  <c r="P13" i="1"/>
  <c r="O6" i="1"/>
  <c r="Q2" i="1"/>
  <c r="Q49" i="1"/>
  <c r="Q40" i="1"/>
  <c r="O39" i="1"/>
  <c r="P36" i="1"/>
  <c r="P29" i="1"/>
  <c r="Q25" i="1"/>
  <c r="P18" i="1"/>
  <c r="Q7" i="1"/>
  <c r="O2" i="1"/>
  <c r="P49" i="1"/>
  <c r="P40" i="1"/>
  <c r="O36" i="1"/>
  <c r="O29" i="1"/>
  <c r="P25" i="1"/>
  <c r="O18" i="1"/>
  <c r="Q14" i="1"/>
  <c r="Q3" i="1"/>
  <c r="O25" i="1"/>
  <c r="P3" i="1"/>
  <c r="Q44" i="1"/>
  <c r="Q4" i="1"/>
  <c r="Q26" i="1"/>
  <c r="P19" i="1"/>
  <c r="P43" i="1"/>
  <c r="P39" i="1"/>
  <c r="Q36" i="1"/>
  <c r="Q29" i="1"/>
  <c r="O28" i="1"/>
  <c r="Q18" i="1"/>
  <c r="O13" i="1"/>
  <c r="O10" i="1"/>
  <c r="P2" i="1"/>
  <c r="P7" i="1"/>
  <c r="O49" i="1"/>
  <c r="O40" i="1"/>
  <c r="Q30" i="1"/>
  <c r="O22" i="1"/>
  <c r="P14" i="1"/>
  <c r="P11" i="1"/>
  <c r="Q41" i="1"/>
  <c r="Q37" i="1"/>
  <c r="P30" i="1"/>
  <c r="Q19" i="1"/>
  <c r="O14" i="1"/>
  <c r="O11" i="1"/>
  <c r="O3" i="1"/>
  <c r="O47" i="1"/>
  <c r="P41" i="1"/>
  <c r="P37" i="1"/>
  <c r="O30" i="1"/>
  <c r="O50" i="1"/>
  <c r="O42" i="1"/>
  <c r="O34" i="1"/>
  <c r="Q27" i="1"/>
  <c r="O5" i="1"/>
  <c r="P27" i="1"/>
  <c r="Q17" i="1"/>
  <c r="Q31" i="1"/>
  <c r="O27" i="1"/>
  <c r="Q24" i="1"/>
  <c r="P17" i="1"/>
  <c r="Q15" i="1"/>
  <c r="Q13" i="1"/>
  <c r="O41" i="1"/>
  <c r="P31" i="1"/>
  <c r="P24" i="1"/>
  <c r="P15" i="1"/>
  <c r="O15" i="1"/>
  <c r="P4" i="1"/>
  <c r="P26" i="1"/>
  <c r="P12" i="1"/>
  <c r="O38" i="1"/>
  <c r="Q16" i="1"/>
  <c r="O48" i="1"/>
  <c r="O35" i="1"/>
  <c r="P16" i="1"/>
  <c r="Q50" i="1"/>
  <c r="Q20" i="1"/>
  <c r="P42" i="1"/>
  <c r="O37" i="1"/>
  <c r="Q8" i="1"/>
  <c r="Q6" i="1"/>
  <c r="O4" i="1"/>
  <c r="Q51" i="1"/>
  <c r="Q38" i="1"/>
  <c r="Q28" i="1"/>
  <c r="O26" i="1"/>
  <c r="P23" i="1"/>
  <c r="Q12" i="1"/>
  <c r="P6" i="1"/>
  <c r="P51" i="1"/>
  <c r="P38" i="1"/>
  <c r="O23" i="1"/>
  <c r="P48" i="1"/>
  <c r="P35" i="1"/>
  <c r="O12" i="1"/>
  <c r="Q42" i="1"/>
  <c r="O16" i="1"/>
  <c r="Q5" i="1"/>
  <c r="P50" i="1"/>
  <c r="P5" i="1"/>
  <c r="BI19" i="3" l="1"/>
  <c r="BU19" i="3" s="1"/>
  <c r="BG10" i="3"/>
  <c r="BH18" i="3"/>
  <c r="T11" i="3"/>
  <c r="BI18" i="3"/>
  <c r="BU18" i="3" s="1"/>
  <c r="N21" i="3"/>
  <c r="M25" i="3"/>
  <c r="S25" i="3" s="1"/>
  <c r="BF20" i="3"/>
  <c r="BM19" i="3"/>
  <c r="BJ20" i="3"/>
  <c r="BV20" i="3" s="1"/>
  <c r="J28" i="3"/>
  <c r="J30" i="3" s="1"/>
  <c r="O26" i="3"/>
  <c r="P26" i="3" s="1"/>
  <c r="BE20" i="3"/>
  <c r="BQ20" i="3" s="1"/>
  <c r="BK19" i="3"/>
  <c r="BM17" i="3"/>
  <c r="BS18" i="3"/>
  <c r="BM18" i="3"/>
  <c r="BK17" i="3"/>
  <c r="E28" i="3"/>
  <c r="F30" i="3"/>
  <c r="E30" i="3" s="1"/>
  <c r="N25" i="3"/>
  <c r="M26" i="3"/>
  <c r="O25" i="3"/>
  <c r="P25" i="3" s="1"/>
  <c r="T7" i="3"/>
  <c r="S20" i="3"/>
  <c r="U20" i="3"/>
  <c r="R30" i="3"/>
  <c r="Q30" i="3" s="1"/>
  <c r="M27" i="3"/>
  <c r="I28" i="3"/>
  <c r="I30" i="3" s="1"/>
  <c r="BG11" i="3"/>
  <c r="BH13" i="3"/>
  <c r="BT13" i="3" s="1"/>
  <c r="BI13" i="3"/>
  <c r="BU13" i="3" s="1"/>
  <c r="BS20" i="3"/>
  <c r="BH14" i="3"/>
  <c r="BT14" i="3" s="1"/>
  <c r="BI16" i="3"/>
  <c r="BU16" i="3" s="1"/>
  <c r="BG15" i="3"/>
  <c r="BH15" i="3"/>
  <c r="BT15" i="3" s="1"/>
  <c r="BG16" i="3"/>
  <c r="BH12" i="3"/>
  <c r="BT12" i="3" s="1"/>
  <c r="BG8" i="3"/>
  <c r="BT20" i="3"/>
  <c r="BI11" i="3"/>
  <c r="BU11" i="3" s="1"/>
  <c r="BU20" i="3"/>
  <c r="BG14" i="3"/>
  <c r="BS14" i="3" s="1"/>
  <c r="BH10" i="3"/>
  <c r="BT10" i="3" s="1"/>
  <c r="BG9" i="3"/>
  <c r="BH9" i="3"/>
  <c r="BT9" i="3" s="1"/>
  <c r="BH7" i="3"/>
  <c r="BT7" i="3" s="1"/>
  <c r="BH16" i="3"/>
  <c r="BT16" i="3" s="1"/>
  <c r="BI15" i="3"/>
  <c r="BU15" i="3" s="1"/>
  <c r="BG7" i="3"/>
  <c r="BS7" i="3" s="1"/>
  <c r="BH8" i="3"/>
  <c r="BT8" i="3" s="1"/>
  <c r="BI14" i="3"/>
  <c r="BU14" i="3" s="1"/>
  <c r="BI7" i="3"/>
  <c r="BU7" i="3" s="1"/>
  <c r="BI10" i="3"/>
  <c r="BU10" i="3" s="1"/>
  <c r="BI12" i="3"/>
  <c r="BU12" i="3" s="1"/>
  <c r="BI9" i="3"/>
  <c r="BU9" i="3" s="1"/>
  <c r="BG12" i="3"/>
  <c r="BS12" i="3" s="1"/>
  <c r="BI8" i="3"/>
  <c r="BU8" i="3" s="1"/>
  <c r="BG13" i="3"/>
  <c r="BH11" i="3"/>
  <c r="BT11" i="3" s="1"/>
  <c r="O27" i="3"/>
  <c r="P27" i="3" s="1"/>
  <c r="BC24" i="3"/>
  <c r="BP20" i="3"/>
  <c r="P20" i="3"/>
  <c r="H28" i="3"/>
  <c r="H30" i="3" s="1"/>
  <c r="BR7" i="3"/>
  <c r="BR20" i="3"/>
  <c r="BQ24" i="3"/>
  <c r="BV7" i="3"/>
  <c r="BQ12" i="3"/>
  <c r="N20" i="3"/>
  <c r="J50" i="1"/>
  <c r="J38" i="1"/>
  <c r="M38" i="1" s="1"/>
  <c r="T38" i="1" s="1"/>
  <c r="U38" i="1" s="1"/>
  <c r="J26" i="1"/>
  <c r="M26" i="1" s="1"/>
  <c r="T26" i="1" s="1"/>
  <c r="U26" i="1" s="1"/>
  <c r="J14" i="1"/>
  <c r="M14" i="1" s="1"/>
  <c r="T14" i="1" s="1"/>
  <c r="U14" i="1" s="1"/>
  <c r="J2" i="1"/>
  <c r="J40" i="1"/>
  <c r="M40" i="1" s="1"/>
  <c r="T40" i="1" s="1"/>
  <c r="U40" i="1" s="1"/>
  <c r="J28" i="1"/>
  <c r="M28" i="1" s="1"/>
  <c r="T28" i="1" s="1"/>
  <c r="U28" i="1" s="1"/>
  <c r="J16" i="1"/>
  <c r="M16" i="1" s="1"/>
  <c r="T16" i="1" s="1"/>
  <c r="U16" i="1" s="1"/>
  <c r="J4" i="1"/>
  <c r="M4" i="1" s="1"/>
  <c r="T4" i="1" s="1"/>
  <c r="U4" i="1" s="1"/>
  <c r="J41" i="1"/>
  <c r="M41" i="1" s="1"/>
  <c r="T41" i="1" s="1"/>
  <c r="U41" i="1" s="1"/>
  <c r="J51" i="1"/>
  <c r="J39" i="1"/>
  <c r="M39" i="1" s="1"/>
  <c r="T39" i="1" s="1"/>
  <c r="U39" i="1" s="1"/>
  <c r="J27" i="1"/>
  <c r="M27" i="1" s="1"/>
  <c r="T27" i="1" s="1"/>
  <c r="U27" i="1" s="1"/>
  <c r="J15" i="1"/>
  <c r="M15" i="1" s="1"/>
  <c r="T15" i="1" s="1"/>
  <c r="U15" i="1" s="1"/>
  <c r="J3" i="1"/>
  <c r="M3" i="1" s="1"/>
  <c r="T3" i="1" s="1"/>
  <c r="U3" i="1" s="1"/>
  <c r="J37" i="1"/>
  <c r="M37" i="1" s="1"/>
  <c r="T37" i="1" s="1"/>
  <c r="U37" i="1" s="1"/>
  <c r="J34" i="1"/>
  <c r="M34" i="1" s="1"/>
  <c r="T34" i="1" s="1"/>
  <c r="U34" i="1" s="1"/>
  <c r="J31" i="1"/>
  <c r="M31" i="1" s="1"/>
  <c r="T31" i="1" s="1"/>
  <c r="U31" i="1" s="1"/>
  <c r="J12" i="1"/>
  <c r="M12" i="1" s="1"/>
  <c r="T12" i="1" s="1"/>
  <c r="U12" i="1" s="1"/>
  <c r="J9" i="1"/>
  <c r="M9" i="1" s="1"/>
  <c r="T9" i="1" s="1"/>
  <c r="U9" i="1" s="1"/>
  <c r="J24" i="1"/>
  <c r="M24" i="1" s="1"/>
  <c r="T24" i="1" s="1"/>
  <c r="U24" i="1" s="1"/>
  <c r="J21" i="1"/>
  <c r="M21" i="1" s="1"/>
  <c r="T21" i="1" s="1"/>
  <c r="U21" i="1" s="1"/>
  <c r="J45" i="1"/>
  <c r="M45" i="1" s="1"/>
  <c r="T45" i="1" s="1"/>
  <c r="U45" i="1" s="1"/>
  <c r="J42" i="1"/>
  <c r="M42" i="1" s="1"/>
  <c r="T42" i="1" s="1"/>
  <c r="U42" i="1" s="1"/>
  <c r="J23" i="1"/>
  <c r="M23" i="1" s="1"/>
  <c r="T23" i="1" s="1"/>
  <c r="U23" i="1" s="1"/>
  <c r="J20" i="1"/>
  <c r="M20" i="1" s="1"/>
  <c r="T20" i="1" s="1"/>
  <c r="U20" i="1" s="1"/>
  <c r="J5" i="1"/>
  <c r="M5" i="1" s="1"/>
  <c r="T5" i="1" s="1"/>
  <c r="U5" i="1" s="1"/>
  <c r="J6" i="1"/>
  <c r="M6" i="1" s="1"/>
  <c r="T6" i="1" s="1"/>
  <c r="U6" i="1" s="1"/>
  <c r="J48" i="1"/>
  <c r="M48" i="1" s="1"/>
  <c r="T48" i="1" s="1"/>
  <c r="U48" i="1" s="1"/>
  <c r="J43" i="1"/>
  <c r="M43" i="1" s="1"/>
  <c r="T43" i="1" s="1"/>
  <c r="U43" i="1" s="1"/>
  <c r="J35" i="1"/>
  <c r="M35" i="1" s="1"/>
  <c r="T35" i="1" s="1"/>
  <c r="U35" i="1" s="1"/>
  <c r="J32" i="1"/>
  <c r="M32" i="1" s="1"/>
  <c r="T32" i="1" s="1"/>
  <c r="U32" i="1" s="1"/>
  <c r="J17" i="1"/>
  <c r="M17" i="1" s="1"/>
  <c r="T17" i="1" s="1"/>
  <c r="U17" i="1" s="1"/>
  <c r="J46" i="1"/>
  <c r="M46" i="1" s="1"/>
  <c r="T46" i="1" s="1"/>
  <c r="U46" i="1" s="1"/>
  <c r="J25" i="1"/>
  <c r="M25" i="1" s="1"/>
  <c r="T25" i="1" s="1"/>
  <c r="U25" i="1" s="1"/>
  <c r="J7" i="1"/>
  <c r="M7" i="1" s="1"/>
  <c r="T7" i="1" s="1"/>
  <c r="U7" i="1" s="1"/>
  <c r="J29" i="1"/>
  <c r="M29" i="1" s="1"/>
  <c r="T29" i="1" s="1"/>
  <c r="U29" i="1" s="1"/>
  <c r="J22" i="1"/>
  <c r="M22" i="1" s="1"/>
  <c r="T22" i="1" s="1"/>
  <c r="U22" i="1" s="1"/>
  <c r="J44" i="1"/>
  <c r="M44" i="1" s="1"/>
  <c r="T44" i="1" s="1"/>
  <c r="U44" i="1" s="1"/>
  <c r="J47" i="1"/>
  <c r="M47" i="1" s="1"/>
  <c r="T47" i="1" s="1"/>
  <c r="U47" i="1" s="1"/>
  <c r="J19" i="1"/>
  <c r="M19" i="1" s="1"/>
  <c r="T19" i="1" s="1"/>
  <c r="U19" i="1" s="1"/>
  <c r="J49" i="1"/>
  <c r="M49" i="1" s="1"/>
  <c r="T49" i="1" s="1"/>
  <c r="U49" i="1" s="1"/>
  <c r="J33" i="1"/>
  <c r="M33" i="1" s="1"/>
  <c r="T33" i="1" s="1"/>
  <c r="U33" i="1" s="1"/>
  <c r="J10" i="1"/>
  <c r="M10" i="1" s="1"/>
  <c r="T10" i="1" s="1"/>
  <c r="U10" i="1" s="1"/>
  <c r="J8" i="1"/>
  <c r="M8" i="1" s="1"/>
  <c r="T8" i="1" s="1"/>
  <c r="U8" i="1" s="1"/>
  <c r="J13" i="1"/>
  <c r="M13" i="1" s="1"/>
  <c r="T13" i="1" s="1"/>
  <c r="U13" i="1" s="1"/>
  <c r="J11" i="1"/>
  <c r="J36" i="1"/>
  <c r="M36" i="1" s="1"/>
  <c r="T36" i="1" s="1"/>
  <c r="U36" i="1" s="1"/>
  <c r="J30" i="1"/>
  <c r="M30" i="1" s="1"/>
  <c r="T30" i="1" s="1"/>
  <c r="U30" i="1" s="1"/>
  <c r="J18" i="1"/>
  <c r="M18" i="1" s="1"/>
  <c r="T18" i="1" s="1"/>
  <c r="U18" i="1" s="1"/>
  <c r="O52" i="1"/>
  <c r="P52" i="1"/>
  <c r="Q52" i="1"/>
  <c r="BT18" i="3" l="1"/>
  <c r="BK18" i="3"/>
  <c r="BK10" i="3"/>
  <c r="N27" i="3"/>
  <c r="U27" i="3"/>
  <c r="V27" i="3" s="1"/>
  <c r="S27" i="3"/>
  <c r="T27" i="3" s="1"/>
  <c r="U25" i="3"/>
  <c r="V25" i="3" s="1"/>
  <c r="T25" i="3"/>
  <c r="S26" i="3"/>
  <c r="U26" i="3"/>
  <c r="V26" i="3" s="1"/>
  <c r="M11" i="1"/>
  <c r="T11" i="1" s="1"/>
  <c r="U11" i="1" s="1"/>
  <c r="H50" i="1"/>
  <c r="M50" i="1" s="1"/>
  <c r="T50" i="1" s="1"/>
  <c r="U50" i="1" s="1"/>
  <c r="M2" i="1"/>
  <c r="H51" i="1"/>
  <c r="M51" i="1" s="1"/>
  <c r="BN17" i="3"/>
  <c r="BX17" i="3"/>
  <c r="BL19" i="3"/>
  <c r="BW19" i="3"/>
  <c r="BN19" i="3"/>
  <c r="BX19" i="3"/>
  <c r="BL17" i="3"/>
  <c r="BW17" i="3"/>
  <c r="BN18" i="3"/>
  <c r="BX18" i="3"/>
  <c r="BK15" i="3"/>
  <c r="BW15" i="3" s="1"/>
  <c r="N26" i="3"/>
  <c r="BQ22" i="3"/>
  <c r="BM7" i="3"/>
  <c r="BK12" i="3"/>
  <c r="BW12" i="3" s="1"/>
  <c r="BM14" i="3"/>
  <c r="BN14" i="3" s="1"/>
  <c r="BK14" i="3"/>
  <c r="BL14" i="3" s="1"/>
  <c r="BS15" i="3"/>
  <c r="BM15" i="3"/>
  <c r="V20" i="3"/>
  <c r="BS10" i="3"/>
  <c r="BM10" i="3"/>
  <c r="M28" i="3"/>
  <c r="BM12" i="3"/>
  <c r="BS8" i="3"/>
  <c r="BM8" i="3"/>
  <c r="BK8" i="3"/>
  <c r="BS9" i="3"/>
  <c r="BK9" i="3"/>
  <c r="BM9" i="3"/>
  <c r="T20" i="3"/>
  <c r="BS11" i="3"/>
  <c r="BM11" i="3"/>
  <c r="BK11" i="3"/>
  <c r="O28" i="3"/>
  <c r="BS13" i="3"/>
  <c r="BK13" i="3"/>
  <c r="BM13" i="3"/>
  <c r="BS16" i="3"/>
  <c r="BK16" i="3"/>
  <c r="BM16" i="3"/>
  <c r="BK7" i="3"/>
  <c r="T2" i="1"/>
  <c r="T26" i="3" l="1"/>
  <c r="BL18" i="3"/>
  <c r="BW18" i="3"/>
  <c r="T51" i="1"/>
  <c r="U51" i="1" s="1"/>
  <c r="M52" i="1"/>
  <c r="BN7" i="3"/>
  <c r="BM20" i="3"/>
  <c r="BN20" i="3" s="1"/>
  <c r="BK20" i="3"/>
  <c r="BL15" i="3"/>
  <c r="BX7" i="3"/>
  <c r="BL12" i="3"/>
  <c r="BW14" i="3"/>
  <c r="BX14" i="3"/>
  <c r="S28" i="3"/>
  <c r="BX15" i="3"/>
  <c r="BN15" i="3"/>
  <c r="BL9" i="3"/>
  <c r="BW9" i="3"/>
  <c r="BL8" i="3"/>
  <c r="BW8" i="3"/>
  <c r="BN11" i="3"/>
  <c r="BX11" i="3"/>
  <c r="BX10" i="3"/>
  <c r="BN10" i="3"/>
  <c r="N28" i="3"/>
  <c r="M30" i="3"/>
  <c r="BN9" i="3"/>
  <c r="BX9" i="3"/>
  <c r="P28" i="3"/>
  <c r="O30" i="3"/>
  <c r="P30" i="3" s="1"/>
  <c r="BW7" i="3"/>
  <c r="BL7" i="3"/>
  <c r="BX12" i="3"/>
  <c r="BN12" i="3"/>
  <c r="BW10" i="3"/>
  <c r="BL10" i="3"/>
  <c r="BL16" i="3"/>
  <c r="BW16" i="3"/>
  <c r="BN13" i="3"/>
  <c r="BX13" i="3"/>
  <c r="BL13" i="3"/>
  <c r="BW13" i="3"/>
  <c r="BL11" i="3"/>
  <c r="BW11" i="3"/>
  <c r="BN8" i="3"/>
  <c r="BX8" i="3"/>
  <c r="BN16" i="3"/>
  <c r="BX16" i="3"/>
  <c r="U28" i="3"/>
  <c r="U2" i="1"/>
  <c r="T52" i="1" l="1"/>
  <c r="U52" i="1" s="1"/>
  <c r="BX20" i="3"/>
  <c r="BL20" i="3"/>
  <c r="BW20" i="3"/>
  <c r="V28" i="3"/>
  <c r="U30" i="3"/>
  <c r="V30" i="3" s="1"/>
  <c r="BC27" i="3"/>
  <c r="BC28" i="3" s="1"/>
  <c r="N30" i="3"/>
  <c r="T28" i="3"/>
  <c r="S30" i="3"/>
  <c r="T30" i="3" s="1"/>
  <c r="E51" i="1" l="1"/>
  <c r="E50" i="1"/>
  <c r="E5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tc={8FAAEE33-0C80-440D-BE4E-F87B3545EEE8}</author>
    <author>tc={22A574DB-1094-4EA2-A2AE-1A886A866AF0}</author>
    <author>tc={75FEEF91-7AAC-41BA-8999-0C1439BD987B}</author>
  </authors>
  <commentList>
    <comment ref="Q25" authorId="0" shapeId="0" xr:uid="{8FAAEE33-0C80-440D-BE4E-F87B3545EE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</text>
    </comment>
    <comment ref="Q26" authorId="1" shapeId="0" xr:uid="{22A574DB-1094-4EA2-A2AE-1A886A866A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</text>
    </comment>
    <comment ref="Q27" authorId="2" shapeId="0" xr:uid="{75FEEF91-7AAC-41BA-8999-0C1439BD98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<sst xmlns="http://schemas.openxmlformats.org/spreadsheetml/2006/main" count="221" uniqueCount="131">
  <si>
    <t>PRODUCTO</t>
  </si>
  <si>
    <t>TOTAL STOCK</t>
  </si>
  <si>
    <t>POR EMBARCAR</t>
  </si>
  <si>
    <t>STOCK LIBRE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</si>
  <si>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</si>
  <si>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</si>
  <si>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</si>
  <si>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</si>
  <si>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</si>
  <si>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</si>
  <si>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</si>
  <si>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</si>
  <si>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</si>
  <si>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 xml:space="preserve">POTA FILETE C/M C/T FR 0.5-1.0 BL10 S20  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</si>
  <si>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</si>
  <si>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</si>
  <si>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</si>
  <si>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</si>
  <si>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</si>
  <si>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</si>
  <si>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>POTA FILETE C/M C/T FR 1.0 - 3.0 AA BL10 S20</t>
  </si>
  <si>
    <t>POTA FILETE C/M C/T FR 1-2 AA BL10 S20  JAPON</t>
  </si>
  <si>
    <t xml:space="preserve">POTA FILETE C/M C/T FR 0.5-1.0 AAA  BL10 S20  </t>
  </si>
  <si>
    <t>POTA FILETE C/M C/T FR 1-2 AA BL10 S20  50% ROSADO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</si>
  <si>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</si>
  <si>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</si>
  <si>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</si>
  <si>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</si>
  <si>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</si>
  <si>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</si>
  <si>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</si>
  <si>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</si>
  <si>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</si>
  <si>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</si>
  <si>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</si>
  <si>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</si>
  <si>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</si>
  <si>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</si>
  <si>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</si>
  <si>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</si>
  <si>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</si>
  <si>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</si>
  <si>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</si>
  <si>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</si>
  <si>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</si>
  <si>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</si>
  <si>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</si>
  <si>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</si>
  <si>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</si>
  <si>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</si>
  <si>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</si>
  <si>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</si>
  <si>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FILETE CM CT PARA REPROCESO</t>
  </si>
  <si>
    <t>ALAS FR PARA REPROCESO</t>
  </si>
  <si>
    <t>TOTAL LIBRE</t>
  </si>
  <si>
    <t>CÓDIGO</t>
  </si>
  <si>
    <t>CU X TM</t>
  </si>
  <si>
    <t>% MP</t>
  </si>
  <si>
    <t>incremento MP</t>
  </si>
  <si>
    <t>TM en Stock Total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</si>
  <si>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</si>
  <si>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</si>
  <si>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</si>
  <si>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</si>
  <si>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</si>
  <si>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</si>
  <si>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</si>
  <si>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</si>
  <si>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</si>
  <si>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</si>
  <si>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</si>
  <si>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COSTO ABRIL</t>
  </si>
  <si>
    <t>JUNIO</t>
  </si>
  <si>
    <t>JULIO</t>
  </si>
  <si>
    <t>PROM JUN Y JUL</t>
  </si>
  <si>
    <t>TASA</t>
  </si>
  <si>
    <t>tm</t>
  </si>
  <si>
    <t>Asignación</t>
  </si>
  <si>
    <t>Etiquetas de fila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</si>
  <si>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</si>
  <si>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</si>
  <si>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</si>
  <si>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</si>
  <si>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</si>
  <si>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</si>
  <si>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</si>
  <si>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</si>
  <si>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</si>
  <si>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</si>
  <si>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</si>
  <si>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</si>
  <si>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</si>
  <si>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</si>
  <si>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</si>
  <si>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</si>
  <si>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FILETE PARA REPROCESO</t>
  </si>
  <si>
    <t>ALAS PARA REPROCESO</t>
  </si>
  <si>
    <t>OTROS</t>
  </si>
  <si>
    <t>PERU FROST</t>
  </si>
  <si>
    <t>RENTABILIDAD DEL INVENTARIO</t>
  </si>
  <si>
    <t>TOTAL PROYECTADO JULIO 2026</t>
  </si>
  <si>
    <t>UNITARIOS POR TM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</si>
  <si>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</si>
  <si>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</si>
  <si>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</si>
  <si>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</si>
  <si>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</si>
  <si>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</si>
  <si>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</si>
  <si>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</si>
  <si>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</si>
  <si>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</si>
  <si>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</si>
  <si>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</si>
  <si>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</si>
  <si>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</si>
  <si>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TM</t>
  </si>
  <si>
    <t>Venta</t>
  </si>
  <si>
    <t>Precio x TM</t>
  </si>
  <si>
    <t>Gasto Adm</t>
  </si>
  <si>
    <t>Drawback</t>
  </si>
  <si>
    <t>Utilidad 
Neta</t>
  </si>
  <si>
    <t>Mg Neto %</t>
  </si>
  <si>
    <t>MG 
EBITDA</t>
  </si>
  <si>
    <t>TOTAL</t>
  </si>
  <si>
    <t>flete x tm</t>
  </si>
  <si>
    <t>Venta Julio</t>
  </si>
  <si>
    <t>Cobranza</t>
  </si>
  <si>
    <t>Inventario</t>
  </si>
  <si>
    <t>TM en Almacén de Yantai Jiahong</t>
  </si>
  <si>
    <t>AVANCE COMERCIAL AL 3-8-2026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</si>
</sst>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%"/>
    <numFmt numFmtId="167" formatCode="_-* #,##0.0000_-;\-* #,##0.00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0" fillId="0" borderId="0" xfId="0" applyNumberFormat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top"/>
    </xf>
    <xf numFmtId="165" fontId="10" fillId="0" borderId="0" xfId="0" applyNumberFormat="1" applyFont="1"/>
    <xf numFmtId="9" fontId="11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8" xfId="1" applyNumberFormat="1" applyFont="1" applyBorder="1"/>
    <xf numFmtId="164" fontId="11" fillId="0" borderId="0" xfId="1" applyNumberFormat="1" applyFont="1" applyBorder="1"/>
    <xf numFmtId="164" fontId="11" fillId="0" borderId="0" xfId="1" applyNumberFormat="1" applyFont="1"/>
    <xf numFmtId="164" fontId="11" fillId="0" borderId="0" xfId="1" applyNumberFormat="1" applyFont="1" applyAlignment="1">
      <alignment horizontal="center"/>
    </xf>
    <xf numFmtId="164" fontId="11" fillId="2" borderId="9" xfId="1" applyNumberFormat="1" applyFont="1" applyFill="1" applyBorder="1"/>
    <xf numFmtId="0" fontId="0" fillId="12" borderId="7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6" borderId="7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13" borderId="7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164" fontId="8" fillId="0" borderId="4" xfId="1" applyNumberFormat="1" applyFont="1" applyBorder="1"/>
    <xf numFmtId="164" fontId="8" fillId="0" borderId="5" xfId="1" applyNumberFormat="1" applyFont="1" applyBorder="1"/>
    <xf numFmtId="164" fontId="8" fillId="0" borderId="5" xfId="1" applyNumberFormat="1" applyFont="1" applyBorder="1" applyAlignment="1">
      <alignment horizontal="center"/>
    </xf>
    <xf numFmtId="164" fontId="8" fillId="2" borderId="6" xfId="1" applyNumberFormat="1" applyFont="1" applyFill="1" applyBorder="1"/>
    <xf numFmtId="0" fontId="10" fillId="0" borderId="0" xfId="0" applyFont="1"/>
    <xf numFmtId="9" fontId="0" fillId="0" borderId="0" xfId="2" applyFont="1"/>
    <xf numFmtId="0" fontId="0" fillId="0" borderId="0" xfId="0" applyAlignment="1">
      <alignment horizontal="right"/>
    </xf>
    <xf numFmtId="164" fontId="0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/>
    <xf numFmtId="0" fontId="0" fillId="0" borderId="11" xfId="0" applyBorder="1"/>
    <xf numFmtId="0" fontId="0" fillId="0" borderId="11" xfId="0" applyBorder="1" applyAlignment="1">
      <alignment vertical="top"/>
    </xf>
    <xf numFmtId="0" fontId="12" fillId="0" borderId="0" xfId="0" applyFont="1"/>
    <xf numFmtId="0" fontId="4" fillId="0" borderId="0" xfId="0" applyFont="1"/>
    <xf numFmtId="166" fontId="0" fillId="0" borderId="0" xfId="2" applyNumberFormat="1" applyFont="1"/>
    <xf numFmtId="0" fontId="2" fillId="15" borderId="0" xfId="0" applyFont="1" applyFill="1" applyAlignment="1">
      <alignment horizontal="center"/>
    </xf>
    <xf numFmtId="0" fontId="4" fillId="14" borderId="1" xfId="0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" fontId="0" fillId="10" borderId="3" xfId="0" applyNumberFormat="1" applyFill="1" applyBorder="1" applyAlignment="1">
      <alignment horizontal="center"/>
    </xf>
    <xf numFmtId="164" fontId="0" fillId="10" borderId="16" xfId="1" applyNumberFormat="1" applyFont="1" applyFill="1" applyBorder="1" applyAlignment="1">
      <alignment horizontal="center"/>
    </xf>
    <xf numFmtId="164" fontId="0" fillId="0" borderId="0" xfId="1" applyNumberFormat="1" applyFont="1" applyBorder="1"/>
    <xf numFmtId="9" fontId="0" fillId="0" borderId="0" xfId="0" applyNumberFormat="1"/>
    <xf numFmtId="164" fontId="7" fillId="2" borderId="9" xfId="0" applyNumberFormat="1" applyFont="1" applyFill="1" applyBorder="1"/>
    <xf numFmtId="164" fontId="7" fillId="2" borderId="9" xfId="1" applyNumberFormat="1" applyFont="1" applyFill="1" applyBorder="1"/>
    <xf numFmtId="164" fontId="7" fillId="0" borderId="9" xfId="1" applyNumberFormat="1" applyFont="1" applyFill="1" applyBorder="1"/>
    <xf numFmtId="9" fontId="7" fillId="0" borderId="9" xfId="2" applyFont="1" applyFill="1" applyBorder="1" applyAlignment="1">
      <alignment horizontal="center"/>
    </xf>
    <xf numFmtId="164" fontId="0" fillId="0" borderId="3" xfId="1" applyNumberFormat="1" applyFont="1" applyBorder="1"/>
    <xf numFmtId="164" fontId="0" fillId="0" borderId="13" xfId="1" applyNumberFormat="1" applyFont="1" applyBorder="1"/>
    <xf numFmtId="164" fontId="0" fillId="16" borderId="3" xfId="1" applyNumberFormat="1" applyFont="1" applyFill="1" applyBorder="1"/>
    <xf numFmtId="164" fontId="0" fillId="16" borderId="11" xfId="1" applyNumberFormat="1" applyFont="1" applyFill="1" applyBorder="1"/>
    <xf numFmtId="164" fontId="0" fillId="16" borderId="0" xfId="1" applyNumberFormat="1" applyFont="1" applyFill="1" applyBorder="1"/>
    <xf numFmtId="9" fontId="0" fillId="16" borderId="3" xfId="2" applyFont="1" applyFill="1" applyBorder="1" applyAlignment="1">
      <alignment horizontal="center"/>
    </xf>
    <xf numFmtId="164" fontId="0" fillId="16" borderId="11" xfId="2" applyNumberFormat="1" applyFont="1" applyFill="1" applyBorder="1" applyAlignment="1">
      <alignment horizontal="center"/>
    </xf>
    <xf numFmtId="9" fontId="0" fillId="16" borderId="11" xfId="2" applyFont="1" applyFill="1" applyBorder="1" applyAlignment="1">
      <alignment horizontal="center"/>
    </xf>
    <xf numFmtId="164" fontId="0" fillId="2" borderId="2" xfId="0" applyNumberFormat="1" applyFill="1" applyBorder="1"/>
    <xf numFmtId="164" fontId="0" fillId="2" borderId="2" xfId="1" applyNumberFormat="1" applyFont="1" applyFill="1" applyBorder="1"/>
    <xf numFmtId="164" fontId="0" fillId="0" borderId="11" xfId="1" applyNumberFormat="1" applyFont="1" applyBorder="1"/>
    <xf numFmtId="0" fontId="4" fillId="0" borderId="17" xfId="0" applyFont="1" applyBorder="1" applyAlignment="1">
      <alignment horizontal="center"/>
    </xf>
    <xf numFmtId="1" fontId="4" fillId="10" borderId="18" xfId="0" applyNumberFormat="1" applyFont="1" applyFill="1" applyBorder="1" applyAlignment="1">
      <alignment horizontal="center"/>
    </xf>
    <xf numFmtId="164" fontId="4" fillId="10" borderId="19" xfId="1" applyNumberFormat="1" applyFont="1" applyFill="1" applyBorder="1" applyAlignment="1">
      <alignment horizontal="center"/>
    </xf>
    <xf numFmtId="164" fontId="4" fillId="0" borderId="5" xfId="1" applyNumberFormat="1" applyFont="1" applyBorder="1"/>
    <xf numFmtId="9" fontId="4" fillId="0" borderId="5" xfId="2" applyFont="1" applyBorder="1"/>
    <xf numFmtId="164" fontId="5" fillId="2" borderId="6" xfId="1" applyNumberFormat="1" applyFont="1" applyFill="1" applyBorder="1"/>
    <xf numFmtId="164" fontId="5" fillId="0" borderId="6" xfId="1" applyNumberFormat="1" applyFont="1" applyFill="1" applyBorder="1"/>
    <xf numFmtId="164" fontId="5" fillId="0" borderId="12" xfId="1" applyNumberFormat="1" applyFont="1" applyFill="1" applyBorder="1"/>
    <xf numFmtId="9" fontId="5" fillId="0" borderId="6" xfId="2" applyFont="1" applyFill="1" applyBorder="1" applyAlignment="1">
      <alignment horizontal="center"/>
    </xf>
    <xf numFmtId="164" fontId="4" fillId="0" borderId="1" xfId="0" applyNumberFormat="1" applyFont="1" applyBorder="1"/>
    <xf numFmtId="164" fontId="4" fillId="0" borderId="2" xfId="1" applyNumberFormat="1" applyFont="1" applyBorder="1"/>
    <xf numFmtId="164" fontId="4" fillId="16" borderId="2" xfId="0" applyNumberFormat="1" applyFont="1" applyFill="1" applyBorder="1"/>
    <xf numFmtId="164" fontId="4" fillId="16" borderId="10" xfId="1" applyNumberFormat="1" applyFont="1" applyFill="1" applyBorder="1"/>
    <xf numFmtId="164" fontId="4" fillId="16" borderId="2" xfId="1" applyNumberFormat="1" applyFont="1" applyFill="1" applyBorder="1"/>
    <xf numFmtId="9" fontId="4" fillId="16" borderId="1" xfId="2" applyFont="1" applyFill="1" applyBorder="1" applyAlignment="1">
      <alignment horizontal="center"/>
    </xf>
    <xf numFmtId="9" fontId="4" fillId="16" borderId="2" xfId="2" applyFont="1" applyFill="1" applyBorder="1" applyAlignment="1">
      <alignment horizontal="center"/>
    </xf>
    <xf numFmtId="164" fontId="4" fillId="2" borderId="2" xfId="0" applyNumberFormat="1" applyFont="1" applyFill="1" applyBorder="1"/>
    <xf numFmtId="164" fontId="4" fillId="2" borderId="2" xfId="1" applyNumberFormat="1" applyFont="1" applyFill="1" applyBorder="1"/>
    <xf numFmtId="0" fontId="4" fillId="0" borderId="0" xfId="0" applyFont="1" applyAlignment="1">
      <alignment vertical="top"/>
    </xf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3" fillId="0" borderId="0" xfId="1" applyNumberFormat="1" applyFont="1"/>
    <xf numFmtId="167" fontId="0" fillId="0" borderId="0" xfId="1" applyNumberFormat="1" applyFont="1" applyFill="1" applyBorder="1"/>
    <xf numFmtId="4" fontId="0" fillId="0" borderId="0" xfId="0" applyNumberFormat="1"/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0" fontId="4" fillId="0" borderId="20" xfId="0" applyFont="1" applyBorder="1" applyAlignment="1">
      <alignment horizontal="center"/>
    </xf>
    <xf numFmtId="3" fontId="4" fillId="0" borderId="0" xfId="0" applyNumberFormat="1" applyFont="1"/>
    <xf numFmtId="43" fontId="4" fillId="0" borderId="0" xfId="1" applyFont="1"/>
    <xf numFmtId="0" fontId="4" fillId="0" borderId="0" xfId="0" applyFont="1" applyAlignment="1">
      <alignment horizontal="right"/>
    </xf>
    <xf numFmtId="164" fontId="4" fillId="0" borderId="0" xfId="1" applyNumberFormat="1" applyFont="1"/>
    <xf numFmtId="164" fontId="7" fillId="0" borderId="21" xfId="1" applyNumberFormat="1" applyFont="1" applyFill="1" applyBorder="1"/>
    <xf numFmtId="165" fontId="13" fillId="0" borderId="0" xfId="0" applyNumberFormat="1" applyFont="1"/>
    <xf numFmtId="9" fontId="0" fillId="0" borderId="0" xfId="2" applyFont="1" applyAlignment="1">
      <alignment horizontal="center"/>
    </xf>
    <xf numFmtId="43" fontId="0" fillId="0" borderId="0" xfId="0" applyNumberFormat="1" applyAlignment="1">
      <alignment horizontal="right"/>
    </xf>
    <xf numFmtId="16" fontId="4" fillId="16" borderId="3" xfId="0" applyNumberFormat="1" applyFont="1" applyFill="1" applyBorder="1" applyAlignment="1">
      <alignment horizontal="center"/>
    </xf>
    <xf numFmtId="16" fontId="4" fillId="16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4" fillId="0" borderId="10" xfId="0" applyNumberFormat="1" applyFont="1" applyBorder="1" applyAlignment="1">
      <alignment horizontal="center"/>
    </xf>
    <xf numFmtId="16" fontId="4" fillId="0" borderId="7" xfId="0" applyNumberFormat="1" applyFont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" fontId="4" fillId="0" borderId="2" xfId="0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RESUMEN%20VENTAS%20EXPORTACION%202025%20al%203-8-2026.xlsx" TargetMode="External"/><Relationship Id="rId1" Type="http://schemas.openxmlformats.org/officeDocument/2006/relationships/externalLinkPath" Target="RESUMEN%20VENTAS%20EXPORTACION%202025%20al%203-8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22-6-2026.xlsx" TargetMode="External"/><Relationship Id="rId1" Type="http://schemas.openxmlformats.org/officeDocument/2006/relationships/externalLinkPath" Target="Inventario%20PT%20y%20Avance%20Comercial%20al%2022-6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15-6-2026.xlsx" TargetMode="External"/><Relationship Id="rId1" Type="http://schemas.openxmlformats.org/officeDocument/2006/relationships/externalLinkPath" Target="Inventario%20PT%20y%20Avance%20Comercial%20al%2015-6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Ajuste%20Stock%20Abril%202026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FLETES"/>
      <sheetName val="Hoja1"/>
      <sheetName val="OPERADORES LOGISTICOS"/>
      <sheetName val="Hoja2"/>
      <sheetName val="Hoja3"/>
      <sheetName val="Hoja6"/>
      <sheetName val="2026"/>
      <sheetName val="PROGRAMACION"/>
      <sheetName val="2025 TOTAS FP"/>
      <sheetName val="FP CHINA"/>
      <sheetName val="Tabla"/>
      <sheetName val="Hoja5"/>
      <sheetName val="Hoja4"/>
      <sheetName val="VARIOS CHINA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E6">
            <v>46206</v>
          </cell>
          <cell r="H6">
            <v>27</v>
          </cell>
          <cell r="I6">
            <v>68850</v>
          </cell>
          <cell r="J6" t="str">
            <v>POTA RECORTES COCIDOS</v>
          </cell>
        </row>
        <row r="7">
          <cell r="E7">
            <v>46209</v>
          </cell>
          <cell r="H7">
            <v>26</v>
          </cell>
          <cell r="I7">
            <v>74100</v>
          </cell>
          <cell r="J7" t="str">
            <v>POTA REPRODUCTORES</v>
          </cell>
        </row>
        <row r="8">
          <cell r="E8">
            <v>46215</v>
          </cell>
          <cell r="H8">
            <v>54</v>
          </cell>
          <cell r="I8">
            <v>94500</v>
          </cell>
          <cell r="J8" t="str">
            <v>POTA ALAS CONGELADAS</v>
          </cell>
        </row>
        <row r="9">
          <cell r="E9">
            <v>46215</v>
          </cell>
          <cell r="H9">
            <v>54</v>
          </cell>
          <cell r="I9">
            <v>86400</v>
          </cell>
          <cell r="J9" t="str">
            <v>POTA CONOS</v>
          </cell>
        </row>
        <row r="10">
          <cell r="E10">
            <v>46215</v>
          </cell>
          <cell r="H10">
            <v>108</v>
          </cell>
          <cell r="I10">
            <v>275400</v>
          </cell>
          <cell r="J10" t="str">
            <v>POTA REJOS CONGELADOS</v>
          </cell>
        </row>
        <row r="11">
          <cell r="E11">
            <v>46215</v>
          </cell>
          <cell r="H11">
            <v>54</v>
          </cell>
          <cell r="I11">
            <v>86400</v>
          </cell>
          <cell r="J11" t="str">
            <v>OTROS</v>
          </cell>
        </row>
        <row r="12">
          <cell r="E12">
            <v>46216</v>
          </cell>
          <cell r="H12">
            <v>27</v>
          </cell>
          <cell r="I12">
            <v>67500</v>
          </cell>
          <cell r="J12" t="str">
            <v>POTA RECORTES COCIDOS</v>
          </cell>
        </row>
        <row r="13">
          <cell r="E13">
            <v>46216</v>
          </cell>
          <cell r="H13">
            <v>26</v>
          </cell>
          <cell r="I13">
            <v>70980</v>
          </cell>
          <cell r="J13" t="str">
            <v>POTA REPRODUCTORES</v>
          </cell>
        </row>
        <row r="14">
          <cell r="E14">
            <v>46219</v>
          </cell>
          <cell r="H14">
            <v>54</v>
          </cell>
          <cell r="I14">
            <v>99900</v>
          </cell>
          <cell r="J14" t="str">
            <v>OTROS</v>
          </cell>
        </row>
        <row r="15">
          <cell r="E15">
            <v>46222</v>
          </cell>
          <cell r="H15">
            <v>54</v>
          </cell>
          <cell r="I15">
            <v>86400</v>
          </cell>
          <cell r="J15" t="str">
            <v>OTROS</v>
          </cell>
        </row>
        <row r="16">
          <cell r="E16">
            <v>46222</v>
          </cell>
          <cell r="H16">
            <v>67.5</v>
          </cell>
          <cell r="I16">
            <v>89775</v>
          </cell>
          <cell r="J16" t="str">
            <v>POTA NUCAS CONGELADAS</v>
          </cell>
        </row>
        <row r="17">
          <cell r="E17">
            <v>46222</v>
          </cell>
          <cell r="H17">
            <v>27</v>
          </cell>
          <cell r="I17">
            <v>80610</v>
          </cell>
          <cell r="J17" t="str">
            <v>POTA REJOS CONGELADOS</v>
          </cell>
        </row>
        <row r="18">
          <cell r="E18">
            <v>46224</v>
          </cell>
          <cell r="H18">
            <v>38</v>
          </cell>
          <cell r="I18">
            <v>78800</v>
          </cell>
          <cell r="J18" t="str">
            <v>POTA FILETE CONGELADO</v>
          </cell>
        </row>
        <row r="19">
          <cell r="E19">
            <v>46224</v>
          </cell>
          <cell r="H19">
            <v>10</v>
          </cell>
          <cell r="I19">
            <v>14000</v>
          </cell>
          <cell r="J19" t="str">
            <v>POTA NUCAS CONGELADAS</v>
          </cell>
        </row>
        <row r="20">
          <cell r="E20">
            <v>46225</v>
          </cell>
          <cell r="H20">
            <v>52</v>
          </cell>
          <cell r="I20">
            <v>67600</v>
          </cell>
          <cell r="J20" t="str">
            <v>POTA NUCAS CONGELADAS</v>
          </cell>
        </row>
        <row r="21">
          <cell r="E21">
            <v>46225</v>
          </cell>
          <cell r="H21">
            <v>27</v>
          </cell>
          <cell r="I21">
            <v>69336</v>
          </cell>
          <cell r="J21" t="str">
            <v>POTA REPRODUCTORES</v>
          </cell>
        </row>
        <row r="22">
          <cell r="E22">
            <v>46229</v>
          </cell>
          <cell r="H22">
            <v>27</v>
          </cell>
          <cell r="I22">
            <v>81000</v>
          </cell>
          <cell r="J22" t="str">
            <v>POTA REJOS CONGELADOS</v>
          </cell>
        </row>
        <row r="23">
          <cell r="E23">
            <v>46229</v>
          </cell>
          <cell r="H23">
            <v>25.905000000000001</v>
          </cell>
          <cell r="I23">
            <v>41448</v>
          </cell>
          <cell r="J23" t="str">
            <v>OTROS</v>
          </cell>
        </row>
        <row r="24">
          <cell r="E24">
            <v>46232</v>
          </cell>
          <cell r="H24">
            <v>22.5</v>
          </cell>
          <cell r="I24">
            <v>29925</v>
          </cell>
          <cell r="J24" t="str">
            <v>POTA NUCAS CONGELADAS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22-6-2026"/>
      <sheetName val="TD"/>
      <sheetName val="Stock Libre"/>
    </sheetNames>
    <sheetDataSet>
      <sheetData sheetId="0"/>
      <sheetData sheetId="1"/>
      <sheetData sheetId="2">
        <row r="36">
          <cell r="H36">
            <v>3.2548777446902504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15-6-2026"/>
      <sheetName val="TD"/>
      <sheetName val="Stock Libre"/>
    </sheetNames>
    <sheetDataSet>
      <sheetData sheetId="0"/>
      <sheetData sheetId="1"/>
      <sheetData sheetId="2">
        <row r="47">
          <cell r="H47">
            <v>2.8244285114873775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C3"/>
          <cell r="K3">
            <v>2126.230658279324</v>
          </cell>
        </row>
        <row r="4">
          <cell r="C4"/>
          <cell r="K4">
            <v>2094.6361169260049</v>
          </cell>
        </row>
        <row r="5">
          <cell r="C5"/>
          <cell r="K5">
            <v>1946.6202776142766</v>
          </cell>
        </row>
        <row r="6">
          <cell r="C6"/>
          <cell r="K6">
            <v>2025.3424461865532</v>
          </cell>
        </row>
        <row r="7">
          <cell r="C7"/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C9"/>
          <cell r="K9">
            <v>1974.7197869741549</v>
          </cell>
        </row>
        <row r="10">
          <cell r="C10"/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C12"/>
          <cell r="K12">
            <v>1782.56409434187</v>
          </cell>
        </row>
        <row r="13">
          <cell r="C13"/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C16"/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C21"/>
          <cell r="K21">
            <v>1931.1280065442866</v>
          </cell>
        </row>
        <row r="22">
          <cell r="C22"/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C26"/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C30"/>
          <cell r="K30">
            <v>1788.7115084478587</v>
          </cell>
        </row>
        <row r="31">
          <cell r="C31"/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C36"/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C44"/>
          <cell r="K44">
            <v>1504.539234144622</v>
          </cell>
        </row>
        <row r="45">
          <cell r="C45"/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C48"/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C55"/>
          <cell r="K55">
            <v>1849.5051020408164</v>
          </cell>
        </row>
        <row r="56">
          <cell r="C56"/>
          <cell r="K56">
            <v>1784.0206279313234</v>
          </cell>
        </row>
        <row r="57">
          <cell r="C57"/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C61"/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5935FB6D-8495-486E-BD55-59E2E664716F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37.66869583333" createdVersion="8" refreshedVersion="8" minRefreshableVersion="3" recordCount="50" xr:uid="{886169AA-BBE9-4402-8ABB-E3D310FA4A63}">
  <cacheSource type="worksheet">
    <worksheetSource ref="G1:Q51" sheet="Stock Libre"/>
  </cacheSource>
  <cacheFields count="11">
    <cacheField name="CÓDIGO" numFmtId="0">
      <sharedItems containsSemiMixedTypes="0" containsString="0" containsNumber="1" containsInteger="1" minValue="10005721" maxValue="10009650" count="13">
        <n v="10006719"/>
        <n v="10009207"/>
        <n v="10007969"/>
        <n v="10005721"/>
        <n v="10005779"/>
        <n v="10007567"/>
        <n v="10007162"/>
        <n v="10009386"/>
        <n v="10009239"/>
        <n v="10009334"/>
        <n v="10007050"/>
        <n v="10009650"/>
        <n v="10009649"/>
      </sharedItems>
    </cacheField>
    <cacheField name="CU X TM" numFmtId="165">
      <sharedItems containsSemiMixedTypes="0" containsString="0" containsNumber="1" minValue="1.2330367002592995" maxValue="3.0850611236899645"/>
    </cacheField>
    <cacheField name="% MP" numFmtId="9">
      <sharedItems containsSemiMixedTypes="0" containsString="0" containsNumber="1" minValue="0.56000000000000005" maxValue="0.71"/>
    </cacheField>
    <cacheField name="incremento MP" numFmtId="9">
      <sharedItems containsSemiMixedTypes="0" containsString="0" containsNumber="1" minValue="-0.10965909090909082" maxValue="-0.10965909090909082"/>
    </cacheField>
    <cacheField name="TM en Stock Total" numFmtId="164">
      <sharedItems containsSemiMixedTypes="0" containsString="0" containsNumber="1" containsInteger="1" minValue="0" maxValue="612580"/>
    </cacheField>
    <cacheField name="TM en Stock" numFmtId="164">
      <sharedItems containsSemiMixedTypes="0" containsString="0" containsNumber="1" minValue="0" maxValue="612.58000000000004"/>
    </cacheField>
    <cacheField name="Costo Ventas" numFmtId="164">
      <sharedItems containsSemiMixedTypes="0" containsString="0" containsNumber="1" minValue="0" maxValue="1060970.2603970531"/>
    </cacheField>
    <cacheField name="Gasto Ventas" numFmtId="164">
      <sharedItems containsSemiMixedTypes="0" containsString="0" containsNumber="1" minValue="0" maxValue="127318.62720000002"/>
    </cacheField>
    <cacheField name="Gasto ADM" numFmtId="164">
      <sharedItems containsSemiMixedTypes="0" containsString="0" containsNumber="1" minValue="0" maxValue="21382.188035266277"/>
    </cacheField>
    <cacheField name="Gasto Fin" numFmtId="164">
      <sharedItems containsSemiMixedTypes="0" containsString="0" containsNumber="1" minValue="0" maxValue="42033.758795246664"/>
    </cacheField>
    <cacheField name="Depreciación" numFmtId="164">
      <sharedItems containsSemiMixedTypes="0" containsString="0" containsNumber="1" minValue="0" maxValue="33601.4150232585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.7319701269990091"/>
    <n v="0.71"/>
    <n v="-0.10965909090909082"/>
    <n v="14400"/>
    <n v="14.4"/>
    <n v="24940.36982878573"/>
    <n v="2992.8960000000002"/>
    <n v="502.63395427182468"/>
    <n v="988.09319052458773"/>
    <n v="789.87295754827619"/>
  </r>
  <r>
    <x v="0"/>
    <n v="1.7319701269990091"/>
    <n v="0.71"/>
    <n v="-0.10965909090909082"/>
    <n v="2880"/>
    <n v="0.7"/>
    <n v="1212.3790888993062"/>
    <n v="145.488"/>
    <n v="24.433594999324811"/>
    <n v="48.03230787272301"/>
    <n v="38.396602103041204"/>
  </r>
  <r>
    <x v="0"/>
    <n v="1.7319701269990091"/>
    <n v="0.71"/>
    <n v="-0.10965909090909082"/>
    <n v="51820"/>
    <n v="0"/>
    <n v="0"/>
    <n v="0"/>
    <n v="0"/>
    <n v="0"/>
    <n v="0"/>
  </r>
  <r>
    <x v="0"/>
    <n v="1.7319701269990091"/>
    <n v="0.71"/>
    <n v="-0.10965909090909082"/>
    <n v="0"/>
    <n v="0"/>
    <n v="0"/>
    <n v="0"/>
    <n v="0"/>
    <n v="0"/>
    <n v="0"/>
  </r>
  <r>
    <x v="0"/>
    <n v="1.7319701269990091"/>
    <n v="0.71"/>
    <n v="-0.10965909090909082"/>
    <n v="1900"/>
    <n v="0"/>
    <n v="0"/>
    <n v="0"/>
    <n v="0"/>
    <n v="0"/>
    <n v="0"/>
  </r>
  <r>
    <x v="0"/>
    <n v="1.7319701269990091"/>
    <n v="0.71"/>
    <n v="-0.10965909090909082"/>
    <n v="26420"/>
    <n v="0"/>
    <n v="0"/>
    <n v="0"/>
    <n v="0"/>
    <n v="0"/>
    <n v="0"/>
  </r>
  <r>
    <x v="0"/>
    <n v="1.7319701269990091"/>
    <n v="0.71"/>
    <n v="-0.10965909090909082"/>
    <n v="120"/>
    <n v="0"/>
    <n v="0"/>
    <n v="0"/>
    <n v="0"/>
    <n v="0"/>
    <n v="0"/>
  </r>
  <r>
    <x v="1"/>
    <n v="1.2799702510293225"/>
    <n v="0.71"/>
    <n v="-0.10965909090909082"/>
    <n v="30580"/>
    <n v="30.58"/>
    <n v="39141.490276476681"/>
    <n v="6355.7471999999998"/>
    <n v="1067.399050113361"/>
    <n v="2098.3256782112421"/>
    <n v="1677.3829890157142"/>
  </r>
  <r>
    <x v="2"/>
    <n v="1.2330367002592995"/>
    <n v="0.71"/>
    <n v="-0.10965909090909082"/>
    <n v="19340"/>
    <n v="19.34"/>
    <n v="23846.92978301485"/>
    <n v="4019.6255999999998"/>
    <n v="675.06532469563115"/>
    <n v="1327.0640489406615"/>
    <n v="1060.8432638183099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1760"/>
    <n v="1.76"/>
    <n v="3228.598570763621"/>
    <n v="365.79840000000002"/>
    <n v="61.43303885544524"/>
    <n v="120.76694550856071"/>
    <n v="96.540028144789318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32200"/>
    <n v="32.200000000000003"/>
    <n v="59068.678396925352"/>
    <n v="6692.4480000000003"/>
    <n v="1123.9453699689413"/>
    <n v="2209.4861621452587"/>
    <n v="1766.2436967398955"/>
  </r>
  <r>
    <x v="3"/>
    <n v="1.8344310061156939"/>
    <n v="0.67"/>
    <n v="-0.10965909090909082"/>
    <n v="1080"/>
    <n v="1.08"/>
    <n v="1981.1854866049493"/>
    <n v="224.46720000000002"/>
    <n v="37.697546570386855"/>
    <n v="74.106989289344085"/>
    <n v="59.240471816120717"/>
  </r>
  <r>
    <x v="3"/>
    <n v="1.8344310061156939"/>
    <n v="0.67"/>
    <n v="-0.10965909090909082"/>
    <n v="3080"/>
    <n v="3.08"/>
    <n v="5650.0474988363376"/>
    <n v="640.1472"/>
    <n v="107.50781799702916"/>
    <n v="211.34215463998126"/>
    <n v="168.94504925338131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5300"/>
    <n v="5.3"/>
    <n v="9722.484332413178"/>
    <n v="1101.5519999999999"/>
    <n v="184.99721928060214"/>
    <n v="363.67318817918851"/>
    <n v="290.71713020874051"/>
  </r>
  <r>
    <x v="3"/>
    <n v="1.8344310061156939"/>
    <n v="0.67"/>
    <n v="-0.10965909090909082"/>
    <n v="17640"/>
    <n v="17.260000000000002"/>
    <n v="31662.27916555688"/>
    <n v="3587.3184000000006"/>
    <n v="602.4626424119233"/>
    <n v="1184.3394769759989"/>
    <n v="946.75050328355894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29720"/>
    <n v="2.72"/>
    <n v="4989.6523366346873"/>
    <n v="565.3248000000001"/>
    <n v="94.941969140233553"/>
    <n v="186.63982487686658"/>
    <n v="149.1982253146744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3200"/>
    <n v="3.2"/>
    <n v="5870.179219570221"/>
    <n v="665.08800000000008"/>
    <n v="111.69643428262771"/>
    <n v="219.57626456101949"/>
    <n v="175.52732389961693"/>
  </r>
  <r>
    <x v="4"/>
    <n v="1.4834229685286575"/>
    <n v="0.65"/>
    <n v="-0.10965909090909082"/>
    <n v="138340"/>
    <n v="138.34"/>
    <n v="205216.73346625449"/>
    <n v="28752.585600000002"/>
    <n v="4828.776474580849"/>
    <n v="9492.5563873035735"/>
    <n v="7588.2656213353148"/>
  </r>
  <r>
    <x v="4"/>
    <n v="1.4834229685286575"/>
    <n v="0.65"/>
    <n v="-0.10965909090909082"/>
    <n v="40100"/>
    <n v="40.1"/>
    <n v="59485.261037999167"/>
    <n v="8334.384"/>
    <n v="1399.6959421041786"/>
    <n v="2751.5650652802756"/>
    <n v="2199.5767776170746"/>
  </r>
  <r>
    <x v="4"/>
    <n v="1.4834229685286575"/>
    <n v="0.65"/>
    <n v="-0.10965909090909082"/>
    <n v="1040"/>
    <n v="1.04"/>
    <n v="1542.7598872698038"/>
    <n v="216.15360000000001"/>
    <n v="36.301341141854003"/>
    <n v="71.362285982331329"/>
    <n v="57.046380267375504"/>
  </r>
  <r>
    <x v="4"/>
    <n v="1.4834229685286575"/>
    <n v="0.65"/>
    <n v="-0.10965909090909082"/>
    <n v="77440"/>
    <n v="77.44"/>
    <n v="114876.27468285924"/>
    <n v="16095.1296"/>
    <n v="2703.0537096395906"/>
    <n v="5313.7456023766708"/>
    <n v="4247.7612383707292"/>
  </r>
  <r>
    <x v="4"/>
    <n v="1.4834229685286575"/>
    <n v="0.65"/>
    <n v="-0.10965909090909082"/>
    <n v="184360"/>
    <n v="174.36"/>
    <n v="258649.62879265676"/>
    <n v="36238.982400000001"/>
    <n v="6086.0594629746774"/>
    <n v="11964.16171526855"/>
    <n v="9564.0450609803775"/>
  </r>
  <r>
    <x v="4"/>
    <n v="1.4834229685286575"/>
    <n v="0.65"/>
    <n v="-0.10965909090909082"/>
    <n v="7980"/>
    <n v="7.98"/>
    <n v="11837.715288858688"/>
    <n v="1658.5632000000001"/>
    <n v="278.54298299230288"/>
    <n v="547.56830974904233"/>
    <n v="437.72126397466974"/>
  </r>
  <r>
    <x v="5"/>
    <n v="1.540163669045685"/>
    <n v="0.68"/>
    <n v="-0.10965909090909082"/>
    <n v="123720"/>
    <n v="96.72"/>
    <n v="148964.63007009865"/>
    <n v="20102.284800000001"/>
    <n v="3376.0247261924223"/>
    <n v="6636.6925963568137"/>
    <n v="5305.3133648659214"/>
  </r>
  <r>
    <x v="5"/>
    <n v="1.540163669045685"/>
    <n v="0.68"/>
    <n v="-0.10965909090909082"/>
    <n v="35660"/>
    <n v="35.659999999999997"/>
    <n v="54922.236438169122"/>
    <n v="7411.5743999999995"/>
    <n v="1244.7171395370324"/>
    <n v="2446.9029982018606"/>
    <n v="1956.032615706356"/>
  </r>
  <r>
    <x v="6"/>
    <n v="1.596558814009124"/>
    <n v="0.68"/>
    <n v="-0.10965909090909082"/>
    <n v="0"/>
    <n v="0"/>
    <n v="0"/>
    <n v="0"/>
    <n v="0"/>
    <n v="0"/>
    <n v="0"/>
  </r>
  <r>
    <x v="6"/>
    <n v="1.596558814009124"/>
    <n v="0.68"/>
    <n v="-0.10965909090909082"/>
    <n v="0"/>
    <n v="0"/>
    <n v="0"/>
    <n v="0"/>
    <n v="0"/>
    <n v="0"/>
    <n v="0"/>
  </r>
  <r>
    <x v="6"/>
    <n v="1.596558814009124"/>
    <n v="0.68"/>
    <n v="-0.10965909090909082"/>
    <n v="12660"/>
    <n v="12.66"/>
    <n v="20212.43458535551"/>
    <n v="2631.2544000000003"/>
    <n v="441.89901813064586"/>
    <n v="868.69859666953334"/>
    <n v="694.42997517785955"/>
  </r>
  <r>
    <x v="6"/>
    <n v="1.596558814009124"/>
    <n v="0.68"/>
    <n v="-0.10965909090909082"/>
    <n v="43520"/>
    <n v="43.86"/>
    <n v="70025.069582440177"/>
    <n v="9115.8624"/>
    <n v="1530.9392523862659"/>
    <n v="3009.5671761394733"/>
    <n v="2405.8213831991247"/>
  </r>
  <r>
    <x v="6"/>
    <n v="1.596558814009124"/>
    <n v="0.68"/>
    <n v="-0.10965909090909082"/>
    <n v="340"/>
    <n v="0.34"/>
    <n v="542.82999676310214"/>
    <n v="70.665600000000012"/>
    <n v="11.867746142529194"/>
    <n v="23.329978109608323"/>
    <n v="18.6497781643343"/>
  </r>
  <r>
    <x v="6"/>
    <n v="1.596558814009124"/>
    <n v="0.68"/>
    <n v="-0.10965909090909082"/>
    <n v="3780"/>
    <n v="3.78"/>
    <n v="6034.9923169544882"/>
    <n v="785.63519999999994"/>
    <n v="131.94141299635396"/>
    <n v="259.37446251270427"/>
    <n v="207.34165135642249"/>
  </r>
  <r>
    <x v="6"/>
    <n v="1.596558814009124"/>
    <n v="0.68"/>
    <n v="-0.10965909090909082"/>
    <n v="2680"/>
    <n v="2.68"/>
    <n v="4278.7776215444528"/>
    <n v="557.01120000000003"/>
    <n v="93.545763711700715"/>
    <n v="183.89512156985381"/>
    <n v="147.0041337659292"/>
  </r>
  <r>
    <x v="6"/>
    <n v="1.596558814009124"/>
    <n v="0.68"/>
    <n v="-0.10965909090909082"/>
    <n v="36360"/>
    <n v="36.36"/>
    <n v="58050.878477371749"/>
    <n v="7557.0623999999998"/>
    <n v="1269.1507345363573"/>
    <n v="2494.9353060745839"/>
    <n v="1994.4292178093974"/>
  </r>
  <r>
    <x v="6"/>
    <n v="1.596558814009124"/>
    <n v="0.68"/>
    <n v="-0.10965909090909082"/>
    <n v="172680"/>
    <n v="172.68"/>
    <n v="275693.77600309555"/>
    <n v="35889.811200000004"/>
    <n v="6027.4188349762981"/>
    <n v="11848.884176374015"/>
    <n v="9471.8932159330798"/>
  </r>
  <r>
    <x v="7"/>
    <n v="1.5979902535425721"/>
    <n v="0.68"/>
    <n v="-0.10965909090909082"/>
    <n v="21320"/>
    <n v="21.32"/>
    <n v="34069.152205527636"/>
    <n v="4431.1487999999999"/>
    <n v="744.17749340800708"/>
    <n v="1462.9268626377923"/>
    <n v="1169.4507954811979"/>
  </r>
  <r>
    <x v="8"/>
    <n v="3.0850611236899645"/>
    <n v="0.56000000000000005"/>
    <n v="-0.10965909090909082"/>
    <n v="156240"/>
    <n v="102.24"/>
    <n v="315416.64928606193"/>
    <n v="21249.561600000001"/>
    <n v="3568.7010753299551"/>
    <n v="7015.4616527245716"/>
    <n v="5608.0979985927606"/>
  </r>
  <r>
    <x v="8"/>
    <n v="3.0850611236899645"/>
    <n v="0.56000000000000005"/>
    <n v="-0.10965909090909082"/>
    <n v="660"/>
    <n v="0.66"/>
    <n v="2036.1403416353764"/>
    <n v="137.17440000000002"/>
    <n v="23.037389570791966"/>
    <n v="45.287604565710268"/>
    <n v="36.202510554295991"/>
  </r>
  <r>
    <x v="9"/>
    <n v="2.6496026057914581"/>
    <n v="0.68"/>
    <n v="-0.10965909090909082"/>
    <n v="260"/>
    <n v="0"/>
    <n v="0"/>
    <n v="0"/>
    <n v="0"/>
    <n v="0"/>
    <n v="0"/>
  </r>
  <r>
    <x v="9"/>
    <n v="2.6496026057914581"/>
    <n v="0.68"/>
    <n v="-0.10965909090909082"/>
    <n v="14642"/>
    <n v="14.641999999999999"/>
    <n v="38795.481353998526"/>
    <n v="3043.19328"/>
    <n v="511.08099711444839"/>
    <n v="1004.6986455320147"/>
    <n v="803.14721141818472"/>
  </r>
  <r>
    <x v="9"/>
    <n v="2.6496026057914581"/>
    <n v="0.68"/>
    <n v="-0.10965909090909082"/>
    <n v="4394"/>
    <n v="4.3940000000000001"/>
    <n v="11642.353849847668"/>
    <n v="913.24896000000001"/>
    <n v="153.37316632433317"/>
    <n v="301.5056582753499"/>
    <n v="241.0209566296615"/>
  </r>
  <r>
    <x v="10"/>
    <n v="1.3082098231172592"/>
    <n v="0.68"/>
    <n v="-0.10965909090909082"/>
    <n v="56560"/>
    <n v="29.56"/>
    <n v="38670.682371346178"/>
    <n v="6143.7503999999999"/>
    <n v="1031.7958116857733"/>
    <n v="2028.3357438824173"/>
    <n v="1621.4336545227113"/>
  </r>
  <r>
    <x v="10"/>
    <n v="1.3082098231172592"/>
    <n v="0.68"/>
    <n v="-0.10965909090909082"/>
    <n v="34355"/>
    <n v="7.3550000000000004"/>
    <n v="9621.8832490274435"/>
    <n v="1528.6632000000002"/>
    <n v="256.72727317147712"/>
    <n v="504.68232057696827"/>
    <n v="403.43858352552581"/>
  </r>
  <r>
    <x v="10"/>
    <n v="1.3082098231172592"/>
    <n v="0.68"/>
    <n v="-0.10965909090909082"/>
    <n v="20345"/>
    <n v="20.344999999999999"/>
    <n v="26615.528851320636"/>
    <n v="4228.5047999999997"/>
    <n v="710.14498608751887"/>
    <n v="1396.0247195293566"/>
    <n v="1115.9698139805332"/>
  </r>
  <r>
    <x v="11"/>
    <n v="1.8344310061156939"/>
    <n v="0.67"/>
    <n v="-0.10965909090909082"/>
    <n v="462500"/>
    <n v="462.5"/>
    <n v="848424.34032850841"/>
    <n v="96126"/>
    <n v="16143.625267411036"/>
    <n v="31735.631987334848"/>
    <n v="25369.183532366511"/>
  </r>
  <r>
    <x v="12"/>
    <n v="1.7319701269990091"/>
    <n v="0.71"/>
    <n v="-0.10965909090909082"/>
    <n v="612580"/>
    <n v="612.58000000000004"/>
    <n v="1060970.2603970531"/>
    <n v="127318.62720000002"/>
    <n v="21382.188035266277"/>
    <n v="42033.758795246664"/>
    <n v="33601.415023258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54262-DF92-4FA1-AB77-731C49202CC7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7" firstHeaderRow="0" firstDataRow="1" firstDataCol="1"/>
  <pivotFields count="11">
    <pivotField axis="axisRow" showAll="0">
      <items count="14">
        <item x="3"/>
        <item x="4"/>
        <item x="0"/>
        <item x="10"/>
        <item x="6"/>
        <item x="5"/>
        <item x="2"/>
        <item x="8"/>
        <item x="9"/>
        <item x="7"/>
        <item x="1"/>
        <item x="11"/>
        <item x="12"/>
        <item t="default"/>
      </items>
    </pivotField>
    <pivotField showAll="0"/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5" baseField="0" baseItem="0" numFmtId="164"/>
    <dataField name="Suma de Costo Ventas" fld="6" baseField="0" baseItem="0" numFmtId="164"/>
    <dataField name="Suma de Gasto Ventas" fld="7" baseField="0" baseItem="0" numFmtId="164"/>
    <dataField name="Suma de Gasto ADM" fld="8" baseField="0" baseItem="0" numFmtId="164"/>
    <dataField name="Suma de Gasto Fin" fld="9" baseField="0" baseItem="0" numFmtId="164"/>
    <dataField name="Suma de Depreciación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5" dT="2026-08-03T21:04:12.65" personId="{5935FB6D-8495-486E-BD55-59E2E664716F}" id="{8FAAEE33-0C80-440D-BE4E-F87B3545EEE8}">
    <text>Precio venta 1500</text>
  </threadedComment>
  <threadedComment ref="Q26" dT="2026-08-03T21:04:38.98" personId="{5935FB6D-8495-486E-BD55-59E2E664716F}" id="{22A574DB-1094-4EA2-A2AE-1A886A866AF0}">
    <text>Precio de venta 2275</text>
  </threadedComment>
  <threadedComment ref="Q27" dT="2026-08-03T21:04:24.79" personId="{5935FB6D-8495-486E-BD55-59E2E664716F}" id="{75FEEF91-7AAC-41BA-8999-0C1439BD987B}">
    <text>Precio venta 3400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9320-B489-4FA3-B62E-841E1CBFEE1B}">
  <dimension ref="B2:BY40"/>
  <sheetViews>
    <sheetView showGridLines="0" tabSelected="1" zoomScale="80" zoomScaleNormal="80" workbookViewId="0">
      <pane xSplit="4" ySplit="6" topLeftCell="M7" activePane="bottomRight" state="frozen"/>
      <selection pane="topRight" activeCell="E1" sqref="E1"/>
      <selection pane="bottomLeft" activeCell="A7" sqref="A7"/>
      <selection pane="bottomRight" activeCell="T3" sqref="T3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customWidth="1" outlineLevel="2"/>
    <col min="8" max="8" width="11.77734375" customWidth="1" outlineLevel="2"/>
    <col min="9" max="9" width="10.5546875" customWidth="1" outlineLevel="2"/>
    <col min="10" max="10" width="14.109375" customWidth="1" outlineLevel="2"/>
    <col min="11" max="11" width="13.77734375" customWidth="1" outlineLevel="2"/>
    <col min="12" max="12" width="13.44140625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9.6640625" customWidth="1" outlineLevel="1"/>
    <col min="24" max="25" width="11.5546875" customWidth="1" outlineLevel="1"/>
    <col min="26" max="53" width="12.6640625" customWidth="1" outlineLevel="1"/>
    <col min="55" max="55" width="13.77734375" bestFit="1" customWidth="1"/>
    <col min="56" max="56" width="14.88671875" bestFit="1" customWidth="1"/>
    <col min="57" max="62" width="12.6640625" customWidth="1" outlineLevel="1"/>
    <col min="63" max="63" width="12" bestFit="1" customWidth="1"/>
    <col min="68" max="68" width="14.77734375" customWidth="1"/>
    <col min="69" max="69" width="12.6640625" bestFit="1" customWidth="1"/>
    <col min="70" max="70" width="12.44140625" bestFit="1" customWidth="1"/>
    <col min="73" max="73" width="12.6640625" bestFit="1" customWidth="1"/>
    <col min="76" max="76" width="12.6640625" bestFit="1" customWidth="1"/>
  </cols>
  <sheetData>
    <row r="2" spans="2:77" ht="15.6" x14ac:dyDescent="0.3">
      <c r="C2" s="64" t="s">
        <v>98</v>
      </c>
    </row>
    <row r="3" spans="2:77" x14ac:dyDescent="0.3">
      <c r="C3" s="65" t="s">
        <v>130</v>
      </c>
      <c r="G3" s="60"/>
      <c r="M3" s="66"/>
      <c r="N3" s="60"/>
      <c r="O3" s="60"/>
      <c r="P3" s="60"/>
    </row>
    <row r="4" spans="2:77" ht="15" thickBot="1" x14ac:dyDescent="0.35">
      <c r="C4" s="65"/>
      <c r="G4" s="7"/>
      <c r="M4" s="7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67"/>
      <c r="BN4" s="67"/>
    </row>
    <row r="5" spans="2:77" ht="15" thickBot="1" x14ac:dyDescent="0.35">
      <c r="F5" s="149" t="s">
        <v>99</v>
      </c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1"/>
      <c r="X5" s="152">
        <v>46206</v>
      </c>
      <c r="Y5" s="152"/>
      <c r="Z5" s="152"/>
      <c r="AA5" s="145">
        <v>46209</v>
      </c>
      <c r="AB5" s="146"/>
      <c r="AC5" s="147"/>
      <c r="AD5" s="145">
        <v>46215</v>
      </c>
      <c r="AE5" s="146"/>
      <c r="AF5" s="147"/>
      <c r="AG5" s="145">
        <v>46216</v>
      </c>
      <c r="AH5" s="146"/>
      <c r="AI5" s="147"/>
      <c r="AJ5" s="145">
        <v>46219</v>
      </c>
      <c r="AK5" s="146"/>
      <c r="AL5" s="147"/>
      <c r="AM5" s="145">
        <v>46222</v>
      </c>
      <c r="AN5" s="146"/>
      <c r="AO5" s="147"/>
      <c r="AP5" s="145">
        <v>46224</v>
      </c>
      <c r="AQ5" s="146"/>
      <c r="AR5" s="147"/>
      <c r="AS5" s="145">
        <v>46225</v>
      </c>
      <c r="AT5" s="146"/>
      <c r="AU5" s="147"/>
      <c r="AV5" s="145">
        <v>46229</v>
      </c>
      <c r="AW5" s="146"/>
      <c r="AX5" s="147"/>
      <c r="AY5" s="145">
        <v>46232</v>
      </c>
      <c r="AZ5" s="146"/>
      <c r="BA5" s="147"/>
      <c r="BB5" s="140" t="s">
        <v>100</v>
      </c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P5" s="142" t="s">
        <v>101</v>
      </c>
      <c r="BQ5" s="143"/>
      <c r="BR5" s="143"/>
      <c r="BS5" s="143"/>
      <c r="BT5" s="143"/>
      <c r="BU5" s="143"/>
      <c r="BV5" s="143"/>
      <c r="BW5" s="143"/>
      <c r="BX5" s="144"/>
    </row>
    <row r="6" spans="2:77" s="77" customFormat="1" ht="29.4" thickBot="1" x14ac:dyDescent="0.35">
      <c r="B6" s="68" t="s">
        <v>102</v>
      </c>
      <c r="C6" s="69" t="s">
        <v>103</v>
      </c>
      <c r="D6" s="70" t="s">
        <v>104</v>
      </c>
      <c r="E6" s="71" t="s">
        <v>105</v>
      </c>
      <c r="F6" s="72" t="s">
        <v>61</v>
      </c>
      <c r="G6" s="73" t="s">
        <v>62</v>
      </c>
      <c r="H6" s="73" t="s">
        <v>63</v>
      </c>
      <c r="I6" s="73" t="s">
        <v>64</v>
      </c>
      <c r="J6" s="73" t="s">
        <v>65</v>
      </c>
      <c r="K6" s="73" t="s">
        <v>66</v>
      </c>
      <c r="L6" s="74" t="s">
        <v>67</v>
      </c>
      <c r="M6" s="75" t="s">
        <v>106</v>
      </c>
      <c r="N6" s="75" t="s">
        <v>107</v>
      </c>
      <c r="O6" s="75" t="s">
        <v>108</v>
      </c>
      <c r="P6" s="75" t="s">
        <v>109</v>
      </c>
      <c r="Q6" s="76" t="s">
        <v>110</v>
      </c>
      <c r="R6" s="76" t="s">
        <v>111</v>
      </c>
      <c r="S6" s="76" t="s">
        <v>112</v>
      </c>
      <c r="T6" s="76" t="s">
        <v>113</v>
      </c>
      <c r="U6" s="76" t="s">
        <v>114</v>
      </c>
      <c r="V6" s="76" t="s">
        <v>115</v>
      </c>
      <c r="X6" s="6" t="s">
        <v>116</v>
      </c>
      <c r="Y6" s="16" t="s">
        <v>117</v>
      </c>
      <c r="Z6" s="78" t="s">
        <v>118</v>
      </c>
      <c r="AA6" s="6" t="s">
        <v>116</v>
      </c>
      <c r="AB6" s="16" t="s">
        <v>117</v>
      </c>
      <c r="AC6" s="78" t="s">
        <v>118</v>
      </c>
      <c r="AD6" s="6" t="s">
        <v>116</v>
      </c>
      <c r="AE6" s="16" t="s">
        <v>117</v>
      </c>
      <c r="AF6" s="78" t="s">
        <v>118</v>
      </c>
      <c r="AG6" s="6" t="s">
        <v>116</v>
      </c>
      <c r="AH6" s="16" t="s">
        <v>117</v>
      </c>
      <c r="AI6" s="78" t="s">
        <v>118</v>
      </c>
      <c r="AJ6" s="6" t="s">
        <v>116</v>
      </c>
      <c r="AK6" s="16" t="s">
        <v>117</v>
      </c>
      <c r="AL6" s="78" t="s">
        <v>118</v>
      </c>
      <c r="AM6" s="6" t="s">
        <v>116</v>
      </c>
      <c r="AN6" s="16" t="s">
        <v>117</v>
      </c>
      <c r="AO6" s="78" t="s">
        <v>118</v>
      </c>
      <c r="AP6" s="6" t="s">
        <v>116</v>
      </c>
      <c r="AQ6" s="16" t="s">
        <v>117</v>
      </c>
      <c r="AR6" s="78" t="s">
        <v>118</v>
      </c>
      <c r="AS6" s="6" t="s">
        <v>116</v>
      </c>
      <c r="AT6" s="16" t="s">
        <v>117</v>
      </c>
      <c r="AU6" s="78" t="s">
        <v>118</v>
      </c>
      <c r="AV6" s="6" t="s">
        <v>116</v>
      </c>
      <c r="AW6" s="16" t="s">
        <v>117</v>
      </c>
      <c r="AX6" s="78" t="s">
        <v>118</v>
      </c>
      <c r="AY6" s="6" t="s">
        <v>116</v>
      </c>
      <c r="AZ6" s="16" t="s">
        <v>117</v>
      </c>
      <c r="BA6" s="78" t="s">
        <v>118</v>
      </c>
      <c r="BB6" s="79" t="s">
        <v>116</v>
      </c>
      <c r="BC6" s="80" t="s">
        <v>117</v>
      </c>
      <c r="BD6" s="80" t="s">
        <v>118</v>
      </c>
      <c r="BE6" s="80" t="s">
        <v>61</v>
      </c>
      <c r="BF6" s="80" t="s">
        <v>62</v>
      </c>
      <c r="BG6" s="80" t="s">
        <v>119</v>
      </c>
      <c r="BH6" s="81" t="s">
        <v>64</v>
      </c>
      <c r="BI6" s="80" t="s">
        <v>65</v>
      </c>
      <c r="BJ6" s="80" t="s">
        <v>120</v>
      </c>
      <c r="BK6" s="81" t="s">
        <v>121</v>
      </c>
      <c r="BL6" s="80" t="s">
        <v>122</v>
      </c>
      <c r="BM6" s="80" t="s">
        <v>114</v>
      </c>
      <c r="BN6" s="81" t="s">
        <v>123</v>
      </c>
      <c r="BP6" s="82" t="s">
        <v>118</v>
      </c>
      <c r="BQ6" s="82" t="s">
        <v>61</v>
      </c>
      <c r="BR6" s="82" t="s">
        <v>62</v>
      </c>
      <c r="BS6" s="82" t="s">
        <v>119</v>
      </c>
      <c r="BT6" s="2" t="s">
        <v>64</v>
      </c>
      <c r="BU6" s="82" t="s">
        <v>65</v>
      </c>
      <c r="BV6" s="82" t="s">
        <v>120</v>
      </c>
      <c r="BW6" s="2" t="s">
        <v>121</v>
      </c>
      <c r="BX6" s="2" t="s">
        <v>114</v>
      </c>
    </row>
    <row r="7" spans="2:77" x14ac:dyDescent="0.3">
      <c r="B7" s="59">
        <v>10005721</v>
      </c>
      <c r="C7" s="62" t="s">
        <v>86</v>
      </c>
      <c r="D7" s="83">
        <f>TD!F4</f>
        <v>66.599999999999994</v>
      </c>
      <c r="E7" s="84">
        <f t="shared" ref="E7:E20" si="0">IFERROR(F7/D7,0)</f>
        <v>1834.4310061156939</v>
      </c>
      <c r="F7" s="54">
        <f>TD!G4</f>
        <v>122173.1050073052</v>
      </c>
      <c r="G7" s="60">
        <f>TD!H4</f>
        <v>13842.144</v>
      </c>
      <c r="H7" s="60">
        <f>TD!I4</f>
        <v>2324.6820385071892</v>
      </c>
      <c r="I7" s="60">
        <f>TD!J4</f>
        <v>4569.931006176218</v>
      </c>
      <c r="J7" s="60">
        <f>TD!K4</f>
        <v>3653.1624286607776</v>
      </c>
      <c r="K7" s="85">
        <v>0</v>
      </c>
      <c r="L7" s="86">
        <v>0</v>
      </c>
      <c r="M7" s="87">
        <f>F7+G7+H7+I7</f>
        <v>142909.8620519886</v>
      </c>
      <c r="N7" s="88">
        <f>IFERROR(M7/D7,0)</f>
        <v>2145.7937245043336</v>
      </c>
      <c r="O7" s="88">
        <f t="shared" ref="O7:O16" si="1">F7+G7+H7-J7</f>
        <v>134686.7686171516</v>
      </c>
      <c r="P7" s="88">
        <f t="shared" ref="P7:P20" si="2">IFERROR(O7/D7,0)</f>
        <v>2022.3238531103846</v>
      </c>
      <c r="Q7" s="89">
        <v>1800</v>
      </c>
      <c r="R7" s="89">
        <f>Q7*D7</f>
        <v>119879.99999999999</v>
      </c>
      <c r="S7" s="89">
        <f t="shared" ref="S7:S19" si="3">R7-M7</f>
        <v>-23029.862051988617</v>
      </c>
      <c r="T7" s="90">
        <f t="shared" ref="T7:T16" si="4">IFERROR(S7/R7,0)</f>
        <v>-0.19210762472462981</v>
      </c>
      <c r="U7" s="89">
        <f t="shared" ref="U7:U19" si="5">R7-(M7-J7-I7)</f>
        <v>-14806.768617151611</v>
      </c>
      <c r="V7" s="90">
        <f t="shared" ref="V7:V20" si="6">IFERROR(U7/R7,0)</f>
        <v>-0.12351325172799144</v>
      </c>
      <c r="X7" s="91" cm="1">
        <f t="array" ref="X7">SUM([1]Hoja6!$H$6:$H$24*(X$5=[1]Hoja6!$E$6:$E$24)*($C7=[1]Hoja6!$J$6:$J$24))</f>
        <v>0</v>
      </c>
      <c r="Y7" s="91" cm="1">
        <f t="array" ref="Y7">SUM([1]Hoja6!$I$6:$I$24*(X$5=[1]Hoja6!$E$6:$E$24)*($C7=[1]Hoja6!$J$6:$J$24))</f>
        <v>0</v>
      </c>
      <c r="Z7" s="92">
        <f>IFERROR(Y7/X7,0)</f>
        <v>0</v>
      </c>
      <c r="AA7" s="91" cm="1">
        <f t="array" ref="AA7">SUM([1]Hoja6!$H$6:$H$24*(AA$5=[1]Hoja6!$E$6:$E$24)*($C7=[1]Hoja6!$J$6:$J$24))</f>
        <v>0</v>
      </c>
      <c r="AB7" s="91" cm="1">
        <f t="array" ref="AB7">SUM([1]Hoja6!$I$6:$I$24*(AA$5=[1]Hoja6!$E$6:$E$24)*($C7=[1]Hoja6!$J$6:$J$24))</f>
        <v>0</v>
      </c>
      <c r="AC7" s="92">
        <f>IFERROR(AB7/AA7,0)</f>
        <v>0</v>
      </c>
      <c r="AD7" s="91" cm="1">
        <f t="array" ref="AD7">SUM([1]Hoja6!$H$6:$H$24*(AD$5=[1]Hoja6!$E$6:$E$24)*($C7=[1]Hoja6!$J$6:$J$24))</f>
        <v>0</v>
      </c>
      <c r="AE7" s="91" cm="1">
        <f t="array" ref="AE7">SUM([1]Hoja6!$I$6:$I$24*(AD$5=[1]Hoja6!$E$6:$E$24)*($C7=[1]Hoja6!$J$6:$J$24))</f>
        <v>0</v>
      </c>
      <c r="AF7" s="92">
        <f>IFERROR(AE7/AD7,0)</f>
        <v>0</v>
      </c>
      <c r="AG7" s="91" cm="1">
        <f t="array" ref="AG7">SUM([1]Hoja6!$H$6:$H$24*(AG$5=[1]Hoja6!$E$6:$E$24)*($C7=[1]Hoja6!$J$6:$J$24))</f>
        <v>0</v>
      </c>
      <c r="AH7" s="91" cm="1">
        <f t="array" ref="AH7">SUM([1]Hoja6!$I$6:$I$24*(AG$5=[1]Hoja6!$E$6:$E$24)*($C7=[1]Hoja6!$J$6:$J$24))</f>
        <v>0</v>
      </c>
      <c r="AI7" s="92">
        <f>IFERROR(AH7/AG7,0)</f>
        <v>0</v>
      </c>
      <c r="AJ7" s="91" cm="1">
        <f t="array" ref="AJ7">SUM([1]Hoja6!$H$6:$H$24*(AJ$5=[1]Hoja6!$E$6:$E$24)*($C7=[1]Hoja6!$J$6:$J$24))</f>
        <v>0</v>
      </c>
      <c r="AK7" s="91" cm="1">
        <f t="array" ref="AK7">SUM([1]Hoja6!$I$6:$I$24*(AJ$5=[1]Hoja6!$E$6:$E$24)*($C7=[1]Hoja6!$J$6:$J$24))</f>
        <v>0</v>
      </c>
      <c r="AL7" s="92">
        <f>IFERROR(AK7/AJ7,0)</f>
        <v>0</v>
      </c>
      <c r="AM7" s="91" cm="1">
        <f t="array" ref="AM7">SUM([1]Hoja6!$H$6:$H$24*(AM$5=[1]Hoja6!$E$6:$E$24)*($C7=[1]Hoja6!$J$6:$J$24))</f>
        <v>0</v>
      </c>
      <c r="AN7" s="91" cm="1">
        <f t="array" ref="AN7">SUM([1]Hoja6!$I$6:$I$24*(AM$5=[1]Hoja6!$E$6:$E$24)*($C7=[1]Hoja6!$J$6:$J$24))</f>
        <v>0</v>
      </c>
      <c r="AO7" s="92">
        <f>IFERROR(AN7/AM7,0)</f>
        <v>0</v>
      </c>
      <c r="AP7" s="91" cm="1">
        <f t="array" ref="AP7">SUM([1]Hoja6!$H$6:$H$24*(AP$5=[1]Hoja6!$E$6:$E$24)*($C7=[1]Hoja6!$J$6:$J$24))</f>
        <v>38</v>
      </c>
      <c r="AQ7" s="91" cm="1">
        <f t="array" ref="AQ7">SUM([1]Hoja6!$I$6:$I$24*(AP$5=[1]Hoja6!$E$6:$E$24)*($C7=[1]Hoja6!$J$6:$J$24))</f>
        <v>78800</v>
      </c>
      <c r="AR7" s="92">
        <f>IFERROR(AQ7/AP7,0)</f>
        <v>2073.6842105263158</v>
      </c>
      <c r="AS7" s="91" cm="1">
        <f t="array" ref="AS7">SUM([1]Hoja6!$H$6:$H$24*(AS$5=[1]Hoja6!$E$6:$E$24)*($C7=[1]Hoja6!$J$6:$J$24))</f>
        <v>0</v>
      </c>
      <c r="AT7" s="91" cm="1">
        <f t="array" ref="AT7">SUM([1]Hoja6!$I$6:$I$24*(AS$5=[1]Hoja6!$E$6:$E$24)*($C7=[1]Hoja6!$J$6:$J$24))</f>
        <v>0</v>
      </c>
      <c r="AU7" s="92">
        <f>IFERROR(AT7/AS7,0)</f>
        <v>0</v>
      </c>
      <c r="AV7" s="91" cm="1">
        <f t="array" ref="AV7">SUM([1]Hoja6!$H$6:$H$24*(AV$5=[1]Hoja6!$E$6:$E$24)*($C7=[1]Hoja6!$J$6:$J$24))</f>
        <v>0</v>
      </c>
      <c r="AW7" s="91" cm="1">
        <f t="array" ref="AW7">SUM([1]Hoja6!$I$6:$I$24*(AV$5=[1]Hoja6!$E$6:$E$24)*($C7=[1]Hoja6!$J$6:$J$24))</f>
        <v>0</v>
      </c>
      <c r="AX7" s="92">
        <f>IFERROR(AW7/AV7,0)</f>
        <v>0</v>
      </c>
      <c r="AY7" s="91" cm="1">
        <f t="array" ref="AY7">SUM([1]Hoja6!$H$6:$H$24*(AY$5=[1]Hoja6!$E$6:$E$24)*($C7=[1]Hoja6!$J$6:$J$24))</f>
        <v>0</v>
      </c>
      <c r="AZ7" s="91" cm="1">
        <f t="array" ref="AZ7">SUM([1]Hoja6!$I$6:$I$24*(AY$5=[1]Hoja6!$E$6:$E$24)*($C7=[1]Hoja6!$J$6:$J$24))</f>
        <v>0</v>
      </c>
      <c r="BA7" s="92">
        <f>IFERROR(AZ7/AY7,0)</f>
        <v>0</v>
      </c>
      <c r="BB7" s="93">
        <f t="shared" ref="BB7:BB19" si="7">X7+AA7+AD7+AG7+AJ7+AM7+AP7+AY7+AS7+AV7</f>
        <v>38</v>
      </c>
      <c r="BC7" s="94">
        <f t="shared" ref="BC7:BC19" si="8">Y7+AB7+AE7+AH7+AK7+AN7+AQ7+AZ7+AT7+AW7</f>
        <v>78800</v>
      </c>
      <c r="BD7" s="95">
        <f>IFERROR(BC7/BB7,0)</f>
        <v>2073.6842105263158</v>
      </c>
      <c r="BE7" s="94">
        <f t="shared" ref="BE7:BE13" si="9">-IFERROR(F7/D7*BB7,0)</f>
        <v>-69708.378232396368</v>
      </c>
      <c r="BF7" s="95">
        <f t="shared" ref="BF7:BF16" si="10">-207.84*BB7</f>
        <v>-7897.92</v>
      </c>
      <c r="BG7" s="94">
        <f t="shared" ref="BG7:BG16" si="11">$BG$20/$BB$20*$BB7</f>
        <v>-3823.7711373342477</v>
      </c>
      <c r="BH7" s="95">
        <f t="shared" ref="BH7:BH16" si="12">$BH$20/$BB$20*$BB7</f>
        <v>-7516.8861769357363</v>
      </c>
      <c r="BI7" s="94">
        <f t="shared" ref="BI7:BI16" si="13">$BI$20/$BB$20*$BB7</f>
        <v>-6008.9323285162745</v>
      </c>
      <c r="BJ7" s="95">
        <f t="shared" ref="BJ7:BJ16" si="14">(BC7-BB7*$BG$21)*0.03</f>
        <v>2233.8375195240428</v>
      </c>
      <c r="BK7" s="94">
        <f>BC7+SUM(BE7:BH7,BJ7)</f>
        <v>-7913.1180271423073</v>
      </c>
      <c r="BL7" s="96">
        <f>IFERROR(BK7/BC7,0)</f>
        <v>-0.10042027953226278</v>
      </c>
      <c r="BM7" s="97">
        <f t="shared" ref="BM7:BM16" si="15">BC7+BE7+BF7+BG7+BJ7-BI7</f>
        <v>5612.7004783097018</v>
      </c>
      <c r="BN7" s="98">
        <f t="shared" ref="BN7:BN20" si="16">IFERROR(BM7/BC7,0)</f>
        <v>7.122716343032616E-2</v>
      </c>
      <c r="BP7" s="99">
        <f t="shared" ref="BP7:BP20" si="17">BD7</f>
        <v>2073.6842105263158</v>
      </c>
      <c r="BQ7" s="100">
        <f t="shared" ref="BQ7:BW20" si="18">IFERROR(BE7/$BB7,0)</f>
        <v>-1834.4310061156939</v>
      </c>
      <c r="BR7" s="100">
        <f t="shared" si="18"/>
        <v>-207.84</v>
      </c>
      <c r="BS7" s="100">
        <f>IFERROR(BG7/$BB7,0)</f>
        <v>-100.62555624563809</v>
      </c>
      <c r="BT7" s="100">
        <f t="shared" si="18"/>
        <v>-197.81279412988781</v>
      </c>
      <c r="BU7" s="100">
        <f t="shared" si="18"/>
        <v>-158.12979811884932</v>
      </c>
      <c r="BV7" s="100">
        <f t="shared" si="18"/>
        <v>58.785197882211655</v>
      </c>
      <c r="BW7" s="100">
        <f t="shared" si="18"/>
        <v>-208.23994808269231</v>
      </c>
      <c r="BX7" s="100">
        <f t="shared" ref="BX7:BX20" si="19">IFERROR(BM7/$BB7,0)</f>
        <v>147.70264416604479</v>
      </c>
      <c r="BY7" s="7"/>
    </row>
    <row r="8" spans="2:77" x14ac:dyDescent="0.3">
      <c r="B8" s="59">
        <v>10005779</v>
      </c>
      <c r="C8" s="63" t="s">
        <v>87</v>
      </c>
      <c r="D8" s="83">
        <f>TD!F5</f>
        <v>439.26</v>
      </c>
      <c r="E8" s="84">
        <f t="shared" si="0"/>
        <v>1483.422968528658</v>
      </c>
      <c r="F8" s="60">
        <f>TD!G5</f>
        <v>651608.3731558983</v>
      </c>
      <c r="G8" s="60">
        <f>TD!H5</f>
        <v>91295.7984</v>
      </c>
      <c r="H8" s="60">
        <f>TD!I5</f>
        <v>15332.429913433452</v>
      </c>
      <c r="I8" s="60">
        <f>TD!J5</f>
        <v>30140.959365960447</v>
      </c>
      <c r="J8" s="60">
        <f>TD!K5</f>
        <v>24094.416342545537</v>
      </c>
      <c r="K8" s="85">
        <v>0</v>
      </c>
      <c r="L8" s="86">
        <v>0</v>
      </c>
      <c r="M8" s="87">
        <f t="shared" ref="M8:M16" si="20">F8+G8+H8+I8</f>
        <v>788377.56083529221</v>
      </c>
      <c r="N8" s="88">
        <f>IFERROR(M8/D8,0)</f>
        <v>1794.7856869172979</v>
      </c>
      <c r="O8" s="88">
        <f t="shared" si="1"/>
        <v>734142.18512678624</v>
      </c>
      <c r="P8" s="88">
        <f t="shared" si="2"/>
        <v>1671.3158155233489</v>
      </c>
      <c r="Q8" s="89">
        <v>1400</v>
      </c>
      <c r="R8" s="89">
        <f t="shared" ref="R8:R14" si="21">Q8*D8</f>
        <v>614964</v>
      </c>
      <c r="S8" s="89">
        <f t="shared" si="3"/>
        <v>-173413.56083529221</v>
      </c>
      <c r="T8" s="90">
        <f t="shared" si="4"/>
        <v>-0.2819897763694984</v>
      </c>
      <c r="U8" s="89">
        <f t="shared" si="5"/>
        <v>-119178.18512678624</v>
      </c>
      <c r="V8" s="90">
        <f t="shared" si="6"/>
        <v>-0.19379701108810635</v>
      </c>
      <c r="X8" s="91" cm="1">
        <f t="array" ref="X8">SUM([1]Hoja6!$H$6:$H$24*(X$5=[1]Hoja6!$E$6:$E$24)*($C8=[1]Hoja6!$J$6:$J$24))</f>
        <v>0</v>
      </c>
      <c r="Y8" s="91" cm="1">
        <f t="array" ref="Y8">SUM([1]Hoja6!$I$6:$I$24*(X$5=[1]Hoja6!$E$6:$E$24)*($C8=[1]Hoja6!$J$6:$J$24))</f>
        <v>0</v>
      </c>
      <c r="Z8" s="101">
        <f t="shared" ref="Z8:Z20" si="22">IFERROR(Y8/X8,0)</f>
        <v>0</v>
      </c>
      <c r="AA8" s="91" cm="1">
        <f t="array" ref="AA8">SUM([1]Hoja6!$H$6:$H$24*(AA$5=[1]Hoja6!$E$6:$E$24)*($C8=[1]Hoja6!$J$6:$J$24))</f>
        <v>0</v>
      </c>
      <c r="AB8" s="91" cm="1">
        <f t="array" ref="AB8">SUM([1]Hoja6!$I$6:$I$24*(AA$5=[1]Hoja6!$E$6:$E$24)*($C8=[1]Hoja6!$J$6:$J$24))</f>
        <v>0</v>
      </c>
      <c r="AC8" s="101">
        <f t="shared" ref="AC8:AC20" si="23">IFERROR(AB8/AA8,0)</f>
        <v>0</v>
      </c>
      <c r="AD8" s="91" cm="1">
        <f t="array" ref="AD8">SUM([1]Hoja6!$H$6:$H$24*(AD$5=[1]Hoja6!$E$6:$E$24)*($C8=[1]Hoja6!$J$6:$J$24))</f>
        <v>0</v>
      </c>
      <c r="AE8" s="91" cm="1">
        <f t="array" ref="AE8">SUM([1]Hoja6!$I$6:$I$24*(AD$5=[1]Hoja6!$E$6:$E$24)*($C8=[1]Hoja6!$J$6:$J$24))</f>
        <v>0</v>
      </c>
      <c r="AF8" s="101">
        <f t="shared" ref="AF8:AF20" si="24">IFERROR(AE8/AD8,0)</f>
        <v>0</v>
      </c>
      <c r="AG8" s="91" cm="1">
        <f t="array" ref="AG8">SUM([1]Hoja6!$H$6:$H$24*(AG$5=[1]Hoja6!$E$6:$E$24)*($C8=[1]Hoja6!$J$6:$J$24))</f>
        <v>0</v>
      </c>
      <c r="AH8" s="91" cm="1">
        <f t="array" ref="AH8">SUM([1]Hoja6!$I$6:$I$24*(AG$5=[1]Hoja6!$E$6:$E$24)*($C8=[1]Hoja6!$J$6:$J$24))</f>
        <v>0</v>
      </c>
      <c r="AI8" s="101">
        <f t="shared" ref="AI8:AI20" si="25">IFERROR(AH8/AG8,0)</f>
        <v>0</v>
      </c>
      <c r="AJ8" s="91" cm="1">
        <f t="array" ref="AJ8">SUM([1]Hoja6!$H$6:$H$24*(AJ$5=[1]Hoja6!$E$6:$E$24)*($C8=[1]Hoja6!$J$6:$J$24))</f>
        <v>0</v>
      </c>
      <c r="AK8" s="91" cm="1">
        <f t="array" ref="AK8">SUM([1]Hoja6!$I$6:$I$24*(AJ$5=[1]Hoja6!$E$6:$E$24)*($C8=[1]Hoja6!$J$6:$J$24))</f>
        <v>0</v>
      </c>
      <c r="AL8" s="101">
        <f t="shared" ref="AL8:AL20" si="26">IFERROR(AK8/AJ8,0)</f>
        <v>0</v>
      </c>
      <c r="AM8" s="91" cm="1">
        <f t="array" ref="AM8">SUM([1]Hoja6!$H$6:$H$24*(AM$5=[1]Hoja6!$E$6:$E$24)*($C8=[1]Hoja6!$J$6:$J$24))</f>
        <v>67.5</v>
      </c>
      <c r="AN8" s="91" cm="1">
        <f t="array" ref="AN8">SUM([1]Hoja6!$I$6:$I$24*(AM$5=[1]Hoja6!$E$6:$E$24)*($C8=[1]Hoja6!$J$6:$J$24))</f>
        <v>89775</v>
      </c>
      <c r="AO8" s="101">
        <f t="shared" ref="AO8:AO20" si="27">IFERROR(AN8/AM8,0)</f>
        <v>1330</v>
      </c>
      <c r="AP8" s="91" cm="1">
        <f t="array" ref="AP8">SUM([1]Hoja6!$H$6:$H$24*(AP$5=[1]Hoja6!$E$6:$E$24)*($C8=[1]Hoja6!$J$6:$J$24))</f>
        <v>10</v>
      </c>
      <c r="AQ8" s="91" cm="1">
        <f t="array" ref="AQ8">SUM([1]Hoja6!$I$6:$I$24*(AP$5=[1]Hoja6!$E$6:$E$24)*($C8=[1]Hoja6!$J$6:$J$24))</f>
        <v>14000</v>
      </c>
      <c r="AR8" s="101">
        <f t="shared" ref="AR8:AR20" si="28">IFERROR(AQ8/AP8,0)</f>
        <v>1400</v>
      </c>
      <c r="AS8" s="91" cm="1">
        <f t="array" ref="AS8">SUM([1]Hoja6!$H$6:$H$24*(AS$5=[1]Hoja6!$E$6:$E$24)*($C8=[1]Hoja6!$J$6:$J$24))</f>
        <v>52</v>
      </c>
      <c r="AT8" s="91" cm="1">
        <f t="array" ref="AT8">SUM([1]Hoja6!$I$6:$I$24*(AS$5=[1]Hoja6!$E$6:$E$24)*($C8=[1]Hoja6!$J$6:$J$24))</f>
        <v>67600</v>
      </c>
      <c r="AU8" s="101">
        <f t="shared" ref="AU8:AU20" si="29">IFERROR(AT8/AS8,0)</f>
        <v>1300</v>
      </c>
      <c r="AV8" s="91" cm="1">
        <f t="array" ref="AV8">SUM([1]Hoja6!$H$6:$H$24*(AV$5=[1]Hoja6!$E$6:$E$24)*($C8=[1]Hoja6!$J$6:$J$24))</f>
        <v>0</v>
      </c>
      <c r="AW8" s="91" cm="1">
        <f t="array" ref="AW8">SUM([1]Hoja6!$I$6:$I$24*(AV$5=[1]Hoja6!$E$6:$E$24)*($C8=[1]Hoja6!$J$6:$J$24))</f>
        <v>0</v>
      </c>
      <c r="AX8" s="101">
        <f t="shared" ref="AX8:AX20" si="30">IFERROR(AW8/AV8,0)</f>
        <v>0</v>
      </c>
      <c r="AY8" s="91" cm="1">
        <f t="array" ref="AY8">SUM([1]Hoja6!$H$6:$H$24*(AY$5=[1]Hoja6!$E$6:$E$24)*($C8=[1]Hoja6!$J$6:$J$24))</f>
        <v>22.5</v>
      </c>
      <c r="AZ8" s="91" cm="1">
        <f t="array" ref="AZ8">SUM([1]Hoja6!$I$6:$I$24*(AY$5=[1]Hoja6!$E$6:$E$24)*($C8=[1]Hoja6!$J$6:$J$24))</f>
        <v>29925</v>
      </c>
      <c r="BA8" s="101">
        <f t="shared" ref="BA8:BA20" si="31">IFERROR(AZ8/AY8,0)</f>
        <v>1330</v>
      </c>
      <c r="BB8" s="93">
        <f t="shared" si="7"/>
        <v>152</v>
      </c>
      <c r="BC8" s="94">
        <f t="shared" si="8"/>
        <v>201300</v>
      </c>
      <c r="BD8" s="95">
        <f t="shared" ref="BD8:BD16" si="32">IFERROR(BC8/BB8,0)</f>
        <v>1324.3421052631579</v>
      </c>
      <c r="BE8" s="94">
        <f t="shared" si="9"/>
        <v>-225480.29121635601</v>
      </c>
      <c r="BF8" s="95">
        <f t="shared" si="10"/>
        <v>-31591.68</v>
      </c>
      <c r="BG8" s="94">
        <f t="shared" si="11"/>
        <v>-15295.084549336991</v>
      </c>
      <c r="BH8" s="95">
        <f t="shared" si="12"/>
        <v>-30067.544707742945</v>
      </c>
      <c r="BI8" s="94">
        <f t="shared" si="13"/>
        <v>-24035.729314065098</v>
      </c>
      <c r="BJ8" s="95">
        <f t="shared" si="14"/>
        <v>5518.3500780961722</v>
      </c>
      <c r="BK8" s="94">
        <f t="shared" ref="BK8:BK16" si="33">BC8+SUM(BE8:BH8,BJ8)</f>
        <v>-95616.250395339797</v>
      </c>
      <c r="BL8" s="96">
        <f t="shared" ref="BL8:BL20" si="34">IFERROR(BK8/BC8,0)</f>
        <v>-0.47499379232657624</v>
      </c>
      <c r="BM8" s="97">
        <f t="shared" si="15"/>
        <v>-41512.976373531725</v>
      </c>
      <c r="BN8" s="98">
        <f t="shared" si="16"/>
        <v>-0.20622442311739556</v>
      </c>
      <c r="BP8" s="99">
        <f t="shared" si="17"/>
        <v>1324.3421052631579</v>
      </c>
      <c r="BQ8" s="100">
        <f t="shared" si="18"/>
        <v>-1483.422968528658</v>
      </c>
      <c r="BR8" s="100">
        <f t="shared" si="18"/>
        <v>-207.84</v>
      </c>
      <c r="BS8" s="100">
        <f t="shared" si="18"/>
        <v>-100.62555624563809</v>
      </c>
      <c r="BT8" s="100">
        <f t="shared" si="18"/>
        <v>-197.81279412988781</v>
      </c>
      <c r="BU8" s="100">
        <f t="shared" si="18"/>
        <v>-158.12979811884932</v>
      </c>
      <c r="BV8" s="100">
        <f t="shared" si="18"/>
        <v>36.304934724316922</v>
      </c>
      <c r="BW8" s="100">
        <f t="shared" si="18"/>
        <v>-629.05427891670922</v>
      </c>
      <c r="BX8" s="100">
        <f t="shared" si="19"/>
        <v>-273.11168666797187</v>
      </c>
    </row>
    <row r="9" spans="2:77" x14ac:dyDescent="0.3">
      <c r="B9" s="59">
        <v>10006719</v>
      </c>
      <c r="C9" s="63" t="s">
        <v>88</v>
      </c>
      <c r="D9" s="83">
        <f>TD!F6</f>
        <v>15.1</v>
      </c>
      <c r="E9" s="84">
        <f t="shared" si="0"/>
        <v>1731.9701269990089</v>
      </c>
      <c r="F9" s="60">
        <f>TD!G6</f>
        <v>26152.748917685036</v>
      </c>
      <c r="G9" s="60">
        <f>TD!H6</f>
        <v>3138.384</v>
      </c>
      <c r="H9" s="60">
        <f>TD!I6</f>
        <v>527.06754927114946</v>
      </c>
      <c r="I9" s="60">
        <f>TD!J6</f>
        <v>1036.1254983973108</v>
      </c>
      <c r="J9" s="60">
        <f>TD!K6</f>
        <v>828.26955965131742</v>
      </c>
      <c r="K9" s="85">
        <v>0</v>
      </c>
      <c r="L9" s="86">
        <v>0</v>
      </c>
      <c r="M9" s="87">
        <f t="shared" si="20"/>
        <v>30854.325965353495</v>
      </c>
      <c r="N9" s="88">
        <f t="shared" ref="N9:N14" si="35">IFERROR(M9/D9,0)</f>
        <v>2043.3328453876488</v>
      </c>
      <c r="O9" s="88">
        <f t="shared" si="1"/>
        <v>28989.930907304864</v>
      </c>
      <c r="P9" s="88">
        <f t="shared" si="2"/>
        <v>1919.8629739936996</v>
      </c>
      <c r="Q9" s="89">
        <v>1950</v>
      </c>
      <c r="R9" s="89">
        <f t="shared" si="21"/>
        <v>29445</v>
      </c>
      <c r="S9" s="89">
        <f t="shared" si="3"/>
        <v>-1409.3259653534951</v>
      </c>
      <c r="T9" s="90">
        <f t="shared" si="4"/>
        <v>-4.786299763469163E-2</v>
      </c>
      <c r="U9" s="89">
        <f t="shared" si="5"/>
        <v>455.06909269513562</v>
      </c>
      <c r="V9" s="90">
        <f t="shared" si="6"/>
        <v>1.5454885131436089E-2</v>
      </c>
      <c r="X9" s="91" cm="1">
        <f t="array" ref="X9">SUM([1]Hoja6!$H$6:$H$24*(X$5=[1]Hoja6!$E$6:$E$24)*($C9=[1]Hoja6!$J$6:$J$24))</f>
        <v>0</v>
      </c>
      <c r="Y9" s="91" cm="1">
        <f t="array" ref="Y9">SUM([1]Hoja6!$I$6:$I$24*(X$5=[1]Hoja6!$E$6:$E$24)*($C9=[1]Hoja6!$J$6:$J$24))</f>
        <v>0</v>
      </c>
      <c r="Z9" s="101">
        <f t="shared" si="22"/>
        <v>0</v>
      </c>
      <c r="AA9" s="91" cm="1">
        <f t="array" ref="AA9">SUM([1]Hoja6!$H$6:$H$24*(AA$5=[1]Hoja6!$E$6:$E$24)*($C9=[1]Hoja6!$J$6:$J$24))</f>
        <v>0</v>
      </c>
      <c r="AB9" s="91" cm="1">
        <f t="array" ref="AB9">SUM([1]Hoja6!$I$6:$I$24*(AA$5=[1]Hoja6!$E$6:$E$24)*($C9=[1]Hoja6!$J$6:$J$24))</f>
        <v>0</v>
      </c>
      <c r="AC9" s="101">
        <f t="shared" si="23"/>
        <v>0</v>
      </c>
      <c r="AD9" s="91" cm="1">
        <f t="array" ref="AD9">SUM([1]Hoja6!$H$6:$H$24*(AD$5=[1]Hoja6!$E$6:$E$24)*($C9=[1]Hoja6!$J$6:$J$24))</f>
        <v>54</v>
      </c>
      <c r="AE9" s="91" cm="1">
        <f t="array" ref="AE9">SUM([1]Hoja6!$I$6:$I$24*(AD$5=[1]Hoja6!$E$6:$E$24)*($C9=[1]Hoja6!$J$6:$J$24))</f>
        <v>94500</v>
      </c>
      <c r="AF9" s="101">
        <f t="shared" si="24"/>
        <v>1750</v>
      </c>
      <c r="AG9" s="91" cm="1">
        <f t="array" ref="AG9">SUM([1]Hoja6!$H$6:$H$24*(AG$5=[1]Hoja6!$E$6:$E$24)*($C9=[1]Hoja6!$J$6:$J$24))</f>
        <v>0</v>
      </c>
      <c r="AH9" s="91" cm="1">
        <f t="array" ref="AH9">SUM([1]Hoja6!$I$6:$I$24*(AG$5=[1]Hoja6!$E$6:$E$24)*($C9=[1]Hoja6!$J$6:$J$24))</f>
        <v>0</v>
      </c>
      <c r="AI9" s="101">
        <f t="shared" si="25"/>
        <v>0</v>
      </c>
      <c r="AJ9" s="91" cm="1">
        <f t="array" ref="AJ9">SUM([1]Hoja6!$H$6:$H$24*(AJ$5=[1]Hoja6!$E$6:$E$24)*($C9=[1]Hoja6!$J$6:$J$24))</f>
        <v>0</v>
      </c>
      <c r="AK9" s="91" cm="1">
        <f t="array" ref="AK9">SUM([1]Hoja6!$I$6:$I$24*(AJ$5=[1]Hoja6!$E$6:$E$24)*($C9=[1]Hoja6!$J$6:$J$24))</f>
        <v>0</v>
      </c>
      <c r="AL9" s="101">
        <f t="shared" si="26"/>
        <v>0</v>
      </c>
      <c r="AM9" s="91" cm="1">
        <f t="array" ref="AM9">SUM([1]Hoja6!$H$6:$H$24*(AM$5=[1]Hoja6!$E$6:$E$24)*($C9=[1]Hoja6!$J$6:$J$24))</f>
        <v>0</v>
      </c>
      <c r="AN9" s="91" cm="1">
        <f t="array" ref="AN9">SUM([1]Hoja6!$I$6:$I$24*(AM$5=[1]Hoja6!$E$6:$E$24)*($C9=[1]Hoja6!$J$6:$J$24))</f>
        <v>0</v>
      </c>
      <c r="AO9" s="101">
        <f t="shared" si="27"/>
        <v>0</v>
      </c>
      <c r="AP9" s="91" cm="1">
        <f t="array" ref="AP9">SUM([1]Hoja6!$H$6:$H$24*(AP$5=[1]Hoja6!$E$6:$E$24)*($C9=[1]Hoja6!$J$6:$J$24))</f>
        <v>0</v>
      </c>
      <c r="AQ9" s="91" cm="1">
        <f t="array" ref="AQ9">SUM([1]Hoja6!$I$6:$I$24*(AP$5=[1]Hoja6!$E$6:$E$24)*($C9=[1]Hoja6!$J$6:$J$24))</f>
        <v>0</v>
      </c>
      <c r="AR9" s="101">
        <f t="shared" si="28"/>
        <v>0</v>
      </c>
      <c r="AS9" s="91" cm="1">
        <f t="array" ref="AS9">SUM([1]Hoja6!$H$6:$H$24*(AS$5=[1]Hoja6!$E$6:$E$24)*($C9=[1]Hoja6!$J$6:$J$24))</f>
        <v>0</v>
      </c>
      <c r="AT9" s="91" cm="1">
        <f t="array" ref="AT9">SUM([1]Hoja6!$I$6:$I$24*(AS$5=[1]Hoja6!$E$6:$E$24)*($C9=[1]Hoja6!$J$6:$J$24))</f>
        <v>0</v>
      </c>
      <c r="AU9" s="101">
        <f t="shared" si="29"/>
        <v>0</v>
      </c>
      <c r="AV9" s="91" cm="1">
        <f t="array" ref="AV9">SUM([1]Hoja6!$H$6:$H$24*(AV$5=[1]Hoja6!$E$6:$E$24)*($C9=[1]Hoja6!$J$6:$J$24))</f>
        <v>0</v>
      </c>
      <c r="AW9" s="91" cm="1">
        <f t="array" ref="AW9">SUM([1]Hoja6!$I$6:$I$24*(AV$5=[1]Hoja6!$E$6:$E$24)*($C9=[1]Hoja6!$J$6:$J$24))</f>
        <v>0</v>
      </c>
      <c r="AX9" s="101">
        <f t="shared" si="30"/>
        <v>0</v>
      </c>
      <c r="AY9" s="91" cm="1">
        <f t="array" ref="AY9">SUM([1]Hoja6!$H$6:$H$24*(AY$5=[1]Hoja6!$E$6:$E$24)*($C9=[1]Hoja6!$J$6:$J$24))</f>
        <v>0</v>
      </c>
      <c r="AZ9" s="91" cm="1">
        <f t="array" ref="AZ9">SUM([1]Hoja6!$I$6:$I$24*(AY$5=[1]Hoja6!$E$6:$E$24)*($C9=[1]Hoja6!$J$6:$J$24))</f>
        <v>0</v>
      </c>
      <c r="BA9" s="101">
        <f t="shared" si="31"/>
        <v>0</v>
      </c>
      <c r="BB9" s="93">
        <f t="shared" si="7"/>
        <v>54</v>
      </c>
      <c r="BC9" s="94">
        <f t="shared" si="8"/>
        <v>94500</v>
      </c>
      <c r="BD9" s="95">
        <f t="shared" si="32"/>
        <v>1750</v>
      </c>
      <c r="BE9" s="94">
        <f t="shared" si="9"/>
        <v>-93526.386857946476</v>
      </c>
      <c r="BF9" s="95">
        <f t="shared" si="10"/>
        <v>-11223.36</v>
      </c>
      <c r="BG9" s="94">
        <f t="shared" si="11"/>
        <v>-5433.780037264457</v>
      </c>
      <c r="BH9" s="95">
        <f t="shared" si="12"/>
        <v>-10681.890883013941</v>
      </c>
      <c r="BI9" s="94">
        <f t="shared" si="13"/>
        <v>-8539.0090984178642</v>
      </c>
      <c r="BJ9" s="95">
        <f t="shared" si="14"/>
        <v>2650.0322645867977</v>
      </c>
      <c r="BK9" s="94">
        <f t="shared" si="33"/>
        <v>-23715.385513638073</v>
      </c>
      <c r="BL9" s="96">
        <f t="shared" si="34"/>
        <v>-0.25095646046177855</v>
      </c>
      <c r="BM9" s="97">
        <f t="shared" si="15"/>
        <v>-4494.4855322062704</v>
      </c>
      <c r="BN9" s="98">
        <f t="shared" si="16"/>
        <v>-4.7560693462500213E-2</v>
      </c>
      <c r="BP9" s="99">
        <f t="shared" si="17"/>
        <v>1750</v>
      </c>
      <c r="BQ9" s="100">
        <f t="shared" si="18"/>
        <v>-1731.9701269990089</v>
      </c>
      <c r="BR9" s="100">
        <f t="shared" si="18"/>
        <v>-207.84</v>
      </c>
      <c r="BS9" s="100">
        <f t="shared" si="18"/>
        <v>-100.62555624563809</v>
      </c>
      <c r="BT9" s="100">
        <f t="shared" si="18"/>
        <v>-197.81279412988781</v>
      </c>
      <c r="BU9" s="100">
        <f t="shared" si="18"/>
        <v>-158.12979811884932</v>
      </c>
      <c r="BV9" s="100">
        <f t="shared" si="18"/>
        <v>49.074671566422182</v>
      </c>
      <c r="BW9" s="100">
        <f t="shared" si="18"/>
        <v>-439.17380580811249</v>
      </c>
      <c r="BX9" s="100">
        <f t="shared" si="19"/>
        <v>-83.231213559375377</v>
      </c>
    </row>
    <row r="10" spans="2:77" x14ac:dyDescent="0.3">
      <c r="B10" s="59">
        <v>10007050</v>
      </c>
      <c r="C10" s="63" t="s">
        <v>89</v>
      </c>
      <c r="D10" s="83">
        <f>TD!F7</f>
        <v>57.26</v>
      </c>
      <c r="E10" s="84">
        <f t="shared" si="0"/>
        <v>1308.2098231172592</v>
      </c>
      <c r="F10" s="60">
        <f>TD!G7</f>
        <v>74908.094471694261</v>
      </c>
      <c r="G10" s="60">
        <f>TD!H7</f>
        <v>11900.918399999999</v>
      </c>
      <c r="H10" s="60">
        <f>TD!I7</f>
        <v>1998.6680709447694</v>
      </c>
      <c r="I10" s="60">
        <f>TD!J7</f>
        <v>3929.0427839887425</v>
      </c>
      <c r="J10" s="60">
        <f>TD!K7</f>
        <v>3140.8420520287705</v>
      </c>
      <c r="K10" s="85">
        <v>0</v>
      </c>
      <c r="L10" s="86">
        <v>0</v>
      </c>
      <c r="M10" s="87">
        <f t="shared" si="20"/>
        <v>92736.723726627766</v>
      </c>
      <c r="N10" s="88">
        <f t="shared" si="35"/>
        <v>1619.5725415058989</v>
      </c>
      <c r="O10" s="88">
        <f t="shared" si="1"/>
        <v>85666.838890610248</v>
      </c>
      <c r="P10" s="88">
        <f t="shared" si="2"/>
        <v>1496.1026701119499</v>
      </c>
      <c r="Q10" s="89">
        <v>1700</v>
      </c>
      <c r="R10" s="89">
        <f t="shared" si="21"/>
        <v>97342</v>
      </c>
      <c r="S10" s="89">
        <f t="shared" si="3"/>
        <v>4605.2762733722338</v>
      </c>
      <c r="T10" s="90">
        <f t="shared" si="4"/>
        <v>4.7310269702412464E-2</v>
      </c>
      <c r="U10" s="89">
        <f>R10-(M10-J10-I10)</f>
        <v>11675.161109389752</v>
      </c>
      <c r="V10" s="90">
        <f t="shared" si="6"/>
        <v>0.11993960581650009</v>
      </c>
      <c r="X10" s="91" cm="1">
        <f t="array" ref="X10">SUM([1]Hoja6!$H$6:$H$24*(X$5=[1]Hoja6!$E$6:$E$24)*($C10=[1]Hoja6!$J$6:$J$24))</f>
        <v>27</v>
      </c>
      <c r="Y10" s="91" cm="1">
        <f t="array" ref="Y10">SUM([1]Hoja6!$I$6:$I$24*(X$5=[1]Hoja6!$E$6:$E$24)*($C10=[1]Hoja6!$J$6:$J$24))</f>
        <v>68850</v>
      </c>
      <c r="Z10" s="101">
        <f t="shared" si="22"/>
        <v>2550</v>
      </c>
      <c r="AA10" s="91" cm="1">
        <f t="array" ref="AA10">SUM([1]Hoja6!$H$6:$H$24*(AA$5=[1]Hoja6!$E$6:$E$24)*($C10=[1]Hoja6!$J$6:$J$24))</f>
        <v>0</v>
      </c>
      <c r="AB10" s="91" cm="1">
        <f t="array" ref="AB10">SUM([1]Hoja6!$I$6:$I$24*(AA$5=[1]Hoja6!$E$6:$E$24)*($C10=[1]Hoja6!$J$6:$J$24))</f>
        <v>0</v>
      </c>
      <c r="AC10" s="101">
        <f t="shared" si="23"/>
        <v>0</v>
      </c>
      <c r="AD10" s="91" cm="1">
        <f t="array" ref="AD10">SUM([1]Hoja6!$H$6:$H$24*(AD$5=[1]Hoja6!$E$6:$E$24)*($C10=[1]Hoja6!$J$6:$J$24))</f>
        <v>0</v>
      </c>
      <c r="AE10" s="91" cm="1">
        <f t="array" ref="AE10">SUM([1]Hoja6!$I$6:$I$24*(AD$5=[1]Hoja6!$E$6:$E$24)*($C10=[1]Hoja6!$J$6:$J$24))</f>
        <v>0</v>
      </c>
      <c r="AF10" s="101">
        <f t="shared" si="24"/>
        <v>0</v>
      </c>
      <c r="AG10" s="91" cm="1">
        <f t="array" ref="AG10">SUM([1]Hoja6!$H$6:$H$24*(AG$5=[1]Hoja6!$E$6:$E$24)*($C10=[1]Hoja6!$J$6:$J$24))</f>
        <v>27</v>
      </c>
      <c r="AH10" s="91" cm="1">
        <f t="array" ref="AH10">SUM([1]Hoja6!$I$6:$I$24*(AG$5=[1]Hoja6!$E$6:$E$24)*($C10=[1]Hoja6!$J$6:$J$24))</f>
        <v>67500</v>
      </c>
      <c r="AI10" s="101">
        <f t="shared" si="25"/>
        <v>2500</v>
      </c>
      <c r="AJ10" s="91" cm="1">
        <f t="array" ref="AJ10">SUM([1]Hoja6!$H$6:$H$24*(AJ$5=[1]Hoja6!$E$6:$E$24)*($C10=[1]Hoja6!$J$6:$J$24))</f>
        <v>0</v>
      </c>
      <c r="AK10" s="91" cm="1">
        <f t="array" ref="AK10">SUM([1]Hoja6!$I$6:$I$24*(AJ$5=[1]Hoja6!$E$6:$E$24)*($C10=[1]Hoja6!$J$6:$J$24))</f>
        <v>0</v>
      </c>
      <c r="AL10" s="101">
        <f t="shared" si="26"/>
        <v>0</v>
      </c>
      <c r="AM10" s="91" cm="1">
        <f t="array" ref="AM10">SUM([1]Hoja6!$H$6:$H$24*(AM$5=[1]Hoja6!$E$6:$E$24)*($C10=[1]Hoja6!$J$6:$J$24))</f>
        <v>0</v>
      </c>
      <c r="AN10" s="91" cm="1">
        <f t="array" ref="AN10">SUM([1]Hoja6!$I$6:$I$24*(AM$5=[1]Hoja6!$E$6:$E$24)*($C10=[1]Hoja6!$J$6:$J$24))</f>
        <v>0</v>
      </c>
      <c r="AO10" s="101">
        <f t="shared" si="27"/>
        <v>0</v>
      </c>
      <c r="AP10" s="91" cm="1">
        <f t="array" ref="AP10">SUM([1]Hoja6!$H$6:$H$24*(AP$5=[1]Hoja6!$E$6:$E$24)*($C10=[1]Hoja6!$J$6:$J$24))</f>
        <v>0</v>
      </c>
      <c r="AQ10" s="91" cm="1">
        <f t="array" ref="AQ10">SUM([1]Hoja6!$I$6:$I$24*(AP$5=[1]Hoja6!$E$6:$E$24)*($C10=[1]Hoja6!$J$6:$J$24))</f>
        <v>0</v>
      </c>
      <c r="AR10" s="101">
        <f t="shared" si="28"/>
        <v>0</v>
      </c>
      <c r="AS10" s="91" cm="1">
        <f t="array" ref="AS10">SUM([1]Hoja6!$H$6:$H$24*(AS$5=[1]Hoja6!$E$6:$E$24)*($C10=[1]Hoja6!$J$6:$J$24))</f>
        <v>0</v>
      </c>
      <c r="AT10" s="91" cm="1">
        <f t="array" ref="AT10">SUM([1]Hoja6!$I$6:$I$24*(AS$5=[1]Hoja6!$E$6:$E$24)*($C10=[1]Hoja6!$J$6:$J$24))</f>
        <v>0</v>
      </c>
      <c r="AU10" s="101">
        <f t="shared" si="29"/>
        <v>0</v>
      </c>
      <c r="AV10" s="91" cm="1">
        <f t="array" ref="AV10">SUM([1]Hoja6!$H$6:$H$24*(AV$5=[1]Hoja6!$E$6:$E$24)*($C10=[1]Hoja6!$J$6:$J$24))</f>
        <v>0</v>
      </c>
      <c r="AW10" s="91" cm="1">
        <f t="array" ref="AW10">SUM([1]Hoja6!$I$6:$I$24*(AV$5=[1]Hoja6!$E$6:$E$24)*($C10=[1]Hoja6!$J$6:$J$24))</f>
        <v>0</v>
      </c>
      <c r="AX10" s="101">
        <f t="shared" si="30"/>
        <v>0</v>
      </c>
      <c r="AY10" s="91" cm="1">
        <f t="array" ref="AY10">SUM([1]Hoja6!$H$6:$H$24*(AY$5=[1]Hoja6!$E$6:$E$24)*($C10=[1]Hoja6!$J$6:$J$24))</f>
        <v>0</v>
      </c>
      <c r="AZ10" s="91" cm="1">
        <f t="array" ref="AZ10">SUM([1]Hoja6!$I$6:$I$24*(AY$5=[1]Hoja6!$E$6:$E$24)*($C10=[1]Hoja6!$J$6:$J$24))</f>
        <v>0</v>
      </c>
      <c r="BA10" s="101">
        <f t="shared" si="31"/>
        <v>0</v>
      </c>
      <c r="BB10" s="93">
        <f t="shared" si="7"/>
        <v>54</v>
      </c>
      <c r="BC10" s="94">
        <f t="shared" si="8"/>
        <v>136350</v>
      </c>
      <c r="BD10" s="95">
        <f t="shared" si="32"/>
        <v>2525</v>
      </c>
      <c r="BE10" s="94">
        <f t="shared" si="9"/>
        <v>-70643.330448331995</v>
      </c>
      <c r="BF10" s="95">
        <f t="shared" si="10"/>
        <v>-11223.36</v>
      </c>
      <c r="BG10" s="94">
        <f t="shared" si="11"/>
        <v>-5433.780037264457</v>
      </c>
      <c r="BH10" s="95">
        <f t="shared" si="12"/>
        <v>-10681.890883013941</v>
      </c>
      <c r="BI10" s="94">
        <f t="shared" si="13"/>
        <v>-8539.0090984178642</v>
      </c>
      <c r="BJ10" s="95">
        <f t="shared" si="14"/>
        <v>3905.5322645867977</v>
      </c>
      <c r="BK10" s="94">
        <f>BC10+SUM(BE10:BH10,BJ10)</f>
        <v>42273.170895976407</v>
      </c>
      <c r="BL10" s="96">
        <f t="shared" si="34"/>
        <v>0.31003425666282658</v>
      </c>
      <c r="BM10" s="97">
        <f t="shared" si="15"/>
        <v>61494.070877408216</v>
      </c>
      <c r="BN10" s="98">
        <f t="shared" si="16"/>
        <v>0.45100161992965321</v>
      </c>
      <c r="BP10" s="99">
        <f t="shared" si="17"/>
        <v>2525</v>
      </c>
      <c r="BQ10" s="100">
        <f t="shared" si="18"/>
        <v>-1308.2098231172592</v>
      </c>
      <c r="BR10" s="100">
        <f t="shared" si="18"/>
        <v>-207.84</v>
      </c>
      <c r="BS10" s="100">
        <f t="shared" si="18"/>
        <v>-100.62555624563809</v>
      </c>
      <c r="BT10" s="100">
        <f t="shared" si="18"/>
        <v>-197.81279412988781</v>
      </c>
      <c r="BU10" s="100">
        <f t="shared" si="18"/>
        <v>-158.12979811884932</v>
      </c>
      <c r="BV10" s="100">
        <f t="shared" si="18"/>
        <v>72.324671566422182</v>
      </c>
      <c r="BW10" s="100">
        <f t="shared" si="18"/>
        <v>782.83649807363713</v>
      </c>
      <c r="BX10" s="100">
        <f t="shared" si="19"/>
        <v>1138.7790903223743</v>
      </c>
    </row>
    <row r="11" spans="2:77" x14ac:dyDescent="0.3">
      <c r="B11" s="59">
        <v>10007162</v>
      </c>
      <c r="C11" s="63" t="s">
        <v>90</v>
      </c>
      <c r="D11" s="83">
        <f>TD!F8</f>
        <v>272.36</v>
      </c>
      <c r="E11" s="84">
        <f t="shared" si="0"/>
        <v>1596.558814009124</v>
      </c>
      <c r="F11" s="60">
        <f>TD!G8</f>
        <v>434838.75858352502</v>
      </c>
      <c r="G11" s="60">
        <f>TD!H8</f>
        <v>56607.3024</v>
      </c>
      <c r="H11" s="60">
        <f>TD!I8</f>
        <v>9506.7627628801511</v>
      </c>
      <c r="I11" s="60">
        <f>TD!J8</f>
        <v>18688.684817449772</v>
      </c>
      <c r="J11" s="60">
        <f>TD!K8</f>
        <v>14939.569355406147</v>
      </c>
      <c r="K11" s="85">
        <v>0</v>
      </c>
      <c r="L11" s="86">
        <v>0</v>
      </c>
      <c r="M11" s="87">
        <f t="shared" si="20"/>
        <v>519641.50856385491</v>
      </c>
      <c r="N11" s="88">
        <f t="shared" si="35"/>
        <v>1907.9215323977635</v>
      </c>
      <c r="O11" s="88">
        <f t="shared" si="1"/>
        <v>486013.25439099898</v>
      </c>
      <c r="P11" s="88">
        <f t="shared" si="2"/>
        <v>1784.4516610038147</v>
      </c>
      <c r="Q11" s="89">
        <v>2700</v>
      </c>
      <c r="R11" s="89">
        <f t="shared" si="21"/>
        <v>735372</v>
      </c>
      <c r="S11" s="89">
        <f t="shared" si="3"/>
        <v>215730.49143614509</v>
      </c>
      <c r="T11" s="90">
        <f t="shared" si="4"/>
        <v>0.29336239540823567</v>
      </c>
      <c r="U11" s="89">
        <f t="shared" si="5"/>
        <v>249358.74560900102</v>
      </c>
      <c r="V11" s="90">
        <f t="shared" si="6"/>
        <v>0.33909197740599456</v>
      </c>
      <c r="X11" s="91" cm="1">
        <f t="array" ref="X11">SUM([1]Hoja6!$H$6:$H$24*(X$5=[1]Hoja6!$E$6:$E$24)*($C11=[1]Hoja6!$J$6:$J$24))</f>
        <v>0</v>
      </c>
      <c r="Y11" s="91" cm="1">
        <f t="array" ref="Y11">SUM([1]Hoja6!$I$6:$I$24*(X$5=[1]Hoja6!$E$6:$E$24)*($C11=[1]Hoja6!$J$6:$J$24))</f>
        <v>0</v>
      </c>
      <c r="Z11" s="101">
        <f t="shared" si="22"/>
        <v>0</v>
      </c>
      <c r="AA11" s="91" cm="1">
        <f t="array" ref="AA11">SUM([1]Hoja6!$H$6:$H$24*(AA$5=[1]Hoja6!$E$6:$E$24)*($C11=[1]Hoja6!$J$6:$J$24))</f>
        <v>0</v>
      </c>
      <c r="AB11" s="91" cm="1">
        <f t="array" ref="AB11">SUM([1]Hoja6!$I$6:$I$24*(AA$5=[1]Hoja6!$E$6:$E$24)*($C11=[1]Hoja6!$J$6:$J$24))</f>
        <v>0</v>
      </c>
      <c r="AC11" s="101">
        <f t="shared" si="23"/>
        <v>0</v>
      </c>
      <c r="AD11" s="91" cm="1">
        <f t="array" ref="AD11">SUM([1]Hoja6!$H$6:$H$24*(AD$5=[1]Hoja6!$E$6:$E$24)*($C11=[1]Hoja6!$J$6:$J$24))</f>
        <v>108</v>
      </c>
      <c r="AE11" s="91" cm="1">
        <f t="array" ref="AE11">SUM([1]Hoja6!$I$6:$I$24*(AD$5=[1]Hoja6!$E$6:$E$24)*($C11=[1]Hoja6!$J$6:$J$24))</f>
        <v>275400</v>
      </c>
      <c r="AF11" s="101">
        <f t="shared" si="24"/>
        <v>2550</v>
      </c>
      <c r="AG11" s="91" cm="1">
        <f t="array" ref="AG11">SUM([1]Hoja6!$H$6:$H$24*(AG$5=[1]Hoja6!$E$6:$E$24)*($C11=[1]Hoja6!$J$6:$J$24))</f>
        <v>0</v>
      </c>
      <c r="AH11" s="91" cm="1">
        <f t="array" ref="AH11">SUM([1]Hoja6!$I$6:$I$24*(AG$5=[1]Hoja6!$E$6:$E$24)*($C11=[1]Hoja6!$J$6:$J$24))</f>
        <v>0</v>
      </c>
      <c r="AI11" s="101">
        <f t="shared" si="25"/>
        <v>0</v>
      </c>
      <c r="AJ11" s="91" cm="1">
        <f t="array" ref="AJ11">SUM([1]Hoja6!$H$6:$H$24*(AJ$5=[1]Hoja6!$E$6:$E$24)*($C11=[1]Hoja6!$J$6:$J$24))</f>
        <v>0</v>
      </c>
      <c r="AK11" s="91" cm="1">
        <f t="array" ref="AK11">SUM([1]Hoja6!$I$6:$I$24*(AJ$5=[1]Hoja6!$E$6:$E$24)*($C11=[1]Hoja6!$J$6:$J$24))</f>
        <v>0</v>
      </c>
      <c r="AL11" s="101">
        <f t="shared" si="26"/>
        <v>0</v>
      </c>
      <c r="AM11" s="91" cm="1">
        <f t="array" ref="AM11">SUM([1]Hoja6!$H$6:$H$24*(AM$5=[1]Hoja6!$E$6:$E$24)*($C11=[1]Hoja6!$J$6:$J$24))</f>
        <v>27</v>
      </c>
      <c r="AN11" s="91" cm="1">
        <f t="array" ref="AN11">SUM([1]Hoja6!$I$6:$I$24*(AM$5=[1]Hoja6!$E$6:$E$24)*($C11=[1]Hoja6!$J$6:$J$24))</f>
        <v>80610</v>
      </c>
      <c r="AO11" s="101">
        <f t="shared" si="27"/>
        <v>2985.5555555555557</v>
      </c>
      <c r="AP11" s="91" cm="1">
        <f t="array" ref="AP11">SUM([1]Hoja6!$H$6:$H$24*(AP$5=[1]Hoja6!$E$6:$E$24)*($C11=[1]Hoja6!$J$6:$J$24))</f>
        <v>0</v>
      </c>
      <c r="AQ11" s="91" cm="1">
        <f t="array" ref="AQ11">SUM([1]Hoja6!$I$6:$I$24*(AP$5=[1]Hoja6!$E$6:$E$24)*($C11=[1]Hoja6!$J$6:$J$24))</f>
        <v>0</v>
      </c>
      <c r="AR11" s="101">
        <f t="shared" si="28"/>
        <v>0</v>
      </c>
      <c r="AS11" s="91" cm="1">
        <f t="array" ref="AS11">SUM([1]Hoja6!$H$6:$H$24*(AS$5=[1]Hoja6!$E$6:$E$24)*($C11=[1]Hoja6!$J$6:$J$24))</f>
        <v>0</v>
      </c>
      <c r="AT11" s="91" cm="1">
        <f t="array" ref="AT11">SUM([1]Hoja6!$I$6:$I$24*(AS$5=[1]Hoja6!$E$6:$E$24)*($C11=[1]Hoja6!$J$6:$J$24))</f>
        <v>0</v>
      </c>
      <c r="AU11" s="101">
        <f t="shared" si="29"/>
        <v>0</v>
      </c>
      <c r="AV11" s="91" cm="1">
        <f t="array" ref="AV11">SUM([1]Hoja6!$H$6:$H$24*(AV$5=[1]Hoja6!$E$6:$E$24)*($C11=[1]Hoja6!$J$6:$J$24))</f>
        <v>27</v>
      </c>
      <c r="AW11" s="91" cm="1">
        <f t="array" ref="AW11">SUM([1]Hoja6!$I$6:$I$24*(AV$5=[1]Hoja6!$E$6:$E$24)*($C11=[1]Hoja6!$J$6:$J$24))</f>
        <v>81000</v>
      </c>
      <c r="AX11" s="101">
        <f t="shared" si="30"/>
        <v>3000</v>
      </c>
      <c r="AY11" s="91" cm="1">
        <f t="array" ref="AY11">SUM([1]Hoja6!$H$6:$H$24*(AY$5=[1]Hoja6!$E$6:$E$24)*($C11=[1]Hoja6!$J$6:$J$24))</f>
        <v>0</v>
      </c>
      <c r="AZ11" s="91" cm="1">
        <f t="array" ref="AZ11">SUM([1]Hoja6!$I$6:$I$24*(AY$5=[1]Hoja6!$E$6:$E$24)*($C11=[1]Hoja6!$J$6:$J$24))</f>
        <v>0</v>
      </c>
      <c r="BA11" s="101">
        <f t="shared" si="31"/>
        <v>0</v>
      </c>
      <c r="BB11" s="93">
        <f t="shared" si="7"/>
        <v>162</v>
      </c>
      <c r="BC11" s="94">
        <f t="shared" si="8"/>
        <v>437010</v>
      </c>
      <c r="BD11" s="95">
        <f t="shared" si="32"/>
        <v>2697.5925925925926</v>
      </c>
      <c r="BE11" s="94">
        <f t="shared" si="9"/>
        <v>-258642.5278694781</v>
      </c>
      <c r="BF11" s="95">
        <f t="shared" si="10"/>
        <v>-33670.080000000002</v>
      </c>
      <c r="BG11" s="94">
        <f t="shared" si="11"/>
        <v>-16301.340111793372</v>
      </c>
      <c r="BH11" s="95">
        <f t="shared" si="12"/>
        <v>-32045.672649041826</v>
      </c>
      <c r="BI11" s="94">
        <f t="shared" si="13"/>
        <v>-25617.027295253589</v>
      </c>
      <c r="BJ11" s="95">
        <f t="shared" si="14"/>
        <v>12555.396793760392</v>
      </c>
      <c r="BK11" s="94">
        <f t="shared" si="33"/>
        <v>108905.77616344712</v>
      </c>
      <c r="BL11" s="96">
        <f t="shared" si="34"/>
        <v>0.24920659976533061</v>
      </c>
      <c r="BM11" s="97">
        <f t="shared" si="15"/>
        <v>166568.47610774249</v>
      </c>
      <c r="BN11" s="98">
        <f t="shared" si="16"/>
        <v>0.3811548388085913</v>
      </c>
      <c r="BP11" s="99">
        <f t="shared" si="17"/>
        <v>2697.5925925925926</v>
      </c>
      <c r="BQ11" s="100">
        <f t="shared" si="18"/>
        <v>-1596.558814009124</v>
      </c>
      <c r="BR11" s="100">
        <f t="shared" si="18"/>
        <v>-207.84</v>
      </c>
      <c r="BS11" s="100">
        <f t="shared" si="18"/>
        <v>-100.62555624563809</v>
      </c>
      <c r="BT11" s="100">
        <f t="shared" si="18"/>
        <v>-197.81279412988781</v>
      </c>
      <c r="BU11" s="100">
        <f t="shared" si="18"/>
        <v>-158.12979811884932</v>
      </c>
      <c r="BV11" s="100">
        <f t="shared" si="18"/>
        <v>77.502449344199945</v>
      </c>
      <c r="BW11" s="100">
        <f t="shared" si="18"/>
        <v>672.25787755214276</v>
      </c>
      <c r="BX11" s="100">
        <f t="shared" si="19"/>
        <v>1028.2004698008795</v>
      </c>
    </row>
    <row r="12" spans="2:77" x14ac:dyDescent="0.3">
      <c r="B12" s="59">
        <v>10007567</v>
      </c>
      <c r="C12" s="63" t="s">
        <v>91</v>
      </c>
      <c r="D12" s="83">
        <f>TD!F9</f>
        <v>132.38</v>
      </c>
      <c r="E12" s="84">
        <f t="shared" si="0"/>
        <v>1540.1636690456849</v>
      </c>
      <c r="F12" s="60">
        <f>TD!G9</f>
        <v>203886.86650826776</v>
      </c>
      <c r="G12" s="60">
        <f>TD!H9</f>
        <v>27513.859199999999</v>
      </c>
      <c r="H12" s="60">
        <f>TD!I9</f>
        <v>4620.7418657294547</v>
      </c>
      <c r="I12" s="60">
        <f>TD!J9</f>
        <v>9083.5955945586738</v>
      </c>
      <c r="J12" s="60">
        <f>TD!K9</f>
        <v>7261.3459805722778</v>
      </c>
      <c r="K12" s="85">
        <v>0</v>
      </c>
      <c r="L12" s="86">
        <v>0</v>
      </c>
      <c r="M12" s="87">
        <f t="shared" si="20"/>
        <v>245105.06316855588</v>
      </c>
      <c r="N12" s="88">
        <f t="shared" si="35"/>
        <v>1851.5263874343245</v>
      </c>
      <c r="O12" s="88">
        <f t="shared" si="1"/>
        <v>228760.12159342493</v>
      </c>
      <c r="P12" s="88">
        <f t="shared" si="2"/>
        <v>1728.0565160403758</v>
      </c>
      <c r="Q12" s="89">
        <v>2800</v>
      </c>
      <c r="R12" s="89">
        <f t="shared" si="21"/>
        <v>370664</v>
      </c>
      <c r="S12" s="89">
        <f t="shared" si="3"/>
        <v>125558.93683144412</v>
      </c>
      <c r="T12" s="90">
        <f t="shared" si="4"/>
        <v>0.33874057591631268</v>
      </c>
      <c r="U12" s="89">
        <f t="shared" si="5"/>
        <v>141903.87840657507</v>
      </c>
      <c r="V12" s="90">
        <f t="shared" si="6"/>
        <v>0.38283695855700867</v>
      </c>
      <c r="X12" s="91" cm="1">
        <f t="array" ref="X12">SUM([1]Hoja6!$H$6:$H$24*(X$5=[1]Hoja6!$E$6:$E$24)*($C12=[1]Hoja6!$J$6:$J$24))</f>
        <v>0</v>
      </c>
      <c r="Y12" s="91" cm="1">
        <f t="array" ref="Y12">SUM([1]Hoja6!$I$6:$I$24*(X$5=[1]Hoja6!$E$6:$E$24)*($C12=[1]Hoja6!$J$6:$J$24))</f>
        <v>0</v>
      </c>
      <c r="Z12" s="101">
        <f t="shared" si="22"/>
        <v>0</v>
      </c>
      <c r="AA12" s="91" cm="1">
        <f t="array" ref="AA12">SUM([1]Hoja6!$H$6:$H$24*(AA$5=[1]Hoja6!$E$6:$E$24)*($C12=[1]Hoja6!$J$6:$J$24))</f>
        <v>26</v>
      </c>
      <c r="AB12" s="91" cm="1">
        <f t="array" ref="AB12">SUM([1]Hoja6!$I$6:$I$24*(AA$5=[1]Hoja6!$E$6:$E$24)*($C12=[1]Hoja6!$J$6:$J$24))</f>
        <v>74100</v>
      </c>
      <c r="AC12" s="101">
        <f t="shared" si="23"/>
        <v>2850</v>
      </c>
      <c r="AD12" s="91" cm="1">
        <f t="array" ref="AD12">SUM([1]Hoja6!$H$6:$H$24*(AD$5=[1]Hoja6!$E$6:$E$24)*($C12=[1]Hoja6!$J$6:$J$24))</f>
        <v>0</v>
      </c>
      <c r="AE12" s="91" cm="1">
        <f t="array" ref="AE12">SUM([1]Hoja6!$I$6:$I$24*(AD$5=[1]Hoja6!$E$6:$E$24)*($C12=[1]Hoja6!$J$6:$J$24))</f>
        <v>0</v>
      </c>
      <c r="AF12" s="101">
        <f t="shared" si="24"/>
        <v>0</v>
      </c>
      <c r="AG12" s="91" cm="1">
        <f t="array" ref="AG12">SUM([1]Hoja6!$H$6:$H$24*(AG$5=[1]Hoja6!$E$6:$E$24)*($C12=[1]Hoja6!$J$6:$J$24))</f>
        <v>26</v>
      </c>
      <c r="AH12" s="91" cm="1">
        <f t="array" ref="AH12">SUM([1]Hoja6!$I$6:$I$24*(AG$5=[1]Hoja6!$E$6:$E$24)*($C12=[1]Hoja6!$J$6:$J$24))</f>
        <v>70980</v>
      </c>
      <c r="AI12" s="101">
        <f t="shared" si="25"/>
        <v>2730</v>
      </c>
      <c r="AJ12" s="91" cm="1">
        <f t="array" ref="AJ12">SUM([1]Hoja6!$H$6:$H$24*(AJ$5=[1]Hoja6!$E$6:$E$24)*($C12=[1]Hoja6!$J$6:$J$24))</f>
        <v>0</v>
      </c>
      <c r="AK12" s="91" cm="1">
        <f t="array" ref="AK12">SUM([1]Hoja6!$I$6:$I$24*(AJ$5=[1]Hoja6!$E$6:$E$24)*($C12=[1]Hoja6!$J$6:$J$24))</f>
        <v>0</v>
      </c>
      <c r="AL12" s="101">
        <f t="shared" si="26"/>
        <v>0</v>
      </c>
      <c r="AM12" s="91" cm="1">
        <f t="array" ref="AM12">SUM([1]Hoja6!$H$6:$H$24*(AM$5=[1]Hoja6!$E$6:$E$24)*($C12=[1]Hoja6!$J$6:$J$24))</f>
        <v>0</v>
      </c>
      <c r="AN12" s="91" cm="1">
        <f t="array" ref="AN12">SUM([1]Hoja6!$I$6:$I$24*(AM$5=[1]Hoja6!$E$6:$E$24)*($C12=[1]Hoja6!$J$6:$J$24))</f>
        <v>0</v>
      </c>
      <c r="AO12" s="101">
        <f t="shared" si="27"/>
        <v>0</v>
      </c>
      <c r="AP12" s="91" cm="1">
        <f t="array" ref="AP12">SUM([1]Hoja6!$H$6:$H$24*(AP$5=[1]Hoja6!$E$6:$E$24)*($C12=[1]Hoja6!$J$6:$J$24))</f>
        <v>0</v>
      </c>
      <c r="AQ12" s="91" cm="1">
        <f t="array" ref="AQ12">SUM([1]Hoja6!$I$6:$I$24*(AP$5=[1]Hoja6!$E$6:$E$24)*($C12=[1]Hoja6!$J$6:$J$24))</f>
        <v>0</v>
      </c>
      <c r="AR12" s="101">
        <f t="shared" si="28"/>
        <v>0</v>
      </c>
      <c r="AS12" s="91" cm="1">
        <f t="array" ref="AS12">SUM([1]Hoja6!$H$6:$H$24*(AS$5=[1]Hoja6!$E$6:$E$24)*($C12=[1]Hoja6!$J$6:$J$24))</f>
        <v>27</v>
      </c>
      <c r="AT12" s="91" cm="1">
        <f t="array" ref="AT12">SUM([1]Hoja6!$I$6:$I$24*(AS$5=[1]Hoja6!$E$6:$E$24)*($C12=[1]Hoja6!$J$6:$J$24))</f>
        <v>69336</v>
      </c>
      <c r="AU12" s="101">
        <f t="shared" si="29"/>
        <v>2568</v>
      </c>
      <c r="AV12" s="91" cm="1">
        <f t="array" ref="AV12">SUM([1]Hoja6!$H$6:$H$24*(AV$5=[1]Hoja6!$E$6:$E$24)*($C12=[1]Hoja6!$J$6:$J$24))</f>
        <v>0</v>
      </c>
      <c r="AW12" s="91" cm="1">
        <f t="array" ref="AW12">SUM([1]Hoja6!$I$6:$I$24*(AV$5=[1]Hoja6!$E$6:$E$24)*($C12=[1]Hoja6!$J$6:$J$24))</f>
        <v>0</v>
      </c>
      <c r="AX12" s="101">
        <f t="shared" si="30"/>
        <v>0</v>
      </c>
      <c r="AY12" s="91" cm="1">
        <f t="array" ref="AY12">SUM([1]Hoja6!$H$6:$H$24*(AY$5=[1]Hoja6!$E$6:$E$24)*($C12=[1]Hoja6!$J$6:$J$24))</f>
        <v>0</v>
      </c>
      <c r="AZ12" s="91" cm="1">
        <f t="array" ref="AZ12">SUM([1]Hoja6!$I$6:$I$24*(AY$5=[1]Hoja6!$E$6:$E$24)*($C12=[1]Hoja6!$J$6:$J$24))</f>
        <v>0</v>
      </c>
      <c r="BA12" s="101">
        <f t="shared" si="31"/>
        <v>0</v>
      </c>
      <c r="BB12" s="93">
        <f t="shared" si="7"/>
        <v>79</v>
      </c>
      <c r="BC12" s="94">
        <f t="shared" si="8"/>
        <v>214416</v>
      </c>
      <c r="BD12" s="95">
        <f t="shared" si="32"/>
        <v>2714.1265822784812</v>
      </c>
      <c r="BE12" s="94">
        <f t="shared" si="9"/>
        <v>-121672.9298546091</v>
      </c>
      <c r="BF12" s="95">
        <f t="shared" si="10"/>
        <v>-16419.36</v>
      </c>
      <c r="BG12" s="94">
        <f t="shared" si="11"/>
        <v>-7949.4189434054097</v>
      </c>
      <c r="BH12" s="95">
        <f t="shared" si="12"/>
        <v>-15627.210736261137</v>
      </c>
      <c r="BI12" s="94">
        <f t="shared" si="13"/>
        <v>-12492.254051389096</v>
      </c>
      <c r="BJ12" s="95">
        <f t="shared" si="14"/>
        <v>6161.8790537473524</v>
      </c>
      <c r="BK12" s="94">
        <f t="shared" si="33"/>
        <v>58908.959519471682</v>
      </c>
      <c r="BL12" s="96">
        <f t="shared" si="34"/>
        <v>0.27474143496507575</v>
      </c>
      <c r="BM12" s="97">
        <f t="shared" si="15"/>
        <v>87028.424307121939</v>
      </c>
      <c r="BN12" s="98">
        <f t="shared" si="16"/>
        <v>0.40588586815872857</v>
      </c>
      <c r="BP12" s="99">
        <f t="shared" si="17"/>
        <v>2714.1265822784812</v>
      </c>
      <c r="BQ12" s="100">
        <f t="shared" si="18"/>
        <v>-1540.1636690456849</v>
      </c>
      <c r="BR12" s="100">
        <f t="shared" si="18"/>
        <v>-207.84</v>
      </c>
      <c r="BS12" s="100">
        <f t="shared" si="18"/>
        <v>-100.62555624563809</v>
      </c>
      <c r="BT12" s="100">
        <f t="shared" si="18"/>
        <v>-197.81279412988781</v>
      </c>
      <c r="BU12" s="100">
        <f t="shared" si="18"/>
        <v>-158.12979811884932</v>
      </c>
      <c r="BV12" s="100">
        <f t="shared" si="18"/>
        <v>77.998469034776619</v>
      </c>
      <c r="BW12" s="100">
        <f t="shared" si="18"/>
        <v>745.68303189204664</v>
      </c>
      <c r="BX12" s="100">
        <f t="shared" si="19"/>
        <v>1101.6256241407841</v>
      </c>
    </row>
    <row r="13" spans="2:77" x14ac:dyDescent="0.3">
      <c r="B13" s="59">
        <v>10007969</v>
      </c>
      <c r="C13" s="63" t="s">
        <v>12</v>
      </c>
      <c r="D13" s="83">
        <f>TD!F10</f>
        <v>19.34</v>
      </c>
      <c r="E13" s="84">
        <f t="shared" si="0"/>
        <v>1233.0367002592993</v>
      </c>
      <c r="F13" s="60">
        <f>TD!G10</f>
        <v>23846.92978301485</v>
      </c>
      <c r="G13" s="60">
        <f>TD!H10</f>
        <v>4019.6255999999998</v>
      </c>
      <c r="H13" s="60">
        <f>TD!I10</f>
        <v>675.06532469563115</v>
      </c>
      <c r="I13" s="60">
        <f>TD!J10</f>
        <v>1327.0640489406615</v>
      </c>
      <c r="J13" s="60">
        <f>TD!K10</f>
        <v>1060.8432638183099</v>
      </c>
      <c r="K13" s="85">
        <v>0</v>
      </c>
      <c r="L13" s="86">
        <v>0</v>
      </c>
      <c r="M13" s="87">
        <f t="shared" si="20"/>
        <v>29868.684756651142</v>
      </c>
      <c r="N13" s="88">
        <f t="shared" si="35"/>
        <v>1544.3994186479392</v>
      </c>
      <c r="O13" s="88">
        <f t="shared" si="1"/>
        <v>27480.77744389217</v>
      </c>
      <c r="P13" s="88">
        <f t="shared" si="2"/>
        <v>1420.9295472539902</v>
      </c>
      <c r="Q13" s="89">
        <v>1700</v>
      </c>
      <c r="R13" s="89">
        <f t="shared" si="21"/>
        <v>32878</v>
      </c>
      <c r="S13" s="89">
        <f t="shared" si="3"/>
        <v>3009.3152433488576</v>
      </c>
      <c r="T13" s="90">
        <f t="shared" si="4"/>
        <v>9.1529753736506403E-2</v>
      </c>
      <c r="U13" s="89">
        <f t="shared" si="5"/>
        <v>5397.2225561078303</v>
      </c>
      <c r="V13" s="90">
        <f t="shared" si="6"/>
        <v>0.16415908985059402</v>
      </c>
      <c r="X13" s="91" cm="1">
        <f t="array" ref="X13">SUM([1]Hoja6!$H$6:$H$24*(X$5=[1]Hoja6!$E$6:$E$24)*($C13=[1]Hoja6!$J$6:$J$24))</f>
        <v>0</v>
      </c>
      <c r="Y13" s="91" cm="1">
        <f t="array" ref="Y13">SUM([1]Hoja6!$I$6:$I$24*(X$5=[1]Hoja6!$E$6:$E$24)*($C13=[1]Hoja6!$J$6:$J$24))</f>
        <v>0</v>
      </c>
      <c r="Z13" s="101">
        <f t="shared" si="22"/>
        <v>0</v>
      </c>
      <c r="AA13" s="91" cm="1">
        <f t="array" ref="AA13">SUM([1]Hoja6!$H$6:$H$24*(AA$5=[1]Hoja6!$E$6:$E$24)*($C13=[1]Hoja6!$J$6:$J$24))</f>
        <v>0</v>
      </c>
      <c r="AB13" s="91" cm="1">
        <f t="array" ref="AB13">SUM([1]Hoja6!$I$6:$I$24*(AA$5=[1]Hoja6!$E$6:$E$24)*($C13=[1]Hoja6!$J$6:$J$24))</f>
        <v>0</v>
      </c>
      <c r="AC13" s="101">
        <f t="shared" si="23"/>
        <v>0</v>
      </c>
      <c r="AD13" s="91" cm="1">
        <f t="array" ref="AD13">SUM([1]Hoja6!$H$6:$H$24*(AD$5=[1]Hoja6!$E$6:$E$24)*($C13=[1]Hoja6!$J$6:$J$24))</f>
        <v>54</v>
      </c>
      <c r="AE13" s="91" cm="1">
        <f t="array" ref="AE13">SUM([1]Hoja6!$I$6:$I$24*(AD$5=[1]Hoja6!$E$6:$E$24)*($C13=[1]Hoja6!$J$6:$J$24))</f>
        <v>86400</v>
      </c>
      <c r="AF13" s="101">
        <f t="shared" si="24"/>
        <v>1600</v>
      </c>
      <c r="AG13" s="91" cm="1">
        <f t="array" ref="AG13">SUM([1]Hoja6!$H$6:$H$24*(AG$5=[1]Hoja6!$E$6:$E$24)*($C13=[1]Hoja6!$J$6:$J$24))</f>
        <v>0</v>
      </c>
      <c r="AH13" s="91" cm="1">
        <f t="array" ref="AH13">SUM([1]Hoja6!$I$6:$I$24*(AG$5=[1]Hoja6!$E$6:$E$24)*($C13=[1]Hoja6!$J$6:$J$24))</f>
        <v>0</v>
      </c>
      <c r="AI13" s="101">
        <f t="shared" si="25"/>
        <v>0</v>
      </c>
      <c r="AJ13" s="91" cm="1">
        <f t="array" ref="AJ13">SUM([1]Hoja6!$H$6:$H$24*(AJ$5=[1]Hoja6!$E$6:$E$24)*($C13=[1]Hoja6!$J$6:$J$24))</f>
        <v>0</v>
      </c>
      <c r="AK13" s="91" cm="1">
        <f t="array" ref="AK13">SUM([1]Hoja6!$I$6:$I$24*(AJ$5=[1]Hoja6!$E$6:$E$24)*($C13=[1]Hoja6!$J$6:$J$24))</f>
        <v>0</v>
      </c>
      <c r="AL13" s="101">
        <f t="shared" si="26"/>
        <v>0</v>
      </c>
      <c r="AM13" s="91" cm="1">
        <f t="array" ref="AM13">SUM([1]Hoja6!$H$6:$H$24*(AM$5=[1]Hoja6!$E$6:$E$24)*($C13=[1]Hoja6!$J$6:$J$24))</f>
        <v>0</v>
      </c>
      <c r="AN13" s="91" cm="1">
        <f t="array" ref="AN13">SUM([1]Hoja6!$I$6:$I$24*(AM$5=[1]Hoja6!$E$6:$E$24)*($C13=[1]Hoja6!$J$6:$J$24))</f>
        <v>0</v>
      </c>
      <c r="AO13" s="101">
        <f t="shared" si="27"/>
        <v>0</v>
      </c>
      <c r="AP13" s="91" cm="1">
        <f t="array" ref="AP13">SUM([1]Hoja6!$H$6:$H$24*(AP$5=[1]Hoja6!$E$6:$E$24)*($C13=[1]Hoja6!$J$6:$J$24))</f>
        <v>0</v>
      </c>
      <c r="AQ13" s="91" cm="1">
        <f t="array" ref="AQ13">SUM([1]Hoja6!$I$6:$I$24*(AP$5=[1]Hoja6!$E$6:$E$24)*($C13=[1]Hoja6!$J$6:$J$24))</f>
        <v>0</v>
      </c>
      <c r="AR13" s="101">
        <f t="shared" si="28"/>
        <v>0</v>
      </c>
      <c r="AS13" s="91" cm="1">
        <f t="array" ref="AS13">SUM([1]Hoja6!$H$6:$H$24*(AS$5=[1]Hoja6!$E$6:$E$24)*($C13=[1]Hoja6!$J$6:$J$24))</f>
        <v>0</v>
      </c>
      <c r="AT13" s="91" cm="1">
        <f t="array" ref="AT13">SUM([1]Hoja6!$I$6:$I$24*(AS$5=[1]Hoja6!$E$6:$E$24)*($C13=[1]Hoja6!$J$6:$J$24))</f>
        <v>0</v>
      </c>
      <c r="AU13" s="101">
        <f t="shared" si="29"/>
        <v>0</v>
      </c>
      <c r="AV13" s="91" cm="1">
        <f t="array" ref="AV13">SUM([1]Hoja6!$H$6:$H$24*(AV$5=[1]Hoja6!$E$6:$E$24)*($C13=[1]Hoja6!$J$6:$J$24))</f>
        <v>0</v>
      </c>
      <c r="AW13" s="91" cm="1">
        <f t="array" ref="AW13">SUM([1]Hoja6!$I$6:$I$24*(AV$5=[1]Hoja6!$E$6:$E$24)*($C13=[1]Hoja6!$J$6:$J$24))</f>
        <v>0</v>
      </c>
      <c r="AX13" s="101">
        <f t="shared" si="30"/>
        <v>0</v>
      </c>
      <c r="AY13" s="91" cm="1">
        <f t="array" ref="AY13">SUM([1]Hoja6!$H$6:$H$24*(AY$5=[1]Hoja6!$E$6:$E$24)*($C13=[1]Hoja6!$J$6:$J$24))</f>
        <v>0</v>
      </c>
      <c r="AZ13" s="91" cm="1">
        <f t="array" ref="AZ13">SUM([1]Hoja6!$I$6:$I$24*(AY$5=[1]Hoja6!$E$6:$E$24)*($C13=[1]Hoja6!$J$6:$J$24))</f>
        <v>0</v>
      </c>
      <c r="BA13" s="101">
        <f t="shared" si="31"/>
        <v>0</v>
      </c>
      <c r="BB13" s="93">
        <f t="shared" si="7"/>
        <v>54</v>
      </c>
      <c r="BC13" s="94">
        <f t="shared" si="8"/>
        <v>86400</v>
      </c>
      <c r="BD13" s="95">
        <f t="shared" si="32"/>
        <v>1600</v>
      </c>
      <c r="BE13" s="94">
        <f t="shared" si="9"/>
        <v>-66583.981814002167</v>
      </c>
      <c r="BF13" s="95">
        <f t="shared" si="10"/>
        <v>-11223.36</v>
      </c>
      <c r="BG13" s="94">
        <f t="shared" si="11"/>
        <v>-5433.780037264457</v>
      </c>
      <c r="BH13" s="95">
        <f t="shared" si="12"/>
        <v>-10681.890883013941</v>
      </c>
      <c r="BI13" s="94">
        <f t="shared" si="13"/>
        <v>-8539.0090984178642</v>
      </c>
      <c r="BJ13" s="95">
        <f t="shared" si="14"/>
        <v>2407.0322645867977</v>
      </c>
      <c r="BK13" s="94">
        <f t="shared" si="33"/>
        <v>-5115.9804696937645</v>
      </c>
      <c r="BL13" s="96">
        <f t="shared" si="34"/>
        <v>-5.9212736917751904E-2</v>
      </c>
      <c r="BM13" s="97">
        <f t="shared" si="15"/>
        <v>14104.919511738037</v>
      </c>
      <c r="BN13" s="98">
        <f t="shared" si="16"/>
        <v>0.16325138323770877</v>
      </c>
      <c r="BP13" s="99">
        <f t="shared" si="17"/>
        <v>1600</v>
      </c>
      <c r="BQ13" s="100">
        <f t="shared" si="18"/>
        <v>-1233.0367002592993</v>
      </c>
      <c r="BR13" s="100">
        <f t="shared" si="18"/>
        <v>-207.84</v>
      </c>
      <c r="BS13" s="100">
        <f t="shared" si="18"/>
        <v>-100.62555624563809</v>
      </c>
      <c r="BT13" s="100">
        <f t="shared" si="18"/>
        <v>-197.81279412988781</v>
      </c>
      <c r="BU13" s="100">
        <f t="shared" si="18"/>
        <v>-158.12979811884932</v>
      </c>
      <c r="BV13" s="100">
        <f t="shared" si="18"/>
        <v>44.574671566422182</v>
      </c>
      <c r="BW13" s="100">
        <f t="shared" si="18"/>
        <v>-94.740379068403044</v>
      </c>
      <c r="BX13" s="100">
        <f t="shared" si="19"/>
        <v>261.20221318033401</v>
      </c>
    </row>
    <row r="14" spans="2:77" x14ac:dyDescent="0.3">
      <c r="B14" s="59">
        <v>10009239</v>
      </c>
      <c r="C14" s="63" t="s">
        <v>92</v>
      </c>
      <c r="D14" s="83">
        <f>TD!F11</f>
        <v>102.89999999999999</v>
      </c>
      <c r="E14" s="84">
        <f t="shared" si="0"/>
        <v>3085.0611236899645</v>
      </c>
      <c r="F14" s="60">
        <f>TD!G11</f>
        <v>317452.78962769732</v>
      </c>
      <c r="G14" s="60">
        <f>TD!H11</f>
        <v>21386.736000000001</v>
      </c>
      <c r="H14" s="60">
        <f>TD!I11</f>
        <v>3591.7384649007472</v>
      </c>
      <c r="I14" s="60">
        <f>TD!J11</f>
        <v>7060.749257290282</v>
      </c>
      <c r="J14" s="60">
        <f>TD!K11</f>
        <v>5644.3005091470568</v>
      </c>
      <c r="K14" s="85">
        <v>0</v>
      </c>
      <c r="L14" s="86">
        <v>0</v>
      </c>
      <c r="M14" s="87">
        <f t="shared" si="20"/>
        <v>349492.01334988832</v>
      </c>
      <c r="N14" s="88">
        <f t="shared" si="35"/>
        <v>3396.4238420786041</v>
      </c>
      <c r="O14" s="88">
        <f t="shared" si="1"/>
        <v>336786.963583451</v>
      </c>
      <c r="P14" s="88">
        <f t="shared" si="2"/>
        <v>3272.9539706846554</v>
      </c>
      <c r="Q14" s="89">
        <v>3500</v>
      </c>
      <c r="R14" s="89">
        <f t="shared" si="21"/>
        <v>360149.99999999994</v>
      </c>
      <c r="S14" s="89">
        <f t="shared" si="3"/>
        <v>10657.986650111619</v>
      </c>
      <c r="T14" s="90">
        <f t="shared" si="4"/>
        <v>2.9593187977541638E-2</v>
      </c>
      <c r="U14" s="89">
        <f t="shared" si="5"/>
        <v>23363.036416548945</v>
      </c>
      <c r="V14" s="90">
        <f t="shared" si="6"/>
        <v>6.4870294090098424E-2</v>
      </c>
      <c r="X14" s="91" cm="1">
        <f t="array" ref="X14">SUM([1]Hoja6!$H$6:$H$24*(X$5=[1]Hoja6!$E$6:$E$24)*($C14=[1]Hoja6!$J$6:$J$24))</f>
        <v>0</v>
      </c>
      <c r="Y14" s="91" cm="1">
        <f t="array" ref="Y14">SUM([1]Hoja6!$I$6:$I$24*(X$5=[1]Hoja6!$E$6:$E$24)*($C14=[1]Hoja6!$J$6:$J$24))</f>
        <v>0</v>
      </c>
      <c r="Z14" s="101">
        <f t="shared" si="22"/>
        <v>0</v>
      </c>
      <c r="AA14" s="91" cm="1">
        <f t="array" ref="AA14">SUM([1]Hoja6!$H$6:$H$24*(AA$5=[1]Hoja6!$E$6:$E$24)*($C14=[1]Hoja6!$J$6:$J$24))</f>
        <v>0</v>
      </c>
      <c r="AB14" s="91" cm="1">
        <f t="array" ref="AB14">SUM([1]Hoja6!$I$6:$I$24*(AA$5=[1]Hoja6!$E$6:$E$24)*($C14=[1]Hoja6!$J$6:$J$24))</f>
        <v>0</v>
      </c>
      <c r="AC14" s="101">
        <f t="shared" si="23"/>
        <v>0</v>
      </c>
      <c r="AD14" s="91" cm="1">
        <f t="array" ref="AD14">SUM([1]Hoja6!$H$6:$H$24*(AD$5=[1]Hoja6!$E$6:$E$24)*($C14=[1]Hoja6!$J$6:$J$24))</f>
        <v>0</v>
      </c>
      <c r="AE14" s="91" cm="1">
        <f t="array" ref="AE14">SUM([1]Hoja6!$I$6:$I$24*(AD$5=[1]Hoja6!$E$6:$E$24)*($C14=[1]Hoja6!$J$6:$J$24))</f>
        <v>0</v>
      </c>
      <c r="AF14" s="101">
        <f t="shared" si="24"/>
        <v>0</v>
      </c>
      <c r="AG14" s="91" cm="1">
        <f t="array" ref="AG14">SUM([1]Hoja6!$H$6:$H$24*(AG$5=[1]Hoja6!$E$6:$E$24)*($C14=[1]Hoja6!$J$6:$J$24))</f>
        <v>0</v>
      </c>
      <c r="AH14" s="91" cm="1">
        <f t="array" ref="AH14">SUM([1]Hoja6!$I$6:$I$24*(AG$5=[1]Hoja6!$E$6:$E$24)*($C14=[1]Hoja6!$J$6:$J$24))</f>
        <v>0</v>
      </c>
      <c r="AI14" s="101">
        <f t="shared" si="25"/>
        <v>0</v>
      </c>
      <c r="AJ14" s="91" cm="1">
        <f t="array" ref="AJ14">SUM([1]Hoja6!$H$6:$H$24*(AJ$5=[1]Hoja6!$E$6:$E$24)*($C14=[1]Hoja6!$J$6:$J$24))</f>
        <v>0</v>
      </c>
      <c r="AK14" s="91" cm="1">
        <f t="array" ref="AK14">SUM([1]Hoja6!$I$6:$I$24*(AJ$5=[1]Hoja6!$E$6:$E$24)*($C14=[1]Hoja6!$J$6:$J$24))</f>
        <v>0</v>
      </c>
      <c r="AL14" s="101">
        <f t="shared" si="26"/>
        <v>0</v>
      </c>
      <c r="AM14" s="91" cm="1">
        <f t="array" ref="AM14">SUM([1]Hoja6!$H$6:$H$24*(AM$5=[1]Hoja6!$E$6:$E$24)*($C14=[1]Hoja6!$J$6:$J$24))</f>
        <v>0</v>
      </c>
      <c r="AN14" s="91" cm="1">
        <f t="array" ref="AN14">SUM([1]Hoja6!$I$6:$I$24*(AM$5=[1]Hoja6!$E$6:$E$24)*($C14=[1]Hoja6!$J$6:$J$24))</f>
        <v>0</v>
      </c>
      <c r="AO14" s="101">
        <f t="shared" si="27"/>
        <v>0</v>
      </c>
      <c r="AP14" s="91" cm="1">
        <f t="array" ref="AP14">SUM([1]Hoja6!$H$6:$H$24*(AP$5=[1]Hoja6!$E$6:$E$24)*($C14=[1]Hoja6!$J$6:$J$24))</f>
        <v>0</v>
      </c>
      <c r="AQ14" s="91" cm="1">
        <f t="array" ref="AQ14">SUM([1]Hoja6!$I$6:$I$24*(AP$5=[1]Hoja6!$E$6:$E$24)*($C14=[1]Hoja6!$J$6:$J$24))</f>
        <v>0</v>
      </c>
      <c r="AR14" s="101">
        <f t="shared" si="28"/>
        <v>0</v>
      </c>
      <c r="AS14" s="91" cm="1">
        <f t="array" ref="AS14">SUM([1]Hoja6!$H$6:$H$24*(AS$5=[1]Hoja6!$E$6:$E$24)*($C14=[1]Hoja6!$J$6:$J$24))</f>
        <v>0</v>
      </c>
      <c r="AT14" s="91" cm="1">
        <f t="array" ref="AT14">SUM([1]Hoja6!$I$6:$I$24*(AS$5=[1]Hoja6!$E$6:$E$24)*($C14=[1]Hoja6!$J$6:$J$24))</f>
        <v>0</v>
      </c>
      <c r="AU14" s="101">
        <f t="shared" si="29"/>
        <v>0</v>
      </c>
      <c r="AV14" s="91" cm="1">
        <f t="array" ref="AV14">SUM([1]Hoja6!$H$6:$H$24*(AV$5=[1]Hoja6!$E$6:$E$24)*($C14=[1]Hoja6!$J$6:$J$24))</f>
        <v>0</v>
      </c>
      <c r="AW14" s="91" cm="1">
        <f t="array" ref="AW14">SUM([1]Hoja6!$I$6:$I$24*(AV$5=[1]Hoja6!$E$6:$E$24)*($C14=[1]Hoja6!$J$6:$J$24))</f>
        <v>0</v>
      </c>
      <c r="AX14" s="101">
        <f t="shared" si="30"/>
        <v>0</v>
      </c>
      <c r="AY14" s="91" cm="1">
        <f t="array" ref="AY14">SUM([1]Hoja6!$H$6:$H$24*(AY$5=[1]Hoja6!$E$6:$E$24)*($C14=[1]Hoja6!$J$6:$J$24))</f>
        <v>0</v>
      </c>
      <c r="AZ14" s="91" cm="1">
        <f t="array" ref="AZ14">SUM([1]Hoja6!$I$6:$I$24*(AY$5=[1]Hoja6!$E$6:$E$24)*($C14=[1]Hoja6!$J$6:$J$24))</f>
        <v>0</v>
      </c>
      <c r="BA14" s="101">
        <f t="shared" si="31"/>
        <v>0</v>
      </c>
      <c r="BB14" s="93">
        <f t="shared" si="7"/>
        <v>0</v>
      </c>
      <c r="BC14" s="94">
        <f t="shared" si="8"/>
        <v>0</v>
      </c>
      <c r="BD14" s="95">
        <f t="shared" si="32"/>
        <v>0</v>
      </c>
      <c r="BE14" s="94">
        <f>-BB14*'[2]Stock Libre'!H36*1000</f>
        <v>0</v>
      </c>
      <c r="BF14" s="95">
        <f t="shared" si="10"/>
        <v>0</v>
      </c>
      <c r="BG14" s="94">
        <f t="shared" si="11"/>
        <v>0</v>
      </c>
      <c r="BH14" s="95">
        <f t="shared" si="12"/>
        <v>0</v>
      </c>
      <c r="BI14" s="94">
        <f t="shared" si="13"/>
        <v>0</v>
      </c>
      <c r="BJ14" s="95">
        <f t="shared" si="14"/>
        <v>0</v>
      </c>
      <c r="BK14" s="94">
        <f t="shared" si="33"/>
        <v>0</v>
      </c>
      <c r="BL14" s="96">
        <f t="shared" si="34"/>
        <v>0</v>
      </c>
      <c r="BM14" s="97">
        <f t="shared" si="15"/>
        <v>0</v>
      </c>
      <c r="BN14" s="98">
        <f t="shared" si="16"/>
        <v>0</v>
      </c>
      <c r="BP14" s="99">
        <f t="shared" si="17"/>
        <v>0</v>
      </c>
      <c r="BQ14" s="100">
        <f t="shared" si="18"/>
        <v>0</v>
      </c>
      <c r="BR14" s="100">
        <f t="shared" si="18"/>
        <v>0</v>
      </c>
      <c r="BS14" s="100">
        <f t="shared" si="18"/>
        <v>0</v>
      </c>
      <c r="BT14" s="100">
        <f t="shared" si="18"/>
        <v>0</v>
      </c>
      <c r="BU14" s="100">
        <f t="shared" si="18"/>
        <v>0</v>
      </c>
      <c r="BV14" s="100">
        <f t="shared" si="18"/>
        <v>0</v>
      </c>
      <c r="BW14" s="100">
        <f t="shared" si="18"/>
        <v>0</v>
      </c>
      <c r="BX14" s="100">
        <f t="shared" si="19"/>
        <v>0</v>
      </c>
    </row>
    <row r="15" spans="2:77" x14ac:dyDescent="0.3">
      <c r="B15" s="59">
        <v>10009334</v>
      </c>
      <c r="C15" s="63" t="s">
        <v>93</v>
      </c>
      <c r="D15" s="83">
        <f>TD!F12</f>
        <v>19.036000000000001</v>
      </c>
      <c r="E15" s="84">
        <f t="shared" si="0"/>
        <v>2649.6026057914578</v>
      </c>
      <c r="F15" s="60">
        <f>TD!G12</f>
        <v>50437.835203846196</v>
      </c>
      <c r="G15" s="60">
        <f>TD!H12</f>
        <v>3956.4422399999999</v>
      </c>
      <c r="H15" s="60">
        <f>TD!I12</f>
        <v>664.45416343878151</v>
      </c>
      <c r="I15" s="60">
        <f>TD!J12</f>
        <v>1306.2043038073646</v>
      </c>
      <c r="J15" s="60">
        <f>TD!K12</f>
        <v>1044.1681680478462</v>
      </c>
      <c r="K15" s="85">
        <v>0</v>
      </c>
      <c r="L15" s="86">
        <v>0</v>
      </c>
      <c r="M15" s="87">
        <f t="shared" si="20"/>
        <v>56364.93591109234</v>
      </c>
      <c r="N15" s="88">
        <f>IFERROR(M15/D15,0)</f>
        <v>2960.9653241800975</v>
      </c>
      <c r="O15" s="88">
        <f t="shared" si="1"/>
        <v>54014.563439237128</v>
      </c>
      <c r="P15" s="88">
        <f t="shared" si="2"/>
        <v>2837.4954527861487</v>
      </c>
      <c r="Q15" s="89">
        <v>3500</v>
      </c>
      <c r="R15" s="89">
        <f>Q15*D15</f>
        <v>66626</v>
      </c>
      <c r="S15" s="89">
        <f t="shared" si="3"/>
        <v>10261.06408890766</v>
      </c>
      <c r="T15" s="90">
        <f t="shared" si="4"/>
        <v>0.15400990737711495</v>
      </c>
      <c r="U15" s="89">
        <f t="shared" si="5"/>
        <v>12611.436560762872</v>
      </c>
      <c r="V15" s="90">
        <f t="shared" si="6"/>
        <v>0.18928701348967178</v>
      </c>
      <c r="X15" s="91" cm="1">
        <f t="array" ref="X15">SUM([1]Hoja6!$H$6:$H$24*(X$5=[1]Hoja6!$E$6:$E$24)*($C15=[1]Hoja6!$J$6:$J$24))</f>
        <v>0</v>
      </c>
      <c r="Y15" s="91" cm="1">
        <f t="array" ref="Y15">SUM([1]Hoja6!$I$6:$I$24*(X$5=[1]Hoja6!$E$6:$E$24)*($C15=[1]Hoja6!$J$6:$J$24))</f>
        <v>0</v>
      </c>
      <c r="Z15" s="101">
        <f t="shared" si="22"/>
        <v>0</v>
      </c>
      <c r="AA15" s="91" cm="1">
        <f t="array" ref="AA15">SUM([1]Hoja6!$H$6:$H$24*(AA$5=[1]Hoja6!$E$6:$E$24)*($C15=[1]Hoja6!$J$6:$J$24))</f>
        <v>0</v>
      </c>
      <c r="AB15" s="91" cm="1">
        <f t="array" ref="AB15">SUM([1]Hoja6!$I$6:$I$24*(AA$5=[1]Hoja6!$E$6:$E$24)*($C15=[1]Hoja6!$J$6:$J$24))</f>
        <v>0</v>
      </c>
      <c r="AC15" s="101">
        <f t="shared" si="23"/>
        <v>0</v>
      </c>
      <c r="AD15" s="91" cm="1">
        <f t="array" ref="AD15">SUM([1]Hoja6!$H$6:$H$24*(AD$5=[1]Hoja6!$E$6:$E$24)*($C15=[1]Hoja6!$J$6:$J$24))</f>
        <v>0</v>
      </c>
      <c r="AE15" s="91" cm="1">
        <f t="array" ref="AE15">SUM([1]Hoja6!$I$6:$I$24*(AD$5=[1]Hoja6!$E$6:$E$24)*($C15=[1]Hoja6!$J$6:$J$24))</f>
        <v>0</v>
      </c>
      <c r="AF15" s="101">
        <f t="shared" si="24"/>
        <v>0</v>
      </c>
      <c r="AG15" s="91" cm="1">
        <f t="array" ref="AG15">SUM([1]Hoja6!$H$6:$H$24*(AG$5=[1]Hoja6!$E$6:$E$24)*($C15=[1]Hoja6!$J$6:$J$24))</f>
        <v>0</v>
      </c>
      <c r="AH15" s="91" cm="1">
        <f t="array" ref="AH15">SUM([1]Hoja6!$I$6:$I$24*(AG$5=[1]Hoja6!$E$6:$E$24)*($C15=[1]Hoja6!$J$6:$J$24))</f>
        <v>0</v>
      </c>
      <c r="AI15" s="101">
        <f t="shared" si="25"/>
        <v>0</v>
      </c>
      <c r="AJ15" s="91" cm="1">
        <f t="array" ref="AJ15">SUM([1]Hoja6!$H$6:$H$24*(AJ$5=[1]Hoja6!$E$6:$E$24)*($C15=[1]Hoja6!$J$6:$J$24))</f>
        <v>0</v>
      </c>
      <c r="AK15" s="91" cm="1">
        <f t="array" ref="AK15">SUM([1]Hoja6!$I$6:$I$24*(AJ$5=[1]Hoja6!$E$6:$E$24)*($C15=[1]Hoja6!$J$6:$J$24))</f>
        <v>0</v>
      </c>
      <c r="AL15" s="101">
        <f t="shared" si="26"/>
        <v>0</v>
      </c>
      <c r="AM15" s="91" cm="1">
        <f t="array" ref="AM15">SUM([1]Hoja6!$H$6:$H$24*(AM$5=[1]Hoja6!$E$6:$E$24)*($C15=[1]Hoja6!$J$6:$J$24))</f>
        <v>0</v>
      </c>
      <c r="AN15" s="91" cm="1">
        <f t="array" ref="AN15">SUM([1]Hoja6!$I$6:$I$24*(AM$5=[1]Hoja6!$E$6:$E$24)*($C15=[1]Hoja6!$J$6:$J$24))</f>
        <v>0</v>
      </c>
      <c r="AO15" s="101">
        <f t="shared" si="27"/>
        <v>0</v>
      </c>
      <c r="AP15" s="91" cm="1">
        <f t="array" ref="AP15">SUM([1]Hoja6!$H$6:$H$24*(AP$5=[1]Hoja6!$E$6:$E$24)*($C15=[1]Hoja6!$J$6:$J$24))</f>
        <v>0</v>
      </c>
      <c r="AQ15" s="91" cm="1">
        <f t="array" ref="AQ15">SUM([1]Hoja6!$I$6:$I$24*(AP$5=[1]Hoja6!$E$6:$E$24)*($C15=[1]Hoja6!$J$6:$J$24))</f>
        <v>0</v>
      </c>
      <c r="AR15" s="101">
        <f t="shared" si="28"/>
        <v>0</v>
      </c>
      <c r="AS15" s="91" cm="1">
        <f t="array" ref="AS15">SUM([1]Hoja6!$H$6:$H$24*(AS$5=[1]Hoja6!$E$6:$E$24)*($C15=[1]Hoja6!$J$6:$J$24))</f>
        <v>0</v>
      </c>
      <c r="AT15" s="91" cm="1">
        <f t="array" ref="AT15">SUM([1]Hoja6!$I$6:$I$24*(AS$5=[1]Hoja6!$E$6:$E$24)*($C15=[1]Hoja6!$J$6:$J$24))</f>
        <v>0</v>
      </c>
      <c r="AU15" s="101">
        <f t="shared" si="29"/>
        <v>0</v>
      </c>
      <c r="AV15" s="91" cm="1">
        <f t="array" ref="AV15">SUM([1]Hoja6!$H$6:$H$24*(AV$5=[1]Hoja6!$E$6:$E$24)*($C15=[1]Hoja6!$J$6:$J$24))</f>
        <v>0</v>
      </c>
      <c r="AW15" s="91" cm="1">
        <f t="array" ref="AW15">SUM([1]Hoja6!$I$6:$I$24*(AV$5=[1]Hoja6!$E$6:$E$24)*($C15=[1]Hoja6!$J$6:$J$24))</f>
        <v>0</v>
      </c>
      <c r="AX15" s="101">
        <f t="shared" si="30"/>
        <v>0</v>
      </c>
      <c r="AY15" s="91" cm="1">
        <f t="array" ref="AY15">SUM([1]Hoja6!$H$6:$H$24*(AY$5=[1]Hoja6!$E$6:$E$24)*($C15=[1]Hoja6!$J$6:$J$24))</f>
        <v>0</v>
      </c>
      <c r="AZ15" s="91" cm="1">
        <f t="array" ref="AZ15">SUM([1]Hoja6!$I$6:$I$24*(AY$5=[1]Hoja6!$E$6:$E$24)*($C15=[1]Hoja6!$J$6:$J$24))</f>
        <v>0</v>
      </c>
      <c r="BA15" s="101">
        <f t="shared" si="31"/>
        <v>0</v>
      </c>
      <c r="BB15" s="93">
        <f t="shared" si="7"/>
        <v>0</v>
      </c>
      <c r="BC15" s="94">
        <f t="shared" si="8"/>
        <v>0</v>
      </c>
      <c r="BD15" s="95">
        <f t="shared" si="32"/>
        <v>0</v>
      </c>
      <c r="BE15" s="94">
        <f>-BB15*'[3]Stock Libre'!H47*1000</f>
        <v>0</v>
      </c>
      <c r="BF15" s="95">
        <f t="shared" si="10"/>
        <v>0</v>
      </c>
      <c r="BG15" s="94">
        <f t="shared" si="11"/>
        <v>0</v>
      </c>
      <c r="BH15" s="95">
        <f t="shared" si="12"/>
        <v>0</v>
      </c>
      <c r="BI15" s="94">
        <f t="shared" si="13"/>
        <v>0</v>
      </c>
      <c r="BJ15" s="95">
        <f t="shared" si="14"/>
        <v>0</v>
      </c>
      <c r="BK15" s="94">
        <f t="shared" si="33"/>
        <v>0</v>
      </c>
      <c r="BL15" s="96">
        <f t="shared" si="34"/>
        <v>0</v>
      </c>
      <c r="BM15" s="97">
        <f t="shared" si="15"/>
        <v>0</v>
      </c>
      <c r="BN15" s="98">
        <f t="shared" si="16"/>
        <v>0</v>
      </c>
      <c r="BP15" s="99">
        <f t="shared" si="17"/>
        <v>0</v>
      </c>
      <c r="BQ15" s="100">
        <f t="shared" si="18"/>
        <v>0</v>
      </c>
      <c r="BR15" s="100">
        <f t="shared" si="18"/>
        <v>0</v>
      </c>
      <c r="BS15" s="100">
        <f t="shared" si="18"/>
        <v>0</v>
      </c>
      <c r="BT15" s="100">
        <f t="shared" si="18"/>
        <v>0</v>
      </c>
      <c r="BU15" s="100">
        <f t="shared" si="18"/>
        <v>0</v>
      </c>
      <c r="BV15" s="100">
        <f t="shared" si="18"/>
        <v>0</v>
      </c>
      <c r="BW15" s="100">
        <f t="shared" si="18"/>
        <v>0</v>
      </c>
      <c r="BX15" s="100">
        <f t="shared" si="19"/>
        <v>0</v>
      </c>
    </row>
    <row r="16" spans="2:77" x14ac:dyDescent="0.3">
      <c r="B16" s="59">
        <v>10009386</v>
      </c>
      <c r="C16" s="63" t="s">
        <v>94</v>
      </c>
      <c r="D16" s="83">
        <f>TD!F13</f>
        <v>21.32</v>
      </c>
      <c r="E16" s="84">
        <f t="shared" si="0"/>
        <v>1597.990253542572</v>
      </c>
      <c r="F16" s="60">
        <f>TD!G13</f>
        <v>34069.152205527636</v>
      </c>
      <c r="G16" s="60">
        <f>TD!H13</f>
        <v>4431.1487999999999</v>
      </c>
      <c r="H16" s="60">
        <f>TD!I13</f>
        <v>744.17749340800708</v>
      </c>
      <c r="I16" s="60">
        <f>TD!J13</f>
        <v>1462.9268626377923</v>
      </c>
      <c r="J16" s="60">
        <f>TD!K13</f>
        <v>1169.4507954811979</v>
      </c>
      <c r="K16" s="85">
        <v>0</v>
      </c>
      <c r="L16" s="86">
        <v>0</v>
      </c>
      <c r="M16" s="87">
        <f t="shared" si="20"/>
        <v>40707.405361573437</v>
      </c>
      <c r="N16" s="88">
        <f>IFERROR(M16/D16,0)</f>
        <v>1909.3529719312119</v>
      </c>
      <c r="O16" s="88">
        <f t="shared" si="1"/>
        <v>38075.027703454449</v>
      </c>
      <c r="P16" s="88">
        <f t="shared" si="2"/>
        <v>1785.8831005372631</v>
      </c>
      <c r="Q16" s="89">
        <v>2000</v>
      </c>
      <c r="R16" s="89">
        <f>Q16*D16</f>
        <v>42640</v>
      </c>
      <c r="S16" s="89">
        <f t="shared" si="3"/>
        <v>1932.5946384265626</v>
      </c>
      <c r="T16" s="90">
        <f t="shared" si="4"/>
        <v>4.5323514034394059E-2</v>
      </c>
      <c r="U16" s="89">
        <f t="shared" si="5"/>
        <v>4564.9722965455512</v>
      </c>
      <c r="V16" s="90">
        <f t="shared" si="6"/>
        <v>0.10705844973136847</v>
      </c>
      <c r="X16" s="91" cm="1">
        <f t="array" ref="X16">SUM([1]Hoja6!$H$6:$H$24*(X$5=[1]Hoja6!$E$6:$E$24)*($C16=[1]Hoja6!$J$6:$J$24))</f>
        <v>0</v>
      </c>
      <c r="Y16" s="91" cm="1">
        <f t="array" ref="Y16">SUM([1]Hoja6!$I$6:$I$24*(X$5=[1]Hoja6!$E$6:$E$24)*($C16=[1]Hoja6!$J$6:$J$24))</f>
        <v>0</v>
      </c>
      <c r="Z16" s="101">
        <f t="shared" si="22"/>
        <v>0</v>
      </c>
      <c r="AA16" s="91" cm="1">
        <f t="array" ref="AA16">SUM([1]Hoja6!$H$6:$H$24*(AA$5=[1]Hoja6!$E$6:$E$24)*($C16=[1]Hoja6!$J$6:$J$24))</f>
        <v>0</v>
      </c>
      <c r="AB16" s="91" cm="1">
        <f t="array" ref="AB16">SUM([1]Hoja6!$I$6:$I$24*(AA$5=[1]Hoja6!$E$6:$E$24)*($C16=[1]Hoja6!$J$6:$J$24))</f>
        <v>0</v>
      </c>
      <c r="AC16" s="101">
        <f t="shared" si="23"/>
        <v>0</v>
      </c>
      <c r="AD16" s="91" cm="1">
        <f t="array" ref="AD16">SUM([1]Hoja6!$H$6:$H$24*(AD$5=[1]Hoja6!$E$6:$E$24)*($C16=[1]Hoja6!$J$6:$J$24))</f>
        <v>0</v>
      </c>
      <c r="AE16" s="91" cm="1">
        <f t="array" ref="AE16">SUM([1]Hoja6!$I$6:$I$24*(AD$5=[1]Hoja6!$E$6:$E$24)*($C16=[1]Hoja6!$J$6:$J$24))</f>
        <v>0</v>
      </c>
      <c r="AF16" s="101">
        <f t="shared" si="24"/>
        <v>0</v>
      </c>
      <c r="AG16" s="91" cm="1">
        <f t="array" ref="AG16">SUM([1]Hoja6!$H$6:$H$24*(AG$5=[1]Hoja6!$E$6:$E$24)*($C16=[1]Hoja6!$J$6:$J$24))</f>
        <v>0</v>
      </c>
      <c r="AH16" s="91" cm="1">
        <f t="array" ref="AH16">SUM([1]Hoja6!$I$6:$I$24*(AG$5=[1]Hoja6!$E$6:$E$24)*($C16=[1]Hoja6!$J$6:$J$24))</f>
        <v>0</v>
      </c>
      <c r="AI16" s="101">
        <f t="shared" si="25"/>
        <v>0</v>
      </c>
      <c r="AJ16" s="91" cm="1">
        <f t="array" ref="AJ16">SUM([1]Hoja6!$H$6:$H$24*(AJ$5=[1]Hoja6!$E$6:$E$24)*($C16=[1]Hoja6!$J$6:$J$24))</f>
        <v>0</v>
      </c>
      <c r="AK16" s="91" cm="1">
        <f t="array" ref="AK16">SUM([1]Hoja6!$I$6:$I$24*(AJ$5=[1]Hoja6!$E$6:$E$24)*($C16=[1]Hoja6!$J$6:$J$24))</f>
        <v>0</v>
      </c>
      <c r="AL16" s="101">
        <f t="shared" si="26"/>
        <v>0</v>
      </c>
      <c r="AM16" s="91" cm="1">
        <f t="array" ref="AM16">SUM([1]Hoja6!$H$6:$H$24*(AM$5=[1]Hoja6!$E$6:$E$24)*($C16=[1]Hoja6!$J$6:$J$24))</f>
        <v>0</v>
      </c>
      <c r="AN16" s="91" cm="1">
        <f t="array" ref="AN16">SUM([1]Hoja6!$I$6:$I$24*(AM$5=[1]Hoja6!$E$6:$E$24)*($C16=[1]Hoja6!$J$6:$J$24))</f>
        <v>0</v>
      </c>
      <c r="AO16" s="101">
        <f t="shared" si="27"/>
        <v>0</v>
      </c>
      <c r="AP16" s="91" cm="1">
        <f t="array" ref="AP16">SUM([1]Hoja6!$H$6:$H$24*(AP$5=[1]Hoja6!$E$6:$E$24)*($C16=[1]Hoja6!$J$6:$J$24))</f>
        <v>0</v>
      </c>
      <c r="AQ16" s="91" cm="1">
        <f t="array" ref="AQ16">SUM([1]Hoja6!$I$6:$I$24*(AP$5=[1]Hoja6!$E$6:$E$24)*($C16=[1]Hoja6!$J$6:$J$24))</f>
        <v>0</v>
      </c>
      <c r="AR16" s="101">
        <f t="shared" si="28"/>
        <v>0</v>
      </c>
      <c r="AS16" s="91" cm="1">
        <f t="array" ref="AS16">SUM([1]Hoja6!$H$6:$H$24*(AS$5=[1]Hoja6!$E$6:$E$24)*($C16=[1]Hoja6!$J$6:$J$24))</f>
        <v>0</v>
      </c>
      <c r="AT16" s="91" cm="1">
        <f t="array" ref="AT16">SUM([1]Hoja6!$I$6:$I$24*(AS$5=[1]Hoja6!$E$6:$E$24)*($C16=[1]Hoja6!$J$6:$J$24))</f>
        <v>0</v>
      </c>
      <c r="AU16" s="101">
        <f t="shared" si="29"/>
        <v>0</v>
      </c>
      <c r="AV16" s="91" cm="1">
        <f t="array" ref="AV16">SUM([1]Hoja6!$H$6:$H$24*(AV$5=[1]Hoja6!$E$6:$E$24)*($C16=[1]Hoja6!$J$6:$J$24))</f>
        <v>0</v>
      </c>
      <c r="AW16" s="91" cm="1">
        <f t="array" ref="AW16">SUM([1]Hoja6!$I$6:$I$24*(AV$5=[1]Hoja6!$E$6:$E$24)*($C16=[1]Hoja6!$J$6:$J$24))</f>
        <v>0</v>
      </c>
      <c r="AX16" s="101">
        <f t="shared" si="30"/>
        <v>0</v>
      </c>
      <c r="AY16" s="91" cm="1">
        <f t="array" ref="AY16">SUM([1]Hoja6!$H$6:$H$24*(AY$5=[1]Hoja6!$E$6:$E$24)*($C16=[1]Hoja6!$J$6:$J$24))</f>
        <v>0</v>
      </c>
      <c r="AZ16" s="91" cm="1">
        <f t="array" ref="AZ16">SUM([1]Hoja6!$I$6:$I$24*(AY$5=[1]Hoja6!$E$6:$E$24)*($C16=[1]Hoja6!$J$6:$J$24))</f>
        <v>0</v>
      </c>
      <c r="BA16" s="101">
        <f t="shared" si="31"/>
        <v>0</v>
      </c>
      <c r="BB16" s="93">
        <f t="shared" si="7"/>
        <v>0</v>
      </c>
      <c r="BC16" s="94">
        <f t="shared" si="8"/>
        <v>0</v>
      </c>
      <c r="BD16" s="95">
        <f t="shared" si="32"/>
        <v>0</v>
      </c>
      <c r="BE16" s="94">
        <f>-IFERROR(F16/D16*BB16,0)</f>
        <v>0</v>
      </c>
      <c r="BF16" s="95">
        <f t="shared" si="10"/>
        <v>0</v>
      </c>
      <c r="BG16" s="94">
        <f t="shared" si="11"/>
        <v>0</v>
      </c>
      <c r="BH16" s="95">
        <f t="shared" si="12"/>
        <v>0</v>
      </c>
      <c r="BI16" s="94">
        <f t="shared" si="13"/>
        <v>0</v>
      </c>
      <c r="BJ16" s="95">
        <f t="shared" si="14"/>
        <v>0</v>
      </c>
      <c r="BK16" s="94">
        <f t="shared" si="33"/>
        <v>0</v>
      </c>
      <c r="BL16" s="96">
        <f t="shared" si="34"/>
        <v>0</v>
      </c>
      <c r="BM16" s="97">
        <f t="shared" si="15"/>
        <v>0</v>
      </c>
      <c r="BN16" s="98">
        <f t="shared" si="16"/>
        <v>0</v>
      </c>
      <c r="BP16" s="99">
        <f t="shared" si="17"/>
        <v>0</v>
      </c>
      <c r="BQ16" s="100">
        <f t="shared" si="18"/>
        <v>0</v>
      </c>
      <c r="BR16" s="100">
        <f t="shared" si="18"/>
        <v>0</v>
      </c>
      <c r="BS16" s="100">
        <f t="shared" si="18"/>
        <v>0</v>
      </c>
      <c r="BT16" s="100">
        <f t="shared" si="18"/>
        <v>0</v>
      </c>
      <c r="BU16" s="100">
        <f t="shared" si="18"/>
        <v>0</v>
      </c>
      <c r="BV16" s="100">
        <f t="shared" si="18"/>
        <v>0</v>
      </c>
      <c r="BW16" s="100">
        <f t="shared" si="18"/>
        <v>0</v>
      </c>
      <c r="BX16" s="100">
        <f t="shared" si="19"/>
        <v>0</v>
      </c>
    </row>
    <row r="17" spans="2:76" x14ac:dyDescent="0.3">
      <c r="B17" s="59">
        <v>10009386</v>
      </c>
      <c r="C17" s="63" t="s">
        <v>97</v>
      </c>
      <c r="D17" s="83">
        <f>TD!F14</f>
        <v>30.58</v>
      </c>
      <c r="E17" s="84">
        <f t="shared" ref="E17:E19" si="36">IFERROR(F17/D17,0)</f>
        <v>1279.9702510293225</v>
      </c>
      <c r="F17" s="60">
        <f>TD!G14</f>
        <v>39141.490276476681</v>
      </c>
      <c r="G17" s="60">
        <f>TD!H14</f>
        <v>6355.7471999999998</v>
      </c>
      <c r="H17" s="60">
        <f>TD!I14</f>
        <v>1067.399050113361</v>
      </c>
      <c r="I17" s="60">
        <f>TD!J14</f>
        <v>2098.3256782112421</v>
      </c>
      <c r="J17" s="60">
        <f>TD!K14</f>
        <v>1677.3829890157142</v>
      </c>
      <c r="K17" s="85">
        <v>0</v>
      </c>
      <c r="L17" s="86">
        <v>0</v>
      </c>
      <c r="M17" s="87">
        <f t="shared" ref="M17:M19" si="37">F17+G17+H17+I17</f>
        <v>48662.962204801282</v>
      </c>
      <c r="N17" s="88">
        <f t="shared" ref="N17:N19" si="38">IFERROR(M17/D17,0)</f>
        <v>1591.3329694179622</v>
      </c>
      <c r="O17" s="88">
        <f t="shared" ref="O17:O19" si="39">F17+G17+H17-J17</f>
        <v>44887.253537574325</v>
      </c>
      <c r="P17" s="88">
        <f t="shared" ref="P17:P19" si="40">IFERROR(O17/D17,0)</f>
        <v>1467.8630980240134</v>
      </c>
      <c r="Q17" s="89">
        <v>1700</v>
      </c>
      <c r="R17" s="89">
        <f>Q17*D17</f>
        <v>51986</v>
      </c>
      <c r="S17" s="89">
        <f t="shared" si="3"/>
        <v>3323.0377951987175</v>
      </c>
      <c r="T17" s="90">
        <f t="shared" ref="T17:T19" si="41">IFERROR(S17/R17,0)</f>
        <v>6.3921782695316384E-2</v>
      </c>
      <c r="U17" s="89">
        <f t="shared" si="5"/>
        <v>7098.7464624256754</v>
      </c>
      <c r="V17" s="90">
        <f t="shared" ref="V17:V19" si="42">IFERROR(U17/R17,0)</f>
        <v>0.13655111880940399</v>
      </c>
      <c r="X17" s="91" cm="1">
        <f t="array" ref="X17">SUM([1]Hoja6!$H$6:$H$24*(X$5=[1]Hoja6!$E$6:$E$24)*($C17=[1]Hoja6!$J$6:$J$24))</f>
        <v>0</v>
      </c>
      <c r="Y17" s="91" cm="1">
        <f t="array" ref="Y17">SUM([1]Hoja6!$I$6:$I$24*(X$5=[1]Hoja6!$E$6:$E$24)*($C17=[1]Hoja6!$J$6:$J$24))</f>
        <v>0</v>
      </c>
      <c r="Z17" s="101">
        <f t="shared" ref="Z17:Z19" si="43">IFERROR(Y17/X17,0)</f>
        <v>0</v>
      </c>
      <c r="AA17" s="91" cm="1">
        <f t="array" ref="AA17">SUM([1]Hoja6!$H$6:$H$24*(AA$5=[1]Hoja6!$E$6:$E$24)*($C17=[1]Hoja6!$J$6:$J$24))</f>
        <v>0</v>
      </c>
      <c r="AB17" s="91" cm="1">
        <f t="array" ref="AB17">SUM([1]Hoja6!$I$6:$I$24*(AA$5=[1]Hoja6!$E$6:$E$24)*($C17=[1]Hoja6!$J$6:$J$24))</f>
        <v>0</v>
      </c>
      <c r="AC17" s="101">
        <f t="shared" si="23"/>
        <v>0</v>
      </c>
      <c r="AD17" s="91" cm="1">
        <f t="array" ref="AD17">SUM([1]Hoja6!$H$6:$H$24*(AD$5=[1]Hoja6!$E$6:$E$24)*($C17=[1]Hoja6!$J$6:$J$24))</f>
        <v>54</v>
      </c>
      <c r="AE17" s="91" cm="1">
        <f t="array" ref="AE17">SUM([1]Hoja6!$I$6:$I$24*(AD$5=[1]Hoja6!$E$6:$E$24)*($C17=[1]Hoja6!$J$6:$J$24))</f>
        <v>86400</v>
      </c>
      <c r="AF17" s="101">
        <f t="shared" si="24"/>
        <v>1600</v>
      </c>
      <c r="AG17" s="91" cm="1">
        <f t="array" ref="AG17">SUM([1]Hoja6!$H$6:$H$24*(AG$5=[1]Hoja6!$E$6:$E$24)*($C17=[1]Hoja6!$J$6:$J$24))</f>
        <v>0</v>
      </c>
      <c r="AH17" s="91" cm="1">
        <f t="array" ref="AH17">SUM([1]Hoja6!$I$6:$I$24*(AG$5=[1]Hoja6!$E$6:$E$24)*($C17=[1]Hoja6!$J$6:$J$24))</f>
        <v>0</v>
      </c>
      <c r="AI17" s="101">
        <f t="shared" si="25"/>
        <v>0</v>
      </c>
      <c r="AJ17" s="91" cm="1">
        <f t="array" ref="AJ17">SUM([1]Hoja6!$H$6:$H$24*(AJ$5=[1]Hoja6!$E$6:$E$24)*($C17=[1]Hoja6!$J$6:$J$24))</f>
        <v>54</v>
      </c>
      <c r="AK17" s="91" cm="1">
        <f t="array" ref="AK17">SUM([1]Hoja6!$I$6:$I$24*(AJ$5=[1]Hoja6!$E$6:$E$24)*($C17=[1]Hoja6!$J$6:$J$24))</f>
        <v>99900</v>
      </c>
      <c r="AL17" s="101">
        <f t="shared" si="26"/>
        <v>1850</v>
      </c>
      <c r="AM17" s="91" cm="1">
        <f t="array" ref="AM17">SUM([1]Hoja6!$H$6:$H$24*(AM$5=[1]Hoja6!$E$6:$E$24)*($C17=[1]Hoja6!$J$6:$J$24))</f>
        <v>54</v>
      </c>
      <c r="AN17" s="91" cm="1">
        <f t="array" ref="AN17">SUM([1]Hoja6!$I$6:$I$24*(AM$5=[1]Hoja6!$E$6:$E$24)*($C17=[1]Hoja6!$J$6:$J$24))</f>
        <v>86400</v>
      </c>
      <c r="AO17" s="101">
        <f t="shared" si="27"/>
        <v>1600</v>
      </c>
      <c r="AP17" s="91" cm="1">
        <f t="array" ref="AP17">SUM([1]Hoja6!$H$6:$H$24*(AP$5=[1]Hoja6!$E$6:$E$24)*($C17=[1]Hoja6!$J$6:$J$24))</f>
        <v>0</v>
      </c>
      <c r="AQ17" s="91" cm="1">
        <f t="array" ref="AQ17">SUM([1]Hoja6!$I$6:$I$24*(AP$5=[1]Hoja6!$E$6:$E$24)*($C17=[1]Hoja6!$J$6:$J$24))</f>
        <v>0</v>
      </c>
      <c r="AR17" s="101">
        <f t="shared" si="28"/>
        <v>0</v>
      </c>
      <c r="AS17" s="91" cm="1">
        <f t="array" ref="AS17">SUM([1]Hoja6!$H$6:$H$24*(AS$5=[1]Hoja6!$E$6:$E$24)*($C17=[1]Hoja6!$J$6:$J$24))</f>
        <v>0</v>
      </c>
      <c r="AT17" s="91" cm="1">
        <f t="array" ref="AT17">SUM([1]Hoja6!$I$6:$I$24*(AS$5=[1]Hoja6!$E$6:$E$24)*($C17=[1]Hoja6!$J$6:$J$24))</f>
        <v>0</v>
      </c>
      <c r="AU17" s="101">
        <f t="shared" si="29"/>
        <v>0</v>
      </c>
      <c r="AV17" s="91" cm="1">
        <f t="array" ref="AV17">SUM([1]Hoja6!$H$6:$H$24*(AV$5=[1]Hoja6!$E$6:$E$24)*($C17=[1]Hoja6!$J$6:$J$24))</f>
        <v>25.905000000000001</v>
      </c>
      <c r="AW17" s="91" cm="1">
        <f t="array" ref="AW17">SUM([1]Hoja6!$I$6:$I$24*(AV$5=[1]Hoja6!$E$6:$E$24)*($C17=[1]Hoja6!$J$6:$J$24))</f>
        <v>41448</v>
      </c>
      <c r="AX17" s="101">
        <f t="shared" si="30"/>
        <v>1600</v>
      </c>
      <c r="AY17" s="91" cm="1">
        <f t="array" ref="AY17">SUM([1]Hoja6!$H$6:$H$24*(AY$5=[1]Hoja6!$E$6:$E$24)*($C17=[1]Hoja6!$J$6:$J$24))</f>
        <v>0</v>
      </c>
      <c r="AZ17" s="91" cm="1">
        <f t="array" ref="AZ17">SUM([1]Hoja6!$I$6:$I$24*(AY$5=[1]Hoja6!$E$6:$E$24)*($C17=[1]Hoja6!$J$6:$J$24))</f>
        <v>0</v>
      </c>
      <c r="BA17" s="101">
        <f t="shared" si="31"/>
        <v>0</v>
      </c>
      <c r="BB17" s="93">
        <f t="shared" si="7"/>
        <v>187.905</v>
      </c>
      <c r="BC17" s="94">
        <f t="shared" si="8"/>
        <v>314148</v>
      </c>
      <c r="BD17" s="95">
        <f t="shared" ref="BD17:BD19" si="44">IFERROR(BC17/BB17,0)</f>
        <v>1671.8448151991697</v>
      </c>
      <c r="BE17" s="94">
        <f t="shared" ref="BE17:BE19" si="45">-IFERROR(F17/D17*BB17,0)</f>
        <v>-240512.81001966484</v>
      </c>
      <c r="BF17" s="95">
        <f t="shared" ref="BF17:BF19" si="46">-207.84*BB17</f>
        <v>-39054.175199999998</v>
      </c>
      <c r="BG17" s="94">
        <f t="shared" ref="BG17:BG19" si="47">$BG$20/$BB$20*$BB17</f>
        <v>-18908.045146336626</v>
      </c>
      <c r="BH17" s="95">
        <f t="shared" ref="BH17:BH19" si="48">$BH$20/$BB$20*$BB17</f>
        <v>-37170.013080976569</v>
      </c>
      <c r="BI17" s="94">
        <f t="shared" ref="BI17:BI19" si="49">$BI$20/$BB$20*$BB17</f>
        <v>-29713.379715522384</v>
      </c>
      <c r="BJ17" s="95">
        <f t="shared" ref="BJ17:BJ19" si="50">(BC17-BB17*$BG$21)*0.03</f>
        <v>8780.8036606885598</v>
      </c>
      <c r="BK17" s="94">
        <f t="shared" ref="BK17:BK19" si="51">BC17+SUM(BE17:BH17,BJ17)</f>
        <v>-12716.239786289458</v>
      </c>
      <c r="BL17" s="96">
        <f t="shared" ref="BL17:BL19" si="52">IFERROR(BK17/BC17,0)</f>
        <v>-4.0478499899058593E-2</v>
      </c>
      <c r="BM17" s="97">
        <f t="shared" ref="BM17:BM19" si="53">BC17+BE17+BF17+BG17+BJ17-BI17</f>
        <v>54167.153010209469</v>
      </c>
      <c r="BN17" s="98">
        <f t="shared" ref="BN17:BN19" si="54">IFERROR(BM17/BC17,0)</f>
        <v>0.17242558606201366</v>
      </c>
      <c r="BP17" s="99">
        <f t="shared" ref="BP17:BP19" si="55">BD17</f>
        <v>1671.8448151991697</v>
      </c>
      <c r="BQ17" s="100">
        <f t="shared" ref="BQ17:BQ19" si="56">IFERROR(BE17/$BB17,0)</f>
        <v>-1279.9702510293225</v>
      </c>
      <c r="BR17" s="100">
        <f t="shared" ref="BR17:BR19" si="57">IFERROR(BF17/$BB17,0)</f>
        <v>-207.83999999999997</v>
      </c>
      <c r="BS17" s="100">
        <f t="shared" ref="BS17:BS19" si="58">IFERROR(BG17/$BB17,0)</f>
        <v>-100.62555624563809</v>
      </c>
      <c r="BT17" s="100">
        <f t="shared" ref="BT17:BT19" si="59">IFERROR(BH17/$BB17,0)</f>
        <v>-197.81279412988781</v>
      </c>
      <c r="BU17" s="100">
        <f t="shared" ref="BU17:BU19" si="60">IFERROR(BI17/$BB17,0)</f>
        <v>-158.12979811884932</v>
      </c>
      <c r="BV17" s="100">
        <f t="shared" ref="BV17:BV19" si="61">IFERROR(BJ17/$BB17,0)</f>
        <v>46.730016022397272</v>
      </c>
      <c r="BW17" s="100">
        <f t="shared" ref="BW17:BW19" si="62">IFERROR(BK17/$BB17,0)</f>
        <v>-67.673770183281221</v>
      </c>
      <c r="BX17" s="100">
        <f t="shared" ref="BX17:BX19" si="63">IFERROR(BM17/$BB17,0)</f>
        <v>288.26882206545577</v>
      </c>
    </row>
    <row r="18" spans="2:76" x14ac:dyDescent="0.3">
      <c r="B18" s="59"/>
      <c r="C18" s="63" t="s">
        <v>95</v>
      </c>
      <c r="D18" s="83">
        <f>TD!F15</f>
        <v>462.5</v>
      </c>
      <c r="E18" s="84">
        <f t="shared" si="36"/>
        <v>1834.4310061156939</v>
      </c>
      <c r="F18" s="60">
        <f>TD!G15</f>
        <v>848424.34032850841</v>
      </c>
      <c r="G18" s="60">
        <f>TD!H15</f>
        <v>96126</v>
      </c>
      <c r="H18" s="60">
        <f>TD!I15</f>
        <v>16143.625267411036</v>
      </c>
      <c r="I18" s="60">
        <f>TD!J15</f>
        <v>31735.631987334848</v>
      </c>
      <c r="J18" s="60">
        <f>TD!K15</f>
        <v>25369.183532366511</v>
      </c>
      <c r="K18" s="85">
        <v>0</v>
      </c>
      <c r="L18" s="86">
        <v>0</v>
      </c>
      <c r="M18" s="87">
        <f t="shared" si="37"/>
        <v>992429.59758325422</v>
      </c>
      <c r="N18" s="88">
        <f t="shared" si="38"/>
        <v>2145.7937245043336</v>
      </c>
      <c r="O18" s="88">
        <f t="shared" si="39"/>
        <v>935324.78206355288</v>
      </c>
      <c r="P18" s="88">
        <f t="shared" si="40"/>
        <v>2022.3238531103846</v>
      </c>
      <c r="Q18" s="89">
        <v>1800</v>
      </c>
      <c r="R18" s="136">
        <f>Q18*D18</f>
        <v>832500</v>
      </c>
      <c r="S18" s="89">
        <f t="shared" si="3"/>
        <v>-159929.59758325422</v>
      </c>
      <c r="T18" s="90">
        <f t="shared" si="41"/>
        <v>-0.19210762472462969</v>
      </c>
      <c r="U18" s="89">
        <f t="shared" si="5"/>
        <v>-102824.78206355288</v>
      </c>
      <c r="V18" s="90">
        <f t="shared" si="42"/>
        <v>-0.12351325172799145</v>
      </c>
      <c r="X18" s="91" cm="1">
        <f t="array" ref="X18">SUM([1]Hoja6!$H$6:$H$24*(X$5=[1]Hoja6!$E$6:$E$24)*($C18=[1]Hoja6!$J$6:$J$24))</f>
        <v>0</v>
      </c>
      <c r="Y18" s="91" cm="1">
        <f t="array" ref="Y18">SUM([1]Hoja6!$I$6:$I$24*(X$5=[1]Hoja6!$E$6:$E$24)*($C18=[1]Hoja6!$J$6:$J$24))</f>
        <v>0</v>
      </c>
      <c r="Z18" s="101">
        <f t="shared" si="43"/>
        <v>0</v>
      </c>
      <c r="AA18" s="91" cm="1">
        <f t="array" ref="AA18">SUM([1]Hoja6!$H$6:$H$24*(AA$5=[1]Hoja6!$E$6:$E$24)*($C18=[1]Hoja6!$J$6:$J$24))</f>
        <v>0</v>
      </c>
      <c r="AB18" s="91" cm="1">
        <f t="array" ref="AB18">SUM([1]Hoja6!$I$6:$I$24*(AA$5=[1]Hoja6!$E$6:$E$24)*($C18=[1]Hoja6!$J$6:$J$24))</f>
        <v>0</v>
      </c>
      <c r="AC18" s="101">
        <f t="shared" si="23"/>
        <v>0</v>
      </c>
      <c r="AD18" s="91" cm="1">
        <f t="array" ref="AD18">SUM([1]Hoja6!$H$6:$H$24*(AD$5=[1]Hoja6!$E$6:$E$24)*($C18=[1]Hoja6!$J$6:$J$24))</f>
        <v>0</v>
      </c>
      <c r="AE18" s="91" cm="1">
        <f t="array" ref="AE18">SUM([1]Hoja6!$I$6:$I$24*(AD$5=[1]Hoja6!$E$6:$E$24)*($C18=[1]Hoja6!$J$6:$J$24))</f>
        <v>0</v>
      </c>
      <c r="AF18" s="101">
        <f t="shared" si="24"/>
        <v>0</v>
      </c>
      <c r="AG18" s="91" cm="1">
        <f t="array" ref="AG18">SUM([1]Hoja6!$H$6:$H$24*(AG$5=[1]Hoja6!$E$6:$E$24)*($C18=[1]Hoja6!$J$6:$J$24))</f>
        <v>0</v>
      </c>
      <c r="AH18" s="91" cm="1">
        <f t="array" ref="AH18">SUM([1]Hoja6!$I$6:$I$24*(AG$5=[1]Hoja6!$E$6:$E$24)*($C18=[1]Hoja6!$J$6:$J$24))</f>
        <v>0</v>
      </c>
      <c r="AI18" s="101">
        <f t="shared" si="25"/>
        <v>0</v>
      </c>
      <c r="AJ18" s="91" cm="1">
        <f t="array" ref="AJ18">SUM([1]Hoja6!$H$6:$H$24*(AJ$5=[1]Hoja6!$E$6:$E$24)*($C18=[1]Hoja6!$J$6:$J$24))</f>
        <v>0</v>
      </c>
      <c r="AK18" s="91" cm="1">
        <f t="array" ref="AK18">SUM([1]Hoja6!$I$6:$I$24*(AJ$5=[1]Hoja6!$E$6:$E$24)*($C18=[1]Hoja6!$J$6:$J$24))</f>
        <v>0</v>
      </c>
      <c r="AL18" s="101">
        <f t="shared" si="26"/>
        <v>0</v>
      </c>
      <c r="AM18" s="91" cm="1">
        <f t="array" ref="AM18">SUM([1]Hoja6!$H$6:$H$24*(AM$5=[1]Hoja6!$E$6:$E$24)*($C18=[1]Hoja6!$J$6:$J$24))</f>
        <v>0</v>
      </c>
      <c r="AN18" s="91" cm="1">
        <f t="array" ref="AN18">SUM([1]Hoja6!$I$6:$I$24*(AM$5=[1]Hoja6!$E$6:$E$24)*($C18=[1]Hoja6!$J$6:$J$24))</f>
        <v>0</v>
      </c>
      <c r="AO18" s="101">
        <f t="shared" si="27"/>
        <v>0</v>
      </c>
      <c r="AP18" s="91" cm="1">
        <f t="array" ref="AP18">SUM([1]Hoja6!$H$6:$H$24*(AP$5=[1]Hoja6!$E$6:$E$24)*($C18=[1]Hoja6!$J$6:$J$24))</f>
        <v>0</v>
      </c>
      <c r="AQ18" s="91" cm="1">
        <f t="array" ref="AQ18">SUM([1]Hoja6!$I$6:$I$24*(AP$5=[1]Hoja6!$E$6:$E$24)*($C18=[1]Hoja6!$J$6:$J$24))</f>
        <v>0</v>
      </c>
      <c r="AR18" s="101">
        <f t="shared" si="28"/>
        <v>0</v>
      </c>
      <c r="AS18" s="91" cm="1">
        <f t="array" ref="AS18">SUM([1]Hoja6!$H$6:$H$24*(AS$5=[1]Hoja6!$E$6:$E$24)*($C18=[1]Hoja6!$J$6:$J$24))</f>
        <v>0</v>
      </c>
      <c r="AT18" s="91" cm="1">
        <f t="array" ref="AT18">SUM([1]Hoja6!$I$6:$I$24*(AS$5=[1]Hoja6!$E$6:$E$24)*($C18=[1]Hoja6!$J$6:$J$24))</f>
        <v>0</v>
      </c>
      <c r="AU18" s="101">
        <f t="shared" si="29"/>
        <v>0</v>
      </c>
      <c r="AV18" s="91" cm="1">
        <f t="array" ref="AV18">SUM([1]Hoja6!$H$6:$H$24*(AV$5=[1]Hoja6!$E$6:$E$24)*($C18=[1]Hoja6!$J$6:$J$24))</f>
        <v>0</v>
      </c>
      <c r="AW18" s="91" cm="1">
        <f t="array" ref="AW18">SUM([1]Hoja6!$I$6:$I$24*(AV$5=[1]Hoja6!$E$6:$E$24)*($C18=[1]Hoja6!$J$6:$J$24))</f>
        <v>0</v>
      </c>
      <c r="AX18" s="101">
        <f t="shared" si="30"/>
        <v>0</v>
      </c>
      <c r="AY18" s="91" cm="1">
        <f t="array" ref="AY18">SUM([1]Hoja6!$H$6:$H$24*(AY$5=[1]Hoja6!$E$6:$E$24)*($C18=[1]Hoja6!$J$6:$J$24))</f>
        <v>0</v>
      </c>
      <c r="AZ18" s="91" cm="1">
        <f t="array" ref="AZ18">SUM([1]Hoja6!$I$6:$I$24*(AY$5=[1]Hoja6!$E$6:$E$24)*($C18=[1]Hoja6!$J$6:$J$24))</f>
        <v>0</v>
      </c>
      <c r="BA18" s="101">
        <f t="shared" si="31"/>
        <v>0</v>
      </c>
      <c r="BB18" s="93">
        <f t="shared" si="7"/>
        <v>0</v>
      </c>
      <c r="BC18" s="94">
        <f t="shared" si="8"/>
        <v>0</v>
      </c>
      <c r="BD18" s="95">
        <f t="shared" si="44"/>
        <v>0</v>
      </c>
      <c r="BE18" s="94">
        <f t="shared" si="45"/>
        <v>0</v>
      </c>
      <c r="BF18" s="95">
        <f t="shared" si="46"/>
        <v>0</v>
      </c>
      <c r="BG18" s="94">
        <f t="shared" si="47"/>
        <v>0</v>
      </c>
      <c r="BH18" s="95">
        <f t="shared" si="48"/>
        <v>0</v>
      </c>
      <c r="BI18" s="94">
        <f t="shared" si="49"/>
        <v>0</v>
      </c>
      <c r="BJ18" s="95">
        <f t="shared" si="50"/>
        <v>0</v>
      </c>
      <c r="BK18" s="94">
        <f t="shared" si="51"/>
        <v>0</v>
      </c>
      <c r="BL18" s="96">
        <f t="shared" si="52"/>
        <v>0</v>
      </c>
      <c r="BM18" s="97">
        <f t="shared" si="53"/>
        <v>0</v>
      </c>
      <c r="BN18" s="98">
        <f t="shared" si="54"/>
        <v>0</v>
      </c>
      <c r="BP18" s="99">
        <f t="shared" si="55"/>
        <v>0</v>
      </c>
      <c r="BQ18" s="100">
        <f t="shared" si="56"/>
        <v>0</v>
      </c>
      <c r="BR18" s="100">
        <f t="shared" si="57"/>
        <v>0</v>
      </c>
      <c r="BS18" s="100">
        <f t="shared" si="58"/>
        <v>0</v>
      </c>
      <c r="BT18" s="100">
        <f t="shared" si="59"/>
        <v>0</v>
      </c>
      <c r="BU18" s="100">
        <f t="shared" si="60"/>
        <v>0</v>
      </c>
      <c r="BV18" s="100">
        <f t="shared" si="61"/>
        <v>0</v>
      </c>
      <c r="BW18" s="100">
        <f t="shared" si="62"/>
        <v>0</v>
      </c>
      <c r="BX18" s="100">
        <f t="shared" si="63"/>
        <v>0</v>
      </c>
    </row>
    <row r="19" spans="2:76" ht="15" thickBot="1" x14ac:dyDescent="0.35">
      <c r="B19" s="59"/>
      <c r="C19" s="63" t="s">
        <v>96</v>
      </c>
      <c r="D19" s="83">
        <f>TD!F16</f>
        <v>612.58000000000004</v>
      </c>
      <c r="E19" s="84">
        <f t="shared" si="36"/>
        <v>1731.9701269990092</v>
      </c>
      <c r="F19" s="60">
        <f>TD!G16</f>
        <v>1060970.2603970531</v>
      </c>
      <c r="G19" s="60">
        <f>TD!H16</f>
        <v>127318.62720000002</v>
      </c>
      <c r="H19" s="60">
        <f>TD!I16</f>
        <v>21382.188035266277</v>
      </c>
      <c r="I19" s="60">
        <f>TD!J16</f>
        <v>42033.758795246664</v>
      </c>
      <c r="J19" s="60">
        <f>TD!K16</f>
        <v>33601.415023258545</v>
      </c>
      <c r="K19" s="85">
        <v>0</v>
      </c>
      <c r="L19" s="86">
        <v>0</v>
      </c>
      <c r="M19" s="87">
        <f t="shared" si="37"/>
        <v>1251704.834427566</v>
      </c>
      <c r="N19" s="88">
        <f t="shared" si="38"/>
        <v>2043.3328453876488</v>
      </c>
      <c r="O19" s="88">
        <f t="shared" si="39"/>
        <v>1176069.6606090607</v>
      </c>
      <c r="P19" s="88">
        <f t="shared" si="40"/>
        <v>1919.8629739936998</v>
      </c>
      <c r="Q19" s="89">
        <v>1950</v>
      </c>
      <c r="R19" s="136">
        <f>Q19*D19</f>
        <v>1194531</v>
      </c>
      <c r="S19" s="89">
        <f t="shared" si="3"/>
        <v>-57173.834427566035</v>
      </c>
      <c r="T19" s="90">
        <f t="shared" si="41"/>
        <v>-4.7862997634691803E-2</v>
      </c>
      <c r="U19" s="89">
        <f t="shared" si="5"/>
        <v>18461.339390939334</v>
      </c>
      <c r="V19" s="90">
        <f t="shared" si="42"/>
        <v>1.5454885131435964E-2</v>
      </c>
      <c r="X19" s="91" cm="1">
        <f t="array" ref="X19">SUM([1]Hoja6!$H$6:$H$24*(X$5=[1]Hoja6!$E$6:$E$24)*($C19=[1]Hoja6!$J$6:$J$24))</f>
        <v>0</v>
      </c>
      <c r="Y19" s="91" cm="1">
        <f t="array" ref="Y19">SUM([1]Hoja6!$I$6:$I$24*(X$5=[1]Hoja6!$E$6:$E$24)*($C19=[1]Hoja6!$J$6:$J$24))</f>
        <v>0</v>
      </c>
      <c r="Z19" s="101">
        <f t="shared" si="43"/>
        <v>0</v>
      </c>
      <c r="AA19" s="91" cm="1">
        <f t="array" ref="AA19">SUM([1]Hoja6!$H$6:$H$24*(AA$5=[1]Hoja6!$E$6:$E$24)*($C19=[1]Hoja6!$J$6:$J$24))</f>
        <v>0</v>
      </c>
      <c r="AB19" s="91" cm="1">
        <f t="array" ref="AB19">SUM([1]Hoja6!$I$6:$I$24*(AA$5=[1]Hoja6!$E$6:$E$24)*($C19=[1]Hoja6!$J$6:$J$24))</f>
        <v>0</v>
      </c>
      <c r="AC19" s="101">
        <f t="shared" si="23"/>
        <v>0</v>
      </c>
      <c r="AD19" s="91" cm="1">
        <f t="array" ref="AD19">SUM([1]Hoja6!$H$6:$H$24*(AD$5=[1]Hoja6!$E$6:$E$24)*($C19=[1]Hoja6!$J$6:$J$24))</f>
        <v>0</v>
      </c>
      <c r="AE19" s="91" cm="1">
        <f t="array" ref="AE19">SUM([1]Hoja6!$I$6:$I$24*(AD$5=[1]Hoja6!$E$6:$E$24)*($C19=[1]Hoja6!$J$6:$J$24))</f>
        <v>0</v>
      </c>
      <c r="AF19" s="101">
        <f t="shared" si="24"/>
        <v>0</v>
      </c>
      <c r="AG19" s="91" cm="1">
        <f t="array" ref="AG19">SUM([1]Hoja6!$H$6:$H$24*(AG$5=[1]Hoja6!$E$6:$E$24)*($C19=[1]Hoja6!$J$6:$J$24))</f>
        <v>0</v>
      </c>
      <c r="AH19" s="91" cm="1">
        <f t="array" ref="AH19">SUM([1]Hoja6!$I$6:$I$24*(AG$5=[1]Hoja6!$E$6:$E$24)*($C19=[1]Hoja6!$J$6:$J$24))</f>
        <v>0</v>
      </c>
      <c r="AI19" s="101">
        <f t="shared" si="25"/>
        <v>0</v>
      </c>
      <c r="AJ19" s="91" cm="1">
        <f t="array" ref="AJ19">SUM([1]Hoja6!$H$6:$H$24*(AJ$5=[1]Hoja6!$E$6:$E$24)*($C19=[1]Hoja6!$J$6:$J$24))</f>
        <v>0</v>
      </c>
      <c r="AK19" s="91" cm="1">
        <f t="array" ref="AK19">SUM([1]Hoja6!$I$6:$I$24*(AJ$5=[1]Hoja6!$E$6:$E$24)*($C19=[1]Hoja6!$J$6:$J$24))</f>
        <v>0</v>
      </c>
      <c r="AL19" s="101">
        <f t="shared" si="26"/>
        <v>0</v>
      </c>
      <c r="AM19" s="91" cm="1">
        <f t="array" ref="AM19">SUM([1]Hoja6!$H$6:$H$24*(AM$5=[1]Hoja6!$E$6:$E$24)*($C19=[1]Hoja6!$J$6:$J$24))</f>
        <v>0</v>
      </c>
      <c r="AN19" s="91" cm="1">
        <f t="array" ref="AN19">SUM([1]Hoja6!$I$6:$I$24*(AM$5=[1]Hoja6!$E$6:$E$24)*($C19=[1]Hoja6!$J$6:$J$24))</f>
        <v>0</v>
      </c>
      <c r="AO19" s="101">
        <f t="shared" si="27"/>
        <v>0</v>
      </c>
      <c r="AP19" s="91" cm="1">
        <f t="array" ref="AP19">SUM([1]Hoja6!$H$6:$H$24*(AP$5=[1]Hoja6!$E$6:$E$24)*($C19=[1]Hoja6!$J$6:$J$24))</f>
        <v>0</v>
      </c>
      <c r="AQ19" s="91" cm="1">
        <f t="array" ref="AQ19">SUM([1]Hoja6!$I$6:$I$24*(AP$5=[1]Hoja6!$E$6:$E$24)*($C19=[1]Hoja6!$J$6:$J$24))</f>
        <v>0</v>
      </c>
      <c r="AR19" s="101">
        <f t="shared" si="28"/>
        <v>0</v>
      </c>
      <c r="AS19" s="91" cm="1">
        <f t="array" ref="AS19">SUM([1]Hoja6!$H$6:$H$24*(AS$5=[1]Hoja6!$E$6:$E$24)*($C19=[1]Hoja6!$J$6:$J$24))</f>
        <v>0</v>
      </c>
      <c r="AT19" s="91" cm="1">
        <f t="array" ref="AT19">SUM([1]Hoja6!$I$6:$I$24*(AS$5=[1]Hoja6!$E$6:$E$24)*($C19=[1]Hoja6!$J$6:$J$24))</f>
        <v>0</v>
      </c>
      <c r="AU19" s="101">
        <f t="shared" si="29"/>
        <v>0</v>
      </c>
      <c r="AV19" s="91" cm="1">
        <f t="array" ref="AV19">SUM([1]Hoja6!$H$6:$H$24*(AV$5=[1]Hoja6!$E$6:$E$24)*($C19=[1]Hoja6!$J$6:$J$24))</f>
        <v>0</v>
      </c>
      <c r="AW19" s="91" cm="1">
        <f t="array" ref="AW19">SUM([1]Hoja6!$I$6:$I$24*(AV$5=[1]Hoja6!$E$6:$E$24)*($C19=[1]Hoja6!$J$6:$J$24))</f>
        <v>0</v>
      </c>
      <c r="AX19" s="101">
        <f t="shared" si="30"/>
        <v>0</v>
      </c>
      <c r="AY19" s="91" cm="1">
        <f t="array" ref="AY19">SUM([1]Hoja6!$H$6:$H$24*(AY$5=[1]Hoja6!$E$6:$E$24)*($C19=[1]Hoja6!$J$6:$J$24))</f>
        <v>0</v>
      </c>
      <c r="AZ19" s="91" cm="1">
        <f t="array" ref="AZ19">SUM([1]Hoja6!$I$6:$I$24*(AY$5=[1]Hoja6!$E$6:$E$24)*($C19=[1]Hoja6!$J$6:$J$24))</f>
        <v>0</v>
      </c>
      <c r="BA19" s="101">
        <f t="shared" si="31"/>
        <v>0</v>
      </c>
      <c r="BB19" s="93">
        <f t="shared" si="7"/>
        <v>0</v>
      </c>
      <c r="BC19" s="94">
        <f t="shared" si="8"/>
        <v>0</v>
      </c>
      <c r="BD19" s="95">
        <f t="shared" si="44"/>
        <v>0</v>
      </c>
      <c r="BE19" s="94">
        <f t="shared" si="45"/>
        <v>0</v>
      </c>
      <c r="BF19" s="95">
        <f t="shared" si="46"/>
        <v>0</v>
      </c>
      <c r="BG19" s="94">
        <f t="shared" si="47"/>
        <v>0</v>
      </c>
      <c r="BH19" s="95">
        <f t="shared" si="48"/>
        <v>0</v>
      </c>
      <c r="BI19" s="94">
        <f t="shared" si="49"/>
        <v>0</v>
      </c>
      <c r="BJ19" s="95">
        <f t="shared" si="50"/>
        <v>0</v>
      </c>
      <c r="BK19" s="94">
        <f t="shared" si="51"/>
        <v>0</v>
      </c>
      <c r="BL19" s="96">
        <f t="shared" si="52"/>
        <v>0</v>
      </c>
      <c r="BM19" s="97">
        <f t="shared" si="53"/>
        <v>0</v>
      </c>
      <c r="BN19" s="98">
        <f t="shared" si="54"/>
        <v>0</v>
      </c>
      <c r="BP19" s="99">
        <f t="shared" si="55"/>
        <v>0</v>
      </c>
      <c r="BQ19" s="100">
        <f t="shared" si="56"/>
        <v>0</v>
      </c>
      <c r="BR19" s="100">
        <f t="shared" si="57"/>
        <v>0</v>
      </c>
      <c r="BS19" s="100">
        <f t="shared" si="58"/>
        <v>0</v>
      </c>
      <c r="BT19" s="100">
        <f t="shared" si="59"/>
        <v>0</v>
      </c>
      <c r="BU19" s="100">
        <f t="shared" si="60"/>
        <v>0</v>
      </c>
      <c r="BV19" s="100">
        <f t="shared" si="61"/>
        <v>0</v>
      </c>
      <c r="BW19" s="100">
        <f t="shared" si="62"/>
        <v>0</v>
      </c>
      <c r="BX19" s="100">
        <f t="shared" si="63"/>
        <v>0</v>
      </c>
    </row>
    <row r="20" spans="2:76" ht="15" thickBot="1" x14ac:dyDescent="0.35">
      <c r="C20" s="102" t="s">
        <v>124</v>
      </c>
      <c r="D20" s="103">
        <f>SUM(D7:D19)</f>
        <v>2251.2159999999999</v>
      </c>
      <c r="E20" s="104">
        <f t="shared" si="0"/>
        <v>1727.0269687433367</v>
      </c>
      <c r="F20" s="105">
        <f t="shared" ref="F20:K20" si="64">SUM(F7:F19)</f>
        <v>3887910.7444664994</v>
      </c>
      <c r="G20" s="105">
        <f t="shared" si="64"/>
        <v>467892.73343999998</v>
      </c>
      <c r="H20" s="105">
        <f t="shared" si="64"/>
        <v>78579</v>
      </c>
      <c r="I20" s="105">
        <f t="shared" si="64"/>
        <v>154473</v>
      </c>
      <c r="J20" s="105">
        <f t="shared" si="64"/>
        <v>123484.35</v>
      </c>
      <c r="K20" s="105">
        <f t="shared" si="64"/>
        <v>0</v>
      </c>
      <c r="L20" s="106">
        <v>0</v>
      </c>
      <c r="M20" s="107">
        <f>SUM(M7:M19)</f>
        <v>4588855.4779065</v>
      </c>
      <c r="N20" s="107">
        <f>IFERROR(M20/D20,0)</f>
        <v>2038.3896871319769</v>
      </c>
      <c r="O20" s="107">
        <f>SUM(O7:O19)</f>
        <v>4310898.1279064994</v>
      </c>
      <c r="P20" s="107">
        <f t="shared" si="2"/>
        <v>1914.9198157380276</v>
      </c>
      <c r="Q20" s="108">
        <f>R20/D20</f>
        <v>2020.6759369158713</v>
      </c>
      <c r="R20" s="109">
        <f t="shared" ref="R20:S20" si="65">SUM(R7:R19)</f>
        <v>4548978</v>
      </c>
      <c r="S20" s="108">
        <f t="shared" si="65"/>
        <v>-39877.477906499698</v>
      </c>
      <c r="T20" s="110">
        <f>S20/R20</f>
        <v>-8.7662498931627489E-3</v>
      </c>
      <c r="U20" s="108">
        <f>SUM(U7:U19)</f>
        <v>238079.87209350051</v>
      </c>
      <c r="V20" s="110">
        <f t="shared" si="6"/>
        <v>5.2337002309859604E-2</v>
      </c>
      <c r="X20" s="111">
        <f>SUM(X7:X19)</f>
        <v>27</v>
      </c>
      <c r="Y20" s="111">
        <f>SUM(Y7:Y19)</f>
        <v>68850</v>
      </c>
      <c r="Z20" s="112">
        <f t="shared" si="22"/>
        <v>2550</v>
      </c>
      <c r="AA20" s="111">
        <f>SUM(AA7:AA19)</f>
        <v>26</v>
      </c>
      <c r="AB20" s="111">
        <f>SUM(AB7:AB19)</f>
        <v>74100</v>
      </c>
      <c r="AC20" s="112">
        <f t="shared" si="23"/>
        <v>2850</v>
      </c>
      <c r="AD20" s="111">
        <f>SUM(AD7:AD19)</f>
        <v>270</v>
      </c>
      <c r="AE20" s="111">
        <f>SUM(AE7:AE19)</f>
        <v>542700</v>
      </c>
      <c r="AF20" s="112">
        <f t="shared" si="24"/>
        <v>2010</v>
      </c>
      <c r="AG20" s="111">
        <f>SUM(AG7:AG19)</f>
        <v>53</v>
      </c>
      <c r="AH20" s="111">
        <f>SUM(AH7:AH19)</f>
        <v>138480</v>
      </c>
      <c r="AI20" s="112">
        <f t="shared" si="25"/>
        <v>2612.8301886792451</v>
      </c>
      <c r="AJ20" s="111">
        <f>SUM(AJ7:AJ19)</f>
        <v>54</v>
      </c>
      <c r="AK20" s="111">
        <f>SUM(AK7:AK19)</f>
        <v>99900</v>
      </c>
      <c r="AL20" s="112">
        <f t="shared" si="26"/>
        <v>1850</v>
      </c>
      <c r="AM20" s="111">
        <f>SUM(AM7:AM19)</f>
        <v>148.5</v>
      </c>
      <c r="AN20" s="111">
        <f>SUM(AN7:AN19)</f>
        <v>256785</v>
      </c>
      <c r="AO20" s="112">
        <f t="shared" si="27"/>
        <v>1729.1919191919192</v>
      </c>
      <c r="AP20" s="111">
        <f>SUM(AP7:AP19)</f>
        <v>48</v>
      </c>
      <c r="AQ20" s="111">
        <f>SUM(AQ7:AQ19)</f>
        <v>92800</v>
      </c>
      <c r="AR20" s="112">
        <f t="shared" si="28"/>
        <v>1933.3333333333333</v>
      </c>
      <c r="AS20" s="111">
        <f>SUM(AS7:AS19)</f>
        <v>79</v>
      </c>
      <c r="AT20" s="111">
        <f>SUM(AT7:AT19)</f>
        <v>136936</v>
      </c>
      <c r="AU20" s="112">
        <f t="shared" si="29"/>
        <v>1733.367088607595</v>
      </c>
      <c r="AV20" s="111">
        <f>SUM(AV7:AV19)</f>
        <v>52.905000000000001</v>
      </c>
      <c r="AW20" s="111">
        <f>SUM(AW7:AW19)</f>
        <v>122448</v>
      </c>
      <c r="AX20" s="112">
        <f t="shared" si="30"/>
        <v>2314.4882336263113</v>
      </c>
      <c r="AY20" s="111">
        <f>SUM(AY7:AY19)</f>
        <v>22.5</v>
      </c>
      <c r="AZ20" s="111">
        <f>SUM(AZ7:AZ19)</f>
        <v>29925</v>
      </c>
      <c r="BA20" s="112">
        <f t="shared" si="31"/>
        <v>1330</v>
      </c>
      <c r="BB20" s="113">
        <f t="shared" ref="BB20:BF20" si="66">SUM(BB7:BB19)</f>
        <v>780.90499999999997</v>
      </c>
      <c r="BC20" s="113">
        <f t="shared" si="66"/>
        <v>1562924</v>
      </c>
      <c r="BD20" s="114">
        <f>IFERROR(BC20/BB20,0)</f>
        <v>2001.4265499644644</v>
      </c>
      <c r="BE20" s="113">
        <f t="shared" si="66"/>
        <v>-1146770.6363127851</v>
      </c>
      <c r="BF20" s="113">
        <f t="shared" si="66"/>
        <v>-162303.29519999999</v>
      </c>
      <c r="BG20" s="115">
        <f>-'Stock Libre'!O54</f>
        <v>-78579.000000000015</v>
      </c>
      <c r="BH20" s="114">
        <f>-'Stock Libre'!P54</f>
        <v>-154473.00000000003</v>
      </c>
      <c r="BI20" s="115">
        <f>-'Stock Libre'!Q54</f>
        <v>-123484.35000000002</v>
      </c>
      <c r="BJ20" s="114">
        <f t="shared" ref="BJ20:BM20" si="67">SUM(BJ7:BJ19)</f>
        <v>44212.863899576914</v>
      </c>
      <c r="BK20" s="113">
        <f t="shared" si="67"/>
        <v>65010.932386791814</v>
      </c>
      <c r="BL20" s="116">
        <f t="shared" si="34"/>
        <v>4.1595709315866806E-2</v>
      </c>
      <c r="BM20" s="113">
        <f t="shared" si="67"/>
        <v>342968.28238679189</v>
      </c>
      <c r="BN20" s="117">
        <f t="shared" si="16"/>
        <v>0.21944015344750731</v>
      </c>
      <c r="BP20" s="118">
        <f t="shared" si="17"/>
        <v>2001.4265499644644</v>
      </c>
      <c r="BQ20" s="119">
        <f t="shared" si="18"/>
        <v>-1468.5149106649146</v>
      </c>
      <c r="BR20" s="119">
        <f t="shared" si="18"/>
        <v>-207.84</v>
      </c>
      <c r="BS20" s="119">
        <f t="shared" si="18"/>
        <v>-100.62555624563809</v>
      </c>
      <c r="BT20" s="119">
        <f t="shared" si="18"/>
        <v>-197.81279412988781</v>
      </c>
      <c r="BU20" s="119">
        <f t="shared" si="18"/>
        <v>-158.12979811884932</v>
      </c>
      <c r="BV20" s="119">
        <f t="shared" si="18"/>
        <v>56.617468065356114</v>
      </c>
      <c r="BW20" s="119">
        <f t="shared" si="18"/>
        <v>83.250756989380037</v>
      </c>
      <c r="BX20" s="119">
        <f t="shared" si="19"/>
        <v>439.19334923811721</v>
      </c>
    </row>
    <row r="21" spans="2:76" x14ac:dyDescent="0.3">
      <c r="I21" s="7"/>
      <c r="J21" s="7"/>
      <c r="N21" s="60">
        <f>M20-R20</f>
        <v>39877.477906499989</v>
      </c>
      <c r="O21" s="60"/>
      <c r="BF21" s="7" t="s">
        <v>125</v>
      </c>
      <c r="BG21">
        <v>114.17761445259386</v>
      </c>
    </row>
    <row r="22" spans="2:76" x14ac:dyDescent="0.3">
      <c r="C22" s="120" t="s">
        <v>129</v>
      </c>
      <c r="L22" s="53"/>
      <c r="M22" s="60"/>
      <c r="N22" s="121"/>
      <c r="O22" s="121"/>
      <c r="P22" s="121"/>
      <c r="Q22" s="121"/>
      <c r="R22" s="122"/>
      <c r="S22" s="121"/>
      <c r="T22" s="121"/>
      <c r="U22" s="121"/>
      <c r="V22" s="121"/>
      <c r="W22" s="60"/>
      <c r="X22" s="60"/>
      <c r="Y22" s="123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  <c r="BM22" s="124"/>
      <c r="BN22" s="124"/>
      <c r="BQ22" s="60">
        <f>SUM(BQ7:BT7)</f>
        <v>-2340.7093564912193</v>
      </c>
    </row>
    <row r="23" spans="2:76" ht="15" thickBot="1" x14ac:dyDescent="0.35">
      <c r="C23" s="120"/>
      <c r="L23" s="53"/>
      <c r="M23" s="60"/>
      <c r="N23" s="121"/>
      <c r="O23" s="121"/>
      <c r="P23" s="121"/>
      <c r="Q23" s="121"/>
      <c r="R23" s="122"/>
      <c r="S23" s="121"/>
      <c r="T23" s="121"/>
      <c r="U23" s="121"/>
      <c r="V23" s="121"/>
      <c r="W23" s="60"/>
      <c r="X23" s="60"/>
      <c r="Y23" s="123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E23" s="7"/>
      <c r="BF23" s="125"/>
      <c r="BK23" s="52"/>
      <c r="BQ23" s="60"/>
    </row>
    <row r="24" spans="2:76" ht="29.4" thickBot="1" x14ac:dyDescent="0.35">
      <c r="C24" s="16" t="s">
        <v>103</v>
      </c>
      <c r="D24" s="126" t="s">
        <v>104</v>
      </c>
      <c r="E24" s="127" t="s">
        <v>105</v>
      </c>
      <c r="F24" s="16" t="s">
        <v>61</v>
      </c>
      <c r="G24" s="16" t="s">
        <v>62</v>
      </c>
      <c r="H24" s="16" t="s">
        <v>63</v>
      </c>
      <c r="I24" s="16" t="s">
        <v>64</v>
      </c>
      <c r="J24" s="16" t="s">
        <v>65</v>
      </c>
      <c r="K24" s="16" t="s">
        <v>66</v>
      </c>
      <c r="L24" s="128" t="s">
        <v>67</v>
      </c>
      <c r="M24" s="129" t="s">
        <v>106</v>
      </c>
      <c r="N24" s="129" t="s">
        <v>107</v>
      </c>
      <c r="O24" s="129" t="s">
        <v>108</v>
      </c>
      <c r="P24" s="129" t="s">
        <v>109</v>
      </c>
      <c r="Q24" s="76" t="s">
        <v>110</v>
      </c>
      <c r="R24" s="76" t="s">
        <v>111</v>
      </c>
      <c r="S24" s="76" t="s">
        <v>112</v>
      </c>
      <c r="T24" s="76" t="s">
        <v>113</v>
      </c>
      <c r="U24" s="76" t="s">
        <v>114</v>
      </c>
      <c r="V24" s="76" t="s">
        <v>115</v>
      </c>
      <c r="W24" s="60"/>
      <c r="X24" s="60"/>
      <c r="Y24" s="123"/>
      <c r="BB24" s="7" t="s">
        <v>126</v>
      </c>
      <c r="BC24" s="130">
        <f>BC20-BC14-BC7</f>
        <v>1484124</v>
      </c>
      <c r="BJ24" s="130"/>
      <c r="BQ24" s="7">
        <f>BQ7/0.5</f>
        <v>-3668.8620122313878</v>
      </c>
    </row>
    <row r="25" spans="2:76" x14ac:dyDescent="0.3">
      <c r="C25" s="63" t="s">
        <v>86</v>
      </c>
      <c r="D25" s="83">
        <v>540</v>
      </c>
      <c r="E25" s="84">
        <f>E7</f>
        <v>1834.4310061156939</v>
      </c>
      <c r="F25" s="60">
        <f t="shared" ref="F25:F27" si="68">E25*D25</f>
        <v>990592.74330247473</v>
      </c>
      <c r="G25" s="60">
        <f t="shared" ref="G25:G27" si="69">D25*207.84</f>
        <v>112233.60000000001</v>
      </c>
      <c r="H25" s="60">
        <f t="shared" ref="H25:H27" si="70">H$20/$D$20*$D25</f>
        <v>18848.773285193427</v>
      </c>
      <c r="I25" s="60">
        <f t="shared" ref="I25:I27" si="71">I$20/$D$20*$D25</f>
        <v>37053.494644672035</v>
      </c>
      <c r="J25" s="60">
        <f t="shared" ref="J25:J27" si="72">J$20/$D$20*$D25</f>
        <v>29620.235908060356</v>
      </c>
      <c r="K25" s="85">
        <v>0</v>
      </c>
      <c r="L25" s="86">
        <v>0</v>
      </c>
      <c r="M25" s="87">
        <f t="shared" ref="M25:M26" si="73">F25+G25+H25+I25</f>
        <v>1158728.6112323403</v>
      </c>
      <c r="N25" s="88">
        <f t="shared" ref="N25:N26" si="74">IFERROR(M25/D25,0)</f>
        <v>2145.793724504334</v>
      </c>
      <c r="O25" s="88">
        <f t="shared" ref="O25:O26" si="75">F25+G25+H25-J25</f>
        <v>1092054.8806796079</v>
      </c>
      <c r="P25" s="88">
        <f t="shared" ref="P25:P26" si="76">IFERROR(O25/D25,0)</f>
        <v>2022.323853110385</v>
      </c>
      <c r="Q25" s="89">
        <v>1800</v>
      </c>
      <c r="R25" s="89">
        <f>Q25*D25</f>
        <v>972000</v>
      </c>
      <c r="S25" s="89">
        <f>R25-M25</f>
        <v>-186728.61123234034</v>
      </c>
      <c r="T25" s="90">
        <f t="shared" ref="T25:T26" si="77">IFERROR(S25/R25,0)</f>
        <v>-0.19210762472462997</v>
      </c>
      <c r="U25" s="89">
        <f t="shared" ref="U25:U27" si="78">R25-(M25-J25-I25)</f>
        <v>-120054.88067960786</v>
      </c>
      <c r="V25" s="90">
        <f t="shared" ref="V25:V26" si="79">IFERROR(U25/R25,0)</f>
        <v>-0.12351325172799162</v>
      </c>
      <c r="W25" s="60"/>
      <c r="X25" s="60"/>
      <c r="Y25" s="54"/>
      <c r="BB25" t="s">
        <v>127</v>
      </c>
      <c r="BC25" s="54">
        <v>2000000</v>
      </c>
      <c r="BD25" s="7"/>
      <c r="BF25" s="7"/>
      <c r="BH25" s="60"/>
      <c r="BJ25" s="7"/>
    </row>
    <row r="26" spans="2:76" x14ac:dyDescent="0.3">
      <c r="C26" s="63" t="s">
        <v>90</v>
      </c>
      <c r="D26" s="83">
        <v>108</v>
      </c>
      <c r="E26" s="84">
        <f>E11</f>
        <v>1596.558814009124</v>
      </c>
      <c r="F26" s="60">
        <f t="shared" si="68"/>
        <v>172428.35191298538</v>
      </c>
      <c r="G26" s="60">
        <f t="shared" si="69"/>
        <v>22446.720000000001</v>
      </c>
      <c r="H26" s="60">
        <f t="shared" si="70"/>
        <v>3769.7546570386849</v>
      </c>
      <c r="I26" s="60">
        <f t="shared" si="71"/>
        <v>7410.6989289344074</v>
      </c>
      <c r="J26" s="60">
        <f t="shared" si="72"/>
        <v>5924.0471816120717</v>
      </c>
      <c r="K26" s="85">
        <v>0</v>
      </c>
      <c r="L26" s="86">
        <v>0</v>
      </c>
      <c r="M26" s="87">
        <f t="shared" si="73"/>
        <v>206055.52549895848</v>
      </c>
      <c r="N26" s="88">
        <f t="shared" si="74"/>
        <v>1907.9215323977637</v>
      </c>
      <c r="O26" s="88">
        <f t="shared" si="75"/>
        <v>192720.77938841199</v>
      </c>
      <c r="P26" s="88">
        <f t="shared" si="76"/>
        <v>1784.4516610038147</v>
      </c>
      <c r="Q26" s="89">
        <v>2700</v>
      </c>
      <c r="R26" s="89">
        <f t="shared" ref="R26" si="80">Q26*D26</f>
        <v>291600</v>
      </c>
      <c r="S26" s="89">
        <f t="shared" ref="S26:S27" si="81">R26-M26</f>
        <v>85544.474501041521</v>
      </c>
      <c r="T26" s="90">
        <f t="shared" si="77"/>
        <v>0.29336239540823567</v>
      </c>
      <c r="U26" s="89">
        <f t="shared" si="78"/>
        <v>98879.220611588011</v>
      </c>
      <c r="V26" s="90">
        <f t="shared" si="79"/>
        <v>0.33909197740599456</v>
      </c>
      <c r="W26" s="60"/>
      <c r="X26" s="60"/>
      <c r="Y26" s="54"/>
      <c r="BC26" s="54"/>
      <c r="BD26" s="7"/>
      <c r="BF26" s="7"/>
      <c r="BH26" s="60"/>
      <c r="BJ26" s="7"/>
    </row>
    <row r="27" spans="2:76" ht="15" thickBot="1" x14ac:dyDescent="0.35">
      <c r="C27" s="63" t="s">
        <v>92</v>
      </c>
      <c r="D27" s="83">
        <v>270</v>
      </c>
      <c r="E27" s="84">
        <f>E14</f>
        <v>3085.0611236899645</v>
      </c>
      <c r="F27" s="60">
        <f t="shared" si="68"/>
        <v>832966.50339629035</v>
      </c>
      <c r="G27" s="60">
        <f t="shared" si="69"/>
        <v>56116.800000000003</v>
      </c>
      <c r="H27" s="60">
        <f t="shared" si="70"/>
        <v>9424.3866425967135</v>
      </c>
      <c r="I27" s="60">
        <f t="shared" si="71"/>
        <v>18526.747322336018</v>
      </c>
      <c r="J27" s="60">
        <f t="shared" si="72"/>
        <v>14810.117954030178</v>
      </c>
      <c r="K27" s="85">
        <v>0</v>
      </c>
      <c r="L27" s="86">
        <v>0</v>
      </c>
      <c r="M27" s="87">
        <f>F27+G27+H27+I27</f>
        <v>917034.43736122316</v>
      </c>
      <c r="N27" s="88">
        <f>IFERROR(M27/D27,0)</f>
        <v>3396.4238420786041</v>
      </c>
      <c r="O27" s="88">
        <f>F27+G27+H27-J27</f>
        <v>883697.57208485692</v>
      </c>
      <c r="P27" s="88">
        <f>IFERROR(O27/D27,0)</f>
        <v>3272.9539706846554</v>
      </c>
      <c r="Q27" s="89">
        <v>3500</v>
      </c>
      <c r="R27" s="89">
        <f>Q27*D27</f>
        <v>945000</v>
      </c>
      <c r="S27" s="89">
        <f t="shared" si="81"/>
        <v>27965.562638776843</v>
      </c>
      <c r="T27" s="90">
        <f>IFERROR(S27/R27,0)</f>
        <v>2.9593187977541631E-2</v>
      </c>
      <c r="U27" s="89">
        <f t="shared" si="78"/>
        <v>61302.427915143082</v>
      </c>
      <c r="V27" s="90">
        <f>IFERROR(U27/R27,0)</f>
        <v>6.4870294090098493E-2</v>
      </c>
      <c r="W27" s="60"/>
      <c r="X27" s="60"/>
      <c r="Y27" s="54"/>
      <c r="BB27" t="s">
        <v>128</v>
      </c>
      <c r="BC27" s="60">
        <f>M30</f>
        <v>6870674.0519990223</v>
      </c>
      <c r="BF27" s="7"/>
      <c r="BH27" s="7"/>
    </row>
    <row r="28" spans="2:76" ht="15" thickBot="1" x14ac:dyDescent="0.35">
      <c r="C28" s="131" t="s">
        <v>124</v>
      </c>
      <c r="D28" s="103">
        <f>SUM(D25:D27)</f>
        <v>918</v>
      </c>
      <c r="E28" s="104">
        <f>F28/D28</f>
        <v>2174.2784298602946</v>
      </c>
      <c r="F28" s="105">
        <f t="shared" ref="F28:K28" si="82">SUM(F25:F27)</f>
        <v>1995987.5986117504</v>
      </c>
      <c r="G28" s="105">
        <f t="shared" si="82"/>
        <v>190797.12</v>
      </c>
      <c r="H28" s="105">
        <f t="shared" si="82"/>
        <v>32042.914584828824</v>
      </c>
      <c r="I28" s="105">
        <f t="shared" si="82"/>
        <v>62990.940895942462</v>
      </c>
      <c r="J28" s="105">
        <f t="shared" si="82"/>
        <v>50354.401043702601</v>
      </c>
      <c r="K28" s="105">
        <f t="shared" si="82"/>
        <v>0</v>
      </c>
      <c r="L28" s="106">
        <v>0</v>
      </c>
      <c r="M28" s="107">
        <f>SUM(M25:M27)</f>
        <v>2281818.5740925223</v>
      </c>
      <c r="N28" s="107">
        <f>IFERROR(M28/D28,0)</f>
        <v>2485.6411482489348</v>
      </c>
      <c r="O28" s="107">
        <f>SUM(O25:O27)</f>
        <v>2168473.2321528764</v>
      </c>
      <c r="P28" s="107">
        <f>IFERROR(O28/D28,0)</f>
        <v>2362.1712768549851</v>
      </c>
      <c r="Q28" s="108">
        <f>R28/D28</f>
        <v>2405.8823529411766</v>
      </c>
      <c r="R28" s="109">
        <f>SUM(R25:R27)</f>
        <v>2208600</v>
      </c>
      <c r="S28" s="109">
        <f>SUM(S25:S27)</f>
        <v>-73218.574092521972</v>
      </c>
      <c r="T28" s="110">
        <f>S28/R28</f>
        <v>-3.3151577511782111E-2</v>
      </c>
      <c r="U28" s="109">
        <f>SUM(U25:U27)</f>
        <v>40126.767847123236</v>
      </c>
      <c r="V28" s="110">
        <f>IFERROR(U28/R28,0)</f>
        <v>1.8168417933135578E-2</v>
      </c>
      <c r="W28" s="60"/>
      <c r="X28" s="60"/>
      <c r="Y28" s="54"/>
      <c r="BC28" s="132">
        <f>SUM(BC24:BC27)</f>
        <v>10354798.051999021</v>
      </c>
      <c r="BD28" s="60"/>
    </row>
    <row r="29" spans="2:76" ht="15" thickBot="1" x14ac:dyDescent="0.35">
      <c r="G29" s="60"/>
      <c r="J29" s="7"/>
      <c r="L29" s="53"/>
      <c r="N29" s="121"/>
      <c r="O29" s="121"/>
      <c r="P29" s="121"/>
      <c r="Q29" s="121"/>
      <c r="R29" s="121"/>
      <c r="S29" s="121"/>
      <c r="T29" s="121"/>
      <c r="U29" s="121"/>
      <c r="V29" s="121"/>
      <c r="W29" s="60"/>
      <c r="X29" s="60"/>
      <c r="Y29" s="54"/>
      <c r="BD29" s="54"/>
    </row>
    <row r="30" spans="2:76" ht="15" thickBot="1" x14ac:dyDescent="0.35">
      <c r="C30" s="131" t="s">
        <v>124</v>
      </c>
      <c r="D30" s="103">
        <f>D20+D28</f>
        <v>3169.2159999999999</v>
      </c>
      <c r="E30" s="104">
        <f>F30/D30</f>
        <v>1856.5785175507917</v>
      </c>
      <c r="F30" s="105">
        <f t="shared" ref="F30:M30" si="83">F20+F28</f>
        <v>5883898.3430782501</v>
      </c>
      <c r="G30" s="105">
        <f t="shared" si="83"/>
        <v>658689.85343999998</v>
      </c>
      <c r="H30" s="105">
        <f t="shared" si="83"/>
        <v>110621.91458482883</v>
      </c>
      <c r="I30" s="105">
        <f t="shared" si="83"/>
        <v>217463.94089594245</v>
      </c>
      <c r="J30" s="105">
        <f t="shared" si="83"/>
        <v>173838.75104370259</v>
      </c>
      <c r="K30" s="105">
        <f t="shared" si="83"/>
        <v>0</v>
      </c>
      <c r="L30" s="106">
        <f t="shared" si="83"/>
        <v>0</v>
      </c>
      <c r="M30" s="107">
        <f t="shared" si="83"/>
        <v>6870674.0519990223</v>
      </c>
      <c r="N30" s="107">
        <f>IFERROR(M30/D30,0)</f>
        <v>2167.9412359394319</v>
      </c>
      <c r="O30" s="107">
        <f>O20+O28</f>
        <v>6479371.3600593759</v>
      </c>
      <c r="P30" s="107">
        <f>IFERROR(O30/D30,0)</f>
        <v>2044.4713645454826</v>
      </c>
      <c r="Q30" s="108">
        <f>R30/D30</f>
        <v>2132.2554221611908</v>
      </c>
      <c r="R30" s="109">
        <f>R20+R28</f>
        <v>6757578</v>
      </c>
      <c r="S30" s="109">
        <f>S20+S28</f>
        <v>-113096.05199902167</v>
      </c>
      <c r="T30" s="110">
        <f>S30/R30</f>
        <v>-1.6736181513409342E-2</v>
      </c>
      <c r="U30" s="109">
        <f>U20+U28</f>
        <v>278206.63994062378</v>
      </c>
      <c r="V30" s="110">
        <f>IFERROR(U30/R30,0)</f>
        <v>4.1169578795927149E-2</v>
      </c>
      <c r="X30" s="60"/>
      <c r="Y30" s="54"/>
      <c r="BC30" s="65"/>
      <c r="BD30" s="133"/>
    </row>
    <row r="31" spans="2:76" x14ac:dyDescent="0.3">
      <c r="L31" s="53"/>
      <c r="N31" s="60"/>
      <c r="O31" s="121"/>
      <c r="P31" s="121"/>
      <c r="Q31" s="121"/>
      <c r="R31" s="121"/>
      <c r="S31" s="121"/>
      <c r="T31" s="121"/>
      <c r="U31" s="121"/>
      <c r="V31" s="121"/>
      <c r="W31" s="60"/>
      <c r="X31" s="60"/>
      <c r="Y31" s="54"/>
      <c r="BC31" s="54"/>
    </row>
    <row r="32" spans="2:76" x14ac:dyDescent="0.3">
      <c r="L32" s="53"/>
      <c r="N32" s="121"/>
      <c r="O32" s="121"/>
      <c r="P32" s="121"/>
      <c r="Q32" s="121"/>
      <c r="R32" s="121"/>
      <c r="S32" s="121"/>
      <c r="T32" s="121"/>
      <c r="U32" s="121"/>
      <c r="V32" s="121"/>
      <c r="W32" s="60"/>
      <c r="X32" s="60"/>
      <c r="Y32" s="54"/>
    </row>
    <row r="33" spans="8:25" x14ac:dyDescent="0.3">
      <c r="L33" s="53"/>
      <c r="N33" s="121"/>
      <c r="O33" s="121"/>
      <c r="P33" s="121"/>
      <c r="Q33" s="121"/>
      <c r="R33" s="121"/>
      <c r="S33" s="121"/>
      <c r="T33" s="138"/>
      <c r="U33" s="121"/>
      <c r="V33" s="121"/>
      <c r="W33" s="60"/>
      <c r="X33" s="60"/>
      <c r="Y33" s="54"/>
    </row>
    <row r="34" spans="8:25" x14ac:dyDescent="0.3">
      <c r="H34" s="7"/>
      <c r="I34" s="7"/>
      <c r="J34" s="7"/>
      <c r="L34" s="139"/>
      <c r="M34" s="7"/>
      <c r="N34" s="121"/>
      <c r="O34" s="121"/>
      <c r="P34" s="121"/>
      <c r="Q34" s="121"/>
      <c r="R34" s="121"/>
      <c r="S34" s="121"/>
      <c r="T34" s="121"/>
      <c r="U34" s="121"/>
      <c r="V34" s="121"/>
      <c r="W34" s="60"/>
      <c r="X34" s="60"/>
      <c r="Y34" s="54"/>
    </row>
    <row r="35" spans="8:25" x14ac:dyDescent="0.3">
      <c r="L35" s="53"/>
      <c r="N35" s="121"/>
      <c r="O35" s="121"/>
      <c r="P35" s="121"/>
      <c r="Q35" s="121"/>
      <c r="R35" s="121"/>
      <c r="S35" s="121"/>
      <c r="T35" s="138"/>
      <c r="U35" s="121"/>
      <c r="V35" s="121"/>
      <c r="W35" s="60"/>
      <c r="X35" s="60"/>
      <c r="Y35" s="54"/>
    </row>
    <row r="36" spans="8:25" x14ac:dyDescent="0.3">
      <c r="L36" s="134"/>
      <c r="M36" s="65"/>
      <c r="N36" s="135"/>
      <c r="O36" s="135"/>
      <c r="P36" s="135"/>
      <c r="Q36" s="135"/>
      <c r="R36" s="135"/>
      <c r="S36" s="135"/>
      <c r="T36" s="135"/>
      <c r="U36" s="135"/>
      <c r="V36" s="135"/>
      <c r="Y36" s="135"/>
    </row>
    <row r="38" spans="8:25" x14ac:dyDescent="0.3">
      <c r="N38" s="60"/>
      <c r="O38" s="60"/>
      <c r="P38" s="60"/>
      <c r="Q38" s="60"/>
      <c r="R38" s="60"/>
      <c r="S38" s="60"/>
      <c r="T38" s="60"/>
      <c r="U38" s="60"/>
      <c r="V38" s="60"/>
    </row>
    <row r="39" spans="8:25" x14ac:dyDescent="0.3">
      <c r="N39" s="60"/>
      <c r="O39" s="60"/>
      <c r="P39" s="60"/>
      <c r="Q39" s="60"/>
      <c r="R39" s="60"/>
      <c r="S39" s="60"/>
      <c r="T39" s="60"/>
      <c r="U39" s="60"/>
      <c r="V39" s="60"/>
    </row>
    <row r="40" spans="8:25" x14ac:dyDescent="0.3">
      <c r="N40" s="52"/>
      <c r="O40" s="52"/>
      <c r="P40" s="52"/>
      <c r="Q40" s="52"/>
      <c r="R40" s="52"/>
      <c r="S40" s="52"/>
      <c r="T40" s="52"/>
      <c r="U40" s="52"/>
      <c r="V40" s="52"/>
    </row>
  </sheetData>
  <mergeCells count="14">
    <mergeCell ref="AJ5:AL5"/>
    <mergeCell ref="AM5:AO5"/>
    <mergeCell ref="AP5:AR5"/>
    <mergeCell ref="AS5:AU5"/>
    <mergeCell ref="F5:V5"/>
    <mergeCell ref="X5:Z5"/>
    <mergeCell ref="AA5:AC5"/>
    <mergeCell ref="AD5:AF5"/>
    <mergeCell ref="AG5:AI5"/>
    <mergeCell ref="BB5:BN5"/>
    <mergeCell ref="BP5:BX5"/>
    <mergeCell ref="AV5:AX5"/>
    <mergeCell ref="AY5:BA5"/>
    <mergeCell ref="BB4:BL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166A-6A65-4C22-BDEB-075AF8C89798}">
  <dimension ref="B3:K17"/>
  <sheetViews>
    <sheetView showGridLines="0" zoomScale="90" zoomScaleNormal="90" workbookViewId="0">
      <selection activeCell="I11" sqref="I11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19.3320312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3" spans="2:11" x14ac:dyDescent="0.3">
      <c r="E3" s="58" t="s">
        <v>78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</row>
    <row r="4" spans="2:11" x14ac:dyDescent="0.3">
      <c r="B4" s="61" t="b">
        <f t="shared" ref="B4:B14" si="0">C4=E4</f>
        <v>1</v>
      </c>
      <c r="C4" s="59">
        <v>10005721</v>
      </c>
      <c r="D4" s="62" t="s">
        <v>86</v>
      </c>
      <c r="E4" s="59">
        <v>10005721</v>
      </c>
      <c r="F4" s="60">
        <v>66.599999999999994</v>
      </c>
      <c r="G4" s="60">
        <v>122173.1050073052</v>
      </c>
      <c r="H4" s="60">
        <v>13842.144</v>
      </c>
      <c r="I4" s="60">
        <v>2324.6820385071892</v>
      </c>
      <c r="J4" s="60">
        <v>4569.931006176218</v>
      </c>
      <c r="K4" s="60">
        <v>3653.1624286607776</v>
      </c>
    </row>
    <row r="5" spans="2:11" x14ac:dyDescent="0.3">
      <c r="B5" s="61" t="b">
        <f t="shared" si="0"/>
        <v>1</v>
      </c>
      <c r="C5" s="59">
        <v>10005779</v>
      </c>
      <c r="D5" s="63" t="s">
        <v>87</v>
      </c>
      <c r="E5" s="59">
        <v>10005779</v>
      </c>
      <c r="F5" s="60">
        <v>439.26</v>
      </c>
      <c r="G5" s="60">
        <v>651608.3731558983</v>
      </c>
      <c r="H5" s="60">
        <v>91295.7984</v>
      </c>
      <c r="I5" s="60">
        <v>15332.429913433452</v>
      </c>
      <c r="J5" s="60">
        <v>30140.959365960447</v>
      </c>
      <c r="K5" s="60">
        <v>24094.416342545537</v>
      </c>
    </row>
    <row r="6" spans="2:11" x14ac:dyDescent="0.3">
      <c r="B6" s="61" t="b">
        <f t="shared" si="0"/>
        <v>1</v>
      </c>
      <c r="C6" s="59">
        <v>10006719</v>
      </c>
      <c r="D6" s="63" t="s">
        <v>88</v>
      </c>
      <c r="E6" s="59">
        <v>10006719</v>
      </c>
      <c r="F6" s="60">
        <v>15.1</v>
      </c>
      <c r="G6" s="60">
        <v>26152.748917685036</v>
      </c>
      <c r="H6" s="60">
        <v>3138.384</v>
      </c>
      <c r="I6" s="60">
        <v>527.06754927114946</v>
      </c>
      <c r="J6" s="60">
        <v>1036.1254983973108</v>
      </c>
      <c r="K6" s="60">
        <v>828.26955965131742</v>
      </c>
    </row>
    <row r="7" spans="2:11" x14ac:dyDescent="0.3">
      <c r="B7" s="61" t="b">
        <f t="shared" si="0"/>
        <v>1</v>
      </c>
      <c r="C7" s="59">
        <v>10007050</v>
      </c>
      <c r="D7" s="63" t="s">
        <v>89</v>
      </c>
      <c r="E7" s="59">
        <v>10007050</v>
      </c>
      <c r="F7" s="60">
        <v>57.26</v>
      </c>
      <c r="G7" s="60">
        <v>74908.094471694261</v>
      </c>
      <c r="H7" s="60">
        <v>11900.918399999999</v>
      </c>
      <c r="I7" s="60">
        <v>1998.6680709447694</v>
      </c>
      <c r="J7" s="60">
        <v>3929.0427839887425</v>
      </c>
      <c r="K7" s="60">
        <v>3140.8420520287705</v>
      </c>
    </row>
    <row r="8" spans="2:11" x14ac:dyDescent="0.3">
      <c r="B8" s="61" t="b">
        <f t="shared" si="0"/>
        <v>1</v>
      </c>
      <c r="C8" s="59">
        <v>10007162</v>
      </c>
      <c r="D8" s="63" t="s">
        <v>90</v>
      </c>
      <c r="E8" s="59">
        <v>10007162</v>
      </c>
      <c r="F8" s="60">
        <v>272.36</v>
      </c>
      <c r="G8" s="60">
        <v>434838.75858352502</v>
      </c>
      <c r="H8" s="60">
        <v>56607.3024</v>
      </c>
      <c r="I8" s="60">
        <v>9506.7627628801511</v>
      </c>
      <c r="J8" s="60">
        <v>18688.684817449772</v>
      </c>
      <c r="K8" s="60">
        <v>14939.569355406147</v>
      </c>
    </row>
    <row r="9" spans="2:11" x14ac:dyDescent="0.3">
      <c r="B9" s="61" t="b">
        <f t="shared" si="0"/>
        <v>1</v>
      </c>
      <c r="C9" s="59">
        <v>10007567</v>
      </c>
      <c r="D9" s="63" t="s">
        <v>91</v>
      </c>
      <c r="E9" s="59">
        <v>10007567</v>
      </c>
      <c r="F9" s="60">
        <v>132.38</v>
      </c>
      <c r="G9" s="60">
        <v>203886.86650826776</v>
      </c>
      <c r="H9" s="60">
        <v>27513.859199999999</v>
      </c>
      <c r="I9" s="60">
        <v>4620.7418657294547</v>
      </c>
      <c r="J9" s="60">
        <v>9083.5955945586738</v>
      </c>
      <c r="K9" s="60">
        <v>7261.3459805722778</v>
      </c>
    </row>
    <row r="10" spans="2:11" x14ac:dyDescent="0.3">
      <c r="B10" s="61" t="b">
        <f t="shared" si="0"/>
        <v>1</v>
      </c>
      <c r="C10" s="59">
        <v>10007969</v>
      </c>
      <c r="D10" s="63" t="s">
        <v>12</v>
      </c>
      <c r="E10" s="59">
        <v>10007969</v>
      </c>
      <c r="F10" s="60">
        <v>19.34</v>
      </c>
      <c r="G10" s="60">
        <v>23846.92978301485</v>
      </c>
      <c r="H10" s="60">
        <v>4019.6255999999998</v>
      </c>
      <c r="I10" s="60">
        <v>675.06532469563115</v>
      </c>
      <c r="J10" s="60">
        <v>1327.0640489406615</v>
      </c>
      <c r="K10" s="60">
        <v>1060.8432638183099</v>
      </c>
    </row>
    <row r="11" spans="2:11" x14ac:dyDescent="0.3">
      <c r="B11" s="61" t="b">
        <f t="shared" si="0"/>
        <v>1</v>
      </c>
      <c r="C11" s="59">
        <v>10009239</v>
      </c>
      <c r="D11" s="63" t="s">
        <v>92</v>
      </c>
      <c r="E11" s="59">
        <v>10009239</v>
      </c>
      <c r="F11" s="60">
        <v>102.89999999999999</v>
      </c>
      <c r="G11" s="60">
        <v>317452.78962769732</v>
      </c>
      <c r="H11" s="60">
        <v>21386.736000000001</v>
      </c>
      <c r="I11" s="60">
        <v>3591.7384649007472</v>
      </c>
      <c r="J11" s="60">
        <v>7060.749257290282</v>
      </c>
      <c r="K11" s="60">
        <v>5644.3005091470568</v>
      </c>
    </row>
    <row r="12" spans="2:11" x14ac:dyDescent="0.3">
      <c r="B12" s="61" t="b">
        <f t="shared" si="0"/>
        <v>1</v>
      </c>
      <c r="C12" s="59">
        <v>10009334</v>
      </c>
      <c r="D12" s="63" t="s">
        <v>93</v>
      </c>
      <c r="E12" s="59">
        <v>10009334</v>
      </c>
      <c r="F12" s="60">
        <v>19.036000000000001</v>
      </c>
      <c r="G12" s="60">
        <v>50437.835203846196</v>
      </c>
      <c r="H12" s="60">
        <v>3956.4422399999999</v>
      </c>
      <c r="I12" s="60">
        <v>664.45416343878151</v>
      </c>
      <c r="J12" s="60">
        <v>1306.2043038073646</v>
      </c>
      <c r="K12" s="60">
        <v>1044.1681680478462</v>
      </c>
    </row>
    <row r="13" spans="2:11" x14ac:dyDescent="0.3">
      <c r="B13" s="61" t="b">
        <f t="shared" si="0"/>
        <v>1</v>
      </c>
      <c r="C13" s="59">
        <v>10009386</v>
      </c>
      <c r="D13" s="63" t="s">
        <v>94</v>
      </c>
      <c r="E13" s="59">
        <v>10009386</v>
      </c>
      <c r="F13" s="60">
        <v>21.32</v>
      </c>
      <c r="G13" s="60">
        <v>34069.152205527636</v>
      </c>
      <c r="H13" s="60">
        <v>4431.1487999999999</v>
      </c>
      <c r="I13" s="60">
        <v>744.17749340800708</v>
      </c>
      <c r="J13" s="60">
        <v>1462.9268626377923</v>
      </c>
      <c r="K13" s="60">
        <v>1169.4507954811979</v>
      </c>
    </row>
    <row r="14" spans="2:11" x14ac:dyDescent="0.3">
      <c r="B14" s="61" t="b">
        <f t="shared" si="0"/>
        <v>0</v>
      </c>
      <c r="D14" s="63" t="s">
        <v>97</v>
      </c>
      <c r="E14" s="59">
        <v>10009207</v>
      </c>
      <c r="F14" s="60">
        <v>30.58</v>
      </c>
      <c r="G14" s="60">
        <v>39141.490276476681</v>
      </c>
      <c r="H14" s="60">
        <v>6355.7471999999998</v>
      </c>
      <c r="I14" s="60">
        <v>1067.399050113361</v>
      </c>
      <c r="J14" s="60">
        <v>2098.3256782112421</v>
      </c>
      <c r="K14" s="60">
        <v>1677.3829890157142</v>
      </c>
    </row>
    <row r="15" spans="2:11" x14ac:dyDescent="0.3">
      <c r="D15" t="s">
        <v>95</v>
      </c>
      <c r="E15" s="59">
        <v>10009650</v>
      </c>
      <c r="F15" s="60">
        <v>462.5</v>
      </c>
      <c r="G15" s="60">
        <v>848424.34032850841</v>
      </c>
      <c r="H15" s="60">
        <v>96126</v>
      </c>
      <c r="I15" s="60">
        <v>16143.625267411036</v>
      </c>
      <c r="J15" s="60">
        <v>31735.631987334848</v>
      </c>
      <c r="K15" s="60">
        <v>25369.183532366511</v>
      </c>
    </row>
    <row r="16" spans="2:11" x14ac:dyDescent="0.3">
      <c r="D16" t="s">
        <v>96</v>
      </c>
      <c r="E16" s="59">
        <v>10009649</v>
      </c>
      <c r="F16" s="60">
        <v>612.58000000000004</v>
      </c>
      <c r="G16" s="60">
        <v>1060970.2603970531</v>
      </c>
      <c r="H16" s="60">
        <v>127318.62720000002</v>
      </c>
      <c r="I16" s="60">
        <v>21382.188035266277</v>
      </c>
      <c r="J16" s="60">
        <v>42033.758795246664</v>
      </c>
      <c r="K16" s="60">
        <v>33601.415023258545</v>
      </c>
    </row>
    <row r="17" spans="5:11" x14ac:dyDescent="0.3">
      <c r="E17" s="59" t="s">
        <v>79</v>
      </c>
      <c r="F17" s="60">
        <v>2251.2159999999999</v>
      </c>
      <c r="G17" s="60">
        <v>3887910.7444664994</v>
      </c>
      <c r="H17" s="60">
        <v>467892.73343999998</v>
      </c>
      <c r="I17" s="60">
        <v>78579</v>
      </c>
      <c r="J17" s="60">
        <v>154473</v>
      </c>
      <c r="K17" s="60">
        <v>123484.35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C08A-AB0E-4B3E-964D-019F228EB69F}">
  <dimension ref="B1:U59"/>
  <sheetViews>
    <sheetView zoomScale="80" zoomScaleNormal="80" workbookViewId="0">
      <selection activeCell="H9" sqref="H9"/>
    </sheetView>
  </sheetViews>
  <sheetFormatPr baseColWidth="10" defaultRowHeight="14.4" x14ac:dyDescent="0.3"/>
  <cols>
    <col min="2" max="2" width="48.77734375" bestFit="1" customWidth="1"/>
    <col min="3" max="3" width="13" bestFit="1" customWidth="1"/>
    <col min="4" max="4" width="15" bestFit="1" customWidth="1"/>
    <col min="5" max="5" width="13" bestFit="1" customWidth="1"/>
    <col min="7" max="7" width="16.33203125" customWidth="1"/>
    <col min="10" max="10" width="16" bestFit="1" customWidth="1"/>
    <col min="11" max="11" width="18.5546875" bestFit="1" customWidth="1"/>
    <col min="12" max="12" width="15.21875" customWidth="1"/>
    <col min="13" max="14" width="13.5546875" bestFit="1" customWidth="1"/>
    <col min="15" max="15" width="11.77734375" bestFit="1" customWidth="1"/>
    <col min="17" max="17" width="14.109375" bestFit="1" customWidth="1"/>
    <col min="20" max="20" width="17.33203125" bestFit="1" customWidth="1"/>
    <col min="21" max="21" width="23.33203125" bestFit="1" customWidth="1"/>
  </cols>
  <sheetData>
    <row r="1" spans="2:21" ht="15" thickBot="1" x14ac:dyDescent="0.35">
      <c r="B1" s="1" t="s">
        <v>0</v>
      </c>
      <c r="C1" s="2" t="s">
        <v>1</v>
      </c>
      <c r="D1" s="3" t="s">
        <v>2</v>
      </c>
      <c r="E1" s="4" t="s">
        <v>3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6" t="s">
        <v>60</v>
      </c>
      <c r="M1" s="27" t="s">
        <v>61</v>
      </c>
      <c r="N1" s="27" t="s">
        <v>62</v>
      </c>
      <c r="O1" s="27" t="s">
        <v>63</v>
      </c>
      <c r="P1" s="27" t="s">
        <v>64</v>
      </c>
      <c r="Q1" s="27" t="s">
        <v>65</v>
      </c>
      <c r="R1" s="27" t="s">
        <v>66</v>
      </c>
      <c r="S1" s="28" t="s">
        <v>67</v>
      </c>
      <c r="T1" s="29" t="s">
        <v>68</v>
      </c>
      <c r="U1" s="29" t="s">
        <v>69</v>
      </c>
    </row>
    <row r="2" spans="2:21" ht="15.6" x14ac:dyDescent="0.3">
      <c r="B2" s="5" t="s">
        <v>4</v>
      </c>
      <c r="C2" s="18">
        <v>14400</v>
      </c>
      <c r="D2" s="19"/>
      <c r="E2" s="20">
        <v>14400</v>
      </c>
      <c r="G2" s="30">
        <v>10006719</v>
      </c>
      <c r="H2" s="31">
        <f>IFERROR(INDEX([4]Resumen!$K$3:$K$63,MATCH(G2,[4]Resumen!$C$3:$C$63,0)),0)*(1+I2*J2)/1000-51.89/1000-93.38/1000</f>
        <v>1.7319701269990091</v>
      </c>
      <c r="I2" s="32">
        <v>0.71</v>
      </c>
      <c r="J2" s="33">
        <f t="shared" ref="J2:J51" si="0">$H$59</f>
        <v>-0.10965909090909082</v>
      </c>
      <c r="K2" s="34">
        <f t="shared" ref="K2:K51" si="1">C2</f>
        <v>14400</v>
      </c>
      <c r="L2" s="35">
        <f t="shared" ref="L2:L51" si="2">IF(E2&lt;0,0,E2)/1000</f>
        <v>14.4</v>
      </c>
      <c r="M2" s="36">
        <f t="shared" ref="M2:M51" si="3">IFERROR(H2*L2,0)*1000</f>
        <v>24940.36982878573</v>
      </c>
      <c r="N2" s="37">
        <f t="shared" ref="N2:N51" si="4">207.84*L2</f>
        <v>2992.8960000000002</v>
      </c>
      <c r="O2" s="36">
        <f t="shared" ref="O2:O51" si="5">$O$54/$L$52*L2</f>
        <v>502.63395427182468</v>
      </c>
      <c r="P2" s="36">
        <f t="shared" ref="P2:P51" si="6">$P$54/$L$52*L2</f>
        <v>988.09319052458773</v>
      </c>
      <c r="Q2" s="36">
        <f t="shared" ref="Q2:Q51" si="7">$Q$54/$L$52*L2</f>
        <v>789.87295754827619</v>
      </c>
      <c r="R2" s="36">
        <v>0</v>
      </c>
      <c r="S2" s="38">
        <v>0</v>
      </c>
      <c r="T2" s="39">
        <f t="shared" ref="T2:T51" si="8">M2+N2+O2+P2</f>
        <v>29423.992973582142</v>
      </c>
      <c r="U2" s="39">
        <f t="shared" ref="U2:U52" si="9">IFERROR(T2/L2,0)</f>
        <v>2043.3328453876488</v>
      </c>
    </row>
    <row r="3" spans="2:21" ht="15.6" x14ac:dyDescent="0.3">
      <c r="B3" s="6" t="s">
        <v>5</v>
      </c>
      <c r="C3" s="18">
        <v>2880</v>
      </c>
      <c r="D3" s="19">
        <v>2180</v>
      </c>
      <c r="E3" s="20">
        <v>700</v>
      </c>
      <c r="G3" s="30">
        <v>10006719</v>
      </c>
      <c r="H3" s="31">
        <f>IFERROR(INDEX([4]Resumen!$K$3:$K$63,MATCH(G3,[4]Resumen!$C$3:$C$63,0)),0)*(1+I3*J3)/1000-51.89/1000-93.38/1000</f>
        <v>1.7319701269990091</v>
      </c>
      <c r="I3" s="32">
        <v>0.71</v>
      </c>
      <c r="J3" s="33">
        <f t="shared" si="0"/>
        <v>-0.10965909090909082</v>
      </c>
      <c r="K3" s="34">
        <f t="shared" si="1"/>
        <v>2880</v>
      </c>
      <c r="L3" s="35">
        <f t="shared" si="2"/>
        <v>0.7</v>
      </c>
      <c r="M3" s="36">
        <f t="shared" si="3"/>
        <v>1212.3790888993062</v>
      </c>
      <c r="N3" s="37">
        <f t="shared" si="4"/>
        <v>145.488</v>
      </c>
      <c r="O3" s="36">
        <f t="shared" si="5"/>
        <v>24.433594999324811</v>
      </c>
      <c r="P3" s="36">
        <f t="shared" si="6"/>
        <v>48.03230787272301</v>
      </c>
      <c r="Q3" s="36">
        <f t="shared" si="7"/>
        <v>38.396602103041204</v>
      </c>
      <c r="R3" s="36">
        <v>0</v>
      </c>
      <c r="S3" s="38">
        <v>0</v>
      </c>
      <c r="T3" s="39">
        <f t="shared" si="8"/>
        <v>1430.3329917713543</v>
      </c>
      <c r="U3" s="39">
        <f t="shared" si="9"/>
        <v>2043.3328453876491</v>
      </c>
    </row>
    <row r="4" spans="2:21" ht="15.6" x14ac:dyDescent="0.3">
      <c r="B4" s="6" t="s">
        <v>6</v>
      </c>
      <c r="C4" s="18">
        <v>51820</v>
      </c>
      <c r="D4" s="19">
        <v>51820</v>
      </c>
      <c r="E4" s="20">
        <v>0</v>
      </c>
      <c r="F4" s="7"/>
      <c r="G4" s="30">
        <v>10006719</v>
      </c>
      <c r="H4" s="31">
        <f>IFERROR(INDEX([4]Resumen!$K$3:$K$63,MATCH(G4,[4]Resumen!$C$3:$C$63,0)),0)*(1+I4*J4)/1000-51.89/1000-93.38/1000</f>
        <v>1.7319701269990091</v>
      </c>
      <c r="I4" s="32">
        <v>0.71</v>
      </c>
      <c r="J4" s="33">
        <f t="shared" si="0"/>
        <v>-0.10965909090909082</v>
      </c>
      <c r="K4" s="34">
        <f t="shared" si="1"/>
        <v>51820</v>
      </c>
      <c r="L4" s="35">
        <f t="shared" si="2"/>
        <v>0</v>
      </c>
      <c r="M4" s="36">
        <f t="shared" si="3"/>
        <v>0</v>
      </c>
      <c r="N4" s="37">
        <f t="shared" si="4"/>
        <v>0</v>
      </c>
      <c r="O4" s="36">
        <f t="shared" si="5"/>
        <v>0</v>
      </c>
      <c r="P4" s="36">
        <f t="shared" si="6"/>
        <v>0</v>
      </c>
      <c r="Q4" s="36">
        <f t="shared" si="7"/>
        <v>0</v>
      </c>
      <c r="R4" s="36">
        <v>0</v>
      </c>
      <c r="S4" s="38">
        <v>0</v>
      </c>
      <c r="T4" s="39">
        <f t="shared" si="8"/>
        <v>0</v>
      </c>
      <c r="U4" s="39">
        <f t="shared" si="9"/>
        <v>0</v>
      </c>
    </row>
    <row r="5" spans="2:21" ht="15.6" x14ac:dyDescent="0.3">
      <c r="B5" s="6" t="s">
        <v>7</v>
      </c>
      <c r="C5" s="18">
        <v>0</v>
      </c>
      <c r="D5" s="19"/>
      <c r="E5" s="20">
        <v>0</v>
      </c>
      <c r="G5" s="30">
        <v>10006719</v>
      </c>
      <c r="H5" s="31">
        <f>IFERROR(INDEX([4]Resumen!$K$3:$K$63,MATCH(G5,[4]Resumen!$C$3:$C$63,0)),0)*(1+I5*J5)/1000-51.89/1000-93.38/1000</f>
        <v>1.7319701269990091</v>
      </c>
      <c r="I5" s="32">
        <v>0.71</v>
      </c>
      <c r="J5" s="33">
        <f t="shared" si="0"/>
        <v>-0.10965909090909082</v>
      </c>
      <c r="K5" s="34">
        <f t="shared" si="1"/>
        <v>0</v>
      </c>
      <c r="L5" s="35">
        <f t="shared" si="2"/>
        <v>0</v>
      </c>
      <c r="M5" s="36">
        <f t="shared" si="3"/>
        <v>0</v>
      </c>
      <c r="N5" s="37">
        <f t="shared" si="4"/>
        <v>0</v>
      </c>
      <c r="O5" s="36">
        <f t="shared" si="5"/>
        <v>0</v>
      </c>
      <c r="P5" s="36">
        <f t="shared" si="6"/>
        <v>0</v>
      </c>
      <c r="Q5" s="36">
        <f t="shared" si="7"/>
        <v>0</v>
      </c>
      <c r="R5" s="36">
        <v>0</v>
      </c>
      <c r="S5" s="38">
        <v>0</v>
      </c>
      <c r="T5" s="39">
        <f t="shared" si="8"/>
        <v>0</v>
      </c>
      <c r="U5" s="39">
        <f t="shared" si="9"/>
        <v>0</v>
      </c>
    </row>
    <row r="6" spans="2:21" ht="15.6" x14ac:dyDescent="0.3">
      <c r="B6" s="6" t="s">
        <v>8</v>
      </c>
      <c r="C6" s="18">
        <v>1900</v>
      </c>
      <c r="D6" s="19">
        <v>1900</v>
      </c>
      <c r="E6" s="20">
        <v>0</v>
      </c>
      <c r="G6" s="30">
        <v>10006719</v>
      </c>
      <c r="H6" s="31">
        <f>IFERROR(INDEX([4]Resumen!$K$3:$K$63,MATCH(G6,[4]Resumen!$C$3:$C$63,0)),0)*(1+I6*J6)/1000-51.89/1000-93.38/1000</f>
        <v>1.7319701269990091</v>
      </c>
      <c r="I6" s="32">
        <v>0.71</v>
      </c>
      <c r="J6" s="33">
        <f t="shared" si="0"/>
        <v>-0.10965909090909082</v>
      </c>
      <c r="K6" s="34">
        <f t="shared" si="1"/>
        <v>1900</v>
      </c>
      <c r="L6" s="35">
        <f t="shared" si="2"/>
        <v>0</v>
      </c>
      <c r="M6" s="36">
        <f t="shared" si="3"/>
        <v>0</v>
      </c>
      <c r="N6" s="37">
        <f t="shared" si="4"/>
        <v>0</v>
      </c>
      <c r="O6" s="36">
        <f t="shared" si="5"/>
        <v>0</v>
      </c>
      <c r="P6" s="36">
        <f t="shared" si="6"/>
        <v>0</v>
      </c>
      <c r="Q6" s="36">
        <f t="shared" si="7"/>
        <v>0</v>
      </c>
      <c r="R6" s="36">
        <v>0</v>
      </c>
      <c r="S6" s="38">
        <v>0</v>
      </c>
      <c r="T6" s="39">
        <f t="shared" si="8"/>
        <v>0</v>
      </c>
      <c r="U6" s="39">
        <f t="shared" si="9"/>
        <v>0</v>
      </c>
    </row>
    <row r="7" spans="2:21" ht="15.6" x14ac:dyDescent="0.3">
      <c r="B7" s="8" t="s">
        <v>9</v>
      </c>
      <c r="C7" s="18">
        <v>26420</v>
      </c>
      <c r="D7" s="19">
        <v>26420</v>
      </c>
      <c r="E7" s="20">
        <v>0</v>
      </c>
      <c r="G7" s="30">
        <v>10006719</v>
      </c>
      <c r="H7" s="31">
        <f>IFERROR(INDEX([4]Resumen!$K$3:$K$63,MATCH(G7,[4]Resumen!$C$3:$C$63,0)),0)*(1+I7*J7)/1000-51.89/1000-93.38/1000</f>
        <v>1.7319701269990091</v>
      </c>
      <c r="I7" s="32">
        <v>0.71</v>
      </c>
      <c r="J7" s="33">
        <f t="shared" si="0"/>
        <v>-0.10965909090909082</v>
      </c>
      <c r="K7" s="34">
        <f t="shared" si="1"/>
        <v>26420</v>
      </c>
      <c r="L7" s="35">
        <f t="shared" si="2"/>
        <v>0</v>
      </c>
      <c r="M7" s="36">
        <f t="shared" si="3"/>
        <v>0</v>
      </c>
      <c r="N7" s="37">
        <f t="shared" si="4"/>
        <v>0</v>
      </c>
      <c r="O7" s="36">
        <f t="shared" si="5"/>
        <v>0</v>
      </c>
      <c r="P7" s="36">
        <f t="shared" si="6"/>
        <v>0</v>
      </c>
      <c r="Q7" s="36">
        <f t="shared" si="7"/>
        <v>0</v>
      </c>
      <c r="R7" s="36">
        <v>0</v>
      </c>
      <c r="S7" s="38">
        <v>0</v>
      </c>
      <c r="T7" s="39">
        <f t="shared" si="8"/>
        <v>0</v>
      </c>
      <c r="U7" s="39">
        <f t="shared" si="9"/>
        <v>0</v>
      </c>
    </row>
    <row r="8" spans="2:21" ht="15.6" x14ac:dyDescent="0.3">
      <c r="B8" s="6" t="s">
        <v>10</v>
      </c>
      <c r="C8" s="18">
        <v>120</v>
      </c>
      <c r="D8" s="19">
        <v>120</v>
      </c>
      <c r="E8" s="20">
        <v>0</v>
      </c>
      <c r="G8" s="30">
        <v>10006719</v>
      </c>
      <c r="H8" s="31">
        <f>IFERROR(INDEX([4]Resumen!$K$3:$K$63,MATCH(G8,[4]Resumen!$C$3:$C$63,0)),0)*(1+I8*J8)/1000-51.89/1000-93.38/1000</f>
        <v>1.7319701269990091</v>
      </c>
      <c r="I8" s="32">
        <v>0.71</v>
      </c>
      <c r="J8" s="33">
        <f t="shared" si="0"/>
        <v>-0.10965909090909082</v>
      </c>
      <c r="K8" s="34">
        <f t="shared" si="1"/>
        <v>120</v>
      </c>
      <c r="L8" s="35">
        <f t="shared" si="2"/>
        <v>0</v>
      </c>
      <c r="M8" s="36">
        <f t="shared" si="3"/>
        <v>0</v>
      </c>
      <c r="N8" s="37">
        <f t="shared" si="4"/>
        <v>0</v>
      </c>
      <c r="O8" s="36">
        <f t="shared" si="5"/>
        <v>0</v>
      </c>
      <c r="P8" s="36">
        <f t="shared" si="6"/>
        <v>0</v>
      </c>
      <c r="Q8" s="36">
        <f t="shared" si="7"/>
        <v>0</v>
      </c>
      <c r="R8" s="36">
        <v>0</v>
      </c>
      <c r="S8" s="38">
        <v>0</v>
      </c>
      <c r="T8" s="39">
        <f t="shared" si="8"/>
        <v>0</v>
      </c>
      <c r="U8" s="39">
        <f t="shared" si="9"/>
        <v>0</v>
      </c>
    </row>
    <row r="9" spans="2:21" ht="15.6" x14ac:dyDescent="0.3">
      <c r="B9" s="6" t="s">
        <v>11</v>
      </c>
      <c r="C9" s="18">
        <v>30580</v>
      </c>
      <c r="D9" s="19"/>
      <c r="E9" s="20">
        <v>30580</v>
      </c>
      <c r="G9" s="40">
        <v>10009207</v>
      </c>
      <c r="H9" s="31">
        <f>IFERROR(INDEX([4]Resumen!$K$3:$K$63,MATCH(G9,[4]Resumen!$C$3:$C$63,0)),0)*(1+I9*J9)/1000-51.89/1000-93.38/1000</f>
        <v>1.2799702510293225</v>
      </c>
      <c r="I9" s="33">
        <v>0.71</v>
      </c>
      <c r="J9" s="33">
        <f t="shared" si="0"/>
        <v>-0.10965909090909082</v>
      </c>
      <c r="K9" s="34">
        <f t="shared" si="1"/>
        <v>30580</v>
      </c>
      <c r="L9" s="35">
        <f t="shared" si="2"/>
        <v>30.58</v>
      </c>
      <c r="M9" s="36">
        <f t="shared" si="3"/>
        <v>39141.490276476681</v>
      </c>
      <c r="N9" s="37">
        <f t="shared" si="4"/>
        <v>6355.7471999999998</v>
      </c>
      <c r="O9" s="36">
        <f t="shared" si="5"/>
        <v>1067.399050113361</v>
      </c>
      <c r="P9" s="36">
        <f t="shared" si="6"/>
        <v>2098.3256782112421</v>
      </c>
      <c r="Q9" s="36">
        <f t="shared" si="7"/>
        <v>1677.3829890157142</v>
      </c>
      <c r="R9" s="36">
        <v>0</v>
      </c>
      <c r="S9" s="38">
        <v>0</v>
      </c>
      <c r="T9" s="39">
        <f t="shared" si="8"/>
        <v>48662.962204801282</v>
      </c>
      <c r="U9" s="39">
        <f t="shared" si="9"/>
        <v>1591.3329694179622</v>
      </c>
    </row>
    <row r="10" spans="2:21" ht="15.6" x14ac:dyDescent="0.3">
      <c r="B10" s="6" t="s">
        <v>12</v>
      </c>
      <c r="C10" s="18">
        <v>19340</v>
      </c>
      <c r="D10" s="19"/>
      <c r="E10" s="20">
        <v>19340</v>
      </c>
      <c r="G10" s="40">
        <v>10007969</v>
      </c>
      <c r="H10" s="31">
        <f>IFERROR(INDEX([4]Resumen!$K$3:$K$63,MATCH(G10,[4]Resumen!$C$3:$C$63,0)),0)*(1+I10*J10)/1000-51.89/1000-93.38/1000</f>
        <v>1.2330367002592995</v>
      </c>
      <c r="I10" s="33">
        <v>0.71</v>
      </c>
      <c r="J10" s="33">
        <f t="shared" si="0"/>
        <v>-0.10965909090909082</v>
      </c>
      <c r="K10" s="34">
        <f t="shared" si="1"/>
        <v>19340</v>
      </c>
      <c r="L10" s="35">
        <f t="shared" si="2"/>
        <v>19.34</v>
      </c>
      <c r="M10" s="36">
        <f t="shared" si="3"/>
        <v>23846.92978301485</v>
      </c>
      <c r="N10" s="37">
        <f t="shared" si="4"/>
        <v>4019.6255999999998</v>
      </c>
      <c r="O10" s="36">
        <f t="shared" si="5"/>
        <v>675.06532469563115</v>
      </c>
      <c r="P10" s="36">
        <f t="shared" si="6"/>
        <v>1327.0640489406615</v>
      </c>
      <c r="Q10" s="36">
        <f t="shared" si="7"/>
        <v>1060.8432638183099</v>
      </c>
      <c r="R10" s="36">
        <v>0</v>
      </c>
      <c r="S10" s="38">
        <v>0</v>
      </c>
      <c r="T10" s="39">
        <f t="shared" si="8"/>
        <v>29868.684756651142</v>
      </c>
      <c r="U10" s="39">
        <f t="shared" si="9"/>
        <v>1544.3994186479392</v>
      </c>
    </row>
    <row r="11" spans="2:21" ht="15.6" x14ac:dyDescent="0.3">
      <c r="B11" s="9" t="s">
        <v>13</v>
      </c>
      <c r="C11" s="18">
        <v>0</v>
      </c>
      <c r="D11" s="19"/>
      <c r="E11" s="20">
        <v>0</v>
      </c>
      <c r="G11" s="41">
        <v>10005721</v>
      </c>
      <c r="H11" s="31">
        <f>IFERROR(INDEX([4]Resumen!$K$3:$K$63,MATCH(G11,[4]Resumen!$C$3:$C$63,0)),0)*(1+I11*J11)/1000-51.89/1000-93.38/1000</f>
        <v>1.8344310061156939</v>
      </c>
      <c r="I11" s="32">
        <v>0.67</v>
      </c>
      <c r="J11" s="33">
        <f t="shared" si="0"/>
        <v>-0.10965909090909082</v>
      </c>
      <c r="K11" s="34">
        <f t="shared" si="1"/>
        <v>0</v>
      </c>
      <c r="L11" s="35">
        <f t="shared" si="2"/>
        <v>0</v>
      </c>
      <c r="M11" s="36">
        <f t="shared" si="3"/>
        <v>0</v>
      </c>
      <c r="N11" s="37">
        <f t="shared" si="4"/>
        <v>0</v>
      </c>
      <c r="O11" s="36">
        <f t="shared" si="5"/>
        <v>0</v>
      </c>
      <c r="P11" s="36">
        <f t="shared" si="6"/>
        <v>0</v>
      </c>
      <c r="Q11" s="36">
        <f t="shared" si="7"/>
        <v>0</v>
      </c>
      <c r="R11" s="36">
        <v>0</v>
      </c>
      <c r="S11" s="38">
        <v>0</v>
      </c>
      <c r="T11" s="39">
        <f t="shared" si="8"/>
        <v>0</v>
      </c>
      <c r="U11" s="39">
        <f t="shared" si="9"/>
        <v>0</v>
      </c>
    </row>
    <row r="12" spans="2:21" ht="15.6" x14ac:dyDescent="0.3">
      <c r="B12" s="9" t="s">
        <v>14</v>
      </c>
      <c r="C12" s="18">
        <v>1760</v>
      </c>
      <c r="D12" s="19"/>
      <c r="E12" s="20">
        <v>1760</v>
      </c>
      <c r="G12" s="41">
        <v>10005721</v>
      </c>
      <c r="H12" s="31">
        <f>IFERROR(INDEX([4]Resumen!$K$3:$K$63,MATCH(G12,[4]Resumen!$C$3:$C$63,0)),0)*(1+I12*J12)/1000-51.89/1000-93.38/1000</f>
        <v>1.8344310061156939</v>
      </c>
      <c r="I12" s="32">
        <v>0.67</v>
      </c>
      <c r="J12" s="33">
        <f t="shared" si="0"/>
        <v>-0.10965909090909082</v>
      </c>
      <c r="K12" s="34">
        <f t="shared" si="1"/>
        <v>1760</v>
      </c>
      <c r="L12" s="35">
        <f t="shared" si="2"/>
        <v>1.76</v>
      </c>
      <c r="M12" s="36">
        <f t="shared" si="3"/>
        <v>3228.598570763621</v>
      </c>
      <c r="N12" s="37">
        <f t="shared" si="4"/>
        <v>365.79840000000002</v>
      </c>
      <c r="O12" s="36">
        <f t="shared" si="5"/>
        <v>61.43303885544524</v>
      </c>
      <c r="P12" s="36">
        <f t="shared" si="6"/>
        <v>120.76694550856071</v>
      </c>
      <c r="Q12" s="36">
        <f t="shared" si="7"/>
        <v>96.540028144789318</v>
      </c>
      <c r="R12" s="36">
        <v>0</v>
      </c>
      <c r="S12" s="38">
        <v>0</v>
      </c>
      <c r="T12" s="39">
        <f t="shared" si="8"/>
        <v>3776.5969551276271</v>
      </c>
      <c r="U12" s="39">
        <f t="shared" si="9"/>
        <v>2145.7937245043336</v>
      </c>
    </row>
    <row r="13" spans="2:21" ht="15.6" x14ac:dyDescent="0.3">
      <c r="B13" s="9" t="s">
        <v>15</v>
      </c>
      <c r="C13" s="18">
        <v>0</v>
      </c>
      <c r="D13" s="19"/>
      <c r="E13" s="20">
        <v>0</v>
      </c>
      <c r="G13" s="41">
        <v>10005721</v>
      </c>
      <c r="H13" s="31">
        <f>IFERROR(INDEX([4]Resumen!$K$3:$K$63,MATCH(G13,[4]Resumen!$C$3:$C$63,0)),0)*(1+I13*J13)/1000-51.89/1000-93.38/1000</f>
        <v>1.8344310061156939</v>
      </c>
      <c r="I13" s="32">
        <v>0.67</v>
      </c>
      <c r="J13" s="33">
        <f t="shared" si="0"/>
        <v>-0.10965909090909082</v>
      </c>
      <c r="K13" s="34">
        <f t="shared" si="1"/>
        <v>0</v>
      </c>
      <c r="L13" s="35">
        <f t="shared" si="2"/>
        <v>0</v>
      </c>
      <c r="M13" s="36">
        <f t="shared" si="3"/>
        <v>0</v>
      </c>
      <c r="N13" s="37">
        <f t="shared" si="4"/>
        <v>0</v>
      </c>
      <c r="O13" s="36">
        <f t="shared" si="5"/>
        <v>0</v>
      </c>
      <c r="P13" s="36">
        <f t="shared" si="6"/>
        <v>0</v>
      </c>
      <c r="Q13" s="36">
        <f t="shared" si="7"/>
        <v>0</v>
      </c>
      <c r="R13" s="36">
        <v>0</v>
      </c>
      <c r="S13" s="38">
        <v>0</v>
      </c>
      <c r="T13" s="39">
        <f t="shared" si="8"/>
        <v>0</v>
      </c>
      <c r="U13" s="39">
        <f t="shared" si="9"/>
        <v>0</v>
      </c>
    </row>
    <row r="14" spans="2:21" ht="15.6" x14ac:dyDescent="0.3">
      <c r="B14" s="9" t="s">
        <v>16</v>
      </c>
      <c r="C14" s="18">
        <v>32200</v>
      </c>
      <c r="D14" s="19"/>
      <c r="E14" s="20">
        <v>32200</v>
      </c>
      <c r="G14" s="41">
        <v>10005721</v>
      </c>
      <c r="H14" s="31">
        <f>IFERROR(INDEX([4]Resumen!$K$3:$K$63,MATCH(G14,[4]Resumen!$C$3:$C$63,0)),0)*(1+I14*J14)/1000-51.89/1000-93.38/1000</f>
        <v>1.8344310061156939</v>
      </c>
      <c r="I14" s="32">
        <v>0.67</v>
      </c>
      <c r="J14" s="33">
        <f t="shared" si="0"/>
        <v>-0.10965909090909082</v>
      </c>
      <c r="K14" s="34">
        <f t="shared" si="1"/>
        <v>32200</v>
      </c>
      <c r="L14" s="35">
        <f t="shared" si="2"/>
        <v>32.200000000000003</v>
      </c>
      <c r="M14" s="36">
        <f t="shared" si="3"/>
        <v>59068.678396925352</v>
      </c>
      <c r="N14" s="37">
        <f t="shared" si="4"/>
        <v>6692.4480000000003</v>
      </c>
      <c r="O14" s="36">
        <f t="shared" si="5"/>
        <v>1123.9453699689413</v>
      </c>
      <c r="P14" s="36">
        <f t="shared" si="6"/>
        <v>2209.4861621452587</v>
      </c>
      <c r="Q14" s="36">
        <f t="shared" si="7"/>
        <v>1766.2436967398955</v>
      </c>
      <c r="R14" s="36">
        <v>0</v>
      </c>
      <c r="S14" s="38">
        <v>0</v>
      </c>
      <c r="T14" s="39">
        <f t="shared" si="8"/>
        <v>69094.557929039554</v>
      </c>
      <c r="U14" s="39">
        <f t="shared" si="9"/>
        <v>2145.793724504334</v>
      </c>
    </row>
    <row r="15" spans="2:21" ht="15.6" x14ac:dyDescent="0.3">
      <c r="B15" s="6" t="s">
        <v>17</v>
      </c>
      <c r="C15" s="18">
        <v>1080</v>
      </c>
      <c r="D15" s="19"/>
      <c r="E15" s="20">
        <v>1080</v>
      </c>
      <c r="G15" s="41">
        <v>10005721</v>
      </c>
      <c r="H15" s="31">
        <f>IFERROR(INDEX([4]Resumen!$K$3:$K$63,MATCH(G15,[4]Resumen!$C$3:$C$63,0)),0)*(1+I15*J15)/1000-51.89/1000-93.38/1000</f>
        <v>1.8344310061156939</v>
      </c>
      <c r="I15" s="32">
        <v>0.67</v>
      </c>
      <c r="J15" s="33">
        <f t="shared" si="0"/>
        <v>-0.10965909090909082</v>
      </c>
      <c r="K15" s="34">
        <f t="shared" si="1"/>
        <v>1080</v>
      </c>
      <c r="L15" s="35">
        <f t="shared" si="2"/>
        <v>1.08</v>
      </c>
      <c r="M15" s="36">
        <f t="shared" si="3"/>
        <v>1981.1854866049493</v>
      </c>
      <c r="N15" s="37">
        <f t="shared" si="4"/>
        <v>224.46720000000002</v>
      </c>
      <c r="O15" s="36">
        <f t="shared" si="5"/>
        <v>37.697546570386855</v>
      </c>
      <c r="P15" s="36">
        <f t="shared" si="6"/>
        <v>74.106989289344085</v>
      </c>
      <c r="Q15" s="36">
        <f t="shared" si="7"/>
        <v>59.240471816120717</v>
      </c>
      <c r="R15" s="36">
        <v>0</v>
      </c>
      <c r="S15" s="38">
        <v>0</v>
      </c>
      <c r="T15" s="39">
        <f t="shared" si="8"/>
        <v>2317.4572224646804</v>
      </c>
      <c r="U15" s="39">
        <f t="shared" si="9"/>
        <v>2145.7937245043336</v>
      </c>
    </row>
    <row r="16" spans="2:21" ht="15.6" x14ac:dyDescent="0.3">
      <c r="B16" s="5" t="s">
        <v>18</v>
      </c>
      <c r="C16" s="18">
        <v>3080</v>
      </c>
      <c r="D16" s="19"/>
      <c r="E16" s="20">
        <v>3080</v>
      </c>
      <c r="G16" s="41">
        <v>10005721</v>
      </c>
      <c r="H16" s="31">
        <f>IFERROR(INDEX([4]Resumen!$K$3:$K$63,MATCH(G16,[4]Resumen!$C$3:$C$63,0)),0)*(1+I16*J16)/1000-51.89/1000-93.38/1000</f>
        <v>1.8344310061156939</v>
      </c>
      <c r="I16" s="32">
        <v>0.67</v>
      </c>
      <c r="J16" s="33">
        <f t="shared" si="0"/>
        <v>-0.10965909090909082</v>
      </c>
      <c r="K16" s="34">
        <f t="shared" si="1"/>
        <v>3080</v>
      </c>
      <c r="L16" s="35">
        <f t="shared" si="2"/>
        <v>3.08</v>
      </c>
      <c r="M16" s="36">
        <f t="shared" si="3"/>
        <v>5650.0474988363376</v>
      </c>
      <c r="N16" s="37">
        <f t="shared" si="4"/>
        <v>640.1472</v>
      </c>
      <c r="O16" s="36">
        <f t="shared" si="5"/>
        <v>107.50781799702916</v>
      </c>
      <c r="P16" s="36">
        <f t="shared" si="6"/>
        <v>211.34215463998126</v>
      </c>
      <c r="Q16" s="36">
        <f t="shared" si="7"/>
        <v>168.94504925338131</v>
      </c>
      <c r="R16" s="36">
        <v>0</v>
      </c>
      <c r="S16" s="38">
        <v>0</v>
      </c>
      <c r="T16" s="39">
        <f t="shared" si="8"/>
        <v>6609.044671473348</v>
      </c>
      <c r="U16" s="39">
        <f t="shared" si="9"/>
        <v>2145.7937245043336</v>
      </c>
    </row>
    <row r="17" spans="2:21" ht="15.6" x14ac:dyDescent="0.3">
      <c r="B17" s="6" t="s">
        <v>19</v>
      </c>
      <c r="C17" s="18">
        <v>0</v>
      </c>
      <c r="D17" s="19"/>
      <c r="E17" s="20">
        <v>0</v>
      </c>
      <c r="G17" s="41">
        <v>10005721</v>
      </c>
      <c r="H17" s="31">
        <f>IFERROR(INDEX([4]Resumen!$K$3:$K$63,MATCH(G17,[4]Resumen!$C$3:$C$63,0)),0)*(1+I17*J17)/1000-51.89/1000-93.38/1000</f>
        <v>1.8344310061156939</v>
      </c>
      <c r="I17" s="32">
        <v>0.67</v>
      </c>
      <c r="J17" s="33">
        <f t="shared" si="0"/>
        <v>-0.10965909090909082</v>
      </c>
      <c r="K17" s="34">
        <f t="shared" si="1"/>
        <v>0</v>
      </c>
      <c r="L17" s="35">
        <f t="shared" si="2"/>
        <v>0</v>
      </c>
      <c r="M17" s="36">
        <f t="shared" si="3"/>
        <v>0</v>
      </c>
      <c r="N17" s="37">
        <f t="shared" si="4"/>
        <v>0</v>
      </c>
      <c r="O17" s="36">
        <f t="shared" si="5"/>
        <v>0</v>
      </c>
      <c r="P17" s="36">
        <f t="shared" si="6"/>
        <v>0</v>
      </c>
      <c r="Q17" s="36">
        <f t="shared" si="7"/>
        <v>0</v>
      </c>
      <c r="R17" s="36">
        <v>0</v>
      </c>
      <c r="S17" s="38">
        <v>0</v>
      </c>
      <c r="T17" s="39">
        <f t="shared" si="8"/>
        <v>0</v>
      </c>
      <c r="U17" s="39">
        <f t="shared" si="9"/>
        <v>0</v>
      </c>
    </row>
    <row r="18" spans="2:21" ht="15.6" x14ac:dyDescent="0.3">
      <c r="B18" s="6" t="s">
        <v>20</v>
      </c>
      <c r="C18" s="18">
        <v>5300</v>
      </c>
      <c r="D18" s="19"/>
      <c r="E18" s="20">
        <v>5300</v>
      </c>
      <c r="G18" s="41">
        <v>10005721</v>
      </c>
      <c r="H18" s="31">
        <f>IFERROR(INDEX([4]Resumen!$K$3:$K$63,MATCH(G18,[4]Resumen!$C$3:$C$63,0)),0)*(1+I18*J18)/1000-51.89/1000-93.38/1000</f>
        <v>1.8344310061156939</v>
      </c>
      <c r="I18" s="32">
        <v>0.67</v>
      </c>
      <c r="J18" s="33">
        <f t="shared" si="0"/>
        <v>-0.10965909090909082</v>
      </c>
      <c r="K18" s="34">
        <f t="shared" si="1"/>
        <v>5300</v>
      </c>
      <c r="L18" s="35">
        <f t="shared" si="2"/>
        <v>5.3</v>
      </c>
      <c r="M18" s="36">
        <f t="shared" si="3"/>
        <v>9722.484332413178</v>
      </c>
      <c r="N18" s="37">
        <f t="shared" si="4"/>
        <v>1101.5519999999999</v>
      </c>
      <c r="O18" s="36">
        <f t="shared" si="5"/>
        <v>184.99721928060214</v>
      </c>
      <c r="P18" s="36">
        <f t="shared" si="6"/>
        <v>363.67318817918851</v>
      </c>
      <c r="Q18" s="36">
        <f t="shared" si="7"/>
        <v>290.71713020874051</v>
      </c>
      <c r="R18" s="36">
        <v>0</v>
      </c>
      <c r="S18" s="38">
        <v>0</v>
      </c>
      <c r="T18" s="39">
        <f t="shared" si="8"/>
        <v>11372.706739872969</v>
      </c>
      <c r="U18" s="39">
        <f t="shared" si="9"/>
        <v>2145.7937245043336</v>
      </c>
    </row>
    <row r="19" spans="2:21" ht="15.6" x14ac:dyDescent="0.3">
      <c r="B19" s="6" t="s">
        <v>21</v>
      </c>
      <c r="C19" s="18">
        <v>17640</v>
      </c>
      <c r="D19" s="19">
        <v>380</v>
      </c>
      <c r="E19" s="20">
        <v>17260</v>
      </c>
      <c r="F19" s="10"/>
      <c r="G19" s="41">
        <v>10005721</v>
      </c>
      <c r="H19" s="31">
        <f>IFERROR(INDEX([4]Resumen!$K$3:$K$63,MATCH(G19,[4]Resumen!$C$3:$C$63,0)),0)*(1+I19*J19)/1000-51.89/1000-93.38/1000</f>
        <v>1.8344310061156939</v>
      </c>
      <c r="I19" s="32">
        <v>0.67</v>
      </c>
      <c r="J19" s="33">
        <f t="shared" si="0"/>
        <v>-0.10965909090909082</v>
      </c>
      <c r="K19" s="34">
        <f t="shared" si="1"/>
        <v>17640</v>
      </c>
      <c r="L19" s="35">
        <f t="shared" si="2"/>
        <v>17.260000000000002</v>
      </c>
      <c r="M19" s="36">
        <f t="shared" si="3"/>
        <v>31662.27916555688</v>
      </c>
      <c r="N19" s="37">
        <f t="shared" si="4"/>
        <v>3587.3184000000006</v>
      </c>
      <c r="O19" s="36">
        <f t="shared" si="5"/>
        <v>602.4626424119233</v>
      </c>
      <c r="P19" s="36">
        <f t="shared" si="6"/>
        <v>1184.3394769759989</v>
      </c>
      <c r="Q19" s="36">
        <f t="shared" si="7"/>
        <v>946.75050328355894</v>
      </c>
      <c r="R19" s="36">
        <v>0</v>
      </c>
      <c r="S19" s="38">
        <v>0</v>
      </c>
      <c r="T19" s="39">
        <f t="shared" si="8"/>
        <v>37036.399684944809</v>
      </c>
      <c r="U19" s="39">
        <f t="shared" si="9"/>
        <v>2145.793724504334</v>
      </c>
    </row>
    <row r="20" spans="2:21" ht="15.6" x14ac:dyDescent="0.3">
      <c r="B20" s="11" t="s">
        <v>22</v>
      </c>
      <c r="C20" s="18">
        <v>0</v>
      </c>
      <c r="D20" s="19"/>
      <c r="E20" s="20">
        <v>0</v>
      </c>
      <c r="G20" s="41">
        <v>10005721</v>
      </c>
      <c r="H20" s="31">
        <f>IFERROR(INDEX([4]Resumen!$K$3:$K$63,MATCH(G20,[4]Resumen!$C$3:$C$63,0)),0)*(1+I20*J20)/1000-51.89/1000-93.38/1000</f>
        <v>1.8344310061156939</v>
      </c>
      <c r="I20" s="32">
        <v>0.67</v>
      </c>
      <c r="J20" s="33">
        <f t="shared" si="0"/>
        <v>-0.10965909090909082</v>
      </c>
      <c r="K20" s="34">
        <f t="shared" si="1"/>
        <v>0</v>
      </c>
      <c r="L20" s="35">
        <f t="shared" si="2"/>
        <v>0</v>
      </c>
      <c r="M20" s="36">
        <f t="shared" si="3"/>
        <v>0</v>
      </c>
      <c r="N20" s="37">
        <f t="shared" si="4"/>
        <v>0</v>
      </c>
      <c r="O20" s="36">
        <f t="shared" si="5"/>
        <v>0</v>
      </c>
      <c r="P20" s="36">
        <f t="shared" si="6"/>
        <v>0</v>
      </c>
      <c r="Q20" s="36">
        <f t="shared" si="7"/>
        <v>0</v>
      </c>
      <c r="R20" s="36">
        <v>0</v>
      </c>
      <c r="S20" s="38">
        <v>0</v>
      </c>
      <c r="T20" s="39">
        <f t="shared" si="8"/>
        <v>0</v>
      </c>
      <c r="U20" s="39">
        <f t="shared" si="9"/>
        <v>0</v>
      </c>
    </row>
    <row r="21" spans="2:21" ht="15.6" x14ac:dyDescent="0.3">
      <c r="B21" s="11" t="s">
        <v>23</v>
      </c>
      <c r="C21" s="18">
        <v>29720</v>
      </c>
      <c r="D21" s="19">
        <v>27000</v>
      </c>
      <c r="E21" s="20">
        <v>2720</v>
      </c>
      <c r="G21" s="41">
        <v>10005721</v>
      </c>
      <c r="H21" s="31">
        <f>IFERROR(INDEX([4]Resumen!$K$3:$K$63,MATCH(G21,[4]Resumen!$C$3:$C$63,0)),0)*(1+I21*J21)/1000-51.89/1000-93.38/1000</f>
        <v>1.8344310061156939</v>
      </c>
      <c r="I21" s="32">
        <v>0.67</v>
      </c>
      <c r="J21" s="33">
        <f t="shared" si="0"/>
        <v>-0.10965909090909082</v>
      </c>
      <c r="K21" s="34">
        <f t="shared" si="1"/>
        <v>29720</v>
      </c>
      <c r="L21" s="35">
        <f t="shared" si="2"/>
        <v>2.72</v>
      </c>
      <c r="M21" s="36">
        <f t="shared" si="3"/>
        <v>4989.6523366346873</v>
      </c>
      <c r="N21" s="37">
        <f t="shared" si="4"/>
        <v>565.3248000000001</v>
      </c>
      <c r="O21" s="36">
        <f t="shared" si="5"/>
        <v>94.941969140233553</v>
      </c>
      <c r="P21" s="36">
        <f t="shared" si="6"/>
        <v>186.63982487686658</v>
      </c>
      <c r="Q21" s="36">
        <f t="shared" si="7"/>
        <v>149.1982253146744</v>
      </c>
      <c r="R21" s="36">
        <v>0</v>
      </c>
      <c r="S21" s="38">
        <v>0</v>
      </c>
      <c r="T21" s="39">
        <f t="shared" si="8"/>
        <v>5836.5589306517877</v>
      </c>
      <c r="U21" s="39">
        <f t="shared" si="9"/>
        <v>2145.7937245043336</v>
      </c>
    </row>
    <row r="22" spans="2:21" ht="15.6" x14ac:dyDescent="0.3">
      <c r="B22" s="11" t="s">
        <v>24</v>
      </c>
      <c r="C22" s="18">
        <v>0</v>
      </c>
      <c r="D22" s="19">
        <v>0</v>
      </c>
      <c r="E22" s="20">
        <v>0</v>
      </c>
      <c r="G22" s="41">
        <v>10005721</v>
      </c>
      <c r="H22" s="31">
        <f>IFERROR(INDEX([4]Resumen!$K$3:$K$63,MATCH(G22,[4]Resumen!$C$3:$C$63,0)),0)*(1+I22*J22)/1000-51.89/1000-93.38/1000</f>
        <v>1.8344310061156939</v>
      </c>
      <c r="I22" s="32">
        <v>0.67</v>
      </c>
      <c r="J22" s="33">
        <f t="shared" si="0"/>
        <v>-0.10965909090909082</v>
      </c>
      <c r="K22" s="34">
        <f t="shared" si="1"/>
        <v>0</v>
      </c>
      <c r="L22" s="35">
        <f t="shared" si="2"/>
        <v>0</v>
      </c>
      <c r="M22" s="36">
        <f t="shared" si="3"/>
        <v>0</v>
      </c>
      <c r="N22" s="37">
        <f t="shared" si="4"/>
        <v>0</v>
      </c>
      <c r="O22" s="36">
        <f t="shared" si="5"/>
        <v>0</v>
      </c>
      <c r="P22" s="36">
        <f t="shared" si="6"/>
        <v>0</v>
      </c>
      <c r="Q22" s="36">
        <f t="shared" si="7"/>
        <v>0</v>
      </c>
      <c r="R22" s="36">
        <v>0</v>
      </c>
      <c r="S22" s="38">
        <v>0</v>
      </c>
      <c r="T22" s="39">
        <f t="shared" si="8"/>
        <v>0</v>
      </c>
      <c r="U22" s="39">
        <f t="shared" si="9"/>
        <v>0</v>
      </c>
    </row>
    <row r="23" spans="2:21" ht="15.6" x14ac:dyDescent="0.3">
      <c r="B23" s="5" t="s">
        <v>25</v>
      </c>
      <c r="C23" s="18">
        <v>3200</v>
      </c>
      <c r="D23" s="19"/>
      <c r="E23" s="20">
        <v>3200</v>
      </c>
      <c r="G23" s="41">
        <v>10005721</v>
      </c>
      <c r="H23" s="31">
        <f>IFERROR(INDEX([4]Resumen!$K$3:$K$63,MATCH(G23,[4]Resumen!$C$3:$C$63,0)),0)*(1+I23*J23)/1000-51.89/1000-93.38/1000</f>
        <v>1.8344310061156939</v>
      </c>
      <c r="I23" s="32">
        <v>0.67</v>
      </c>
      <c r="J23" s="33">
        <f t="shared" si="0"/>
        <v>-0.10965909090909082</v>
      </c>
      <c r="K23" s="34">
        <f t="shared" si="1"/>
        <v>3200</v>
      </c>
      <c r="L23" s="35">
        <f t="shared" si="2"/>
        <v>3.2</v>
      </c>
      <c r="M23" s="36">
        <f t="shared" si="3"/>
        <v>5870.179219570221</v>
      </c>
      <c r="N23" s="37">
        <f t="shared" si="4"/>
        <v>665.08800000000008</v>
      </c>
      <c r="O23" s="36">
        <f t="shared" si="5"/>
        <v>111.69643428262771</v>
      </c>
      <c r="P23" s="36">
        <f t="shared" si="6"/>
        <v>219.57626456101949</v>
      </c>
      <c r="Q23" s="36">
        <f t="shared" si="7"/>
        <v>175.52732389961693</v>
      </c>
      <c r="R23" s="36">
        <v>0</v>
      </c>
      <c r="S23" s="38">
        <v>0</v>
      </c>
      <c r="T23" s="39">
        <f t="shared" si="8"/>
        <v>6866.5399184138678</v>
      </c>
      <c r="U23" s="39">
        <f t="shared" si="9"/>
        <v>2145.7937245043336</v>
      </c>
    </row>
    <row r="24" spans="2:21" ht="15.6" x14ac:dyDescent="0.3">
      <c r="B24" s="12" t="s">
        <v>26</v>
      </c>
      <c r="C24" s="18">
        <v>138340</v>
      </c>
      <c r="D24" s="19"/>
      <c r="E24" s="20">
        <v>138340</v>
      </c>
      <c r="G24" s="42">
        <v>10005779</v>
      </c>
      <c r="H24" s="31">
        <f>IFERROR(INDEX([4]Resumen!$K$3:$K$63,MATCH(G24,[4]Resumen!$C$3:$C$63,0)),0)*(1+I24*J24)/1000-51.89/1000-93.38/1000</f>
        <v>1.4834229685286575</v>
      </c>
      <c r="I24" s="32">
        <v>0.65</v>
      </c>
      <c r="J24" s="33">
        <f t="shared" si="0"/>
        <v>-0.10965909090909082</v>
      </c>
      <c r="K24" s="34">
        <f t="shared" si="1"/>
        <v>138340</v>
      </c>
      <c r="L24" s="35">
        <f t="shared" si="2"/>
        <v>138.34</v>
      </c>
      <c r="M24" s="36">
        <f t="shared" si="3"/>
        <v>205216.73346625449</v>
      </c>
      <c r="N24" s="37">
        <f t="shared" si="4"/>
        <v>28752.585600000002</v>
      </c>
      <c r="O24" s="36">
        <f t="shared" si="5"/>
        <v>4828.776474580849</v>
      </c>
      <c r="P24" s="36">
        <f t="shared" si="6"/>
        <v>9492.5563873035735</v>
      </c>
      <c r="Q24" s="36">
        <f t="shared" si="7"/>
        <v>7588.2656213353148</v>
      </c>
      <c r="R24" s="36">
        <v>0</v>
      </c>
      <c r="S24" s="38">
        <v>0</v>
      </c>
      <c r="T24" s="39">
        <f t="shared" si="8"/>
        <v>248290.65192813889</v>
      </c>
      <c r="U24" s="39">
        <f t="shared" si="9"/>
        <v>1794.7856869172972</v>
      </c>
    </row>
    <row r="25" spans="2:21" ht="15.6" x14ac:dyDescent="0.3">
      <c r="B25" s="6" t="s">
        <v>27</v>
      </c>
      <c r="C25" s="18">
        <v>40100</v>
      </c>
      <c r="D25" s="19"/>
      <c r="E25" s="20">
        <v>40100</v>
      </c>
      <c r="G25" s="42">
        <v>10005779</v>
      </c>
      <c r="H25" s="31">
        <f>IFERROR(INDEX([4]Resumen!$K$3:$K$63,MATCH(G25,[4]Resumen!$C$3:$C$63,0)),0)*(1+I25*J25)/1000-51.89/1000-93.38/1000</f>
        <v>1.4834229685286575</v>
      </c>
      <c r="I25" s="32">
        <v>0.65</v>
      </c>
      <c r="J25" s="33">
        <f t="shared" si="0"/>
        <v>-0.10965909090909082</v>
      </c>
      <c r="K25" s="34">
        <f t="shared" si="1"/>
        <v>40100</v>
      </c>
      <c r="L25" s="35">
        <f t="shared" si="2"/>
        <v>40.1</v>
      </c>
      <c r="M25" s="36">
        <f t="shared" si="3"/>
        <v>59485.261037999167</v>
      </c>
      <c r="N25" s="37">
        <f t="shared" si="4"/>
        <v>8334.384</v>
      </c>
      <c r="O25" s="36">
        <f t="shared" si="5"/>
        <v>1399.6959421041786</v>
      </c>
      <c r="P25" s="36">
        <f t="shared" si="6"/>
        <v>2751.5650652802756</v>
      </c>
      <c r="Q25" s="36">
        <f t="shared" si="7"/>
        <v>2199.5767776170746</v>
      </c>
      <c r="R25" s="36">
        <v>0</v>
      </c>
      <c r="S25" s="38">
        <v>0</v>
      </c>
      <c r="T25" s="39">
        <f t="shared" si="8"/>
        <v>71970.906045383628</v>
      </c>
      <c r="U25" s="39">
        <f t="shared" si="9"/>
        <v>1794.7856869172974</v>
      </c>
    </row>
    <row r="26" spans="2:21" ht="15.6" x14ac:dyDescent="0.3">
      <c r="B26" s="6" t="s">
        <v>28</v>
      </c>
      <c r="C26" s="18">
        <v>1040</v>
      </c>
      <c r="D26" s="19"/>
      <c r="E26" s="20">
        <v>1040</v>
      </c>
      <c r="G26" s="42">
        <v>10005779</v>
      </c>
      <c r="H26" s="31">
        <f>IFERROR(INDEX([4]Resumen!$K$3:$K$63,MATCH(G26,[4]Resumen!$C$3:$C$63,0)),0)*(1+I26*J26)/1000-51.89/1000-93.38/1000</f>
        <v>1.4834229685286575</v>
      </c>
      <c r="I26" s="32">
        <v>0.65</v>
      </c>
      <c r="J26" s="33">
        <f t="shared" si="0"/>
        <v>-0.10965909090909082</v>
      </c>
      <c r="K26" s="34">
        <f t="shared" si="1"/>
        <v>1040</v>
      </c>
      <c r="L26" s="35">
        <f t="shared" si="2"/>
        <v>1.04</v>
      </c>
      <c r="M26" s="36">
        <f t="shared" si="3"/>
        <v>1542.7598872698038</v>
      </c>
      <c r="N26" s="37">
        <f t="shared" si="4"/>
        <v>216.15360000000001</v>
      </c>
      <c r="O26" s="36">
        <f t="shared" si="5"/>
        <v>36.301341141854003</v>
      </c>
      <c r="P26" s="36">
        <f t="shared" si="6"/>
        <v>71.362285982331329</v>
      </c>
      <c r="Q26" s="36">
        <f t="shared" si="7"/>
        <v>57.046380267375504</v>
      </c>
      <c r="R26" s="36">
        <v>0</v>
      </c>
      <c r="S26" s="38">
        <v>0</v>
      </c>
      <c r="T26" s="39">
        <f t="shared" si="8"/>
        <v>1866.5771143939892</v>
      </c>
      <c r="U26" s="39">
        <f t="shared" si="9"/>
        <v>1794.7856869172972</v>
      </c>
    </row>
    <row r="27" spans="2:21" ht="15.6" x14ac:dyDescent="0.3">
      <c r="B27" s="12" t="s">
        <v>29</v>
      </c>
      <c r="C27" s="18">
        <v>77440</v>
      </c>
      <c r="D27" s="19"/>
      <c r="E27" s="20">
        <v>77440</v>
      </c>
      <c r="G27" s="42">
        <v>10005779</v>
      </c>
      <c r="H27" s="31">
        <f>IFERROR(INDEX([4]Resumen!$K$3:$K$63,MATCH(G27,[4]Resumen!$C$3:$C$63,0)),0)*(1+I27*J27)/1000-51.89/1000-93.38/1000</f>
        <v>1.4834229685286575</v>
      </c>
      <c r="I27" s="32">
        <v>0.65</v>
      </c>
      <c r="J27" s="33">
        <f t="shared" si="0"/>
        <v>-0.10965909090909082</v>
      </c>
      <c r="K27" s="34">
        <f t="shared" si="1"/>
        <v>77440</v>
      </c>
      <c r="L27" s="35">
        <f t="shared" si="2"/>
        <v>77.44</v>
      </c>
      <c r="M27" s="36">
        <f t="shared" si="3"/>
        <v>114876.27468285924</v>
      </c>
      <c r="N27" s="37">
        <f t="shared" si="4"/>
        <v>16095.1296</v>
      </c>
      <c r="O27" s="36">
        <f t="shared" si="5"/>
        <v>2703.0537096395906</v>
      </c>
      <c r="P27" s="36">
        <f t="shared" si="6"/>
        <v>5313.7456023766708</v>
      </c>
      <c r="Q27" s="36">
        <f t="shared" si="7"/>
        <v>4247.7612383707292</v>
      </c>
      <c r="R27" s="36">
        <v>0</v>
      </c>
      <c r="S27" s="38">
        <v>0</v>
      </c>
      <c r="T27" s="39">
        <f t="shared" si="8"/>
        <v>138988.20359487549</v>
      </c>
      <c r="U27" s="39">
        <f t="shared" si="9"/>
        <v>1794.7856869172972</v>
      </c>
    </row>
    <row r="28" spans="2:21" ht="15.6" x14ac:dyDescent="0.3">
      <c r="B28" s="12" t="s">
        <v>30</v>
      </c>
      <c r="C28" s="18">
        <v>184360</v>
      </c>
      <c r="D28" s="19">
        <v>10000</v>
      </c>
      <c r="E28" s="20">
        <v>174360</v>
      </c>
      <c r="G28" s="42">
        <v>10005779</v>
      </c>
      <c r="H28" s="31">
        <f>IFERROR(INDEX([4]Resumen!$K$3:$K$63,MATCH(G28,[4]Resumen!$C$3:$C$63,0)),0)*(1+I28*J28)/1000-51.89/1000-93.38/1000</f>
        <v>1.4834229685286575</v>
      </c>
      <c r="I28" s="32">
        <v>0.65</v>
      </c>
      <c r="J28" s="33">
        <f t="shared" si="0"/>
        <v>-0.10965909090909082</v>
      </c>
      <c r="K28" s="34">
        <f t="shared" si="1"/>
        <v>184360</v>
      </c>
      <c r="L28" s="35">
        <f t="shared" si="2"/>
        <v>174.36</v>
      </c>
      <c r="M28" s="36">
        <f t="shared" si="3"/>
        <v>258649.62879265676</v>
      </c>
      <c r="N28" s="37">
        <f t="shared" si="4"/>
        <v>36238.982400000001</v>
      </c>
      <c r="O28" s="36">
        <f t="shared" si="5"/>
        <v>6086.0594629746774</v>
      </c>
      <c r="P28" s="36">
        <f t="shared" si="6"/>
        <v>11964.16171526855</v>
      </c>
      <c r="Q28" s="36">
        <f t="shared" si="7"/>
        <v>9564.0450609803775</v>
      </c>
      <c r="R28" s="36">
        <v>0</v>
      </c>
      <c r="S28" s="38">
        <v>0</v>
      </c>
      <c r="T28" s="39">
        <f t="shared" si="8"/>
        <v>312938.83237089997</v>
      </c>
      <c r="U28" s="39">
        <f t="shared" si="9"/>
        <v>1794.7856869172972</v>
      </c>
    </row>
    <row r="29" spans="2:21" ht="15.6" x14ac:dyDescent="0.3">
      <c r="B29" s="12" t="s">
        <v>31</v>
      </c>
      <c r="C29" s="18">
        <v>7980</v>
      </c>
      <c r="D29" s="19"/>
      <c r="E29" s="20">
        <v>7980</v>
      </c>
      <c r="G29" s="42">
        <v>10005779</v>
      </c>
      <c r="H29" s="31">
        <f>IFERROR(INDEX([4]Resumen!$K$3:$K$63,MATCH(G29,[4]Resumen!$C$3:$C$63,0)),0)*(1+I29*J29)/1000-51.89/1000-93.38/1000</f>
        <v>1.4834229685286575</v>
      </c>
      <c r="I29" s="32">
        <v>0.65</v>
      </c>
      <c r="J29" s="33">
        <f t="shared" si="0"/>
        <v>-0.10965909090909082</v>
      </c>
      <c r="K29" s="34">
        <f t="shared" si="1"/>
        <v>7980</v>
      </c>
      <c r="L29" s="35">
        <f t="shared" si="2"/>
        <v>7.98</v>
      </c>
      <c r="M29" s="36">
        <f t="shared" si="3"/>
        <v>11837.715288858688</v>
      </c>
      <c r="N29" s="37">
        <f t="shared" si="4"/>
        <v>1658.5632000000001</v>
      </c>
      <c r="O29" s="36">
        <f t="shared" si="5"/>
        <v>278.54298299230288</v>
      </c>
      <c r="P29" s="36">
        <f t="shared" si="6"/>
        <v>547.56830974904233</v>
      </c>
      <c r="Q29" s="36">
        <f t="shared" si="7"/>
        <v>437.72126397466974</v>
      </c>
      <c r="R29" s="36">
        <v>0</v>
      </c>
      <c r="S29" s="38">
        <v>0</v>
      </c>
      <c r="T29" s="39">
        <f t="shared" si="8"/>
        <v>14322.389781600034</v>
      </c>
      <c r="U29" s="39">
        <f t="shared" si="9"/>
        <v>1794.7856869172974</v>
      </c>
    </row>
    <row r="30" spans="2:21" ht="15.6" x14ac:dyDescent="0.3">
      <c r="B30" s="13" t="s">
        <v>32</v>
      </c>
      <c r="C30" s="18">
        <v>123720</v>
      </c>
      <c r="D30" s="21">
        <v>27000</v>
      </c>
      <c r="E30" s="20">
        <v>96720</v>
      </c>
      <c r="G30" s="43">
        <v>10007567</v>
      </c>
      <c r="H30" s="31">
        <f>IFERROR(INDEX([4]Resumen!$K$3:$K$63,MATCH(G30,[4]Resumen!$C$3:$C$63,0)),0)*(1+I30*J30)/1000-51.89/1000-93.38/1000</f>
        <v>1.540163669045685</v>
      </c>
      <c r="I30" s="32">
        <v>0.68</v>
      </c>
      <c r="J30" s="33">
        <f t="shared" si="0"/>
        <v>-0.10965909090909082</v>
      </c>
      <c r="K30" s="34">
        <f t="shared" si="1"/>
        <v>123720</v>
      </c>
      <c r="L30" s="35">
        <f t="shared" si="2"/>
        <v>96.72</v>
      </c>
      <c r="M30" s="36">
        <f t="shared" si="3"/>
        <v>148964.63007009865</v>
      </c>
      <c r="N30" s="37">
        <f t="shared" si="4"/>
        <v>20102.284800000001</v>
      </c>
      <c r="O30" s="36">
        <f t="shared" si="5"/>
        <v>3376.0247261924223</v>
      </c>
      <c r="P30" s="36">
        <f t="shared" si="6"/>
        <v>6636.6925963568137</v>
      </c>
      <c r="Q30" s="36">
        <f t="shared" si="7"/>
        <v>5305.3133648659214</v>
      </c>
      <c r="R30" s="36">
        <v>0</v>
      </c>
      <c r="S30" s="38">
        <v>0</v>
      </c>
      <c r="T30" s="39">
        <f t="shared" si="8"/>
        <v>179079.63219264787</v>
      </c>
      <c r="U30" s="39">
        <f t="shared" si="9"/>
        <v>1851.5263874343245</v>
      </c>
    </row>
    <row r="31" spans="2:21" ht="15.6" x14ac:dyDescent="0.3">
      <c r="B31" s="13" t="s">
        <v>33</v>
      </c>
      <c r="C31" s="18">
        <v>35660</v>
      </c>
      <c r="D31" s="21"/>
      <c r="E31" s="20">
        <v>35660</v>
      </c>
      <c r="G31" s="43">
        <v>10007567</v>
      </c>
      <c r="H31" s="31">
        <f>IFERROR(INDEX([4]Resumen!$K$3:$K$63,MATCH(G31,[4]Resumen!$C$3:$C$63,0)),0)*(1+I31*J31)/1000-51.89/1000-93.38/1000</f>
        <v>1.540163669045685</v>
      </c>
      <c r="I31" s="32">
        <v>0.68</v>
      </c>
      <c r="J31" s="33">
        <f t="shared" si="0"/>
        <v>-0.10965909090909082</v>
      </c>
      <c r="K31" s="34">
        <f t="shared" si="1"/>
        <v>35660</v>
      </c>
      <c r="L31" s="35">
        <f t="shared" si="2"/>
        <v>35.659999999999997</v>
      </c>
      <c r="M31" s="36">
        <f t="shared" si="3"/>
        <v>54922.236438169122</v>
      </c>
      <c r="N31" s="37">
        <f t="shared" si="4"/>
        <v>7411.5743999999995</v>
      </c>
      <c r="O31" s="36">
        <f t="shared" si="5"/>
        <v>1244.7171395370324</v>
      </c>
      <c r="P31" s="36">
        <f t="shared" si="6"/>
        <v>2446.9029982018606</v>
      </c>
      <c r="Q31" s="36">
        <f t="shared" si="7"/>
        <v>1956.032615706356</v>
      </c>
      <c r="R31" s="36">
        <v>0</v>
      </c>
      <c r="S31" s="38">
        <v>0</v>
      </c>
      <c r="T31" s="39">
        <f t="shared" si="8"/>
        <v>66025.430975908006</v>
      </c>
      <c r="U31" s="39">
        <f t="shared" si="9"/>
        <v>1851.5263874343245</v>
      </c>
    </row>
    <row r="32" spans="2:21" ht="15.6" x14ac:dyDescent="0.3">
      <c r="B32" s="6" t="s">
        <v>34</v>
      </c>
      <c r="C32" s="18">
        <v>0</v>
      </c>
      <c r="D32" s="21"/>
      <c r="E32" s="20">
        <v>0</v>
      </c>
      <c r="G32" s="43">
        <v>10007162</v>
      </c>
      <c r="H32" s="31">
        <f>IFERROR(INDEX([4]Resumen!$K$3:$K$63,MATCH(G32,[4]Resumen!$C$3:$C$63,0)),0)*(1+I32*J32)/1000-51.89/1000-93.38/1000</f>
        <v>1.596558814009124</v>
      </c>
      <c r="I32" s="33">
        <v>0.68</v>
      </c>
      <c r="J32" s="33">
        <f t="shared" si="0"/>
        <v>-0.10965909090909082</v>
      </c>
      <c r="K32" s="34">
        <f t="shared" si="1"/>
        <v>0</v>
      </c>
      <c r="L32" s="35">
        <f t="shared" si="2"/>
        <v>0</v>
      </c>
      <c r="M32" s="36">
        <f t="shared" si="3"/>
        <v>0</v>
      </c>
      <c r="N32" s="37">
        <f t="shared" si="4"/>
        <v>0</v>
      </c>
      <c r="O32" s="36">
        <f t="shared" si="5"/>
        <v>0</v>
      </c>
      <c r="P32" s="36">
        <f t="shared" si="6"/>
        <v>0</v>
      </c>
      <c r="Q32" s="36">
        <f t="shared" si="7"/>
        <v>0</v>
      </c>
      <c r="R32" s="36">
        <v>0</v>
      </c>
      <c r="S32" s="38">
        <v>0</v>
      </c>
      <c r="T32" s="39">
        <f t="shared" si="8"/>
        <v>0</v>
      </c>
      <c r="U32" s="39">
        <f t="shared" si="9"/>
        <v>0</v>
      </c>
    </row>
    <row r="33" spans="2:21" ht="15.6" x14ac:dyDescent="0.3">
      <c r="B33" s="6" t="s">
        <v>35</v>
      </c>
      <c r="C33" s="18">
        <v>0</v>
      </c>
      <c r="D33" s="21"/>
      <c r="E33" s="20">
        <v>0</v>
      </c>
      <c r="G33" s="43">
        <v>10007162</v>
      </c>
      <c r="H33" s="31">
        <f>IFERROR(INDEX([4]Resumen!$K$3:$K$63,MATCH(G33,[4]Resumen!$C$3:$C$63,0)),0)*(1+I33*J33)/1000-51.89/1000-93.38/1000</f>
        <v>1.596558814009124</v>
      </c>
      <c r="I33" s="33">
        <v>0.68</v>
      </c>
      <c r="J33" s="33">
        <f t="shared" si="0"/>
        <v>-0.10965909090909082</v>
      </c>
      <c r="K33" s="34">
        <f t="shared" si="1"/>
        <v>0</v>
      </c>
      <c r="L33" s="35">
        <f t="shared" si="2"/>
        <v>0</v>
      </c>
      <c r="M33" s="36">
        <f t="shared" si="3"/>
        <v>0</v>
      </c>
      <c r="N33" s="37">
        <f t="shared" si="4"/>
        <v>0</v>
      </c>
      <c r="O33" s="36">
        <f t="shared" si="5"/>
        <v>0</v>
      </c>
      <c r="P33" s="36">
        <f t="shared" si="6"/>
        <v>0</v>
      </c>
      <c r="Q33" s="36">
        <f t="shared" si="7"/>
        <v>0</v>
      </c>
      <c r="R33" s="36">
        <v>0</v>
      </c>
      <c r="S33" s="38">
        <v>0</v>
      </c>
      <c r="T33" s="39">
        <f t="shared" si="8"/>
        <v>0</v>
      </c>
      <c r="U33" s="39">
        <f t="shared" si="9"/>
        <v>0</v>
      </c>
    </row>
    <row r="34" spans="2:21" ht="15.6" x14ac:dyDescent="0.3">
      <c r="B34" s="6" t="s">
        <v>36</v>
      </c>
      <c r="C34" s="18">
        <v>12660</v>
      </c>
      <c r="D34" s="21"/>
      <c r="E34" s="20">
        <v>12660</v>
      </c>
      <c r="G34" s="43">
        <v>10007162</v>
      </c>
      <c r="H34" s="31">
        <f>IFERROR(INDEX([4]Resumen!$K$3:$K$63,MATCH(G34,[4]Resumen!$C$3:$C$63,0)),0)*(1+I34*J34)/1000-51.89/1000-93.38/1000</f>
        <v>1.596558814009124</v>
      </c>
      <c r="I34" s="33">
        <v>0.68</v>
      </c>
      <c r="J34" s="33">
        <f t="shared" si="0"/>
        <v>-0.10965909090909082</v>
      </c>
      <c r="K34" s="34">
        <f t="shared" si="1"/>
        <v>12660</v>
      </c>
      <c r="L34" s="35">
        <f t="shared" si="2"/>
        <v>12.66</v>
      </c>
      <c r="M34" s="36">
        <f t="shared" si="3"/>
        <v>20212.43458535551</v>
      </c>
      <c r="N34" s="37">
        <f t="shared" si="4"/>
        <v>2631.2544000000003</v>
      </c>
      <c r="O34" s="36">
        <f t="shared" si="5"/>
        <v>441.89901813064586</v>
      </c>
      <c r="P34" s="36">
        <f t="shared" si="6"/>
        <v>868.69859666953334</v>
      </c>
      <c r="Q34" s="36">
        <f t="shared" si="7"/>
        <v>694.42997517785955</v>
      </c>
      <c r="R34" s="36">
        <v>0</v>
      </c>
      <c r="S34" s="38">
        <v>0</v>
      </c>
      <c r="T34" s="39">
        <f t="shared" si="8"/>
        <v>24154.28660015569</v>
      </c>
      <c r="U34" s="39">
        <f t="shared" si="9"/>
        <v>1907.9215323977639</v>
      </c>
    </row>
    <row r="35" spans="2:21" ht="15.6" x14ac:dyDescent="0.3">
      <c r="B35" s="6" t="s">
        <v>37</v>
      </c>
      <c r="C35" s="18">
        <v>43520</v>
      </c>
      <c r="D35" s="21"/>
      <c r="E35" s="20">
        <v>43860</v>
      </c>
      <c r="G35" s="43">
        <v>10007162</v>
      </c>
      <c r="H35" s="31">
        <f>IFERROR(INDEX([4]Resumen!$K$3:$K$63,MATCH(G35,[4]Resumen!$C$3:$C$63,0)),0)*(1+I35*J35)/1000-51.89/1000-93.38/1000</f>
        <v>1.596558814009124</v>
      </c>
      <c r="I35" s="33">
        <v>0.68</v>
      </c>
      <c r="J35" s="33">
        <f t="shared" si="0"/>
        <v>-0.10965909090909082</v>
      </c>
      <c r="K35" s="34">
        <f t="shared" si="1"/>
        <v>43520</v>
      </c>
      <c r="L35" s="35">
        <f t="shared" si="2"/>
        <v>43.86</v>
      </c>
      <c r="M35" s="36">
        <f t="shared" si="3"/>
        <v>70025.069582440177</v>
      </c>
      <c r="N35" s="37">
        <f t="shared" si="4"/>
        <v>9115.8624</v>
      </c>
      <c r="O35" s="36">
        <f t="shared" si="5"/>
        <v>1530.9392523862659</v>
      </c>
      <c r="P35" s="36">
        <f t="shared" si="6"/>
        <v>3009.5671761394733</v>
      </c>
      <c r="Q35" s="36">
        <f t="shared" si="7"/>
        <v>2405.8213831991247</v>
      </c>
      <c r="R35" s="36">
        <v>0</v>
      </c>
      <c r="S35" s="38">
        <v>0</v>
      </c>
      <c r="T35" s="39">
        <f t="shared" si="8"/>
        <v>83681.438410965915</v>
      </c>
      <c r="U35" s="39">
        <f t="shared" si="9"/>
        <v>1907.9215323977637</v>
      </c>
    </row>
    <row r="36" spans="2:21" ht="15.6" x14ac:dyDescent="0.3">
      <c r="B36" s="14" t="s">
        <v>38</v>
      </c>
      <c r="C36" s="18">
        <v>340</v>
      </c>
      <c r="D36" s="21"/>
      <c r="E36" s="20">
        <v>340</v>
      </c>
      <c r="G36" s="43">
        <v>10007162</v>
      </c>
      <c r="H36" s="31">
        <f>IFERROR(INDEX([4]Resumen!$K$3:$K$63,MATCH(G36,[4]Resumen!$C$3:$C$63,0)),0)*(1+I36*J36)/1000-51.89/1000-93.38/1000</f>
        <v>1.596558814009124</v>
      </c>
      <c r="I36" s="33">
        <v>0.68</v>
      </c>
      <c r="J36" s="33">
        <f t="shared" si="0"/>
        <v>-0.10965909090909082</v>
      </c>
      <c r="K36" s="34">
        <f t="shared" si="1"/>
        <v>340</v>
      </c>
      <c r="L36" s="35">
        <f t="shared" si="2"/>
        <v>0.34</v>
      </c>
      <c r="M36" s="36">
        <f t="shared" si="3"/>
        <v>542.82999676310214</v>
      </c>
      <c r="N36" s="37">
        <f t="shared" si="4"/>
        <v>70.665600000000012</v>
      </c>
      <c r="O36" s="36">
        <f t="shared" si="5"/>
        <v>11.867746142529194</v>
      </c>
      <c r="P36" s="36">
        <f t="shared" si="6"/>
        <v>23.329978109608323</v>
      </c>
      <c r="Q36" s="36">
        <f t="shared" si="7"/>
        <v>18.6497781643343</v>
      </c>
      <c r="R36" s="36">
        <v>0</v>
      </c>
      <c r="S36" s="38">
        <v>0</v>
      </c>
      <c r="T36" s="39">
        <f t="shared" si="8"/>
        <v>648.69332101523969</v>
      </c>
      <c r="U36" s="39">
        <f t="shared" si="9"/>
        <v>1907.9215323977637</v>
      </c>
    </row>
    <row r="37" spans="2:21" ht="15.6" x14ac:dyDescent="0.3">
      <c r="B37" s="14" t="s">
        <v>39</v>
      </c>
      <c r="C37" s="18">
        <v>3780</v>
      </c>
      <c r="D37" s="19"/>
      <c r="E37" s="20">
        <v>3780</v>
      </c>
      <c r="G37" s="43">
        <v>10007162</v>
      </c>
      <c r="H37" s="31">
        <f>IFERROR(INDEX([4]Resumen!$K$3:$K$63,MATCH(G37,[4]Resumen!$C$3:$C$63,0)),0)*(1+I37*J37)/1000-51.89/1000-93.38/1000</f>
        <v>1.596558814009124</v>
      </c>
      <c r="I37" s="33">
        <v>0.68</v>
      </c>
      <c r="J37" s="33">
        <f t="shared" si="0"/>
        <v>-0.10965909090909082</v>
      </c>
      <c r="K37" s="34">
        <f t="shared" si="1"/>
        <v>3780</v>
      </c>
      <c r="L37" s="35">
        <f t="shared" si="2"/>
        <v>3.78</v>
      </c>
      <c r="M37" s="36">
        <f t="shared" si="3"/>
        <v>6034.9923169544882</v>
      </c>
      <c r="N37" s="37">
        <f t="shared" si="4"/>
        <v>785.63519999999994</v>
      </c>
      <c r="O37" s="36">
        <f t="shared" si="5"/>
        <v>131.94141299635396</v>
      </c>
      <c r="P37" s="36">
        <f t="shared" si="6"/>
        <v>259.37446251270427</v>
      </c>
      <c r="Q37" s="36">
        <f t="shared" si="7"/>
        <v>207.34165135642249</v>
      </c>
      <c r="R37" s="36">
        <v>0</v>
      </c>
      <c r="S37" s="38">
        <v>0</v>
      </c>
      <c r="T37" s="39">
        <f t="shared" si="8"/>
        <v>7211.9433924635468</v>
      </c>
      <c r="U37" s="39">
        <f t="shared" si="9"/>
        <v>1907.9215323977637</v>
      </c>
    </row>
    <row r="38" spans="2:21" ht="15.6" x14ac:dyDescent="0.3">
      <c r="B38" s="14" t="s">
        <v>40</v>
      </c>
      <c r="C38" s="18">
        <v>2680</v>
      </c>
      <c r="D38" s="19"/>
      <c r="E38" s="20">
        <v>2680</v>
      </c>
      <c r="G38" s="43">
        <v>10007162</v>
      </c>
      <c r="H38" s="31">
        <f>IFERROR(INDEX([4]Resumen!$K$3:$K$63,MATCH(G38,[4]Resumen!$C$3:$C$63,0)),0)*(1+I38*J38)/1000-51.89/1000-93.38/1000</f>
        <v>1.596558814009124</v>
      </c>
      <c r="I38" s="33">
        <v>0.68</v>
      </c>
      <c r="J38" s="33">
        <f t="shared" si="0"/>
        <v>-0.10965909090909082</v>
      </c>
      <c r="K38" s="34">
        <f t="shared" si="1"/>
        <v>2680</v>
      </c>
      <c r="L38" s="35">
        <f t="shared" si="2"/>
        <v>2.68</v>
      </c>
      <c r="M38" s="36">
        <f t="shared" si="3"/>
        <v>4278.7776215444528</v>
      </c>
      <c r="N38" s="37">
        <f t="shared" si="4"/>
        <v>557.01120000000003</v>
      </c>
      <c r="O38" s="36">
        <f t="shared" si="5"/>
        <v>93.545763711700715</v>
      </c>
      <c r="P38" s="36">
        <f t="shared" si="6"/>
        <v>183.89512156985381</v>
      </c>
      <c r="Q38" s="36">
        <f t="shared" si="7"/>
        <v>147.0041337659292</v>
      </c>
      <c r="R38" s="36">
        <v>0</v>
      </c>
      <c r="S38" s="38">
        <v>0</v>
      </c>
      <c r="T38" s="39">
        <f t="shared" si="8"/>
        <v>5113.2297068260068</v>
      </c>
      <c r="U38" s="39">
        <f t="shared" si="9"/>
        <v>1907.9215323977637</v>
      </c>
    </row>
    <row r="39" spans="2:21" ht="15.6" x14ac:dyDescent="0.3">
      <c r="B39" s="14" t="s">
        <v>41</v>
      </c>
      <c r="C39" s="18">
        <v>36360</v>
      </c>
      <c r="D39" s="19"/>
      <c r="E39" s="20">
        <v>36360</v>
      </c>
      <c r="G39" s="43">
        <v>10007162</v>
      </c>
      <c r="H39" s="31">
        <f>IFERROR(INDEX([4]Resumen!$K$3:$K$63,MATCH(G39,[4]Resumen!$C$3:$C$63,0)),0)*(1+I39*J39)/1000-51.89/1000-93.38/1000</f>
        <v>1.596558814009124</v>
      </c>
      <c r="I39" s="33">
        <v>0.68</v>
      </c>
      <c r="J39" s="33">
        <f t="shared" si="0"/>
        <v>-0.10965909090909082</v>
      </c>
      <c r="K39" s="34">
        <f t="shared" si="1"/>
        <v>36360</v>
      </c>
      <c r="L39" s="35">
        <f t="shared" si="2"/>
        <v>36.36</v>
      </c>
      <c r="M39" s="36">
        <f t="shared" si="3"/>
        <v>58050.878477371749</v>
      </c>
      <c r="N39" s="37">
        <f t="shared" si="4"/>
        <v>7557.0623999999998</v>
      </c>
      <c r="O39" s="36">
        <f t="shared" si="5"/>
        <v>1269.1507345363573</v>
      </c>
      <c r="P39" s="36">
        <f t="shared" si="6"/>
        <v>2494.9353060745839</v>
      </c>
      <c r="Q39" s="36">
        <f t="shared" si="7"/>
        <v>1994.4292178093974</v>
      </c>
      <c r="R39" s="36">
        <v>0</v>
      </c>
      <c r="S39" s="38">
        <v>0</v>
      </c>
      <c r="T39" s="39">
        <f t="shared" si="8"/>
        <v>69372.026917982686</v>
      </c>
      <c r="U39" s="39">
        <f t="shared" si="9"/>
        <v>1907.9215323977637</v>
      </c>
    </row>
    <row r="40" spans="2:21" ht="15.6" x14ac:dyDescent="0.3">
      <c r="B40" s="14" t="s">
        <v>42</v>
      </c>
      <c r="C40" s="18">
        <v>172680</v>
      </c>
      <c r="D40" s="19"/>
      <c r="E40" s="20">
        <v>172680</v>
      </c>
      <c r="G40" s="43">
        <v>10007162</v>
      </c>
      <c r="H40" s="31">
        <f>IFERROR(INDEX([4]Resumen!$K$3:$K$63,MATCH(G40,[4]Resumen!$C$3:$C$63,0)),0)*(1+I40*J40)/1000-51.89/1000-93.38/1000</f>
        <v>1.596558814009124</v>
      </c>
      <c r="I40" s="33">
        <v>0.68</v>
      </c>
      <c r="J40" s="33">
        <f t="shared" si="0"/>
        <v>-0.10965909090909082</v>
      </c>
      <c r="K40" s="34">
        <f t="shared" si="1"/>
        <v>172680</v>
      </c>
      <c r="L40" s="35">
        <f t="shared" si="2"/>
        <v>172.68</v>
      </c>
      <c r="M40" s="36">
        <f t="shared" si="3"/>
        <v>275693.77600309555</v>
      </c>
      <c r="N40" s="37">
        <f t="shared" si="4"/>
        <v>35889.811200000004</v>
      </c>
      <c r="O40" s="36">
        <f t="shared" si="5"/>
        <v>6027.4188349762981</v>
      </c>
      <c r="P40" s="36">
        <f t="shared" si="6"/>
        <v>11848.884176374015</v>
      </c>
      <c r="Q40" s="36">
        <f t="shared" si="7"/>
        <v>9471.8932159330798</v>
      </c>
      <c r="R40" s="36">
        <v>0</v>
      </c>
      <c r="S40" s="38">
        <v>0</v>
      </c>
      <c r="T40" s="39">
        <f t="shared" si="8"/>
        <v>329459.89021444583</v>
      </c>
      <c r="U40" s="39">
        <f t="shared" si="9"/>
        <v>1907.9215323977635</v>
      </c>
    </row>
    <row r="41" spans="2:21" ht="15.6" x14ac:dyDescent="0.3">
      <c r="B41" s="14" t="s">
        <v>43</v>
      </c>
      <c r="C41" s="18">
        <v>21320</v>
      </c>
      <c r="D41" s="19"/>
      <c r="E41" s="20">
        <v>21320</v>
      </c>
      <c r="G41" s="44">
        <v>10009386</v>
      </c>
      <c r="H41" s="31">
        <f>IFERROR(INDEX([4]Resumen!$K$3:$K$63,MATCH(G41,[4]Resumen!$C$3:$C$63,0)),0)*(1+I41*J41)/1000-51.89/1000-93.38/1000</f>
        <v>1.5979902535425721</v>
      </c>
      <c r="I41" s="33">
        <v>0.68</v>
      </c>
      <c r="J41" s="33">
        <f t="shared" si="0"/>
        <v>-0.10965909090909082</v>
      </c>
      <c r="K41" s="34">
        <f t="shared" si="1"/>
        <v>21320</v>
      </c>
      <c r="L41" s="35">
        <f t="shared" si="2"/>
        <v>21.32</v>
      </c>
      <c r="M41" s="36">
        <f t="shared" si="3"/>
        <v>34069.152205527636</v>
      </c>
      <c r="N41" s="37">
        <f t="shared" si="4"/>
        <v>4431.1487999999999</v>
      </c>
      <c r="O41" s="36">
        <f t="shared" si="5"/>
        <v>744.17749340800708</v>
      </c>
      <c r="P41" s="36">
        <f t="shared" si="6"/>
        <v>1462.9268626377923</v>
      </c>
      <c r="Q41" s="36">
        <f t="shared" si="7"/>
        <v>1169.4507954811979</v>
      </c>
      <c r="R41" s="36">
        <v>0</v>
      </c>
      <c r="S41" s="38">
        <v>0</v>
      </c>
      <c r="T41" s="39">
        <f t="shared" si="8"/>
        <v>40707.405361573437</v>
      </c>
      <c r="U41" s="39">
        <f t="shared" si="9"/>
        <v>1909.3529719312119</v>
      </c>
    </row>
    <row r="42" spans="2:21" ht="15.6" x14ac:dyDescent="0.3">
      <c r="B42" s="15" t="s">
        <v>44</v>
      </c>
      <c r="C42" s="18">
        <v>156240</v>
      </c>
      <c r="D42" s="19">
        <v>54000</v>
      </c>
      <c r="E42" s="20">
        <v>102240</v>
      </c>
      <c r="F42" s="7"/>
      <c r="G42" s="45">
        <v>10009239</v>
      </c>
      <c r="H42" s="31">
        <f>IFERROR(INDEX([4]Resumen!$K$3:$K$63,MATCH(G42,[4]Resumen!$C$3:$C$63,0)),0)*(1+I42*J42)/1000-51.89/1000-93.38/1000</f>
        <v>3.0850611236899645</v>
      </c>
      <c r="I42" s="32">
        <v>0.56000000000000005</v>
      </c>
      <c r="J42" s="33">
        <f t="shared" si="0"/>
        <v>-0.10965909090909082</v>
      </c>
      <c r="K42" s="34">
        <f t="shared" si="1"/>
        <v>156240</v>
      </c>
      <c r="L42" s="35">
        <f t="shared" si="2"/>
        <v>102.24</v>
      </c>
      <c r="M42" s="36">
        <f t="shared" si="3"/>
        <v>315416.64928606193</v>
      </c>
      <c r="N42" s="37">
        <f t="shared" si="4"/>
        <v>21249.561600000001</v>
      </c>
      <c r="O42" s="36">
        <f t="shared" si="5"/>
        <v>3568.7010753299551</v>
      </c>
      <c r="P42" s="36">
        <f t="shared" si="6"/>
        <v>7015.4616527245716</v>
      </c>
      <c r="Q42" s="36">
        <f t="shared" si="7"/>
        <v>5608.0979985927606</v>
      </c>
      <c r="R42" s="36">
        <v>0</v>
      </c>
      <c r="S42" s="38">
        <v>0</v>
      </c>
      <c r="T42" s="39">
        <f t="shared" si="8"/>
        <v>347250.37361411651</v>
      </c>
      <c r="U42" s="39">
        <f t="shared" si="9"/>
        <v>3396.4238420786046</v>
      </c>
    </row>
    <row r="43" spans="2:21" ht="15.6" x14ac:dyDescent="0.3">
      <c r="B43" s="15" t="s">
        <v>45</v>
      </c>
      <c r="C43" s="18">
        <v>660</v>
      </c>
      <c r="D43" s="19"/>
      <c r="E43" s="20">
        <v>660</v>
      </c>
      <c r="G43" s="45">
        <v>10009239</v>
      </c>
      <c r="H43" s="31">
        <f>IFERROR(INDEX([4]Resumen!$K$3:$K$63,MATCH(G43,[4]Resumen!$C$3:$C$63,0)),0)*(1+I43*J43)/1000-51.89/1000-93.38/1000</f>
        <v>3.0850611236899645</v>
      </c>
      <c r="I43" s="32">
        <v>0.56000000000000005</v>
      </c>
      <c r="J43" s="33">
        <f t="shared" si="0"/>
        <v>-0.10965909090909082</v>
      </c>
      <c r="K43" s="34">
        <f t="shared" si="1"/>
        <v>660</v>
      </c>
      <c r="L43" s="35">
        <f t="shared" si="2"/>
        <v>0.66</v>
      </c>
      <c r="M43" s="36">
        <f t="shared" si="3"/>
        <v>2036.1403416353764</v>
      </c>
      <c r="N43" s="37">
        <f t="shared" si="4"/>
        <v>137.17440000000002</v>
      </c>
      <c r="O43" s="36">
        <f t="shared" si="5"/>
        <v>23.037389570791966</v>
      </c>
      <c r="P43" s="36">
        <f t="shared" si="6"/>
        <v>45.287604565710268</v>
      </c>
      <c r="Q43" s="36">
        <f t="shared" si="7"/>
        <v>36.202510554295991</v>
      </c>
      <c r="R43" s="36">
        <v>0</v>
      </c>
      <c r="S43" s="38">
        <v>0</v>
      </c>
      <c r="T43" s="39">
        <f t="shared" si="8"/>
        <v>2241.6397357718788</v>
      </c>
      <c r="U43" s="39">
        <f t="shared" si="9"/>
        <v>3396.4238420786041</v>
      </c>
    </row>
    <row r="44" spans="2:21" ht="15.6" x14ac:dyDescent="0.3">
      <c r="B44" s="8" t="s">
        <v>46</v>
      </c>
      <c r="C44" s="18">
        <v>260</v>
      </c>
      <c r="D44" s="19">
        <v>260</v>
      </c>
      <c r="E44" s="20">
        <v>0</v>
      </c>
      <c r="G44" s="46">
        <v>10009334</v>
      </c>
      <c r="H44" s="31">
        <f>IFERROR(INDEX([4]Resumen!$K$3:$K$63,MATCH(G44,[4]Resumen!$C$3:$C$63,0)),0)*(1+I44*J44)/1000-51.89/1000-93.38/1000</f>
        <v>2.6496026057914581</v>
      </c>
      <c r="I44" s="32">
        <v>0.68</v>
      </c>
      <c r="J44" s="33">
        <f t="shared" si="0"/>
        <v>-0.10965909090909082</v>
      </c>
      <c r="K44" s="34">
        <f t="shared" si="1"/>
        <v>260</v>
      </c>
      <c r="L44" s="35">
        <f t="shared" si="2"/>
        <v>0</v>
      </c>
      <c r="M44" s="36">
        <f t="shared" si="3"/>
        <v>0</v>
      </c>
      <c r="N44" s="37">
        <f t="shared" si="4"/>
        <v>0</v>
      </c>
      <c r="O44" s="36">
        <f t="shared" si="5"/>
        <v>0</v>
      </c>
      <c r="P44" s="36">
        <f t="shared" si="6"/>
        <v>0</v>
      </c>
      <c r="Q44" s="36">
        <f t="shared" si="7"/>
        <v>0</v>
      </c>
      <c r="R44" s="36">
        <v>0</v>
      </c>
      <c r="S44" s="38">
        <v>0</v>
      </c>
      <c r="T44" s="39">
        <f t="shared" si="8"/>
        <v>0</v>
      </c>
      <c r="U44" s="39">
        <f t="shared" si="9"/>
        <v>0</v>
      </c>
    </row>
    <row r="45" spans="2:21" ht="15.6" x14ac:dyDescent="0.3">
      <c r="B45" s="8" t="s">
        <v>47</v>
      </c>
      <c r="C45" s="18">
        <v>14642</v>
      </c>
      <c r="D45" s="19"/>
      <c r="E45" s="20">
        <v>14642</v>
      </c>
      <c r="G45" s="46">
        <v>10009334</v>
      </c>
      <c r="H45" s="31">
        <f>IFERROR(INDEX([4]Resumen!$K$3:$K$63,MATCH(G45,[4]Resumen!$C$3:$C$63,0)),0)*(1+I45*J45)/1000-51.89/1000-93.38/1000</f>
        <v>2.6496026057914581</v>
      </c>
      <c r="I45" s="32">
        <v>0.68</v>
      </c>
      <c r="J45" s="33">
        <f t="shared" si="0"/>
        <v>-0.10965909090909082</v>
      </c>
      <c r="K45" s="34">
        <f t="shared" si="1"/>
        <v>14642</v>
      </c>
      <c r="L45" s="35">
        <f t="shared" si="2"/>
        <v>14.641999999999999</v>
      </c>
      <c r="M45" s="36">
        <f t="shared" si="3"/>
        <v>38795.481353998526</v>
      </c>
      <c r="N45" s="37">
        <f t="shared" si="4"/>
        <v>3043.19328</v>
      </c>
      <c r="O45" s="36">
        <f t="shared" si="5"/>
        <v>511.08099711444839</v>
      </c>
      <c r="P45" s="36">
        <f t="shared" si="6"/>
        <v>1004.6986455320147</v>
      </c>
      <c r="Q45" s="36">
        <f t="shared" si="7"/>
        <v>803.14721141818472</v>
      </c>
      <c r="R45" s="36">
        <v>0</v>
      </c>
      <c r="S45" s="38">
        <v>0</v>
      </c>
      <c r="T45" s="39">
        <f t="shared" si="8"/>
        <v>43354.454276644989</v>
      </c>
      <c r="U45" s="39">
        <f t="shared" si="9"/>
        <v>2960.9653241800975</v>
      </c>
    </row>
    <row r="46" spans="2:21" ht="15.6" x14ac:dyDescent="0.3">
      <c r="B46" s="8" t="s">
        <v>48</v>
      </c>
      <c r="C46" s="18">
        <v>4394</v>
      </c>
      <c r="D46" s="19"/>
      <c r="E46" s="20">
        <v>4394</v>
      </c>
      <c r="G46" s="46">
        <v>10009334</v>
      </c>
      <c r="H46" s="31">
        <f>IFERROR(INDEX([4]Resumen!$K$3:$K$63,MATCH(G46,[4]Resumen!$C$3:$C$63,0)),0)*(1+I46*J46)/1000-51.89/1000-93.38/1000</f>
        <v>2.6496026057914581</v>
      </c>
      <c r="I46" s="32">
        <v>0.68</v>
      </c>
      <c r="J46" s="33">
        <f t="shared" si="0"/>
        <v>-0.10965909090909082</v>
      </c>
      <c r="K46" s="34">
        <f t="shared" si="1"/>
        <v>4394</v>
      </c>
      <c r="L46" s="35">
        <f t="shared" si="2"/>
        <v>4.3940000000000001</v>
      </c>
      <c r="M46" s="36">
        <f t="shared" si="3"/>
        <v>11642.353849847668</v>
      </c>
      <c r="N46" s="37">
        <f t="shared" si="4"/>
        <v>913.24896000000001</v>
      </c>
      <c r="O46" s="36">
        <f t="shared" si="5"/>
        <v>153.37316632433317</v>
      </c>
      <c r="P46" s="36">
        <f t="shared" si="6"/>
        <v>301.5056582753499</v>
      </c>
      <c r="Q46" s="36">
        <f t="shared" si="7"/>
        <v>241.0209566296615</v>
      </c>
      <c r="R46" s="36">
        <v>0</v>
      </c>
      <c r="S46" s="38">
        <v>0</v>
      </c>
      <c r="T46" s="39">
        <f t="shared" si="8"/>
        <v>13010.481634447351</v>
      </c>
      <c r="U46" s="39">
        <f t="shared" si="9"/>
        <v>2960.9653241800979</v>
      </c>
    </row>
    <row r="47" spans="2:21" ht="15.6" x14ac:dyDescent="0.3">
      <c r="B47" s="6" t="s">
        <v>49</v>
      </c>
      <c r="C47" s="18">
        <v>56560</v>
      </c>
      <c r="D47" s="19">
        <v>27000</v>
      </c>
      <c r="E47" s="20">
        <v>29560</v>
      </c>
      <c r="G47" s="45">
        <v>10007050</v>
      </c>
      <c r="H47" s="31">
        <f>IFERROR(INDEX([4]Resumen!$K$3:$K$63,MATCH(G47,[4]Resumen!$C$3:$C$63,0)),0)*(1+I47*J47)/1000-51.89/1000-93.38/1000</f>
        <v>1.3082098231172592</v>
      </c>
      <c r="I47" s="32">
        <v>0.68</v>
      </c>
      <c r="J47" s="33">
        <f t="shared" si="0"/>
        <v>-0.10965909090909082</v>
      </c>
      <c r="K47" s="34">
        <f t="shared" si="1"/>
        <v>56560</v>
      </c>
      <c r="L47" s="35">
        <f t="shared" si="2"/>
        <v>29.56</v>
      </c>
      <c r="M47" s="36">
        <f t="shared" si="3"/>
        <v>38670.682371346178</v>
      </c>
      <c r="N47" s="37">
        <f t="shared" si="4"/>
        <v>6143.7503999999999</v>
      </c>
      <c r="O47" s="36">
        <f t="shared" si="5"/>
        <v>1031.7958116857733</v>
      </c>
      <c r="P47" s="36">
        <f t="shared" si="6"/>
        <v>2028.3357438824173</v>
      </c>
      <c r="Q47" s="36">
        <f t="shared" si="7"/>
        <v>1621.4336545227113</v>
      </c>
      <c r="R47" s="36">
        <v>0</v>
      </c>
      <c r="S47" s="38">
        <v>0</v>
      </c>
      <c r="T47" s="39">
        <f t="shared" si="8"/>
        <v>47874.564326914362</v>
      </c>
      <c r="U47" s="39">
        <f t="shared" si="9"/>
        <v>1619.5725415058987</v>
      </c>
    </row>
    <row r="48" spans="2:21" ht="15.6" x14ac:dyDescent="0.3">
      <c r="B48" s="6" t="s">
        <v>50</v>
      </c>
      <c r="C48" s="18">
        <v>34355</v>
      </c>
      <c r="D48" s="19">
        <v>27000</v>
      </c>
      <c r="E48" s="20">
        <v>7355</v>
      </c>
      <c r="G48" s="45">
        <v>10007050</v>
      </c>
      <c r="H48" s="31">
        <f>IFERROR(INDEX([4]Resumen!$K$3:$K$63,MATCH(G48,[4]Resumen!$C$3:$C$63,0)),0)*(1+I48*J48)/1000-51.89/1000-93.38/1000</f>
        <v>1.3082098231172592</v>
      </c>
      <c r="I48" s="32">
        <v>0.68</v>
      </c>
      <c r="J48" s="33">
        <f t="shared" si="0"/>
        <v>-0.10965909090909082</v>
      </c>
      <c r="K48" s="34">
        <f t="shared" si="1"/>
        <v>34355</v>
      </c>
      <c r="L48" s="35">
        <f t="shared" si="2"/>
        <v>7.3550000000000004</v>
      </c>
      <c r="M48" s="36">
        <f t="shared" si="3"/>
        <v>9621.8832490274435</v>
      </c>
      <c r="N48" s="37">
        <f t="shared" si="4"/>
        <v>1528.6632000000002</v>
      </c>
      <c r="O48" s="36">
        <f t="shared" si="5"/>
        <v>256.72727317147712</v>
      </c>
      <c r="P48" s="36">
        <f t="shared" si="6"/>
        <v>504.68232057696827</v>
      </c>
      <c r="Q48" s="36">
        <f t="shared" si="7"/>
        <v>403.43858352552581</v>
      </c>
      <c r="R48" s="36">
        <v>0</v>
      </c>
      <c r="S48" s="38">
        <v>0</v>
      </c>
      <c r="T48" s="39">
        <f t="shared" si="8"/>
        <v>11911.95604277589</v>
      </c>
      <c r="U48" s="39">
        <f t="shared" si="9"/>
        <v>1619.5725415058992</v>
      </c>
    </row>
    <row r="49" spans="2:21" ht="15.6" x14ac:dyDescent="0.3">
      <c r="B49" s="6" t="s">
        <v>51</v>
      </c>
      <c r="C49" s="18">
        <v>20345</v>
      </c>
      <c r="D49" s="19"/>
      <c r="E49" s="20">
        <v>20345</v>
      </c>
      <c r="G49" s="45">
        <v>10007050</v>
      </c>
      <c r="H49" s="31">
        <f>IFERROR(INDEX([4]Resumen!$K$3:$K$63,MATCH(G49,[4]Resumen!$C$3:$C$63,0)),0)*(1+I49*J49)/1000-51.89/1000-93.38/1000</f>
        <v>1.3082098231172592</v>
      </c>
      <c r="I49" s="32">
        <v>0.68</v>
      </c>
      <c r="J49" s="33">
        <f t="shared" si="0"/>
        <v>-0.10965909090909082</v>
      </c>
      <c r="K49" s="34">
        <f t="shared" si="1"/>
        <v>20345</v>
      </c>
      <c r="L49" s="35">
        <f t="shared" si="2"/>
        <v>20.344999999999999</v>
      </c>
      <c r="M49" s="36">
        <f t="shared" si="3"/>
        <v>26615.528851320636</v>
      </c>
      <c r="N49" s="37">
        <f t="shared" si="4"/>
        <v>4228.5047999999997</v>
      </c>
      <c r="O49" s="36">
        <f t="shared" si="5"/>
        <v>710.14498608751887</v>
      </c>
      <c r="P49" s="36">
        <f t="shared" si="6"/>
        <v>1396.0247195293566</v>
      </c>
      <c r="Q49" s="36">
        <f t="shared" si="7"/>
        <v>1115.9698139805332</v>
      </c>
      <c r="R49" s="36">
        <v>0</v>
      </c>
      <c r="S49" s="38">
        <v>0</v>
      </c>
      <c r="T49" s="39">
        <f t="shared" si="8"/>
        <v>32950.203356937513</v>
      </c>
      <c r="U49" s="39">
        <f t="shared" si="9"/>
        <v>1619.5725415058989</v>
      </c>
    </row>
    <row r="50" spans="2:21" ht="15.6" x14ac:dyDescent="0.3">
      <c r="B50" s="16" t="s">
        <v>52</v>
      </c>
      <c r="C50" s="18">
        <v>462500</v>
      </c>
      <c r="D50" s="19"/>
      <c r="E50" s="20">
        <f>+C50</f>
        <v>462500</v>
      </c>
      <c r="G50" s="41">
        <v>10009650</v>
      </c>
      <c r="H50" s="137">
        <f t="shared" ref="H50:I50" si="10">H11</f>
        <v>1.8344310061156939</v>
      </c>
      <c r="I50" s="32">
        <f t="shared" si="10"/>
        <v>0.67</v>
      </c>
      <c r="J50" s="33">
        <f t="shared" si="0"/>
        <v>-0.10965909090909082</v>
      </c>
      <c r="K50" s="34">
        <f t="shared" si="1"/>
        <v>462500</v>
      </c>
      <c r="L50" s="35">
        <f t="shared" si="2"/>
        <v>462.5</v>
      </c>
      <c r="M50" s="36">
        <f t="shared" si="3"/>
        <v>848424.34032850841</v>
      </c>
      <c r="N50" s="37">
        <f t="shared" si="4"/>
        <v>96126</v>
      </c>
      <c r="O50" s="36">
        <f t="shared" si="5"/>
        <v>16143.625267411036</v>
      </c>
      <c r="P50" s="36">
        <f t="shared" si="6"/>
        <v>31735.631987334848</v>
      </c>
      <c r="Q50" s="36">
        <f t="shared" si="7"/>
        <v>25369.183532366511</v>
      </c>
      <c r="R50" s="36">
        <v>0</v>
      </c>
      <c r="S50" s="38">
        <v>0</v>
      </c>
      <c r="T50" s="39">
        <f t="shared" si="8"/>
        <v>992429.59758325422</v>
      </c>
      <c r="U50" s="39">
        <f t="shared" si="9"/>
        <v>2145.7937245043336</v>
      </c>
    </row>
    <row r="51" spans="2:21" ht="16.2" thickBot="1" x14ac:dyDescent="0.35">
      <c r="B51" s="16" t="s">
        <v>53</v>
      </c>
      <c r="C51" s="18">
        <v>612580</v>
      </c>
      <c r="D51" s="19"/>
      <c r="E51" s="20">
        <f>+C51</f>
        <v>612580</v>
      </c>
      <c r="G51" s="30">
        <v>10009649</v>
      </c>
      <c r="H51" s="137">
        <f t="shared" ref="H51:I51" si="11">H2</f>
        <v>1.7319701269990091</v>
      </c>
      <c r="I51" s="32">
        <f t="shared" si="11"/>
        <v>0.71</v>
      </c>
      <c r="J51" s="33">
        <f t="shared" si="0"/>
        <v>-0.10965909090909082</v>
      </c>
      <c r="K51" s="34">
        <f t="shared" si="1"/>
        <v>612580</v>
      </c>
      <c r="L51" s="35">
        <f t="shared" si="2"/>
        <v>612.58000000000004</v>
      </c>
      <c r="M51" s="36">
        <f t="shared" si="3"/>
        <v>1060970.2603970531</v>
      </c>
      <c r="N51" s="37">
        <f t="shared" si="4"/>
        <v>127318.62720000002</v>
      </c>
      <c r="O51" s="36">
        <f t="shared" si="5"/>
        <v>21382.188035266277</v>
      </c>
      <c r="P51" s="36">
        <f t="shared" si="6"/>
        <v>42033.758795246664</v>
      </c>
      <c r="Q51" s="36">
        <f t="shared" si="7"/>
        <v>33601.415023258545</v>
      </c>
      <c r="R51" s="36">
        <v>0</v>
      </c>
      <c r="S51" s="38">
        <v>0</v>
      </c>
      <c r="T51" s="39">
        <f t="shared" si="8"/>
        <v>1251704.834427566</v>
      </c>
      <c r="U51" s="39">
        <f t="shared" si="9"/>
        <v>2043.3328453876488</v>
      </c>
    </row>
    <row r="52" spans="2:21" ht="15" thickBot="1" x14ac:dyDescent="0.35">
      <c r="B52" s="17" t="s">
        <v>54</v>
      </c>
      <c r="C52" s="22">
        <f>SUM(C2:C51)</f>
        <v>2505956</v>
      </c>
      <c r="D52" s="23">
        <f>SUM(D2:D51)</f>
        <v>255080</v>
      </c>
      <c r="E52" s="24">
        <f>SUM(E2:E51)</f>
        <v>2251216</v>
      </c>
      <c r="L52" s="47">
        <f t="shared" ref="L52:T52" si="12">SUM(L2:L51)</f>
        <v>2251.2160000000003</v>
      </c>
      <c r="M52" s="48">
        <f t="shared" si="12"/>
        <v>3887910.7444664994</v>
      </c>
      <c r="N52" s="48">
        <f t="shared" si="12"/>
        <v>467892.73343999998</v>
      </c>
      <c r="O52" s="48">
        <f t="shared" si="12"/>
        <v>78579</v>
      </c>
      <c r="P52" s="48">
        <f t="shared" si="12"/>
        <v>154473</v>
      </c>
      <c r="Q52" s="48">
        <f t="shared" si="12"/>
        <v>123484.35</v>
      </c>
      <c r="R52" s="48">
        <f t="shared" si="12"/>
        <v>0</v>
      </c>
      <c r="S52" s="49">
        <f t="shared" si="12"/>
        <v>0</v>
      </c>
      <c r="T52" s="50">
        <f t="shared" si="12"/>
        <v>4588855.4779064991</v>
      </c>
      <c r="U52" s="50">
        <f t="shared" si="9"/>
        <v>2038.389687131976</v>
      </c>
    </row>
    <row r="53" spans="2:21" ht="15" thickBot="1" x14ac:dyDescent="0.35"/>
    <row r="54" spans="2:21" ht="16.2" thickBot="1" x14ac:dyDescent="0.35">
      <c r="L54" s="51"/>
      <c r="N54" t="s">
        <v>70</v>
      </c>
      <c r="O54" s="48">
        <v>78579.000000000015</v>
      </c>
      <c r="P54" s="48">
        <v>154473.00000000003</v>
      </c>
      <c r="Q54" s="48">
        <v>123484.35000000002</v>
      </c>
    </row>
    <row r="55" spans="2:21" x14ac:dyDescent="0.3">
      <c r="G55" t="s">
        <v>71</v>
      </c>
      <c r="H55" s="55">
        <v>3.52</v>
      </c>
      <c r="I55" s="53" t="s">
        <v>76</v>
      </c>
      <c r="J55" s="57" t="s">
        <v>77</v>
      </c>
    </row>
    <row r="56" spans="2:21" x14ac:dyDescent="0.3">
      <c r="G56" t="s">
        <v>72</v>
      </c>
      <c r="H56" s="56">
        <v>3.3010000000000002</v>
      </c>
      <c r="I56" s="54">
        <v>3644</v>
      </c>
      <c r="J56" s="52">
        <v>0.75</v>
      </c>
      <c r="K56" s="52"/>
    </row>
    <row r="57" spans="2:21" x14ac:dyDescent="0.3">
      <c r="G57" t="s">
        <v>73</v>
      </c>
      <c r="H57" s="56">
        <v>2.633</v>
      </c>
      <c r="I57" s="54">
        <f>3218</f>
        <v>3218</v>
      </c>
      <c r="J57" s="52">
        <f>1-J56</f>
        <v>0.25</v>
      </c>
      <c r="K57" s="52"/>
    </row>
    <row r="58" spans="2:21" x14ac:dyDescent="0.3">
      <c r="G58" t="s">
        <v>74</v>
      </c>
      <c r="H58" s="56">
        <f>H56*J56+H57*J57</f>
        <v>3.1340000000000003</v>
      </c>
      <c r="I58" s="54">
        <f>I56+I57</f>
        <v>6862</v>
      </c>
    </row>
    <row r="59" spans="2:21" x14ac:dyDescent="0.3">
      <c r="G59" t="s">
        <v>75</v>
      </c>
      <c r="H59" s="52">
        <f>(H58-H55)/H55</f>
        <v>-0.10965909090909082</v>
      </c>
    </row>
  </sheetData>
  <conditionalFormatting sqref="E2:E5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3-8-2026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2026-08-03T14:29:27Z</dcterms:created>
  <dcterms:modified xsi:type="dcterms:W3CDTF">2026-08-03T21:29:30Z</dcterms:modified>
</cp:coreProperties>
</file>