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83B1CA1D-C661-4D4D-AE7C-60FB031054A2}" xr6:coauthVersionLast="47" xr6:coauthVersionMax="47" xr10:uidLastSave="{00000000-0000-0000-0000-000000000000}"/>
  <bookViews>
    <workbookView xWindow="-108" yWindow="-108" windowWidth="23256" windowHeight="13896" xr2:uid="{7CC80F45-BD9B-496E-ADC7-D6BD00A1E60F}"/>
  </bookViews>
  <sheets>
    <sheet name="RESUMEN AL 24-8-2026" sheetId="4" r:id="rId1"/>
    <sheet name="TD" sheetId="2" r:id="rId2"/>
    <sheet name="Stock Libre" sheetId="1" r:id="rId3"/>
  </sheets>
  <externalReferences>
    <externalReference r:id="rId4"/>
    <externalReference r:id="rId5"/>
    <externalReference r:id="rId6"/>
  </externalReferences>
  <calcPr calcId="191029" iterate="1"/>
  <pivotCaches>
    <pivotCache cacheId="4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2" i="4" l="1"/>
  <c r="D52" i="4"/>
  <c r="AK27" i="4"/>
  <c r="AM13" i="4"/>
  <c r="AM20" i="4" s="1"/>
  <c r="AM19" i="4"/>
  <c r="AM18" i="4"/>
  <c r="AM17" i="4"/>
  <c r="AM16" i="4"/>
  <c r="AM15" i="4"/>
  <c r="AM14" i="4"/>
  <c r="AM12" i="4"/>
  <c r="AM11" i="4"/>
  <c r="AM10" i="4"/>
  <c r="AM9" i="4"/>
  <c r="AM8" i="4"/>
  <c r="AH19" i="4" a="1"/>
  <c r="AH19" i="4" s="1"/>
  <c r="AI19" i="4" s="1"/>
  <c r="AG19" i="4" a="1"/>
  <c r="AG19" i="4" s="1"/>
  <c r="AH18" i="4" a="1"/>
  <c r="AH18" i="4" s="1"/>
  <c r="AG18" i="4" a="1"/>
  <c r="AG18" i="4" s="1"/>
  <c r="AH17" i="4"/>
  <c r="AH17" i="4" a="1"/>
  <c r="AG17" i="4" a="1"/>
  <c r="AG17" i="4" s="1"/>
  <c r="AH16" i="4" a="1"/>
  <c r="AH16" i="4" s="1"/>
  <c r="AG16" i="4" a="1"/>
  <c r="AG16" i="4" s="1"/>
  <c r="AH15" i="4" a="1"/>
  <c r="AH15" i="4" s="1"/>
  <c r="AG15" i="4" a="1"/>
  <c r="AG15" i="4" s="1"/>
  <c r="AH14" i="4"/>
  <c r="AI14" i="4" s="1"/>
  <c r="AH14" i="4" a="1"/>
  <c r="AG14" i="4" a="1"/>
  <c r="AG14" i="4" s="1"/>
  <c r="AH13" i="4" a="1"/>
  <c r="AH13" i="4" s="1"/>
  <c r="AG13" i="4" a="1"/>
  <c r="AG13" i="4" s="1"/>
  <c r="AH12" i="4" a="1"/>
  <c r="AH12" i="4" s="1"/>
  <c r="AG12" i="4" a="1"/>
  <c r="AG12" i="4" s="1"/>
  <c r="AH11" i="4"/>
  <c r="AH11" i="4" a="1"/>
  <c r="AG11" i="4" a="1"/>
  <c r="AG11" i="4" s="1"/>
  <c r="AH10" i="4" a="1"/>
  <c r="AH10" i="4" s="1"/>
  <c r="AG10" i="4" a="1"/>
  <c r="AG10" i="4" s="1"/>
  <c r="AH9" i="4" a="1"/>
  <c r="AH9" i="4" s="1"/>
  <c r="AG9" i="4" a="1"/>
  <c r="AG9" i="4" s="1"/>
  <c r="AH8" i="4"/>
  <c r="AH8" i="4" a="1"/>
  <c r="AG8" i="4" a="1"/>
  <c r="AG8" i="4" s="1"/>
  <c r="AH7" i="4" a="1"/>
  <c r="AH7" i="4" s="1"/>
  <c r="AG7" i="4" a="1"/>
  <c r="AG7" i="4" s="1"/>
  <c r="AE19" i="4" a="1"/>
  <c r="AE19" i="4" s="1"/>
  <c r="AD19" i="4" a="1"/>
  <c r="AD19" i="4" s="1"/>
  <c r="AE18" i="4" a="1"/>
  <c r="AE18" i="4" s="1"/>
  <c r="AD18" i="4" a="1"/>
  <c r="AD18" i="4" s="1"/>
  <c r="AE17" i="4" a="1"/>
  <c r="AE17" i="4" s="1"/>
  <c r="AD17" i="4" a="1"/>
  <c r="AD17" i="4" s="1"/>
  <c r="AE16" i="4" a="1"/>
  <c r="AE16" i="4" s="1"/>
  <c r="AD16" i="4" a="1"/>
  <c r="AD16" i="4" s="1"/>
  <c r="AE15" i="4" a="1"/>
  <c r="AE15" i="4" s="1"/>
  <c r="AD15" i="4" a="1"/>
  <c r="AD15" i="4" s="1"/>
  <c r="AE14" i="4" a="1"/>
  <c r="AE14" i="4" s="1"/>
  <c r="AD14" i="4" a="1"/>
  <c r="AD14" i="4" s="1"/>
  <c r="AE13" i="4" a="1"/>
  <c r="AE13" i="4" s="1"/>
  <c r="AD13" i="4" a="1"/>
  <c r="AD13" i="4" s="1"/>
  <c r="AE12" i="4" a="1"/>
  <c r="AE12" i="4" s="1"/>
  <c r="AD12" i="4" a="1"/>
  <c r="AD12" i="4" s="1"/>
  <c r="AE11" i="4" a="1"/>
  <c r="AE11" i="4" s="1"/>
  <c r="AD11" i="4" a="1"/>
  <c r="AD11" i="4" s="1"/>
  <c r="AE10" i="4" a="1"/>
  <c r="AE10" i="4" s="1"/>
  <c r="AD10" i="4" a="1"/>
  <c r="AD10" i="4" s="1"/>
  <c r="AE9" i="4" a="1"/>
  <c r="AE9" i="4" s="1"/>
  <c r="AD9" i="4" a="1"/>
  <c r="AD9" i="4" s="1"/>
  <c r="AE8" i="4" a="1"/>
  <c r="AE8" i="4" s="1"/>
  <c r="AD8" i="4" a="1"/>
  <c r="AD8" i="4" s="1"/>
  <c r="AE7" i="4" a="1"/>
  <c r="AE7" i="4" s="1"/>
  <c r="AD7" i="4" a="1"/>
  <c r="AD7" i="4" s="1"/>
  <c r="AB19" i="4" a="1"/>
  <c r="AB19" i="4" s="1"/>
  <c r="AA19" i="4"/>
  <c r="AA19" i="4" a="1"/>
  <c r="AB18" i="4" a="1"/>
  <c r="AB18" i="4" s="1"/>
  <c r="AA18" i="4" a="1"/>
  <c r="AA18" i="4" s="1"/>
  <c r="AB17" i="4" a="1"/>
  <c r="AB17" i="4" s="1"/>
  <c r="AA17" i="4" a="1"/>
  <c r="AA17" i="4" s="1"/>
  <c r="AB16" i="4" a="1"/>
  <c r="AB16" i="4" s="1"/>
  <c r="AC16" i="4" s="1"/>
  <c r="AA16" i="4"/>
  <c r="AA16" i="4" a="1"/>
  <c r="AB15" i="4" a="1"/>
  <c r="AB15" i="4" s="1"/>
  <c r="AA15" i="4" a="1"/>
  <c r="AA15" i="4" s="1"/>
  <c r="AB14" i="4" a="1"/>
  <c r="AB14" i="4" s="1"/>
  <c r="AC14" i="4" s="1"/>
  <c r="AA14" i="4" a="1"/>
  <c r="AA14" i="4" s="1"/>
  <c r="AB13" i="4" a="1"/>
  <c r="AB13" i="4" s="1"/>
  <c r="AA13" i="4" a="1"/>
  <c r="AA13" i="4" s="1"/>
  <c r="AB12" i="4" a="1"/>
  <c r="AB12" i="4" s="1"/>
  <c r="AA12" i="4" a="1"/>
  <c r="AA12" i="4" s="1"/>
  <c r="AB11" i="4"/>
  <c r="AB11" i="4" a="1"/>
  <c r="AA11" i="4" a="1"/>
  <c r="AA11" i="4" s="1"/>
  <c r="AB10" i="4" a="1"/>
  <c r="AB10" i="4" s="1"/>
  <c r="AA10" i="4" a="1"/>
  <c r="AA10" i="4" s="1"/>
  <c r="AB9" i="4" a="1"/>
  <c r="AB9" i="4" s="1"/>
  <c r="AC9" i="4" s="1"/>
  <c r="AA9" i="4" a="1"/>
  <c r="AA9" i="4" s="1"/>
  <c r="AB8" i="4" a="1"/>
  <c r="AB8" i="4" s="1"/>
  <c r="AA8" i="4" a="1"/>
  <c r="AA8" i="4" s="1"/>
  <c r="AB7" i="4" a="1"/>
  <c r="AB7" i="4" s="1"/>
  <c r="AA7" i="4" a="1"/>
  <c r="AA7" i="4" s="1"/>
  <c r="Y7" i="4" a="1"/>
  <c r="Y7" i="4" s="1"/>
  <c r="Y8" i="4" a="1"/>
  <c r="Y8" i="4" s="1"/>
  <c r="Y9" i="4" a="1"/>
  <c r="Y9" i="4"/>
  <c r="Y10" i="4" a="1"/>
  <c r="Y10" i="4"/>
  <c r="Y11" i="4" a="1"/>
  <c r="Y11" i="4" s="1"/>
  <c r="Y12" i="4" a="1"/>
  <c r="Y12" i="4"/>
  <c r="Y13" i="4" a="1"/>
  <c r="Y13" i="4" s="1"/>
  <c r="Z13" i="4" s="1"/>
  <c r="Y14" i="4" a="1"/>
  <c r="Y14" i="4" s="1"/>
  <c r="Y15" i="4" a="1"/>
  <c r="Y15" i="4" s="1"/>
  <c r="Y16" i="4" a="1"/>
  <c r="Y16" i="4"/>
  <c r="Y17" i="4" a="1"/>
  <c r="Y17" i="4" s="1"/>
  <c r="Y18" i="4" a="1"/>
  <c r="Y18" i="4"/>
  <c r="Y19" i="4" a="1"/>
  <c r="Y19" i="4" s="1"/>
  <c r="Z19" i="4" s="1"/>
  <c r="X7" i="4" a="1"/>
  <c r="X7" i="4"/>
  <c r="X8" i="4" a="1"/>
  <c r="X8" i="4" s="1"/>
  <c r="X9" i="4" a="1"/>
  <c r="X9" i="4"/>
  <c r="X10" i="4" a="1"/>
  <c r="X10" i="4"/>
  <c r="X11" i="4" a="1"/>
  <c r="X11" i="4"/>
  <c r="X12" i="4" a="1"/>
  <c r="X12" i="4"/>
  <c r="X13" i="4" a="1"/>
  <c r="X13" i="4"/>
  <c r="X14" i="4" a="1"/>
  <c r="X14" i="4" s="1"/>
  <c r="X15" i="4" a="1"/>
  <c r="X15" i="4"/>
  <c r="X16" i="4" a="1"/>
  <c r="X16" i="4"/>
  <c r="X17" i="4" a="1"/>
  <c r="X17" i="4"/>
  <c r="X18" i="4" a="1"/>
  <c r="X18" i="4"/>
  <c r="X19" i="4" a="1"/>
  <c r="X19" i="4"/>
  <c r="E47" i="4"/>
  <c r="F47" i="4"/>
  <c r="E39" i="4"/>
  <c r="L2" i="1"/>
  <c r="N2" i="1" s="1"/>
  <c r="L3" i="1"/>
  <c r="L4" i="1"/>
  <c r="L5" i="1"/>
  <c r="L6" i="1"/>
  <c r="L7" i="1"/>
  <c r="L8" i="1"/>
  <c r="M8" i="1" s="1"/>
  <c r="L9" i="1"/>
  <c r="L10" i="1"/>
  <c r="N10" i="1" s="1"/>
  <c r="L11" i="1"/>
  <c r="N11" i="1" s="1"/>
  <c r="L12" i="1"/>
  <c r="L13" i="1"/>
  <c r="N13" i="1" s="1"/>
  <c r="L14" i="1"/>
  <c r="L15" i="1"/>
  <c r="N15" i="1" s="1"/>
  <c r="L16" i="1"/>
  <c r="L17" i="1"/>
  <c r="L18" i="1"/>
  <c r="L19" i="1"/>
  <c r="L20" i="1"/>
  <c r="L21" i="1"/>
  <c r="N21" i="1" s="1"/>
  <c r="L22" i="1"/>
  <c r="L23" i="1"/>
  <c r="N23" i="1" s="1"/>
  <c r="L24" i="1"/>
  <c r="N24" i="1" s="1"/>
  <c r="L25" i="1"/>
  <c r="N25" i="1" s="1"/>
  <c r="L26" i="1"/>
  <c r="L27" i="1"/>
  <c r="L28" i="1"/>
  <c r="N28" i="1" s="1"/>
  <c r="L29" i="1"/>
  <c r="L30" i="1"/>
  <c r="L31" i="1"/>
  <c r="N31" i="1" s="1"/>
  <c r="L32" i="1"/>
  <c r="L33" i="1"/>
  <c r="L34" i="1"/>
  <c r="N34" i="1" s="1"/>
  <c r="L35" i="1"/>
  <c r="M35" i="1" s="1"/>
  <c r="L36" i="1"/>
  <c r="L37" i="1"/>
  <c r="N37" i="1" s="1"/>
  <c r="L38" i="1"/>
  <c r="L39" i="1"/>
  <c r="N39" i="1" s="1"/>
  <c r="L40" i="1"/>
  <c r="L41" i="1"/>
  <c r="L42" i="1"/>
  <c r="L43" i="1"/>
  <c r="L44" i="1"/>
  <c r="L45" i="1"/>
  <c r="N45" i="1" s="1"/>
  <c r="L46" i="1"/>
  <c r="M46" i="1" s="1"/>
  <c r="L47" i="1"/>
  <c r="L48" i="1"/>
  <c r="N48" i="1" s="1"/>
  <c r="L49" i="1"/>
  <c r="N49" i="1" s="1"/>
  <c r="L50" i="1"/>
  <c r="L51" i="1"/>
  <c r="J7" i="4"/>
  <c r="J8" i="4"/>
  <c r="J9" i="4"/>
  <c r="J10" i="4"/>
  <c r="J11" i="4"/>
  <c r="J12" i="4"/>
  <c r="J44" i="4" s="1"/>
  <c r="J13" i="4"/>
  <c r="J45" i="4" s="1"/>
  <c r="J14" i="4"/>
  <c r="J15" i="4"/>
  <c r="J16" i="4"/>
  <c r="J48" i="4" s="1"/>
  <c r="J17" i="4"/>
  <c r="J49" i="4" s="1"/>
  <c r="J18" i="4"/>
  <c r="J19" i="4"/>
  <c r="I7" i="4"/>
  <c r="I8" i="4"/>
  <c r="I9" i="4"/>
  <c r="I10" i="4"/>
  <c r="I11" i="4"/>
  <c r="I12" i="4"/>
  <c r="I44" i="4" s="1"/>
  <c r="I13" i="4"/>
  <c r="I45" i="4" s="1"/>
  <c r="I14" i="4"/>
  <c r="I15" i="4"/>
  <c r="I16" i="4"/>
  <c r="I48" i="4" s="1"/>
  <c r="I17" i="4"/>
  <c r="I18" i="4"/>
  <c r="I19" i="4"/>
  <c r="H7" i="4"/>
  <c r="H8" i="4"/>
  <c r="H40" i="4" s="1"/>
  <c r="H9" i="4"/>
  <c r="H10" i="4"/>
  <c r="H11" i="4"/>
  <c r="H12" i="4"/>
  <c r="H13" i="4"/>
  <c r="H45" i="4" s="1"/>
  <c r="H14" i="4"/>
  <c r="H15" i="4"/>
  <c r="H16" i="4"/>
  <c r="H48" i="4" s="1"/>
  <c r="H17" i="4"/>
  <c r="H49" i="4" s="1"/>
  <c r="H18" i="4"/>
  <c r="H19" i="4"/>
  <c r="G7" i="4"/>
  <c r="G8" i="4"/>
  <c r="G40" i="4" s="1"/>
  <c r="G9" i="4"/>
  <c r="G10" i="4"/>
  <c r="G42" i="4" s="1"/>
  <c r="G11" i="4"/>
  <c r="G43" i="4" s="1"/>
  <c r="G12" i="4"/>
  <c r="G13" i="4"/>
  <c r="G14" i="4"/>
  <c r="G15" i="4"/>
  <c r="G16" i="4"/>
  <c r="G17" i="4"/>
  <c r="G49" i="4" s="1"/>
  <c r="G18" i="4"/>
  <c r="G19" i="4"/>
  <c r="F7" i="4"/>
  <c r="F8" i="4"/>
  <c r="F40" i="4" s="1"/>
  <c r="F9" i="4"/>
  <c r="E9" i="4" s="1"/>
  <c r="E26" i="4" s="1"/>
  <c r="F26" i="4" s="1"/>
  <c r="F10" i="4"/>
  <c r="F11" i="4"/>
  <c r="F12" i="4"/>
  <c r="F13" i="4"/>
  <c r="F45" i="4" s="1"/>
  <c r="F14" i="4"/>
  <c r="E14" i="4" s="1"/>
  <c r="E28" i="4" s="1"/>
  <c r="F28" i="4" s="1"/>
  <c r="F15" i="4"/>
  <c r="F16" i="4"/>
  <c r="F17" i="4"/>
  <c r="F18" i="4"/>
  <c r="F19" i="4"/>
  <c r="D7" i="4"/>
  <c r="D39" i="4" s="1"/>
  <c r="P39" i="4" s="1"/>
  <c r="D8" i="4"/>
  <c r="R8" i="4" s="1"/>
  <c r="D9" i="4"/>
  <c r="D10" i="4"/>
  <c r="D11" i="4"/>
  <c r="D12" i="4"/>
  <c r="R12" i="4" s="1"/>
  <c r="D13" i="4"/>
  <c r="R13" i="4" s="1"/>
  <c r="D14" i="4"/>
  <c r="R14" i="4" s="1"/>
  <c r="D15" i="4"/>
  <c r="R15" i="4" s="1"/>
  <c r="D16" i="4"/>
  <c r="D48" i="4" s="1"/>
  <c r="P48" i="4" s="1"/>
  <c r="D17" i="4"/>
  <c r="R17" i="4" s="1"/>
  <c r="D18" i="4"/>
  <c r="R18" i="4" s="1"/>
  <c r="D19" i="4"/>
  <c r="K50" i="4"/>
  <c r="S49" i="4"/>
  <c r="S48" i="4"/>
  <c r="F48" i="4"/>
  <c r="S47" i="4"/>
  <c r="S46" i="4"/>
  <c r="S45" i="4"/>
  <c r="S44" i="4"/>
  <c r="H44" i="4"/>
  <c r="S43" i="4"/>
  <c r="S42" i="4"/>
  <c r="S41" i="4"/>
  <c r="D41" i="4"/>
  <c r="P41" i="4" s="1"/>
  <c r="S40" i="4"/>
  <c r="S39" i="4"/>
  <c r="L33" i="4"/>
  <c r="K31" i="4"/>
  <c r="K33" i="4" s="1"/>
  <c r="D31" i="4"/>
  <c r="S55" i="4" s="1"/>
  <c r="R30" i="4"/>
  <c r="G30" i="4"/>
  <c r="R29" i="4"/>
  <c r="G29" i="4"/>
  <c r="R28" i="4"/>
  <c r="G28" i="4"/>
  <c r="R27" i="4"/>
  <c r="G27" i="4"/>
  <c r="R26" i="4"/>
  <c r="G26" i="4"/>
  <c r="R25" i="4"/>
  <c r="G25" i="4"/>
  <c r="AJ23" i="4"/>
  <c r="R22" i="4"/>
  <c r="AQ20" i="4"/>
  <c r="AP20" i="4"/>
  <c r="AO20" i="4"/>
  <c r="K20" i="4"/>
  <c r="R19" i="4"/>
  <c r="F49" i="4"/>
  <c r="D42" i="4"/>
  <c r="P42" i="4" s="1"/>
  <c r="R9" i="4"/>
  <c r="G41" i="4"/>
  <c r="I40" i="4"/>
  <c r="B14" i="2"/>
  <c r="B13" i="2"/>
  <c r="B12" i="2"/>
  <c r="B11" i="2"/>
  <c r="B10" i="2"/>
  <c r="B9" i="2"/>
  <c r="B8" i="2"/>
  <c r="B7" i="2"/>
  <c r="B6" i="2"/>
  <c r="B5" i="2"/>
  <c r="B4" i="2"/>
  <c r="K52" i="1"/>
  <c r="H45" i="1"/>
  <c r="J57" i="1"/>
  <c r="H58" i="1" s="1"/>
  <c r="H59" i="1" s="1"/>
  <c r="I57" i="1"/>
  <c r="I58" i="1" s="1"/>
  <c r="S52" i="1"/>
  <c r="R52" i="1"/>
  <c r="N51" i="1"/>
  <c r="K51" i="1"/>
  <c r="I51" i="1"/>
  <c r="N50" i="1"/>
  <c r="K50" i="1"/>
  <c r="I50" i="1"/>
  <c r="K49" i="1"/>
  <c r="K48" i="1"/>
  <c r="N47" i="1"/>
  <c r="K47" i="1"/>
  <c r="J47" i="1"/>
  <c r="H47" i="1" s="1"/>
  <c r="M47" i="1" s="1"/>
  <c r="N46" i="1"/>
  <c r="K46" i="1"/>
  <c r="J46" i="1"/>
  <c r="H46" i="1"/>
  <c r="K45" i="1"/>
  <c r="J45" i="1"/>
  <c r="N44" i="1"/>
  <c r="K44" i="1"/>
  <c r="J44" i="1"/>
  <c r="H44" i="1"/>
  <c r="M44" i="1" s="1"/>
  <c r="N43" i="1"/>
  <c r="K43" i="1"/>
  <c r="J43" i="1"/>
  <c r="H43" i="1" s="1"/>
  <c r="M43" i="1" s="1"/>
  <c r="N42" i="1"/>
  <c r="K42" i="1"/>
  <c r="J42" i="1"/>
  <c r="H42" i="1"/>
  <c r="M42" i="1" s="1"/>
  <c r="N41" i="1"/>
  <c r="K41" i="1"/>
  <c r="J41" i="1"/>
  <c r="H41" i="1"/>
  <c r="M41" i="1" s="1"/>
  <c r="N40" i="1"/>
  <c r="K40" i="1"/>
  <c r="J40" i="1"/>
  <c r="H40" i="1"/>
  <c r="M40" i="1" s="1"/>
  <c r="K39" i="1"/>
  <c r="J39" i="1"/>
  <c r="H39" i="1" s="1"/>
  <c r="N38" i="1"/>
  <c r="K38" i="1"/>
  <c r="K37" i="1"/>
  <c r="N36" i="1"/>
  <c r="K36" i="1"/>
  <c r="K35" i="1"/>
  <c r="J35" i="1"/>
  <c r="H35" i="1" s="1"/>
  <c r="K34" i="1"/>
  <c r="J34" i="1"/>
  <c r="H34" i="1"/>
  <c r="N33" i="1"/>
  <c r="K33" i="1"/>
  <c r="J33" i="1"/>
  <c r="H33" i="1"/>
  <c r="M33" i="1" s="1"/>
  <c r="M32" i="1"/>
  <c r="K32" i="1"/>
  <c r="J32" i="1"/>
  <c r="H32" i="1"/>
  <c r="K31" i="1"/>
  <c r="J31" i="1"/>
  <c r="H31" i="1"/>
  <c r="M31" i="1" s="1"/>
  <c r="N30" i="1"/>
  <c r="K30" i="1"/>
  <c r="J30" i="1"/>
  <c r="H30" i="1"/>
  <c r="M30" i="1" s="1"/>
  <c r="N29" i="1"/>
  <c r="K29" i="1"/>
  <c r="J29" i="1"/>
  <c r="H29" i="1"/>
  <c r="M29" i="1" s="1"/>
  <c r="K28" i="1"/>
  <c r="J28" i="1"/>
  <c r="H28" i="1"/>
  <c r="N27" i="1"/>
  <c r="M27" i="1"/>
  <c r="K27" i="1"/>
  <c r="J27" i="1"/>
  <c r="H27" i="1"/>
  <c r="N26" i="1"/>
  <c r="K26" i="1"/>
  <c r="K25" i="1"/>
  <c r="K24" i="1"/>
  <c r="J24" i="1"/>
  <c r="H24" i="1" s="1"/>
  <c r="K23" i="1"/>
  <c r="J23" i="1"/>
  <c r="H23" i="1"/>
  <c r="M23" i="1" s="1"/>
  <c r="N22" i="1"/>
  <c r="K22" i="1"/>
  <c r="J22" i="1"/>
  <c r="H22" i="1"/>
  <c r="K21" i="1"/>
  <c r="J21" i="1"/>
  <c r="H21" i="1"/>
  <c r="N20" i="1"/>
  <c r="K20" i="1"/>
  <c r="J20" i="1"/>
  <c r="H20" i="1"/>
  <c r="M20" i="1" s="1"/>
  <c r="N19" i="1"/>
  <c r="K19" i="1"/>
  <c r="J19" i="1"/>
  <c r="H19" i="1"/>
  <c r="M19" i="1" s="1"/>
  <c r="N18" i="1"/>
  <c r="K18" i="1"/>
  <c r="J18" i="1"/>
  <c r="H18" i="1"/>
  <c r="N17" i="1"/>
  <c r="K17" i="1"/>
  <c r="J17" i="1"/>
  <c r="H17" i="1"/>
  <c r="M17" i="1" s="1"/>
  <c r="N16" i="1"/>
  <c r="K16" i="1"/>
  <c r="J16" i="1"/>
  <c r="H16" i="1"/>
  <c r="M16" i="1" s="1"/>
  <c r="K15" i="1"/>
  <c r="J15" i="1"/>
  <c r="H15" i="1"/>
  <c r="M15" i="1" s="1"/>
  <c r="N14" i="1"/>
  <c r="K14" i="1"/>
  <c r="K13" i="1"/>
  <c r="N12" i="1"/>
  <c r="K12" i="1"/>
  <c r="J12" i="1"/>
  <c r="H12" i="1" s="1"/>
  <c r="K11" i="1"/>
  <c r="J11" i="1"/>
  <c r="H11" i="1"/>
  <c r="H50" i="1" s="1"/>
  <c r="K10" i="1"/>
  <c r="J10" i="1"/>
  <c r="H10" i="1"/>
  <c r="M10" i="1" s="1"/>
  <c r="N9" i="1"/>
  <c r="K9" i="1"/>
  <c r="J9" i="1"/>
  <c r="H9" i="1"/>
  <c r="M9" i="1" s="1"/>
  <c r="N8" i="1"/>
  <c r="K8" i="1"/>
  <c r="J8" i="1"/>
  <c r="H8" i="1"/>
  <c r="N7" i="1"/>
  <c r="K7" i="1"/>
  <c r="J7" i="1"/>
  <c r="H7" i="1"/>
  <c r="M7" i="1" s="1"/>
  <c r="N6" i="1"/>
  <c r="K6" i="1"/>
  <c r="J6" i="1"/>
  <c r="H6" i="1"/>
  <c r="M6" i="1" s="1"/>
  <c r="N5" i="1"/>
  <c r="K5" i="1"/>
  <c r="J5" i="1"/>
  <c r="H5" i="1"/>
  <c r="M5" i="1" s="1"/>
  <c r="N4" i="1"/>
  <c r="K4" i="1"/>
  <c r="J4" i="1"/>
  <c r="H4" i="1"/>
  <c r="M4" i="1" s="1"/>
  <c r="N3" i="1"/>
  <c r="M3" i="1"/>
  <c r="K3" i="1"/>
  <c r="J3" i="1"/>
  <c r="H3" i="1"/>
  <c r="K2" i="1"/>
  <c r="AJ19" i="4" l="1"/>
  <c r="AN19" i="4" s="1"/>
  <c r="AZ19" i="4" s="1"/>
  <c r="AF15" i="4"/>
  <c r="AF10" i="4"/>
  <c r="AF11" i="4"/>
  <c r="AF16" i="4"/>
  <c r="AF17" i="4"/>
  <c r="AJ15" i="4"/>
  <c r="AN15" i="4" s="1"/>
  <c r="AZ15" i="4" s="1"/>
  <c r="AC10" i="4"/>
  <c r="AC15" i="4"/>
  <c r="AC11" i="4"/>
  <c r="AA20" i="4"/>
  <c r="AC18" i="4"/>
  <c r="AJ14" i="4"/>
  <c r="AN14" i="4" s="1"/>
  <c r="AZ14" i="4" s="1"/>
  <c r="AI13" i="4"/>
  <c r="AI12" i="4"/>
  <c r="AK17" i="4"/>
  <c r="AJ10" i="4"/>
  <c r="AN10" i="4" s="1"/>
  <c r="AZ10" i="4" s="1"/>
  <c r="AJ16" i="4"/>
  <c r="AN16" i="4" s="1"/>
  <c r="AZ16" i="4" s="1"/>
  <c r="AI7" i="4"/>
  <c r="AI18" i="4"/>
  <c r="AJ12" i="4"/>
  <c r="AN12" i="4" s="1"/>
  <c r="AZ12" i="4" s="1"/>
  <c r="AK13" i="4"/>
  <c r="AI15" i="4"/>
  <c r="D20" i="4"/>
  <c r="E8" i="4"/>
  <c r="O12" i="4"/>
  <c r="P12" i="4" s="1"/>
  <c r="M10" i="4"/>
  <c r="N10" i="4" s="1"/>
  <c r="O10" i="4"/>
  <c r="P10" i="4" s="1"/>
  <c r="D46" i="4"/>
  <c r="P46" i="4" s="1"/>
  <c r="R7" i="4"/>
  <c r="U7" i="4" s="1"/>
  <c r="G47" i="4"/>
  <c r="M24" i="1"/>
  <c r="M45" i="1"/>
  <c r="M50" i="1"/>
  <c r="M21" i="1"/>
  <c r="M28" i="1"/>
  <c r="M34" i="1"/>
  <c r="M39" i="1"/>
  <c r="D33" i="4"/>
  <c r="G31" i="4"/>
  <c r="E10" i="4"/>
  <c r="E30" i="4" s="1"/>
  <c r="F30" i="4" s="1"/>
  <c r="F42" i="4" s="1"/>
  <c r="E42" i="4" s="1"/>
  <c r="O13" i="4"/>
  <c r="P13" i="4" s="1"/>
  <c r="G44" i="4"/>
  <c r="E19" i="4"/>
  <c r="D44" i="4"/>
  <c r="M12" i="4"/>
  <c r="N12" i="4" s="1"/>
  <c r="D45" i="4"/>
  <c r="P45" i="4" s="1"/>
  <c r="R16" i="4"/>
  <c r="D47" i="4"/>
  <c r="P47" i="4" s="1"/>
  <c r="O16" i="4"/>
  <c r="P16" i="4" s="1"/>
  <c r="M7" i="4"/>
  <c r="O17" i="4"/>
  <c r="P17" i="4" s="1"/>
  <c r="M13" i="4"/>
  <c r="U13" i="4" s="1"/>
  <c r="V13" i="4" s="1"/>
  <c r="G45" i="4"/>
  <c r="M45" i="4" s="1"/>
  <c r="M17" i="4"/>
  <c r="N17" i="4" s="1"/>
  <c r="O7" i="4"/>
  <c r="P7" i="4" s="1"/>
  <c r="E7" i="4"/>
  <c r="E25" i="4" s="1"/>
  <c r="F25" i="4" s="1"/>
  <c r="E15" i="4"/>
  <c r="E29" i="4" s="1"/>
  <c r="F29" i="4" s="1"/>
  <c r="E16" i="4"/>
  <c r="D40" i="4"/>
  <c r="P40" i="4" s="1"/>
  <c r="T40" i="4"/>
  <c r="T41" i="4"/>
  <c r="AI9" i="4"/>
  <c r="AG20" i="4"/>
  <c r="AK8" i="4"/>
  <c r="AC8" i="4"/>
  <c r="Z9" i="4"/>
  <c r="AK9" i="4"/>
  <c r="AK15" i="4"/>
  <c r="Z15" i="4"/>
  <c r="J40" i="4"/>
  <c r="O8" i="4"/>
  <c r="P8" i="4" s="1"/>
  <c r="Z14" i="4"/>
  <c r="AK14" i="4"/>
  <c r="AI11" i="4"/>
  <c r="AJ11" i="4"/>
  <c r="AN11" i="4" s="1"/>
  <c r="AZ11" i="4" s="1"/>
  <c r="AH20" i="4"/>
  <c r="AI20" i="4" s="1"/>
  <c r="AC19" i="4"/>
  <c r="AB20" i="4"/>
  <c r="AE20" i="4"/>
  <c r="AF8" i="4"/>
  <c r="AC12" i="4"/>
  <c r="Z17" i="4"/>
  <c r="AK19" i="4"/>
  <c r="AD20" i="4"/>
  <c r="I20" i="4"/>
  <c r="AJ9" i="4"/>
  <c r="AN9" i="4" s="1"/>
  <c r="AZ9" i="4" s="1"/>
  <c r="J20" i="4"/>
  <c r="N7" i="4"/>
  <c r="AJ7" i="4"/>
  <c r="O9" i="4"/>
  <c r="P9" i="4" s="1"/>
  <c r="M9" i="4"/>
  <c r="N9" i="4" s="1"/>
  <c r="F41" i="4"/>
  <c r="AF14" i="4"/>
  <c r="AK12" i="4"/>
  <c r="AC7" i="4"/>
  <c r="AC13" i="4"/>
  <c r="O18" i="4"/>
  <c r="P18" i="4" s="1"/>
  <c r="E18" i="4"/>
  <c r="M18" i="4"/>
  <c r="N18" i="4" s="1"/>
  <c r="R31" i="4"/>
  <c r="Q31" i="4" s="1"/>
  <c r="S12" i="4"/>
  <c r="T12" i="4" s="1"/>
  <c r="D43" i="4"/>
  <c r="P43" i="4" s="1"/>
  <c r="R11" i="4"/>
  <c r="AK7" i="4"/>
  <c r="AF9" i="4"/>
  <c r="E11" i="4"/>
  <c r="E27" i="4" s="1"/>
  <c r="F27" i="4" s="1"/>
  <c r="Z12" i="4"/>
  <c r="AJ13" i="4"/>
  <c r="AN13" i="4" s="1"/>
  <c r="AZ13" i="4" s="1"/>
  <c r="G46" i="4"/>
  <c r="O14" i="4"/>
  <c r="P14" i="4" s="1"/>
  <c r="AK18" i="4"/>
  <c r="Z18" i="4"/>
  <c r="M19" i="4"/>
  <c r="AY19" i="4"/>
  <c r="O19" i="4"/>
  <c r="P19" i="4" s="1"/>
  <c r="T46" i="4"/>
  <c r="AC17" i="4"/>
  <c r="AJ18" i="4"/>
  <c r="AN18" i="4" s="1"/>
  <c r="AZ18" i="4" s="1"/>
  <c r="E48" i="4"/>
  <c r="AK11" i="4"/>
  <c r="Z11" i="4"/>
  <c r="U17" i="4"/>
  <c r="V17" i="4" s="1"/>
  <c r="T44" i="4"/>
  <c r="P44" i="4"/>
  <c r="G39" i="4"/>
  <c r="G20" i="4"/>
  <c r="G33" i="4" s="1"/>
  <c r="E12" i="4"/>
  <c r="AI16" i="4"/>
  <c r="T48" i="4"/>
  <c r="Z7" i="4"/>
  <c r="Y20" i="4"/>
  <c r="M11" i="4"/>
  <c r="N11" i="4" s="1"/>
  <c r="AF18" i="4"/>
  <c r="O15" i="4"/>
  <c r="P15" i="4" s="1"/>
  <c r="M15" i="4"/>
  <c r="N15" i="4" s="1"/>
  <c r="S13" i="4"/>
  <c r="T13" i="4" s="1"/>
  <c r="S7" i="4"/>
  <c r="AF13" i="4"/>
  <c r="E13" i="4"/>
  <c r="AJ8" i="4"/>
  <c r="AI8" i="4"/>
  <c r="Z10" i="4"/>
  <c r="O11" i="4"/>
  <c r="P11" i="4" s="1"/>
  <c r="F44" i="4"/>
  <c r="AI10" i="4"/>
  <c r="AY17" i="4"/>
  <c r="D49" i="4"/>
  <c r="E49" i="4" s="1"/>
  <c r="M40" i="4"/>
  <c r="N40" i="4" s="1"/>
  <c r="X20" i="4"/>
  <c r="AF19" i="4"/>
  <c r="T42" i="4"/>
  <c r="H20" i="4"/>
  <c r="G48" i="4"/>
  <c r="M48" i="4" s="1"/>
  <c r="M16" i="4"/>
  <c r="N16" i="4" s="1"/>
  <c r="Z16" i="4"/>
  <c r="AK16" i="4"/>
  <c r="AJ17" i="4"/>
  <c r="AN17" i="4" s="1"/>
  <c r="AZ17" i="4" s="1"/>
  <c r="AK10" i="4"/>
  <c r="N13" i="4"/>
  <c r="F46" i="4"/>
  <c r="M14" i="4"/>
  <c r="N14" i="4" s="1"/>
  <c r="AI17" i="4"/>
  <c r="T39" i="4"/>
  <c r="I49" i="4"/>
  <c r="M49" i="4" s="1"/>
  <c r="M8" i="4"/>
  <c r="N8" i="4" s="1"/>
  <c r="AF12" i="4"/>
  <c r="AF7" i="4"/>
  <c r="Z8" i="4"/>
  <c r="F20" i="4"/>
  <c r="F39" i="4"/>
  <c r="R10" i="4"/>
  <c r="E17" i="4"/>
  <c r="M18" i="1"/>
  <c r="N32" i="1"/>
  <c r="N35" i="1"/>
  <c r="M12" i="1"/>
  <c r="M22" i="1"/>
  <c r="M11" i="1"/>
  <c r="L52" i="1"/>
  <c r="J48" i="1"/>
  <c r="H48" i="1" s="1"/>
  <c r="M48" i="1" s="1"/>
  <c r="J36" i="1"/>
  <c r="H36" i="1" s="1"/>
  <c r="M36" i="1" s="1"/>
  <c r="J51" i="1"/>
  <c r="J50" i="1"/>
  <c r="J49" i="1"/>
  <c r="H49" i="1" s="1"/>
  <c r="M49" i="1" s="1"/>
  <c r="J37" i="1"/>
  <c r="H37" i="1" s="1"/>
  <c r="M37" i="1" s="1"/>
  <c r="J25" i="1"/>
  <c r="H25" i="1" s="1"/>
  <c r="M25" i="1" s="1"/>
  <c r="J13" i="1"/>
  <c r="H13" i="1" s="1"/>
  <c r="M13" i="1" s="1"/>
  <c r="J38" i="1"/>
  <c r="H38" i="1" s="1"/>
  <c r="M38" i="1" s="1"/>
  <c r="J26" i="1"/>
  <c r="H26" i="1" s="1"/>
  <c r="M26" i="1" s="1"/>
  <c r="J14" i="1"/>
  <c r="H14" i="1" s="1"/>
  <c r="M14" i="1" s="1"/>
  <c r="J2" i="1"/>
  <c r="H2" i="1" s="1"/>
  <c r="AY15" i="4" l="1"/>
  <c r="AY12" i="4"/>
  <c r="AY16" i="4"/>
  <c r="AY10" i="4"/>
  <c r="AC20" i="4"/>
  <c r="AY14" i="4"/>
  <c r="AY11" i="4"/>
  <c r="AL17" i="4"/>
  <c r="AX17" i="4" s="1"/>
  <c r="AR17" i="4"/>
  <c r="BD17" i="4" s="1"/>
  <c r="AY18" i="4"/>
  <c r="AY13" i="4"/>
  <c r="N52" i="1"/>
  <c r="U12" i="4"/>
  <c r="V12" i="4" s="1"/>
  <c r="T47" i="4"/>
  <c r="E45" i="4"/>
  <c r="N45" i="4"/>
  <c r="T45" i="4"/>
  <c r="S17" i="4"/>
  <c r="T17" i="4" s="1"/>
  <c r="U45" i="4"/>
  <c r="Q45" i="4"/>
  <c r="R45" i="4" s="1"/>
  <c r="S9" i="4"/>
  <c r="T9" i="4" s="1"/>
  <c r="U14" i="4"/>
  <c r="V14" i="4" s="1"/>
  <c r="U40" i="4"/>
  <c r="S14" i="4"/>
  <c r="T14" i="4" s="1"/>
  <c r="N49" i="4"/>
  <c r="E40" i="4"/>
  <c r="N48" i="4"/>
  <c r="Q48" i="4"/>
  <c r="E41" i="4"/>
  <c r="J26" i="4"/>
  <c r="J41" i="4" s="1"/>
  <c r="J30" i="4"/>
  <c r="J42" i="4" s="1"/>
  <c r="J25" i="4"/>
  <c r="J29" i="4"/>
  <c r="J47" i="4" s="1"/>
  <c r="J27" i="4"/>
  <c r="J43" i="4" s="1"/>
  <c r="J28" i="4"/>
  <c r="J46" i="4" s="1"/>
  <c r="T7" i="4"/>
  <c r="AR15" i="4"/>
  <c r="BD15" i="4" s="1"/>
  <c r="AL15" i="4"/>
  <c r="AX15" i="4" s="1"/>
  <c r="AN7" i="4"/>
  <c r="AM7" i="4"/>
  <c r="AJ20" i="4"/>
  <c r="I26" i="4"/>
  <c r="I41" i="4" s="1"/>
  <c r="I30" i="4"/>
  <c r="I42" i="4" s="1"/>
  <c r="I29" i="4"/>
  <c r="I47" i="4" s="1"/>
  <c r="I27" i="4"/>
  <c r="I43" i="4" s="1"/>
  <c r="I25" i="4"/>
  <c r="I28" i="4"/>
  <c r="I46" i="4" s="1"/>
  <c r="U15" i="4"/>
  <c r="V15" i="4" s="1"/>
  <c r="E46" i="4"/>
  <c r="S16" i="4"/>
  <c r="T16" i="4" s="1"/>
  <c r="AL13" i="4"/>
  <c r="AX13" i="4" s="1"/>
  <c r="E20" i="4"/>
  <c r="AL16" i="4"/>
  <c r="AX16" i="4" s="1"/>
  <c r="AR16" i="4"/>
  <c r="BD16" i="4" s="1"/>
  <c r="E44" i="4"/>
  <c r="M44" i="4"/>
  <c r="N44" i="4" s="1"/>
  <c r="U48" i="4"/>
  <c r="AR18" i="4"/>
  <c r="BD18" i="4" s="1"/>
  <c r="AL18" i="4"/>
  <c r="AX18" i="4" s="1"/>
  <c r="V7" i="4"/>
  <c r="AL11" i="4"/>
  <c r="AX11" i="4" s="1"/>
  <c r="AR11" i="4"/>
  <c r="BD11" i="4" s="1"/>
  <c r="T43" i="4"/>
  <c r="O20" i="4"/>
  <c r="AR9" i="4"/>
  <c r="BD9" i="4" s="1"/>
  <c r="AL9" i="4"/>
  <c r="AX9" i="4" s="1"/>
  <c r="U10" i="4"/>
  <c r="V10" i="4" s="1"/>
  <c r="S10" i="4"/>
  <c r="T10" i="4" s="1"/>
  <c r="T49" i="4"/>
  <c r="U49" i="4" s="1"/>
  <c r="P49" i="4"/>
  <c r="Q49" i="4" s="1"/>
  <c r="U18" i="4"/>
  <c r="V18" i="4" s="1"/>
  <c r="U16" i="4"/>
  <c r="V16" i="4" s="1"/>
  <c r="Z20" i="4"/>
  <c r="G50" i="4"/>
  <c r="AR7" i="4"/>
  <c r="AK20" i="4"/>
  <c r="AL7" i="4"/>
  <c r="AX7" i="4" s="1"/>
  <c r="U8" i="4"/>
  <c r="V8" i="4" s="1"/>
  <c r="R20" i="4"/>
  <c r="AR8" i="4"/>
  <c r="BD8" i="4" s="1"/>
  <c r="AL8" i="4"/>
  <c r="AX8" i="4" s="1"/>
  <c r="N19" i="4"/>
  <c r="U19" i="4"/>
  <c r="V19" i="4" s="1"/>
  <c r="AR12" i="4"/>
  <c r="BD12" i="4" s="1"/>
  <c r="AL12" i="4"/>
  <c r="AX12" i="4" s="1"/>
  <c r="S18" i="4"/>
  <c r="T18" i="4" s="1"/>
  <c r="AR19" i="4"/>
  <c r="BD19" i="4" s="1"/>
  <c r="AL19" i="4"/>
  <c r="AX19" i="4" s="1"/>
  <c r="F43" i="4"/>
  <c r="F50" i="4" s="1"/>
  <c r="AL10" i="4"/>
  <c r="AX10" i="4" s="1"/>
  <c r="AR10" i="4"/>
  <c r="BD10" i="4" s="1"/>
  <c r="F31" i="4"/>
  <c r="E31" i="4" s="1"/>
  <c r="AR13" i="4"/>
  <c r="BD13" i="4" s="1"/>
  <c r="M20" i="4"/>
  <c r="AF20" i="4"/>
  <c r="Q40" i="4"/>
  <c r="U11" i="4"/>
  <c r="V11" i="4" s="1"/>
  <c r="S11" i="4"/>
  <c r="T11" i="4" s="1"/>
  <c r="S19" i="4"/>
  <c r="T19" i="4" s="1"/>
  <c r="U9" i="4"/>
  <c r="V9" i="4" s="1"/>
  <c r="AN8" i="4"/>
  <c r="AZ8" i="4" s="1"/>
  <c r="AY8" i="4"/>
  <c r="AR14" i="4"/>
  <c r="BD14" i="4" s="1"/>
  <c r="AL14" i="4"/>
  <c r="AX14" i="4" s="1"/>
  <c r="H27" i="4"/>
  <c r="H43" i="4" s="1"/>
  <c r="H26" i="4"/>
  <c r="H30" i="4"/>
  <c r="H29" i="4"/>
  <c r="H25" i="4"/>
  <c r="H28" i="4"/>
  <c r="D50" i="4"/>
  <c r="S15" i="4"/>
  <c r="T15" i="4" s="1"/>
  <c r="S8" i="4"/>
  <c r="T8" i="4" s="1"/>
  <c r="AY9" i="4"/>
  <c r="Q43" i="1"/>
  <c r="P42" i="1"/>
  <c r="O41" i="1"/>
  <c r="Q44" i="1"/>
  <c r="P43" i="1"/>
  <c r="O42" i="1"/>
  <c r="Q32" i="1"/>
  <c r="P31" i="1"/>
  <c r="O30" i="1"/>
  <c r="Q20" i="1"/>
  <c r="P19" i="1"/>
  <c r="O18" i="1"/>
  <c r="Q8" i="1"/>
  <c r="P7" i="1"/>
  <c r="O6" i="1"/>
  <c r="Q45" i="1"/>
  <c r="P44" i="1"/>
  <c r="O43" i="1"/>
  <c r="Q33" i="1"/>
  <c r="P32" i="1"/>
  <c r="T32" i="1" s="1"/>
  <c r="U32" i="1" s="1"/>
  <c r="O31" i="1"/>
  <c r="Q21" i="1"/>
  <c r="P20" i="1"/>
  <c r="O19" i="1"/>
  <c r="Q9" i="1"/>
  <c r="P8" i="1"/>
  <c r="O7" i="1"/>
  <c r="T7" i="1" s="1"/>
  <c r="U7" i="1" s="1"/>
  <c r="Q46" i="1"/>
  <c r="P45" i="1"/>
  <c r="P51" i="1"/>
  <c r="O47" i="1"/>
  <c r="T47" i="1" s="1"/>
  <c r="U47" i="1" s="1"/>
  <c r="P41" i="1"/>
  <c r="O36" i="1"/>
  <c r="O33" i="1"/>
  <c r="P29" i="1"/>
  <c r="Q24" i="1"/>
  <c r="Q15" i="1"/>
  <c r="P14" i="1"/>
  <c r="Q10" i="1"/>
  <c r="P5" i="1"/>
  <c r="Q37" i="1"/>
  <c r="P24" i="1"/>
  <c r="O14" i="1"/>
  <c r="O24" i="1"/>
  <c r="T24" i="1" s="1"/>
  <c r="U24" i="1" s="1"/>
  <c r="Q6" i="1"/>
  <c r="O37" i="1"/>
  <c r="T37" i="1" s="1"/>
  <c r="U37" i="1" s="1"/>
  <c r="P48" i="1"/>
  <c r="P38" i="1"/>
  <c r="O34" i="1"/>
  <c r="P25" i="1"/>
  <c r="P11" i="1"/>
  <c r="T11" i="1" s="1"/>
  <c r="U11" i="1" s="1"/>
  <c r="Q39" i="1"/>
  <c r="Q31" i="1"/>
  <c r="Q17" i="1"/>
  <c r="O11" i="1"/>
  <c r="P26" i="1"/>
  <c r="Q12" i="1"/>
  <c r="O51" i="1"/>
  <c r="O29" i="1"/>
  <c r="T29" i="1" s="1"/>
  <c r="U29" i="1" s="1"/>
  <c r="P15" i="1"/>
  <c r="P10" i="1"/>
  <c r="O5" i="1"/>
  <c r="Q34" i="1"/>
  <c r="O20" i="1"/>
  <c r="Q16" i="1"/>
  <c r="O15" i="1"/>
  <c r="O10" i="1"/>
  <c r="Q42" i="1"/>
  <c r="Q38" i="1"/>
  <c r="P30" i="1"/>
  <c r="O16" i="1"/>
  <c r="O38" i="1"/>
  <c r="T38" i="1" s="1"/>
  <c r="U38" i="1" s="1"/>
  <c r="Q26" i="1"/>
  <c r="O25" i="1"/>
  <c r="T25" i="1" s="1"/>
  <c r="U25" i="1" s="1"/>
  <c r="O21" i="1"/>
  <c r="Q7" i="1"/>
  <c r="Q2" i="1"/>
  <c r="Q27" i="1"/>
  <c r="Q22" i="1"/>
  <c r="P17" i="1"/>
  <c r="O45" i="1"/>
  <c r="T45" i="1" s="1"/>
  <c r="U45" i="1" s="1"/>
  <c r="P37" i="1"/>
  <c r="Q30" i="1"/>
  <c r="Q48" i="1"/>
  <c r="P34" i="1"/>
  <c r="Q25" i="1"/>
  <c r="P16" i="1"/>
  <c r="Q11" i="1"/>
  <c r="P6" i="1"/>
  <c r="P21" i="1"/>
  <c r="O48" i="1"/>
  <c r="P46" i="1"/>
  <c r="P39" i="1"/>
  <c r="Q35" i="1"/>
  <c r="P35" i="1"/>
  <c r="P23" i="1"/>
  <c r="P4" i="1"/>
  <c r="O35" i="1"/>
  <c r="T35" i="1" s="1"/>
  <c r="U35" i="1" s="1"/>
  <c r="O4" i="1"/>
  <c r="T4" i="1" s="1"/>
  <c r="U4" i="1" s="1"/>
  <c r="O50" i="1"/>
  <c r="Q47" i="1"/>
  <c r="P22" i="1"/>
  <c r="P49" i="1"/>
  <c r="P36" i="1"/>
  <c r="Q29" i="1"/>
  <c r="P27" i="1"/>
  <c r="O23" i="1"/>
  <c r="Q19" i="1"/>
  <c r="P9" i="1"/>
  <c r="P50" i="1"/>
  <c r="Q5" i="1"/>
  <c r="O39" i="1"/>
  <c r="P28" i="1"/>
  <c r="P47" i="1"/>
  <c r="O28" i="1"/>
  <c r="T28" i="1" s="1"/>
  <c r="U28" i="1" s="1"/>
  <c r="O22" i="1"/>
  <c r="T22" i="1" s="1"/>
  <c r="U22" i="1" s="1"/>
  <c r="Q18" i="1"/>
  <c r="P12" i="1"/>
  <c r="Q49" i="1"/>
  <c r="Q36" i="1"/>
  <c r="P18" i="1"/>
  <c r="O12" i="1"/>
  <c r="T12" i="1" s="1"/>
  <c r="U12" i="1" s="1"/>
  <c r="P3" i="1"/>
  <c r="O26" i="1"/>
  <c r="Q14" i="1"/>
  <c r="O8" i="1"/>
  <c r="P40" i="1"/>
  <c r="Q4" i="1"/>
  <c r="Q50" i="1"/>
  <c r="O27" i="1"/>
  <c r="T27" i="1" s="1"/>
  <c r="U27" i="1" s="1"/>
  <c r="O17" i="1"/>
  <c r="Q13" i="1"/>
  <c r="O9" i="1"/>
  <c r="T9" i="1" s="1"/>
  <c r="U9" i="1" s="1"/>
  <c r="P13" i="1"/>
  <c r="Q41" i="1"/>
  <c r="O13" i="1"/>
  <c r="P2" i="1"/>
  <c r="O32" i="1"/>
  <c r="Q28" i="1"/>
  <c r="O2" i="1"/>
  <c r="Q3" i="1"/>
  <c r="Q51" i="1"/>
  <c r="Q40" i="1"/>
  <c r="O3" i="1"/>
  <c r="O49" i="1"/>
  <c r="O46" i="1"/>
  <c r="O44" i="1"/>
  <c r="O40" i="1"/>
  <c r="P33" i="1"/>
  <c r="Q23" i="1"/>
  <c r="H51" i="1"/>
  <c r="M51" i="1" s="1"/>
  <c r="M2" i="1"/>
  <c r="T18" i="1"/>
  <c r="U18" i="1" s="1"/>
  <c r="T49" i="1" l="1"/>
  <c r="U49" i="1" s="1"/>
  <c r="T10" i="1"/>
  <c r="U10" i="1" s="1"/>
  <c r="T14" i="1"/>
  <c r="U14" i="1" s="1"/>
  <c r="T8" i="1"/>
  <c r="U8" i="1" s="1"/>
  <c r="T15" i="1"/>
  <c r="U15" i="1" s="1"/>
  <c r="T43" i="1"/>
  <c r="U43" i="1" s="1"/>
  <c r="T48" i="1"/>
  <c r="U48" i="1" s="1"/>
  <c r="T13" i="1"/>
  <c r="U13" i="1" s="1"/>
  <c r="T50" i="1"/>
  <c r="U50" i="1" s="1"/>
  <c r="T20" i="1"/>
  <c r="U20" i="1" s="1"/>
  <c r="T26" i="1"/>
  <c r="U26" i="1" s="1"/>
  <c r="T19" i="1"/>
  <c r="U19" i="1" s="1"/>
  <c r="T36" i="1"/>
  <c r="U36" i="1" s="1"/>
  <c r="T31" i="1"/>
  <c r="U31" i="1" s="1"/>
  <c r="T30" i="1"/>
  <c r="U30" i="1" s="1"/>
  <c r="T42" i="1"/>
  <c r="U42" i="1" s="1"/>
  <c r="F33" i="4"/>
  <c r="E33" i="4" s="1"/>
  <c r="T50" i="4"/>
  <c r="Q44" i="4"/>
  <c r="V45" i="4"/>
  <c r="X45" i="4"/>
  <c r="O27" i="4"/>
  <c r="P27" i="4" s="1"/>
  <c r="S50" i="4"/>
  <c r="S53" i="4"/>
  <c r="S54" i="4" s="1"/>
  <c r="E50" i="4"/>
  <c r="R49" i="4"/>
  <c r="X49" i="4"/>
  <c r="V49" i="4"/>
  <c r="R40" i="4"/>
  <c r="X40" i="4"/>
  <c r="V40" i="4"/>
  <c r="AL20" i="4"/>
  <c r="AX20" i="4" s="1"/>
  <c r="AJ24" i="4"/>
  <c r="U20" i="4"/>
  <c r="P50" i="4"/>
  <c r="O50" i="4" s="1"/>
  <c r="J39" i="4"/>
  <c r="J50" i="4" s="1"/>
  <c r="J31" i="4"/>
  <c r="J33" i="4" s="1"/>
  <c r="M27" i="4"/>
  <c r="I31" i="4"/>
  <c r="I33" i="4" s="1"/>
  <c r="I39" i="4"/>
  <c r="I50" i="4" s="1"/>
  <c r="N20" i="4"/>
  <c r="N21" i="4"/>
  <c r="R44" i="4"/>
  <c r="X44" i="4"/>
  <c r="O28" i="4"/>
  <c r="P28" i="4" s="1"/>
  <c r="H46" i="4"/>
  <c r="M46" i="4" s="1"/>
  <c r="M28" i="4"/>
  <c r="P20" i="4"/>
  <c r="BC20" i="4"/>
  <c r="AQ12" i="4"/>
  <c r="BC12" i="4" s="1"/>
  <c r="AP10" i="4"/>
  <c r="BB10" i="4" s="1"/>
  <c r="AP8" i="4"/>
  <c r="BB8" i="4" s="1"/>
  <c r="AQ17" i="4"/>
  <c r="BC17" i="4" s="1"/>
  <c r="AQ15" i="4"/>
  <c r="BC15" i="4" s="1"/>
  <c r="AQ11" i="4"/>
  <c r="BC11" i="4" s="1"/>
  <c r="AQ9" i="4"/>
  <c r="BC9" i="4" s="1"/>
  <c r="AQ10" i="4"/>
  <c r="BC10" i="4" s="1"/>
  <c r="AQ18" i="4"/>
  <c r="BC18" i="4" s="1"/>
  <c r="AO14" i="4"/>
  <c r="AQ16" i="4"/>
  <c r="BC16" i="4" s="1"/>
  <c r="AP14" i="4"/>
  <c r="BB14" i="4" s="1"/>
  <c r="AO17" i="4"/>
  <c r="AQ7" i="4"/>
  <c r="BC7" i="4" s="1"/>
  <c r="AP16" i="4"/>
  <c r="BB16" i="4" s="1"/>
  <c r="AP17" i="4"/>
  <c r="BB17" i="4" s="1"/>
  <c r="AO16" i="4"/>
  <c r="AQ13" i="4"/>
  <c r="BC13" i="4" s="1"/>
  <c r="AO10" i="4"/>
  <c r="AO8" i="4"/>
  <c r="AO7" i="4"/>
  <c r="BB20" i="4"/>
  <c r="AO9" i="4"/>
  <c r="BA9" i="4" s="1"/>
  <c r="AQ8" i="4"/>
  <c r="BC8" i="4" s="1"/>
  <c r="AO15" i="4"/>
  <c r="AO11" i="4"/>
  <c r="AP9" i="4"/>
  <c r="BB9" i="4" s="1"/>
  <c r="AP13" i="4"/>
  <c r="BB13" i="4" s="1"/>
  <c r="AP7" i="4"/>
  <c r="BB7" i="4" s="1"/>
  <c r="AQ19" i="4"/>
  <c r="BC19" i="4" s="1"/>
  <c r="AP18" i="4"/>
  <c r="BB18" i="4" s="1"/>
  <c r="AP12" i="4"/>
  <c r="BB12" i="4" s="1"/>
  <c r="AP19" i="4"/>
  <c r="BB19" i="4" s="1"/>
  <c r="AO18" i="4"/>
  <c r="AO19" i="4"/>
  <c r="AO12" i="4"/>
  <c r="AQ14" i="4"/>
  <c r="BC14" i="4" s="1"/>
  <c r="AP15" i="4"/>
  <c r="BB15" i="4" s="1"/>
  <c r="BA20" i="4"/>
  <c r="AP11" i="4"/>
  <c r="BB11" i="4" s="1"/>
  <c r="AO13" i="4"/>
  <c r="U44" i="4"/>
  <c r="V44" i="4" s="1"/>
  <c r="AR20" i="4"/>
  <c r="BD20" i="4" s="1"/>
  <c r="BD7" i="4"/>
  <c r="AY20" i="4"/>
  <c r="AY7" i="4"/>
  <c r="V48" i="4"/>
  <c r="X48" i="4"/>
  <c r="R48" i="4"/>
  <c r="H42" i="4"/>
  <c r="M42" i="4" s="1"/>
  <c r="M30" i="4"/>
  <c r="O30" i="4"/>
  <c r="P30" i="4" s="1"/>
  <c r="M43" i="4"/>
  <c r="U43" i="4" s="1"/>
  <c r="E43" i="4"/>
  <c r="H41" i="4"/>
  <c r="M41" i="4" s="1"/>
  <c r="O26" i="4"/>
  <c r="P26" i="4" s="1"/>
  <c r="M26" i="4"/>
  <c r="R33" i="4"/>
  <c r="Q33" i="4" s="1"/>
  <c r="Q20" i="4"/>
  <c r="S20" i="4"/>
  <c r="H31" i="4"/>
  <c r="H33" i="4" s="1"/>
  <c r="M25" i="4"/>
  <c r="O25" i="4"/>
  <c r="H39" i="4"/>
  <c r="O29" i="4"/>
  <c r="P29" i="4" s="1"/>
  <c r="H47" i="4"/>
  <c r="M47" i="4" s="1"/>
  <c r="M29" i="4"/>
  <c r="AN20" i="4"/>
  <c r="AZ20" i="4" s="1"/>
  <c r="AZ7" i="4"/>
  <c r="O52" i="1"/>
  <c r="T44" i="1"/>
  <c r="U44" i="1" s="1"/>
  <c r="T21" i="1"/>
  <c r="U21" i="1" s="1"/>
  <c r="T41" i="1"/>
  <c r="U41" i="1" s="1"/>
  <c r="T46" i="1"/>
  <c r="U46" i="1" s="1"/>
  <c r="T34" i="1"/>
  <c r="U34" i="1" s="1"/>
  <c r="T3" i="1"/>
  <c r="U3" i="1" s="1"/>
  <c r="T17" i="1"/>
  <c r="U17" i="1" s="1"/>
  <c r="T23" i="1"/>
  <c r="U23" i="1" s="1"/>
  <c r="P52" i="1"/>
  <c r="Q52" i="1"/>
  <c r="T40" i="1"/>
  <c r="U40" i="1" s="1"/>
  <c r="T39" i="1"/>
  <c r="U39" i="1" s="1"/>
  <c r="T6" i="1"/>
  <c r="U6" i="1" s="1"/>
  <c r="T5" i="1"/>
  <c r="U5" i="1" s="1"/>
  <c r="M52" i="1"/>
  <c r="T2" i="1"/>
  <c r="T16" i="1"/>
  <c r="U16" i="1" s="1"/>
  <c r="T51" i="1"/>
  <c r="U51" i="1" s="1"/>
  <c r="T33" i="1"/>
  <c r="U33" i="1" s="1"/>
  <c r="AM24" i="4" l="1"/>
  <c r="V20" i="4"/>
  <c r="N42" i="4"/>
  <c r="Q42" i="4"/>
  <c r="U42" i="4"/>
  <c r="AY22" i="4"/>
  <c r="AY24" i="4"/>
  <c r="BA18" i="4"/>
  <c r="AS18" i="4"/>
  <c r="AU18" i="4"/>
  <c r="BA14" i="4"/>
  <c r="AU14" i="4"/>
  <c r="AS14" i="4"/>
  <c r="N29" i="4"/>
  <c r="U29" i="4"/>
  <c r="S29" i="4"/>
  <c r="T29" i="4" s="1"/>
  <c r="BA7" i="4"/>
  <c r="AU7" i="4"/>
  <c r="AS7" i="4"/>
  <c r="S28" i="4"/>
  <c r="T28" i="4" s="1"/>
  <c r="U28" i="4"/>
  <c r="V28" i="4" s="1"/>
  <c r="N28" i="4"/>
  <c r="N27" i="4"/>
  <c r="S27" i="4"/>
  <c r="T27" i="4" s="1"/>
  <c r="U27" i="4"/>
  <c r="V27" i="4" s="1"/>
  <c r="O31" i="4"/>
  <c r="P25" i="4"/>
  <c r="BA13" i="4"/>
  <c r="AU13" i="4"/>
  <c r="AS13" i="4"/>
  <c r="N30" i="4"/>
  <c r="S30" i="4"/>
  <c r="T30" i="4" s="1"/>
  <c r="U30" i="4"/>
  <c r="AS9" i="4"/>
  <c r="BA11" i="4"/>
  <c r="AS11" i="4"/>
  <c r="AU11" i="4"/>
  <c r="N47" i="4"/>
  <c r="Q47" i="4"/>
  <c r="U47" i="4"/>
  <c r="N41" i="4"/>
  <c r="Q41" i="4"/>
  <c r="U41" i="4"/>
  <c r="BA8" i="4"/>
  <c r="AU8" i="4"/>
  <c r="AS8" i="4"/>
  <c r="N46" i="4"/>
  <c r="Q46" i="4"/>
  <c r="U46" i="4"/>
  <c r="BA16" i="4"/>
  <c r="AS16" i="4"/>
  <c r="AU16" i="4"/>
  <c r="BA15" i="4"/>
  <c r="AS15" i="4"/>
  <c r="AU15" i="4"/>
  <c r="BA12" i="4"/>
  <c r="AS12" i="4"/>
  <c r="AU12" i="4"/>
  <c r="N25" i="4"/>
  <c r="M31" i="4"/>
  <c r="U25" i="4"/>
  <c r="S25" i="4"/>
  <c r="T20" i="4"/>
  <c r="BA17" i="4"/>
  <c r="AU17" i="4"/>
  <c r="AS17" i="4"/>
  <c r="BA19" i="4"/>
  <c r="AS19" i="4"/>
  <c r="AU19" i="4"/>
  <c r="U26" i="4"/>
  <c r="N26" i="4"/>
  <c r="S26" i="4"/>
  <c r="T26" i="4" s="1"/>
  <c r="BA10" i="4"/>
  <c r="AU10" i="4"/>
  <c r="AS10" i="4"/>
  <c r="H50" i="4"/>
  <c r="M39" i="4"/>
  <c r="N43" i="4"/>
  <c r="Q43" i="4"/>
  <c r="AU9" i="4"/>
  <c r="T52" i="1"/>
  <c r="U52" i="1" s="1"/>
  <c r="U2" i="1"/>
  <c r="BF14" i="4" l="1"/>
  <c r="AV14" i="4"/>
  <c r="AV19" i="4"/>
  <c r="BF19" i="4"/>
  <c r="AT9" i="4"/>
  <c r="BE9" i="4"/>
  <c r="AV9" i="4"/>
  <c r="BF9" i="4"/>
  <c r="BE18" i="4"/>
  <c r="AT18" i="4"/>
  <c r="AV15" i="4"/>
  <c r="BF15" i="4"/>
  <c r="M50" i="4"/>
  <c r="N50" i="4" s="1"/>
  <c r="N39" i="4"/>
  <c r="Q39" i="4"/>
  <c r="U39" i="4"/>
  <c r="U50" i="4" s="1"/>
  <c r="AU20" i="4"/>
  <c r="BF7" i="4"/>
  <c r="AV7" i="4"/>
  <c r="AT10" i="4"/>
  <c r="BE10" i="4"/>
  <c r="AV16" i="4"/>
  <c r="BF16" i="4"/>
  <c r="R42" i="4"/>
  <c r="X42" i="4"/>
  <c r="V42" i="4"/>
  <c r="N31" i="4"/>
  <c r="R23" i="4"/>
  <c r="S23" i="4" s="1"/>
  <c r="T23" i="4" s="1"/>
  <c r="M33" i="4"/>
  <c r="N33" i="4" s="1"/>
  <c r="BF18" i="4"/>
  <c r="AV18" i="4"/>
  <c r="AT12" i="4"/>
  <c r="BE12" i="4"/>
  <c r="R43" i="4"/>
  <c r="V43" i="4"/>
  <c r="X43" i="4"/>
  <c r="BE17" i="4"/>
  <c r="AT17" i="4"/>
  <c r="AT15" i="4"/>
  <c r="BE15" i="4"/>
  <c r="BE13" i="4"/>
  <c r="AT13" i="4"/>
  <c r="AT16" i="4"/>
  <c r="BE16" i="4"/>
  <c r="R47" i="4"/>
  <c r="V47" i="4"/>
  <c r="X47" i="4"/>
  <c r="AT8" i="4"/>
  <c r="BE8" i="4"/>
  <c r="BF8" i="4"/>
  <c r="AV8" i="4"/>
  <c r="X41" i="4"/>
  <c r="V41" i="4"/>
  <c r="R41" i="4"/>
  <c r="X46" i="4"/>
  <c r="V46" i="4"/>
  <c r="R46" i="4"/>
  <c r="AT11" i="4"/>
  <c r="BE11" i="4"/>
  <c r="AV12" i="4"/>
  <c r="BF12" i="4"/>
  <c r="BE19" i="4"/>
  <c r="AT19" i="4"/>
  <c r="BE7" i="4"/>
  <c r="AS20" i="4"/>
  <c r="AT7" i="4"/>
  <c r="AV17" i="4"/>
  <c r="BF17" i="4"/>
  <c r="AV13" i="4"/>
  <c r="BF13" i="4"/>
  <c r="AV10" i="4"/>
  <c r="BF10" i="4"/>
  <c r="S31" i="4"/>
  <c r="T25" i="4"/>
  <c r="P31" i="4"/>
  <c r="O33" i="4"/>
  <c r="P33" i="4" s="1"/>
  <c r="U31" i="4"/>
  <c r="V25" i="4"/>
  <c r="AV11" i="4"/>
  <c r="BF11" i="4"/>
  <c r="AT14" i="4"/>
  <c r="BE14" i="4"/>
  <c r="V31" i="4" l="1"/>
  <c r="U33" i="4"/>
  <c r="V33" i="4" s="1"/>
  <c r="AT20" i="4"/>
  <c r="BE20" i="4"/>
  <c r="BF20" i="4"/>
  <c r="AV20" i="4"/>
  <c r="X39" i="4"/>
  <c r="X50" i="4" s="1"/>
  <c r="V39" i="4"/>
  <c r="V50" i="4" s="1"/>
  <c r="Q50" i="4"/>
  <c r="R50" i="4" s="1"/>
  <c r="R39" i="4"/>
  <c r="T31" i="4"/>
  <c r="S33" i="4"/>
  <c r="T3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tc={85AEDC41-5D01-45D0-B7CB-E11422789551}</author>
    <author>tc={B8D30928-EBEA-4978-B856-72D99E354EA3}</author>
    <author>tc={C3D571A2-EA0D-4343-AEAB-3C4D64EB033A}</author>
  </authors>
  <commentList>
    <comment ref="Q25" authorId="0" shapeId="0" xr:uid="{85AEDC41-5D01-45D0-B7CB-E114227895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1500</t>
      </text>
    </comment>
    <comment ref="Q27" authorId="1" shapeId="0" xr:uid="{B8D30928-EBEA-4978-B856-72D99E354E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2275</t>
      </text>
    </comment>
    <comment ref="Q28" authorId="2" shapeId="0" xr:uid="{C3D571A2-EA0D-4343-AEAB-3C4D64EB03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3400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<sst xmlns="http://schemas.openxmlformats.org/spreadsheetml/2006/main" count="240" uniqueCount="139">
  <si>
    <t>PRODUCTO</t>
  </si>
  <si>
    <t>POTA ALAS FR C/P C/C (B) S/COD BL10 S20</t>
  </si>
  <si>
    <t>POTA ALAS FR C/P C/C &lt;0.5 BL10 S20</t>
  </si>
  <si>
    <t>POTA ALAS FR C/P C/C 0.5-1 BL10 S20</t>
  </si>
  <si>
    <t>POTA ALAS FR C/P C/C 0.3 - 0.5 BL10 S20</t>
  </si>
  <si>
    <t xml:space="preserve">POTA ALAS FR C/P C/C 1-2 BL10 S20  </t>
  </si>
  <si>
    <t>POTA ALAS FR C/P C/C 1-2 BL10 S20  ENTERA</t>
  </si>
  <si>
    <t>POTA ALAS FR C/P C/C 2up</t>
  </si>
  <si>
    <t>POTA LABIOS FR S/COD BL10 S20</t>
  </si>
  <si>
    <t>POTA CONOS</t>
  </si>
  <si>
    <t xml:space="preserve">POTA FILETE C/M C/T FR 0.5-1.0 BL10 S20  </t>
  </si>
  <si>
    <t xml:space="preserve">POTA FILETE C/M C/T FR 1-2 BL10 S20  </t>
  </si>
  <si>
    <t>POTA FILETE C/M C/T FR 1.0 - 3.0 BL10 S20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</si>
  <si>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</si>
  <si>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</si>
  <si>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</si>
  <si>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</si>
  <si>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>POTA FILETE C/M C/T FR 1.0 - 3.0 AA BL10 S20</t>
  </si>
  <si>
    <t>POTA FILETE C/M C/T FR 1-2 AA BL10 S20  JAPON</t>
  </si>
  <si>
    <t xml:space="preserve">POTA FILETE C/M C/T FR 0.5-1.0 AAA  BL10 S20  </t>
  </si>
  <si>
    <t>POTA FILETE C/M C/T FR 1-2 AA BL10 S20  50% ROSADO</t>
  </si>
  <si>
    <t xml:space="preserve">POTA FILETE C/M C/T FR 2-4 AAA BL10 S20  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</si>
  <si>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</si>
  <si>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</si>
  <si>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</si>
  <si>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</si>
  <si>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</si>
  <si>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</si>
  <si>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</si>
  <si>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</si>
  <si>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</si>
  <si>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&lt;0.1 BL10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</si>
  <si>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</si>
  <si>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</si>
  <si>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</si>
  <si>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</si>
  <si>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</si>
  <si>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</si>
  <si>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</si>
  <si>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</si>
  <si>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</si>
  <si>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</si>
  <si>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</si>
  <si>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</si>
  <si>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</si>
  <si>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</si>
  <si>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</si>
  <si>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</si>
  <si>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</si>
  <si>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FILETE CM CT PARA REPROCESO</t>
  </si>
  <si>
    <t>ALAS FR PARA REPROCESO</t>
  </si>
  <si>
    <t>TOTAL LIBRE</t>
  </si>
  <si>
    <t>TOTAL STOCK</t>
  </si>
  <si>
    <t>POR EMBARCAR</t>
  </si>
  <si>
    <t>STOCK LIBRE</t>
  </si>
  <si>
    <t>CÓDIGO</t>
  </si>
  <si>
    <t>CU X TM</t>
  </si>
  <si>
    <t>% MP</t>
  </si>
  <si>
    <t>incremento MP</t>
  </si>
  <si>
    <t>TM en Stock Total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</si>
  <si>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</si>
  <si>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</si>
  <si>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</si>
  <si>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</si>
  <si>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</si>
  <si>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</si>
  <si>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</si>
  <si>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</si>
  <si>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</si>
  <si>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</si>
  <si>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</si>
  <si>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COSTO ABRIL</t>
  </si>
  <si>
    <t>tm</t>
  </si>
  <si>
    <t>Asignación</t>
  </si>
  <si>
    <t>JUNIO</t>
  </si>
  <si>
    <t>JULIO</t>
  </si>
  <si>
    <t>PROM JUN Y JUL</t>
  </si>
  <si>
    <t>TASA</t>
  </si>
  <si>
    <t>Etiquetas de fila</t>
  </si>
  <si>
    <t>Total general</t>
  </si>
  <si>
    <t>Suma de Costo Ventas</t>
  </si>
  <si>
    <t>Suma de Gasto Ventas</t>
  </si>
  <si>
    <t>Suma de Gasto ADM</t>
  </si>
  <si>
    <t>Suma de Gasto Fin</t>
  </si>
  <si>
    <t>Suma de TM en Stock Total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</si>
  <si>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</si>
  <si>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</si>
  <si>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</si>
  <si>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</si>
  <si>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</si>
  <si>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</si>
  <si>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</si>
  <si>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</si>
  <si>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VENTOSAS</t>
  </si>
  <si>
    <t>OTROS</t>
  </si>
  <si>
    <t>FILETE PARA REPROCESO</t>
  </si>
  <si>
    <t>ALAS PARA REPROCESO</t>
  </si>
  <si>
    <t>PERU FROST</t>
  </si>
  <si>
    <t>RENTABILIDAD DEL INVENTARIO</t>
  </si>
  <si>
    <t>UNITARIOS POR TM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</si>
  <si>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</si>
  <si>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</si>
  <si>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</si>
  <si>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</si>
  <si>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</si>
  <si>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</si>
  <si>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</si>
  <si>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</si>
  <si>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</si>
  <si>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</si>
  <si>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</si>
  <si>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</si>
  <si>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</si>
  <si>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</si>
  <si>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TM</t>
  </si>
  <si>
    <t>Venta</t>
  </si>
  <si>
    <t>Precio x TM</t>
  </si>
  <si>
    <t>Gasto Adm</t>
  </si>
  <si>
    <t>Drawback</t>
  </si>
  <si>
    <t>Utilidad 
Neta</t>
  </si>
  <si>
    <t>Mg Neto %</t>
  </si>
  <si>
    <t>MG 
EBITDA</t>
  </si>
  <si>
    <t>TOTAL</t>
  </si>
  <si>
    <t>flete x tm</t>
  </si>
  <si>
    <t>TM en Almacén de Yantai Jiahong</t>
  </si>
  <si>
    <t>INVENTARIO TOTAL VALORIZADO</t>
  </si>
  <si>
    <t>Precio Venta</t>
  </si>
  <si>
    <t>Venta Esperada</t>
  </si>
  <si>
    <t>Precio actual</t>
  </si>
  <si>
    <t>venta con precio actual</t>
  </si>
  <si>
    <t>P/L</t>
  </si>
  <si>
    <t>variación</t>
  </si>
  <si>
    <t>ebitda con nuevos precios</t>
  </si>
  <si>
    <t>costo financiero mes</t>
  </si>
  <si>
    <t>costo financiero por tm</t>
  </si>
  <si>
    <t>costo almacenamiento mensual</t>
  </si>
  <si>
    <t>AVANCE COMERCIAL AL 24-8-2026</t>
  </si>
  <si>
    <t>Suma de Depreciación</t>
  </si>
  <si>
    <t>TOTAL PROYECTADO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</si>
</sst>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7" formatCode="0.0%"/>
    <numFmt numFmtId="168" formatCode="_-* #,##0.0000_-;\-* #,##0.0000_-;_-* &quot;-&quot;??_-;_-@_-"/>
  </numFmts>
  <fonts count="17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2"/>
      <color theme="1"/>
      <name val="Aptos Narrow"/>
      <family val="2"/>
      <scheme val="minor"/>
    </font>
    <font>
      <sz val="11"/>
      <color theme="1"/>
      <name val="Cambria"/>
      <family val="1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8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top"/>
    </xf>
    <xf numFmtId="164" fontId="9" fillId="0" borderId="0" xfId="0" applyNumberFormat="1" applyFont="1"/>
    <xf numFmtId="9" fontId="1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8" xfId="1" applyNumberFormat="1" applyFont="1" applyBorder="1"/>
    <xf numFmtId="165" fontId="10" fillId="0" borderId="0" xfId="1" applyNumberFormat="1" applyFont="1" applyBorder="1"/>
    <xf numFmtId="165" fontId="10" fillId="0" borderId="0" xfId="1" applyNumberFormat="1" applyFont="1"/>
    <xf numFmtId="165" fontId="10" fillId="0" borderId="0" xfId="1" applyNumberFormat="1" applyFont="1" applyAlignment="1">
      <alignment horizontal="center"/>
    </xf>
    <xf numFmtId="165" fontId="10" fillId="2" borderId="9" xfId="1" applyNumberFormat="1" applyFont="1" applyFill="1" applyBorder="1"/>
    <xf numFmtId="0" fontId="0" fillId="12" borderId="7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8" borderId="7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13" borderId="7" xfId="0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164" fontId="11" fillId="0" borderId="0" xfId="0" applyNumberFormat="1" applyFont="1"/>
    <xf numFmtId="165" fontId="7" fillId="0" borderId="4" xfId="1" applyNumberFormat="1" applyFont="1" applyBorder="1"/>
    <xf numFmtId="165" fontId="7" fillId="0" borderId="5" xfId="1" applyNumberFormat="1" applyFont="1" applyBorder="1"/>
    <xf numFmtId="165" fontId="7" fillId="0" borderId="5" xfId="1" applyNumberFormat="1" applyFont="1" applyBorder="1" applyAlignment="1">
      <alignment horizontal="center"/>
    </xf>
    <xf numFmtId="165" fontId="7" fillId="2" borderId="6" xfId="1" applyNumberFormat="1" applyFont="1" applyFill="1" applyBorder="1"/>
    <xf numFmtId="0" fontId="9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9" fontId="0" fillId="0" borderId="0" xfId="2" applyFont="1"/>
    <xf numFmtId="165" fontId="0" fillId="2" borderId="2" xfId="1" applyNumberFormat="1" applyFont="1" applyFill="1" applyBorder="1" applyAlignment="1">
      <alignment horizontal="center" vertical="center"/>
    </xf>
    <xf numFmtId="165" fontId="0" fillId="9" borderId="2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1" fillId="5" borderId="2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4" fillId="0" borderId="0" xfId="0" applyFont="1"/>
    <xf numFmtId="0" fontId="0" fillId="0" borderId="11" xfId="0" applyBorder="1"/>
    <xf numFmtId="0" fontId="0" fillId="0" borderId="11" xfId="0" applyBorder="1" applyAlignment="1">
      <alignment vertical="top"/>
    </xf>
    <xf numFmtId="0" fontId="12" fillId="0" borderId="0" xfId="0" applyFont="1"/>
    <xf numFmtId="0" fontId="5" fillId="0" borderId="0" xfId="0" applyFont="1"/>
    <xf numFmtId="167" fontId="0" fillId="0" borderId="0" xfId="2" applyNumberFormat="1" applyFont="1"/>
    <xf numFmtId="43" fontId="0" fillId="0" borderId="0" xfId="0" applyNumberFormat="1"/>
    <xf numFmtId="0" fontId="3" fillId="15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" fontId="5" fillId="0" borderId="2" xfId="0" applyNumberFormat="1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16" fontId="5" fillId="0" borderId="7" xfId="0" applyNumberFormat="1" applyFont="1" applyBorder="1" applyAlignment="1">
      <alignment horizontal="center"/>
    </xf>
    <xf numFmtId="16" fontId="5" fillId="16" borderId="3" xfId="0" applyNumberFormat="1" applyFont="1" applyFill="1" applyBorder="1" applyAlignment="1">
      <alignment horizontal="center"/>
    </xf>
    <xf numFmtId="16" fontId="5" fillId="16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14" borderId="1" xfId="0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/>
    </xf>
    <xf numFmtId="165" fontId="0" fillId="10" borderId="16" xfId="1" applyNumberFormat="1" applyFont="1" applyFill="1" applyBorder="1" applyAlignment="1">
      <alignment horizontal="center"/>
    </xf>
    <xf numFmtId="165" fontId="0" fillId="0" borderId="0" xfId="1" applyNumberFormat="1" applyFont="1" applyBorder="1"/>
    <xf numFmtId="9" fontId="0" fillId="0" borderId="0" xfId="0" applyNumberFormat="1"/>
    <xf numFmtId="165" fontId="13" fillId="2" borderId="9" xfId="0" applyNumberFormat="1" applyFont="1" applyFill="1" applyBorder="1"/>
    <xf numFmtId="165" fontId="13" fillId="2" borderId="9" xfId="1" applyNumberFormat="1" applyFont="1" applyFill="1" applyBorder="1"/>
    <xf numFmtId="165" fontId="13" fillId="0" borderId="9" xfId="1" applyNumberFormat="1" applyFont="1" applyFill="1" applyBorder="1"/>
    <xf numFmtId="9" fontId="13" fillId="0" borderId="9" xfId="2" applyFont="1" applyFill="1" applyBorder="1" applyAlignment="1">
      <alignment horizontal="center"/>
    </xf>
    <xf numFmtId="165" fontId="0" fillId="0" borderId="3" xfId="1" applyNumberFormat="1" applyFont="1" applyBorder="1"/>
    <xf numFmtId="165" fontId="0" fillId="0" borderId="13" xfId="1" applyNumberFormat="1" applyFont="1" applyBorder="1"/>
    <xf numFmtId="165" fontId="0" fillId="16" borderId="3" xfId="1" applyNumberFormat="1" applyFont="1" applyFill="1" applyBorder="1"/>
    <xf numFmtId="165" fontId="0" fillId="16" borderId="11" xfId="1" applyNumberFormat="1" applyFont="1" applyFill="1" applyBorder="1"/>
    <xf numFmtId="165" fontId="0" fillId="16" borderId="0" xfId="1" applyNumberFormat="1" applyFont="1" applyFill="1" applyBorder="1"/>
    <xf numFmtId="9" fontId="0" fillId="16" borderId="3" xfId="2" applyFont="1" applyFill="1" applyBorder="1" applyAlignment="1">
      <alignment horizontal="center"/>
    </xf>
    <xf numFmtId="165" fontId="0" fillId="16" borderId="11" xfId="2" applyNumberFormat="1" applyFont="1" applyFill="1" applyBorder="1" applyAlignment="1">
      <alignment horizontal="center"/>
    </xf>
    <xf numFmtId="9" fontId="0" fillId="16" borderId="11" xfId="2" applyFont="1" applyFill="1" applyBorder="1" applyAlignment="1">
      <alignment horizontal="center"/>
    </xf>
    <xf numFmtId="165" fontId="0" fillId="2" borderId="2" xfId="0" applyNumberFormat="1" applyFill="1" applyBorder="1"/>
    <xf numFmtId="165" fontId="0" fillId="2" borderId="2" xfId="1" applyNumberFormat="1" applyFont="1" applyFill="1" applyBorder="1"/>
    <xf numFmtId="165" fontId="0" fillId="0" borderId="11" xfId="1" applyNumberFormat="1" applyFont="1" applyBorder="1"/>
    <xf numFmtId="165" fontId="13" fillId="0" borderId="17" xfId="1" applyNumberFormat="1" applyFont="1" applyFill="1" applyBorder="1"/>
    <xf numFmtId="0" fontId="5" fillId="0" borderId="18" xfId="0" applyFont="1" applyBorder="1" applyAlignment="1">
      <alignment horizontal="center"/>
    </xf>
    <xf numFmtId="1" fontId="5" fillId="10" borderId="19" xfId="0" applyNumberFormat="1" applyFont="1" applyFill="1" applyBorder="1" applyAlignment="1">
      <alignment horizontal="center"/>
    </xf>
    <xf numFmtId="165" fontId="5" fillId="10" borderId="20" xfId="1" applyNumberFormat="1" applyFont="1" applyFill="1" applyBorder="1" applyAlignment="1">
      <alignment horizontal="center"/>
    </xf>
    <xf numFmtId="165" fontId="5" fillId="0" borderId="5" xfId="1" applyNumberFormat="1" applyFont="1" applyBorder="1"/>
    <xf numFmtId="9" fontId="5" fillId="0" borderId="5" xfId="2" applyFont="1" applyBorder="1"/>
    <xf numFmtId="165" fontId="6" fillId="2" borderId="6" xfId="1" applyNumberFormat="1" applyFont="1" applyFill="1" applyBorder="1"/>
    <xf numFmtId="165" fontId="6" fillId="0" borderId="6" xfId="1" applyNumberFormat="1" applyFont="1" applyFill="1" applyBorder="1"/>
    <xf numFmtId="165" fontId="6" fillId="0" borderId="12" xfId="1" applyNumberFormat="1" applyFont="1" applyFill="1" applyBorder="1"/>
    <xf numFmtId="9" fontId="6" fillId="0" borderId="6" xfId="2" applyFont="1" applyFill="1" applyBorder="1" applyAlignment="1">
      <alignment horizontal="center"/>
    </xf>
    <xf numFmtId="165" fontId="5" fillId="0" borderId="1" xfId="0" applyNumberFormat="1" applyFont="1" applyBorder="1"/>
    <xf numFmtId="165" fontId="5" fillId="0" borderId="2" xfId="1" applyNumberFormat="1" applyFont="1" applyBorder="1"/>
    <xf numFmtId="165" fontId="5" fillId="16" borderId="2" xfId="0" applyNumberFormat="1" applyFont="1" applyFill="1" applyBorder="1"/>
    <xf numFmtId="165" fontId="5" fillId="16" borderId="10" xfId="1" applyNumberFormat="1" applyFont="1" applyFill="1" applyBorder="1"/>
    <xf numFmtId="165" fontId="5" fillId="16" borderId="2" xfId="1" applyNumberFormat="1" applyFont="1" applyFill="1" applyBorder="1"/>
    <xf numFmtId="9" fontId="5" fillId="16" borderId="1" xfId="2" applyFont="1" applyFill="1" applyBorder="1" applyAlignment="1">
      <alignment horizontal="center"/>
    </xf>
    <xf numFmtId="9" fontId="5" fillId="16" borderId="2" xfId="2" applyFont="1" applyFill="1" applyBorder="1" applyAlignment="1">
      <alignment horizontal="center"/>
    </xf>
    <xf numFmtId="165" fontId="5" fillId="2" borderId="2" xfId="0" applyNumberFormat="1" applyFont="1" applyFill="1" applyBorder="1"/>
    <xf numFmtId="165" fontId="5" fillId="2" borderId="2" xfId="1" applyNumberFormat="1" applyFont="1" applyFill="1" applyBorder="1"/>
    <xf numFmtId="0" fontId="5" fillId="0" borderId="0" xfId="0" applyFont="1" applyAlignment="1">
      <alignment vertical="top"/>
    </xf>
    <xf numFmtId="165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65" fontId="4" fillId="0" borderId="0" xfId="1" applyNumberFormat="1" applyFont="1"/>
    <xf numFmtId="168" fontId="0" fillId="0" borderId="0" xfId="1" applyNumberFormat="1" applyFont="1" applyFill="1" applyBorder="1"/>
    <xf numFmtId="4" fontId="0" fillId="0" borderId="0" xfId="0" applyNumberFormat="1"/>
    <xf numFmtId="0" fontId="5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3" fontId="0" fillId="0" borderId="0" xfId="0" applyNumberFormat="1"/>
    <xf numFmtId="0" fontId="5" fillId="0" borderId="21" xfId="0" applyFont="1" applyBorder="1" applyAlignment="1">
      <alignment horizontal="center"/>
    </xf>
    <xf numFmtId="3" fontId="5" fillId="0" borderId="0" xfId="0" applyNumberFormat="1" applyFont="1"/>
    <xf numFmtId="43" fontId="5" fillId="0" borderId="0" xfId="1" applyFont="1"/>
    <xf numFmtId="0" fontId="14" fillId="0" borderId="0" xfId="0" applyFont="1"/>
    <xf numFmtId="0" fontId="6" fillId="2" borderId="4" xfId="0" applyFont="1" applyFill="1" applyBorder="1" applyAlignment="1">
      <alignment horizontal="center" vertical="center" wrapText="1"/>
    </xf>
    <xf numFmtId="165" fontId="15" fillId="0" borderId="2" xfId="1" applyNumberFormat="1" applyFont="1" applyBorder="1" applyAlignment="1">
      <alignment horizontal="center" vertical="center"/>
    </xf>
    <xf numFmtId="165" fontId="5" fillId="0" borderId="2" xfId="1" applyNumberFormat="1" applyFont="1" applyBorder="1" applyAlignment="1">
      <alignment horizontal="center" vertical="center"/>
    </xf>
    <xf numFmtId="165" fontId="13" fillId="2" borderId="8" xfId="1" applyNumberFormat="1" applyFont="1" applyFill="1" applyBorder="1"/>
    <xf numFmtId="165" fontId="15" fillId="0" borderId="2" xfId="1" applyNumberFormat="1" applyFont="1" applyBorder="1"/>
    <xf numFmtId="165" fontId="0" fillId="0" borderId="2" xfId="1" applyNumberFormat="1" applyFont="1" applyBorder="1" applyAlignment="1">
      <alignment horizontal="center"/>
    </xf>
    <xf numFmtId="9" fontId="0" fillId="0" borderId="2" xfId="2" applyFont="1" applyBorder="1" applyAlignment="1">
      <alignment horizontal="center" vertical="center"/>
    </xf>
    <xf numFmtId="165" fontId="2" fillId="0" borderId="2" xfId="1" applyNumberFormat="1" applyFont="1" applyBorder="1"/>
    <xf numFmtId="9" fontId="2" fillId="0" borderId="2" xfId="2" applyFont="1" applyBorder="1" applyAlignment="1">
      <alignment horizontal="center" vertical="center"/>
    </xf>
    <xf numFmtId="165" fontId="5" fillId="0" borderId="0" xfId="1" applyNumberFormat="1" applyFont="1"/>
    <xf numFmtId="165" fontId="0" fillId="0" borderId="2" xfId="0" applyNumberFormat="1" applyBorder="1"/>
    <xf numFmtId="165" fontId="0" fillId="0" borderId="2" xfId="2" applyNumberFormat="1" applyFont="1" applyBorder="1"/>
    <xf numFmtId="165" fontId="0" fillId="0" borderId="0" xfId="2" applyNumberFormat="1" applyFont="1"/>
    <xf numFmtId="165" fontId="6" fillId="2" borderId="4" xfId="1" applyNumberFormat="1" applyFont="1" applyFill="1" applyBorder="1"/>
    <xf numFmtId="165" fontId="15" fillId="0" borderId="2" xfId="0" applyNumberFormat="1" applyFont="1" applyBorder="1"/>
    <xf numFmtId="165" fontId="5" fillId="0" borderId="2" xfId="0" applyNumberFormat="1" applyFont="1" applyBorder="1"/>
    <xf numFmtId="9" fontId="5" fillId="0" borderId="2" xfId="2" applyFont="1" applyBorder="1" applyAlignment="1">
      <alignment horizontal="center" vertical="center"/>
    </xf>
    <xf numFmtId="165" fontId="5" fillId="0" borderId="0" xfId="0" applyNumberFormat="1" applyFont="1"/>
    <xf numFmtId="10" fontId="0" fillId="0" borderId="0" xfId="0" applyNumberFormat="1"/>
    <xf numFmtId="1" fontId="0" fillId="10" borderId="3" xfId="0" applyNumberFormat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Ajuste%20Stock%20Abril%202026%20v2.xlsx" TargetMode="External"/><Relationship Id="rId1" Type="http://schemas.openxmlformats.org/officeDocument/2006/relationships/externalLinkPath" Target="Ajuste%20Stock%20Abril%202026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17-8-2026.xlsx" TargetMode="External"/><Relationship Id="rId1" Type="http://schemas.openxmlformats.org/officeDocument/2006/relationships/externalLinkPath" Target="Inventario%20PT%20y%20Avance%20Comercial%20al%2017-8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RESUMEN%20VENTAS%20EXPORTACION%202025%20al%2024-8-2026.xlsx" TargetMode="External"/><Relationship Id="rId1" Type="http://schemas.openxmlformats.org/officeDocument/2006/relationships/externalLinkPath" Target="RESUMEN%20VENTAS%20EXPORTACION%202025%20al%2024-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C3"/>
          <cell r="K3">
            <v>2126.230658279324</v>
          </cell>
        </row>
        <row r="4">
          <cell r="C4"/>
          <cell r="K4">
            <v>2094.6361169260049</v>
          </cell>
        </row>
        <row r="5">
          <cell r="C5"/>
          <cell r="K5">
            <v>1946.6202776142766</v>
          </cell>
        </row>
        <row r="6">
          <cell r="C6"/>
          <cell r="K6">
            <v>2025.3424461865532</v>
          </cell>
        </row>
        <row r="7">
          <cell r="C7"/>
          <cell r="K7">
            <v>2107.1511928863524</v>
          </cell>
        </row>
        <row r="8">
          <cell r="C8">
            <v>10005721</v>
          </cell>
          <cell r="K8">
            <v>2136.6867833638648</v>
          </cell>
        </row>
        <row r="9">
          <cell r="C9"/>
          <cell r="K9">
            <v>1974.7197869741549</v>
          </cell>
        </row>
        <row r="10">
          <cell r="C10"/>
          <cell r="K10">
            <v>1840.5564205679732</v>
          </cell>
        </row>
        <row r="11">
          <cell r="C11">
            <v>10005779</v>
          </cell>
          <cell r="K11">
            <v>1753.693447499579</v>
          </cell>
        </row>
        <row r="12">
          <cell r="C12"/>
          <cell r="K12">
            <v>1782.56409434187</v>
          </cell>
        </row>
        <row r="13">
          <cell r="C13"/>
          <cell r="K13">
            <v>1915.8869184440748</v>
          </cell>
        </row>
        <row r="14">
          <cell r="C14">
            <v>10006719</v>
          </cell>
          <cell r="K14">
            <v>2035.7385678837293</v>
          </cell>
        </row>
        <row r="15">
          <cell r="C15">
            <v>10006720</v>
          </cell>
          <cell r="K15">
            <v>1529.2757311252617</v>
          </cell>
        </row>
        <row r="16">
          <cell r="C16"/>
          <cell r="K16">
            <v>1866.9166666666667</v>
          </cell>
        </row>
        <row r="17">
          <cell r="K17">
            <v>1532.4894209058921</v>
          </cell>
        </row>
        <row r="18">
          <cell r="K18">
            <v>1275.0995057916339</v>
          </cell>
        </row>
        <row r="19">
          <cell r="K19" t="str">
            <v xml:space="preserve"> </v>
          </cell>
        </row>
        <row r="20">
          <cell r="K20" t="str">
            <v xml:space="preserve"> </v>
          </cell>
        </row>
        <row r="21">
          <cell r="C21"/>
          <cell r="K21">
            <v>1931.1280065442866</v>
          </cell>
        </row>
        <row r="22">
          <cell r="C22"/>
          <cell r="K22">
            <v>1772.129900364884</v>
          </cell>
        </row>
        <row r="23">
          <cell r="C23">
            <v>10007162</v>
          </cell>
          <cell r="K23">
            <v>1882.1795185638512</v>
          </cell>
        </row>
        <row r="24">
          <cell r="C24">
            <v>10007969</v>
          </cell>
          <cell r="K24">
            <v>1494.6793794440853</v>
          </cell>
        </row>
        <row r="25">
          <cell r="K25">
            <v>1490.7915816326529</v>
          </cell>
        </row>
        <row r="26">
          <cell r="C26"/>
          <cell r="K26">
            <v>1367.0473271804969</v>
          </cell>
        </row>
        <row r="27">
          <cell r="K27">
            <v>1758.082720775697</v>
          </cell>
        </row>
        <row r="28">
          <cell r="K28">
            <v>1838.9357175572518</v>
          </cell>
        </row>
        <row r="29">
          <cell r="C29">
            <v>10005781</v>
          </cell>
          <cell r="K29">
            <v>1856.345845872738</v>
          </cell>
        </row>
        <row r="30">
          <cell r="C30"/>
          <cell r="K30">
            <v>1788.7115084478587</v>
          </cell>
        </row>
        <row r="31">
          <cell r="C31"/>
          <cell r="K31">
            <v>2014.3039236706686</v>
          </cell>
        </row>
        <row r="32">
          <cell r="C32">
            <v>10009207</v>
          </cell>
          <cell r="K32">
            <v>1545.5756063338247</v>
          </cell>
        </row>
        <row r="33">
          <cell r="K33">
            <v>3641.2946428571427</v>
          </cell>
        </row>
        <row r="34">
          <cell r="C34">
            <v>10009239</v>
          </cell>
          <cell r="K34">
            <v>3441.681665997347</v>
          </cell>
        </row>
        <row r="35">
          <cell r="K35">
            <v>1956.3846153846155</v>
          </cell>
        </row>
        <row r="36">
          <cell r="C36"/>
          <cell r="K36">
            <v>3381.3205833671382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>
            <v>1836.2230548455041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C43">
            <v>10009334</v>
          </cell>
          <cell r="K43">
            <v>3020.0740355810349</v>
          </cell>
        </row>
        <row r="44">
          <cell r="C44"/>
          <cell r="K44">
            <v>1504.539234144622</v>
          </cell>
        </row>
        <row r="45">
          <cell r="C45"/>
          <cell r="K45">
            <v>2737.6348452189836</v>
          </cell>
        </row>
        <row r="46">
          <cell r="C46">
            <v>10009386</v>
          </cell>
          <cell r="K46">
            <v>1883.7262986780906</v>
          </cell>
        </row>
        <row r="47">
          <cell r="C47">
            <v>10007050</v>
          </cell>
          <cell r="K47">
            <v>1570.5963362842754</v>
          </cell>
        </row>
        <row r="48">
          <cell r="C48"/>
          <cell r="K48">
            <v>1878.1655309723285</v>
          </cell>
        </row>
        <row r="49">
          <cell r="K49" t="str">
            <v xml:space="preserve"> </v>
          </cell>
        </row>
        <row r="50">
          <cell r="K50">
            <v>14619.069205197944</v>
          </cell>
        </row>
        <row r="51">
          <cell r="K51">
            <v>48443.988050784159</v>
          </cell>
        </row>
        <row r="52">
          <cell r="K52">
            <v>12634.381551362681</v>
          </cell>
        </row>
        <row r="53">
          <cell r="K53" t="str">
            <v xml:space="preserve"> </v>
          </cell>
        </row>
        <row r="54">
          <cell r="K54" t="str">
            <v xml:space="preserve"> </v>
          </cell>
        </row>
        <row r="55">
          <cell r="C55"/>
          <cell r="K55">
            <v>1849.5051020408164</v>
          </cell>
        </row>
        <row r="56">
          <cell r="C56"/>
          <cell r="K56">
            <v>1784.0206279313234</v>
          </cell>
        </row>
        <row r="57">
          <cell r="C57"/>
          <cell r="K57" t="str">
            <v xml:space="preserve"> </v>
          </cell>
        </row>
        <row r="58">
          <cell r="K58">
            <v>2043.3632080577509</v>
          </cell>
        </row>
        <row r="59">
          <cell r="K59">
            <v>2049.9114940184209</v>
          </cell>
        </row>
        <row r="60">
          <cell r="C60">
            <v>10007567</v>
          </cell>
          <cell r="K60">
            <v>1821.2402425897037</v>
          </cell>
        </row>
        <row r="61">
          <cell r="C61"/>
          <cell r="K61">
            <v>1783.7983912750385</v>
          </cell>
        </row>
        <row r="62">
          <cell r="K62">
            <v>1333.2441756981573</v>
          </cell>
        </row>
        <row r="63">
          <cell r="K63">
            <v>1945.1482959840719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L 17-8-2026"/>
      <sheetName val="TD"/>
      <sheetName val="Stock Libre"/>
    </sheetNames>
    <sheetDataSet>
      <sheetData sheetId="0" refreshError="1"/>
      <sheetData sheetId="1"/>
      <sheetData sheetId="2">
        <row r="54">
          <cell r="O54">
            <v>78579.000000000015</v>
          </cell>
          <cell r="P54">
            <v>154473.00000000003</v>
          </cell>
          <cell r="Q54">
            <v>123484.35000000002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FLETES"/>
      <sheetName val="Hoja1"/>
      <sheetName val="Hoja2"/>
      <sheetName val="Hoja3"/>
      <sheetName val="OPERADORES LOGISTICOS"/>
      <sheetName val="Hoja5"/>
      <sheetName val="2026"/>
      <sheetName val="PROGRAMACION"/>
      <sheetName val="ALMACENAJE CHINA "/>
      <sheetName val="FP CHINA"/>
      <sheetName val="2025 TOTAS FP"/>
      <sheetName val="Tabla"/>
      <sheetName val="Hoja4"/>
      <sheetName val="VARIOS CHI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E6">
            <v>46235</v>
          </cell>
          <cell r="H6">
            <v>26.4</v>
          </cell>
          <cell r="I6">
            <v>42240</v>
          </cell>
          <cell r="J6" t="str">
            <v>POTA CONOS</v>
          </cell>
        </row>
        <row r="7">
          <cell r="E7">
            <v>46235</v>
          </cell>
          <cell r="H7">
            <v>81</v>
          </cell>
          <cell r="I7">
            <v>213300</v>
          </cell>
          <cell r="J7" t="str">
            <v>POTA REJOS CONGELADOS</v>
          </cell>
        </row>
        <row r="8">
          <cell r="E8">
            <v>46235</v>
          </cell>
          <cell r="H8">
            <v>25.875</v>
          </cell>
          <cell r="I8">
            <v>41400</v>
          </cell>
          <cell r="J8" t="str">
            <v>OTROS</v>
          </cell>
        </row>
        <row r="9">
          <cell r="E9">
            <v>46245</v>
          </cell>
          <cell r="H9">
            <v>27</v>
          </cell>
          <cell r="I9">
            <v>48600</v>
          </cell>
          <cell r="J9" t="str">
            <v>POTA ALAS CONGELADAS</v>
          </cell>
        </row>
        <row r="10">
          <cell r="E10">
            <v>46250</v>
          </cell>
          <cell r="H10">
            <v>25.664999999999999</v>
          </cell>
          <cell r="I10">
            <v>41064</v>
          </cell>
          <cell r="J10" t="str">
            <v>OTROS</v>
          </cell>
        </row>
        <row r="11">
          <cell r="E11">
            <v>46259</v>
          </cell>
          <cell r="H11">
            <v>20.38</v>
          </cell>
          <cell r="I11">
            <v>36684</v>
          </cell>
          <cell r="J11" t="str">
            <v>POTA CONOS</v>
          </cell>
        </row>
        <row r="12">
          <cell r="E12">
            <v>46259</v>
          </cell>
          <cell r="H12">
            <v>78</v>
          </cell>
          <cell r="I12">
            <v>103740</v>
          </cell>
          <cell r="J12" t="str">
            <v>POTA NUCAS CONGELADAS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74BD04B1-11A3-4A4B-B08A-0C32750E8EDA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58.656250578701" createdVersion="8" refreshedVersion="8" minRefreshableVersion="3" recordCount="50" xr:uid="{68F911B5-D0A9-4C76-995B-A71E1A2A43A5}">
  <cacheSource type="worksheet">
    <worksheetSource ref="G1:Q51" sheet="Stock Libre"/>
  </cacheSource>
  <cacheFields count="11">
    <cacheField name="CÓDIGO" numFmtId="0">
      <sharedItems containsSemiMixedTypes="0" containsString="0" containsNumber="1" containsInteger="1" minValue="10005721" maxValue="10009650" count="13">
        <n v="10006719"/>
        <n v="10009207"/>
        <n v="10007969"/>
        <n v="10005721"/>
        <n v="10005779"/>
        <n v="10007567"/>
        <n v="10007162"/>
        <n v="10009386"/>
        <n v="10009239"/>
        <n v="10009334"/>
        <n v="10007050"/>
        <n v="10009650"/>
        <n v="10009649"/>
      </sharedItems>
    </cacheField>
    <cacheField name="CU X TM" numFmtId="164">
      <sharedItems containsSemiMixedTypes="0" containsString="0" containsNumber="1" minValue="1.2330367002592995" maxValue="3.0850611236899645"/>
    </cacheField>
    <cacheField name="% MP" numFmtId="9">
      <sharedItems containsSemiMixedTypes="0" containsString="0" containsNumber="1" minValue="0.56000000000000005" maxValue="0.71"/>
    </cacheField>
    <cacheField name="incremento MP" numFmtId="9">
      <sharedItems containsSemiMixedTypes="0" containsString="0" containsNumber="1" minValue="-0.10965909090909082" maxValue="-0.10965909090909082"/>
    </cacheField>
    <cacheField name="TM en Stock Total" numFmtId="165">
      <sharedItems containsSemiMixedTypes="0" containsString="0" containsNumber="1" minValue="0" maxValue="331.56"/>
    </cacheField>
    <cacheField name="TM en Stock" numFmtId="165">
      <sharedItems containsSemiMixedTypes="0" containsString="0" containsNumber="1" minValue="0" maxValue="331.56"/>
    </cacheField>
    <cacheField name="Costo Ventas" numFmtId="165">
      <sharedItems containsSemiMixedTypes="0" containsString="0" containsNumber="1" minValue="0" maxValue="574252.01530779141"/>
    </cacheField>
    <cacheField name="Gasto Ventas" numFmtId="165">
      <sharedItems containsSemiMixedTypes="0" containsString="0" containsNumber="1" minValue="0" maxValue="68911.430399999997"/>
    </cacheField>
    <cacheField name="Gasto ADM" numFmtId="165">
      <sharedItems containsSemiMixedTypes="0" containsString="0" containsNumber="1" minValue="0" maxValue="17035.100620500722"/>
    </cacheField>
    <cacheField name="Gasto Fin" numFmtId="165">
      <sharedItems containsSemiMixedTypes="0" containsString="0" containsNumber="1" minValue="0" maxValue="33488.121484755575"/>
    </cacheField>
    <cacheField name="Depreciación" numFmtId="165">
      <sharedItems containsSemiMixedTypes="0" containsString="0" containsNumber="1" minValue="0" maxValue="26770.1081371247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.7319701269990091"/>
    <n v="0.71"/>
    <n v="-0.10965909090909082"/>
    <n v="14.84"/>
    <n v="14.84"/>
    <n v="25702.436684665296"/>
    <n v="3084.3456000000001"/>
    <n v="762.4589612988018"/>
    <n v="1498.8651309982288"/>
    <n v="1198.179529360996"/>
  </r>
  <r>
    <x v="0"/>
    <n v="1.7319701269990091"/>
    <n v="0.71"/>
    <n v="-0.10965909090909082"/>
    <n v="0.68"/>
    <n v="0.68"/>
    <n v="1177.7396863593262"/>
    <n v="141.33120000000002"/>
    <n v="34.937472620160733"/>
    <n v="68.681151555174907"/>
    <n v="54.903105118967474"/>
  </r>
  <r>
    <x v="0"/>
    <n v="1.7319701269990091"/>
    <n v="0.71"/>
    <n v="-0.10965909090909082"/>
    <n v="0"/>
    <n v="0"/>
    <n v="0"/>
    <n v="0"/>
    <n v="0"/>
    <n v="0"/>
    <n v="0"/>
  </r>
  <r>
    <x v="0"/>
    <n v="1.7319701269990091"/>
    <n v="0.71"/>
    <n v="-0.10965909090909082"/>
    <n v="0"/>
    <n v="0"/>
    <n v="0"/>
    <n v="0"/>
    <n v="0"/>
    <n v="0"/>
    <n v="0"/>
  </r>
  <r>
    <x v="0"/>
    <n v="1.7319701269990091"/>
    <n v="0.71"/>
    <n v="-0.10965909090909082"/>
    <n v="0.04"/>
    <n v="0.04"/>
    <n v="69.278805079960364"/>
    <n v="8.313600000000001"/>
    <n v="2.0551454482447489"/>
    <n v="4.0400677385397001"/>
    <n v="3.2295944187627925"/>
  </r>
  <r>
    <x v="0"/>
    <n v="1.7319701269990091"/>
    <n v="0.71"/>
    <n v="-0.10965909090909082"/>
    <n v="2.34"/>
    <n v="2.34"/>
    <n v="4052.8100971776812"/>
    <n v="486.34559999999999"/>
    <n v="120.2260087223178"/>
    <n v="236.34396270457245"/>
    <n v="188.93127349762335"/>
  </r>
  <r>
    <x v="0"/>
    <n v="1.7319701269990091"/>
    <n v="0.71"/>
    <n v="-0.10965909090909082"/>
    <n v="0"/>
    <n v="0"/>
    <n v="0"/>
    <n v="0"/>
    <n v="0"/>
    <n v="0"/>
    <n v="0"/>
  </r>
  <r>
    <x v="1"/>
    <n v="1.2799702510293225"/>
    <n v="0.71"/>
    <n v="-0.10965909090909082"/>
    <n v="30.94"/>
    <n v="30.94"/>
    <n v="39602.279566847239"/>
    <n v="6430.5696000000007"/>
    <n v="1589.6550042173133"/>
    <n v="3124.9923957604583"/>
    <n v="2498.0912829130202"/>
  </r>
  <r>
    <x v="2"/>
    <n v="1.2330367002592995"/>
    <n v="0.71"/>
    <n v="-0.10965909090909082"/>
    <n v="0"/>
    <n v="0"/>
    <n v="0"/>
    <n v="0"/>
    <n v="0"/>
    <n v="0"/>
    <n v="0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1.76"/>
    <n v="1.76"/>
    <n v="3228.598570763621"/>
    <n v="365.79840000000002"/>
    <n v="90.426399722768949"/>
    <n v="177.7629804957468"/>
    <n v="142.10215442556287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32.18"/>
    <n v="32.18"/>
    <n v="59031.989776803028"/>
    <n v="6688.2911999999997"/>
    <n v="1653.3645131129003"/>
    <n v="3250.2344956551888"/>
    <n v="2598.2087098946663"/>
  </r>
  <r>
    <x v="3"/>
    <n v="1.8344310061156939"/>
    <n v="0.67"/>
    <n v="-0.10965909090909082"/>
    <n v="1.08"/>
    <n v="1.08"/>
    <n v="1981.1854866049493"/>
    <n v="224.46720000000002"/>
    <n v="55.488927102608223"/>
    <n v="109.08182894057191"/>
    <n v="87.199049306595398"/>
  </r>
  <r>
    <x v="3"/>
    <n v="1.8344310061156939"/>
    <n v="0.67"/>
    <n v="-0.10965909090909082"/>
    <n v="3.1"/>
    <n v="3.1"/>
    <n v="5686.7361189586518"/>
    <n v="644.30399999999997"/>
    <n v="159.27377223896804"/>
    <n v="313.10524973682675"/>
    <n v="250.29356745411641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5.28"/>
    <n v="5.28"/>
    <n v="9685.7957122908629"/>
    <n v="1097.3952000000002"/>
    <n v="271.27919916830683"/>
    <n v="533.28894148724044"/>
    <n v="426.30646327668865"/>
  </r>
  <r>
    <x v="3"/>
    <n v="1.8344310061156939"/>
    <n v="0.67"/>
    <n v="-0.10965909090909082"/>
    <n v="17.64"/>
    <n v="17.64"/>
    <n v="32359.36294788084"/>
    <n v="3666.2976000000003"/>
    <n v="906.31914267593424"/>
    <n v="1781.6698726960078"/>
    <n v="1424.2511386743915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2.72"/>
    <n v="2.72"/>
    <n v="4989.6523366346873"/>
    <n v="565.3248000000001"/>
    <n v="139.74989048064293"/>
    <n v="274.72460622069963"/>
    <n v="219.6124204758699"/>
  </r>
  <r>
    <x v="3"/>
    <n v="1.8344310061156939"/>
    <n v="0.67"/>
    <n v="-0.10965909090909082"/>
    <n v="0"/>
    <n v="0"/>
    <n v="0"/>
    <n v="0"/>
    <n v="0"/>
    <n v="0"/>
    <n v="0"/>
  </r>
  <r>
    <x v="3"/>
    <n v="1.8344310061156939"/>
    <n v="0.67"/>
    <n v="-0.10965909090909082"/>
    <n v="3.2"/>
    <n v="3.2"/>
    <n v="5870.179219570221"/>
    <n v="665.08800000000008"/>
    <n v="164.41163585957992"/>
    <n v="323.20541908317603"/>
    <n v="258.36755350102339"/>
  </r>
  <r>
    <x v="4"/>
    <n v="1.4834229685286575"/>
    <n v="0.65"/>
    <n v="-0.10965909090909082"/>
    <n v="138.02000000000001"/>
    <n v="138.02000000000001"/>
    <n v="204742.0381163253"/>
    <n v="28686.076800000003"/>
    <n v="7091.2793691685065"/>
    <n v="13940.253731831235"/>
    <n v="11143.715541941016"/>
  </r>
  <r>
    <x v="4"/>
    <n v="1.4834229685286575"/>
    <n v="0.65"/>
    <n v="-0.10965909090909082"/>
    <n v="41.82"/>
    <n v="41.82"/>
    <n v="62036.748543868453"/>
    <n v="8691.8688000000002"/>
    <n v="2148.654566139885"/>
    <n v="4223.8908206432561"/>
    <n v="3376.5409648164996"/>
  </r>
  <r>
    <x v="4"/>
    <n v="1.4834229685286575"/>
    <n v="0.65"/>
    <n v="-0.10965909090909082"/>
    <n v="1.04"/>
    <n v="1.04"/>
    <n v="1542.7598872698038"/>
    <n v="216.15360000000001"/>
    <n v="53.433781654363472"/>
    <n v="105.04176120203221"/>
    <n v="83.969454887832612"/>
  </r>
  <r>
    <x v="4"/>
    <n v="1.4834229685286575"/>
    <n v="0.65"/>
    <n v="-0.10965909090909082"/>
    <n v="16.18"/>
    <n v="16.18"/>
    <n v="24001.783630793678"/>
    <n v="3362.8512000000001"/>
    <n v="831.30633381500093"/>
    <n v="1634.2074002393085"/>
    <n v="1306.3709423895496"/>
  </r>
  <r>
    <x v="4"/>
    <n v="1.4834229685286575"/>
    <n v="0.65"/>
    <n v="-0.10965909090909082"/>
    <n v="174.24"/>
    <n v="174.24"/>
    <n v="258471.61803643333"/>
    <n v="36214.041600000004"/>
    <n v="8952.2135725541266"/>
    <n v="17598.535069078935"/>
    <n v="14068.113288130724"/>
  </r>
  <r>
    <x v="4"/>
    <n v="1.4834229685286575"/>
    <n v="0.65"/>
    <n v="-0.10965909090909082"/>
    <n v="7.84"/>
    <n v="7.84"/>
    <n v="11630.036073264675"/>
    <n v="1629.4656"/>
    <n v="402.80850785597079"/>
    <n v="791.85327675378119"/>
    <n v="633.00050607750734"/>
  </r>
  <r>
    <x v="5"/>
    <n v="1.540163669045685"/>
    <n v="0.68"/>
    <n v="-0.10965909090909082"/>
    <n v="96.72"/>
    <n v="96.72"/>
    <n v="148964.63007009865"/>
    <n v="20102.284800000001"/>
    <n v="4969.341693855803"/>
    <n v="9768.8837917889941"/>
    <n v="7809.1593045684322"/>
  </r>
  <r>
    <x v="5"/>
    <n v="1.540163669045685"/>
    <n v="0.68"/>
    <n v="-0.10965909090909082"/>
    <n v="35.659999999999997"/>
    <n v="35.659999999999997"/>
    <n v="54922.236438169122"/>
    <n v="7411.5743999999995"/>
    <n v="1832.1621671101934"/>
    <n v="3601.720388908142"/>
    <n v="2879.1834243270291"/>
  </r>
  <r>
    <x v="6"/>
    <n v="1.596558814009124"/>
    <n v="0.68"/>
    <n v="-0.10965909090909082"/>
    <n v="0"/>
    <n v="0"/>
    <n v="0"/>
    <n v="0"/>
    <n v="0"/>
    <n v="0"/>
    <n v="0"/>
  </r>
  <r>
    <x v="6"/>
    <n v="1.596558814009124"/>
    <n v="0.68"/>
    <n v="-0.10965909090909082"/>
    <n v="0"/>
    <n v="0"/>
    <n v="0"/>
    <n v="0"/>
    <n v="0"/>
    <n v="0"/>
    <n v="0"/>
  </r>
  <r>
    <x v="6"/>
    <n v="1.596558814009124"/>
    <n v="0.68"/>
    <n v="-0.10965909090909082"/>
    <n v="12.84"/>
    <n v="12.84"/>
    <n v="20499.815171877151"/>
    <n v="2668.6655999999998"/>
    <n v="659.7016888865644"/>
    <n v="1296.8617440712437"/>
    <n v="1036.6998084228564"/>
  </r>
  <r>
    <x v="6"/>
    <n v="1.596558814009124"/>
    <n v="0.68"/>
    <n v="-0.10965909090909082"/>
    <n v="41.08"/>
    <n v="41.08"/>
    <n v="65586.636079494812"/>
    <n v="8538.0671999999995"/>
    <n v="2110.634375347357"/>
    <n v="4149.1495674802718"/>
    <n v="3316.7934680693875"/>
  </r>
  <r>
    <x v="6"/>
    <n v="1.596558814009124"/>
    <n v="0.68"/>
    <n v="-0.10965909090909082"/>
    <n v="0.12"/>
    <n v="0.12"/>
    <n v="191.58705768109488"/>
    <n v="24.940799999999999"/>
    <n v="6.1654363447342462"/>
    <n v="12.1202032156191"/>
    <n v="9.6887832562883762"/>
  </r>
  <r>
    <x v="6"/>
    <n v="1.596558814009124"/>
    <n v="0.68"/>
    <n v="-0.10965909090909082"/>
    <n v="3.8"/>
    <n v="3.8"/>
    <n v="6066.9234932346708"/>
    <n v="789.79200000000003"/>
    <n v="195.23881758325112"/>
    <n v="383.80643516127151"/>
    <n v="306.81146978246528"/>
  </r>
  <r>
    <x v="6"/>
    <n v="1.596558814009124"/>
    <n v="0.68"/>
    <n v="-0.10965909090909082"/>
    <n v="2.68"/>
    <n v="2.68"/>
    <n v="4278.7776215444528"/>
    <n v="557.01120000000003"/>
    <n v="137.69474503239817"/>
    <n v="270.68453848215989"/>
    <n v="216.38282605710711"/>
  </r>
  <r>
    <x v="6"/>
    <n v="1.596558814009124"/>
    <n v="0.68"/>
    <n v="-0.10965909090909082"/>
    <n v="37.18"/>
    <n v="37.18"/>
    <n v="59360.056704859235"/>
    <n v="7727.4912000000004"/>
    <n v="1910.2576941434941"/>
    <n v="3755.2429629726512"/>
    <n v="3001.9080122400155"/>
  </r>
  <r>
    <x v="6"/>
    <n v="1.596558814009124"/>
    <n v="0.68"/>
    <n v="-0.10965909090909082"/>
    <n v="172.7"/>
    <n v="172.7"/>
    <n v="275725.70717937569"/>
    <n v="35893.968000000001"/>
    <n v="8873.0904727967027"/>
    <n v="17442.992461145153"/>
    <n v="13943.773903008356"/>
  </r>
  <r>
    <x v="7"/>
    <n v="1.5979902535425721"/>
    <n v="0.68"/>
    <n v="-0.10965909090909082"/>
    <n v="21.28"/>
    <n v="21.28"/>
    <n v="34005.232595385933"/>
    <n v="4422.8352000000004"/>
    <n v="1093.3373784662065"/>
    <n v="2149.3160369031207"/>
    <n v="1718.1442307818056"/>
  </r>
  <r>
    <x v="8"/>
    <n v="3.0850611236899645"/>
    <n v="0.56000000000000005"/>
    <n v="-0.10965909090909082"/>
    <n v="16.48"/>
    <n v="16.48"/>
    <n v="50841.807318410618"/>
    <n v="3425.2031999999999"/>
    <n v="846.71992467683651"/>
    <n v="1664.5079082783564"/>
    <n v="1330.5929005302705"/>
  </r>
  <r>
    <x v="8"/>
    <n v="3.0850611236899645"/>
    <n v="0.56000000000000005"/>
    <n v="-0.10965909090909082"/>
    <n v="0"/>
    <n v="0"/>
    <n v="0"/>
    <n v="0"/>
    <n v="0"/>
    <n v="0"/>
    <n v="0"/>
  </r>
  <r>
    <x v="9"/>
    <n v="2.6496026057914581"/>
    <n v="0.68"/>
    <n v="-0.10965909090909082"/>
    <n v="0.26"/>
    <n v="0.26"/>
    <n v="688.89667750577905"/>
    <n v="54.038400000000003"/>
    <n v="13.358445413590868"/>
    <n v="26.260440300508051"/>
    <n v="20.992363721958153"/>
  </r>
  <r>
    <x v="9"/>
    <n v="2.6496026057914581"/>
    <n v="0.68"/>
    <n v="-0.10965909090909082"/>
    <n v="129.57599999999999"/>
    <n v="129.57599999999999"/>
    <n v="343324.90724803397"/>
    <n v="26931.075839999998"/>
    <n v="6657.4381650440391"/>
    <n v="13087.395432225503"/>
    <n v="10461.948160140189"/>
  </r>
  <r>
    <x v="9"/>
    <n v="2.6496026057914581"/>
    <n v="0.68"/>
    <n v="-0.10965909090909082"/>
    <n v="7.9939999999999998"/>
    <n v="7.9939999999999998"/>
    <n v="21180.923230696917"/>
    <n v="1661.4729600000001"/>
    <n v="410.72081783171302"/>
    <n v="807.407537547159"/>
    <n v="645.43444458974409"/>
  </r>
  <r>
    <x v="10"/>
    <n v="1.3082098231172592"/>
    <n v="0.68"/>
    <n v="-0.10965909090909082"/>
    <n v="49.1"/>
    <n v="49.1"/>
    <n v="64233.102315057426"/>
    <n v="10204.944000000001"/>
    <n v="2522.6910377204294"/>
    <n v="4959.1831490574823"/>
    <n v="3964.3271490313277"/>
  </r>
  <r>
    <x v="10"/>
    <n v="1.3082098231172592"/>
    <n v="0.68"/>
    <n v="-0.10965909090909082"/>
    <n v="30.765000000000001"/>
    <n v="30.765000000000001"/>
    <n v="40247.075208202485"/>
    <n v="6394.1976000000004"/>
    <n v="1580.6637428812426"/>
    <n v="3107.3170994043467"/>
    <n v="2483.961807330933"/>
  </r>
  <r>
    <x v="10"/>
    <n v="1.3082098231172592"/>
    <n v="0.68"/>
    <n v="-0.10965909090909082"/>
    <n v="44.674999999999997"/>
    <n v="44.674999999999997"/>
    <n v="58444.273847763558"/>
    <n v="9285.2520000000004"/>
    <n v="2295.3405725083535"/>
    <n v="4512.2506554815272"/>
    <n v="3607.0532664556936"/>
  </r>
  <r>
    <x v="11"/>
    <n v="1.8344310061156939"/>
    <n v="0.67"/>
    <n v="-0.10965909090909082"/>
    <n v="0"/>
    <n v="0"/>
    <n v="0"/>
    <n v="0"/>
    <n v="0"/>
    <n v="0"/>
    <n v="0"/>
  </r>
  <r>
    <x v="12"/>
    <n v="1.7319701269990091"/>
    <n v="0.71"/>
    <n v="-0.10965909090909082"/>
    <n v="331.56"/>
    <n v="331.56"/>
    <n v="574252.01530779141"/>
    <n v="68911.430399999997"/>
    <n v="17035.100620500722"/>
    <n v="33488.121484755575"/>
    <n v="26770.1081371247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3A38A-EADA-4F67-822B-D81DD99841B0}" name="TablaDinámica4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17" firstHeaderRow="0" firstDataRow="1" firstDataCol="1"/>
  <pivotFields count="11">
    <pivotField axis="axisRow" showAll="0">
      <items count="14">
        <item x="3"/>
        <item x="4"/>
        <item x="0"/>
        <item x="10"/>
        <item x="6"/>
        <item x="5"/>
        <item x="2"/>
        <item x="8"/>
        <item x="9"/>
        <item x="7"/>
        <item x="1"/>
        <item x="11"/>
        <item x="12"/>
        <item t="default"/>
      </items>
    </pivotField>
    <pivotField numFmtId="164" showAll="0"/>
    <pivotField numFmtId="9" showAll="0"/>
    <pivotField numFmtId="9" showAll="0"/>
    <pivotField dataField="1" numFmtId="165" showAll="0"/>
    <pivotField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 Total" fld="4" baseField="0" baseItem="0" numFmtId="165"/>
    <dataField name="Suma de Costo Ventas" fld="6" baseField="0" baseItem="0" numFmtId="165"/>
    <dataField name="Suma de Gasto Ventas" fld="7" baseField="0" baseItem="0" numFmtId="165"/>
    <dataField name="Suma de Gasto ADM" fld="8" baseField="0" baseItem="0" numFmtId="165"/>
    <dataField name="Suma de Gasto Fin" fld="9" baseField="0" baseItem="0" numFmtId="165"/>
    <dataField name="Suma de Depreciación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5" dT="2026-08-03T21:04:12.65" personId="{74BD04B1-11A3-4A4B-B08A-0C32750E8EDA}" id="{85AEDC41-5D01-45D0-B7CB-E11422789551}">
    <text>Precio venta 1500</text>
  </threadedComment>
  <threadedComment ref="Q27" dT="2026-08-03T21:04:38.98" personId="{74BD04B1-11A3-4A4B-B08A-0C32750E8EDA}" id="{B8D30928-EBEA-4978-B856-72D99E354EA3}">
    <text>Precio de venta 2275</text>
  </threadedComment>
  <threadedComment ref="Q28" dT="2026-08-03T21:04:24.79" personId="{74BD04B1-11A3-4A4B-B08A-0C32750E8EDA}" id="{C3D571A2-EA0D-4343-AEAB-3C4D64EB033A}">
    <text>Precio venta 3400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FB0-6F97-491A-8D6D-EDE847463AF9}">
  <dimension ref="B2:BG57"/>
  <sheetViews>
    <sheetView showGridLines="0" tabSelected="1" zoomScale="90" zoomScaleNormal="90" workbookViewId="0">
      <pane xSplit="4" ySplit="6" topLeftCell="N7" activePane="bottomRight" state="frozen"/>
      <selection pane="topRight" activeCell="E1" sqref="E1"/>
      <selection pane="bottomLeft" activeCell="A7" sqref="A7"/>
      <selection pane="bottomRight" activeCell="P52" sqref="P52"/>
    </sheetView>
  </sheetViews>
  <sheetFormatPr baseColWidth="10" defaultRowHeight="14.4" outlineLevelCol="2" x14ac:dyDescent="0.3"/>
  <cols>
    <col min="1" max="1" width="7.77734375" customWidth="1"/>
    <col min="2" max="2" width="14.33203125" hidden="1" customWidth="1" outlineLevel="1"/>
    <col min="3" max="3" width="34.109375" customWidth="1" collapsed="1"/>
    <col min="4" max="5" width="12.88671875" customWidth="1" outlineLevel="1"/>
    <col min="6" max="7" width="13.5546875" customWidth="1" outlineLevel="2"/>
    <col min="8" max="8" width="11.77734375" customWidth="1" outlineLevel="2"/>
    <col min="9" max="9" width="10.5546875" customWidth="1" outlineLevel="2"/>
    <col min="10" max="10" width="14.109375" customWidth="1" outlineLevel="2"/>
    <col min="11" max="11" width="13.77734375" customWidth="1" outlineLevel="2"/>
    <col min="12" max="12" width="13.44140625" customWidth="1" outlineLevel="2"/>
    <col min="13" max="13" width="17.33203125" customWidth="1" outlineLevel="2"/>
    <col min="14" max="16" width="16" customWidth="1" outlineLevel="2"/>
    <col min="17" max="22" width="17.5546875" customWidth="1" outlineLevel="2"/>
    <col min="23" max="23" width="9.6640625" customWidth="1" outlineLevel="1"/>
    <col min="24" max="25" width="11.5546875" customWidth="1" outlineLevel="1"/>
    <col min="26" max="35" width="12.6640625" customWidth="1" outlineLevel="1"/>
    <col min="37" max="37" width="13.77734375" bestFit="1" customWidth="1"/>
    <col min="38" max="38" width="14.88671875" bestFit="1" customWidth="1"/>
    <col min="39" max="44" width="12.6640625" customWidth="1" outlineLevel="1"/>
    <col min="45" max="45" width="12" bestFit="1" customWidth="1"/>
    <col min="50" max="50" width="14.77734375" customWidth="1"/>
    <col min="51" max="51" width="12.6640625" bestFit="1" customWidth="1"/>
    <col min="52" max="52" width="12.44140625" bestFit="1" customWidth="1"/>
    <col min="55" max="55" width="12.6640625" bestFit="1" customWidth="1"/>
    <col min="58" max="58" width="12.6640625" bestFit="1" customWidth="1"/>
  </cols>
  <sheetData>
    <row r="2" spans="2:59" ht="15.6" x14ac:dyDescent="0.3">
      <c r="C2" s="60" t="s">
        <v>97</v>
      </c>
    </row>
    <row r="3" spans="2:59" x14ac:dyDescent="0.3">
      <c r="C3" s="61" t="s">
        <v>136</v>
      </c>
      <c r="G3" s="56"/>
      <c r="M3" s="62"/>
      <c r="N3" s="56"/>
      <c r="O3" s="56"/>
      <c r="P3" s="56"/>
      <c r="R3" s="63"/>
    </row>
    <row r="4" spans="2:59" ht="15" thickBot="1" x14ac:dyDescent="0.35">
      <c r="C4" s="61"/>
      <c r="G4" s="63"/>
      <c r="M4" s="63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5"/>
      <c r="AV4" s="65"/>
    </row>
    <row r="5" spans="2:59" ht="15" thickBot="1" x14ac:dyDescent="0.35">
      <c r="F5" s="66" t="s">
        <v>98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8"/>
      <c r="X5" s="69">
        <v>46235</v>
      </c>
      <c r="Y5" s="69"/>
      <c r="Z5" s="69"/>
      <c r="AA5" s="70">
        <v>46245</v>
      </c>
      <c r="AB5" s="71"/>
      <c r="AC5" s="72"/>
      <c r="AD5" s="70">
        <v>46250</v>
      </c>
      <c r="AE5" s="71"/>
      <c r="AF5" s="72"/>
      <c r="AG5" s="70">
        <v>46259</v>
      </c>
      <c r="AH5" s="71"/>
      <c r="AI5" s="72"/>
      <c r="AJ5" s="73" t="s">
        <v>138</v>
      </c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X5" s="75" t="s">
        <v>99</v>
      </c>
      <c r="AY5" s="76"/>
      <c r="AZ5" s="76"/>
      <c r="BA5" s="76"/>
      <c r="BB5" s="76"/>
      <c r="BC5" s="76"/>
      <c r="BD5" s="76"/>
      <c r="BE5" s="76"/>
      <c r="BF5" s="77"/>
    </row>
    <row r="6" spans="2:59" s="87" customFormat="1" ht="29.4" thickBot="1" x14ac:dyDescent="0.35">
      <c r="B6" s="78" t="s">
        <v>100</v>
      </c>
      <c r="C6" s="79" t="s">
        <v>101</v>
      </c>
      <c r="D6" s="80" t="s">
        <v>102</v>
      </c>
      <c r="E6" s="81" t="s">
        <v>103</v>
      </c>
      <c r="F6" s="82" t="s">
        <v>61</v>
      </c>
      <c r="G6" s="83" t="s">
        <v>62</v>
      </c>
      <c r="H6" s="83" t="s">
        <v>63</v>
      </c>
      <c r="I6" s="83" t="s">
        <v>64</v>
      </c>
      <c r="J6" s="83" t="s">
        <v>65</v>
      </c>
      <c r="K6" s="83" t="s">
        <v>66</v>
      </c>
      <c r="L6" s="84" t="s">
        <v>67</v>
      </c>
      <c r="M6" s="85" t="s">
        <v>104</v>
      </c>
      <c r="N6" s="85" t="s">
        <v>105</v>
      </c>
      <c r="O6" s="85" t="s">
        <v>106</v>
      </c>
      <c r="P6" s="85" t="s">
        <v>107</v>
      </c>
      <c r="Q6" s="86" t="s">
        <v>108</v>
      </c>
      <c r="R6" s="86" t="s">
        <v>109</v>
      </c>
      <c r="S6" s="86" t="s">
        <v>110</v>
      </c>
      <c r="T6" s="86" t="s">
        <v>111</v>
      </c>
      <c r="U6" s="86" t="s">
        <v>112</v>
      </c>
      <c r="V6" s="86" t="s">
        <v>113</v>
      </c>
      <c r="X6" s="7" t="s">
        <v>114</v>
      </c>
      <c r="Y6" s="88" t="s">
        <v>115</v>
      </c>
      <c r="Z6" s="89" t="s">
        <v>116</v>
      </c>
      <c r="AA6" s="7" t="s">
        <v>114</v>
      </c>
      <c r="AB6" s="88" t="s">
        <v>115</v>
      </c>
      <c r="AC6" s="89" t="s">
        <v>116</v>
      </c>
      <c r="AD6" s="7" t="s">
        <v>114</v>
      </c>
      <c r="AE6" s="88" t="s">
        <v>115</v>
      </c>
      <c r="AF6" s="89" t="s">
        <v>116</v>
      </c>
      <c r="AG6" s="7" t="s">
        <v>114</v>
      </c>
      <c r="AH6" s="88" t="s">
        <v>115</v>
      </c>
      <c r="AI6" s="89" t="s">
        <v>116</v>
      </c>
      <c r="AJ6" s="90" t="s">
        <v>114</v>
      </c>
      <c r="AK6" s="91" t="s">
        <v>115</v>
      </c>
      <c r="AL6" s="91" t="s">
        <v>116</v>
      </c>
      <c r="AM6" s="91" t="s">
        <v>61</v>
      </c>
      <c r="AN6" s="91" t="s">
        <v>62</v>
      </c>
      <c r="AO6" s="91" t="s">
        <v>117</v>
      </c>
      <c r="AP6" s="92" t="s">
        <v>64</v>
      </c>
      <c r="AQ6" s="91" t="s">
        <v>65</v>
      </c>
      <c r="AR6" s="91" t="s">
        <v>118</v>
      </c>
      <c r="AS6" s="92" t="s">
        <v>119</v>
      </c>
      <c r="AT6" s="91" t="s">
        <v>120</v>
      </c>
      <c r="AU6" s="91" t="s">
        <v>112</v>
      </c>
      <c r="AV6" s="92" t="s">
        <v>121</v>
      </c>
      <c r="AX6" s="93" t="s">
        <v>116</v>
      </c>
      <c r="AY6" s="93" t="s">
        <v>61</v>
      </c>
      <c r="AZ6" s="93" t="s">
        <v>62</v>
      </c>
      <c r="BA6" s="93" t="s">
        <v>117</v>
      </c>
      <c r="BB6" s="94" t="s">
        <v>64</v>
      </c>
      <c r="BC6" s="93" t="s">
        <v>65</v>
      </c>
      <c r="BD6" s="93" t="s">
        <v>118</v>
      </c>
      <c r="BE6" s="94" t="s">
        <v>119</v>
      </c>
      <c r="BF6" s="94" t="s">
        <v>112</v>
      </c>
    </row>
    <row r="7" spans="2:59" x14ac:dyDescent="0.3">
      <c r="B7" s="55">
        <v>10005721</v>
      </c>
      <c r="C7" s="58" t="s">
        <v>85</v>
      </c>
      <c r="D7" s="95">
        <f>TD!F4</f>
        <v>66.959999999999994</v>
      </c>
      <c r="E7" s="96">
        <f t="shared" ref="E7:E20" si="0">IFERROR(F7/D7,0)</f>
        <v>1834.4310061156937</v>
      </c>
      <c r="F7" s="48">
        <f>TD!G4</f>
        <v>122833.50016950683</v>
      </c>
      <c r="G7" s="56">
        <f>TD!H4</f>
        <v>13916.966399999999</v>
      </c>
      <c r="H7" s="56">
        <f>TD!I4</f>
        <v>3440.3134803617095</v>
      </c>
      <c r="I7" s="56">
        <f>TD!J4</f>
        <v>6763.0733943154582</v>
      </c>
      <c r="J7" s="56">
        <f>TD!K4</f>
        <v>5406.3410570089145</v>
      </c>
      <c r="K7" s="97">
        <v>0</v>
      </c>
      <c r="L7" s="98">
        <v>0</v>
      </c>
      <c r="M7" s="99">
        <f>F7+G7+H7+I7</f>
        <v>146953.853444184</v>
      </c>
      <c r="N7" s="100">
        <f>IFERROR(M7/D7,0)</f>
        <v>2194.651335785305</v>
      </c>
      <c r="O7" s="100">
        <f t="shared" ref="O7:O19" si="1">F7+G7+H7-J7</f>
        <v>134784.43899285962</v>
      </c>
      <c r="P7" s="100">
        <f t="shared" ref="P7:P20" si="2">IFERROR(O7/D7,0)</f>
        <v>2012.9097818527425</v>
      </c>
      <c r="Q7" s="101">
        <v>1800</v>
      </c>
      <c r="R7" s="101">
        <f>Q7*D7</f>
        <v>120527.99999999999</v>
      </c>
      <c r="S7" s="101">
        <f t="shared" ref="S7:S19" si="3">R7-M7</f>
        <v>-26425.853444184017</v>
      </c>
      <c r="T7" s="102">
        <f t="shared" ref="T7:T19" si="4">IFERROR(S7/R7,0)</f>
        <v>-0.2192507421029472</v>
      </c>
      <c r="U7" s="101">
        <f t="shared" ref="U7:U9" si="5">R7-(M7-J7-I7)</f>
        <v>-14256.438992859636</v>
      </c>
      <c r="V7" s="102">
        <f t="shared" ref="V7:V20" si="6">IFERROR(U7/R7,0)</f>
        <v>-0.1182832121404125</v>
      </c>
      <c r="X7" s="103" cm="1">
        <f t="array" ref="X7">SUM([3]Hoja5!$H$6:$H$12*([3]Hoja5!$E$6:$E$12=X$5)*($C7=[3]Hoja5!$J$6:$J$12))</f>
        <v>0</v>
      </c>
      <c r="Y7" s="103" cm="1">
        <f t="array" ref="Y7">SUM([3]Hoja5!$I$6:$I$12*([3]Hoja5!$E$6:$E$12=X$5)*($C7=[3]Hoja5!$J$6:$J$12))</f>
        <v>0</v>
      </c>
      <c r="Z7" s="104">
        <f>IFERROR(Y7/X7,0)</f>
        <v>0</v>
      </c>
      <c r="AA7" s="103" cm="1">
        <f t="array" ref="AA7">SUM([3]Hoja5!$H$6:$H$12*([3]Hoja5!$E$6:$E$12=AA$5)*($C7=[3]Hoja5!$J$6:$J$12))</f>
        <v>0</v>
      </c>
      <c r="AB7" s="103" cm="1">
        <f t="array" ref="AB7">SUM([3]Hoja5!$I$6:$I$12*([3]Hoja5!$E$6:$E$12=AA$5)*($C7=[3]Hoja5!$J$6:$J$12))</f>
        <v>0</v>
      </c>
      <c r="AC7" s="104">
        <f>IFERROR(AB7/AA7,0)</f>
        <v>0</v>
      </c>
      <c r="AD7" s="103" cm="1">
        <f t="array" ref="AD7">SUM([3]Hoja5!$H$6:$H$12*([3]Hoja5!$E$6:$E$12=AD$5)*($C7=[3]Hoja5!$J$6:$J$12))</f>
        <v>0</v>
      </c>
      <c r="AE7" s="103" cm="1">
        <f t="array" ref="AE7">SUM([3]Hoja5!$I$6:$I$12*([3]Hoja5!$E$6:$E$12=AD$5)*($C7=[3]Hoja5!$J$6:$J$12))</f>
        <v>0</v>
      </c>
      <c r="AF7" s="104">
        <f>IFERROR(AE7/AD7,0)</f>
        <v>0</v>
      </c>
      <c r="AG7" s="103" cm="1">
        <f t="array" ref="AG7">SUM([3]Hoja5!$H$6:$H$12*([3]Hoja5!$E$6:$E$12=AG$5)*($C7=[3]Hoja5!$J$6:$J$12))</f>
        <v>0</v>
      </c>
      <c r="AH7" s="103" cm="1">
        <f t="array" ref="AH7">SUM([3]Hoja5!$I$6:$I$12*([3]Hoja5!$E$6:$E$12=AG$5)*($C7=[3]Hoja5!$J$6:$J$12))</f>
        <v>0</v>
      </c>
      <c r="AI7" s="104">
        <f>IFERROR(AH7/AG7,0)</f>
        <v>0</v>
      </c>
      <c r="AJ7" s="105">
        <f t="shared" ref="AJ7:AK19" si="7">X7+AA7+AD7+AG7</f>
        <v>0</v>
      </c>
      <c r="AK7" s="106">
        <f t="shared" si="7"/>
        <v>0</v>
      </c>
      <c r="AL7" s="107">
        <f>IFERROR(AK7/AJ7,0)</f>
        <v>0</v>
      </c>
      <c r="AM7" s="106">
        <f t="shared" ref="AM7:AM19" si="8">-IFERROR(F7/D7*AJ7,0)</f>
        <v>0</v>
      </c>
      <c r="AN7" s="107">
        <f t="shared" ref="AN7:AN19" si="9">-207.84*AJ7</f>
        <v>0</v>
      </c>
      <c r="AO7" s="106">
        <f t="shared" ref="AO7:AO19" si="10">$AO$20/$AJ$20*$AJ7</f>
        <v>0</v>
      </c>
      <c r="AP7" s="107">
        <f t="shared" ref="AP7:AP19" si="11">$AP$20/$AJ$20*$AJ7</f>
        <v>0</v>
      </c>
      <c r="AQ7" s="106">
        <f t="shared" ref="AQ7:AQ19" si="12">$AQ$20/$AJ$20*$AJ7</f>
        <v>0</v>
      </c>
      <c r="AR7" s="107">
        <f t="shared" ref="AR7:AR19" si="13">(AK7-AJ7*$AO$21)*0.03</f>
        <v>0</v>
      </c>
      <c r="AS7" s="106">
        <f>AK7+SUM(AM7:AP7,AR7)</f>
        <v>0</v>
      </c>
      <c r="AT7" s="108">
        <f>IFERROR(AS7/AK7,0)</f>
        <v>0</v>
      </c>
      <c r="AU7" s="109">
        <f t="shared" ref="AU7:AU19" si="14">AK7+AM7+AN7+AO7+AR7-AQ7</f>
        <v>0</v>
      </c>
      <c r="AV7" s="110">
        <f t="shared" ref="AV7:AV20" si="15">IFERROR(AU7/AK7,0)</f>
        <v>0</v>
      </c>
      <c r="AX7" s="111">
        <f t="shared" ref="AX7:AX20" si="16">AL7</f>
        <v>0</v>
      </c>
      <c r="AY7" s="112">
        <f t="shared" ref="AY7:BE20" si="17">IFERROR(AM7/$AJ7,0)</f>
        <v>0</v>
      </c>
      <c r="AZ7" s="112">
        <f t="shared" si="17"/>
        <v>0</v>
      </c>
      <c r="BA7" s="112">
        <f>IFERROR(AO7/$AJ7,0)</f>
        <v>0</v>
      </c>
      <c r="BB7" s="112">
        <f t="shared" si="17"/>
        <v>0</v>
      </c>
      <c r="BC7" s="112">
        <f t="shared" si="17"/>
        <v>0</v>
      </c>
      <c r="BD7" s="112">
        <f t="shared" si="17"/>
        <v>0</v>
      </c>
      <c r="BE7" s="112">
        <f t="shared" si="17"/>
        <v>0</v>
      </c>
      <c r="BF7" s="112">
        <f t="shared" ref="BF7:BF20" si="18">IFERROR(AU7/$AJ7,0)</f>
        <v>0</v>
      </c>
      <c r="BG7" s="63"/>
    </row>
    <row r="8" spans="2:59" x14ac:dyDescent="0.3">
      <c r="B8" s="55">
        <v>10005779</v>
      </c>
      <c r="C8" s="59" t="s">
        <v>86</v>
      </c>
      <c r="D8" s="95">
        <f>TD!F5</f>
        <v>379.14</v>
      </c>
      <c r="E8" s="96">
        <f t="shared" si="0"/>
        <v>1483.4229685286575</v>
      </c>
      <c r="F8" s="56">
        <f>TD!G5</f>
        <v>562424.98428795522</v>
      </c>
      <c r="G8" s="56">
        <f>TD!H5</f>
        <v>78800.457599999994</v>
      </c>
      <c r="H8" s="56">
        <f>TD!I5</f>
        <v>19479.696131187851</v>
      </c>
      <c r="I8" s="56">
        <f>TD!J5</f>
        <v>38293.782059748555</v>
      </c>
      <c r="J8" s="56">
        <f>TD!K5</f>
        <v>30611.710698243129</v>
      </c>
      <c r="K8" s="97">
        <v>0</v>
      </c>
      <c r="L8" s="98">
        <v>0</v>
      </c>
      <c r="M8" s="99">
        <f t="shared" ref="M8:M19" si="19">F8+G8+H8+I8</f>
        <v>698998.92007889156</v>
      </c>
      <c r="N8" s="100">
        <f>IFERROR(M8/D8,0)</f>
        <v>1843.6432981982687</v>
      </c>
      <c r="O8" s="100">
        <f t="shared" si="1"/>
        <v>630093.42732089991</v>
      </c>
      <c r="P8" s="100">
        <f t="shared" si="2"/>
        <v>1661.9017442657064</v>
      </c>
      <c r="Q8" s="101">
        <v>1400</v>
      </c>
      <c r="R8" s="101">
        <f t="shared" ref="R8:R14" si="20">Q8*D8</f>
        <v>530796</v>
      </c>
      <c r="S8" s="101">
        <f t="shared" si="3"/>
        <v>-168202.92007889156</v>
      </c>
      <c r="T8" s="102">
        <f t="shared" si="4"/>
        <v>-0.31688807014162046</v>
      </c>
      <c r="U8" s="101">
        <f t="shared" si="5"/>
        <v>-99297.427320899907</v>
      </c>
      <c r="V8" s="102">
        <f t="shared" si="6"/>
        <v>-0.18707267447550455</v>
      </c>
      <c r="X8" s="103" cm="1">
        <f t="array" ref="X8">SUM([3]Hoja5!$H$6:$H$12*([3]Hoja5!$E$6:$E$12=X$5)*($C8=[3]Hoja5!$J$6:$J$12))</f>
        <v>0</v>
      </c>
      <c r="Y8" s="103" cm="1">
        <f t="array" ref="Y8">SUM([3]Hoja5!$I$6:$I$12*([3]Hoja5!$E$6:$E$12=X$5)*($C8=[3]Hoja5!$J$6:$J$12))</f>
        <v>0</v>
      </c>
      <c r="Z8" s="113">
        <f t="shared" ref="Z8:Z20" si="21">IFERROR(Y8/X8,0)</f>
        <v>0</v>
      </c>
      <c r="AA8" s="103" cm="1">
        <f t="array" ref="AA8">SUM([3]Hoja5!$H$6:$H$12*([3]Hoja5!$E$6:$E$12=AA$5)*($C8=[3]Hoja5!$J$6:$J$12))</f>
        <v>0</v>
      </c>
      <c r="AB8" s="103" cm="1">
        <f t="array" ref="AB8">SUM([3]Hoja5!$I$6:$I$12*([3]Hoja5!$E$6:$E$12=AA$5)*($C8=[3]Hoja5!$J$6:$J$12))</f>
        <v>0</v>
      </c>
      <c r="AC8" s="113">
        <f t="shared" ref="AC8:AC20" si="22">IFERROR(AB8/AA8,0)</f>
        <v>0</v>
      </c>
      <c r="AD8" s="103" cm="1">
        <f t="array" ref="AD8">SUM([3]Hoja5!$H$6:$H$12*([3]Hoja5!$E$6:$E$12=AD$5)*($C8=[3]Hoja5!$J$6:$J$12))</f>
        <v>0</v>
      </c>
      <c r="AE8" s="103" cm="1">
        <f t="array" ref="AE8">SUM([3]Hoja5!$I$6:$I$12*([3]Hoja5!$E$6:$E$12=AD$5)*($C8=[3]Hoja5!$J$6:$J$12))</f>
        <v>0</v>
      </c>
      <c r="AF8" s="113">
        <f t="shared" ref="AF8:AF20" si="23">IFERROR(AE8/AD8,0)</f>
        <v>0</v>
      </c>
      <c r="AG8" s="103" cm="1">
        <f t="array" ref="AG8">SUM([3]Hoja5!$H$6:$H$12*([3]Hoja5!$E$6:$E$12=AG$5)*($C8=[3]Hoja5!$J$6:$J$12))</f>
        <v>78</v>
      </c>
      <c r="AH8" s="103" cm="1">
        <f t="array" ref="AH8">SUM([3]Hoja5!$I$6:$I$12*([3]Hoja5!$E$6:$E$12=AG$5)*($C8=[3]Hoja5!$J$6:$J$12))</f>
        <v>103740</v>
      </c>
      <c r="AI8" s="113">
        <f t="shared" ref="AI8:AI20" si="24">IFERROR(AH8/AG8,0)</f>
        <v>1330</v>
      </c>
      <c r="AJ8" s="105">
        <f t="shared" si="7"/>
        <v>78</v>
      </c>
      <c r="AK8" s="106">
        <f t="shared" si="7"/>
        <v>103740</v>
      </c>
      <c r="AL8" s="107">
        <f t="shared" ref="AL8:AL19" si="25">IFERROR(AK8/AJ8,0)</f>
        <v>1330</v>
      </c>
      <c r="AM8" s="106">
        <f>-IFERROR(F8/D8*AJ8,0)</f>
        <v>-115706.99154523529</v>
      </c>
      <c r="AN8" s="107">
        <f t="shared" si="9"/>
        <v>-16211.52</v>
      </c>
      <c r="AO8" s="106">
        <f t="shared" si="10"/>
        <v>-21557.266460326398</v>
      </c>
      <c r="AP8" s="107">
        <f t="shared" si="11"/>
        <v>-42377.93331457513</v>
      </c>
      <c r="AQ8" s="106">
        <f t="shared" si="12"/>
        <v>-33876.545090039399</v>
      </c>
      <c r="AR8" s="107">
        <f t="shared" si="13"/>
        <v>2845.0243821809304</v>
      </c>
      <c r="AS8" s="106">
        <f t="shared" ref="AS8:AS9" si="26">AK8+SUM(AM8:AP8,AR8)</f>
        <v>-89268.686937955848</v>
      </c>
      <c r="AT8" s="108">
        <f t="shared" ref="AT8:AT20" si="27">IFERROR(AS8/AK8,0)</f>
        <v>-0.86050401906647245</v>
      </c>
      <c r="AU8" s="109">
        <f t="shared" si="14"/>
        <v>-13014.208533341363</v>
      </c>
      <c r="AV8" s="110">
        <f t="shared" si="15"/>
        <v>-0.12545024612821826</v>
      </c>
      <c r="AX8" s="111">
        <f t="shared" si="16"/>
        <v>1330</v>
      </c>
      <c r="AY8" s="112">
        <f t="shared" si="17"/>
        <v>-1483.4229685286575</v>
      </c>
      <c r="AZ8" s="112">
        <f t="shared" si="17"/>
        <v>-207.84</v>
      </c>
      <c r="BA8" s="112">
        <f t="shared" si="17"/>
        <v>-276.37521102982561</v>
      </c>
      <c r="BB8" s="112">
        <f t="shared" si="17"/>
        <v>-543.30683736634785</v>
      </c>
      <c r="BC8" s="112">
        <f t="shared" si="17"/>
        <v>-434.31468064153074</v>
      </c>
      <c r="BD8" s="112">
        <f t="shared" si="17"/>
        <v>36.474671566422181</v>
      </c>
      <c r="BE8" s="112">
        <f t="shared" si="17"/>
        <v>-1144.4703453584084</v>
      </c>
      <c r="BF8" s="112">
        <f t="shared" si="18"/>
        <v>-166.84882735053029</v>
      </c>
    </row>
    <row r="9" spans="2:59" x14ac:dyDescent="0.3">
      <c r="B9" s="55">
        <v>10006719</v>
      </c>
      <c r="C9" s="59" t="s">
        <v>87</v>
      </c>
      <c r="D9" s="95">
        <f>TD!F6</f>
        <v>17.899999999999999</v>
      </c>
      <c r="E9" s="96">
        <f t="shared" si="0"/>
        <v>1731.9701269990094</v>
      </c>
      <c r="F9" s="56">
        <f>TD!G6</f>
        <v>31002.265273282264</v>
      </c>
      <c r="G9" s="56">
        <f>TD!H6</f>
        <v>3720.3360000000002</v>
      </c>
      <c r="H9" s="56">
        <f>TD!I6</f>
        <v>919.6775880895251</v>
      </c>
      <c r="I9" s="56">
        <f>TD!J6</f>
        <v>1807.9303129965158</v>
      </c>
      <c r="J9" s="56">
        <f>TD!K6</f>
        <v>1445.2435023963496</v>
      </c>
      <c r="K9" s="97">
        <v>0</v>
      </c>
      <c r="L9" s="98">
        <v>0</v>
      </c>
      <c r="M9" s="99">
        <f t="shared" si="19"/>
        <v>37450.209174368305</v>
      </c>
      <c r="N9" s="100">
        <f t="shared" ref="N9:N14" si="28">IFERROR(M9/D9,0)</f>
        <v>2092.1904566686208</v>
      </c>
      <c r="O9" s="100">
        <f t="shared" si="1"/>
        <v>34197.035358975438</v>
      </c>
      <c r="P9" s="100">
        <f t="shared" si="2"/>
        <v>1910.448902736058</v>
      </c>
      <c r="Q9" s="101">
        <v>1950</v>
      </c>
      <c r="R9" s="101">
        <f t="shared" si="20"/>
        <v>34905</v>
      </c>
      <c r="S9" s="101">
        <f t="shared" si="3"/>
        <v>-2545.209174368305</v>
      </c>
      <c r="T9" s="102">
        <f t="shared" si="4"/>
        <v>-7.2918182906984819E-2</v>
      </c>
      <c r="U9" s="101">
        <f t="shared" si="5"/>
        <v>707.9646410245623</v>
      </c>
      <c r="V9" s="102">
        <f t="shared" si="6"/>
        <v>2.0282613981508733E-2</v>
      </c>
      <c r="X9" s="103" cm="1">
        <f t="array" ref="X9">SUM([3]Hoja5!$H$6:$H$12*([3]Hoja5!$E$6:$E$12=X$5)*($C9=[3]Hoja5!$J$6:$J$12))</f>
        <v>0</v>
      </c>
      <c r="Y9" s="103" cm="1">
        <f t="array" ref="Y9">SUM([3]Hoja5!$I$6:$I$12*([3]Hoja5!$E$6:$E$12=X$5)*($C9=[3]Hoja5!$J$6:$J$12))</f>
        <v>0</v>
      </c>
      <c r="Z9" s="113">
        <f t="shared" si="21"/>
        <v>0</v>
      </c>
      <c r="AA9" s="103" cm="1">
        <f t="array" ref="AA9">SUM([3]Hoja5!$H$6:$H$12*([3]Hoja5!$E$6:$E$12=AA$5)*($C9=[3]Hoja5!$J$6:$J$12))</f>
        <v>27</v>
      </c>
      <c r="AB9" s="103" cm="1">
        <f t="array" ref="AB9">SUM([3]Hoja5!$I$6:$I$12*([3]Hoja5!$E$6:$E$12=AA$5)*($C9=[3]Hoja5!$J$6:$J$12))</f>
        <v>48600</v>
      </c>
      <c r="AC9" s="113">
        <f t="shared" si="22"/>
        <v>1800</v>
      </c>
      <c r="AD9" s="103" cm="1">
        <f t="array" ref="AD9">SUM([3]Hoja5!$H$6:$H$12*([3]Hoja5!$E$6:$E$12=AD$5)*($C9=[3]Hoja5!$J$6:$J$12))</f>
        <v>0</v>
      </c>
      <c r="AE9" s="103" cm="1">
        <f t="array" ref="AE9">SUM([3]Hoja5!$I$6:$I$12*([3]Hoja5!$E$6:$E$12=AD$5)*($C9=[3]Hoja5!$J$6:$J$12))</f>
        <v>0</v>
      </c>
      <c r="AF9" s="113">
        <f t="shared" si="23"/>
        <v>0</v>
      </c>
      <c r="AG9" s="103" cm="1">
        <f t="array" ref="AG9">SUM([3]Hoja5!$H$6:$H$12*([3]Hoja5!$E$6:$E$12=AG$5)*($C9=[3]Hoja5!$J$6:$J$12))</f>
        <v>0</v>
      </c>
      <c r="AH9" s="103" cm="1">
        <f t="array" ref="AH9">SUM([3]Hoja5!$I$6:$I$12*([3]Hoja5!$E$6:$E$12=AG$5)*($C9=[3]Hoja5!$J$6:$J$12))</f>
        <v>0</v>
      </c>
      <c r="AI9" s="113">
        <f t="shared" si="24"/>
        <v>0</v>
      </c>
      <c r="AJ9" s="105">
        <f t="shared" si="7"/>
        <v>27</v>
      </c>
      <c r="AK9" s="106">
        <f t="shared" si="7"/>
        <v>48600</v>
      </c>
      <c r="AL9" s="107">
        <f t="shared" si="25"/>
        <v>1800</v>
      </c>
      <c r="AM9" s="106">
        <f>-IFERROR(F9/D9*AJ9,0)</f>
        <v>-46763.193428973253</v>
      </c>
      <c r="AN9" s="107">
        <f t="shared" si="9"/>
        <v>-5611.68</v>
      </c>
      <c r="AO9" s="106">
        <f t="shared" si="10"/>
        <v>-7462.1306978052917</v>
      </c>
      <c r="AP9" s="107">
        <f t="shared" si="11"/>
        <v>-14669.284608891392</v>
      </c>
      <c r="AQ9" s="106">
        <f t="shared" si="12"/>
        <v>-11726.496377321329</v>
      </c>
      <c r="AR9" s="107">
        <f t="shared" si="13"/>
        <v>1365.5161322933989</v>
      </c>
      <c r="AS9" s="106">
        <f t="shared" si="26"/>
        <v>-24540.772603376536</v>
      </c>
      <c r="AT9" s="108">
        <f t="shared" si="27"/>
        <v>-0.50495416879375588</v>
      </c>
      <c r="AU9" s="109">
        <f t="shared" si="14"/>
        <v>1855.0083828361821</v>
      </c>
      <c r="AV9" s="110">
        <f t="shared" si="15"/>
        <v>3.8168896766176588E-2</v>
      </c>
      <c r="AX9" s="111">
        <f t="shared" si="16"/>
        <v>1800</v>
      </c>
      <c r="AY9" s="112">
        <f t="shared" si="17"/>
        <v>-1731.9701269990094</v>
      </c>
      <c r="AZ9" s="112">
        <f t="shared" si="17"/>
        <v>-207.84</v>
      </c>
      <c r="BA9" s="112">
        <f t="shared" si="17"/>
        <v>-276.37521102982561</v>
      </c>
      <c r="BB9" s="112">
        <f t="shared" si="17"/>
        <v>-543.30683736634785</v>
      </c>
      <c r="BC9" s="112">
        <f t="shared" si="17"/>
        <v>-434.31468064153074</v>
      </c>
      <c r="BD9" s="112">
        <f t="shared" si="17"/>
        <v>50.574671566422182</v>
      </c>
      <c r="BE9" s="112">
        <f t="shared" si="17"/>
        <v>-908.91750382876057</v>
      </c>
      <c r="BF9" s="112">
        <f t="shared" si="18"/>
        <v>68.704014179117863</v>
      </c>
    </row>
    <row r="10" spans="2:59" x14ac:dyDescent="0.3">
      <c r="B10" s="55">
        <v>10007050</v>
      </c>
      <c r="C10" s="59" t="s">
        <v>88</v>
      </c>
      <c r="D10" s="95">
        <f>TD!F7</f>
        <v>124.54</v>
      </c>
      <c r="E10" s="96">
        <f t="shared" si="0"/>
        <v>1308.2098231172595</v>
      </c>
      <c r="F10" s="56">
        <f>TD!G7</f>
        <v>162924.45137102349</v>
      </c>
      <c r="G10" s="56">
        <f>TD!H7</f>
        <v>25884.393600000003</v>
      </c>
      <c r="H10" s="56">
        <f>TD!I7</f>
        <v>6398.6953531100262</v>
      </c>
      <c r="I10" s="56">
        <f>TD!J7</f>
        <v>12578.750903943357</v>
      </c>
      <c r="J10" s="56">
        <f>TD!K7</f>
        <v>10055.342222817955</v>
      </c>
      <c r="K10" s="97">
        <v>0</v>
      </c>
      <c r="L10" s="98">
        <v>0</v>
      </c>
      <c r="M10" s="99">
        <f t="shared" si="19"/>
        <v>207786.29122807688</v>
      </c>
      <c r="N10" s="100">
        <f t="shared" si="28"/>
        <v>1668.4301527868706</v>
      </c>
      <c r="O10" s="100">
        <f t="shared" si="1"/>
        <v>185152.19810131559</v>
      </c>
      <c r="P10" s="100">
        <f t="shared" si="2"/>
        <v>1486.6885988543086</v>
      </c>
      <c r="Q10" s="101">
        <v>1700</v>
      </c>
      <c r="R10" s="101">
        <f t="shared" si="20"/>
        <v>211718</v>
      </c>
      <c r="S10" s="101">
        <f t="shared" si="3"/>
        <v>3931.7087719231204</v>
      </c>
      <c r="T10" s="102">
        <f t="shared" si="4"/>
        <v>1.8570498360664281E-2</v>
      </c>
      <c r="U10" s="101">
        <f>R10-(M10-J10-I10)</f>
        <v>26565.80189868444</v>
      </c>
      <c r="V10" s="102">
        <f t="shared" si="6"/>
        <v>0.12547729479158334</v>
      </c>
      <c r="X10" s="103" cm="1">
        <f t="array" ref="X10">SUM([3]Hoja5!$H$6:$H$12*([3]Hoja5!$E$6:$E$12=X$5)*($C10=[3]Hoja5!$J$6:$J$12))</f>
        <v>0</v>
      </c>
      <c r="Y10" s="103" cm="1">
        <f t="array" ref="Y10">SUM([3]Hoja5!$I$6:$I$12*([3]Hoja5!$E$6:$E$12=X$5)*($C10=[3]Hoja5!$J$6:$J$12))</f>
        <v>0</v>
      </c>
      <c r="Z10" s="113">
        <f t="shared" si="21"/>
        <v>0</v>
      </c>
      <c r="AA10" s="103" cm="1">
        <f t="array" ref="AA10">SUM([3]Hoja5!$H$6:$H$12*([3]Hoja5!$E$6:$E$12=AA$5)*($C10=[3]Hoja5!$J$6:$J$12))</f>
        <v>0</v>
      </c>
      <c r="AB10" s="103" cm="1">
        <f t="array" ref="AB10">SUM([3]Hoja5!$I$6:$I$12*([3]Hoja5!$E$6:$E$12=AA$5)*($C10=[3]Hoja5!$J$6:$J$12))</f>
        <v>0</v>
      </c>
      <c r="AC10" s="113">
        <f t="shared" si="22"/>
        <v>0</v>
      </c>
      <c r="AD10" s="103" cm="1">
        <f t="array" ref="AD10">SUM([3]Hoja5!$H$6:$H$12*([3]Hoja5!$E$6:$E$12=AD$5)*($C10=[3]Hoja5!$J$6:$J$12))</f>
        <v>0</v>
      </c>
      <c r="AE10" s="103" cm="1">
        <f t="array" ref="AE10">SUM([3]Hoja5!$I$6:$I$12*([3]Hoja5!$E$6:$E$12=AD$5)*($C10=[3]Hoja5!$J$6:$J$12))</f>
        <v>0</v>
      </c>
      <c r="AF10" s="113">
        <f t="shared" si="23"/>
        <v>0</v>
      </c>
      <c r="AG10" s="103" cm="1">
        <f t="array" ref="AG10">SUM([3]Hoja5!$H$6:$H$12*([3]Hoja5!$E$6:$E$12=AG$5)*($C10=[3]Hoja5!$J$6:$J$12))</f>
        <v>0</v>
      </c>
      <c r="AH10" s="103" cm="1">
        <f t="array" ref="AH10">SUM([3]Hoja5!$I$6:$I$12*([3]Hoja5!$E$6:$E$12=AG$5)*($C10=[3]Hoja5!$J$6:$J$12))</f>
        <v>0</v>
      </c>
      <c r="AI10" s="113">
        <f t="shared" si="24"/>
        <v>0</v>
      </c>
      <c r="AJ10" s="105">
        <f t="shared" si="7"/>
        <v>0</v>
      </c>
      <c r="AK10" s="106">
        <f t="shared" si="7"/>
        <v>0</v>
      </c>
      <c r="AL10" s="107">
        <f t="shared" si="25"/>
        <v>0</v>
      </c>
      <c r="AM10" s="106">
        <f>-IFERROR(F10/D10*AJ10,0)</f>
        <v>0</v>
      </c>
      <c r="AN10" s="107">
        <f t="shared" si="9"/>
        <v>0</v>
      </c>
      <c r="AO10" s="106">
        <f t="shared" si="10"/>
        <v>0</v>
      </c>
      <c r="AP10" s="107">
        <f t="shared" si="11"/>
        <v>0</v>
      </c>
      <c r="AQ10" s="106">
        <f t="shared" si="12"/>
        <v>0</v>
      </c>
      <c r="AR10" s="107">
        <f t="shared" si="13"/>
        <v>0</v>
      </c>
      <c r="AS10" s="106">
        <f>AK10+SUM(AM10:AP10,AR10)</f>
        <v>0</v>
      </c>
      <c r="AT10" s="108">
        <f t="shared" si="27"/>
        <v>0</v>
      </c>
      <c r="AU10" s="109">
        <f t="shared" si="14"/>
        <v>0</v>
      </c>
      <c r="AV10" s="110">
        <f t="shared" si="15"/>
        <v>0</v>
      </c>
      <c r="AX10" s="111">
        <f t="shared" si="16"/>
        <v>0</v>
      </c>
      <c r="AY10" s="112">
        <f t="shared" si="17"/>
        <v>0</v>
      </c>
      <c r="AZ10" s="112">
        <f t="shared" si="17"/>
        <v>0</v>
      </c>
      <c r="BA10" s="112">
        <f t="shared" si="17"/>
        <v>0</v>
      </c>
      <c r="BB10" s="112">
        <f t="shared" si="17"/>
        <v>0</v>
      </c>
      <c r="BC10" s="112">
        <f t="shared" si="17"/>
        <v>0</v>
      </c>
      <c r="BD10" s="112">
        <f t="shared" si="17"/>
        <v>0</v>
      </c>
      <c r="BE10" s="112">
        <f t="shared" si="17"/>
        <v>0</v>
      </c>
      <c r="BF10" s="112">
        <f t="shared" si="18"/>
        <v>0</v>
      </c>
    </row>
    <row r="11" spans="2:59" x14ac:dyDescent="0.3">
      <c r="B11" s="55">
        <v>10007162</v>
      </c>
      <c r="C11" s="59" t="s">
        <v>89</v>
      </c>
      <c r="D11" s="95">
        <f>TD!F8</f>
        <v>270.39999999999998</v>
      </c>
      <c r="E11" s="96">
        <f t="shared" si="0"/>
        <v>1596.558814009124</v>
      </c>
      <c r="F11" s="56">
        <f>TD!G8</f>
        <v>431709.5033080671</v>
      </c>
      <c r="G11" s="56">
        <f>TD!H8</f>
        <v>56199.936000000002</v>
      </c>
      <c r="H11" s="56">
        <f>TD!I8</f>
        <v>13892.783230134501</v>
      </c>
      <c r="I11" s="56">
        <f>TD!J8</f>
        <v>27310.857912528372</v>
      </c>
      <c r="J11" s="56">
        <f>TD!K8</f>
        <v>21832.058270836475</v>
      </c>
      <c r="K11" s="97">
        <v>0</v>
      </c>
      <c r="L11" s="98">
        <v>0</v>
      </c>
      <c r="M11" s="99">
        <f t="shared" si="19"/>
        <v>529113.08045072993</v>
      </c>
      <c r="N11" s="100">
        <f t="shared" si="28"/>
        <v>1956.7791436787352</v>
      </c>
      <c r="O11" s="100">
        <f t="shared" si="1"/>
        <v>479970.16426736512</v>
      </c>
      <c r="P11" s="100">
        <f t="shared" si="2"/>
        <v>1775.0375897461729</v>
      </c>
      <c r="Q11" s="101">
        <v>2700</v>
      </c>
      <c r="R11" s="101">
        <f t="shared" si="20"/>
        <v>730079.99999999988</v>
      </c>
      <c r="S11" s="101">
        <f t="shared" si="3"/>
        <v>200966.91954926995</v>
      </c>
      <c r="T11" s="102">
        <f t="shared" si="4"/>
        <v>0.27526698382269066</v>
      </c>
      <c r="U11" s="101">
        <f t="shared" ref="U11:U19" si="29">R11-(M11-J11-I11)</f>
        <v>250109.83573263482</v>
      </c>
      <c r="V11" s="102">
        <f t="shared" si="6"/>
        <v>0.3425786704643804</v>
      </c>
      <c r="X11" s="103" cm="1">
        <f t="array" ref="X11">SUM([3]Hoja5!$H$6:$H$12*([3]Hoja5!$E$6:$E$12=X$5)*($C11=[3]Hoja5!$J$6:$J$12))</f>
        <v>81</v>
      </c>
      <c r="Y11" s="103" cm="1">
        <f t="array" ref="Y11">SUM([3]Hoja5!$I$6:$I$12*([3]Hoja5!$E$6:$E$12=X$5)*($C11=[3]Hoja5!$J$6:$J$12))</f>
        <v>213300</v>
      </c>
      <c r="Z11" s="113">
        <f t="shared" si="21"/>
        <v>2633.3333333333335</v>
      </c>
      <c r="AA11" s="103" cm="1">
        <f t="array" ref="AA11">SUM([3]Hoja5!$H$6:$H$12*([3]Hoja5!$E$6:$E$12=AA$5)*($C11=[3]Hoja5!$J$6:$J$12))</f>
        <v>0</v>
      </c>
      <c r="AB11" s="103" cm="1">
        <f t="array" ref="AB11">SUM([3]Hoja5!$I$6:$I$12*([3]Hoja5!$E$6:$E$12=AA$5)*($C11=[3]Hoja5!$J$6:$J$12))</f>
        <v>0</v>
      </c>
      <c r="AC11" s="113">
        <f t="shared" si="22"/>
        <v>0</v>
      </c>
      <c r="AD11" s="103" cm="1">
        <f t="array" ref="AD11">SUM([3]Hoja5!$H$6:$H$12*([3]Hoja5!$E$6:$E$12=AD$5)*($C11=[3]Hoja5!$J$6:$J$12))</f>
        <v>0</v>
      </c>
      <c r="AE11" s="103" cm="1">
        <f t="array" ref="AE11">SUM([3]Hoja5!$I$6:$I$12*([3]Hoja5!$E$6:$E$12=AD$5)*($C11=[3]Hoja5!$J$6:$J$12))</f>
        <v>0</v>
      </c>
      <c r="AF11" s="113">
        <f t="shared" si="23"/>
        <v>0</v>
      </c>
      <c r="AG11" s="103" cm="1">
        <f t="array" ref="AG11">SUM([3]Hoja5!$H$6:$H$12*([3]Hoja5!$E$6:$E$12=AG$5)*($C11=[3]Hoja5!$J$6:$J$12))</f>
        <v>0</v>
      </c>
      <c r="AH11" s="103" cm="1">
        <f t="array" ref="AH11">SUM([3]Hoja5!$I$6:$I$12*([3]Hoja5!$E$6:$E$12=AG$5)*($C11=[3]Hoja5!$J$6:$J$12))</f>
        <v>0</v>
      </c>
      <c r="AI11" s="113">
        <f t="shared" si="24"/>
        <v>0</v>
      </c>
      <c r="AJ11" s="105">
        <f t="shared" si="7"/>
        <v>81</v>
      </c>
      <c r="AK11" s="106">
        <f t="shared" si="7"/>
        <v>213300</v>
      </c>
      <c r="AL11" s="107">
        <f t="shared" si="25"/>
        <v>2633.3333333333335</v>
      </c>
      <c r="AM11" s="106">
        <f>-IFERROR(F11/D11*AJ11,0)</f>
        <v>-129321.26393473905</v>
      </c>
      <c r="AN11" s="107">
        <f t="shared" si="9"/>
        <v>-16835.04</v>
      </c>
      <c r="AO11" s="106">
        <f t="shared" si="10"/>
        <v>-22386.392093415874</v>
      </c>
      <c r="AP11" s="107">
        <f t="shared" si="11"/>
        <v>-44007.853826674174</v>
      </c>
      <c r="AQ11" s="106">
        <f t="shared" si="12"/>
        <v>-35179.489131963994</v>
      </c>
      <c r="AR11" s="107">
        <f t="shared" si="13"/>
        <v>6121.5483968801964</v>
      </c>
      <c r="AS11" s="106">
        <f t="shared" ref="AS11:AS19" si="30">AK11+SUM(AM11:AP11,AR11)</f>
        <v>6870.998542051093</v>
      </c>
      <c r="AT11" s="108">
        <f t="shared" si="27"/>
        <v>3.2212838921946055E-2</v>
      </c>
      <c r="AU11" s="109">
        <f t="shared" si="14"/>
        <v>86058.341500689246</v>
      </c>
      <c r="AV11" s="110">
        <f t="shared" si="15"/>
        <v>0.40346151664645685</v>
      </c>
      <c r="AX11" s="111">
        <f t="shared" si="16"/>
        <v>2633.3333333333335</v>
      </c>
      <c r="AY11" s="112">
        <f t="shared" si="17"/>
        <v>-1596.558814009124</v>
      </c>
      <c r="AZ11" s="112">
        <f t="shared" si="17"/>
        <v>-207.84</v>
      </c>
      <c r="BA11" s="112">
        <f t="shared" si="17"/>
        <v>-276.37521102982561</v>
      </c>
      <c r="BB11" s="112">
        <f t="shared" si="17"/>
        <v>-543.30683736634785</v>
      </c>
      <c r="BC11" s="112">
        <f t="shared" si="17"/>
        <v>-434.3146806415308</v>
      </c>
      <c r="BD11" s="112">
        <f t="shared" si="17"/>
        <v>75.574671566422182</v>
      </c>
      <c r="BE11" s="112">
        <f t="shared" si="17"/>
        <v>84.827142494457931</v>
      </c>
      <c r="BF11" s="112">
        <f t="shared" si="18"/>
        <v>1062.4486605023365</v>
      </c>
    </row>
    <row r="12" spans="2:59" x14ac:dyDescent="0.3">
      <c r="B12" s="55">
        <v>10007567</v>
      </c>
      <c r="C12" s="59" t="s">
        <v>90</v>
      </c>
      <c r="D12" s="95">
        <f>TD!F9</f>
        <v>132.38</v>
      </c>
      <c r="E12" s="96">
        <f t="shared" si="0"/>
        <v>1540.1636690456849</v>
      </c>
      <c r="F12" s="56">
        <f>TD!G9</f>
        <v>203886.86650826776</v>
      </c>
      <c r="G12" s="56">
        <f>TD!H9</f>
        <v>27513.859199999999</v>
      </c>
      <c r="H12" s="56">
        <f>TD!I9</f>
        <v>6801.5038609659969</v>
      </c>
      <c r="I12" s="56">
        <f>TD!J9</f>
        <v>13370.604180697137</v>
      </c>
      <c r="J12" s="56">
        <f>TD!K9</f>
        <v>10688.342728895461</v>
      </c>
      <c r="K12" s="97">
        <v>0</v>
      </c>
      <c r="L12" s="98">
        <v>0</v>
      </c>
      <c r="M12" s="99">
        <f t="shared" si="19"/>
        <v>251572.83374993093</v>
      </c>
      <c r="N12" s="100">
        <f t="shared" si="28"/>
        <v>1900.3839987152965</v>
      </c>
      <c r="O12" s="100">
        <f t="shared" si="1"/>
        <v>227513.88684033832</v>
      </c>
      <c r="P12" s="100">
        <f t="shared" si="2"/>
        <v>1718.6424447827339</v>
      </c>
      <c r="Q12" s="101">
        <v>2800</v>
      </c>
      <c r="R12" s="101">
        <f t="shared" si="20"/>
        <v>370664</v>
      </c>
      <c r="S12" s="101">
        <f t="shared" si="3"/>
        <v>119091.16625006907</v>
      </c>
      <c r="T12" s="102">
        <f t="shared" si="4"/>
        <v>0.32129142903025132</v>
      </c>
      <c r="U12" s="101">
        <f t="shared" si="29"/>
        <v>143150.11315966168</v>
      </c>
      <c r="V12" s="102">
        <f t="shared" si="6"/>
        <v>0.38619912686330932</v>
      </c>
      <c r="X12" s="103" cm="1">
        <f t="array" ref="X12">SUM([3]Hoja5!$H$6:$H$12*([3]Hoja5!$E$6:$E$12=X$5)*($C12=[3]Hoja5!$J$6:$J$12))</f>
        <v>0</v>
      </c>
      <c r="Y12" s="103" cm="1">
        <f t="array" ref="Y12">SUM([3]Hoja5!$I$6:$I$12*([3]Hoja5!$E$6:$E$12=X$5)*($C12=[3]Hoja5!$J$6:$J$12))</f>
        <v>0</v>
      </c>
      <c r="Z12" s="113">
        <f t="shared" si="21"/>
        <v>0</v>
      </c>
      <c r="AA12" s="103" cm="1">
        <f t="array" ref="AA12">SUM([3]Hoja5!$H$6:$H$12*([3]Hoja5!$E$6:$E$12=AA$5)*($C12=[3]Hoja5!$J$6:$J$12))</f>
        <v>0</v>
      </c>
      <c r="AB12" s="103" cm="1">
        <f t="array" ref="AB12">SUM([3]Hoja5!$I$6:$I$12*([3]Hoja5!$E$6:$E$12=AA$5)*($C12=[3]Hoja5!$J$6:$J$12))</f>
        <v>0</v>
      </c>
      <c r="AC12" s="113">
        <f t="shared" si="22"/>
        <v>0</v>
      </c>
      <c r="AD12" s="103" cm="1">
        <f t="array" ref="AD12">SUM([3]Hoja5!$H$6:$H$12*([3]Hoja5!$E$6:$E$12=AD$5)*($C12=[3]Hoja5!$J$6:$J$12))</f>
        <v>0</v>
      </c>
      <c r="AE12" s="103" cm="1">
        <f t="array" ref="AE12">SUM([3]Hoja5!$I$6:$I$12*([3]Hoja5!$E$6:$E$12=AD$5)*($C12=[3]Hoja5!$J$6:$J$12))</f>
        <v>0</v>
      </c>
      <c r="AF12" s="113">
        <f t="shared" si="23"/>
        <v>0</v>
      </c>
      <c r="AG12" s="103" cm="1">
        <f t="array" ref="AG12">SUM([3]Hoja5!$H$6:$H$12*([3]Hoja5!$E$6:$E$12=AG$5)*($C12=[3]Hoja5!$J$6:$J$12))</f>
        <v>0</v>
      </c>
      <c r="AH12" s="103" cm="1">
        <f t="array" ref="AH12">SUM([3]Hoja5!$I$6:$I$12*([3]Hoja5!$E$6:$E$12=AG$5)*($C12=[3]Hoja5!$J$6:$J$12))</f>
        <v>0</v>
      </c>
      <c r="AI12" s="113">
        <f t="shared" si="24"/>
        <v>0</v>
      </c>
      <c r="AJ12" s="105">
        <f t="shared" si="7"/>
        <v>0</v>
      </c>
      <c r="AK12" s="106">
        <f t="shared" si="7"/>
        <v>0</v>
      </c>
      <c r="AL12" s="107">
        <f t="shared" si="25"/>
        <v>0</v>
      </c>
      <c r="AM12" s="106">
        <f>-IFERROR(F12/D12*AJ12,0)</f>
        <v>0</v>
      </c>
      <c r="AN12" s="107">
        <f t="shared" si="9"/>
        <v>0</v>
      </c>
      <c r="AO12" s="106">
        <f t="shared" si="10"/>
        <v>0</v>
      </c>
      <c r="AP12" s="107">
        <f t="shared" si="11"/>
        <v>0</v>
      </c>
      <c r="AQ12" s="106">
        <f t="shared" si="12"/>
        <v>0</v>
      </c>
      <c r="AR12" s="107">
        <f t="shared" si="13"/>
        <v>0</v>
      </c>
      <c r="AS12" s="106">
        <f t="shared" si="30"/>
        <v>0</v>
      </c>
      <c r="AT12" s="108">
        <f t="shared" si="27"/>
        <v>0</v>
      </c>
      <c r="AU12" s="109">
        <f t="shared" si="14"/>
        <v>0</v>
      </c>
      <c r="AV12" s="110">
        <f t="shared" si="15"/>
        <v>0</v>
      </c>
      <c r="AX12" s="111">
        <f t="shared" si="16"/>
        <v>0</v>
      </c>
      <c r="AY12" s="112">
        <f t="shared" si="17"/>
        <v>0</v>
      </c>
      <c r="AZ12" s="112">
        <f t="shared" si="17"/>
        <v>0</v>
      </c>
      <c r="BA12" s="112">
        <f t="shared" si="17"/>
        <v>0</v>
      </c>
      <c r="BB12" s="112">
        <f t="shared" si="17"/>
        <v>0</v>
      </c>
      <c r="BC12" s="112">
        <f t="shared" si="17"/>
        <v>0</v>
      </c>
      <c r="BD12" s="112">
        <f t="shared" si="17"/>
        <v>0</v>
      </c>
      <c r="BE12" s="112">
        <f t="shared" si="17"/>
        <v>0</v>
      </c>
      <c r="BF12" s="112">
        <f t="shared" si="18"/>
        <v>0</v>
      </c>
    </row>
    <row r="13" spans="2:59" x14ac:dyDescent="0.3">
      <c r="B13" s="55">
        <v>10007969</v>
      </c>
      <c r="C13" s="59" t="s">
        <v>9</v>
      </c>
      <c r="D13" s="95">
        <f>TD!F10</f>
        <v>0</v>
      </c>
      <c r="E13" s="96">
        <f t="shared" si="0"/>
        <v>0</v>
      </c>
      <c r="F13" s="56">
        <f>TD!G10</f>
        <v>0</v>
      </c>
      <c r="G13" s="56">
        <f>TD!H10</f>
        <v>0</v>
      </c>
      <c r="H13" s="56">
        <f>TD!I10</f>
        <v>0</v>
      </c>
      <c r="I13" s="56">
        <f>TD!J10</f>
        <v>0</v>
      </c>
      <c r="J13" s="56">
        <f>TD!K10</f>
        <v>0</v>
      </c>
      <c r="K13" s="97">
        <v>0</v>
      </c>
      <c r="L13" s="98">
        <v>0</v>
      </c>
      <c r="M13" s="99">
        <f t="shared" si="19"/>
        <v>0</v>
      </c>
      <c r="N13" s="100">
        <f t="shared" si="28"/>
        <v>0</v>
      </c>
      <c r="O13" s="100">
        <f t="shared" si="1"/>
        <v>0</v>
      </c>
      <c r="P13" s="100">
        <f t="shared" si="2"/>
        <v>0</v>
      </c>
      <c r="Q13" s="101">
        <v>1700</v>
      </c>
      <c r="R13" s="101">
        <f t="shared" si="20"/>
        <v>0</v>
      </c>
      <c r="S13" s="101">
        <f t="shared" si="3"/>
        <v>0</v>
      </c>
      <c r="T13" s="102">
        <f t="shared" si="4"/>
        <v>0</v>
      </c>
      <c r="U13" s="101">
        <f t="shared" si="29"/>
        <v>0</v>
      </c>
      <c r="V13" s="102">
        <f t="shared" si="6"/>
        <v>0</v>
      </c>
      <c r="X13" s="103" cm="1">
        <f t="array" ref="X13">SUM([3]Hoja5!$H$6:$H$12*([3]Hoja5!$E$6:$E$12=X$5)*($C13=[3]Hoja5!$J$6:$J$12))</f>
        <v>26.4</v>
      </c>
      <c r="Y13" s="103" cm="1">
        <f t="array" ref="Y13">SUM([3]Hoja5!$I$6:$I$12*([3]Hoja5!$E$6:$E$12=X$5)*($C13=[3]Hoja5!$J$6:$J$12))</f>
        <v>42240</v>
      </c>
      <c r="Z13" s="113">
        <f t="shared" si="21"/>
        <v>1600</v>
      </c>
      <c r="AA13" s="103" cm="1">
        <f t="array" ref="AA13">SUM([3]Hoja5!$H$6:$H$12*([3]Hoja5!$E$6:$E$12=AA$5)*($C13=[3]Hoja5!$J$6:$J$12))</f>
        <v>0</v>
      </c>
      <c r="AB13" s="103" cm="1">
        <f t="array" ref="AB13">SUM([3]Hoja5!$I$6:$I$12*([3]Hoja5!$E$6:$E$12=AA$5)*($C13=[3]Hoja5!$J$6:$J$12))</f>
        <v>0</v>
      </c>
      <c r="AC13" s="113">
        <f t="shared" si="22"/>
        <v>0</v>
      </c>
      <c r="AD13" s="103" cm="1">
        <f t="array" ref="AD13">SUM([3]Hoja5!$H$6:$H$12*([3]Hoja5!$E$6:$E$12=AD$5)*($C13=[3]Hoja5!$J$6:$J$12))</f>
        <v>0</v>
      </c>
      <c r="AE13" s="103" cm="1">
        <f t="array" ref="AE13">SUM([3]Hoja5!$I$6:$I$12*([3]Hoja5!$E$6:$E$12=AD$5)*($C13=[3]Hoja5!$J$6:$J$12))</f>
        <v>0</v>
      </c>
      <c r="AF13" s="113">
        <f t="shared" si="23"/>
        <v>0</v>
      </c>
      <c r="AG13" s="103" cm="1">
        <f t="array" ref="AG13">SUM([3]Hoja5!$H$6:$H$12*([3]Hoja5!$E$6:$E$12=AG$5)*($C13=[3]Hoja5!$J$6:$J$12))</f>
        <v>20.38</v>
      </c>
      <c r="AH13" s="103" cm="1">
        <f t="array" ref="AH13">SUM([3]Hoja5!$I$6:$I$12*([3]Hoja5!$E$6:$E$12=AG$5)*($C13=[3]Hoja5!$J$6:$J$12))</f>
        <v>36684</v>
      </c>
      <c r="AI13" s="113">
        <f t="shared" si="24"/>
        <v>1800</v>
      </c>
      <c r="AJ13" s="105">
        <f t="shared" si="7"/>
        <v>46.78</v>
      </c>
      <c r="AK13" s="106">
        <f t="shared" si="7"/>
        <v>78924</v>
      </c>
      <c r="AL13" s="107">
        <f t="shared" si="25"/>
        <v>1687.1312526720822</v>
      </c>
      <c r="AM13" s="106">
        <f>-AJ13*'Stock Libre'!H10*1000</f>
        <v>-57681.456838130034</v>
      </c>
      <c r="AN13" s="107">
        <f t="shared" si="9"/>
        <v>-9722.7551999999996</v>
      </c>
      <c r="AO13" s="106">
        <f t="shared" si="10"/>
        <v>-12928.832371975242</v>
      </c>
      <c r="AP13" s="107">
        <f t="shared" si="11"/>
        <v>-25415.893851997753</v>
      </c>
      <c r="AQ13" s="106">
        <f t="shared" si="12"/>
        <v>-20317.240760410808</v>
      </c>
      <c r="AR13" s="107">
        <f t="shared" si="13"/>
        <v>2207.4831358772294</v>
      </c>
      <c r="AS13" s="106">
        <f t="shared" si="30"/>
        <v>-24617.455126225788</v>
      </c>
      <c r="AT13" s="108">
        <f t="shared" si="27"/>
        <v>-0.31191342463921984</v>
      </c>
      <c r="AU13" s="109">
        <f t="shared" si="14"/>
        <v>21115.679486182762</v>
      </c>
      <c r="AV13" s="110">
        <f t="shared" si="15"/>
        <v>0.26754446665377785</v>
      </c>
      <c r="AX13" s="111">
        <f t="shared" si="16"/>
        <v>1687.1312526720822</v>
      </c>
      <c r="AY13" s="112">
        <f t="shared" si="17"/>
        <v>-1233.0367002592996</v>
      </c>
      <c r="AZ13" s="112">
        <f t="shared" si="17"/>
        <v>-207.83999999999997</v>
      </c>
      <c r="BA13" s="112">
        <f t="shared" si="17"/>
        <v>-276.37521102982561</v>
      </c>
      <c r="BB13" s="112">
        <f t="shared" si="17"/>
        <v>-543.30683736634785</v>
      </c>
      <c r="BC13" s="112">
        <f t="shared" si="17"/>
        <v>-434.31468064153074</v>
      </c>
      <c r="BD13" s="112">
        <f t="shared" si="17"/>
        <v>47.188609146584639</v>
      </c>
      <c r="BE13" s="112">
        <f t="shared" si="17"/>
        <v>-526.23888683680605</v>
      </c>
      <c r="BF13" s="112">
        <f t="shared" si="18"/>
        <v>451.38263117107226</v>
      </c>
    </row>
    <row r="14" spans="2:59" x14ac:dyDescent="0.3">
      <c r="B14" s="55">
        <v>10009239</v>
      </c>
      <c r="C14" s="59" t="s">
        <v>91</v>
      </c>
      <c r="D14" s="95">
        <f>TD!F11</f>
        <v>16.48</v>
      </c>
      <c r="E14" s="96">
        <f t="shared" si="0"/>
        <v>3085.0611236899645</v>
      </c>
      <c r="F14" s="56">
        <f>TD!G11</f>
        <v>50841.807318410618</v>
      </c>
      <c r="G14" s="56">
        <f>TD!H11</f>
        <v>3425.2031999999999</v>
      </c>
      <c r="H14" s="56">
        <f>TD!I11</f>
        <v>846.71992467683651</v>
      </c>
      <c r="I14" s="56">
        <f>TD!J11</f>
        <v>1664.5079082783564</v>
      </c>
      <c r="J14" s="56">
        <f>TD!K11</f>
        <v>1330.5929005302705</v>
      </c>
      <c r="K14" s="97">
        <v>0</v>
      </c>
      <c r="L14" s="98">
        <v>0</v>
      </c>
      <c r="M14" s="99">
        <f t="shared" si="19"/>
        <v>56778.238351365813</v>
      </c>
      <c r="N14" s="100">
        <f t="shared" si="28"/>
        <v>3445.2814533595761</v>
      </c>
      <c r="O14" s="100">
        <f t="shared" si="1"/>
        <v>53783.13754255719</v>
      </c>
      <c r="P14" s="100">
        <f t="shared" si="2"/>
        <v>3263.539899427014</v>
      </c>
      <c r="Q14" s="101">
        <v>3500</v>
      </c>
      <c r="R14" s="101">
        <f t="shared" si="20"/>
        <v>57680</v>
      </c>
      <c r="S14" s="101">
        <f t="shared" si="3"/>
        <v>901.76164863418671</v>
      </c>
      <c r="T14" s="102">
        <f t="shared" si="4"/>
        <v>1.5633870468692558E-2</v>
      </c>
      <c r="U14" s="101">
        <f t="shared" si="29"/>
        <v>3896.8624574428104</v>
      </c>
      <c r="V14" s="102">
        <f t="shared" si="6"/>
        <v>6.7560028735138875E-2</v>
      </c>
      <c r="X14" s="103" cm="1">
        <f t="array" ref="X14">SUM([3]Hoja5!$H$6:$H$12*([3]Hoja5!$E$6:$E$12=X$5)*($C14=[3]Hoja5!$J$6:$J$12))</f>
        <v>0</v>
      </c>
      <c r="Y14" s="103" cm="1">
        <f t="array" ref="Y14">SUM([3]Hoja5!$I$6:$I$12*([3]Hoja5!$E$6:$E$12=X$5)*($C14=[3]Hoja5!$J$6:$J$12))</f>
        <v>0</v>
      </c>
      <c r="Z14" s="113">
        <f t="shared" si="21"/>
        <v>0</v>
      </c>
      <c r="AA14" s="103" cm="1">
        <f t="array" ref="AA14">SUM([3]Hoja5!$H$6:$H$12*([3]Hoja5!$E$6:$E$12=AA$5)*($C14=[3]Hoja5!$J$6:$J$12))</f>
        <v>0</v>
      </c>
      <c r="AB14" s="103" cm="1">
        <f t="array" ref="AB14">SUM([3]Hoja5!$I$6:$I$12*([3]Hoja5!$E$6:$E$12=AA$5)*($C14=[3]Hoja5!$J$6:$J$12))</f>
        <v>0</v>
      </c>
      <c r="AC14" s="113">
        <f t="shared" si="22"/>
        <v>0</v>
      </c>
      <c r="AD14" s="103" cm="1">
        <f t="array" ref="AD14">SUM([3]Hoja5!$H$6:$H$12*([3]Hoja5!$E$6:$E$12=AD$5)*($C14=[3]Hoja5!$J$6:$J$12))</f>
        <v>0</v>
      </c>
      <c r="AE14" s="103" cm="1">
        <f t="array" ref="AE14">SUM([3]Hoja5!$I$6:$I$12*([3]Hoja5!$E$6:$E$12=AD$5)*($C14=[3]Hoja5!$J$6:$J$12))</f>
        <v>0</v>
      </c>
      <c r="AF14" s="113">
        <f t="shared" si="23"/>
        <v>0</v>
      </c>
      <c r="AG14" s="103" cm="1">
        <f t="array" ref="AG14">SUM([3]Hoja5!$H$6:$H$12*([3]Hoja5!$E$6:$E$12=AG$5)*($C14=[3]Hoja5!$J$6:$J$12))</f>
        <v>0</v>
      </c>
      <c r="AH14" s="103" cm="1">
        <f t="array" ref="AH14">SUM([3]Hoja5!$I$6:$I$12*([3]Hoja5!$E$6:$E$12=AG$5)*($C14=[3]Hoja5!$J$6:$J$12))</f>
        <v>0</v>
      </c>
      <c r="AI14" s="113">
        <f t="shared" si="24"/>
        <v>0</v>
      </c>
      <c r="AJ14" s="105">
        <f t="shared" si="7"/>
        <v>0</v>
      </c>
      <c r="AK14" s="106">
        <f t="shared" si="7"/>
        <v>0</v>
      </c>
      <c r="AL14" s="107">
        <f t="shared" si="25"/>
        <v>0</v>
      </c>
      <c r="AM14" s="106">
        <f>-IFERROR(F14/D14*AJ14,0)</f>
        <v>0</v>
      </c>
      <c r="AN14" s="107">
        <f t="shared" si="9"/>
        <v>0</v>
      </c>
      <c r="AO14" s="106">
        <f t="shared" si="10"/>
        <v>0</v>
      </c>
      <c r="AP14" s="107">
        <f t="shared" si="11"/>
        <v>0</v>
      </c>
      <c r="AQ14" s="106">
        <f t="shared" si="12"/>
        <v>0</v>
      </c>
      <c r="AR14" s="107">
        <f t="shared" si="13"/>
        <v>0</v>
      </c>
      <c r="AS14" s="106">
        <f t="shared" si="30"/>
        <v>0</v>
      </c>
      <c r="AT14" s="108">
        <f t="shared" si="27"/>
        <v>0</v>
      </c>
      <c r="AU14" s="109">
        <f t="shared" si="14"/>
        <v>0</v>
      </c>
      <c r="AV14" s="110">
        <f t="shared" si="15"/>
        <v>0</v>
      </c>
      <c r="AX14" s="111">
        <f t="shared" si="16"/>
        <v>0</v>
      </c>
      <c r="AY14" s="112">
        <f t="shared" si="17"/>
        <v>0</v>
      </c>
      <c r="AZ14" s="112">
        <f t="shared" si="17"/>
        <v>0</v>
      </c>
      <c r="BA14" s="112">
        <f t="shared" si="17"/>
        <v>0</v>
      </c>
      <c r="BB14" s="112">
        <f t="shared" si="17"/>
        <v>0</v>
      </c>
      <c r="BC14" s="112">
        <f t="shared" si="17"/>
        <v>0</v>
      </c>
      <c r="BD14" s="112">
        <f t="shared" si="17"/>
        <v>0</v>
      </c>
      <c r="BE14" s="112">
        <f t="shared" si="17"/>
        <v>0</v>
      </c>
      <c r="BF14" s="112">
        <f t="shared" si="18"/>
        <v>0</v>
      </c>
    </row>
    <row r="15" spans="2:59" x14ac:dyDescent="0.3">
      <c r="B15" s="55">
        <v>10009334</v>
      </c>
      <c r="C15" s="59" t="s">
        <v>92</v>
      </c>
      <c r="D15" s="95">
        <f>TD!F12</f>
        <v>137.82999999999998</v>
      </c>
      <c r="E15" s="96">
        <f t="shared" si="0"/>
        <v>2649.6026057914587</v>
      </c>
      <c r="F15" s="56">
        <f>TD!G12</f>
        <v>365194.72715623671</v>
      </c>
      <c r="G15" s="56">
        <f>TD!H12</f>
        <v>28646.587199999998</v>
      </c>
      <c r="H15" s="56">
        <f>TD!I12</f>
        <v>7081.5174282893431</v>
      </c>
      <c r="I15" s="56">
        <f>TD!J12</f>
        <v>13921.06341007317</v>
      </c>
      <c r="J15" s="56">
        <f>TD!K12</f>
        <v>11128.374968451892</v>
      </c>
      <c r="K15" s="97">
        <v>0</v>
      </c>
      <c r="L15" s="98">
        <v>0</v>
      </c>
      <c r="M15" s="99">
        <f t="shared" si="19"/>
        <v>414843.89519459923</v>
      </c>
      <c r="N15" s="100">
        <f>IFERROR(M15/D15,0)</f>
        <v>3009.8229354610698</v>
      </c>
      <c r="O15" s="100">
        <f t="shared" si="1"/>
        <v>389794.45681607415</v>
      </c>
      <c r="P15" s="100">
        <f t="shared" si="2"/>
        <v>2828.0813815285073</v>
      </c>
      <c r="Q15" s="101">
        <v>3500</v>
      </c>
      <c r="R15" s="101">
        <f>Q15*D15</f>
        <v>482404.99999999994</v>
      </c>
      <c r="S15" s="101">
        <f t="shared" si="3"/>
        <v>67561.104805400711</v>
      </c>
      <c r="T15" s="102">
        <f t="shared" si="4"/>
        <v>0.14005058986826571</v>
      </c>
      <c r="U15" s="101">
        <f t="shared" si="29"/>
        <v>92610.543183925794</v>
      </c>
      <c r="V15" s="102">
        <f t="shared" si="6"/>
        <v>0.19197674813471213</v>
      </c>
      <c r="X15" s="103" cm="1">
        <f t="array" ref="X15">SUM([3]Hoja5!$H$6:$H$12*([3]Hoja5!$E$6:$E$12=X$5)*($C15=[3]Hoja5!$J$6:$J$12))</f>
        <v>0</v>
      </c>
      <c r="Y15" s="103" cm="1">
        <f t="array" ref="Y15">SUM([3]Hoja5!$I$6:$I$12*([3]Hoja5!$E$6:$E$12=X$5)*($C15=[3]Hoja5!$J$6:$J$12))</f>
        <v>0</v>
      </c>
      <c r="Z15" s="113">
        <f t="shared" si="21"/>
        <v>0</v>
      </c>
      <c r="AA15" s="103" cm="1">
        <f t="array" ref="AA15">SUM([3]Hoja5!$H$6:$H$12*([3]Hoja5!$E$6:$E$12=AA$5)*($C15=[3]Hoja5!$J$6:$J$12))</f>
        <v>0</v>
      </c>
      <c r="AB15" s="103" cm="1">
        <f t="array" ref="AB15">SUM([3]Hoja5!$I$6:$I$12*([3]Hoja5!$E$6:$E$12=AA$5)*($C15=[3]Hoja5!$J$6:$J$12))</f>
        <v>0</v>
      </c>
      <c r="AC15" s="113">
        <f t="shared" si="22"/>
        <v>0</v>
      </c>
      <c r="AD15" s="103" cm="1">
        <f t="array" ref="AD15">SUM([3]Hoja5!$H$6:$H$12*([3]Hoja5!$E$6:$E$12=AD$5)*($C15=[3]Hoja5!$J$6:$J$12))</f>
        <v>0</v>
      </c>
      <c r="AE15" s="103" cm="1">
        <f t="array" ref="AE15">SUM([3]Hoja5!$I$6:$I$12*([3]Hoja5!$E$6:$E$12=AD$5)*($C15=[3]Hoja5!$J$6:$J$12))</f>
        <v>0</v>
      </c>
      <c r="AF15" s="113">
        <f t="shared" si="23"/>
        <v>0</v>
      </c>
      <c r="AG15" s="103" cm="1">
        <f t="array" ref="AG15">SUM([3]Hoja5!$H$6:$H$12*([3]Hoja5!$E$6:$E$12=AG$5)*($C15=[3]Hoja5!$J$6:$J$12))</f>
        <v>0</v>
      </c>
      <c r="AH15" s="103" cm="1">
        <f t="array" ref="AH15">SUM([3]Hoja5!$I$6:$I$12*([3]Hoja5!$E$6:$E$12=AG$5)*($C15=[3]Hoja5!$J$6:$J$12))</f>
        <v>0</v>
      </c>
      <c r="AI15" s="113">
        <f t="shared" si="24"/>
        <v>0</v>
      </c>
      <c r="AJ15" s="105">
        <f t="shared" si="7"/>
        <v>0</v>
      </c>
      <c r="AK15" s="106">
        <f t="shared" si="7"/>
        <v>0</v>
      </c>
      <c r="AL15" s="107">
        <f t="shared" si="25"/>
        <v>0</v>
      </c>
      <c r="AM15" s="106">
        <f>-IFERROR(F15/D15*AJ15,0)</f>
        <v>0</v>
      </c>
      <c r="AN15" s="107">
        <f t="shared" si="9"/>
        <v>0</v>
      </c>
      <c r="AO15" s="106">
        <f t="shared" si="10"/>
        <v>0</v>
      </c>
      <c r="AP15" s="107">
        <f t="shared" si="11"/>
        <v>0</v>
      </c>
      <c r="AQ15" s="106">
        <f t="shared" si="12"/>
        <v>0</v>
      </c>
      <c r="AR15" s="107">
        <f t="shared" si="13"/>
        <v>0</v>
      </c>
      <c r="AS15" s="106">
        <f t="shared" si="30"/>
        <v>0</v>
      </c>
      <c r="AT15" s="108">
        <f t="shared" si="27"/>
        <v>0</v>
      </c>
      <c r="AU15" s="109">
        <f t="shared" si="14"/>
        <v>0</v>
      </c>
      <c r="AV15" s="110">
        <f t="shared" si="15"/>
        <v>0</v>
      </c>
      <c r="AX15" s="111">
        <f t="shared" si="16"/>
        <v>0</v>
      </c>
      <c r="AY15" s="112">
        <f t="shared" si="17"/>
        <v>0</v>
      </c>
      <c r="AZ15" s="112">
        <f t="shared" si="17"/>
        <v>0</v>
      </c>
      <c r="BA15" s="112">
        <f t="shared" si="17"/>
        <v>0</v>
      </c>
      <c r="BB15" s="112">
        <f t="shared" si="17"/>
        <v>0</v>
      </c>
      <c r="BC15" s="112">
        <f t="shared" si="17"/>
        <v>0</v>
      </c>
      <c r="BD15" s="112">
        <f t="shared" si="17"/>
        <v>0</v>
      </c>
      <c r="BE15" s="112">
        <f t="shared" si="17"/>
        <v>0</v>
      </c>
      <c r="BF15" s="112">
        <f t="shared" si="18"/>
        <v>0</v>
      </c>
    </row>
    <row r="16" spans="2:59" x14ac:dyDescent="0.3">
      <c r="B16" s="55">
        <v>10009386</v>
      </c>
      <c r="C16" s="59" t="s">
        <v>93</v>
      </c>
      <c r="D16" s="95">
        <f>TD!F13</f>
        <v>21.28</v>
      </c>
      <c r="E16" s="96">
        <f t="shared" si="0"/>
        <v>1597.990253542572</v>
      </c>
      <c r="F16" s="56">
        <f>TD!G13</f>
        <v>34005.232595385933</v>
      </c>
      <c r="G16" s="56">
        <f>TD!H13</f>
        <v>4422.8352000000004</v>
      </c>
      <c r="H16" s="56">
        <f>TD!I13</f>
        <v>1093.3373784662065</v>
      </c>
      <c r="I16" s="56">
        <f>TD!J13</f>
        <v>2149.3160369031207</v>
      </c>
      <c r="J16" s="56">
        <f>TD!K13</f>
        <v>1718.1442307818056</v>
      </c>
      <c r="K16" s="97">
        <v>0</v>
      </c>
      <c r="L16" s="98">
        <v>0</v>
      </c>
      <c r="M16" s="99">
        <f t="shared" si="19"/>
        <v>41670.721210755255</v>
      </c>
      <c r="N16" s="100">
        <f>IFERROR(M16/D16,0)</f>
        <v>1958.2105832121829</v>
      </c>
      <c r="O16" s="100">
        <f t="shared" si="1"/>
        <v>37803.260943070331</v>
      </c>
      <c r="P16" s="100">
        <f t="shared" si="2"/>
        <v>1776.4690292796206</v>
      </c>
      <c r="Q16" s="101">
        <v>2000</v>
      </c>
      <c r="R16" s="101">
        <f>Q16*D16</f>
        <v>42560</v>
      </c>
      <c r="S16" s="101">
        <f t="shared" si="3"/>
        <v>889.27878924474498</v>
      </c>
      <c r="T16" s="102">
        <f t="shared" si="4"/>
        <v>2.089470839390848E-2</v>
      </c>
      <c r="U16" s="101">
        <f t="shared" si="29"/>
        <v>4756.7390569296695</v>
      </c>
      <c r="V16" s="102">
        <f t="shared" si="6"/>
        <v>0.1117654853601896</v>
      </c>
      <c r="X16" s="103" cm="1">
        <f t="array" ref="X16">SUM([3]Hoja5!$H$6:$H$12*([3]Hoja5!$E$6:$E$12=X$5)*($C16=[3]Hoja5!$J$6:$J$12))</f>
        <v>0</v>
      </c>
      <c r="Y16" s="103" cm="1">
        <f t="array" ref="Y16">SUM([3]Hoja5!$I$6:$I$12*([3]Hoja5!$E$6:$E$12=X$5)*($C16=[3]Hoja5!$J$6:$J$12))</f>
        <v>0</v>
      </c>
      <c r="Z16" s="113">
        <f t="shared" si="21"/>
        <v>0</v>
      </c>
      <c r="AA16" s="103" cm="1">
        <f t="array" ref="AA16">SUM([3]Hoja5!$H$6:$H$12*([3]Hoja5!$E$6:$E$12=AA$5)*($C16=[3]Hoja5!$J$6:$J$12))</f>
        <v>0</v>
      </c>
      <c r="AB16" s="103" cm="1">
        <f t="array" ref="AB16">SUM([3]Hoja5!$I$6:$I$12*([3]Hoja5!$E$6:$E$12=AA$5)*($C16=[3]Hoja5!$J$6:$J$12))</f>
        <v>0</v>
      </c>
      <c r="AC16" s="113">
        <f t="shared" si="22"/>
        <v>0</v>
      </c>
      <c r="AD16" s="103" cm="1">
        <f t="array" ref="AD16">SUM([3]Hoja5!$H$6:$H$12*([3]Hoja5!$E$6:$E$12=AD$5)*($C16=[3]Hoja5!$J$6:$J$12))</f>
        <v>0</v>
      </c>
      <c r="AE16" s="103" cm="1">
        <f t="array" ref="AE16">SUM([3]Hoja5!$I$6:$I$12*([3]Hoja5!$E$6:$E$12=AD$5)*($C16=[3]Hoja5!$J$6:$J$12))</f>
        <v>0</v>
      </c>
      <c r="AF16" s="113">
        <f t="shared" si="23"/>
        <v>0</v>
      </c>
      <c r="AG16" s="103" cm="1">
        <f t="array" ref="AG16">SUM([3]Hoja5!$H$6:$H$12*([3]Hoja5!$E$6:$E$12=AG$5)*($C16=[3]Hoja5!$J$6:$J$12))</f>
        <v>0</v>
      </c>
      <c r="AH16" s="103" cm="1">
        <f t="array" ref="AH16">SUM([3]Hoja5!$I$6:$I$12*([3]Hoja5!$E$6:$E$12=AG$5)*($C16=[3]Hoja5!$J$6:$J$12))</f>
        <v>0</v>
      </c>
      <c r="AI16" s="113">
        <f t="shared" si="24"/>
        <v>0</v>
      </c>
      <c r="AJ16" s="105">
        <f t="shared" si="7"/>
        <v>0</v>
      </c>
      <c r="AK16" s="106">
        <f t="shared" si="7"/>
        <v>0</v>
      </c>
      <c r="AL16" s="107">
        <f t="shared" si="25"/>
        <v>0</v>
      </c>
      <c r="AM16" s="106">
        <f>-IFERROR(F16/D16*AJ16,0)</f>
        <v>0</v>
      </c>
      <c r="AN16" s="107">
        <f t="shared" si="9"/>
        <v>0</v>
      </c>
      <c r="AO16" s="106">
        <f t="shared" si="10"/>
        <v>0</v>
      </c>
      <c r="AP16" s="107">
        <f t="shared" si="11"/>
        <v>0</v>
      </c>
      <c r="AQ16" s="106">
        <f t="shared" si="12"/>
        <v>0</v>
      </c>
      <c r="AR16" s="107">
        <f t="shared" si="13"/>
        <v>0</v>
      </c>
      <c r="AS16" s="106">
        <f t="shared" si="30"/>
        <v>0</v>
      </c>
      <c r="AT16" s="108">
        <f t="shared" si="27"/>
        <v>0</v>
      </c>
      <c r="AU16" s="109">
        <f t="shared" si="14"/>
        <v>0</v>
      </c>
      <c r="AV16" s="110">
        <f t="shared" si="15"/>
        <v>0</v>
      </c>
      <c r="AX16" s="111">
        <f t="shared" si="16"/>
        <v>0</v>
      </c>
      <c r="AY16" s="112">
        <f t="shared" si="17"/>
        <v>0</v>
      </c>
      <c r="AZ16" s="112">
        <f t="shared" si="17"/>
        <v>0</v>
      </c>
      <c r="BA16" s="112">
        <f t="shared" si="17"/>
        <v>0</v>
      </c>
      <c r="BB16" s="112">
        <f t="shared" si="17"/>
        <v>0</v>
      </c>
      <c r="BC16" s="112">
        <f t="shared" si="17"/>
        <v>0</v>
      </c>
      <c r="BD16" s="112">
        <f t="shared" si="17"/>
        <v>0</v>
      </c>
      <c r="BE16" s="112">
        <f t="shared" si="17"/>
        <v>0</v>
      </c>
      <c r="BF16" s="112">
        <f t="shared" si="18"/>
        <v>0</v>
      </c>
    </row>
    <row r="17" spans="2:58" x14ac:dyDescent="0.3">
      <c r="B17" s="55">
        <v>10009386</v>
      </c>
      <c r="C17" s="59" t="s">
        <v>94</v>
      </c>
      <c r="D17" s="95">
        <f>TD!F14</f>
        <v>30.94</v>
      </c>
      <c r="E17" s="96">
        <f t="shared" si="0"/>
        <v>1279.9702510293225</v>
      </c>
      <c r="F17" s="56">
        <f>TD!G14</f>
        <v>39602.279566847239</v>
      </c>
      <c r="G17" s="56">
        <f>TD!H14</f>
        <v>6430.5696000000007</v>
      </c>
      <c r="H17" s="56">
        <f>TD!I14</f>
        <v>1589.6550042173133</v>
      </c>
      <c r="I17" s="56">
        <f>TD!J14</f>
        <v>3124.9923957604583</v>
      </c>
      <c r="J17" s="56">
        <f>TD!K14</f>
        <v>2498.0912829130202</v>
      </c>
      <c r="K17" s="97">
        <v>0</v>
      </c>
      <c r="L17" s="98">
        <v>0</v>
      </c>
      <c r="M17" s="99">
        <f t="shared" si="19"/>
        <v>50747.496566825008</v>
      </c>
      <c r="N17" s="100">
        <f t="shared" ref="N17:N19" si="31">IFERROR(M17/D17,0)</f>
        <v>1640.1905806989337</v>
      </c>
      <c r="O17" s="100">
        <f t="shared" si="1"/>
        <v>45124.412888151535</v>
      </c>
      <c r="P17" s="100">
        <f t="shared" si="2"/>
        <v>1458.4490267663714</v>
      </c>
      <c r="Q17" s="101">
        <v>1700</v>
      </c>
      <c r="R17" s="101">
        <f>Q17*D17</f>
        <v>52598</v>
      </c>
      <c r="S17" s="101">
        <f t="shared" si="3"/>
        <v>1850.5034331749921</v>
      </c>
      <c r="T17" s="102">
        <f t="shared" si="4"/>
        <v>3.5182011353568424E-2</v>
      </c>
      <c r="U17" s="101">
        <f t="shared" si="29"/>
        <v>7473.5871118484647</v>
      </c>
      <c r="V17" s="102">
        <f t="shared" si="6"/>
        <v>0.14208880778448732</v>
      </c>
      <c r="X17" s="103" cm="1">
        <f t="array" ref="X17">SUM([3]Hoja5!$H$6:$H$12*([3]Hoja5!$E$6:$E$12=X$5)*($C17=[3]Hoja5!$J$6:$J$12))</f>
        <v>25.875</v>
      </c>
      <c r="Y17" s="103" cm="1">
        <f t="array" ref="Y17">SUM([3]Hoja5!$I$6:$I$12*([3]Hoja5!$E$6:$E$12=X$5)*($C17=[3]Hoja5!$J$6:$J$12))</f>
        <v>41400</v>
      </c>
      <c r="Z17" s="113">
        <f t="shared" si="21"/>
        <v>1600</v>
      </c>
      <c r="AA17" s="103" cm="1">
        <f t="array" ref="AA17">SUM([3]Hoja5!$H$6:$H$12*([3]Hoja5!$E$6:$E$12=AA$5)*($C17=[3]Hoja5!$J$6:$J$12))</f>
        <v>0</v>
      </c>
      <c r="AB17" s="103" cm="1">
        <f t="array" ref="AB17">SUM([3]Hoja5!$I$6:$I$12*([3]Hoja5!$E$6:$E$12=AA$5)*($C17=[3]Hoja5!$J$6:$J$12))</f>
        <v>0</v>
      </c>
      <c r="AC17" s="113">
        <f t="shared" si="22"/>
        <v>0</v>
      </c>
      <c r="AD17" s="103" cm="1">
        <f t="array" ref="AD17">SUM([3]Hoja5!$H$6:$H$12*([3]Hoja5!$E$6:$E$12=AD$5)*($C17=[3]Hoja5!$J$6:$J$12))</f>
        <v>25.664999999999999</v>
      </c>
      <c r="AE17" s="103" cm="1">
        <f t="array" ref="AE17">SUM([3]Hoja5!$I$6:$I$12*([3]Hoja5!$E$6:$E$12=AD$5)*($C17=[3]Hoja5!$J$6:$J$12))</f>
        <v>41064</v>
      </c>
      <c r="AF17" s="113">
        <f t="shared" si="23"/>
        <v>1600</v>
      </c>
      <c r="AG17" s="103" cm="1">
        <f t="array" ref="AG17">SUM([3]Hoja5!$H$6:$H$12*([3]Hoja5!$E$6:$E$12=AG$5)*($C17=[3]Hoja5!$J$6:$J$12))</f>
        <v>0</v>
      </c>
      <c r="AH17" s="103" cm="1">
        <f t="array" ref="AH17">SUM([3]Hoja5!$I$6:$I$12*([3]Hoja5!$E$6:$E$12=AG$5)*($C17=[3]Hoja5!$J$6:$J$12))</f>
        <v>0</v>
      </c>
      <c r="AI17" s="113">
        <f t="shared" si="24"/>
        <v>0</v>
      </c>
      <c r="AJ17" s="105">
        <f t="shared" si="7"/>
        <v>51.54</v>
      </c>
      <c r="AK17" s="106">
        <f t="shared" si="7"/>
        <v>82464</v>
      </c>
      <c r="AL17" s="107">
        <f t="shared" si="25"/>
        <v>1600</v>
      </c>
      <c r="AM17" s="106">
        <f>-IFERROR(F17/D17*AJ17,0)</f>
        <v>-65969.666738051281</v>
      </c>
      <c r="AN17" s="107">
        <f t="shared" si="9"/>
        <v>-10712.0736</v>
      </c>
      <c r="AO17" s="106">
        <f t="shared" si="10"/>
        <v>-14244.378376477212</v>
      </c>
      <c r="AP17" s="107">
        <f t="shared" si="11"/>
        <v>-28002.034397861567</v>
      </c>
      <c r="AQ17" s="106">
        <f t="shared" si="12"/>
        <v>-22384.578640264495</v>
      </c>
      <c r="AR17" s="107">
        <f>(AK17-AJ17*$AO$21)*0.03</f>
        <v>2297.3785725333996</v>
      </c>
      <c r="AS17" s="106">
        <f t="shared" si="30"/>
        <v>-34166.774539856662</v>
      </c>
      <c r="AT17" s="108">
        <f t="shared" si="27"/>
        <v>-0.41432351741192108</v>
      </c>
      <c r="AU17" s="109">
        <f t="shared" si="14"/>
        <v>16219.838498269402</v>
      </c>
      <c r="AV17" s="110">
        <f t="shared" si="15"/>
        <v>0.19668993134300303</v>
      </c>
      <c r="AX17" s="111">
        <f t="shared" si="16"/>
        <v>1600</v>
      </c>
      <c r="AY17" s="112">
        <f t="shared" si="17"/>
        <v>-1279.9702510293225</v>
      </c>
      <c r="AZ17" s="112">
        <f t="shared" si="17"/>
        <v>-207.84</v>
      </c>
      <c r="BA17" s="112">
        <f t="shared" si="17"/>
        <v>-276.37521102982561</v>
      </c>
      <c r="BB17" s="112">
        <f t="shared" si="17"/>
        <v>-543.30683736634785</v>
      </c>
      <c r="BC17" s="112">
        <f t="shared" si="17"/>
        <v>-434.31468064153074</v>
      </c>
      <c r="BD17" s="112">
        <f t="shared" si="17"/>
        <v>44.57467156642219</v>
      </c>
      <c r="BE17" s="112">
        <f t="shared" si="17"/>
        <v>-662.91762785907383</v>
      </c>
      <c r="BF17" s="112">
        <f t="shared" si="18"/>
        <v>314.70389014880487</v>
      </c>
    </row>
    <row r="18" spans="2:58" x14ac:dyDescent="0.3">
      <c r="B18" s="55"/>
      <c r="C18" s="59" t="s">
        <v>95</v>
      </c>
      <c r="D18" s="95">
        <f>TD!F15</f>
        <v>0</v>
      </c>
      <c r="E18" s="96">
        <f t="shared" si="0"/>
        <v>0</v>
      </c>
      <c r="F18" s="56">
        <f>TD!G15</f>
        <v>0</v>
      </c>
      <c r="G18" s="56">
        <f>TD!H15</f>
        <v>0</v>
      </c>
      <c r="H18" s="56">
        <f>TD!I15</f>
        <v>0</v>
      </c>
      <c r="I18" s="56">
        <f>TD!J15</f>
        <v>0</v>
      </c>
      <c r="J18" s="56">
        <f>TD!K15</f>
        <v>0</v>
      </c>
      <c r="K18" s="97">
        <v>0</v>
      </c>
      <c r="L18" s="98">
        <v>0</v>
      </c>
      <c r="M18" s="99">
        <f t="shared" si="19"/>
        <v>0</v>
      </c>
      <c r="N18" s="100">
        <f t="shared" si="31"/>
        <v>0</v>
      </c>
      <c r="O18" s="100">
        <f t="shared" si="1"/>
        <v>0</v>
      </c>
      <c r="P18" s="100">
        <f t="shared" si="2"/>
        <v>0</v>
      </c>
      <c r="Q18" s="101">
        <v>1800</v>
      </c>
      <c r="R18" s="114">
        <f>Q18*D18</f>
        <v>0</v>
      </c>
      <c r="S18" s="101">
        <f t="shared" si="3"/>
        <v>0</v>
      </c>
      <c r="T18" s="102">
        <f t="shared" si="4"/>
        <v>0</v>
      </c>
      <c r="U18" s="101">
        <f t="shared" si="29"/>
        <v>0</v>
      </c>
      <c r="V18" s="102">
        <f t="shared" si="6"/>
        <v>0</v>
      </c>
      <c r="X18" s="103" cm="1">
        <f t="array" ref="X18">SUM([3]Hoja5!$H$6:$H$12*([3]Hoja5!$E$6:$E$12=X$5)*($C18=[3]Hoja5!$J$6:$J$12))</f>
        <v>0</v>
      </c>
      <c r="Y18" s="103" cm="1">
        <f t="array" ref="Y18">SUM([3]Hoja5!$I$6:$I$12*([3]Hoja5!$E$6:$E$12=X$5)*($C18=[3]Hoja5!$J$6:$J$12))</f>
        <v>0</v>
      </c>
      <c r="Z18" s="113">
        <f t="shared" si="21"/>
        <v>0</v>
      </c>
      <c r="AA18" s="103" cm="1">
        <f t="array" ref="AA18">SUM([3]Hoja5!$H$6:$H$12*([3]Hoja5!$E$6:$E$12=AA$5)*($C18=[3]Hoja5!$J$6:$J$12))</f>
        <v>0</v>
      </c>
      <c r="AB18" s="103" cm="1">
        <f t="array" ref="AB18">SUM([3]Hoja5!$I$6:$I$12*([3]Hoja5!$E$6:$E$12=AA$5)*($C18=[3]Hoja5!$J$6:$J$12))</f>
        <v>0</v>
      </c>
      <c r="AC18" s="113">
        <f t="shared" si="22"/>
        <v>0</v>
      </c>
      <c r="AD18" s="103" cm="1">
        <f t="array" ref="AD18">SUM([3]Hoja5!$H$6:$H$12*([3]Hoja5!$E$6:$E$12=AD$5)*($C18=[3]Hoja5!$J$6:$J$12))</f>
        <v>0</v>
      </c>
      <c r="AE18" s="103" cm="1">
        <f t="array" ref="AE18">SUM([3]Hoja5!$I$6:$I$12*([3]Hoja5!$E$6:$E$12=AD$5)*($C18=[3]Hoja5!$J$6:$J$12))</f>
        <v>0</v>
      </c>
      <c r="AF18" s="113">
        <f t="shared" si="23"/>
        <v>0</v>
      </c>
      <c r="AG18" s="103" cm="1">
        <f t="array" ref="AG18">SUM([3]Hoja5!$H$6:$H$12*([3]Hoja5!$E$6:$E$12=AG$5)*($C18=[3]Hoja5!$J$6:$J$12))</f>
        <v>0</v>
      </c>
      <c r="AH18" s="103" cm="1">
        <f t="array" ref="AH18">SUM([3]Hoja5!$I$6:$I$12*([3]Hoja5!$E$6:$E$12=AG$5)*($C18=[3]Hoja5!$J$6:$J$12))</f>
        <v>0</v>
      </c>
      <c r="AI18" s="113">
        <f t="shared" si="24"/>
        <v>0</v>
      </c>
      <c r="AJ18" s="105">
        <f t="shared" si="7"/>
        <v>0</v>
      </c>
      <c r="AK18" s="106">
        <f t="shared" si="7"/>
        <v>0</v>
      </c>
      <c r="AL18" s="107">
        <f t="shared" si="25"/>
        <v>0</v>
      </c>
      <c r="AM18" s="106">
        <f>-IFERROR(F18/D18*AJ18,0)</f>
        <v>0</v>
      </c>
      <c r="AN18" s="107">
        <f t="shared" si="9"/>
        <v>0</v>
      </c>
      <c r="AO18" s="106">
        <f t="shared" si="10"/>
        <v>0</v>
      </c>
      <c r="AP18" s="107">
        <f t="shared" si="11"/>
        <v>0</v>
      </c>
      <c r="AQ18" s="106">
        <f t="shared" si="12"/>
        <v>0</v>
      </c>
      <c r="AR18" s="107">
        <f t="shared" ref="AR18:AR30" si="32">(AK18-AJ18*$AO$21)*0.03</f>
        <v>0</v>
      </c>
      <c r="AS18" s="106">
        <f t="shared" si="30"/>
        <v>0</v>
      </c>
      <c r="AT18" s="108">
        <f t="shared" si="27"/>
        <v>0</v>
      </c>
      <c r="AU18" s="109">
        <f t="shared" si="14"/>
        <v>0</v>
      </c>
      <c r="AV18" s="110">
        <f t="shared" si="15"/>
        <v>0</v>
      </c>
      <c r="AX18" s="111">
        <f t="shared" si="16"/>
        <v>0</v>
      </c>
      <c r="AY18" s="112">
        <f t="shared" si="17"/>
        <v>0</v>
      </c>
      <c r="AZ18" s="112">
        <f t="shared" si="17"/>
        <v>0</v>
      </c>
      <c r="BA18" s="112">
        <f t="shared" si="17"/>
        <v>0</v>
      </c>
      <c r="BB18" s="112">
        <f t="shared" si="17"/>
        <v>0</v>
      </c>
      <c r="BC18" s="112">
        <f t="shared" si="17"/>
        <v>0</v>
      </c>
      <c r="BD18" s="112">
        <f t="shared" si="17"/>
        <v>0</v>
      </c>
      <c r="BE18" s="112">
        <f t="shared" si="17"/>
        <v>0</v>
      </c>
      <c r="BF18" s="112">
        <f t="shared" si="18"/>
        <v>0</v>
      </c>
    </row>
    <row r="19" spans="2:58" ht="15" thickBot="1" x14ac:dyDescent="0.35">
      <c r="B19" s="55"/>
      <c r="C19" s="59" t="s">
        <v>96</v>
      </c>
      <c r="D19" s="95">
        <f>TD!F16</f>
        <v>331.56</v>
      </c>
      <c r="E19" s="96">
        <f t="shared" si="0"/>
        <v>1731.9701269990089</v>
      </c>
      <c r="F19" s="56">
        <f>TD!G16</f>
        <v>574252.01530779141</v>
      </c>
      <c r="G19" s="56">
        <f>TD!H16</f>
        <v>68911.430399999997</v>
      </c>
      <c r="H19" s="56">
        <f>TD!I16</f>
        <v>17035.100620500722</v>
      </c>
      <c r="I19" s="56">
        <f>TD!J16</f>
        <v>33488.121484755575</v>
      </c>
      <c r="J19" s="56">
        <f>TD!K16</f>
        <v>26770.108137124786</v>
      </c>
      <c r="K19" s="97">
        <v>0</v>
      </c>
      <c r="L19" s="98">
        <v>0</v>
      </c>
      <c r="M19" s="99">
        <f t="shared" si="19"/>
        <v>693686.66781304765</v>
      </c>
      <c r="N19" s="100">
        <f t="shared" si="31"/>
        <v>2092.1904566686198</v>
      </c>
      <c r="O19" s="100">
        <f t="shared" si="1"/>
        <v>633428.43819116731</v>
      </c>
      <c r="P19" s="100">
        <f t="shared" si="2"/>
        <v>1910.4489027360578</v>
      </c>
      <c r="Q19" s="101">
        <v>1950</v>
      </c>
      <c r="R19" s="114">
        <f>Q19*D19</f>
        <v>646542</v>
      </c>
      <c r="S19" s="101">
        <f t="shared" si="3"/>
        <v>-47144.66781304765</v>
      </c>
      <c r="T19" s="102">
        <f t="shared" si="4"/>
        <v>-7.2918182906984624E-2</v>
      </c>
      <c r="U19" s="101">
        <f t="shared" si="29"/>
        <v>13113.561808832688</v>
      </c>
      <c r="V19" s="102">
        <f t="shared" si="6"/>
        <v>2.0282613981508841E-2</v>
      </c>
      <c r="X19" s="103" cm="1">
        <f t="array" ref="X19">SUM([3]Hoja5!$H$6:$H$12*([3]Hoja5!$E$6:$E$12=X$5)*($C19=[3]Hoja5!$J$6:$J$12))</f>
        <v>0</v>
      </c>
      <c r="Y19" s="103" cm="1">
        <f t="array" ref="Y19">SUM([3]Hoja5!$I$6:$I$12*([3]Hoja5!$E$6:$E$12=X$5)*($C19=[3]Hoja5!$J$6:$J$12))</f>
        <v>0</v>
      </c>
      <c r="Z19" s="113">
        <f t="shared" si="21"/>
        <v>0</v>
      </c>
      <c r="AA19" s="103" cm="1">
        <f t="array" ref="AA19">SUM([3]Hoja5!$H$6:$H$12*([3]Hoja5!$E$6:$E$12=AA$5)*($C19=[3]Hoja5!$J$6:$J$12))</f>
        <v>0</v>
      </c>
      <c r="AB19" s="103" cm="1">
        <f t="array" ref="AB19">SUM([3]Hoja5!$I$6:$I$12*([3]Hoja5!$E$6:$E$12=AA$5)*($C19=[3]Hoja5!$J$6:$J$12))</f>
        <v>0</v>
      </c>
      <c r="AC19" s="113">
        <f t="shared" si="22"/>
        <v>0</v>
      </c>
      <c r="AD19" s="103" cm="1">
        <f t="array" ref="AD19">SUM([3]Hoja5!$H$6:$H$12*([3]Hoja5!$E$6:$E$12=AD$5)*($C19=[3]Hoja5!$J$6:$J$12))</f>
        <v>0</v>
      </c>
      <c r="AE19" s="103" cm="1">
        <f t="array" ref="AE19">SUM([3]Hoja5!$I$6:$I$12*([3]Hoja5!$E$6:$E$12=AD$5)*($C19=[3]Hoja5!$J$6:$J$12))</f>
        <v>0</v>
      </c>
      <c r="AF19" s="113">
        <f t="shared" si="23"/>
        <v>0</v>
      </c>
      <c r="AG19" s="103" cm="1">
        <f t="array" ref="AG19">SUM([3]Hoja5!$H$6:$H$12*([3]Hoja5!$E$6:$E$12=AG$5)*($C19=[3]Hoja5!$J$6:$J$12))</f>
        <v>0</v>
      </c>
      <c r="AH19" s="103" cm="1">
        <f t="array" ref="AH19">SUM([3]Hoja5!$I$6:$I$12*([3]Hoja5!$E$6:$E$12=AG$5)*($C19=[3]Hoja5!$J$6:$J$12))</f>
        <v>0</v>
      </c>
      <c r="AI19" s="113">
        <f t="shared" si="24"/>
        <v>0</v>
      </c>
      <c r="AJ19" s="105">
        <f t="shared" si="7"/>
        <v>0</v>
      </c>
      <c r="AK19" s="106">
        <f t="shared" si="7"/>
        <v>0</v>
      </c>
      <c r="AL19" s="107">
        <f t="shared" si="25"/>
        <v>0</v>
      </c>
      <c r="AM19" s="106">
        <f>-IFERROR(F19/D19*AJ19,0)</f>
        <v>0</v>
      </c>
      <c r="AN19" s="107">
        <f t="shared" si="9"/>
        <v>0</v>
      </c>
      <c r="AO19" s="106">
        <f t="shared" si="10"/>
        <v>0</v>
      </c>
      <c r="AP19" s="107">
        <f t="shared" si="11"/>
        <v>0</v>
      </c>
      <c r="AQ19" s="106">
        <f t="shared" si="12"/>
        <v>0</v>
      </c>
      <c r="AR19" s="107">
        <f t="shared" si="32"/>
        <v>0</v>
      </c>
      <c r="AS19" s="106">
        <f t="shared" si="30"/>
        <v>0</v>
      </c>
      <c r="AT19" s="108">
        <f t="shared" si="27"/>
        <v>0</v>
      </c>
      <c r="AU19" s="109">
        <f t="shared" si="14"/>
        <v>0</v>
      </c>
      <c r="AV19" s="110">
        <f t="shared" si="15"/>
        <v>0</v>
      </c>
      <c r="AX19" s="111">
        <f t="shared" si="16"/>
        <v>0</v>
      </c>
      <c r="AY19" s="112">
        <f t="shared" si="17"/>
        <v>0</v>
      </c>
      <c r="AZ19" s="112">
        <f t="shared" si="17"/>
        <v>0</v>
      </c>
      <c r="BA19" s="112">
        <f t="shared" si="17"/>
        <v>0</v>
      </c>
      <c r="BB19" s="112">
        <f t="shared" si="17"/>
        <v>0</v>
      </c>
      <c r="BC19" s="112">
        <f t="shared" si="17"/>
        <v>0</v>
      </c>
      <c r="BD19" s="112">
        <f t="shared" si="17"/>
        <v>0</v>
      </c>
      <c r="BE19" s="112">
        <f t="shared" si="17"/>
        <v>0</v>
      </c>
      <c r="BF19" s="112">
        <f t="shared" si="18"/>
        <v>0</v>
      </c>
    </row>
    <row r="20" spans="2:58" ht="15" thickBot="1" x14ac:dyDescent="0.35">
      <c r="C20" s="115" t="s">
        <v>122</v>
      </c>
      <c r="D20" s="116">
        <f>SUM(D7:D19)</f>
        <v>1529.4099999999999</v>
      </c>
      <c r="E20" s="117">
        <f t="shared" si="0"/>
        <v>1686.0603977107348</v>
      </c>
      <c r="F20" s="118">
        <f t="shared" ref="F20:K20" si="33">SUM(F7:F19)</f>
        <v>2578677.6328627747</v>
      </c>
      <c r="G20" s="118">
        <f t="shared" si="33"/>
        <v>317872.57439999998</v>
      </c>
      <c r="H20" s="118">
        <f t="shared" si="33"/>
        <v>78579.000000000029</v>
      </c>
      <c r="I20" s="118">
        <f t="shared" si="33"/>
        <v>154473.00000000009</v>
      </c>
      <c r="J20" s="118">
        <f t="shared" si="33"/>
        <v>123484.35000000006</v>
      </c>
      <c r="K20" s="118">
        <f t="shared" si="33"/>
        <v>0</v>
      </c>
      <c r="L20" s="119">
        <v>0</v>
      </c>
      <c r="M20" s="120">
        <f>SUM(M7:M19)</f>
        <v>3129602.2072627749</v>
      </c>
      <c r="N20" s="120">
        <f>IFERROR(M20/D20,0)</f>
        <v>2046.2807273803462</v>
      </c>
      <c r="O20" s="120">
        <f>SUM(O7:O19)</f>
        <v>2851644.8572627744</v>
      </c>
      <c r="P20" s="120">
        <f t="shared" si="2"/>
        <v>1864.5391734477835</v>
      </c>
      <c r="Q20" s="121">
        <f>R20/D20</f>
        <v>2144.9290903027968</v>
      </c>
      <c r="R20" s="122">
        <f t="shared" ref="R20:S20" si="34">SUM(R7:R19)</f>
        <v>3280476</v>
      </c>
      <c r="S20" s="121">
        <f t="shared" si="34"/>
        <v>150873.79273722525</v>
      </c>
      <c r="T20" s="123">
        <f>S20/R20</f>
        <v>4.5991433175315184E-2</v>
      </c>
      <c r="U20" s="121">
        <f>SUM(U7:U19)</f>
        <v>428831.1427372254</v>
      </c>
      <c r="V20" s="123">
        <f t="shared" si="6"/>
        <v>0.13072223138874522</v>
      </c>
      <c r="X20" s="124">
        <f>SUM(X7:X19)</f>
        <v>133.27500000000001</v>
      </c>
      <c r="Y20" s="124">
        <f>SUM(Y7:Y19)</f>
        <v>296940</v>
      </c>
      <c r="Z20" s="125">
        <f t="shared" si="21"/>
        <v>2228.0247608328641</v>
      </c>
      <c r="AA20" s="124">
        <f>SUM(AA7:AA19)</f>
        <v>27</v>
      </c>
      <c r="AB20" s="124">
        <f>SUM(AB7:AB19)</f>
        <v>48600</v>
      </c>
      <c r="AC20" s="125">
        <f t="shared" si="22"/>
        <v>1800</v>
      </c>
      <c r="AD20" s="124">
        <f>SUM(AD7:AD19)</f>
        <v>25.664999999999999</v>
      </c>
      <c r="AE20" s="124">
        <f>SUM(AE7:AE19)</f>
        <v>41064</v>
      </c>
      <c r="AF20" s="125">
        <f t="shared" si="23"/>
        <v>1600</v>
      </c>
      <c r="AG20" s="124">
        <f>SUM(AG7:AG19)</f>
        <v>98.38</v>
      </c>
      <c r="AH20" s="124">
        <f>SUM(AH7:AH19)</f>
        <v>140424</v>
      </c>
      <c r="AI20" s="125">
        <f t="shared" si="24"/>
        <v>1427.3632852205733</v>
      </c>
      <c r="AJ20" s="126">
        <f t="shared" ref="AJ20:AN20" si="35">SUM(AJ7:AJ19)</f>
        <v>284.32</v>
      </c>
      <c r="AK20" s="126">
        <f t="shared" si="35"/>
        <v>527028</v>
      </c>
      <c r="AL20" s="127">
        <f>IFERROR(AK20/AJ20,0)</f>
        <v>1853.643781654474</v>
      </c>
      <c r="AM20" s="126">
        <f>SUM(AM7:AM19)</f>
        <v>-415442.57248512888</v>
      </c>
      <c r="AN20" s="126">
        <f t="shared" si="35"/>
        <v>-59093.068800000008</v>
      </c>
      <c r="AO20" s="128">
        <f>-'[2]Stock Libre'!O54</f>
        <v>-78579.000000000015</v>
      </c>
      <c r="AP20" s="127">
        <f>-'[2]Stock Libre'!P54</f>
        <v>-154473.00000000003</v>
      </c>
      <c r="AQ20" s="128">
        <f>-'[2]Stock Libre'!Q54</f>
        <v>-123484.35000000002</v>
      </c>
      <c r="AR20" s="127">
        <f t="shared" ref="AR20:AU20" si="36">SUM(AR7:AR19)</f>
        <v>14836.950619765155</v>
      </c>
      <c r="AS20" s="126">
        <f t="shared" si="36"/>
        <v>-165722.69066536374</v>
      </c>
      <c r="AT20" s="129">
        <f t="shared" si="27"/>
        <v>-0.31444760176947667</v>
      </c>
      <c r="AU20" s="126">
        <f t="shared" si="36"/>
        <v>112234.65933463624</v>
      </c>
      <c r="AV20" s="130">
        <f t="shared" si="15"/>
        <v>0.21295767840539068</v>
      </c>
      <c r="AX20" s="131">
        <f t="shared" si="16"/>
        <v>1853.643781654474</v>
      </c>
      <c r="AY20" s="132">
        <f t="shared" si="17"/>
        <v>-1461.1795599505097</v>
      </c>
      <c r="AZ20" s="132">
        <f t="shared" si="17"/>
        <v>-207.84000000000003</v>
      </c>
      <c r="BA20" s="132">
        <f t="shared" si="17"/>
        <v>-276.37521102982561</v>
      </c>
      <c r="BB20" s="132">
        <f t="shared" si="17"/>
        <v>-543.30683736634785</v>
      </c>
      <c r="BC20" s="132">
        <f t="shared" si="17"/>
        <v>-434.31468064153074</v>
      </c>
      <c r="BD20" s="132">
        <f t="shared" si="17"/>
        <v>52.183985016056397</v>
      </c>
      <c r="BE20" s="132">
        <f t="shared" si="17"/>
        <v>-582.87384167615278</v>
      </c>
      <c r="BF20" s="132">
        <f t="shared" si="18"/>
        <v>394.74767633172564</v>
      </c>
    </row>
    <row r="21" spans="2:58" x14ac:dyDescent="0.3">
      <c r="I21" s="63"/>
      <c r="J21" s="63"/>
      <c r="N21" s="56">
        <f>M20-R20</f>
        <v>-150873.79273722507</v>
      </c>
      <c r="O21" s="56"/>
      <c r="AN21" s="63" t="s">
        <v>123</v>
      </c>
      <c r="AO21">
        <v>114.17761445259386</v>
      </c>
    </row>
    <row r="22" spans="2:58" x14ac:dyDescent="0.3">
      <c r="C22" s="133" t="s">
        <v>124</v>
      </c>
      <c r="L22" s="45"/>
      <c r="M22" s="56"/>
      <c r="N22" s="134"/>
      <c r="O22" s="134"/>
      <c r="P22" s="134"/>
      <c r="Q22" s="134"/>
      <c r="R22" s="135">
        <f>7%/12</f>
        <v>5.8333333333333336E-3</v>
      </c>
      <c r="S22" s="134"/>
      <c r="T22" s="134"/>
      <c r="U22" s="134"/>
      <c r="V22" s="134"/>
      <c r="W22" s="56"/>
      <c r="X22" s="56"/>
      <c r="Y22" s="136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Y22" s="56">
        <f>SUM(AY7:BB7)</f>
        <v>0</v>
      </c>
    </row>
    <row r="23" spans="2:58" ht="15" thickBot="1" x14ac:dyDescent="0.35">
      <c r="C23" s="133"/>
      <c r="L23" s="45"/>
      <c r="M23" s="56"/>
      <c r="N23" s="134"/>
      <c r="O23" s="134"/>
      <c r="P23" s="134"/>
      <c r="Q23" s="134"/>
      <c r="R23" s="135">
        <f>R22*M31</f>
        <v>22283.590786692046</v>
      </c>
      <c r="S23" s="134">
        <f>R23*7</f>
        <v>155985.13550684432</v>
      </c>
      <c r="T23" s="134">
        <f>S23/D31</f>
        <v>111.1717878318326</v>
      </c>
      <c r="U23" s="134"/>
      <c r="V23" s="134"/>
      <c r="W23" s="56"/>
      <c r="X23" s="56"/>
      <c r="Y23" s="136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>
        <f>286</f>
        <v>286</v>
      </c>
      <c r="AM23" s="63"/>
      <c r="AN23" s="138"/>
      <c r="AS23" s="49"/>
      <c r="AY23" s="56"/>
    </row>
    <row r="24" spans="2:58" ht="29.4" thickBot="1" x14ac:dyDescent="0.35">
      <c r="C24" s="88" t="s">
        <v>101</v>
      </c>
      <c r="D24" s="139" t="s">
        <v>102</v>
      </c>
      <c r="E24" s="140" t="s">
        <v>103</v>
      </c>
      <c r="F24" s="88" t="s">
        <v>61</v>
      </c>
      <c r="G24" s="88" t="s">
        <v>62</v>
      </c>
      <c r="H24" s="88" t="s">
        <v>63</v>
      </c>
      <c r="I24" s="88" t="s">
        <v>64</v>
      </c>
      <c r="J24" s="88" t="s">
        <v>65</v>
      </c>
      <c r="K24" s="88" t="s">
        <v>66</v>
      </c>
      <c r="L24" s="141" t="s">
        <v>67</v>
      </c>
      <c r="M24" s="142" t="s">
        <v>104</v>
      </c>
      <c r="N24" s="142" t="s">
        <v>105</v>
      </c>
      <c r="O24" s="142" t="s">
        <v>106</v>
      </c>
      <c r="P24" s="142" t="s">
        <v>107</v>
      </c>
      <c r="Q24" s="86" t="s">
        <v>108</v>
      </c>
      <c r="R24" s="86" t="s">
        <v>109</v>
      </c>
      <c r="S24" s="86" t="s">
        <v>110</v>
      </c>
      <c r="T24" s="86" t="s">
        <v>111</v>
      </c>
      <c r="U24" s="86" t="s">
        <v>112</v>
      </c>
      <c r="V24" s="86" t="s">
        <v>113</v>
      </c>
      <c r="W24" s="56"/>
      <c r="X24" s="56"/>
      <c r="Y24" s="136"/>
      <c r="AJ24" s="56">
        <f>AK20/AJ20*AJ23</f>
        <v>530142.12155317958</v>
      </c>
      <c r="AM24" s="56">
        <f>AK20+AM20+AN20</f>
        <v>52492.358714871109</v>
      </c>
      <c r="AR24" s="143"/>
      <c r="AY24" s="63">
        <f>AY7/0.5</f>
        <v>0</v>
      </c>
    </row>
    <row r="25" spans="2:58" x14ac:dyDescent="0.3">
      <c r="C25" s="59" t="s">
        <v>85</v>
      </c>
      <c r="D25" s="167">
        <v>567</v>
      </c>
      <c r="E25" s="96">
        <f>E7</f>
        <v>1834.4310061156937</v>
      </c>
      <c r="F25" s="56">
        <f t="shared" ref="F25:F30" si="37">E25*D25</f>
        <v>1040122.3804675983</v>
      </c>
      <c r="G25" s="56">
        <f t="shared" ref="G25:G30" si="38">D25*207.84</f>
        <v>117845.28</v>
      </c>
      <c r="H25" s="56">
        <f t="shared" ref="H25:J30" si="39">H$20/$D$20*$D25</f>
        <v>29131.686728869314</v>
      </c>
      <c r="I25" s="56">
        <f t="shared" si="39"/>
        <v>57267.960193800267</v>
      </c>
      <c r="J25" s="56">
        <f t="shared" si="39"/>
        <v>45779.500885962589</v>
      </c>
      <c r="K25" s="97">
        <v>0</v>
      </c>
      <c r="L25" s="98">
        <v>0</v>
      </c>
      <c r="M25" s="99">
        <f t="shared" ref="M25:M30" si="40">F25+G25+H25+I25</f>
        <v>1244367.307390268</v>
      </c>
      <c r="N25" s="100">
        <f t="shared" ref="N25:N30" si="41">IFERROR(M25/D25,0)</f>
        <v>2194.651335785305</v>
      </c>
      <c r="O25" s="100">
        <f t="shared" ref="O25:O30" si="42">F25+G25+H25-J25</f>
        <v>1141319.8463105052</v>
      </c>
      <c r="P25" s="100">
        <f t="shared" ref="P25:P30" si="43">IFERROR(O25/D25,0)</f>
        <v>2012.9097818527428</v>
      </c>
      <c r="Q25" s="101">
        <v>1500</v>
      </c>
      <c r="R25" s="101">
        <f t="shared" ref="R25:R30" si="44">Q25*D25</f>
        <v>850500</v>
      </c>
      <c r="S25" s="101">
        <f t="shared" ref="S25:S30" si="45">R25-M25</f>
        <v>-393867.30739026796</v>
      </c>
      <c r="T25" s="102">
        <f t="shared" ref="T25:T30" si="46">IFERROR(S25/R25,0)</f>
        <v>-0.4631008905235367</v>
      </c>
      <c r="U25" s="101">
        <f t="shared" ref="U25:U30" si="47">R25-(M25-J25-I25)</f>
        <v>-290819.84631050518</v>
      </c>
      <c r="V25" s="102">
        <f t="shared" ref="V25:V27" si="48">IFERROR(U25/R25,0)</f>
        <v>-0.34193985456849524</v>
      </c>
      <c r="W25" s="56"/>
      <c r="X25" s="56"/>
      <c r="Y25" s="48"/>
      <c r="AK25" s="48"/>
      <c r="AL25" s="63"/>
      <c r="AN25" s="63"/>
      <c r="AP25" s="56"/>
      <c r="AR25" s="63"/>
    </row>
    <row r="26" spans="2:58" x14ac:dyDescent="0.3">
      <c r="C26" s="59" t="s">
        <v>87</v>
      </c>
      <c r="D26" s="167">
        <v>54</v>
      </c>
      <c r="E26" s="96">
        <f>E9</f>
        <v>1731.9701269990094</v>
      </c>
      <c r="F26" s="56">
        <f t="shared" si="37"/>
        <v>93526.386857946505</v>
      </c>
      <c r="G26" s="56">
        <f t="shared" si="38"/>
        <v>11223.36</v>
      </c>
      <c r="H26" s="56">
        <f t="shared" si="39"/>
        <v>2774.4463551304111</v>
      </c>
      <c r="I26" s="56">
        <f t="shared" si="39"/>
        <v>5454.091447028597</v>
      </c>
      <c r="J26" s="56">
        <f t="shared" si="39"/>
        <v>4359.9524653297703</v>
      </c>
      <c r="K26" s="97">
        <v>0</v>
      </c>
      <c r="L26" s="98">
        <v>0</v>
      </c>
      <c r="M26" s="99">
        <f t="shared" si="40"/>
        <v>112978.28466010551</v>
      </c>
      <c r="N26" s="100">
        <f t="shared" si="41"/>
        <v>2092.1904566686203</v>
      </c>
      <c r="O26" s="100">
        <f t="shared" si="42"/>
        <v>103164.24074774714</v>
      </c>
      <c r="P26" s="100">
        <f t="shared" si="43"/>
        <v>1910.4489027360582</v>
      </c>
      <c r="Q26" s="101">
        <v>1700</v>
      </c>
      <c r="R26" s="101">
        <f t="shared" si="44"/>
        <v>91800</v>
      </c>
      <c r="S26" s="101">
        <f>R26-M26</f>
        <v>-21178.284660105506</v>
      </c>
      <c r="T26" s="102">
        <f t="shared" si="46"/>
        <v>-0.2307002686286003</v>
      </c>
      <c r="U26" s="101">
        <f t="shared" si="47"/>
        <v>-11364.240747747142</v>
      </c>
      <c r="V26" s="102"/>
      <c r="W26" s="56"/>
      <c r="X26" s="56"/>
      <c r="Y26" s="48"/>
      <c r="AK26" s="138">
        <v>386604</v>
      </c>
      <c r="AL26" s="63"/>
      <c r="AN26" s="63"/>
      <c r="AP26" s="56"/>
      <c r="AR26" s="63"/>
    </row>
    <row r="27" spans="2:58" x14ac:dyDescent="0.3">
      <c r="C27" s="59" t="s">
        <v>89</v>
      </c>
      <c r="D27" s="167">
        <v>108</v>
      </c>
      <c r="E27" s="96">
        <f>E11</f>
        <v>1596.558814009124</v>
      </c>
      <c r="F27" s="56">
        <f t="shared" si="37"/>
        <v>172428.35191298538</v>
      </c>
      <c r="G27" s="56">
        <f t="shared" si="38"/>
        <v>22446.720000000001</v>
      </c>
      <c r="H27" s="56">
        <f t="shared" si="39"/>
        <v>5548.8927102608222</v>
      </c>
      <c r="I27" s="56">
        <f t="shared" si="39"/>
        <v>10908.182894057194</v>
      </c>
      <c r="J27" s="56">
        <f t="shared" si="39"/>
        <v>8719.9049306595407</v>
      </c>
      <c r="K27" s="97">
        <v>0</v>
      </c>
      <c r="L27" s="98">
        <v>0</v>
      </c>
      <c r="M27" s="99">
        <f t="shared" si="40"/>
        <v>211332.14751730338</v>
      </c>
      <c r="N27" s="100">
        <f t="shared" si="41"/>
        <v>1956.779143678735</v>
      </c>
      <c r="O27" s="100">
        <f t="shared" si="42"/>
        <v>191704.05969258666</v>
      </c>
      <c r="P27" s="100">
        <f t="shared" si="43"/>
        <v>1775.0375897461727</v>
      </c>
      <c r="Q27" s="101">
        <v>2275</v>
      </c>
      <c r="R27" s="101">
        <f t="shared" si="44"/>
        <v>245700</v>
      </c>
      <c r="S27" s="101">
        <f t="shared" si="45"/>
        <v>34367.852482696617</v>
      </c>
      <c r="T27" s="102">
        <f t="shared" si="46"/>
        <v>0.13987729948187472</v>
      </c>
      <c r="U27" s="101">
        <f t="shared" si="47"/>
        <v>53995.940307413344</v>
      </c>
      <c r="V27" s="102">
        <f t="shared" si="48"/>
        <v>0.21976369681486912</v>
      </c>
      <c r="W27" s="56"/>
      <c r="X27" s="56"/>
      <c r="Y27" s="48"/>
      <c r="AK27" s="48">
        <f>AK20-AK26</f>
        <v>140424</v>
      </c>
      <c r="AL27" s="63"/>
      <c r="AN27" s="63"/>
      <c r="AP27" s="56"/>
      <c r="AR27" s="63"/>
    </row>
    <row r="28" spans="2:58" x14ac:dyDescent="0.3">
      <c r="C28" s="59" t="s">
        <v>91</v>
      </c>
      <c r="D28" s="167">
        <v>594</v>
      </c>
      <c r="E28" s="96">
        <f t="shared" ref="E28:E29" si="49">E14</f>
        <v>3085.0611236899645</v>
      </c>
      <c r="F28" s="56">
        <f t="shared" si="37"/>
        <v>1832526.3074718388</v>
      </c>
      <c r="G28" s="56">
        <f t="shared" si="38"/>
        <v>123456.96000000001</v>
      </c>
      <c r="H28" s="56">
        <f t="shared" si="39"/>
        <v>30518.909906434521</v>
      </c>
      <c r="I28" s="56">
        <f t="shared" si="39"/>
        <v>59995.005917314564</v>
      </c>
      <c r="J28" s="56">
        <f t="shared" si="39"/>
        <v>47959.477118627474</v>
      </c>
      <c r="K28" s="97">
        <v>0</v>
      </c>
      <c r="L28" s="98">
        <v>0</v>
      </c>
      <c r="M28" s="99">
        <f t="shared" si="40"/>
        <v>2046497.183295588</v>
      </c>
      <c r="N28" s="100">
        <f t="shared" si="41"/>
        <v>3445.2814533595756</v>
      </c>
      <c r="O28" s="100">
        <f t="shared" si="42"/>
        <v>1938542.7002596459</v>
      </c>
      <c r="P28" s="100">
        <f t="shared" si="43"/>
        <v>3263.5398994270136</v>
      </c>
      <c r="Q28" s="101">
        <v>3400</v>
      </c>
      <c r="R28" s="101">
        <f t="shared" si="44"/>
        <v>2019600</v>
      </c>
      <c r="S28" s="101">
        <f t="shared" si="45"/>
        <v>-26897.183295588009</v>
      </c>
      <c r="T28" s="102">
        <f t="shared" si="46"/>
        <v>-1.3318074517522286E-2</v>
      </c>
      <c r="U28" s="101">
        <f t="shared" si="47"/>
        <v>81057.299740354065</v>
      </c>
      <c r="V28" s="102">
        <f>IFERROR(U28/R28,0)</f>
        <v>4.013532369793725E-2</v>
      </c>
      <c r="W28" s="56"/>
      <c r="X28" s="56"/>
      <c r="Y28" s="48"/>
      <c r="AK28" s="56"/>
      <c r="AN28" s="63"/>
      <c r="AP28" s="63"/>
    </row>
    <row r="29" spans="2:58" x14ac:dyDescent="0.3">
      <c r="C29" s="59" t="s">
        <v>92</v>
      </c>
      <c r="D29" s="167">
        <v>53.1</v>
      </c>
      <c r="E29" s="96">
        <f t="shared" si="49"/>
        <v>2649.6026057914587</v>
      </c>
      <c r="F29" s="56">
        <f t="shared" si="37"/>
        <v>140693.89836752645</v>
      </c>
      <c r="G29" s="56">
        <f t="shared" si="38"/>
        <v>11036.304</v>
      </c>
      <c r="H29" s="56">
        <f t="shared" si="39"/>
        <v>2728.2055825449042</v>
      </c>
      <c r="I29" s="56">
        <f t="shared" si="39"/>
        <v>5363.1899229114533</v>
      </c>
      <c r="J29" s="56">
        <f t="shared" si="39"/>
        <v>4287.2865909076081</v>
      </c>
      <c r="K29" s="97">
        <v>0</v>
      </c>
      <c r="L29" s="98">
        <v>0</v>
      </c>
      <c r="M29" s="99">
        <f t="shared" si="40"/>
        <v>159821.59787298282</v>
      </c>
      <c r="N29" s="100">
        <f t="shared" si="41"/>
        <v>3009.8229354610698</v>
      </c>
      <c r="O29" s="100">
        <f t="shared" si="42"/>
        <v>150171.12135916375</v>
      </c>
      <c r="P29" s="100">
        <f t="shared" si="43"/>
        <v>2828.0813815285073</v>
      </c>
      <c r="Q29" s="101">
        <v>3400</v>
      </c>
      <c r="R29" s="114">
        <f t="shared" si="44"/>
        <v>180540</v>
      </c>
      <c r="S29" s="114">
        <f t="shared" si="45"/>
        <v>20718.40212701718</v>
      </c>
      <c r="T29" s="102">
        <f t="shared" si="46"/>
        <v>0.11475796015850881</v>
      </c>
      <c r="U29" s="114">
        <f t="shared" si="47"/>
        <v>30368.87864083625</v>
      </c>
      <c r="V29" s="102"/>
      <c r="W29" s="56"/>
      <c r="X29" s="56"/>
      <c r="Y29" s="48"/>
      <c r="AK29" s="56"/>
      <c r="AN29" s="63"/>
      <c r="AP29" s="63"/>
    </row>
    <row r="30" spans="2:58" ht="15" thickBot="1" x14ac:dyDescent="0.35">
      <c r="C30" s="59" t="s">
        <v>88</v>
      </c>
      <c r="D30" s="167">
        <v>27</v>
      </c>
      <c r="E30" s="96">
        <f>E10</f>
        <v>1308.2098231172595</v>
      </c>
      <c r="F30" s="56">
        <f t="shared" si="37"/>
        <v>35321.665224166005</v>
      </c>
      <c r="G30" s="56">
        <f t="shared" si="38"/>
        <v>5611.68</v>
      </c>
      <c r="H30" s="56">
        <f t="shared" si="39"/>
        <v>1387.2231775652056</v>
      </c>
      <c r="I30" s="56">
        <f t="shared" si="39"/>
        <v>2727.0457235142985</v>
      </c>
      <c r="J30" s="56">
        <f t="shared" si="39"/>
        <v>2179.9762326648852</v>
      </c>
      <c r="K30" s="97">
        <v>0</v>
      </c>
      <c r="L30" s="98">
        <v>0</v>
      </c>
      <c r="M30" s="99">
        <f t="shared" si="40"/>
        <v>45047.614125245505</v>
      </c>
      <c r="N30" s="100">
        <f t="shared" si="41"/>
        <v>1668.4301527868706</v>
      </c>
      <c r="O30" s="100">
        <f t="shared" si="42"/>
        <v>40140.592169066324</v>
      </c>
      <c r="P30" s="100">
        <f t="shared" si="43"/>
        <v>1486.6885988543083</v>
      </c>
      <c r="Q30" s="101">
        <v>1800</v>
      </c>
      <c r="R30" s="114">
        <f t="shared" si="44"/>
        <v>48600</v>
      </c>
      <c r="S30" s="114">
        <f t="shared" si="45"/>
        <v>3552.3858747544946</v>
      </c>
      <c r="T30" s="102">
        <f t="shared" si="46"/>
        <v>7.3094359562849681E-2</v>
      </c>
      <c r="U30" s="114">
        <f t="shared" si="47"/>
        <v>8459.4078309336765</v>
      </c>
      <c r="V30" s="102"/>
      <c r="W30" s="56"/>
      <c r="X30" s="56"/>
      <c r="Y30" s="48"/>
      <c r="AK30" s="56"/>
      <c r="AN30" s="63"/>
      <c r="AP30" s="63"/>
    </row>
    <row r="31" spans="2:58" ht="15" thickBot="1" x14ac:dyDescent="0.35">
      <c r="C31" s="144" t="s">
        <v>122</v>
      </c>
      <c r="D31" s="116">
        <f>SUM(D25:D30)</f>
        <v>1403.1</v>
      </c>
      <c r="E31" s="117">
        <f>F31/D31</f>
        <v>2362.3540662120035</v>
      </c>
      <c r="F31" s="118">
        <f t="shared" ref="F31:K31" si="50">SUM(F25:F30)</f>
        <v>3314618.9903020617</v>
      </c>
      <c r="G31" s="118">
        <f t="shared" si="50"/>
        <v>291620.304</v>
      </c>
      <c r="H31" s="118">
        <f t="shared" si="50"/>
        <v>72089.364460805169</v>
      </c>
      <c r="I31" s="118">
        <f t="shared" si="50"/>
        <v>141715.47609862639</v>
      </c>
      <c r="J31" s="118">
        <f t="shared" si="50"/>
        <v>113286.09822415188</v>
      </c>
      <c r="K31" s="118">
        <f t="shared" si="50"/>
        <v>0</v>
      </c>
      <c r="L31" s="119">
        <v>0</v>
      </c>
      <c r="M31" s="120">
        <f>SUM(M25:M30)</f>
        <v>3820044.1348614935</v>
      </c>
      <c r="N31" s="120">
        <f>IFERROR(M31/D31,0)</f>
        <v>2722.5743958816147</v>
      </c>
      <c r="O31" s="120">
        <f>SUM(O25:O30)</f>
        <v>3565042.5605387152</v>
      </c>
      <c r="P31" s="120">
        <f>IFERROR(O31/D31,0)</f>
        <v>2540.8328419490526</v>
      </c>
      <c r="Q31" s="121">
        <f>R31/D31</f>
        <v>2449.3906350224506</v>
      </c>
      <c r="R31" s="122">
        <f>SUM(R25:R30)</f>
        <v>3436740</v>
      </c>
      <c r="S31" s="122">
        <f>SUM(S25:S30)</f>
        <v>-383304.13486149313</v>
      </c>
      <c r="T31" s="123">
        <f>S31/R31</f>
        <v>-0.11153131597429342</v>
      </c>
      <c r="U31" s="122">
        <f>SUM(U25:U30)</f>
        <v>-128302.56053871497</v>
      </c>
      <c r="V31" s="123">
        <f>IFERROR(U31/R31,0)</f>
        <v>-3.7332635153871099E-2</v>
      </c>
      <c r="W31" s="56"/>
      <c r="X31" s="56"/>
      <c r="Y31" s="48"/>
      <c r="AK31" s="145"/>
      <c r="AL31" s="56"/>
    </row>
    <row r="32" spans="2:58" ht="15" thickBot="1" x14ac:dyDescent="0.35">
      <c r="G32" s="56"/>
      <c r="J32" s="63"/>
      <c r="L32" s="45"/>
      <c r="N32" s="134"/>
      <c r="O32" s="134"/>
      <c r="P32" s="134"/>
      <c r="Q32" s="134"/>
      <c r="R32" s="134"/>
      <c r="S32" s="134"/>
      <c r="T32" s="134"/>
      <c r="U32" s="134"/>
      <c r="V32" s="134"/>
      <c r="W32" s="56"/>
      <c r="X32" s="56"/>
      <c r="Y32" s="48"/>
      <c r="AL32" s="48"/>
    </row>
    <row r="33" spans="3:38" ht="15" thickBot="1" x14ac:dyDescent="0.35">
      <c r="C33" s="144" t="s">
        <v>122</v>
      </c>
      <c r="D33" s="116">
        <f>D20+D31</f>
        <v>2932.5099999999998</v>
      </c>
      <c r="E33" s="117">
        <f>F33/D33</f>
        <v>2009.6424643615321</v>
      </c>
      <c r="F33" s="118">
        <f t="shared" ref="F33:M33" si="51">F20+F31</f>
        <v>5893296.6231648363</v>
      </c>
      <c r="G33" s="118">
        <f t="shared" si="51"/>
        <v>609492.87840000005</v>
      </c>
      <c r="H33" s="118">
        <f t="shared" si="51"/>
        <v>150668.3644608052</v>
      </c>
      <c r="I33" s="118">
        <f t="shared" si="51"/>
        <v>296188.4760986265</v>
      </c>
      <c r="J33" s="118">
        <f t="shared" si="51"/>
        <v>236770.44822415194</v>
      </c>
      <c r="K33" s="118">
        <f t="shared" si="51"/>
        <v>0</v>
      </c>
      <c r="L33" s="119">
        <f t="shared" si="51"/>
        <v>0</v>
      </c>
      <c r="M33" s="120">
        <f t="shared" si="51"/>
        <v>6949646.3421242684</v>
      </c>
      <c r="N33" s="120">
        <f>IFERROR(M33/D33,0)</f>
        <v>2369.8627940311435</v>
      </c>
      <c r="O33" s="120">
        <f>O20+O31</f>
        <v>6416687.4178014901</v>
      </c>
      <c r="P33" s="120">
        <f>IFERROR(O33/D33,0)</f>
        <v>2188.1212400985814</v>
      </c>
      <c r="Q33" s="121">
        <f>R33/D33</f>
        <v>2290.6029305952925</v>
      </c>
      <c r="R33" s="122">
        <f>R20+R31</f>
        <v>6717216</v>
      </c>
      <c r="S33" s="122">
        <f>S20+S31</f>
        <v>-232430.34212426789</v>
      </c>
      <c r="T33" s="123">
        <f>S33/R33</f>
        <v>-3.4602183720795619E-2</v>
      </c>
      <c r="U33" s="122">
        <f>U20+U31</f>
        <v>300528.58219851041</v>
      </c>
      <c r="V33" s="123">
        <f>IFERROR(U33/R33,0)</f>
        <v>4.4740050371837141E-2</v>
      </c>
      <c r="X33" s="56"/>
      <c r="Y33" s="48"/>
      <c r="AK33" s="61"/>
      <c r="AL33" s="146"/>
    </row>
    <row r="34" spans="3:38" x14ac:dyDescent="0.3">
      <c r="L34" s="45"/>
      <c r="N34" s="56"/>
      <c r="O34" s="134"/>
      <c r="P34" s="134"/>
      <c r="Q34" s="134"/>
      <c r="R34" s="134"/>
      <c r="S34" s="134"/>
      <c r="T34" s="134"/>
      <c r="U34" s="134"/>
      <c r="V34" s="134"/>
      <c r="W34" s="56"/>
      <c r="X34" s="56"/>
      <c r="Y34" s="48"/>
      <c r="AK34" s="48"/>
    </row>
    <row r="35" spans="3:38" x14ac:dyDescent="0.3">
      <c r="L35" s="45"/>
      <c r="N35" s="56"/>
      <c r="O35" s="134"/>
      <c r="P35" s="134"/>
      <c r="Q35" s="134"/>
      <c r="R35" s="134"/>
      <c r="S35" s="134"/>
      <c r="T35" s="134"/>
      <c r="U35" s="134"/>
      <c r="V35" s="134"/>
      <c r="W35" s="56"/>
      <c r="X35" s="56"/>
      <c r="Y35" s="48"/>
      <c r="AK35" s="48"/>
    </row>
    <row r="36" spans="3:38" x14ac:dyDescent="0.3">
      <c r="C36" s="147" t="s">
        <v>125</v>
      </c>
      <c r="L36" s="45"/>
      <c r="N36" s="56"/>
      <c r="O36" s="134"/>
      <c r="P36" s="134"/>
      <c r="Q36" s="134"/>
      <c r="R36" s="134"/>
      <c r="S36" s="134"/>
      <c r="T36" s="134"/>
      <c r="U36" s="134"/>
      <c r="V36" s="134"/>
      <c r="W36" s="56"/>
      <c r="X36" s="56"/>
      <c r="Y36" s="48"/>
      <c r="AK36" s="48"/>
    </row>
    <row r="37" spans="3:38" ht="15" thickBot="1" x14ac:dyDescent="0.35">
      <c r="L37" s="45"/>
      <c r="N37" s="56"/>
      <c r="O37" s="134"/>
      <c r="P37" s="134"/>
      <c r="Q37" s="134"/>
      <c r="R37" s="134"/>
      <c r="S37" s="134"/>
      <c r="T37" s="134"/>
      <c r="U37" s="134"/>
      <c r="V37" s="134"/>
      <c r="W37" s="56"/>
      <c r="X37" s="56"/>
      <c r="Y37" s="48"/>
      <c r="AK37" s="48"/>
    </row>
    <row r="38" spans="3:38" ht="29.4" thickBot="1" x14ac:dyDescent="0.35">
      <c r="C38" s="88" t="s">
        <v>101</v>
      </c>
      <c r="D38" s="80" t="s">
        <v>102</v>
      </c>
      <c r="E38" s="81" t="s">
        <v>103</v>
      </c>
      <c r="F38" s="82" t="s">
        <v>61</v>
      </c>
      <c r="G38" s="83" t="s">
        <v>62</v>
      </c>
      <c r="H38" s="83" t="s">
        <v>63</v>
      </c>
      <c r="I38" s="83" t="s">
        <v>64</v>
      </c>
      <c r="J38" s="83" t="s">
        <v>65</v>
      </c>
      <c r="K38" s="83" t="s">
        <v>66</v>
      </c>
      <c r="L38" s="84" t="s">
        <v>67</v>
      </c>
      <c r="M38" s="85" t="s">
        <v>104</v>
      </c>
      <c r="N38" s="148" t="s">
        <v>105</v>
      </c>
      <c r="O38" s="149" t="s">
        <v>126</v>
      </c>
      <c r="P38" s="150" t="s">
        <v>127</v>
      </c>
      <c r="Q38" s="150" t="s">
        <v>66</v>
      </c>
      <c r="R38" s="150" t="s">
        <v>67</v>
      </c>
      <c r="S38" s="134" t="s">
        <v>128</v>
      </c>
      <c r="T38" s="134" t="s">
        <v>129</v>
      </c>
      <c r="U38" s="134" t="s">
        <v>130</v>
      </c>
      <c r="V38" s="134" t="s">
        <v>131</v>
      </c>
      <c r="W38" s="56"/>
      <c r="X38" s="56" t="s">
        <v>132</v>
      </c>
      <c r="Y38" s="48"/>
    </row>
    <row r="39" spans="3:38" x14ac:dyDescent="0.3">
      <c r="C39" s="58" t="s">
        <v>85</v>
      </c>
      <c r="D39" s="95">
        <f>D7+D25</f>
        <v>633.96</v>
      </c>
      <c r="E39" s="96">
        <f>IFERROR(F39/D39,0)</f>
        <v>1834.4310061156934</v>
      </c>
      <c r="F39" s="48">
        <f>F7+F25</f>
        <v>1162955.8806371051</v>
      </c>
      <c r="G39" s="48">
        <f t="shared" ref="G39:J39" si="52">G7+G25</f>
        <v>131762.2464</v>
      </c>
      <c r="H39" s="48">
        <f t="shared" si="52"/>
        <v>32572.000209231024</v>
      </c>
      <c r="I39" s="48">
        <f t="shared" si="52"/>
        <v>64031.033588115723</v>
      </c>
      <c r="J39" s="48">
        <f t="shared" si="52"/>
        <v>51185.8419429715</v>
      </c>
      <c r="K39" s="97">
        <v>0</v>
      </c>
      <c r="L39" s="98">
        <v>0</v>
      </c>
      <c r="M39" s="99">
        <f t="shared" ref="M39:M49" si="53">F39+G39+H39+I39</f>
        <v>1391321.1608344519</v>
      </c>
      <c r="N39" s="151">
        <f t="shared" ref="N39:N50" si="54">IFERROR(M39/D39,0)</f>
        <v>2194.6513357853046</v>
      </c>
      <c r="O39" s="152">
        <v>2200</v>
      </c>
      <c r="P39" s="153">
        <f t="shared" ref="P39:P49" si="55">O39*D39</f>
        <v>1394712</v>
      </c>
      <c r="Q39" s="153">
        <f t="shared" ref="Q39:Q49" si="56">P39-M39</f>
        <v>3390.8391655480955</v>
      </c>
      <c r="R39" s="154">
        <f t="shared" ref="R39:R50" si="57">Q39/P39</f>
        <v>2.4312110066795835E-3</v>
      </c>
      <c r="S39" s="134">
        <f>Q25</f>
        <v>1500</v>
      </c>
      <c r="T39" s="134">
        <f t="shared" ref="T39:T49" si="58">S39*D39</f>
        <v>950940</v>
      </c>
      <c r="U39" s="134">
        <f>T39-M39</f>
        <v>-440381.1608344519</v>
      </c>
      <c r="V39" s="134">
        <f>Q39-U39</f>
        <v>443772</v>
      </c>
      <c r="X39" s="56">
        <f>Q39+I39+J39</f>
        <v>118607.71469663532</v>
      </c>
      <c r="Y39" s="48"/>
    </row>
    <row r="40" spans="3:38" x14ac:dyDescent="0.3">
      <c r="C40" s="59" t="s">
        <v>86</v>
      </c>
      <c r="D40" s="95">
        <f t="shared" ref="D40:J49" si="59">D8</f>
        <v>379.14</v>
      </c>
      <c r="E40" s="96">
        <f t="shared" ref="E39:E49" si="60">IFERROR(F40/D40,0)</f>
        <v>1483.4229685286575</v>
      </c>
      <c r="F40" s="48">
        <f t="shared" si="59"/>
        <v>562424.98428795522</v>
      </c>
      <c r="G40" s="48">
        <f t="shared" si="59"/>
        <v>78800.457599999994</v>
      </c>
      <c r="H40" s="48">
        <f t="shared" si="59"/>
        <v>19479.696131187851</v>
      </c>
      <c r="I40" s="48">
        <f t="shared" si="59"/>
        <v>38293.782059748555</v>
      </c>
      <c r="J40" s="48">
        <f t="shared" si="59"/>
        <v>30611.710698243129</v>
      </c>
      <c r="K40" s="97">
        <v>0</v>
      </c>
      <c r="L40" s="98">
        <v>0</v>
      </c>
      <c r="M40" s="99">
        <f t="shared" si="53"/>
        <v>698998.92007889156</v>
      </c>
      <c r="N40" s="151">
        <f t="shared" si="54"/>
        <v>1843.6432981982687</v>
      </c>
      <c r="O40" s="152">
        <v>1400</v>
      </c>
      <c r="P40" s="153">
        <f t="shared" si="55"/>
        <v>530796</v>
      </c>
      <c r="Q40" s="153">
        <f t="shared" si="56"/>
        <v>-168202.92007889156</v>
      </c>
      <c r="R40" s="154">
        <f t="shared" si="57"/>
        <v>-0.31688807014162046</v>
      </c>
      <c r="S40" s="134">
        <f t="shared" ref="S40:S49" si="61">Q8</f>
        <v>1400</v>
      </c>
      <c r="T40" s="134">
        <f t="shared" si="58"/>
        <v>530796</v>
      </c>
      <c r="U40" s="134">
        <f t="shared" ref="U40:U49" si="62">T40-M40</f>
        <v>-168202.92007889156</v>
      </c>
      <c r="V40" s="134">
        <f t="shared" ref="V40:V49" si="63">Q40-U40</f>
        <v>0</v>
      </c>
      <c r="X40" s="56">
        <f t="shared" ref="X40:X49" si="64">Q40+I40+J40</f>
        <v>-99297.427320899878</v>
      </c>
      <c r="Y40" s="48"/>
    </row>
    <row r="41" spans="3:38" x14ac:dyDescent="0.3">
      <c r="C41" s="59" t="s">
        <v>87</v>
      </c>
      <c r="D41" s="95">
        <f>D9+D26</f>
        <v>71.900000000000006</v>
      </c>
      <c r="E41" s="96">
        <f t="shared" si="60"/>
        <v>1731.9701269990092</v>
      </c>
      <c r="F41" s="48">
        <f>F9+F26</f>
        <v>124528.65213122877</v>
      </c>
      <c r="G41" s="48">
        <f t="shared" ref="G41:J41" si="65">G9+G26</f>
        <v>14943.696</v>
      </c>
      <c r="H41" s="48">
        <f t="shared" si="65"/>
        <v>3694.1239432199363</v>
      </c>
      <c r="I41" s="48">
        <f t="shared" si="65"/>
        <v>7262.0217600251126</v>
      </c>
      <c r="J41" s="48">
        <f t="shared" si="65"/>
        <v>5805.1959677261202</v>
      </c>
      <c r="K41" s="97">
        <v>0</v>
      </c>
      <c r="L41" s="98">
        <v>0</v>
      </c>
      <c r="M41" s="99">
        <f t="shared" si="53"/>
        <v>150428.49383447383</v>
      </c>
      <c r="N41" s="151">
        <f t="shared" si="54"/>
        <v>2092.1904566686208</v>
      </c>
      <c r="O41" s="152">
        <v>2400</v>
      </c>
      <c r="P41" s="153">
        <f t="shared" si="55"/>
        <v>172560</v>
      </c>
      <c r="Q41" s="153">
        <f t="shared" si="56"/>
        <v>22131.506165526167</v>
      </c>
      <c r="R41" s="154">
        <f t="shared" si="57"/>
        <v>0.12825397638807468</v>
      </c>
      <c r="S41" s="134">
        <f t="shared" si="61"/>
        <v>1950</v>
      </c>
      <c r="T41" s="134">
        <f t="shared" si="58"/>
        <v>140205</v>
      </c>
      <c r="U41" s="134">
        <f t="shared" si="62"/>
        <v>-10223.493834473833</v>
      </c>
      <c r="V41" s="134">
        <f t="shared" si="63"/>
        <v>32355</v>
      </c>
      <c r="X41" s="56">
        <f t="shared" si="64"/>
        <v>35198.723893277398</v>
      </c>
      <c r="Y41" s="48"/>
    </row>
    <row r="42" spans="3:38" x14ac:dyDescent="0.3">
      <c r="C42" s="59" t="s">
        <v>88</v>
      </c>
      <c r="D42" s="95">
        <f>D10+D30</f>
        <v>151.54000000000002</v>
      </c>
      <c r="E42" s="96">
        <f t="shared" si="60"/>
        <v>1308.2098231172592</v>
      </c>
      <c r="F42" s="48">
        <f>F10+F30</f>
        <v>198246.11659518949</v>
      </c>
      <c r="G42" s="48">
        <f t="shared" ref="G42:J42" si="66">G10+G30</f>
        <v>31496.073600000003</v>
      </c>
      <c r="H42" s="48">
        <f t="shared" si="66"/>
        <v>7785.9185306752315</v>
      </c>
      <c r="I42" s="48">
        <f t="shared" si="66"/>
        <v>15305.796627457656</v>
      </c>
      <c r="J42" s="48">
        <f t="shared" si="66"/>
        <v>12235.31845548284</v>
      </c>
      <c r="K42" s="97">
        <v>0</v>
      </c>
      <c r="L42" s="98">
        <v>0</v>
      </c>
      <c r="M42" s="99">
        <f t="shared" si="53"/>
        <v>252833.90535332239</v>
      </c>
      <c r="N42" s="151">
        <f t="shared" si="54"/>
        <v>1668.4301527868706</v>
      </c>
      <c r="O42" s="152">
        <v>2500</v>
      </c>
      <c r="P42" s="153">
        <f t="shared" si="55"/>
        <v>378850.00000000006</v>
      </c>
      <c r="Q42" s="155">
        <f t="shared" si="56"/>
        <v>126016.09464667767</v>
      </c>
      <c r="R42" s="156">
        <f t="shared" si="57"/>
        <v>0.33262793888525183</v>
      </c>
      <c r="S42" s="157">
        <f>Q10</f>
        <v>1700</v>
      </c>
      <c r="T42" s="157">
        <f t="shared" si="58"/>
        <v>257618.00000000003</v>
      </c>
      <c r="U42" s="157">
        <f t="shared" si="62"/>
        <v>4784.0946466776368</v>
      </c>
      <c r="V42" s="157">
        <f t="shared" si="63"/>
        <v>121232.00000000003</v>
      </c>
      <c r="X42" s="56">
        <f t="shared" si="64"/>
        <v>153557.20972961816</v>
      </c>
      <c r="Y42" s="157"/>
    </row>
    <row r="43" spans="3:38" x14ac:dyDescent="0.3">
      <c r="C43" s="59" t="s">
        <v>89</v>
      </c>
      <c r="D43" s="95">
        <f>D11+D27</f>
        <v>378.4</v>
      </c>
      <c r="E43" s="96">
        <f t="shared" si="60"/>
        <v>1596.5588140091238</v>
      </c>
      <c r="F43" s="48">
        <f>F11+F27</f>
        <v>604137.85522105242</v>
      </c>
      <c r="G43" s="48">
        <f t="shared" ref="G43:J43" si="67">G11+G27</f>
        <v>78646.656000000003</v>
      </c>
      <c r="H43" s="48">
        <f t="shared" si="67"/>
        <v>19441.675940395322</v>
      </c>
      <c r="I43" s="48">
        <f t="shared" si="67"/>
        <v>38219.040806585566</v>
      </c>
      <c r="J43" s="48">
        <f t="shared" si="67"/>
        <v>30551.963201496015</v>
      </c>
      <c r="K43" s="97">
        <v>0</v>
      </c>
      <c r="L43" s="98">
        <v>0</v>
      </c>
      <c r="M43" s="99">
        <f t="shared" si="53"/>
        <v>740445.22796803329</v>
      </c>
      <c r="N43" s="151">
        <f t="shared" si="54"/>
        <v>1956.779143678735</v>
      </c>
      <c r="O43" s="152">
        <v>2800</v>
      </c>
      <c r="P43" s="153">
        <f t="shared" si="55"/>
        <v>1059520</v>
      </c>
      <c r="Q43" s="158">
        <f t="shared" si="56"/>
        <v>319074.77203196671</v>
      </c>
      <c r="R43" s="154">
        <f t="shared" si="57"/>
        <v>0.30115030582902325</v>
      </c>
      <c r="S43" s="56">
        <f t="shared" si="61"/>
        <v>2700</v>
      </c>
      <c r="T43" s="48">
        <f t="shared" si="58"/>
        <v>1021679.9999999999</v>
      </c>
      <c r="U43" s="56">
        <f t="shared" si="62"/>
        <v>281234.7720319666</v>
      </c>
      <c r="V43" s="56">
        <f t="shared" si="63"/>
        <v>37840.000000000116</v>
      </c>
      <c r="X43" s="56">
        <f t="shared" si="64"/>
        <v>387845.77604004828</v>
      </c>
    </row>
    <row r="44" spans="3:38" x14ac:dyDescent="0.3">
      <c r="C44" s="59" t="s">
        <v>90</v>
      </c>
      <c r="D44" s="95">
        <f t="shared" si="59"/>
        <v>132.38</v>
      </c>
      <c r="E44" s="96">
        <f t="shared" si="60"/>
        <v>1540.1636690456849</v>
      </c>
      <c r="F44" s="48">
        <f t="shared" si="59"/>
        <v>203886.86650826776</v>
      </c>
      <c r="G44" s="48">
        <f t="shared" si="59"/>
        <v>27513.859199999999</v>
      </c>
      <c r="H44" s="48">
        <f t="shared" si="59"/>
        <v>6801.5038609659969</v>
      </c>
      <c r="I44" s="48">
        <f t="shared" si="59"/>
        <v>13370.604180697137</v>
      </c>
      <c r="J44" s="48">
        <f t="shared" si="59"/>
        <v>10688.342728895461</v>
      </c>
      <c r="K44" s="97">
        <v>0</v>
      </c>
      <c r="L44" s="98">
        <v>0</v>
      </c>
      <c r="M44" s="99">
        <f t="shared" si="53"/>
        <v>251572.83374993093</v>
      </c>
      <c r="N44" s="151">
        <f t="shared" si="54"/>
        <v>1900.3839987152965</v>
      </c>
      <c r="O44" s="152">
        <v>2800</v>
      </c>
      <c r="P44" s="153">
        <f t="shared" si="55"/>
        <v>370664</v>
      </c>
      <c r="Q44" s="158">
        <f t="shared" si="56"/>
        <v>119091.16625006907</v>
      </c>
      <c r="R44" s="154">
        <f t="shared" si="57"/>
        <v>0.32129142903025132</v>
      </c>
      <c r="S44" s="56">
        <f t="shared" si="61"/>
        <v>2800</v>
      </c>
      <c r="T44" s="48">
        <f t="shared" si="58"/>
        <v>370664</v>
      </c>
      <c r="U44" s="56">
        <f t="shared" si="62"/>
        <v>119091.16625006907</v>
      </c>
      <c r="V44" s="56">
        <f t="shared" si="63"/>
        <v>0</v>
      </c>
      <c r="X44" s="56">
        <f t="shared" si="64"/>
        <v>143150.11315966168</v>
      </c>
    </row>
    <row r="45" spans="3:38" x14ac:dyDescent="0.3">
      <c r="C45" s="59" t="s">
        <v>9</v>
      </c>
      <c r="D45" s="95">
        <f t="shared" si="59"/>
        <v>0</v>
      </c>
      <c r="E45" s="96">
        <f t="shared" si="60"/>
        <v>0</v>
      </c>
      <c r="F45" s="48">
        <f t="shared" si="59"/>
        <v>0</v>
      </c>
      <c r="G45" s="48">
        <f t="shared" si="59"/>
        <v>0</v>
      </c>
      <c r="H45" s="48">
        <f t="shared" si="59"/>
        <v>0</v>
      </c>
      <c r="I45" s="48">
        <f t="shared" si="59"/>
        <v>0</v>
      </c>
      <c r="J45" s="48">
        <f t="shared" si="59"/>
        <v>0</v>
      </c>
      <c r="K45" s="97">
        <v>0</v>
      </c>
      <c r="L45" s="98">
        <v>0</v>
      </c>
      <c r="M45" s="99">
        <f t="shared" si="53"/>
        <v>0</v>
      </c>
      <c r="N45" s="151">
        <f t="shared" si="54"/>
        <v>0</v>
      </c>
      <c r="O45" s="152">
        <v>1800</v>
      </c>
      <c r="P45" s="153">
        <f t="shared" si="55"/>
        <v>0</v>
      </c>
      <c r="Q45" s="158">
        <f t="shared" si="56"/>
        <v>0</v>
      </c>
      <c r="R45" s="154" t="e">
        <f t="shared" si="57"/>
        <v>#DIV/0!</v>
      </c>
      <c r="S45" s="56">
        <f t="shared" si="61"/>
        <v>1700</v>
      </c>
      <c r="T45" s="48">
        <f t="shared" si="58"/>
        <v>0</v>
      </c>
      <c r="U45" s="56">
        <f t="shared" si="62"/>
        <v>0</v>
      </c>
      <c r="V45" s="56">
        <f t="shared" si="63"/>
        <v>0</v>
      </c>
      <c r="X45" s="56">
        <f t="shared" si="64"/>
        <v>0</v>
      </c>
    </row>
    <row r="46" spans="3:38" x14ac:dyDescent="0.3">
      <c r="C46" s="59" t="s">
        <v>91</v>
      </c>
      <c r="D46" s="95">
        <f>D14+D28+D18*0.5</f>
        <v>610.48</v>
      </c>
      <c r="E46" s="96">
        <f t="shared" si="60"/>
        <v>3085.061123689964</v>
      </c>
      <c r="F46" s="48">
        <f t="shared" ref="F46:J47" si="68">F14+F28+F18</f>
        <v>1883368.1147902494</v>
      </c>
      <c r="G46" s="48">
        <f t="shared" si="68"/>
        <v>126882.16320000001</v>
      </c>
      <c r="H46" s="48">
        <f t="shared" si="68"/>
        <v>31365.629831111357</v>
      </c>
      <c r="I46" s="48">
        <f t="shared" si="68"/>
        <v>61659.51382559292</v>
      </c>
      <c r="J46" s="48">
        <f t="shared" si="68"/>
        <v>49290.070019157742</v>
      </c>
      <c r="K46" s="97">
        <v>0</v>
      </c>
      <c r="L46" s="98">
        <v>0</v>
      </c>
      <c r="M46" s="99">
        <f t="shared" si="53"/>
        <v>2103275.4216469536</v>
      </c>
      <c r="N46" s="151">
        <f t="shared" si="54"/>
        <v>3445.2814533595752</v>
      </c>
      <c r="O46" s="152">
        <v>4000</v>
      </c>
      <c r="P46" s="153">
        <f t="shared" si="55"/>
        <v>2441920</v>
      </c>
      <c r="Q46" s="159">
        <f t="shared" si="56"/>
        <v>338644.57835304644</v>
      </c>
      <c r="R46" s="154">
        <f t="shared" si="57"/>
        <v>0.13867963666010616</v>
      </c>
      <c r="S46" s="160">
        <f t="shared" si="61"/>
        <v>3500</v>
      </c>
      <c r="T46" s="48">
        <f t="shared" si="58"/>
        <v>2136680</v>
      </c>
      <c r="U46" s="160">
        <f t="shared" si="62"/>
        <v>33404.57835304644</v>
      </c>
      <c r="V46" s="160">
        <f t="shared" si="63"/>
        <v>305240</v>
      </c>
      <c r="X46" s="56">
        <f t="shared" si="64"/>
        <v>449594.16219779709</v>
      </c>
    </row>
    <row r="47" spans="3:38" x14ac:dyDescent="0.3">
      <c r="C47" s="59" t="s">
        <v>92</v>
      </c>
      <c r="D47" s="95">
        <f>D15+D29+D19*0.5</f>
        <v>356.71</v>
      </c>
      <c r="E47" s="96">
        <f>IFERROR(F47/D47,0)</f>
        <v>3028.0638076632408</v>
      </c>
      <c r="F47" s="48">
        <f>F15+F29+F19</f>
        <v>1080140.6408315545</v>
      </c>
      <c r="G47" s="48">
        <f t="shared" si="68"/>
        <v>108594.3216</v>
      </c>
      <c r="H47" s="48">
        <f t="shared" si="68"/>
        <v>26844.82363133497</v>
      </c>
      <c r="I47" s="48">
        <f t="shared" si="68"/>
        <v>52772.374817740201</v>
      </c>
      <c r="J47" s="48">
        <f t="shared" si="68"/>
        <v>42185.769696484283</v>
      </c>
      <c r="K47" s="97">
        <v>0</v>
      </c>
      <c r="L47" s="98">
        <v>0</v>
      </c>
      <c r="M47" s="99">
        <f t="shared" si="53"/>
        <v>1268352.1608806297</v>
      </c>
      <c r="N47" s="151">
        <f t="shared" si="54"/>
        <v>3555.6955534765771</v>
      </c>
      <c r="O47" s="152">
        <v>4000</v>
      </c>
      <c r="P47" s="153">
        <f t="shared" si="55"/>
        <v>1426840</v>
      </c>
      <c r="Q47" s="158">
        <f t="shared" si="56"/>
        <v>158487.83911937033</v>
      </c>
      <c r="R47" s="154">
        <f t="shared" si="57"/>
        <v>0.11107611163085583</v>
      </c>
      <c r="S47" s="56">
        <f t="shared" si="61"/>
        <v>3500</v>
      </c>
      <c r="T47" s="48">
        <f t="shared" si="58"/>
        <v>1248485</v>
      </c>
      <c r="U47" s="56">
        <f t="shared" si="62"/>
        <v>-19867.160880629672</v>
      </c>
      <c r="V47" s="56">
        <f t="shared" si="63"/>
        <v>178355</v>
      </c>
      <c r="X47" s="56">
        <f t="shared" si="64"/>
        <v>253445.98363359482</v>
      </c>
    </row>
    <row r="48" spans="3:38" x14ac:dyDescent="0.3">
      <c r="C48" s="59" t="s">
        <v>93</v>
      </c>
      <c r="D48" s="95">
        <f t="shared" si="59"/>
        <v>21.28</v>
      </c>
      <c r="E48" s="96">
        <f t="shared" si="60"/>
        <v>1597.990253542572</v>
      </c>
      <c r="F48" s="48">
        <f t="shared" si="59"/>
        <v>34005.232595385933</v>
      </c>
      <c r="G48" s="48">
        <f t="shared" si="59"/>
        <v>4422.8352000000004</v>
      </c>
      <c r="H48" s="48">
        <f t="shared" si="59"/>
        <v>1093.3373784662065</v>
      </c>
      <c r="I48" s="48">
        <f t="shared" si="59"/>
        <v>2149.3160369031207</v>
      </c>
      <c r="J48" s="48">
        <f t="shared" si="59"/>
        <v>1718.1442307818056</v>
      </c>
      <c r="K48" s="97">
        <v>0</v>
      </c>
      <c r="L48" s="98">
        <v>0</v>
      </c>
      <c r="M48" s="99">
        <f t="shared" si="53"/>
        <v>41670.721210755255</v>
      </c>
      <c r="N48" s="151">
        <f t="shared" si="54"/>
        <v>1958.2105832121829</v>
      </c>
      <c r="O48" s="152">
        <v>1800</v>
      </c>
      <c r="P48" s="153">
        <f t="shared" si="55"/>
        <v>38304</v>
      </c>
      <c r="Q48" s="158">
        <f t="shared" si="56"/>
        <v>-3366.721210755255</v>
      </c>
      <c r="R48" s="154">
        <f t="shared" si="57"/>
        <v>-8.7894768451212801E-2</v>
      </c>
      <c r="S48" s="56">
        <f t="shared" si="61"/>
        <v>2000</v>
      </c>
      <c r="T48" s="48">
        <f t="shared" si="58"/>
        <v>42560</v>
      </c>
      <c r="U48" s="56">
        <f t="shared" si="62"/>
        <v>889.27878924474498</v>
      </c>
      <c r="V48" s="56">
        <f t="shared" si="63"/>
        <v>-4256</v>
      </c>
      <c r="X48" s="56">
        <f t="shared" si="64"/>
        <v>500.73905692967128</v>
      </c>
    </row>
    <row r="49" spans="3:24" ht="15" thickBot="1" x14ac:dyDescent="0.35">
      <c r="C49" s="59" t="s">
        <v>94</v>
      </c>
      <c r="D49" s="95">
        <f t="shared" si="59"/>
        <v>30.94</v>
      </c>
      <c r="E49" s="96">
        <f t="shared" si="60"/>
        <v>1279.9702510293225</v>
      </c>
      <c r="F49" s="48">
        <f t="shared" si="59"/>
        <v>39602.279566847239</v>
      </c>
      <c r="G49" s="48">
        <f t="shared" si="59"/>
        <v>6430.5696000000007</v>
      </c>
      <c r="H49" s="48">
        <f t="shared" si="59"/>
        <v>1589.6550042173133</v>
      </c>
      <c r="I49" s="48">
        <f t="shared" si="59"/>
        <v>3124.9923957604583</v>
      </c>
      <c r="J49" s="48">
        <f t="shared" si="59"/>
        <v>2498.0912829130202</v>
      </c>
      <c r="K49" s="97">
        <v>0</v>
      </c>
      <c r="L49" s="98">
        <v>0</v>
      </c>
      <c r="M49" s="99">
        <f t="shared" si="53"/>
        <v>50747.496566825008</v>
      </c>
      <c r="N49" s="151">
        <f t="shared" si="54"/>
        <v>1640.1905806989337</v>
      </c>
      <c r="O49" s="152">
        <v>2000</v>
      </c>
      <c r="P49" s="158">
        <f t="shared" si="55"/>
        <v>61880</v>
      </c>
      <c r="Q49" s="158">
        <f t="shared" si="56"/>
        <v>11132.503433174992</v>
      </c>
      <c r="R49" s="154">
        <f t="shared" si="57"/>
        <v>0.17990470965053315</v>
      </c>
      <c r="S49" s="56">
        <f t="shared" si="61"/>
        <v>1700</v>
      </c>
      <c r="T49" s="48">
        <f t="shared" si="58"/>
        <v>52598</v>
      </c>
      <c r="U49" s="56">
        <f t="shared" si="62"/>
        <v>1850.5034331749921</v>
      </c>
      <c r="V49" s="56">
        <f t="shared" si="63"/>
        <v>9282</v>
      </c>
      <c r="X49" s="56">
        <f t="shared" si="64"/>
        <v>16755.587111848472</v>
      </c>
    </row>
    <row r="50" spans="3:24" ht="15" thickBot="1" x14ac:dyDescent="0.35">
      <c r="C50" s="144" t="s">
        <v>122</v>
      </c>
      <c r="D50" s="116">
        <f>SUM(D39:D49)</f>
        <v>2766.7300000000005</v>
      </c>
      <c r="E50" s="117">
        <f>F50/D50</f>
        <v>2130.0584528178879</v>
      </c>
      <c r="F50" s="118">
        <f t="shared" ref="F50:M50" si="69">SUM(F39:F49)</f>
        <v>5893296.6231648354</v>
      </c>
      <c r="G50" s="118">
        <f t="shared" si="69"/>
        <v>609492.87840000005</v>
      </c>
      <c r="H50" s="118">
        <f t="shared" si="69"/>
        <v>150668.3644608052</v>
      </c>
      <c r="I50" s="118">
        <f t="shared" si="69"/>
        <v>296188.4760986265</v>
      </c>
      <c r="J50" s="118">
        <f t="shared" si="69"/>
        <v>236770.44822415191</v>
      </c>
      <c r="K50" s="118">
        <f t="shared" si="69"/>
        <v>0</v>
      </c>
      <c r="L50" s="119">
        <v>0</v>
      </c>
      <c r="M50" s="120">
        <f t="shared" si="69"/>
        <v>6949646.3421242675</v>
      </c>
      <c r="N50" s="161">
        <f t="shared" si="54"/>
        <v>2511.8628641480254</v>
      </c>
      <c r="O50" s="162">
        <f>P50/D50</f>
        <v>2846.6984490716472</v>
      </c>
      <c r="P50" s="163">
        <f>SUM(P39:P49)</f>
        <v>7876046</v>
      </c>
      <c r="Q50" s="163">
        <f>SUM(Q39:Q49)</f>
        <v>926399.65787573264</v>
      </c>
      <c r="R50" s="164">
        <f t="shared" si="57"/>
        <v>0.11762242854799637</v>
      </c>
      <c r="S50" s="165">
        <f>T50/D50</f>
        <v>2440.5077474130107</v>
      </c>
      <c r="T50" s="165">
        <f>SUM(T39:T49)</f>
        <v>6752226</v>
      </c>
      <c r="U50" s="165">
        <f>SUM(U39:U49)</f>
        <v>-197420.3421242676</v>
      </c>
      <c r="V50" s="165">
        <f>SUM(V39:V49)</f>
        <v>1123820</v>
      </c>
      <c r="X50" s="165">
        <f>SUM(X39:X49)</f>
        <v>1459358.5821985109</v>
      </c>
    </row>
    <row r="51" spans="3:24" x14ac:dyDescent="0.3">
      <c r="Q51" s="56"/>
    </row>
    <row r="52" spans="3:24" x14ac:dyDescent="0.3">
      <c r="D52">
        <f>D50/3</f>
        <v>922.24333333333345</v>
      </c>
      <c r="M52" s="166"/>
      <c r="P52" s="48">
        <f>P50/3</f>
        <v>2625348.6666666665</v>
      </c>
      <c r="X52" s="56"/>
    </row>
    <row r="53" spans="3:24" x14ac:dyDescent="0.3">
      <c r="M53" s="56"/>
      <c r="S53" s="56">
        <f>F50*7%/12</f>
        <v>34377.563635128208</v>
      </c>
      <c r="T53" t="s">
        <v>133</v>
      </c>
      <c r="U53" s="49"/>
    </row>
    <row r="54" spans="3:24" x14ac:dyDescent="0.3">
      <c r="D54" s="49"/>
      <c r="M54" s="63"/>
      <c r="S54" s="63">
        <f>S53/D50</f>
        <v>12.425340974771013</v>
      </c>
      <c r="T54" t="s">
        <v>134</v>
      </c>
    </row>
    <row r="55" spans="3:24" x14ac:dyDescent="0.3">
      <c r="S55">
        <f>42/6*D31</f>
        <v>9821.6999999999989</v>
      </c>
      <c r="T55" t="s">
        <v>135</v>
      </c>
    </row>
    <row r="56" spans="3:24" x14ac:dyDescent="0.3">
      <c r="S56" s="63"/>
    </row>
    <row r="57" spans="3:24" x14ac:dyDescent="0.3">
      <c r="S57" s="63"/>
    </row>
  </sheetData>
  <mergeCells count="8">
    <mergeCell ref="AX5:BF5"/>
    <mergeCell ref="AJ4:AT4"/>
    <mergeCell ref="F5:V5"/>
    <mergeCell ref="X5:Z5"/>
    <mergeCell ref="AA5:AC5"/>
    <mergeCell ref="AD5:AF5"/>
    <mergeCell ref="AG5:AI5"/>
    <mergeCell ref="AJ5:AV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A3CF-6BD6-407E-931D-F12DD6473FB7}">
  <dimension ref="B3:K17"/>
  <sheetViews>
    <sheetView topLeftCell="D1" zoomScale="90" zoomScaleNormal="90" workbookViewId="0">
      <selection activeCell="G13" sqref="G13"/>
    </sheetView>
  </sheetViews>
  <sheetFormatPr baseColWidth="10" defaultRowHeight="14.4" x14ac:dyDescent="0.3"/>
  <cols>
    <col min="4" max="4" width="25" bestFit="1" customWidth="1"/>
    <col min="5" max="5" width="17.44140625" bestFit="1" customWidth="1"/>
    <col min="6" max="6" width="24.21875" bestFit="1" customWidth="1"/>
    <col min="7" max="7" width="20.5546875" bestFit="1" customWidth="1"/>
    <col min="8" max="8" width="20.44140625" bestFit="1" customWidth="1"/>
    <col min="9" max="9" width="18.5546875" bestFit="1" customWidth="1"/>
    <col min="10" max="10" width="17" bestFit="1" customWidth="1"/>
    <col min="11" max="11" width="20.77734375" bestFit="1" customWidth="1"/>
  </cols>
  <sheetData>
    <row r="3" spans="2:11" x14ac:dyDescent="0.3">
      <c r="E3" s="54" t="s">
        <v>78</v>
      </c>
      <c r="F3" t="s">
        <v>84</v>
      </c>
      <c r="G3" t="s">
        <v>80</v>
      </c>
      <c r="H3" t="s">
        <v>81</v>
      </c>
      <c r="I3" t="s">
        <v>82</v>
      </c>
      <c r="J3" t="s">
        <v>83</v>
      </c>
      <c r="K3" t="s">
        <v>137</v>
      </c>
    </row>
    <row r="4" spans="2:11" x14ac:dyDescent="0.3">
      <c r="B4" s="57" t="b">
        <f t="shared" ref="B4:B14" si="0">C4=E4</f>
        <v>1</v>
      </c>
      <c r="C4" s="55">
        <v>10005721</v>
      </c>
      <c r="D4" s="58" t="s">
        <v>85</v>
      </c>
      <c r="E4" s="55">
        <v>10005721</v>
      </c>
      <c r="F4" s="56">
        <v>66.959999999999994</v>
      </c>
      <c r="G4" s="56">
        <v>122833.50016950683</v>
      </c>
      <c r="H4" s="56">
        <v>13916.966399999999</v>
      </c>
      <c r="I4" s="56">
        <v>3440.3134803617095</v>
      </c>
      <c r="J4" s="56">
        <v>6763.0733943154582</v>
      </c>
      <c r="K4" s="56">
        <v>5406.3410570089145</v>
      </c>
    </row>
    <row r="5" spans="2:11" x14ac:dyDescent="0.3">
      <c r="B5" s="57" t="b">
        <f t="shared" si="0"/>
        <v>1</v>
      </c>
      <c r="C5" s="55">
        <v>10005779</v>
      </c>
      <c r="D5" s="59" t="s">
        <v>86</v>
      </c>
      <c r="E5" s="55">
        <v>10005779</v>
      </c>
      <c r="F5" s="56">
        <v>379.14</v>
      </c>
      <c r="G5" s="56">
        <v>562424.98428795522</v>
      </c>
      <c r="H5" s="56">
        <v>78800.457599999994</v>
      </c>
      <c r="I5" s="56">
        <v>19479.696131187851</v>
      </c>
      <c r="J5" s="56">
        <v>38293.782059748555</v>
      </c>
      <c r="K5" s="56">
        <v>30611.710698243129</v>
      </c>
    </row>
    <row r="6" spans="2:11" x14ac:dyDescent="0.3">
      <c r="B6" s="57" t="b">
        <f t="shared" si="0"/>
        <v>1</v>
      </c>
      <c r="C6" s="55">
        <v>10006719</v>
      </c>
      <c r="D6" s="59" t="s">
        <v>87</v>
      </c>
      <c r="E6" s="55">
        <v>10006719</v>
      </c>
      <c r="F6" s="56">
        <v>17.899999999999999</v>
      </c>
      <c r="G6" s="56">
        <v>31002.265273282264</v>
      </c>
      <c r="H6" s="56">
        <v>3720.3360000000002</v>
      </c>
      <c r="I6" s="56">
        <v>919.6775880895251</v>
      </c>
      <c r="J6" s="56">
        <v>1807.9303129965158</v>
      </c>
      <c r="K6" s="56">
        <v>1445.2435023963496</v>
      </c>
    </row>
    <row r="7" spans="2:11" x14ac:dyDescent="0.3">
      <c r="B7" s="57" t="b">
        <f t="shared" si="0"/>
        <v>1</v>
      </c>
      <c r="C7" s="55">
        <v>10007050</v>
      </c>
      <c r="D7" s="59" t="s">
        <v>88</v>
      </c>
      <c r="E7" s="55">
        <v>10007050</v>
      </c>
      <c r="F7" s="56">
        <v>124.54</v>
      </c>
      <c r="G7" s="56">
        <v>162924.45137102349</v>
      </c>
      <c r="H7" s="56">
        <v>25884.393600000003</v>
      </c>
      <c r="I7" s="56">
        <v>6398.6953531100262</v>
      </c>
      <c r="J7" s="56">
        <v>12578.750903943357</v>
      </c>
      <c r="K7" s="56">
        <v>10055.342222817955</v>
      </c>
    </row>
    <row r="8" spans="2:11" x14ac:dyDescent="0.3">
      <c r="B8" s="57" t="b">
        <f t="shared" si="0"/>
        <v>1</v>
      </c>
      <c r="C8" s="55">
        <v>10007162</v>
      </c>
      <c r="D8" s="59" t="s">
        <v>89</v>
      </c>
      <c r="E8" s="55">
        <v>10007162</v>
      </c>
      <c r="F8" s="56">
        <v>270.39999999999998</v>
      </c>
      <c r="G8" s="56">
        <v>431709.5033080671</v>
      </c>
      <c r="H8" s="56">
        <v>56199.936000000002</v>
      </c>
      <c r="I8" s="56">
        <v>13892.783230134501</v>
      </c>
      <c r="J8" s="56">
        <v>27310.857912528372</v>
      </c>
      <c r="K8" s="56">
        <v>21832.058270836475</v>
      </c>
    </row>
    <row r="9" spans="2:11" x14ac:dyDescent="0.3">
      <c r="B9" s="57" t="b">
        <f t="shared" si="0"/>
        <v>1</v>
      </c>
      <c r="C9" s="55">
        <v>10007567</v>
      </c>
      <c r="D9" s="59" t="s">
        <v>90</v>
      </c>
      <c r="E9" s="55">
        <v>10007567</v>
      </c>
      <c r="F9" s="56">
        <v>132.38</v>
      </c>
      <c r="G9" s="56">
        <v>203886.86650826776</v>
      </c>
      <c r="H9" s="56">
        <v>27513.859199999999</v>
      </c>
      <c r="I9" s="56">
        <v>6801.5038609659969</v>
      </c>
      <c r="J9" s="56">
        <v>13370.604180697137</v>
      </c>
      <c r="K9" s="56">
        <v>10688.342728895461</v>
      </c>
    </row>
    <row r="10" spans="2:11" x14ac:dyDescent="0.3">
      <c r="B10" s="57" t="b">
        <f t="shared" si="0"/>
        <v>1</v>
      </c>
      <c r="C10" s="55">
        <v>10007969</v>
      </c>
      <c r="D10" s="59" t="s">
        <v>9</v>
      </c>
      <c r="E10" s="55">
        <v>10007969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</row>
    <row r="11" spans="2:11" x14ac:dyDescent="0.3">
      <c r="B11" s="57" t="b">
        <f t="shared" si="0"/>
        <v>1</v>
      </c>
      <c r="C11" s="55">
        <v>10009239</v>
      </c>
      <c r="D11" s="59" t="s">
        <v>91</v>
      </c>
      <c r="E11" s="55">
        <v>10009239</v>
      </c>
      <c r="F11" s="56">
        <v>16.48</v>
      </c>
      <c r="G11" s="56">
        <v>50841.807318410618</v>
      </c>
      <c r="H11" s="56">
        <v>3425.2031999999999</v>
      </c>
      <c r="I11" s="56">
        <v>846.71992467683651</v>
      </c>
      <c r="J11" s="56">
        <v>1664.5079082783564</v>
      </c>
      <c r="K11" s="56">
        <v>1330.5929005302705</v>
      </c>
    </row>
    <row r="12" spans="2:11" x14ac:dyDescent="0.3">
      <c r="B12" s="57" t="b">
        <f t="shared" si="0"/>
        <v>1</v>
      </c>
      <c r="C12" s="55">
        <v>10009334</v>
      </c>
      <c r="D12" s="59" t="s">
        <v>92</v>
      </c>
      <c r="E12" s="55">
        <v>10009334</v>
      </c>
      <c r="F12" s="56">
        <v>137.82999999999998</v>
      </c>
      <c r="G12" s="56">
        <v>365194.72715623671</v>
      </c>
      <c r="H12" s="56">
        <v>28646.587199999998</v>
      </c>
      <c r="I12" s="56">
        <v>7081.5174282893431</v>
      </c>
      <c r="J12" s="56">
        <v>13921.06341007317</v>
      </c>
      <c r="K12" s="56">
        <v>11128.374968451892</v>
      </c>
    </row>
    <row r="13" spans="2:11" x14ac:dyDescent="0.3">
      <c r="B13" s="57" t="b">
        <f t="shared" si="0"/>
        <v>1</v>
      </c>
      <c r="C13" s="55">
        <v>10009386</v>
      </c>
      <c r="D13" s="59" t="s">
        <v>93</v>
      </c>
      <c r="E13" s="55">
        <v>10009386</v>
      </c>
      <c r="F13" s="56">
        <v>21.28</v>
      </c>
      <c r="G13" s="56">
        <v>34005.232595385933</v>
      </c>
      <c r="H13" s="56">
        <v>4422.8352000000004</v>
      </c>
      <c r="I13" s="56">
        <v>1093.3373784662065</v>
      </c>
      <c r="J13" s="56">
        <v>2149.3160369031207</v>
      </c>
      <c r="K13" s="56">
        <v>1718.1442307818056</v>
      </c>
    </row>
    <row r="14" spans="2:11" x14ac:dyDescent="0.3">
      <c r="B14" s="57" t="b">
        <f t="shared" si="0"/>
        <v>0</v>
      </c>
      <c r="D14" s="59" t="s">
        <v>94</v>
      </c>
      <c r="E14" s="55">
        <v>10009207</v>
      </c>
      <c r="F14" s="56">
        <v>30.94</v>
      </c>
      <c r="G14" s="56">
        <v>39602.279566847239</v>
      </c>
      <c r="H14" s="56">
        <v>6430.5696000000007</v>
      </c>
      <c r="I14" s="56">
        <v>1589.6550042173133</v>
      </c>
      <c r="J14" s="56">
        <v>3124.9923957604583</v>
      </c>
      <c r="K14" s="56">
        <v>2498.0912829130202</v>
      </c>
    </row>
    <row r="15" spans="2:11" x14ac:dyDescent="0.3">
      <c r="D15" t="s">
        <v>95</v>
      </c>
      <c r="E15" s="55">
        <v>10009650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</row>
    <row r="16" spans="2:11" x14ac:dyDescent="0.3">
      <c r="D16" t="s">
        <v>96</v>
      </c>
      <c r="E16" s="55">
        <v>10009649</v>
      </c>
      <c r="F16" s="56">
        <v>331.56</v>
      </c>
      <c r="G16" s="56">
        <v>574252.01530779141</v>
      </c>
      <c r="H16" s="56">
        <v>68911.430399999997</v>
      </c>
      <c r="I16" s="56">
        <v>17035.100620500722</v>
      </c>
      <c r="J16" s="56">
        <v>33488.121484755575</v>
      </c>
      <c r="K16" s="56">
        <v>26770.108137124786</v>
      </c>
    </row>
    <row r="17" spans="5:11" x14ac:dyDescent="0.3">
      <c r="E17" s="55" t="s">
        <v>79</v>
      </c>
      <c r="F17" s="56">
        <v>1529.4099999999999</v>
      </c>
      <c r="G17" s="56">
        <v>2578677.6328627747</v>
      </c>
      <c r="H17" s="56">
        <v>317872.57439999998</v>
      </c>
      <c r="I17" s="56">
        <v>78579.000000000029</v>
      </c>
      <c r="J17" s="56">
        <v>154473.00000000009</v>
      </c>
      <c r="K17" s="56">
        <v>123484.35000000006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ACCE-1721-46B1-8D68-514D4F3B91E6}">
  <dimension ref="B1:U59"/>
  <sheetViews>
    <sheetView zoomScale="80" zoomScaleNormal="80" workbookViewId="0">
      <selection activeCell="L1" sqref="L1"/>
    </sheetView>
  </sheetViews>
  <sheetFormatPr baseColWidth="10" defaultRowHeight="14.4" x14ac:dyDescent="0.3"/>
  <cols>
    <col min="1" max="1" width="11.5546875" style="5"/>
    <col min="2" max="2" width="48.77734375" style="5" bestFit="1" customWidth="1"/>
    <col min="3" max="3" width="16.88671875" style="5" customWidth="1"/>
    <col min="4" max="4" width="16.5546875" style="5" customWidth="1"/>
    <col min="5" max="5" width="16.33203125" style="5" customWidth="1"/>
    <col min="6" max="9" width="11.5546875" style="5"/>
    <col min="10" max="10" width="16" style="5" bestFit="1" customWidth="1"/>
    <col min="11" max="11" width="18.5546875" style="5" bestFit="1" customWidth="1"/>
    <col min="12" max="12" width="12.88671875" style="5" bestFit="1" customWidth="1"/>
    <col min="13" max="13" width="13.5546875" style="5" customWidth="1"/>
    <col min="14" max="14" width="13.5546875" style="5" bestFit="1" customWidth="1"/>
    <col min="15" max="15" width="11.77734375" style="5" bestFit="1" customWidth="1"/>
    <col min="16" max="16" width="10.5546875" style="5" bestFit="1" customWidth="1"/>
    <col min="17" max="17" width="14.109375" style="5" bestFit="1" customWidth="1"/>
    <col min="18" max="18" width="13.77734375" style="5" bestFit="1" customWidth="1"/>
    <col min="19" max="19" width="13.44140625" style="5" bestFit="1" customWidth="1"/>
    <col min="20" max="20" width="17.33203125" style="5" bestFit="1" customWidth="1"/>
    <col min="21" max="21" width="23.33203125" style="5" bestFit="1" customWidth="1"/>
    <col min="22" max="16384" width="11.5546875" style="5"/>
  </cols>
  <sheetData>
    <row r="1" spans="2:21" ht="15" thickBot="1" x14ac:dyDescent="0.35">
      <c r="B1" s="1" t="s">
        <v>0</v>
      </c>
      <c r="C1" s="2" t="s">
        <v>52</v>
      </c>
      <c r="D1" s="3" t="s">
        <v>53</v>
      </c>
      <c r="E1" s="4" t="s">
        <v>54</v>
      </c>
      <c r="G1" s="16" t="s">
        <v>55</v>
      </c>
      <c r="H1" s="16" t="s">
        <v>56</v>
      </c>
      <c r="I1" s="16" t="s">
        <v>57</v>
      </c>
      <c r="J1" s="16" t="s">
        <v>58</v>
      </c>
      <c r="K1" s="16" t="s">
        <v>59</v>
      </c>
      <c r="L1" s="17" t="s">
        <v>60</v>
      </c>
      <c r="M1" s="18" t="s">
        <v>61</v>
      </c>
      <c r="N1" s="18" t="s">
        <v>62</v>
      </c>
      <c r="O1" s="18" t="s">
        <v>63</v>
      </c>
      <c r="P1" s="18" t="s">
        <v>64</v>
      </c>
      <c r="Q1" s="18" t="s">
        <v>65</v>
      </c>
      <c r="R1" s="18" t="s">
        <v>66</v>
      </c>
      <c r="S1" s="19" t="s">
        <v>67</v>
      </c>
      <c r="T1" s="20" t="s">
        <v>68</v>
      </c>
      <c r="U1" s="20" t="s">
        <v>69</v>
      </c>
    </row>
    <row r="2" spans="2:21" ht="15.6" x14ac:dyDescent="0.3">
      <c r="B2" s="6" t="s">
        <v>1</v>
      </c>
      <c r="C2" s="50">
        <v>14840</v>
      </c>
      <c r="D2" s="51"/>
      <c r="E2" s="52">
        <v>14840</v>
      </c>
      <c r="G2" s="21">
        <v>10006719</v>
      </c>
      <c r="H2" s="22">
        <f>IFERROR(INDEX([1]Resumen!$K$3:$K$63,MATCH(G2,[1]Resumen!$C$3:$C$63,0)),0)*(1+I2*J2)/1000-51.89/1000-93.38/1000</f>
        <v>1.7319701269990091</v>
      </c>
      <c r="I2" s="23">
        <v>0.71</v>
      </c>
      <c r="J2" s="24">
        <f t="shared" ref="J2:J51" si="0">$H$59</f>
        <v>-0.10965909090909082</v>
      </c>
      <c r="K2" s="25">
        <f t="shared" ref="K2:K51" si="1">C2/1000</f>
        <v>14.84</v>
      </c>
      <c r="L2" s="26">
        <f t="shared" ref="L2:L33" si="2">IF(C2&lt;0,0,C2)/1000</f>
        <v>14.84</v>
      </c>
      <c r="M2" s="27">
        <f t="shared" ref="M2:M51" si="3">IFERROR(H2*L2,0)*1000</f>
        <v>25702.436684665296</v>
      </c>
      <c r="N2" s="28">
        <f t="shared" ref="N2:N51" si="4">207.84*L2</f>
        <v>3084.3456000000001</v>
      </c>
      <c r="O2" s="27">
        <f t="shared" ref="O2:O51" si="5">$O$54/$L$52*L2</f>
        <v>762.4589612988018</v>
      </c>
      <c r="P2" s="27">
        <f t="shared" ref="P2:P51" si="6">$P$54/$L$52*L2</f>
        <v>1498.8651309982288</v>
      </c>
      <c r="Q2" s="27">
        <f t="shared" ref="Q2:Q51" si="7">$Q$54/$L$52*L2</f>
        <v>1198.179529360996</v>
      </c>
      <c r="R2" s="27">
        <v>0</v>
      </c>
      <c r="S2" s="29">
        <v>0</v>
      </c>
      <c r="T2" s="30">
        <f t="shared" ref="T2:T51" si="8">M2+N2+O2+P2</f>
        <v>31048.106376962329</v>
      </c>
      <c r="U2" s="30">
        <f t="shared" ref="U2:U52" si="9">IFERROR(T2/L2,0)</f>
        <v>2092.1904566686208</v>
      </c>
    </row>
    <row r="3" spans="2:21" ht="15.6" x14ac:dyDescent="0.3">
      <c r="B3" s="7" t="s">
        <v>2</v>
      </c>
      <c r="C3" s="50">
        <v>680</v>
      </c>
      <c r="D3" s="51"/>
      <c r="E3" s="52">
        <v>680</v>
      </c>
      <c r="G3" s="21">
        <v>10006719</v>
      </c>
      <c r="H3" s="22">
        <f>IFERROR(INDEX([1]Resumen!$K$3:$K$63,MATCH(G3,[1]Resumen!$C$3:$C$63,0)),0)*(1+I3*J3)/1000-51.89/1000-93.38/1000</f>
        <v>1.7319701269990091</v>
      </c>
      <c r="I3" s="23">
        <v>0.71</v>
      </c>
      <c r="J3" s="24">
        <f t="shared" si="0"/>
        <v>-0.10965909090909082</v>
      </c>
      <c r="K3" s="25">
        <f t="shared" si="1"/>
        <v>0.68</v>
      </c>
      <c r="L3" s="26">
        <f t="shared" si="2"/>
        <v>0.68</v>
      </c>
      <c r="M3" s="27">
        <f t="shared" si="3"/>
        <v>1177.7396863593262</v>
      </c>
      <c r="N3" s="28">
        <f t="shared" si="4"/>
        <v>141.33120000000002</v>
      </c>
      <c r="O3" s="27">
        <f t="shared" si="5"/>
        <v>34.937472620160733</v>
      </c>
      <c r="P3" s="27">
        <f t="shared" si="6"/>
        <v>68.681151555174907</v>
      </c>
      <c r="Q3" s="27">
        <f t="shared" si="7"/>
        <v>54.903105118967474</v>
      </c>
      <c r="R3" s="27">
        <v>0</v>
      </c>
      <c r="S3" s="29">
        <v>0</v>
      </c>
      <c r="T3" s="30">
        <f t="shared" si="8"/>
        <v>1422.6895105346618</v>
      </c>
      <c r="U3" s="30">
        <f t="shared" si="9"/>
        <v>2092.1904566686203</v>
      </c>
    </row>
    <row r="4" spans="2:21" ht="15.6" x14ac:dyDescent="0.3">
      <c r="B4" s="7" t="s">
        <v>3</v>
      </c>
      <c r="C4" s="50">
        <v>0</v>
      </c>
      <c r="D4" s="51"/>
      <c r="E4" s="52">
        <v>0</v>
      </c>
      <c r="G4" s="21">
        <v>10006719</v>
      </c>
      <c r="H4" s="22">
        <f>IFERROR(INDEX([1]Resumen!$K$3:$K$63,MATCH(G4,[1]Resumen!$C$3:$C$63,0)),0)*(1+I4*J4)/1000-51.89/1000-93.38/1000</f>
        <v>1.7319701269990091</v>
      </c>
      <c r="I4" s="23">
        <v>0.71</v>
      </c>
      <c r="J4" s="24">
        <f t="shared" si="0"/>
        <v>-0.10965909090909082</v>
      </c>
      <c r="K4" s="25">
        <f t="shared" si="1"/>
        <v>0</v>
      </c>
      <c r="L4" s="26">
        <f t="shared" si="2"/>
        <v>0</v>
      </c>
      <c r="M4" s="27">
        <f t="shared" si="3"/>
        <v>0</v>
      </c>
      <c r="N4" s="28">
        <f t="shared" si="4"/>
        <v>0</v>
      </c>
      <c r="O4" s="27">
        <f t="shared" si="5"/>
        <v>0</v>
      </c>
      <c r="P4" s="27">
        <f t="shared" si="6"/>
        <v>0</v>
      </c>
      <c r="Q4" s="27">
        <f t="shared" si="7"/>
        <v>0</v>
      </c>
      <c r="R4" s="27">
        <v>0</v>
      </c>
      <c r="S4" s="29">
        <v>0</v>
      </c>
      <c r="T4" s="30">
        <f t="shared" si="8"/>
        <v>0</v>
      </c>
      <c r="U4" s="30">
        <f t="shared" si="9"/>
        <v>0</v>
      </c>
    </row>
    <row r="5" spans="2:21" ht="15.6" x14ac:dyDescent="0.3">
      <c r="B5" s="7" t="s">
        <v>4</v>
      </c>
      <c r="C5" s="50">
        <v>0</v>
      </c>
      <c r="D5" s="51"/>
      <c r="E5" s="52">
        <v>0</v>
      </c>
      <c r="G5" s="21">
        <v>10006719</v>
      </c>
      <c r="H5" s="22">
        <f>IFERROR(INDEX([1]Resumen!$K$3:$K$63,MATCH(G5,[1]Resumen!$C$3:$C$63,0)),0)*(1+I5*J5)/1000-51.89/1000-93.38/1000</f>
        <v>1.7319701269990091</v>
      </c>
      <c r="I5" s="23">
        <v>0.71</v>
      </c>
      <c r="J5" s="24">
        <f t="shared" si="0"/>
        <v>-0.10965909090909082</v>
      </c>
      <c r="K5" s="25">
        <f t="shared" si="1"/>
        <v>0</v>
      </c>
      <c r="L5" s="26">
        <f t="shared" si="2"/>
        <v>0</v>
      </c>
      <c r="M5" s="27">
        <f t="shared" si="3"/>
        <v>0</v>
      </c>
      <c r="N5" s="28">
        <f t="shared" si="4"/>
        <v>0</v>
      </c>
      <c r="O5" s="27">
        <f t="shared" si="5"/>
        <v>0</v>
      </c>
      <c r="P5" s="27">
        <f t="shared" si="6"/>
        <v>0</v>
      </c>
      <c r="Q5" s="27">
        <f t="shared" si="7"/>
        <v>0</v>
      </c>
      <c r="R5" s="27">
        <v>0</v>
      </c>
      <c r="S5" s="29">
        <v>0</v>
      </c>
      <c r="T5" s="30">
        <f t="shared" si="8"/>
        <v>0</v>
      </c>
      <c r="U5" s="30">
        <f t="shared" si="9"/>
        <v>0</v>
      </c>
    </row>
    <row r="6" spans="2:21" ht="15.6" x14ac:dyDescent="0.3">
      <c r="B6" s="7" t="s">
        <v>5</v>
      </c>
      <c r="C6" s="50">
        <v>40</v>
      </c>
      <c r="D6" s="51"/>
      <c r="E6" s="52">
        <v>40</v>
      </c>
      <c r="G6" s="21">
        <v>10006719</v>
      </c>
      <c r="H6" s="22">
        <f>IFERROR(INDEX([1]Resumen!$K$3:$K$63,MATCH(G6,[1]Resumen!$C$3:$C$63,0)),0)*(1+I6*J6)/1000-51.89/1000-93.38/1000</f>
        <v>1.7319701269990091</v>
      </c>
      <c r="I6" s="23">
        <v>0.71</v>
      </c>
      <c r="J6" s="24">
        <f t="shared" si="0"/>
        <v>-0.10965909090909082</v>
      </c>
      <c r="K6" s="25">
        <f t="shared" si="1"/>
        <v>0.04</v>
      </c>
      <c r="L6" s="26">
        <f t="shared" si="2"/>
        <v>0.04</v>
      </c>
      <c r="M6" s="27">
        <f t="shared" si="3"/>
        <v>69.278805079960364</v>
      </c>
      <c r="N6" s="28">
        <f t="shared" si="4"/>
        <v>8.313600000000001</v>
      </c>
      <c r="O6" s="27">
        <f t="shared" si="5"/>
        <v>2.0551454482447489</v>
      </c>
      <c r="P6" s="27">
        <f t="shared" si="6"/>
        <v>4.0400677385397001</v>
      </c>
      <c r="Q6" s="27">
        <f t="shared" si="7"/>
        <v>3.2295944187627925</v>
      </c>
      <c r="R6" s="27">
        <v>0</v>
      </c>
      <c r="S6" s="29">
        <v>0</v>
      </c>
      <c r="T6" s="30">
        <f t="shared" si="8"/>
        <v>83.687618266744821</v>
      </c>
      <c r="U6" s="30">
        <f t="shared" si="9"/>
        <v>2092.1904566686203</v>
      </c>
    </row>
    <row r="7" spans="2:21" ht="15.6" x14ac:dyDescent="0.3">
      <c r="B7" s="8" t="s">
        <v>6</v>
      </c>
      <c r="C7" s="50">
        <v>2340</v>
      </c>
      <c r="D7" s="51"/>
      <c r="E7" s="52">
        <v>2340</v>
      </c>
      <c r="G7" s="21">
        <v>10006719</v>
      </c>
      <c r="H7" s="22">
        <f>IFERROR(INDEX([1]Resumen!$K$3:$K$63,MATCH(G7,[1]Resumen!$C$3:$C$63,0)),0)*(1+I7*J7)/1000-51.89/1000-93.38/1000</f>
        <v>1.7319701269990091</v>
      </c>
      <c r="I7" s="23">
        <v>0.71</v>
      </c>
      <c r="J7" s="24">
        <f t="shared" si="0"/>
        <v>-0.10965909090909082</v>
      </c>
      <c r="K7" s="25">
        <f t="shared" si="1"/>
        <v>2.34</v>
      </c>
      <c r="L7" s="26">
        <f t="shared" si="2"/>
        <v>2.34</v>
      </c>
      <c r="M7" s="27">
        <f t="shared" si="3"/>
        <v>4052.8100971776812</v>
      </c>
      <c r="N7" s="28">
        <f t="shared" si="4"/>
        <v>486.34559999999999</v>
      </c>
      <c r="O7" s="27">
        <f t="shared" si="5"/>
        <v>120.2260087223178</v>
      </c>
      <c r="P7" s="27">
        <f t="shared" si="6"/>
        <v>236.34396270457245</v>
      </c>
      <c r="Q7" s="27">
        <f t="shared" si="7"/>
        <v>188.93127349762335</v>
      </c>
      <c r="R7" s="27">
        <v>0</v>
      </c>
      <c r="S7" s="29">
        <v>0</v>
      </c>
      <c r="T7" s="30">
        <f t="shared" si="8"/>
        <v>4895.7256686045712</v>
      </c>
      <c r="U7" s="30">
        <f t="shared" si="9"/>
        <v>2092.1904566686203</v>
      </c>
    </row>
    <row r="8" spans="2:21" ht="15.6" x14ac:dyDescent="0.3">
      <c r="B8" s="7" t="s">
        <v>7</v>
      </c>
      <c r="C8" s="50">
        <v>0</v>
      </c>
      <c r="D8" s="51"/>
      <c r="E8" s="52">
        <v>0</v>
      </c>
      <c r="G8" s="21">
        <v>10006719</v>
      </c>
      <c r="H8" s="22">
        <f>IFERROR(INDEX([1]Resumen!$K$3:$K$63,MATCH(G8,[1]Resumen!$C$3:$C$63,0)),0)*(1+I8*J8)/1000-51.89/1000-93.38/1000</f>
        <v>1.7319701269990091</v>
      </c>
      <c r="I8" s="23">
        <v>0.71</v>
      </c>
      <c r="J8" s="24">
        <f t="shared" si="0"/>
        <v>-0.10965909090909082</v>
      </c>
      <c r="K8" s="25">
        <f t="shared" si="1"/>
        <v>0</v>
      </c>
      <c r="L8" s="26">
        <f t="shared" si="2"/>
        <v>0</v>
      </c>
      <c r="M8" s="27">
        <f t="shared" si="3"/>
        <v>0</v>
      </c>
      <c r="N8" s="28">
        <f t="shared" si="4"/>
        <v>0</v>
      </c>
      <c r="O8" s="27">
        <f t="shared" si="5"/>
        <v>0</v>
      </c>
      <c r="P8" s="27">
        <f t="shared" si="6"/>
        <v>0</v>
      </c>
      <c r="Q8" s="27">
        <f t="shared" si="7"/>
        <v>0</v>
      </c>
      <c r="R8" s="27">
        <v>0</v>
      </c>
      <c r="S8" s="29">
        <v>0</v>
      </c>
      <c r="T8" s="30">
        <f t="shared" si="8"/>
        <v>0</v>
      </c>
      <c r="U8" s="30">
        <f t="shared" si="9"/>
        <v>0</v>
      </c>
    </row>
    <row r="9" spans="2:21" ht="15.6" x14ac:dyDescent="0.3">
      <c r="B9" s="7" t="s">
        <v>8</v>
      </c>
      <c r="C9" s="50">
        <v>30940</v>
      </c>
      <c r="D9" s="51"/>
      <c r="E9" s="52">
        <v>30940</v>
      </c>
      <c r="G9" s="31">
        <v>10009207</v>
      </c>
      <c r="H9" s="22">
        <f>IFERROR(INDEX([1]Resumen!$K$3:$K$63,MATCH(G9,[1]Resumen!$C$3:$C$63,0)),0)*(1+I9*J9)/1000-51.89/1000-93.38/1000</f>
        <v>1.2799702510293225</v>
      </c>
      <c r="I9" s="24">
        <v>0.71</v>
      </c>
      <c r="J9" s="24">
        <f t="shared" si="0"/>
        <v>-0.10965909090909082</v>
      </c>
      <c r="K9" s="25">
        <f t="shared" si="1"/>
        <v>30.94</v>
      </c>
      <c r="L9" s="26">
        <f t="shared" si="2"/>
        <v>30.94</v>
      </c>
      <c r="M9" s="27">
        <f t="shared" si="3"/>
        <v>39602.279566847239</v>
      </c>
      <c r="N9" s="28">
        <f t="shared" si="4"/>
        <v>6430.5696000000007</v>
      </c>
      <c r="O9" s="27">
        <f t="shared" si="5"/>
        <v>1589.6550042173133</v>
      </c>
      <c r="P9" s="27">
        <f t="shared" si="6"/>
        <v>3124.9923957604583</v>
      </c>
      <c r="Q9" s="27">
        <f t="shared" si="7"/>
        <v>2498.0912829130202</v>
      </c>
      <c r="R9" s="27">
        <v>0</v>
      </c>
      <c r="S9" s="29">
        <v>0</v>
      </c>
      <c r="T9" s="30">
        <f t="shared" si="8"/>
        <v>50747.496566825008</v>
      </c>
      <c r="U9" s="30">
        <f t="shared" si="9"/>
        <v>1640.1905806989337</v>
      </c>
    </row>
    <row r="10" spans="2:21" ht="15.6" x14ac:dyDescent="0.3">
      <c r="B10" s="7" t="s">
        <v>9</v>
      </c>
      <c r="C10" s="50">
        <v>0</v>
      </c>
      <c r="D10" s="51"/>
      <c r="E10" s="52">
        <v>0</v>
      </c>
      <c r="G10" s="31">
        <v>10007969</v>
      </c>
      <c r="H10" s="22">
        <f>IFERROR(INDEX([1]Resumen!$K$3:$K$63,MATCH(G10,[1]Resumen!$C$3:$C$63,0)),0)*(1+I10*J10)/1000-51.89/1000-93.38/1000</f>
        <v>1.2330367002592995</v>
      </c>
      <c r="I10" s="24">
        <v>0.71</v>
      </c>
      <c r="J10" s="24">
        <f t="shared" si="0"/>
        <v>-0.10965909090909082</v>
      </c>
      <c r="K10" s="25">
        <f t="shared" si="1"/>
        <v>0</v>
      </c>
      <c r="L10" s="26">
        <f t="shared" si="2"/>
        <v>0</v>
      </c>
      <c r="M10" s="27">
        <f t="shared" si="3"/>
        <v>0</v>
      </c>
      <c r="N10" s="28">
        <f t="shared" si="4"/>
        <v>0</v>
      </c>
      <c r="O10" s="27">
        <f t="shared" si="5"/>
        <v>0</v>
      </c>
      <c r="P10" s="27">
        <f t="shared" si="6"/>
        <v>0</v>
      </c>
      <c r="Q10" s="27">
        <f t="shared" si="7"/>
        <v>0</v>
      </c>
      <c r="R10" s="27">
        <v>0</v>
      </c>
      <c r="S10" s="29">
        <v>0</v>
      </c>
      <c r="T10" s="30">
        <f t="shared" si="8"/>
        <v>0</v>
      </c>
      <c r="U10" s="30">
        <f t="shared" si="9"/>
        <v>0</v>
      </c>
    </row>
    <row r="11" spans="2:21" ht="15.6" x14ac:dyDescent="0.3">
      <c r="B11" s="9" t="s">
        <v>10</v>
      </c>
      <c r="C11" s="50">
        <v>0</v>
      </c>
      <c r="D11" s="51"/>
      <c r="E11" s="52">
        <v>0</v>
      </c>
      <c r="G11" s="32">
        <v>10005721</v>
      </c>
      <c r="H11" s="22">
        <f>IFERROR(INDEX([1]Resumen!$K$3:$K$63,MATCH(G11,[1]Resumen!$C$3:$C$63,0)),0)*(1+I11*J11)/1000-51.89/1000-93.38/1000</f>
        <v>1.8344310061156939</v>
      </c>
      <c r="I11" s="23">
        <v>0.67</v>
      </c>
      <c r="J11" s="24">
        <f t="shared" si="0"/>
        <v>-0.10965909090909082</v>
      </c>
      <c r="K11" s="25">
        <f t="shared" si="1"/>
        <v>0</v>
      </c>
      <c r="L11" s="26">
        <f t="shared" si="2"/>
        <v>0</v>
      </c>
      <c r="M11" s="27">
        <f t="shared" si="3"/>
        <v>0</v>
      </c>
      <c r="N11" s="28">
        <f t="shared" si="4"/>
        <v>0</v>
      </c>
      <c r="O11" s="27">
        <f t="shared" si="5"/>
        <v>0</v>
      </c>
      <c r="P11" s="27">
        <f t="shared" si="6"/>
        <v>0</v>
      </c>
      <c r="Q11" s="27">
        <f t="shared" si="7"/>
        <v>0</v>
      </c>
      <c r="R11" s="27">
        <v>0</v>
      </c>
      <c r="S11" s="29">
        <v>0</v>
      </c>
      <c r="T11" s="30">
        <f t="shared" si="8"/>
        <v>0</v>
      </c>
      <c r="U11" s="30">
        <f t="shared" si="9"/>
        <v>0</v>
      </c>
    </row>
    <row r="12" spans="2:21" ht="15.6" x14ac:dyDescent="0.3">
      <c r="B12" s="9" t="s">
        <v>11</v>
      </c>
      <c r="C12" s="50">
        <v>1760</v>
      </c>
      <c r="D12" s="51"/>
      <c r="E12" s="52">
        <v>1760</v>
      </c>
      <c r="G12" s="32">
        <v>10005721</v>
      </c>
      <c r="H12" s="22">
        <f>IFERROR(INDEX([1]Resumen!$K$3:$K$63,MATCH(G12,[1]Resumen!$C$3:$C$63,0)),0)*(1+I12*J12)/1000-51.89/1000-93.38/1000</f>
        <v>1.8344310061156939</v>
      </c>
      <c r="I12" s="23">
        <v>0.67</v>
      </c>
      <c r="J12" s="24">
        <f t="shared" si="0"/>
        <v>-0.10965909090909082</v>
      </c>
      <c r="K12" s="25">
        <f t="shared" si="1"/>
        <v>1.76</v>
      </c>
      <c r="L12" s="26">
        <f t="shared" si="2"/>
        <v>1.76</v>
      </c>
      <c r="M12" s="27">
        <f t="shared" si="3"/>
        <v>3228.598570763621</v>
      </c>
      <c r="N12" s="28">
        <f t="shared" si="4"/>
        <v>365.79840000000002</v>
      </c>
      <c r="O12" s="27">
        <f t="shared" si="5"/>
        <v>90.426399722768949</v>
      </c>
      <c r="P12" s="27">
        <f t="shared" si="6"/>
        <v>177.7629804957468</v>
      </c>
      <c r="Q12" s="27">
        <f t="shared" si="7"/>
        <v>142.10215442556287</v>
      </c>
      <c r="R12" s="27">
        <v>0</v>
      </c>
      <c r="S12" s="29">
        <v>0</v>
      </c>
      <c r="T12" s="30">
        <f t="shared" si="8"/>
        <v>3862.586350982137</v>
      </c>
      <c r="U12" s="30">
        <f t="shared" si="9"/>
        <v>2194.651335785305</v>
      </c>
    </row>
    <row r="13" spans="2:21" ht="15.6" x14ac:dyDescent="0.3">
      <c r="B13" s="9" t="s">
        <v>12</v>
      </c>
      <c r="C13" s="50">
        <v>0</v>
      </c>
      <c r="D13" s="51"/>
      <c r="E13" s="52">
        <v>0</v>
      </c>
      <c r="G13" s="32">
        <v>10005721</v>
      </c>
      <c r="H13" s="22">
        <f>IFERROR(INDEX([1]Resumen!$K$3:$K$63,MATCH(G13,[1]Resumen!$C$3:$C$63,0)),0)*(1+I13*J13)/1000-51.89/1000-93.38/1000</f>
        <v>1.8344310061156939</v>
      </c>
      <c r="I13" s="23">
        <v>0.67</v>
      </c>
      <c r="J13" s="24">
        <f t="shared" si="0"/>
        <v>-0.10965909090909082</v>
      </c>
      <c r="K13" s="25">
        <f t="shared" si="1"/>
        <v>0</v>
      </c>
      <c r="L13" s="26">
        <f t="shared" si="2"/>
        <v>0</v>
      </c>
      <c r="M13" s="27">
        <f t="shared" si="3"/>
        <v>0</v>
      </c>
      <c r="N13" s="28">
        <f t="shared" si="4"/>
        <v>0</v>
      </c>
      <c r="O13" s="27">
        <f t="shared" si="5"/>
        <v>0</v>
      </c>
      <c r="P13" s="27">
        <f t="shared" si="6"/>
        <v>0</v>
      </c>
      <c r="Q13" s="27">
        <f t="shared" si="7"/>
        <v>0</v>
      </c>
      <c r="R13" s="27">
        <v>0</v>
      </c>
      <c r="S13" s="29">
        <v>0</v>
      </c>
      <c r="T13" s="30">
        <f t="shared" si="8"/>
        <v>0</v>
      </c>
      <c r="U13" s="30">
        <f t="shared" si="9"/>
        <v>0</v>
      </c>
    </row>
    <row r="14" spans="2:21" ht="15.6" x14ac:dyDescent="0.3">
      <c r="B14" s="9" t="s">
        <v>13</v>
      </c>
      <c r="C14" s="50">
        <v>32180</v>
      </c>
      <c r="D14" s="51"/>
      <c r="E14" s="52">
        <v>32180</v>
      </c>
      <c r="G14" s="32">
        <v>10005721</v>
      </c>
      <c r="H14" s="22">
        <f>IFERROR(INDEX([1]Resumen!$K$3:$K$63,MATCH(G14,[1]Resumen!$C$3:$C$63,0)),0)*(1+I14*J14)/1000-51.89/1000-93.38/1000</f>
        <v>1.8344310061156939</v>
      </c>
      <c r="I14" s="23">
        <v>0.67</v>
      </c>
      <c r="J14" s="24">
        <f t="shared" si="0"/>
        <v>-0.10965909090909082</v>
      </c>
      <c r="K14" s="25">
        <f t="shared" si="1"/>
        <v>32.18</v>
      </c>
      <c r="L14" s="26">
        <f t="shared" si="2"/>
        <v>32.18</v>
      </c>
      <c r="M14" s="27">
        <f t="shared" si="3"/>
        <v>59031.989776803028</v>
      </c>
      <c r="N14" s="28">
        <f t="shared" si="4"/>
        <v>6688.2911999999997</v>
      </c>
      <c r="O14" s="27">
        <f t="shared" si="5"/>
        <v>1653.3645131129003</v>
      </c>
      <c r="P14" s="27">
        <f t="shared" si="6"/>
        <v>3250.2344956551888</v>
      </c>
      <c r="Q14" s="27">
        <f t="shared" si="7"/>
        <v>2598.2087098946663</v>
      </c>
      <c r="R14" s="27">
        <v>0</v>
      </c>
      <c r="S14" s="29">
        <v>0</v>
      </c>
      <c r="T14" s="30">
        <f t="shared" si="8"/>
        <v>70623.879985571111</v>
      </c>
      <c r="U14" s="30">
        <f t="shared" si="9"/>
        <v>2194.651335785305</v>
      </c>
    </row>
    <row r="15" spans="2:21" ht="15.6" x14ac:dyDescent="0.3">
      <c r="B15" s="7" t="s">
        <v>14</v>
      </c>
      <c r="C15" s="50">
        <v>1080</v>
      </c>
      <c r="D15" s="51"/>
      <c r="E15" s="52">
        <v>1080</v>
      </c>
      <c r="G15" s="32">
        <v>10005721</v>
      </c>
      <c r="H15" s="22">
        <f>IFERROR(INDEX([1]Resumen!$K$3:$K$63,MATCH(G15,[1]Resumen!$C$3:$C$63,0)),0)*(1+I15*J15)/1000-51.89/1000-93.38/1000</f>
        <v>1.8344310061156939</v>
      </c>
      <c r="I15" s="23">
        <v>0.67</v>
      </c>
      <c r="J15" s="24">
        <f t="shared" si="0"/>
        <v>-0.10965909090909082</v>
      </c>
      <c r="K15" s="25">
        <f t="shared" si="1"/>
        <v>1.08</v>
      </c>
      <c r="L15" s="26">
        <f t="shared" si="2"/>
        <v>1.08</v>
      </c>
      <c r="M15" s="27">
        <f t="shared" si="3"/>
        <v>1981.1854866049493</v>
      </c>
      <c r="N15" s="28">
        <f t="shared" si="4"/>
        <v>224.46720000000002</v>
      </c>
      <c r="O15" s="27">
        <f t="shared" si="5"/>
        <v>55.488927102608223</v>
      </c>
      <c r="P15" s="27">
        <f t="shared" si="6"/>
        <v>109.08182894057191</v>
      </c>
      <c r="Q15" s="27">
        <f t="shared" si="7"/>
        <v>87.199049306595398</v>
      </c>
      <c r="R15" s="27">
        <v>0</v>
      </c>
      <c r="S15" s="29">
        <v>0</v>
      </c>
      <c r="T15" s="30">
        <f t="shared" si="8"/>
        <v>2370.2234426481295</v>
      </c>
      <c r="U15" s="30">
        <f t="shared" si="9"/>
        <v>2194.651335785305</v>
      </c>
    </row>
    <row r="16" spans="2:21" ht="15.6" x14ac:dyDescent="0.3">
      <c r="B16" s="6" t="s">
        <v>15</v>
      </c>
      <c r="C16" s="50">
        <v>3100</v>
      </c>
      <c r="D16" s="51"/>
      <c r="E16" s="52">
        <v>3100</v>
      </c>
      <c r="G16" s="32">
        <v>10005721</v>
      </c>
      <c r="H16" s="22">
        <f>IFERROR(INDEX([1]Resumen!$K$3:$K$63,MATCH(G16,[1]Resumen!$C$3:$C$63,0)),0)*(1+I16*J16)/1000-51.89/1000-93.38/1000</f>
        <v>1.8344310061156939</v>
      </c>
      <c r="I16" s="23">
        <v>0.67</v>
      </c>
      <c r="J16" s="24">
        <f t="shared" si="0"/>
        <v>-0.10965909090909082</v>
      </c>
      <c r="K16" s="25">
        <f t="shared" si="1"/>
        <v>3.1</v>
      </c>
      <c r="L16" s="26">
        <f t="shared" si="2"/>
        <v>3.1</v>
      </c>
      <c r="M16" s="27">
        <f t="shared" si="3"/>
        <v>5686.7361189586518</v>
      </c>
      <c r="N16" s="28">
        <f t="shared" si="4"/>
        <v>644.30399999999997</v>
      </c>
      <c r="O16" s="27">
        <f t="shared" si="5"/>
        <v>159.27377223896804</v>
      </c>
      <c r="P16" s="27">
        <f t="shared" si="6"/>
        <v>313.10524973682675</v>
      </c>
      <c r="Q16" s="27">
        <f t="shared" si="7"/>
        <v>250.29356745411641</v>
      </c>
      <c r="R16" s="27">
        <v>0</v>
      </c>
      <c r="S16" s="29">
        <v>0</v>
      </c>
      <c r="T16" s="30">
        <f t="shared" si="8"/>
        <v>6803.4191409344467</v>
      </c>
      <c r="U16" s="30">
        <f t="shared" si="9"/>
        <v>2194.6513357853055</v>
      </c>
    </row>
    <row r="17" spans="2:21" ht="15.6" x14ac:dyDescent="0.3">
      <c r="B17" s="7" t="s">
        <v>16</v>
      </c>
      <c r="C17" s="50">
        <v>0</v>
      </c>
      <c r="D17" s="51"/>
      <c r="E17" s="52">
        <v>0</v>
      </c>
      <c r="G17" s="32">
        <v>10005721</v>
      </c>
      <c r="H17" s="22">
        <f>IFERROR(INDEX([1]Resumen!$K$3:$K$63,MATCH(G17,[1]Resumen!$C$3:$C$63,0)),0)*(1+I17*J17)/1000-51.89/1000-93.38/1000</f>
        <v>1.8344310061156939</v>
      </c>
      <c r="I17" s="23">
        <v>0.67</v>
      </c>
      <c r="J17" s="24">
        <f t="shared" si="0"/>
        <v>-0.10965909090909082</v>
      </c>
      <c r="K17" s="25">
        <f t="shared" si="1"/>
        <v>0</v>
      </c>
      <c r="L17" s="26">
        <f t="shared" si="2"/>
        <v>0</v>
      </c>
      <c r="M17" s="27">
        <f t="shared" si="3"/>
        <v>0</v>
      </c>
      <c r="N17" s="28">
        <f t="shared" si="4"/>
        <v>0</v>
      </c>
      <c r="O17" s="27">
        <f t="shared" si="5"/>
        <v>0</v>
      </c>
      <c r="P17" s="27">
        <f t="shared" si="6"/>
        <v>0</v>
      </c>
      <c r="Q17" s="27">
        <f t="shared" si="7"/>
        <v>0</v>
      </c>
      <c r="R17" s="27">
        <v>0</v>
      </c>
      <c r="S17" s="29">
        <v>0</v>
      </c>
      <c r="T17" s="30">
        <f t="shared" si="8"/>
        <v>0</v>
      </c>
      <c r="U17" s="30">
        <f t="shared" si="9"/>
        <v>0</v>
      </c>
    </row>
    <row r="18" spans="2:21" ht="15.6" x14ac:dyDescent="0.3">
      <c r="B18" s="7" t="s">
        <v>17</v>
      </c>
      <c r="C18" s="50">
        <v>5280</v>
      </c>
      <c r="D18" s="51"/>
      <c r="E18" s="52">
        <v>5280</v>
      </c>
      <c r="G18" s="32">
        <v>10005721</v>
      </c>
      <c r="H18" s="22">
        <f>IFERROR(INDEX([1]Resumen!$K$3:$K$63,MATCH(G18,[1]Resumen!$C$3:$C$63,0)),0)*(1+I18*J18)/1000-51.89/1000-93.38/1000</f>
        <v>1.8344310061156939</v>
      </c>
      <c r="I18" s="23">
        <v>0.67</v>
      </c>
      <c r="J18" s="24">
        <f t="shared" si="0"/>
        <v>-0.10965909090909082</v>
      </c>
      <c r="K18" s="25">
        <f t="shared" si="1"/>
        <v>5.28</v>
      </c>
      <c r="L18" s="26">
        <f t="shared" si="2"/>
        <v>5.28</v>
      </c>
      <c r="M18" s="27">
        <f t="shared" si="3"/>
        <v>9685.7957122908629</v>
      </c>
      <c r="N18" s="28">
        <f t="shared" si="4"/>
        <v>1097.3952000000002</v>
      </c>
      <c r="O18" s="27">
        <f t="shared" si="5"/>
        <v>271.27919916830683</v>
      </c>
      <c r="P18" s="27">
        <f t="shared" si="6"/>
        <v>533.28894148724044</v>
      </c>
      <c r="Q18" s="27">
        <f t="shared" si="7"/>
        <v>426.30646327668865</v>
      </c>
      <c r="R18" s="27">
        <v>0</v>
      </c>
      <c r="S18" s="29">
        <v>0</v>
      </c>
      <c r="T18" s="30">
        <f t="shared" si="8"/>
        <v>11587.759052946411</v>
      </c>
      <c r="U18" s="30">
        <f t="shared" si="9"/>
        <v>2194.651335785305</v>
      </c>
    </row>
    <row r="19" spans="2:21" ht="15.6" x14ac:dyDescent="0.3">
      <c r="B19" s="7" t="s">
        <v>18</v>
      </c>
      <c r="C19" s="50">
        <v>17640</v>
      </c>
      <c r="D19" s="51"/>
      <c r="E19" s="52">
        <v>17640</v>
      </c>
      <c r="G19" s="32">
        <v>10005721</v>
      </c>
      <c r="H19" s="22">
        <f>IFERROR(INDEX([1]Resumen!$K$3:$K$63,MATCH(G19,[1]Resumen!$C$3:$C$63,0)),0)*(1+I19*J19)/1000-51.89/1000-93.38/1000</f>
        <v>1.8344310061156939</v>
      </c>
      <c r="I19" s="23">
        <v>0.67</v>
      </c>
      <c r="J19" s="24">
        <f t="shared" si="0"/>
        <v>-0.10965909090909082</v>
      </c>
      <c r="K19" s="25">
        <f t="shared" si="1"/>
        <v>17.64</v>
      </c>
      <c r="L19" s="26">
        <f t="shared" si="2"/>
        <v>17.64</v>
      </c>
      <c r="M19" s="27">
        <f t="shared" si="3"/>
        <v>32359.36294788084</v>
      </c>
      <c r="N19" s="28">
        <f t="shared" si="4"/>
        <v>3666.2976000000003</v>
      </c>
      <c r="O19" s="27">
        <f t="shared" si="5"/>
        <v>906.31914267593424</v>
      </c>
      <c r="P19" s="27">
        <f t="shared" si="6"/>
        <v>1781.6698726960078</v>
      </c>
      <c r="Q19" s="27">
        <f t="shared" si="7"/>
        <v>1424.2511386743915</v>
      </c>
      <c r="R19" s="27">
        <v>0</v>
      </c>
      <c r="S19" s="29">
        <v>0</v>
      </c>
      <c r="T19" s="30">
        <f t="shared" si="8"/>
        <v>38713.649563252788</v>
      </c>
      <c r="U19" s="30">
        <f t="shared" si="9"/>
        <v>2194.6513357853055</v>
      </c>
    </row>
    <row r="20" spans="2:21" ht="15.6" x14ac:dyDescent="0.3">
      <c r="B20" s="10" t="s">
        <v>19</v>
      </c>
      <c r="C20" s="50">
        <v>0</v>
      </c>
      <c r="D20" s="51"/>
      <c r="E20" s="52">
        <v>0</v>
      </c>
      <c r="G20" s="32">
        <v>10005721</v>
      </c>
      <c r="H20" s="22">
        <f>IFERROR(INDEX([1]Resumen!$K$3:$K$63,MATCH(G20,[1]Resumen!$C$3:$C$63,0)),0)*(1+I20*J20)/1000-51.89/1000-93.38/1000</f>
        <v>1.8344310061156939</v>
      </c>
      <c r="I20" s="23">
        <v>0.67</v>
      </c>
      <c r="J20" s="24">
        <f t="shared" si="0"/>
        <v>-0.10965909090909082</v>
      </c>
      <c r="K20" s="25">
        <f t="shared" si="1"/>
        <v>0</v>
      </c>
      <c r="L20" s="26">
        <f t="shared" si="2"/>
        <v>0</v>
      </c>
      <c r="M20" s="27">
        <f t="shared" si="3"/>
        <v>0</v>
      </c>
      <c r="N20" s="28">
        <f t="shared" si="4"/>
        <v>0</v>
      </c>
      <c r="O20" s="27">
        <f t="shared" si="5"/>
        <v>0</v>
      </c>
      <c r="P20" s="27">
        <f t="shared" si="6"/>
        <v>0</v>
      </c>
      <c r="Q20" s="27">
        <f t="shared" si="7"/>
        <v>0</v>
      </c>
      <c r="R20" s="27">
        <v>0</v>
      </c>
      <c r="S20" s="29">
        <v>0</v>
      </c>
      <c r="T20" s="30">
        <f t="shared" si="8"/>
        <v>0</v>
      </c>
      <c r="U20" s="30">
        <f t="shared" si="9"/>
        <v>0</v>
      </c>
    </row>
    <row r="21" spans="2:21" ht="15.6" x14ac:dyDescent="0.3">
      <c r="B21" s="10" t="s">
        <v>20</v>
      </c>
      <c r="C21" s="50">
        <v>2720</v>
      </c>
      <c r="D21" s="51"/>
      <c r="E21" s="52">
        <v>2720</v>
      </c>
      <c r="G21" s="32">
        <v>10005721</v>
      </c>
      <c r="H21" s="22">
        <f>IFERROR(INDEX([1]Resumen!$K$3:$K$63,MATCH(G21,[1]Resumen!$C$3:$C$63,0)),0)*(1+I21*J21)/1000-51.89/1000-93.38/1000</f>
        <v>1.8344310061156939</v>
      </c>
      <c r="I21" s="23">
        <v>0.67</v>
      </c>
      <c r="J21" s="24">
        <f t="shared" si="0"/>
        <v>-0.10965909090909082</v>
      </c>
      <c r="K21" s="25">
        <f t="shared" si="1"/>
        <v>2.72</v>
      </c>
      <c r="L21" s="26">
        <f t="shared" si="2"/>
        <v>2.72</v>
      </c>
      <c r="M21" s="27">
        <f t="shared" si="3"/>
        <v>4989.6523366346873</v>
      </c>
      <c r="N21" s="28">
        <f t="shared" si="4"/>
        <v>565.3248000000001</v>
      </c>
      <c r="O21" s="27">
        <f t="shared" si="5"/>
        <v>139.74989048064293</v>
      </c>
      <c r="P21" s="27">
        <f t="shared" si="6"/>
        <v>274.72460622069963</v>
      </c>
      <c r="Q21" s="27">
        <f t="shared" si="7"/>
        <v>219.6124204758699</v>
      </c>
      <c r="R21" s="27">
        <v>0</v>
      </c>
      <c r="S21" s="29">
        <v>0</v>
      </c>
      <c r="T21" s="30">
        <f t="shared" si="8"/>
        <v>5969.4516333360298</v>
      </c>
      <c r="U21" s="30">
        <f t="shared" si="9"/>
        <v>2194.651335785305</v>
      </c>
    </row>
    <row r="22" spans="2:21" ht="15.6" x14ac:dyDescent="0.3">
      <c r="B22" s="10" t="s">
        <v>21</v>
      </c>
      <c r="C22" s="50">
        <v>0</v>
      </c>
      <c r="D22" s="51"/>
      <c r="E22" s="52">
        <v>0</v>
      </c>
      <c r="G22" s="32">
        <v>10005721</v>
      </c>
      <c r="H22" s="22">
        <f>IFERROR(INDEX([1]Resumen!$K$3:$K$63,MATCH(G22,[1]Resumen!$C$3:$C$63,0)),0)*(1+I22*J22)/1000-51.89/1000-93.38/1000</f>
        <v>1.8344310061156939</v>
      </c>
      <c r="I22" s="23">
        <v>0.67</v>
      </c>
      <c r="J22" s="24">
        <f t="shared" si="0"/>
        <v>-0.10965909090909082</v>
      </c>
      <c r="K22" s="25">
        <f t="shared" si="1"/>
        <v>0</v>
      </c>
      <c r="L22" s="26">
        <f t="shared" si="2"/>
        <v>0</v>
      </c>
      <c r="M22" s="27">
        <f t="shared" si="3"/>
        <v>0</v>
      </c>
      <c r="N22" s="28">
        <f t="shared" si="4"/>
        <v>0</v>
      </c>
      <c r="O22" s="27">
        <f t="shared" si="5"/>
        <v>0</v>
      </c>
      <c r="P22" s="27">
        <f t="shared" si="6"/>
        <v>0</v>
      </c>
      <c r="Q22" s="27">
        <f t="shared" si="7"/>
        <v>0</v>
      </c>
      <c r="R22" s="27">
        <v>0</v>
      </c>
      <c r="S22" s="29">
        <v>0</v>
      </c>
      <c r="T22" s="30">
        <f t="shared" si="8"/>
        <v>0</v>
      </c>
      <c r="U22" s="30">
        <f t="shared" si="9"/>
        <v>0</v>
      </c>
    </row>
    <row r="23" spans="2:21" ht="15.6" x14ac:dyDescent="0.3">
      <c r="B23" s="6" t="s">
        <v>22</v>
      </c>
      <c r="C23" s="50">
        <v>3200</v>
      </c>
      <c r="D23" s="51"/>
      <c r="E23" s="52">
        <v>3200</v>
      </c>
      <c r="G23" s="32">
        <v>10005721</v>
      </c>
      <c r="H23" s="22">
        <f>IFERROR(INDEX([1]Resumen!$K$3:$K$63,MATCH(G23,[1]Resumen!$C$3:$C$63,0)),0)*(1+I23*J23)/1000-51.89/1000-93.38/1000</f>
        <v>1.8344310061156939</v>
      </c>
      <c r="I23" s="23">
        <v>0.67</v>
      </c>
      <c r="J23" s="24">
        <f t="shared" si="0"/>
        <v>-0.10965909090909082</v>
      </c>
      <c r="K23" s="25">
        <f t="shared" si="1"/>
        <v>3.2</v>
      </c>
      <c r="L23" s="26">
        <f t="shared" si="2"/>
        <v>3.2</v>
      </c>
      <c r="M23" s="27">
        <f t="shared" si="3"/>
        <v>5870.179219570221</v>
      </c>
      <c r="N23" s="28">
        <f t="shared" si="4"/>
        <v>665.08800000000008</v>
      </c>
      <c r="O23" s="27">
        <f t="shared" si="5"/>
        <v>164.41163585957992</v>
      </c>
      <c r="P23" s="27">
        <f t="shared" si="6"/>
        <v>323.20541908317603</v>
      </c>
      <c r="Q23" s="27">
        <f t="shared" si="7"/>
        <v>258.36755350102339</v>
      </c>
      <c r="R23" s="27">
        <v>0</v>
      </c>
      <c r="S23" s="29">
        <v>0</v>
      </c>
      <c r="T23" s="30">
        <f t="shared" si="8"/>
        <v>7022.8842745129768</v>
      </c>
      <c r="U23" s="30">
        <f t="shared" si="9"/>
        <v>2194.651335785305</v>
      </c>
    </row>
    <row r="24" spans="2:21" ht="15.6" x14ac:dyDescent="0.3">
      <c r="B24" s="11" t="s">
        <v>23</v>
      </c>
      <c r="C24" s="50">
        <v>138020</v>
      </c>
      <c r="D24" s="51"/>
      <c r="E24" s="52">
        <v>138020</v>
      </c>
      <c r="G24" s="33">
        <v>10005779</v>
      </c>
      <c r="H24" s="22">
        <f>IFERROR(INDEX([1]Resumen!$K$3:$K$63,MATCH(G24,[1]Resumen!$C$3:$C$63,0)),0)*(1+I24*J24)/1000-51.89/1000-93.38/1000</f>
        <v>1.4834229685286575</v>
      </c>
      <c r="I24" s="23">
        <v>0.65</v>
      </c>
      <c r="J24" s="24">
        <f t="shared" si="0"/>
        <v>-0.10965909090909082</v>
      </c>
      <c r="K24" s="25">
        <f t="shared" si="1"/>
        <v>138.02000000000001</v>
      </c>
      <c r="L24" s="26">
        <f t="shared" si="2"/>
        <v>138.02000000000001</v>
      </c>
      <c r="M24" s="27">
        <f t="shared" si="3"/>
        <v>204742.0381163253</v>
      </c>
      <c r="N24" s="28">
        <f t="shared" si="4"/>
        <v>28686.076800000003</v>
      </c>
      <c r="O24" s="27">
        <f t="shared" si="5"/>
        <v>7091.2793691685065</v>
      </c>
      <c r="P24" s="27">
        <f t="shared" si="6"/>
        <v>13940.253731831235</v>
      </c>
      <c r="Q24" s="27">
        <f t="shared" si="7"/>
        <v>11143.715541941016</v>
      </c>
      <c r="R24" s="27">
        <v>0</v>
      </c>
      <c r="S24" s="29">
        <v>0</v>
      </c>
      <c r="T24" s="30">
        <f t="shared" si="8"/>
        <v>254459.64801732506</v>
      </c>
      <c r="U24" s="30">
        <f t="shared" si="9"/>
        <v>1843.6432981982687</v>
      </c>
    </row>
    <row r="25" spans="2:21" ht="15.6" x14ac:dyDescent="0.3">
      <c r="B25" s="7" t="s">
        <v>24</v>
      </c>
      <c r="C25" s="50">
        <v>41820</v>
      </c>
      <c r="D25" s="51"/>
      <c r="E25" s="52">
        <v>41820</v>
      </c>
      <c r="G25" s="33">
        <v>10005779</v>
      </c>
      <c r="H25" s="22">
        <f>IFERROR(INDEX([1]Resumen!$K$3:$K$63,MATCH(G25,[1]Resumen!$C$3:$C$63,0)),0)*(1+I25*J25)/1000-51.89/1000-93.38/1000</f>
        <v>1.4834229685286575</v>
      </c>
      <c r="I25" s="23">
        <v>0.65</v>
      </c>
      <c r="J25" s="24">
        <f t="shared" si="0"/>
        <v>-0.10965909090909082</v>
      </c>
      <c r="K25" s="25">
        <f t="shared" si="1"/>
        <v>41.82</v>
      </c>
      <c r="L25" s="26">
        <f t="shared" si="2"/>
        <v>41.82</v>
      </c>
      <c r="M25" s="27">
        <f t="shared" si="3"/>
        <v>62036.748543868453</v>
      </c>
      <c r="N25" s="28">
        <f t="shared" si="4"/>
        <v>8691.8688000000002</v>
      </c>
      <c r="O25" s="27">
        <f t="shared" si="5"/>
        <v>2148.654566139885</v>
      </c>
      <c r="P25" s="27">
        <f t="shared" si="6"/>
        <v>4223.8908206432561</v>
      </c>
      <c r="Q25" s="27">
        <f t="shared" si="7"/>
        <v>3376.5409648164996</v>
      </c>
      <c r="R25" s="27">
        <v>0</v>
      </c>
      <c r="S25" s="29">
        <v>0</v>
      </c>
      <c r="T25" s="30">
        <f t="shared" si="8"/>
        <v>77101.162730651587</v>
      </c>
      <c r="U25" s="30">
        <f t="shared" si="9"/>
        <v>1843.6432981982684</v>
      </c>
    </row>
    <row r="26" spans="2:21" ht="15.6" x14ac:dyDescent="0.3">
      <c r="B26" s="7" t="s">
        <v>25</v>
      </c>
      <c r="C26" s="50">
        <v>1040</v>
      </c>
      <c r="D26" s="51"/>
      <c r="E26" s="52">
        <v>1040</v>
      </c>
      <c r="G26" s="33">
        <v>10005779</v>
      </c>
      <c r="H26" s="22">
        <f>IFERROR(INDEX([1]Resumen!$K$3:$K$63,MATCH(G26,[1]Resumen!$C$3:$C$63,0)),0)*(1+I26*J26)/1000-51.89/1000-93.38/1000</f>
        <v>1.4834229685286575</v>
      </c>
      <c r="I26" s="23">
        <v>0.65</v>
      </c>
      <c r="J26" s="24">
        <f t="shared" si="0"/>
        <v>-0.10965909090909082</v>
      </c>
      <c r="K26" s="25">
        <f t="shared" si="1"/>
        <v>1.04</v>
      </c>
      <c r="L26" s="26">
        <f t="shared" si="2"/>
        <v>1.04</v>
      </c>
      <c r="M26" s="27">
        <f t="shared" si="3"/>
        <v>1542.7598872698038</v>
      </c>
      <c r="N26" s="28">
        <f t="shared" si="4"/>
        <v>216.15360000000001</v>
      </c>
      <c r="O26" s="27">
        <f t="shared" si="5"/>
        <v>53.433781654363472</v>
      </c>
      <c r="P26" s="27">
        <f t="shared" si="6"/>
        <v>105.04176120203221</v>
      </c>
      <c r="Q26" s="27">
        <f t="shared" si="7"/>
        <v>83.969454887832612</v>
      </c>
      <c r="R26" s="27">
        <v>0</v>
      </c>
      <c r="S26" s="29">
        <v>0</v>
      </c>
      <c r="T26" s="30">
        <f t="shared" si="8"/>
        <v>1917.3890301261995</v>
      </c>
      <c r="U26" s="30">
        <f t="shared" si="9"/>
        <v>1843.6432981982687</v>
      </c>
    </row>
    <row r="27" spans="2:21" ht="15.6" x14ac:dyDescent="0.3">
      <c r="B27" s="11" t="s">
        <v>26</v>
      </c>
      <c r="C27" s="50">
        <v>16180</v>
      </c>
      <c r="D27" s="51"/>
      <c r="E27" s="52">
        <v>16180</v>
      </c>
      <c r="G27" s="33">
        <v>10005779</v>
      </c>
      <c r="H27" s="22">
        <f>IFERROR(INDEX([1]Resumen!$K$3:$K$63,MATCH(G27,[1]Resumen!$C$3:$C$63,0)),0)*(1+I27*J27)/1000-51.89/1000-93.38/1000</f>
        <v>1.4834229685286575</v>
      </c>
      <c r="I27" s="23">
        <v>0.65</v>
      </c>
      <c r="J27" s="24">
        <f t="shared" si="0"/>
        <v>-0.10965909090909082</v>
      </c>
      <c r="K27" s="25">
        <f t="shared" si="1"/>
        <v>16.18</v>
      </c>
      <c r="L27" s="26">
        <f t="shared" si="2"/>
        <v>16.18</v>
      </c>
      <c r="M27" s="27">
        <f t="shared" si="3"/>
        <v>24001.783630793678</v>
      </c>
      <c r="N27" s="28">
        <f t="shared" si="4"/>
        <v>3362.8512000000001</v>
      </c>
      <c r="O27" s="27">
        <f t="shared" si="5"/>
        <v>831.30633381500093</v>
      </c>
      <c r="P27" s="27">
        <f t="shared" si="6"/>
        <v>1634.2074002393085</v>
      </c>
      <c r="Q27" s="27">
        <f t="shared" si="7"/>
        <v>1306.3709423895496</v>
      </c>
      <c r="R27" s="27">
        <v>0</v>
      </c>
      <c r="S27" s="29">
        <v>0</v>
      </c>
      <c r="T27" s="30">
        <f t="shared" si="8"/>
        <v>29830.14856484799</v>
      </c>
      <c r="U27" s="30">
        <f t="shared" si="9"/>
        <v>1843.6432981982689</v>
      </c>
    </row>
    <row r="28" spans="2:21" ht="15.6" x14ac:dyDescent="0.3">
      <c r="B28" s="11" t="s">
        <v>27</v>
      </c>
      <c r="C28" s="50">
        <v>174240</v>
      </c>
      <c r="D28" s="51"/>
      <c r="E28" s="52">
        <v>174240</v>
      </c>
      <c r="G28" s="33">
        <v>10005779</v>
      </c>
      <c r="H28" s="22">
        <f>IFERROR(INDEX([1]Resumen!$K$3:$K$63,MATCH(G28,[1]Resumen!$C$3:$C$63,0)),0)*(1+I28*J28)/1000-51.89/1000-93.38/1000</f>
        <v>1.4834229685286575</v>
      </c>
      <c r="I28" s="23">
        <v>0.65</v>
      </c>
      <c r="J28" s="24">
        <f t="shared" si="0"/>
        <v>-0.10965909090909082</v>
      </c>
      <c r="K28" s="25">
        <f t="shared" si="1"/>
        <v>174.24</v>
      </c>
      <c r="L28" s="26">
        <f t="shared" si="2"/>
        <v>174.24</v>
      </c>
      <c r="M28" s="27">
        <f t="shared" si="3"/>
        <v>258471.61803643333</v>
      </c>
      <c r="N28" s="28">
        <f t="shared" si="4"/>
        <v>36214.041600000004</v>
      </c>
      <c r="O28" s="27">
        <f t="shared" si="5"/>
        <v>8952.2135725541266</v>
      </c>
      <c r="P28" s="27">
        <f t="shared" si="6"/>
        <v>17598.535069078935</v>
      </c>
      <c r="Q28" s="27">
        <f t="shared" si="7"/>
        <v>14068.113288130724</v>
      </c>
      <c r="R28" s="27">
        <v>0</v>
      </c>
      <c r="S28" s="29">
        <v>0</v>
      </c>
      <c r="T28" s="30">
        <f t="shared" si="8"/>
        <v>321236.40827806643</v>
      </c>
      <c r="U28" s="30">
        <f t="shared" si="9"/>
        <v>1843.6432981982691</v>
      </c>
    </row>
    <row r="29" spans="2:21" ht="15.6" x14ac:dyDescent="0.3">
      <c r="B29" s="11" t="s">
        <v>28</v>
      </c>
      <c r="C29" s="50">
        <v>7840</v>
      </c>
      <c r="D29" s="51"/>
      <c r="E29" s="52">
        <v>7840</v>
      </c>
      <c r="G29" s="33">
        <v>10005779</v>
      </c>
      <c r="H29" s="22">
        <f>IFERROR(INDEX([1]Resumen!$K$3:$K$63,MATCH(G29,[1]Resumen!$C$3:$C$63,0)),0)*(1+I29*J29)/1000-51.89/1000-93.38/1000</f>
        <v>1.4834229685286575</v>
      </c>
      <c r="I29" s="23">
        <v>0.65</v>
      </c>
      <c r="J29" s="24">
        <f t="shared" si="0"/>
        <v>-0.10965909090909082</v>
      </c>
      <c r="K29" s="25">
        <f t="shared" si="1"/>
        <v>7.84</v>
      </c>
      <c r="L29" s="26">
        <f t="shared" si="2"/>
        <v>7.84</v>
      </c>
      <c r="M29" s="27">
        <f t="shared" si="3"/>
        <v>11630.036073264675</v>
      </c>
      <c r="N29" s="28">
        <f t="shared" si="4"/>
        <v>1629.4656</v>
      </c>
      <c r="O29" s="27">
        <f t="shared" si="5"/>
        <v>402.80850785597079</v>
      </c>
      <c r="P29" s="27">
        <f t="shared" si="6"/>
        <v>791.85327675378119</v>
      </c>
      <c r="Q29" s="27">
        <f t="shared" si="7"/>
        <v>633.00050607750734</v>
      </c>
      <c r="R29" s="27">
        <v>0</v>
      </c>
      <c r="S29" s="29">
        <v>0</v>
      </c>
      <c r="T29" s="30">
        <f t="shared" si="8"/>
        <v>14454.163457874427</v>
      </c>
      <c r="U29" s="30">
        <f t="shared" si="9"/>
        <v>1843.6432981982687</v>
      </c>
    </row>
    <row r="30" spans="2:21" ht="15.6" x14ac:dyDescent="0.3">
      <c r="B30" s="12" t="s">
        <v>29</v>
      </c>
      <c r="C30" s="50">
        <v>96720</v>
      </c>
      <c r="D30" s="51"/>
      <c r="E30" s="52">
        <v>96720</v>
      </c>
      <c r="G30" s="34">
        <v>10007567</v>
      </c>
      <c r="H30" s="22">
        <f>IFERROR(INDEX([1]Resumen!$K$3:$K$63,MATCH(G30,[1]Resumen!$C$3:$C$63,0)),0)*(1+I30*J30)/1000-51.89/1000-93.38/1000</f>
        <v>1.540163669045685</v>
      </c>
      <c r="I30" s="23">
        <v>0.68</v>
      </c>
      <c r="J30" s="24">
        <f t="shared" si="0"/>
        <v>-0.10965909090909082</v>
      </c>
      <c r="K30" s="25">
        <f t="shared" si="1"/>
        <v>96.72</v>
      </c>
      <c r="L30" s="26">
        <f t="shared" si="2"/>
        <v>96.72</v>
      </c>
      <c r="M30" s="27">
        <f t="shared" si="3"/>
        <v>148964.63007009865</v>
      </c>
      <c r="N30" s="28">
        <f t="shared" si="4"/>
        <v>20102.284800000001</v>
      </c>
      <c r="O30" s="27">
        <f t="shared" si="5"/>
        <v>4969.341693855803</v>
      </c>
      <c r="P30" s="27">
        <f t="shared" si="6"/>
        <v>9768.8837917889941</v>
      </c>
      <c r="Q30" s="27">
        <f t="shared" si="7"/>
        <v>7809.1593045684322</v>
      </c>
      <c r="R30" s="27">
        <v>0</v>
      </c>
      <c r="S30" s="29">
        <v>0</v>
      </c>
      <c r="T30" s="30">
        <f t="shared" si="8"/>
        <v>183805.14035574344</v>
      </c>
      <c r="U30" s="30">
        <f t="shared" si="9"/>
        <v>1900.3839987152962</v>
      </c>
    </row>
    <row r="31" spans="2:21" ht="15.6" x14ac:dyDescent="0.3">
      <c r="B31" s="12" t="s">
        <v>30</v>
      </c>
      <c r="C31" s="50">
        <v>35660</v>
      </c>
      <c r="D31" s="51"/>
      <c r="E31" s="52">
        <v>35660</v>
      </c>
      <c r="G31" s="34">
        <v>10007567</v>
      </c>
      <c r="H31" s="22">
        <f>IFERROR(INDEX([1]Resumen!$K$3:$K$63,MATCH(G31,[1]Resumen!$C$3:$C$63,0)),0)*(1+I31*J31)/1000-51.89/1000-93.38/1000</f>
        <v>1.540163669045685</v>
      </c>
      <c r="I31" s="23">
        <v>0.68</v>
      </c>
      <c r="J31" s="24">
        <f t="shared" si="0"/>
        <v>-0.10965909090909082</v>
      </c>
      <c r="K31" s="25">
        <f t="shared" si="1"/>
        <v>35.659999999999997</v>
      </c>
      <c r="L31" s="26">
        <f t="shared" si="2"/>
        <v>35.659999999999997</v>
      </c>
      <c r="M31" s="27">
        <f t="shared" si="3"/>
        <v>54922.236438169122</v>
      </c>
      <c r="N31" s="28">
        <f t="shared" si="4"/>
        <v>7411.5743999999995</v>
      </c>
      <c r="O31" s="27">
        <f t="shared" si="5"/>
        <v>1832.1621671101934</v>
      </c>
      <c r="P31" s="27">
        <f t="shared" si="6"/>
        <v>3601.720388908142</v>
      </c>
      <c r="Q31" s="27">
        <f t="shared" si="7"/>
        <v>2879.1834243270291</v>
      </c>
      <c r="R31" s="27">
        <v>0</v>
      </c>
      <c r="S31" s="29">
        <v>0</v>
      </c>
      <c r="T31" s="30">
        <f t="shared" si="8"/>
        <v>67767.693394187459</v>
      </c>
      <c r="U31" s="30">
        <f t="shared" si="9"/>
        <v>1900.3839987152962</v>
      </c>
    </row>
    <row r="32" spans="2:21" ht="15.6" x14ac:dyDescent="0.3">
      <c r="B32" s="7" t="s">
        <v>31</v>
      </c>
      <c r="C32" s="50">
        <v>0</v>
      </c>
      <c r="D32" s="51"/>
      <c r="E32" s="52">
        <v>0</v>
      </c>
      <c r="G32" s="34">
        <v>10007162</v>
      </c>
      <c r="H32" s="22">
        <f>IFERROR(INDEX([1]Resumen!$K$3:$K$63,MATCH(G32,[1]Resumen!$C$3:$C$63,0)),0)*(1+I32*J32)/1000-51.89/1000-93.38/1000</f>
        <v>1.596558814009124</v>
      </c>
      <c r="I32" s="24">
        <v>0.68</v>
      </c>
      <c r="J32" s="24">
        <f t="shared" si="0"/>
        <v>-0.10965909090909082</v>
      </c>
      <c r="K32" s="25">
        <f t="shared" si="1"/>
        <v>0</v>
      </c>
      <c r="L32" s="26">
        <f t="shared" si="2"/>
        <v>0</v>
      </c>
      <c r="M32" s="27">
        <f t="shared" si="3"/>
        <v>0</v>
      </c>
      <c r="N32" s="28">
        <f t="shared" si="4"/>
        <v>0</v>
      </c>
      <c r="O32" s="27">
        <f t="shared" si="5"/>
        <v>0</v>
      </c>
      <c r="P32" s="27">
        <f t="shared" si="6"/>
        <v>0</v>
      </c>
      <c r="Q32" s="27">
        <f t="shared" si="7"/>
        <v>0</v>
      </c>
      <c r="R32" s="27">
        <v>0</v>
      </c>
      <c r="S32" s="29">
        <v>0</v>
      </c>
      <c r="T32" s="30">
        <f t="shared" si="8"/>
        <v>0</v>
      </c>
      <c r="U32" s="30">
        <f t="shared" si="9"/>
        <v>0</v>
      </c>
    </row>
    <row r="33" spans="2:21" ht="15.6" x14ac:dyDescent="0.3">
      <c r="B33" s="7" t="s">
        <v>32</v>
      </c>
      <c r="C33" s="50">
        <v>0</v>
      </c>
      <c r="D33" s="51"/>
      <c r="E33" s="52">
        <v>0</v>
      </c>
      <c r="G33" s="34">
        <v>10007162</v>
      </c>
      <c r="H33" s="22">
        <f>IFERROR(INDEX([1]Resumen!$K$3:$K$63,MATCH(G33,[1]Resumen!$C$3:$C$63,0)),0)*(1+I33*J33)/1000-51.89/1000-93.38/1000</f>
        <v>1.596558814009124</v>
      </c>
      <c r="I33" s="24">
        <v>0.68</v>
      </c>
      <c r="J33" s="24">
        <f t="shared" si="0"/>
        <v>-0.10965909090909082</v>
      </c>
      <c r="K33" s="25">
        <f t="shared" si="1"/>
        <v>0</v>
      </c>
      <c r="L33" s="26">
        <f t="shared" si="2"/>
        <v>0</v>
      </c>
      <c r="M33" s="27">
        <f t="shared" si="3"/>
        <v>0</v>
      </c>
      <c r="N33" s="28">
        <f t="shared" si="4"/>
        <v>0</v>
      </c>
      <c r="O33" s="27">
        <f t="shared" si="5"/>
        <v>0</v>
      </c>
      <c r="P33" s="27">
        <f t="shared" si="6"/>
        <v>0</v>
      </c>
      <c r="Q33" s="27">
        <f t="shared" si="7"/>
        <v>0</v>
      </c>
      <c r="R33" s="27">
        <v>0</v>
      </c>
      <c r="S33" s="29">
        <v>0</v>
      </c>
      <c r="T33" s="30">
        <f t="shared" si="8"/>
        <v>0</v>
      </c>
      <c r="U33" s="30">
        <f t="shared" si="9"/>
        <v>0</v>
      </c>
    </row>
    <row r="34" spans="2:21" ht="15.6" x14ac:dyDescent="0.3">
      <c r="B34" s="7" t="s">
        <v>33</v>
      </c>
      <c r="C34" s="50">
        <v>12840</v>
      </c>
      <c r="D34" s="51"/>
      <c r="E34" s="52">
        <v>12840</v>
      </c>
      <c r="G34" s="34">
        <v>10007162</v>
      </c>
      <c r="H34" s="22">
        <f>IFERROR(INDEX([1]Resumen!$K$3:$K$63,MATCH(G34,[1]Resumen!$C$3:$C$63,0)),0)*(1+I34*J34)/1000-51.89/1000-93.38/1000</f>
        <v>1.596558814009124</v>
      </c>
      <c r="I34" s="24">
        <v>0.68</v>
      </c>
      <c r="J34" s="24">
        <f t="shared" si="0"/>
        <v>-0.10965909090909082</v>
      </c>
      <c r="K34" s="25">
        <f t="shared" si="1"/>
        <v>12.84</v>
      </c>
      <c r="L34" s="26">
        <f t="shared" ref="L34:L51" si="10">IF(C34&lt;0,0,C34)/1000</f>
        <v>12.84</v>
      </c>
      <c r="M34" s="27">
        <f t="shared" si="3"/>
        <v>20499.815171877151</v>
      </c>
      <c r="N34" s="28">
        <f t="shared" si="4"/>
        <v>2668.6655999999998</v>
      </c>
      <c r="O34" s="27">
        <f t="shared" si="5"/>
        <v>659.7016888865644</v>
      </c>
      <c r="P34" s="27">
        <f t="shared" si="6"/>
        <v>1296.8617440712437</v>
      </c>
      <c r="Q34" s="27">
        <f t="shared" si="7"/>
        <v>1036.6998084228564</v>
      </c>
      <c r="R34" s="27">
        <v>0</v>
      </c>
      <c r="S34" s="29">
        <v>0</v>
      </c>
      <c r="T34" s="30">
        <f t="shared" si="8"/>
        <v>25125.044204834961</v>
      </c>
      <c r="U34" s="30">
        <f t="shared" si="9"/>
        <v>1956.7791436787354</v>
      </c>
    </row>
    <row r="35" spans="2:21" ht="15.6" x14ac:dyDescent="0.3">
      <c r="B35" s="7" t="s">
        <v>34</v>
      </c>
      <c r="C35" s="50">
        <v>41080</v>
      </c>
      <c r="D35" s="51"/>
      <c r="E35" s="52">
        <v>41080</v>
      </c>
      <c r="G35" s="34">
        <v>10007162</v>
      </c>
      <c r="H35" s="22">
        <f>IFERROR(INDEX([1]Resumen!$K$3:$K$63,MATCH(G35,[1]Resumen!$C$3:$C$63,0)),0)*(1+I35*J35)/1000-51.89/1000-93.38/1000</f>
        <v>1.596558814009124</v>
      </c>
      <c r="I35" s="24">
        <v>0.68</v>
      </c>
      <c r="J35" s="24">
        <f t="shared" si="0"/>
        <v>-0.10965909090909082</v>
      </c>
      <c r="K35" s="25">
        <f t="shared" si="1"/>
        <v>41.08</v>
      </c>
      <c r="L35" s="26">
        <f t="shared" si="10"/>
        <v>41.08</v>
      </c>
      <c r="M35" s="27">
        <f t="shared" si="3"/>
        <v>65586.636079494812</v>
      </c>
      <c r="N35" s="28">
        <f t="shared" si="4"/>
        <v>8538.0671999999995</v>
      </c>
      <c r="O35" s="27">
        <f t="shared" si="5"/>
        <v>2110.634375347357</v>
      </c>
      <c r="P35" s="27">
        <f t="shared" si="6"/>
        <v>4149.1495674802718</v>
      </c>
      <c r="Q35" s="27">
        <f t="shared" si="7"/>
        <v>3316.7934680693875</v>
      </c>
      <c r="R35" s="27">
        <v>0</v>
      </c>
      <c r="S35" s="29">
        <v>0</v>
      </c>
      <c r="T35" s="30">
        <f t="shared" si="8"/>
        <v>80384.487222322452</v>
      </c>
      <c r="U35" s="30">
        <f t="shared" si="9"/>
        <v>1956.7791436787356</v>
      </c>
    </row>
    <row r="36" spans="2:21" ht="15.6" x14ac:dyDescent="0.3">
      <c r="B36" s="13" t="s">
        <v>35</v>
      </c>
      <c r="C36" s="50">
        <v>120</v>
      </c>
      <c r="D36" s="51"/>
      <c r="E36" s="52">
        <v>120</v>
      </c>
      <c r="G36" s="34">
        <v>10007162</v>
      </c>
      <c r="H36" s="22">
        <f>IFERROR(INDEX([1]Resumen!$K$3:$K$63,MATCH(G36,[1]Resumen!$C$3:$C$63,0)),0)*(1+I36*J36)/1000-51.89/1000-93.38/1000</f>
        <v>1.596558814009124</v>
      </c>
      <c r="I36" s="24">
        <v>0.68</v>
      </c>
      <c r="J36" s="24">
        <f t="shared" si="0"/>
        <v>-0.10965909090909082</v>
      </c>
      <c r="K36" s="25">
        <f t="shared" si="1"/>
        <v>0.12</v>
      </c>
      <c r="L36" s="26">
        <f t="shared" si="10"/>
        <v>0.12</v>
      </c>
      <c r="M36" s="27">
        <f t="shared" si="3"/>
        <v>191.58705768109488</v>
      </c>
      <c r="N36" s="28">
        <f t="shared" si="4"/>
        <v>24.940799999999999</v>
      </c>
      <c r="O36" s="27">
        <f t="shared" si="5"/>
        <v>6.1654363447342462</v>
      </c>
      <c r="P36" s="27">
        <f t="shared" si="6"/>
        <v>12.1202032156191</v>
      </c>
      <c r="Q36" s="27">
        <f t="shared" si="7"/>
        <v>9.6887832562883762</v>
      </c>
      <c r="R36" s="27">
        <v>0</v>
      </c>
      <c r="S36" s="29">
        <v>0</v>
      </c>
      <c r="T36" s="30">
        <f t="shared" si="8"/>
        <v>234.8134972414482</v>
      </c>
      <c r="U36" s="30">
        <f t="shared" si="9"/>
        <v>1956.7791436787352</v>
      </c>
    </row>
    <row r="37" spans="2:21" ht="15.6" x14ac:dyDescent="0.3">
      <c r="B37" s="13" t="s">
        <v>36</v>
      </c>
      <c r="C37" s="50">
        <v>3800</v>
      </c>
      <c r="D37" s="51"/>
      <c r="E37" s="52">
        <v>3800</v>
      </c>
      <c r="G37" s="34">
        <v>10007162</v>
      </c>
      <c r="H37" s="22">
        <f>IFERROR(INDEX([1]Resumen!$K$3:$K$63,MATCH(G37,[1]Resumen!$C$3:$C$63,0)),0)*(1+I37*J37)/1000-51.89/1000-93.38/1000</f>
        <v>1.596558814009124</v>
      </c>
      <c r="I37" s="24">
        <v>0.68</v>
      </c>
      <c r="J37" s="24">
        <f t="shared" si="0"/>
        <v>-0.10965909090909082</v>
      </c>
      <c r="K37" s="25">
        <f t="shared" si="1"/>
        <v>3.8</v>
      </c>
      <c r="L37" s="26">
        <f t="shared" si="10"/>
        <v>3.8</v>
      </c>
      <c r="M37" s="27">
        <f t="shared" si="3"/>
        <v>6066.9234932346708</v>
      </c>
      <c r="N37" s="28">
        <f t="shared" si="4"/>
        <v>789.79200000000003</v>
      </c>
      <c r="O37" s="27">
        <f t="shared" si="5"/>
        <v>195.23881758325112</v>
      </c>
      <c r="P37" s="27">
        <f t="shared" si="6"/>
        <v>383.80643516127151</v>
      </c>
      <c r="Q37" s="27">
        <f t="shared" si="7"/>
        <v>306.81146978246528</v>
      </c>
      <c r="R37" s="27">
        <v>0</v>
      </c>
      <c r="S37" s="29">
        <v>0</v>
      </c>
      <c r="T37" s="30">
        <f t="shared" si="8"/>
        <v>7435.7607459791934</v>
      </c>
      <c r="U37" s="30">
        <f t="shared" si="9"/>
        <v>1956.7791436787352</v>
      </c>
    </row>
    <row r="38" spans="2:21" ht="15.6" x14ac:dyDescent="0.3">
      <c r="B38" s="13" t="s">
        <v>37</v>
      </c>
      <c r="C38" s="50">
        <v>2680</v>
      </c>
      <c r="D38" s="51"/>
      <c r="E38" s="52">
        <v>2680</v>
      </c>
      <c r="G38" s="34">
        <v>10007162</v>
      </c>
      <c r="H38" s="22">
        <f>IFERROR(INDEX([1]Resumen!$K$3:$K$63,MATCH(G38,[1]Resumen!$C$3:$C$63,0)),0)*(1+I38*J38)/1000-51.89/1000-93.38/1000</f>
        <v>1.596558814009124</v>
      </c>
      <c r="I38" s="24">
        <v>0.68</v>
      </c>
      <c r="J38" s="24">
        <f t="shared" si="0"/>
        <v>-0.10965909090909082</v>
      </c>
      <c r="K38" s="25">
        <f t="shared" si="1"/>
        <v>2.68</v>
      </c>
      <c r="L38" s="26">
        <f t="shared" si="10"/>
        <v>2.68</v>
      </c>
      <c r="M38" s="27">
        <f t="shared" si="3"/>
        <v>4278.7776215444528</v>
      </c>
      <c r="N38" s="28">
        <f t="shared" si="4"/>
        <v>557.01120000000003</v>
      </c>
      <c r="O38" s="27">
        <f t="shared" si="5"/>
        <v>137.69474503239817</v>
      </c>
      <c r="P38" s="27">
        <f t="shared" si="6"/>
        <v>270.68453848215989</v>
      </c>
      <c r="Q38" s="27">
        <f t="shared" si="7"/>
        <v>216.38282605710711</v>
      </c>
      <c r="R38" s="27">
        <v>0</v>
      </c>
      <c r="S38" s="29">
        <v>0</v>
      </c>
      <c r="T38" s="30">
        <f t="shared" si="8"/>
        <v>5244.1681050590105</v>
      </c>
      <c r="U38" s="30">
        <f t="shared" si="9"/>
        <v>1956.7791436787352</v>
      </c>
    </row>
    <row r="39" spans="2:21" ht="15.6" x14ac:dyDescent="0.3">
      <c r="B39" s="13" t="s">
        <v>38</v>
      </c>
      <c r="C39" s="50">
        <v>37180</v>
      </c>
      <c r="D39" s="51"/>
      <c r="E39" s="52">
        <v>37180</v>
      </c>
      <c r="G39" s="34">
        <v>10007162</v>
      </c>
      <c r="H39" s="22">
        <f>IFERROR(INDEX([1]Resumen!$K$3:$K$63,MATCH(G39,[1]Resumen!$C$3:$C$63,0)),0)*(1+I39*J39)/1000-51.89/1000-93.38/1000</f>
        <v>1.596558814009124</v>
      </c>
      <c r="I39" s="24">
        <v>0.68</v>
      </c>
      <c r="J39" s="24">
        <f t="shared" si="0"/>
        <v>-0.10965909090909082</v>
      </c>
      <c r="K39" s="25">
        <f t="shared" si="1"/>
        <v>37.18</v>
      </c>
      <c r="L39" s="26">
        <f t="shared" si="10"/>
        <v>37.18</v>
      </c>
      <c r="M39" s="27">
        <f t="shared" si="3"/>
        <v>59360.056704859235</v>
      </c>
      <c r="N39" s="28">
        <f t="shared" si="4"/>
        <v>7727.4912000000004</v>
      </c>
      <c r="O39" s="27">
        <f t="shared" si="5"/>
        <v>1910.2576941434941</v>
      </c>
      <c r="P39" s="27">
        <f t="shared" si="6"/>
        <v>3755.2429629726512</v>
      </c>
      <c r="Q39" s="27">
        <f t="shared" si="7"/>
        <v>3001.9080122400155</v>
      </c>
      <c r="R39" s="27">
        <v>0</v>
      </c>
      <c r="S39" s="29">
        <v>0</v>
      </c>
      <c r="T39" s="30">
        <f t="shared" si="8"/>
        <v>72753.048561975389</v>
      </c>
      <c r="U39" s="30">
        <f t="shared" si="9"/>
        <v>1956.7791436787356</v>
      </c>
    </row>
    <row r="40" spans="2:21" ht="15.6" x14ac:dyDescent="0.3">
      <c r="B40" s="13" t="s">
        <v>39</v>
      </c>
      <c r="C40" s="50">
        <v>172700</v>
      </c>
      <c r="D40" s="51"/>
      <c r="E40" s="52">
        <v>172700</v>
      </c>
      <c r="G40" s="34">
        <v>10007162</v>
      </c>
      <c r="H40" s="22">
        <f>IFERROR(INDEX([1]Resumen!$K$3:$K$63,MATCH(G40,[1]Resumen!$C$3:$C$63,0)),0)*(1+I40*J40)/1000-51.89/1000-93.38/1000</f>
        <v>1.596558814009124</v>
      </c>
      <c r="I40" s="24">
        <v>0.68</v>
      </c>
      <c r="J40" s="24">
        <f t="shared" si="0"/>
        <v>-0.10965909090909082</v>
      </c>
      <c r="K40" s="25">
        <f t="shared" si="1"/>
        <v>172.7</v>
      </c>
      <c r="L40" s="26">
        <f t="shared" si="10"/>
        <v>172.7</v>
      </c>
      <c r="M40" s="27">
        <f t="shared" si="3"/>
        <v>275725.70717937569</v>
      </c>
      <c r="N40" s="28">
        <f t="shared" si="4"/>
        <v>35893.968000000001</v>
      </c>
      <c r="O40" s="27">
        <f t="shared" si="5"/>
        <v>8873.0904727967027</v>
      </c>
      <c r="P40" s="27">
        <f t="shared" si="6"/>
        <v>17442.992461145153</v>
      </c>
      <c r="Q40" s="27">
        <f t="shared" si="7"/>
        <v>13943.773903008356</v>
      </c>
      <c r="R40" s="27">
        <v>0</v>
      </c>
      <c r="S40" s="29">
        <v>0</v>
      </c>
      <c r="T40" s="30">
        <f t="shared" si="8"/>
        <v>337935.75811331754</v>
      </c>
      <c r="U40" s="30">
        <f t="shared" si="9"/>
        <v>1956.7791436787352</v>
      </c>
    </row>
    <row r="41" spans="2:21" ht="15.6" x14ac:dyDescent="0.3">
      <c r="B41" s="13" t="s">
        <v>40</v>
      </c>
      <c r="C41" s="50">
        <v>21280</v>
      </c>
      <c r="D41" s="51"/>
      <c r="E41" s="52">
        <v>21280</v>
      </c>
      <c r="G41" s="35">
        <v>10009386</v>
      </c>
      <c r="H41" s="22">
        <f>IFERROR(INDEX([1]Resumen!$K$3:$K$63,MATCH(G41,[1]Resumen!$C$3:$C$63,0)),0)*(1+I41*J41)/1000-51.89/1000-93.38/1000</f>
        <v>1.5979902535425721</v>
      </c>
      <c r="I41" s="24">
        <v>0.68</v>
      </c>
      <c r="J41" s="24">
        <f t="shared" si="0"/>
        <v>-0.10965909090909082</v>
      </c>
      <c r="K41" s="25">
        <f t="shared" si="1"/>
        <v>21.28</v>
      </c>
      <c r="L41" s="26">
        <f t="shared" si="10"/>
        <v>21.28</v>
      </c>
      <c r="M41" s="27">
        <f t="shared" si="3"/>
        <v>34005.232595385933</v>
      </c>
      <c r="N41" s="28">
        <f t="shared" si="4"/>
        <v>4422.8352000000004</v>
      </c>
      <c r="O41" s="27">
        <f t="shared" si="5"/>
        <v>1093.3373784662065</v>
      </c>
      <c r="P41" s="27">
        <f t="shared" si="6"/>
        <v>2149.3160369031207</v>
      </c>
      <c r="Q41" s="27">
        <f t="shared" si="7"/>
        <v>1718.1442307818056</v>
      </c>
      <c r="R41" s="27">
        <v>0</v>
      </c>
      <c r="S41" s="29">
        <v>0</v>
      </c>
      <c r="T41" s="30">
        <f t="shared" si="8"/>
        <v>41670.721210755255</v>
      </c>
      <c r="U41" s="30">
        <f t="shared" si="9"/>
        <v>1958.2105832121829</v>
      </c>
    </row>
    <row r="42" spans="2:21" ht="15.6" x14ac:dyDescent="0.3">
      <c r="B42" s="14" t="s">
        <v>41</v>
      </c>
      <c r="C42" s="50">
        <v>16480</v>
      </c>
      <c r="D42" s="51"/>
      <c r="E42" s="52">
        <v>16480</v>
      </c>
      <c r="G42" s="36">
        <v>10009239</v>
      </c>
      <c r="H42" s="22">
        <f>IFERROR(INDEX([1]Resumen!$K$3:$K$63,MATCH(G42,[1]Resumen!$C$3:$C$63,0)),0)*(1+I42*J42)/1000-51.89/1000-93.38/1000</f>
        <v>3.0850611236899645</v>
      </c>
      <c r="I42" s="23">
        <v>0.56000000000000005</v>
      </c>
      <c r="J42" s="24">
        <f t="shared" si="0"/>
        <v>-0.10965909090909082</v>
      </c>
      <c r="K42" s="25">
        <f t="shared" si="1"/>
        <v>16.48</v>
      </c>
      <c r="L42" s="26">
        <f t="shared" si="10"/>
        <v>16.48</v>
      </c>
      <c r="M42" s="27">
        <f t="shared" si="3"/>
        <v>50841.807318410618</v>
      </c>
      <c r="N42" s="28">
        <f t="shared" si="4"/>
        <v>3425.2031999999999</v>
      </c>
      <c r="O42" s="27">
        <f t="shared" si="5"/>
        <v>846.71992467683651</v>
      </c>
      <c r="P42" s="27">
        <f t="shared" si="6"/>
        <v>1664.5079082783564</v>
      </c>
      <c r="Q42" s="27">
        <f t="shared" si="7"/>
        <v>1330.5929005302705</v>
      </c>
      <c r="R42" s="27">
        <v>0</v>
      </c>
      <c r="S42" s="29">
        <v>0</v>
      </c>
      <c r="T42" s="30">
        <f t="shared" si="8"/>
        <v>56778.238351365813</v>
      </c>
      <c r="U42" s="30">
        <f t="shared" si="9"/>
        <v>3445.2814533595761</v>
      </c>
    </row>
    <row r="43" spans="2:21" ht="15.6" x14ac:dyDescent="0.3">
      <c r="B43" s="14" t="s">
        <v>42</v>
      </c>
      <c r="C43" s="50">
        <v>0</v>
      </c>
      <c r="D43" s="51"/>
      <c r="E43" s="52">
        <v>0</v>
      </c>
      <c r="G43" s="36">
        <v>10009239</v>
      </c>
      <c r="H43" s="22">
        <f>IFERROR(INDEX([1]Resumen!$K$3:$K$63,MATCH(G43,[1]Resumen!$C$3:$C$63,0)),0)*(1+I43*J43)/1000-51.89/1000-93.38/1000</f>
        <v>3.0850611236899645</v>
      </c>
      <c r="I43" s="23">
        <v>0.56000000000000005</v>
      </c>
      <c r="J43" s="24">
        <f t="shared" si="0"/>
        <v>-0.10965909090909082</v>
      </c>
      <c r="K43" s="25">
        <f t="shared" si="1"/>
        <v>0</v>
      </c>
      <c r="L43" s="26">
        <f t="shared" si="10"/>
        <v>0</v>
      </c>
      <c r="M43" s="27">
        <f t="shared" si="3"/>
        <v>0</v>
      </c>
      <c r="N43" s="28">
        <f t="shared" si="4"/>
        <v>0</v>
      </c>
      <c r="O43" s="27">
        <f t="shared" si="5"/>
        <v>0</v>
      </c>
      <c r="P43" s="27">
        <f t="shared" si="6"/>
        <v>0</v>
      </c>
      <c r="Q43" s="27">
        <f t="shared" si="7"/>
        <v>0</v>
      </c>
      <c r="R43" s="27">
        <v>0</v>
      </c>
      <c r="S43" s="29">
        <v>0</v>
      </c>
      <c r="T43" s="30">
        <f t="shared" si="8"/>
        <v>0</v>
      </c>
      <c r="U43" s="30">
        <f t="shared" si="9"/>
        <v>0</v>
      </c>
    </row>
    <row r="44" spans="2:21" ht="15.6" x14ac:dyDescent="0.3">
      <c r="B44" s="8" t="s">
        <v>43</v>
      </c>
      <c r="C44" s="50">
        <v>260</v>
      </c>
      <c r="D44" s="51">
        <v>260</v>
      </c>
      <c r="E44" s="52">
        <v>0</v>
      </c>
      <c r="G44" s="37">
        <v>10009334</v>
      </c>
      <c r="H44" s="22">
        <f>IFERROR(INDEX([1]Resumen!$K$3:$K$63,MATCH(G44,[1]Resumen!$C$3:$C$63,0)),0)*(1+I44*J44)/1000-51.89/1000-93.38/1000</f>
        <v>2.6496026057914581</v>
      </c>
      <c r="I44" s="23">
        <v>0.68</v>
      </c>
      <c r="J44" s="24">
        <f t="shared" si="0"/>
        <v>-0.10965909090909082</v>
      </c>
      <c r="K44" s="25">
        <f t="shared" si="1"/>
        <v>0.26</v>
      </c>
      <c r="L44" s="26">
        <f t="shared" si="10"/>
        <v>0.26</v>
      </c>
      <c r="M44" s="27">
        <f t="shared" si="3"/>
        <v>688.89667750577905</v>
      </c>
      <c r="N44" s="28">
        <f t="shared" si="4"/>
        <v>54.038400000000003</v>
      </c>
      <c r="O44" s="27">
        <f t="shared" si="5"/>
        <v>13.358445413590868</v>
      </c>
      <c r="P44" s="27">
        <f t="shared" si="6"/>
        <v>26.260440300508051</v>
      </c>
      <c r="Q44" s="27">
        <f t="shared" si="7"/>
        <v>20.992363721958153</v>
      </c>
      <c r="R44" s="27">
        <v>0</v>
      </c>
      <c r="S44" s="29">
        <v>0</v>
      </c>
      <c r="T44" s="30">
        <f t="shared" si="8"/>
        <v>782.55396321987803</v>
      </c>
      <c r="U44" s="30">
        <f t="shared" si="9"/>
        <v>3009.8229354610694</v>
      </c>
    </row>
    <row r="45" spans="2:21" ht="15.6" x14ac:dyDescent="0.3">
      <c r="B45" s="8" t="s">
        <v>44</v>
      </c>
      <c r="C45" s="50">
        <v>129576</v>
      </c>
      <c r="D45" s="51">
        <v>262006</v>
      </c>
      <c r="E45" s="53">
        <v>-132430</v>
      </c>
      <c r="G45" s="37">
        <v>10009334</v>
      </c>
      <c r="H45" s="22">
        <f>IFERROR(INDEX([1]Resumen!$K$3:$K$63,MATCH(G45,[1]Resumen!$C$3:$C$63,0)),0)*(1+I45*J45)/1000-51.89/1000-93.38/1000</f>
        <v>2.6496026057914581</v>
      </c>
      <c r="I45" s="23">
        <v>0.68</v>
      </c>
      <c r="J45" s="24">
        <f t="shared" si="0"/>
        <v>-0.10965909090909082</v>
      </c>
      <c r="K45" s="25">
        <f t="shared" si="1"/>
        <v>129.57599999999999</v>
      </c>
      <c r="L45" s="26">
        <f t="shared" si="10"/>
        <v>129.57599999999999</v>
      </c>
      <c r="M45" s="27">
        <f t="shared" si="3"/>
        <v>343324.90724803397</v>
      </c>
      <c r="N45" s="28">
        <f t="shared" si="4"/>
        <v>26931.075839999998</v>
      </c>
      <c r="O45" s="27">
        <f t="shared" si="5"/>
        <v>6657.4381650440391</v>
      </c>
      <c r="P45" s="27">
        <f t="shared" si="6"/>
        <v>13087.395432225503</v>
      </c>
      <c r="Q45" s="27">
        <f t="shared" si="7"/>
        <v>10461.948160140189</v>
      </c>
      <c r="R45" s="27">
        <v>0</v>
      </c>
      <c r="S45" s="29">
        <v>0</v>
      </c>
      <c r="T45" s="30">
        <f t="shared" si="8"/>
        <v>390000.81668530352</v>
      </c>
      <c r="U45" s="30">
        <f t="shared" si="9"/>
        <v>3009.8229354610694</v>
      </c>
    </row>
    <row r="46" spans="2:21" ht="15.6" x14ac:dyDescent="0.3">
      <c r="B46" s="8" t="s">
        <v>45</v>
      </c>
      <c r="C46" s="50">
        <v>7994</v>
      </c>
      <c r="D46" s="51">
        <v>7994</v>
      </c>
      <c r="E46" s="52">
        <v>0</v>
      </c>
      <c r="G46" s="37">
        <v>10009334</v>
      </c>
      <c r="H46" s="22">
        <f>IFERROR(INDEX([1]Resumen!$K$3:$K$63,MATCH(G46,[1]Resumen!$C$3:$C$63,0)),0)*(1+I46*J46)/1000-51.89/1000-93.38/1000</f>
        <v>2.6496026057914581</v>
      </c>
      <c r="I46" s="23">
        <v>0.68</v>
      </c>
      <c r="J46" s="24">
        <f t="shared" si="0"/>
        <v>-0.10965909090909082</v>
      </c>
      <c r="K46" s="25">
        <f t="shared" si="1"/>
        <v>7.9939999999999998</v>
      </c>
      <c r="L46" s="26">
        <f t="shared" si="10"/>
        <v>7.9939999999999998</v>
      </c>
      <c r="M46" s="27">
        <f t="shared" si="3"/>
        <v>21180.923230696917</v>
      </c>
      <c r="N46" s="28">
        <f t="shared" si="4"/>
        <v>1661.4729600000001</v>
      </c>
      <c r="O46" s="27">
        <f t="shared" si="5"/>
        <v>410.72081783171302</v>
      </c>
      <c r="P46" s="27">
        <f t="shared" si="6"/>
        <v>807.407537547159</v>
      </c>
      <c r="Q46" s="27">
        <f t="shared" si="7"/>
        <v>645.43444458974409</v>
      </c>
      <c r="R46" s="27">
        <v>0</v>
      </c>
      <c r="S46" s="29">
        <v>0</v>
      </c>
      <c r="T46" s="30">
        <f t="shared" si="8"/>
        <v>24060.524546075787</v>
      </c>
      <c r="U46" s="30">
        <f t="shared" si="9"/>
        <v>3009.8229354610694</v>
      </c>
    </row>
    <row r="47" spans="2:21" ht="15.6" x14ac:dyDescent="0.3">
      <c r="B47" s="7" t="s">
        <v>46</v>
      </c>
      <c r="C47" s="50">
        <v>49100</v>
      </c>
      <c r="D47" s="51"/>
      <c r="E47" s="52">
        <v>49100</v>
      </c>
      <c r="G47" s="36">
        <v>10007050</v>
      </c>
      <c r="H47" s="22">
        <f>IFERROR(INDEX([1]Resumen!$K$3:$K$63,MATCH(G47,[1]Resumen!$C$3:$C$63,0)),0)*(1+I47*J47)/1000-51.89/1000-93.38/1000</f>
        <v>1.3082098231172592</v>
      </c>
      <c r="I47" s="23">
        <v>0.68</v>
      </c>
      <c r="J47" s="24">
        <f t="shared" si="0"/>
        <v>-0.10965909090909082</v>
      </c>
      <c r="K47" s="25">
        <f t="shared" si="1"/>
        <v>49.1</v>
      </c>
      <c r="L47" s="26">
        <f t="shared" si="10"/>
        <v>49.1</v>
      </c>
      <c r="M47" s="27">
        <f t="shared" si="3"/>
        <v>64233.102315057426</v>
      </c>
      <c r="N47" s="28">
        <f t="shared" si="4"/>
        <v>10204.944000000001</v>
      </c>
      <c r="O47" s="27">
        <f t="shared" si="5"/>
        <v>2522.6910377204294</v>
      </c>
      <c r="P47" s="27">
        <f t="shared" si="6"/>
        <v>4959.1831490574823</v>
      </c>
      <c r="Q47" s="27">
        <f t="shared" si="7"/>
        <v>3964.3271490313277</v>
      </c>
      <c r="R47" s="27">
        <v>0</v>
      </c>
      <c r="S47" s="29">
        <v>0</v>
      </c>
      <c r="T47" s="30">
        <f t="shared" si="8"/>
        <v>81919.920501835339</v>
      </c>
      <c r="U47" s="30">
        <f t="shared" si="9"/>
        <v>1668.4301527868704</v>
      </c>
    </row>
    <row r="48" spans="2:21" ht="15.6" x14ac:dyDescent="0.3">
      <c r="B48" s="7" t="s">
        <v>47</v>
      </c>
      <c r="C48" s="50">
        <v>30765</v>
      </c>
      <c r="D48" s="51"/>
      <c r="E48" s="52">
        <v>30765</v>
      </c>
      <c r="G48" s="36">
        <v>10007050</v>
      </c>
      <c r="H48" s="22">
        <f>IFERROR(INDEX([1]Resumen!$K$3:$K$63,MATCH(G48,[1]Resumen!$C$3:$C$63,0)),0)*(1+I48*J48)/1000-51.89/1000-93.38/1000</f>
        <v>1.3082098231172592</v>
      </c>
      <c r="I48" s="23">
        <v>0.68</v>
      </c>
      <c r="J48" s="24">
        <f t="shared" si="0"/>
        <v>-0.10965909090909082</v>
      </c>
      <c r="K48" s="25">
        <f t="shared" si="1"/>
        <v>30.765000000000001</v>
      </c>
      <c r="L48" s="26">
        <f t="shared" si="10"/>
        <v>30.765000000000001</v>
      </c>
      <c r="M48" s="27">
        <f t="shared" si="3"/>
        <v>40247.075208202485</v>
      </c>
      <c r="N48" s="28">
        <f t="shared" si="4"/>
        <v>6394.1976000000004</v>
      </c>
      <c r="O48" s="27">
        <f t="shared" si="5"/>
        <v>1580.6637428812426</v>
      </c>
      <c r="P48" s="27">
        <f t="shared" si="6"/>
        <v>3107.3170994043467</v>
      </c>
      <c r="Q48" s="27">
        <f t="shared" si="7"/>
        <v>2483.961807330933</v>
      </c>
      <c r="R48" s="27">
        <v>0</v>
      </c>
      <c r="S48" s="29">
        <v>0</v>
      </c>
      <c r="T48" s="30">
        <f t="shared" si="8"/>
        <v>51329.25365048807</v>
      </c>
      <c r="U48" s="30">
        <f t="shared" si="9"/>
        <v>1668.4301527868704</v>
      </c>
    </row>
    <row r="49" spans="2:21" ht="15.6" x14ac:dyDescent="0.3">
      <c r="B49" s="7" t="s">
        <v>48</v>
      </c>
      <c r="C49" s="50">
        <v>44675</v>
      </c>
      <c r="D49" s="51"/>
      <c r="E49" s="52">
        <v>44675</v>
      </c>
      <c r="G49" s="36">
        <v>10007050</v>
      </c>
      <c r="H49" s="22">
        <f>IFERROR(INDEX([1]Resumen!$K$3:$K$63,MATCH(G49,[1]Resumen!$C$3:$C$63,0)),0)*(1+I49*J49)/1000-51.89/1000-93.38/1000</f>
        <v>1.3082098231172592</v>
      </c>
      <c r="I49" s="23">
        <v>0.68</v>
      </c>
      <c r="J49" s="24">
        <f t="shared" si="0"/>
        <v>-0.10965909090909082</v>
      </c>
      <c r="K49" s="25">
        <f t="shared" si="1"/>
        <v>44.674999999999997</v>
      </c>
      <c r="L49" s="26">
        <f t="shared" si="10"/>
        <v>44.674999999999997</v>
      </c>
      <c r="M49" s="27">
        <f t="shared" si="3"/>
        <v>58444.273847763558</v>
      </c>
      <c r="N49" s="28">
        <f t="shared" si="4"/>
        <v>9285.2520000000004</v>
      </c>
      <c r="O49" s="27">
        <f t="shared" si="5"/>
        <v>2295.3405725083535</v>
      </c>
      <c r="P49" s="27">
        <f t="shared" si="6"/>
        <v>4512.2506554815272</v>
      </c>
      <c r="Q49" s="27">
        <f t="shared" si="7"/>
        <v>3607.0532664556936</v>
      </c>
      <c r="R49" s="27">
        <v>0</v>
      </c>
      <c r="S49" s="29">
        <v>0</v>
      </c>
      <c r="T49" s="30">
        <f t="shared" si="8"/>
        <v>74537.117075753442</v>
      </c>
      <c r="U49" s="30">
        <f t="shared" si="9"/>
        <v>1668.4301527868706</v>
      </c>
    </row>
    <row r="50" spans="2:21" ht="15.6" x14ac:dyDescent="0.3">
      <c r="B50" s="7" t="s">
        <v>49</v>
      </c>
      <c r="C50" s="50">
        <v>0</v>
      </c>
      <c r="D50" s="51"/>
      <c r="E50" s="52">
        <v>0</v>
      </c>
      <c r="G50" s="32">
        <v>10009650</v>
      </c>
      <c r="H50" s="38">
        <f t="shared" ref="H50:I50" si="11">H11</f>
        <v>1.8344310061156939</v>
      </c>
      <c r="I50" s="23">
        <f t="shared" si="11"/>
        <v>0.67</v>
      </c>
      <c r="J50" s="24">
        <f t="shared" si="0"/>
        <v>-0.10965909090909082</v>
      </c>
      <c r="K50" s="25">
        <f t="shared" si="1"/>
        <v>0</v>
      </c>
      <c r="L50" s="26">
        <f t="shared" si="10"/>
        <v>0</v>
      </c>
      <c r="M50" s="27">
        <f t="shared" si="3"/>
        <v>0</v>
      </c>
      <c r="N50" s="28">
        <f t="shared" si="4"/>
        <v>0</v>
      </c>
      <c r="O50" s="27">
        <f t="shared" si="5"/>
        <v>0</v>
      </c>
      <c r="P50" s="27">
        <f t="shared" si="6"/>
        <v>0</v>
      </c>
      <c r="Q50" s="27">
        <f t="shared" si="7"/>
        <v>0</v>
      </c>
      <c r="R50" s="27">
        <v>0</v>
      </c>
      <c r="S50" s="29">
        <v>0</v>
      </c>
      <c r="T50" s="30">
        <f t="shared" si="8"/>
        <v>0</v>
      </c>
      <c r="U50" s="30">
        <f t="shared" si="9"/>
        <v>0</v>
      </c>
    </row>
    <row r="51" spans="2:21" ht="16.2" thickBot="1" x14ac:dyDescent="0.35">
      <c r="B51" s="7" t="s">
        <v>50</v>
      </c>
      <c r="C51" s="50">
        <v>331560</v>
      </c>
      <c r="D51" s="51"/>
      <c r="E51" s="52">
        <v>331560</v>
      </c>
      <c r="G51" s="21">
        <v>10009649</v>
      </c>
      <c r="H51" s="38">
        <f t="shared" ref="H51:I51" si="12">H2</f>
        <v>1.7319701269990091</v>
      </c>
      <c r="I51" s="23">
        <f t="shared" si="12"/>
        <v>0.71</v>
      </c>
      <c r="J51" s="24">
        <f t="shared" si="0"/>
        <v>-0.10965909090909082</v>
      </c>
      <c r="K51" s="25">
        <f t="shared" si="1"/>
        <v>331.56</v>
      </c>
      <c r="L51" s="26">
        <f t="shared" si="10"/>
        <v>331.56</v>
      </c>
      <c r="M51" s="27">
        <f t="shared" si="3"/>
        <v>574252.01530779141</v>
      </c>
      <c r="N51" s="28">
        <f t="shared" si="4"/>
        <v>68911.430399999997</v>
      </c>
      <c r="O51" s="27">
        <f t="shared" si="5"/>
        <v>17035.100620500722</v>
      </c>
      <c r="P51" s="27">
        <f t="shared" si="6"/>
        <v>33488.121484755575</v>
      </c>
      <c r="Q51" s="27">
        <f t="shared" si="7"/>
        <v>26770.108137124786</v>
      </c>
      <c r="R51" s="27">
        <v>0</v>
      </c>
      <c r="S51" s="29">
        <v>0</v>
      </c>
      <c r="T51" s="30">
        <f t="shared" si="8"/>
        <v>693686.66781304765</v>
      </c>
      <c r="U51" s="30">
        <f t="shared" si="9"/>
        <v>2092.1904566686198</v>
      </c>
    </row>
    <row r="52" spans="2:21" ht="15" thickBot="1" x14ac:dyDescent="0.35">
      <c r="B52" s="15" t="s">
        <v>51</v>
      </c>
      <c r="C52" s="50">
        <v>1529410</v>
      </c>
      <c r="D52" s="51">
        <v>270260</v>
      </c>
      <c r="E52" s="52">
        <v>1391580</v>
      </c>
      <c r="G52"/>
      <c r="H52"/>
      <c r="I52"/>
      <c r="J52"/>
      <c r="K52" s="39">
        <f>SUM(K2:K51)</f>
        <v>1529.4099999999996</v>
      </c>
      <c r="L52" s="39">
        <f t="shared" ref="K52:T52" si="13">SUM(L2:L51)</f>
        <v>1529.4099999999996</v>
      </c>
      <c r="M52" s="40">
        <f t="shared" si="13"/>
        <v>2578677.6328627747</v>
      </c>
      <c r="N52" s="40">
        <f t="shared" si="13"/>
        <v>317872.57439999998</v>
      </c>
      <c r="O52" s="40">
        <f t="shared" si="13"/>
        <v>78579.000000000029</v>
      </c>
      <c r="P52" s="40">
        <f t="shared" si="13"/>
        <v>154473.00000000009</v>
      </c>
      <c r="Q52" s="40">
        <f t="shared" si="13"/>
        <v>123484.35000000009</v>
      </c>
      <c r="R52" s="40">
        <f t="shared" si="13"/>
        <v>0</v>
      </c>
      <c r="S52" s="41">
        <f t="shared" si="13"/>
        <v>0</v>
      </c>
      <c r="T52" s="42">
        <f t="shared" si="13"/>
        <v>3129602.2072627735</v>
      </c>
      <c r="U52" s="42">
        <f t="shared" si="9"/>
        <v>2046.2807273803455</v>
      </c>
    </row>
    <row r="53" spans="2:21" ht="15" thickBot="1" x14ac:dyDescent="0.35"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 ht="16.2" thickBot="1" x14ac:dyDescent="0.35">
      <c r="G54"/>
      <c r="H54"/>
      <c r="I54"/>
      <c r="J54"/>
      <c r="K54"/>
      <c r="L54" s="43"/>
      <c r="M54"/>
      <c r="N54" t="s">
        <v>70</v>
      </c>
      <c r="O54" s="40">
        <v>78579.000000000015</v>
      </c>
      <c r="P54" s="40">
        <v>154473.00000000003</v>
      </c>
      <c r="Q54" s="40">
        <v>123484.35000000002</v>
      </c>
      <c r="R54"/>
      <c r="S54"/>
      <c r="T54"/>
      <c r="U54"/>
    </row>
    <row r="55" spans="2:21" x14ac:dyDescent="0.3">
      <c r="G55" t="s">
        <v>71</v>
      </c>
      <c r="H55" s="44">
        <v>3.52</v>
      </c>
      <c r="I55" s="45" t="s">
        <v>72</v>
      </c>
      <c r="J55" s="46" t="s">
        <v>73</v>
      </c>
      <c r="K55"/>
      <c r="L55"/>
      <c r="M55"/>
      <c r="N55"/>
      <c r="O55"/>
      <c r="P55"/>
      <c r="Q55"/>
      <c r="R55"/>
      <c r="S55"/>
      <c r="T55"/>
      <c r="U55"/>
    </row>
    <row r="56" spans="2:21" x14ac:dyDescent="0.3">
      <c r="G56" t="s">
        <v>74</v>
      </c>
      <c r="H56" s="47">
        <v>3.3010000000000002</v>
      </c>
      <c r="I56" s="48">
        <v>3644</v>
      </c>
      <c r="J56" s="49">
        <v>0.75</v>
      </c>
      <c r="K56" s="49"/>
      <c r="L56"/>
      <c r="M56"/>
      <c r="N56"/>
      <c r="O56"/>
      <c r="P56"/>
      <c r="Q56"/>
      <c r="R56"/>
      <c r="S56"/>
      <c r="T56"/>
      <c r="U56"/>
    </row>
    <row r="57" spans="2:21" x14ac:dyDescent="0.3">
      <c r="G57" t="s">
        <v>75</v>
      </c>
      <c r="H57" s="47">
        <v>2.633</v>
      </c>
      <c r="I57" s="48">
        <f>3218</f>
        <v>3218</v>
      </c>
      <c r="J57" s="49">
        <f>1-J56</f>
        <v>0.25</v>
      </c>
      <c r="K57" s="49"/>
      <c r="L57"/>
      <c r="M57"/>
      <c r="N57"/>
      <c r="O57"/>
      <c r="P57"/>
      <c r="Q57"/>
      <c r="R57"/>
      <c r="S57"/>
      <c r="T57"/>
      <c r="U57"/>
    </row>
    <row r="58" spans="2:21" x14ac:dyDescent="0.3">
      <c r="G58" t="s">
        <v>76</v>
      </c>
      <c r="H58" s="47">
        <f>H56*J56+H57*J57</f>
        <v>3.1340000000000003</v>
      </c>
      <c r="I58" s="48">
        <f>I56+I57</f>
        <v>6862</v>
      </c>
      <c r="J58"/>
      <c r="K58"/>
      <c r="L58"/>
      <c r="M58"/>
      <c r="N58"/>
      <c r="O58"/>
      <c r="P58"/>
      <c r="Q58"/>
      <c r="R58"/>
      <c r="S58"/>
      <c r="T58"/>
      <c r="U58"/>
    </row>
    <row r="59" spans="2:21" x14ac:dyDescent="0.3">
      <c r="G59" t="s">
        <v>77</v>
      </c>
      <c r="H59" s="49">
        <f>(H58-H55)/H55</f>
        <v>-0.10965909090909082</v>
      </c>
      <c r="I59"/>
      <c r="J59"/>
      <c r="K59"/>
      <c r="L59"/>
      <c r="M59"/>
      <c r="N59"/>
      <c r="O59"/>
      <c r="P59"/>
      <c r="Q59"/>
      <c r="R59"/>
      <c r="S59"/>
      <c r="T59"/>
      <c r="U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24-8-2026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2026-08-24T16:53:59Z</dcterms:created>
  <dcterms:modified xsi:type="dcterms:W3CDTF">2026-08-24T21:11:49Z</dcterms:modified>
</cp:coreProperties>
</file>