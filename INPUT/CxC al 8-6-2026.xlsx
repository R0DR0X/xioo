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drigom\Documents\"/>
    </mc:Choice>
  </mc:AlternateContent>
  <xr:revisionPtr revIDLastSave="0" documentId="13_ncr:1_{A4F00D0B-90E3-404C-ADDC-08EE4DB6BCCC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Data" sheetId="1" r:id="rId1"/>
    <sheet name="Resumen" sheetId="2" r:id="rId2"/>
  </sheets>
  <definedNames>
    <definedName name="_xlnm._FilterDatabase" localSheetId="0" hidden="1">Data!$A$1:$R$161</definedName>
  </definedNames>
  <calcPr calcId="191029"/>
  <pivotCaches>
    <pivotCache cacheId="37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4" i="2" l="1"/>
  <c r="W33" i="2"/>
  <c r="O80" i="1"/>
  <c r="O78" i="1"/>
  <c r="P69" i="1"/>
  <c r="P70" i="1"/>
  <c r="P71" i="1"/>
  <c r="P72" i="1"/>
  <c r="P73" i="1"/>
  <c r="P74" i="1"/>
  <c r="P75" i="1"/>
  <c r="P76" i="1"/>
  <c r="P77" i="1"/>
  <c r="P78" i="1"/>
  <c r="P79" i="1"/>
  <c r="P80" i="1"/>
  <c r="Q79" i="1"/>
  <c r="O79" i="1"/>
  <c r="M79" i="1"/>
  <c r="L79" i="1"/>
  <c r="Q78" i="1"/>
  <c r="M78" i="1"/>
  <c r="L78" i="1"/>
  <c r="Q76" i="1"/>
  <c r="M76" i="1"/>
  <c r="L76" i="1"/>
  <c r="Q74" i="1"/>
  <c r="M74" i="1"/>
  <c r="L74" i="1"/>
  <c r="Q72" i="1"/>
  <c r="M72" i="1"/>
  <c r="L72" i="1"/>
  <c r="Q70" i="1"/>
  <c r="M70" i="1"/>
  <c r="L70" i="1"/>
  <c r="Q158" i="1" l="1"/>
  <c r="M161" i="1"/>
  <c r="M160" i="1"/>
  <c r="M159" i="1"/>
  <c r="M158" i="1"/>
  <c r="M157" i="1"/>
  <c r="M156" i="1"/>
  <c r="M155" i="1"/>
  <c r="M154" i="1"/>
  <c r="M153" i="1"/>
  <c r="M152" i="1"/>
  <c r="M151" i="1"/>
  <c r="M145" i="1"/>
  <c r="M144" i="1"/>
  <c r="M143" i="1"/>
  <c r="M139" i="1"/>
  <c r="M138" i="1"/>
  <c r="M137" i="1"/>
  <c r="M117" i="1"/>
  <c r="M116" i="1"/>
  <c r="M115" i="1"/>
  <c r="M114" i="1"/>
  <c r="M113" i="1"/>
  <c r="M88" i="1"/>
  <c r="M87" i="1"/>
  <c r="M86" i="1"/>
  <c r="M85" i="1"/>
  <c r="M84" i="1"/>
  <c r="M83" i="1"/>
  <c r="M82" i="1"/>
  <c r="M81" i="1"/>
  <c r="M80" i="1"/>
  <c r="M77" i="1"/>
  <c r="M75" i="1"/>
  <c r="M73" i="1"/>
  <c r="M71" i="1"/>
  <c r="M69" i="1"/>
  <c r="M68" i="1"/>
  <c r="M67" i="1"/>
  <c r="M66" i="1"/>
  <c r="M49" i="1"/>
  <c r="M48" i="1"/>
  <c r="M47" i="1"/>
  <c r="M46" i="1"/>
  <c r="M45" i="1"/>
  <c r="M44" i="1"/>
  <c r="M43" i="1"/>
  <c r="M42" i="1"/>
  <c r="M35" i="1"/>
  <c r="M34" i="1"/>
  <c r="M23" i="1"/>
  <c r="M22" i="1"/>
  <c r="M21" i="1"/>
  <c r="M20" i="1"/>
  <c r="M19" i="1"/>
  <c r="L161" i="1"/>
  <c r="L160" i="1"/>
  <c r="L159" i="1"/>
  <c r="L158" i="1"/>
  <c r="L157" i="1"/>
  <c r="L156" i="1"/>
  <c r="L155" i="1"/>
  <c r="L154" i="1"/>
  <c r="L153" i="1"/>
  <c r="L152" i="1"/>
  <c r="L151" i="1"/>
  <c r="L145" i="1"/>
  <c r="L144" i="1"/>
  <c r="L143" i="1"/>
  <c r="L139" i="1"/>
  <c r="L138" i="1"/>
  <c r="L137" i="1"/>
  <c r="L117" i="1"/>
  <c r="L116" i="1"/>
  <c r="L115" i="1"/>
  <c r="L114" i="1"/>
  <c r="L113" i="1"/>
  <c r="L88" i="1"/>
  <c r="L87" i="1"/>
  <c r="L86" i="1"/>
  <c r="L85" i="1"/>
  <c r="L84" i="1"/>
  <c r="L83" i="1"/>
  <c r="L82" i="1"/>
  <c r="L81" i="1"/>
  <c r="L80" i="1"/>
  <c r="L77" i="1"/>
  <c r="L75" i="1"/>
  <c r="L73" i="1"/>
  <c r="L71" i="1"/>
  <c r="L69" i="1"/>
  <c r="L68" i="1"/>
  <c r="L67" i="1"/>
  <c r="L66" i="1"/>
  <c r="L49" i="1"/>
  <c r="L48" i="1"/>
  <c r="L47" i="1"/>
  <c r="L46" i="1"/>
  <c r="L45" i="1"/>
  <c r="L44" i="1"/>
  <c r="L43" i="1"/>
  <c r="L42" i="1"/>
  <c r="L35" i="1"/>
  <c r="L34" i="1"/>
  <c r="L23" i="1"/>
  <c r="L22" i="1"/>
  <c r="L21" i="1"/>
  <c r="L20" i="1"/>
  <c r="L19" i="1"/>
  <c r="Q161" i="1"/>
  <c r="Q160" i="1"/>
  <c r="Q159" i="1"/>
  <c r="Q157" i="1"/>
  <c r="Q156" i="1"/>
  <c r="Q155" i="1"/>
  <c r="Q154" i="1"/>
  <c r="Q153" i="1"/>
  <c r="Q152" i="1"/>
  <c r="Q151" i="1"/>
  <c r="Q145" i="1"/>
  <c r="Q144" i="1"/>
  <c r="Q143" i="1"/>
  <c r="Q139" i="1"/>
  <c r="Q138" i="1"/>
  <c r="Q137" i="1"/>
  <c r="Q117" i="1"/>
  <c r="Q116" i="1"/>
  <c r="Q115" i="1"/>
  <c r="Q114" i="1"/>
  <c r="Q113" i="1"/>
  <c r="Q88" i="1"/>
  <c r="Q87" i="1"/>
  <c r="Q86" i="1"/>
  <c r="Q85" i="1"/>
  <c r="Q84" i="1"/>
  <c r="Q83" i="1"/>
  <c r="Q82" i="1"/>
  <c r="Q81" i="1"/>
  <c r="Q80" i="1"/>
  <c r="Q77" i="1"/>
  <c r="Q75" i="1"/>
  <c r="Q73" i="1"/>
  <c r="Q71" i="1"/>
  <c r="Q69" i="1"/>
  <c r="Q68" i="1"/>
  <c r="Q67" i="1"/>
  <c r="Q66" i="1"/>
  <c r="Q49" i="1"/>
  <c r="Q48" i="1"/>
  <c r="Q47" i="1"/>
  <c r="Q46" i="1"/>
  <c r="Q45" i="1"/>
  <c r="Q44" i="1"/>
  <c r="Q43" i="1"/>
  <c r="Q42" i="1"/>
  <c r="Q35" i="1"/>
  <c r="Q34" i="1"/>
  <c r="Q23" i="1"/>
  <c r="Q22" i="1"/>
  <c r="Q21" i="1"/>
  <c r="Q20" i="1"/>
  <c r="Q19" i="1"/>
  <c r="P161" i="1"/>
  <c r="P160" i="1"/>
  <c r="P159" i="1"/>
  <c r="P158" i="1"/>
  <c r="P157" i="1"/>
  <c r="P156" i="1"/>
  <c r="P155" i="1"/>
  <c r="P154" i="1"/>
  <c r="P153" i="1"/>
  <c r="P152" i="1"/>
  <c r="P151" i="1"/>
  <c r="P145" i="1"/>
  <c r="P144" i="1"/>
  <c r="P143" i="1"/>
  <c r="P139" i="1"/>
  <c r="P138" i="1"/>
  <c r="P137" i="1"/>
  <c r="P117" i="1"/>
  <c r="P116" i="1"/>
  <c r="P115" i="1"/>
  <c r="P114" i="1"/>
  <c r="P113" i="1"/>
  <c r="P88" i="1"/>
  <c r="P87" i="1"/>
  <c r="P86" i="1"/>
  <c r="P85" i="1"/>
  <c r="P84" i="1"/>
  <c r="P83" i="1"/>
  <c r="P82" i="1"/>
  <c r="P81" i="1"/>
  <c r="P68" i="1"/>
  <c r="P67" i="1"/>
  <c r="P66" i="1"/>
  <c r="P49" i="1"/>
  <c r="P48" i="1"/>
  <c r="P47" i="1"/>
  <c r="P46" i="1"/>
  <c r="P45" i="1"/>
  <c r="P44" i="1"/>
  <c r="P43" i="1"/>
  <c r="P42" i="1"/>
  <c r="P35" i="1"/>
  <c r="P34" i="1"/>
  <c r="P23" i="1"/>
  <c r="P22" i="1"/>
  <c r="P21" i="1"/>
  <c r="P20" i="1"/>
  <c r="P19" i="1"/>
  <c r="O161" i="1"/>
  <c r="O156" i="1"/>
  <c r="O154" i="1"/>
  <c r="O153" i="1"/>
  <c r="O152" i="1"/>
  <c r="O151" i="1"/>
  <c r="O139" i="1"/>
  <c r="O117" i="1"/>
  <c r="O116" i="1"/>
  <c r="O113" i="1"/>
  <c r="O88" i="1"/>
  <c r="O87" i="1"/>
  <c r="O86" i="1"/>
  <c r="O85" i="1"/>
  <c r="O84" i="1"/>
  <c r="O83" i="1"/>
  <c r="O82" i="1"/>
  <c r="O77" i="1"/>
  <c r="O75" i="1"/>
  <c r="O73" i="1"/>
  <c r="O71" i="1"/>
  <c r="O69" i="1"/>
  <c r="O68" i="1"/>
  <c r="O67" i="1"/>
  <c r="O66" i="1"/>
  <c r="O49" i="1"/>
  <c r="O46" i="1"/>
  <c r="O45" i="1"/>
  <c r="O35" i="1"/>
  <c r="O34" i="1"/>
  <c r="O22" i="1"/>
  <c r="O21" i="1"/>
  <c r="O20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89" i="1"/>
  <c r="P136" i="1"/>
  <c r="P135" i="1"/>
  <c r="O136" i="1"/>
  <c r="O135" i="1"/>
  <c r="P134" i="1"/>
  <c r="O134" i="1"/>
  <c r="P119" i="1"/>
  <c r="P120" i="1"/>
  <c r="P121" i="1"/>
  <c r="P118" i="1"/>
  <c r="O119" i="1"/>
  <c r="O120" i="1"/>
  <c r="O121" i="1"/>
  <c r="O118" i="1"/>
</calcChain>
</file>

<file path=xl/sharedStrings.xml><?xml version="1.0" encoding="utf-8"?>
<sst xmlns="http://schemas.openxmlformats.org/spreadsheetml/2006/main" count="1179" uniqueCount="549">
  <si>
    <t>Cliente</t>
  </si>
  <si>
    <t>Nombre de cliente</t>
  </si>
  <si>
    <t>Nº documento</t>
  </si>
  <si>
    <t>Referencia</t>
  </si>
  <si>
    <t>Clase de documento</t>
  </si>
  <si>
    <t>Fecha de documento</t>
  </si>
  <si>
    <t>Demora tras vencimiento neto</t>
  </si>
  <si>
    <t>Fecha de pago</t>
  </si>
  <si>
    <t>Importe en moneda doc.</t>
  </si>
  <si>
    <t>Moneda del documento</t>
  </si>
  <si>
    <t>1000013966</t>
  </si>
  <si>
    <t>ARKANO TRADING SOCIEDAD ANONIMA CER</t>
  </si>
  <si>
    <t>1200005220</t>
  </si>
  <si>
    <t>01-0F101-0004694</t>
  </si>
  <si>
    <t>DF</t>
  </si>
  <si>
    <t>PEN</t>
  </si>
  <si>
    <t>ARKANO TRADING SOCIEDAD ANONIMA CER</t>
  </si>
  <si>
    <t>1200005228</t>
  </si>
  <si>
    <t>01-0F101-0004700</t>
  </si>
  <si>
    <t>ARKANO TRADING SOCIEDAD ANONIMA CER</t>
  </si>
  <si>
    <t>1200005242</t>
  </si>
  <si>
    <t>01-0F101-0004710</t>
  </si>
  <si>
    <t>ARKANO TRADING SOCIEDAD ANONIMA CER</t>
  </si>
  <si>
    <t>1200005264</t>
  </si>
  <si>
    <t>01-0F101-0004729</t>
  </si>
  <si>
    <t>ARKANO TRADING SOCIEDAD ANONIMA CER</t>
  </si>
  <si>
    <t>1200005271</t>
  </si>
  <si>
    <t>01-0F101-0004736</t>
  </si>
  <si>
    <t>ARKANO TRADING SOCIEDAD ANONIMA CER</t>
  </si>
  <si>
    <t>1200005296</t>
  </si>
  <si>
    <t>01-0F101-0004758</t>
  </si>
  <si>
    <t>ARKANO TRADING SOCIEDAD ANONIMA CER</t>
  </si>
  <si>
    <t>1200005302</t>
  </si>
  <si>
    <t>01-0F101-0004762</t>
  </si>
  <si>
    <t>ARKANO TRADING SOCIEDAD ANONIMA CER</t>
  </si>
  <si>
    <t>1200005304</t>
  </si>
  <si>
    <t>01-0F101-0004763</t>
  </si>
  <si>
    <t>ARKANO TRADING SOCIEDAD ANONIMA CER</t>
  </si>
  <si>
    <t>1200005313</t>
  </si>
  <si>
    <t>01-0F101-0004772</t>
  </si>
  <si>
    <t>ARKANO TRADING SOCIEDAD ANONIMA CER</t>
  </si>
  <si>
    <t>1200005346</t>
  </si>
  <si>
    <t>01-0F101-0004803</t>
  </si>
  <si>
    <t>ARKANO TRADING SOCIEDAD ANONIMA CER</t>
  </si>
  <si>
    <t>1200005422</t>
  </si>
  <si>
    <t>01-0F101-0004855</t>
  </si>
  <si>
    <t>ARKANO TRADING SOCIEDAD ANONIMA CER</t>
  </si>
  <si>
    <t>1200000045</t>
  </si>
  <si>
    <t>01-0F101-0005160</t>
  </si>
  <si>
    <t>ARKANO TRADING SOCIEDAD ANONIMA CER</t>
  </si>
  <si>
    <t>1200000090</t>
  </si>
  <si>
    <t>01-0F101-0005198</t>
  </si>
  <si>
    <t>ARKANO TRADING SOCIEDAD ANONIMA CER</t>
  </si>
  <si>
    <t>1200000113</t>
  </si>
  <si>
    <t>01-0F101-0005211</t>
  </si>
  <si>
    <t>ARKANO TRADING SOCIEDAD ANONIMA CER</t>
  </si>
  <si>
    <t>1200000132</t>
  </si>
  <si>
    <t>01-0F101-0005224</t>
  </si>
  <si>
    <t>ARKANO TRADING SOCIEDAD ANONIMA CER</t>
  </si>
  <si>
    <t>1200000133</t>
  </si>
  <si>
    <t>01-0F101-0005225</t>
  </si>
  <si>
    <t>ARKANO TRADING SOCIEDAD ANONIMA CER</t>
  </si>
  <si>
    <t>1200000141</t>
  </si>
  <si>
    <t>01-0F101-0005231</t>
  </si>
  <si>
    <t>2000001028</t>
  </si>
  <si>
    <t>AVANCE GROUP LTD</t>
  </si>
  <si>
    <t>1300004710</t>
  </si>
  <si>
    <t>FT-0F002-0000339</t>
  </si>
  <si>
    <t>ZV</t>
  </si>
  <si>
    <t>USD</t>
  </si>
  <si>
    <t>AVANCE GROUP LTD</t>
  </si>
  <si>
    <t>1200002081</t>
  </si>
  <si>
    <t>01-0F002-0000353</t>
  </si>
  <si>
    <t>DE</t>
  </si>
  <si>
    <t>AVANCE GROUP LTD</t>
  </si>
  <si>
    <t>1300004722</t>
  </si>
  <si>
    <t>ANTICIPO</t>
  </si>
  <si>
    <t>DZ</t>
  </si>
  <si>
    <t>AVANCE GROUP LTD</t>
  </si>
  <si>
    <t>1200002135</t>
  </si>
  <si>
    <t>01-0F002-0000359</t>
  </si>
  <si>
    <t>AVANCE GROUP LTD</t>
  </si>
  <si>
    <t>1300004711</t>
  </si>
  <si>
    <t>FT-0F002-0000360</t>
  </si>
  <si>
    <t>1000013676</t>
  </si>
  <si>
    <t>CARLOS ALBERTO MARTINEZ QUEREVALU</t>
  </si>
  <si>
    <t>1200001798</t>
  </si>
  <si>
    <t>03-0B001-0004567</t>
  </si>
  <si>
    <t>DB</t>
  </si>
  <si>
    <t>CARLOS ALBERTO MARTINEZ QUEREVALU</t>
  </si>
  <si>
    <t>1200001799</t>
  </si>
  <si>
    <t>03-0B001-0004568</t>
  </si>
  <si>
    <t>1000002057</t>
  </si>
  <si>
    <t>CRISTO DE LA VICTORIA S.A.C.</t>
  </si>
  <si>
    <t>1200002149</t>
  </si>
  <si>
    <t>01-0F101-0006687</t>
  </si>
  <si>
    <t>CRISTO DE LA VICTORIA S.A.C.</t>
  </si>
  <si>
    <t>1200002150</t>
  </si>
  <si>
    <t>01-0F101-0006688</t>
  </si>
  <si>
    <t>CRISTO DE LA VICTORIA S.A.C.</t>
  </si>
  <si>
    <t>1200002207</t>
  </si>
  <si>
    <t>01-0F101-0006735</t>
  </si>
  <si>
    <t>CRISTO DE LA VICTORIA S.A.C.</t>
  </si>
  <si>
    <t>1200002208</t>
  </si>
  <si>
    <t>01-0F101-0006736</t>
  </si>
  <si>
    <t>CRISTO DE LA VICTORIA S.A.C.</t>
  </si>
  <si>
    <t>1200002241</t>
  </si>
  <si>
    <t>01-0F101-0006757</t>
  </si>
  <si>
    <t>CRISTO DE LA VICTORIA S.A.C.</t>
  </si>
  <si>
    <t>1200002242</t>
  </si>
  <si>
    <t>01-0F101-0006758</t>
  </si>
  <si>
    <t>CRISTO DE LA VICTORIA S.A.C.</t>
  </si>
  <si>
    <t>1200002265</t>
  </si>
  <si>
    <t>01-0F101-0006777</t>
  </si>
  <si>
    <t>CRISTO DE LA VICTORIA S.A.C.</t>
  </si>
  <si>
    <t>1200002266</t>
  </si>
  <si>
    <t>01-0F101-0006778</t>
  </si>
  <si>
    <t>2000001381</t>
  </si>
  <si>
    <t>DAIRECK SA</t>
  </si>
  <si>
    <t>1200001893</t>
  </si>
  <si>
    <t>01-0F002-0000333</t>
  </si>
  <si>
    <t>DAIRECK SA</t>
  </si>
  <si>
    <t>1300004208</t>
  </si>
  <si>
    <t>FT-0F002-0000329</t>
  </si>
  <si>
    <t>1000013754</t>
  </si>
  <si>
    <t>ELMER SIXTO SOJO ACARO</t>
  </si>
  <si>
    <t>1200002110</t>
  </si>
  <si>
    <t>03-0B001-0004622</t>
  </si>
  <si>
    <t>ELMER SIXTO SOJO ACARO</t>
  </si>
  <si>
    <t>1200002111</t>
  </si>
  <si>
    <t>03-0B001-0004623</t>
  </si>
  <si>
    <t>ELMER SIXTO SOJO ACARO</t>
  </si>
  <si>
    <t>1200002151</t>
  </si>
  <si>
    <t>03-0B001-0004628</t>
  </si>
  <si>
    <t>ELMER SIXTO SOJO ACARO</t>
  </si>
  <si>
    <t>1200002152</t>
  </si>
  <si>
    <t>03-0B001-0004629</t>
  </si>
  <si>
    <t>ELMER SIXTO SOJO ACARO</t>
  </si>
  <si>
    <t>1200002233</t>
  </si>
  <si>
    <t>03-0B001-0004644</t>
  </si>
  <si>
    <t>ELMER SIXTO SOJO ACARO</t>
  </si>
  <si>
    <t>1200002234</t>
  </si>
  <si>
    <t>03-0B001-0004645</t>
  </si>
  <si>
    <t>2000001368</t>
  </si>
  <si>
    <t>FOOD &amp; BEVERAGES TRADERS, S.L.</t>
  </si>
  <si>
    <t>1300004226</t>
  </si>
  <si>
    <t>FT-0F002-0000311</t>
  </si>
  <si>
    <t>2000001441</t>
  </si>
  <si>
    <t>Giant Ocean Food Company Limited</t>
  </si>
  <si>
    <t>1300004712</t>
  </si>
  <si>
    <t>FT-0F002-0000327</t>
  </si>
  <si>
    <t>2000001361</t>
  </si>
  <si>
    <t>GLOBAL OCEAN FLEXTRADING, S. L</t>
  </si>
  <si>
    <t>GLOBAL OCEAN FLEXTRADING, S. L</t>
  </si>
  <si>
    <t>1300004210</t>
  </si>
  <si>
    <t>FT-0F002-0000295</t>
  </si>
  <si>
    <t>GLOBAL OCEAN FLEXTRADING, S. L</t>
  </si>
  <si>
    <t>1200002007</t>
  </si>
  <si>
    <t>01-0F002-0000342</t>
  </si>
  <si>
    <t>GLOBAL OCEAN FLEXTRADING, S. L</t>
  </si>
  <si>
    <t>1200002041</t>
  </si>
  <si>
    <t>01-0F002-0000351</t>
  </si>
  <si>
    <t>2000001398</t>
  </si>
  <si>
    <t>Hunan Jinyueyang Import and Export</t>
  </si>
  <si>
    <t>1300002661</t>
  </si>
  <si>
    <t>FT-0F002-0000315</t>
  </si>
  <si>
    <t>Hunan Jinyueyang Import and Export</t>
  </si>
  <si>
    <t>1300002662</t>
  </si>
  <si>
    <t>FT-0F002-0000323</t>
  </si>
  <si>
    <t>Hunan Jinyueyang Import and Export</t>
  </si>
  <si>
    <t>1200001877</t>
  </si>
  <si>
    <t>01-0F002-0000331</t>
  </si>
  <si>
    <t>1000006830</t>
  </si>
  <si>
    <t>JAHFISH E.I.R.L.</t>
  </si>
  <si>
    <t>1200002153</t>
  </si>
  <si>
    <t>01-0F101-0006689</t>
  </si>
  <si>
    <t>JAHFISH E.I.R.L.</t>
  </si>
  <si>
    <t>1200002154</t>
  </si>
  <si>
    <t>01-0F101-0006690</t>
  </si>
  <si>
    <t>JAHFISH E.I.R.L.</t>
  </si>
  <si>
    <t>1200002168</t>
  </si>
  <si>
    <t>01-0F101-0006702</t>
  </si>
  <si>
    <t>JAHFISH E.I.R.L.</t>
  </si>
  <si>
    <t>1200002169</t>
  </si>
  <si>
    <t>01-0F101-0006703</t>
  </si>
  <si>
    <t>JAHFISH E.I.R.L.</t>
  </si>
  <si>
    <t>1200002197</t>
  </si>
  <si>
    <t>01-0F101-0006725</t>
  </si>
  <si>
    <t>JAHFISH E.I.R.L.</t>
  </si>
  <si>
    <t>1200002204</t>
  </si>
  <si>
    <t>01-0F101-0006732</t>
  </si>
  <si>
    <t>JAHFISH E.I.R.L.</t>
  </si>
  <si>
    <t>1200002235</t>
  </si>
  <si>
    <t>01-0F101-0006751</t>
  </si>
  <si>
    <t>JAHFISH E.I.R.L.</t>
  </si>
  <si>
    <t>1200002236</t>
  </si>
  <si>
    <t>01-0F101-0006752</t>
  </si>
  <si>
    <t>JAHFISH E.I.R.L.</t>
  </si>
  <si>
    <t>1200002251</t>
  </si>
  <si>
    <t>01-0F101-0006765</t>
  </si>
  <si>
    <t>JAHFISH E.I.R.L.</t>
  </si>
  <si>
    <t>1200002252</t>
  </si>
  <si>
    <t>01-0F101-0006766</t>
  </si>
  <si>
    <t>JAHFISH E.I.R.L.</t>
  </si>
  <si>
    <t>1200002255</t>
  </si>
  <si>
    <t>01-0F101-0006769</t>
  </si>
  <si>
    <t>JAHFISH E.I.R.L.</t>
  </si>
  <si>
    <t>1200002256</t>
  </si>
  <si>
    <t>01-0F101-0006770</t>
  </si>
  <si>
    <t>JAHFISH E.I.R.L.</t>
  </si>
  <si>
    <t>1200002263</t>
  </si>
  <si>
    <t>01-0F101-0006775</t>
  </si>
  <si>
    <t>JAHFISH E.I.R.L.</t>
  </si>
  <si>
    <t>1200002264</t>
  </si>
  <si>
    <t>01-0F101-0006776</t>
  </si>
  <si>
    <t>JAHFISH E.I.R.L.</t>
  </si>
  <si>
    <t>1200002314</t>
  </si>
  <si>
    <t>01-0F101-0006820</t>
  </si>
  <si>
    <t>JAHFISH E.I.R.L.</t>
  </si>
  <si>
    <t>1200002315</t>
  </si>
  <si>
    <t>01-0F101-0006821</t>
  </si>
  <si>
    <t>2000001459</t>
  </si>
  <si>
    <t>KS FROZEN COMPANY LIMITED</t>
  </si>
  <si>
    <t>1300004230</t>
  </si>
  <si>
    <t>ANTICIPO FP242</t>
  </si>
  <si>
    <t>2000001172</t>
  </si>
  <si>
    <t>KULALIA SL</t>
  </si>
  <si>
    <t>1300004713</t>
  </si>
  <si>
    <t>SALDO A FAVOR</t>
  </si>
  <si>
    <t>KULALIA SL</t>
  </si>
  <si>
    <t>1300004024</t>
  </si>
  <si>
    <t>ANTICIPO FP238</t>
  </si>
  <si>
    <t>2000000231</t>
  </si>
  <si>
    <t>LONGKOU JIABAO AQUATIC FOODSTUFFS</t>
  </si>
  <si>
    <t>LONGKOU JIABAO AQUATIC FOODSTUFFS</t>
  </si>
  <si>
    <t>1200001730</t>
  </si>
  <si>
    <t>01-0F002-0000326</t>
  </si>
  <si>
    <t>LONGKOU JIABAO AQUATIC FOODSTUFFS</t>
  </si>
  <si>
    <t>1200001990</t>
  </si>
  <si>
    <t>01-0F002-0000337</t>
  </si>
  <si>
    <t>LONGKOU JIABAO AQUATIC FOODSTUFFS</t>
  </si>
  <si>
    <t>1200002034</t>
  </si>
  <si>
    <t>01-0F002-0000344</t>
  </si>
  <si>
    <t>LONGKOU JIABAO AQUATIC FOODSTUFFS</t>
  </si>
  <si>
    <t>1200002036</t>
  </si>
  <si>
    <t>01-0F002-0000346</t>
  </si>
  <si>
    <t>LONGKOU JIABAO AQUATIC FOODSTUFFS</t>
  </si>
  <si>
    <t>1200002130</t>
  </si>
  <si>
    <t>01-0F002-0000354</t>
  </si>
  <si>
    <t>LONGKOU JIABAO AQUATIC FOODSTUFFS</t>
  </si>
  <si>
    <t>1200002133</t>
  </si>
  <si>
    <t>01-0F002-0000357</t>
  </si>
  <si>
    <t>2000000233</t>
  </si>
  <si>
    <t>LONGKOU SANMING AQUATIC</t>
  </si>
  <si>
    <t>1300004714</t>
  </si>
  <si>
    <t>FT-0F002-0000350</t>
  </si>
  <si>
    <t>LONGKOU SANMING AQUATIC</t>
  </si>
  <si>
    <t>1200002140</t>
  </si>
  <si>
    <t>01-0F002-0000364</t>
  </si>
  <si>
    <t>2000001409</t>
  </si>
  <si>
    <t>Longkou Yunfeng Aquatic Food Co.,Lt</t>
  </si>
  <si>
    <t>1300002664</t>
  </si>
  <si>
    <t>SALDO A FAVOR</t>
  </si>
  <si>
    <t>Longkou Yunfeng Aquatic Food Co.,Lt</t>
  </si>
  <si>
    <t>1200001360</t>
  </si>
  <si>
    <t>01-0F002-0000319</t>
  </si>
  <si>
    <t>Longkou Yunfeng Aquatic Food Co.,Lt</t>
  </si>
  <si>
    <t>1200001874</t>
  </si>
  <si>
    <t>01-0F002-0000328</t>
  </si>
  <si>
    <t>Longkou Yunfeng Aquatic Food Co.,Lt</t>
  </si>
  <si>
    <t>1200001989</t>
  </si>
  <si>
    <t>01-0F002-0000336</t>
  </si>
  <si>
    <t>Longkou Yunfeng Aquatic Food Co.,Lt</t>
  </si>
  <si>
    <t>1200002038</t>
  </si>
  <si>
    <t>01-0F002-0000348</t>
  </si>
  <si>
    <t>Longkou Yunfeng Aquatic Food Co.,Lt</t>
  </si>
  <si>
    <t>1200002132</t>
  </si>
  <si>
    <t>01-0F002-0000356</t>
  </si>
  <si>
    <t>6002007</t>
  </si>
  <si>
    <t>NAVAPEZ E.I.R.L.</t>
  </si>
  <si>
    <t>1200005141</t>
  </si>
  <si>
    <t>01-0F101-0004638</t>
  </si>
  <si>
    <t>NAVAPEZ E.I.R.L.</t>
  </si>
  <si>
    <t>1200005142</t>
  </si>
  <si>
    <t>01-0F101-0004639</t>
  </si>
  <si>
    <t>NAVAPEZ E.I.R.L.</t>
  </si>
  <si>
    <t>1200005158</t>
  </si>
  <si>
    <t>01-0F101-0004653</t>
  </si>
  <si>
    <t>NAVAPEZ E.I.R.L.</t>
  </si>
  <si>
    <t>1200005159</t>
  </si>
  <si>
    <t>01-0F101-0004654</t>
  </si>
  <si>
    <t>NAVAPEZ E.I.R.L.</t>
  </si>
  <si>
    <t>1200001503</t>
  </si>
  <si>
    <t>01-0F101-0006226</t>
  </si>
  <si>
    <t>NAVAPEZ E.I.R.L.</t>
  </si>
  <si>
    <t>1200001504</t>
  </si>
  <si>
    <t>01-0F101-0006227</t>
  </si>
  <si>
    <t>NAVAPEZ E.I.R.L.</t>
  </si>
  <si>
    <t>1200001509</t>
  </si>
  <si>
    <t>01-0F101-0006232</t>
  </si>
  <si>
    <t>NAVAPEZ E.I.R.L.</t>
  </si>
  <si>
    <t>1200001510</t>
  </si>
  <si>
    <t>01-0F101-0006233</t>
  </si>
  <si>
    <t>NAVAPEZ E.I.R.L.</t>
  </si>
  <si>
    <t>1200001609</t>
  </si>
  <si>
    <t>01-0F101-0006311</t>
  </si>
  <si>
    <t>NAVAPEZ E.I.R.L.</t>
  </si>
  <si>
    <t>1200001610</t>
  </si>
  <si>
    <t>01-0F101-0006312</t>
  </si>
  <si>
    <t>NAVAPEZ E.I.R.L.</t>
  </si>
  <si>
    <t>1200001789</t>
  </si>
  <si>
    <t>01-0F101-0006447</t>
  </si>
  <si>
    <t>NAVAPEZ E.I.R.L.</t>
  </si>
  <si>
    <t>1200001790</t>
  </si>
  <si>
    <t>01-0F101-0006448</t>
  </si>
  <si>
    <t>NAVAPEZ E.I.R.L.</t>
  </si>
  <si>
    <t>1200002045</t>
  </si>
  <si>
    <t>01-0F101-0006626</t>
  </si>
  <si>
    <t>NAVAPEZ E.I.R.L.</t>
  </si>
  <si>
    <t>1200002046</t>
  </si>
  <si>
    <t>01-0F101-0006627</t>
  </si>
  <si>
    <t>NAVAPEZ E.I.R.L.</t>
  </si>
  <si>
    <t>1200002186</t>
  </si>
  <si>
    <t>01-0F101-0006716</t>
  </si>
  <si>
    <t>NAVAPEZ E.I.R.L.</t>
  </si>
  <si>
    <t>1200002187</t>
  </si>
  <si>
    <t>01-0F101-0006717</t>
  </si>
  <si>
    <t>6001105</t>
  </si>
  <si>
    <t>NEGOCIOS PESQUEROS AARON EIRL</t>
  </si>
  <si>
    <t>1200001300</t>
  </si>
  <si>
    <t>01-0F101-0006073</t>
  </si>
  <si>
    <t>NEGOCIOS PESQUEROS AARON EIRL</t>
  </si>
  <si>
    <t>1200001301</t>
  </si>
  <si>
    <t>01-0F101-0006074</t>
  </si>
  <si>
    <t>NEGOCIOS PESQUEROS AARON EIRL</t>
  </si>
  <si>
    <t>1200001302</t>
  </si>
  <si>
    <t>01-0F101-0006075</t>
  </si>
  <si>
    <t>NEGOCIOS PESQUEROS AARON EIRL</t>
  </si>
  <si>
    <t>1300004037</t>
  </si>
  <si>
    <t>FT-0F101-0006072</t>
  </si>
  <si>
    <t>NEGOCIOS PESQUEROS AARON EIRL</t>
  </si>
  <si>
    <t>1200001648</t>
  </si>
  <si>
    <t>01-0F101-0006336</t>
  </si>
  <si>
    <t>NEGOCIOS PESQUEROS AARON EIRL</t>
  </si>
  <si>
    <t>1200001649</t>
  </si>
  <si>
    <t>01-0F101-0006337</t>
  </si>
  <si>
    <t>NEGOCIOS PESQUEROS AARON EIRL</t>
  </si>
  <si>
    <t>1200002301</t>
  </si>
  <si>
    <t>01-0F101-0006807</t>
  </si>
  <si>
    <t>NEGOCIOS PESQUEROS AARON EIRL</t>
  </si>
  <si>
    <t>1200002302</t>
  </si>
  <si>
    <t>01-0F101-0006808</t>
  </si>
  <si>
    <t>2000001443</t>
  </si>
  <si>
    <t>NINGBO JUN TAO IMPORT AND</t>
  </si>
  <si>
    <t>1300002821</t>
  </si>
  <si>
    <t>ANTICIPO NINGBO</t>
  </si>
  <si>
    <t>NINGBO JUN TAO IMPORT AND</t>
  </si>
  <si>
    <t>1300004715</t>
  </si>
  <si>
    <t>FT-0F002-0000355</t>
  </si>
  <si>
    <t>2000001359</t>
  </si>
  <si>
    <t>OCEANUS FISH S.L.</t>
  </si>
  <si>
    <t>OCEANUS FISH S.L.</t>
  </si>
  <si>
    <t>1200001191</t>
  </si>
  <si>
    <t>01-0F002-0000301</t>
  </si>
  <si>
    <t>OCEANUS FISH S.L.</t>
  </si>
  <si>
    <t>1200001321</t>
  </si>
  <si>
    <t>01-0F002-0000309</t>
  </si>
  <si>
    <t>OCEANUS FISH S.L.</t>
  </si>
  <si>
    <t>1200002006</t>
  </si>
  <si>
    <t>01-0F002-0000341</t>
  </si>
  <si>
    <t>1000013925</t>
  </si>
  <si>
    <t>PEGASUS ENTERPRISE S.A.C.</t>
  </si>
  <si>
    <t>1300006898</t>
  </si>
  <si>
    <t>FT-0F003-0000101</t>
  </si>
  <si>
    <t>PEGASUS ENTERPRISE S.A.C.</t>
  </si>
  <si>
    <t>1200005124</t>
  </si>
  <si>
    <t>01-0F003-0000129</t>
  </si>
  <si>
    <t>PEGASUS ENTERPRISE S.A.C.</t>
  </si>
  <si>
    <t>1200000182</t>
  </si>
  <si>
    <t>01-0F003-0000168</t>
  </si>
  <si>
    <t>PEGASUS ENTERPRISE S.A.C.</t>
  </si>
  <si>
    <t>1200000382</t>
  </si>
  <si>
    <t>01-0F003-0000174</t>
  </si>
  <si>
    <t>1000015185</t>
  </si>
  <si>
    <t>PESCACORD PERU SOCIEDAD ANONIMA CER</t>
  </si>
  <si>
    <t>1200002181</t>
  </si>
  <si>
    <t>01-0F101-0006713</t>
  </si>
  <si>
    <t>PESCACORD PERU SOCIEDAD ANONIMA CER</t>
  </si>
  <si>
    <t>1200002182</t>
  </si>
  <si>
    <t>01-0F101-0006714</t>
  </si>
  <si>
    <t>PESCACORD PERU SOCIEDAD ANONIMA CER</t>
  </si>
  <si>
    <t>1200002217</t>
  </si>
  <si>
    <t>01-0F101-0006739</t>
  </si>
  <si>
    <t>PESCACORD PERU SOCIEDAD ANONIMA CER</t>
  </si>
  <si>
    <t>1200002218</t>
  </si>
  <si>
    <t>01-0F101-0006740</t>
  </si>
  <si>
    <t>PESCACORD PERU SOCIEDAD ANONIMA CER</t>
  </si>
  <si>
    <t>1200002231</t>
  </si>
  <si>
    <t>01-0F101-0006749</t>
  </si>
  <si>
    <t>PESCACORD PERU SOCIEDAD ANONIMA CER</t>
  </si>
  <si>
    <t>1200002232</t>
  </si>
  <si>
    <t>01-0F101-0006750</t>
  </si>
  <si>
    <t>PESCACORD PERU SOCIEDAD ANONIMA CER</t>
  </si>
  <si>
    <t>1200002245</t>
  </si>
  <si>
    <t>01-0F101-0006761</t>
  </si>
  <si>
    <t>PESCACORD PERU SOCIEDAD ANONIMA CER</t>
  </si>
  <si>
    <t>1200002246</t>
  </si>
  <si>
    <t>01-0F101-0006762</t>
  </si>
  <si>
    <t>PESCACORD PERU SOCIEDAD ANONIMA CER</t>
  </si>
  <si>
    <t>1200002310</t>
  </si>
  <si>
    <t>01-0F101-0006816</t>
  </si>
  <si>
    <t>PESCACORD PERU SOCIEDAD ANONIMA CER</t>
  </si>
  <si>
    <t>1200002311</t>
  </si>
  <si>
    <t>01-0F101-0006817</t>
  </si>
  <si>
    <t>PESCACORD PERU SOCIEDAD ANONIMA CER</t>
  </si>
  <si>
    <t>1200002312</t>
  </si>
  <si>
    <t>01-0F101-0006818</t>
  </si>
  <si>
    <t>PESCACORD PERU SOCIEDAD ANONIMA CER</t>
  </si>
  <si>
    <t>1200002313</t>
  </si>
  <si>
    <t>01-0F101-0006819</t>
  </si>
  <si>
    <t>6000434</t>
  </si>
  <si>
    <t>PESQUERA HAYDUK S.A.</t>
  </si>
  <si>
    <t>1200004540</t>
  </si>
  <si>
    <t>01-0F003-0000083</t>
  </si>
  <si>
    <t>1000001607</t>
  </si>
  <si>
    <t>PROVEEDORA DE PRODUCTOS MARINOS</t>
  </si>
  <si>
    <t>1200002101</t>
  </si>
  <si>
    <t>01-0F003-0000186</t>
  </si>
  <si>
    <t>PROVEEDORA DE PRODUCTOS MARINOS</t>
  </si>
  <si>
    <t>1200002144</t>
  </si>
  <si>
    <t>01-0F003-0000188</t>
  </si>
  <si>
    <t>2000001438</t>
  </si>
  <si>
    <t>Qingdao Haiyujia International Trad</t>
  </si>
  <si>
    <t>1300002730</t>
  </si>
  <si>
    <t>FT-0F002-0000320</t>
  </si>
  <si>
    <t>Qingdao Haiyujia International Trad</t>
  </si>
  <si>
    <t>1300002731</t>
  </si>
  <si>
    <t>FT-0F002-0000324</t>
  </si>
  <si>
    <t>Qingdao Haiyujia International Trad</t>
  </si>
  <si>
    <t>1200001892</t>
  </si>
  <si>
    <t>01-0F002-0000332</t>
  </si>
  <si>
    <t>1000001965</t>
  </si>
  <si>
    <t>SERVICIOS DIESEL EXPRESS E.I.R.L.</t>
  </si>
  <si>
    <t>1200002155</t>
  </si>
  <si>
    <t>01-0F101-0006691</t>
  </si>
  <si>
    <t>SERVICIOS DIESEL EXPRESS E.I.R.L.</t>
  </si>
  <si>
    <t>1200002176</t>
  </si>
  <si>
    <t>01-0F101-0006708</t>
  </si>
  <si>
    <t>SERVICIOS DIESEL EXPRESS E.I.R.L.</t>
  </si>
  <si>
    <t>1200002216</t>
  </si>
  <si>
    <t>01-0F101-0006738</t>
  </si>
  <si>
    <t>2000001418</t>
  </si>
  <si>
    <t>Shandong Sheenier Food Co., Ltd.</t>
  </si>
  <si>
    <t>1300002670</t>
  </si>
  <si>
    <t>FT-0F002-0000314</t>
  </si>
  <si>
    <t>2000001440</t>
  </si>
  <si>
    <t>Shenzhen Yueshi Supply Chain</t>
  </si>
  <si>
    <t>1300002671</t>
  </si>
  <si>
    <t>FT-0F002-0000321</t>
  </si>
  <si>
    <t>Shenzhen Yueshi Supply Chain</t>
  </si>
  <si>
    <t>1300004716</t>
  </si>
  <si>
    <t>FT-0F002-0000361</t>
  </si>
  <si>
    <t>1000013801</t>
  </si>
  <si>
    <t>STL 5.0 S.A.C.</t>
  </si>
  <si>
    <t>1200002198</t>
  </si>
  <si>
    <t>01-0F101-0006726</t>
  </si>
  <si>
    <t>STL 5.0 S.A.C.</t>
  </si>
  <si>
    <t>1200002199</t>
  </si>
  <si>
    <t>01-0F101-0006727</t>
  </si>
  <si>
    <t>1000013686</t>
  </si>
  <si>
    <t>TRANSPORTES O Y G S.A.C.</t>
  </si>
  <si>
    <t>1200002009</t>
  </si>
  <si>
    <t>01-0F101-0006601</t>
  </si>
  <si>
    <t>TRANSPORTES O Y G S.A.C.</t>
  </si>
  <si>
    <t>1200002091</t>
  </si>
  <si>
    <t>01-0F101-0006656</t>
  </si>
  <si>
    <t>TRANSPORTES O Y G S.A.C.</t>
  </si>
  <si>
    <t>1200002092</t>
  </si>
  <si>
    <t>01-0F101-0006657</t>
  </si>
  <si>
    <t>2000000786</t>
  </si>
  <si>
    <t>TSUJINO &amp; CO., LTD</t>
  </si>
  <si>
    <t>TSUJINO &amp; CO., LTD</t>
  </si>
  <si>
    <t>1200001876</t>
  </si>
  <si>
    <t>01-0F002-0000330</t>
  </si>
  <si>
    <t>TSUJINO &amp; CO., LTD</t>
  </si>
  <si>
    <t>1200001996</t>
  </si>
  <si>
    <t>01-0F002-0000340</t>
  </si>
  <si>
    <t>TSUJINO &amp; CO., LTD</t>
  </si>
  <si>
    <t>1200002138</t>
  </si>
  <si>
    <t>01-0F002-0000362</t>
  </si>
  <si>
    <t>TSUJINO &amp; CO., LTD</t>
  </si>
  <si>
    <t>1200002139</t>
  </si>
  <si>
    <t>01-0F002-0000363</t>
  </si>
  <si>
    <t>2000000590</t>
  </si>
  <si>
    <t>TT Interbiz Company Limited</t>
  </si>
  <si>
    <t>1300004717</t>
  </si>
  <si>
    <t>FT-0F002-0000338</t>
  </si>
  <si>
    <t>2000001442</t>
  </si>
  <si>
    <t>YANTAI HIZEN INTERNATIONAL TRADE CO</t>
  </si>
  <si>
    <t>1300004718</t>
  </si>
  <si>
    <t>FT-0F002-0000358</t>
  </si>
  <si>
    <t>2000001444</t>
  </si>
  <si>
    <t>YANTAI HONGCHANG IMPORT AND EXPORT</t>
  </si>
  <si>
    <t>1300004719</t>
  </si>
  <si>
    <t>FT-0F002-0000345</t>
  </si>
  <si>
    <t>2000001348</t>
  </si>
  <si>
    <t>YANTAI JIAHONG IMP &amp; EXP CO., LTD.</t>
  </si>
  <si>
    <t>1200001241</t>
  </si>
  <si>
    <t>01-0F002-0000302</t>
  </si>
  <si>
    <t>2000001069</t>
  </si>
  <si>
    <t>YANTAI TAIXI FOODSTUFF CO., LTD</t>
  </si>
  <si>
    <t>1300004190</t>
  </si>
  <si>
    <t>FT-0F002-0000300</t>
  </si>
  <si>
    <t>2000001446</t>
  </si>
  <si>
    <t>ZHEJIANG ZHOUFU FOOD CO.,LTD</t>
  </si>
  <si>
    <t>1300004720</t>
  </si>
  <si>
    <t>FT-0F002-0000352</t>
  </si>
  <si>
    <t>2000001449</t>
  </si>
  <si>
    <t>ZHOUSHAN EAST CHINA SEA RURAL FOOD</t>
  </si>
  <si>
    <t>1300004721</t>
  </si>
  <si>
    <t>FT-0F002-0000365</t>
  </si>
  <si>
    <t>Etiquetas de fila</t>
  </si>
  <si>
    <t>Total general</t>
  </si>
  <si>
    <t>Etiquetas de columna</t>
  </si>
  <si>
    <t>2026</t>
  </si>
  <si>
    <t>UNIDAD DE NEGOCIO</t>
  </si>
  <si>
    <t>NACIONAL</t>
  </si>
  <si>
    <t>RODRIGO</t>
  </si>
  <si>
    <t>CISTERNA COMBUSTIBLE</t>
  </si>
  <si>
    <t>OTROS</t>
  </si>
  <si>
    <t>RESIDUOS</t>
  </si>
  <si>
    <t>EXPORTACIÓN</t>
  </si>
  <si>
    <t>FECHA IDEAL DE PAGO</t>
  </si>
  <si>
    <t>DÍAS VENCIDOS</t>
  </si>
  <si>
    <t>Vcto finanzas SEMANA PASADA</t>
  </si>
  <si>
    <t>Vcto finanzas</t>
  </si>
  <si>
    <t>USD HOMOL</t>
  </si>
  <si>
    <t>DÍAS ATRASADOS</t>
  </si>
  <si>
    <t>ANTIGÜEDAD</t>
  </si>
  <si>
    <t>Abr</t>
  </si>
  <si>
    <t>May</t>
  </si>
  <si>
    <t>Jun</t>
  </si>
  <si>
    <t>Suma de USD HOMOL</t>
  </si>
  <si>
    <t>Total 2026</t>
  </si>
  <si>
    <t>Jul</t>
  </si>
  <si>
    <t>Total Abr</t>
  </si>
  <si>
    <t>Total May</t>
  </si>
  <si>
    <t>Total Jun</t>
  </si>
  <si>
    <t>Total Jul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</si>
</sst>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-* #,##0_-;\-* #,##0_-;_-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3" fillId="0" borderId="0"/>
  </cellStyleXfs>
  <cellXfs count="29"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14" fontId="1" fillId="0" borderId="0" xfId="0" applyNumberFormat="1" applyFont="1" applyAlignment="1">
      <alignment vertical="top"/>
    </xf>
    <xf numFmtId="3" fontId="1" fillId="0" borderId="0" xfId="0" applyNumberFormat="1" applyFont="1" applyAlignment="1">
      <alignment vertical="top"/>
    </xf>
    <xf numFmtId="4" fontId="1" fillId="0" borderId="0" xfId="0" applyNumberFormat="1" applyFont="1" applyAlignment="1">
      <alignment vertical="top"/>
    </xf>
    <xf numFmtId="3" fontId="1" fillId="0" borderId="0" xfId="0" quotePrefix="1" applyNumberFormat="1" applyFont="1" applyAlignment="1">
      <alignment vertical="top"/>
    </xf>
    <xf numFmtId="4" fontId="1" fillId="0" borderId="0" xfId="0" quotePrefix="1" applyNumberFormat="1" applyFont="1" applyAlignment="1">
      <alignment vertical="top"/>
    </xf>
    <xf numFmtId="0" fontId="0" fillId="0" borderId="0" xfId="0" pivotButton="1" applyAlignment="1">
      <alignment vertical="top"/>
    </xf>
    <xf numFmtId="0" fontId="0" fillId="0" borderId="0" xfId="0" applyAlignment="1">
      <alignment horizontal="left" vertical="top"/>
    </xf>
    <xf numFmtId="4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4" fillId="3" borderId="0" xfId="2" applyFont="1" applyFill="1" applyAlignment="1">
      <alignment vertical="top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vertical="top"/>
    </xf>
    <xf numFmtId="14" fontId="0" fillId="0" borderId="0" xfId="0" applyNumberFormat="1" applyAlignment="1">
      <alignment vertical="top"/>
    </xf>
    <xf numFmtId="43" fontId="0" fillId="0" borderId="0" xfId="1" applyFont="1" applyAlignment="1">
      <alignment vertical="top"/>
    </xf>
    <xf numFmtId="2" fontId="0" fillId="0" borderId="0" xfId="0" applyNumberFormat="1" applyAlignment="1">
      <alignment vertical="top"/>
    </xf>
    <xf numFmtId="43" fontId="0" fillId="0" borderId="0" xfId="0" applyNumberFormat="1" applyAlignment="1">
      <alignment vertical="top"/>
    </xf>
    <xf numFmtId="165" fontId="0" fillId="0" borderId="0" xfId="0" applyNumberFormat="1" applyAlignment="1">
      <alignment vertical="top"/>
    </xf>
    <xf numFmtId="0" fontId="5" fillId="0" borderId="0" xfId="0" applyFont="1" applyAlignment="1">
      <alignment vertical="top"/>
    </xf>
    <xf numFmtId="14" fontId="5" fillId="0" borderId="0" xfId="0" applyNumberFormat="1" applyFont="1" applyAlignment="1">
      <alignment vertical="top"/>
    </xf>
    <xf numFmtId="3" fontId="5" fillId="0" borderId="0" xfId="0" quotePrefix="1" applyNumberFormat="1" applyFont="1" applyAlignment="1">
      <alignment vertical="top"/>
    </xf>
    <xf numFmtId="4" fontId="5" fillId="0" borderId="0" xfId="0" applyNumberFormat="1" applyFont="1" applyAlignment="1">
      <alignment vertical="top"/>
    </xf>
    <xf numFmtId="2" fontId="5" fillId="0" borderId="0" xfId="0" applyNumberFormat="1" applyFont="1" applyAlignment="1">
      <alignment vertical="top"/>
    </xf>
    <xf numFmtId="14" fontId="0" fillId="3" borderId="0" xfId="0" applyNumberFormat="1" applyFill="1" applyAlignment="1">
      <alignment vertical="top"/>
    </xf>
    <xf numFmtId="4" fontId="0" fillId="3" borderId="0" xfId="0" applyNumberFormat="1" applyFill="1" applyAlignment="1">
      <alignment vertical="top"/>
    </xf>
    <xf numFmtId="14" fontId="5" fillId="3" borderId="0" xfId="0" applyNumberFormat="1" applyFont="1" applyFill="1" applyAlignment="1">
      <alignment vertical="top"/>
    </xf>
    <xf numFmtId="4" fontId="5" fillId="3" borderId="0" xfId="0" applyNumberFormat="1" applyFont="1" applyFill="1" applyAlignment="1">
      <alignment vertical="top"/>
    </xf>
  </cellXfs>
  <cellStyles count="3">
    <cellStyle name="Millares" xfId="1" builtinId="3"/>
    <cellStyle name="Normal" xfId="0" builtinId="0"/>
    <cellStyle name="Normal 2" xfId="2" xr:uid="{9A1B95DD-D852-438F-BA13-7E62603280E1}"/>
  </cellStyles>
  <dxfs count="15"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4" formatCode="_-* #,##0.0_-;\-* #,##0.0_-;_-* &quot;-&quot;??_-;_-@_-"/>
    </dxf>
    <dxf>
      <numFmt numFmtId="165" formatCode="_-* #,##0_-;\-* #,##0_-;_-* &quot;-&quot;??_-;_-@_-"/>
    </dxf>
    <dxf>
      <numFmt numFmtId="164" formatCode="_-* #,##0.0_-;\-* #,##0.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drigo Sebastian Martinez Montalvo (PFRO)" refreshedDate="46181.817192824077" createdVersion="8" refreshedVersion="8" minRefreshableVersion="3" recordCount="160" xr:uid="{D07FC1E3-ABFD-4B2F-84C2-2549948937C2}">
  <cacheSource type="worksheet">
    <worksheetSource ref="A1:Q161" sheet="Data"/>
  </cacheSource>
  <cacheFields count="23">
    <cacheField name="Cliente" numFmtId="0">
      <sharedItems/>
    </cacheField>
    <cacheField name="Nombre de cliente" numFmtId="0">
      <sharedItems count="38">
        <s v="ARKANO TRADING SOCIEDAD ANONIMA CER"/>
        <s v="AVANCE GROUP LTD"/>
        <s v="CARLOS ALBERTO MARTINEZ QUEREVALU"/>
        <s v="CRISTO DE LA VICTORIA S.A.C."/>
        <s v="DAIRECK SA"/>
        <s v="ELMER SIXTO SOJO ACARO"/>
        <s v="FOOD &amp; BEVERAGES TRADERS, S.L."/>
        <s v="Giant Ocean Food Company Limited"/>
        <s v="GLOBAL OCEAN FLEXTRADING, S. L"/>
        <s v="Hunan Jinyueyang Import and Export"/>
        <s v="JAHFISH E.I.R.L."/>
        <s v="KS FROZEN COMPANY LIMITED"/>
        <s v="KULALIA SL"/>
        <s v="LONGKOU JIABAO AQUATIC FOODSTUFFS"/>
        <s v="LONGKOU SANMING AQUATIC"/>
        <s v="Longkou Yunfeng Aquatic Food Co.,Lt"/>
        <s v="NAVAPEZ E.I.R.L."/>
        <s v="NEGOCIOS PESQUEROS AARON EIRL"/>
        <s v="NINGBO JUN TAO IMPORT AND"/>
        <s v="OCEANUS FISH S.L."/>
        <s v="PEGASUS ENTERPRISE S.A.C."/>
        <s v="PESCACORD PERU SOCIEDAD ANONIMA CER"/>
        <s v="PESQUERA HAYDUK S.A."/>
        <s v="PROVEEDORA DE PRODUCTOS MARINOS"/>
        <s v="Qingdao Haiyujia International Trad"/>
        <s v="SERVICIOS DIESEL EXPRESS E.I.R.L."/>
        <s v="Shandong Sheenier Food Co., Ltd."/>
        <s v="Shenzhen Yueshi Supply Chain"/>
        <s v="STL 5.0 S.A.C."/>
        <s v="TRANSPORTES O Y G S.A.C."/>
        <s v="TSUJINO &amp; CO., LTD"/>
        <s v="TT Interbiz Company Limited"/>
        <s v="YANTAI HIZEN INTERNATIONAL TRADE CO"/>
        <s v="YANTAI HONGCHANG IMPORT AND EXPORT"/>
        <s v="YANTAI JIAHONG IMP &amp; EXP CO., LTD."/>
        <s v="YANTAI TAIXI FOODSTUFF CO., LTD"/>
        <s v="ZHEJIANG ZHOUFU FOOD CO.,LTD"/>
        <s v="ZHOUSHAN EAST CHINA SEA RURAL FOOD"/>
      </sharedItems>
    </cacheField>
    <cacheField name="Nº documento" numFmtId="0">
      <sharedItems/>
    </cacheField>
    <cacheField name="Referencia" numFmtId="0">
      <sharedItems/>
    </cacheField>
    <cacheField name="Clase de documento" numFmtId="0">
      <sharedItems/>
    </cacheField>
    <cacheField name="Fecha de documento" numFmtId="14">
      <sharedItems containsSemiMixedTypes="0" containsNonDate="0" containsDate="1" containsString="0" minDate="2025-10-07T00:00:00" maxDate="2026-06-09T00:00:00" count="44">
        <d v="2025-11-19T00:00:00"/>
        <d v="2025-11-20T00:00:00"/>
        <d v="2025-11-21T00:00:00"/>
        <d v="2025-11-22T00:00:00"/>
        <d v="2025-11-27T00:00:00"/>
        <d v="2026-01-06T00:00:00"/>
        <d v="2026-01-08T00:00:00"/>
        <d v="2026-01-10T00:00:00"/>
        <d v="2026-01-16T00:00:00"/>
        <d v="2026-01-19T00:00:00"/>
        <d v="2026-05-22T00:00:00"/>
        <d v="2026-05-26T00:00:00"/>
        <d v="2026-05-27T00:00:00"/>
        <d v="2026-05-29T00:00:00"/>
        <d v="2026-05-17T00:00:00"/>
        <d v="2026-06-01T00:00:00"/>
        <d v="2026-06-03T00:00:00"/>
        <d v="2026-06-04T00:00:00"/>
        <d v="2026-05-30T00:00:00"/>
        <d v="2026-04-27T00:00:00"/>
        <d v="2026-05-16T00:00:00"/>
        <d v="2026-04-12T00:00:00"/>
        <d v="2026-04-29T00:00:00"/>
        <d v="2026-06-02T00:00:00"/>
        <d v="2026-06-08T00:00:00"/>
        <d v="2026-04-28T00:00:00"/>
        <d v="2026-05-13T00:00:00"/>
        <d v="2026-05-12T00:00:00"/>
        <d v="2026-05-24T00:00:00"/>
        <d v="2026-04-26T00:00:00"/>
        <d v="2025-11-03T00:00:00"/>
        <d v="2025-11-06T00:00:00"/>
        <d v="2026-05-06T00:00:00"/>
        <d v="2026-06-05T00:00:00"/>
        <d v="2026-04-22T00:00:00"/>
        <d v="2025-10-21T00:00:00"/>
        <d v="2025-11-04T00:00:00"/>
        <d v="2026-01-31T00:00:00"/>
        <d v="2026-03-03T00:00:00"/>
        <d v="2026-06-06T00:00:00"/>
        <d v="2025-10-07T00:00:00"/>
        <d v="2026-05-25T00:00:00"/>
        <d v="2026-04-24T00:00:00"/>
        <d v="2026-05-31T00:00:00"/>
      </sharedItems>
      <fieldGroup par="19"/>
    </cacheField>
    <cacheField name="Demora tras vencimiento neto" numFmtId="3">
      <sharedItems containsSemiMixedTypes="0" containsString="0" containsNumber="1" containsInteger="1" minValue="-35" maxValue="237"/>
    </cacheField>
    <cacheField name="Fecha de pago" numFmtId="14">
      <sharedItems containsSemiMixedTypes="0" containsNonDate="0" containsDate="1" containsString="0" minDate="2025-10-14T00:00:00" maxDate="2026-07-14T00:00:00"/>
    </cacheField>
    <cacheField name="Importe en moneda doc." numFmtId="4">
      <sharedItems containsSemiMixedTypes="0" containsString="0" containsNumber="1" minValue="-36370" maxValue="421200"/>
    </cacheField>
    <cacheField name="Moneda del documento" numFmtId="0">
      <sharedItems/>
    </cacheField>
    <cacheField name="UNIDAD DE NEGOCIO" numFmtId="0">
      <sharedItems count="6">
        <s v="NACIONAL"/>
        <s v="EXPORTACIÓN"/>
        <s v="RODRIGO"/>
        <s v="CISTERNA COMBUSTIBLE"/>
        <s v="OTROS"/>
        <s v="RESIDUOS"/>
      </sharedItems>
    </cacheField>
    <cacheField name="FECHA IDEAL DE PAGO" numFmtId="0">
      <sharedItems containsNonDate="0" containsDate="1" containsString="0" containsBlank="1" minDate="2026-05-27T00:00:00" maxDate="2026-07-16T00:00:00"/>
    </cacheField>
    <cacheField name="DÍAS VENCIDOS" numFmtId="0">
      <sharedItems containsString="0" containsBlank="1" containsNumber="1" containsInteger="1" minValue="-35" maxValue="46181"/>
    </cacheField>
    <cacheField name="Vcto finanzas SEMANA PASADA" numFmtId="0">
      <sharedItems containsNonDate="0" containsDate="1" containsString="0" containsBlank="1" minDate="2026-06-06T00:00:00" maxDate="2026-07-14T00:00:00"/>
    </cacheField>
    <cacheField name="Vcto finanzas" numFmtId="0">
      <sharedItems containsNonDate="0" containsDate="1" containsString="0" containsBlank="1" minDate="2025-10-14T00:00:00" maxDate="2026-07-14T00:00:00" count="30">
        <m/>
        <d v="2026-07-06T00:00:00"/>
        <d v="2026-07-10T00:00:00"/>
        <d v="2026-05-31T00:00:00"/>
        <d v="2026-07-13T00:00:00"/>
        <d v="2026-07-01T00:00:00"/>
        <d v="2026-05-17T00:00:00"/>
        <d v="2026-06-11T00:00:00"/>
        <d v="2026-06-30T00:00:00"/>
        <d v="2026-06-15T00:00:00"/>
        <d v="2026-06-13T00:00:00"/>
        <d v="2026-04-28T00:00:00"/>
        <d v="2026-06-26T00:00:00"/>
        <d v="2026-06-10T00:00:00"/>
        <d v="2026-07-08T00:00:00"/>
        <d v="2026-04-26T00:00:00"/>
        <d v="2025-11-10T00:00:00"/>
        <d v="2025-11-13T00:00:00"/>
        <d v="2026-05-13T00:00:00"/>
        <d v="2026-05-19T00:00:00"/>
        <d v="2026-05-23T00:00:00"/>
        <d v="2026-06-03T00:00:00"/>
        <d v="2026-06-09T00:00:00"/>
        <d v="2025-10-21T00:00:00"/>
        <d v="2025-11-11T00:00:00"/>
        <d v="2026-02-07T00:00:00"/>
        <d v="2026-03-10T00:00:00"/>
        <d v="2025-10-14T00:00:00"/>
        <d v="2026-06-02T00:00:00"/>
        <d v="2026-05-29T00:00:00"/>
      </sharedItems>
      <fieldGroup par="22"/>
    </cacheField>
    <cacheField name="USD HOMOL" numFmtId="0">
      <sharedItems containsString="0" containsBlank="1" containsNumber="1" minValue="-36370" maxValue="396900"/>
    </cacheField>
    <cacheField name="DÍAS ATRASADOS" numFmtId="0">
      <sharedItems containsString="0" containsBlank="1" containsNumber="1" containsInteger="1" minValue="8" maxValue="57"/>
    </cacheField>
    <cacheField name="Meses (Fecha de documento)" numFmtId="0" databaseField="0">
      <fieldGroup base="5">
        <rangePr groupBy="months" startDate="2025-10-07T00:00:00" endDate="2026-06-09T00:00:00"/>
        <groupItems count="14">
          <s v="&lt;7/10/2025"/>
          <s v="Ene"/>
          <s v="Feb"/>
          <s v="Mar"/>
          <s v="Abr"/>
          <s v="May"/>
          <s v="Jun"/>
          <s v="Jul"/>
          <s v="Ago"/>
          <s v="Set"/>
          <s v="Oct"/>
          <s v="Nov"/>
          <s v="Dic"/>
          <s v="&gt;9/06/2026"/>
        </groupItems>
      </fieldGroup>
    </cacheField>
    <cacheField name="Trimestres (Fecha de documento)" numFmtId="0" databaseField="0">
      <fieldGroup base="5">
        <rangePr groupBy="quarters" startDate="2025-10-07T00:00:00" endDate="2026-06-09T00:00:00"/>
        <groupItems count="6">
          <s v="&lt;7/10/2025"/>
          <s v="Trim.1"/>
          <s v="Trim.2"/>
          <s v="Trim.3"/>
          <s v="Trim.4"/>
          <s v="&gt;9/06/2026"/>
        </groupItems>
      </fieldGroup>
    </cacheField>
    <cacheField name="Años (Fecha de documento)" numFmtId="0" databaseField="0">
      <fieldGroup base="5">
        <rangePr groupBy="years" startDate="2025-10-07T00:00:00" endDate="2026-06-09T00:00:00"/>
        <groupItems count="4">
          <s v="&lt;7/10/2025"/>
          <s v="2025"/>
          <s v="2026"/>
          <s v="&gt;9/06/2026"/>
        </groupItems>
      </fieldGroup>
    </cacheField>
    <cacheField name="Meses (Vcto finanzas)" numFmtId="0" databaseField="0">
      <fieldGroup base="14">
        <rangePr groupBy="months" startDate="2025-10-14T00:00:00" endDate="2026-07-14T00:00:00"/>
        <groupItems count="14">
          <s v="&lt;14/10/2025"/>
          <s v="Ene"/>
          <s v="Feb"/>
          <s v="Mar"/>
          <s v="Abr"/>
          <s v="May"/>
          <s v="Jun"/>
          <s v="Jul"/>
          <s v="Ago"/>
          <s v="Set"/>
          <s v="Oct"/>
          <s v="Nov"/>
          <s v="Dic"/>
          <s v="&gt;14/07/2026"/>
        </groupItems>
      </fieldGroup>
    </cacheField>
    <cacheField name="Trimestres (Vcto finanzas)" numFmtId="0" databaseField="0">
      <fieldGroup base="14">
        <rangePr groupBy="quarters" startDate="2025-10-14T00:00:00" endDate="2026-07-14T00:00:00"/>
        <groupItems count="6">
          <s v="&lt;14/10/2025"/>
          <s v="Trim.1"/>
          <s v="Trim.2"/>
          <s v="Trim.3"/>
          <s v="Trim.4"/>
          <s v="&gt;14/07/2026"/>
        </groupItems>
      </fieldGroup>
    </cacheField>
    <cacheField name="Años (Vcto finanzas)" numFmtId="0" databaseField="0">
      <fieldGroup base="14">
        <rangePr groupBy="years" startDate="2025-10-14T00:00:00" endDate="2026-07-14T00:00:00"/>
        <groupItems count="4">
          <s v="&lt;14/10/2025"/>
          <s v="2025"/>
          <s v="2026"/>
          <s v="&gt;14/07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0">
  <r>
    <s v="1000013966"/>
    <x v="0"/>
    <s v="1200005220"/>
    <s v="01-0F101-0004694"/>
    <s v="DF"/>
    <x v="0"/>
    <n v="194"/>
    <d v="2025-11-26T00:00:00"/>
    <n v="42.48"/>
    <s v="PEN"/>
    <x v="0"/>
    <m/>
    <m/>
    <m/>
    <x v="0"/>
    <m/>
    <m/>
  </r>
  <r>
    <s v="1000013966"/>
    <x v="0"/>
    <s v="1200005228"/>
    <s v="01-0F101-0004700"/>
    <s v="DF"/>
    <x v="0"/>
    <n v="194"/>
    <d v="2025-11-26T00:00:00"/>
    <n v="14.16"/>
    <s v="PEN"/>
    <x v="0"/>
    <m/>
    <m/>
    <m/>
    <x v="0"/>
    <m/>
    <m/>
  </r>
  <r>
    <s v="1000013966"/>
    <x v="0"/>
    <s v="1200005242"/>
    <s v="01-0F101-0004710"/>
    <s v="DF"/>
    <x v="0"/>
    <n v="194"/>
    <d v="2025-11-26T00:00:00"/>
    <n v="14.16"/>
    <s v="PEN"/>
    <x v="0"/>
    <m/>
    <m/>
    <m/>
    <x v="0"/>
    <m/>
    <m/>
  </r>
  <r>
    <s v="1000013966"/>
    <x v="0"/>
    <s v="1200005264"/>
    <s v="01-0F101-0004729"/>
    <s v="DF"/>
    <x v="1"/>
    <n v="193"/>
    <d v="2025-11-27T00:00:00"/>
    <n v="28.32"/>
    <s v="PEN"/>
    <x v="0"/>
    <m/>
    <m/>
    <m/>
    <x v="0"/>
    <m/>
    <m/>
  </r>
  <r>
    <s v="1000013966"/>
    <x v="0"/>
    <s v="1200005271"/>
    <s v="01-0F101-0004736"/>
    <s v="DF"/>
    <x v="1"/>
    <n v="193"/>
    <d v="2025-11-27T00:00:00"/>
    <n v="14.16"/>
    <s v="PEN"/>
    <x v="0"/>
    <m/>
    <m/>
    <m/>
    <x v="0"/>
    <m/>
    <m/>
  </r>
  <r>
    <s v="1000013966"/>
    <x v="0"/>
    <s v="1200005296"/>
    <s v="01-0F101-0004758"/>
    <s v="DF"/>
    <x v="2"/>
    <n v="192"/>
    <d v="2025-11-28T00:00:00"/>
    <n v="28.32"/>
    <s v="PEN"/>
    <x v="0"/>
    <m/>
    <m/>
    <m/>
    <x v="0"/>
    <m/>
    <m/>
  </r>
  <r>
    <s v="1000013966"/>
    <x v="0"/>
    <s v="1200005302"/>
    <s v="01-0F101-0004762"/>
    <s v="DF"/>
    <x v="2"/>
    <n v="192"/>
    <d v="2025-11-28T00:00:00"/>
    <n v="42.48"/>
    <s v="PEN"/>
    <x v="0"/>
    <m/>
    <m/>
    <m/>
    <x v="0"/>
    <m/>
    <m/>
  </r>
  <r>
    <s v="1000013966"/>
    <x v="0"/>
    <s v="1200005304"/>
    <s v="01-0F101-0004763"/>
    <s v="DF"/>
    <x v="2"/>
    <n v="192"/>
    <d v="2025-11-28T00:00:00"/>
    <n v="42.48"/>
    <s v="PEN"/>
    <x v="0"/>
    <m/>
    <m/>
    <m/>
    <x v="0"/>
    <m/>
    <m/>
  </r>
  <r>
    <s v="1000013966"/>
    <x v="0"/>
    <s v="1200005313"/>
    <s v="01-0F101-0004772"/>
    <s v="DF"/>
    <x v="2"/>
    <n v="192"/>
    <d v="2025-11-28T00:00:00"/>
    <n v="14.16"/>
    <s v="PEN"/>
    <x v="0"/>
    <m/>
    <m/>
    <m/>
    <x v="0"/>
    <m/>
    <m/>
  </r>
  <r>
    <s v="1000013966"/>
    <x v="0"/>
    <s v="1200005346"/>
    <s v="01-0F101-0004803"/>
    <s v="DF"/>
    <x v="3"/>
    <n v="191"/>
    <d v="2025-11-29T00:00:00"/>
    <n v="28.32"/>
    <s v="PEN"/>
    <x v="0"/>
    <m/>
    <m/>
    <m/>
    <x v="0"/>
    <m/>
    <m/>
  </r>
  <r>
    <s v="1000013966"/>
    <x v="0"/>
    <s v="1200005422"/>
    <s v="01-0F101-0004855"/>
    <s v="DF"/>
    <x v="4"/>
    <n v="186"/>
    <d v="2025-12-04T00:00:00"/>
    <n v="14.16"/>
    <s v="PEN"/>
    <x v="0"/>
    <m/>
    <m/>
    <m/>
    <x v="0"/>
    <m/>
    <m/>
  </r>
  <r>
    <s v="1000013966"/>
    <x v="0"/>
    <s v="1200000045"/>
    <s v="01-0F101-0005160"/>
    <s v="DF"/>
    <x v="5"/>
    <n v="146"/>
    <d v="2026-01-13T00:00:00"/>
    <n v="14.16"/>
    <s v="PEN"/>
    <x v="0"/>
    <m/>
    <m/>
    <m/>
    <x v="0"/>
    <m/>
    <m/>
  </r>
  <r>
    <s v="1000013966"/>
    <x v="0"/>
    <s v="1200000090"/>
    <s v="01-0F101-0005198"/>
    <s v="DF"/>
    <x v="6"/>
    <n v="144"/>
    <d v="2026-01-15T00:00:00"/>
    <n v="14.16"/>
    <s v="PEN"/>
    <x v="0"/>
    <m/>
    <m/>
    <m/>
    <x v="0"/>
    <m/>
    <m/>
  </r>
  <r>
    <s v="1000013966"/>
    <x v="0"/>
    <s v="1200000113"/>
    <s v="01-0F101-0005211"/>
    <s v="DF"/>
    <x v="7"/>
    <n v="142"/>
    <d v="2026-01-17T00:00:00"/>
    <n v="14.16"/>
    <s v="PEN"/>
    <x v="0"/>
    <m/>
    <m/>
    <m/>
    <x v="0"/>
    <m/>
    <m/>
  </r>
  <r>
    <s v="1000013966"/>
    <x v="0"/>
    <s v="1200000132"/>
    <s v="01-0F101-0005224"/>
    <s v="DF"/>
    <x v="8"/>
    <n v="136"/>
    <d v="2026-01-23T00:00:00"/>
    <n v="14.16"/>
    <s v="PEN"/>
    <x v="0"/>
    <m/>
    <m/>
    <m/>
    <x v="0"/>
    <m/>
    <m/>
  </r>
  <r>
    <s v="1000013966"/>
    <x v="0"/>
    <s v="1200000133"/>
    <s v="01-0F101-0005225"/>
    <s v="DF"/>
    <x v="8"/>
    <n v="136"/>
    <d v="2026-01-23T00:00:00"/>
    <n v="14.16"/>
    <s v="PEN"/>
    <x v="0"/>
    <m/>
    <m/>
    <m/>
    <x v="0"/>
    <m/>
    <m/>
  </r>
  <r>
    <s v="1000013966"/>
    <x v="0"/>
    <s v="1200000141"/>
    <s v="01-0F101-0005231"/>
    <s v="DF"/>
    <x v="9"/>
    <n v="133"/>
    <d v="2026-01-26T00:00:00"/>
    <n v="14.16"/>
    <s v="PEN"/>
    <x v="0"/>
    <m/>
    <m/>
    <m/>
    <x v="0"/>
    <m/>
    <m/>
  </r>
  <r>
    <s v="2000001028"/>
    <x v="1"/>
    <s v="1300004710"/>
    <s v="FT-0F002-0000339"/>
    <s v="ZV"/>
    <x v="10"/>
    <n v="17"/>
    <d v="2026-05-22T00:00:00"/>
    <n v="109650"/>
    <s v="USD"/>
    <x v="1"/>
    <d v="2026-07-06T00:00:00"/>
    <n v="-28"/>
    <d v="2026-07-06T00:00:00"/>
    <x v="1"/>
    <n v="109650"/>
    <n v="17"/>
  </r>
  <r>
    <s v="2000001028"/>
    <x v="1"/>
    <s v="1200002081"/>
    <s v="01-0F002-0000353"/>
    <s v="DE"/>
    <x v="11"/>
    <n v="-32"/>
    <d v="2026-07-10T00:00:00"/>
    <n v="156600"/>
    <s v="USD"/>
    <x v="1"/>
    <d v="2026-07-10T00:00:00"/>
    <n v="-32"/>
    <d v="2026-07-10T00:00:00"/>
    <x v="2"/>
    <n v="156600"/>
    <n v="13"/>
  </r>
  <r>
    <s v="2000001028"/>
    <x v="1"/>
    <s v="1300004722"/>
    <s v="ANTICIPO"/>
    <s v="DZ"/>
    <x v="12"/>
    <n v="0"/>
    <d v="2026-05-31T00:00:00"/>
    <n v="-30220"/>
    <s v="USD"/>
    <x v="1"/>
    <d v="2026-07-11T00:00:00"/>
    <n v="46181"/>
    <m/>
    <x v="3"/>
    <n v="-30220"/>
    <n v="12"/>
  </r>
  <r>
    <s v="2000001028"/>
    <x v="1"/>
    <s v="1200002135"/>
    <s v="01-0F002-0000359"/>
    <s v="DE"/>
    <x v="13"/>
    <n v="-35"/>
    <d v="2026-07-13T00:00:00"/>
    <n v="234900"/>
    <s v="USD"/>
    <x v="1"/>
    <d v="2026-07-13T00:00:00"/>
    <n v="-35"/>
    <d v="2026-07-13T00:00:00"/>
    <x v="4"/>
    <n v="234900"/>
    <n v="10"/>
  </r>
  <r>
    <s v="2000001028"/>
    <x v="1"/>
    <s v="1300004711"/>
    <s v="FT-0F002-0000360"/>
    <s v="ZV"/>
    <x v="13"/>
    <n v="10"/>
    <d v="2026-05-29T00:00:00"/>
    <n v="336990"/>
    <s v="USD"/>
    <x v="1"/>
    <d v="2026-07-13T00:00:00"/>
    <n v="-35"/>
    <d v="2026-07-13T00:00:00"/>
    <x v="4"/>
    <n v="336990"/>
    <n v="10"/>
  </r>
  <r>
    <s v="1000013676"/>
    <x v="2"/>
    <s v="1200001798"/>
    <s v="03-0B001-0004567"/>
    <s v="DB"/>
    <x v="14"/>
    <n v="15"/>
    <d v="2026-05-24T00:00:00"/>
    <n v="365.8"/>
    <s v="PEN"/>
    <x v="0"/>
    <m/>
    <m/>
    <m/>
    <x v="0"/>
    <m/>
    <m/>
  </r>
  <r>
    <s v="1000013676"/>
    <x v="2"/>
    <s v="1200001799"/>
    <s v="03-0B001-0004568"/>
    <s v="DB"/>
    <x v="14"/>
    <n v="15"/>
    <d v="2026-05-24T00:00:00"/>
    <n v="47.2"/>
    <s v="PEN"/>
    <x v="0"/>
    <m/>
    <m/>
    <m/>
    <x v="0"/>
    <m/>
    <m/>
  </r>
  <r>
    <s v="1000002057"/>
    <x v="3"/>
    <s v="1200002149"/>
    <s v="01-0F101-0006687"/>
    <s v="DF"/>
    <x v="15"/>
    <n v="0"/>
    <d v="2026-06-08T00:00:00"/>
    <n v="49.89"/>
    <s v="PEN"/>
    <x v="0"/>
    <m/>
    <m/>
    <m/>
    <x v="0"/>
    <m/>
    <m/>
  </r>
  <r>
    <s v="1000002057"/>
    <x v="3"/>
    <s v="1200002150"/>
    <s v="01-0F101-0006688"/>
    <s v="DF"/>
    <x v="15"/>
    <n v="0"/>
    <d v="2026-06-08T00:00:00"/>
    <n v="106.2"/>
    <s v="PEN"/>
    <x v="0"/>
    <m/>
    <m/>
    <m/>
    <x v="0"/>
    <m/>
    <m/>
  </r>
  <r>
    <s v="1000002057"/>
    <x v="3"/>
    <s v="1200002207"/>
    <s v="01-0F101-0006735"/>
    <s v="DF"/>
    <x v="16"/>
    <n v="-2"/>
    <d v="2026-06-10T00:00:00"/>
    <n v="1061.58"/>
    <s v="PEN"/>
    <x v="0"/>
    <m/>
    <m/>
    <m/>
    <x v="0"/>
    <m/>
    <m/>
  </r>
  <r>
    <s v="1000002057"/>
    <x v="3"/>
    <s v="1200002208"/>
    <s v="01-0F101-0006736"/>
    <s v="DF"/>
    <x v="16"/>
    <n v="-2"/>
    <d v="2026-06-10T00:00:00"/>
    <n v="460.2"/>
    <s v="PEN"/>
    <x v="0"/>
    <m/>
    <m/>
    <m/>
    <x v="0"/>
    <m/>
    <m/>
  </r>
  <r>
    <s v="1000002057"/>
    <x v="3"/>
    <s v="1200002241"/>
    <s v="01-0F101-0006757"/>
    <s v="DF"/>
    <x v="17"/>
    <n v="4"/>
    <d v="2026-06-04T00:00:00"/>
    <n v="699.79"/>
    <s v="PEN"/>
    <x v="0"/>
    <m/>
    <m/>
    <m/>
    <x v="0"/>
    <m/>
    <m/>
  </r>
  <r>
    <s v="1000002057"/>
    <x v="3"/>
    <s v="1200002242"/>
    <s v="01-0F101-0006758"/>
    <s v="DF"/>
    <x v="17"/>
    <n v="4"/>
    <d v="2026-06-04T00:00:00"/>
    <n v="247.8"/>
    <s v="PEN"/>
    <x v="0"/>
    <m/>
    <m/>
    <m/>
    <x v="0"/>
    <m/>
    <m/>
  </r>
  <r>
    <s v="1000002057"/>
    <x v="3"/>
    <s v="1200002265"/>
    <s v="01-0F101-0006777"/>
    <s v="DF"/>
    <x v="17"/>
    <n v="-3"/>
    <d v="2026-06-11T00:00:00"/>
    <n v="360.14"/>
    <s v="PEN"/>
    <x v="0"/>
    <m/>
    <m/>
    <m/>
    <x v="0"/>
    <m/>
    <m/>
  </r>
  <r>
    <s v="1000002057"/>
    <x v="3"/>
    <s v="1200002266"/>
    <s v="01-0F101-0006778"/>
    <s v="DF"/>
    <x v="17"/>
    <n v="-3"/>
    <d v="2026-06-11T00:00:00"/>
    <n v="141.6"/>
    <s v="PEN"/>
    <x v="0"/>
    <m/>
    <m/>
    <m/>
    <x v="0"/>
    <m/>
    <m/>
  </r>
  <r>
    <s v="2000001381"/>
    <x v="4"/>
    <s v="1200001893"/>
    <s v="01-0F002-0000333"/>
    <s v="DE"/>
    <x v="14"/>
    <n v="-23"/>
    <d v="2026-07-01T00:00:00"/>
    <n v="28150"/>
    <s v="USD"/>
    <x v="1"/>
    <d v="2026-07-01T00:00:00"/>
    <n v="-23"/>
    <d v="2026-07-01T00:00:00"/>
    <x v="5"/>
    <n v="28150"/>
    <n v="22"/>
  </r>
  <r>
    <s v="2000001381"/>
    <x v="4"/>
    <s v="1300004208"/>
    <s v="FT-0F002-0000329"/>
    <s v="ZV"/>
    <x v="14"/>
    <n v="22"/>
    <d v="2026-05-17T00:00:00"/>
    <n v="6821"/>
    <s v="USD"/>
    <x v="1"/>
    <d v="2026-07-01T00:00:00"/>
    <n v="-23"/>
    <d v="2026-07-01T00:00:00"/>
    <x v="6"/>
    <n v="6821"/>
    <n v="22"/>
  </r>
  <r>
    <s v="1000013754"/>
    <x v="5"/>
    <s v="1200002110"/>
    <s v="03-0B001-0004622"/>
    <s v="DB"/>
    <x v="18"/>
    <n v="9"/>
    <d v="2026-05-30T00:00:00"/>
    <n v="278.72000000000003"/>
    <s v="PEN"/>
    <x v="0"/>
    <m/>
    <m/>
    <m/>
    <x v="0"/>
    <m/>
    <m/>
  </r>
  <r>
    <s v="1000013754"/>
    <x v="5"/>
    <s v="1200002111"/>
    <s v="03-0B001-0004623"/>
    <s v="DB"/>
    <x v="18"/>
    <n v="9"/>
    <d v="2026-05-30T00:00:00"/>
    <n v="47.2"/>
    <s v="PEN"/>
    <x v="0"/>
    <m/>
    <m/>
    <m/>
    <x v="0"/>
    <m/>
    <m/>
  </r>
  <r>
    <s v="1000013754"/>
    <x v="5"/>
    <s v="1200002151"/>
    <s v="03-0B001-0004628"/>
    <s v="DB"/>
    <x v="15"/>
    <n v="7"/>
    <d v="2026-06-01T00:00:00"/>
    <n v="303.26"/>
    <s v="PEN"/>
    <x v="0"/>
    <m/>
    <m/>
    <m/>
    <x v="0"/>
    <m/>
    <m/>
  </r>
  <r>
    <s v="1000013754"/>
    <x v="5"/>
    <s v="1200002152"/>
    <s v="03-0B001-0004629"/>
    <s v="DB"/>
    <x v="15"/>
    <n v="7"/>
    <d v="2026-06-01T00:00:00"/>
    <n v="47.2"/>
    <s v="PEN"/>
    <x v="0"/>
    <m/>
    <m/>
    <m/>
    <x v="0"/>
    <m/>
    <m/>
  </r>
  <r>
    <s v="1000013754"/>
    <x v="5"/>
    <s v="1200002233"/>
    <s v="03-0B001-0004644"/>
    <s v="DB"/>
    <x v="16"/>
    <n v="-2"/>
    <d v="2026-06-10T00:00:00"/>
    <n v="316.48"/>
    <s v="PEN"/>
    <x v="0"/>
    <m/>
    <m/>
    <m/>
    <x v="0"/>
    <m/>
    <m/>
  </r>
  <r>
    <s v="1000013754"/>
    <x v="5"/>
    <s v="1200002234"/>
    <s v="03-0B001-0004645"/>
    <s v="DB"/>
    <x v="16"/>
    <n v="-2"/>
    <d v="2026-06-10T00:00:00"/>
    <n v="47.2"/>
    <s v="PEN"/>
    <x v="0"/>
    <m/>
    <m/>
    <m/>
    <x v="0"/>
    <m/>
    <m/>
  </r>
  <r>
    <s v="2000001368"/>
    <x v="6"/>
    <s v="1300004226"/>
    <s v="FT-0F002-0000311"/>
    <s v="ZV"/>
    <x v="19"/>
    <n v="42"/>
    <d v="2026-04-27T00:00:00"/>
    <n v="311070"/>
    <s v="USD"/>
    <x v="1"/>
    <d v="2026-06-11T00:00:00"/>
    <n v="-3"/>
    <d v="2026-06-11T00:00:00"/>
    <x v="7"/>
    <n v="311070"/>
    <n v="42"/>
  </r>
  <r>
    <s v="2000001441"/>
    <x v="7"/>
    <s v="1300004712"/>
    <s v="FT-0F002-0000327"/>
    <s v="ZV"/>
    <x v="20"/>
    <n v="23"/>
    <d v="2026-05-16T00:00:00"/>
    <n v="37935"/>
    <s v="USD"/>
    <x v="1"/>
    <d v="2026-06-30T00:00:00"/>
    <n v="-22"/>
    <d v="2026-06-30T00:00:00"/>
    <x v="8"/>
    <n v="37935"/>
    <n v="23"/>
  </r>
  <r>
    <s v="2000001361"/>
    <x v="8"/>
    <s v="1300004210"/>
    <s v="FT-0F002-0000295"/>
    <s v="ZV"/>
    <x v="21"/>
    <n v="57"/>
    <d v="2026-04-12T00:00:00"/>
    <n v="16355.92"/>
    <s v="USD"/>
    <x v="1"/>
    <d v="2026-05-27T00:00:00"/>
    <n v="-7"/>
    <d v="2026-06-15T00:00:00"/>
    <x v="9"/>
    <n v="16355.92"/>
    <n v="57"/>
  </r>
  <r>
    <s v="2000001361"/>
    <x v="8"/>
    <s v="1200002007"/>
    <s v="01-0F002-0000342"/>
    <s v="DE"/>
    <x v="10"/>
    <n v="-28"/>
    <d v="2026-07-06T00:00:00"/>
    <n v="60536"/>
    <s v="USD"/>
    <x v="1"/>
    <d v="2026-07-06T00:00:00"/>
    <n v="-28"/>
    <d v="2026-07-06T00:00:00"/>
    <x v="1"/>
    <n v="60536"/>
    <n v="17"/>
  </r>
  <r>
    <s v="2000001361"/>
    <x v="8"/>
    <s v="1200002041"/>
    <s v="01-0F002-0000351"/>
    <s v="DE"/>
    <x v="11"/>
    <n v="-32"/>
    <d v="2026-07-10T00:00:00"/>
    <n v="74100"/>
    <s v="USD"/>
    <x v="1"/>
    <d v="2026-07-10T00:00:00"/>
    <n v="-32"/>
    <d v="2026-07-10T00:00:00"/>
    <x v="2"/>
    <n v="74100"/>
    <n v="13"/>
  </r>
  <r>
    <s v="2000001398"/>
    <x v="9"/>
    <s v="1300002661"/>
    <s v="FT-0F002-0000315"/>
    <s v="ZV"/>
    <x v="19"/>
    <n v="42"/>
    <d v="2026-04-27T00:00:00"/>
    <n v="19830"/>
    <s v="USD"/>
    <x v="1"/>
    <d v="2026-06-11T00:00:00"/>
    <n v="-3"/>
    <d v="2026-06-11T00:00:00"/>
    <x v="7"/>
    <n v="19830"/>
    <n v="42"/>
  </r>
  <r>
    <s v="2000001398"/>
    <x v="9"/>
    <s v="1300002662"/>
    <s v="FT-0F002-0000323"/>
    <s v="ZV"/>
    <x v="22"/>
    <n v="40"/>
    <d v="2026-04-29T00:00:00"/>
    <n v="36040"/>
    <s v="USD"/>
    <x v="1"/>
    <d v="2026-06-13T00:00:00"/>
    <n v="-5"/>
    <d v="2026-06-13T00:00:00"/>
    <x v="10"/>
    <n v="36040"/>
    <n v="40"/>
  </r>
  <r>
    <s v="2000001398"/>
    <x v="9"/>
    <s v="1200001877"/>
    <s v="01-0F002-0000331"/>
    <s v="DE"/>
    <x v="14"/>
    <n v="-23"/>
    <d v="2026-07-01T00:00:00"/>
    <n v="53812.5"/>
    <s v="USD"/>
    <x v="1"/>
    <d v="2026-07-01T00:00:00"/>
    <n v="-23"/>
    <d v="2026-07-01T00:00:00"/>
    <x v="5"/>
    <n v="53812.5"/>
    <n v="22"/>
  </r>
  <r>
    <s v="1000006830"/>
    <x v="10"/>
    <s v="1200002153"/>
    <s v="01-0F101-0006689"/>
    <s v="DF"/>
    <x v="15"/>
    <n v="0"/>
    <d v="2026-06-08T00:00:00"/>
    <n v="442.41"/>
    <s v="PEN"/>
    <x v="0"/>
    <m/>
    <m/>
    <m/>
    <x v="0"/>
    <m/>
    <m/>
  </r>
  <r>
    <s v="1000006830"/>
    <x v="10"/>
    <s v="1200002154"/>
    <s v="01-0F101-0006690"/>
    <s v="DF"/>
    <x v="15"/>
    <n v="0"/>
    <d v="2026-06-08T00:00:00"/>
    <n v="159.30000000000001"/>
    <s v="PEN"/>
    <x v="0"/>
    <m/>
    <m/>
    <m/>
    <x v="0"/>
    <m/>
    <m/>
  </r>
  <r>
    <s v="1000006830"/>
    <x v="10"/>
    <s v="1200002168"/>
    <s v="01-0F101-0006702"/>
    <s v="DF"/>
    <x v="15"/>
    <n v="0"/>
    <d v="2026-06-08T00:00:00"/>
    <n v="991.2"/>
    <s v="PEN"/>
    <x v="0"/>
    <m/>
    <m/>
    <m/>
    <x v="0"/>
    <m/>
    <m/>
  </r>
  <r>
    <s v="1000006830"/>
    <x v="10"/>
    <s v="1200002169"/>
    <s v="01-0F101-0006703"/>
    <s v="DF"/>
    <x v="15"/>
    <n v="0"/>
    <d v="2026-06-08T00:00:00"/>
    <n v="106.2"/>
    <s v="PEN"/>
    <x v="0"/>
    <m/>
    <m/>
    <m/>
    <x v="0"/>
    <m/>
    <m/>
  </r>
  <r>
    <s v="1000006830"/>
    <x v="10"/>
    <s v="1200002197"/>
    <s v="01-0F101-0006725"/>
    <s v="DF"/>
    <x v="23"/>
    <n v="-1"/>
    <d v="2026-06-09T00:00:00"/>
    <n v="70.8"/>
    <s v="PEN"/>
    <x v="0"/>
    <m/>
    <m/>
    <m/>
    <x v="0"/>
    <m/>
    <m/>
  </r>
  <r>
    <s v="1000006830"/>
    <x v="10"/>
    <s v="1200002204"/>
    <s v="01-0F101-0006732"/>
    <s v="DF"/>
    <x v="23"/>
    <n v="-1"/>
    <d v="2026-06-09T00:00:00"/>
    <n v="316.24"/>
    <s v="PEN"/>
    <x v="0"/>
    <m/>
    <m/>
    <m/>
    <x v="0"/>
    <m/>
    <m/>
  </r>
  <r>
    <s v="1000006830"/>
    <x v="10"/>
    <s v="1200002235"/>
    <s v="01-0F101-0006751"/>
    <s v="DF"/>
    <x v="16"/>
    <n v="-2"/>
    <d v="2026-06-10T00:00:00"/>
    <n v="1306.97"/>
    <s v="PEN"/>
    <x v="0"/>
    <m/>
    <m/>
    <m/>
    <x v="0"/>
    <m/>
    <m/>
  </r>
  <r>
    <s v="1000006830"/>
    <x v="10"/>
    <s v="1200002236"/>
    <s v="01-0F101-0006752"/>
    <s v="DF"/>
    <x v="16"/>
    <n v="-2"/>
    <d v="2026-06-10T00:00:00"/>
    <n v="118"/>
    <s v="PEN"/>
    <x v="0"/>
    <m/>
    <m/>
    <m/>
    <x v="0"/>
    <m/>
    <m/>
  </r>
  <r>
    <s v="1000006830"/>
    <x v="10"/>
    <s v="1200002251"/>
    <s v="01-0F101-0006765"/>
    <s v="DF"/>
    <x v="17"/>
    <n v="-3"/>
    <d v="2026-06-11T00:00:00"/>
    <n v="689.21"/>
    <s v="PEN"/>
    <x v="0"/>
    <m/>
    <m/>
    <m/>
    <x v="0"/>
    <m/>
    <m/>
  </r>
  <r>
    <s v="1000006830"/>
    <x v="10"/>
    <s v="1200002252"/>
    <s v="01-0F101-0006766"/>
    <s v="DF"/>
    <x v="17"/>
    <n v="-3"/>
    <d v="2026-06-11T00:00:00"/>
    <n v="194.7"/>
    <s v="PEN"/>
    <x v="0"/>
    <m/>
    <m/>
    <m/>
    <x v="0"/>
    <m/>
    <m/>
  </r>
  <r>
    <s v="1000006830"/>
    <x v="10"/>
    <s v="1200002255"/>
    <s v="01-0F101-0006769"/>
    <s v="DF"/>
    <x v="17"/>
    <n v="-3"/>
    <d v="2026-06-11T00:00:00"/>
    <n v="589.29"/>
    <s v="PEN"/>
    <x v="0"/>
    <m/>
    <m/>
    <m/>
    <x v="0"/>
    <m/>
    <m/>
  </r>
  <r>
    <s v="1000006830"/>
    <x v="10"/>
    <s v="1200002256"/>
    <s v="01-0F101-0006770"/>
    <s v="DF"/>
    <x v="17"/>
    <n v="-3"/>
    <d v="2026-06-11T00:00:00"/>
    <n v="70.8"/>
    <s v="PEN"/>
    <x v="0"/>
    <m/>
    <m/>
    <m/>
    <x v="0"/>
    <m/>
    <m/>
  </r>
  <r>
    <s v="1000006830"/>
    <x v="10"/>
    <s v="1200002263"/>
    <s v="01-0F101-0006775"/>
    <s v="DF"/>
    <x v="17"/>
    <n v="-3"/>
    <d v="2026-06-11T00:00:00"/>
    <n v="415.97"/>
    <s v="PEN"/>
    <x v="0"/>
    <m/>
    <m/>
    <m/>
    <x v="0"/>
    <m/>
    <m/>
  </r>
  <r>
    <s v="1000006830"/>
    <x v="10"/>
    <s v="1200002264"/>
    <s v="01-0F101-0006776"/>
    <s v="DF"/>
    <x v="17"/>
    <n v="-3"/>
    <d v="2026-06-11T00:00:00"/>
    <n v="135.69999999999999"/>
    <s v="PEN"/>
    <x v="0"/>
    <m/>
    <m/>
    <m/>
    <x v="0"/>
    <m/>
    <m/>
  </r>
  <r>
    <s v="1000006830"/>
    <x v="10"/>
    <s v="1200002314"/>
    <s v="01-0F101-0006820"/>
    <s v="DF"/>
    <x v="24"/>
    <n v="-7"/>
    <d v="2026-06-15T00:00:00"/>
    <n v="352.54"/>
    <s v="PEN"/>
    <x v="0"/>
    <m/>
    <m/>
    <m/>
    <x v="0"/>
    <m/>
    <m/>
  </r>
  <r>
    <s v="1000006830"/>
    <x v="10"/>
    <s v="1200002315"/>
    <s v="01-0F101-0006821"/>
    <s v="DF"/>
    <x v="24"/>
    <n v="-7"/>
    <d v="2026-06-15T00:00:00"/>
    <n v="153.4"/>
    <s v="PEN"/>
    <x v="0"/>
    <m/>
    <m/>
    <m/>
    <x v="0"/>
    <m/>
    <m/>
  </r>
  <r>
    <s v="2000001459"/>
    <x v="11"/>
    <s v="1300004230"/>
    <s v="ANTICIPO FP242"/>
    <s v="DZ"/>
    <x v="11"/>
    <n v="0"/>
    <d v="2026-05-31T00:00:00"/>
    <n v="-34580"/>
    <s v="USD"/>
    <x v="1"/>
    <d v="2026-07-10T00:00:00"/>
    <n v="46181"/>
    <m/>
    <x v="3"/>
    <n v="-34580"/>
    <n v="13"/>
  </r>
  <r>
    <s v="2000001172"/>
    <x v="12"/>
    <s v="1300004713"/>
    <s v="SALDO A FAVOR"/>
    <s v="ZV"/>
    <x v="25"/>
    <n v="0"/>
    <d v="2026-04-28T00:00:00"/>
    <n v="-1504"/>
    <s v="USD"/>
    <x v="1"/>
    <d v="2026-06-12T00:00:00"/>
    <n v="46181"/>
    <m/>
    <x v="11"/>
    <n v="-1504"/>
    <n v="41"/>
  </r>
  <r>
    <s v="2000001172"/>
    <x v="12"/>
    <s v="1300004024"/>
    <s v="ANTICIPO FP238"/>
    <s v="DZ"/>
    <x v="26"/>
    <n v="0"/>
    <d v="2026-05-31T00:00:00"/>
    <n v="-36370"/>
    <s v="USD"/>
    <x v="1"/>
    <d v="2026-06-27T00:00:00"/>
    <n v="46181"/>
    <m/>
    <x v="3"/>
    <n v="-36370"/>
    <n v="26"/>
  </r>
  <r>
    <s v="2000000231"/>
    <x v="13"/>
    <s v="1200001730"/>
    <s v="01-0F002-0000326"/>
    <s v="DE"/>
    <x v="27"/>
    <n v="-18"/>
    <d v="2026-06-26T00:00:00"/>
    <n v="420417"/>
    <s v="USD"/>
    <x v="1"/>
    <d v="2026-06-26T00:00:00"/>
    <n v="-18"/>
    <d v="2026-06-26T00:00:00"/>
    <x v="12"/>
    <n v="210208.5"/>
    <n v="27"/>
  </r>
  <r>
    <s v="2000000231"/>
    <x v="13"/>
    <s v="1200001730"/>
    <s v="01-0F002-0000326"/>
    <s v="DE"/>
    <x v="27"/>
    <n v="-18"/>
    <d v="2026-06-26T00:00:00"/>
    <n v="420417"/>
    <s v="USD"/>
    <x v="1"/>
    <d v="2026-06-26T00:00:00"/>
    <n v="-18"/>
    <d v="2026-06-26T00:00:00"/>
    <x v="13"/>
    <n v="210208.5"/>
    <n v="27"/>
  </r>
  <r>
    <s v="2000000231"/>
    <x v="13"/>
    <s v="1200001990"/>
    <s v="01-0F002-0000337"/>
    <s v="DE"/>
    <x v="10"/>
    <n v="-28"/>
    <d v="2026-07-06T00:00:00"/>
    <n v="103806"/>
    <s v="USD"/>
    <x v="1"/>
    <d v="2026-07-06T00:00:00"/>
    <n v="-28"/>
    <d v="2026-07-06T00:00:00"/>
    <x v="1"/>
    <n v="51903"/>
    <n v="17"/>
  </r>
  <r>
    <s v="2000000231"/>
    <x v="13"/>
    <s v="1200001990"/>
    <s v="01-0F002-0000337"/>
    <s v="DE"/>
    <x v="10"/>
    <n v="-28"/>
    <d v="2026-07-06T00:00:00"/>
    <n v="103806"/>
    <s v="USD"/>
    <x v="1"/>
    <d v="2026-07-06T00:00:00"/>
    <n v="-28"/>
    <d v="2026-07-06T00:00:00"/>
    <x v="13"/>
    <n v="51903"/>
    <n v="17"/>
  </r>
  <r>
    <s v="2000000231"/>
    <x v="13"/>
    <s v="1200002034"/>
    <s v="01-0F002-0000344"/>
    <s v="DE"/>
    <x v="28"/>
    <n v="-30"/>
    <d v="2026-07-08T00:00:00"/>
    <n v="104872.5"/>
    <s v="USD"/>
    <x v="1"/>
    <d v="2026-07-08T00:00:00"/>
    <n v="-30"/>
    <d v="2026-07-08T00:00:00"/>
    <x v="14"/>
    <n v="52436.25"/>
    <n v="15"/>
  </r>
  <r>
    <s v="2000000231"/>
    <x v="13"/>
    <s v="1200002034"/>
    <s v="01-0F002-0000344"/>
    <s v="DE"/>
    <x v="28"/>
    <n v="-30"/>
    <d v="2026-07-08T00:00:00"/>
    <n v="104872.5"/>
    <s v="USD"/>
    <x v="1"/>
    <d v="2026-07-08T00:00:00"/>
    <n v="-30"/>
    <d v="2026-07-08T00:00:00"/>
    <x v="13"/>
    <n v="52436.25"/>
    <n v="15"/>
  </r>
  <r>
    <s v="2000000231"/>
    <x v="13"/>
    <s v="1200002036"/>
    <s v="01-0F002-0000346"/>
    <s v="DE"/>
    <x v="28"/>
    <n v="-30"/>
    <d v="2026-07-08T00:00:00"/>
    <n v="421200"/>
    <s v="USD"/>
    <x v="1"/>
    <d v="2026-07-08T00:00:00"/>
    <n v="-30"/>
    <d v="2026-07-08T00:00:00"/>
    <x v="14"/>
    <n v="210600"/>
    <n v="15"/>
  </r>
  <r>
    <s v="2000000231"/>
    <x v="13"/>
    <s v="1200002036"/>
    <s v="01-0F002-0000346"/>
    <s v="DE"/>
    <x v="28"/>
    <n v="-30"/>
    <d v="2026-07-08T00:00:00"/>
    <n v="421200"/>
    <s v="USD"/>
    <x v="1"/>
    <d v="2026-07-08T00:00:00"/>
    <n v="-30"/>
    <d v="2026-07-08T00:00:00"/>
    <x v="13"/>
    <n v="210600"/>
    <n v="15"/>
  </r>
  <r>
    <s v="2000000231"/>
    <x v="13"/>
    <s v="1200002130"/>
    <s v="01-0F002-0000354"/>
    <s v="DE"/>
    <x v="13"/>
    <n v="-35"/>
    <d v="2026-07-13T00:00:00"/>
    <n v="104161.5"/>
    <s v="USD"/>
    <x v="1"/>
    <d v="2026-07-13T00:00:00"/>
    <n v="-35"/>
    <d v="2026-07-13T00:00:00"/>
    <x v="4"/>
    <n v="52080.75"/>
    <n v="10"/>
  </r>
  <r>
    <s v="2000000231"/>
    <x v="13"/>
    <s v="1200002130"/>
    <s v="01-0F002-0000354"/>
    <s v="DE"/>
    <x v="13"/>
    <n v="-35"/>
    <d v="2026-07-13T00:00:00"/>
    <n v="104161.5"/>
    <s v="USD"/>
    <x v="1"/>
    <d v="2026-07-13T00:00:00"/>
    <n v="-35"/>
    <d v="2026-07-13T00:00:00"/>
    <x v="10"/>
    <n v="52080.75"/>
    <n v="10"/>
  </r>
  <r>
    <s v="2000000231"/>
    <x v="13"/>
    <s v="1200002133"/>
    <s v="01-0F002-0000357"/>
    <s v="DE"/>
    <x v="13"/>
    <n v="-35"/>
    <d v="2026-07-13T00:00:00"/>
    <n v="105300"/>
    <s v="USD"/>
    <x v="1"/>
    <d v="2026-07-13T00:00:00"/>
    <n v="-35"/>
    <d v="2026-07-13T00:00:00"/>
    <x v="4"/>
    <n v="52650"/>
    <n v="10"/>
  </r>
  <r>
    <s v="2000000231"/>
    <x v="13"/>
    <s v="1200002133"/>
    <s v="01-0F002-0000357"/>
    <s v="DE"/>
    <x v="13"/>
    <n v="-35"/>
    <d v="2026-07-13T00:00:00"/>
    <n v="105300"/>
    <s v="USD"/>
    <x v="1"/>
    <d v="2026-07-13T00:00:00"/>
    <n v="-35"/>
    <d v="2026-07-13T00:00:00"/>
    <x v="10"/>
    <n v="52650"/>
    <n v="10"/>
  </r>
  <r>
    <s v="2000000233"/>
    <x v="14"/>
    <s v="1300004714"/>
    <s v="FT-0F002-0000350"/>
    <s v="ZV"/>
    <x v="28"/>
    <n v="15"/>
    <d v="2026-05-24T00:00:00"/>
    <n v="212594"/>
    <s v="USD"/>
    <x v="1"/>
    <d v="2026-07-08T00:00:00"/>
    <n v="-30"/>
    <d v="2026-07-08T00:00:00"/>
    <x v="14"/>
    <n v="212594"/>
    <n v="15"/>
  </r>
  <r>
    <s v="2000000233"/>
    <x v="14"/>
    <s v="1200002140"/>
    <s v="01-0F002-0000364"/>
    <s v="DE"/>
    <x v="13"/>
    <n v="-35"/>
    <d v="2026-07-13T00:00:00"/>
    <n v="54540"/>
    <s v="USD"/>
    <x v="1"/>
    <d v="2026-07-13T00:00:00"/>
    <n v="-35"/>
    <d v="2026-07-13T00:00:00"/>
    <x v="4"/>
    <n v="54540"/>
    <n v="10"/>
  </r>
  <r>
    <s v="2000001409"/>
    <x v="15"/>
    <s v="1300002664"/>
    <s v="SALDO A FAVOR"/>
    <s v="ZV"/>
    <x v="29"/>
    <n v="0"/>
    <d v="2026-04-26T00:00:00"/>
    <n v="-4560"/>
    <s v="USD"/>
    <x v="1"/>
    <d v="2026-06-10T00:00:00"/>
    <n v="46181"/>
    <m/>
    <x v="15"/>
    <n v="-4560"/>
    <n v="43"/>
  </r>
  <r>
    <s v="2000001409"/>
    <x v="15"/>
    <s v="1200001360"/>
    <s v="01-0F002-0000319"/>
    <s v="DE"/>
    <x v="22"/>
    <n v="-5"/>
    <d v="2026-06-13T00:00:00"/>
    <n v="396900"/>
    <s v="USD"/>
    <x v="1"/>
    <d v="2026-06-13T00:00:00"/>
    <n v="-5"/>
    <d v="2026-06-13T00:00:00"/>
    <x v="10"/>
    <n v="396900"/>
    <n v="40"/>
  </r>
  <r>
    <s v="2000001409"/>
    <x v="15"/>
    <s v="1200001874"/>
    <s v="01-0F002-0000328"/>
    <s v="DE"/>
    <x v="14"/>
    <n v="-23"/>
    <d v="2026-07-01T00:00:00"/>
    <n v="113820"/>
    <s v="USD"/>
    <x v="1"/>
    <d v="2026-07-01T00:00:00"/>
    <n v="-23"/>
    <d v="2026-07-01T00:00:00"/>
    <x v="5"/>
    <n v="113820"/>
    <n v="22"/>
  </r>
  <r>
    <s v="2000001409"/>
    <x v="15"/>
    <s v="1200001989"/>
    <s v="01-0F002-0000336"/>
    <s v="DE"/>
    <x v="10"/>
    <n v="-28"/>
    <d v="2026-07-06T00:00:00"/>
    <n v="56280"/>
    <s v="USD"/>
    <x v="1"/>
    <d v="2026-07-06T00:00:00"/>
    <n v="-28"/>
    <d v="2026-07-06T00:00:00"/>
    <x v="1"/>
    <n v="56280"/>
    <n v="17"/>
  </r>
  <r>
    <s v="2000001409"/>
    <x v="15"/>
    <s v="1200002038"/>
    <s v="01-0F002-0000348"/>
    <s v="DE"/>
    <x v="28"/>
    <n v="-30"/>
    <d v="2026-07-08T00:00:00"/>
    <n v="113400"/>
    <s v="USD"/>
    <x v="1"/>
    <d v="2026-07-08T00:00:00"/>
    <n v="-30"/>
    <d v="2026-07-08T00:00:00"/>
    <x v="14"/>
    <n v="113400"/>
    <n v="15"/>
  </r>
  <r>
    <s v="2000001409"/>
    <x v="15"/>
    <s v="1200002132"/>
    <s v="01-0F002-0000356"/>
    <s v="DE"/>
    <x v="13"/>
    <n v="-35"/>
    <d v="2026-07-13T00:00:00"/>
    <n v="56700"/>
    <s v="USD"/>
    <x v="1"/>
    <d v="2026-07-13T00:00:00"/>
    <n v="-35"/>
    <d v="2026-07-13T00:00:00"/>
    <x v="4"/>
    <n v="56700"/>
    <n v="10"/>
  </r>
  <r>
    <s v="6002007"/>
    <x v="16"/>
    <s v="1200005141"/>
    <s v="01-0F101-0004638"/>
    <s v="DF"/>
    <x v="30"/>
    <n v="210"/>
    <d v="2025-11-10T00:00:00"/>
    <n v="1403.26"/>
    <s v="PEN"/>
    <x v="2"/>
    <m/>
    <m/>
    <m/>
    <x v="16"/>
    <n v="407.56898054022656"/>
    <m/>
  </r>
  <r>
    <s v="6002007"/>
    <x v="16"/>
    <s v="1200005142"/>
    <s v="01-0F101-0004639"/>
    <s v="DF"/>
    <x v="30"/>
    <n v="210"/>
    <d v="2025-11-10T00:00:00"/>
    <n v="141.6"/>
    <s v="PEN"/>
    <x v="2"/>
    <m/>
    <m/>
    <m/>
    <x v="16"/>
    <n v="41.126924194016844"/>
    <m/>
  </r>
  <r>
    <s v="6002007"/>
    <x v="16"/>
    <s v="1200005158"/>
    <s v="01-0F101-0004653"/>
    <s v="DF"/>
    <x v="31"/>
    <n v="207"/>
    <d v="2025-11-13T00:00:00"/>
    <n v="1193.22"/>
    <s v="PEN"/>
    <x v="2"/>
    <m/>
    <m/>
    <m/>
    <x v="17"/>
    <n v="346.56404298576825"/>
    <m/>
  </r>
  <r>
    <s v="6002007"/>
    <x v="16"/>
    <s v="1200005159"/>
    <s v="01-0F101-0004654"/>
    <s v="DF"/>
    <x v="31"/>
    <n v="207"/>
    <d v="2025-11-13T00:00:00"/>
    <n v="106.2"/>
    <s v="PEN"/>
    <x v="2"/>
    <m/>
    <m/>
    <m/>
    <x v="17"/>
    <n v="30.845193145512635"/>
    <m/>
  </r>
  <r>
    <s v="6002007"/>
    <x v="16"/>
    <s v="1200001503"/>
    <s v="01-0F101-0006226"/>
    <s v="DF"/>
    <x v="32"/>
    <n v="26"/>
    <d v="2026-05-13T00:00:00"/>
    <n v="23.6"/>
    <s v="PEN"/>
    <x v="2"/>
    <m/>
    <m/>
    <m/>
    <x v="18"/>
    <n v="6.8544873656694749"/>
    <m/>
  </r>
  <r>
    <s v="6002007"/>
    <x v="16"/>
    <s v="1200001504"/>
    <s v="01-0F101-0006227"/>
    <s v="DF"/>
    <x v="32"/>
    <n v="26"/>
    <d v="2026-05-13T00:00:00"/>
    <n v="261.49"/>
    <s v="PEN"/>
    <x v="2"/>
    <m/>
    <m/>
    <m/>
    <x v="18"/>
    <n v="75.948300900377575"/>
    <m/>
  </r>
  <r>
    <s v="6002007"/>
    <x v="16"/>
    <s v="1200001509"/>
    <s v="01-0F101-0006232"/>
    <s v="DF"/>
    <x v="32"/>
    <n v="26"/>
    <d v="2026-05-13T00:00:00"/>
    <n v="387.51"/>
    <s v="PEN"/>
    <x v="2"/>
    <m/>
    <m/>
    <m/>
    <x v="18"/>
    <n v="112.55010165553296"/>
    <m/>
  </r>
  <r>
    <s v="6002007"/>
    <x v="16"/>
    <s v="1200001510"/>
    <s v="01-0F101-0006233"/>
    <s v="DF"/>
    <x v="32"/>
    <n v="26"/>
    <d v="2026-05-13T00:00:00"/>
    <n v="35.4"/>
    <s v="PEN"/>
    <x v="2"/>
    <m/>
    <m/>
    <m/>
    <x v="18"/>
    <n v="10.281731048504211"/>
    <m/>
  </r>
  <r>
    <s v="6002007"/>
    <x v="16"/>
    <s v="1200001609"/>
    <s v="01-0F101-0006311"/>
    <s v="DF"/>
    <x v="27"/>
    <n v="20"/>
    <d v="2026-05-19T00:00:00"/>
    <n v="482.86"/>
    <s v="PEN"/>
    <x v="2"/>
    <m/>
    <m/>
    <m/>
    <x v="19"/>
    <n v="140.24397327911706"/>
    <m/>
  </r>
  <r>
    <s v="6002007"/>
    <x v="16"/>
    <s v="1200001610"/>
    <s v="01-0F101-0006312"/>
    <s v="DF"/>
    <x v="27"/>
    <n v="20"/>
    <d v="2026-05-19T00:00:00"/>
    <n v="47.2"/>
    <s v="PEN"/>
    <x v="2"/>
    <m/>
    <m/>
    <m/>
    <x v="19"/>
    <n v="13.70897473133895"/>
    <m/>
  </r>
  <r>
    <s v="6002007"/>
    <x v="16"/>
    <s v="1200001789"/>
    <s v="01-0F101-0006447"/>
    <s v="DF"/>
    <x v="20"/>
    <n v="16"/>
    <d v="2026-05-23T00:00:00"/>
    <n v="544.45000000000005"/>
    <s v="PEN"/>
    <x v="2"/>
    <m/>
    <m/>
    <m/>
    <x v="20"/>
    <n v="158.13244263723499"/>
    <m/>
  </r>
  <r>
    <s v="6002007"/>
    <x v="16"/>
    <s v="1200001790"/>
    <s v="01-0F101-0006448"/>
    <s v="DF"/>
    <x v="20"/>
    <n v="16"/>
    <d v="2026-05-23T00:00:00"/>
    <n v="47.2"/>
    <s v="PEN"/>
    <x v="2"/>
    <m/>
    <m/>
    <m/>
    <x v="20"/>
    <n v="13.70897473133895"/>
    <m/>
  </r>
  <r>
    <s v="6002007"/>
    <x v="16"/>
    <s v="1200002045"/>
    <s v="01-0F101-0006626"/>
    <s v="DF"/>
    <x v="12"/>
    <n v="5"/>
    <d v="2026-06-03T00:00:00"/>
    <n v="591.65"/>
    <s v="PEN"/>
    <x v="2"/>
    <m/>
    <m/>
    <m/>
    <x v="21"/>
    <n v="171.8414173685739"/>
    <m/>
  </r>
  <r>
    <s v="6002007"/>
    <x v="16"/>
    <s v="1200002046"/>
    <s v="01-0F101-0006627"/>
    <s v="DF"/>
    <x v="12"/>
    <n v="5"/>
    <d v="2026-06-03T00:00:00"/>
    <n v="70.8"/>
    <s v="PEN"/>
    <x v="2"/>
    <m/>
    <m/>
    <m/>
    <x v="21"/>
    <n v="20.563462097008422"/>
    <m/>
  </r>
  <r>
    <s v="6002007"/>
    <x v="16"/>
    <s v="1200002186"/>
    <s v="01-0F101-0006716"/>
    <s v="DF"/>
    <x v="23"/>
    <n v="-1"/>
    <d v="2026-06-09T00:00:00"/>
    <n v="185.97"/>
    <s v="PEN"/>
    <x v="2"/>
    <m/>
    <m/>
    <m/>
    <x v="22"/>
    <n v="54.013941330235255"/>
    <m/>
  </r>
  <r>
    <s v="6002007"/>
    <x v="16"/>
    <s v="1200002187"/>
    <s v="01-0F101-0006717"/>
    <s v="DF"/>
    <x v="23"/>
    <n v="-1"/>
    <d v="2026-06-09T00:00:00"/>
    <n v="23.6"/>
    <s v="PEN"/>
    <x v="2"/>
    <m/>
    <m/>
    <m/>
    <x v="22"/>
    <n v="6.8544873656694749"/>
    <m/>
  </r>
  <r>
    <s v="6001105"/>
    <x v="17"/>
    <s v="1200001300"/>
    <s v="01-0F101-0006073"/>
    <s v="DF"/>
    <x v="25"/>
    <n v="41"/>
    <d v="2026-04-28T00:00:00"/>
    <n v="59"/>
    <s v="PEN"/>
    <x v="0"/>
    <m/>
    <m/>
    <m/>
    <x v="0"/>
    <m/>
    <m/>
  </r>
  <r>
    <s v="6001105"/>
    <x v="17"/>
    <s v="1200001301"/>
    <s v="01-0F101-0006074"/>
    <s v="DF"/>
    <x v="25"/>
    <n v="41"/>
    <d v="2026-04-28T00:00:00"/>
    <n v="716.71"/>
    <s v="PEN"/>
    <x v="0"/>
    <m/>
    <m/>
    <m/>
    <x v="0"/>
    <m/>
    <m/>
  </r>
  <r>
    <s v="6001105"/>
    <x v="17"/>
    <s v="1200001302"/>
    <s v="01-0F101-0006075"/>
    <s v="DF"/>
    <x v="25"/>
    <n v="41"/>
    <d v="2026-04-28T00:00:00"/>
    <n v="129.80000000000001"/>
    <s v="PEN"/>
    <x v="0"/>
    <m/>
    <m/>
    <m/>
    <x v="0"/>
    <m/>
    <m/>
  </r>
  <r>
    <s v="6001105"/>
    <x v="17"/>
    <s v="1300004037"/>
    <s v="FT-0F101-0006072"/>
    <s v="ZV"/>
    <x v="25"/>
    <n v="41"/>
    <d v="2026-04-28T00:00:00"/>
    <n v="422.56"/>
    <s v="PEN"/>
    <x v="0"/>
    <m/>
    <m/>
    <m/>
    <x v="0"/>
    <m/>
    <m/>
  </r>
  <r>
    <s v="6001105"/>
    <x v="17"/>
    <s v="1200001648"/>
    <s v="01-0F101-0006336"/>
    <s v="DF"/>
    <x v="27"/>
    <n v="27"/>
    <d v="2026-05-12T00:00:00"/>
    <n v="404.98"/>
    <s v="PEN"/>
    <x v="0"/>
    <m/>
    <m/>
    <m/>
    <x v="0"/>
    <m/>
    <m/>
  </r>
  <r>
    <s v="6001105"/>
    <x v="17"/>
    <s v="1200001649"/>
    <s v="01-0F101-0006337"/>
    <s v="DF"/>
    <x v="27"/>
    <n v="27"/>
    <d v="2026-05-12T00:00:00"/>
    <n v="59"/>
    <s v="PEN"/>
    <x v="0"/>
    <m/>
    <m/>
    <m/>
    <x v="0"/>
    <m/>
    <m/>
  </r>
  <r>
    <s v="6001105"/>
    <x v="17"/>
    <s v="1200002301"/>
    <s v="01-0F101-0006807"/>
    <s v="DF"/>
    <x v="33"/>
    <n v="3"/>
    <d v="2026-06-05T00:00:00"/>
    <n v="493.16"/>
    <s v="PEN"/>
    <x v="0"/>
    <m/>
    <m/>
    <m/>
    <x v="0"/>
    <m/>
    <m/>
  </r>
  <r>
    <s v="6001105"/>
    <x v="17"/>
    <s v="1200002302"/>
    <s v="01-0F101-0006808"/>
    <s v="DF"/>
    <x v="33"/>
    <n v="3"/>
    <d v="2026-06-05T00:00:00"/>
    <n v="165.2"/>
    <s v="PEN"/>
    <x v="0"/>
    <m/>
    <m/>
    <m/>
    <x v="0"/>
    <m/>
    <m/>
  </r>
  <r>
    <s v="2000001443"/>
    <x v="18"/>
    <s v="1300002821"/>
    <s v="ANTICIPO NINGBO"/>
    <s v="DZ"/>
    <x v="32"/>
    <n v="0"/>
    <d v="2026-05-31T00:00:00"/>
    <n v="-33334"/>
    <s v="USD"/>
    <x v="1"/>
    <d v="2026-06-20T00:00:00"/>
    <n v="46181"/>
    <m/>
    <x v="3"/>
    <n v="-33334"/>
    <n v="33"/>
  </r>
  <r>
    <s v="2000001443"/>
    <x v="18"/>
    <s v="1300004715"/>
    <s v="FT-0F002-0000355"/>
    <s v="ZV"/>
    <x v="13"/>
    <n v="10"/>
    <d v="2026-05-29T00:00:00"/>
    <n v="67008"/>
    <s v="USD"/>
    <x v="1"/>
    <d v="2026-07-13T00:00:00"/>
    <n v="-35"/>
    <d v="2026-07-13T00:00:00"/>
    <x v="4"/>
    <n v="67008"/>
    <n v="10"/>
  </r>
  <r>
    <s v="2000001359"/>
    <x v="19"/>
    <s v="1200001191"/>
    <s v="01-0F002-0000301"/>
    <s v="DE"/>
    <x v="34"/>
    <n v="2"/>
    <d v="2026-06-06T00:00:00"/>
    <n v="36400"/>
    <s v="USD"/>
    <x v="1"/>
    <d v="2026-06-06T00:00:00"/>
    <n v="2"/>
    <d v="2026-06-06T00:00:00"/>
    <x v="13"/>
    <n v="36400"/>
    <n v="47"/>
  </r>
  <r>
    <s v="2000001359"/>
    <x v="19"/>
    <s v="1200001321"/>
    <s v="01-0F002-0000309"/>
    <s v="DE"/>
    <x v="19"/>
    <n v="-3"/>
    <d v="2026-06-11T00:00:00"/>
    <n v="36400"/>
    <s v="USD"/>
    <x v="1"/>
    <d v="2026-06-11T00:00:00"/>
    <n v="-3"/>
    <d v="2026-06-11T00:00:00"/>
    <x v="7"/>
    <n v="36400"/>
    <n v="42"/>
  </r>
  <r>
    <s v="2000001359"/>
    <x v="19"/>
    <s v="1200002006"/>
    <s v="01-0F002-0000341"/>
    <s v="DE"/>
    <x v="10"/>
    <n v="-28"/>
    <d v="2026-07-06T00:00:00"/>
    <n v="80600"/>
    <s v="USD"/>
    <x v="1"/>
    <d v="2026-07-06T00:00:00"/>
    <n v="-28"/>
    <d v="2026-07-06T00:00:00"/>
    <x v="1"/>
    <n v="80600"/>
    <n v="17"/>
  </r>
  <r>
    <s v="1000013925"/>
    <x v="20"/>
    <s v="1300006898"/>
    <s v="FT-0F003-0000101"/>
    <s v="ZV"/>
    <x v="35"/>
    <n v="230"/>
    <d v="2025-10-21T00:00:00"/>
    <n v="4460"/>
    <s v="PEN"/>
    <x v="3"/>
    <m/>
    <m/>
    <m/>
    <x v="23"/>
    <n v="1295.3819343595701"/>
    <m/>
  </r>
  <r>
    <s v="1000013925"/>
    <x v="20"/>
    <s v="1200005124"/>
    <s v="01-0F003-0000129"/>
    <s v="DF"/>
    <x v="36"/>
    <n v="209"/>
    <d v="2025-11-11T00:00:00"/>
    <n v="7097.98"/>
    <s v="PEN"/>
    <x v="3"/>
    <m/>
    <m/>
    <m/>
    <x v="24"/>
    <n v="2061.5683996514667"/>
    <m/>
  </r>
  <r>
    <s v="1000013925"/>
    <x v="20"/>
    <s v="1200000182"/>
    <s v="01-0F003-0000168"/>
    <s v="DF"/>
    <x v="37"/>
    <n v="121"/>
    <d v="2026-02-07T00:00:00"/>
    <n v="4003.46"/>
    <s v="PEN"/>
    <x v="3"/>
    <m/>
    <m/>
    <m/>
    <x v="25"/>
    <n v="1162.782457159454"/>
    <m/>
  </r>
  <r>
    <s v="1000013925"/>
    <x v="20"/>
    <s v="1200000382"/>
    <s v="01-0F003-0000174"/>
    <s v="DF"/>
    <x v="38"/>
    <n v="90"/>
    <d v="2026-03-10T00:00:00"/>
    <n v="4956"/>
    <s v="PEN"/>
    <x v="3"/>
    <m/>
    <m/>
    <m/>
    <x v="26"/>
    <n v="1439.4423467905897"/>
    <m/>
  </r>
  <r>
    <s v="1000015185"/>
    <x v="21"/>
    <s v="1200002181"/>
    <s v="01-0F101-0006713"/>
    <s v="DF"/>
    <x v="23"/>
    <n v="-1"/>
    <d v="2026-06-09T00:00:00"/>
    <n v="417.3"/>
    <s v="PEN"/>
    <x v="0"/>
    <m/>
    <m/>
    <m/>
    <x v="0"/>
    <m/>
    <m/>
  </r>
  <r>
    <s v="1000015185"/>
    <x v="21"/>
    <s v="1200002182"/>
    <s v="01-0F101-0006714"/>
    <s v="DF"/>
    <x v="23"/>
    <n v="-1"/>
    <d v="2026-06-09T00:00:00"/>
    <n v="171.1"/>
    <s v="PEN"/>
    <x v="0"/>
    <m/>
    <m/>
    <m/>
    <x v="0"/>
    <m/>
    <m/>
  </r>
  <r>
    <s v="1000015185"/>
    <x v="21"/>
    <s v="1200002217"/>
    <s v="01-0F101-0006739"/>
    <s v="DF"/>
    <x v="16"/>
    <n v="-2"/>
    <d v="2026-06-10T00:00:00"/>
    <n v="562.34"/>
    <s v="PEN"/>
    <x v="0"/>
    <m/>
    <m/>
    <m/>
    <x v="0"/>
    <m/>
    <m/>
  </r>
  <r>
    <s v="1000015185"/>
    <x v="21"/>
    <s v="1200002218"/>
    <s v="01-0F101-0006740"/>
    <s v="DF"/>
    <x v="16"/>
    <n v="-2"/>
    <d v="2026-06-10T00:00:00"/>
    <n v="194.7"/>
    <s v="PEN"/>
    <x v="0"/>
    <m/>
    <m/>
    <m/>
    <x v="0"/>
    <m/>
    <m/>
  </r>
  <r>
    <s v="1000015185"/>
    <x v="21"/>
    <s v="1200002231"/>
    <s v="01-0F101-0006749"/>
    <s v="DF"/>
    <x v="16"/>
    <n v="-2"/>
    <d v="2026-06-10T00:00:00"/>
    <n v="540.53"/>
    <s v="PEN"/>
    <x v="0"/>
    <m/>
    <m/>
    <m/>
    <x v="0"/>
    <m/>
    <m/>
  </r>
  <r>
    <s v="1000015185"/>
    <x v="21"/>
    <s v="1200002232"/>
    <s v="01-0F101-0006750"/>
    <s v="DF"/>
    <x v="16"/>
    <n v="-2"/>
    <d v="2026-06-10T00:00:00"/>
    <n v="194.7"/>
    <s v="PEN"/>
    <x v="0"/>
    <m/>
    <m/>
    <m/>
    <x v="0"/>
    <m/>
    <m/>
  </r>
  <r>
    <s v="1000015185"/>
    <x v="21"/>
    <s v="1200002245"/>
    <s v="01-0F101-0006761"/>
    <s v="DF"/>
    <x v="17"/>
    <n v="-3"/>
    <d v="2026-06-11T00:00:00"/>
    <n v="650.55999999999995"/>
    <s v="PEN"/>
    <x v="0"/>
    <m/>
    <m/>
    <m/>
    <x v="0"/>
    <m/>
    <m/>
  </r>
  <r>
    <s v="1000015185"/>
    <x v="21"/>
    <s v="1200002246"/>
    <s v="01-0F101-0006762"/>
    <s v="DF"/>
    <x v="17"/>
    <n v="-3"/>
    <d v="2026-06-11T00:00:00"/>
    <n v="212.4"/>
    <s v="PEN"/>
    <x v="0"/>
    <m/>
    <m/>
    <m/>
    <x v="0"/>
    <m/>
    <m/>
  </r>
  <r>
    <s v="1000015185"/>
    <x v="21"/>
    <s v="1200002310"/>
    <s v="01-0F101-0006816"/>
    <s v="DF"/>
    <x v="39"/>
    <n v="-5"/>
    <d v="2026-06-13T00:00:00"/>
    <n v="975.34"/>
    <s v="PEN"/>
    <x v="0"/>
    <m/>
    <m/>
    <m/>
    <x v="0"/>
    <m/>
    <m/>
  </r>
  <r>
    <s v="1000015185"/>
    <x v="21"/>
    <s v="1200002311"/>
    <s v="01-0F101-0006817"/>
    <s v="DF"/>
    <x v="39"/>
    <n v="-5"/>
    <d v="2026-06-13T00:00:00"/>
    <n v="318.60000000000002"/>
    <s v="PEN"/>
    <x v="0"/>
    <m/>
    <m/>
    <m/>
    <x v="0"/>
    <m/>
    <m/>
  </r>
  <r>
    <s v="1000015185"/>
    <x v="21"/>
    <s v="1200002312"/>
    <s v="01-0F101-0006818"/>
    <s v="DF"/>
    <x v="24"/>
    <n v="-7"/>
    <d v="2026-06-15T00:00:00"/>
    <n v="453.97"/>
    <s v="PEN"/>
    <x v="0"/>
    <m/>
    <m/>
    <m/>
    <x v="0"/>
    <m/>
    <m/>
  </r>
  <r>
    <s v="1000015185"/>
    <x v="21"/>
    <s v="1200002313"/>
    <s v="01-0F101-0006819"/>
    <s v="DF"/>
    <x v="24"/>
    <n v="-7"/>
    <d v="2026-06-15T00:00:00"/>
    <n v="177"/>
    <s v="PEN"/>
    <x v="0"/>
    <m/>
    <m/>
    <m/>
    <x v="0"/>
    <m/>
    <m/>
  </r>
  <r>
    <s v="6000434"/>
    <x v="22"/>
    <s v="1200004540"/>
    <s v="01-0F003-0000083"/>
    <s v="DF"/>
    <x v="40"/>
    <n v="237"/>
    <d v="2025-10-14T00:00:00"/>
    <n v="790"/>
    <s v="PEN"/>
    <x v="4"/>
    <m/>
    <m/>
    <m/>
    <x v="27"/>
    <n v="229.45106012198664"/>
    <m/>
  </r>
  <r>
    <s v="1000001607"/>
    <x v="23"/>
    <s v="1200002101"/>
    <s v="01-0F003-0000186"/>
    <s v="DF"/>
    <x v="18"/>
    <n v="6"/>
    <d v="2026-06-02T00:00:00"/>
    <n v="79349.03"/>
    <s v="PEN"/>
    <x v="5"/>
    <m/>
    <m/>
    <m/>
    <x v="28"/>
    <n v="23046.479814115595"/>
    <m/>
  </r>
  <r>
    <s v="1000001607"/>
    <x v="23"/>
    <s v="1200002144"/>
    <s v="01-0F003-0000188"/>
    <s v="DF"/>
    <x v="18"/>
    <n v="6"/>
    <d v="2026-06-02T00:00:00"/>
    <n v="15319"/>
    <s v="PEN"/>
    <x v="5"/>
    <m/>
    <m/>
    <m/>
    <x v="28"/>
    <n v="4449.3174557072316"/>
    <m/>
  </r>
  <r>
    <s v="2000001438"/>
    <x v="24"/>
    <s v="1300002730"/>
    <s v="FT-0F002-0000320"/>
    <s v="ZV"/>
    <x v="22"/>
    <n v="40"/>
    <d v="2026-04-29T00:00:00"/>
    <n v="123265"/>
    <s v="USD"/>
    <x v="1"/>
    <d v="2026-06-13T00:00:00"/>
    <n v="-5"/>
    <d v="2026-06-13T00:00:00"/>
    <x v="10"/>
    <n v="123265"/>
    <n v="40"/>
  </r>
  <r>
    <s v="2000001438"/>
    <x v="24"/>
    <s v="1300002731"/>
    <s v="FT-0F002-0000324"/>
    <s v="ZV"/>
    <x v="22"/>
    <n v="40"/>
    <d v="2026-04-29T00:00:00"/>
    <n v="162355"/>
    <s v="USD"/>
    <x v="1"/>
    <d v="2026-06-13T00:00:00"/>
    <n v="-5"/>
    <d v="2026-06-13T00:00:00"/>
    <x v="10"/>
    <n v="162355"/>
    <n v="40"/>
  </r>
  <r>
    <s v="2000001438"/>
    <x v="24"/>
    <s v="1200001892"/>
    <s v="01-0F002-0000332"/>
    <s v="DE"/>
    <x v="14"/>
    <n v="-23"/>
    <d v="2026-07-01T00:00:00"/>
    <n v="230850"/>
    <s v="USD"/>
    <x v="1"/>
    <d v="2026-07-01T00:00:00"/>
    <n v="-23"/>
    <d v="2026-07-01T00:00:00"/>
    <x v="5"/>
    <n v="230850"/>
    <n v="22"/>
  </r>
  <r>
    <s v="1000001965"/>
    <x v="25"/>
    <s v="1200002155"/>
    <s v="01-0F101-0006691"/>
    <s v="DF"/>
    <x v="15"/>
    <n v="0"/>
    <d v="2026-06-08T00:00:00"/>
    <n v="590"/>
    <s v="PEN"/>
    <x v="0"/>
    <m/>
    <m/>
    <m/>
    <x v="0"/>
    <m/>
    <m/>
  </r>
  <r>
    <s v="1000001965"/>
    <x v="25"/>
    <s v="1200002176"/>
    <s v="01-0F101-0006708"/>
    <s v="DF"/>
    <x v="23"/>
    <n v="-1"/>
    <d v="2026-06-09T00:00:00"/>
    <n v="590"/>
    <s v="PEN"/>
    <x v="0"/>
    <m/>
    <m/>
    <m/>
    <x v="0"/>
    <m/>
    <m/>
  </r>
  <r>
    <s v="1000001965"/>
    <x v="25"/>
    <s v="1200002216"/>
    <s v="01-0F101-0006738"/>
    <s v="DF"/>
    <x v="16"/>
    <n v="-2"/>
    <d v="2026-06-10T00:00:00"/>
    <n v="590"/>
    <s v="PEN"/>
    <x v="0"/>
    <m/>
    <m/>
    <m/>
    <x v="0"/>
    <m/>
    <m/>
  </r>
  <r>
    <s v="2000001418"/>
    <x v="26"/>
    <s v="1300002670"/>
    <s v="FT-0F002-0000314"/>
    <s v="ZV"/>
    <x v="19"/>
    <n v="42"/>
    <d v="2026-04-27T00:00:00"/>
    <n v="116670"/>
    <s v="USD"/>
    <x v="1"/>
    <d v="2026-06-11T00:00:00"/>
    <n v="46181"/>
    <m/>
    <x v="7"/>
    <n v="116670"/>
    <n v="42"/>
  </r>
  <r>
    <s v="2000001440"/>
    <x v="27"/>
    <s v="1300002671"/>
    <s v="FT-0F002-0000321"/>
    <s v="ZV"/>
    <x v="22"/>
    <n v="40"/>
    <d v="2026-04-29T00:00:00"/>
    <n v="56785"/>
    <s v="USD"/>
    <x v="1"/>
    <d v="2026-06-13T00:00:00"/>
    <n v="-5"/>
    <d v="2026-06-13T00:00:00"/>
    <x v="10"/>
    <n v="56785"/>
    <n v="40"/>
  </r>
  <r>
    <s v="2000001440"/>
    <x v="27"/>
    <s v="1300004716"/>
    <s v="FT-0F002-0000361"/>
    <s v="ZV"/>
    <x v="13"/>
    <n v="10"/>
    <d v="2026-05-29T00:00:00"/>
    <n v="35725"/>
    <s v="USD"/>
    <x v="1"/>
    <d v="2026-07-13T00:00:00"/>
    <n v="-35"/>
    <d v="2026-07-13T00:00:00"/>
    <x v="4"/>
    <n v="35725"/>
    <n v="10"/>
  </r>
  <r>
    <s v="1000013801"/>
    <x v="28"/>
    <s v="1200002198"/>
    <s v="01-0F101-0006726"/>
    <s v="DF"/>
    <x v="23"/>
    <n v="-1"/>
    <d v="2026-06-09T00:00:00"/>
    <n v="666.94"/>
    <s v="PEN"/>
    <x v="0"/>
    <m/>
    <m/>
    <m/>
    <x v="0"/>
    <m/>
    <m/>
  </r>
  <r>
    <s v="1000013801"/>
    <x v="28"/>
    <s v="1200002199"/>
    <s v="01-0F101-0006727"/>
    <s v="DF"/>
    <x v="23"/>
    <n v="-1"/>
    <d v="2026-06-09T00:00:00"/>
    <n v="123.9"/>
    <s v="PEN"/>
    <x v="0"/>
    <m/>
    <m/>
    <m/>
    <x v="0"/>
    <m/>
    <m/>
  </r>
  <r>
    <s v="1000013686"/>
    <x v="29"/>
    <s v="1200002009"/>
    <s v="01-0F101-0006601"/>
    <s v="DF"/>
    <x v="41"/>
    <n v="7"/>
    <d v="2026-06-01T00:00:00"/>
    <n v="807.12"/>
    <s v="PEN"/>
    <x v="0"/>
    <m/>
    <m/>
    <m/>
    <x v="0"/>
    <m/>
    <m/>
  </r>
  <r>
    <s v="1000013686"/>
    <x v="29"/>
    <s v="1200002091"/>
    <s v="01-0F101-0006656"/>
    <s v="DF"/>
    <x v="13"/>
    <n v="3"/>
    <d v="2026-06-05T00:00:00"/>
    <n v="396.48"/>
    <s v="PEN"/>
    <x v="0"/>
    <m/>
    <m/>
    <m/>
    <x v="0"/>
    <m/>
    <m/>
  </r>
  <r>
    <s v="1000013686"/>
    <x v="29"/>
    <s v="1200002092"/>
    <s v="01-0F101-0006657"/>
    <s v="DF"/>
    <x v="13"/>
    <n v="3"/>
    <d v="2026-06-05T00:00:00"/>
    <n v="396.48"/>
    <s v="PEN"/>
    <x v="0"/>
    <m/>
    <m/>
    <m/>
    <x v="0"/>
    <m/>
    <m/>
  </r>
  <r>
    <s v="2000000786"/>
    <x v="30"/>
    <s v="1200001876"/>
    <s v="01-0F002-0000330"/>
    <s v="DE"/>
    <x v="14"/>
    <n v="-23"/>
    <d v="2026-07-01T00:00:00"/>
    <n v="140000"/>
    <s v="USD"/>
    <x v="1"/>
    <d v="2026-07-01T00:00:00"/>
    <n v="-23"/>
    <d v="2026-07-01T00:00:00"/>
    <x v="5"/>
    <n v="140000"/>
    <n v="22"/>
  </r>
  <r>
    <s v="2000000786"/>
    <x v="30"/>
    <s v="1200001996"/>
    <s v="01-0F002-0000340"/>
    <s v="DE"/>
    <x v="10"/>
    <n v="-28"/>
    <d v="2026-07-06T00:00:00"/>
    <n v="107640"/>
    <s v="USD"/>
    <x v="1"/>
    <d v="2026-07-06T00:00:00"/>
    <n v="-28"/>
    <d v="2026-07-06T00:00:00"/>
    <x v="1"/>
    <n v="107640"/>
    <n v="17"/>
  </r>
  <r>
    <s v="2000000786"/>
    <x v="30"/>
    <s v="1200002138"/>
    <s v="01-0F002-0000362"/>
    <s v="DE"/>
    <x v="13"/>
    <n v="-35"/>
    <d v="2026-07-13T00:00:00"/>
    <n v="53360"/>
    <s v="USD"/>
    <x v="1"/>
    <d v="2026-07-13T00:00:00"/>
    <n v="-35"/>
    <d v="2026-07-13T00:00:00"/>
    <x v="4"/>
    <n v="53360"/>
    <n v="10"/>
  </r>
  <r>
    <s v="2000000786"/>
    <x v="30"/>
    <s v="1200002139"/>
    <s v="01-0F002-0000363"/>
    <s v="DE"/>
    <x v="13"/>
    <n v="-35"/>
    <d v="2026-07-13T00:00:00"/>
    <n v="43200"/>
    <s v="USD"/>
    <x v="1"/>
    <d v="2026-07-13T00:00:00"/>
    <n v="-35"/>
    <d v="2026-07-13T00:00:00"/>
    <x v="4"/>
    <n v="43200"/>
    <n v="10"/>
  </r>
  <r>
    <s v="2000000590"/>
    <x v="31"/>
    <s v="1300004717"/>
    <s v="FT-0F002-0000338"/>
    <s v="ZV"/>
    <x v="10"/>
    <n v="17"/>
    <d v="2026-05-22T00:00:00"/>
    <n v="22575"/>
    <s v="USD"/>
    <x v="1"/>
    <d v="2026-07-06T00:00:00"/>
    <n v="-28"/>
    <d v="2026-07-06T00:00:00"/>
    <x v="1"/>
    <n v="22575"/>
    <n v="17"/>
  </r>
  <r>
    <s v="2000001442"/>
    <x v="32"/>
    <s v="1300004718"/>
    <s v="FT-0F002-0000358"/>
    <s v="ZV"/>
    <x v="13"/>
    <n v="10"/>
    <d v="2026-05-29T00:00:00"/>
    <n v="52933.5"/>
    <s v="USD"/>
    <x v="1"/>
    <d v="2026-07-13T00:00:00"/>
    <n v="-35"/>
    <d v="2026-07-13T00:00:00"/>
    <x v="29"/>
    <n v="52933.5"/>
    <n v="10"/>
  </r>
  <r>
    <s v="2000001444"/>
    <x v="33"/>
    <s v="1300004719"/>
    <s v="FT-0F002-0000345"/>
    <s v="ZV"/>
    <x v="28"/>
    <n v="15"/>
    <d v="2026-05-24T00:00:00"/>
    <n v="90691"/>
    <s v="USD"/>
    <x v="1"/>
    <d v="2026-07-08T00:00:00"/>
    <n v="-30"/>
    <d v="2026-07-08T00:00:00"/>
    <x v="14"/>
    <n v="90691"/>
    <n v="15"/>
  </r>
  <r>
    <s v="2000001348"/>
    <x v="34"/>
    <s v="1200001241"/>
    <s v="01-0F002-0000302"/>
    <s v="DE"/>
    <x v="42"/>
    <n v="0"/>
    <d v="2026-06-08T00:00:00"/>
    <n v="30250"/>
    <s v="USD"/>
    <x v="1"/>
    <d v="2026-06-08T00:00:00"/>
    <n v="0"/>
    <d v="2026-06-08T00:00:00"/>
    <x v="13"/>
    <n v="30250"/>
    <n v="45"/>
  </r>
  <r>
    <s v="2000001069"/>
    <x v="35"/>
    <s v="1300004190"/>
    <s v="FT-0F002-0000300"/>
    <s v="ZV"/>
    <x v="34"/>
    <n v="47"/>
    <d v="2026-04-22T00:00:00"/>
    <n v="67066"/>
    <s v="USD"/>
    <x v="1"/>
    <d v="2026-06-06T00:00:00"/>
    <n v="2"/>
    <d v="2026-06-06T00:00:00"/>
    <x v="13"/>
    <n v="67066"/>
    <n v="47"/>
  </r>
  <r>
    <s v="2000001446"/>
    <x v="36"/>
    <s v="1300004720"/>
    <s v="FT-0F002-0000352"/>
    <s v="ZV"/>
    <x v="11"/>
    <n v="13"/>
    <d v="2026-05-26T00:00:00"/>
    <n v="72759"/>
    <s v="USD"/>
    <x v="1"/>
    <d v="2026-07-10T00:00:00"/>
    <n v="-32"/>
    <d v="2026-07-10T00:00:00"/>
    <x v="2"/>
    <n v="72759"/>
    <n v="13"/>
  </r>
  <r>
    <s v="2000001449"/>
    <x v="37"/>
    <s v="1300004721"/>
    <s v="FT-0F002-0000365"/>
    <s v="ZV"/>
    <x v="43"/>
    <n v="8"/>
    <d v="2026-05-31T00:00:00"/>
    <n v="115561"/>
    <s v="USD"/>
    <x v="1"/>
    <d v="2026-07-15T00:00:00"/>
    <n v="46181"/>
    <m/>
    <x v="3"/>
    <n v="115561"/>
    <n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43D8CC-56B0-4B13-87B3-A8B92727B6D6}" name="TablaDinámica3" cacheId="3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W31" firstHeaderRow="1" firstDataRow="4" firstDataCol="1" rowPageCount="1" colPageCount="1"/>
  <pivotFields count="23">
    <pivotField showAll="0"/>
    <pivotField axis="axisRow" showAll="0">
      <items count="39">
        <item x="0"/>
        <item x="2"/>
        <item x="3"/>
        <item x="13"/>
        <item x="1"/>
        <item x="4"/>
        <item x="5"/>
        <item x="6"/>
        <item x="7"/>
        <item x="8"/>
        <item x="9"/>
        <item x="10"/>
        <item x="11"/>
        <item x="12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showAll="0"/>
    <pivotField showAll="0"/>
    <pivotField showAll="0"/>
    <pivotField numFmtId="14" showAll="0">
      <items count="45">
        <item x="40"/>
        <item x="35"/>
        <item x="30"/>
        <item x="36"/>
        <item x="31"/>
        <item x="0"/>
        <item x="1"/>
        <item x="2"/>
        <item x="3"/>
        <item x="4"/>
        <item x="5"/>
        <item x="6"/>
        <item x="7"/>
        <item x="8"/>
        <item x="9"/>
        <item x="37"/>
        <item x="38"/>
        <item x="21"/>
        <item x="34"/>
        <item x="42"/>
        <item x="29"/>
        <item x="19"/>
        <item x="25"/>
        <item x="22"/>
        <item x="32"/>
        <item x="27"/>
        <item x="26"/>
        <item x="20"/>
        <item x="14"/>
        <item x="10"/>
        <item x="28"/>
        <item x="41"/>
        <item x="11"/>
        <item x="12"/>
        <item x="13"/>
        <item x="18"/>
        <item x="43"/>
        <item x="15"/>
        <item x="23"/>
        <item x="16"/>
        <item x="17"/>
        <item x="33"/>
        <item x="39"/>
        <item x="24"/>
        <item t="default"/>
      </items>
    </pivotField>
    <pivotField numFmtId="3" showAll="0"/>
    <pivotField numFmtId="14" showAll="0"/>
    <pivotField numFmtId="4" showAll="0"/>
    <pivotField showAll="0"/>
    <pivotField axis="axisPage" showAll="0">
      <items count="7">
        <item x="3"/>
        <item x="1"/>
        <item x="0"/>
        <item x="4"/>
        <item x="5"/>
        <item x="2"/>
        <item t="default"/>
      </items>
    </pivotField>
    <pivotField showAll="0"/>
    <pivotField showAll="0"/>
    <pivotField showAll="0"/>
    <pivotField axis="axisCol" showAll="0">
      <items count="31">
        <item x="27"/>
        <item x="23"/>
        <item x="16"/>
        <item x="24"/>
        <item x="17"/>
        <item x="25"/>
        <item x="26"/>
        <item x="15"/>
        <item x="11"/>
        <item x="18"/>
        <item x="6"/>
        <item x="19"/>
        <item x="20"/>
        <item x="29"/>
        <item x="3"/>
        <item x="28"/>
        <item x="21"/>
        <item x="22"/>
        <item x="13"/>
        <item x="7"/>
        <item x="10"/>
        <item x="9"/>
        <item x="12"/>
        <item x="8"/>
        <item x="5"/>
        <item x="1"/>
        <item x="14"/>
        <item x="2"/>
        <item x="4"/>
        <item x="0"/>
        <item t="default"/>
      </items>
    </pivotField>
    <pivotField dataField="1"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1"/>
        <item sd="0" x="2"/>
        <item sd="0" x="3"/>
        <item sd="0" x="4"/>
        <item sd="0" x="5"/>
        <item x="0"/>
        <item t="default"/>
      </items>
    </pivotField>
    <pivotField showAll="0">
      <items count="5">
        <item sd="0" x="1"/>
        <item sd="0" x="2"/>
        <item sd="0" x="3"/>
        <item x="0"/>
        <item t="default"/>
      </items>
    </pivotField>
    <pivotField axis="axisCol" showAll="0">
      <items count="15">
        <item sd="0" x="0"/>
        <item sd="0" x="1"/>
        <item sd="0" x="2"/>
        <item sd="0" x="3"/>
        <item x="4"/>
        <item x="5"/>
        <item x="6"/>
        <item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Col" showAll="0">
      <items count="5">
        <item sd="0" x="0"/>
        <item sd="0" x="1"/>
        <item x="2"/>
        <item sd="0" x="3"/>
        <item t="default"/>
      </items>
    </pivotField>
  </pivotFields>
  <rowFields count="1">
    <field x="1"/>
  </rowFields>
  <rowItems count="25">
    <i>
      <x v="3"/>
    </i>
    <i>
      <x v="4"/>
    </i>
    <i>
      <x v="5"/>
    </i>
    <i>
      <x v="7"/>
    </i>
    <i>
      <x v="8"/>
    </i>
    <i>
      <x v="9"/>
    </i>
    <i>
      <x v="10"/>
    </i>
    <i>
      <x v="12"/>
    </i>
    <i>
      <x v="13"/>
    </i>
    <i>
      <x v="14"/>
    </i>
    <i>
      <x v="15"/>
    </i>
    <i>
      <x v="18"/>
    </i>
    <i>
      <x v="19"/>
    </i>
    <i>
      <x v="24"/>
    </i>
    <i>
      <x v="26"/>
    </i>
    <i>
      <x v="27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 t="grand">
      <x/>
    </i>
  </rowItems>
  <colFields count="3">
    <field x="22"/>
    <field x="20"/>
    <field x="14"/>
  </colFields>
  <colItems count="22">
    <i>
      <x v="2"/>
      <x v="4"/>
      <x v="7"/>
    </i>
    <i r="2">
      <x v="8"/>
    </i>
    <i t="default" r="1">
      <x v="4"/>
    </i>
    <i r="1">
      <x v="5"/>
      <x v="10"/>
    </i>
    <i r="2">
      <x v="13"/>
    </i>
    <i r="2">
      <x v="14"/>
    </i>
    <i t="default" r="1">
      <x v="5"/>
    </i>
    <i r="1">
      <x v="6"/>
      <x v="18"/>
    </i>
    <i r="2">
      <x v="19"/>
    </i>
    <i r="2">
      <x v="20"/>
    </i>
    <i r="2">
      <x v="21"/>
    </i>
    <i r="2">
      <x v="22"/>
    </i>
    <i r="2">
      <x v="23"/>
    </i>
    <i t="default" r="1">
      <x v="6"/>
    </i>
    <i r="1">
      <x v="7"/>
      <x v="24"/>
    </i>
    <i r="2">
      <x v="25"/>
    </i>
    <i r="2">
      <x v="26"/>
    </i>
    <i r="2">
      <x v="27"/>
    </i>
    <i r="2">
      <x v="28"/>
    </i>
    <i t="default" r="1">
      <x v="7"/>
    </i>
    <i t="default">
      <x v="2"/>
    </i>
    <i t="grand">
      <x/>
    </i>
  </colItems>
  <pageFields count="1">
    <pageField fld="10" item="1" hier="-1"/>
  </pageFields>
  <dataFields count="1">
    <dataField name="Suma de USD HOMOL" fld="15" baseField="0" baseItem="0" numFmtId="165"/>
  </dataFields>
  <formats count="1">
    <format dxfId="1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R168"/>
  <sheetViews>
    <sheetView topLeftCell="I1" workbookViewId="0">
      <pane ySplit="1" topLeftCell="A83" activePane="bottomLeft" state="frozen"/>
      <selection pane="bottomLeft" activeCell="P161" sqref="P161"/>
    </sheetView>
  </sheetViews>
  <sheetFormatPr baseColWidth="10" defaultColWidth="8.88671875" defaultRowHeight="14.4" outlineLevelRow="1" x14ac:dyDescent="0.3"/>
  <cols>
    <col min="1" max="1" width="11" bestFit="1" customWidth="1"/>
    <col min="2" max="2" width="36" bestFit="1" customWidth="1"/>
    <col min="3" max="3" width="13" bestFit="1" customWidth="1"/>
    <col min="4" max="4" width="17" bestFit="1" customWidth="1"/>
    <col min="5" max="5" width="19" bestFit="1" customWidth="1"/>
    <col min="6" max="6" width="19" customWidth="1"/>
    <col min="7" max="7" width="29" customWidth="1"/>
    <col min="8" max="8" width="14" customWidth="1"/>
    <col min="9" max="9" width="23" customWidth="1"/>
    <col min="10" max="10" width="21" customWidth="1"/>
    <col min="11" max="11" width="25" customWidth="1"/>
    <col min="12" max="12" width="11.21875" customWidth="1"/>
    <col min="13" max="13" width="11" customWidth="1"/>
    <col min="14" max="14" width="10.33203125" bestFit="1" customWidth="1"/>
    <col min="15" max="15" width="12.77734375" bestFit="1" customWidth="1"/>
    <col min="16" max="16" width="12.21875" bestFit="1" customWidth="1"/>
    <col min="17" max="17" width="12.44140625" customWidth="1"/>
    <col min="18" max="18" width="12.6640625" bestFit="1" customWidth="1"/>
  </cols>
  <sheetData>
    <row r="1" spans="1:18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525</v>
      </c>
      <c r="L1" s="11" t="s">
        <v>532</v>
      </c>
      <c r="M1" s="11" t="s">
        <v>533</v>
      </c>
      <c r="N1" s="11" t="s">
        <v>534</v>
      </c>
      <c r="O1" s="12" t="s">
        <v>535</v>
      </c>
      <c r="P1" s="12" t="s">
        <v>536</v>
      </c>
      <c r="Q1" s="13" t="s">
        <v>537</v>
      </c>
      <c r="R1" s="14" t="s">
        <v>538</v>
      </c>
    </row>
    <row r="2" spans="1:18" hidden="1" outlineLevel="1" x14ac:dyDescent="0.3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3">
        <v>45980</v>
      </c>
      <c r="G2" s="4">
        <v>194</v>
      </c>
      <c r="H2" s="3">
        <v>45987</v>
      </c>
      <c r="I2" s="5">
        <v>42.48</v>
      </c>
      <c r="J2" s="2" t="s">
        <v>15</v>
      </c>
      <c r="K2" s="2" t="s">
        <v>526</v>
      </c>
    </row>
    <row r="3" spans="1:18" hidden="1" outlineLevel="1" x14ac:dyDescent="0.3">
      <c r="A3" s="2" t="s">
        <v>10</v>
      </c>
      <c r="B3" s="2" t="s">
        <v>16</v>
      </c>
      <c r="C3" s="2" t="s">
        <v>17</v>
      </c>
      <c r="D3" s="2" t="s">
        <v>18</v>
      </c>
      <c r="E3" s="2" t="s">
        <v>14</v>
      </c>
      <c r="F3" s="3">
        <v>45980</v>
      </c>
      <c r="G3" s="4">
        <v>194</v>
      </c>
      <c r="H3" s="3">
        <v>45987</v>
      </c>
      <c r="I3" s="5">
        <v>14.16</v>
      </c>
      <c r="J3" s="2" t="s">
        <v>15</v>
      </c>
      <c r="K3" s="2" t="s">
        <v>526</v>
      </c>
    </row>
    <row r="4" spans="1:18" hidden="1" outlineLevel="1" x14ac:dyDescent="0.3">
      <c r="A4" s="2" t="s">
        <v>10</v>
      </c>
      <c r="B4" s="2" t="s">
        <v>19</v>
      </c>
      <c r="C4" s="2" t="s">
        <v>20</v>
      </c>
      <c r="D4" s="2" t="s">
        <v>21</v>
      </c>
      <c r="E4" s="2" t="s">
        <v>14</v>
      </c>
      <c r="F4" s="3">
        <v>45980</v>
      </c>
      <c r="G4" s="4">
        <v>194</v>
      </c>
      <c r="H4" s="3">
        <v>45987</v>
      </c>
      <c r="I4" s="5">
        <v>14.16</v>
      </c>
      <c r="J4" s="2" t="s">
        <v>15</v>
      </c>
      <c r="K4" s="2" t="s">
        <v>526</v>
      </c>
    </row>
    <row r="5" spans="1:18" hidden="1" outlineLevel="1" x14ac:dyDescent="0.3">
      <c r="A5" s="2" t="s">
        <v>10</v>
      </c>
      <c r="B5" s="2" t="s">
        <v>22</v>
      </c>
      <c r="C5" s="2" t="s">
        <v>23</v>
      </c>
      <c r="D5" s="2" t="s">
        <v>24</v>
      </c>
      <c r="E5" s="2" t="s">
        <v>14</v>
      </c>
      <c r="F5" s="3">
        <v>45981</v>
      </c>
      <c r="G5" s="4">
        <v>193</v>
      </c>
      <c r="H5" s="3">
        <v>45988</v>
      </c>
      <c r="I5" s="5">
        <v>28.32</v>
      </c>
      <c r="J5" s="2" t="s">
        <v>15</v>
      </c>
      <c r="K5" s="2" t="s">
        <v>526</v>
      </c>
    </row>
    <row r="6" spans="1:18" hidden="1" outlineLevel="1" x14ac:dyDescent="0.3">
      <c r="A6" s="2" t="s">
        <v>10</v>
      </c>
      <c r="B6" s="2" t="s">
        <v>25</v>
      </c>
      <c r="C6" s="2" t="s">
        <v>26</v>
      </c>
      <c r="D6" s="2" t="s">
        <v>27</v>
      </c>
      <c r="E6" s="2" t="s">
        <v>14</v>
      </c>
      <c r="F6" s="3">
        <v>45981</v>
      </c>
      <c r="G6" s="4">
        <v>193</v>
      </c>
      <c r="H6" s="3">
        <v>45988</v>
      </c>
      <c r="I6" s="5">
        <v>14.16</v>
      </c>
      <c r="J6" s="2" t="s">
        <v>15</v>
      </c>
      <c r="K6" s="2" t="s">
        <v>526</v>
      </c>
    </row>
    <row r="7" spans="1:18" hidden="1" outlineLevel="1" x14ac:dyDescent="0.3">
      <c r="A7" s="2" t="s">
        <v>10</v>
      </c>
      <c r="B7" s="2" t="s">
        <v>28</v>
      </c>
      <c r="C7" s="2" t="s">
        <v>29</v>
      </c>
      <c r="D7" s="2" t="s">
        <v>30</v>
      </c>
      <c r="E7" s="2" t="s">
        <v>14</v>
      </c>
      <c r="F7" s="3">
        <v>45982</v>
      </c>
      <c r="G7" s="4">
        <v>192</v>
      </c>
      <c r="H7" s="3">
        <v>45989</v>
      </c>
      <c r="I7" s="5">
        <v>28.32</v>
      </c>
      <c r="J7" s="2" t="s">
        <v>15</v>
      </c>
      <c r="K7" s="2" t="s">
        <v>526</v>
      </c>
    </row>
    <row r="8" spans="1:18" hidden="1" outlineLevel="1" x14ac:dyDescent="0.3">
      <c r="A8" s="2" t="s">
        <v>10</v>
      </c>
      <c r="B8" s="2" t="s">
        <v>31</v>
      </c>
      <c r="C8" s="2" t="s">
        <v>32</v>
      </c>
      <c r="D8" s="2" t="s">
        <v>33</v>
      </c>
      <c r="E8" s="2" t="s">
        <v>14</v>
      </c>
      <c r="F8" s="3">
        <v>45982</v>
      </c>
      <c r="G8" s="4">
        <v>192</v>
      </c>
      <c r="H8" s="3">
        <v>45989</v>
      </c>
      <c r="I8" s="5">
        <v>42.48</v>
      </c>
      <c r="J8" s="2" t="s">
        <v>15</v>
      </c>
      <c r="K8" s="2" t="s">
        <v>526</v>
      </c>
    </row>
    <row r="9" spans="1:18" hidden="1" outlineLevel="1" x14ac:dyDescent="0.3">
      <c r="A9" s="2" t="s">
        <v>10</v>
      </c>
      <c r="B9" s="2" t="s">
        <v>34</v>
      </c>
      <c r="C9" s="2" t="s">
        <v>35</v>
      </c>
      <c r="D9" s="2" t="s">
        <v>36</v>
      </c>
      <c r="E9" s="2" t="s">
        <v>14</v>
      </c>
      <c r="F9" s="3">
        <v>45982</v>
      </c>
      <c r="G9" s="4">
        <v>192</v>
      </c>
      <c r="H9" s="3">
        <v>45989</v>
      </c>
      <c r="I9" s="5">
        <v>42.48</v>
      </c>
      <c r="J9" s="2" t="s">
        <v>15</v>
      </c>
      <c r="K9" s="2" t="s">
        <v>526</v>
      </c>
    </row>
    <row r="10" spans="1:18" hidden="1" outlineLevel="1" x14ac:dyDescent="0.3">
      <c r="A10" s="2" t="s">
        <v>10</v>
      </c>
      <c r="B10" s="2" t="s">
        <v>37</v>
      </c>
      <c r="C10" s="2" t="s">
        <v>38</v>
      </c>
      <c r="D10" s="2" t="s">
        <v>39</v>
      </c>
      <c r="E10" s="2" t="s">
        <v>14</v>
      </c>
      <c r="F10" s="3">
        <v>45982</v>
      </c>
      <c r="G10" s="4">
        <v>192</v>
      </c>
      <c r="H10" s="3">
        <v>45989</v>
      </c>
      <c r="I10" s="5">
        <v>14.16</v>
      </c>
      <c r="J10" s="2" t="s">
        <v>15</v>
      </c>
      <c r="K10" s="2" t="s">
        <v>526</v>
      </c>
    </row>
    <row r="11" spans="1:18" hidden="1" outlineLevel="1" x14ac:dyDescent="0.3">
      <c r="A11" s="2" t="s">
        <v>10</v>
      </c>
      <c r="B11" s="2" t="s">
        <v>40</v>
      </c>
      <c r="C11" s="2" t="s">
        <v>41</v>
      </c>
      <c r="D11" s="2" t="s">
        <v>42</v>
      </c>
      <c r="E11" s="2" t="s">
        <v>14</v>
      </c>
      <c r="F11" s="3">
        <v>45983</v>
      </c>
      <c r="G11" s="4">
        <v>191</v>
      </c>
      <c r="H11" s="3">
        <v>45990</v>
      </c>
      <c r="I11" s="5">
        <v>28.32</v>
      </c>
      <c r="J11" s="2" t="s">
        <v>15</v>
      </c>
      <c r="K11" s="2" t="s">
        <v>526</v>
      </c>
    </row>
    <row r="12" spans="1:18" hidden="1" outlineLevel="1" x14ac:dyDescent="0.3">
      <c r="A12" s="2" t="s">
        <v>10</v>
      </c>
      <c r="B12" s="2" t="s">
        <v>43</v>
      </c>
      <c r="C12" s="2" t="s">
        <v>44</v>
      </c>
      <c r="D12" s="2" t="s">
        <v>45</v>
      </c>
      <c r="E12" s="2" t="s">
        <v>14</v>
      </c>
      <c r="F12" s="3">
        <v>45988</v>
      </c>
      <c r="G12" s="4">
        <v>186</v>
      </c>
      <c r="H12" s="3">
        <v>45995</v>
      </c>
      <c r="I12" s="5">
        <v>14.16</v>
      </c>
      <c r="J12" s="2" t="s">
        <v>15</v>
      </c>
      <c r="K12" s="2" t="s">
        <v>526</v>
      </c>
    </row>
    <row r="13" spans="1:18" hidden="1" outlineLevel="1" x14ac:dyDescent="0.3">
      <c r="A13" s="2" t="s">
        <v>10</v>
      </c>
      <c r="B13" s="2" t="s">
        <v>46</v>
      </c>
      <c r="C13" s="2" t="s">
        <v>47</v>
      </c>
      <c r="D13" s="2" t="s">
        <v>48</v>
      </c>
      <c r="E13" s="2" t="s">
        <v>14</v>
      </c>
      <c r="F13" s="3">
        <v>46028</v>
      </c>
      <c r="G13" s="4">
        <v>146</v>
      </c>
      <c r="H13" s="3">
        <v>46035</v>
      </c>
      <c r="I13" s="5">
        <v>14.16</v>
      </c>
      <c r="J13" s="2" t="s">
        <v>15</v>
      </c>
      <c r="K13" s="2" t="s">
        <v>526</v>
      </c>
    </row>
    <row r="14" spans="1:18" hidden="1" outlineLevel="1" x14ac:dyDescent="0.3">
      <c r="A14" s="2" t="s">
        <v>10</v>
      </c>
      <c r="B14" s="2" t="s">
        <v>49</v>
      </c>
      <c r="C14" s="2" t="s">
        <v>50</v>
      </c>
      <c r="D14" s="2" t="s">
        <v>51</v>
      </c>
      <c r="E14" s="2" t="s">
        <v>14</v>
      </c>
      <c r="F14" s="3">
        <v>46030</v>
      </c>
      <c r="G14" s="4">
        <v>144</v>
      </c>
      <c r="H14" s="3">
        <v>46037</v>
      </c>
      <c r="I14" s="5">
        <v>14.16</v>
      </c>
      <c r="J14" s="2" t="s">
        <v>15</v>
      </c>
      <c r="K14" s="2" t="s">
        <v>526</v>
      </c>
    </row>
    <row r="15" spans="1:18" hidden="1" outlineLevel="1" x14ac:dyDescent="0.3">
      <c r="A15" s="2" t="s">
        <v>10</v>
      </c>
      <c r="B15" s="2" t="s">
        <v>52</v>
      </c>
      <c r="C15" s="2" t="s">
        <v>53</v>
      </c>
      <c r="D15" s="2" t="s">
        <v>54</v>
      </c>
      <c r="E15" s="2" t="s">
        <v>14</v>
      </c>
      <c r="F15" s="3">
        <v>46032</v>
      </c>
      <c r="G15" s="4">
        <v>142</v>
      </c>
      <c r="H15" s="3">
        <v>46039</v>
      </c>
      <c r="I15" s="5">
        <v>14.16</v>
      </c>
      <c r="J15" s="2" t="s">
        <v>15</v>
      </c>
      <c r="K15" s="2" t="s">
        <v>526</v>
      </c>
    </row>
    <row r="16" spans="1:18" hidden="1" outlineLevel="1" x14ac:dyDescent="0.3">
      <c r="A16" s="2" t="s">
        <v>10</v>
      </c>
      <c r="B16" s="2" t="s">
        <v>55</v>
      </c>
      <c r="C16" s="2" t="s">
        <v>56</v>
      </c>
      <c r="D16" s="2" t="s">
        <v>57</v>
      </c>
      <c r="E16" s="2" t="s">
        <v>14</v>
      </c>
      <c r="F16" s="3">
        <v>46038</v>
      </c>
      <c r="G16" s="4">
        <v>136</v>
      </c>
      <c r="H16" s="3">
        <v>46045</v>
      </c>
      <c r="I16" s="5">
        <v>14.16</v>
      </c>
      <c r="J16" s="2" t="s">
        <v>15</v>
      </c>
      <c r="K16" s="2" t="s">
        <v>526</v>
      </c>
    </row>
    <row r="17" spans="1:17" hidden="1" outlineLevel="1" x14ac:dyDescent="0.3">
      <c r="A17" s="2" t="s">
        <v>10</v>
      </c>
      <c r="B17" s="2" t="s">
        <v>58</v>
      </c>
      <c r="C17" s="2" t="s">
        <v>59</v>
      </c>
      <c r="D17" s="2" t="s">
        <v>60</v>
      </c>
      <c r="E17" s="2" t="s">
        <v>14</v>
      </c>
      <c r="F17" s="3">
        <v>46038</v>
      </c>
      <c r="G17" s="4">
        <v>136</v>
      </c>
      <c r="H17" s="3">
        <v>46045</v>
      </c>
      <c r="I17" s="5">
        <v>14.16</v>
      </c>
      <c r="J17" s="2" t="s">
        <v>15</v>
      </c>
      <c r="K17" s="2" t="s">
        <v>526</v>
      </c>
    </row>
    <row r="18" spans="1:17" hidden="1" outlineLevel="1" x14ac:dyDescent="0.3">
      <c r="A18" s="2" t="s">
        <v>10</v>
      </c>
      <c r="B18" s="2" t="s">
        <v>61</v>
      </c>
      <c r="C18" s="2" t="s">
        <v>62</v>
      </c>
      <c r="D18" s="2" t="s">
        <v>63</v>
      </c>
      <c r="E18" s="2" t="s">
        <v>14</v>
      </c>
      <c r="F18" s="3">
        <v>46041</v>
      </c>
      <c r="G18" s="4">
        <v>133</v>
      </c>
      <c r="H18" s="3">
        <v>46048</v>
      </c>
      <c r="I18" s="5">
        <v>14.16</v>
      </c>
      <c r="J18" s="2" t="s">
        <v>15</v>
      </c>
      <c r="K18" s="2" t="s">
        <v>526</v>
      </c>
    </row>
    <row r="19" spans="1:17" outlineLevel="1" x14ac:dyDescent="0.3">
      <c r="A19" s="2" t="s">
        <v>64</v>
      </c>
      <c r="B19" s="2" t="s">
        <v>65</v>
      </c>
      <c r="C19" s="2" t="s">
        <v>66</v>
      </c>
      <c r="D19" s="2" t="s">
        <v>67</v>
      </c>
      <c r="E19" s="2" t="s">
        <v>68</v>
      </c>
      <c r="F19" s="3">
        <v>46164</v>
      </c>
      <c r="G19" s="4">
        <v>17</v>
      </c>
      <c r="H19" s="3">
        <v>46164</v>
      </c>
      <c r="I19" s="5">
        <v>109650</v>
      </c>
      <c r="J19" s="2" t="s">
        <v>69</v>
      </c>
      <c r="K19" s="2" t="s">
        <v>531</v>
      </c>
      <c r="L19" s="15">
        <f>F19+45</f>
        <v>46209</v>
      </c>
      <c r="M19" s="17">
        <f ca="1">TODAY()-N19</f>
        <v>-28</v>
      </c>
      <c r="N19" s="15">
        <v>46209</v>
      </c>
      <c r="O19" s="25">
        <v>46209</v>
      </c>
      <c r="P19" s="26">
        <f>I19</f>
        <v>109650</v>
      </c>
      <c r="Q19" s="17">
        <f ca="1">TODAY()-F19</f>
        <v>17</v>
      </c>
    </row>
    <row r="20" spans="1:17" outlineLevel="1" x14ac:dyDescent="0.3">
      <c r="A20" s="2" t="s">
        <v>64</v>
      </c>
      <c r="B20" s="2" t="s">
        <v>70</v>
      </c>
      <c r="C20" s="2" t="s">
        <v>71</v>
      </c>
      <c r="D20" s="2" t="s">
        <v>72</v>
      </c>
      <c r="E20" s="2" t="s">
        <v>73</v>
      </c>
      <c r="F20" s="3">
        <v>46168</v>
      </c>
      <c r="G20" s="6">
        <v>-32</v>
      </c>
      <c r="H20" s="3">
        <v>46213</v>
      </c>
      <c r="I20" s="5">
        <v>156600</v>
      </c>
      <c r="J20" s="2" t="s">
        <v>69</v>
      </c>
      <c r="K20" s="2" t="s">
        <v>531</v>
      </c>
      <c r="L20" s="15">
        <f t="shared" ref="L20:L23" si="0">F20+45</f>
        <v>46213</v>
      </c>
      <c r="M20" s="17">
        <f t="shared" ref="M20:M23" ca="1" si="1">TODAY()-N20</f>
        <v>-32</v>
      </c>
      <c r="N20" s="15">
        <v>46213</v>
      </c>
      <c r="O20" s="25">
        <f t="shared" ref="O20:O22" si="2">H20</f>
        <v>46213</v>
      </c>
      <c r="P20" s="26">
        <f t="shared" ref="P20:P23" si="3">I20</f>
        <v>156600</v>
      </c>
      <c r="Q20" s="17">
        <f t="shared" ref="Q20:Q23" ca="1" si="4">TODAY()-F20</f>
        <v>13</v>
      </c>
    </row>
    <row r="21" spans="1:17" outlineLevel="1" x14ac:dyDescent="0.3">
      <c r="A21" s="2" t="s">
        <v>64</v>
      </c>
      <c r="B21" s="2" t="s">
        <v>74</v>
      </c>
      <c r="C21" s="2" t="s">
        <v>75</v>
      </c>
      <c r="D21" s="2" t="s">
        <v>76</v>
      </c>
      <c r="E21" s="2" t="s">
        <v>77</v>
      </c>
      <c r="F21" s="3">
        <v>46169</v>
      </c>
      <c r="G21" s="4">
        <v>0</v>
      </c>
      <c r="H21" s="3">
        <v>46173</v>
      </c>
      <c r="I21" s="7">
        <v>-30220</v>
      </c>
      <c r="J21" s="2" t="s">
        <v>69</v>
      </c>
      <c r="K21" s="2" t="s">
        <v>531</v>
      </c>
      <c r="L21" s="15">
        <f t="shared" si="0"/>
        <v>46214</v>
      </c>
      <c r="M21" s="17">
        <f t="shared" ca="1" si="1"/>
        <v>46181</v>
      </c>
      <c r="N21" s="15"/>
      <c r="O21" s="25">
        <f t="shared" si="2"/>
        <v>46173</v>
      </c>
      <c r="P21" s="26">
        <f t="shared" si="3"/>
        <v>-30220</v>
      </c>
      <c r="Q21" s="17">
        <f t="shared" ca="1" si="4"/>
        <v>12</v>
      </c>
    </row>
    <row r="22" spans="1:17" outlineLevel="1" x14ac:dyDescent="0.3">
      <c r="A22" s="2" t="s">
        <v>64</v>
      </c>
      <c r="B22" s="2" t="s">
        <v>78</v>
      </c>
      <c r="C22" s="2" t="s">
        <v>79</v>
      </c>
      <c r="D22" s="2" t="s">
        <v>80</v>
      </c>
      <c r="E22" s="2" t="s">
        <v>73</v>
      </c>
      <c r="F22" s="3">
        <v>46171</v>
      </c>
      <c r="G22" s="6">
        <v>-35</v>
      </c>
      <c r="H22" s="3">
        <v>46216</v>
      </c>
      <c r="I22" s="5">
        <v>234900</v>
      </c>
      <c r="J22" s="2" t="s">
        <v>69</v>
      </c>
      <c r="K22" s="2" t="s">
        <v>531</v>
      </c>
      <c r="L22" s="15">
        <f t="shared" si="0"/>
        <v>46216</v>
      </c>
      <c r="M22" s="17">
        <f t="shared" ca="1" si="1"/>
        <v>-35</v>
      </c>
      <c r="N22" s="15">
        <v>46216</v>
      </c>
      <c r="O22" s="25">
        <f t="shared" si="2"/>
        <v>46216</v>
      </c>
      <c r="P22" s="26">
        <f t="shared" si="3"/>
        <v>234900</v>
      </c>
      <c r="Q22" s="17">
        <f t="shared" ca="1" si="4"/>
        <v>10</v>
      </c>
    </row>
    <row r="23" spans="1:17" outlineLevel="1" x14ac:dyDescent="0.3">
      <c r="A23" s="2" t="s">
        <v>64</v>
      </c>
      <c r="B23" s="2" t="s">
        <v>81</v>
      </c>
      <c r="C23" s="2" t="s">
        <v>82</v>
      </c>
      <c r="D23" s="2" t="s">
        <v>83</v>
      </c>
      <c r="E23" s="2" t="s">
        <v>68</v>
      </c>
      <c r="F23" s="3">
        <v>46171</v>
      </c>
      <c r="G23" s="4">
        <v>10</v>
      </c>
      <c r="H23" s="3">
        <v>46171</v>
      </c>
      <c r="I23" s="5">
        <v>336990</v>
      </c>
      <c r="J23" s="2" t="s">
        <v>69</v>
      </c>
      <c r="K23" s="2" t="s">
        <v>531</v>
      </c>
      <c r="L23" s="15">
        <f t="shared" si="0"/>
        <v>46216</v>
      </c>
      <c r="M23" s="17">
        <f t="shared" ca="1" si="1"/>
        <v>-35</v>
      </c>
      <c r="N23" s="15">
        <v>46216</v>
      </c>
      <c r="O23" s="25">
        <v>46216</v>
      </c>
      <c r="P23" s="26">
        <f t="shared" si="3"/>
        <v>336990</v>
      </c>
      <c r="Q23" s="17">
        <f t="shared" ca="1" si="4"/>
        <v>10</v>
      </c>
    </row>
    <row r="24" spans="1:17" hidden="1" outlineLevel="1" x14ac:dyDescent="0.3">
      <c r="A24" s="2" t="s">
        <v>84</v>
      </c>
      <c r="B24" s="2" t="s">
        <v>85</v>
      </c>
      <c r="C24" s="2" t="s">
        <v>86</v>
      </c>
      <c r="D24" s="2" t="s">
        <v>87</v>
      </c>
      <c r="E24" s="2" t="s">
        <v>88</v>
      </c>
      <c r="F24" s="3">
        <v>46159</v>
      </c>
      <c r="G24" s="4">
        <v>15</v>
      </c>
      <c r="H24" s="3">
        <v>46166</v>
      </c>
      <c r="I24" s="5">
        <v>365.8</v>
      </c>
      <c r="J24" s="2" t="s">
        <v>15</v>
      </c>
      <c r="K24" s="2" t="s">
        <v>526</v>
      </c>
    </row>
    <row r="25" spans="1:17" hidden="1" outlineLevel="1" x14ac:dyDescent="0.3">
      <c r="A25" s="2" t="s">
        <v>84</v>
      </c>
      <c r="B25" s="2" t="s">
        <v>89</v>
      </c>
      <c r="C25" s="2" t="s">
        <v>90</v>
      </c>
      <c r="D25" s="2" t="s">
        <v>91</v>
      </c>
      <c r="E25" s="2" t="s">
        <v>88</v>
      </c>
      <c r="F25" s="3">
        <v>46159</v>
      </c>
      <c r="G25" s="4">
        <v>15</v>
      </c>
      <c r="H25" s="3">
        <v>46166</v>
      </c>
      <c r="I25" s="5">
        <v>47.2</v>
      </c>
      <c r="J25" s="2" t="s">
        <v>15</v>
      </c>
      <c r="K25" s="2" t="s">
        <v>526</v>
      </c>
    </row>
    <row r="26" spans="1:17" hidden="1" outlineLevel="1" x14ac:dyDescent="0.3">
      <c r="A26" s="2" t="s">
        <v>92</v>
      </c>
      <c r="B26" s="2" t="s">
        <v>93</v>
      </c>
      <c r="C26" s="2" t="s">
        <v>94</v>
      </c>
      <c r="D26" s="2" t="s">
        <v>95</v>
      </c>
      <c r="E26" s="2" t="s">
        <v>14</v>
      </c>
      <c r="F26" s="3">
        <v>46174</v>
      </c>
      <c r="G26" s="4">
        <v>0</v>
      </c>
      <c r="H26" s="3">
        <v>46181</v>
      </c>
      <c r="I26" s="5">
        <v>49.89</v>
      </c>
      <c r="J26" s="2" t="s">
        <v>15</v>
      </c>
      <c r="K26" s="2" t="s">
        <v>526</v>
      </c>
    </row>
    <row r="27" spans="1:17" hidden="1" outlineLevel="1" x14ac:dyDescent="0.3">
      <c r="A27" s="2" t="s">
        <v>92</v>
      </c>
      <c r="B27" s="2" t="s">
        <v>96</v>
      </c>
      <c r="C27" s="2" t="s">
        <v>97</v>
      </c>
      <c r="D27" s="2" t="s">
        <v>98</v>
      </c>
      <c r="E27" s="2" t="s">
        <v>14</v>
      </c>
      <c r="F27" s="3">
        <v>46174</v>
      </c>
      <c r="G27" s="4">
        <v>0</v>
      </c>
      <c r="H27" s="3">
        <v>46181</v>
      </c>
      <c r="I27" s="5">
        <v>106.2</v>
      </c>
      <c r="J27" s="2" t="s">
        <v>15</v>
      </c>
      <c r="K27" s="2" t="s">
        <v>526</v>
      </c>
    </row>
    <row r="28" spans="1:17" hidden="1" outlineLevel="1" x14ac:dyDescent="0.3">
      <c r="A28" s="2" t="s">
        <v>92</v>
      </c>
      <c r="B28" s="2" t="s">
        <v>99</v>
      </c>
      <c r="C28" s="2" t="s">
        <v>100</v>
      </c>
      <c r="D28" s="2" t="s">
        <v>101</v>
      </c>
      <c r="E28" s="2" t="s">
        <v>14</v>
      </c>
      <c r="F28" s="3">
        <v>46176</v>
      </c>
      <c r="G28" s="6">
        <v>-2</v>
      </c>
      <c r="H28" s="3">
        <v>46183</v>
      </c>
      <c r="I28" s="5">
        <v>1061.58</v>
      </c>
      <c r="J28" s="2" t="s">
        <v>15</v>
      </c>
      <c r="K28" s="2" t="s">
        <v>526</v>
      </c>
    </row>
    <row r="29" spans="1:17" hidden="1" outlineLevel="1" x14ac:dyDescent="0.3">
      <c r="A29" s="2" t="s">
        <v>92</v>
      </c>
      <c r="B29" s="2" t="s">
        <v>102</v>
      </c>
      <c r="C29" s="2" t="s">
        <v>103</v>
      </c>
      <c r="D29" s="2" t="s">
        <v>104</v>
      </c>
      <c r="E29" s="2" t="s">
        <v>14</v>
      </c>
      <c r="F29" s="3">
        <v>46176</v>
      </c>
      <c r="G29" s="6">
        <v>-2</v>
      </c>
      <c r="H29" s="3">
        <v>46183</v>
      </c>
      <c r="I29" s="5">
        <v>460.2</v>
      </c>
      <c r="J29" s="2" t="s">
        <v>15</v>
      </c>
      <c r="K29" s="2" t="s">
        <v>526</v>
      </c>
    </row>
    <row r="30" spans="1:17" hidden="1" outlineLevel="1" x14ac:dyDescent="0.3">
      <c r="A30" s="2" t="s">
        <v>92</v>
      </c>
      <c r="B30" s="2" t="s">
        <v>105</v>
      </c>
      <c r="C30" s="2" t="s">
        <v>106</v>
      </c>
      <c r="D30" s="2" t="s">
        <v>107</v>
      </c>
      <c r="E30" s="2" t="s">
        <v>14</v>
      </c>
      <c r="F30" s="3">
        <v>46177</v>
      </c>
      <c r="G30" s="4">
        <v>4</v>
      </c>
      <c r="H30" s="3">
        <v>46177</v>
      </c>
      <c r="I30" s="5">
        <v>699.79</v>
      </c>
      <c r="J30" s="2" t="s">
        <v>15</v>
      </c>
      <c r="K30" s="2" t="s">
        <v>526</v>
      </c>
    </row>
    <row r="31" spans="1:17" hidden="1" outlineLevel="1" x14ac:dyDescent="0.3">
      <c r="A31" s="2" t="s">
        <v>92</v>
      </c>
      <c r="B31" s="2" t="s">
        <v>108</v>
      </c>
      <c r="C31" s="2" t="s">
        <v>109</v>
      </c>
      <c r="D31" s="2" t="s">
        <v>110</v>
      </c>
      <c r="E31" s="2" t="s">
        <v>14</v>
      </c>
      <c r="F31" s="3">
        <v>46177</v>
      </c>
      <c r="G31" s="4">
        <v>4</v>
      </c>
      <c r="H31" s="3">
        <v>46177</v>
      </c>
      <c r="I31" s="5">
        <v>247.8</v>
      </c>
      <c r="J31" s="2" t="s">
        <v>15</v>
      </c>
      <c r="K31" s="2" t="s">
        <v>526</v>
      </c>
    </row>
    <row r="32" spans="1:17" hidden="1" outlineLevel="1" x14ac:dyDescent="0.3">
      <c r="A32" s="2" t="s">
        <v>92</v>
      </c>
      <c r="B32" s="2" t="s">
        <v>111</v>
      </c>
      <c r="C32" s="2" t="s">
        <v>112</v>
      </c>
      <c r="D32" s="2" t="s">
        <v>113</v>
      </c>
      <c r="E32" s="2" t="s">
        <v>14</v>
      </c>
      <c r="F32" s="3">
        <v>46177</v>
      </c>
      <c r="G32" s="6">
        <v>-3</v>
      </c>
      <c r="H32" s="3">
        <v>46184</v>
      </c>
      <c r="I32" s="5">
        <v>360.14</v>
      </c>
      <c r="J32" s="2" t="s">
        <v>15</v>
      </c>
      <c r="K32" s="2" t="s">
        <v>526</v>
      </c>
    </row>
    <row r="33" spans="1:17" hidden="1" outlineLevel="1" x14ac:dyDescent="0.3">
      <c r="A33" s="2" t="s">
        <v>92</v>
      </c>
      <c r="B33" s="2" t="s">
        <v>114</v>
      </c>
      <c r="C33" s="2" t="s">
        <v>115</v>
      </c>
      <c r="D33" s="2" t="s">
        <v>116</v>
      </c>
      <c r="E33" s="2" t="s">
        <v>14</v>
      </c>
      <c r="F33" s="3">
        <v>46177</v>
      </c>
      <c r="G33" s="6">
        <v>-3</v>
      </c>
      <c r="H33" s="3">
        <v>46184</v>
      </c>
      <c r="I33" s="5">
        <v>141.6</v>
      </c>
      <c r="J33" s="2" t="s">
        <v>15</v>
      </c>
      <c r="K33" s="2" t="s">
        <v>526</v>
      </c>
    </row>
    <row r="34" spans="1:17" outlineLevel="1" x14ac:dyDescent="0.3">
      <c r="A34" s="2" t="s">
        <v>117</v>
      </c>
      <c r="B34" s="2" t="s">
        <v>118</v>
      </c>
      <c r="C34" s="2" t="s">
        <v>119</v>
      </c>
      <c r="D34" s="2" t="s">
        <v>120</v>
      </c>
      <c r="E34" s="2" t="s">
        <v>73</v>
      </c>
      <c r="F34" s="3">
        <v>46159</v>
      </c>
      <c r="G34" s="6">
        <v>-23</v>
      </c>
      <c r="H34" s="3">
        <v>46204</v>
      </c>
      <c r="I34" s="5">
        <v>28150</v>
      </c>
      <c r="J34" s="2" t="s">
        <v>69</v>
      </c>
      <c r="K34" s="2" t="s">
        <v>531</v>
      </c>
      <c r="L34" s="15">
        <f t="shared" ref="L34:L35" si="5">F34+45</f>
        <v>46204</v>
      </c>
      <c r="M34" s="17">
        <f t="shared" ref="M34:M35" ca="1" si="6">TODAY()-N34</f>
        <v>-23</v>
      </c>
      <c r="N34" s="15">
        <v>46204</v>
      </c>
      <c r="O34" s="25">
        <f t="shared" ref="O34:O35" si="7">H34</f>
        <v>46204</v>
      </c>
      <c r="P34" s="26">
        <f t="shared" ref="P34:P35" si="8">I34</f>
        <v>28150</v>
      </c>
      <c r="Q34" s="17">
        <f t="shared" ref="Q34:Q35" ca="1" si="9">TODAY()-F34</f>
        <v>22</v>
      </c>
    </row>
    <row r="35" spans="1:17" outlineLevel="1" x14ac:dyDescent="0.3">
      <c r="A35" s="2" t="s">
        <v>117</v>
      </c>
      <c r="B35" s="2" t="s">
        <v>121</v>
      </c>
      <c r="C35" s="2" t="s">
        <v>122</v>
      </c>
      <c r="D35" s="2" t="s">
        <v>123</v>
      </c>
      <c r="E35" s="2" t="s">
        <v>68</v>
      </c>
      <c r="F35" s="3">
        <v>46159</v>
      </c>
      <c r="G35" s="4">
        <v>22</v>
      </c>
      <c r="H35" s="3">
        <v>46159</v>
      </c>
      <c r="I35" s="5">
        <v>6821</v>
      </c>
      <c r="J35" s="2" t="s">
        <v>69</v>
      </c>
      <c r="K35" s="2" t="s">
        <v>531</v>
      </c>
      <c r="L35" s="15">
        <f t="shared" si="5"/>
        <v>46204</v>
      </c>
      <c r="M35" s="17">
        <f t="shared" ca="1" si="6"/>
        <v>-23</v>
      </c>
      <c r="N35" s="15">
        <v>46204</v>
      </c>
      <c r="O35" s="25">
        <f t="shared" si="7"/>
        <v>46159</v>
      </c>
      <c r="P35" s="26">
        <f t="shared" si="8"/>
        <v>6821</v>
      </c>
      <c r="Q35" s="17">
        <f t="shared" ca="1" si="9"/>
        <v>22</v>
      </c>
    </row>
    <row r="36" spans="1:17" hidden="1" outlineLevel="1" x14ac:dyDescent="0.3">
      <c r="A36" s="2" t="s">
        <v>124</v>
      </c>
      <c r="B36" s="2" t="s">
        <v>125</v>
      </c>
      <c r="C36" s="2" t="s">
        <v>126</v>
      </c>
      <c r="D36" s="2" t="s">
        <v>127</v>
      </c>
      <c r="E36" s="2" t="s">
        <v>88</v>
      </c>
      <c r="F36" s="3">
        <v>46172</v>
      </c>
      <c r="G36" s="4">
        <v>9</v>
      </c>
      <c r="H36" s="3">
        <v>46172</v>
      </c>
      <c r="I36" s="5">
        <v>278.72000000000003</v>
      </c>
      <c r="J36" s="2" t="s">
        <v>15</v>
      </c>
      <c r="K36" s="2" t="s">
        <v>526</v>
      </c>
    </row>
    <row r="37" spans="1:17" hidden="1" outlineLevel="1" x14ac:dyDescent="0.3">
      <c r="A37" s="2" t="s">
        <v>124</v>
      </c>
      <c r="B37" s="2" t="s">
        <v>128</v>
      </c>
      <c r="C37" s="2" t="s">
        <v>129</v>
      </c>
      <c r="D37" s="2" t="s">
        <v>130</v>
      </c>
      <c r="E37" s="2" t="s">
        <v>88</v>
      </c>
      <c r="F37" s="3">
        <v>46172</v>
      </c>
      <c r="G37" s="4">
        <v>9</v>
      </c>
      <c r="H37" s="3">
        <v>46172</v>
      </c>
      <c r="I37" s="5">
        <v>47.2</v>
      </c>
      <c r="J37" s="2" t="s">
        <v>15</v>
      </c>
      <c r="K37" s="2" t="s">
        <v>526</v>
      </c>
    </row>
    <row r="38" spans="1:17" hidden="1" outlineLevel="1" x14ac:dyDescent="0.3">
      <c r="A38" s="2" t="s">
        <v>124</v>
      </c>
      <c r="B38" s="2" t="s">
        <v>131</v>
      </c>
      <c r="C38" s="2" t="s">
        <v>132</v>
      </c>
      <c r="D38" s="2" t="s">
        <v>133</v>
      </c>
      <c r="E38" s="2" t="s">
        <v>88</v>
      </c>
      <c r="F38" s="3">
        <v>46174</v>
      </c>
      <c r="G38" s="4">
        <v>7</v>
      </c>
      <c r="H38" s="3">
        <v>46174</v>
      </c>
      <c r="I38" s="5">
        <v>303.26</v>
      </c>
      <c r="J38" s="2" t="s">
        <v>15</v>
      </c>
      <c r="K38" s="2" t="s">
        <v>526</v>
      </c>
    </row>
    <row r="39" spans="1:17" hidden="1" outlineLevel="1" x14ac:dyDescent="0.3">
      <c r="A39" s="2" t="s">
        <v>124</v>
      </c>
      <c r="B39" s="2" t="s">
        <v>134</v>
      </c>
      <c r="C39" s="2" t="s">
        <v>135</v>
      </c>
      <c r="D39" s="2" t="s">
        <v>136</v>
      </c>
      <c r="E39" s="2" t="s">
        <v>88</v>
      </c>
      <c r="F39" s="3">
        <v>46174</v>
      </c>
      <c r="G39" s="4">
        <v>7</v>
      </c>
      <c r="H39" s="3">
        <v>46174</v>
      </c>
      <c r="I39" s="5">
        <v>47.2</v>
      </c>
      <c r="J39" s="2" t="s">
        <v>15</v>
      </c>
      <c r="K39" s="2" t="s">
        <v>526</v>
      </c>
    </row>
    <row r="40" spans="1:17" hidden="1" outlineLevel="1" x14ac:dyDescent="0.3">
      <c r="A40" s="2" t="s">
        <v>124</v>
      </c>
      <c r="B40" s="2" t="s">
        <v>137</v>
      </c>
      <c r="C40" s="2" t="s">
        <v>138</v>
      </c>
      <c r="D40" s="2" t="s">
        <v>139</v>
      </c>
      <c r="E40" s="2" t="s">
        <v>88</v>
      </c>
      <c r="F40" s="3">
        <v>46176</v>
      </c>
      <c r="G40" s="6">
        <v>-2</v>
      </c>
      <c r="H40" s="3">
        <v>46183</v>
      </c>
      <c r="I40" s="5">
        <v>316.48</v>
      </c>
      <c r="J40" s="2" t="s">
        <v>15</v>
      </c>
      <c r="K40" s="2" t="s">
        <v>526</v>
      </c>
    </row>
    <row r="41" spans="1:17" hidden="1" outlineLevel="1" x14ac:dyDescent="0.3">
      <c r="A41" s="2" t="s">
        <v>124</v>
      </c>
      <c r="B41" s="2" t="s">
        <v>140</v>
      </c>
      <c r="C41" s="2" t="s">
        <v>141</v>
      </c>
      <c r="D41" s="2" t="s">
        <v>142</v>
      </c>
      <c r="E41" s="2" t="s">
        <v>88</v>
      </c>
      <c r="F41" s="3">
        <v>46176</v>
      </c>
      <c r="G41" s="6">
        <v>-2</v>
      </c>
      <c r="H41" s="3">
        <v>46183</v>
      </c>
      <c r="I41" s="5">
        <v>47.2</v>
      </c>
      <c r="J41" s="2" t="s">
        <v>15</v>
      </c>
      <c r="K41" s="2" t="s">
        <v>526</v>
      </c>
    </row>
    <row r="42" spans="1:17" outlineLevel="1" x14ac:dyDescent="0.3">
      <c r="A42" s="2" t="s">
        <v>143</v>
      </c>
      <c r="B42" s="2" t="s">
        <v>144</v>
      </c>
      <c r="C42" s="2" t="s">
        <v>145</v>
      </c>
      <c r="D42" s="2" t="s">
        <v>146</v>
      </c>
      <c r="E42" s="2" t="s">
        <v>68</v>
      </c>
      <c r="F42" s="3">
        <v>46139</v>
      </c>
      <c r="G42" s="4">
        <v>42</v>
      </c>
      <c r="H42" s="3">
        <v>46139</v>
      </c>
      <c r="I42" s="5">
        <v>311070</v>
      </c>
      <c r="J42" s="2" t="s">
        <v>69</v>
      </c>
      <c r="K42" s="2" t="s">
        <v>531</v>
      </c>
      <c r="L42" s="15">
        <f t="shared" ref="L42:L49" si="10">F42+45</f>
        <v>46184</v>
      </c>
      <c r="M42" s="17">
        <f t="shared" ref="M42:M49" ca="1" si="11">TODAY()-N42</f>
        <v>-3</v>
      </c>
      <c r="N42" s="15">
        <v>46184</v>
      </c>
      <c r="O42" s="25">
        <v>46184</v>
      </c>
      <c r="P42" s="26">
        <f t="shared" ref="P42:P49" si="12">I42</f>
        <v>311070</v>
      </c>
      <c r="Q42" s="17">
        <f t="shared" ref="Q42:Q49" ca="1" si="13">TODAY()-F42</f>
        <v>42</v>
      </c>
    </row>
    <row r="43" spans="1:17" outlineLevel="1" x14ac:dyDescent="0.3">
      <c r="A43" s="2" t="s">
        <v>147</v>
      </c>
      <c r="B43" s="2" t="s">
        <v>148</v>
      </c>
      <c r="C43" s="2" t="s">
        <v>149</v>
      </c>
      <c r="D43" s="2" t="s">
        <v>150</v>
      </c>
      <c r="E43" s="2" t="s">
        <v>68</v>
      </c>
      <c r="F43" s="3">
        <v>46158</v>
      </c>
      <c r="G43" s="4">
        <v>23</v>
      </c>
      <c r="H43" s="3">
        <v>46158</v>
      </c>
      <c r="I43" s="5">
        <v>37935</v>
      </c>
      <c r="J43" s="2" t="s">
        <v>69</v>
      </c>
      <c r="K43" s="2" t="s">
        <v>531</v>
      </c>
      <c r="L43" s="15">
        <f t="shared" si="10"/>
        <v>46203</v>
      </c>
      <c r="M43" s="17">
        <f t="shared" ca="1" si="11"/>
        <v>-22</v>
      </c>
      <c r="N43" s="15">
        <v>46203</v>
      </c>
      <c r="O43" s="25">
        <v>46203</v>
      </c>
      <c r="P43" s="26">
        <f t="shared" si="12"/>
        <v>37935</v>
      </c>
      <c r="Q43" s="17">
        <f t="shared" ca="1" si="13"/>
        <v>23</v>
      </c>
    </row>
    <row r="44" spans="1:17" outlineLevel="1" x14ac:dyDescent="0.3">
      <c r="A44" s="2" t="s">
        <v>151</v>
      </c>
      <c r="B44" s="2" t="s">
        <v>153</v>
      </c>
      <c r="C44" s="2" t="s">
        <v>154</v>
      </c>
      <c r="D44" s="2" t="s">
        <v>155</v>
      </c>
      <c r="E44" s="2" t="s">
        <v>68</v>
      </c>
      <c r="F44" s="3">
        <v>46124</v>
      </c>
      <c r="G44" s="4">
        <v>57</v>
      </c>
      <c r="H44" s="3">
        <v>46124</v>
      </c>
      <c r="I44" s="5">
        <v>16355.92</v>
      </c>
      <c r="J44" s="2" t="s">
        <v>69</v>
      </c>
      <c r="K44" s="2" t="s">
        <v>531</v>
      </c>
      <c r="L44" s="15">
        <f t="shared" si="10"/>
        <v>46169</v>
      </c>
      <c r="M44" s="17">
        <f t="shared" ca="1" si="11"/>
        <v>-7</v>
      </c>
      <c r="N44" s="15">
        <v>46188</v>
      </c>
      <c r="O44" s="25">
        <v>46188</v>
      </c>
      <c r="P44" s="26">
        <f t="shared" si="12"/>
        <v>16355.92</v>
      </c>
      <c r="Q44" s="17">
        <f t="shared" ca="1" si="13"/>
        <v>57</v>
      </c>
    </row>
    <row r="45" spans="1:17" outlineLevel="1" x14ac:dyDescent="0.3">
      <c r="A45" s="2" t="s">
        <v>151</v>
      </c>
      <c r="B45" s="2" t="s">
        <v>156</v>
      </c>
      <c r="C45" s="2" t="s">
        <v>157</v>
      </c>
      <c r="D45" s="2" t="s">
        <v>158</v>
      </c>
      <c r="E45" s="2" t="s">
        <v>73</v>
      </c>
      <c r="F45" s="3">
        <v>46164</v>
      </c>
      <c r="G45" s="6">
        <v>-28</v>
      </c>
      <c r="H45" s="3">
        <v>46209</v>
      </c>
      <c r="I45" s="5">
        <v>60536</v>
      </c>
      <c r="J45" s="2" t="s">
        <v>69</v>
      </c>
      <c r="K45" s="2" t="s">
        <v>531</v>
      </c>
      <c r="L45" s="15">
        <f t="shared" si="10"/>
        <v>46209</v>
      </c>
      <c r="M45" s="17">
        <f t="shared" ca="1" si="11"/>
        <v>-28</v>
      </c>
      <c r="N45" s="15">
        <v>46209</v>
      </c>
      <c r="O45" s="25">
        <f t="shared" ref="O45:O49" si="14">H45</f>
        <v>46209</v>
      </c>
      <c r="P45" s="26">
        <f t="shared" si="12"/>
        <v>60536</v>
      </c>
      <c r="Q45" s="17">
        <f t="shared" ca="1" si="13"/>
        <v>17</v>
      </c>
    </row>
    <row r="46" spans="1:17" outlineLevel="1" x14ac:dyDescent="0.3">
      <c r="A46" s="2" t="s">
        <v>151</v>
      </c>
      <c r="B46" s="2" t="s">
        <v>159</v>
      </c>
      <c r="C46" s="2" t="s">
        <v>160</v>
      </c>
      <c r="D46" s="2" t="s">
        <v>161</v>
      </c>
      <c r="E46" s="2" t="s">
        <v>73</v>
      </c>
      <c r="F46" s="3">
        <v>46168</v>
      </c>
      <c r="G46" s="6">
        <v>-32</v>
      </c>
      <c r="H46" s="3">
        <v>46213</v>
      </c>
      <c r="I46" s="5">
        <v>74100</v>
      </c>
      <c r="J46" s="2" t="s">
        <v>69</v>
      </c>
      <c r="K46" s="2" t="s">
        <v>531</v>
      </c>
      <c r="L46" s="15">
        <f t="shared" si="10"/>
        <v>46213</v>
      </c>
      <c r="M46" s="17">
        <f t="shared" ca="1" si="11"/>
        <v>-32</v>
      </c>
      <c r="N46" s="15">
        <v>46213</v>
      </c>
      <c r="O46" s="25">
        <f t="shared" si="14"/>
        <v>46213</v>
      </c>
      <c r="P46" s="26">
        <f t="shared" si="12"/>
        <v>74100</v>
      </c>
      <c r="Q46" s="17">
        <f t="shared" ca="1" si="13"/>
        <v>13</v>
      </c>
    </row>
    <row r="47" spans="1:17" outlineLevel="1" x14ac:dyDescent="0.3">
      <c r="A47" s="2" t="s">
        <v>162</v>
      </c>
      <c r="B47" s="2" t="s">
        <v>163</v>
      </c>
      <c r="C47" s="2" t="s">
        <v>164</v>
      </c>
      <c r="D47" s="2" t="s">
        <v>165</v>
      </c>
      <c r="E47" s="2" t="s">
        <v>68</v>
      </c>
      <c r="F47" s="3">
        <v>46139</v>
      </c>
      <c r="G47" s="4">
        <v>42</v>
      </c>
      <c r="H47" s="3">
        <v>46139</v>
      </c>
      <c r="I47" s="5">
        <v>19830</v>
      </c>
      <c r="J47" s="2" t="s">
        <v>69</v>
      </c>
      <c r="K47" s="2" t="s">
        <v>531</v>
      </c>
      <c r="L47" s="15">
        <f t="shared" si="10"/>
        <v>46184</v>
      </c>
      <c r="M47" s="17">
        <f t="shared" ca="1" si="11"/>
        <v>-3</v>
      </c>
      <c r="N47" s="15">
        <v>46184</v>
      </c>
      <c r="O47" s="25">
        <v>46184</v>
      </c>
      <c r="P47" s="26">
        <f t="shared" si="12"/>
        <v>19830</v>
      </c>
      <c r="Q47" s="17">
        <f t="shared" ca="1" si="13"/>
        <v>42</v>
      </c>
    </row>
    <row r="48" spans="1:17" outlineLevel="1" x14ac:dyDescent="0.3">
      <c r="A48" s="2" t="s">
        <v>162</v>
      </c>
      <c r="B48" s="2" t="s">
        <v>166</v>
      </c>
      <c r="C48" s="2" t="s">
        <v>167</v>
      </c>
      <c r="D48" s="2" t="s">
        <v>168</v>
      </c>
      <c r="E48" s="2" t="s">
        <v>68</v>
      </c>
      <c r="F48" s="3">
        <v>46141</v>
      </c>
      <c r="G48" s="4">
        <v>40</v>
      </c>
      <c r="H48" s="3">
        <v>46141</v>
      </c>
      <c r="I48" s="5">
        <v>36040</v>
      </c>
      <c r="J48" s="2" t="s">
        <v>69</v>
      </c>
      <c r="K48" s="2" t="s">
        <v>531</v>
      </c>
      <c r="L48" s="15">
        <f t="shared" si="10"/>
        <v>46186</v>
      </c>
      <c r="M48" s="17">
        <f t="shared" ca="1" si="11"/>
        <v>-5</v>
      </c>
      <c r="N48" s="15">
        <v>46186</v>
      </c>
      <c r="O48" s="25">
        <v>46186</v>
      </c>
      <c r="P48" s="26">
        <f t="shared" si="12"/>
        <v>36040</v>
      </c>
      <c r="Q48" s="17">
        <f t="shared" ca="1" si="13"/>
        <v>40</v>
      </c>
    </row>
    <row r="49" spans="1:17" outlineLevel="1" x14ac:dyDescent="0.3">
      <c r="A49" s="2" t="s">
        <v>162</v>
      </c>
      <c r="B49" s="2" t="s">
        <v>169</v>
      </c>
      <c r="C49" s="2" t="s">
        <v>170</v>
      </c>
      <c r="D49" s="2" t="s">
        <v>171</v>
      </c>
      <c r="E49" s="2" t="s">
        <v>73</v>
      </c>
      <c r="F49" s="3">
        <v>46159</v>
      </c>
      <c r="G49" s="6">
        <v>-23</v>
      </c>
      <c r="H49" s="3">
        <v>46204</v>
      </c>
      <c r="I49" s="5">
        <v>53812.5</v>
      </c>
      <c r="J49" s="2" t="s">
        <v>69</v>
      </c>
      <c r="K49" s="2" t="s">
        <v>531</v>
      </c>
      <c r="L49" s="15">
        <f t="shared" si="10"/>
        <v>46204</v>
      </c>
      <c r="M49" s="17">
        <f t="shared" ca="1" si="11"/>
        <v>-23</v>
      </c>
      <c r="N49" s="15">
        <v>46204</v>
      </c>
      <c r="O49" s="25">
        <f t="shared" si="14"/>
        <v>46204</v>
      </c>
      <c r="P49" s="26">
        <f t="shared" si="12"/>
        <v>53812.5</v>
      </c>
      <c r="Q49" s="17">
        <f t="shared" ca="1" si="13"/>
        <v>22</v>
      </c>
    </row>
    <row r="50" spans="1:17" hidden="1" outlineLevel="1" x14ac:dyDescent="0.3">
      <c r="A50" s="2" t="s">
        <v>172</v>
      </c>
      <c r="B50" s="2" t="s">
        <v>173</v>
      </c>
      <c r="C50" s="2" t="s">
        <v>174</v>
      </c>
      <c r="D50" s="2" t="s">
        <v>175</v>
      </c>
      <c r="E50" s="2" t="s">
        <v>14</v>
      </c>
      <c r="F50" s="3">
        <v>46174</v>
      </c>
      <c r="G50" s="4">
        <v>0</v>
      </c>
      <c r="H50" s="3">
        <v>46181</v>
      </c>
      <c r="I50" s="5">
        <v>442.41</v>
      </c>
      <c r="J50" s="2" t="s">
        <v>15</v>
      </c>
      <c r="K50" s="2" t="s">
        <v>526</v>
      </c>
    </row>
    <row r="51" spans="1:17" hidden="1" outlineLevel="1" x14ac:dyDescent="0.3">
      <c r="A51" s="2" t="s">
        <v>172</v>
      </c>
      <c r="B51" s="2" t="s">
        <v>176</v>
      </c>
      <c r="C51" s="2" t="s">
        <v>177</v>
      </c>
      <c r="D51" s="2" t="s">
        <v>178</v>
      </c>
      <c r="E51" s="2" t="s">
        <v>14</v>
      </c>
      <c r="F51" s="3">
        <v>46174</v>
      </c>
      <c r="G51" s="4">
        <v>0</v>
      </c>
      <c r="H51" s="3">
        <v>46181</v>
      </c>
      <c r="I51" s="5">
        <v>159.30000000000001</v>
      </c>
      <c r="J51" s="2" t="s">
        <v>15</v>
      </c>
      <c r="K51" s="2" t="s">
        <v>526</v>
      </c>
    </row>
    <row r="52" spans="1:17" hidden="1" outlineLevel="1" x14ac:dyDescent="0.3">
      <c r="A52" s="2" t="s">
        <v>172</v>
      </c>
      <c r="B52" s="2" t="s">
        <v>179</v>
      </c>
      <c r="C52" s="2" t="s">
        <v>180</v>
      </c>
      <c r="D52" s="2" t="s">
        <v>181</v>
      </c>
      <c r="E52" s="2" t="s">
        <v>14</v>
      </c>
      <c r="F52" s="3">
        <v>46174</v>
      </c>
      <c r="G52" s="4">
        <v>0</v>
      </c>
      <c r="H52" s="3">
        <v>46181</v>
      </c>
      <c r="I52" s="5">
        <v>991.2</v>
      </c>
      <c r="J52" s="2" t="s">
        <v>15</v>
      </c>
      <c r="K52" s="2" t="s">
        <v>526</v>
      </c>
    </row>
    <row r="53" spans="1:17" hidden="1" outlineLevel="1" x14ac:dyDescent="0.3">
      <c r="A53" s="2" t="s">
        <v>172</v>
      </c>
      <c r="B53" s="2" t="s">
        <v>182</v>
      </c>
      <c r="C53" s="2" t="s">
        <v>183</v>
      </c>
      <c r="D53" s="2" t="s">
        <v>184</v>
      </c>
      <c r="E53" s="2" t="s">
        <v>14</v>
      </c>
      <c r="F53" s="3">
        <v>46174</v>
      </c>
      <c r="G53" s="4">
        <v>0</v>
      </c>
      <c r="H53" s="3">
        <v>46181</v>
      </c>
      <c r="I53" s="5">
        <v>106.2</v>
      </c>
      <c r="J53" s="2" t="s">
        <v>15</v>
      </c>
      <c r="K53" s="2" t="s">
        <v>526</v>
      </c>
    </row>
    <row r="54" spans="1:17" hidden="1" outlineLevel="1" x14ac:dyDescent="0.3">
      <c r="A54" s="2" t="s">
        <v>172</v>
      </c>
      <c r="B54" s="2" t="s">
        <v>185</v>
      </c>
      <c r="C54" s="2" t="s">
        <v>186</v>
      </c>
      <c r="D54" s="2" t="s">
        <v>187</v>
      </c>
      <c r="E54" s="2" t="s">
        <v>14</v>
      </c>
      <c r="F54" s="3">
        <v>46175</v>
      </c>
      <c r="G54" s="6">
        <v>-1</v>
      </c>
      <c r="H54" s="3">
        <v>46182</v>
      </c>
      <c r="I54" s="5">
        <v>70.8</v>
      </c>
      <c r="J54" s="2" t="s">
        <v>15</v>
      </c>
      <c r="K54" s="2" t="s">
        <v>526</v>
      </c>
    </row>
    <row r="55" spans="1:17" hidden="1" outlineLevel="1" x14ac:dyDescent="0.3">
      <c r="A55" s="2" t="s">
        <v>172</v>
      </c>
      <c r="B55" s="2" t="s">
        <v>188</v>
      </c>
      <c r="C55" s="2" t="s">
        <v>189</v>
      </c>
      <c r="D55" s="2" t="s">
        <v>190</v>
      </c>
      <c r="E55" s="2" t="s">
        <v>14</v>
      </c>
      <c r="F55" s="3">
        <v>46175</v>
      </c>
      <c r="G55" s="6">
        <v>-1</v>
      </c>
      <c r="H55" s="3">
        <v>46182</v>
      </c>
      <c r="I55" s="5">
        <v>316.24</v>
      </c>
      <c r="J55" s="2" t="s">
        <v>15</v>
      </c>
      <c r="K55" s="2" t="s">
        <v>526</v>
      </c>
    </row>
    <row r="56" spans="1:17" hidden="1" outlineLevel="1" x14ac:dyDescent="0.3">
      <c r="A56" s="2" t="s">
        <v>172</v>
      </c>
      <c r="B56" s="2" t="s">
        <v>191</v>
      </c>
      <c r="C56" s="2" t="s">
        <v>192</v>
      </c>
      <c r="D56" s="2" t="s">
        <v>193</v>
      </c>
      <c r="E56" s="2" t="s">
        <v>14</v>
      </c>
      <c r="F56" s="3">
        <v>46176</v>
      </c>
      <c r="G56" s="6">
        <v>-2</v>
      </c>
      <c r="H56" s="3">
        <v>46183</v>
      </c>
      <c r="I56" s="5">
        <v>1306.97</v>
      </c>
      <c r="J56" s="2" t="s">
        <v>15</v>
      </c>
      <c r="K56" s="2" t="s">
        <v>526</v>
      </c>
    </row>
    <row r="57" spans="1:17" hidden="1" outlineLevel="1" x14ac:dyDescent="0.3">
      <c r="A57" s="2" t="s">
        <v>172</v>
      </c>
      <c r="B57" s="2" t="s">
        <v>194</v>
      </c>
      <c r="C57" s="2" t="s">
        <v>195</v>
      </c>
      <c r="D57" s="2" t="s">
        <v>196</v>
      </c>
      <c r="E57" s="2" t="s">
        <v>14</v>
      </c>
      <c r="F57" s="3">
        <v>46176</v>
      </c>
      <c r="G57" s="6">
        <v>-2</v>
      </c>
      <c r="H57" s="3">
        <v>46183</v>
      </c>
      <c r="I57" s="5">
        <v>118</v>
      </c>
      <c r="J57" s="2" t="s">
        <v>15</v>
      </c>
      <c r="K57" s="2" t="s">
        <v>526</v>
      </c>
    </row>
    <row r="58" spans="1:17" hidden="1" outlineLevel="1" x14ac:dyDescent="0.3">
      <c r="A58" s="2" t="s">
        <v>172</v>
      </c>
      <c r="B58" s="2" t="s">
        <v>197</v>
      </c>
      <c r="C58" s="2" t="s">
        <v>198</v>
      </c>
      <c r="D58" s="2" t="s">
        <v>199</v>
      </c>
      <c r="E58" s="2" t="s">
        <v>14</v>
      </c>
      <c r="F58" s="3">
        <v>46177</v>
      </c>
      <c r="G58" s="6">
        <v>-3</v>
      </c>
      <c r="H58" s="3">
        <v>46184</v>
      </c>
      <c r="I58" s="5">
        <v>689.21</v>
      </c>
      <c r="J58" s="2" t="s">
        <v>15</v>
      </c>
      <c r="K58" s="2" t="s">
        <v>526</v>
      </c>
    </row>
    <row r="59" spans="1:17" hidden="1" outlineLevel="1" x14ac:dyDescent="0.3">
      <c r="A59" s="2" t="s">
        <v>172</v>
      </c>
      <c r="B59" s="2" t="s">
        <v>200</v>
      </c>
      <c r="C59" s="2" t="s">
        <v>201</v>
      </c>
      <c r="D59" s="2" t="s">
        <v>202</v>
      </c>
      <c r="E59" s="2" t="s">
        <v>14</v>
      </c>
      <c r="F59" s="3">
        <v>46177</v>
      </c>
      <c r="G59" s="6">
        <v>-3</v>
      </c>
      <c r="H59" s="3">
        <v>46184</v>
      </c>
      <c r="I59" s="5">
        <v>194.7</v>
      </c>
      <c r="J59" s="2" t="s">
        <v>15</v>
      </c>
      <c r="K59" s="2" t="s">
        <v>526</v>
      </c>
    </row>
    <row r="60" spans="1:17" hidden="1" outlineLevel="1" x14ac:dyDescent="0.3">
      <c r="A60" s="2" t="s">
        <v>172</v>
      </c>
      <c r="B60" s="2" t="s">
        <v>203</v>
      </c>
      <c r="C60" s="2" t="s">
        <v>204</v>
      </c>
      <c r="D60" s="2" t="s">
        <v>205</v>
      </c>
      <c r="E60" s="2" t="s">
        <v>14</v>
      </c>
      <c r="F60" s="3">
        <v>46177</v>
      </c>
      <c r="G60" s="6">
        <v>-3</v>
      </c>
      <c r="H60" s="3">
        <v>46184</v>
      </c>
      <c r="I60" s="5">
        <v>589.29</v>
      </c>
      <c r="J60" s="2" t="s">
        <v>15</v>
      </c>
      <c r="K60" s="2" t="s">
        <v>526</v>
      </c>
    </row>
    <row r="61" spans="1:17" hidden="1" outlineLevel="1" x14ac:dyDescent="0.3">
      <c r="A61" s="2" t="s">
        <v>172</v>
      </c>
      <c r="B61" s="2" t="s">
        <v>206</v>
      </c>
      <c r="C61" s="2" t="s">
        <v>207</v>
      </c>
      <c r="D61" s="2" t="s">
        <v>208</v>
      </c>
      <c r="E61" s="2" t="s">
        <v>14</v>
      </c>
      <c r="F61" s="3">
        <v>46177</v>
      </c>
      <c r="G61" s="6">
        <v>-3</v>
      </c>
      <c r="H61" s="3">
        <v>46184</v>
      </c>
      <c r="I61" s="5">
        <v>70.8</v>
      </c>
      <c r="J61" s="2" t="s">
        <v>15</v>
      </c>
      <c r="K61" s="2" t="s">
        <v>526</v>
      </c>
    </row>
    <row r="62" spans="1:17" hidden="1" outlineLevel="1" x14ac:dyDescent="0.3">
      <c r="A62" s="2" t="s">
        <v>172</v>
      </c>
      <c r="B62" s="2" t="s">
        <v>209</v>
      </c>
      <c r="C62" s="2" t="s">
        <v>210</v>
      </c>
      <c r="D62" s="2" t="s">
        <v>211</v>
      </c>
      <c r="E62" s="2" t="s">
        <v>14</v>
      </c>
      <c r="F62" s="3">
        <v>46177</v>
      </c>
      <c r="G62" s="6">
        <v>-3</v>
      </c>
      <c r="H62" s="3">
        <v>46184</v>
      </c>
      <c r="I62" s="5">
        <v>415.97</v>
      </c>
      <c r="J62" s="2" t="s">
        <v>15</v>
      </c>
      <c r="K62" s="2" t="s">
        <v>526</v>
      </c>
    </row>
    <row r="63" spans="1:17" hidden="1" outlineLevel="1" x14ac:dyDescent="0.3">
      <c r="A63" s="2" t="s">
        <v>172</v>
      </c>
      <c r="B63" s="2" t="s">
        <v>212</v>
      </c>
      <c r="C63" s="2" t="s">
        <v>213</v>
      </c>
      <c r="D63" s="2" t="s">
        <v>214</v>
      </c>
      <c r="E63" s="2" t="s">
        <v>14</v>
      </c>
      <c r="F63" s="3">
        <v>46177</v>
      </c>
      <c r="G63" s="6">
        <v>-3</v>
      </c>
      <c r="H63" s="3">
        <v>46184</v>
      </c>
      <c r="I63" s="5">
        <v>135.69999999999999</v>
      </c>
      <c r="J63" s="2" t="s">
        <v>15</v>
      </c>
      <c r="K63" s="2" t="s">
        <v>526</v>
      </c>
    </row>
    <row r="64" spans="1:17" hidden="1" outlineLevel="1" x14ac:dyDescent="0.3">
      <c r="A64" s="2" t="s">
        <v>172</v>
      </c>
      <c r="B64" s="2" t="s">
        <v>215</v>
      </c>
      <c r="C64" s="2" t="s">
        <v>216</v>
      </c>
      <c r="D64" s="2" t="s">
        <v>217</v>
      </c>
      <c r="E64" s="2" t="s">
        <v>14</v>
      </c>
      <c r="F64" s="3">
        <v>46181</v>
      </c>
      <c r="G64" s="6">
        <v>-7</v>
      </c>
      <c r="H64" s="3">
        <v>46188</v>
      </c>
      <c r="I64" s="5">
        <v>352.54</v>
      </c>
      <c r="J64" s="2" t="s">
        <v>15</v>
      </c>
      <c r="K64" s="2" t="s">
        <v>526</v>
      </c>
    </row>
    <row r="65" spans="1:17" hidden="1" outlineLevel="1" x14ac:dyDescent="0.3">
      <c r="A65" s="2" t="s">
        <v>172</v>
      </c>
      <c r="B65" s="2" t="s">
        <v>218</v>
      </c>
      <c r="C65" s="2" t="s">
        <v>219</v>
      </c>
      <c r="D65" s="2" t="s">
        <v>220</v>
      </c>
      <c r="E65" s="2" t="s">
        <v>14</v>
      </c>
      <c r="F65" s="3">
        <v>46181</v>
      </c>
      <c r="G65" s="6">
        <v>-7</v>
      </c>
      <c r="H65" s="3">
        <v>46188</v>
      </c>
      <c r="I65" s="5">
        <v>153.4</v>
      </c>
      <c r="J65" s="2" t="s">
        <v>15</v>
      </c>
      <c r="K65" s="2" t="s">
        <v>526</v>
      </c>
    </row>
    <row r="66" spans="1:17" outlineLevel="1" x14ac:dyDescent="0.3">
      <c r="A66" s="2" t="s">
        <v>221</v>
      </c>
      <c r="B66" s="2" t="s">
        <v>222</v>
      </c>
      <c r="C66" s="2" t="s">
        <v>223</v>
      </c>
      <c r="D66" s="2" t="s">
        <v>224</v>
      </c>
      <c r="E66" s="2" t="s">
        <v>77</v>
      </c>
      <c r="F66" s="3">
        <v>46168</v>
      </c>
      <c r="G66" s="4">
        <v>0</v>
      </c>
      <c r="H66" s="3">
        <v>46173</v>
      </c>
      <c r="I66" s="7">
        <v>-34580</v>
      </c>
      <c r="J66" s="2" t="s">
        <v>69</v>
      </c>
      <c r="K66" s="2" t="s">
        <v>531</v>
      </c>
      <c r="L66" s="15">
        <f t="shared" ref="L66:L88" si="15">F66+45</f>
        <v>46213</v>
      </c>
      <c r="M66" s="17">
        <f t="shared" ref="M66:M88" ca="1" si="16">TODAY()-N66</f>
        <v>46181</v>
      </c>
      <c r="N66" s="15"/>
      <c r="O66" s="25">
        <f t="shared" ref="O66:O88" si="17">H66</f>
        <v>46173</v>
      </c>
      <c r="P66" s="26">
        <f t="shared" ref="P66:P88" si="18">I66</f>
        <v>-34580</v>
      </c>
      <c r="Q66" s="17">
        <f t="shared" ref="Q66:Q88" ca="1" si="19">TODAY()-F66</f>
        <v>13</v>
      </c>
    </row>
    <row r="67" spans="1:17" outlineLevel="1" x14ac:dyDescent="0.3">
      <c r="A67" s="2" t="s">
        <v>225</v>
      </c>
      <c r="B67" s="2" t="s">
        <v>226</v>
      </c>
      <c r="C67" s="2" t="s">
        <v>227</v>
      </c>
      <c r="D67" s="2" t="s">
        <v>228</v>
      </c>
      <c r="E67" s="2" t="s">
        <v>68</v>
      </c>
      <c r="F67" s="3">
        <v>46140</v>
      </c>
      <c r="G67" s="4">
        <v>0</v>
      </c>
      <c r="H67" s="3">
        <v>46140</v>
      </c>
      <c r="I67" s="7">
        <v>-1504</v>
      </c>
      <c r="J67" s="2" t="s">
        <v>69</v>
      </c>
      <c r="K67" s="2" t="s">
        <v>531</v>
      </c>
      <c r="L67" s="15">
        <f t="shared" si="15"/>
        <v>46185</v>
      </c>
      <c r="M67" s="17">
        <f t="shared" ca="1" si="16"/>
        <v>46181</v>
      </c>
      <c r="N67" s="15"/>
      <c r="O67" s="25">
        <f t="shared" si="17"/>
        <v>46140</v>
      </c>
      <c r="P67" s="26">
        <f t="shared" si="18"/>
        <v>-1504</v>
      </c>
      <c r="Q67" s="17">
        <f t="shared" ca="1" si="19"/>
        <v>41</v>
      </c>
    </row>
    <row r="68" spans="1:17" outlineLevel="1" x14ac:dyDescent="0.3">
      <c r="A68" s="2" t="s">
        <v>225</v>
      </c>
      <c r="B68" s="2" t="s">
        <v>229</v>
      </c>
      <c r="C68" s="2" t="s">
        <v>230</v>
      </c>
      <c r="D68" s="2" t="s">
        <v>231</v>
      </c>
      <c r="E68" s="2" t="s">
        <v>77</v>
      </c>
      <c r="F68" s="3">
        <v>46155</v>
      </c>
      <c r="G68" s="4">
        <v>0</v>
      </c>
      <c r="H68" s="3">
        <v>46173</v>
      </c>
      <c r="I68" s="7">
        <v>-36370</v>
      </c>
      <c r="J68" s="2" t="s">
        <v>69</v>
      </c>
      <c r="K68" s="2" t="s">
        <v>531</v>
      </c>
      <c r="L68" s="15">
        <f t="shared" si="15"/>
        <v>46200</v>
      </c>
      <c r="M68" s="17">
        <f t="shared" ca="1" si="16"/>
        <v>46181</v>
      </c>
      <c r="N68" s="15"/>
      <c r="O68" s="25">
        <f t="shared" si="17"/>
        <v>46173</v>
      </c>
      <c r="P68" s="26">
        <f t="shared" si="18"/>
        <v>-36370</v>
      </c>
      <c r="Q68" s="17">
        <f t="shared" ca="1" si="19"/>
        <v>26</v>
      </c>
    </row>
    <row r="69" spans="1:17" outlineLevel="1" x14ac:dyDescent="0.3">
      <c r="A69" s="2" t="s">
        <v>232</v>
      </c>
      <c r="B69" s="2" t="s">
        <v>234</v>
      </c>
      <c r="C69" s="2" t="s">
        <v>235</v>
      </c>
      <c r="D69" s="2" t="s">
        <v>236</v>
      </c>
      <c r="E69" s="2" t="s">
        <v>73</v>
      </c>
      <c r="F69" s="3">
        <v>46154</v>
      </c>
      <c r="G69" s="6">
        <v>-18</v>
      </c>
      <c r="H69" s="3">
        <v>46199</v>
      </c>
      <c r="I69" s="5">
        <v>420417</v>
      </c>
      <c r="J69" s="2" t="s">
        <v>69</v>
      </c>
      <c r="K69" s="2" t="s">
        <v>531</v>
      </c>
      <c r="L69" s="15">
        <f t="shared" si="15"/>
        <v>46199</v>
      </c>
      <c r="M69" s="17">
        <f t="shared" ca="1" si="16"/>
        <v>-18</v>
      </c>
      <c r="N69" s="15">
        <v>46199</v>
      </c>
      <c r="O69" s="25">
        <f t="shared" si="17"/>
        <v>46199</v>
      </c>
      <c r="P69" s="26">
        <f t="shared" ref="P69:P80" si="20">I69*0.5</f>
        <v>210208.5</v>
      </c>
      <c r="Q69" s="17">
        <f t="shared" ca="1" si="19"/>
        <v>27</v>
      </c>
    </row>
    <row r="70" spans="1:17" outlineLevel="1" x14ac:dyDescent="0.3">
      <c r="A70" s="20" t="s">
        <v>232</v>
      </c>
      <c r="B70" s="20" t="s">
        <v>233</v>
      </c>
      <c r="C70" s="20" t="s">
        <v>235</v>
      </c>
      <c r="D70" s="20" t="s">
        <v>236</v>
      </c>
      <c r="E70" s="20" t="s">
        <v>73</v>
      </c>
      <c r="F70" s="21">
        <v>46154</v>
      </c>
      <c r="G70" s="22">
        <v>-18</v>
      </c>
      <c r="H70" s="21">
        <v>46199</v>
      </c>
      <c r="I70" s="23">
        <v>420417</v>
      </c>
      <c r="J70" s="20" t="s">
        <v>69</v>
      </c>
      <c r="K70" s="20" t="s">
        <v>531</v>
      </c>
      <c r="L70" s="21">
        <f t="shared" ref="L70" si="21">F70+45</f>
        <v>46199</v>
      </c>
      <c r="M70" s="24">
        <f t="shared" ref="M70" ca="1" si="22">TODAY()-N70</f>
        <v>-18</v>
      </c>
      <c r="N70" s="21">
        <v>46199</v>
      </c>
      <c r="O70" s="27">
        <v>46183</v>
      </c>
      <c r="P70" s="28">
        <f t="shared" si="20"/>
        <v>210208.5</v>
      </c>
      <c r="Q70" s="24">
        <f t="shared" ref="Q70" ca="1" si="23">TODAY()-F70</f>
        <v>27</v>
      </c>
    </row>
    <row r="71" spans="1:17" outlineLevel="1" x14ac:dyDescent="0.3">
      <c r="A71" s="2" t="s">
        <v>232</v>
      </c>
      <c r="B71" s="2" t="s">
        <v>237</v>
      </c>
      <c r="C71" s="2" t="s">
        <v>238</v>
      </c>
      <c r="D71" s="2" t="s">
        <v>239</v>
      </c>
      <c r="E71" s="2" t="s">
        <v>73</v>
      </c>
      <c r="F71" s="3">
        <v>46164</v>
      </c>
      <c r="G71" s="6">
        <v>-28</v>
      </c>
      <c r="H71" s="3">
        <v>46209</v>
      </c>
      <c r="I71" s="5">
        <v>103806</v>
      </c>
      <c r="J71" s="2" t="s">
        <v>69</v>
      </c>
      <c r="K71" s="2" t="s">
        <v>531</v>
      </c>
      <c r="L71" s="15">
        <f t="shared" si="15"/>
        <v>46209</v>
      </c>
      <c r="M71" s="17">
        <f t="shared" ca="1" si="16"/>
        <v>-28</v>
      </c>
      <c r="N71" s="15">
        <v>46209</v>
      </c>
      <c r="O71" s="25">
        <f t="shared" si="17"/>
        <v>46209</v>
      </c>
      <c r="P71" s="26">
        <f t="shared" si="20"/>
        <v>51903</v>
      </c>
      <c r="Q71" s="17">
        <f t="shared" ca="1" si="19"/>
        <v>17</v>
      </c>
    </row>
    <row r="72" spans="1:17" outlineLevel="1" x14ac:dyDescent="0.3">
      <c r="A72" s="20" t="s">
        <v>232</v>
      </c>
      <c r="B72" s="20" t="s">
        <v>233</v>
      </c>
      <c r="C72" s="20" t="s">
        <v>238</v>
      </c>
      <c r="D72" s="20" t="s">
        <v>239</v>
      </c>
      <c r="E72" s="20" t="s">
        <v>73</v>
      </c>
      <c r="F72" s="21">
        <v>46164</v>
      </c>
      <c r="G72" s="22">
        <v>-28</v>
      </c>
      <c r="H72" s="21">
        <v>46209</v>
      </c>
      <c r="I72" s="23">
        <v>103806</v>
      </c>
      <c r="J72" s="20" t="s">
        <v>69</v>
      </c>
      <c r="K72" s="20" t="s">
        <v>531</v>
      </c>
      <c r="L72" s="21">
        <f t="shared" ref="L72" si="24">F72+45</f>
        <v>46209</v>
      </c>
      <c r="M72" s="24">
        <f t="shared" ref="M72" ca="1" si="25">TODAY()-N72</f>
        <v>-28</v>
      </c>
      <c r="N72" s="21">
        <v>46209</v>
      </c>
      <c r="O72" s="27">
        <v>46183</v>
      </c>
      <c r="P72" s="28">
        <f t="shared" si="20"/>
        <v>51903</v>
      </c>
      <c r="Q72" s="24">
        <f t="shared" ref="Q72" ca="1" si="26">TODAY()-F72</f>
        <v>17</v>
      </c>
    </row>
    <row r="73" spans="1:17" outlineLevel="1" x14ac:dyDescent="0.3">
      <c r="A73" s="2" t="s">
        <v>232</v>
      </c>
      <c r="B73" s="2" t="s">
        <v>240</v>
      </c>
      <c r="C73" s="2" t="s">
        <v>241</v>
      </c>
      <c r="D73" s="2" t="s">
        <v>242</v>
      </c>
      <c r="E73" s="2" t="s">
        <v>73</v>
      </c>
      <c r="F73" s="3">
        <v>46166</v>
      </c>
      <c r="G73" s="6">
        <v>-30</v>
      </c>
      <c r="H73" s="3">
        <v>46211</v>
      </c>
      <c r="I73" s="5">
        <v>104872.5</v>
      </c>
      <c r="J73" s="2" t="s">
        <v>69</v>
      </c>
      <c r="K73" s="2" t="s">
        <v>531</v>
      </c>
      <c r="L73" s="15">
        <f t="shared" si="15"/>
        <v>46211</v>
      </c>
      <c r="M73" s="17">
        <f t="shared" ca="1" si="16"/>
        <v>-30</v>
      </c>
      <c r="N73" s="15">
        <v>46211</v>
      </c>
      <c r="O73" s="25">
        <f t="shared" si="17"/>
        <v>46211</v>
      </c>
      <c r="P73" s="26">
        <f t="shared" si="20"/>
        <v>52436.25</v>
      </c>
      <c r="Q73" s="17">
        <f t="shared" ca="1" si="19"/>
        <v>15</v>
      </c>
    </row>
    <row r="74" spans="1:17" outlineLevel="1" x14ac:dyDescent="0.3">
      <c r="A74" s="20" t="s">
        <v>232</v>
      </c>
      <c r="B74" s="20" t="s">
        <v>233</v>
      </c>
      <c r="C74" s="20" t="s">
        <v>241</v>
      </c>
      <c r="D74" s="20" t="s">
        <v>242</v>
      </c>
      <c r="E74" s="20" t="s">
        <v>73</v>
      </c>
      <c r="F74" s="21">
        <v>46166</v>
      </c>
      <c r="G74" s="22">
        <v>-30</v>
      </c>
      <c r="H74" s="21">
        <v>46211</v>
      </c>
      <c r="I74" s="23">
        <v>104872.5</v>
      </c>
      <c r="J74" s="20" t="s">
        <v>69</v>
      </c>
      <c r="K74" s="20" t="s">
        <v>531</v>
      </c>
      <c r="L74" s="21">
        <f t="shared" ref="L74" si="27">F74+45</f>
        <v>46211</v>
      </c>
      <c r="M74" s="24">
        <f t="shared" ref="M74" ca="1" si="28">TODAY()-N74</f>
        <v>-30</v>
      </c>
      <c r="N74" s="21">
        <v>46211</v>
      </c>
      <c r="O74" s="27">
        <v>46183</v>
      </c>
      <c r="P74" s="28">
        <f t="shared" si="20"/>
        <v>52436.25</v>
      </c>
      <c r="Q74" s="24">
        <f t="shared" ref="Q74" ca="1" si="29">TODAY()-F74</f>
        <v>15</v>
      </c>
    </row>
    <row r="75" spans="1:17" outlineLevel="1" x14ac:dyDescent="0.3">
      <c r="A75" s="2" t="s">
        <v>232</v>
      </c>
      <c r="B75" s="2" t="s">
        <v>243</v>
      </c>
      <c r="C75" s="2" t="s">
        <v>244</v>
      </c>
      <c r="D75" s="2" t="s">
        <v>245</v>
      </c>
      <c r="E75" s="2" t="s">
        <v>73</v>
      </c>
      <c r="F75" s="3">
        <v>46166</v>
      </c>
      <c r="G75" s="6">
        <v>-30</v>
      </c>
      <c r="H75" s="3">
        <v>46211</v>
      </c>
      <c r="I75" s="5">
        <v>421200</v>
      </c>
      <c r="J75" s="2" t="s">
        <v>69</v>
      </c>
      <c r="K75" s="2" t="s">
        <v>531</v>
      </c>
      <c r="L75" s="15">
        <f t="shared" si="15"/>
        <v>46211</v>
      </c>
      <c r="M75" s="17">
        <f t="shared" ca="1" si="16"/>
        <v>-30</v>
      </c>
      <c r="N75" s="15">
        <v>46211</v>
      </c>
      <c r="O75" s="25">
        <f t="shared" si="17"/>
        <v>46211</v>
      </c>
      <c r="P75" s="26">
        <f t="shared" si="20"/>
        <v>210600</v>
      </c>
      <c r="Q75" s="17">
        <f t="shared" ca="1" si="19"/>
        <v>15</v>
      </c>
    </row>
    <row r="76" spans="1:17" outlineLevel="1" x14ac:dyDescent="0.3">
      <c r="A76" s="20" t="s">
        <v>232</v>
      </c>
      <c r="B76" s="20" t="s">
        <v>233</v>
      </c>
      <c r="C76" s="20" t="s">
        <v>244</v>
      </c>
      <c r="D76" s="20" t="s">
        <v>245</v>
      </c>
      <c r="E76" s="20" t="s">
        <v>73</v>
      </c>
      <c r="F76" s="21">
        <v>46166</v>
      </c>
      <c r="G76" s="22">
        <v>-30</v>
      </c>
      <c r="H76" s="21">
        <v>46211</v>
      </c>
      <c r="I76" s="23">
        <v>421200</v>
      </c>
      <c r="J76" s="20" t="s">
        <v>69</v>
      </c>
      <c r="K76" s="20" t="s">
        <v>531</v>
      </c>
      <c r="L76" s="21">
        <f t="shared" ref="L76" si="30">F76+45</f>
        <v>46211</v>
      </c>
      <c r="M76" s="24">
        <f t="shared" ref="M76" ca="1" si="31">TODAY()-N76</f>
        <v>-30</v>
      </c>
      <c r="N76" s="21">
        <v>46211</v>
      </c>
      <c r="O76" s="27">
        <v>46183</v>
      </c>
      <c r="P76" s="28">
        <f t="shared" si="20"/>
        <v>210600</v>
      </c>
      <c r="Q76" s="24">
        <f t="shared" ref="Q76" ca="1" si="32">TODAY()-F76</f>
        <v>15</v>
      </c>
    </row>
    <row r="77" spans="1:17" outlineLevel="1" x14ac:dyDescent="0.3">
      <c r="A77" s="2" t="s">
        <v>232</v>
      </c>
      <c r="B77" s="2" t="s">
        <v>246</v>
      </c>
      <c r="C77" s="2" t="s">
        <v>247</v>
      </c>
      <c r="D77" s="2" t="s">
        <v>248</v>
      </c>
      <c r="E77" s="2" t="s">
        <v>73</v>
      </c>
      <c r="F77" s="3">
        <v>46171</v>
      </c>
      <c r="G77" s="6">
        <v>-35</v>
      </c>
      <c r="H77" s="3">
        <v>46216</v>
      </c>
      <c r="I77" s="5">
        <v>104161.5</v>
      </c>
      <c r="J77" s="2" t="s">
        <v>69</v>
      </c>
      <c r="K77" s="2" t="s">
        <v>531</v>
      </c>
      <c r="L77" s="15">
        <f t="shared" si="15"/>
        <v>46216</v>
      </c>
      <c r="M77" s="17">
        <f t="shared" ca="1" si="16"/>
        <v>-35</v>
      </c>
      <c r="N77" s="15">
        <v>46216</v>
      </c>
      <c r="O77" s="25">
        <f t="shared" si="17"/>
        <v>46216</v>
      </c>
      <c r="P77" s="26">
        <f t="shared" si="20"/>
        <v>52080.75</v>
      </c>
      <c r="Q77" s="17">
        <f t="shared" ca="1" si="19"/>
        <v>10</v>
      </c>
    </row>
    <row r="78" spans="1:17" outlineLevel="1" x14ac:dyDescent="0.3">
      <c r="A78" s="20" t="s">
        <v>232</v>
      </c>
      <c r="B78" s="20" t="s">
        <v>233</v>
      </c>
      <c r="C78" s="20" t="s">
        <v>247</v>
      </c>
      <c r="D78" s="20" t="s">
        <v>248</v>
      </c>
      <c r="E78" s="20" t="s">
        <v>73</v>
      </c>
      <c r="F78" s="21">
        <v>46171</v>
      </c>
      <c r="G78" s="22">
        <v>-35</v>
      </c>
      <c r="H78" s="21">
        <v>46216</v>
      </c>
      <c r="I78" s="23">
        <v>104161.5</v>
      </c>
      <c r="J78" s="20" t="s">
        <v>69</v>
      </c>
      <c r="K78" s="20" t="s">
        <v>531</v>
      </c>
      <c r="L78" s="21">
        <f t="shared" ref="L78:L79" si="33">F78+45</f>
        <v>46216</v>
      </c>
      <c r="M78" s="24">
        <f t="shared" ref="M78:M79" ca="1" si="34">TODAY()-N78</f>
        <v>-35</v>
      </c>
      <c r="N78" s="21">
        <v>46216</v>
      </c>
      <c r="O78" s="27">
        <f>F78+15</f>
        <v>46186</v>
      </c>
      <c r="P78" s="28">
        <f t="shared" si="20"/>
        <v>52080.75</v>
      </c>
      <c r="Q78" s="24">
        <f t="shared" ref="Q78:Q79" ca="1" si="35">TODAY()-F78</f>
        <v>10</v>
      </c>
    </row>
    <row r="79" spans="1:17" outlineLevel="1" x14ac:dyDescent="0.3">
      <c r="A79" s="2" t="s">
        <v>232</v>
      </c>
      <c r="B79" s="2" t="s">
        <v>233</v>
      </c>
      <c r="C79" s="2" t="s">
        <v>250</v>
      </c>
      <c r="D79" s="2" t="s">
        <v>251</v>
      </c>
      <c r="E79" s="2" t="s">
        <v>73</v>
      </c>
      <c r="F79" s="3">
        <v>46171</v>
      </c>
      <c r="G79" s="6">
        <v>-35</v>
      </c>
      <c r="H79" s="3">
        <v>46216</v>
      </c>
      <c r="I79" s="5">
        <v>105300</v>
      </c>
      <c r="J79" s="2" t="s">
        <v>69</v>
      </c>
      <c r="K79" s="2" t="s">
        <v>531</v>
      </c>
      <c r="L79" s="15">
        <f t="shared" si="33"/>
        <v>46216</v>
      </c>
      <c r="M79" s="17">
        <f t="shared" ca="1" si="34"/>
        <v>-35</v>
      </c>
      <c r="N79" s="15">
        <v>46216</v>
      </c>
      <c r="O79" s="25">
        <f t="shared" ref="O78:O79" si="36">H79</f>
        <v>46216</v>
      </c>
      <c r="P79" s="26">
        <f t="shared" si="20"/>
        <v>52650</v>
      </c>
      <c r="Q79" s="17">
        <f t="shared" ca="1" si="35"/>
        <v>10</v>
      </c>
    </row>
    <row r="80" spans="1:17" outlineLevel="1" x14ac:dyDescent="0.3">
      <c r="A80" s="20" t="s">
        <v>232</v>
      </c>
      <c r="B80" s="20" t="s">
        <v>249</v>
      </c>
      <c r="C80" s="20" t="s">
        <v>250</v>
      </c>
      <c r="D80" s="20" t="s">
        <v>251</v>
      </c>
      <c r="E80" s="20" t="s">
        <v>73</v>
      </c>
      <c r="F80" s="21">
        <v>46171</v>
      </c>
      <c r="G80" s="22">
        <v>-35</v>
      </c>
      <c r="H80" s="21">
        <v>46216</v>
      </c>
      <c r="I80" s="23">
        <v>105300</v>
      </c>
      <c r="J80" s="20" t="s">
        <v>69</v>
      </c>
      <c r="K80" s="20" t="s">
        <v>531</v>
      </c>
      <c r="L80" s="21">
        <f t="shared" si="15"/>
        <v>46216</v>
      </c>
      <c r="M80" s="24">
        <f t="shared" ca="1" si="16"/>
        <v>-35</v>
      </c>
      <c r="N80" s="21">
        <v>46216</v>
      </c>
      <c r="O80" s="27">
        <f>F80+15</f>
        <v>46186</v>
      </c>
      <c r="P80" s="28">
        <f t="shared" si="20"/>
        <v>52650</v>
      </c>
      <c r="Q80" s="24">
        <f t="shared" ca="1" si="19"/>
        <v>10</v>
      </c>
    </row>
    <row r="81" spans="1:17" outlineLevel="1" x14ac:dyDescent="0.3">
      <c r="A81" s="2" t="s">
        <v>252</v>
      </c>
      <c r="B81" s="2" t="s">
        <v>253</v>
      </c>
      <c r="C81" s="2" t="s">
        <v>254</v>
      </c>
      <c r="D81" s="2" t="s">
        <v>255</v>
      </c>
      <c r="E81" s="2" t="s">
        <v>68</v>
      </c>
      <c r="F81" s="3">
        <v>46166</v>
      </c>
      <c r="G81" s="4">
        <v>15</v>
      </c>
      <c r="H81" s="3">
        <v>46166</v>
      </c>
      <c r="I81" s="5">
        <v>212594</v>
      </c>
      <c r="J81" s="2" t="s">
        <v>69</v>
      </c>
      <c r="K81" s="2" t="s">
        <v>531</v>
      </c>
      <c r="L81" s="15">
        <f t="shared" si="15"/>
        <v>46211</v>
      </c>
      <c r="M81" s="17">
        <f t="shared" ca="1" si="16"/>
        <v>-30</v>
      </c>
      <c r="N81" s="15">
        <v>46211</v>
      </c>
      <c r="O81" s="25">
        <v>46211</v>
      </c>
      <c r="P81" s="26">
        <f t="shared" si="18"/>
        <v>212594</v>
      </c>
      <c r="Q81" s="17">
        <f t="shared" ca="1" si="19"/>
        <v>15</v>
      </c>
    </row>
    <row r="82" spans="1:17" outlineLevel="1" x14ac:dyDescent="0.3">
      <c r="A82" s="2" t="s">
        <v>252</v>
      </c>
      <c r="B82" s="2" t="s">
        <v>256</v>
      </c>
      <c r="C82" s="2" t="s">
        <v>257</v>
      </c>
      <c r="D82" s="2" t="s">
        <v>258</v>
      </c>
      <c r="E82" s="2" t="s">
        <v>73</v>
      </c>
      <c r="F82" s="3">
        <v>46171</v>
      </c>
      <c r="G82" s="6">
        <v>-35</v>
      </c>
      <c r="H82" s="3">
        <v>46216</v>
      </c>
      <c r="I82" s="5">
        <v>54540</v>
      </c>
      <c r="J82" s="2" t="s">
        <v>69</v>
      </c>
      <c r="K82" s="2" t="s">
        <v>531</v>
      </c>
      <c r="L82" s="15">
        <f t="shared" si="15"/>
        <v>46216</v>
      </c>
      <c r="M82" s="17">
        <f t="shared" ca="1" si="16"/>
        <v>-35</v>
      </c>
      <c r="N82" s="15">
        <v>46216</v>
      </c>
      <c r="O82" s="25">
        <f t="shared" si="17"/>
        <v>46216</v>
      </c>
      <c r="P82" s="26">
        <f t="shared" si="18"/>
        <v>54540</v>
      </c>
      <c r="Q82" s="17">
        <f t="shared" ca="1" si="19"/>
        <v>10</v>
      </c>
    </row>
    <row r="83" spans="1:17" outlineLevel="1" x14ac:dyDescent="0.3">
      <c r="A83" s="2" t="s">
        <v>259</v>
      </c>
      <c r="B83" s="2" t="s">
        <v>260</v>
      </c>
      <c r="C83" s="2" t="s">
        <v>261</v>
      </c>
      <c r="D83" s="2" t="s">
        <v>262</v>
      </c>
      <c r="E83" s="2" t="s">
        <v>68</v>
      </c>
      <c r="F83" s="3">
        <v>46138</v>
      </c>
      <c r="G83" s="4">
        <v>0</v>
      </c>
      <c r="H83" s="3">
        <v>46138</v>
      </c>
      <c r="I83" s="7">
        <v>-4560</v>
      </c>
      <c r="J83" s="2" t="s">
        <v>69</v>
      </c>
      <c r="K83" s="2" t="s">
        <v>531</v>
      </c>
      <c r="L83" s="15">
        <f t="shared" si="15"/>
        <v>46183</v>
      </c>
      <c r="M83" s="17">
        <f t="shared" ca="1" si="16"/>
        <v>46181</v>
      </c>
      <c r="N83" s="15"/>
      <c r="O83" s="25">
        <f t="shared" si="17"/>
        <v>46138</v>
      </c>
      <c r="P83" s="26">
        <f t="shared" si="18"/>
        <v>-4560</v>
      </c>
      <c r="Q83" s="17">
        <f t="shared" ca="1" si="19"/>
        <v>43</v>
      </c>
    </row>
    <row r="84" spans="1:17" outlineLevel="1" x14ac:dyDescent="0.3">
      <c r="A84" s="2" t="s">
        <v>259</v>
      </c>
      <c r="B84" s="2" t="s">
        <v>263</v>
      </c>
      <c r="C84" s="2" t="s">
        <v>264</v>
      </c>
      <c r="D84" s="2" t="s">
        <v>265</v>
      </c>
      <c r="E84" s="2" t="s">
        <v>73</v>
      </c>
      <c r="F84" s="3">
        <v>46141</v>
      </c>
      <c r="G84" s="6">
        <v>-5</v>
      </c>
      <c r="H84" s="3">
        <v>46186</v>
      </c>
      <c r="I84" s="5">
        <v>396900</v>
      </c>
      <c r="J84" s="2" t="s">
        <v>69</v>
      </c>
      <c r="K84" s="2" t="s">
        <v>531</v>
      </c>
      <c r="L84" s="15">
        <f t="shared" si="15"/>
        <v>46186</v>
      </c>
      <c r="M84" s="17">
        <f t="shared" ca="1" si="16"/>
        <v>-5</v>
      </c>
      <c r="N84" s="15">
        <v>46186</v>
      </c>
      <c r="O84" s="25">
        <f t="shared" si="17"/>
        <v>46186</v>
      </c>
      <c r="P84" s="26">
        <f t="shared" si="18"/>
        <v>396900</v>
      </c>
      <c r="Q84" s="17">
        <f t="shared" ca="1" si="19"/>
        <v>40</v>
      </c>
    </row>
    <row r="85" spans="1:17" outlineLevel="1" x14ac:dyDescent="0.3">
      <c r="A85" s="2" t="s">
        <v>259</v>
      </c>
      <c r="B85" s="2" t="s">
        <v>266</v>
      </c>
      <c r="C85" s="2" t="s">
        <v>267</v>
      </c>
      <c r="D85" s="2" t="s">
        <v>268</v>
      </c>
      <c r="E85" s="2" t="s">
        <v>73</v>
      </c>
      <c r="F85" s="3">
        <v>46159</v>
      </c>
      <c r="G85" s="6">
        <v>-23</v>
      </c>
      <c r="H85" s="3">
        <v>46204</v>
      </c>
      <c r="I85" s="5">
        <v>113820</v>
      </c>
      <c r="J85" s="2" t="s">
        <v>69</v>
      </c>
      <c r="K85" s="2" t="s">
        <v>531</v>
      </c>
      <c r="L85" s="15">
        <f t="shared" si="15"/>
        <v>46204</v>
      </c>
      <c r="M85" s="17">
        <f t="shared" ca="1" si="16"/>
        <v>-23</v>
      </c>
      <c r="N85" s="15">
        <v>46204</v>
      </c>
      <c r="O85" s="25">
        <f t="shared" si="17"/>
        <v>46204</v>
      </c>
      <c r="P85" s="26">
        <f t="shared" si="18"/>
        <v>113820</v>
      </c>
      <c r="Q85" s="17">
        <f t="shared" ca="1" si="19"/>
        <v>22</v>
      </c>
    </row>
    <row r="86" spans="1:17" outlineLevel="1" x14ac:dyDescent="0.3">
      <c r="A86" s="2" t="s">
        <v>259</v>
      </c>
      <c r="B86" s="2" t="s">
        <v>269</v>
      </c>
      <c r="C86" s="2" t="s">
        <v>270</v>
      </c>
      <c r="D86" s="2" t="s">
        <v>271</v>
      </c>
      <c r="E86" s="2" t="s">
        <v>73</v>
      </c>
      <c r="F86" s="3">
        <v>46164</v>
      </c>
      <c r="G86" s="6">
        <v>-28</v>
      </c>
      <c r="H86" s="3">
        <v>46209</v>
      </c>
      <c r="I86" s="5">
        <v>56280</v>
      </c>
      <c r="J86" s="2" t="s">
        <v>69</v>
      </c>
      <c r="K86" s="2" t="s">
        <v>531</v>
      </c>
      <c r="L86" s="15">
        <f t="shared" si="15"/>
        <v>46209</v>
      </c>
      <c r="M86" s="17">
        <f t="shared" ca="1" si="16"/>
        <v>-28</v>
      </c>
      <c r="N86" s="15">
        <v>46209</v>
      </c>
      <c r="O86" s="25">
        <f t="shared" si="17"/>
        <v>46209</v>
      </c>
      <c r="P86" s="26">
        <f t="shared" si="18"/>
        <v>56280</v>
      </c>
      <c r="Q86" s="17">
        <f t="shared" ca="1" si="19"/>
        <v>17</v>
      </c>
    </row>
    <row r="87" spans="1:17" outlineLevel="1" x14ac:dyDescent="0.3">
      <c r="A87" s="2" t="s">
        <v>259</v>
      </c>
      <c r="B87" s="2" t="s">
        <v>272</v>
      </c>
      <c r="C87" s="2" t="s">
        <v>273</v>
      </c>
      <c r="D87" s="2" t="s">
        <v>274</v>
      </c>
      <c r="E87" s="2" t="s">
        <v>73</v>
      </c>
      <c r="F87" s="3">
        <v>46166</v>
      </c>
      <c r="G87" s="6">
        <v>-30</v>
      </c>
      <c r="H87" s="3">
        <v>46211</v>
      </c>
      <c r="I87" s="5">
        <v>113400</v>
      </c>
      <c r="J87" s="2" t="s">
        <v>69</v>
      </c>
      <c r="K87" s="2" t="s">
        <v>531</v>
      </c>
      <c r="L87" s="15">
        <f t="shared" si="15"/>
        <v>46211</v>
      </c>
      <c r="M87" s="17">
        <f t="shared" ca="1" si="16"/>
        <v>-30</v>
      </c>
      <c r="N87" s="15">
        <v>46211</v>
      </c>
      <c r="O87" s="25">
        <f t="shared" si="17"/>
        <v>46211</v>
      </c>
      <c r="P87" s="26">
        <f t="shared" si="18"/>
        <v>113400</v>
      </c>
      <c r="Q87" s="17">
        <f t="shared" ca="1" si="19"/>
        <v>15</v>
      </c>
    </row>
    <row r="88" spans="1:17" outlineLevel="1" x14ac:dyDescent="0.3">
      <c r="A88" s="2" t="s">
        <v>259</v>
      </c>
      <c r="B88" s="2" t="s">
        <v>275</v>
      </c>
      <c r="C88" s="2" t="s">
        <v>276</v>
      </c>
      <c r="D88" s="2" t="s">
        <v>277</v>
      </c>
      <c r="E88" s="2" t="s">
        <v>73</v>
      </c>
      <c r="F88" s="3">
        <v>46171</v>
      </c>
      <c r="G88" s="6">
        <v>-35</v>
      </c>
      <c r="H88" s="3">
        <v>46216</v>
      </c>
      <c r="I88" s="5">
        <v>56700</v>
      </c>
      <c r="J88" s="2" t="s">
        <v>69</v>
      </c>
      <c r="K88" s="2" t="s">
        <v>531</v>
      </c>
      <c r="L88" s="15">
        <f t="shared" si="15"/>
        <v>46216</v>
      </c>
      <c r="M88" s="17">
        <f t="shared" ca="1" si="16"/>
        <v>-35</v>
      </c>
      <c r="N88" s="15">
        <v>46216</v>
      </c>
      <c r="O88" s="25">
        <f t="shared" si="17"/>
        <v>46216</v>
      </c>
      <c r="P88" s="26">
        <f t="shared" si="18"/>
        <v>56700</v>
      </c>
      <c r="Q88" s="17">
        <f t="shared" ca="1" si="19"/>
        <v>10</v>
      </c>
    </row>
    <row r="89" spans="1:17" hidden="1" outlineLevel="1" x14ac:dyDescent="0.3">
      <c r="A89" s="2" t="s">
        <v>278</v>
      </c>
      <c r="B89" s="2" t="s">
        <v>279</v>
      </c>
      <c r="C89" s="2" t="s">
        <v>280</v>
      </c>
      <c r="D89" s="2" t="s">
        <v>281</v>
      </c>
      <c r="E89" s="2" t="s">
        <v>14</v>
      </c>
      <c r="F89" s="3">
        <v>45964</v>
      </c>
      <c r="G89" s="4">
        <v>210</v>
      </c>
      <c r="H89" s="3">
        <v>45971</v>
      </c>
      <c r="I89" s="5">
        <v>1403.26</v>
      </c>
      <c r="J89" s="2" t="s">
        <v>15</v>
      </c>
      <c r="K89" s="2" t="s">
        <v>527</v>
      </c>
      <c r="O89" s="15">
        <f>H89</f>
        <v>45971</v>
      </c>
      <c r="P89" s="16">
        <f>I89/3.443</f>
        <v>407.56898054022656</v>
      </c>
    </row>
    <row r="90" spans="1:17" hidden="1" outlineLevel="1" x14ac:dyDescent="0.3">
      <c r="A90" s="2" t="s">
        <v>278</v>
      </c>
      <c r="B90" s="2" t="s">
        <v>282</v>
      </c>
      <c r="C90" s="2" t="s">
        <v>283</v>
      </c>
      <c r="D90" s="2" t="s">
        <v>284</v>
      </c>
      <c r="E90" s="2" t="s">
        <v>14</v>
      </c>
      <c r="F90" s="3">
        <v>45964</v>
      </c>
      <c r="G90" s="4">
        <v>210</v>
      </c>
      <c r="H90" s="3">
        <v>45971</v>
      </c>
      <c r="I90" s="5">
        <v>141.6</v>
      </c>
      <c r="J90" s="2" t="s">
        <v>15</v>
      </c>
      <c r="K90" s="2" t="s">
        <v>527</v>
      </c>
      <c r="O90" s="15">
        <f t="shared" ref="O90:O104" si="37">H90</f>
        <v>45971</v>
      </c>
      <c r="P90" s="16">
        <f t="shared" ref="P90:P104" si="38">I90/3.443</f>
        <v>41.126924194016844</v>
      </c>
    </row>
    <row r="91" spans="1:17" hidden="1" outlineLevel="1" x14ac:dyDescent="0.3">
      <c r="A91" s="2" t="s">
        <v>278</v>
      </c>
      <c r="B91" s="2" t="s">
        <v>285</v>
      </c>
      <c r="C91" s="2" t="s">
        <v>286</v>
      </c>
      <c r="D91" s="2" t="s">
        <v>287</v>
      </c>
      <c r="E91" s="2" t="s">
        <v>14</v>
      </c>
      <c r="F91" s="3">
        <v>45967</v>
      </c>
      <c r="G91" s="4">
        <v>207</v>
      </c>
      <c r="H91" s="3">
        <v>45974</v>
      </c>
      <c r="I91" s="5">
        <v>1193.22</v>
      </c>
      <c r="J91" s="2" t="s">
        <v>15</v>
      </c>
      <c r="K91" s="2" t="s">
        <v>527</v>
      </c>
      <c r="O91" s="15">
        <f t="shared" si="37"/>
        <v>45974</v>
      </c>
      <c r="P91" s="16">
        <f t="shared" si="38"/>
        <v>346.56404298576825</v>
      </c>
    </row>
    <row r="92" spans="1:17" hidden="1" outlineLevel="1" x14ac:dyDescent="0.3">
      <c r="A92" s="2" t="s">
        <v>278</v>
      </c>
      <c r="B92" s="2" t="s">
        <v>288</v>
      </c>
      <c r="C92" s="2" t="s">
        <v>289</v>
      </c>
      <c r="D92" s="2" t="s">
        <v>290</v>
      </c>
      <c r="E92" s="2" t="s">
        <v>14</v>
      </c>
      <c r="F92" s="3">
        <v>45967</v>
      </c>
      <c r="G92" s="4">
        <v>207</v>
      </c>
      <c r="H92" s="3">
        <v>45974</v>
      </c>
      <c r="I92" s="5">
        <v>106.2</v>
      </c>
      <c r="J92" s="2" t="s">
        <v>15</v>
      </c>
      <c r="K92" s="2" t="s">
        <v>527</v>
      </c>
      <c r="O92" s="15">
        <f t="shared" si="37"/>
        <v>45974</v>
      </c>
      <c r="P92" s="16">
        <f t="shared" si="38"/>
        <v>30.845193145512635</v>
      </c>
    </row>
    <row r="93" spans="1:17" hidden="1" outlineLevel="1" x14ac:dyDescent="0.3">
      <c r="A93" s="2" t="s">
        <v>278</v>
      </c>
      <c r="B93" s="2" t="s">
        <v>291</v>
      </c>
      <c r="C93" s="2" t="s">
        <v>292</v>
      </c>
      <c r="D93" s="2" t="s">
        <v>293</v>
      </c>
      <c r="E93" s="2" t="s">
        <v>14</v>
      </c>
      <c r="F93" s="3">
        <v>46148</v>
      </c>
      <c r="G93" s="4">
        <v>26</v>
      </c>
      <c r="H93" s="3">
        <v>46155</v>
      </c>
      <c r="I93" s="5">
        <v>23.6</v>
      </c>
      <c r="J93" s="2" t="s">
        <v>15</v>
      </c>
      <c r="K93" s="2" t="s">
        <v>527</v>
      </c>
      <c r="O93" s="15">
        <f t="shared" si="37"/>
        <v>46155</v>
      </c>
      <c r="P93" s="16">
        <f t="shared" si="38"/>
        <v>6.8544873656694749</v>
      </c>
    </row>
    <row r="94" spans="1:17" hidden="1" outlineLevel="1" x14ac:dyDescent="0.3">
      <c r="A94" s="2" t="s">
        <v>278</v>
      </c>
      <c r="B94" s="2" t="s">
        <v>294</v>
      </c>
      <c r="C94" s="2" t="s">
        <v>295</v>
      </c>
      <c r="D94" s="2" t="s">
        <v>296</v>
      </c>
      <c r="E94" s="2" t="s">
        <v>14</v>
      </c>
      <c r="F94" s="3">
        <v>46148</v>
      </c>
      <c r="G94" s="4">
        <v>26</v>
      </c>
      <c r="H94" s="3">
        <v>46155</v>
      </c>
      <c r="I94" s="5">
        <v>261.49</v>
      </c>
      <c r="J94" s="2" t="s">
        <v>15</v>
      </c>
      <c r="K94" s="2" t="s">
        <v>527</v>
      </c>
      <c r="O94" s="15">
        <f t="shared" si="37"/>
        <v>46155</v>
      </c>
      <c r="P94" s="16">
        <f t="shared" si="38"/>
        <v>75.948300900377575</v>
      </c>
    </row>
    <row r="95" spans="1:17" hidden="1" outlineLevel="1" x14ac:dyDescent="0.3">
      <c r="A95" s="2" t="s">
        <v>278</v>
      </c>
      <c r="B95" s="2" t="s">
        <v>297</v>
      </c>
      <c r="C95" s="2" t="s">
        <v>298</v>
      </c>
      <c r="D95" s="2" t="s">
        <v>299</v>
      </c>
      <c r="E95" s="2" t="s">
        <v>14</v>
      </c>
      <c r="F95" s="3">
        <v>46148</v>
      </c>
      <c r="G95" s="4">
        <v>26</v>
      </c>
      <c r="H95" s="3">
        <v>46155</v>
      </c>
      <c r="I95" s="5">
        <v>387.51</v>
      </c>
      <c r="J95" s="2" t="s">
        <v>15</v>
      </c>
      <c r="K95" s="2" t="s">
        <v>527</v>
      </c>
      <c r="O95" s="15">
        <f t="shared" si="37"/>
        <v>46155</v>
      </c>
      <c r="P95" s="16">
        <f t="shared" si="38"/>
        <v>112.55010165553296</v>
      </c>
    </row>
    <row r="96" spans="1:17" hidden="1" outlineLevel="1" x14ac:dyDescent="0.3">
      <c r="A96" s="2" t="s">
        <v>278</v>
      </c>
      <c r="B96" s="2" t="s">
        <v>300</v>
      </c>
      <c r="C96" s="2" t="s">
        <v>301</v>
      </c>
      <c r="D96" s="2" t="s">
        <v>302</v>
      </c>
      <c r="E96" s="2" t="s">
        <v>14</v>
      </c>
      <c r="F96" s="3">
        <v>46148</v>
      </c>
      <c r="G96" s="4">
        <v>26</v>
      </c>
      <c r="H96" s="3">
        <v>46155</v>
      </c>
      <c r="I96" s="5">
        <v>35.4</v>
      </c>
      <c r="J96" s="2" t="s">
        <v>15</v>
      </c>
      <c r="K96" s="2" t="s">
        <v>527</v>
      </c>
      <c r="O96" s="15">
        <f t="shared" si="37"/>
        <v>46155</v>
      </c>
      <c r="P96" s="16">
        <f t="shared" si="38"/>
        <v>10.281731048504211</v>
      </c>
    </row>
    <row r="97" spans="1:16" hidden="1" outlineLevel="1" x14ac:dyDescent="0.3">
      <c r="A97" s="2" t="s">
        <v>278</v>
      </c>
      <c r="B97" s="2" t="s">
        <v>303</v>
      </c>
      <c r="C97" s="2" t="s">
        <v>304</v>
      </c>
      <c r="D97" s="2" t="s">
        <v>305</v>
      </c>
      <c r="E97" s="2" t="s">
        <v>14</v>
      </c>
      <c r="F97" s="3">
        <v>46154</v>
      </c>
      <c r="G97" s="4">
        <v>20</v>
      </c>
      <c r="H97" s="3">
        <v>46161</v>
      </c>
      <c r="I97" s="5">
        <v>482.86</v>
      </c>
      <c r="J97" s="2" t="s">
        <v>15</v>
      </c>
      <c r="K97" s="2" t="s">
        <v>527</v>
      </c>
      <c r="O97" s="15">
        <f t="shared" si="37"/>
        <v>46161</v>
      </c>
      <c r="P97" s="16">
        <f t="shared" si="38"/>
        <v>140.24397327911706</v>
      </c>
    </row>
    <row r="98" spans="1:16" hidden="1" outlineLevel="1" x14ac:dyDescent="0.3">
      <c r="A98" s="2" t="s">
        <v>278</v>
      </c>
      <c r="B98" s="2" t="s">
        <v>306</v>
      </c>
      <c r="C98" s="2" t="s">
        <v>307</v>
      </c>
      <c r="D98" s="2" t="s">
        <v>308</v>
      </c>
      <c r="E98" s="2" t="s">
        <v>14</v>
      </c>
      <c r="F98" s="3">
        <v>46154</v>
      </c>
      <c r="G98" s="4">
        <v>20</v>
      </c>
      <c r="H98" s="3">
        <v>46161</v>
      </c>
      <c r="I98" s="5">
        <v>47.2</v>
      </c>
      <c r="J98" s="2" t="s">
        <v>15</v>
      </c>
      <c r="K98" s="2" t="s">
        <v>527</v>
      </c>
      <c r="O98" s="15">
        <f t="shared" si="37"/>
        <v>46161</v>
      </c>
      <c r="P98" s="16">
        <f t="shared" si="38"/>
        <v>13.70897473133895</v>
      </c>
    </row>
    <row r="99" spans="1:16" hidden="1" outlineLevel="1" x14ac:dyDescent="0.3">
      <c r="A99" s="2" t="s">
        <v>278</v>
      </c>
      <c r="B99" s="2" t="s">
        <v>309</v>
      </c>
      <c r="C99" s="2" t="s">
        <v>310</v>
      </c>
      <c r="D99" s="2" t="s">
        <v>311</v>
      </c>
      <c r="E99" s="2" t="s">
        <v>14</v>
      </c>
      <c r="F99" s="3">
        <v>46158</v>
      </c>
      <c r="G99" s="4">
        <v>16</v>
      </c>
      <c r="H99" s="3">
        <v>46165</v>
      </c>
      <c r="I99" s="5">
        <v>544.45000000000005</v>
      </c>
      <c r="J99" s="2" t="s">
        <v>15</v>
      </c>
      <c r="K99" s="2" t="s">
        <v>527</v>
      </c>
      <c r="O99" s="15">
        <f t="shared" si="37"/>
        <v>46165</v>
      </c>
      <c r="P99" s="16">
        <f t="shared" si="38"/>
        <v>158.13244263723499</v>
      </c>
    </row>
    <row r="100" spans="1:16" hidden="1" outlineLevel="1" x14ac:dyDescent="0.3">
      <c r="A100" s="2" t="s">
        <v>278</v>
      </c>
      <c r="B100" s="2" t="s">
        <v>312</v>
      </c>
      <c r="C100" s="2" t="s">
        <v>313</v>
      </c>
      <c r="D100" s="2" t="s">
        <v>314</v>
      </c>
      <c r="E100" s="2" t="s">
        <v>14</v>
      </c>
      <c r="F100" s="3">
        <v>46158</v>
      </c>
      <c r="G100" s="4">
        <v>16</v>
      </c>
      <c r="H100" s="3">
        <v>46165</v>
      </c>
      <c r="I100" s="5">
        <v>47.2</v>
      </c>
      <c r="J100" s="2" t="s">
        <v>15</v>
      </c>
      <c r="K100" s="2" t="s">
        <v>527</v>
      </c>
      <c r="O100" s="15">
        <f t="shared" si="37"/>
        <v>46165</v>
      </c>
      <c r="P100" s="16">
        <f t="shared" si="38"/>
        <v>13.70897473133895</v>
      </c>
    </row>
    <row r="101" spans="1:16" hidden="1" outlineLevel="1" x14ac:dyDescent="0.3">
      <c r="A101" s="2" t="s">
        <v>278</v>
      </c>
      <c r="B101" s="2" t="s">
        <v>315</v>
      </c>
      <c r="C101" s="2" t="s">
        <v>316</v>
      </c>
      <c r="D101" s="2" t="s">
        <v>317</v>
      </c>
      <c r="E101" s="2" t="s">
        <v>14</v>
      </c>
      <c r="F101" s="3">
        <v>46169</v>
      </c>
      <c r="G101" s="4">
        <v>5</v>
      </c>
      <c r="H101" s="3">
        <v>46176</v>
      </c>
      <c r="I101" s="5">
        <v>591.65</v>
      </c>
      <c r="J101" s="2" t="s">
        <v>15</v>
      </c>
      <c r="K101" s="2" t="s">
        <v>527</v>
      </c>
      <c r="O101" s="15">
        <f t="shared" si="37"/>
        <v>46176</v>
      </c>
      <c r="P101" s="16">
        <f t="shared" si="38"/>
        <v>171.8414173685739</v>
      </c>
    </row>
    <row r="102" spans="1:16" hidden="1" outlineLevel="1" x14ac:dyDescent="0.3">
      <c r="A102" s="2" t="s">
        <v>278</v>
      </c>
      <c r="B102" s="2" t="s">
        <v>318</v>
      </c>
      <c r="C102" s="2" t="s">
        <v>319</v>
      </c>
      <c r="D102" s="2" t="s">
        <v>320</v>
      </c>
      <c r="E102" s="2" t="s">
        <v>14</v>
      </c>
      <c r="F102" s="3">
        <v>46169</v>
      </c>
      <c r="G102" s="4">
        <v>5</v>
      </c>
      <c r="H102" s="3">
        <v>46176</v>
      </c>
      <c r="I102" s="5">
        <v>70.8</v>
      </c>
      <c r="J102" s="2" t="s">
        <v>15</v>
      </c>
      <c r="K102" s="2" t="s">
        <v>527</v>
      </c>
      <c r="O102" s="15">
        <f t="shared" si="37"/>
        <v>46176</v>
      </c>
      <c r="P102" s="16">
        <f t="shared" si="38"/>
        <v>20.563462097008422</v>
      </c>
    </row>
    <row r="103" spans="1:16" hidden="1" outlineLevel="1" x14ac:dyDescent="0.3">
      <c r="A103" s="2" t="s">
        <v>278</v>
      </c>
      <c r="B103" s="2" t="s">
        <v>321</v>
      </c>
      <c r="C103" s="2" t="s">
        <v>322</v>
      </c>
      <c r="D103" s="2" t="s">
        <v>323</v>
      </c>
      <c r="E103" s="2" t="s">
        <v>14</v>
      </c>
      <c r="F103" s="3">
        <v>46175</v>
      </c>
      <c r="G103" s="6">
        <v>-1</v>
      </c>
      <c r="H103" s="3">
        <v>46182</v>
      </c>
      <c r="I103" s="5">
        <v>185.97</v>
      </c>
      <c r="J103" s="2" t="s">
        <v>15</v>
      </c>
      <c r="K103" s="2" t="s">
        <v>527</v>
      </c>
      <c r="O103" s="15">
        <f t="shared" si="37"/>
        <v>46182</v>
      </c>
      <c r="P103" s="16">
        <f t="shared" si="38"/>
        <v>54.013941330235255</v>
      </c>
    </row>
    <row r="104" spans="1:16" hidden="1" outlineLevel="1" x14ac:dyDescent="0.3">
      <c r="A104" s="2" t="s">
        <v>278</v>
      </c>
      <c r="B104" s="2" t="s">
        <v>324</v>
      </c>
      <c r="C104" s="2" t="s">
        <v>325</v>
      </c>
      <c r="D104" s="2" t="s">
        <v>326</v>
      </c>
      <c r="E104" s="2" t="s">
        <v>14</v>
      </c>
      <c r="F104" s="3">
        <v>46175</v>
      </c>
      <c r="G104" s="6">
        <v>-1</v>
      </c>
      <c r="H104" s="3">
        <v>46182</v>
      </c>
      <c r="I104" s="5">
        <v>23.6</v>
      </c>
      <c r="J104" s="2" t="s">
        <v>15</v>
      </c>
      <c r="K104" s="2" t="s">
        <v>527</v>
      </c>
      <c r="O104" s="15">
        <f t="shared" si="37"/>
        <v>46182</v>
      </c>
      <c r="P104" s="16">
        <f t="shared" si="38"/>
        <v>6.8544873656694749</v>
      </c>
    </row>
    <row r="105" spans="1:16" hidden="1" outlineLevel="1" x14ac:dyDescent="0.3">
      <c r="A105" s="2" t="s">
        <v>327</v>
      </c>
      <c r="B105" s="2" t="s">
        <v>328</v>
      </c>
      <c r="C105" s="2" t="s">
        <v>329</v>
      </c>
      <c r="D105" s="2" t="s">
        <v>330</v>
      </c>
      <c r="E105" s="2" t="s">
        <v>14</v>
      </c>
      <c r="F105" s="3">
        <v>46140</v>
      </c>
      <c r="G105" s="4">
        <v>41</v>
      </c>
      <c r="H105" s="3">
        <v>46140</v>
      </c>
      <c r="I105" s="5">
        <v>59</v>
      </c>
      <c r="J105" s="2" t="s">
        <v>15</v>
      </c>
      <c r="K105" s="2" t="s">
        <v>526</v>
      </c>
    </row>
    <row r="106" spans="1:16" hidden="1" outlineLevel="1" x14ac:dyDescent="0.3">
      <c r="A106" s="2" t="s">
        <v>327</v>
      </c>
      <c r="B106" s="2" t="s">
        <v>331</v>
      </c>
      <c r="C106" s="2" t="s">
        <v>332</v>
      </c>
      <c r="D106" s="2" t="s">
        <v>333</v>
      </c>
      <c r="E106" s="2" t="s">
        <v>14</v>
      </c>
      <c r="F106" s="3">
        <v>46140</v>
      </c>
      <c r="G106" s="4">
        <v>41</v>
      </c>
      <c r="H106" s="3">
        <v>46140</v>
      </c>
      <c r="I106" s="5">
        <v>716.71</v>
      </c>
      <c r="J106" s="2" t="s">
        <v>15</v>
      </c>
      <c r="K106" s="2" t="s">
        <v>526</v>
      </c>
    </row>
    <row r="107" spans="1:16" hidden="1" outlineLevel="1" x14ac:dyDescent="0.3">
      <c r="A107" s="2" t="s">
        <v>327</v>
      </c>
      <c r="B107" s="2" t="s">
        <v>334</v>
      </c>
      <c r="C107" s="2" t="s">
        <v>335</v>
      </c>
      <c r="D107" s="2" t="s">
        <v>336</v>
      </c>
      <c r="E107" s="2" t="s">
        <v>14</v>
      </c>
      <c r="F107" s="3">
        <v>46140</v>
      </c>
      <c r="G107" s="4">
        <v>41</v>
      </c>
      <c r="H107" s="3">
        <v>46140</v>
      </c>
      <c r="I107" s="5">
        <v>129.80000000000001</v>
      </c>
      <c r="J107" s="2" t="s">
        <v>15</v>
      </c>
      <c r="K107" s="2" t="s">
        <v>526</v>
      </c>
    </row>
    <row r="108" spans="1:16" hidden="1" outlineLevel="1" x14ac:dyDescent="0.3">
      <c r="A108" s="2" t="s">
        <v>327</v>
      </c>
      <c r="B108" s="2" t="s">
        <v>337</v>
      </c>
      <c r="C108" s="2" t="s">
        <v>338</v>
      </c>
      <c r="D108" s="2" t="s">
        <v>339</v>
      </c>
      <c r="E108" s="2" t="s">
        <v>68</v>
      </c>
      <c r="F108" s="3">
        <v>46140</v>
      </c>
      <c r="G108" s="4">
        <v>41</v>
      </c>
      <c r="H108" s="3">
        <v>46140</v>
      </c>
      <c r="I108" s="5">
        <v>422.56</v>
      </c>
      <c r="J108" s="2" t="s">
        <v>15</v>
      </c>
      <c r="K108" s="2" t="s">
        <v>526</v>
      </c>
    </row>
    <row r="109" spans="1:16" hidden="1" outlineLevel="1" x14ac:dyDescent="0.3">
      <c r="A109" s="2" t="s">
        <v>327</v>
      </c>
      <c r="B109" s="2" t="s">
        <v>340</v>
      </c>
      <c r="C109" s="2" t="s">
        <v>341</v>
      </c>
      <c r="D109" s="2" t="s">
        <v>342</v>
      </c>
      <c r="E109" s="2" t="s">
        <v>14</v>
      </c>
      <c r="F109" s="3">
        <v>46154</v>
      </c>
      <c r="G109" s="4">
        <v>27</v>
      </c>
      <c r="H109" s="3">
        <v>46154</v>
      </c>
      <c r="I109" s="5">
        <v>404.98</v>
      </c>
      <c r="J109" s="2" t="s">
        <v>15</v>
      </c>
      <c r="K109" s="2" t="s">
        <v>526</v>
      </c>
    </row>
    <row r="110" spans="1:16" hidden="1" outlineLevel="1" x14ac:dyDescent="0.3">
      <c r="A110" s="2" t="s">
        <v>327</v>
      </c>
      <c r="B110" s="2" t="s">
        <v>343</v>
      </c>
      <c r="C110" s="2" t="s">
        <v>344</v>
      </c>
      <c r="D110" s="2" t="s">
        <v>345</v>
      </c>
      <c r="E110" s="2" t="s">
        <v>14</v>
      </c>
      <c r="F110" s="3">
        <v>46154</v>
      </c>
      <c r="G110" s="4">
        <v>27</v>
      </c>
      <c r="H110" s="3">
        <v>46154</v>
      </c>
      <c r="I110" s="5">
        <v>59</v>
      </c>
      <c r="J110" s="2" t="s">
        <v>15</v>
      </c>
      <c r="K110" s="2" t="s">
        <v>526</v>
      </c>
    </row>
    <row r="111" spans="1:16" hidden="1" outlineLevel="1" x14ac:dyDescent="0.3">
      <c r="A111" s="2" t="s">
        <v>327</v>
      </c>
      <c r="B111" s="2" t="s">
        <v>346</v>
      </c>
      <c r="C111" s="2" t="s">
        <v>347</v>
      </c>
      <c r="D111" s="2" t="s">
        <v>348</v>
      </c>
      <c r="E111" s="2" t="s">
        <v>14</v>
      </c>
      <c r="F111" s="3">
        <v>46178</v>
      </c>
      <c r="G111" s="4">
        <v>3</v>
      </c>
      <c r="H111" s="3">
        <v>46178</v>
      </c>
      <c r="I111" s="5">
        <v>493.16</v>
      </c>
      <c r="J111" s="2" t="s">
        <v>15</v>
      </c>
      <c r="K111" s="2" t="s">
        <v>526</v>
      </c>
    </row>
    <row r="112" spans="1:16" hidden="1" outlineLevel="1" x14ac:dyDescent="0.3">
      <c r="A112" s="2" t="s">
        <v>327</v>
      </c>
      <c r="B112" s="2" t="s">
        <v>349</v>
      </c>
      <c r="C112" s="2" t="s">
        <v>350</v>
      </c>
      <c r="D112" s="2" t="s">
        <v>351</v>
      </c>
      <c r="E112" s="2" t="s">
        <v>14</v>
      </c>
      <c r="F112" s="3">
        <v>46178</v>
      </c>
      <c r="G112" s="4">
        <v>3</v>
      </c>
      <c r="H112" s="3">
        <v>46178</v>
      </c>
      <c r="I112" s="5">
        <v>165.2</v>
      </c>
      <c r="J112" s="2" t="s">
        <v>15</v>
      </c>
      <c r="K112" s="2" t="s">
        <v>526</v>
      </c>
    </row>
    <row r="113" spans="1:17" outlineLevel="1" x14ac:dyDescent="0.3">
      <c r="A113" s="2" t="s">
        <v>352</v>
      </c>
      <c r="B113" s="2" t="s">
        <v>353</v>
      </c>
      <c r="C113" s="2" t="s">
        <v>354</v>
      </c>
      <c r="D113" s="2" t="s">
        <v>355</v>
      </c>
      <c r="E113" s="2" t="s">
        <v>77</v>
      </c>
      <c r="F113" s="3">
        <v>46148</v>
      </c>
      <c r="G113" s="4">
        <v>0</v>
      </c>
      <c r="H113" s="3">
        <v>46173</v>
      </c>
      <c r="I113" s="7">
        <v>-33334</v>
      </c>
      <c r="J113" s="2" t="s">
        <v>69</v>
      </c>
      <c r="K113" s="2" t="s">
        <v>531</v>
      </c>
      <c r="L113" s="15">
        <f t="shared" ref="L113:L117" si="39">F113+45</f>
        <v>46193</v>
      </c>
      <c r="M113" s="17">
        <f t="shared" ref="M113:M117" ca="1" si="40">TODAY()-N113</f>
        <v>46181</v>
      </c>
      <c r="N113" s="15"/>
      <c r="O113" s="25">
        <f t="shared" ref="O113:O117" si="41">H113</f>
        <v>46173</v>
      </c>
      <c r="P113" s="26">
        <f t="shared" ref="P113:P117" si="42">I113</f>
        <v>-33334</v>
      </c>
      <c r="Q113" s="17">
        <f t="shared" ref="Q113:Q117" ca="1" si="43">TODAY()-F113</f>
        <v>33</v>
      </c>
    </row>
    <row r="114" spans="1:17" outlineLevel="1" x14ac:dyDescent="0.3">
      <c r="A114" s="2" t="s">
        <v>352</v>
      </c>
      <c r="B114" s="2" t="s">
        <v>356</v>
      </c>
      <c r="C114" s="2" t="s">
        <v>357</v>
      </c>
      <c r="D114" s="2" t="s">
        <v>358</v>
      </c>
      <c r="E114" s="2" t="s">
        <v>68</v>
      </c>
      <c r="F114" s="3">
        <v>46171</v>
      </c>
      <c r="G114" s="4">
        <v>10</v>
      </c>
      <c r="H114" s="3">
        <v>46171</v>
      </c>
      <c r="I114" s="5">
        <v>67008</v>
      </c>
      <c r="J114" s="2" t="s">
        <v>69</v>
      </c>
      <c r="K114" s="2" t="s">
        <v>531</v>
      </c>
      <c r="L114" s="15">
        <f t="shared" si="39"/>
        <v>46216</v>
      </c>
      <c r="M114" s="17">
        <f t="shared" ca="1" si="40"/>
        <v>-35</v>
      </c>
      <c r="N114" s="15">
        <v>46216</v>
      </c>
      <c r="O114" s="25">
        <v>46216</v>
      </c>
      <c r="P114" s="26">
        <f t="shared" si="42"/>
        <v>67008</v>
      </c>
      <c r="Q114" s="17">
        <f t="shared" ca="1" si="43"/>
        <v>10</v>
      </c>
    </row>
    <row r="115" spans="1:17" outlineLevel="1" x14ac:dyDescent="0.3">
      <c r="A115" s="2" t="s">
        <v>359</v>
      </c>
      <c r="B115" s="2" t="s">
        <v>361</v>
      </c>
      <c r="C115" s="2" t="s">
        <v>362</v>
      </c>
      <c r="D115" s="2" t="s">
        <v>363</v>
      </c>
      <c r="E115" s="2" t="s">
        <v>73</v>
      </c>
      <c r="F115" s="3">
        <v>46134</v>
      </c>
      <c r="G115" s="4">
        <v>2</v>
      </c>
      <c r="H115" s="3">
        <v>46179</v>
      </c>
      <c r="I115" s="5">
        <v>36400</v>
      </c>
      <c r="J115" s="2" t="s">
        <v>69</v>
      </c>
      <c r="K115" s="2" t="s">
        <v>531</v>
      </c>
      <c r="L115" s="15">
        <f t="shared" si="39"/>
        <v>46179</v>
      </c>
      <c r="M115" s="17">
        <f t="shared" ca="1" si="40"/>
        <v>2</v>
      </c>
      <c r="N115" s="15">
        <v>46179</v>
      </c>
      <c r="O115" s="25">
        <v>46183</v>
      </c>
      <c r="P115" s="26">
        <f t="shared" si="42"/>
        <v>36400</v>
      </c>
      <c r="Q115" s="17">
        <f t="shared" ca="1" si="43"/>
        <v>47</v>
      </c>
    </row>
    <row r="116" spans="1:17" outlineLevel="1" x14ac:dyDescent="0.3">
      <c r="A116" s="2" t="s">
        <v>359</v>
      </c>
      <c r="B116" s="2" t="s">
        <v>364</v>
      </c>
      <c r="C116" s="2" t="s">
        <v>365</v>
      </c>
      <c r="D116" s="2" t="s">
        <v>366</v>
      </c>
      <c r="E116" s="2" t="s">
        <v>73</v>
      </c>
      <c r="F116" s="3">
        <v>46139</v>
      </c>
      <c r="G116" s="6">
        <v>-3</v>
      </c>
      <c r="H116" s="3">
        <v>46184</v>
      </c>
      <c r="I116" s="5">
        <v>36400</v>
      </c>
      <c r="J116" s="2" t="s">
        <v>69</v>
      </c>
      <c r="K116" s="2" t="s">
        <v>531</v>
      </c>
      <c r="L116" s="15">
        <f t="shared" si="39"/>
        <v>46184</v>
      </c>
      <c r="M116" s="17">
        <f t="shared" ca="1" si="40"/>
        <v>-3</v>
      </c>
      <c r="N116" s="15">
        <v>46184</v>
      </c>
      <c r="O116" s="25">
        <f t="shared" si="41"/>
        <v>46184</v>
      </c>
      <c r="P116" s="26">
        <f t="shared" si="42"/>
        <v>36400</v>
      </c>
      <c r="Q116" s="17">
        <f t="shared" ca="1" si="43"/>
        <v>42</v>
      </c>
    </row>
    <row r="117" spans="1:17" outlineLevel="1" x14ac:dyDescent="0.3">
      <c r="A117" s="2" t="s">
        <v>359</v>
      </c>
      <c r="B117" s="2" t="s">
        <v>367</v>
      </c>
      <c r="C117" s="2" t="s">
        <v>368</v>
      </c>
      <c r="D117" s="2" t="s">
        <v>369</v>
      </c>
      <c r="E117" s="2" t="s">
        <v>73</v>
      </c>
      <c r="F117" s="3">
        <v>46164</v>
      </c>
      <c r="G117" s="6">
        <v>-28</v>
      </c>
      <c r="H117" s="3">
        <v>46209</v>
      </c>
      <c r="I117" s="5">
        <v>80600</v>
      </c>
      <c r="J117" s="2" t="s">
        <v>69</v>
      </c>
      <c r="K117" s="2" t="s">
        <v>531</v>
      </c>
      <c r="L117" s="15">
        <f t="shared" si="39"/>
        <v>46209</v>
      </c>
      <c r="M117" s="17">
        <f t="shared" ca="1" si="40"/>
        <v>-28</v>
      </c>
      <c r="N117" s="15">
        <v>46209</v>
      </c>
      <c r="O117" s="25">
        <f t="shared" si="41"/>
        <v>46209</v>
      </c>
      <c r="P117" s="26">
        <f t="shared" si="42"/>
        <v>80600</v>
      </c>
      <c r="Q117" s="17">
        <f t="shared" ca="1" si="43"/>
        <v>17</v>
      </c>
    </row>
    <row r="118" spans="1:17" hidden="1" outlineLevel="1" x14ac:dyDescent="0.3">
      <c r="A118" s="2" t="s">
        <v>370</v>
      </c>
      <c r="B118" s="2" t="s">
        <v>371</v>
      </c>
      <c r="C118" s="2" t="s">
        <v>372</v>
      </c>
      <c r="D118" s="2" t="s">
        <v>373</v>
      </c>
      <c r="E118" s="2" t="s">
        <v>68</v>
      </c>
      <c r="F118" s="3">
        <v>45951</v>
      </c>
      <c r="G118" s="4">
        <v>230</v>
      </c>
      <c r="H118" s="3">
        <v>45951</v>
      </c>
      <c r="I118" s="5">
        <v>4460</v>
      </c>
      <c r="J118" s="2" t="s">
        <v>15</v>
      </c>
      <c r="K118" s="2" t="s">
        <v>528</v>
      </c>
      <c r="O118" s="15">
        <f>H118</f>
        <v>45951</v>
      </c>
      <c r="P118" s="16">
        <f>I118/3.443</f>
        <v>1295.3819343595701</v>
      </c>
    </row>
    <row r="119" spans="1:17" hidden="1" outlineLevel="1" x14ac:dyDescent="0.3">
      <c r="A119" s="2" t="s">
        <v>370</v>
      </c>
      <c r="B119" s="2" t="s">
        <v>374</v>
      </c>
      <c r="C119" s="2" t="s">
        <v>375</v>
      </c>
      <c r="D119" s="2" t="s">
        <v>376</v>
      </c>
      <c r="E119" s="2" t="s">
        <v>14</v>
      </c>
      <c r="F119" s="3">
        <v>45965</v>
      </c>
      <c r="G119" s="4">
        <v>209</v>
      </c>
      <c r="H119" s="3">
        <v>45972</v>
      </c>
      <c r="I119" s="5">
        <v>7097.98</v>
      </c>
      <c r="J119" s="2" t="s">
        <v>15</v>
      </c>
      <c r="K119" s="2" t="s">
        <v>528</v>
      </c>
      <c r="O119" s="15">
        <f t="shared" ref="O119:O121" si="44">H119</f>
        <v>45972</v>
      </c>
      <c r="P119" s="16">
        <f t="shared" ref="P119:P121" si="45">I119/3.443</f>
        <v>2061.5683996514667</v>
      </c>
    </row>
    <row r="120" spans="1:17" hidden="1" outlineLevel="1" x14ac:dyDescent="0.3">
      <c r="A120" s="2" t="s">
        <v>370</v>
      </c>
      <c r="B120" s="2" t="s">
        <v>377</v>
      </c>
      <c r="C120" s="2" t="s">
        <v>378</v>
      </c>
      <c r="D120" s="2" t="s">
        <v>379</v>
      </c>
      <c r="E120" s="2" t="s">
        <v>14</v>
      </c>
      <c r="F120" s="3">
        <v>46053</v>
      </c>
      <c r="G120" s="4">
        <v>121</v>
      </c>
      <c r="H120" s="3">
        <v>46060</v>
      </c>
      <c r="I120" s="5">
        <v>4003.46</v>
      </c>
      <c r="J120" s="2" t="s">
        <v>15</v>
      </c>
      <c r="K120" s="2" t="s">
        <v>528</v>
      </c>
      <c r="O120" s="15">
        <f t="shared" si="44"/>
        <v>46060</v>
      </c>
      <c r="P120" s="16">
        <f t="shared" si="45"/>
        <v>1162.782457159454</v>
      </c>
    </row>
    <row r="121" spans="1:17" hidden="1" outlineLevel="1" x14ac:dyDescent="0.3">
      <c r="A121" s="2" t="s">
        <v>370</v>
      </c>
      <c r="B121" s="2" t="s">
        <v>380</v>
      </c>
      <c r="C121" s="2" t="s">
        <v>381</v>
      </c>
      <c r="D121" s="2" t="s">
        <v>382</v>
      </c>
      <c r="E121" s="2" t="s">
        <v>14</v>
      </c>
      <c r="F121" s="3">
        <v>46084</v>
      </c>
      <c r="G121" s="4">
        <v>90</v>
      </c>
      <c r="H121" s="3">
        <v>46091</v>
      </c>
      <c r="I121" s="5">
        <v>4956</v>
      </c>
      <c r="J121" s="2" t="s">
        <v>15</v>
      </c>
      <c r="K121" s="2" t="s">
        <v>528</v>
      </c>
      <c r="O121" s="15">
        <f t="shared" si="44"/>
        <v>46091</v>
      </c>
      <c r="P121" s="16">
        <f t="shared" si="45"/>
        <v>1439.4423467905897</v>
      </c>
    </row>
    <row r="122" spans="1:17" hidden="1" outlineLevel="1" x14ac:dyDescent="0.3">
      <c r="A122" s="2" t="s">
        <v>383</v>
      </c>
      <c r="B122" s="2" t="s">
        <v>384</v>
      </c>
      <c r="C122" s="2" t="s">
        <v>385</v>
      </c>
      <c r="D122" s="2" t="s">
        <v>386</v>
      </c>
      <c r="E122" s="2" t="s">
        <v>14</v>
      </c>
      <c r="F122" s="3">
        <v>46175</v>
      </c>
      <c r="G122" s="6">
        <v>-1</v>
      </c>
      <c r="H122" s="3">
        <v>46182</v>
      </c>
      <c r="I122" s="5">
        <v>417.3</v>
      </c>
      <c r="J122" s="2" t="s">
        <v>15</v>
      </c>
      <c r="K122" s="2" t="s">
        <v>526</v>
      </c>
    </row>
    <row r="123" spans="1:17" hidden="1" outlineLevel="1" x14ac:dyDescent="0.3">
      <c r="A123" s="2" t="s">
        <v>383</v>
      </c>
      <c r="B123" s="2" t="s">
        <v>387</v>
      </c>
      <c r="C123" s="2" t="s">
        <v>388</v>
      </c>
      <c r="D123" s="2" t="s">
        <v>389</v>
      </c>
      <c r="E123" s="2" t="s">
        <v>14</v>
      </c>
      <c r="F123" s="3">
        <v>46175</v>
      </c>
      <c r="G123" s="6">
        <v>-1</v>
      </c>
      <c r="H123" s="3">
        <v>46182</v>
      </c>
      <c r="I123" s="5">
        <v>171.1</v>
      </c>
      <c r="J123" s="2" t="s">
        <v>15</v>
      </c>
      <c r="K123" s="2" t="s">
        <v>526</v>
      </c>
    </row>
    <row r="124" spans="1:17" hidden="1" outlineLevel="1" x14ac:dyDescent="0.3">
      <c r="A124" s="2" t="s">
        <v>383</v>
      </c>
      <c r="B124" s="2" t="s">
        <v>390</v>
      </c>
      <c r="C124" s="2" t="s">
        <v>391</v>
      </c>
      <c r="D124" s="2" t="s">
        <v>392</v>
      </c>
      <c r="E124" s="2" t="s">
        <v>14</v>
      </c>
      <c r="F124" s="3">
        <v>46176</v>
      </c>
      <c r="G124" s="6">
        <v>-2</v>
      </c>
      <c r="H124" s="3">
        <v>46183</v>
      </c>
      <c r="I124" s="5">
        <v>562.34</v>
      </c>
      <c r="J124" s="2" t="s">
        <v>15</v>
      </c>
      <c r="K124" s="2" t="s">
        <v>526</v>
      </c>
    </row>
    <row r="125" spans="1:17" hidden="1" outlineLevel="1" x14ac:dyDescent="0.3">
      <c r="A125" s="2" t="s">
        <v>383</v>
      </c>
      <c r="B125" s="2" t="s">
        <v>393</v>
      </c>
      <c r="C125" s="2" t="s">
        <v>394</v>
      </c>
      <c r="D125" s="2" t="s">
        <v>395</v>
      </c>
      <c r="E125" s="2" t="s">
        <v>14</v>
      </c>
      <c r="F125" s="3">
        <v>46176</v>
      </c>
      <c r="G125" s="6">
        <v>-2</v>
      </c>
      <c r="H125" s="3">
        <v>46183</v>
      </c>
      <c r="I125" s="5">
        <v>194.7</v>
      </c>
      <c r="J125" s="2" t="s">
        <v>15</v>
      </c>
      <c r="K125" s="2" t="s">
        <v>526</v>
      </c>
    </row>
    <row r="126" spans="1:17" hidden="1" outlineLevel="1" x14ac:dyDescent="0.3">
      <c r="A126" s="2" t="s">
        <v>383</v>
      </c>
      <c r="B126" s="2" t="s">
        <v>396</v>
      </c>
      <c r="C126" s="2" t="s">
        <v>397</v>
      </c>
      <c r="D126" s="2" t="s">
        <v>398</v>
      </c>
      <c r="E126" s="2" t="s">
        <v>14</v>
      </c>
      <c r="F126" s="3">
        <v>46176</v>
      </c>
      <c r="G126" s="6">
        <v>-2</v>
      </c>
      <c r="H126" s="3">
        <v>46183</v>
      </c>
      <c r="I126" s="5">
        <v>540.53</v>
      </c>
      <c r="J126" s="2" t="s">
        <v>15</v>
      </c>
      <c r="K126" s="2" t="s">
        <v>526</v>
      </c>
    </row>
    <row r="127" spans="1:17" hidden="1" outlineLevel="1" x14ac:dyDescent="0.3">
      <c r="A127" s="2" t="s">
        <v>383</v>
      </c>
      <c r="B127" s="2" t="s">
        <v>399</v>
      </c>
      <c r="C127" s="2" t="s">
        <v>400</v>
      </c>
      <c r="D127" s="2" t="s">
        <v>401</v>
      </c>
      <c r="E127" s="2" t="s">
        <v>14</v>
      </c>
      <c r="F127" s="3">
        <v>46176</v>
      </c>
      <c r="G127" s="6">
        <v>-2</v>
      </c>
      <c r="H127" s="3">
        <v>46183</v>
      </c>
      <c r="I127" s="5">
        <v>194.7</v>
      </c>
      <c r="J127" s="2" t="s">
        <v>15</v>
      </c>
      <c r="K127" s="2" t="s">
        <v>526</v>
      </c>
    </row>
    <row r="128" spans="1:17" hidden="1" outlineLevel="1" x14ac:dyDescent="0.3">
      <c r="A128" s="2" t="s">
        <v>383</v>
      </c>
      <c r="B128" s="2" t="s">
        <v>402</v>
      </c>
      <c r="C128" s="2" t="s">
        <v>403</v>
      </c>
      <c r="D128" s="2" t="s">
        <v>404</v>
      </c>
      <c r="E128" s="2" t="s">
        <v>14</v>
      </c>
      <c r="F128" s="3">
        <v>46177</v>
      </c>
      <c r="G128" s="6">
        <v>-3</v>
      </c>
      <c r="H128" s="3">
        <v>46184</v>
      </c>
      <c r="I128" s="5">
        <v>650.55999999999995</v>
      </c>
      <c r="J128" s="2" t="s">
        <v>15</v>
      </c>
      <c r="K128" s="2" t="s">
        <v>526</v>
      </c>
    </row>
    <row r="129" spans="1:17" hidden="1" outlineLevel="1" x14ac:dyDescent="0.3">
      <c r="A129" s="2" t="s">
        <v>383</v>
      </c>
      <c r="B129" s="2" t="s">
        <v>405</v>
      </c>
      <c r="C129" s="2" t="s">
        <v>406</v>
      </c>
      <c r="D129" s="2" t="s">
        <v>407</v>
      </c>
      <c r="E129" s="2" t="s">
        <v>14</v>
      </c>
      <c r="F129" s="3">
        <v>46177</v>
      </c>
      <c r="G129" s="6">
        <v>-3</v>
      </c>
      <c r="H129" s="3">
        <v>46184</v>
      </c>
      <c r="I129" s="5">
        <v>212.4</v>
      </c>
      <c r="J129" s="2" t="s">
        <v>15</v>
      </c>
      <c r="K129" s="2" t="s">
        <v>526</v>
      </c>
    </row>
    <row r="130" spans="1:17" hidden="1" outlineLevel="1" x14ac:dyDescent="0.3">
      <c r="A130" s="2" t="s">
        <v>383</v>
      </c>
      <c r="B130" s="2" t="s">
        <v>408</v>
      </c>
      <c r="C130" s="2" t="s">
        <v>409</v>
      </c>
      <c r="D130" s="2" t="s">
        <v>410</v>
      </c>
      <c r="E130" s="2" t="s">
        <v>14</v>
      </c>
      <c r="F130" s="3">
        <v>46179</v>
      </c>
      <c r="G130" s="6">
        <v>-5</v>
      </c>
      <c r="H130" s="3">
        <v>46186</v>
      </c>
      <c r="I130" s="5">
        <v>975.34</v>
      </c>
      <c r="J130" s="2" t="s">
        <v>15</v>
      </c>
      <c r="K130" s="2" t="s">
        <v>526</v>
      </c>
    </row>
    <row r="131" spans="1:17" hidden="1" outlineLevel="1" x14ac:dyDescent="0.3">
      <c r="A131" s="2" t="s">
        <v>383</v>
      </c>
      <c r="B131" s="2" t="s">
        <v>411</v>
      </c>
      <c r="C131" s="2" t="s">
        <v>412</v>
      </c>
      <c r="D131" s="2" t="s">
        <v>413</v>
      </c>
      <c r="E131" s="2" t="s">
        <v>14</v>
      </c>
      <c r="F131" s="3">
        <v>46179</v>
      </c>
      <c r="G131" s="6">
        <v>-5</v>
      </c>
      <c r="H131" s="3">
        <v>46186</v>
      </c>
      <c r="I131" s="5">
        <v>318.60000000000002</v>
      </c>
      <c r="J131" s="2" t="s">
        <v>15</v>
      </c>
      <c r="K131" s="2" t="s">
        <v>526</v>
      </c>
    </row>
    <row r="132" spans="1:17" hidden="1" outlineLevel="1" x14ac:dyDescent="0.3">
      <c r="A132" s="2" t="s">
        <v>383</v>
      </c>
      <c r="B132" s="2" t="s">
        <v>414</v>
      </c>
      <c r="C132" s="2" t="s">
        <v>415</v>
      </c>
      <c r="D132" s="2" t="s">
        <v>416</v>
      </c>
      <c r="E132" s="2" t="s">
        <v>14</v>
      </c>
      <c r="F132" s="3">
        <v>46181</v>
      </c>
      <c r="G132" s="6">
        <v>-7</v>
      </c>
      <c r="H132" s="3">
        <v>46188</v>
      </c>
      <c r="I132" s="5">
        <v>453.97</v>
      </c>
      <c r="J132" s="2" t="s">
        <v>15</v>
      </c>
      <c r="K132" s="2" t="s">
        <v>526</v>
      </c>
    </row>
    <row r="133" spans="1:17" hidden="1" outlineLevel="1" x14ac:dyDescent="0.3">
      <c r="A133" s="2" t="s">
        <v>383</v>
      </c>
      <c r="B133" s="2" t="s">
        <v>417</v>
      </c>
      <c r="C133" s="2" t="s">
        <v>418</v>
      </c>
      <c r="D133" s="2" t="s">
        <v>419</v>
      </c>
      <c r="E133" s="2" t="s">
        <v>14</v>
      </c>
      <c r="F133" s="3">
        <v>46181</v>
      </c>
      <c r="G133" s="6">
        <v>-7</v>
      </c>
      <c r="H133" s="3">
        <v>46188</v>
      </c>
      <c r="I133" s="5">
        <v>177</v>
      </c>
      <c r="J133" s="2" t="s">
        <v>15</v>
      </c>
      <c r="K133" s="2" t="s">
        <v>526</v>
      </c>
    </row>
    <row r="134" spans="1:17" hidden="1" outlineLevel="1" x14ac:dyDescent="0.3">
      <c r="A134" s="2" t="s">
        <v>420</v>
      </c>
      <c r="B134" s="2" t="s">
        <v>421</v>
      </c>
      <c r="C134" s="2" t="s">
        <v>422</v>
      </c>
      <c r="D134" s="2" t="s">
        <v>423</v>
      </c>
      <c r="E134" s="2" t="s">
        <v>14</v>
      </c>
      <c r="F134" s="3">
        <v>45937</v>
      </c>
      <c r="G134" s="4">
        <v>237</v>
      </c>
      <c r="H134" s="3">
        <v>45944</v>
      </c>
      <c r="I134" s="5">
        <v>790</v>
      </c>
      <c r="J134" s="2" t="s">
        <v>15</v>
      </c>
      <c r="K134" s="2" t="s">
        <v>529</v>
      </c>
      <c r="O134" s="15">
        <f>H134</f>
        <v>45944</v>
      </c>
      <c r="P134" s="16">
        <f>I134/3.443</f>
        <v>229.45106012198664</v>
      </c>
    </row>
    <row r="135" spans="1:17" hidden="1" outlineLevel="1" x14ac:dyDescent="0.3">
      <c r="A135" s="2" t="s">
        <v>424</v>
      </c>
      <c r="B135" s="2" t="s">
        <v>425</v>
      </c>
      <c r="C135" s="2" t="s">
        <v>426</v>
      </c>
      <c r="D135" s="2" t="s">
        <v>427</v>
      </c>
      <c r="E135" s="2" t="s">
        <v>14</v>
      </c>
      <c r="F135" s="3">
        <v>46172</v>
      </c>
      <c r="G135" s="4">
        <v>6</v>
      </c>
      <c r="H135" s="3">
        <v>46175</v>
      </c>
      <c r="I135" s="5">
        <v>79349.03</v>
      </c>
      <c r="J135" s="2" t="s">
        <v>15</v>
      </c>
      <c r="K135" s="2" t="s">
        <v>530</v>
      </c>
      <c r="O135" s="15">
        <f>H135</f>
        <v>46175</v>
      </c>
      <c r="P135" s="16">
        <f>I135/3.443</f>
        <v>23046.479814115595</v>
      </c>
    </row>
    <row r="136" spans="1:17" hidden="1" outlineLevel="1" x14ac:dyDescent="0.3">
      <c r="A136" s="2" t="s">
        <v>424</v>
      </c>
      <c r="B136" s="2" t="s">
        <v>428</v>
      </c>
      <c r="C136" s="2" t="s">
        <v>429</v>
      </c>
      <c r="D136" s="2" t="s">
        <v>430</v>
      </c>
      <c r="E136" s="2" t="s">
        <v>14</v>
      </c>
      <c r="F136" s="3">
        <v>46172</v>
      </c>
      <c r="G136" s="4">
        <v>6</v>
      </c>
      <c r="H136" s="3">
        <v>46175</v>
      </c>
      <c r="I136" s="5">
        <v>15319</v>
      </c>
      <c r="J136" s="2" t="s">
        <v>15</v>
      </c>
      <c r="K136" s="2" t="s">
        <v>530</v>
      </c>
      <c r="O136" s="15">
        <f>H136</f>
        <v>46175</v>
      </c>
      <c r="P136" s="16">
        <f>I136/3.443</f>
        <v>4449.3174557072316</v>
      </c>
    </row>
    <row r="137" spans="1:17" outlineLevel="1" x14ac:dyDescent="0.3">
      <c r="A137" s="2" t="s">
        <v>431</v>
      </c>
      <c r="B137" s="2" t="s">
        <v>432</v>
      </c>
      <c r="C137" s="2" t="s">
        <v>433</v>
      </c>
      <c r="D137" s="2" t="s">
        <v>434</v>
      </c>
      <c r="E137" s="2" t="s">
        <v>68</v>
      </c>
      <c r="F137" s="3">
        <v>46141</v>
      </c>
      <c r="G137" s="4">
        <v>40</v>
      </c>
      <c r="H137" s="3">
        <v>46141</v>
      </c>
      <c r="I137" s="5">
        <v>123265</v>
      </c>
      <c r="J137" s="2" t="s">
        <v>69</v>
      </c>
      <c r="K137" s="2" t="s">
        <v>531</v>
      </c>
      <c r="L137" s="15">
        <f t="shared" ref="L137:L139" si="46">F137+45</f>
        <v>46186</v>
      </c>
      <c r="M137" s="17">
        <f t="shared" ref="M137:M139" ca="1" si="47">TODAY()-N137</f>
        <v>-5</v>
      </c>
      <c r="N137" s="15">
        <v>46186</v>
      </c>
      <c r="O137" s="25">
        <v>46186</v>
      </c>
      <c r="P137" s="26">
        <f t="shared" ref="P137:P139" si="48">I137</f>
        <v>123265</v>
      </c>
      <c r="Q137" s="17">
        <f t="shared" ref="Q137:Q139" ca="1" si="49">TODAY()-F137</f>
        <v>40</v>
      </c>
    </row>
    <row r="138" spans="1:17" outlineLevel="1" x14ac:dyDescent="0.3">
      <c r="A138" s="2" t="s">
        <v>431</v>
      </c>
      <c r="B138" s="2" t="s">
        <v>435</v>
      </c>
      <c r="C138" s="2" t="s">
        <v>436</v>
      </c>
      <c r="D138" s="2" t="s">
        <v>437</v>
      </c>
      <c r="E138" s="2" t="s">
        <v>68</v>
      </c>
      <c r="F138" s="3">
        <v>46141</v>
      </c>
      <c r="G138" s="4">
        <v>40</v>
      </c>
      <c r="H138" s="3">
        <v>46141</v>
      </c>
      <c r="I138" s="5">
        <v>162355</v>
      </c>
      <c r="J138" s="2" t="s">
        <v>69</v>
      </c>
      <c r="K138" s="2" t="s">
        <v>531</v>
      </c>
      <c r="L138" s="15">
        <f t="shared" si="46"/>
        <v>46186</v>
      </c>
      <c r="M138" s="17">
        <f t="shared" ca="1" si="47"/>
        <v>-5</v>
      </c>
      <c r="N138" s="15">
        <v>46186</v>
      </c>
      <c r="O138" s="25">
        <v>46186</v>
      </c>
      <c r="P138" s="26">
        <f t="shared" si="48"/>
        <v>162355</v>
      </c>
      <c r="Q138" s="17">
        <f t="shared" ca="1" si="49"/>
        <v>40</v>
      </c>
    </row>
    <row r="139" spans="1:17" outlineLevel="1" x14ac:dyDescent="0.3">
      <c r="A139" s="2" t="s">
        <v>431</v>
      </c>
      <c r="B139" s="2" t="s">
        <v>438</v>
      </c>
      <c r="C139" s="2" t="s">
        <v>439</v>
      </c>
      <c r="D139" s="2" t="s">
        <v>440</v>
      </c>
      <c r="E139" s="2" t="s">
        <v>73</v>
      </c>
      <c r="F139" s="3">
        <v>46159</v>
      </c>
      <c r="G139" s="6">
        <v>-23</v>
      </c>
      <c r="H139" s="3">
        <v>46204</v>
      </c>
      <c r="I139" s="5">
        <v>230850</v>
      </c>
      <c r="J139" s="2" t="s">
        <v>69</v>
      </c>
      <c r="K139" s="2" t="s">
        <v>531</v>
      </c>
      <c r="L139" s="15">
        <f t="shared" si="46"/>
        <v>46204</v>
      </c>
      <c r="M139" s="17">
        <f t="shared" ca="1" si="47"/>
        <v>-23</v>
      </c>
      <c r="N139" s="15">
        <v>46204</v>
      </c>
      <c r="O139" s="25">
        <f t="shared" ref="O139" si="50">H139</f>
        <v>46204</v>
      </c>
      <c r="P139" s="26">
        <f t="shared" si="48"/>
        <v>230850</v>
      </c>
      <c r="Q139" s="17">
        <f t="shared" ca="1" si="49"/>
        <v>22</v>
      </c>
    </row>
    <row r="140" spans="1:17" hidden="1" outlineLevel="1" x14ac:dyDescent="0.3">
      <c r="A140" s="2" t="s">
        <v>441</v>
      </c>
      <c r="B140" s="2" t="s">
        <v>442</v>
      </c>
      <c r="C140" s="2" t="s">
        <v>443</v>
      </c>
      <c r="D140" s="2" t="s">
        <v>444</v>
      </c>
      <c r="E140" s="2" t="s">
        <v>14</v>
      </c>
      <c r="F140" s="3">
        <v>46174</v>
      </c>
      <c r="G140" s="4">
        <v>0</v>
      </c>
      <c r="H140" s="3">
        <v>46181</v>
      </c>
      <c r="I140" s="5">
        <v>590</v>
      </c>
      <c r="J140" s="2" t="s">
        <v>15</v>
      </c>
      <c r="K140" s="2" t="s">
        <v>526</v>
      </c>
    </row>
    <row r="141" spans="1:17" hidden="1" outlineLevel="1" x14ac:dyDescent="0.3">
      <c r="A141" s="2" t="s">
        <v>441</v>
      </c>
      <c r="B141" s="2" t="s">
        <v>445</v>
      </c>
      <c r="C141" s="2" t="s">
        <v>446</v>
      </c>
      <c r="D141" s="2" t="s">
        <v>447</v>
      </c>
      <c r="E141" s="2" t="s">
        <v>14</v>
      </c>
      <c r="F141" s="3">
        <v>46175</v>
      </c>
      <c r="G141" s="6">
        <v>-1</v>
      </c>
      <c r="H141" s="3">
        <v>46182</v>
      </c>
      <c r="I141" s="5">
        <v>590</v>
      </c>
      <c r="J141" s="2" t="s">
        <v>15</v>
      </c>
      <c r="K141" s="2" t="s">
        <v>526</v>
      </c>
    </row>
    <row r="142" spans="1:17" hidden="1" outlineLevel="1" x14ac:dyDescent="0.3">
      <c r="A142" s="2" t="s">
        <v>441</v>
      </c>
      <c r="B142" s="2" t="s">
        <v>448</v>
      </c>
      <c r="C142" s="2" t="s">
        <v>449</v>
      </c>
      <c r="D142" s="2" t="s">
        <v>450</v>
      </c>
      <c r="E142" s="2" t="s">
        <v>14</v>
      </c>
      <c r="F142" s="3">
        <v>46176</v>
      </c>
      <c r="G142" s="6">
        <v>-2</v>
      </c>
      <c r="H142" s="3">
        <v>46183</v>
      </c>
      <c r="I142" s="5">
        <v>590</v>
      </c>
      <c r="J142" s="2" t="s">
        <v>15</v>
      </c>
      <c r="K142" s="2" t="s">
        <v>526</v>
      </c>
    </row>
    <row r="143" spans="1:17" outlineLevel="1" x14ac:dyDescent="0.3">
      <c r="A143" s="2" t="s">
        <v>451</v>
      </c>
      <c r="B143" s="2" t="s">
        <v>452</v>
      </c>
      <c r="C143" s="2" t="s">
        <v>453</v>
      </c>
      <c r="D143" s="2" t="s">
        <v>454</v>
      </c>
      <c r="E143" s="2" t="s">
        <v>68</v>
      </c>
      <c r="F143" s="3">
        <v>46139</v>
      </c>
      <c r="G143" s="4">
        <v>42</v>
      </c>
      <c r="H143" s="3">
        <v>46139</v>
      </c>
      <c r="I143" s="5">
        <v>116670</v>
      </c>
      <c r="J143" s="2" t="s">
        <v>69</v>
      </c>
      <c r="K143" s="2" t="s">
        <v>531</v>
      </c>
      <c r="L143" s="15">
        <f t="shared" ref="L143:L145" si="51">F143+45</f>
        <v>46184</v>
      </c>
      <c r="M143" s="17">
        <f t="shared" ref="M143:M145" ca="1" si="52">TODAY()-N143</f>
        <v>46181</v>
      </c>
      <c r="N143" s="15"/>
      <c r="O143" s="25">
        <v>46184</v>
      </c>
      <c r="P143" s="26">
        <f t="shared" ref="P143:P145" si="53">I143</f>
        <v>116670</v>
      </c>
      <c r="Q143" s="17">
        <f t="shared" ref="Q143:Q145" ca="1" si="54">TODAY()-F143</f>
        <v>42</v>
      </c>
    </row>
    <row r="144" spans="1:17" outlineLevel="1" x14ac:dyDescent="0.3">
      <c r="A144" s="2" t="s">
        <v>455</v>
      </c>
      <c r="B144" s="2" t="s">
        <v>456</v>
      </c>
      <c r="C144" s="2" t="s">
        <v>457</v>
      </c>
      <c r="D144" s="2" t="s">
        <v>458</v>
      </c>
      <c r="E144" s="2" t="s">
        <v>68</v>
      </c>
      <c r="F144" s="3">
        <v>46141</v>
      </c>
      <c r="G144" s="4">
        <v>40</v>
      </c>
      <c r="H144" s="3">
        <v>46141</v>
      </c>
      <c r="I144" s="5">
        <v>56785</v>
      </c>
      <c r="J144" s="2" t="s">
        <v>69</v>
      </c>
      <c r="K144" s="2" t="s">
        <v>531</v>
      </c>
      <c r="L144" s="15">
        <f t="shared" si="51"/>
        <v>46186</v>
      </c>
      <c r="M144" s="17">
        <f t="shared" ca="1" si="52"/>
        <v>-5</v>
      </c>
      <c r="N144" s="15">
        <v>46186</v>
      </c>
      <c r="O144" s="25">
        <v>46186</v>
      </c>
      <c r="P144" s="26">
        <f t="shared" si="53"/>
        <v>56785</v>
      </c>
      <c r="Q144" s="17">
        <f t="shared" ca="1" si="54"/>
        <v>40</v>
      </c>
    </row>
    <row r="145" spans="1:17" outlineLevel="1" x14ac:dyDescent="0.3">
      <c r="A145" s="2" t="s">
        <v>455</v>
      </c>
      <c r="B145" s="2" t="s">
        <v>459</v>
      </c>
      <c r="C145" s="2" t="s">
        <v>460</v>
      </c>
      <c r="D145" s="2" t="s">
        <v>461</v>
      </c>
      <c r="E145" s="2" t="s">
        <v>68</v>
      </c>
      <c r="F145" s="3">
        <v>46171</v>
      </c>
      <c r="G145" s="4">
        <v>10</v>
      </c>
      <c r="H145" s="3">
        <v>46171</v>
      </c>
      <c r="I145" s="5">
        <v>35725</v>
      </c>
      <c r="J145" s="2" t="s">
        <v>69</v>
      </c>
      <c r="K145" s="2" t="s">
        <v>531</v>
      </c>
      <c r="L145" s="15">
        <f t="shared" si="51"/>
        <v>46216</v>
      </c>
      <c r="M145" s="17">
        <f t="shared" ca="1" si="52"/>
        <v>-35</v>
      </c>
      <c r="N145" s="15">
        <v>46216</v>
      </c>
      <c r="O145" s="25">
        <v>46216</v>
      </c>
      <c r="P145" s="26">
        <f t="shared" si="53"/>
        <v>35725</v>
      </c>
      <c r="Q145" s="17">
        <f t="shared" ca="1" si="54"/>
        <v>10</v>
      </c>
    </row>
    <row r="146" spans="1:17" hidden="1" outlineLevel="1" x14ac:dyDescent="0.3">
      <c r="A146" s="2" t="s">
        <v>462</v>
      </c>
      <c r="B146" s="2" t="s">
        <v>463</v>
      </c>
      <c r="C146" s="2" t="s">
        <v>464</v>
      </c>
      <c r="D146" s="2" t="s">
        <v>465</v>
      </c>
      <c r="E146" s="2" t="s">
        <v>14</v>
      </c>
      <c r="F146" s="3">
        <v>46175</v>
      </c>
      <c r="G146" s="6">
        <v>-1</v>
      </c>
      <c r="H146" s="3">
        <v>46182</v>
      </c>
      <c r="I146" s="5">
        <v>666.94</v>
      </c>
      <c r="J146" s="2" t="s">
        <v>15</v>
      </c>
      <c r="K146" s="2" t="s">
        <v>526</v>
      </c>
    </row>
    <row r="147" spans="1:17" hidden="1" outlineLevel="1" x14ac:dyDescent="0.3">
      <c r="A147" s="2" t="s">
        <v>462</v>
      </c>
      <c r="B147" s="2" t="s">
        <v>466</v>
      </c>
      <c r="C147" s="2" t="s">
        <v>467</v>
      </c>
      <c r="D147" s="2" t="s">
        <v>468</v>
      </c>
      <c r="E147" s="2" t="s">
        <v>14</v>
      </c>
      <c r="F147" s="3">
        <v>46175</v>
      </c>
      <c r="G147" s="6">
        <v>-1</v>
      </c>
      <c r="H147" s="3">
        <v>46182</v>
      </c>
      <c r="I147" s="5">
        <v>123.9</v>
      </c>
      <c r="J147" s="2" t="s">
        <v>15</v>
      </c>
      <c r="K147" s="2" t="s">
        <v>526</v>
      </c>
    </row>
    <row r="148" spans="1:17" hidden="1" outlineLevel="1" x14ac:dyDescent="0.3">
      <c r="A148" s="2" t="s">
        <v>469</v>
      </c>
      <c r="B148" s="2" t="s">
        <v>470</v>
      </c>
      <c r="C148" s="2" t="s">
        <v>471</v>
      </c>
      <c r="D148" s="2" t="s">
        <v>472</v>
      </c>
      <c r="E148" s="2" t="s">
        <v>14</v>
      </c>
      <c r="F148" s="3">
        <v>46167</v>
      </c>
      <c r="G148" s="4">
        <v>7</v>
      </c>
      <c r="H148" s="3">
        <v>46174</v>
      </c>
      <c r="I148" s="5">
        <v>807.12</v>
      </c>
      <c r="J148" s="2" t="s">
        <v>15</v>
      </c>
      <c r="K148" s="2" t="s">
        <v>526</v>
      </c>
    </row>
    <row r="149" spans="1:17" hidden="1" outlineLevel="1" x14ac:dyDescent="0.3">
      <c r="A149" s="2" t="s">
        <v>469</v>
      </c>
      <c r="B149" s="2" t="s">
        <v>473</v>
      </c>
      <c r="C149" s="2" t="s">
        <v>474</v>
      </c>
      <c r="D149" s="2" t="s">
        <v>475</v>
      </c>
      <c r="E149" s="2" t="s">
        <v>14</v>
      </c>
      <c r="F149" s="3">
        <v>46171</v>
      </c>
      <c r="G149" s="4">
        <v>3</v>
      </c>
      <c r="H149" s="3">
        <v>46178</v>
      </c>
      <c r="I149" s="5">
        <v>396.48</v>
      </c>
      <c r="J149" s="2" t="s">
        <v>15</v>
      </c>
      <c r="K149" s="2" t="s">
        <v>526</v>
      </c>
    </row>
    <row r="150" spans="1:17" hidden="1" outlineLevel="1" x14ac:dyDescent="0.3">
      <c r="A150" s="2" t="s">
        <v>469</v>
      </c>
      <c r="B150" s="2" t="s">
        <v>476</v>
      </c>
      <c r="C150" s="2" t="s">
        <v>477</v>
      </c>
      <c r="D150" s="2" t="s">
        <v>478</v>
      </c>
      <c r="E150" s="2" t="s">
        <v>14</v>
      </c>
      <c r="F150" s="3">
        <v>46171</v>
      </c>
      <c r="G150" s="4">
        <v>3</v>
      </c>
      <c r="H150" s="3">
        <v>46178</v>
      </c>
      <c r="I150" s="5">
        <v>396.48</v>
      </c>
      <c r="J150" s="2" t="s">
        <v>15</v>
      </c>
      <c r="K150" s="2" t="s">
        <v>526</v>
      </c>
    </row>
    <row r="151" spans="1:17" outlineLevel="1" x14ac:dyDescent="0.3">
      <c r="A151" s="2" t="s">
        <v>479</v>
      </c>
      <c r="B151" s="2" t="s">
        <v>481</v>
      </c>
      <c r="C151" s="2" t="s">
        <v>482</v>
      </c>
      <c r="D151" s="2" t="s">
        <v>483</v>
      </c>
      <c r="E151" s="2" t="s">
        <v>73</v>
      </c>
      <c r="F151" s="3">
        <v>46159</v>
      </c>
      <c r="G151" s="6">
        <v>-23</v>
      </c>
      <c r="H151" s="3">
        <v>46204</v>
      </c>
      <c r="I151" s="5">
        <v>140000</v>
      </c>
      <c r="J151" s="2" t="s">
        <v>69</v>
      </c>
      <c r="K151" s="2" t="s">
        <v>531</v>
      </c>
      <c r="L151" s="15">
        <f t="shared" ref="L151:L161" si="55">F151+45</f>
        <v>46204</v>
      </c>
      <c r="M151" s="17">
        <f t="shared" ref="M151:M161" ca="1" si="56">TODAY()-N151</f>
        <v>-23</v>
      </c>
      <c r="N151" s="15">
        <v>46204</v>
      </c>
      <c r="O151" s="25">
        <f t="shared" ref="O151:O161" si="57">H151</f>
        <v>46204</v>
      </c>
      <c r="P151" s="26">
        <f t="shared" ref="P151:P161" si="58">I151</f>
        <v>140000</v>
      </c>
      <c r="Q151" s="17">
        <f t="shared" ref="Q151:Q161" ca="1" si="59">TODAY()-F151</f>
        <v>22</v>
      </c>
    </row>
    <row r="152" spans="1:17" outlineLevel="1" x14ac:dyDescent="0.3">
      <c r="A152" s="2" t="s">
        <v>479</v>
      </c>
      <c r="B152" s="2" t="s">
        <v>484</v>
      </c>
      <c r="C152" s="2" t="s">
        <v>485</v>
      </c>
      <c r="D152" s="2" t="s">
        <v>486</v>
      </c>
      <c r="E152" s="2" t="s">
        <v>73</v>
      </c>
      <c r="F152" s="3">
        <v>46164</v>
      </c>
      <c r="G152" s="6">
        <v>-28</v>
      </c>
      <c r="H152" s="3">
        <v>46209</v>
      </c>
      <c r="I152" s="5">
        <v>107640</v>
      </c>
      <c r="J152" s="2" t="s">
        <v>69</v>
      </c>
      <c r="K152" s="2" t="s">
        <v>531</v>
      </c>
      <c r="L152" s="15">
        <f t="shared" si="55"/>
        <v>46209</v>
      </c>
      <c r="M152" s="17">
        <f t="shared" ca="1" si="56"/>
        <v>-28</v>
      </c>
      <c r="N152" s="15">
        <v>46209</v>
      </c>
      <c r="O152" s="25">
        <f t="shared" si="57"/>
        <v>46209</v>
      </c>
      <c r="P152" s="26">
        <f t="shared" si="58"/>
        <v>107640</v>
      </c>
      <c r="Q152" s="17">
        <f t="shared" ca="1" si="59"/>
        <v>17</v>
      </c>
    </row>
    <row r="153" spans="1:17" outlineLevel="1" x14ac:dyDescent="0.3">
      <c r="A153" s="2" t="s">
        <v>479</v>
      </c>
      <c r="B153" s="2" t="s">
        <v>487</v>
      </c>
      <c r="C153" s="2" t="s">
        <v>488</v>
      </c>
      <c r="D153" s="2" t="s">
        <v>489</v>
      </c>
      <c r="E153" s="2" t="s">
        <v>73</v>
      </c>
      <c r="F153" s="3">
        <v>46171</v>
      </c>
      <c r="G153" s="6">
        <v>-35</v>
      </c>
      <c r="H153" s="3">
        <v>46216</v>
      </c>
      <c r="I153" s="5">
        <v>53360</v>
      </c>
      <c r="J153" s="2" t="s">
        <v>69</v>
      </c>
      <c r="K153" s="2" t="s">
        <v>531</v>
      </c>
      <c r="L153" s="15">
        <f t="shared" si="55"/>
        <v>46216</v>
      </c>
      <c r="M153" s="17">
        <f t="shared" ca="1" si="56"/>
        <v>-35</v>
      </c>
      <c r="N153" s="15">
        <v>46216</v>
      </c>
      <c r="O153" s="25">
        <f t="shared" si="57"/>
        <v>46216</v>
      </c>
      <c r="P153" s="26">
        <f t="shared" si="58"/>
        <v>53360</v>
      </c>
      <c r="Q153" s="17">
        <f t="shared" ca="1" si="59"/>
        <v>10</v>
      </c>
    </row>
    <row r="154" spans="1:17" outlineLevel="1" x14ac:dyDescent="0.3">
      <c r="A154" s="2" t="s">
        <v>479</v>
      </c>
      <c r="B154" s="2" t="s">
        <v>490</v>
      </c>
      <c r="C154" s="2" t="s">
        <v>491</v>
      </c>
      <c r="D154" s="2" t="s">
        <v>492</v>
      </c>
      <c r="E154" s="2" t="s">
        <v>73</v>
      </c>
      <c r="F154" s="3">
        <v>46171</v>
      </c>
      <c r="G154" s="6">
        <v>-35</v>
      </c>
      <c r="H154" s="3">
        <v>46216</v>
      </c>
      <c r="I154" s="5">
        <v>43200</v>
      </c>
      <c r="J154" s="2" t="s">
        <v>69</v>
      </c>
      <c r="K154" s="2" t="s">
        <v>531</v>
      </c>
      <c r="L154" s="15">
        <f t="shared" si="55"/>
        <v>46216</v>
      </c>
      <c r="M154" s="17">
        <f t="shared" ca="1" si="56"/>
        <v>-35</v>
      </c>
      <c r="N154" s="15">
        <v>46216</v>
      </c>
      <c r="O154" s="25">
        <f t="shared" si="57"/>
        <v>46216</v>
      </c>
      <c r="P154" s="26">
        <f t="shared" si="58"/>
        <v>43200</v>
      </c>
      <c r="Q154" s="17">
        <f t="shared" ca="1" si="59"/>
        <v>10</v>
      </c>
    </row>
    <row r="155" spans="1:17" outlineLevel="1" x14ac:dyDescent="0.3">
      <c r="A155" s="2" t="s">
        <v>493</v>
      </c>
      <c r="B155" s="2" t="s">
        <v>494</v>
      </c>
      <c r="C155" s="2" t="s">
        <v>495</v>
      </c>
      <c r="D155" s="2" t="s">
        <v>496</v>
      </c>
      <c r="E155" s="2" t="s">
        <v>68</v>
      </c>
      <c r="F155" s="3">
        <v>46164</v>
      </c>
      <c r="G155" s="4">
        <v>17</v>
      </c>
      <c r="H155" s="3">
        <v>46164</v>
      </c>
      <c r="I155" s="5">
        <v>22575</v>
      </c>
      <c r="J155" s="2" t="s">
        <v>69</v>
      </c>
      <c r="K155" s="2" t="s">
        <v>531</v>
      </c>
      <c r="L155" s="15">
        <f t="shared" si="55"/>
        <v>46209</v>
      </c>
      <c r="M155" s="17">
        <f t="shared" ca="1" si="56"/>
        <v>-28</v>
      </c>
      <c r="N155" s="15">
        <v>46209</v>
      </c>
      <c r="O155" s="25">
        <v>46209</v>
      </c>
      <c r="P155" s="26">
        <f t="shared" si="58"/>
        <v>22575</v>
      </c>
      <c r="Q155" s="17">
        <f t="shared" ca="1" si="59"/>
        <v>17</v>
      </c>
    </row>
    <row r="156" spans="1:17" outlineLevel="1" x14ac:dyDescent="0.3">
      <c r="A156" s="2" t="s">
        <v>497</v>
      </c>
      <c r="B156" s="2" t="s">
        <v>498</v>
      </c>
      <c r="C156" s="2" t="s">
        <v>499</v>
      </c>
      <c r="D156" s="2" t="s">
        <v>500</v>
      </c>
      <c r="E156" s="2" t="s">
        <v>68</v>
      </c>
      <c r="F156" s="3">
        <v>46171</v>
      </c>
      <c r="G156" s="4">
        <v>10</v>
      </c>
      <c r="H156" s="3">
        <v>46171</v>
      </c>
      <c r="I156" s="5">
        <v>52933.5</v>
      </c>
      <c r="J156" s="2" t="s">
        <v>69</v>
      </c>
      <c r="K156" s="2" t="s">
        <v>531</v>
      </c>
      <c r="L156" s="15">
        <f t="shared" si="55"/>
        <v>46216</v>
      </c>
      <c r="M156" s="17">
        <f t="shared" ca="1" si="56"/>
        <v>-35</v>
      </c>
      <c r="N156" s="15">
        <v>46216</v>
      </c>
      <c r="O156" s="25">
        <f t="shared" si="57"/>
        <v>46171</v>
      </c>
      <c r="P156" s="26">
        <f t="shared" si="58"/>
        <v>52933.5</v>
      </c>
      <c r="Q156" s="17">
        <f t="shared" ca="1" si="59"/>
        <v>10</v>
      </c>
    </row>
    <row r="157" spans="1:17" outlineLevel="1" x14ac:dyDescent="0.3">
      <c r="A157" s="2" t="s">
        <v>501</v>
      </c>
      <c r="B157" s="2" t="s">
        <v>502</v>
      </c>
      <c r="C157" s="2" t="s">
        <v>503</v>
      </c>
      <c r="D157" s="2" t="s">
        <v>504</v>
      </c>
      <c r="E157" s="2" t="s">
        <v>68</v>
      </c>
      <c r="F157" s="3">
        <v>46166</v>
      </c>
      <c r="G157" s="4">
        <v>15</v>
      </c>
      <c r="H157" s="3">
        <v>46166</v>
      </c>
      <c r="I157" s="5">
        <v>90691</v>
      </c>
      <c r="J157" s="2" t="s">
        <v>69</v>
      </c>
      <c r="K157" s="2" t="s">
        <v>531</v>
      </c>
      <c r="L157" s="15">
        <f t="shared" si="55"/>
        <v>46211</v>
      </c>
      <c r="M157" s="17">
        <f t="shared" ca="1" si="56"/>
        <v>-30</v>
      </c>
      <c r="N157" s="15">
        <v>46211</v>
      </c>
      <c r="O157" s="25">
        <v>46211</v>
      </c>
      <c r="P157" s="26">
        <f t="shared" si="58"/>
        <v>90691</v>
      </c>
      <c r="Q157" s="17">
        <f t="shared" ca="1" si="59"/>
        <v>15</v>
      </c>
    </row>
    <row r="158" spans="1:17" outlineLevel="1" x14ac:dyDescent="0.3">
      <c r="A158" s="2" t="s">
        <v>505</v>
      </c>
      <c r="B158" s="2" t="s">
        <v>506</v>
      </c>
      <c r="C158" s="2" t="s">
        <v>507</v>
      </c>
      <c r="D158" s="2" t="s">
        <v>508</v>
      </c>
      <c r="E158" s="2" t="s">
        <v>73</v>
      </c>
      <c r="F158" s="3">
        <v>46136</v>
      </c>
      <c r="G158" s="4">
        <v>0</v>
      </c>
      <c r="H158" s="3">
        <v>46181</v>
      </c>
      <c r="I158" s="5">
        <v>30250</v>
      </c>
      <c r="J158" s="2" t="s">
        <v>69</v>
      </c>
      <c r="K158" s="2" t="s">
        <v>531</v>
      </c>
      <c r="L158" s="15">
        <f t="shared" si="55"/>
        <v>46181</v>
      </c>
      <c r="M158" s="17">
        <f t="shared" ca="1" si="56"/>
        <v>0</v>
      </c>
      <c r="N158" s="15">
        <v>46181</v>
      </c>
      <c r="O158" s="25">
        <v>46183</v>
      </c>
      <c r="P158" s="26">
        <f t="shared" si="58"/>
        <v>30250</v>
      </c>
      <c r="Q158" s="17">
        <f ca="1">TODAY()-F158</f>
        <v>45</v>
      </c>
    </row>
    <row r="159" spans="1:17" outlineLevel="1" x14ac:dyDescent="0.3">
      <c r="A159" s="2" t="s">
        <v>509</v>
      </c>
      <c r="B159" s="2" t="s">
        <v>510</v>
      </c>
      <c r="C159" s="2" t="s">
        <v>511</v>
      </c>
      <c r="D159" s="2" t="s">
        <v>512</v>
      </c>
      <c r="E159" s="2" t="s">
        <v>68</v>
      </c>
      <c r="F159" s="3">
        <v>46134</v>
      </c>
      <c r="G159" s="4">
        <v>47</v>
      </c>
      <c r="H159" s="3">
        <v>46134</v>
      </c>
      <c r="I159" s="5">
        <v>67066</v>
      </c>
      <c r="J159" s="2" t="s">
        <v>69</v>
      </c>
      <c r="K159" s="2" t="s">
        <v>531</v>
      </c>
      <c r="L159" s="15">
        <f t="shared" si="55"/>
        <v>46179</v>
      </c>
      <c r="M159" s="17">
        <f t="shared" ca="1" si="56"/>
        <v>2</v>
      </c>
      <c r="N159" s="15">
        <v>46179</v>
      </c>
      <c r="O159" s="25">
        <v>46183</v>
      </c>
      <c r="P159" s="26">
        <f t="shared" si="58"/>
        <v>67066</v>
      </c>
      <c r="Q159" s="17">
        <f t="shared" ca="1" si="59"/>
        <v>47</v>
      </c>
    </row>
    <row r="160" spans="1:17" outlineLevel="1" x14ac:dyDescent="0.3">
      <c r="A160" s="2" t="s">
        <v>513</v>
      </c>
      <c r="B160" s="2" t="s">
        <v>514</v>
      </c>
      <c r="C160" s="2" t="s">
        <v>515</v>
      </c>
      <c r="D160" s="2" t="s">
        <v>516</v>
      </c>
      <c r="E160" s="2" t="s">
        <v>68</v>
      </c>
      <c r="F160" s="3">
        <v>46168</v>
      </c>
      <c r="G160" s="4">
        <v>13</v>
      </c>
      <c r="H160" s="3">
        <v>46168</v>
      </c>
      <c r="I160" s="5">
        <v>72759</v>
      </c>
      <c r="J160" s="2" t="s">
        <v>69</v>
      </c>
      <c r="K160" s="2" t="s">
        <v>531</v>
      </c>
      <c r="L160" s="15">
        <f t="shared" si="55"/>
        <v>46213</v>
      </c>
      <c r="M160" s="17">
        <f t="shared" ca="1" si="56"/>
        <v>-32</v>
      </c>
      <c r="N160" s="15">
        <v>46213</v>
      </c>
      <c r="O160" s="25">
        <v>46213</v>
      </c>
      <c r="P160" s="26">
        <f t="shared" si="58"/>
        <v>72759</v>
      </c>
      <c r="Q160" s="17">
        <f t="shared" ca="1" si="59"/>
        <v>13</v>
      </c>
    </row>
    <row r="161" spans="1:17" outlineLevel="1" x14ac:dyDescent="0.3">
      <c r="A161" s="2" t="s">
        <v>517</v>
      </c>
      <c r="B161" s="2" t="s">
        <v>518</v>
      </c>
      <c r="C161" s="2" t="s">
        <v>519</v>
      </c>
      <c r="D161" s="2" t="s">
        <v>520</v>
      </c>
      <c r="E161" s="2" t="s">
        <v>68</v>
      </c>
      <c r="F161" s="3">
        <v>46173</v>
      </c>
      <c r="G161" s="4">
        <v>8</v>
      </c>
      <c r="H161" s="3">
        <v>46173</v>
      </c>
      <c r="I161" s="5">
        <v>115561</v>
      </c>
      <c r="J161" s="2" t="s">
        <v>69</v>
      </c>
      <c r="K161" s="2" t="s">
        <v>531</v>
      </c>
      <c r="L161" s="15">
        <f t="shared" si="55"/>
        <v>46218</v>
      </c>
      <c r="M161" s="17">
        <f t="shared" ca="1" si="56"/>
        <v>46181</v>
      </c>
      <c r="N161" s="15"/>
      <c r="O161" s="25">
        <f t="shared" si="57"/>
        <v>46173</v>
      </c>
      <c r="P161" s="26">
        <f t="shared" si="58"/>
        <v>115561</v>
      </c>
      <c r="Q161" s="17">
        <f t="shared" ca="1" si="59"/>
        <v>8</v>
      </c>
    </row>
    <row r="165" spans="1:17" x14ac:dyDescent="0.3">
      <c r="K165" s="16"/>
    </row>
    <row r="166" spans="1:17" x14ac:dyDescent="0.3">
      <c r="K166" s="16"/>
    </row>
    <row r="167" spans="1:17" x14ac:dyDescent="0.3">
      <c r="K167" s="18"/>
    </row>
    <row r="168" spans="1:17" x14ac:dyDescent="0.3">
      <c r="K168" s="10"/>
    </row>
  </sheetData>
  <autoFilter ref="A1:R161" xr:uid="{00000000-0001-0000-0000-000000000000}">
    <filterColumn colId="10">
      <filters>
        <filter val="EXPORTACIÓN"/>
      </filters>
    </filterColumn>
  </autoFilter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789B6-BCA5-4375-999A-20959E46E8A2}">
  <dimension ref="A1:W34"/>
  <sheetViews>
    <sheetView tabSelected="1" zoomScale="80" zoomScaleNormal="80" workbookViewId="0">
      <pane xSplit="1" ySplit="6" topLeftCell="D7" activePane="bottomRight" state="frozen"/>
      <selection pane="topRight" activeCell="B1" sqref="B1"/>
      <selection pane="bottomLeft" activeCell="A7" sqref="A7"/>
      <selection pane="bottomRight" activeCell="I33" sqref="I33"/>
    </sheetView>
  </sheetViews>
  <sheetFormatPr baseColWidth="10" defaultRowHeight="14.4" x14ac:dyDescent="0.3"/>
  <cols>
    <col min="1" max="1" width="37.88671875" bestFit="1" customWidth="1"/>
    <col min="2" max="2" width="22.77734375" bestFit="1" customWidth="1"/>
    <col min="3" max="3" width="10.33203125" bestFit="1" customWidth="1"/>
    <col min="4" max="4" width="8.5546875" bestFit="1" customWidth="1"/>
    <col min="5" max="7" width="10.33203125" bestFit="1" customWidth="1"/>
    <col min="8" max="8" width="9.109375" bestFit="1" customWidth="1"/>
    <col min="9" max="14" width="10.33203125" bestFit="1" customWidth="1"/>
    <col min="15" max="15" width="10.44140625" bestFit="1" customWidth="1"/>
    <col min="16" max="18" width="9.33203125" bestFit="1" customWidth="1"/>
    <col min="19" max="20" width="10.33203125" bestFit="1" customWidth="1"/>
    <col min="21" max="22" width="10.44140625" bestFit="1" customWidth="1"/>
    <col min="23" max="24" width="12.21875" bestFit="1" customWidth="1"/>
  </cols>
  <sheetData>
    <row r="1" spans="1:23" x14ac:dyDescent="0.3">
      <c r="A1" s="8" t="s">
        <v>525</v>
      </c>
      <c r="B1" t="s">
        <v>531</v>
      </c>
    </row>
    <row r="3" spans="1:23" x14ac:dyDescent="0.3">
      <c r="A3" s="8" t="s">
        <v>542</v>
      </c>
      <c r="B3" s="8" t="s">
        <v>523</v>
      </c>
    </row>
    <row r="4" spans="1:23" x14ac:dyDescent="0.3">
      <c r="B4" t="s">
        <v>524</v>
      </c>
      <c r="V4" t="s">
        <v>543</v>
      </c>
      <c r="W4" t="s">
        <v>522</v>
      </c>
    </row>
    <row r="5" spans="1:23" x14ac:dyDescent="0.3">
      <c r="B5" t="s">
        <v>539</v>
      </c>
      <c r="D5" t="s">
        <v>545</v>
      </c>
      <c r="E5" t="s">
        <v>540</v>
      </c>
      <c r="H5" t="s">
        <v>546</v>
      </c>
      <c r="I5" t="s">
        <v>541</v>
      </c>
      <c r="O5" t="s">
        <v>547</v>
      </c>
      <c r="P5" t="s">
        <v>544</v>
      </c>
      <c r="U5" t="s">
        <v>548</v>
      </c>
    </row>
    <row r="6" spans="1:23" x14ac:dyDescent="0.3">
      <c r="A6" s="8" t="s">
        <v>521</v>
      </c>
      <c r="B6" s="15">
        <v>46138</v>
      </c>
      <c r="C6" s="15">
        <v>46140</v>
      </c>
      <c r="E6" s="15">
        <v>46159</v>
      </c>
      <c r="F6" s="15">
        <v>46171</v>
      </c>
      <c r="G6" s="15">
        <v>46173</v>
      </c>
      <c r="I6" s="15">
        <v>46183</v>
      </c>
      <c r="J6" s="15">
        <v>46184</v>
      </c>
      <c r="K6" s="15">
        <v>46186</v>
      </c>
      <c r="L6" s="15">
        <v>46188</v>
      </c>
      <c r="M6" s="15">
        <v>46199</v>
      </c>
      <c r="N6" s="15">
        <v>46203</v>
      </c>
      <c r="P6" s="15">
        <v>46204</v>
      </c>
      <c r="Q6" s="15">
        <v>46209</v>
      </c>
      <c r="R6" s="15">
        <v>46211</v>
      </c>
      <c r="S6" s="15">
        <v>46213</v>
      </c>
      <c r="T6" s="15">
        <v>46216</v>
      </c>
    </row>
    <row r="7" spans="1:23" x14ac:dyDescent="0.3">
      <c r="A7" s="9" t="s">
        <v>233</v>
      </c>
      <c r="B7" s="19"/>
      <c r="C7" s="19"/>
      <c r="D7" s="19"/>
      <c r="E7" s="19"/>
      <c r="F7" s="19"/>
      <c r="G7" s="19"/>
      <c r="H7" s="19"/>
      <c r="I7" s="19">
        <v>525147.75</v>
      </c>
      <c r="J7" s="19"/>
      <c r="K7" s="19">
        <v>104730.75</v>
      </c>
      <c r="L7" s="19"/>
      <c r="M7" s="19">
        <v>210208.5</v>
      </c>
      <c r="N7" s="19"/>
      <c r="O7" s="19">
        <v>840087</v>
      </c>
      <c r="P7" s="19"/>
      <c r="Q7" s="19">
        <v>51903</v>
      </c>
      <c r="R7" s="19">
        <v>263036.25</v>
      </c>
      <c r="S7" s="19"/>
      <c r="T7" s="19">
        <v>104730.75</v>
      </c>
      <c r="U7" s="19">
        <v>419670</v>
      </c>
      <c r="V7" s="19">
        <v>1259757</v>
      </c>
      <c r="W7" s="19">
        <v>1259757</v>
      </c>
    </row>
    <row r="8" spans="1:23" x14ac:dyDescent="0.3">
      <c r="A8" s="9" t="s">
        <v>65</v>
      </c>
      <c r="B8" s="19"/>
      <c r="C8" s="19"/>
      <c r="D8" s="19"/>
      <c r="E8" s="19"/>
      <c r="F8" s="19"/>
      <c r="G8" s="19">
        <v>-30220</v>
      </c>
      <c r="H8" s="19">
        <v>-30220</v>
      </c>
      <c r="I8" s="19"/>
      <c r="J8" s="19"/>
      <c r="K8" s="19"/>
      <c r="L8" s="19"/>
      <c r="M8" s="19"/>
      <c r="N8" s="19"/>
      <c r="O8" s="19"/>
      <c r="P8" s="19"/>
      <c r="Q8" s="19">
        <v>109650</v>
      </c>
      <c r="R8" s="19"/>
      <c r="S8" s="19">
        <v>156600</v>
      </c>
      <c r="T8" s="19">
        <v>571890</v>
      </c>
      <c r="U8" s="19">
        <v>838140</v>
      </c>
      <c r="V8" s="19">
        <v>807920</v>
      </c>
      <c r="W8" s="19">
        <v>807920</v>
      </c>
    </row>
    <row r="9" spans="1:23" x14ac:dyDescent="0.3">
      <c r="A9" s="9" t="s">
        <v>118</v>
      </c>
      <c r="B9" s="19"/>
      <c r="C9" s="19"/>
      <c r="D9" s="19"/>
      <c r="E9" s="19">
        <v>6821</v>
      </c>
      <c r="F9" s="19"/>
      <c r="G9" s="19"/>
      <c r="H9" s="19">
        <v>6821</v>
      </c>
      <c r="I9" s="19"/>
      <c r="J9" s="19"/>
      <c r="K9" s="19"/>
      <c r="L9" s="19"/>
      <c r="M9" s="19"/>
      <c r="N9" s="19"/>
      <c r="O9" s="19"/>
      <c r="P9" s="19">
        <v>28150</v>
      </c>
      <c r="Q9" s="19"/>
      <c r="R9" s="19"/>
      <c r="S9" s="19"/>
      <c r="T9" s="19"/>
      <c r="U9" s="19">
        <v>28150</v>
      </c>
      <c r="V9" s="19">
        <v>34971</v>
      </c>
      <c r="W9" s="19">
        <v>34971</v>
      </c>
    </row>
    <row r="10" spans="1:23" x14ac:dyDescent="0.3">
      <c r="A10" s="9" t="s">
        <v>144</v>
      </c>
      <c r="B10" s="19"/>
      <c r="C10" s="19"/>
      <c r="D10" s="19"/>
      <c r="E10" s="19"/>
      <c r="F10" s="19"/>
      <c r="G10" s="19"/>
      <c r="H10" s="19"/>
      <c r="I10" s="19"/>
      <c r="J10" s="19">
        <v>311070</v>
      </c>
      <c r="K10" s="19"/>
      <c r="L10" s="19"/>
      <c r="M10" s="19"/>
      <c r="N10" s="19"/>
      <c r="O10" s="19">
        <v>311070</v>
      </c>
      <c r="P10" s="19"/>
      <c r="Q10" s="19"/>
      <c r="R10" s="19"/>
      <c r="S10" s="19"/>
      <c r="T10" s="19"/>
      <c r="U10" s="19"/>
      <c r="V10" s="19">
        <v>311070</v>
      </c>
      <c r="W10" s="19">
        <v>311070</v>
      </c>
    </row>
    <row r="11" spans="1:23" x14ac:dyDescent="0.3">
      <c r="A11" s="9" t="s">
        <v>148</v>
      </c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>
        <v>37935</v>
      </c>
      <c r="O11" s="19">
        <v>37935</v>
      </c>
      <c r="P11" s="19"/>
      <c r="Q11" s="19"/>
      <c r="R11" s="19"/>
      <c r="S11" s="19"/>
      <c r="T11" s="19"/>
      <c r="U11" s="19"/>
      <c r="V11" s="19">
        <v>37935</v>
      </c>
      <c r="W11" s="19">
        <v>37935</v>
      </c>
    </row>
    <row r="12" spans="1:23" x14ac:dyDescent="0.3">
      <c r="A12" s="9" t="s">
        <v>152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>
        <v>16355.92</v>
      </c>
      <c r="M12" s="19"/>
      <c r="N12" s="19"/>
      <c r="O12" s="19">
        <v>16355.92</v>
      </c>
      <c r="P12" s="19"/>
      <c r="Q12" s="19">
        <v>60536</v>
      </c>
      <c r="R12" s="19"/>
      <c r="S12" s="19">
        <v>74100</v>
      </c>
      <c r="T12" s="19"/>
      <c r="U12" s="19">
        <v>134636</v>
      </c>
      <c r="V12" s="19">
        <v>150991.91999999998</v>
      </c>
      <c r="W12" s="19">
        <v>150991.91999999998</v>
      </c>
    </row>
    <row r="13" spans="1:23" x14ac:dyDescent="0.3">
      <c r="A13" s="9" t="s">
        <v>163</v>
      </c>
      <c r="B13" s="19"/>
      <c r="C13" s="19"/>
      <c r="D13" s="19"/>
      <c r="E13" s="19"/>
      <c r="F13" s="19"/>
      <c r="G13" s="19"/>
      <c r="H13" s="19"/>
      <c r="I13" s="19"/>
      <c r="J13" s="19">
        <v>19830</v>
      </c>
      <c r="K13" s="19">
        <v>36040</v>
      </c>
      <c r="L13" s="19"/>
      <c r="M13" s="19"/>
      <c r="N13" s="19"/>
      <c r="O13" s="19">
        <v>55870</v>
      </c>
      <c r="P13" s="19">
        <v>53812.5</v>
      </c>
      <c r="Q13" s="19"/>
      <c r="R13" s="19"/>
      <c r="S13" s="19"/>
      <c r="T13" s="19"/>
      <c r="U13" s="19">
        <v>53812.5</v>
      </c>
      <c r="V13" s="19">
        <v>109682.5</v>
      </c>
      <c r="W13" s="19">
        <v>109682.5</v>
      </c>
    </row>
    <row r="14" spans="1:23" x14ac:dyDescent="0.3">
      <c r="A14" s="9" t="s">
        <v>222</v>
      </c>
      <c r="B14" s="19"/>
      <c r="C14" s="19"/>
      <c r="D14" s="19"/>
      <c r="E14" s="19"/>
      <c r="F14" s="19"/>
      <c r="G14" s="19">
        <v>-34580</v>
      </c>
      <c r="H14" s="19">
        <v>-34580</v>
      </c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>
        <v>-34580</v>
      </c>
      <c r="W14" s="19">
        <v>-34580</v>
      </c>
    </row>
    <row r="15" spans="1:23" x14ac:dyDescent="0.3">
      <c r="A15" s="9" t="s">
        <v>226</v>
      </c>
      <c r="B15" s="19"/>
      <c r="C15" s="19">
        <v>-1504</v>
      </c>
      <c r="D15" s="19">
        <v>-1504</v>
      </c>
      <c r="E15" s="19"/>
      <c r="F15" s="19"/>
      <c r="G15" s="19">
        <v>-36370</v>
      </c>
      <c r="H15" s="19">
        <v>-36370</v>
      </c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>
        <v>-37874</v>
      </c>
      <c r="W15" s="19">
        <v>-37874</v>
      </c>
    </row>
    <row r="16" spans="1:23" x14ac:dyDescent="0.3">
      <c r="A16" s="9" t="s">
        <v>253</v>
      </c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>
        <v>212594</v>
      </c>
      <c r="S16" s="19"/>
      <c r="T16" s="19">
        <v>54540</v>
      </c>
      <c r="U16" s="19">
        <v>267134</v>
      </c>
      <c r="V16" s="19">
        <v>267134</v>
      </c>
      <c r="W16" s="19">
        <v>267134</v>
      </c>
    </row>
    <row r="17" spans="1:23" x14ac:dyDescent="0.3">
      <c r="A17" s="9" t="s">
        <v>260</v>
      </c>
      <c r="B17" s="19">
        <v>-4560</v>
      </c>
      <c r="C17" s="19"/>
      <c r="D17" s="19">
        <v>-4560</v>
      </c>
      <c r="E17" s="19"/>
      <c r="F17" s="19"/>
      <c r="G17" s="19"/>
      <c r="H17" s="19"/>
      <c r="I17" s="19"/>
      <c r="J17" s="19"/>
      <c r="K17" s="19">
        <v>396900</v>
      </c>
      <c r="L17" s="19"/>
      <c r="M17" s="19"/>
      <c r="N17" s="19"/>
      <c r="O17" s="19">
        <v>396900</v>
      </c>
      <c r="P17" s="19">
        <v>113820</v>
      </c>
      <c r="Q17" s="19">
        <v>56280</v>
      </c>
      <c r="R17" s="19">
        <v>113400</v>
      </c>
      <c r="S17" s="19"/>
      <c r="T17" s="19">
        <v>56700</v>
      </c>
      <c r="U17" s="19">
        <v>340200</v>
      </c>
      <c r="V17" s="19">
        <v>732540</v>
      </c>
      <c r="W17" s="19">
        <v>732540</v>
      </c>
    </row>
    <row r="18" spans="1:23" x14ac:dyDescent="0.3">
      <c r="A18" s="9" t="s">
        <v>353</v>
      </c>
      <c r="B18" s="19"/>
      <c r="C18" s="19"/>
      <c r="D18" s="19"/>
      <c r="E18" s="19"/>
      <c r="F18" s="19"/>
      <c r="G18" s="19">
        <v>-33334</v>
      </c>
      <c r="H18" s="19">
        <v>-33334</v>
      </c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>
        <v>67008</v>
      </c>
      <c r="U18" s="19">
        <v>67008</v>
      </c>
      <c r="V18" s="19">
        <v>33674</v>
      </c>
      <c r="W18" s="19">
        <v>33674</v>
      </c>
    </row>
    <row r="19" spans="1:23" x14ac:dyDescent="0.3">
      <c r="A19" s="9" t="s">
        <v>360</v>
      </c>
      <c r="B19" s="19"/>
      <c r="C19" s="19"/>
      <c r="D19" s="19"/>
      <c r="E19" s="19"/>
      <c r="F19" s="19"/>
      <c r="G19" s="19"/>
      <c r="H19" s="19"/>
      <c r="I19" s="19">
        <v>36400</v>
      </c>
      <c r="J19" s="19">
        <v>36400</v>
      </c>
      <c r="K19" s="19"/>
      <c r="L19" s="19"/>
      <c r="M19" s="19"/>
      <c r="N19" s="19"/>
      <c r="O19" s="19">
        <v>72800</v>
      </c>
      <c r="P19" s="19"/>
      <c r="Q19" s="19">
        <v>80600</v>
      </c>
      <c r="R19" s="19"/>
      <c r="S19" s="19"/>
      <c r="T19" s="19"/>
      <c r="U19" s="19">
        <v>80600</v>
      </c>
      <c r="V19" s="19">
        <v>153400</v>
      </c>
      <c r="W19" s="19">
        <v>153400</v>
      </c>
    </row>
    <row r="20" spans="1:23" x14ac:dyDescent="0.3">
      <c r="A20" s="9" t="s">
        <v>432</v>
      </c>
      <c r="B20" s="19"/>
      <c r="C20" s="19"/>
      <c r="D20" s="19"/>
      <c r="E20" s="19"/>
      <c r="F20" s="19"/>
      <c r="G20" s="19"/>
      <c r="H20" s="19"/>
      <c r="I20" s="19"/>
      <c r="J20" s="19"/>
      <c r="K20" s="19">
        <v>285620</v>
      </c>
      <c r="L20" s="19"/>
      <c r="M20" s="19"/>
      <c r="N20" s="19"/>
      <c r="O20" s="19">
        <v>285620</v>
      </c>
      <c r="P20" s="19">
        <v>230850</v>
      </c>
      <c r="Q20" s="19"/>
      <c r="R20" s="19"/>
      <c r="S20" s="19"/>
      <c r="T20" s="19"/>
      <c r="U20" s="19">
        <v>230850</v>
      </c>
      <c r="V20" s="19">
        <v>516470</v>
      </c>
      <c r="W20" s="19">
        <v>516470</v>
      </c>
    </row>
    <row r="21" spans="1:23" x14ac:dyDescent="0.3">
      <c r="A21" s="9" t="s">
        <v>452</v>
      </c>
      <c r="B21" s="19"/>
      <c r="C21" s="19"/>
      <c r="D21" s="19"/>
      <c r="E21" s="19"/>
      <c r="F21" s="19"/>
      <c r="G21" s="19"/>
      <c r="H21" s="19"/>
      <c r="I21" s="19"/>
      <c r="J21" s="19">
        <v>116670</v>
      </c>
      <c r="K21" s="19"/>
      <c r="L21" s="19"/>
      <c r="M21" s="19"/>
      <c r="N21" s="19"/>
      <c r="O21" s="19">
        <v>116670</v>
      </c>
      <c r="P21" s="19"/>
      <c r="Q21" s="19"/>
      <c r="R21" s="19"/>
      <c r="S21" s="19"/>
      <c r="T21" s="19"/>
      <c r="U21" s="19"/>
      <c r="V21" s="19">
        <v>116670</v>
      </c>
      <c r="W21" s="19">
        <v>116670</v>
      </c>
    </row>
    <row r="22" spans="1:23" x14ac:dyDescent="0.3">
      <c r="A22" s="9" t="s">
        <v>456</v>
      </c>
      <c r="B22" s="19"/>
      <c r="C22" s="19"/>
      <c r="D22" s="19"/>
      <c r="E22" s="19"/>
      <c r="F22" s="19"/>
      <c r="G22" s="19"/>
      <c r="H22" s="19"/>
      <c r="I22" s="19"/>
      <c r="J22" s="19"/>
      <c r="K22" s="19">
        <v>56785</v>
      </c>
      <c r="L22" s="19"/>
      <c r="M22" s="19"/>
      <c r="N22" s="19"/>
      <c r="O22" s="19">
        <v>56785</v>
      </c>
      <c r="P22" s="19"/>
      <c r="Q22" s="19"/>
      <c r="R22" s="19"/>
      <c r="S22" s="19"/>
      <c r="T22" s="19">
        <v>35725</v>
      </c>
      <c r="U22" s="19">
        <v>35725</v>
      </c>
      <c r="V22" s="19">
        <v>92510</v>
      </c>
      <c r="W22" s="19">
        <v>92510</v>
      </c>
    </row>
    <row r="23" spans="1:23" x14ac:dyDescent="0.3">
      <c r="A23" s="9" t="s">
        <v>480</v>
      </c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>
        <v>140000</v>
      </c>
      <c r="Q23" s="19">
        <v>107640</v>
      </c>
      <c r="R23" s="19"/>
      <c r="S23" s="19"/>
      <c r="T23" s="19">
        <v>96560</v>
      </c>
      <c r="U23" s="19">
        <v>344200</v>
      </c>
      <c r="V23" s="19">
        <v>344200</v>
      </c>
      <c r="W23" s="19">
        <v>344200</v>
      </c>
    </row>
    <row r="24" spans="1:23" x14ac:dyDescent="0.3">
      <c r="A24" s="9" t="s">
        <v>494</v>
      </c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>
        <v>22575</v>
      </c>
      <c r="R24" s="19"/>
      <c r="S24" s="19"/>
      <c r="T24" s="19"/>
      <c r="U24" s="19">
        <v>22575</v>
      </c>
      <c r="V24" s="19">
        <v>22575</v>
      </c>
      <c r="W24" s="19">
        <v>22575</v>
      </c>
    </row>
    <row r="25" spans="1:23" x14ac:dyDescent="0.3">
      <c r="A25" s="9" t="s">
        <v>498</v>
      </c>
      <c r="B25" s="19"/>
      <c r="C25" s="19"/>
      <c r="D25" s="19"/>
      <c r="E25" s="19"/>
      <c r="F25" s="19">
        <v>52933.5</v>
      </c>
      <c r="G25" s="19"/>
      <c r="H25" s="19">
        <v>52933.5</v>
      </c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>
        <v>52933.5</v>
      </c>
      <c r="W25" s="19">
        <v>52933.5</v>
      </c>
    </row>
    <row r="26" spans="1:23" x14ac:dyDescent="0.3">
      <c r="A26" s="9" t="s">
        <v>502</v>
      </c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>
        <v>90691</v>
      </c>
      <c r="S26" s="19"/>
      <c r="T26" s="19"/>
      <c r="U26" s="19">
        <v>90691</v>
      </c>
      <c r="V26" s="19">
        <v>90691</v>
      </c>
      <c r="W26" s="19">
        <v>90691</v>
      </c>
    </row>
    <row r="27" spans="1:23" x14ac:dyDescent="0.3">
      <c r="A27" s="9" t="s">
        <v>506</v>
      </c>
      <c r="B27" s="19"/>
      <c r="C27" s="19"/>
      <c r="D27" s="19"/>
      <c r="E27" s="19"/>
      <c r="F27" s="19"/>
      <c r="G27" s="19"/>
      <c r="H27" s="19"/>
      <c r="I27" s="19">
        <v>30250</v>
      </c>
      <c r="J27" s="19"/>
      <c r="K27" s="19"/>
      <c r="L27" s="19"/>
      <c r="M27" s="19"/>
      <c r="N27" s="19"/>
      <c r="O27" s="19">
        <v>30250</v>
      </c>
      <c r="P27" s="19"/>
      <c r="Q27" s="19"/>
      <c r="R27" s="19"/>
      <c r="S27" s="19"/>
      <c r="T27" s="19"/>
      <c r="U27" s="19"/>
      <c r="V27" s="19">
        <v>30250</v>
      </c>
      <c r="W27" s="19">
        <v>30250</v>
      </c>
    </row>
    <row r="28" spans="1:23" x14ac:dyDescent="0.3">
      <c r="A28" s="9" t="s">
        <v>510</v>
      </c>
      <c r="B28" s="19"/>
      <c r="C28" s="19"/>
      <c r="D28" s="19"/>
      <c r="E28" s="19"/>
      <c r="F28" s="19"/>
      <c r="G28" s="19"/>
      <c r="H28" s="19"/>
      <c r="I28" s="19">
        <v>67066</v>
      </c>
      <c r="J28" s="19"/>
      <c r="K28" s="19"/>
      <c r="L28" s="19"/>
      <c r="M28" s="19"/>
      <c r="N28" s="19"/>
      <c r="O28" s="19">
        <v>67066</v>
      </c>
      <c r="P28" s="19"/>
      <c r="Q28" s="19"/>
      <c r="R28" s="19"/>
      <c r="S28" s="19"/>
      <c r="T28" s="19"/>
      <c r="U28" s="19"/>
      <c r="V28" s="19">
        <v>67066</v>
      </c>
      <c r="W28" s="19">
        <v>67066</v>
      </c>
    </row>
    <row r="29" spans="1:23" x14ac:dyDescent="0.3">
      <c r="A29" s="9" t="s">
        <v>514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>
        <v>72759</v>
      </c>
      <c r="T29" s="19"/>
      <c r="U29" s="19">
        <v>72759</v>
      </c>
      <c r="V29" s="19">
        <v>72759</v>
      </c>
      <c r="W29" s="19">
        <v>72759</v>
      </c>
    </row>
    <row r="30" spans="1:23" x14ac:dyDescent="0.3">
      <c r="A30" s="9" t="s">
        <v>518</v>
      </c>
      <c r="B30" s="19"/>
      <c r="C30" s="19"/>
      <c r="D30" s="19"/>
      <c r="E30" s="19"/>
      <c r="F30" s="19"/>
      <c r="G30" s="19">
        <v>115561</v>
      </c>
      <c r="H30" s="19">
        <v>115561</v>
      </c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>
        <v>115561</v>
      </c>
      <c r="W30" s="19">
        <v>115561</v>
      </c>
    </row>
    <row r="31" spans="1:23" x14ac:dyDescent="0.3">
      <c r="A31" s="9" t="s">
        <v>522</v>
      </c>
      <c r="B31" s="19">
        <v>-4560</v>
      </c>
      <c r="C31" s="19">
        <v>-1504</v>
      </c>
      <c r="D31" s="19">
        <v>-6064</v>
      </c>
      <c r="E31" s="19">
        <v>6821</v>
      </c>
      <c r="F31" s="19">
        <v>52933.5</v>
      </c>
      <c r="G31" s="19">
        <v>-18943</v>
      </c>
      <c r="H31" s="19">
        <v>40811.5</v>
      </c>
      <c r="I31" s="19">
        <v>658863.75</v>
      </c>
      <c r="J31" s="19">
        <v>483970</v>
      </c>
      <c r="K31" s="19">
        <v>880075.75</v>
      </c>
      <c r="L31" s="19">
        <v>16355.92</v>
      </c>
      <c r="M31" s="19">
        <v>210208.5</v>
      </c>
      <c r="N31" s="19">
        <v>37935</v>
      </c>
      <c r="O31" s="19">
        <v>2287408.92</v>
      </c>
      <c r="P31" s="19">
        <v>566632.5</v>
      </c>
      <c r="Q31" s="19">
        <v>489184</v>
      </c>
      <c r="R31" s="19">
        <v>679721.25</v>
      </c>
      <c r="S31" s="19">
        <v>303459</v>
      </c>
      <c r="T31" s="19">
        <v>987153.75</v>
      </c>
      <c r="U31" s="19">
        <v>3026150.5</v>
      </c>
      <c r="V31" s="19">
        <v>5348306.92</v>
      </c>
      <c r="W31" s="19">
        <v>5348306.92</v>
      </c>
    </row>
    <row r="33" spans="23:23" x14ac:dyDescent="0.3">
      <c r="W33">
        <f>1600</f>
        <v>1600</v>
      </c>
    </row>
    <row r="34" spans="23:23" x14ac:dyDescent="0.3">
      <c r="W34">
        <f>W33*2300</f>
        <v>3680000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Rodrigo Sebastian Martinez Montalvo (PFRO)</cp:lastModifiedBy>
  <cp:revision>1</cp:revision>
  <dcterms:created xsi:type="dcterms:W3CDTF">2026-06-09T00:37:36Z</dcterms:created>
  <dcterms:modified xsi:type="dcterms:W3CDTF">2026-06-09T00:40:17Z</dcterms:modified>
  <cp:category/>
</cp:coreProperties>
</file>