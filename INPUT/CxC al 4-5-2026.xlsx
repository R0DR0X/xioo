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D6C3DDA6-AD87-470C-ACEE-08575B1E8B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4" r:id="rId1"/>
    <sheet name="Hoja2" sheetId="3" state="hidden" r:id="rId2"/>
    <sheet name="DÍAS" sheetId="5" state="hidden" r:id="rId3"/>
    <sheet name="Data" sheetId="1" r:id="rId4"/>
  </sheets>
  <definedNames>
    <definedName name="_xlnm._FilterDatabase" localSheetId="3" hidden="1">Data!$A$1:$R$235</definedName>
  </definedNames>
  <calcPr calcId="191029"/>
  <pivotCaches>
    <pivotCache cacheId="4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6" i="1" l="1"/>
  <c r="N190" i="1"/>
  <c r="N195" i="1"/>
  <c r="N197" i="1"/>
  <c r="L150" i="1"/>
  <c r="N150" i="1"/>
  <c r="L72" i="1"/>
  <c r="N72" i="1" s="1"/>
  <c r="Q71" i="1"/>
  <c r="P71" i="1"/>
  <c r="O71" i="1"/>
  <c r="L71" i="1"/>
  <c r="N71" i="1" s="1"/>
  <c r="M235" i="1"/>
  <c r="M234" i="1"/>
  <c r="M233" i="1"/>
  <c r="M232" i="1"/>
  <c r="M223" i="1"/>
  <c r="M222" i="1"/>
  <c r="M221" i="1"/>
  <c r="M220" i="1"/>
  <c r="M219" i="1"/>
  <c r="M218" i="1"/>
  <c r="M161" i="1"/>
  <c r="M159" i="1"/>
  <c r="M158" i="1"/>
  <c r="M157" i="1"/>
  <c r="M156" i="1"/>
  <c r="M148" i="1"/>
  <c r="M147" i="1"/>
  <c r="M146" i="1"/>
  <c r="M145" i="1"/>
  <c r="M73" i="1"/>
  <c r="M39" i="1"/>
  <c r="M38" i="1"/>
  <c r="M37" i="1"/>
  <c r="M36" i="1"/>
  <c r="M35" i="1"/>
  <c r="M34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3" i="1"/>
  <c r="Q212" i="1"/>
  <c r="Q211" i="1"/>
  <c r="Q200" i="1"/>
  <c r="Q199" i="1"/>
  <c r="Q198" i="1"/>
  <c r="Q197" i="1"/>
  <c r="Q196" i="1"/>
  <c r="Q195" i="1"/>
  <c r="Q190" i="1"/>
  <c r="Q161" i="1"/>
  <c r="Q160" i="1"/>
  <c r="Q159" i="1"/>
  <c r="Q158" i="1"/>
  <c r="Q157" i="1"/>
  <c r="Q156" i="1"/>
  <c r="Q151" i="1"/>
  <c r="Q150" i="1"/>
  <c r="Q149" i="1"/>
  <c r="Q148" i="1"/>
  <c r="Q147" i="1"/>
  <c r="Q146" i="1"/>
  <c r="Q145" i="1"/>
  <c r="Q82" i="1"/>
  <c r="Q81" i="1"/>
  <c r="Q76" i="1"/>
  <c r="Q75" i="1"/>
  <c r="Q74" i="1"/>
  <c r="Q73" i="1"/>
  <c r="Q72" i="1"/>
  <c r="Q70" i="1"/>
  <c r="Q39" i="1"/>
  <c r="Q38" i="1"/>
  <c r="Q37" i="1"/>
  <c r="Q36" i="1"/>
  <c r="Q35" i="1"/>
  <c r="Q34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3" i="1"/>
  <c r="O212" i="1"/>
  <c r="O211" i="1"/>
  <c r="O200" i="1"/>
  <c r="O199" i="1"/>
  <c r="O198" i="1"/>
  <c r="O197" i="1"/>
  <c r="O196" i="1"/>
  <c r="O195" i="1"/>
  <c r="O190" i="1"/>
  <c r="O161" i="1"/>
  <c r="O160" i="1"/>
  <c r="O159" i="1"/>
  <c r="O158" i="1"/>
  <c r="O157" i="1"/>
  <c r="O156" i="1"/>
  <c r="O151" i="1"/>
  <c r="O150" i="1"/>
  <c r="O149" i="1"/>
  <c r="O148" i="1"/>
  <c r="O147" i="1"/>
  <c r="O146" i="1"/>
  <c r="O82" i="1"/>
  <c r="O81" i="1"/>
  <c r="O76" i="1"/>
  <c r="O75" i="1"/>
  <c r="O73" i="1"/>
  <c r="O72" i="1"/>
  <c r="O70" i="1"/>
  <c r="O39" i="1"/>
  <c r="O38" i="1"/>
  <c r="O37" i="1"/>
  <c r="O36" i="1"/>
  <c r="O35" i="1"/>
  <c r="O34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3" i="1"/>
  <c r="P212" i="1"/>
  <c r="P211" i="1"/>
  <c r="P200" i="1"/>
  <c r="P199" i="1"/>
  <c r="P198" i="1"/>
  <c r="P197" i="1"/>
  <c r="P196" i="1"/>
  <c r="P195" i="1"/>
  <c r="P190" i="1"/>
  <c r="P161" i="1"/>
  <c r="P160" i="1"/>
  <c r="P159" i="1"/>
  <c r="P158" i="1"/>
  <c r="P157" i="1"/>
  <c r="P156" i="1"/>
  <c r="P151" i="1"/>
  <c r="P150" i="1"/>
  <c r="P149" i="1"/>
  <c r="P148" i="1"/>
  <c r="P147" i="1"/>
  <c r="P146" i="1"/>
  <c r="P145" i="1"/>
  <c r="P82" i="1"/>
  <c r="P81" i="1"/>
  <c r="P76" i="1"/>
  <c r="P75" i="1"/>
  <c r="P74" i="1"/>
  <c r="P73" i="1"/>
  <c r="P72" i="1"/>
  <c r="P70" i="1"/>
  <c r="P39" i="1"/>
  <c r="P38" i="1"/>
  <c r="P37" i="1"/>
  <c r="P36" i="1"/>
  <c r="P35" i="1"/>
  <c r="P34" i="1"/>
  <c r="L235" i="1" l="1"/>
  <c r="L234" i="1"/>
  <c r="L233" i="1"/>
  <c r="L232" i="1"/>
  <c r="L231" i="1"/>
  <c r="N231" i="1" s="1"/>
  <c r="L230" i="1"/>
  <c r="N230" i="1" s="1"/>
  <c r="L229" i="1"/>
  <c r="N229" i="1" s="1"/>
  <c r="L228" i="1"/>
  <c r="N228" i="1" s="1"/>
  <c r="L227" i="1"/>
  <c r="N227" i="1" s="1"/>
  <c r="L226" i="1"/>
  <c r="N226" i="1" s="1"/>
  <c r="L225" i="1"/>
  <c r="N225" i="1" s="1"/>
  <c r="L224" i="1"/>
  <c r="N224" i="1" s="1"/>
  <c r="L223" i="1"/>
  <c r="L222" i="1"/>
  <c r="L221" i="1"/>
  <c r="L220" i="1"/>
  <c r="L219" i="1"/>
  <c r="L218" i="1"/>
  <c r="L213" i="1"/>
  <c r="N213" i="1" s="1"/>
  <c r="L212" i="1"/>
  <c r="N212" i="1" s="1"/>
  <c r="L211" i="1"/>
  <c r="N211" i="1" s="1"/>
  <c r="L200" i="1"/>
  <c r="N200" i="1" s="1"/>
  <c r="L199" i="1"/>
  <c r="N199" i="1" s="1"/>
  <c r="L198" i="1"/>
  <c r="N198" i="1" s="1"/>
  <c r="L197" i="1"/>
  <c r="L196" i="1"/>
  <c r="L195" i="1"/>
  <c r="L190" i="1"/>
  <c r="L161" i="1"/>
  <c r="L160" i="1"/>
  <c r="N160" i="1" s="1"/>
  <c r="L159" i="1"/>
  <c r="L158" i="1"/>
  <c r="L157" i="1"/>
  <c r="L156" i="1"/>
  <c r="L151" i="1"/>
  <c r="N151" i="1" s="1"/>
  <c r="L149" i="1"/>
  <c r="N149" i="1" s="1"/>
  <c r="L148" i="1"/>
  <c r="L147" i="1"/>
  <c r="L146" i="1"/>
  <c r="L145" i="1"/>
  <c r="L82" i="1"/>
  <c r="N82" i="1" s="1"/>
  <c r="L81" i="1"/>
  <c r="N81" i="1" s="1"/>
  <c r="L76" i="1"/>
  <c r="N76" i="1" s="1"/>
  <c r="L75" i="1"/>
  <c r="N75" i="1" s="1"/>
  <c r="L74" i="1"/>
  <c r="N74" i="1" s="1"/>
  <c r="L73" i="1"/>
  <c r="L70" i="1"/>
  <c r="N70" i="1" s="1"/>
  <c r="L39" i="1"/>
  <c r="L38" i="1"/>
  <c r="L37" i="1"/>
  <c r="L36" i="1"/>
  <c r="L35" i="1"/>
  <c r="L34" i="1"/>
  <c r="P217" i="1"/>
  <c r="P216" i="1"/>
  <c r="P215" i="1"/>
  <c r="P214" i="1"/>
  <c r="P210" i="1"/>
  <c r="P209" i="1"/>
  <c r="P208" i="1"/>
  <c r="P207" i="1"/>
  <c r="P206" i="1"/>
  <c r="P205" i="1"/>
  <c r="P204" i="1"/>
  <c r="P203" i="1"/>
  <c r="P202" i="1"/>
  <c r="P201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0" i="1"/>
  <c r="P79" i="1"/>
  <c r="P78" i="1"/>
  <c r="P77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217" i="1"/>
  <c r="O216" i="1"/>
  <c r="O215" i="1"/>
  <c r="O214" i="1"/>
  <c r="O210" i="1"/>
  <c r="O209" i="1"/>
  <c r="O208" i="1"/>
  <c r="O207" i="1"/>
  <c r="O206" i="1"/>
  <c r="O205" i="1"/>
  <c r="O204" i="1"/>
  <c r="O203" i="1"/>
  <c r="O202" i="1"/>
  <c r="O201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0" i="1"/>
  <c r="O79" i="1"/>
  <c r="O78" i="1"/>
  <c r="O77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153" i="1"/>
  <c r="P154" i="1"/>
  <c r="P155" i="1"/>
  <c r="P152" i="1"/>
  <c r="O153" i="1"/>
  <c r="O154" i="1"/>
  <c r="O155" i="1"/>
  <c r="O152" i="1"/>
  <c r="P193" i="1"/>
  <c r="P194" i="1"/>
  <c r="P192" i="1"/>
  <c r="O193" i="1"/>
  <c r="O194" i="1"/>
  <c r="O192" i="1"/>
  <c r="P191" i="1"/>
  <c r="O191" i="1"/>
  <c r="P163" i="1"/>
  <c r="P164" i="1"/>
  <c r="P162" i="1"/>
  <c r="O163" i="1"/>
  <c r="O164" i="1"/>
  <c r="O162" i="1"/>
</calcChain>
</file>

<file path=xl/sharedStrings.xml><?xml version="1.0" encoding="utf-8"?>
<sst xmlns="http://schemas.openxmlformats.org/spreadsheetml/2006/main" count="1912" uniqueCount="789">
  <si>
    <t>Cliente</t>
  </si>
  <si>
    <t>Nombre de cliente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</si>
  <si>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</si>
  <si>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</si>
  <si>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</si>
  <si>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</si>
  <si>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</si>
  <si>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</si>
  <si>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</si>
  <si>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1000013966</t>
  </si>
  <si>
    <t>ARKANO TRADING SOCIEDAD ANONIMA CER</t>
  </si>
  <si>
    <t>1200005220</t>
  </si>
  <si>
    <t>01-0F101-0004694</t>
  </si>
  <si>
    <t>DF</t>
  </si>
  <si>
    <t>PEN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</si>
  <si>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</si>
  <si>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</si>
  <si>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</si>
  <si>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</si>
  <si>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</si>
  <si>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</si>
  <si>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</si>
  <si>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</si>
  <si>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</si>
  <si>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</si>
  <si>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</si>
  <si>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</si>
  <si>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</si>
  <si>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</si>
  <si>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</si>
  <si>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</si>
  <si>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</si>
  <si>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</si>
  <si>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</si>
  <si>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</si>
  <si>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</si>
  <si>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</si>
  <si>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</si>
  <si>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</si>
  <si>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</si>
  <si>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</si>
  <si>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</si>
  <si>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</si>
  <si>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</si>
  <si>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</si>
  <si>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</si>
  <si>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</si>
  <si>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</si>
  <si>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</si>
  <si>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</si>
  <si>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</si>
  <si>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</si>
  <si>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</si>
  <si>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</si>
  <si>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</si>
  <si>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</si>
  <si>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</si>
  <si>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</si>
  <si>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</si>
  <si>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</si>
  <si>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</si>
  <si>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</si>
  <si>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</si>
  <si>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1000013676</t>
  </si>
  <si>
    <t>CARLOS ALBERTO MARTINEZ QUEREVALU</t>
  </si>
  <si>
    <t>1200000692</t>
  </si>
  <si>
    <t>03-0B001-0004349</t>
  </si>
  <si>
    <t>DB</t>
  </si>
  <si>
    <t>CARLOS ALBERTO MARTINEZ QUEREVALU</t>
  </si>
  <si>
    <t>1200000693</t>
  </si>
  <si>
    <t>03-0B001-0004350</t>
  </si>
  <si>
    <t>CARLOS ALBERTO MARTINEZ QUEREVALU</t>
  </si>
  <si>
    <t>1200000983</t>
  </si>
  <si>
    <t>03-0B001-0004421</t>
  </si>
  <si>
    <t>CARLOS ALBERTO MARTINEZ QUEREVALU</t>
  </si>
  <si>
    <t>1200000984</t>
  </si>
  <si>
    <t>03-0B001-0004422</t>
  </si>
  <si>
    <t>CARLOS ALBERTO MARTINEZ QUEREVALU</t>
  </si>
  <si>
    <t>1200001340</t>
  </si>
  <si>
    <t>03-0B001-0004488</t>
  </si>
  <si>
    <t>CARLOS ALBERTO MARTINEZ QUEREVALU</t>
  </si>
  <si>
    <t>1200001341</t>
  </si>
  <si>
    <t>03-0B001-0004489</t>
  </si>
  <si>
    <t>USD</t>
  </si>
  <si>
    <t>1000013678</t>
  </si>
  <si>
    <t>CORPORACION NACIONAL PERU EXPORTACI</t>
  </si>
  <si>
    <t>1200000439</t>
  </si>
  <si>
    <t>01-0F101-0005458</t>
  </si>
  <si>
    <t>CORPORACION NACIONAL PERU EXPORTACI</t>
  </si>
  <si>
    <t>1200000453</t>
  </si>
  <si>
    <t>01-0F101-0005470</t>
  </si>
  <si>
    <t>CORPORACION NACIONAL PERU EXPORTACI</t>
  </si>
  <si>
    <t>1200000468</t>
  </si>
  <si>
    <t>01-0F101-0005482</t>
  </si>
  <si>
    <t>CORPORACION NACIONAL PERU EXPORTACI</t>
  </si>
  <si>
    <t>1200000582</t>
  </si>
  <si>
    <t>01-0F101-0005569</t>
  </si>
  <si>
    <t>CORPORACION NACIONAL PERU EXPORTACI</t>
  </si>
  <si>
    <t>1200000812</t>
  </si>
  <si>
    <t>01-0F101-0005730</t>
  </si>
  <si>
    <t>CORPORACION NACIONAL PERU EXPORTACI</t>
  </si>
  <si>
    <t>1200000824</t>
  </si>
  <si>
    <t>01-0F101-0005740</t>
  </si>
  <si>
    <t>CORPORACION NACIONAL PERU EXPORTACI</t>
  </si>
  <si>
    <t>1200001211</t>
  </si>
  <si>
    <t>01-0F101-0006016</t>
  </si>
  <si>
    <t>1000002057</t>
  </si>
  <si>
    <t>CRISTO DE LA VICTORIA S.A.C.</t>
  </si>
  <si>
    <t>1200001334</t>
  </si>
  <si>
    <t>01-0F101-0006097</t>
  </si>
  <si>
    <t>CRISTO DE LA VICTORIA S.A.C.</t>
  </si>
  <si>
    <t>1200001335</t>
  </si>
  <si>
    <t>01-0F101-0006098</t>
  </si>
  <si>
    <t>2000001381</t>
  </si>
  <si>
    <t>DAIRECK SA</t>
  </si>
  <si>
    <t>1200000635</t>
  </si>
  <si>
    <t>DE</t>
  </si>
  <si>
    <t>DAIRECK SA</t>
  </si>
  <si>
    <t>1200000638</t>
  </si>
  <si>
    <t>01-0F002-0000282</t>
  </si>
  <si>
    <t>DAIRECK SA</t>
  </si>
  <si>
    <t>1200000639</t>
  </si>
  <si>
    <t>01-0F002-0000283</t>
  </si>
  <si>
    <t>DAIRECK SA</t>
  </si>
  <si>
    <t>1200000641</t>
  </si>
  <si>
    <t>01-0F002-0000284</t>
  </si>
  <si>
    <t>DAIRECK SA</t>
  </si>
  <si>
    <t>1200000642</t>
  </si>
  <si>
    <t>01-0F002-0000285</t>
  </si>
  <si>
    <t>DAIRECK SA</t>
  </si>
  <si>
    <t>1200000643</t>
  </si>
  <si>
    <t>01-0F002-0000286</t>
  </si>
  <si>
    <t>ZV</t>
  </si>
  <si>
    <t>DZ</t>
  </si>
  <si>
    <t>1000013754</t>
  </si>
  <si>
    <t>ELMER SIXTO SOJO ACARO</t>
  </si>
  <si>
    <t>1200000998</t>
  </si>
  <si>
    <t>03-0B001-0004423</t>
  </si>
  <si>
    <t>ELMER SIXTO SOJO ACARO</t>
  </si>
  <si>
    <t>1200000999</t>
  </si>
  <si>
    <t>03-0B001-0004424</t>
  </si>
  <si>
    <t>ELMER SIXTO SOJO ACARO</t>
  </si>
  <si>
    <t>1200001016</t>
  </si>
  <si>
    <t>03-0B001-0004429</t>
  </si>
  <si>
    <t>ELMER SIXTO SOJO ACARO</t>
  </si>
  <si>
    <t>1200001017</t>
  </si>
  <si>
    <t>03-0B001-0004430</t>
  </si>
  <si>
    <t>ELMER SIXTO SOJO ACARO</t>
  </si>
  <si>
    <t>1200001059</t>
  </si>
  <si>
    <t>03-0B001-0004435</t>
  </si>
  <si>
    <t>ELMER SIXTO SOJO ACARO</t>
  </si>
  <si>
    <t>1200001060</t>
  </si>
  <si>
    <t>03-0B001-0004436</t>
  </si>
  <si>
    <t>ELMER SIXTO SOJO ACARO</t>
  </si>
  <si>
    <t>1200001078</t>
  </si>
  <si>
    <t>03-0B001-0004437</t>
  </si>
  <si>
    <t>ELMER SIXTO SOJO ACARO</t>
  </si>
  <si>
    <t>1200001079</t>
  </si>
  <si>
    <t>03-0B001-0004438</t>
  </si>
  <si>
    <t>ELMER SIXTO SOJO ACARO</t>
  </si>
  <si>
    <t>1200001094</t>
  </si>
  <si>
    <t>03-0B001-0004439</t>
  </si>
  <si>
    <t>ELMER SIXTO SOJO ACARO</t>
  </si>
  <si>
    <t>1200001095</t>
  </si>
  <si>
    <t>03-0B001-0004440</t>
  </si>
  <si>
    <t>ELMER SIXTO SOJO ACARO</t>
  </si>
  <si>
    <t>1200001136</t>
  </si>
  <si>
    <t>03-0B001-0004449</t>
  </si>
  <si>
    <t>ELMER SIXTO SOJO ACARO</t>
  </si>
  <si>
    <t>1200001137</t>
  </si>
  <si>
    <t>03-0B001-0004450</t>
  </si>
  <si>
    <t>ELMER SIXTO SOJO ACARO</t>
  </si>
  <si>
    <t>1200001169</t>
  </si>
  <si>
    <t>03-0B001-0004455</t>
  </si>
  <si>
    <t>ELMER SIXTO SOJO ACARO</t>
  </si>
  <si>
    <t>1200001170</t>
  </si>
  <si>
    <t>03-0B001-0004456</t>
  </si>
  <si>
    <t>ELMER SIXTO SOJO ACARO</t>
  </si>
  <si>
    <t>1200001216</t>
  </si>
  <si>
    <t>03-0B001-0004462</t>
  </si>
  <si>
    <t>ELMER SIXTO SOJO ACARO</t>
  </si>
  <si>
    <t>1200001217</t>
  </si>
  <si>
    <t>03-0B001-0004463</t>
  </si>
  <si>
    <t>ELMER SIXTO SOJO ACARO</t>
  </si>
  <si>
    <t>1200001220</t>
  </si>
  <si>
    <t>03-0B001-0004464</t>
  </si>
  <si>
    <t>ELMER SIXTO SOJO ACARO</t>
  </si>
  <si>
    <t>1200001221</t>
  </si>
  <si>
    <t>03-0B001-0004465</t>
  </si>
  <si>
    <t>ELMER SIXTO SOJO ACARO</t>
  </si>
  <si>
    <t>1200001261</t>
  </si>
  <si>
    <t>03-0B001-0004472</t>
  </si>
  <si>
    <t>ELMER SIXTO SOJO ACARO</t>
  </si>
  <si>
    <t>1200001262</t>
  </si>
  <si>
    <t>03-0B001-0004473</t>
  </si>
  <si>
    <t>ELMER SIXTO SOJO ACARO</t>
  </si>
  <si>
    <t>1200001284</t>
  </si>
  <si>
    <t>03-0B001-0004480</t>
  </si>
  <si>
    <t>ELMER SIXTO SOJO ACARO</t>
  </si>
  <si>
    <t>1200001285</t>
  </si>
  <si>
    <t>03-0B001-0004481</t>
  </si>
  <si>
    <t>ELMER SIXTO SOJO ACARO</t>
  </si>
  <si>
    <t>1200001308</t>
  </si>
  <si>
    <t>03-0B001-0004486</t>
  </si>
  <si>
    <t>ELMER SIXTO SOJO ACARO</t>
  </si>
  <si>
    <t>1200001309</t>
  </si>
  <si>
    <t>03-0B001-0004487</t>
  </si>
  <si>
    <t>ELMER SIXTO SOJO ACARO</t>
  </si>
  <si>
    <t>1200001352</t>
  </si>
  <si>
    <t>03-0B001-0004492</t>
  </si>
  <si>
    <t>ELMER SIXTO SOJO ACARO</t>
  </si>
  <si>
    <t>1200001353</t>
  </si>
  <si>
    <t>03-0B001-0004493</t>
  </si>
  <si>
    <t>ELMER SIXTO SOJO ACARO</t>
  </si>
  <si>
    <t>1200001400</t>
  </si>
  <si>
    <t>03-0B001-0004498</t>
  </si>
  <si>
    <t>ELMER SIXTO SOJO ACARO</t>
  </si>
  <si>
    <t>1200001401</t>
  </si>
  <si>
    <t>03-0B001-0004499</t>
  </si>
  <si>
    <t>ELMER SIXTO SOJO ACARO</t>
  </si>
  <si>
    <t>1200001417</t>
  </si>
  <si>
    <t>03-0B001-0004500</t>
  </si>
  <si>
    <t>ELMER SIXTO SOJO ACARO</t>
  </si>
  <si>
    <t>1200001418</t>
  </si>
  <si>
    <t>03-0B001-0004501</t>
  </si>
  <si>
    <t>2000001368</t>
  </si>
  <si>
    <t>FOOD &amp; BEVERAGES TRADERS, S.L.</t>
  </si>
  <si>
    <t>1200001322</t>
  </si>
  <si>
    <t>01-0F002-0000310</t>
  </si>
  <si>
    <t>FOOD &amp; BEVERAGES TRADERS, S.L.</t>
  </si>
  <si>
    <t>1200001323</t>
  </si>
  <si>
    <t>01-0F002-0000311</t>
  </si>
  <si>
    <t>2000001361</t>
  </si>
  <si>
    <t>GLOBAL OCEAN FLEXTRADING, S. L</t>
  </si>
  <si>
    <t>GLOBAL OCEAN FLEXTRADING, S. L</t>
  </si>
  <si>
    <t>1200000957</t>
  </si>
  <si>
    <t>01-0F002-0000295</t>
  </si>
  <si>
    <t>GLOBAL OCEAN FLEXTRADING, S. L</t>
  </si>
  <si>
    <t>1200001071</t>
  </si>
  <si>
    <t>07-0F002-0000043</t>
  </si>
  <si>
    <t>DC</t>
  </si>
  <si>
    <t>2000001439</t>
  </si>
  <si>
    <t>GOLDEN SEAFOOD PTE. LTD.</t>
  </si>
  <si>
    <t>GOLDEN SEAFOOD PTE. LTD.</t>
  </si>
  <si>
    <t>1200001324</t>
  </si>
  <si>
    <t>GOLDEN SEAFOOD PTE. LTD.</t>
  </si>
  <si>
    <t>1200001367</t>
  </si>
  <si>
    <t>1000007192</t>
  </si>
  <si>
    <t>GRUPO KRISSMAR S.A.C.</t>
  </si>
  <si>
    <t>1200001130</t>
  </si>
  <si>
    <t>01-0F101-0005952</t>
  </si>
  <si>
    <t>GRUPO KRISSMAR S.A.C.</t>
  </si>
  <si>
    <t>1200001131</t>
  </si>
  <si>
    <t>01-0F101-0005953</t>
  </si>
  <si>
    <t>GRUPO KRISSMAR S.A.C.</t>
  </si>
  <si>
    <t>1200001173</t>
  </si>
  <si>
    <t>01-0F101-0005984</t>
  </si>
  <si>
    <t>GRUPO KRISSMAR S.A.C.</t>
  </si>
  <si>
    <t>1200001174</t>
  </si>
  <si>
    <t>01-0F101-0005985</t>
  </si>
  <si>
    <t>2000001398</t>
  </si>
  <si>
    <t>Hunan Jinyueyang Import and Export</t>
  </si>
  <si>
    <t>Hunan Jinyueyang Import and Export</t>
  </si>
  <si>
    <t>1200001327</t>
  </si>
  <si>
    <t>Hunan Jinyueyang Import and Export</t>
  </si>
  <si>
    <t>1200001365</t>
  </si>
  <si>
    <t>1000015540</t>
  </si>
  <si>
    <t>INVERSIONES YATAMURI E.I.R.L.</t>
  </si>
  <si>
    <t>1200001282</t>
  </si>
  <si>
    <t>01-0F101-0006061</t>
  </si>
  <si>
    <t>INVERSIONES YATAMURI E.I.R.L.</t>
  </si>
  <si>
    <t>1200001283</t>
  </si>
  <si>
    <t>01-0F101-0006062</t>
  </si>
  <si>
    <t>1000006830</t>
  </si>
  <si>
    <t>JAHFISH E.I.R.L.</t>
  </si>
  <si>
    <t>1200000903</t>
  </si>
  <si>
    <t>01-0F101-0005794</t>
  </si>
  <si>
    <t>JAHFISH E.I.R.L.</t>
  </si>
  <si>
    <t>1200000904</t>
  </si>
  <si>
    <t>01-0F101-0005795</t>
  </si>
  <si>
    <t>JAHFISH E.I.R.L.</t>
  </si>
  <si>
    <t>1200000916</t>
  </si>
  <si>
    <t>01-0F101-0005803</t>
  </si>
  <si>
    <t>JAHFISH E.I.R.L.</t>
  </si>
  <si>
    <t>1200000917</t>
  </si>
  <si>
    <t>01-0F101-0005804</t>
  </si>
  <si>
    <t>JAHFISH E.I.R.L.</t>
  </si>
  <si>
    <t>1200000918</t>
  </si>
  <si>
    <t>01-0F101-0005805</t>
  </si>
  <si>
    <t>JAHFISH E.I.R.L.</t>
  </si>
  <si>
    <t>1200000919</t>
  </si>
  <si>
    <t>01-0F101-0005806</t>
  </si>
  <si>
    <t>JAHFISH E.I.R.L.</t>
  </si>
  <si>
    <t>1200000951</t>
  </si>
  <si>
    <t>01-0F101-0005820</t>
  </si>
  <si>
    <t>JAHFISH E.I.R.L.</t>
  </si>
  <si>
    <t>1200000952</t>
  </si>
  <si>
    <t>01-0F101-0005821</t>
  </si>
  <si>
    <t>JAHFISH E.I.R.L.</t>
  </si>
  <si>
    <t>1200000971</t>
  </si>
  <si>
    <t>01-0F101-0005833</t>
  </si>
  <si>
    <t>JAHFISH E.I.R.L.</t>
  </si>
  <si>
    <t>1200000972</t>
  </si>
  <si>
    <t>01-0F101-0005834</t>
  </si>
  <si>
    <t>JAHFISH E.I.R.L.</t>
  </si>
  <si>
    <t>1200001026</t>
  </si>
  <si>
    <t>01-0F101-0005865</t>
  </si>
  <si>
    <t>JAHFISH E.I.R.L.</t>
  </si>
  <si>
    <t>1200001027</t>
  </si>
  <si>
    <t>01-0F101-0005866</t>
  </si>
  <si>
    <t>JAHFISH E.I.R.L.</t>
  </si>
  <si>
    <t>1200001049</t>
  </si>
  <si>
    <t>01-0F101-0005888</t>
  </si>
  <si>
    <t>JAHFISH E.I.R.L.</t>
  </si>
  <si>
    <t>1200001050</t>
  </si>
  <si>
    <t>01-0F101-0005889</t>
  </si>
  <si>
    <t>JAHFISH E.I.R.L.</t>
  </si>
  <si>
    <t>1200001057</t>
  </si>
  <si>
    <t>01-0F101-0005894</t>
  </si>
  <si>
    <t>JAHFISH E.I.R.L.</t>
  </si>
  <si>
    <t>1200001058</t>
  </si>
  <si>
    <t>01-0F101-0005895</t>
  </si>
  <si>
    <t>JAHFISH E.I.R.L.</t>
  </si>
  <si>
    <t>1200001069</t>
  </si>
  <si>
    <t>01-0F101-0005904</t>
  </si>
  <si>
    <t>JAHFISH E.I.R.L.</t>
  </si>
  <si>
    <t>1200001070</t>
  </si>
  <si>
    <t>01-0F101-0005905</t>
  </si>
  <si>
    <t>JAHFISH E.I.R.L.</t>
  </si>
  <si>
    <t>1200001096</t>
  </si>
  <si>
    <t>01-0F101-0005924</t>
  </si>
  <si>
    <t>JAHFISH E.I.R.L.</t>
  </si>
  <si>
    <t>1200001097</t>
  </si>
  <si>
    <t>01-0F101-0005925</t>
  </si>
  <si>
    <t>JAHFISH E.I.R.L.</t>
  </si>
  <si>
    <t>1200001103</t>
  </si>
  <si>
    <t>01-0F101-0005927</t>
  </si>
  <si>
    <t>JAHFISH E.I.R.L.</t>
  </si>
  <si>
    <t>1200001104</t>
  </si>
  <si>
    <t>01-0F101-0005928</t>
  </si>
  <si>
    <t>JAHFISH E.I.R.L.</t>
  </si>
  <si>
    <t>1200001121</t>
  </si>
  <si>
    <t>01-0F101-0005943</t>
  </si>
  <si>
    <t>JAHFISH E.I.R.L.</t>
  </si>
  <si>
    <t>1200001122</t>
  </si>
  <si>
    <t>01-0F101-0005944</t>
  </si>
  <si>
    <t>JAHFISH E.I.R.L.</t>
  </si>
  <si>
    <t>1200001128</t>
  </si>
  <si>
    <t>01-0F101-0005950</t>
  </si>
  <si>
    <t>JAHFISH E.I.R.L.</t>
  </si>
  <si>
    <t>1200001129</t>
  </si>
  <si>
    <t>01-0F101-0005951</t>
  </si>
  <si>
    <t>JAHFISH E.I.R.L.</t>
  </si>
  <si>
    <t>1200001124</t>
  </si>
  <si>
    <t>01-0F101-0005946</t>
  </si>
  <si>
    <t>JAHFISH E.I.R.L.</t>
  </si>
  <si>
    <t>1200001125</t>
  </si>
  <si>
    <t>01-0F101-0005947</t>
  </si>
  <si>
    <t>JAHFISH E.I.R.L.</t>
  </si>
  <si>
    <t>1200001155</t>
  </si>
  <si>
    <t>01-0F101-0005970</t>
  </si>
  <si>
    <t>JAHFISH E.I.R.L.</t>
  </si>
  <si>
    <t>1200001156</t>
  </si>
  <si>
    <t>01-0F101-0005971</t>
  </si>
  <si>
    <t>JAHFISH E.I.R.L.</t>
  </si>
  <si>
    <t>1200001163</t>
  </si>
  <si>
    <t>01-0F101-0005978</t>
  </si>
  <si>
    <t>JAHFISH E.I.R.L.</t>
  </si>
  <si>
    <t>1200001164</t>
  </si>
  <si>
    <t>01-0F101-0005979</t>
  </si>
  <si>
    <t>JAHFISH E.I.R.L.</t>
  </si>
  <si>
    <t>1200001175</t>
  </si>
  <si>
    <t>01-0F101-0005986</t>
  </si>
  <si>
    <t>JAHFISH E.I.R.L.</t>
  </si>
  <si>
    <t>1200001176</t>
  </si>
  <si>
    <t>01-0F101-0005987</t>
  </si>
  <si>
    <t>JAHFISH E.I.R.L.</t>
  </si>
  <si>
    <t>1200001180</t>
  </si>
  <si>
    <t>01-0F101-0005990</t>
  </si>
  <si>
    <t>JAHFISH E.I.R.L.</t>
  </si>
  <si>
    <t>1200001181</t>
  </si>
  <si>
    <t>01-0F101-0005991</t>
  </si>
  <si>
    <t>JAHFISH E.I.R.L.</t>
  </si>
  <si>
    <t>1200001197</t>
  </si>
  <si>
    <t>01-0F101-0006004</t>
  </si>
  <si>
    <t>JAHFISH E.I.R.L.</t>
  </si>
  <si>
    <t>1200001198</t>
  </si>
  <si>
    <t>01-0F101-0006005</t>
  </si>
  <si>
    <t>JAHFISH E.I.R.L.</t>
  </si>
  <si>
    <t>1200001232</t>
  </si>
  <si>
    <t>01-0F101-0006031</t>
  </si>
  <si>
    <t>JAHFISH E.I.R.L.</t>
  </si>
  <si>
    <t>1200001233</t>
  </si>
  <si>
    <t>01-0F101-0006032</t>
  </si>
  <si>
    <t>JAHFISH E.I.R.L.</t>
  </si>
  <si>
    <t>1200001238</t>
  </si>
  <si>
    <t>01-0F101-0006037</t>
  </si>
  <si>
    <t>JAHFISH E.I.R.L.</t>
  </si>
  <si>
    <t>1200001239</t>
  </si>
  <si>
    <t>01-0F101-0006038</t>
  </si>
  <si>
    <t>JAHFISH E.I.R.L.</t>
  </si>
  <si>
    <t>1200001252</t>
  </si>
  <si>
    <t>01-0F101-0006046</t>
  </si>
  <si>
    <t>JAHFISH E.I.R.L.</t>
  </si>
  <si>
    <t>1200001253</t>
  </si>
  <si>
    <t>01-0F101-0006047</t>
  </si>
  <si>
    <t>JAHFISH E.I.R.L.</t>
  </si>
  <si>
    <t>1200001267</t>
  </si>
  <si>
    <t>01-0F101-0006053</t>
  </si>
  <si>
    <t>JAHFISH E.I.R.L.</t>
  </si>
  <si>
    <t>1200001268</t>
  </si>
  <si>
    <t>01-0F101-0006054</t>
  </si>
  <si>
    <t>JAHFISH E.I.R.L.</t>
  </si>
  <si>
    <t>1200001304</t>
  </si>
  <si>
    <t>01-0F101-0006076</t>
  </si>
  <si>
    <t>JAHFISH E.I.R.L.</t>
  </si>
  <si>
    <t>1200001305</t>
  </si>
  <si>
    <t>01-0F101-0006077</t>
  </si>
  <si>
    <t>JAHFISH E.I.R.L.</t>
  </si>
  <si>
    <t>1200001316</t>
  </si>
  <si>
    <t>01-0F101-0006086</t>
  </si>
  <si>
    <t>JAHFISH E.I.R.L.</t>
  </si>
  <si>
    <t>1200001317</t>
  </si>
  <si>
    <t>01-0F101-0006087</t>
  </si>
  <si>
    <t>JAHFISH E.I.R.L.</t>
  </si>
  <si>
    <t>1200001342</t>
  </si>
  <si>
    <t>01-0F101-0006103</t>
  </si>
  <si>
    <t>JAHFISH E.I.R.L.</t>
  </si>
  <si>
    <t>1200001343</t>
  </si>
  <si>
    <t>01-0F101-0006104</t>
  </si>
  <si>
    <t>JAHFISH E.I.R.L.</t>
  </si>
  <si>
    <t>1200001358</t>
  </si>
  <si>
    <t>01-0F101-0006112</t>
  </si>
  <si>
    <t>JAHFISH E.I.R.L.</t>
  </si>
  <si>
    <t>1200001359</t>
  </si>
  <si>
    <t>01-0F101-0006113</t>
  </si>
  <si>
    <t>JAHFISH E.I.R.L.</t>
  </si>
  <si>
    <t>1200001392</t>
  </si>
  <si>
    <t>01-0F101-0006132</t>
  </si>
  <si>
    <t>JAHFISH E.I.R.L.</t>
  </si>
  <si>
    <t>1200001393</t>
  </si>
  <si>
    <t>01-0F101-0006133</t>
  </si>
  <si>
    <t>JAHFISH E.I.R.L.</t>
  </si>
  <si>
    <t>1200001409</t>
  </si>
  <si>
    <t>01-0F101-0006147</t>
  </si>
  <si>
    <t>JAHFISH E.I.R.L.</t>
  </si>
  <si>
    <t>1200001410</t>
  </si>
  <si>
    <t>01-0F101-0006148</t>
  </si>
  <si>
    <t>JAHFISH E.I.R.L.</t>
  </si>
  <si>
    <t>1200001419</t>
  </si>
  <si>
    <t>01-0F101-0006155</t>
  </si>
  <si>
    <t>JAHFISH E.I.R.L.</t>
  </si>
  <si>
    <t>1200001420</t>
  </si>
  <si>
    <t>01-0F101-0006156</t>
  </si>
  <si>
    <t>2000001172</t>
  </si>
  <si>
    <t>KULALIA SL</t>
  </si>
  <si>
    <t>1300001584</t>
  </si>
  <si>
    <t>FT-0F002-0000264</t>
  </si>
  <si>
    <t>KULALIA SL</t>
  </si>
  <si>
    <t>1200000623</t>
  </si>
  <si>
    <t>01-0F002-0000275</t>
  </si>
  <si>
    <t>KULALIA SL</t>
  </si>
  <si>
    <t>1200000754</t>
  </si>
  <si>
    <t>01-0F002-0000289</t>
  </si>
  <si>
    <t>2000000231</t>
  </si>
  <si>
    <t>LONGKOU JIABAO AQUATIC FOODSTUFFS</t>
  </si>
  <si>
    <t>LONGKOU JIABAO AQUATIC FOODSTUFFS</t>
  </si>
  <si>
    <t>1200001189</t>
  </si>
  <si>
    <t>01-0F002-0000299</t>
  </si>
  <si>
    <t>LONGKOU JIABAO AQUATIC FOODSTUFFS</t>
  </si>
  <si>
    <t>1200001281</t>
  </si>
  <si>
    <t>01-0F002-0000307</t>
  </si>
  <si>
    <t>2000001409</t>
  </si>
  <si>
    <t>Longkou Yunfeng Aquatic Food Co.,Lt</t>
  </si>
  <si>
    <t>1300001581</t>
  </si>
  <si>
    <t>SALDO A FAVOR</t>
  </si>
  <si>
    <t>Longkou Yunfeng Aquatic Food Co.,Lt</t>
  </si>
  <si>
    <t>1200001360</t>
  </si>
  <si>
    <t>01-0F002-0000319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</si>
  <si>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</si>
  <si>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</si>
  <si>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</si>
  <si>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</si>
  <si>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</si>
  <si>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</si>
  <si>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</si>
  <si>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</si>
  <si>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</si>
  <si>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</si>
  <si>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</si>
  <si>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</si>
  <si>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</si>
  <si>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2000001359</t>
  </si>
  <si>
    <t>OCEANUS FISH S.L.</t>
  </si>
  <si>
    <t>1200000644</t>
  </si>
  <si>
    <t>01-0F002-0000287</t>
  </si>
  <si>
    <t>OCEANUS FISH S.L.</t>
  </si>
  <si>
    <t>1200000958</t>
  </si>
  <si>
    <t>01-0F002-0000296</t>
  </si>
  <si>
    <t>OCEANUS FISH S.L.</t>
  </si>
  <si>
    <t>1200000959</t>
  </si>
  <si>
    <t>01-0F002-0000297</t>
  </si>
  <si>
    <t>OCEANUS FISH S.L.</t>
  </si>
  <si>
    <t>1200001191</t>
  </si>
  <si>
    <t>01-0F002-0000301</t>
  </si>
  <si>
    <t>OCEANUS FISH S.L.</t>
  </si>
  <si>
    <t>1200001321</t>
  </si>
  <si>
    <t>01-0F002-0000309</t>
  </si>
  <si>
    <t>2000001369</t>
  </si>
  <si>
    <t>OVERSEA ATLANTIC FISH S.L.</t>
  </si>
  <si>
    <t>1200000985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</si>
  <si>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</si>
  <si>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</si>
  <si>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</si>
  <si>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</si>
  <si>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</si>
  <si>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</si>
  <si>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</si>
  <si>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</si>
  <si>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</si>
  <si>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</si>
  <si>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</si>
  <si>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</si>
  <si>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</si>
  <si>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1000015185</t>
  </si>
  <si>
    <t>PESCACORD PERU SOCIEDAD ANONIMA CER</t>
  </si>
  <si>
    <t>1200000994</t>
  </si>
  <si>
    <t>01-0F101-0005849</t>
  </si>
  <si>
    <t>PESCACORD PERU SOCIEDAD ANONIMA CER</t>
  </si>
  <si>
    <t>1200000995</t>
  </si>
  <si>
    <t>01-0F101-0005850</t>
  </si>
  <si>
    <t>PESCACORD PERU SOCIEDAD ANONIMA CER</t>
  </si>
  <si>
    <t>1200001051</t>
  </si>
  <si>
    <t>01-0F101-0005890</t>
  </si>
  <si>
    <t>PESCACORD PERU SOCIEDAD ANONIMA CER</t>
  </si>
  <si>
    <t>1200001052</t>
  </si>
  <si>
    <t>01-0F101-0005891</t>
  </si>
  <si>
    <t>PESCACORD PERU SOCIEDAD ANONIMA CER</t>
  </si>
  <si>
    <t>1200001067</t>
  </si>
  <si>
    <t>01-0F101-0005902</t>
  </si>
  <si>
    <t>PESCACORD PERU SOCIEDAD ANONIMA CER</t>
  </si>
  <si>
    <t>1200001068</t>
  </si>
  <si>
    <t>01-0F101-0005903</t>
  </si>
  <si>
    <t>PESCACORD PERU SOCIEDAD ANONIMA CER</t>
  </si>
  <si>
    <t>1200001115</t>
  </si>
  <si>
    <t>01-0F101-0005937</t>
  </si>
  <si>
    <t>PESCACORD PERU SOCIEDAD ANONIMA CER</t>
  </si>
  <si>
    <t>1200001116</t>
  </si>
  <si>
    <t>01-0F101-0005938</t>
  </si>
  <si>
    <t>PESCACORD PERU SOCIEDAD ANONIMA CER</t>
  </si>
  <si>
    <t>1200001144</t>
  </si>
  <si>
    <t>01-0F101-0005962</t>
  </si>
  <si>
    <t>PESCACORD PERU SOCIEDAD ANONIMA CER</t>
  </si>
  <si>
    <t>1200001145</t>
  </si>
  <si>
    <t>01-0F101-0005963</t>
  </si>
  <si>
    <t>PESCACORD PERU SOCIEDAD ANONIMA CER</t>
  </si>
  <si>
    <t>1200001186</t>
  </si>
  <si>
    <t>01-0F101-0005996</t>
  </si>
  <si>
    <t>PESCACORD PERU SOCIEDAD ANONIMA CER</t>
  </si>
  <si>
    <t>1200001187</t>
  </si>
  <si>
    <t>01-0F101-0005997</t>
  </si>
  <si>
    <t>PESCACORD PERU SOCIEDAD ANONIMA CER</t>
  </si>
  <si>
    <t>1200001205</t>
  </si>
  <si>
    <t>01-0F101-0006010</t>
  </si>
  <si>
    <t>PESCACORD PERU SOCIEDAD ANONIMA CER</t>
  </si>
  <si>
    <t>1200001206</t>
  </si>
  <si>
    <t>01-0F101-0006011</t>
  </si>
  <si>
    <t>PESCACORD PERU SOCIEDAD ANONIMA CER</t>
  </si>
  <si>
    <t>1200001224</t>
  </si>
  <si>
    <t>01-0F101-0006023</t>
  </si>
  <si>
    <t>PESCACORD PERU SOCIEDAD ANONIMA CER</t>
  </si>
  <si>
    <t>1200001225</t>
  </si>
  <si>
    <t>01-0F101-0006024</t>
  </si>
  <si>
    <t>PESCACORD PERU SOCIEDAD ANONIMA CER</t>
  </si>
  <si>
    <t>1200001259</t>
  </si>
  <si>
    <t>01-0F101-0006051</t>
  </si>
  <si>
    <t>PESCACORD PERU SOCIEDAD ANONIMA CER</t>
  </si>
  <si>
    <t>1200001260</t>
  </si>
  <si>
    <t>01-0F101-0006052</t>
  </si>
  <si>
    <t>PESCACORD PERU SOCIEDAD ANONIMA CER</t>
  </si>
  <si>
    <t>1200001297</t>
  </si>
  <si>
    <t>01-0F101-0006070</t>
  </si>
  <si>
    <t>PESCACORD PERU SOCIEDAD ANONIMA CER</t>
  </si>
  <si>
    <t>1200001298</t>
  </si>
  <si>
    <t>01-0F101-0006071</t>
  </si>
  <si>
    <t>PESCACORD PERU SOCIEDAD ANONIMA CER</t>
  </si>
  <si>
    <t>1200001336</t>
  </si>
  <si>
    <t>01-0F101-0006099</t>
  </si>
  <si>
    <t>PESCACORD PERU SOCIEDAD ANONIMA CER</t>
  </si>
  <si>
    <t>1200001337</t>
  </si>
  <si>
    <t>01-0F101-0006100</t>
  </si>
  <si>
    <t>PESCACORD PERU SOCIEDAD ANONIMA CER</t>
  </si>
  <si>
    <t>1200001398</t>
  </si>
  <si>
    <t>01-0F101-0006138</t>
  </si>
  <si>
    <t>PESCACORD PERU SOCIEDAD ANONIMA CER</t>
  </si>
  <si>
    <t>1200001399</t>
  </si>
  <si>
    <t>01-0F101-0006139</t>
  </si>
  <si>
    <t>2000000267</t>
  </si>
  <si>
    <t>PESCIRO SLU</t>
  </si>
  <si>
    <t>1300002619</t>
  </si>
  <si>
    <t>SALDO A FAVOR</t>
  </si>
  <si>
    <t>6000434</t>
  </si>
  <si>
    <t>PESQUERA HAYDUK S.A.</t>
  </si>
  <si>
    <t>1200004540</t>
  </si>
  <si>
    <t>01-0F003-0000083</t>
  </si>
  <si>
    <t>1000001607</t>
  </si>
  <si>
    <t>PROVEEDORA DE PRODUCTOS MARINOS</t>
  </si>
  <si>
    <t>1200001150</t>
  </si>
  <si>
    <t>01-0F003-0000181</t>
  </si>
  <si>
    <t>PROVEEDORA DE PRODUCTOS MARINOS</t>
  </si>
  <si>
    <t>1200001381</t>
  </si>
  <si>
    <t>01-0F003-0000182</t>
  </si>
  <si>
    <t>PROVEEDORA DE PRODUCTOS MARINOS</t>
  </si>
  <si>
    <t>1200001382</t>
  </si>
  <si>
    <t>01-0F003-0000183</t>
  </si>
  <si>
    <t>1300001727</t>
  </si>
  <si>
    <t>ANTICIPO QINGHAI</t>
  </si>
  <si>
    <t>1300002536</t>
  </si>
  <si>
    <t>ANTICIPO QINGHAI</t>
  </si>
  <si>
    <t>1300002549</t>
  </si>
  <si>
    <t>ANTICIPO QINGHAI</t>
  </si>
  <si>
    <t>2000001438</t>
  </si>
  <si>
    <t>Qingdao Haiyujia International Trad</t>
  </si>
  <si>
    <t>1200001325</t>
  </si>
  <si>
    <t>01-0F002-0000313</t>
  </si>
  <si>
    <t>Qingdao Haiyujia International Trad</t>
  </si>
  <si>
    <t>1200001361</t>
  </si>
  <si>
    <t>01-0F002-0000320</t>
  </si>
  <si>
    <t>Qingdao Haiyujia International Trad</t>
  </si>
  <si>
    <t>1200001366</t>
  </si>
  <si>
    <t>01-0F002-0000324</t>
  </si>
  <si>
    <t>1000001965</t>
  </si>
  <si>
    <t>SERVICIOS DIESEL EXPRESS E.I.R.L.</t>
  </si>
  <si>
    <t>1200001019</t>
  </si>
  <si>
    <t>01-0F101-0005864</t>
  </si>
  <si>
    <t>SERVICIOS DIESEL EXPRESS E.I.R.L.</t>
  </si>
  <si>
    <t>1200001039</t>
  </si>
  <si>
    <t>01-0F101-0005878</t>
  </si>
  <si>
    <t>SERVICIOS DIESEL EXPRESS E.I.R.L.</t>
  </si>
  <si>
    <t>1200001087</t>
  </si>
  <si>
    <t>01-0F101-0005917</t>
  </si>
  <si>
    <t>SERVICIOS DIESEL EXPRESS E.I.R.L.</t>
  </si>
  <si>
    <t>1200001135</t>
  </si>
  <si>
    <t>01-0F101-0005955</t>
  </si>
  <si>
    <t>SERVICIOS DIESEL EXPRESS E.I.R.L.</t>
  </si>
  <si>
    <t>1200001188</t>
  </si>
  <si>
    <t>01-0F101-0005998</t>
  </si>
  <si>
    <t>SERVICIOS DIESEL EXPRESS E.I.R.L.</t>
  </si>
  <si>
    <t>1200001251</t>
  </si>
  <si>
    <t>01-0F101-0006045</t>
  </si>
  <si>
    <t>SERVICIOS DIESEL EXPRESS E.I.R.L.</t>
  </si>
  <si>
    <t>1200001320</t>
  </si>
  <si>
    <t>01-0F101-0006090</t>
  </si>
  <si>
    <t>SERVICIOS DIESEL EXPRESS E.I.R.L.</t>
  </si>
  <si>
    <t>1200001384</t>
  </si>
  <si>
    <t>01-0F101-0006124</t>
  </si>
  <si>
    <t>SERVICIOS DIESEL EXPRESS E.I.R.L.</t>
  </si>
  <si>
    <t>1200001394</t>
  </si>
  <si>
    <t>01-0F101-0006134</t>
  </si>
  <si>
    <t>SERVICIOS DIESEL EXPRESS E.I.R.L.</t>
  </si>
  <si>
    <t>1200001395</t>
  </si>
  <si>
    <t>01-0F101-0006135</t>
  </si>
  <si>
    <t>2000001418</t>
  </si>
  <si>
    <t>Shandong Sheenier Food Co., Ltd.</t>
  </si>
  <si>
    <t>Shandong Sheenier Food Co., Ltd.</t>
  </si>
  <si>
    <t>1200000646</t>
  </si>
  <si>
    <t>Shandong Sheenier Food Co., Ltd.</t>
  </si>
  <si>
    <t>1200001326</t>
  </si>
  <si>
    <t>2000001440</t>
  </si>
  <si>
    <t>Shenzhen Yueshi Supply Chain</t>
  </si>
  <si>
    <t>Shenzhen Yueshi Supply Chain</t>
  </si>
  <si>
    <t>1200001362</t>
  </si>
  <si>
    <t>1000013801</t>
  </si>
  <si>
    <t>STL 5.0 S.A.C.</t>
  </si>
  <si>
    <t>1200001207</t>
  </si>
  <si>
    <t>01-0F101-0006012</t>
  </si>
  <si>
    <t>STL 5.0 S.A.C.</t>
  </si>
  <si>
    <t>1200001208</t>
  </si>
  <si>
    <t>01-0F101-0006013</t>
  </si>
  <si>
    <t>1000013794</t>
  </si>
  <si>
    <t>TECAMPA EIRL</t>
  </si>
  <si>
    <t>1300005699</t>
  </si>
  <si>
    <t>FT-0F101-0004285</t>
  </si>
  <si>
    <t>1000013686</t>
  </si>
  <si>
    <t>TRANSPORTES O Y G S.A.C.</t>
  </si>
  <si>
    <t>1200001072</t>
  </si>
  <si>
    <t>01-0F101-0005906</t>
  </si>
  <si>
    <t>2000000786</t>
  </si>
  <si>
    <t>TSUJINO &amp; CO., LTD</t>
  </si>
  <si>
    <t>TSUJINO &amp; CO., LTD</t>
  </si>
  <si>
    <t>1200000615</t>
  </si>
  <si>
    <t>01-0F002-0000272</t>
  </si>
  <si>
    <t>TSUJINO &amp; CO., LTD</t>
  </si>
  <si>
    <t>1200000625</t>
  </si>
  <si>
    <t>01-0F002-0000277</t>
  </si>
  <si>
    <t>TSUJINO &amp; CO., LTD</t>
  </si>
  <si>
    <t>1200000630</t>
  </si>
  <si>
    <t>01-0F002-0000278</t>
  </si>
  <si>
    <t>TSUJINO &amp; CO., LTD</t>
  </si>
  <si>
    <t>1200000632</t>
  </si>
  <si>
    <t>01-0F002-0000280</t>
  </si>
  <si>
    <t>TSUJINO &amp; CO., LTD</t>
  </si>
  <si>
    <t>1200000802</t>
  </si>
  <si>
    <t>01-0F002-0000290</t>
  </si>
  <si>
    <t>TSUJINO &amp; CO., LTD</t>
  </si>
  <si>
    <t>1200000803</t>
  </si>
  <si>
    <t>01-0F002-0000291</t>
  </si>
  <si>
    <t>TSUJINO &amp; CO., LTD</t>
  </si>
  <si>
    <t>1200001269</t>
  </si>
  <si>
    <t>01-0F002-0000303</t>
  </si>
  <si>
    <t>TSUJINO &amp; CO., LTD</t>
  </si>
  <si>
    <t>1200001270</t>
  </si>
  <si>
    <t>01-0F002-0000304</t>
  </si>
  <si>
    <t>TSUJINO &amp; CO., LTD</t>
  </si>
  <si>
    <t>1200001277</t>
  </si>
  <si>
    <t>01-0F002-0000305</t>
  </si>
  <si>
    <t>TSUJINO &amp; CO., LTD</t>
  </si>
  <si>
    <t>1200001280</t>
  </si>
  <si>
    <t>01-0F002-0000306</t>
  </si>
  <si>
    <t>TSUJINO &amp; CO., LTD</t>
  </si>
  <si>
    <t>1200001344</t>
  </si>
  <si>
    <t>01-0F002-0000316</t>
  </si>
  <si>
    <t>TSUJINO &amp; CO., LTD</t>
  </si>
  <si>
    <t>1200001345</t>
  </si>
  <si>
    <t>01-0F002-0000317</t>
  </si>
  <si>
    <t>TSUJINO &amp; CO., LTD</t>
  </si>
  <si>
    <t>1200001346</t>
  </si>
  <si>
    <t>01-0F002-0000318</t>
  </si>
  <si>
    <t>TSUJINO &amp; CO., LTD</t>
  </si>
  <si>
    <t>1200001364</t>
  </si>
  <si>
    <t>01-0F002-0000322</t>
  </si>
  <si>
    <t>2000001348</t>
  </si>
  <si>
    <t>YANTAI JIAHONG IMP &amp; EXP CO., LTD.</t>
  </si>
  <si>
    <t>1200001241</t>
  </si>
  <si>
    <t>01-0F002-0000302</t>
  </si>
  <si>
    <t>2000001069</t>
  </si>
  <si>
    <t>YANTAI TAIXI FOODSTUFF CO., LTD</t>
  </si>
  <si>
    <t>YANTAI TAIXI FOODSTUFF CO., LTD</t>
  </si>
  <si>
    <t>1200000936</t>
  </si>
  <si>
    <t>01-0F002-0000294</t>
  </si>
  <si>
    <t>YANTAI TAIXI FOODSTUFF CO., LTD</t>
  </si>
  <si>
    <t>1200000942</t>
  </si>
  <si>
    <t>YANTAI TAIXI FOODSTUFF CO., LTD</t>
  </si>
  <si>
    <t>1200001190</t>
  </si>
  <si>
    <t>01-0F002-0000300</t>
  </si>
  <si>
    <t>Etiquetas de fila</t>
  </si>
  <si>
    <t>Suma de Importe en moneda doc.</t>
  </si>
  <si>
    <t>Total general</t>
  </si>
  <si>
    <t>Etiquetas de columna</t>
  </si>
  <si>
    <t>UNIDAD DE NEGOCIO</t>
  </si>
  <si>
    <t>NACIONAL</t>
  </si>
  <si>
    <t>OTROS</t>
  </si>
  <si>
    <t>RESIDUOS</t>
  </si>
  <si>
    <t>CISTERNA</t>
  </si>
  <si>
    <t>EXPORTACIÓN</t>
  </si>
  <si>
    <t>RODRIGO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</si>
  <si>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</si>
  <si>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</si>
  <si>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</si>
  <si>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</si>
  <si>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</si>
  <si>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</si>
  <si>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</si>
  <si>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(Todas)</t>
  </si>
  <si>
    <t>Suma de USD HOMOL</t>
  </si>
  <si>
    <t>Abr</t>
  </si>
  <si>
    <t>May</t>
  </si>
  <si>
    <t>Jun</t>
  </si>
  <si>
    <t>(Varios elementos)</t>
  </si>
  <si>
    <t>FT-0F002-0000281</t>
  </si>
  <si>
    <t>ANTICIPO FOOD&amp;BE</t>
  </si>
  <si>
    <t>FT-0F002-0000312</t>
  </si>
  <si>
    <t>FT-0F002-0000325</t>
  </si>
  <si>
    <t>FT-0F002-0000315</t>
  </si>
  <si>
    <t>FT-0F002-0000323</t>
  </si>
  <si>
    <t>FT-0F002-0000298</t>
  </si>
  <si>
    <t>FT-0F002-0000288</t>
  </si>
  <si>
    <t>FT-0F002-0000314</t>
  </si>
  <si>
    <t>FT-0F002-0000321</t>
  </si>
  <si>
    <t>FT-0F002-0000293</t>
  </si>
  <si>
    <t>0-45</t>
  </si>
  <si>
    <t>46-60</t>
  </si>
  <si>
    <t>Suma de DÍAS ATRASADOS</t>
  </si>
  <si>
    <t>Cuenta de DÍAS VENCIDOS</t>
  </si>
  <si>
    <t>Total Abr</t>
  </si>
  <si>
    <t>Total May</t>
  </si>
  <si>
    <t>Total Jun</t>
  </si>
  <si>
    <t>Mar</t>
  </si>
  <si>
    <t>CUENTAS POR COBRAR ACTUAL DEL 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</si>
</sst>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</cellStyleXfs>
  <cellXfs count="2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"/>
    </xf>
    <xf numFmtId="0" fontId="4" fillId="3" borderId="0" xfId="3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3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3" fillId="0" borderId="0" xfId="3" applyFont="1" applyFill="1" applyAlignment="1">
      <alignment vertical="top" wrapText="1"/>
    </xf>
    <xf numFmtId="14" fontId="0" fillId="4" borderId="0" xfId="0" applyNumberFormat="1" applyFill="1" applyAlignment="1">
      <alignment vertical="top"/>
    </xf>
    <xf numFmtId="4" fontId="0" fillId="4" borderId="0" xfId="0" applyNumberFormat="1" applyFill="1" applyAlignment="1">
      <alignment vertical="top"/>
    </xf>
    <xf numFmtId="43" fontId="0" fillId="4" borderId="0" xfId="1" applyFont="1" applyFill="1" applyAlignment="1">
      <alignment vertical="top"/>
    </xf>
    <xf numFmtId="0" fontId="5" fillId="0" borderId="0" xfId="0" applyFont="1" applyAlignment="1">
      <alignment vertical="top"/>
    </xf>
  </cellXfs>
  <cellStyles count="4">
    <cellStyle name="Millares" xfId="1" builtinId="3"/>
    <cellStyle name="Millares 2" xfId="2" xr:uid="{2265636C-1C65-4F66-AD47-8C6E958DEC4E}"/>
    <cellStyle name="Normal" xfId="0" builtinId="0"/>
    <cellStyle name="Normal 2" xfId="3" xr:uid="{1B33C724-F6D4-4EFF-B184-F1CB8F45C9DF}"/>
  </cellStyles>
  <dxfs count="34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46.660975231483" createdVersion="8" refreshedVersion="8" minRefreshableVersion="3" recordCount="235" xr:uid="{E07DAF2D-9B78-4F20-A239-53EB9F055B3A}">
  <cacheSource type="worksheet">
    <worksheetSource ref="A1:R1048576" sheet="Data"/>
  </cacheSource>
  <cacheFields count="23">
    <cacheField name="Cliente" numFmtId="0">
      <sharedItems containsBlank="1"/>
    </cacheField>
    <cacheField name="Nombre de cliente" numFmtId="0">
      <sharedItems containsBlank="1" count="37">
        <s v="ARKANO TRADING SOCIEDAD ANONIMA CER"/>
        <s v="CARLOS ALBERTO MARTINEZ QUEREVALU"/>
        <s v="CORPORACION NACIONAL PERU EXPORTACI"/>
        <s v="CRISTO DE LA VICTORIA S.A.C."/>
        <s v="DAIRECK SA"/>
        <s v="ELMER SIXTO SOJO ACARO"/>
        <s v="FOOD &amp; BEVERAGES TRADERS, S.L."/>
        <s v="GLOBAL OCEAN FLEXTRADING, S. L"/>
        <s v="GOLDEN SEAFOOD PTE. LTD."/>
        <s v="GRUPO KRISSMAR S.A.C."/>
        <s v="Hunan Jinyueyang Import and Export"/>
        <s v="INVERSIONES YATAMURI E.I.R.L."/>
        <s v="JAHFISH E.I.R.L."/>
        <s v="KULALIA SL"/>
        <s v="LONGKOU JIABAO AQUATIC FOODSTUFFS"/>
        <s v="Longkou Yunfeng Aquatic Food Co.,Lt"/>
        <s v="NAVAPEZ E.I.R.L."/>
        <s v="OCEANUS FISH S.L."/>
        <s v="OVERSEA ATLANTIC FISH S.L."/>
        <s v="PEGASUS ENTERPRISE S.A.C."/>
        <s v="PESCACORD PERU SOCIEDAD ANONIMA CER"/>
        <s v="PESCIRO SLU"/>
        <s v="PESQUERA HAYDUK S.A."/>
        <s v="PROVEEDORA DE PRODUCTOS MARINOS"/>
        <s v="Qingdao Haiyujia International Trad"/>
        <s v="SERVICIOS DIESEL EXPRESS E.I.R.L."/>
        <s v="Shandong Sheenier Food Co., Ltd."/>
        <s v="Shenzhen Yueshi Supply Chain"/>
        <s v="STL 5.0 S.A.C."/>
        <s v="TECAMPA EIRL"/>
        <s v="TRANSPORTES O Y G S.A.C."/>
        <s v="TSUJINO &amp; CO., LTD"/>
        <s v="YANTAI JIAHONG IMP &amp; EXP CO., LTD."/>
        <s v="YANTAI TAIXI FOODSTUFF CO., LTD"/>
        <m/>
        <s v="Qingdao Haiyujia International" u="1"/>
        <s v="DIAMOND FISH SPA" u="1"/>
      </sharedItems>
    </cacheField>
    <cacheField name="0" numFmtId="0">
      <sharedItems containsBlank="1"/>
    </cacheField>
    <cacheField name="Referencia" numFmtId="0">
      <sharedItems containsBlank="1" count="253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03-0B001-0004349"/>
        <s v="03-0B001-0004350"/>
        <s v="03-0B001-0004421"/>
        <s v="03-0B001-0004422"/>
        <s v="03-0B001-0004488"/>
        <s v="03-0B001-0004489"/>
        <s v="01-0F101-0005458"/>
        <s v="01-0F101-0005470"/>
        <s v="01-0F101-0005482"/>
        <s v="01-0F101-0005569"/>
        <s v="01-0F101-0005730"/>
        <s v="01-0F101-0005740"/>
        <s v="01-0F101-0006016"/>
        <s v="01-0F101-0006097"/>
        <s v="01-0F101-0006098"/>
        <s v="FT-0F002-0000281"/>
        <s v="01-0F002-0000282"/>
        <s v="01-0F002-0000283"/>
        <s v="01-0F002-0000284"/>
        <s v="01-0F002-0000285"/>
        <s v="01-0F002-0000286"/>
        <s v="03-0B001-0004423"/>
        <s v="03-0B001-0004424"/>
        <s v="03-0B001-0004429"/>
        <s v="03-0B001-0004430"/>
        <s v="03-0B001-0004435"/>
        <s v="03-0B001-0004436"/>
        <s v="03-0B001-0004437"/>
        <s v="03-0B001-0004438"/>
        <s v="03-0B001-0004439"/>
        <s v="03-0B001-0004440"/>
        <s v="03-0B001-0004449"/>
        <s v="03-0B001-0004450"/>
        <s v="03-0B001-0004455"/>
        <s v="03-0B001-0004456"/>
        <s v="03-0B001-0004462"/>
        <s v="03-0B001-0004463"/>
        <s v="03-0B001-0004464"/>
        <s v="03-0B001-0004465"/>
        <s v="03-0B001-0004472"/>
        <s v="03-0B001-0004473"/>
        <s v="03-0B001-0004480"/>
        <s v="03-0B001-0004481"/>
        <s v="03-0B001-0004486"/>
        <s v="03-0B001-0004487"/>
        <s v="03-0B001-0004492"/>
        <s v="03-0B001-0004493"/>
        <s v="03-0B001-0004498"/>
        <s v="03-0B001-0004499"/>
        <s v="03-0B001-0004500"/>
        <s v="03-0B001-0004501"/>
        <s v="01-0F002-0000310"/>
        <s v="01-0F002-0000311"/>
        <s v="ANTICIPO FOOD&amp;BE"/>
        <s v="01-0F002-0000295"/>
        <s v="07-0F002-0000043"/>
        <s v="FT-0F002-0000312"/>
        <s v="FT-0F002-0000325"/>
        <s v="01-0F101-0005952"/>
        <s v="01-0F101-0005953"/>
        <s v="01-0F101-0005984"/>
        <s v="01-0F101-0005985"/>
        <s v="FT-0F002-0000315"/>
        <s v="FT-0F002-0000323"/>
        <s v="01-0F101-0006061"/>
        <s v="01-0F101-0006062"/>
        <s v="01-0F101-0005794"/>
        <s v="01-0F101-0005795"/>
        <s v="01-0F101-0005803"/>
        <s v="01-0F101-0005804"/>
        <s v="01-0F101-0005805"/>
        <s v="01-0F101-0005806"/>
        <s v="01-0F101-0005820"/>
        <s v="01-0F101-0005821"/>
        <s v="01-0F101-0005833"/>
        <s v="01-0F101-0005834"/>
        <s v="01-0F101-0005865"/>
        <s v="01-0F101-0005866"/>
        <s v="01-0F101-0005888"/>
        <s v="01-0F101-0005889"/>
        <s v="01-0F101-0005894"/>
        <s v="01-0F101-0005895"/>
        <s v="01-0F101-0005904"/>
        <s v="01-0F101-0005905"/>
        <s v="01-0F101-0005924"/>
        <s v="01-0F101-0005925"/>
        <s v="01-0F101-0005927"/>
        <s v="01-0F101-0005928"/>
        <s v="01-0F101-0005943"/>
        <s v="01-0F101-0005944"/>
        <s v="01-0F101-0005950"/>
        <s v="01-0F101-0005951"/>
        <s v="01-0F101-0005946"/>
        <s v="01-0F101-0005947"/>
        <s v="01-0F101-0005970"/>
        <s v="01-0F101-0005971"/>
        <s v="01-0F101-0005978"/>
        <s v="01-0F101-0005979"/>
        <s v="01-0F101-0005986"/>
        <s v="01-0F101-0005987"/>
        <s v="01-0F101-0005990"/>
        <s v="01-0F101-0005991"/>
        <s v="01-0F101-0006004"/>
        <s v="01-0F101-0006005"/>
        <s v="01-0F101-0006031"/>
        <s v="01-0F101-0006032"/>
        <s v="01-0F101-0006037"/>
        <s v="01-0F101-0006038"/>
        <s v="01-0F101-0006046"/>
        <s v="01-0F101-0006047"/>
        <s v="01-0F101-0006053"/>
        <s v="01-0F101-0006054"/>
        <s v="01-0F101-0006076"/>
        <s v="01-0F101-0006077"/>
        <s v="01-0F101-0006086"/>
        <s v="01-0F101-0006087"/>
        <s v="01-0F101-0006103"/>
        <s v="01-0F101-0006104"/>
        <s v="01-0F101-0006112"/>
        <s v="01-0F101-0006113"/>
        <s v="01-0F101-0006132"/>
        <s v="01-0F101-0006133"/>
        <s v="01-0F101-0006147"/>
        <s v="01-0F101-0006148"/>
        <s v="01-0F101-0006155"/>
        <s v="01-0F101-0006156"/>
        <s v="FT-0F002-0000264"/>
        <s v="01-0F002-0000275"/>
        <s v="01-0F002-0000289"/>
        <s v="01-0F002-0000299"/>
        <s v="01-0F002-0000307"/>
        <s v="SALDO A FAVOR"/>
        <s v="01-0F002-0000319"/>
        <s v="01-0F101-0004638"/>
        <s v="01-0F101-0004639"/>
        <s v="01-0F101-0004653"/>
        <s v="01-0F101-0004654"/>
        <s v="01-0F002-0000287"/>
        <s v="01-0F002-0000296"/>
        <s v="01-0F002-0000297"/>
        <s v="01-0F002-0000301"/>
        <s v="01-0F002-0000309"/>
        <s v="FT-0F002-0000298"/>
        <s v="FT-0F003-0000101"/>
        <s v="01-0F003-0000129"/>
        <s v="01-0F003-0000168"/>
        <s v="01-0F003-0000174"/>
        <s v="01-0F101-0005849"/>
        <s v="01-0F101-0005850"/>
        <s v="01-0F101-0005890"/>
        <s v="01-0F101-0005891"/>
        <s v="01-0F101-0005902"/>
        <s v="01-0F101-0005903"/>
        <s v="01-0F101-0005937"/>
        <s v="01-0F101-0005938"/>
        <s v="01-0F101-0005962"/>
        <s v="01-0F101-0005963"/>
        <s v="01-0F101-0005996"/>
        <s v="01-0F101-0005997"/>
        <s v="01-0F101-0006010"/>
        <s v="01-0F101-0006011"/>
        <s v="01-0F101-0006023"/>
        <s v="01-0F101-0006024"/>
        <s v="01-0F101-0006051"/>
        <s v="01-0F101-0006052"/>
        <s v="01-0F101-0006070"/>
        <s v="01-0F101-0006071"/>
        <s v="01-0F101-0006099"/>
        <s v="01-0F101-0006100"/>
        <s v="01-0F101-0006138"/>
        <s v="01-0F101-0006139"/>
        <s v="01-0F003-0000083"/>
        <s v="01-0F003-0000181"/>
        <s v="01-0F003-0000182"/>
        <s v="01-0F003-0000183"/>
        <s v="ANTICIPO QINGHAI"/>
        <s v="01-0F002-0000313"/>
        <s v="01-0F002-0000320"/>
        <s v="01-0F002-0000324"/>
        <s v="01-0F101-0005864"/>
        <s v="01-0F101-0005878"/>
        <s v="01-0F101-0005917"/>
        <s v="01-0F101-0005955"/>
        <s v="01-0F101-0005998"/>
        <s v="01-0F101-0006045"/>
        <s v="01-0F101-0006090"/>
        <s v="01-0F101-0006124"/>
        <s v="01-0F101-0006134"/>
        <s v="01-0F101-0006135"/>
        <s v="FT-0F002-0000288"/>
        <s v="FT-0F002-0000314"/>
        <s v="FT-0F002-0000321"/>
        <s v="01-0F101-0006012"/>
        <s v="01-0F101-0006013"/>
        <s v="FT-0F101-0004285"/>
        <s v="01-0F101-0005906"/>
        <s v="01-0F002-0000272"/>
        <s v="01-0F002-0000277"/>
        <s v="01-0F002-0000278"/>
        <s v="01-0F002-0000280"/>
        <s v="01-0F002-0000290"/>
        <s v="01-0F002-0000291"/>
        <s v="01-0F002-0000303"/>
        <s v="01-0F002-0000304"/>
        <s v="01-0F002-0000305"/>
        <s v="01-0F002-0000306"/>
        <s v="01-0F002-0000316"/>
        <s v="01-0F002-0000317"/>
        <s v="01-0F002-0000318"/>
        <s v="01-0F002-0000322"/>
        <s v="01-0F002-0000302"/>
        <s v="01-0F002-0000294"/>
        <s v="FT-0F002-0000293"/>
        <s v="01-0F002-0000300"/>
        <m/>
        <s v="01-0F002-0000281" u="1"/>
        <s v="FT-0F002-0000270" u="1"/>
        <s v="ANTICIPO DAIRECK" u="1"/>
        <s v="ANTICIPO GOLDEN" u="1"/>
        <s v="01-0F002-0000312" u="1"/>
        <s v="01-0F002-0000325" u="1"/>
        <s v="ANTICIPO HUNANJI" u="1"/>
        <s v="01-0F002-0000315" u="1"/>
        <s v="01-0F002-0000323" u="1"/>
        <s v="ANTICIPO LONGYUN" u="1"/>
        <s v="01-0F002-0000308" u="1"/>
        <s v="01-0F002-0000298" u="1"/>
        <s v="ANTICIPO SHANSHE" u="1"/>
        <s v="01-0F002-0000288" u="1"/>
        <s v="01-0F002-0000314" u="1"/>
        <s v="ANTICIPO SHENZHE" u="1"/>
        <s v="01-0F002-0000321" u="1"/>
        <s v="ANTICIPO YANTAIT" u="1"/>
        <s v="01-0F002-0000292" u="1"/>
        <s v="01-0F002-0000293" u="1"/>
        <s v="ADELP 257293353" u="1"/>
      </sharedItems>
    </cacheField>
    <cacheField name="Clase de documento" numFmtId="0">
      <sharedItems containsBlank="1" count="8">
        <s v="DF"/>
        <s v="DB"/>
        <s v="ZV"/>
        <s v="DE"/>
        <s v="DZ"/>
        <s v="DC"/>
        <m/>
        <s v="DP" u="1"/>
      </sharedItems>
    </cacheField>
    <cacheField name="Fecha de documento" numFmtId="0">
      <sharedItems containsNonDate="0" containsDate="1" containsString="0" containsBlank="1" minDate="2023-05-19T00:00:00" maxDate="2026-05-04T00:00:00" count="57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4-05T00:00:00"/>
        <d v="2026-04-16T00:00:00"/>
        <d v="2026-04-30T00:00:00"/>
        <d v="2026-03-17T00:00:00"/>
        <d v="2026-03-19T00:00:00"/>
        <d v="2026-03-21T00:00:00"/>
        <d v="2026-03-30T00:00:00"/>
        <d v="2026-04-09T00:00:00"/>
        <d v="2026-04-10T00:00:00"/>
        <d v="2026-04-25T00:00:00"/>
        <d v="2026-04-29T00:00:00"/>
        <d v="2026-03-29T00:00:00"/>
        <d v="2026-04-17T00:00:00"/>
        <d v="2026-04-19T00:00:00"/>
        <d v="2026-04-20T00:00:00"/>
        <d v="2026-04-22T00:00:00"/>
        <d v="2026-04-23T00:00:00"/>
        <d v="2026-04-27T00:00:00"/>
        <d v="2026-04-28T00:00:00"/>
        <d v="2026-05-02T00:00:00"/>
        <d v="2026-05-03T00:00:00"/>
        <d v="2026-04-12T00:00:00"/>
        <d v="2026-04-14T00:00:00"/>
        <d v="2026-04-15T00:00:00"/>
        <d v="2026-04-18T00:00:00"/>
        <d v="2026-04-21T00:00:00"/>
        <d v="2026-04-24T00:00:00"/>
        <d v="2026-04-26T00:00:00"/>
        <d v="2026-03-15T00:00:00"/>
        <d v="2026-03-28T00:00:00"/>
        <d v="2026-04-08T00:00:00"/>
        <d v="2025-11-03T00:00:00"/>
        <d v="2025-11-06T00:00:00"/>
        <d v="2026-04-13T00:00:00"/>
        <d v="2025-10-21T00:00:00"/>
        <d v="2025-11-04T00:00:00"/>
        <d v="2026-01-31T00:00:00"/>
        <d v="2026-03-03T00:00:00"/>
        <d v="2025-10-07T00:00:00"/>
        <d v="2025-10-12T00:00:00"/>
        <m/>
        <d v="2026-04-01T00:00:00" u="1"/>
        <d v="2026-04-06T00:00:00" u="1"/>
        <d v="2026-04-07T00:00:00" u="1"/>
        <d v="2026-03-02T00:00:00" u="1"/>
        <d v="2023-05-19T00:00:00" u="1"/>
        <d v="2026-02-02T00:00:00" u="1"/>
      </sharedItems>
    </cacheField>
    <cacheField name="Demora tras vencimiento neto" numFmtId="0">
      <sharedItems containsString="0" containsBlank="1" containsNumber="1" containsInteger="1" minValue="-40" maxValue="204"/>
    </cacheField>
    <cacheField name="Fecha de pago" numFmtId="0">
      <sharedItems containsNonDate="0" containsDate="1" containsString="0" containsBlank="1" minDate="2025-10-12T00:00:00" maxDate="2026-06-14T00:00:00"/>
    </cacheField>
    <cacheField name="Importe en moneda doc." numFmtId="0">
      <sharedItems containsString="0" containsBlank="1" containsNumber="1" minValue="-168395" maxValue="631800"/>
    </cacheField>
    <cacheField name="Moneda del documento" numFmtId="0">
      <sharedItems containsBlank="1"/>
    </cacheField>
    <cacheField name="UNIDAD DE NEGOCIO" numFmtId="0">
      <sharedItems containsBlank="1" count="7">
        <s v="NACIONAL"/>
        <s v="EXPORTACIÓN"/>
        <s v="RODRIGO"/>
        <s v="CISTERNA"/>
        <s v="OTROS"/>
        <s v="RESIDUOS"/>
        <m/>
      </sharedItems>
    </cacheField>
    <cacheField name="FECHA IDEAL DE PAGO" numFmtId="0">
      <sharedItems containsNonDate="0" containsDate="1" containsString="0" containsBlank="1" minDate="2026-04-29T00:00:00" maxDate="2026-06-14T00:00:00"/>
    </cacheField>
    <cacheField name="DÍAS VENCIDOS" numFmtId="0">
      <sharedItems containsString="0" containsBlank="1" containsNumber="1" containsInteger="1" minValue="-38" maxValue="-2"/>
    </cacheField>
    <cacheField name="Vcto finanzas SEMANA PASADA" numFmtId="0">
      <sharedItems containsNonDate="0" containsDate="1" containsString="0" containsBlank="1" minDate="2026-03-30T00:00:00" maxDate="2026-06-14T00:00:00" count="19">
        <m/>
        <d v="2026-05-13T00:00:00"/>
        <d v="2026-06-11T00:00:00"/>
        <d v="2026-04-30T00:00:00"/>
        <d v="2026-05-27T00:00:00"/>
        <d v="2026-06-04T00:00:00"/>
        <d v="2026-06-13T00:00:00"/>
        <d v="2026-05-06T00:00:00"/>
        <d v="2026-05-12T00:00:00"/>
        <d v="2026-05-23T00:00:00"/>
        <d v="2026-06-06T00:00:00"/>
        <d v="2026-06-10T00:00:00"/>
        <d v="2026-05-28T00:00:00"/>
        <d v="2026-04-22T00:00:00"/>
        <d v="2026-03-30T00:00:00"/>
        <d v="2026-04-15T00:00:00"/>
        <d v="2026-05-14T00:00:00"/>
        <d v="2026-06-09T00:00:00"/>
        <d v="2026-06-08T00:00:00"/>
      </sharedItems>
      <fieldGroup par="22"/>
    </cacheField>
    <cacheField name="Vcto finanzas" numFmtId="0">
      <sharedItems containsNonDate="0" containsDate="1" containsString="0" containsBlank="1" minDate="2023-05-19T00:00:00" maxDate="2026-06-14T00:00:00" count="65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4-12T00:00:00"/>
        <d v="2026-04-23T00:00:00"/>
        <d v="2026-05-07T00:00:00"/>
        <d v="2026-03-24T00:00:00"/>
        <d v="2026-03-26T00:00:00"/>
        <d v="2026-03-28T00:00:00"/>
        <d v="2026-04-06T00:00:00"/>
        <d v="2026-04-16T00:00:00"/>
        <d v="2026-04-17T00:00:00"/>
        <d v="2026-05-02T00:00:00"/>
        <d v="2026-05-06T00:00:00"/>
        <d v="2026-05-13T00:00:00"/>
        <d v="2026-04-26T00:00:00"/>
        <d v="2026-04-27T00:00:00"/>
        <d v="2026-04-29T00:00:00"/>
        <d v="2026-04-30T00:00:00"/>
        <d v="2026-05-04T00:00:00"/>
        <d v="2026-05-05T00:00:00"/>
        <d v="2026-05-09T00:00:00"/>
        <d v="2026-05-10T00:00:00"/>
        <d v="2026-06-11T00:00:00"/>
        <d v="2026-05-27T00:00:00"/>
        <d v="2026-06-04T00:00:00"/>
        <d v="2026-06-13T00:00:00"/>
        <d v="2026-04-22T00:00:00"/>
        <d v="2026-04-28T00:00:00"/>
        <d v="2026-04-21T00:00:00"/>
        <d v="2026-04-24T00:00:00"/>
        <d v="2026-04-25T00:00:00"/>
        <d v="2026-04-19T00:00:00"/>
        <d v="2026-05-01T00:00:00"/>
        <d v="2026-05-03T00:00:00"/>
        <d v="2026-05-12T00:00:00"/>
        <d v="2026-05-23T00:00:00"/>
        <d v="2026-06-06T00:00:00"/>
        <d v="2026-06-10T00:00:00"/>
        <d v="2025-11-10T00:00:00"/>
        <d v="2025-11-13T00:00:00"/>
        <d v="2026-05-28T00:00:00"/>
        <d v="2025-10-21T00:00:00"/>
        <d v="2025-11-11T00:00:00"/>
        <d v="2026-02-07T00:00:00"/>
        <d v="2026-03-10T00:00:00"/>
        <d v="2025-10-14T00:00:00"/>
        <d v="2026-03-31T00:00:00"/>
        <d v="2026-04-18T00:00:00"/>
        <d v="2026-05-14T00:00:00"/>
        <d v="2025-10-12T00:00:00"/>
        <d v="2026-06-09T00:00:00"/>
        <d v="2026-06-08T00:00:00"/>
        <m/>
        <d v="2026-04-01T00:00:00" u="1"/>
        <d v="2026-03-17T00:00:00" u="1"/>
        <d v="2023-05-19T00:00:00" u="1"/>
        <d v="2026-02-02T00:00:00" u="1"/>
      </sharedItems>
      <fieldGroup par="20"/>
    </cacheField>
    <cacheField name="USD HOMOL" numFmtId="0">
      <sharedItems containsString="0" containsBlank="1" containsNumber="1" minValue="-168395" maxValue="631800"/>
    </cacheField>
    <cacheField name="DÍAS ATRASADOS" numFmtId="0">
      <sharedItems containsString="0" containsBlank="1" containsNumber="1" containsInteger="1" minValue="4" maxValue="50"/>
    </cacheField>
    <cacheField name="ANTIGÜEDAD" numFmtId="0">
      <sharedItems containsBlank="1" count="3">
        <m/>
        <s v="0-45"/>
        <s v="46-60"/>
      </sharedItems>
    </cacheField>
    <cacheField name="Meses (Vcto finanzas)" numFmtId="0" databaseField="0">
      <fieldGroup base="14">
        <rangePr groupBy="months" startDate="2025-10-12T00:00:00" endDate="2026-06-14T00:00:00"/>
        <groupItems count="14">
          <s v="&lt;12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4/06/2026"/>
        </groupItems>
      </fieldGroup>
    </cacheField>
    <cacheField name="Trimestres (Vcto finanzas)" numFmtId="0" databaseField="0">
      <fieldGroup base="14">
        <rangePr groupBy="quarters" startDate="2025-10-12T00:00:00" endDate="2026-06-14T00:00:00"/>
        <groupItems count="6">
          <s v="&lt;12/10/2025"/>
          <s v="Trim.1"/>
          <s v="Trim.2"/>
          <s v="Trim.3"/>
          <s v="Trim.4"/>
          <s v="&gt;14/06/2026"/>
        </groupItems>
      </fieldGroup>
    </cacheField>
    <cacheField name="Años (Vcto finanzas)" numFmtId="0" databaseField="0">
      <fieldGroup base="14">
        <rangePr groupBy="years" startDate="2025-10-12T00:00:00" endDate="2026-06-14T00:00:00"/>
        <groupItems count="4">
          <s v="&lt;12/10/2025"/>
          <s v="2025"/>
          <s v="2026"/>
          <s v="&gt;14/06/2026"/>
        </groupItems>
      </fieldGroup>
    </cacheField>
    <cacheField name="Días (Vcto finanzas SEMANA PASADA)" numFmtId="0" databaseField="0">
      <fieldGroup base="13">
        <rangePr groupBy="days" startDate="2026-03-30T00:00:00" endDate="2026-06-14T00:00:00"/>
        <groupItems count="368">
          <s v="&lt;30/03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4/06/2026"/>
        </groupItems>
      </fieldGroup>
    </cacheField>
    <cacheField name="Meses (Vcto finanzas SEMANA PASADA)" numFmtId="0" databaseField="0">
      <fieldGroup base="13">
        <rangePr groupBy="months" startDate="2026-03-30T00:00:00" endDate="2026-06-14T00:00:00"/>
        <groupItems count="14">
          <s v="&lt;30/03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4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">
  <r>
    <s v="1000013966"/>
    <x v="0"/>
    <s v="1200005220"/>
    <x v="0"/>
    <x v="0"/>
    <x v="0"/>
    <n v="159"/>
    <d v="2025-11-26T00:00:00"/>
    <n v="42.48"/>
    <s v="PEN"/>
    <x v="0"/>
    <m/>
    <m/>
    <x v="0"/>
    <x v="0"/>
    <n v="12.064754331155921"/>
    <m/>
    <x v="0"/>
  </r>
  <r>
    <s v="1000013966"/>
    <x v="0"/>
    <s v="1200005228"/>
    <x v="1"/>
    <x v="0"/>
    <x v="0"/>
    <n v="159"/>
    <d v="2025-11-26T00:00:00"/>
    <n v="14.16"/>
    <s v="PEN"/>
    <x v="0"/>
    <m/>
    <m/>
    <x v="0"/>
    <x v="0"/>
    <n v="4.0215847770519737"/>
    <m/>
    <x v="0"/>
  </r>
  <r>
    <s v="1000013966"/>
    <x v="0"/>
    <s v="1200005242"/>
    <x v="2"/>
    <x v="0"/>
    <x v="0"/>
    <n v="159"/>
    <d v="2025-11-26T00:00:00"/>
    <n v="14.16"/>
    <s v="PEN"/>
    <x v="0"/>
    <m/>
    <m/>
    <x v="0"/>
    <x v="0"/>
    <n v="4.0215847770519737"/>
    <m/>
    <x v="0"/>
  </r>
  <r>
    <s v="1000013966"/>
    <x v="0"/>
    <s v="1200005264"/>
    <x v="3"/>
    <x v="0"/>
    <x v="1"/>
    <n v="158"/>
    <d v="2025-11-27T00:00:00"/>
    <n v="28.32"/>
    <s v="PEN"/>
    <x v="0"/>
    <m/>
    <m/>
    <x v="0"/>
    <x v="1"/>
    <n v="8.0431695541039474"/>
    <m/>
    <x v="0"/>
  </r>
  <r>
    <s v="1000013966"/>
    <x v="0"/>
    <s v="1200005271"/>
    <x v="4"/>
    <x v="0"/>
    <x v="1"/>
    <n v="158"/>
    <d v="2025-11-27T00:00:00"/>
    <n v="14.16"/>
    <s v="PEN"/>
    <x v="0"/>
    <m/>
    <m/>
    <x v="0"/>
    <x v="1"/>
    <n v="4.0215847770519737"/>
    <m/>
    <x v="0"/>
  </r>
  <r>
    <s v="1000013966"/>
    <x v="0"/>
    <s v="1200005296"/>
    <x v="5"/>
    <x v="0"/>
    <x v="2"/>
    <n v="157"/>
    <d v="2025-11-28T00:00:00"/>
    <n v="28.32"/>
    <s v="PEN"/>
    <x v="0"/>
    <m/>
    <m/>
    <x v="0"/>
    <x v="2"/>
    <n v="8.0431695541039474"/>
    <m/>
    <x v="0"/>
  </r>
  <r>
    <s v="1000013966"/>
    <x v="0"/>
    <s v="1200005302"/>
    <x v="6"/>
    <x v="0"/>
    <x v="2"/>
    <n v="157"/>
    <d v="2025-11-28T00:00:00"/>
    <n v="42.48"/>
    <s v="PEN"/>
    <x v="0"/>
    <m/>
    <m/>
    <x v="0"/>
    <x v="2"/>
    <n v="12.064754331155921"/>
    <m/>
    <x v="0"/>
  </r>
  <r>
    <s v="1000013966"/>
    <x v="0"/>
    <s v="1200005304"/>
    <x v="7"/>
    <x v="0"/>
    <x v="2"/>
    <n v="157"/>
    <d v="2025-11-28T00:00:00"/>
    <n v="42.48"/>
    <s v="PEN"/>
    <x v="0"/>
    <m/>
    <m/>
    <x v="0"/>
    <x v="2"/>
    <n v="12.064754331155921"/>
    <m/>
    <x v="0"/>
  </r>
  <r>
    <s v="1000013966"/>
    <x v="0"/>
    <s v="1200005313"/>
    <x v="8"/>
    <x v="0"/>
    <x v="2"/>
    <n v="157"/>
    <d v="2025-11-28T00:00:00"/>
    <n v="14.16"/>
    <s v="PEN"/>
    <x v="0"/>
    <m/>
    <m/>
    <x v="0"/>
    <x v="2"/>
    <n v="4.0215847770519737"/>
    <m/>
    <x v="0"/>
  </r>
  <r>
    <s v="1000013966"/>
    <x v="0"/>
    <s v="1200005346"/>
    <x v="9"/>
    <x v="0"/>
    <x v="3"/>
    <n v="156"/>
    <d v="2025-11-29T00:00:00"/>
    <n v="28.32"/>
    <s v="PEN"/>
    <x v="0"/>
    <m/>
    <m/>
    <x v="0"/>
    <x v="3"/>
    <n v="8.0431695541039474"/>
    <m/>
    <x v="0"/>
  </r>
  <r>
    <s v="1000013966"/>
    <x v="0"/>
    <s v="1200005422"/>
    <x v="10"/>
    <x v="0"/>
    <x v="4"/>
    <n v="151"/>
    <d v="2025-12-04T00:00:00"/>
    <n v="14.16"/>
    <s v="PEN"/>
    <x v="0"/>
    <m/>
    <m/>
    <x v="0"/>
    <x v="4"/>
    <n v="4.0215847770519737"/>
    <m/>
    <x v="0"/>
  </r>
  <r>
    <s v="1000013966"/>
    <x v="0"/>
    <s v="1200000045"/>
    <x v="11"/>
    <x v="0"/>
    <x v="5"/>
    <n v="111"/>
    <d v="2026-01-13T00:00:00"/>
    <n v="14.16"/>
    <s v="PEN"/>
    <x v="0"/>
    <m/>
    <m/>
    <x v="0"/>
    <x v="5"/>
    <n v="4.0215847770519737"/>
    <m/>
    <x v="0"/>
  </r>
  <r>
    <s v="1000013966"/>
    <x v="0"/>
    <s v="1200000090"/>
    <x v="12"/>
    <x v="0"/>
    <x v="6"/>
    <n v="109"/>
    <d v="2026-01-15T00:00:00"/>
    <n v="14.16"/>
    <s v="PEN"/>
    <x v="0"/>
    <m/>
    <m/>
    <x v="0"/>
    <x v="6"/>
    <n v="4.0215847770519737"/>
    <m/>
    <x v="0"/>
  </r>
  <r>
    <s v="1000013966"/>
    <x v="0"/>
    <s v="1200000113"/>
    <x v="13"/>
    <x v="0"/>
    <x v="7"/>
    <n v="107"/>
    <d v="2026-01-17T00:00:00"/>
    <n v="14.16"/>
    <s v="PEN"/>
    <x v="0"/>
    <m/>
    <m/>
    <x v="0"/>
    <x v="7"/>
    <n v="4.0215847770519737"/>
    <m/>
    <x v="0"/>
  </r>
  <r>
    <s v="1000013966"/>
    <x v="0"/>
    <s v="1200000132"/>
    <x v="14"/>
    <x v="0"/>
    <x v="8"/>
    <n v="101"/>
    <d v="2026-01-23T00:00:00"/>
    <n v="14.16"/>
    <s v="PEN"/>
    <x v="0"/>
    <m/>
    <m/>
    <x v="0"/>
    <x v="8"/>
    <n v="4.0215847770519737"/>
    <m/>
    <x v="0"/>
  </r>
  <r>
    <s v="1000013966"/>
    <x v="0"/>
    <s v="1200000133"/>
    <x v="15"/>
    <x v="0"/>
    <x v="8"/>
    <n v="101"/>
    <d v="2026-01-23T00:00:00"/>
    <n v="14.16"/>
    <s v="PEN"/>
    <x v="0"/>
    <m/>
    <m/>
    <x v="0"/>
    <x v="8"/>
    <n v="4.0215847770519737"/>
    <m/>
    <x v="0"/>
  </r>
  <r>
    <s v="1000013966"/>
    <x v="0"/>
    <s v="1200000141"/>
    <x v="16"/>
    <x v="0"/>
    <x v="9"/>
    <n v="98"/>
    <d v="2026-01-26T00:00:00"/>
    <n v="14.16"/>
    <s v="PEN"/>
    <x v="0"/>
    <m/>
    <m/>
    <x v="0"/>
    <x v="9"/>
    <n v="4.0215847770519737"/>
    <m/>
    <x v="0"/>
  </r>
  <r>
    <s v="1000013676"/>
    <x v="1"/>
    <s v="1200000692"/>
    <x v="17"/>
    <x v="1"/>
    <x v="10"/>
    <n v="22"/>
    <d v="2026-04-12T00:00:00"/>
    <n v="250.4"/>
    <s v="PEN"/>
    <x v="0"/>
    <m/>
    <m/>
    <x v="0"/>
    <x v="10"/>
    <n v="71.116160181766546"/>
    <m/>
    <x v="0"/>
  </r>
  <r>
    <s v="1000013676"/>
    <x v="1"/>
    <s v="1200000693"/>
    <x v="18"/>
    <x v="1"/>
    <x v="10"/>
    <n v="22"/>
    <d v="2026-04-12T00:00:00"/>
    <n v="23.6"/>
    <s v="PEN"/>
    <x v="0"/>
    <m/>
    <m/>
    <x v="0"/>
    <x v="10"/>
    <n v="6.7026412950866234"/>
    <m/>
    <x v="0"/>
  </r>
  <r>
    <s v="1000013676"/>
    <x v="1"/>
    <s v="1200000983"/>
    <x v="19"/>
    <x v="1"/>
    <x v="11"/>
    <n v="11"/>
    <d v="2026-04-23T00:00:00"/>
    <n v="355.89"/>
    <s v="PEN"/>
    <x v="0"/>
    <m/>
    <m/>
    <x v="0"/>
    <x v="11"/>
    <n v="101.07639875035501"/>
    <m/>
    <x v="0"/>
  </r>
  <r>
    <s v="1000013676"/>
    <x v="1"/>
    <s v="1200000984"/>
    <x v="20"/>
    <x v="1"/>
    <x v="11"/>
    <n v="11"/>
    <d v="2026-04-23T00:00:00"/>
    <n v="35.4"/>
    <s v="PEN"/>
    <x v="0"/>
    <m/>
    <m/>
    <x v="0"/>
    <x v="11"/>
    <n v="10.053961942629934"/>
    <m/>
    <x v="0"/>
  </r>
  <r>
    <s v="1000013676"/>
    <x v="1"/>
    <s v="1200001340"/>
    <x v="21"/>
    <x v="1"/>
    <x v="12"/>
    <n v="-3"/>
    <d v="2026-05-07T00:00:00"/>
    <n v="352.82"/>
    <s v="PEN"/>
    <x v="0"/>
    <m/>
    <m/>
    <x v="0"/>
    <x v="12"/>
    <n v="100.20448736154502"/>
    <m/>
    <x v="0"/>
  </r>
  <r>
    <s v="1000013676"/>
    <x v="1"/>
    <s v="1200001341"/>
    <x v="22"/>
    <x v="1"/>
    <x v="12"/>
    <n v="-3"/>
    <d v="2026-05-07T00:00:00"/>
    <n v="47.2"/>
    <s v="PEN"/>
    <x v="0"/>
    <m/>
    <m/>
    <x v="0"/>
    <x v="12"/>
    <n v="13.405282590173247"/>
    <m/>
    <x v="0"/>
  </r>
  <r>
    <s v="1000013678"/>
    <x v="2"/>
    <s v="1200000439"/>
    <x v="23"/>
    <x v="0"/>
    <x v="13"/>
    <n v="41"/>
    <d v="2026-03-24T00:00:00"/>
    <n v="424.8"/>
    <s v="PEN"/>
    <x v="0"/>
    <m/>
    <m/>
    <x v="0"/>
    <x v="13"/>
    <n v="120.64754331155922"/>
    <m/>
    <x v="0"/>
  </r>
  <r>
    <s v="1000013678"/>
    <x v="2"/>
    <s v="1200000453"/>
    <x v="24"/>
    <x v="0"/>
    <x v="14"/>
    <n v="39"/>
    <d v="2026-03-26T00:00:00"/>
    <n v="283.2"/>
    <s v="PEN"/>
    <x v="0"/>
    <m/>
    <m/>
    <x v="0"/>
    <x v="14"/>
    <n v="80.431695541039474"/>
    <m/>
    <x v="0"/>
  </r>
  <r>
    <s v="1000013678"/>
    <x v="2"/>
    <s v="1200000468"/>
    <x v="25"/>
    <x v="0"/>
    <x v="15"/>
    <n v="37"/>
    <d v="2026-03-28T00:00:00"/>
    <n v="354"/>
    <s v="PEN"/>
    <x v="0"/>
    <m/>
    <m/>
    <x v="0"/>
    <x v="15"/>
    <n v="100.53961942629935"/>
    <m/>
    <x v="0"/>
  </r>
  <r>
    <s v="1000013678"/>
    <x v="2"/>
    <s v="1200000582"/>
    <x v="26"/>
    <x v="0"/>
    <x v="16"/>
    <n v="28"/>
    <d v="2026-04-06T00:00:00"/>
    <n v="283.2"/>
    <s v="PEN"/>
    <x v="0"/>
    <m/>
    <m/>
    <x v="0"/>
    <x v="16"/>
    <n v="80.431695541039474"/>
    <m/>
    <x v="0"/>
  </r>
  <r>
    <s v="1000013678"/>
    <x v="2"/>
    <s v="1200000812"/>
    <x v="27"/>
    <x v="0"/>
    <x v="17"/>
    <n v="18"/>
    <d v="2026-04-16T00:00:00"/>
    <n v="354"/>
    <s v="PEN"/>
    <x v="0"/>
    <m/>
    <m/>
    <x v="0"/>
    <x v="17"/>
    <n v="100.53961942629935"/>
    <m/>
    <x v="0"/>
  </r>
  <r>
    <s v="1000013678"/>
    <x v="2"/>
    <s v="1200000824"/>
    <x v="28"/>
    <x v="0"/>
    <x v="18"/>
    <n v="17"/>
    <d v="2026-04-17T00:00:00"/>
    <n v="236"/>
    <s v="PEN"/>
    <x v="0"/>
    <m/>
    <m/>
    <x v="0"/>
    <x v="18"/>
    <n v="67.026412950866231"/>
    <m/>
    <x v="0"/>
  </r>
  <r>
    <s v="1000013678"/>
    <x v="2"/>
    <s v="1200001211"/>
    <x v="29"/>
    <x v="0"/>
    <x v="19"/>
    <n v="2"/>
    <d v="2026-05-02T00:00:00"/>
    <n v="354"/>
    <s v="PEN"/>
    <x v="0"/>
    <m/>
    <m/>
    <x v="0"/>
    <x v="19"/>
    <n v="100.53961942629935"/>
    <m/>
    <x v="0"/>
  </r>
  <r>
    <s v="1000002057"/>
    <x v="3"/>
    <s v="1200001334"/>
    <x v="30"/>
    <x v="0"/>
    <x v="20"/>
    <n v="-2"/>
    <d v="2026-05-06T00:00:00"/>
    <n v="190.31"/>
    <s v="PEN"/>
    <x v="0"/>
    <m/>
    <m/>
    <x v="0"/>
    <x v="20"/>
    <n v="54.04998579948878"/>
    <m/>
    <x v="0"/>
  </r>
  <r>
    <s v="1000002057"/>
    <x v="3"/>
    <s v="1200001335"/>
    <x v="31"/>
    <x v="0"/>
    <x v="20"/>
    <n v="-2"/>
    <d v="2026-05-06T00:00:00"/>
    <n v="123.9"/>
    <s v="PEN"/>
    <x v="0"/>
    <m/>
    <m/>
    <x v="0"/>
    <x v="20"/>
    <n v="35.188866799204774"/>
    <m/>
    <x v="0"/>
  </r>
  <r>
    <s v="2000001381"/>
    <x v="4"/>
    <s v="1200000635"/>
    <x v="32"/>
    <x v="2"/>
    <x v="21"/>
    <n v="-9"/>
    <d v="2026-05-13T00:00:00"/>
    <n v="8136.99"/>
    <s v="USD"/>
    <x v="1"/>
    <d v="2026-05-13T00:00:00"/>
    <n v="-9"/>
    <x v="1"/>
    <x v="21"/>
    <n v="8136.99"/>
    <n v="36"/>
    <x v="1"/>
  </r>
  <r>
    <s v="2000001381"/>
    <x v="4"/>
    <s v="1200000638"/>
    <x v="33"/>
    <x v="3"/>
    <x v="21"/>
    <n v="-9"/>
    <d v="2026-05-13T00:00:00"/>
    <n v="24860"/>
    <s v="USD"/>
    <x v="1"/>
    <d v="2026-05-13T00:00:00"/>
    <n v="-9"/>
    <x v="1"/>
    <x v="21"/>
    <n v="24860"/>
    <n v="36"/>
    <x v="1"/>
  </r>
  <r>
    <s v="2000001381"/>
    <x v="4"/>
    <s v="1200000639"/>
    <x v="34"/>
    <x v="3"/>
    <x v="21"/>
    <n v="-9"/>
    <d v="2026-05-13T00:00:00"/>
    <n v="24860"/>
    <s v="USD"/>
    <x v="1"/>
    <d v="2026-05-13T00:00:00"/>
    <n v="-9"/>
    <x v="1"/>
    <x v="21"/>
    <n v="24860"/>
    <n v="36"/>
    <x v="1"/>
  </r>
  <r>
    <s v="2000001381"/>
    <x v="4"/>
    <s v="1200000641"/>
    <x v="35"/>
    <x v="3"/>
    <x v="21"/>
    <n v="-9"/>
    <d v="2026-05-13T00:00:00"/>
    <n v="28800"/>
    <s v="USD"/>
    <x v="1"/>
    <d v="2026-05-13T00:00:00"/>
    <n v="-9"/>
    <x v="1"/>
    <x v="21"/>
    <n v="28800"/>
    <n v="36"/>
    <x v="1"/>
  </r>
  <r>
    <s v="2000001381"/>
    <x v="4"/>
    <s v="1200000642"/>
    <x v="36"/>
    <x v="3"/>
    <x v="21"/>
    <n v="-9"/>
    <d v="2026-05-13T00:00:00"/>
    <n v="28800"/>
    <s v="USD"/>
    <x v="1"/>
    <d v="2026-05-13T00:00:00"/>
    <n v="-9"/>
    <x v="1"/>
    <x v="21"/>
    <n v="28800"/>
    <n v="36"/>
    <x v="1"/>
  </r>
  <r>
    <s v="2000001381"/>
    <x v="4"/>
    <s v="1200000643"/>
    <x v="37"/>
    <x v="3"/>
    <x v="21"/>
    <n v="-9"/>
    <d v="2026-05-13T00:00:00"/>
    <n v="29300"/>
    <s v="USD"/>
    <x v="1"/>
    <d v="2026-05-13T00:00:00"/>
    <n v="-9"/>
    <x v="1"/>
    <x v="21"/>
    <n v="29300"/>
    <n v="36"/>
    <x v="1"/>
  </r>
  <r>
    <s v="1000013754"/>
    <x v="5"/>
    <s v="1200000998"/>
    <x v="38"/>
    <x v="1"/>
    <x v="11"/>
    <n v="11"/>
    <d v="2026-04-23T00:00:00"/>
    <n v="684.64"/>
    <s v="PEN"/>
    <x v="0"/>
    <m/>
    <m/>
    <x v="0"/>
    <x v="11"/>
    <n v="194.44476001136042"/>
    <m/>
    <x v="0"/>
  </r>
  <r>
    <s v="1000013754"/>
    <x v="5"/>
    <s v="1200000999"/>
    <x v="39"/>
    <x v="1"/>
    <x v="11"/>
    <n v="11"/>
    <d v="2026-04-23T00:00:00"/>
    <n v="70.8"/>
    <s v="PEN"/>
    <x v="0"/>
    <m/>
    <m/>
    <x v="0"/>
    <x v="11"/>
    <n v="20.107923885259869"/>
    <m/>
    <x v="0"/>
  </r>
  <r>
    <s v="1000013754"/>
    <x v="5"/>
    <s v="1200001016"/>
    <x v="40"/>
    <x v="1"/>
    <x v="22"/>
    <n v="17"/>
    <d v="2026-04-17T00:00:00"/>
    <n v="586.70000000000005"/>
    <s v="PEN"/>
    <x v="0"/>
    <m/>
    <m/>
    <x v="0"/>
    <x v="18"/>
    <n v="166.62879863675093"/>
    <m/>
    <x v="0"/>
  </r>
  <r>
    <s v="1000013754"/>
    <x v="5"/>
    <s v="1200001017"/>
    <x v="41"/>
    <x v="1"/>
    <x v="22"/>
    <n v="17"/>
    <d v="2026-04-17T00:00:00"/>
    <n v="70.8"/>
    <s v="PEN"/>
    <x v="0"/>
    <m/>
    <m/>
    <x v="0"/>
    <x v="18"/>
    <n v="20.107923885259869"/>
    <m/>
    <x v="0"/>
  </r>
  <r>
    <s v="1000013754"/>
    <x v="5"/>
    <s v="1200001059"/>
    <x v="42"/>
    <x v="1"/>
    <x v="23"/>
    <n v="8"/>
    <d v="2026-04-26T00:00:00"/>
    <n v="358.48"/>
    <s v="PEN"/>
    <x v="0"/>
    <m/>
    <m/>
    <x v="0"/>
    <x v="22"/>
    <n v="101.81198523146834"/>
    <m/>
    <x v="0"/>
  </r>
  <r>
    <s v="1000013754"/>
    <x v="5"/>
    <s v="1200001060"/>
    <x v="43"/>
    <x v="1"/>
    <x v="23"/>
    <n v="8"/>
    <d v="2026-04-26T00:00:00"/>
    <n v="70.8"/>
    <s v="PEN"/>
    <x v="0"/>
    <m/>
    <m/>
    <x v="0"/>
    <x v="22"/>
    <n v="20.107923885259869"/>
    <m/>
    <x v="0"/>
  </r>
  <r>
    <s v="1000013754"/>
    <x v="5"/>
    <s v="1200001078"/>
    <x v="44"/>
    <x v="1"/>
    <x v="24"/>
    <n v="7"/>
    <d v="2026-04-27T00:00:00"/>
    <n v="405.68"/>
    <s v="PEN"/>
    <x v="0"/>
    <m/>
    <m/>
    <x v="0"/>
    <x v="23"/>
    <n v="115.21726782164158"/>
    <m/>
    <x v="0"/>
  </r>
  <r>
    <s v="1000013754"/>
    <x v="5"/>
    <s v="1200001079"/>
    <x v="45"/>
    <x v="1"/>
    <x v="24"/>
    <n v="7"/>
    <d v="2026-04-27T00:00:00"/>
    <n v="70.8"/>
    <s v="PEN"/>
    <x v="0"/>
    <m/>
    <m/>
    <x v="0"/>
    <x v="23"/>
    <n v="20.107923885259869"/>
    <m/>
    <x v="0"/>
  </r>
  <r>
    <s v="1000013754"/>
    <x v="5"/>
    <s v="1200001094"/>
    <x v="46"/>
    <x v="1"/>
    <x v="24"/>
    <n v="7"/>
    <d v="2026-04-27T00:00:00"/>
    <n v="371.23"/>
    <s v="PEN"/>
    <x v="0"/>
    <m/>
    <m/>
    <x v="0"/>
    <x v="23"/>
    <n v="105.43311559216133"/>
    <m/>
    <x v="0"/>
  </r>
  <r>
    <s v="1000013754"/>
    <x v="5"/>
    <s v="1200001095"/>
    <x v="47"/>
    <x v="1"/>
    <x v="24"/>
    <n v="7"/>
    <d v="2026-04-27T00:00:00"/>
    <n v="47.2"/>
    <s v="PEN"/>
    <x v="0"/>
    <m/>
    <m/>
    <x v="0"/>
    <x v="23"/>
    <n v="13.405282590173247"/>
    <m/>
    <x v="0"/>
  </r>
  <r>
    <s v="1000013754"/>
    <x v="5"/>
    <s v="1200001136"/>
    <x v="48"/>
    <x v="1"/>
    <x v="25"/>
    <n v="5"/>
    <d v="2026-04-29T00:00:00"/>
    <n v="242.61"/>
    <s v="PEN"/>
    <x v="0"/>
    <m/>
    <m/>
    <x v="0"/>
    <x v="24"/>
    <n v="68.903720533939222"/>
    <m/>
    <x v="0"/>
  </r>
  <r>
    <s v="1000013754"/>
    <x v="5"/>
    <s v="1200001137"/>
    <x v="49"/>
    <x v="1"/>
    <x v="25"/>
    <n v="5"/>
    <d v="2026-04-29T00:00:00"/>
    <n v="47.2"/>
    <s v="PEN"/>
    <x v="0"/>
    <m/>
    <m/>
    <x v="0"/>
    <x v="24"/>
    <n v="13.405282590173247"/>
    <m/>
    <x v="0"/>
  </r>
  <r>
    <s v="1000013754"/>
    <x v="5"/>
    <s v="1200001169"/>
    <x v="50"/>
    <x v="1"/>
    <x v="26"/>
    <n v="4"/>
    <d v="2026-04-30T00:00:00"/>
    <n v="590.47"/>
    <s v="PEN"/>
    <x v="0"/>
    <m/>
    <m/>
    <x v="0"/>
    <x v="25"/>
    <n v="167.69951718261859"/>
    <m/>
    <x v="0"/>
  </r>
  <r>
    <s v="1000013754"/>
    <x v="5"/>
    <s v="1200001170"/>
    <x v="51"/>
    <x v="1"/>
    <x v="26"/>
    <n v="4"/>
    <d v="2026-04-30T00:00:00"/>
    <n v="70.8"/>
    <s v="PEN"/>
    <x v="0"/>
    <m/>
    <m/>
    <x v="0"/>
    <x v="25"/>
    <n v="20.107923885259869"/>
    <m/>
    <x v="0"/>
  </r>
  <r>
    <s v="1000013754"/>
    <x v="5"/>
    <s v="1200001216"/>
    <x v="52"/>
    <x v="1"/>
    <x v="19"/>
    <n v="2"/>
    <d v="2026-05-02T00:00:00"/>
    <n v="508.82"/>
    <s v="PEN"/>
    <x v="0"/>
    <m/>
    <m/>
    <x v="0"/>
    <x v="19"/>
    <n v="144.51008236296508"/>
    <m/>
    <x v="0"/>
  </r>
  <r>
    <s v="1000013754"/>
    <x v="5"/>
    <s v="1200001217"/>
    <x v="53"/>
    <x v="1"/>
    <x v="19"/>
    <n v="2"/>
    <d v="2026-05-02T00:00:00"/>
    <n v="47.2"/>
    <s v="PEN"/>
    <x v="0"/>
    <m/>
    <m/>
    <x v="0"/>
    <x v="19"/>
    <n v="13.405282590173247"/>
    <m/>
    <x v="0"/>
  </r>
  <r>
    <s v="1000013754"/>
    <x v="5"/>
    <s v="1200001220"/>
    <x v="54"/>
    <x v="1"/>
    <x v="19"/>
    <n v="2"/>
    <d v="2026-05-02T00:00:00"/>
    <n v="377.84"/>
    <s v="PEN"/>
    <x v="0"/>
    <m/>
    <m/>
    <x v="0"/>
    <x v="19"/>
    <n v="107.31042317523431"/>
    <m/>
    <x v="0"/>
  </r>
  <r>
    <s v="1000013754"/>
    <x v="5"/>
    <s v="1200001221"/>
    <x v="55"/>
    <x v="1"/>
    <x v="19"/>
    <n v="2"/>
    <d v="2026-05-02T00:00:00"/>
    <n v="47.2"/>
    <s v="PEN"/>
    <x v="0"/>
    <m/>
    <m/>
    <x v="0"/>
    <x v="19"/>
    <n v="13.405282590173247"/>
    <m/>
    <x v="0"/>
  </r>
  <r>
    <s v="1000013754"/>
    <x v="5"/>
    <s v="1200001261"/>
    <x v="56"/>
    <x v="1"/>
    <x v="27"/>
    <n v="0"/>
    <d v="2026-05-04T00:00:00"/>
    <n v="676.61"/>
    <s v="PEN"/>
    <x v="0"/>
    <m/>
    <m/>
    <x v="0"/>
    <x v="26"/>
    <n v="192.16415790968475"/>
    <m/>
    <x v="0"/>
  </r>
  <r>
    <s v="1000013754"/>
    <x v="5"/>
    <s v="1200001262"/>
    <x v="57"/>
    <x v="1"/>
    <x v="27"/>
    <n v="0"/>
    <d v="2026-05-04T00:00:00"/>
    <n v="70.8"/>
    <s v="PEN"/>
    <x v="0"/>
    <m/>
    <m/>
    <x v="0"/>
    <x v="26"/>
    <n v="20.107923885259869"/>
    <m/>
    <x v="0"/>
  </r>
  <r>
    <s v="1000013754"/>
    <x v="5"/>
    <s v="1200001284"/>
    <x v="58"/>
    <x v="1"/>
    <x v="28"/>
    <n v="-1"/>
    <d v="2026-05-05T00:00:00"/>
    <n v="413.24"/>
    <s v="PEN"/>
    <x v="0"/>
    <m/>
    <m/>
    <x v="0"/>
    <x v="27"/>
    <n v="117.36438511786424"/>
    <m/>
    <x v="0"/>
  </r>
  <r>
    <s v="1000013754"/>
    <x v="5"/>
    <s v="1200001285"/>
    <x v="59"/>
    <x v="1"/>
    <x v="28"/>
    <n v="-1"/>
    <d v="2026-05-05T00:00:00"/>
    <n v="47.2"/>
    <s v="PEN"/>
    <x v="0"/>
    <m/>
    <m/>
    <x v="0"/>
    <x v="27"/>
    <n v="13.405282590173247"/>
    <m/>
    <x v="0"/>
  </r>
  <r>
    <s v="1000013754"/>
    <x v="5"/>
    <s v="1200001308"/>
    <x v="60"/>
    <x v="1"/>
    <x v="20"/>
    <n v="-2"/>
    <d v="2026-05-06T00:00:00"/>
    <n v="317.42"/>
    <s v="PEN"/>
    <x v="0"/>
    <m/>
    <m/>
    <x v="0"/>
    <x v="20"/>
    <n v="90.150525418915095"/>
    <m/>
    <x v="0"/>
  </r>
  <r>
    <s v="1000013754"/>
    <x v="5"/>
    <s v="1200001309"/>
    <x v="61"/>
    <x v="1"/>
    <x v="20"/>
    <n v="-2"/>
    <d v="2026-05-06T00:00:00"/>
    <n v="47.2"/>
    <s v="PEN"/>
    <x v="0"/>
    <m/>
    <m/>
    <x v="0"/>
    <x v="20"/>
    <n v="13.405282590173247"/>
    <m/>
    <x v="0"/>
  </r>
  <r>
    <s v="1000013754"/>
    <x v="5"/>
    <s v="1200001352"/>
    <x v="62"/>
    <x v="1"/>
    <x v="12"/>
    <n v="-3"/>
    <d v="2026-05-07T00:00:00"/>
    <n v="488.28"/>
    <s v="PEN"/>
    <x v="0"/>
    <m/>
    <m/>
    <x v="0"/>
    <x v="12"/>
    <n v="138.67651235444475"/>
    <m/>
    <x v="0"/>
  </r>
  <r>
    <s v="1000013754"/>
    <x v="5"/>
    <s v="1200001353"/>
    <x v="63"/>
    <x v="1"/>
    <x v="12"/>
    <n v="-3"/>
    <d v="2026-05-07T00:00:00"/>
    <n v="47.2"/>
    <s v="PEN"/>
    <x v="0"/>
    <m/>
    <m/>
    <x v="0"/>
    <x v="12"/>
    <n v="13.405282590173247"/>
    <m/>
    <x v="0"/>
  </r>
  <r>
    <s v="1000013754"/>
    <x v="5"/>
    <s v="1200001400"/>
    <x v="64"/>
    <x v="1"/>
    <x v="29"/>
    <n v="-5"/>
    <d v="2026-05-09T00:00:00"/>
    <n v="787.3"/>
    <s v="PEN"/>
    <x v="0"/>
    <m/>
    <m/>
    <x v="0"/>
    <x v="28"/>
    <n v="223.60124964498721"/>
    <m/>
    <x v="0"/>
  </r>
  <r>
    <s v="1000013754"/>
    <x v="5"/>
    <s v="1200001401"/>
    <x v="65"/>
    <x v="1"/>
    <x v="29"/>
    <n v="-5"/>
    <d v="2026-05-09T00:00:00"/>
    <n v="70.8"/>
    <s v="PEN"/>
    <x v="0"/>
    <m/>
    <m/>
    <x v="0"/>
    <x v="28"/>
    <n v="20.107923885259869"/>
    <m/>
    <x v="0"/>
  </r>
  <r>
    <s v="1000013754"/>
    <x v="5"/>
    <s v="1200001417"/>
    <x v="66"/>
    <x v="1"/>
    <x v="30"/>
    <n v="-6"/>
    <d v="2026-05-10T00:00:00"/>
    <n v="1235.7"/>
    <s v="PEN"/>
    <x v="0"/>
    <m/>
    <m/>
    <x v="0"/>
    <x v="29"/>
    <n v="350.95143425163309"/>
    <m/>
    <x v="0"/>
  </r>
  <r>
    <s v="1000013754"/>
    <x v="5"/>
    <s v="1200001418"/>
    <x v="67"/>
    <x v="1"/>
    <x v="30"/>
    <n v="-6"/>
    <d v="2026-05-10T00:00:00"/>
    <n v="118"/>
    <s v="PEN"/>
    <x v="0"/>
    <m/>
    <m/>
    <x v="0"/>
    <x v="29"/>
    <n v="33.513206475433115"/>
    <m/>
    <x v="0"/>
  </r>
  <r>
    <s v="2000001368"/>
    <x v="6"/>
    <s v="1200001322"/>
    <x v="68"/>
    <x v="3"/>
    <x v="27"/>
    <n v="-38"/>
    <d v="2026-06-11T00:00:00"/>
    <n v="323856"/>
    <s v="USD"/>
    <x v="1"/>
    <d v="2026-06-11T00:00:00"/>
    <m/>
    <x v="2"/>
    <x v="30"/>
    <n v="323856"/>
    <n v="7"/>
    <x v="1"/>
  </r>
  <r>
    <s v="2000001368"/>
    <x v="6"/>
    <s v="1200001323"/>
    <x v="69"/>
    <x v="3"/>
    <x v="27"/>
    <n v="-38"/>
    <d v="2026-06-11T00:00:00"/>
    <n v="388800"/>
    <s v="USD"/>
    <x v="1"/>
    <d v="2026-06-11T00:00:00"/>
    <m/>
    <x v="2"/>
    <x v="30"/>
    <n v="388800"/>
    <n v="7"/>
    <x v="1"/>
  </r>
  <r>
    <s v="2000001368"/>
    <x v="6"/>
    <s v="1200001323"/>
    <x v="70"/>
    <x v="4"/>
    <x v="20"/>
    <n v="-38"/>
    <d v="2026-04-30T00:00:00"/>
    <n v="-64701"/>
    <s v="USD"/>
    <x v="1"/>
    <d v="2026-04-30T00:00:00"/>
    <m/>
    <x v="3"/>
    <x v="25"/>
    <n v="-64701"/>
    <n v="5"/>
    <x v="1"/>
  </r>
  <r>
    <s v="2000001361"/>
    <x v="7"/>
    <s v="1200000957"/>
    <x v="71"/>
    <x v="3"/>
    <x v="31"/>
    <n v="-23"/>
    <d v="2026-05-27T00:00:00"/>
    <n v="67550"/>
    <s v="USD"/>
    <x v="1"/>
    <d v="2026-05-27T00:00:00"/>
    <n v="-23"/>
    <x v="4"/>
    <x v="31"/>
    <n v="67550"/>
    <n v="22"/>
    <x v="1"/>
  </r>
  <r>
    <s v="2000001361"/>
    <x v="7"/>
    <s v="1200001071"/>
    <x v="72"/>
    <x v="5"/>
    <x v="24"/>
    <n v="-23"/>
    <d v="2026-05-27T00:00:00"/>
    <n v="-0.02"/>
    <s v="USD"/>
    <x v="1"/>
    <d v="2026-06-04T00:00:00"/>
    <m/>
    <x v="5"/>
    <x v="32"/>
    <n v="-0.02"/>
    <n v="14"/>
    <x v="1"/>
  </r>
  <r>
    <s v="2000001439"/>
    <x v="8"/>
    <s v="1200001324"/>
    <x v="73"/>
    <x v="2"/>
    <x v="27"/>
    <n v="-38"/>
    <d v="2026-06-11T00:00:00"/>
    <n v="60182"/>
    <s v="USD"/>
    <x v="1"/>
    <d v="2026-06-11T00:00:00"/>
    <m/>
    <x v="2"/>
    <x v="30"/>
    <n v="60182"/>
    <n v="7"/>
    <x v="1"/>
  </r>
  <r>
    <s v="2000001439"/>
    <x v="8"/>
    <s v="1200001367"/>
    <x v="74"/>
    <x v="2"/>
    <x v="20"/>
    <n v="-40"/>
    <d v="2026-06-13T00:00:00"/>
    <n v="59598"/>
    <s v="USD"/>
    <x v="1"/>
    <d v="2026-06-13T00:00:00"/>
    <m/>
    <x v="6"/>
    <x v="33"/>
    <n v="59598"/>
    <n v="5"/>
    <x v="1"/>
  </r>
  <r>
    <s v="1000007192"/>
    <x v="9"/>
    <s v="1200001130"/>
    <x v="75"/>
    <x v="0"/>
    <x v="25"/>
    <n v="12"/>
    <d v="2026-04-22T00:00:00"/>
    <n v="695.16"/>
    <s v="PEN"/>
    <x v="0"/>
    <m/>
    <m/>
    <x v="0"/>
    <x v="34"/>
    <n v="197.43254757171258"/>
    <m/>
    <x v="0"/>
  </r>
  <r>
    <s v="1000007192"/>
    <x v="9"/>
    <s v="1200001131"/>
    <x v="76"/>
    <x v="0"/>
    <x v="25"/>
    <n v="12"/>
    <d v="2026-04-22T00:00:00"/>
    <n v="212.4"/>
    <s v="PEN"/>
    <x v="0"/>
    <m/>
    <m/>
    <x v="0"/>
    <x v="34"/>
    <n v="60.323771655779609"/>
    <m/>
    <x v="0"/>
  </r>
  <r>
    <s v="1000007192"/>
    <x v="9"/>
    <s v="1200001173"/>
    <x v="77"/>
    <x v="0"/>
    <x v="26"/>
    <n v="11"/>
    <d v="2026-04-23T00:00:00"/>
    <n v="759.92"/>
    <s v="PEN"/>
    <x v="0"/>
    <m/>
    <m/>
    <x v="0"/>
    <x v="11"/>
    <n v="215.82504970178925"/>
    <m/>
    <x v="0"/>
  </r>
  <r>
    <s v="1000007192"/>
    <x v="9"/>
    <s v="1200001174"/>
    <x v="78"/>
    <x v="0"/>
    <x v="26"/>
    <n v="11"/>
    <d v="2026-04-23T00:00:00"/>
    <n v="194.7"/>
    <s v="PEN"/>
    <x v="0"/>
    <m/>
    <m/>
    <x v="0"/>
    <x v="11"/>
    <n v="55.296790684464639"/>
    <m/>
    <x v="0"/>
  </r>
  <r>
    <s v="2000001398"/>
    <x v="10"/>
    <s v="1200001327"/>
    <x v="79"/>
    <x v="2"/>
    <x v="27"/>
    <n v="-38"/>
    <d v="2026-06-11T00:00:00"/>
    <n v="19830"/>
    <s v="USD"/>
    <x v="1"/>
    <d v="2026-06-11T00:00:00"/>
    <m/>
    <x v="2"/>
    <x v="30"/>
    <n v="19830"/>
    <n v="7"/>
    <x v="1"/>
  </r>
  <r>
    <s v="2000001398"/>
    <x v="10"/>
    <s v="1200001365"/>
    <x v="80"/>
    <x v="2"/>
    <x v="20"/>
    <n v="-40"/>
    <d v="2026-06-13T00:00:00"/>
    <n v="36040"/>
    <s v="USD"/>
    <x v="1"/>
    <d v="2026-06-13T00:00:00"/>
    <m/>
    <x v="6"/>
    <x v="33"/>
    <n v="36040"/>
    <n v="5"/>
    <x v="1"/>
  </r>
  <r>
    <s v="1000015540"/>
    <x v="11"/>
    <s v="1200001282"/>
    <x v="81"/>
    <x v="0"/>
    <x v="28"/>
    <n v="6"/>
    <d v="2026-04-28T00:00:00"/>
    <n v="305.86"/>
    <s v="PEN"/>
    <x v="0"/>
    <m/>
    <m/>
    <x v="0"/>
    <x v="35"/>
    <n v="86.867367225220107"/>
    <m/>
    <x v="0"/>
  </r>
  <r>
    <s v="1000015540"/>
    <x v="11"/>
    <s v="1200001283"/>
    <x v="82"/>
    <x v="0"/>
    <x v="28"/>
    <n v="6"/>
    <d v="2026-04-28T00:00:00"/>
    <n v="35.4"/>
    <s v="PEN"/>
    <x v="0"/>
    <m/>
    <m/>
    <x v="0"/>
    <x v="35"/>
    <n v="10.053961942629934"/>
    <m/>
    <x v="0"/>
  </r>
  <r>
    <s v="1000006830"/>
    <x v="12"/>
    <s v="1200000903"/>
    <x v="83"/>
    <x v="0"/>
    <x v="32"/>
    <n v="13"/>
    <d v="2026-04-21T00:00:00"/>
    <n v="1138.94"/>
    <s v="PEN"/>
    <x v="0"/>
    <m/>
    <m/>
    <x v="0"/>
    <x v="36"/>
    <n v="323.47060494177794"/>
    <m/>
    <x v="0"/>
  </r>
  <r>
    <s v="1000006830"/>
    <x v="12"/>
    <s v="1200000904"/>
    <x v="84"/>
    <x v="0"/>
    <x v="32"/>
    <n v="13"/>
    <d v="2026-04-21T00:00:00"/>
    <n v="118"/>
    <s v="PEN"/>
    <x v="0"/>
    <m/>
    <m/>
    <x v="0"/>
    <x v="36"/>
    <n v="33.513206475433115"/>
    <m/>
    <x v="0"/>
  </r>
  <r>
    <s v="1000006830"/>
    <x v="12"/>
    <s v="1200000916"/>
    <x v="85"/>
    <x v="0"/>
    <x v="32"/>
    <n v="13"/>
    <d v="2026-04-21T00:00:00"/>
    <n v="599.35"/>
    <s v="PEN"/>
    <x v="0"/>
    <m/>
    <m/>
    <x v="0"/>
    <x v="36"/>
    <n v="170.22152797500712"/>
    <m/>
    <x v="0"/>
  </r>
  <r>
    <s v="1000006830"/>
    <x v="12"/>
    <s v="1200000917"/>
    <x v="86"/>
    <x v="0"/>
    <x v="32"/>
    <n v="13"/>
    <d v="2026-04-21T00:00:00"/>
    <n v="212.4"/>
    <s v="PEN"/>
    <x v="0"/>
    <m/>
    <m/>
    <x v="0"/>
    <x v="36"/>
    <n v="60.323771655779609"/>
    <m/>
    <x v="0"/>
  </r>
  <r>
    <s v="1000006830"/>
    <x v="12"/>
    <s v="1200000918"/>
    <x v="87"/>
    <x v="0"/>
    <x v="32"/>
    <n v="13"/>
    <d v="2026-04-21T00:00:00"/>
    <n v="260.31"/>
    <s v="PEN"/>
    <x v="0"/>
    <m/>
    <m/>
    <x v="0"/>
    <x v="36"/>
    <n v="73.930701505254191"/>
    <m/>
    <x v="0"/>
  </r>
  <r>
    <s v="1000006830"/>
    <x v="12"/>
    <s v="1200000919"/>
    <x v="88"/>
    <x v="0"/>
    <x v="32"/>
    <n v="13"/>
    <d v="2026-04-21T00:00:00"/>
    <n v="70.8"/>
    <s v="PEN"/>
    <x v="0"/>
    <m/>
    <m/>
    <x v="0"/>
    <x v="36"/>
    <n v="20.107923885259869"/>
    <m/>
    <x v="0"/>
  </r>
  <r>
    <s v="1000006830"/>
    <x v="12"/>
    <s v="1200000951"/>
    <x v="89"/>
    <x v="0"/>
    <x v="33"/>
    <n v="12"/>
    <d v="2026-04-22T00:00:00"/>
    <n v="906.71"/>
    <s v="PEN"/>
    <x v="0"/>
    <m/>
    <m/>
    <x v="0"/>
    <x v="34"/>
    <n v="257.51491053677933"/>
    <m/>
    <x v="0"/>
  </r>
  <r>
    <s v="1000006830"/>
    <x v="12"/>
    <s v="1200000952"/>
    <x v="90"/>
    <x v="0"/>
    <x v="33"/>
    <n v="12"/>
    <d v="2026-04-22T00:00:00"/>
    <n v="94.4"/>
    <s v="PEN"/>
    <x v="0"/>
    <m/>
    <m/>
    <x v="0"/>
    <x v="34"/>
    <n v="26.810565180346494"/>
    <m/>
    <x v="0"/>
  </r>
  <r>
    <s v="1000006830"/>
    <x v="12"/>
    <s v="1200000971"/>
    <x v="91"/>
    <x v="0"/>
    <x v="33"/>
    <n v="12"/>
    <d v="2026-04-22T00:00:00"/>
    <n v="965.43"/>
    <s v="PEN"/>
    <x v="0"/>
    <m/>
    <m/>
    <x v="0"/>
    <x v="34"/>
    <n v="274.1919909116728"/>
    <m/>
    <x v="0"/>
  </r>
  <r>
    <s v="1000006830"/>
    <x v="12"/>
    <s v="1200000972"/>
    <x v="92"/>
    <x v="0"/>
    <x v="33"/>
    <n v="12"/>
    <d v="2026-04-22T00:00:00"/>
    <n v="306.8"/>
    <s v="PEN"/>
    <x v="0"/>
    <m/>
    <m/>
    <x v="0"/>
    <x v="34"/>
    <n v="87.13433683612611"/>
    <m/>
    <x v="0"/>
  </r>
  <r>
    <s v="1000006830"/>
    <x v="12"/>
    <s v="1200001026"/>
    <x v="93"/>
    <x v="0"/>
    <x v="22"/>
    <n v="10"/>
    <d v="2026-04-24T00:00:00"/>
    <n v="1350.16"/>
    <s v="PEN"/>
    <x v="0"/>
    <m/>
    <m/>
    <x v="0"/>
    <x v="37"/>
    <n v="383.45924453280321"/>
    <m/>
    <x v="0"/>
  </r>
  <r>
    <s v="1000006830"/>
    <x v="12"/>
    <s v="1200001027"/>
    <x v="94"/>
    <x v="0"/>
    <x v="22"/>
    <n v="10"/>
    <d v="2026-04-24T00:00:00"/>
    <n v="141.6"/>
    <s v="PEN"/>
    <x v="0"/>
    <m/>
    <m/>
    <x v="0"/>
    <x v="37"/>
    <n v="40.215847770519737"/>
    <m/>
    <x v="0"/>
  </r>
  <r>
    <s v="1000006830"/>
    <x v="12"/>
    <s v="1200001049"/>
    <x v="95"/>
    <x v="0"/>
    <x v="34"/>
    <n v="9"/>
    <d v="2026-04-25T00:00:00"/>
    <n v="1227.9100000000001"/>
    <s v="PEN"/>
    <x v="0"/>
    <m/>
    <m/>
    <x v="0"/>
    <x v="38"/>
    <n v="348.73899460380579"/>
    <m/>
    <x v="0"/>
  </r>
  <r>
    <s v="1000006830"/>
    <x v="12"/>
    <s v="1200001050"/>
    <x v="96"/>
    <x v="0"/>
    <x v="34"/>
    <n v="9"/>
    <d v="2026-04-25T00:00:00"/>
    <n v="141.6"/>
    <s v="PEN"/>
    <x v="0"/>
    <m/>
    <m/>
    <x v="0"/>
    <x v="38"/>
    <n v="40.215847770519737"/>
    <m/>
    <x v="0"/>
  </r>
  <r>
    <s v="1000006830"/>
    <x v="12"/>
    <s v="1200001057"/>
    <x v="97"/>
    <x v="0"/>
    <x v="23"/>
    <n v="15"/>
    <d v="2026-04-19T00:00:00"/>
    <n v="302.79000000000002"/>
    <s v="PEN"/>
    <x v="0"/>
    <m/>
    <m/>
    <x v="0"/>
    <x v="39"/>
    <n v="85.995455836410116"/>
    <m/>
    <x v="0"/>
  </r>
  <r>
    <s v="1000006830"/>
    <x v="12"/>
    <s v="1200001058"/>
    <x v="98"/>
    <x v="0"/>
    <x v="23"/>
    <n v="15"/>
    <d v="2026-04-19T00:00:00"/>
    <n v="70.8"/>
    <s v="PEN"/>
    <x v="0"/>
    <m/>
    <m/>
    <x v="0"/>
    <x v="39"/>
    <n v="20.107923885259869"/>
    <m/>
    <x v="0"/>
  </r>
  <r>
    <s v="1000006830"/>
    <x v="12"/>
    <s v="1200001069"/>
    <x v="99"/>
    <x v="0"/>
    <x v="23"/>
    <n v="8"/>
    <d v="2026-04-26T00:00:00"/>
    <n v="444.39"/>
    <s v="PEN"/>
    <x v="0"/>
    <m/>
    <m/>
    <x v="0"/>
    <x v="22"/>
    <n v="126.21130360692985"/>
    <m/>
    <x v="0"/>
  </r>
  <r>
    <s v="1000006830"/>
    <x v="12"/>
    <s v="1200001070"/>
    <x v="100"/>
    <x v="0"/>
    <x v="23"/>
    <n v="8"/>
    <d v="2026-04-26T00:00:00"/>
    <n v="135.69999999999999"/>
    <s v="PEN"/>
    <x v="0"/>
    <m/>
    <m/>
    <x v="0"/>
    <x v="22"/>
    <n v="38.540187446748078"/>
    <m/>
    <x v="0"/>
  </r>
  <r>
    <s v="1000006830"/>
    <x v="12"/>
    <s v="1200001096"/>
    <x v="101"/>
    <x v="0"/>
    <x v="24"/>
    <n v="7"/>
    <d v="2026-04-27T00:00:00"/>
    <n v="705.17"/>
    <s v="PEN"/>
    <x v="0"/>
    <m/>
    <m/>
    <x v="0"/>
    <x v="23"/>
    <n v="200.27548991763703"/>
    <m/>
    <x v="0"/>
  </r>
  <r>
    <s v="1000006830"/>
    <x v="12"/>
    <s v="1200001097"/>
    <x v="102"/>
    <x v="0"/>
    <x v="24"/>
    <n v="7"/>
    <d v="2026-04-27T00:00:00"/>
    <n v="70.8"/>
    <s v="PEN"/>
    <x v="0"/>
    <m/>
    <m/>
    <x v="0"/>
    <x v="23"/>
    <n v="20.107923885259869"/>
    <m/>
    <x v="0"/>
  </r>
  <r>
    <s v="1000006830"/>
    <x v="12"/>
    <s v="1200001103"/>
    <x v="103"/>
    <x v="0"/>
    <x v="35"/>
    <n v="6"/>
    <d v="2026-04-28T00:00:00"/>
    <n v="387.23"/>
    <s v="PEN"/>
    <x v="0"/>
    <m/>
    <m/>
    <x v="0"/>
    <x v="35"/>
    <n v="109.97727918205057"/>
    <m/>
    <x v="0"/>
  </r>
  <r>
    <s v="1000006830"/>
    <x v="12"/>
    <s v="1200001104"/>
    <x v="104"/>
    <x v="0"/>
    <x v="35"/>
    <n v="6"/>
    <d v="2026-04-28T00:00:00"/>
    <n v="153.4"/>
    <s v="PEN"/>
    <x v="0"/>
    <m/>
    <m/>
    <x v="0"/>
    <x v="35"/>
    <n v="43.567168418063055"/>
    <m/>
    <x v="0"/>
  </r>
  <r>
    <s v="1000006830"/>
    <x v="12"/>
    <s v="1200001121"/>
    <x v="105"/>
    <x v="0"/>
    <x v="35"/>
    <n v="6"/>
    <d v="2026-04-28T00:00:00"/>
    <n v="295.94"/>
    <s v="PEN"/>
    <x v="0"/>
    <m/>
    <m/>
    <x v="0"/>
    <x v="35"/>
    <n v="84.04998579948878"/>
    <m/>
    <x v="0"/>
  </r>
  <r>
    <s v="1000006830"/>
    <x v="12"/>
    <s v="1200001122"/>
    <x v="106"/>
    <x v="0"/>
    <x v="35"/>
    <n v="6"/>
    <d v="2026-04-28T00:00:00"/>
    <n v="47.2"/>
    <s v="PEN"/>
    <x v="0"/>
    <m/>
    <m/>
    <x v="0"/>
    <x v="35"/>
    <n v="13.405282590173247"/>
    <m/>
    <x v="0"/>
  </r>
  <r>
    <s v="1000006830"/>
    <x v="12"/>
    <s v="1200001128"/>
    <x v="107"/>
    <x v="0"/>
    <x v="35"/>
    <n v="6"/>
    <d v="2026-04-28T00:00:00"/>
    <n v="484.04"/>
    <s v="PEN"/>
    <x v="0"/>
    <m/>
    <m/>
    <x v="0"/>
    <x v="35"/>
    <n v="137.47230900312411"/>
    <m/>
    <x v="0"/>
  </r>
  <r>
    <s v="1000006830"/>
    <x v="12"/>
    <s v="1200001129"/>
    <x v="108"/>
    <x v="0"/>
    <x v="35"/>
    <n v="6"/>
    <d v="2026-04-28T00:00:00"/>
    <n v="153.4"/>
    <s v="PEN"/>
    <x v="0"/>
    <m/>
    <m/>
    <x v="0"/>
    <x v="35"/>
    <n v="43.567168418063055"/>
    <m/>
    <x v="0"/>
  </r>
  <r>
    <s v="1000006830"/>
    <x v="12"/>
    <s v="1200001124"/>
    <x v="109"/>
    <x v="0"/>
    <x v="25"/>
    <n v="5"/>
    <d v="2026-04-29T00:00:00"/>
    <n v="673.36"/>
    <s v="PEN"/>
    <x v="0"/>
    <m/>
    <m/>
    <x v="0"/>
    <x v="24"/>
    <n v="191.2411246804885"/>
    <m/>
    <x v="0"/>
  </r>
  <r>
    <s v="1000006830"/>
    <x v="12"/>
    <s v="1200001125"/>
    <x v="110"/>
    <x v="0"/>
    <x v="25"/>
    <n v="5"/>
    <d v="2026-04-29T00:00:00"/>
    <n v="177"/>
    <s v="PEN"/>
    <x v="0"/>
    <m/>
    <m/>
    <x v="0"/>
    <x v="24"/>
    <n v="50.269809713149677"/>
    <m/>
    <x v="0"/>
  </r>
  <r>
    <s v="1000006830"/>
    <x v="12"/>
    <s v="1200001155"/>
    <x v="111"/>
    <x v="0"/>
    <x v="26"/>
    <n v="4"/>
    <d v="2026-04-30T00:00:00"/>
    <n v="425.27"/>
    <s v="PEN"/>
    <x v="0"/>
    <m/>
    <m/>
    <x v="0"/>
    <x v="25"/>
    <n v="120.78102811701221"/>
    <m/>
    <x v="0"/>
  </r>
  <r>
    <s v="1000006830"/>
    <x v="12"/>
    <s v="1200001156"/>
    <x v="112"/>
    <x v="0"/>
    <x v="26"/>
    <n v="4"/>
    <d v="2026-04-30T00:00:00"/>
    <n v="47.2"/>
    <s v="PEN"/>
    <x v="0"/>
    <m/>
    <m/>
    <x v="0"/>
    <x v="25"/>
    <n v="13.405282590173247"/>
    <m/>
    <x v="0"/>
  </r>
  <r>
    <s v="1000006830"/>
    <x v="12"/>
    <s v="1200001163"/>
    <x v="113"/>
    <x v="0"/>
    <x v="26"/>
    <n v="4"/>
    <d v="2026-04-30T00:00:00"/>
    <n v="639.09"/>
    <s v="PEN"/>
    <x v="0"/>
    <m/>
    <m/>
    <x v="0"/>
    <x v="25"/>
    <n v="181.50809429139451"/>
    <m/>
    <x v="0"/>
  </r>
  <r>
    <s v="1000006830"/>
    <x v="12"/>
    <s v="1200001164"/>
    <x v="114"/>
    <x v="0"/>
    <x v="26"/>
    <n v="4"/>
    <d v="2026-04-30T00:00:00"/>
    <n v="70.8"/>
    <s v="PEN"/>
    <x v="0"/>
    <m/>
    <m/>
    <x v="0"/>
    <x v="25"/>
    <n v="20.107923885259869"/>
    <m/>
    <x v="0"/>
  </r>
  <r>
    <s v="1000006830"/>
    <x v="12"/>
    <s v="1200001175"/>
    <x v="115"/>
    <x v="0"/>
    <x v="36"/>
    <n v="10"/>
    <d v="2026-04-24T00:00:00"/>
    <n v="627.1"/>
    <s v="PEN"/>
    <x v="0"/>
    <m/>
    <m/>
    <x v="0"/>
    <x v="37"/>
    <n v="178.10281170122124"/>
    <m/>
    <x v="0"/>
  </r>
  <r>
    <s v="1000006830"/>
    <x v="12"/>
    <s v="1200001176"/>
    <x v="116"/>
    <x v="0"/>
    <x v="36"/>
    <n v="10"/>
    <d v="2026-04-24T00:00:00"/>
    <n v="177"/>
    <s v="PEN"/>
    <x v="0"/>
    <m/>
    <m/>
    <x v="0"/>
    <x v="37"/>
    <n v="50.269809713149677"/>
    <m/>
    <x v="0"/>
  </r>
  <r>
    <s v="1000006830"/>
    <x v="12"/>
    <s v="1200001180"/>
    <x v="117"/>
    <x v="0"/>
    <x v="36"/>
    <n v="3"/>
    <d v="2026-05-01T00:00:00"/>
    <n v="425.04"/>
    <s v="PEN"/>
    <x v="0"/>
    <m/>
    <m/>
    <x v="0"/>
    <x v="40"/>
    <n v="120.71570576540756"/>
    <m/>
    <x v="0"/>
  </r>
  <r>
    <s v="1000006830"/>
    <x v="12"/>
    <s v="1200001181"/>
    <x v="118"/>
    <x v="0"/>
    <x v="36"/>
    <n v="3"/>
    <d v="2026-05-01T00:00:00"/>
    <n v="47.2"/>
    <s v="PEN"/>
    <x v="0"/>
    <m/>
    <m/>
    <x v="0"/>
    <x v="40"/>
    <n v="13.405282590173247"/>
    <m/>
    <x v="0"/>
  </r>
  <r>
    <s v="1000006830"/>
    <x v="12"/>
    <s v="1200001197"/>
    <x v="119"/>
    <x v="0"/>
    <x v="36"/>
    <n v="3"/>
    <d v="2026-05-01T00:00:00"/>
    <n v="1539"/>
    <s v="PEN"/>
    <x v="0"/>
    <m/>
    <m/>
    <x v="0"/>
    <x v="40"/>
    <n v="437.09173530247091"/>
    <m/>
    <x v="0"/>
  </r>
  <r>
    <s v="1000006830"/>
    <x v="12"/>
    <s v="1200001198"/>
    <x v="120"/>
    <x v="0"/>
    <x v="36"/>
    <n v="3"/>
    <d v="2026-05-01T00:00:00"/>
    <n v="536.9"/>
    <s v="PEN"/>
    <x v="0"/>
    <m/>
    <m/>
    <x v="0"/>
    <x v="40"/>
    <n v="152.48508946322067"/>
    <m/>
    <x v="0"/>
  </r>
  <r>
    <s v="1000006830"/>
    <x v="12"/>
    <s v="1200001232"/>
    <x v="121"/>
    <x v="0"/>
    <x v="37"/>
    <n v="1"/>
    <d v="2026-05-03T00:00:00"/>
    <n v="692.66"/>
    <s v="PEN"/>
    <x v="0"/>
    <m/>
    <m/>
    <x v="0"/>
    <x v="41"/>
    <n v="196.72252201079237"/>
    <m/>
    <x v="0"/>
  </r>
  <r>
    <s v="1000006830"/>
    <x v="12"/>
    <s v="1200001233"/>
    <x v="122"/>
    <x v="0"/>
    <x v="37"/>
    <n v="1"/>
    <d v="2026-05-03T00:00:00"/>
    <n v="70.8"/>
    <s v="PEN"/>
    <x v="0"/>
    <m/>
    <m/>
    <x v="0"/>
    <x v="41"/>
    <n v="20.107923885259869"/>
    <m/>
    <x v="0"/>
  </r>
  <r>
    <s v="1000006830"/>
    <x v="12"/>
    <s v="1200001238"/>
    <x v="123"/>
    <x v="0"/>
    <x v="37"/>
    <n v="1"/>
    <d v="2026-05-03T00:00:00"/>
    <n v="631.39"/>
    <s v="PEN"/>
    <x v="0"/>
    <m/>
    <m/>
    <x v="0"/>
    <x v="41"/>
    <n v="179.32121556376029"/>
    <m/>
    <x v="0"/>
  </r>
  <r>
    <s v="1000006830"/>
    <x v="12"/>
    <s v="1200001239"/>
    <x v="124"/>
    <x v="0"/>
    <x v="37"/>
    <n v="1"/>
    <d v="2026-05-03T00:00:00"/>
    <n v="153.4"/>
    <s v="PEN"/>
    <x v="0"/>
    <m/>
    <m/>
    <x v="0"/>
    <x v="41"/>
    <n v="43.567168418063055"/>
    <m/>
    <x v="0"/>
  </r>
  <r>
    <s v="1000006830"/>
    <x v="12"/>
    <s v="1200001252"/>
    <x v="125"/>
    <x v="0"/>
    <x v="27"/>
    <n v="0"/>
    <d v="2026-05-04T00:00:00"/>
    <n v="217.12"/>
    <s v="PEN"/>
    <x v="0"/>
    <m/>
    <m/>
    <x v="0"/>
    <x v="26"/>
    <n v="61.664299914796935"/>
    <m/>
    <x v="0"/>
  </r>
  <r>
    <s v="1000006830"/>
    <x v="12"/>
    <s v="1200001253"/>
    <x v="126"/>
    <x v="0"/>
    <x v="27"/>
    <n v="0"/>
    <d v="2026-05-04T00:00:00"/>
    <n v="47.2"/>
    <s v="PEN"/>
    <x v="0"/>
    <m/>
    <m/>
    <x v="0"/>
    <x v="26"/>
    <n v="13.405282590173247"/>
    <m/>
    <x v="0"/>
  </r>
  <r>
    <s v="1000006830"/>
    <x v="12"/>
    <s v="1200001267"/>
    <x v="127"/>
    <x v="0"/>
    <x v="27"/>
    <n v="0"/>
    <d v="2026-05-04T00:00:00"/>
    <n v="614.21"/>
    <s v="PEN"/>
    <x v="0"/>
    <m/>
    <m/>
    <x v="0"/>
    <x v="26"/>
    <n v="174.44191990911673"/>
    <m/>
    <x v="0"/>
  </r>
  <r>
    <s v="1000006830"/>
    <x v="12"/>
    <s v="1200001268"/>
    <x v="128"/>
    <x v="0"/>
    <x v="27"/>
    <n v="0"/>
    <d v="2026-05-04T00:00:00"/>
    <n v="188.8"/>
    <s v="PEN"/>
    <x v="0"/>
    <m/>
    <m/>
    <x v="0"/>
    <x v="26"/>
    <n v="53.621130360692987"/>
    <m/>
    <x v="0"/>
  </r>
  <r>
    <s v="1000006830"/>
    <x v="12"/>
    <s v="1200001304"/>
    <x v="129"/>
    <x v="0"/>
    <x v="20"/>
    <n v="-2"/>
    <d v="2026-05-06T00:00:00"/>
    <n v="653.86"/>
    <s v="PEN"/>
    <x v="0"/>
    <m/>
    <m/>
    <x v="0"/>
    <x v="20"/>
    <n v="185.702925305311"/>
    <m/>
    <x v="0"/>
  </r>
  <r>
    <s v="1000006830"/>
    <x v="12"/>
    <s v="1200001305"/>
    <x v="130"/>
    <x v="0"/>
    <x v="20"/>
    <n v="-2"/>
    <d v="2026-05-06T00:00:00"/>
    <n v="194.7"/>
    <s v="PEN"/>
    <x v="0"/>
    <m/>
    <m/>
    <x v="0"/>
    <x v="20"/>
    <n v="55.296790684464639"/>
    <m/>
    <x v="0"/>
  </r>
  <r>
    <s v="1000006830"/>
    <x v="12"/>
    <s v="1200001316"/>
    <x v="131"/>
    <x v="0"/>
    <x v="20"/>
    <n v="-2"/>
    <d v="2026-05-06T00:00:00"/>
    <n v="568.29"/>
    <s v="PEN"/>
    <x v="0"/>
    <m/>
    <m/>
    <x v="0"/>
    <x v="20"/>
    <n v="161.40017040613461"/>
    <m/>
    <x v="0"/>
  </r>
  <r>
    <s v="1000006830"/>
    <x v="12"/>
    <s v="1200001317"/>
    <x v="132"/>
    <x v="0"/>
    <x v="20"/>
    <n v="-2"/>
    <d v="2026-05-06T00:00:00"/>
    <n v="118"/>
    <s v="PEN"/>
    <x v="0"/>
    <m/>
    <m/>
    <x v="0"/>
    <x v="20"/>
    <n v="33.513206475433115"/>
    <m/>
    <x v="0"/>
  </r>
  <r>
    <s v="1000006830"/>
    <x v="12"/>
    <s v="1200001342"/>
    <x v="133"/>
    <x v="0"/>
    <x v="12"/>
    <n v="-3"/>
    <d v="2026-05-07T00:00:00"/>
    <n v="522.98"/>
    <s v="PEN"/>
    <x v="0"/>
    <m/>
    <m/>
    <x v="0"/>
    <x v="12"/>
    <n v="148.53166714001705"/>
    <m/>
    <x v="0"/>
  </r>
  <r>
    <s v="1000006830"/>
    <x v="12"/>
    <s v="1200001343"/>
    <x v="134"/>
    <x v="0"/>
    <x v="12"/>
    <n v="-3"/>
    <d v="2026-05-07T00:00:00"/>
    <n v="47.2"/>
    <s v="PEN"/>
    <x v="0"/>
    <m/>
    <m/>
    <x v="0"/>
    <x v="12"/>
    <n v="13.405282590173247"/>
    <m/>
    <x v="0"/>
  </r>
  <r>
    <s v="1000006830"/>
    <x v="12"/>
    <s v="1200001358"/>
    <x v="135"/>
    <x v="0"/>
    <x v="12"/>
    <n v="-3"/>
    <d v="2026-05-07T00:00:00"/>
    <n v="745.76"/>
    <s v="PEN"/>
    <x v="0"/>
    <m/>
    <m/>
    <x v="0"/>
    <x v="12"/>
    <n v="211.80346492473728"/>
    <m/>
    <x v="0"/>
  </r>
  <r>
    <s v="1000006830"/>
    <x v="12"/>
    <s v="1200001359"/>
    <x v="136"/>
    <x v="0"/>
    <x v="12"/>
    <n v="-3"/>
    <d v="2026-05-07T00:00:00"/>
    <n v="70.8"/>
    <s v="PEN"/>
    <x v="0"/>
    <m/>
    <m/>
    <x v="0"/>
    <x v="12"/>
    <n v="20.107923885259869"/>
    <m/>
    <x v="0"/>
  </r>
  <r>
    <s v="1000006830"/>
    <x v="12"/>
    <s v="1200001392"/>
    <x v="137"/>
    <x v="0"/>
    <x v="29"/>
    <n v="-5"/>
    <d v="2026-05-09T00:00:00"/>
    <n v="516.6"/>
    <s v="PEN"/>
    <x v="0"/>
    <m/>
    <m/>
    <x v="0"/>
    <x v="28"/>
    <n v="146.71968190854872"/>
    <m/>
    <x v="0"/>
  </r>
  <r>
    <s v="1000006830"/>
    <x v="12"/>
    <s v="1200001393"/>
    <x v="138"/>
    <x v="0"/>
    <x v="29"/>
    <n v="-5"/>
    <d v="2026-05-09T00:00:00"/>
    <n v="47.2"/>
    <s v="PEN"/>
    <x v="0"/>
    <m/>
    <m/>
    <x v="0"/>
    <x v="28"/>
    <n v="13.405282590173247"/>
    <m/>
    <x v="0"/>
  </r>
  <r>
    <s v="1000006830"/>
    <x v="12"/>
    <s v="1200001409"/>
    <x v="139"/>
    <x v="0"/>
    <x v="30"/>
    <n v="-6"/>
    <d v="2026-05-10T00:00:00"/>
    <n v="656.08"/>
    <s v="PEN"/>
    <x v="0"/>
    <m/>
    <m/>
    <x v="0"/>
    <x v="29"/>
    <n v="186.33342800340813"/>
    <m/>
    <x v="0"/>
  </r>
  <r>
    <s v="1000006830"/>
    <x v="12"/>
    <s v="1200001410"/>
    <x v="140"/>
    <x v="0"/>
    <x v="30"/>
    <n v="-6"/>
    <d v="2026-05-10T00:00:00"/>
    <n v="70.8"/>
    <s v="PEN"/>
    <x v="0"/>
    <m/>
    <m/>
    <x v="0"/>
    <x v="29"/>
    <n v="20.107923885259869"/>
    <m/>
    <x v="0"/>
  </r>
  <r>
    <s v="1000006830"/>
    <x v="12"/>
    <s v="1200001419"/>
    <x v="141"/>
    <x v="0"/>
    <x v="30"/>
    <n v="-6"/>
    <d v="2026-05-10T00:00:00"/>
    <n v="686.24"/>
    <s v="PEN"/>
    <x v="0"/>
    <m/>
    <m/>
    <x v="0"/>
    <x v="29"/>
    <n v="194.89917637034935"/>
    <m/>
    <x v="0"/>
  </r>
  <r>
    <s v="1000006830"/>
    <x v="12"/>
    <s v="1200001420"/>
    <x v="142"/>
    <x v="0"/>
    <x v="30"/>
    <n v="-6"/>
    <d v="2026-05-10T00:00:00"/>
    <n v="177"/>
    <s v="PEN"/>
    <x v="0"/>
    <m/>
    <m/>
    <x v="0"/>
    <x v="29"/>
    <n v="50.269809713149677"/>
    <m/>
    <x v="0"/>
  </r>
  <r>
    <s v="2000001172"/>
    <x v="13"/>
    <s v="1300001584"/>
    <x v="143"/>
    <x v="2"/>
    <x v="38"/>
    <n v="50"/>
    <d v="2026-03-15T00:00:00"/>
    <n v="147743.07"/>
    <s v="USD"/>
    <x v="1"/>
    <d v="2026-04-29T00:00:00"/>
    <n v="-2"/>
    <x v="7"/>
    <x v="20"/>
    <n v="147743.07"/>
    <n v="50"/>
    <x v="2"/>
  </r>
  <r>
    <s v="2000001172"/>
    <x v="13"/>
    <s v="1200000623"/>
    <x v="144"/>
    <x v="3"/>
    <x v="39"/>
    <n v="-8"/>
    <d v="2026-05-12T00:00:00"/>
    <n v="177221.7"/>
    <s v="USD"/>
    <x v="1"/>
    <d v="2026-05-12T00:00:00"/>
    <n v="-8"/>
    <x v="8"/>
    <x v="42"/>
    <n v="177221.7"/>
    <n v="37"/>
    <x v="1"/>
  </r>
  <r>
    <s v="2000001172"/>
    <x v="13"/>
    <s v="1200000754"/>
    <x v="145"/>
    <x v="3"/>
    <x v="40"/>
    <n v="-19"/>
    <d v="2026-05-23T00:00:00"/>
    <n v="175000"/>
    <s v="USD"/>
    <x v="1"/>
    <d v="2026-05-23T00:00:00"/>
    <n v="-19"/>
    <x v="9"/>
    <x v="43"/>
    <n v="175000"/>
    <n v="26"/>
    <x v="1"/>
  </r>
  <r>
    <s v="2000000231"/>
    <x v="14"/>
    <s v="1200001189"/>
    <x v="146"/>
    <x v="3"/>
    <x v="25"/>
    <n v="-33"/>
    <d v="2026-06-06T00:00:00"/>
    <n v="631800"/>
    <s v="USD"/>
    <x v="1"/>
    <d v="2026-06-06T00:00:00"/>
    <n v="-33"/>
    <x v="10"/>
    <x v="44"/>
    <n v="631800"/>
    <n v="12"/>
    <x v="1"/>
  </r>
  <r>
    <s v="2000000231"/>
    <x v="14"/>
    <s v="1200001281"/>
    <x v="147"/>
    <x v="3"/>
    <x v="37"/>
    <n v="-37"/>
    <d v="2026-06-10T00:00:00"/>
    <n v="105300"/>
    <s v="USD"/>
    <x v="1"/>
    <d v="2026-06-10T00:00:00"/>
    <m/>
    <x v="11"/>
    <x v="45"/>
    <n v="105300"/>
    <n v="8"/>
    <x v="1"/>
  </r>
  <r>
    <s v="2000001409"/>
    <x v="15"/>
    <s v="1300001581"/>
    <x v="148"/>
    <x v="2"/>
    <x v="12"/>
    <n v="0"/>
    <d v="2026-04-30T00:00:00"/>
    <n v="-4560"/>
    <s v="USD"/>
    <x v="1"/>
    <d v="2026-04-30T00:00:00"/>
    <m/>
    <x v="3"/>
    <x v="25"/>
    <n v="-4560"/>
    <n v="4"/>
    <x v="1"/>
  </r>
  <r>
    <s v="2000001409"/>
    <x v="15"/>
    <s v="1200001360"/>
    <x v="149"/>
    <x v="3"/>
    <x v="20"/>
    <n v="-40"/>
    <d v="2026-06-13T00:00:00"/>
    <n v="396900"/>
    <s v="USD"/>
    <x v="1"/>
    <d v="2026-06-13T00:00:00"/>
    <m/>
    <x v="6"/>
    <x v="33"/>
    <n v="396900"/>
    <n v="5"/>
    <x v="1"/>
  </r>
  <r>
    <s v="6002007"/>
    <x v="16"/>
    <s v="1200005141"/>
    <x v="150"/>
    <x v="0"/>
    <x v="41"/>
    <n v="175"/>
    <d v="2025-11-10T00:00:00"/>
    <n v="1403.26"/>
    <s v="PEN"/>
    <x v="2"/>
    <m/>
    <m/>
    <x v="0"/>
    <x v="46"/>
    <n v="398.54018744674806"/>
    <m/>
    <x v="0"/>
  </r>
  <r>
    <s v="6002007"/>
    <x v="16"/>
    <s v="1200005142"/>
    <x v="151"/>
    <x v="0"/>
    <x v="41"/>
    <n v="175"/>
    <d v="2025-11-10T00:00:00"/>
    <n v="141.6"/>
    <s v="PEN"/>
    <x v="2"/>
    <m/>
    <m/>
    <x v="0"/>
    <x v="46"/>
    <n v="40.215847770519737"/>
    <m/>
    <x v="0"/>
  </r>
  <r>
    <s v="6002007"/>
    <x v="16"/>
    <s v="1200005158"/>
    <x v="152"/>
    <x v="0"/>
    <x v="42"/>
    <n v="172"/>
    <d v="2025-11-13T00:00:00"/>
    <n v="1193.22"/>
    <s v="PEN"/>
    <x v="2"/>
    <m/>
    <m/>
    <x v="0"/>
    <x v="47"/>
    <n v="338.88667992047715"/>
    <m/>
    <x v="0"/>
  </r>
  <r>
    <s v="6002007"/>
    <x v="16"/>
    <s v="1200005159"/>
    <x v="153"/>
    <x v="0"/>
    <x v="42"/>
    <n v="172"/>
    <d v="2025-11-13T00:00:00"/>
    <n v="106.2"/>
    <s v="PEN"/>
    <x v="2"/>
    <m/>
    <m/>
    <x v="0"/>
    <x v="47"/>
    <n v="30.161885827889805"/>
    <m/>
    <x v="0"/>
  </r>
  <r>
    <s v="2000001359"/>
    <x v="17"/>
    <s v="1200000644"/>
    <x v="154"/>
    <x v="3"/>
    <x v="21"/>
    <n v="-9"/>
    <d v="2026-05-13T00:00:00"/>
    <n v="76700"/>
    <s v="USD"/>
    <x v="1"/>
    <d v="2026-05-13T00:00:00"/>
    <n v="-9"/>
    <x v="1"/>
    <x v="21"/>
    <n v="76700"/>
    <n v="36"/>
    <x v="1"/>
  </r>
  <r>
    <s v="2000001359"/>
    <x v="17"/>
    <s v="1200000958"/>
    <x v="155"/>
    <x v="3"/>
    <x v="31"/>
    <n v="-23"/>
    <d v="2026-05-27T00:00:00"/>
    <n v="36400"/>
    <s v="USD"/>
    <x v="1"/>
    <d v="2026-05-27T00:00:00"/>
    <n v="-23"/>
    <x v="4"/>
    <x v="31"/>
    <n v="36400"/>
    <n v="22"/>
    <x v="1"/>
  </r>
  <r>
    <s v="2000001359"/>
    <x v="17"/>
    <s v="1200000959"/>
    <x v="156"/>
    <x v="3"/>
    <x v="31"/>
    <n v="-38"/>
    <d v="2026-06-11T00:00:00"/>
    <n v="80600"/>
    <s v="USD"/>
    <x v="1"/>
    <d v="2026-05-27T00:00:00"/>
    <n v="-38"/>
    <x v="2"/>
    <x v="30"/>
    <n v="80600"/>
    <n v="22"/>
    <x v="1"/>
  </r>
  <r>
    <s v="2000001359"/>
    <x v="17"/>
    <s v="1200001191"/>
    <x v="157"/>
    <x v="3"/>
    <x v="25"/>
    <n v="-33"/>
    <d v="2026-06-06T00:00:00"/>
    <n v="36400"/>
    <s v="USD"/>
    <x v="1"/>
    <d v="2026-06-06T00:00:00"/>
    <n v="-33"/>
    <x v="10"/>
    <x v="44"/>
    <n v="36400"/>
    <n v="12"/>
    <x v="1"/>
  </r>
  <r>
    <s v="2000001359"/>
    <x v="17"/>
    <s v="1200001321"/>
    <x v="158"/>
    <x v="3"/>
    <x v="27"/>
    <n v="-38"/>
    <d v="2026-06-11T00:00:00"/>
    <n v="36400"/>
    <s v="USD"/>
    <x v="1"/>
    <d v="2026-06-11T00:00:00"/>
    <m/>
    <x v="2"/>
    <x v="30"/>
    <n v="36400"/>
    <n v="7"/>
    <x v="1"/>
  </r>
  <r>
    <s v="2000001369"/>
    <x v="18"/>
    <s v="1200000985"/>
    <x v="159"/>
    <x v="2"/>
    <x v="43"/>
    <n v="-24"/>
    <d v="2026-05-28T00:00:00"/>
    <n v="70212"/>
    <s v="USD"/>
    <x v="1"/>
    <d v="2026-05-28T00:00:00"/>
    <n v="-24"/>
    <x v="12"/>
    <x v="48"/>
    <n v="70212"/>
    <n v="21"/>
    <x v="1"/>
  </r>
  <r>
    <s v="1000013925"/>
    <x v="19"/>
    <s v="1300006898"/>
    <x v="160"/>
    <x v="2"/>
    <x v="44"/>
    <n v="195"/>
    <d v="2025-10-21T00:00:00"/>
    <n v="4460"/>
    <s v="PEN"/>
    <x v="3"/>
    <m/>
    <m/>
    <x v="0"/>
    <x v="49"/>
    <n v="1266.6856006816245"/>
    <m/>
    <x v="0"/>
  </r>
  <r>
    <s v="1000013925"/>
    <x v="19"/>
    <s v="1200005124"/>
    <x v="161"/>
    <x v="0"/>
    <x v="45"/>
    <n v="174"/>
    <d v="2025-11-11T00:00:00"/>
    <n v="7097.98"/>
    <s v="PEN"/>
    <x v="3"/>
    <m/>
    <m/>
    <x v="0"/>
    <x v="50"/>
    <n v="2015.8988923601248"/>
    <m/>
    <x v="0"/>
  </r>
  <r>
    <s v="1000013925"/>
    <x v="19"/>
    <s v="1200000182"/>
    <x v="162"/>
    <x v="0"/>
    <x v="46"/>
    <n v="86"/>
    <d v="2026-02-07T00:00:00"/>
    <n v="4003.46"/>
    <s v="PEN"/>
    <x v="3"/>
    <m/>
    <m/>
    <x v="0"/>
    <x v="51"/>
    <n v="1137.0235728486225"/>
    <m/>
    <x v="0"/>
  </r>
  <r>
    <s v="1000013925"/>
    <x v="19"/>
    <s v="1200000382"/>
    <x v="163"/>
    <x v="0"/>
    <x v="47"/>
    <n v="55"/>
    <d v="2026-03-10T00:00:00"/>
    <n v="4956"/>
    <s v="PEN"/>
    <x v="0"/>
    <m/>
    <m/>
    <x v="0"/>
    <x v="52"/>
    <n v="1407.5546719681909"/>
    <m/>
    <x v="0"/>
  </r>
  <r>
    <s v="1000015185"/>
    <x v="20"/>
    <s v="1200000994"/>
    <x v="164"/>
    <x v="0"/>
    <x v="11"/>
    <n v="11"/>
    <d v="2026-04-23T00:00:00"/>
    <n v="777.76"/>
    <s v="PEN"/>
    <x v="0"/>
    <m/>
    <m/>
    <x v="0"/>
    <x v="11"/>
    <n v="220.89179210451576"/>
    <m/>
    <x v="0"/>
  </r>
  <r>
    <s v="1000015185"/>
    <x v="20"/>
    <s v="1200000995"/>
    <x v="165"/>
    <x v="0"/>
    <x v="11"/>
    <n v="11"/>
    <d v="2026-04-23T00:00:00"/>
    <n v="194.7"/>
    <s v="PEN"/>
    <x v="0"/>
    <m/>
    <m/>
    <x v="0"/>
    <x v="11"/>
    <n v="55.296790684464639"/>
    <m/>
    <x v="0"/>
  </r>
  <r>
    <s v="1000015185"/>
    <x v="20"/>
    <s v="1200001051"/>
    <x v="166"/>
    <x v="0"/>
    <x v="34"/>
    <n v="9"/>
    <d v="2026-04-25T00:00:00"/>
    <n v="800.56"/>
    <s v="PEN"/>
    <x v="0"/>
    <m/>
    <m/>
    <x v="0"/>
    <x v="38"/>
    <n v="227.36722522010791"/>
    <m/>
    <x v="0"/>
  </r>
  <r>
    <s v="1000015185"/>
    <x v="20"/>
    <s v="1200001052"/>
    <x v="167"/>
    <x v="0"/>
    <x v="34"/>
    <n v="9"/>
    <d v="2026-04-25T00:00:00"/>
    <n v="212.4"/>
    <s v="PEN"/>
    <x v="0"/>
    <m/>
    <m/>
    <x v="0"/>
    <x v="38"/>
    <n v="60.323771655779609"/>
    <m/>
    <x v="0"/>
  </r>
  <r>
    <s v="1000015185"/>
    <x v="20"/>
    <s v="1200001067"/>
    <x v="168"/>
    <x v="0"/>
    <x v="23"/>
    <n v="8"/>
    <d v="2026-04-26T00:00:00"/>
    <n v="729.85"/>
    <s v="PEN"/>
    <x v="0"/>
    <m/>
    <m/>
    <x v="0"/>
    <x v="22"/>
    <n v="207.28486225504119"/>
    <m/>
    <x v="0"/>
  </r>
  <r>
    <s v="1000015185"/>
    <x v="20"/>
    <s v="1200001068"/>
    <x v="169"/>
    <x v="0"/>
    <x v="23"/>
    <n v="8"/>
    <d v="2026-04-26T00:00:00"/>
    <n v="194.7"/>
    <s v="PEN"/>
    <x v="0"/>
    <m/>
    <m/>
    <x v="0"/>
    <x v="22"/>
    <n v="55.296790684464639"/>
    <m/>
    <x v="0"/>
  </r>
  <r>
    <s v="1000015185"/>
    <x v="20"/>
    <s v="1200001115"/>
    <x v="170"/>
    <x v="0"/>
    <x v="35"/>
    <n v="6"/>
    <d v="2026-04-28T00:00:00"/>
    <n v="408.37"/>
    <s v="PEN"/>
    <x v="0"/>
    <m/>
    <m/>
    <x v="0"/>
    <x v="35"/>
    <n v="115.98125532519171"/>
    <m/>
    <x v="0"/>
  </r>
  <r>
    <s v="1000015185"/>
    <x v="20"/>
    <s v="1200001116"/>
    <x v="171"/>
    <x v="0"/>
    <x v="35"/>
    <n v="6"/>
    <d v="2026-04-28T00:00:00"/>
    <n v="135.69999999999999"/>
    <s v="PEN"/>
    <x v="0"/>
    <m/>
    <m/>
    <x v="0"/>
    <x v="35"/>
    <n v="38.540187446748078"/>
    <m/>
    <x v="0"/>
  </r>
  <r>
    <s v="1000015185"/>
    <x v="20"/>
    <s v="1200001144"/>
    <x v="172"/>
    <x v="0"/>
    <x v="25"/>
    <n v="5"/>
    <d v="2026-04-29T00:00:00"/>
    <n v="934.7"/>
    <s v="PEN"/>
    <x v="0"/>
    <m/>
    <m/>
    <x v="0"/>
    <x v="24"/>
    <n v="265.46435671684185"/>
    <m/>
    <x v="0"/>
  </r>
  <r>
    <s v="1000015185"/>
    <x v="20"/>
    <s v="1200001145"/>
    <x v="173"/>
    <x v="0"/>
    <x v="25"/>
    <n v="5"/>
    <d v="2026-04-29T00:00:00"/>
    <n v="230.1"/>
    <s v="PEN"/>
    <x v="0"/>
    <m/>
    <m/>
    <x v="0"/>
    <x v="24"/>
    <n v="65.350752627094579"/>
    <m/>
    <x v="0"/>
  </r>
  <r>
    <s v="1000015185"/>
    <x v="20"/>
    <s v="1200001186"/>
    <x v="174"/>
    <x v="0"/>
    <x v="36"/>
    <n v="3"/>
    <d v="2026-05-01T00:00:00"/>
    <n v="513.77"/>
    <s v="PEN"/>
    <x v="0"/>
    <m/>
    <m/>
    <x v="0"/>
    <x v="40"/>
    <n v="145.91593297358705"/>
    <m/>
    <x v="0"/>
  </r>
  <r>
    <s v="1000015185"/>
    <x v="20"/>
    <s v="1200001187"/>
    <x v="175"/>
    <x v="0"/>
    <x v="36"/>
    <n v="3"/>
    <d v="2026-05-01T00:00:00"/>
    <n v="177"/>
    <s v="PEN"/>
    <x v="0"/>
    <m/>
    <m/>
    <x v="0"/>
    <x v="40"/>
    <n v="50.269809713149677"/>
    <m/>
    <x v="0"/>
  </r>
  <r>
    <s v="1000015185"/>
    <x v="20"/>
    <s v="1200001205"/>
    <x v="176"/>
    <x v="0"/>
    <x v="19"/>
    <n v="9"/>
    <d v="2026-04-25T00:00:00"/>
    <n v="663.11"/>
    <s v="PEN"/>
    <x v="0"/>
    <m/>
    <m/>
    <x v="0"/>
    <x v="38"/>
    <n v="188.33001988071572"/>
    <m/>
    <x v="0"/>
  </r>
  <r>
    <s v="1000015185"/>
    <x v="20"/>
    <s v="1200001206"/>
    <x v="177"/>
    <x v="0"/>
    <x v="19"/>
    <n v="9"/>
    <d v="2026-04-25T00:00:00"/>
    <n v="194.7"/>
    <s v="PEN"/>
    <x v="0"/>
    <m/>
    <m/>
    <x v="0"/>
    <x v="38"/>
    <n v="55.296790684464639"/>
    <m/>
    <x v="0"/>
  </r>
  <r>
    <s v="1000015185"/>
    <x v="20"/>
    <s v="1200001224"/>
    <x v="178"/>
    <x v="0"/>
    <x v="37"/>
    <n v="1"/>
    <d v="2026-05-03T00:00:00"/>
    <n v="1273.03"/>
    <s v="PEN"/>
    <x v="0"/>
    <m/>
    <m/>
    <x v="0"/>
    <x v="41"/>
    <n v="361.55353592729341"/>
    <m/>
    <x v="0"/>
  </r>
  <r>
    <s v="1000015185"/>
    <x v="20"/>
    <s v="1200001225"/>
    <x v="179"/>
    <x v="0"/>
    <x v="37"/>
    <n v="1"/>
    <d v="2026-05-03T00:00:00"/>
    <n v="389.4"/>
    <s v="PEN"/>
    <x v="0"/>
    <m/>
    <m/>
    <x v="0"/>
    <x v="41"/>
    <n v="110.59358136892928"/>
    <m/>
    <x v="0"/>
  </r>
  <r>
    <s v="1000015185"/>
    <x v="20"/>
    <s v="1200001259"/>
    <x v="180"/>
    <x v="0"/>
    <x v="27"/>
    <n v="0"/>
    <d v="2026-05-04T00:00:00"/>
    <n v="1816.54"/>
    <s v="PEN"/>
    <x v="0"/>
    <m/>
    <m/>
    <x v="0"/>
    <x v="26"/>
    <n v="515.91593297358702"/>
    <m/>
    <x v="0"/>
  </r>
  <r>
    <s v="1000015185"/>
    <x v="20"/>
    <s v="1200001260"/>
    <x v="181"/>
    <x v="0"/>
    <x v="27"/>
    <n v="0"/>
    <d v="2026-05-04T00:00:00"/>
    <n v="495.6"/>
    <s v="PEN"/>
    <x v="0"/>
    <m/>
    <m/>
    <x v="0"/>
    <x v="26"/>
    <n v="140.7554671968191"/>
    <m/>
    <x v="0"/>
  </r>
  <r>
    <s v="1000015185"/>
    <x v="20"/>
    <s v="1200001297"/>
    <x v="182"/>
    <x v="0"/>
    <x v="28"/>
    <n v="-1"/>
    <d v="2026-05-05T00:00:00"/>
    <n v="1277.99"/>
    <s v="PEN"/>
    <x v="0"/>
    <m/>
    <m/>
    <x v="0"/>
    <x v="27"/>
    <n v="362.96222664015903"/>
    <m/>
    <x v="0"/>
  </r>
  <r>
    <s v="1000015185"/>
    <x v="20"/>
    <s v="1200001298"/>
    <x v="183"/>
    <x v="0"/>
    <x v="28"/>
    <n v="-1"/>
    <d v="2026-05-05T00:00:00"/>
    <n v="383.5"/>
    <s v="PEN"/>
    <x v="0"/>
    <m/>
    <m/>
    <x v="0"/>
    <x v="27"/>
    <n v="108.91792104515763"/>
    <m/>
    <x v="0"/>
  </r>
  <r>
    <s v="1000015185"/>
    <x v="20"/>
    <s v="1200001336"/>
    <x v="184"/>
    <x v="0"/>
    <x v="20"/>
    <n v="-2"/>
    <d v="2026-05-06T00:00:00"/>
    <n v="1326.56"/>
    <s v="PEN"/>
    <x v="0"/>
    <m/>
    <m/>
    <x v="0"/>
    <x v="20"/>
    <n v="376.75660323771655"/>
    <m/>
    <x v="0"/>
  </r>
  <r>
    <s v="1000015185"/>
    <x v="20"/>
    <s v="1200001337"/>
    <x v="185"/>
    <x v="0"/>
    <x v="20"/>
    <n v="-2"/>
    <d v="2026-05-06T00:00:00"/>
    <n v="442.5"/>
    <s v="PEN"/>
    <x v="0"/>
    <m/>
    <m/>
    <x v="0"/>
    <x v="20"/>
    <n v="125.67452428287419"/>
    <m/>
    <x v="0"/>
  </r>
  <r>
    <s v="1000015185"/>
    <x v="20"/>
    <s v="1200001398"/>
    <x v="186"/>
    <x v="0"/>
    <x v="29"/>
    <n v="-5"/>
    <d v="2026-05-09T00:00:00"/>
    <n v="427.21"/>
    <s v="PEN"/>
    <x v="0"/>
    <m/>
    <m/>
    <x v="0"/>
    <x v="28"/>
    <n v="121.33200795228628"/>
    <m/>
    <x v="0"/>
  </r>
  <r>
    <s v="1000015185"/>
    <x v="20"/>
    <s v="1200001399"/>
    <x v="187"/>
    <x v="0"/>
    <x v="29"/>
    <n v="-5"/>
    <d v="2026-05-09T00:00:00"/>
    <n v="153.4"/>
    <s v="PEN"/>
    <x v="0"/>
    <m/>
    <m/>
    <x v="0"/>
    <x v="28"/>
    <n v="43.567168418063055"/>
    <m/>
    <x v="0"/>
  </r>
  <r>
    <s v="2000000267"/>
    <x v="21"/>
    <s v="1300002619"/>
    <x v="148"/>
    <x v="2"/>
    <x v="25"/>
    <n v="0"/>
    <d v="2026-04-22T00:00:00"/>
    <n v="-7645"/>
    <s v="USD"/>
    <x v="1"/>
    <d v="2026-06-06T00:00:00"/>
    <m/>
    <x v="13"/>
    <x v="34"/>
    <n v="-7645"/>
    <n v="12"/>
    <x v="1"/>
  </r>
  <r>
    <s v="6000434"/>
    <x v="22"/>
    <s v="1200004540"/>
    <x v="188"/>
    <x v="0"/>
    <x v="48"/>
    <n v="202"/>
    <d v="2025-10-14T00:00:00"/>
    <n v="790"/>
    <s v="PEN"/>
    <x v="4"/>
    <m/>
    <m/>
    <x v="0"/>
    <x v="53"/>
    <n v="224.36807725078103"/>
    <m/>
    <x v="0"/>
  </r>
  <r>
    <s v="1000001607"/>
    <x v="23"/>
    <s v="1200001150"/>
    <x v="189"/>
    <x v="0"/>
    <x v="25"/>
    <n v="9"/>
    <d v="2026-04-25T00:00:00"/>
    <n v="21687.46"/>
    <s v="PEN"/>
    <x v="5"/>
    <m/>
    <m/>
    <x v="0"/>
    <x v="38"/>
    <n v="6159.4603805737006"/>
    <m/>
    <x v="0"/>
  </r>
  <r>
    <s v="1000001607"/>
    <x v="23"/>
    <s v="1200001381"/>
    <x v="190"/>
    <x v="0"/>
    <x v="12"/>
    <n v="1"/>
    <d v="2026-05-03T00:00:00"/>
    <n v="47934.43"/>
    <s v="PEN"/>
    <x v="5"/>
    <m/>
    <m/>
    <x v="0"/>
    <x v="41"/>
    <n v="13613.868219255894"/>
    <m/>
    <x v="0"/>
  </r>
  <r>
    <s v="1000001607"/>
    <x v="23"/>
    <s v="1200001382"/>
    <x v="191"/>
    <x v="0"/>
    <x v="12"/>
    <n v="1"/>
    <d v="2026-05-03T00:00:00"/>
    <n v="54183.95"/>
    <s v="PEN"/>
    <x v="5"/>
    <m/>
    <m/>
    <x v="0"/>
    <x v="41"/>
    <n v="15388.795796648679"/>
    <m/>
    <x v="0"/>
  </r>
  <r>
    <s v="2000001438"/>
    <x v="24"/>
    <s v="1300001727"/>
    <x v="192"/>
    <x v="4"/>
    <x v="16"/>
    <n v="0"/>
    <d v="2026-03-31T00:00:00"/>
    <n v="-33875"/>
    <s v="USD"/>
    <x v="1"/>
    <d v="2026-05-14T00:00:00"/>
    <m/>
    <x v="14"/>
    <x v="54"/>
    <n v="-33875"/>
    <n v="35"/>
    <x v="1"/>
  </r>
  <r>
    <s v="2000001438"/>
    <x v="24"/>
    <s v="1300002536"/>
    <x v="192"/>
    <x v="4"/>
    <x v="40"/>
    <n v="0"/>
    <d v="2026-04-30T00:00:00"/>
    <n v="-30635"/>
    <s v="USD"/>
    <x v="1"/>
    <d v="2026-05-23T00:00:00"/>
    <m/>
    <x v="3"/>
    <x v="25"/>
    <n v="-30635"/>
    <n v="26"/>
    <x v="1"/>
  </r>
  <r>
    <s v="2000001438"/>
    <x v="24"/>
    <s v="1300002549"/>
    <x v="192"/>
    <x v="4"/>
    <x v="33"/>
    <n v="0"/>
    <d v="2026-04-30T00:00:00"/>
    <n v="-168395"/>
    <s v="USD"/>
    <x v="1"/>
    <d v="2026-05-30T00:00:00"/>
    <m/>
    <x v="15"/>
    <x v="25"/>
    <n v="-168395"/>
    <n v="19"/>
    <x v="1"/>
  </r>
  <r>
    <s v="2000001438"/>
    <x v="24"/>
    <s v="1200001325"/>
    <x v="193"/>
    <x v="3"/>
    <x v="27"/>
    <n v="-38"/>
    <d v="2026-06-11T00:00:00"/>
    <n v="111132"/>
    <s v="USD"/>
    <x v="1"/>
    <d v="2026-06-11T00:00:00"/>
    <m/>
    <x v="2"/>
    <x v="30"/>
    <n v="111132"/>
    <n v="7"/>
    <x v="1"/>
  </r>
  <r>
    <s v="2000001438"/>
    <x v="24"/>
    <s v="1200001361"/>
    <x v="194"/>
    <x v="3"/>
    <x v="20"/>
    <n v="-40"/>
    <d v="2026-06-13T00:00:00"/>
    <n v="153900"/>
    <s v="USD"/>
    <x v="1"/>
    <d v="2026-06-13T00:00:00"/>
    <m/>
    <x v="6"/>
    <x v="33"/>
    <n v="153900"/>
    <n v="5"/>
    <x v="1"/>
  </r>
  <r>
    <s v="2000001438"/>
    <x v="24"/>
    <s v="1200001366"/>
    <x v="195"/>
    <x v="3"/>
    <x v="20"/>
    <n v="-40"/>
    <d v="2026-06-13T00:00:00"/>
    <n v="330750"/>
    <s v="USD"/>
    <x v="1"/>
    <d v="2026-06-13T00:00:00"/>
    <m/>
    <x v="6"/>
    <x v="33"/>
    <n v="330750"/>
    <n v="5"/>
    <x v="1"/>
  </r>
  <r>
    <s v="1000001965"/>
    <x v="25"/>
    <s v="1200001019"/>
    <x v="196"/>
    <x v="0"/>
    <x v="22"/>
    <n v="17"/>
    <d v="2026-04-17T00:00:00"/>
    <n v="590"/>
    <s v="PEN"/>
    <x v="0"/>
    <m/>
    <m/>
    <x v="0"/>
    <x v="18"/>
    <n v="167.56603237716558"/>
    <m/>
    <x v="0"/>
  </r>
  <r>
    <s v="1000001965"/>
    <x v="25"/>
    <s v="1200001039"/>
    <x v="197"/>
    <x v="0"/>
    <x v="34"/>
    <n v="16"/>
    <d v="2026-04-18T00:00:00"/>
    <n v="590"/>
    <s v="PEN"/>
    <x v="0"/>
    <m/>
    <m/>
    <x v="0"/>
    <x v="55"/>
    <n v="167.56603237716558"/>
    <m/>
    <x v="0"/>
  </r>
  <r>
    <s v="1000001965"/>
    <x v="25"/>
    <s v="1200001087"/>
    <x v="198"/>
    <x v="0"/>
    <x v="24"/>
    <n v="7"/>
    <d v="2026-04-27T00:00:00"/>
    <n v="590"/>
    <s v="PEN"/>
    <x v="0"/>
    <m/>
    <m/>
    <x v="0"/>
    <x v="23"/>
    <n v="167.56603237716558"/>
    <m/>
    <x v="0"/>
  </r>
  <r>
    <s v="1000001965"/>
    <x v="25"/>
    <s v="1200001135"/>
    <x v="199"/>
    <x v="0"/>
    <x v="25"/>
    <n v="5"/>
    <d v="2026-04-29T00:00:00"/>
    <n v="590"/>
    <s v="PEN"/>
    <x v="0"/>
    <m/>
    <m/>
    <x v="0"/>
    <x v="24"/>
    <n v="167.56603237716558"/>
    <m/>
    <x v="0"/>
  </r>
  <r>
    <s v="1000001965"/>
    <x v="25"/>
    <s v="1200001188"/>
    <x v="200"/>
    <x v="0"/>
    <x v="36"/>
    <n v="3"/>
    <d v="2026-05-01T00:00:00"/>
    <n v="590"/>
    <s v="PEN"/>
    <x v="0"/>
    <m/>
    <m/>
    <x v="0"/>
    <x v="40"/>
    <n v="167.56603237716558"/>
    <m/>
    <x v="0"/>
  </r>
  <r>
    <s v="1000001965"/>
    <x v="25"/>
    <s v="1200001251"/>
    <x v="201"/>
    <x v="0"/>
    <x v="27"/>
    <n v="0"/>
    <d v="2026-05-04T00:00:00"/>
    <n v="590"/>
    <s v="PEN"/>
    <x v="0"/>
    <m/>
    <m/>
    <x v="0"/>
    <x v="26"/>
    <n v="167.56603237716558"/>
    <m/>
    <x v="0"/>
  </r>
  <r>
    <s v="1000001965"/>
    <x v="25"/>
    <s v="1200001320"/>
    <x v="202"/>
    <x v="0"/>
    <x v="20"/>
    <n v="-2"/>
    <d v="2026-05-06T00:00:00"/>
    <n v="590"/>
    <s v="PEN"/>
    <x v="0"/>
    <m/>
    <m/>
    <x v="0"/>
    <x v="20"/>
    <n v="167.56603237716558"/>
    <m/>
    <x v="0"/>
  </r>
  <r>
    <s v="1000001965"/>
    <x v="25"/>
    <s v="1200001384"/>
    <x v="203"/>
    <x v="0"/>
    <x v="29"/>
    <n v="2"/>
    <d v="2026-05-02T00:00:00"/>
    <n v="590"/>
    <s v="PEN"/>
    <x v="0"/>
    <m/>
    <m/>
    <x v="0"/>
    <x v="19"/>
    <n v="167.56603237716558"/>
    <m/>
    <x v="0"/>
  </r>
  <r>
    <s v="1000001965"/>
    <x v="25"/>
    <s v="1200001394"/>
    <x v="204"/>
    <x v="0"/>
    <x v="29"/>
    <n v="-5"/>
    <d v="2026-05-09T00:00:00"/>
    <n v="698.56"/>
    <s v="PEN"/>
    <x v="0"/>
    <m/>
    <m/>
    <x v="0"/>
    <x v="28"/>
    <n v="198.39818233456404"/>
    <m/>
    <x v="0"/>
  </r>
  <r>
    <s v="1000001965"/>
    <x v="25"/>
    <s v="1200001395"/>
    <x v="205"/>
    <x v="0"/>
    <x v="29"/>
    <n v="-5"/>
    <d v="2026-05-09T00:00:00"/>
    <n v="123.9"/>
    <s v="PEN"/>
    <x v="0"/>
    <m/>
    <m/>
    <x v="0"/>
    <x v="28"/>
    <n v="35.188866799204774"/>
    <m/>
    <x v="0"/>
  </r>
  <r>
    <s v="2000001418"/>
    <x v="26"/>
    <s v="1200000646"/>
    <x v="206"/>
    <x v="2"/>
    <x v="16"/>
    <n v="-10"/>
    <d v="2026-05-14T00:00:00"/>
    <n v="56300"/>
    <s v="USD"/>
    <x v="1"/>
    <d v="2026-05-14T00:00:00"/>
    <m/>
    <x v="16"/>
    <x v="56"/>
    <n v="56300"/>
    <n v="35"/>
    <x v="1"/>
  </r>
  <r>
    <s v="2000001418"/>
    <x v="26"/>
    <s v="1200001326"/>
    <x v="207"/>
    <x v="2"/>
    <x v="27"/>
    <n v="-38"/>
    <d v="2026-06-11T00:00:00"/>
    <n v="116670"/>
    <s v="USD"/>
    <x v="1"/>
    <d v="2026-06-11T00:00:00"/>
    <m/>
    <x v="2"/>
    <x v="30"/>
    <n v="116670"/>
    <n v="7"/>
    <x v="1"/>
  </r>
  <r>
    <s v="2000001440"/>
    <x v="27"/>
    <s v="1200001362"/>
    <x v="208"/>
    <x v="2"/>
    <x v="20"/>
    <n v="-40"/>
    <d v="2026-06-13T00:00:00"/>
    <n v="56785"/>
    <s v="USD"/>
    <x v="1"/>
    <d v="2026-06-13T00:00:00"/>
    <m/>
    <x v="6"/>
    <x v="33"/>
    <n v="56785"/>
    <n v="5"/>
    <x v="1"/>
  </r>
  <r>
    <s v="1000013801"/>
    <x v="28"/>
    <s v="1200001207"/>
    <x v="209"/>
    <x v="0"/>
    <x v="19"/>
    <n v="2"/>
    <d v="2026-05-02T00:00:00"/>
    <n v="668.82"/>
    <s v="PEN"/>
    <x v="0"/>
    <m/>
    <m/>
    <x v="0"/>
    <x v="19"/>
    <n v="189.95171826185745"/>
    <m/>
    <x v="0"/>
  </r>
  <r>
    <s v="1000013801"/>
    <x v="28"/>
    <s v="1200001208"/>
    <x v="210"/>
    <x v="0"/>
    <x v="19"/>
    <n v="2"/>
    <d v="2026-05-02T00:00:00"/>
    <n v="123.9"/>
    <s v="PEN"/>
    <x v="0"/>
    <m/>
    <m/>
    <x v="0"/>
    <x v="19"/>
    <n v="35.188866799204774"/>
    <m/>
    <x v="0"/>
  </r>
  <r>
    <s v="1000013794"/>
    <x v="29"/>
    <s v="1300005699"/>
    <x v="211"/>
    <x v="4"/>
    <x v="49"/>
    <n v="204"/>
    <d v="2025-10-12T00:00:00"/>
    <n v="56.64"/>
    <s v="PEN"/>
    <x v="0"/>
    <m/>
    <m/>
    <x v="0"/>
    <x v="57"/>
    <n v="16.086339108207895"/>
    <m/>
    <x v="0"/>
  </r>
  <r>
    <s v="1000013686"/>
    <x v="30"/>
    <s v="1200001072"/>
    <x v="212"/>
    <x v="0"/>
    <x v="24"/>
    <n v="7"/>
    <d v="2026-04-27T00:00:00"/>
    <n v="1274.4000000000001"/>
    <s v="PEN"/>
    <x v="0"/>
    <m/>
    <m/>
    <x v="0"/>
    <x v="23"/>
    <n v="361.94262993467771"/>
    <m/>
    <x v="0"/>
  </r>
  <r>
    <s v="2000000786"/>
    <x v="31"/>
    <s v="1200000615"/>
    <x v="213"/>
    <x v="3"/>
    <x v="39"/>
    <n v="-8"/>
    <d v="2026-05-12T00:00:00"/>
    <n v="86240"/>
    <s v="USD"/>
    <x v="1"/>
    <d v="2026-05-12T00:00:00"/>
    <n v="-8"/>
    <x v="8"/>
    <x v="42"/>
    <n v="86240"/>
    <n v="37"/>
    <x v="1"/>
  </r>
  <r>
    <s v="2000000786"/>
    <x v="31"/>
    <s v="1200000625"/>
    <x v="214"/>
    <x v="3"/>
    <x v="39"/>
    <n v="-8"/>
    <d v="2026-05-12T00:00:00"/>
    <n v="129600"/>
    <s v="USD"/>
    <x v="1"/>
    <d v="2026-05-12T00:00:00"/>
    <n v="-8"/>
    <x v="8"/>
    <x v="42"/>
    <n v="129600"/>
    <n v="37"/>
    <x v="1"/>
  </r>
  <r>
    <s v="2000000786"/>
    <x v="31"/>
    <s v="1200000630"/>
    <x v="215"/>
    <x v="3"/>
    <x v="21"/>
    <n v="-9"/>
    <d v="2026-05-13T00:00:00"/>
    <n v="67200"/>
    <s v="USD"/>
    <x v="1"/>
    <d v="2026-05-13T00:00:00"/>
    <n v="-9"/>
    <x v="1"/>
    <x v="21"/>
    <n v="67200"/>
    <n v="36"/>
    <x v="1"/>
  </r>
  <r>
    <s v="2000000786"/>
    <x v="31"/>
    <s v="1200000632"/>
    <x v="216"/>
    <x v="3"/>
    <x v="21"/>
    <n v="-9"/>
    <d v="2026-05-13T00:00:00"/>
    <n v="72960"/>
    <s v="USD"/>
    <x v="1"/>
    <d v="2026-05-13T00:00:00"/>
    <n v="-9"/>
    <x v="1"/>
    <x v="21"/>
    <n v="72960"/>
    <n v="36"/>
    <x v="1"/>
  </r>
  <r>
    <s v="2000000786"/>
    <x v="31"/>
    <s v="1200000802"/>
    <x v="217"/>
    <x v="3"/>
    <x v="40"/>
    <n v="-19"/>
    <d v="2026-05-23T00:00:00"/>
    <n v="78200"/>
    <s v="USD"/>
    <x v="1"/>
    <d v="2026-05-23T00:00:00"/>
    <n v="-19"/>
    <x v="9"/>
    <x v="43"/>
    <n v="78200"/>
    <n v="26"/>
    <x v="1"/>
  </r>
  <r>
    <s v="2000000786"/>
    <x v="31"/>
    <s v="1200000803"/>
    <x v="218"/>
    <x v="3"/>
    <x v="40"/>
    <n v="-19"/>
    <d v="2026-05-23T00:00:00"/>
    <n v="180000"/>
    <s v="USD"/>
    <x v="1"/>
    <d v="2026-05-23T00:00:00"/>
    <n v="-19"/>
    <x v="9"/>
    <x v="43"/>
    <n v="180000"/>
    <n v="26"/>
    <x v="1"/>
  </r>
  <r>
    <s v="2000000786"/>
    <x v="31"/>
    <s v="1200001269"/>
    <x v="219"/>
    <x v="3"/>
    <x v="19"/>
    <n v="-36"/>
    <d v="2026-06-09T00:00:00"/>
    <n v="110112"/>
    <s v="USD"/>
    <x v="1"/>
    <d v="2026-06-09T00:00:00"/>
    <m/>
    <x v="17"/>
    <x v="58"/>
    <n v="110112"/>
    <n v="9"/>
    <x v="1"/>
  </r>
  <r>
    <s v="2000000786"/>
    <x v="31"/>
    <s v="1200001270"/>
    <x v="220"/>
    <x v="3"/>
    <x v="19"/>
    <n v="-36"/>
    <d v="2026-06-09T00:00:00"/>
    <n v="35520"/>
    <s v="USD"/>
    <x v="1"/>
    <d v="2026-06-09T00:00:00"/>
    <m/>
    <x v="17"/>
    <x v="58"/>
    <n v="35520"/>
    <n v="9"/>
    <x v="1"/>
  </r>
  <r>
    <s v="2000000786"/>
    <x v="31"/>
    <s v="1200001277"/>
    <x v="221"/>
    <x v="3"/>
    <x v="19"/>
    <n v="-36"/>
    <d v="2026-06-09T00:00:00"/>
    <n v="41760"/>
    <s v="USD"/>
    <x v="1"/>
    <d v="2026-06-09T00:00:00"/>
    <m/>
    <x v="17"/>
    <x v="58"/>
    <n v="41760"/>
    <n v="9"/>
    <x v="1"/>
  </r>
  <r>
    <s v="2000000786"/>
    <x v="31"/>
    <s v="1200001280"/>
    <x v="222"/>
    <x v="3"/>
    <x v="37"/>
    <n v="-37"/>
    <d v="2026-06-10T00:00:00"/>
    <n v="191070"/>
    <s v="USD"/>
    <x v="1"/>
    <d v="2026-06-10T00:00:00"/>
    <m/>
    <x v="11"/>
    <x v="45"/>
    <n v="191070"/>
    <n v="8"/>
    <x v="1"/>
  </r>
  <r>
    <s v="2000000786"/>
    <x v="31"/>
    <s v="1200001344"/>
    <x v="223"/>
    <x v="3"/>
    <x v="20"/>
    <n v="-40"/>
    <d v="2026-06-13T00:00:00"/>
    <n v="53360"/>
    <s v="USD"/>
    <x v="1"/>
    <d v="2026-06-13T00:00:00"/>
    <m/>
    <x v="6"/>
    <x v="33"/>
    <n v="53360"/>
    <n v="5"/>
    <x v="1"/>
  </r>
  <r>
    <s v="2000000786"/>
    <x v="31"/>
    <s v="1200001345"/>
    <x v="224"/>
    <x v="3"/>
    <x v="20"/>
    <n v="-40"/>
    <d v="2026-06-13T00:00:00"/>
    <n v="163070"/>
    <s v="USD"/>
    <x v="1"/>
    <d v="2026-06-13T00:00:00"/>
    <m/>
    <x v="6"/>
    <x v="33"/>
    <n v="163070"/>
    <n v="5"/>
    <x v="1"/>
  </r>
  <r>
    <s v="2000000786"/>
    <x v="31"/>
    <s v="1200001346"/>
    <x v="225"/>
    <x v="3"/>
    <x v="20"/>
    <n v="-40"/>
    <d v="2026-06-13T00:00:00"/>
    <n v="52800"/>
    <s v="USD"/>
    <x v="1"/>
    <d v="2026-06-13T00:00:00"/>
    <m/>
    <x v="6"/>
    <x v="33"/>
    <n v="52800"/>
    <n v="5"/>
    <x v="1"/>
  </r>
  <r>
    <s v="2000000786"/>
    <x v="31"/>
    <s v="1200001364"/>
    <x v="226"/>
    <x v="3"/>
    <x v="20"/>
    <n v="-40"/>
    <d v="2026-06-13T00:00:00"/>
    <n v="55680"/>
    <s v="USD"/>
    <x v="1"/>
    <d v="2026-06-13T00:00:00"/>
    <m/>
    <x v="6"/>
    <x v="33"/>
    <n v="55680"/>
    <n v="5"/>
    <x v="1"/>
  </r>
  <r>
    <s v="2000001348"/>
    <x v="32"/>
    <s v="1200001241"/>
    <x v="227"/>
    <x v="3"/>
    <x v="36"/>
    <n v="-35"/>
    <d v="2026-06-08T00:00:00"/>
    <n v="30250"/>
    <s v="USD"/>
    <x v="1"/>
    <d v="2026-06-08T00:00:00"/>
    <n v="-35"/>
    <x v="18"/>
    <x v="59"/>
    <n v="30250"/>
    <n v="10"/>
    <x v="1"/>
  </r>
  <r>
    <s v="2000001069"/>
    <x v="33"/>
    <s v="1200000936"/>
    <x v="228"/>
    <x v="3"/>
    <x v="31"/>
    <n v="-23"/>
    <d v="2026-05-27T00:00:00"/>
    <n v="94500"/>
    <s v="USD"/>
    <x v="1"/>
    <d v="2026-05-27T00:00:00"/>
    <n v="-23"/>
    <x v="4"/>
    <x v="31"/>
    <n v="94500"/>
    <n v="22"/>
    <x v="1"/>
  </r>
  <r>
    <s v="2000001069"/>
    <x v="33"/>
    <s v="1200000942"/>
    <x v="229"/>
    <x v="2"/>
    <x v="31"/>
    <n v="-23"/>
    <d v="2026-05-27T00:00:00"/>
    <n v="5000"/>
    <s v="USD"/>
    <x v="1"/>
    <d v="2026-05-27T00:00:00"/>
    <n v="-23"/>
    <x v="4"/>
    <x v="31"/>
    <n v="5000"/>
    <n v="22"/>
    <x v="1"/>
  </r>
  <r>
    <s v="2000001069"/>
    <x v="33"/>
    <s v="1200001190"/>
    <x v="230"/>
    <x v="3"/>
    <x v="25"/>
    <n v="-33"/>
    <d v="2026-06-06T00:00:00"/>
    <n v="95904"/>
    <s v="USD"/>
    <x v="1"/>
    <d v="2026-06-06T00:00:00"/>
    <n v="-33"/>
    <x v="10"/>
    <x v="44"/>
    <n v="95904"/>
    <n v="12"/>
    <x v="1"/>
  </r>
  <r>
    <m/>
    <x v="34"/>
    <m/>
    <x v="231"/>
    <x v="6"/>
    <x v="50"/>
    <m/>
    <m/>
    <m/>
    <m/>
    <x v="6"/>
    <m/>
    <m/>
    <x v="0"/>
    <x v="60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DFC53-BB76-4B00-97FD-9B05E2A475C8}" name="TablaDinámica2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0:V30" firstHeaderRow="1" firstDataRow="3" firstDataCol="1" rowPageCount="2" colPageCount="1"/>
  <pivotFields count="23">
    <pivotField showAll="0"/>
    <pivotField axis="axisRow" showAll="0">
      <items count="38">
        <item x="0"/>
        <item x="1"/>
        <item x="2"/>
        <item x="3"/>
        <item x="4"/>
        <item h="1" m="1" x="36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35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axis="axisPage" multipleItemSelectionAllowed="1" showAll="0">
      <items count="9">
        <item x="1"/>
        <item x="5"/>
        <item x="3"/>
        <item x="0"/>
        <item h="1" m="1" x="7"/>
        <item x="4"/>
        <item x="2"/>
        <item x="6"/>
        <item t="default"/>
      </items>
    </pivotField>
    <pivotField showAll="0"/>
    <pivotField showAll="0"/>
    <pivotField showAll="0"/>
    <pivotField dataField="1" showAll="0"/>
    <pivotField showAll="0"/>
    <pivotField axis="axisPage" multipleItemSelectionAllowed="1" showAll="0">
      <items count="8">
        <item h="1" x="3"/>
        <item x="1"/>
        <item h="1" x="0"/>
        <item h="1" x="4"/>
        <item h="1" x="5"/>
        <item h="1" x="2"/>
        <item h="1" x="6"/>
        <item t="default"/>
      </items>
    </pivotField>
    <pivotField showAll="0"/>
    <pivotField showAll="0"/>
    <pivotField showAll="0">
      <items count="20">
        <item x="14"/>
        <item x="15"/>
        <item x="13"/>
        <item x="3"/>
        <item x="7"/>
        <item x="8"/>
        <item x="1"/>
        <item x="16"/>
        <item x="9"/>
        <item x="4"/>
        <item x="12"/>
        <item x="5"/>
        <item x="10"/>
        <item x="18"/>
        <item x="17"/>
        <item x="11"/>
        <item x="2"/>
        <item x="6"/>
        <item x="0"/>
        <item t="default"/>
      </items>
    </pivotField>
    <pivotField axis="axisCol" showAll="0">
      <items count="66">
        <item m="1" x="63"/>
        <item x="57"/>
        <item x="53"/>
        <item x="49"/>
        <item x="46"/>
        <item x="50"/>
        <item x="47"/>
        <item x="0"/>
        <item x="1"/>
        <item x="2"/>
        <item x="3"/>
        <item x="4"/>
        <item x="5"/>
        <item x="6"/>
        <item x="7"/>
        <item x="8"/>
        <item x="9"/>
        <item m="1" x="64"/>
        <item x="51"/>
        <item x="52"/>
        <item m="1" x="62"/>
        <item x="13"/>
        <item x="14"/>
        <item x="15"/>
        <item x="54"/>
        <item m="1" x="61"/>
        <item x="16"/>
        <item x="10"/>
        <item x="17"/>
        <item x="18"/>
        <item x="55"/>
        <item x="39"/>
        <item x="36"/>
        <item x="34"/>
        <item x="11"/>
        <item x="37"/>
        <item x="38"/>
        <item x="22"/>
        <item x="23"/>
        <item x="35"/>
        <item x="24"/>
        <item x="25"/>
        <item x="40"/>
        <item x="19"/>
        <item x="41"/>
        <item x="26"/>
        <item x="27"/>
        <item x="20"/>
        <item x="12"/>
        <item x="28"/>
        <item x="29"/>
        <item x="42"/>
        <item x="21"/>
        <item x="56"/>
        <item x="43"/>
        <item x="31"/>
        <item x="48"/>
        <item x="32"/>
        <item x="44"/>
        <item x="59"/>
        <item x="58"/>
        <item x="45"/>
        <item x="30"/>
        <item x="33"/>
        <item x="60"/>
        <item t="default"/>
      </items>
    </pivotField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showAll="0">
      <items count="5">
        <item sd="0" x="1"/>
        <item sd="0" x="2"/>
        <item sd="0" x="3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8">
    <i>
      <x v="4"/>
    </i>
    <i>
      <x v="7"/>
    </i>
    <i>
      <x v="8"/>
    </i>
    <i>
      <x v="9"/>
    </i>
    <i>
      <x v="11"/>
    </i>
    <i>
      <x v="14"/>
    </i>
    <i>
      <x v="15"/>
    </i>
    <i>
      <x v="16"/>
    </i>
    <i>
      <x v="18"/>
    </i>
    <i>
      <x v="19"/>
    </i>
    <i>
      <x v="22"/>
    </i>
    <i>
      <x v="26"/>
    </i>
    <i>
      <x v="28"/>
    </i>
    <i>
      <x v="29"/>
    </i>
    <i>
      <x v="33"/>
    </i>
    <i>
      <x v="34"/>
    </i>
    <i>
      <x v="35"/>
    </i>
    <i t="grand">
      <x/>
    </i>
  </rowItems>
  <colFields count="2">
    <field x="18"/>
    <field x="14"/>
  </colFields>
  <colItems count="21">
    <i>
      <x v="3"/>
    </i>
    <i>
      <x v="4"/>
      <x v="33"/>
    </i>
    <i r="1">
      <x v="41"/>
    </i>
    <i t="default">
      <x v="4"/>
    </i>
    <i>
      <x v="5"/>
      <x v="47"/>
    </i>
    <i r="1">
      <x v="51"/>
    </i>
    <i r="1">
      <x v="52"/>
    </i>
    <i r="1">
      <x v="53"/>
    </i>
    <i r="1">
      <x v="54"/>
    </i>
    <i r="1">
      <x v="55"/>
    </i>
    <i r="1">
      <x v="56"/>
    </i>
    <i t="default">
      <x v="5"/>
    </i>
    <i>
      <x v="6"/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t="default">
      <x v="6"/>
    </i>
    <i t="grand">
      <x/>
    </i>
  </colItems>
  <pageFields count="2">
    <pageField fld="4" hier="-1"/>
    <pageField fld="10" hier="-1"/>
  </pageFields>
  <dataFields count="1">
    <dataField name="Suma de Importe en moneda doc." fld="8" baseField="0" baseItem="0" numFmtId="165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C46E0-047A-4CB2-A409-DC623A99A080}" name="TablaDinámica1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77" firstHeaderRow="1" firstDataRow="1" firstDataCol="1" rowPageCount="3" colPageCount="1"/>
  <pivotFields count="23">
    <pivotField showAll="0"/>
    <pivotField axis="axisRow" showAll="0">
      <items count="38">
        <item x="0"/>
        <item x="1"/>
        <item x="2"/>
        <item x="3"/>
        <item x="4"/>
        <item m="1" x="36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35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axis="axisRow" showAll="0">
      <items count="254">
        <item x="213"/>
        <item x="144"/>
        <item x="214"/>
        <item x="215"/>
        <item x="216"/>
        <item m="1" x="232"/>
        <item x="33"/>
        <item x="34"/>
        <item x="35"/>
        <item x="36"/>
        <item x="37"/>
        <item x="154"/>
        <item m="1" x="245"/>
        <item x="145"/>
        <item x="217"/>
        <item x="218"/>
        <item m="1" x="250"/>
        <item m="1" x="251"/>
        <item x="228"/>
        <item x="71"/>
        <item x="155"/>
        <item x="156"/>
        <item m="1" x="243"/>
        <item x="146"/>
        <item x="230"/>
        <item x="157"/>
        <item x="227"/>
        <item x="219"/>
        <item x="220"/>
        <item x="221"/>
        <item x="222"/>
        <item x="147"/>
        <item m="1" x="242"/>
        <item x="158"/>
        <item x="68"/>
        <item x="69"/>
        <item m="1" x="236"/>
        <item x="193"/>
        <item m="1" x="246"/>
        <item m="1" x="239"/>
        <item x="223"/>
        <item x="224"/>
        <item x="225"/>
        <item x="149"/>
        <item x="194"/>
        <item m="1" x="248"/>
        <item x="226"/>
        <item m="1" x="240"/>
        <item x="195"/>
        <item m="1" x="237"/>
        <item x="188"/>
        <item x="161"/>
        <item x="162"/>
        <item x="163"/>
        <item x="189"/>
        <item x="190"/>
        <item x="191"/>
        <item x="150"/>
        <item x="151"/>
        <item x="152"/>
        <item x="1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3"/>
        <item x="24"/>
        <item x="25"/>
        <item x="26"/>
        <item x="27"/>
        <item x="28"/>
        <item x="83"/>
        <item x="84"/>
        <item x="85"/>
        <item x="86"/>
        <item x="87"/>
        <item x="88"/>
        <item x="89"/>
        <item x="90"/>
        <item x="91"/>
        <item x="92"/>
        <item x="164"/>
        <item x="165"/>
        <item x="196"/>
        <item x="93"/>
        <item x="94"/>
        <item x="197"/>
        <item x="95"/>
        <item x="96"/>
        <item x="166"/>
        <item x="167"/>
        <item x="97"/>
        <item x="98"/>
        <item x="168"/>
        <item x="169"/>
        <item x="99"/>
        <item x="100"/>
        <item x="212"/>
        <item x="198"/>
        <item x="101"/>
        <item x="102"/>
        <item x="103"/>
        <item x="104"/>
        <item x="170"/>
        <item x="171"/>
        <item x="105"/>
        <item x="106"/>
        <item x="109"/>
        <item x="110"/>
        <item x="107"/>
        <item x="108"/>
        <item x="75"/>
        <item x="76"/>
        <item x="199"/>
        <item x="172"/>
        <item x="173"/>
        <item x="111"/>
        <item x="112"/>
        <item x="113"/>
        <item x="114"/>
        <item x="77"/>
        <item x="78"/>
        <item x="115"/>
        <item x="116"/>
        <item x="117"/>
        <item x="118"/>
        <item x="174"/>
        <item x="175"/>
        <item x="200"/>
        <item x="119"/>
        <item x="120"/>
        <item x="176"/>
        <item x="177"/>
        <item x="209"/>
        <item x="210"/>
        <item x="29"/>
        <item x="178"/>
        <item x="179"/>
        <item x="121"/>
        <item x="122"/>
        <item x="123"/>
        <item x="124"/>
        <item x="201"/>
        <item x="125"/>
        <item x="126"/>
        <item x="180"/>
        <item x="181"/>
        <item x="127"/>
        <item x="128"/>
        <item x="81"/>
        <item x="82"/>
        <item x="182"/>
        <item x="183"/>
        <item x="129"/>
        <item x="130"/>
        <item x="131"/>
        <item x="132"/>
        <item x="202"/>
        <item x="30"/>
        <item x="31"/>
        <item x="184"/>
        <item x="185"/>
        <item x="133"/>
        <item x="134"/>
        <item x="135"/>
        <item x="136"/>
        <item x="203"/>
        <item x="137"/>
        <item x="138"/>
        <item x="204"/>
        <item x="205"/>
        <item x="186"/>
        <item x="187"/>
        <item x="139"/>
        <item x="140"/>
        <item x="141"/>
        <item x="142"/>
        <item x="17"/>
        <item x="18"/>
        <item x="19"/>
        <item x="20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21"/>
        <item x="22"/>
        <item x="62"/>
        <item x="63"/>
        <item x="64"/>
        <item x="65"/>
        <item x="66"/>
        <item x="67"/>
        <item x="72"/>
        <item m="1" x="252"/>
        <item m="1" x="234"/>
        <item m="1" x="235"/>
        <item m="1" x="238"/>
        <item m="1" x="241"/>
        <item x="192"/>
        <item m="1" x="244"/>
        <item m="1" x="247"/>
        <item m="1" x="249"/>
        <item x="143"/>
        <item m="1" x="233"/>
        <item x="160"/>
        <item x="211"/>
        <item x="148"/>
        <item x="231"/>
        <item x="32"/>
        <item x="70"/>
        <item x="73"/>
        <item x="74"/>
        <item x="79"/>
        <item x="80"/>
        <item x="159"/>
        <item x="206"/>
        <item x="207"/>
        <item x="208"/>
        <item x="229"/>
        <item t="default"/>
      </items>
    </pivotField>
    <pivotField axis="axisPage" multipleItemSelectionAllowed="1" showAll="0">
      <items count="9">
        <item x="1"/>
        <item x="5"/>
        <item x="3"/>
        <item x="0"/>
        <item m="1" x="7"/>
        <item x="4"/>
        <item x="2"/>
        <item x="6"/>
        <item t="default"/>
      </items>
    </pivotField>
    <pivotField axis="axisPage" showAll="0">
      <items count="58">
        <item m="1" x="55"/>
        <item x="48"/>
        <item x="49"/>
        <item x="44"/>
        <item x="41"/>
        <item x="45"/>
        <item x="42"/>
        <item x="0"/>
        <item x="1"/>
        <item x="2"/>
        <item x="3"/>
        <item x="4"/>
        <item x="5"/>
        <item x="6"/>
        <item x="7"/>
        <item x="8"/>
        <item x="9"/>
        <item x="46"/>
        <item m="1" x="56"/>
        <item m="1" x="54"/>
        <item x="47"/>
        <item x="38"/>
        <item x="13"/>
        <item x="14"/>
        <item x="15"/>
        <item x="39"/>
        <item x="21"/>
        <item x="16"/>
        <item m="1" x="51"/>
        <item x="10"/>
        <item m="1" x="52"/>
        <item m="1" x="53"/>
        <item x="40"/>
        <item x="17"/>
        <item x="18"/>
        <item x="31"/>
        <item x="43"/>
        <item x="32"/>
        <item x="33"/>
        <item x="11"/>
        <item x="22"/>
        <item x="34"/>
        <item x="23"/>
        <item x="24"/>
        <item x="35"/>
        <item x="25"/>
        <item x="26"/>
        <item x="36"/>
        <item x="19"/>
        <item x="37"/>
        <item x="27"/>
        <item x="28"/>
        <item x="20"/>
        <item x="12"/>
        <item x="29"/>
        <item x="30"/>
        <item x="5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8">
        <item h="1" x="3"/>
        <item x="1"/>
        <item h="1" x="0"/>
        <item h="1" x="4"/>
        <item h="1" x="5"/>
        <item h="1" x="2"/>
        <item h="1" x="6"/>
        <item t="default"/>
      </items>
    </pivotField>
    <pivotField showAll="0"/>
    <pivotField showAll="0"/>
    <pivotField showAll="0">
      <items count="20">
        <item x="14"/>
        <item x="15"/>
        <item x="13"/>
        <item x="3"/>
        <item x="7"/>
        <item x="8"/>
        <item x="1"/>
        <item x="16"/>
        <item x="9"/>
        <item x="4"/>
        <item x="12"/>
        <item x="5"/>
        <item x="10"/>
        <item x="18"/>
        <item x="17"/>
        <item x="11"/>
        <item x="2"/>
        <item x="6"/>
        <item x="0"/>
        <item t="default"/>
      </items>
    </pivotField>
    <pivotField showAll="0">
      <items count="66">
        <item m="1" x="63"/>
        <item x="57"/>
        <item x="53"/>
        <item x="49"/>
        <item x="46"/>
        <item x="50"/>
        <item x="47"/>
        <item x="0"/>
        <item x="1"/>
        <item x="2"/>
        <item x="3"/>
        <item x="4"/>
        <item x="5"/>
        <item x="6"/>
        <item x="7"/>
        <item x="8"/>
        <item x="9"/>
        <item m="1" x="64"/>
        <item x="51"/>
        <item x="52"/>
        <item m="1" x="62"/>
        <item x="13"/>
        <item x="14"/>
        <item x="15"/>
        <item x="54"/>
        <item m="1" x="61"/>
        <item x="16"/>
        <item x="10"/>
        <item x="17"/>
        <item x="18"/>
        <item x="55"/>
        <item x="39"/>
        <item x="36"/>
        <item x="34"/>
        <item x="11"/>
        <item x="37"/>
        <item x="38"/>
        <item x="22"/>
        <item x="23"/>
        <item x="35"/>
        <item x="24"/>
        <item x="25"/>
        <item x="40"/>
        <item x="19"/>
        <item x="41"/>
        <item x="26"/>
        <item x="27"/>
        <item x="20"/>
        <item x="12"/>
        <item x="28"/>
        <item x="29"/>
        <item x="42"/>
        <item x="21"/>
        <item x="56"/>
        <item x="43"/>
        <item x="31"/>
        <item x="48"/>
        <item x="32"/>
        <item x="44"/>
        <item x="59"/>
        <item x="58"/>
        <item x="45"/>
        <item x="30"/>
        <item x="33"/>
        <item x="60"/>
        <item t="default"/>
      </items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3"/>
  </rowFields>
  <rowItems count="72">
    <i>
      <x v="4"/>
    </i>
    <i r="1">
      <x v="6"/>
    </i>
    <i r="1">
      <x v="7"/>
    </i>
    <i r="1">
      <x v="8"/>
    </i>
    <i r="1">
      <x v="9"/>
    </i>
    <i r="1">
      <x v="10"/>
    </i>
    <i r="1">
      <x v="242"/>
    </i>
    <i>
      <x v="7"/>
    </i>
    <i r="1">
      <x v="34"/>
    </i>
    <i r="1">
      <x v="35"/>
    </i>
    <i r="1">
      <x v="243"/>
    </i>
    <i>
      <x v="8"/>
    </i>
    <i r="1">
      <x v="19"/>
    </i>
    <i r="1">
      <x v="226"/>
    </i>
    <i>
      <x v="9"/>
    </i>
    <i r="1">
      <x v="244"/>
    </i>
    <i r="1">
      <x v="245"/>
    </i>
    <i>
      <x v="11"/>
    </i>
    <i r="1">
      <x v="246"/>
    </i>
    <i r="1">
      <x v="247"/>
    </i>
    <i>
      <x v="14"/>
    </i>
    <i r="1">
      <x v="1"/>
    </i>
    <i r="1">
      <x v="13"/>
    </i>
    <i r="1">
      <x v="236"/>
    </i>
    <i>
      <x v="15"/>
    </i>
    <i r="1">
      <x v="23"/>
    </i>
    <i r="1">
      <x v="31"/>
    </i>
    <i>
      <x v="16"/>
    </i>
    <i r="1">
      <x v="43"/>
    </i>
    <i r="1">
      <x v="240"/>
    </i>
    <i>
      <x v="18"/>
    </i>
    <i r="1">
      <x v="11"/>
    </i>
    <i r="1">
      <x v="20"/>
    </i>
    <i r="1">
      <x v="21"/>
    </i>
    <i r="1">
      <x v="25"/>
    </i>
    <i r="1">
      <x v="33"/>
    </i>
    <i>
      <x v="19"/>
    </i>
    <i r="1">
      <x v="248"/>
    </i>
    <i>
      <x v="22"/>
    </i>
    <i r="1">
      <x v="240"/>
    </i>
    <i>
      <x v="26"/>
    </i>
    <i r="1">
      <x v="37"/>
    </i>
    <i r="1">
      <x v="44"/>
    </i>
    <i r="1">
      <x v="48"/>
    </i>
    <i r="1">
      <x v="232"/>
    </i>
    <i>
      <x v="28"/>
    </i>
    <i r="1">
      <x v="249"/>
    </i>
    <i r="1">
      <x v="250"/>
    </i>
    <i>
      <x v="29"/>
    </i>
    <i r="1">
      <x v="251"/>
    </i>
    <i>
      <x v="33"/>
    </i>
    <i r="1">
      <x/>
    </i>
    <i r="1">
      <x v="2"/>
    </i>
    <i r="1">
      <x v="3"/>
    </i>
    <i r="1">
      <x v="4"/>
    </i>
    <i r="1">
      <x v="14"/>
    </i>
    <i r="1">
      <x v="15"/>
    </i>
    <i r="1">
      <x v="27"/>
    </i>
    <i r="1">
      <x v="28"/>
    </i>
    <i r="1">
      <x v="29"/>
    </i>
    <i r="1">
      <x v="30"/>
    </i>
    <i r="1">
      <x v="40"/>
    </i>
    <i r="1">
      <x v="41"/>
    </i>
    <i r="1">
      <x v="42"/>
    </i>
    <i r="1">
      <x v="46"/>
    </i>
    <i>
      <x v="34"/>
    </i>
    <i r="1">
      <x v="26"/>
    </i>
    <i>
      <x v="35"/>
    </i>
    <i r="1">
      <x v="18"/>
    </i>
    <i r="1">
      <x v="24"/>
    </i>
    <i r="1">
      <x v="252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7E6D2-91D4-4D4A-B3D4-2E47B7BC075B}" name="TablaDinámica5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I7" firstHeaderRow="0" firstDataRow="1" firstDataCol="1" rowPageCount="2" colPageCount="1"/>
  <pivotFields count="23">
    <pivotField showAll="0"/>
    <pivotField axis="axisRow" showAll="0">
      <items count="38">
        <item x="0"/>
        <item x="1"/>
        <item x="2"/>
        <item x="3"/>
        <item x="4"/>
        <item m="1" x="36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35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axis="axisRow" showAll="0">
      <items count="254">
        <item x="213"/>
        <item x="144"/>
        <item x="214"/>
        <item x="215"/>
        <item x="216"/>
        <item m="1" x="232"/>
        <item x="33"/>
        <item x="34"/>
        <item x="35"/>
        <item x="36"/>
        <item x="37"/>
        <item x="154"/>
        <item m="1" x="245"/>
        <item x="145"/>
        <item x="217"/>
        <item x="218"/>
        <item m="1" x="250"/>
        <item m="1" x="251"/>
        <item x="228"/>
        <item x="71"/>
        <item x="155"/>
        <item x="156"/>
        <item m="1" x="243"/>
        <item x="146"/>
        <item x="230"/>
        <item x="157"/>
        <item x="227"/>
        <item x="219"/>
        <item x="220"/>
        <item x="221"/>
        <item x="222"/>
        <item x="147"/>
        <item m="1" x="242"/>
        <item x="158"/>
        <item x="68"/>
        <item x="69"/>
        <item m="1" x="236"/>
        <item x="193"/>
        <item m="1" x="246"/>
        <item m="1" x="239"/>
        <item x="223"/>
        <item x="224"/>
        <item x="225"/>
        <item x="149"/>
        <item x="194"/>
        <item m="1" x="248"/>
        <item x="226"/>
        <item m="1" x="240"/>
        <item x="195"/>
        <item m="1" x="237"/>
        <item x="188"/>
        <item x="161"/>
        <item x="162"/>
        <item x="163"/>
        <item x="189"/>
        <item x="190"/>
        <item x="191"/>
        <item x="150"/>
        <item x="151"/>
        <item x="152"/>
        <item x="1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3"/>
        <item x="24"/>
        <item x="25"/>
        <item x="26"/>
        <item x="27"/>
        <item x="28"/>
        <item x="83"/>
        <item x="84"/>
        <item x="85"/>
        <item x="86"/>
        <item x="87"/>
        <item x="88"/>
        <item x="89"/>
        <item x="90"/>
        <item x="91"/>
        <item x="92"/>
        <item x="164"/>
        <item x="165"/>
        <item x="196"/>
        <item x="93"/>
        <item x="94"/>
        <item x="197"/>
        <item x="95"/>
        <item x="96"/>
        <item x="166"/>
        <item x="167"/>
        <item x="97"/>
        <item x="98"/>
        <item x="168"/>
        <item x="169"/>
        <item x="99"/>
        <item x="100"/>
        <item x="212"/>
        <item x="198"/>
        <item x="101"/>
        <item x="102"/>
        <item x="103"/>
        <item x="104"/>
        <item x="170"/>
        <item x="171"/>
        <item x="105"/>
        <item x="106"/>
        <item x="109"/>
        <item x="110"/>
        <item x="107"/>
        <item x="108"/>
        <item x="75"/>
        <item x="76"/>
        <item x="199"/>
        <item x="172"/>
        <item x="173"/>
        <item x="111"/>
        <item x="112"/>
        <item x="113"/>
        <item x="114"/>
        <item x="77"/>
        <item x="78"/>
        <item x="115"/>
        <item x="116"/>
        <item x="117"/>
        <item x="118"/>
        <item x="174"/>
        <item x="175"/>
        <item x="200"/>
        <item x="119"/>
        <item x="120"/>
        <item x="176"/>
        <item x="177"/>
        <item x="209"/>
        <item x="210"/>
        <item x="29"/>
        <item x="178"/>
        <item x="179"/>
        <item x="121"/>
        <item x="122"/>
        <item x="123"/>
        <item x="124"/>
        <item x="201"/>
        <item x="125"/>
        <item x="126"/>
        <item x="180"/>
        <item x="181"/>
        <item x="127"/>
        <item x="128"/>
        <item x="81"/>
        <item x="82"/>
        <item x="182"/>
        <item x="183"/>
        <item x="129"/>
        <item x="130"/>
        <item x="131"/>
        <item x="132"/>
        <item x="202"/>
        <item x="30"/>
        <item x="31"/>
        <item x="184"/>
        <item x="185"/>
        <item x="133"/>
        <item x="134"/>
        <item x="135"/>
        <item x="136"/>
        <item x="203"/>
        <item x="137"/>
        <item x="138"/>
        <item x="204"/>
        <item x="205"/>
        <item x="186"/>
        <item x="187"/>
        <item x="139"/>
        <item x="140"/>
        <item x="141"/>
        <item x="142"/>
        <item x="17"/>
        <item x="18"/>
        <item x="19"/>
        <item x="20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21"/>
        <item x="22"/>
        <item x="62"/>
        <item x="63"/>
        <item x="64"/>
        <item x="65"/>
        <item x="66"/>
        <item x="67"/>
        <item x="72"/>
        <item m="1" x="252"/>
        <item m="1" x="234"/>
        <item x="70"/>
        <item m="1" x="235"/>
        <item m="1" x="238"/>
        <item m="1" x="241"/>
        <item x="192"/>
        <item m="1" x="244"/>
        <item m="1" x="247"/>
        <item m="1" x="249"/>
        <item x="143"/>
        <item m="1" x="233"/>
        <item x="32"/>
        <item x="206"/>
        <item x="229"/>
        <item x="159"/>
        <item x="73"/>
        <item x="207"/>
        <item x="79"/>
        <item x="208"/>
        <item x="80"/>
        <item x="74"/>
        <item x="160"/>
        <item x="211"/>
        <item x="148"/>
        <item x="231"/>
        <item t="default"/>
      </items>
    </pivotField>
    <pivotField axis="axisPage" multipleItemSelectionAllowed="1" showAll="0">
      <items count="9">
        <item h="1" x="1"/>
        <item h="1" x="5"/>
        <item x="3"/>
        <item h="1" x="0"/>
        <item m="1" x="7"/>
        <item h="1" x="4"/>
        <item x="2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20">
        <item x="14"/>
        <item x="15"/>
        <item x="13"/>
        <item x="3"/>
        <item x="7"/>
        <item x="8"/>
        <item x="1"/>
        <item x="16"/>
        <item x="9"/>
        <item x="4"/>
        <item x="12"/>
        <item x="5"/>
        <item x="10"/>
        <item x="18"/>
        <item x="17"/>
        <item x="11"/>
        <item x="2"/>
        <item x="6"/>
        <item x="0"/>
        <item t="default"/>
      </items>
    </pivotField>
    <pivotField showAll="0">
      <items count="66">
        <item m="1" x="63"/>
        <item x="57"/>
        <item x="53"/>
        <item x="49"/>
        <item x="46"/>
        <item x="50"/>
        <item x="47"/>
        <item x="0"/>
        <item x="1"/>
        <item x="2"/>
        <item x="3"/>
        <item x="4"/>
        <item x="5"/>
        <item x="6"/>
        <item x="7"/>
        <item x="8"/>
        <item x="9"/>
        <item m="1" x="64"/>
        <item x="51"/>
        <item x="52"/>
        <item m="1" x="62"/>
        <item x="13"/>
        <item x="14"/>
        <item x="15"/>
        <item x="54"/>
        <item m="1" x="61"/>
        <item x="16"/>
        <item x="10"/>
        <item x="17"/>
        <item x="18"/>
        <item x="55"/>
        <item x="39"/>
        <item x="36"/>
        <item x="34"/>
        <item x="11"/>
        <item x="37"/>
        <item x="38"/>
        <item x="22"/>
        <item x="23"/>
        <item x="35"/>
        <item x="24"/>
        <item x="25"/>
        <item x="40"/>
        <item x="19"/>
        <item x="41"/>
        <item x="26"/>
        <item x="27"/>
        <item x="20"/>
        <item x="12"/>
        <item x="28"/>
        <item x="29"/>
        <item x="42"/>
        <item x="21"/>
        <item x="56"/>
        <item x="43"/>
        <item x="31"/>
        <item x="48"/>
        <item x="32"/>
        <item x="44"/>
        <item x="59"/>
        <item x="58"/>
        <item x="45"/>
        <item x="30"/>
        <item x="33"/>
        <item x="60"/>
        <item t="default"/>
      </items>
    </pivotField>
    <pivotField dataField="1" showAll="0"/>
    <pivotField dataField="1" showAll="0"/>
    <pivotField axis="axisPage" multipleItemSelectionAllowed="1" showAll="0">
      <items count="4">
        <item h="1" x="1"/>
        <item x="2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3"/>
  </rowFields>
  <rowItems count="3">
    <i>
      <x v="14"/>
    </i>
    <i r="1">
      <x v="23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7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A4A59-B945-4B6F-B8FF-51094C39D18F}" name="TablaDinámica3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72" firstHeaderRow="0" firstDataRow="1" firstDataCol="1" rowPageCount="2" colPageCount="1"/>
  <pivotFields count="23">
    <pivotField showAll="0"/>
    <pivotField axis="axisRow" showAll="0">
      <items count="38">
        <item x="0"/>
        <item x="1"/>
        <item x="2"/>
        <item x="3"/>
        <item x="4"/>
        <item m="1" x="36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35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axis="axisRow" showAll="0">
      <items count="254">
        <item x="213"/>
        <item x="144"/>
        <item x="214"/>
        <item x="215"/>
        <item x="216"/>
        <item m="1" x="232"/>
        <item x="33"/>
        <item x="34"/>
        <item x="35"/>
        <item x="36"/>
        <item x="37"/>
        <item x="154"/>
        <item m="1" x="245"/>
        <item x="145"/>
        <item x="217"/>
        <item x="218"/>
        <item m="1" x="250"/>
        <item m="1" x="251"/>
        <item x="228"/>
        <item x="71"/>
        <item x="155"/>
        <item x="156"/>
        <item m="1" x="243"/>
        <item x="146"/>
        <item x="230"/>
        <item x="157"/>
        <item x="227"/>
        <item x="219"/>
        <item x="220"/>
        <item x="221"/>
        <item x="222"/>
        <item x="147"/>
        <item m="1" x="242"/>
        <item x="158"/>
        <item x="68"/>
        <item x="69"/>
        <item m="1" x="236"/>
        <item x="193"/>
        <item m="1" x="246"/>
        <item m="1" x="239"/>
        <item x="223"/>
        <item x="224"/>
        <item x="225"/>
        <item x="149"/>
        <item x="194"/>
        <item m="1" x="248"/>
        <item x="226"/>
        <item m="1" x="240"/>
        <item x="195"/>
        <item m="1" x="237"/>
        <item x="188"/>
        <item x="161"/>
        <item x="162"/>
        <item x="163"/>
        <item x="189"/>
        <item x="190"/>
        <item x="191"/>
        <item x="150"/>
        <item x="151"/>
        <item x="152"/>
        <item x="1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3"/>
        <item x="24"/>
        <item x="25"/>
        <item x="26"/>
        <item x="27"/>
        <item x="28"/>
        <item x="83"/>
        <item x="84"/>
        <item x="85"/>
        <item x="86"/>
        <item x="87"/>
        <item x="88"/>
        <item x="89"/>
        <item x="90"/>
        <item x="91"/>
        <item x="92"/>
        <item x="164"/>
        <item x="165"/>
        <item x="196"/>
        <item x="93"/>
        <item x="94"/>
        <item x="197"/>
        <item x="95"/>
        <item x="96"/>
        <item x="166"/>
        <item x="167"/>
        <item x="97"/>
        <item x="98"/>
        <item x="168"/>
        <item x="169"/>
        <item x="99"/>
        <item x="100"/>
        <item x="212"/>
        <item x="198"/>
        <item x="101"/>
        <item x="102"/>
        <item x="103"/>
        <item x="104"/>
        <item x="170"/>
        <item x="171"/>
        <item x="105"/>
        <item x="106"/>
        <item x="109"/>
        <item x="110"/>
        <item x="107"/>
        <item x="108"/>
        <item x="75"/>
        <item x="76"/>
        <item x="199"/>
        <item x="172"/>
        <item x="173"/>
        <item x="111"/>
        <item x="112"/>
        <item x="113"/>
        <item x="114"/>
        <item x="77"/>
        <item x="78"/>
        <item x="115"/>
        <item x="116"/>
        <item x="117"/>
        <item x="118"/>
        <item x="174"/>
        <item x="175"/>
        <item x="200"/>
        <item x="119"/>
        <item x="120"/>
        <item x="176"/>
        <item x="177"/>
        <item x="209"/>
        <item x="210"/>
        <item x="29"/>
        <item x="178"/>
        <item x="179"/>
        <item x="121"/>
        <item x="122"/>
        <item x="123"/>
        <item x="124"/>
        <item x="201"/>
        <item x="125"/>
        <item x="126"/>
        <item x="180"/>
        <item x="181"/>
        <item x="127"/>
        <item x="128"/>
        <item x="81"/>
        <item x="82"/>
        <item x="182"/>
        <item x="183"/>
        <item x="129"/>
        <item x="130"/>
        <item x="131"/>
        <item x="132"/>
        <item x="202"/>
        <item x="30"/>
        <item x="31"/>
        <item x="184"/>
        <item x="185"/>
        <item x="133"/>
        <item x="134"/>
        <item x="135"/>
        <item x="136"/>
        <item x="203"/>
        <item x="137"/>
        <item x="138"/>
        <item x="204"/>
        <item x="205"/>
        <item x="186"/>
        <item x="187"/>
        <item x="139"/>
        <item x="140"/>
        <item x="141"/>
        <item x="142"/>
        <item x="17"/>
        <item x="18"/>
        <item x="19"/>
        <item x="20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21"/>
        <item x="22"/>
        <item x="62"/>
        <item x="63"/>
        <item x="64"/>
        <item x="65"/>
        <item x="66"/>
        <item x="67"/>
        <item x="72"/>
        <item m="1" x="252"/>
        <item m="1" x="234"/>
        <item x="70"/>
        <item m="1" x="235"/>
        <item m="1" x="238"/>
        <item m="1" x="241"/>
        <item x="192"/>
        <item m="1" x="244"/>
        <item m="1" x="247"/>
        <item m="1" x="249"/>
        <item x="143"/>
        <item m="1" x="233"/>
        <item x="32"/>
        <item x="206"/>
        <item x="229"/>
        <item x="159"/>
        <item x="73"/>
        <item x="207"/>
        <item x="79"/>
        <item x="208"/>
        <item x="80"/>
        <item x="74"/>
        <item x="160"/>
        <item x="211"/>
        <item x="148"/>
        <item x="231"/>
        <item t="default"/>
      </items>
    </pivotField>
    <pivotField axis="axisPage" multipleItemSelectionAllowed="1" showAll="0">
      <items count="9">
        <item h="1" x="1"/>
        <item h="1" x="5"/>
        <item x="3"/>
        <item h="1" x="0"/>
        <item m="1" x="7"/>
        <item h="1" x="4"/>
        <item x="2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20">
        <item x="14"/>
        <item x="15"/>
        <item x="13"/>
        <item x="3"/>
        <item x="7"/>
        <item x="8"/>
        <item x="1"/>
        <item x="16"/>
        <item x="9"/>
        <item x="4"/>
        <item x="12"/>
        <item x="5"/>
        <item x="10"/>
        <item x="18"/>
        <item x="17"/>
        <item x="11"/>
        <item x="2"/>
        <item x="6"/>
        <item x="0"/>
        <item t="default"/>
      </items>
    </pivotField>
    <pivotField showAll="0">
      <items count="66">
        <item m="1" x="63"/>
        <item x="57"/>
        <item x="53"/>
        <item x="49"/>
        <item x="46"/>
        <item x="50"/>
        <item x="47"/>
        <item x="0"/>
        <item x="1"/>
        <item x="2"/>
        <item x="3"/>
        <item x="4"/>
        <item x="5"/>
        <item x="6"/>
        <item x="7"/>
        <item x="8"/>
        <item x="9"/>
        <item m="1" x="64"/>
        <item x="51"/>
        <item x="52"/>
        <item m="1" x="62"/>
        <item x="13"/>
        <item x="14"/>
        <item x="15"/>
        <item x="54"/>
        <item m="1" x="61"/>
        <item x="16"/>
        <item x="10"/>
        <item x="17"/>
        <item x="18"/>
        <item x="55"/>
        <item x="39"/>
        <item x="36"/>
        <item x="34"/>
        <item x="11"/>
        <item x="37"/>
        <item x="38"/>
        <item x="22"/>
        <item x="23"/>
        <item x="35"/>
        <item x="24"/>
        <item x="25"/>
        <item x="40"/>
        <item x="19"/>
        <item x="41"/>
        <item x="26"/>
        <item x="27"/>
        <item x="20"/>
        <item x="12"/>
        <item x="28"/>
        <item x="29"/>
        <item x="42"/>
        <item x="21"/>
        <item x="56"/>
        <item x="43"/>
        <item x="31"/>
        <item x="48"/>
        <item x="32"/>
        <item x="44"/>
        <item x="59"/>
        <item x="58"/>
        <item x="45"/>
        <item x="30"/>
        <item x="33"/>
        <item x="60"/>
        <item t="default"/>
      </items>
    </pivotField>
    <pivotField dataField="1" showAll="0"/>
    <pivotField dataField="1" showAll="0"/>
    <pivotField axis="axisPage" multipleItemSelectionAllowed="1" showAll="0">
      <items count="4">
        <item x="1"/>
        <item h="1" x="2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3"/>
  </rowFields>
  <rowItems count="68">
    <i>
      <x v="4"/>
    </i>
    <i r="1">
      <x v="6"/>
    </i>
    <i r="1">
      <x v="7"/>
    </i>
    <i r="1">
      <x v="8"/>
    </i>
    <i r="1">
      <x v="9"/>
    </i>
    <i r="1">
      <x v="10"/>
    </i>
    <i r="1">
      <x v="239"/>
    </i>
    <i>
      <x v="7"/>
    </i>
    <i r="1">
      <x v="34"/>
    </i>
    <i r="1">
      <x v="35"/>
    </i>
    <i>
      <x v="8"/>
    </i>
    <i r="1">
      <x v="19"/>
    </i>
    <i>
      <x v="9"/>
    </i>
    <i r="1">
      <x v="243"/>
    </i>
    <i r="1">
      <x v="248"/>
    </i>
    <i>
      <x v="11"/>
    </i>
    <i r="1">
      <x v="245"/>
    </i>
    <i r="1">
      <x v="247"/>
    </i>
    <i>
      <x v="14"/>
    </i>
    <i r="1">
      <x v="1"/>
    </i>
    <i r="1">
      <x v="13"/>
    </i>
    <i>
      <x v="15"/>
    </i>
    <i r="1">
      <x v="23"/>
    </i>
    <i r="1">
      <x v="31"/>
    </i>
    <i>
      <x v="16"/>
    </i>
    <i r="1">
      <x v="43"/>
    </i>
    <i r="1">
      <x v="251"/>
    </i>
    <i>
      <x v="18"/>
    </i>
    <i r="1">
      <x v="11"/>
    </i>
    <i r="1">
      <x v="20"/>
    </i>
    <i r="1">
      <x v="21"/>
    </i>
    <i r="1">
      <x v="25"/>
    </i>
    <i r="1">
      <x v="33"/>
    </i>
    <i>
      <x v="19"/>
    </i>
    <i r="1">
      <x v="242"/>
    </i>
    <i>
      <x v="22"/>
    </i>
    <i r="1">
      <x v="251"/>
    </i>
    <i>
      <x v="26"/>
    </i>
    <i r="1">
      <x v="37"/>
    </i>
    <i r="1">
      <x v="44"/>
    </i>
    <i r="1">
      <x v="48"/>
    </i>
    <i>
      <x v="28"/>
    </i>
    <i r="1">
      <x v="240"/>
    </i>
    <i r="1">
      <x v="244"/>
    </i>
    <i>
      <x v="29"/>
    </i>
    <i r="1">
      <x v="246"/>
    </i>
    <i>
      <x v="33"/>
    </i>
    <i r="1">
      <x/>
    </i>
    <i r="1">
      <x v="2"/>
    </i>
    <i r="1">
      <x v="3"/>
    </i>
    <i r="1">
      <x v="4"/>
    </i>
    <i r="1">
      <x v="14"/>
    </i>
    <i r="1">
      <x v="15"/>
    </i>
    <i r="1">
      <x v="27"/>
    </i>
    <i r="1">
      <x v="28"/>
    </i>
    <i r="1">
      <x v="29"/>
    </i>
    <i r="1">
      <x v="30"/>
    </i>
    <i r="1">
      <x v="40"/>
    </i>
    <i r="1">
      <x v="41"/>
    </i>
    <i r="1">
      <x v="42"/>
    </i>
    <i r="1">
      <x v="46"/>
    </i>
    <i>
      <x v="34"/>
    </i>
    <i r="1">
      <x v="26"/>
    </i>
    <i>
      <x v="35"/>
    </i>
    <i r="1">
      <x v="18"/>
    </i>
    <i r="1">
      <x v="24"/>
    </i>
    <i r="1">
      <x v="24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17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7E52-35CD-42D0-8B61-DC242CB6D535}">
  <dimension ref="A4:V30"/>
  <sheetViews>
    <sheetView showGridLines="0" tabSelected="1" zoomScale="80" zoomScaleNormal="80" workbookViewId="0">
      <selection activeCell="F5" sqref="F5"/>
    </sheetView>
  </sheetViews>
  <sheetFormatPr baseColWidth="10" defaultRowHeight="14.4" x14ac:dyDescent="0.3"/>
  <cols>
    <col min="1" max="1" width="36.109375" bestFit="1" customWidth="1"/>
    <col min="2" max="2" width="22.77734375" bestFit="1" customWidth="1"/>
    <col min="3" max="4" width="10.33203125" bestFit="1" customWidth="1"/>
    <col min="5" max="6" width="8.88671875" bestFit="1" customWidth="1"/>
    <col min="7" max="12" width="10.33203125" bestFit="1" customWidth="1"/>
    <col min="13" max="14" width="10.44140625" bestFit="1" customWidth="1"/>
    <col min="15" max="17" width="9.33203125" bestFit="1" customWidth="1"/>
    <col min="18" max="18" width="10.33203125" bestFit="1" customWidth="1"/>
    <col min="19" max="22" width="10.44140625" bestFit="1" customWidth="1"/>
    <col min="23" max="23" width="12.21875" bestFit="1" customWidth="1"/>
    <col min="24" max="26" width="10.33203125" bestFit="1" customWidth="1"/>
    <col min="27" max="28" width="9.33203125" bestFit="1" customWidth="1"/>
    <col min="29" max="42" width="10.33203125" bestFit="1" customWidth="1"/>
    <col min="43" max="43" width="10.6640625" bestFit="1" customWidth="1"/>
    <col min="44" max="45" width="9.33203125" bestFit="1" customWidth="1"/>
    <col min="46" max="46" width="10" bestFit="1" customWidth="1"/>
    <col min="47" max="48" width="9.33203125" bestFit="1" customWidth="1"/>
    <col min="49" max="49" width="10" bestFit="1" customWidth="1"/>
    <col min="50" max="51" width="9.33203125" bestFit="1" customWidth="1"/>
    <col min="52" max="58" width="10.33203125" bestFit="1" customWidth="1"/>
    <col min="59" max="62" width="9.33203125" bestFit="1" customWidth="1"/>
    <col min="63" max="66" width="10.33203125" bestFit="1" customWidth="1"/>
  </cols>
  <sheetData>
    <row r="4" spans="1:22" ht="15.6" x14ac:dyDescent="0.3">
      <c r="A4" s="24" t="s">
        <v>788</v>
      </c>
    </row>
    <row r="7" spans="1:22" x14ac:dyDescent="0.3">
      <c r="A7" s="8" t="s">
        <v>3</v>
      </c>
      <c r="B7" t="s">
        <v>763</v>
      </c>
    </row>
    <row r="8" spans="1:22" x14ac:dyDescent="0.3">
      <c r="A8" s="8" t="s">
        <v>749</v>
      </c>
      <c r="B8" t="s">
        <v>754</v>
      </c>
    </row>
    <row r="10" spans="1:22" x14ac:dyDescent="0.3">
      <c r="A10" s="8" t="s">
        <v>746</v>
      </c>
      <c r="B10" s="8" t="s">
        <v>748</v>
      </c>
    </row>
    <row r="11" spans="1:22" x14ac:dyDescent="0.3">
      <c r="B11" t="s">
        <v>787</v>
      </c>
      <c r="C11" t="s">
        <v>765</v>
      </c>
      <c r="E11" t="s">
        <v>784</v>
      </c>
      <c r="F11" t="s">
        <v>766</v>
      </c>
      <c r="M11" t="s">
        <v>785</v>
      </c>
      <c r="N11" t="s">
        <v>767</v>
      </c>
      <c r="U11" t="s">
        <v>786</v>
      </c>
      <c r="V11" t="s">
        <v>747</v>
      </c>
    </row>
    <row r="12" spans="1:22" x14ac:dyDescent="0.3">
      <c r="A12" s="8" t="s">
        <v>745</v>
      </c>
      <c r="C12" s="16">
        <v>46134</v>
      </c>
      <c r="D12" s="16">
        <v>46142</v>
      </c>
      <c r="F12" s="16">
        <v>46148</v>
      </c>
      <c r="G12" s="16">
        <v>46154</v>
      </c>
      <c r="H12" s="16">
        <v>46155</v>
      </c>
      <c r="I12" s="16">
        <v>46156</v>
      </c>
      <c r="J12" s="16">
        <v>46165</v>
      </c>
      <c r="K12" s="16">
        <v>46169</v>
      </c>
      <c r="L12" s="16">
        <v>46170</v>
      </c>
      <c r="N12" s="16">
        <v>46177</v>
      </c>
      <c r="O12" s="16">
        <v>46179</v>
      </c>
      <c r="P12" s="16">
        <v>46181</v>
      </c>
      <c r="Q12" s="16">
        <v>46182</v>
      </c>
      <c r="R12" s="16">
        <v>46183</v>
      </c>
      <c r="S12" s="16">
        <v>46184</v>
      </c>
      <c r="T12" s="16">
        <v>46186</v>
      </c>
    </row>
    <row r="13" spans="1:22" x14ac:dyDescent="0.3">
      <c r="A13" s="9" t="s">
        <v>114</v>
      </c>
      <c r="B13" s="19"/>
      <c r="C13" s="19"/>
      <c r="D13" s="19"/>
      <c r="E13" s="19"/>
      <c r="F13" s="19"/>
      <c r="G13" s="19"/>
      <c r="H13" s="19">
        <v>144756.99</v>
      </c>
      <c r="I13" s="19"/>
      <c r="J13" s="19"/>
      <c r="K13" s="19"/>
      <c r="L13" s="19"/>
      <c r="M13" s="19">
        <v>144756.99</v>
      </c>
      <c r="N13" s="19"/>
      <c r="O13" s="19"/>
      <c r="P13" s="19"/>
      <c r="Q13" s="19"/>
      <c r="R13" s="19"/>
      <c r="S13" s="19"/>
      <c r="T13" s="19"/>
      <c r="U13" s="19"/>
      <c r="V13" s="19">
        <v>144756.99</v>
      </c>
    </row>
    <row r="14" spans="1:22" x14ac:dyDescent="0.3">
      <c r="A14" s="9" t="s">
        <v>226</v>
      </c>
      <c r="B14" s="19"/>
      <c r="C14" s="19"/>
      <c r="D14" s="19">
        <v>-64701</v>
      </c>
      <c r="E14" s="19">
        <v>-64701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>
        <v>712656</v>
      </c>
      <c r="T14" s="19"/>
      <c r="U14" s="19">
        <v>712656</v>
      </c>
      <c r="V14" s="19">
        <v>647955</v>
      </c>
    </row>
    <row r="15" spans="1:22" x14ac:dyDescent="0.3">
      <c r="A15" s="9" t="s">
        <v>233</v>
      </c>
      <c r="B15" s="19"/>
      <c r="C15" s="19"/>
      <c r="D15" s="19"/>
      <c r="E15" s="19"/>
      <c r="F15" s="19"/>
      <c r="G15" s="19"/>
      <c r="H15" s="19"/>
      <c r="I15" s="19"/>
      <c r="J15" s="19"/>
      <c r="K15" s="19">
        <v>67550</v>
      </c>
      <c r="L15" s="19"/>
      <c r="M15" s="19">
        <v>67550</v>
      </c>
      <c r="N15" s="19">
        <v>-0.02</v>
      </c>
      <c r="O15" s="19"/>
      <c r="P15" s="19"/>
      <c r="Q15" s="19"/>
      <c r="R15" s="19"/>
      <c r="S15" s="19"/>
      <c r="T15" s="19"/>
      <c r="U15" s="19">
        <v>-0.02</v>
      </c>
      <c r="V15" s="19">
        <v>67549.98</v>
      </c>
    </row>
    <row r="16" spans="1:22" x14ac:dyDescent="0.3">
      <c r="A16" s="9" t="s">
        <v>242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>
        <v>60182</v>
      </c>
      <c r="T16" s="19">
        <v>59598</v>
      </c>
      <c r="U16" s="19">
        <v>119780</v>
      </c>
      <c r="V16" s="19">
        <v>119780</v>
      </c>
    </row>
    <row r="17" spans="1:22" x14ac:dyDescent="0.3">
      <c r="A17" s="9" t="s">
        <v>261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>
        <v>19830</v>
      </c>
      <c r="T17" s="19">
        <v>36040</v>
      </c>
      <c r="U17" s="19">
        <v>55870</v>
      </c>
      <c r="V17" s="19">
        <v>55870</v>
      </c>
    </row>
    <row r="18" spans="1:22" x14ac:dyDescent="0.3">
      <c r="A18" s="9" t="s">
        <v>455</v>
      </c>
      <c r="B18" s="19"/>
      <c r="C18" s="19"/>
      <c r="D18" s="19"/>
      <c r="E18" s="19"/>
      <c r="F18" s="19">
        <v>147743.07</v>
      </c>
      <c r="G18" s="19">
        <v>177221.7</v>
      </c>
      <c r="H18" s="19"/>
      <c r="I18" s="19"/>
      <c r="J18" s="19">
        <v>175000</v>
      </c>
      <c r="K18" s="19"/>
      <c r="L18" s="19"/>
      <c r="M18" s="19">
        <v>499964.77</v>
      </c>
      <c r="N18" s="19"/>
      <c r="O18" s="19"/>
      <c r="P18" s="19"/>
      <c r="Q18" s="19"/>
      <c r="R18" s="19"/>
      <c r="S18" s="19"/>
      <c r="T18" s="19"/>
      <c r="U18" s="19"/>
      <c r="V18" s="19">
        <v>499964.77</v>
      </c>
    </row>
    <row r="19" spans="1:22" x14ac:dyDescent="0.3">
      <c r="A19" s="9" t="s">
        <v>465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>
        <v>631800</v>
      </c>
      <c r="P19" s="19"/>
      <c r="Q19" s="19"/>
      <c r="R19" s="19">
        <v>105300</v>
      </c>
      <c r="S19" s="19"/>
      <c r="T19" s="19"/>
      <c r="U19" s="19">
        <v>737100</v>
      </c>
      <c r="V19" s="19">
        <v>737100</v>
      </c>
    </row>
    <row r="20" spans="1:22" x14ac:dyDescent="0.3">
      <c r="A20" s="9" t="s">
        <v>473</v>
      </c>
      <c r="B20" s="19"/>
      <c r="C20" s="19"/>
      <c r="D20" s="19">
        <v>-4560</v>
      </c>
      <c r="E20" s="19">
        <v>-4560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>
        <v>396900</v>
      </c>
      <c r="U20" s="19">
        <v>396900</v>
      </c>
      <c r="V20" s="19">
        <v>392340</v>
      </c>
    </row>
    <row r="21" spans="1:22" x14ac:dyDescent="0.3">
      <c r="A21" s="9" t="s">
        <v>493</v>
      </c>
      <c r="B21" s="19"/>
      <c r="C21" s="19"/>
      <c r="D21" s="19"/>
      <c r="E21" s="19"/>
      <c r="F21" s="19"/>
      <c r="G21" s="19"/>
      <c r="H21" s="19">
        <v>76700</v>
      </c>
      <c r="I21" s="19"/>
      <c r="J21" s="19"/>
      <c r="K21" s="19">
        <v>36400</v>
      </c>
      <c r="L21" s="19"/>
      <c r="M21" s="19">
        <v>113100</v>
      </c>
      <c r="N21" s="19"/>
      <c r="O21" s="19">
        <v>36400</v>
      </c>
      <c r="P21" s="19"/>
      <c r="Q21" s="19"/>
      <c r="R21" s="19"/>
      <c r="S21" s="19">
        <v>117000</v>
      </c>
      <c r="T21" s="19"/>
      <c r="U21" s="19">
        <v>153400</v>
      </c>
      <c r="V21" s="19">
        <v>266500</v>
      </c>
    </row>
    <row r="22" spans="1:22" x14ac:dyDescent="0.3">
      <c r="A22" s="9" t="s">
        <v>509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>
        <v>70212</v>
      </c>
      <c r="M22" s="19">
        <v>70212</v>
      </c>
      <c r="N22" s="19"/>
      <c r="O22" s="19"/>
      <c r="P22" s="19"/>
      <c r="Q22" s="19"/>
      <c r="R22" s="19"/>
      <c r="S22" s="19"/>
      <c r="T22" s="19"/>
      <c r="U22" s="19"/>
      <c r="V22" s="19">
        <v>70212</v>
      </c>
    </row>
    <row r="23" spans="1:22" x14ac:dyDescent="0.3">
      <c r="A23" s="9" t="s">
        <v>598</v>
      </c>
      <c r="B23" s="19"/>
      <c r="C23" s="19">
        <v>-7645</v>
      </c>
      <c r="D23" s="19"/>
      <c r="E23" s="19">
        <v>-7645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>
        <v>-7645</v>
      </c>
    </row>
    <row r="24" spans="1:22" x14ac:dyDescent="0.3">
      <c r="A24" s="9" t="s">
        <v>622</v>
      </c>
      <c r="B24" s="19">
        <v>-33875</v>
      </c>
      <c r="C24" s="19"/>
      <c r="D24" s="19">
        <v>-199030</v>
      </c>
      <c r="E24" s="19">
        <v>-199030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>
        <v>111132</v>
      </c>
      <c r="T24" s="19">
        <v>484650</v>
      </c>
      <c r="U24" s="19">
        <v>595782</v>
      </c>
      <c r="V24" s="19">
        <v>362877</v>
      </c>
    </row>
    <row r="25" spans="1:22" x14ac:dyDescent="0.3">
      <c r="A25" s="9" t="s">
        <v>663</v>
      </c>
      <c r="B25" s="19"/>
      <c r="C25" s="19"/>
      <c r="D25" s="19"/>
      <c r="E25" s="19"/>
      <c r="F25" s="19"/>
      <c r="G25" s="19"/>
      <c r="H25" s="19"/>
      <c r="I25" s="19">
        <v>56300</v>
      </c>
      <c r="J25" s="19"/>
      <c r="K25" s="19"/>
      <c r="L25" s="19"/>
      <c r="M25" s="19">
        <v>56300</v>
      </c>
      <c r="N25" s="19"/>
      <c r="O25" s="19"/>
      <c r="P25" s="19"/>
      <c r="Q25" s="19"/>
      <c r="R25" s="19"/>
      <c r="S25" s="19">
        <v>116670</v>
      </c>
      <c r="T25" s="19"/>
      <c r="U25" s="19">
        <v>116670</v>
      </c>
      <c r="V25" s="19">
        <v>172970</v>
      </c>
    </row>
    <row r="26" spans="1:22" x14ac:dyDescent="0.3">
      <c r="A26" s="9" t="s">
        <v>669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>
        <v>56785</v>
      </c>
      <c r="U26" s="19">
        <v>56785</v>
      </c>
      <c r="V26" s="19">
        <v>56785</v>
      </c>
    </row>
    <row r="27" spans="1:22" x14ac:dyDescent="0.3">
      <c r="A27" s="9" t="s">
        <v>688</v>
      </c>
      <c r="B27" s="19"/>
      <c r="C27" s="19"/>
      <c r="D27" s="19"/>
      <c r="E27" s="19"/>
      <c r="F27" s="19"/>
      <c r="G27" s="19">
        <v>215840</v>
      </c>
      <c r="H27" s="19">
        <v>140160</v>
      </c>
      <c r="I27" s="19"/>
      <c r="J27" s="19">
        <v>258200</v>
      </c>
      <c r="K27" s="19"/>
      <c r="L27" s="19"/>
      <c r="M27" s="19">
        <v>614200</v>
      </c>
      <c r="N27" s="19"/>
      <c r="O27" s="19"/>
      <c r="P27" s="19"/>
      <c r="Q27" s="19">
        <v>187392</v>
      </c>
      <c r="R27" s="19">
        <v>191070</v>
      </c>
      <c r="S27" s="19"/>
      <c r="T27" s="19">
        <v>324910</v>
      </c>
      <c r="U27" s="19">
        <v>703372</v>
      </c>
      <c r="V27" s="19">
        <v>1317572</v>
      </c>
    </row>
    <row r="28" spans="1:22" x14ac:dyDescent="0.3">
      <c r="A28" s="9" t="s">
        <v>732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>
        <v>30250</v>
      </c>
      <c r="Q28" s="19"/>
      <c r="R28" s="19"/>
      <c r="S28" s="19"/>
      <c r="T28" s="19"/>
      <c r="U28" s="19">
        <v>30250</v>
      </c>
      <c r="V28" s="19">
        <v>30250</v>
      </c>
    </row>
    <row r="29" spans="1:22" x14ac:dyDescent="0.3">
      <c r="A29" s="9" t="s">
        <v>736</v>
      </c>
      <c r="B29" s="19"/>
      <c r="C29" s="19"/>
      <c r="D29" s="19"/>
      <c r="E29" s="19"/>
      <c r="F29" s="19"/>
      <c r="G29" s="19"/>
      <c r="H29" s="19"/>
      <c r="I29" s="19"/>
      <c r="J29" s="19"/>
      <c r="K29" s="19">
        <v>99500</v>
      </c>
      <c r="L29" s="19"/>
      <c r="M29" s="19">
        <v>99500</v>
      </c>
      <c r="N29" s="19"/>
      <c r="O29" s="19">
        <v>95904</v>
      </c>
      <c r="P29" s="19"/>
      <c r="Q29" s="19"/>
      <c r="R29" s="19"/>
      <c r="S29" s="19"/>
      <c r="T29" s="19"/>
      <c r="U29" s="19">
        <v>95904</v>
      </c>
      <c r="V29" s="19">
        <v>195404</v>
      </c>
    </row>
    <row r="30" spans="1:22" x14ac:dyDescent="0.3">
      <c r="A30" s="9" t="s">
        <v>747</v>
      </c>
      <c r="B30" s="19">
        <v>-33875</v>
      </c>
      <c r="C30" s="19">
        <v>-7645</v>
      </c>
      <c r="D30" s="19">
        <v>-268291</v>
      </c>
      <c r="E30" s="19">
        <v>-275936</v>
      </c>
      <c r="F30" s="19">
        <v>147743.07</v>
      </c>
      <c r="G30" s="19">
        <v>393061.7</v>
      </c>
      <c r="H30" s="19">
        <v>361616.99</v>
      </c>
      <c r="I30" s="19">
        <v>56300</v>
      </c>
      <c r="J30" s="19">
        <v>433200</v>
      </c>
      <c r="K30" s="19">
        <v>203450</v>
      </c>
      <c r="L30" s="19">
        <v>70212</v>
      </c>
      <c r="M30" s="19">
        <v>1665583.76</v>
      </c>
      <c r="N30" s="19">
        <v>-0.02</v>
      </c>
      <c r="O30" s="19">
        <v>764104</v>
      </c>
      <c r="P30" s="19">
        <v>30250</v>
      </c>
      <c r="Q30" s="19">
        <v>187392</v>
      </c>
      <c r="R30" s="19">
        <v>296370</v>
      </c>
      <c r="S30" s="19">
        <v>1137470</v>
      </c>
      <c r="T30" s="19">
        <v>1358883</v>
      </c>
      <c r="U30" s="19">
        <v>3774468.98</v>
      </c>
      <c r="V30" s="19">
        <v>5130241.74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D5F6-B365-4187-A135-2B49404FB08F}">
  <dimension ref="A1:B77"/>
  <sheetViews>
    <sheetView workbookViewId="0">
      <selection activeCell="E26" sqref="E26"/>
    </sheetView>
  </sheetViews>
  <sheetFormatPr baseColWidth="10" defaultRowHeight="14.4" x14ac:dyDescent="0.3"/>
  <cols>
    <col min="1" max="1" width="37.21875" bestFit="1" customWidth="1"/>
    <col min="2" max="2" width="18.88671875" bestFit="1" customWidth="1"/>
  </cols>
  <sheetData>
    <row r="1" spans="1:2" x14ac:dyDescent="0.3">
      <c r="A1" s="8" t="s">
        <v>4</v>
      </c>
      <c r="B1" t="s">
        <v>763</v>
      </c>
    </row>
    <row r="2" spans="1:2" x14ac:dyDescent="0.3">
      <c r="A2" s="8" t="s">
        <v>749</v>
      </c>
      <c r="B2" t="s">
        <v>754</v>
      </c>
    </row>
    <row r="3" spans="1:2" x14ac:dyDescent="0.3">
      <c r="A3" s="8" t="s">
        <v>3</v>
      </c>
      <c r="B3" t="s">
        <v>763</v>
      </c>
    </row>
    <row r="5" spans="1:2" x14ac:dyDescent="0.3">
      <c r="A5" s="8" t="s">
        <v>745</v>
      </c>
      <c r="B5" t="s">
        <v>764</v>
      </c>
    </row>
    <row r="6" spans="1:2" x14ac:dyDescent="0.3">
      <c r="A6" s="9" t="s">
        <v>114</v>
      </c>
      <c r="B6" s="18">
        <v>144756.99</v>
      </c>
    </row>
    <row r="7" spans="1:2" x14ac:dyDescent="0.3">
      <c r="A7" s="10" t="s">
        <v>119</v>
      </c>
      <c r="B7" s="18">
        <v>24860</v>
      </c>
    </row>
    <row r="8" spans="1:2" x14ac:dyDescent="0.3">
      <c r="A8" s="10" t="s">
        <v>122</v>
      </c>
      <c r="B8" s="18">
        <v>24860</v>
      </c>
    </row>
    <row r="9" spans="1:2" x14ac:dyDescent="0.3">
      <c r="A9" s="10" t="s">
        <v>125</v>
      </c>
      <c r="B9" s="18">
        <v>28800</v>
      </c>
    </row>
    <row r="10" spans="1:2" x14ac:dyDescent="0.3">
      <c r="A10" s="10" t="s">
        <v>128</v>
      </c>
      <c r="B10" s="18">
        <v>28800</v>
      </c>
    </row>
    <row r="11" spans="1:2" x14ac:dyDescent="0.3">
      <c r="A11" s="10" t="s">
        <v>131</v>
      </c>
      <c r="B11" s="18">
        <v>29300</v>
      </c>
    </row>
    <row r="12" spans="1:2" x14ac:dyDescent="0.3">
      <c r="A12" s="10" t="s">
        <v>769</v>
      </c>
      <c r="B12" s="18">
        <v>8136.99</v>
      </c>
    </row>
    <row r="13" spans="1:2" x14ac:dyDescent="0.3">
      <c r="A13" s="9" t="s">
        <v>226</v>
      </c>
      <c r="B13" s="18">
        <v>647955</v>
      </c>
    </row>
    <row r="14" spans="1:2" x14ac:dyDescent="0.3">
      <c r="A14" s="10" t="s">
        <v>228</v>
      </c>
      <c r="B14" s="18">
        <v>323856</v>
      </c>
    </row>
    <row r="15" spans="1:2" x14ac:dyDescent="0.3">
      <c r="A15" s="10" t="s">
        <v>231</v>
      </c>
      <c r="B15" s="18">
        <v>388800</v>
      </c>
    </row>
    <row r="16" spans="1:2" x14ac:dyDescent="0.3">
      <c r="A16" s="10" t="s">
        <v>770</v>
      </c>
      <c r="B16" s="18">
        <v>-64701</v>
      </c>
    </row>
    <row r="17" spans="1:2" x14ac:dyDescent="0.3">
      <c r="A17" s="9" t="s">
        <v>233</v>
      </c>
      <c r="B17" s="18">
        <v>67549.98</v>
      </c>
    </row>
    <row r="18" spans="1:2" x14ac:dyDescent="0.3">
      <c r="A18" s="10" t="s">
        <v>236</v>
      </c>
      <c r="B18" s="18">
        <v>67550</v>
      </c>
    </row>
    <row r="19" spans="1:2" x14ac:dyDescent="0.3">
      <c r="A19" s="10" t="s">
        <v>239</v>
      </c>
      <c r="B19" s="18">
        <v>-0.02</v>
      </c>
    </row>
    <row r="20" spans="1:2" x14ac:dyDescent="0.3">
      <c r="A20" s="9" t="s">
        <v>242</v>
      </c>
      <c r="B20" s="18">
        <v>119780</v>
      </c>
    </row>
    <row r="21" spans="1:2" x14ac:dyDescent="0.3">
      <c r="A21" s="10" t="s">
        <v>771</v>
      </c>
      <c r="B21" s="18">
        <v>60182</v>
      </c>
    </row>
    <row r="22" spans="1:2" x14ac:dyDescent="0.3">
      <c r="A22" s="10" t="s">
        <v>772</v>
      </c>
      <c r="B22" s="18">
        <v>59598</v>
      </c>
    </row>
    <row r="23" spans="1:2" x14ac:dyDescent="0.3">
      <c r="A23" s="9" t="s">
        <v>261</v>
      </c>
      <c r="B23" s="18">
        <v>55870</v>
      </c>
    </row>
    <row r="24" spans="1:2" x14ac:dyDescent="0.3">
      <c r="A24" s="10" t="s">
        <v>773</v>
      </c>
      <c r="B24" s="18">
        <v>19830</v>
      </c>
    </row>
    <row r="25" spans="1:2" x14ac:dyDescent="0.3">
      <c r="A25" s="10" t="s">
        <v>774</v>
      </c>
      <c r="B25" s="18">
        <v>36040</v>
      </c>
    </row>
    <row r="26" spans="1:2" x14ac:dyDescent="0.3">
      <c r="A26" s="9" t="s">
        <v>455</v>
      </c>
      <c r="B26" s="18">
        <v>499964.77</v>
      </c>
    </row>
    <row r="27" spans="1:2" x14ac:dyDescent="0.3">
      <c r="A27" s="10" t="s">
        <v>460</v>
      </c>
      <c r="B27" s="18">
        <v>177221.7</v>
      </c>
    </row>
    <row r="28" spans="1:2" x14ac:dyDescent="0.3">
      <c r="A28" s="10" t="s">
        <v>463</v>
      </c>
      <c r="B28" s="18">
        <v>175000</v>
      </c>
    </row>
    <row r="29" spans="1:2" x14ac:dyDescent="0.3">
      <c r="A29" s="10" t="s">
        <v>457</v>
      </c>
      <c r="B29" s="18">
        <v>147743.07</v>
      </c>
    </row>
    <row r="30" spans="1:2" x14ac:dyDescent="0.3">
      <c r="A30" s="9" t="s">
        <v>465</v>
      </c>
      <c r="B30" s="18">
        <v>737100</v>
      </c>
    </row>
    <row r="31" spans="1:2" x14ac:dyDescent="0.3">
      <c r="A31" s="10" t="s">
        <v>468</v>
      </c>
      <c r="B31" s="18">
        <v>631800</v>
      </c>
    </row>
    <row r="32" spans="1:2" x14ac:dyDescent="0.3">
      <c r="A32" s="10" t="s">
        <v>471</v>
      </c>
      <c r="B32" s="18">
        <v>105300</v>
      </c>
    </row>
    <row r="33" spans="1:2" x14ac:dyDescent="0.3">
      <c r="A33" s="9" t="s">
        <v>473</v>
      </c>
      <c r="B33" s="18">
        <v>392340</v>
      </c>
    </row>
    <row r="34" spans="1:2" x14ac:dyDescent="0.3">
      <c r="A34" s="10" t="s">
        <v>478</v>
      </c>
      <c r="B34" s="18">
        <v>396900</v>
      </c>
    </row>
    <row r="35" spans="1:2" x14ac:dyDescent="0.3">
      <c r="A35" s="10" t="s">
        <v>475</v>
      </c>
      <c r="B35" s="18">
        <v>-4560</v>
      </c>
    </row>
    <row r="36" spans="1:2" x14ac:dyDescent="0.3">
      <c r="A36" s="9" t="s">
        <v>493</v>
      </c>
      <c r="B36" s="18">
        <v>266500</v>
      </c>
    </row>
    <row r="37" spans="1:2" x14ac:dyDescent="0.3">
      <c r="A37" s="10" t="s">
        <v>495</v>
      </c>
      <c r="B37" s="18">
        <v>76700</v>
      </c>
    </row>
    <row r="38" spans="1:2" x14ac:dyDescent="0.3">
      <c r="A38" s="10" t="s">
        <v>498</v>
      </c>
      <c r="B38" s="18">
        <v>36400</v>
      </c>
    </row>
    <row r="39" spans="1:2" x14ac:dyDescent="0.3">
      <c r="A39" s="10" t="s">
        <v>501</v>
      </c>
      <c r="B39" s="18">
        <v>80600</v>
      </c>
    </row>
    <row r="40" spans="1:2" x14ac:dyDescent="0.3">
      <c r="A40" s="10" t="s">
        <v>504</v>
      </c>
      <c r="B40" s="18">
        <v>36400</v>
      </c>
    </row>
    <row r="41" spans="1:2" x14ac:dyDescent="0.3">
      <c r="A41" s="10" t="s">
        <v>507</v>
      </c>
      <c r="B41" s="18">
        <v>36400</v>
      </c>
    </row>
    <row r="42" spans="1:2" x14ac:dyDescent="0.3">
      <c r="A42" s="9" t="s">
        <v>509</v>
      </c>
      <c r="B42" s="18">
        <v>70212</v>
      </c>
    </row>
    <row r="43" spans="1:2" x14ac:dyDescent="0.3">
      <c r="A43" s="10" t="s">
        <v>775</v>
      </c>
      <c r="B43" s="18">
        <v>70212</v>
      </c>
    </row>
    <row r="44" spans="1:2" x14ac:dyDescent="0.3">
      <c r="A44" s="9" t="s">
        <v>598</v>
      </c>
      <c r="B44" s="18">
        <v>-7645</v>
      </c>
    </row>
    <row r="45" spans="1:2" x14ac:dyDescent="0.3">
      <c r="A45" s="10" t="s">
        <v>475</v>
      </c>
      <c r="B45" s="18">
        <v>-7645</v>
      </c>
    </row>
    <row r="46" spans="1:2" x14ac:dyDescent="0.3">
      <c r="A46" s="9" t="s">
        <v>622</v>
      </c>
      <c r="B46" s="18">
        <v>362877</v>
      </c>
    </row>
    <row r="47" spans="1:2" x14ac:dyDescent="0.3">
      <c r="A47" s="10" t="s">
        <v>624</v>
      </c>
      <c r="B47" s="18">
        <v>111132</v>
      </c>
    </row>
    <row r="48" spans="1:2" x14ac:dyDescent="0.3">
      <c r="A48" s="10" t="s">
        <v>627</v>
      </c>
      <c r="B48" s="18">
        <v>153900</v>
      </c>
    </row>
    <row r="49" spans="1:2" x14ac:dyDescent="0.3">
      <c r="A49" s="10" t="s">
        <v>630</v>
      </c>
      <c r="B49" s="18">
        <v>330750</v>
      </c>
    </row>
    <row r="50" spans="1:2" x14ac:dyDescent="0.3">
      <c r="A50" s="10" t="s">
        <v>616</v>
      </c>
      <c r="B50" s="18">
        <v>-232905</v>
      </c>
    </row>
    <row r="51" spans="1:2" x14ac:dyDescent="0.3">
      <c r="A51" s="9" t="s">
        <v>663</v>
      </c>
      <c r="B51" s="18">
        <v>172970</v>
      </c>
    </row>
    <row r="52" spans="1:2" x14ac:dyDescent="0.3">
      <c r="A52" s="10" t="s">
        <v>776</v>
      </c>
      <c r="B52" s="18">
        <v>56300</v>
      </c>
    </row>
    <row r="53" spans="1:2" x14ac:dyDescent="0.3">
      <c r="A53" s="10" t="s">
        <v>777</v>
      </c>
      <c r="B53" s="18">
        <v>116670</v>
      </c>
    </row>
    <row r="54" spans="1:2" x14ac:dyDescent="0.3">
      <c r="A54" s="9" t="s">
        <v>669</v>
      </c>
      <c r="B54" s="18">
        <v>56785</v>
      </c>
    </row>
    <row r="55" spans="1:2" x14ac:dyDescent="0.3">
      <c r="A55" s="10" t="s">
        <v>778</v>
      </c>
      <c r="B55" s="18">
        <v>56785</v>
      </c>
    </row>
    <row r="56" spans="1:2" x14ac:dyDescent="0.3">
      <c r="A56" s="9" t="s">
        <v>688</v>
      </c>
      <c r="B56" s="18">
        <v>1317572</v>
      </c>
    </row>
    <row r="57" spans="1:2" x14ac:dyDescent="0.3">
      <c r="A57" s="10" t="s">
        <v>691</v>
      </c>
      <c r="B57" s="18">
        <v>86240</v>
      </c>
    </row>
    <row r="58" spans="1:2" x14ac:dyDescent="0.3">
      <c r="A58" s="10" t="s">
        <v>694</v>
      </c>
      <c r="B58" s="18">
        <v>129600</v>
      </c>
    </row>
    <row r="59" spans="1:2" x14ac:dyDescent="0.3">
      <c r="A59" s="10" t="s">
        <v>697</v>
      </c>
      <c r="B59" s="18">
        <v>67200</v>
      </c>
    </row>
    <row r="60" spans="1:2" x14ac:dyDescent="0.3">
      <c r="A60" s="10" t="s">
        <v>700</v>
      </c>
      <c r="B60" s="18">
        <v>72960</v>
      </c>
    </row>
    <row r="61" spans="1:2" x14ac:dyDescent="0.3">
      <c r="A61" s="10" t="s">
        <v>703</v>
      </c>
      <c r="B61" s="18">
        <v>78200</v>
      </c>
    </row>
    <row r="62" spans="1:2" x14ac:dyDescent="0.3">
      <c r="A62" s="10" t="s">
        <v>706</v>
      </c>
      <c r="B62" s="18">
        <v>180000</v>
      </c>
    </row>
    <row r="63" spans="1:2" x14ac:dyDescent="0.3">
      <c r="A63" s="10" t="s">
        <v>709</v>
      </c>
      <c r="B63" s="18">
        <v>110112</v>
      </c>
    </row>
    <row r="64" spans="1:2" x14ac:dyDescent="0.3">
      <c r="A64" s="10" t="s">
        <v>712</v>
      </c>
      <c r="B64" s="18">
        <v>35520</v>
      </c>
    </row>
    <row r="65" spans="1:2" x14ac:dyDescent="0.3">
      <c r="A65" s="10" t="s">
        <v>715</v>
      </c>
      <c r="B65" s="18">
        <v>41760</v>
      </c>
    </row>
    <row r="66" spans="1:2" x14ac:dyDescent="0.3">
      <c r="A66" s="10" t="s">
        <v>718</v>
      </c>
      <c r="B66" s="18">
        <v>191070</v>
      </c>
    </row>
    <row r="67" spans="1:2" x14ac:dyDescent="0.3">
      <c r="A67" s="10" t="s">
        <v>721</v>
      </c>
      <c r="B67" s="18">
        <v>53360</v>
      </c>
    </row>
    <row r="68" spans="1:2" x14ac:dyDescent="0.3">
      <c r="A68" s="10" t="s">
        <v>724</v>
      </c>
      <c r="B68" s="18">
        <v>163070</v>
      </c>
    </row>
    <row r="69" spans="1:2" x14ac:dyDescent="0.3">
      <c r="A69" s="10" t="s">
        <v>727</v>
      </c>
      <c r="B69" s="18">
        <v>52800</v>
      </c>
    </row>
    <row r="70" spans="1:2" x14ac:dyDescent="0.3">
      <c r="A70" s="10" t="s">
        <v>730</v>
      </c>
      <c r="B70" s="18">
        <v>55680</v>
      </c>
    </row>
    <row r="71" spans="1:2" x14ac:dyDescent="0.3">
      <c r="A71" s="9" t="s">
        <v>732</v>
      </c>
      <c r="B71" s="18">
        <v>30250</v>
      </c>
    </row>
    <row r="72" spans="1:2" x14ac:dyDescent="0.3">
      <c r="A72" s="10" t="s">
        <v>734</v>
      </c>
      <c r="B72" s="18">
        <v>30250</v>
      </c>
    </row>
    <row r="73" spans="1:2" x14ac:dyDescent="0.3">
      <c r="A73" s="9" t="s">
        <v>736</v>
      </c>
      <c r="B73" s="18">
        <v>195404</v>
      </c>
    </row>
    <row r="74" spans="1:2" x14ac:dyDescent="0.3">
      <c r="A74" s="10" t="s">
        <v>739</v>
      </c>
      <c r="B74" s="18">
        <v>94500</v>
      </c>
    </row>
    <row r="75" spans="1:2" x14ac:dyDescent="0.3">
      <c r="A75" s="10" t="s">
        <v>744</v>
      </c>
      <c r="B75" s="18">
        <v>95904</v>
      </c>
    </row>
    <row r="76" spans="1:2" x14ac:dyDescent="0.3">
      <c r="A76" s="10" t="s">
        <v>779</v>
      </c>
      <c r="B76" s="18">
        <v>5000</v>
      </c>
    </row>
    <row r="77" spans="1:2" x14ac:dyDescent="0.3">
      <c r="A77" s="9" t="s">
        <v>747</v>
      </c>
      <c r="B77" s="18">
        <v>5130241.74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E18C-C70D-4505-A0CE-85364EC95784}">
  <dimension ref="A1:I72"/>
  <sheetViews>
    <sheetView topLeftCell="A25" workbookViewId="0">
      <selection activeCell="C57" sqref="C57"/>
    </sheetView>
  </sheetViews>
  <sheetFormatPr baseColWidth="10" defaultRowHeight="14.4" x14ac:dyDescent="0.3"/>
  <cols>
    <col min="1" max="1" width="37.2187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19.44140625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1" spans="1:9" x14ac:dyDescent="0.3">
      <c r="A1" s="8" t="s">
        <v>3</v>
      </c>
      <c r="B1" t="s">
        <v>768</v>
      </c>
      <c r="F1" s="8" t="s">
        <v>3</v>
      </c>
      <c r="G1" t="s">
        <v>768</v>
      </c>
    </row>
    <row r="2" spans="1:9" x14ac:dyDescent="0.3">
      <c r="A2" s="8" t="s">
        <v>762</v>
      </c>
      <c r="B2" t="s">
        <v>780</v>
      </c>
      <c r="F2" s="8" t="s">
        <v>762</v>
      </c>
      <c r="G2" t="s">
        <v>781</v>
      </c>
    </row>
    <row r="4" spans="1:9" x14ac:dyDescent="0.3">
      <c r="A4" s="8" t="s">
        <v>745</v>
      </c>
      <c r="B4" t="s">
        <v>783</v>
      </c>
      <c r="C4" t="s">
        <v>782</v>
      </c>
      <c r="D4" t="s">
        <v>764</v>
      </c>
      <c r="F4" s="8" t="s">
        <v>745</v>
      </c>
      <c r="G4" t="s">
        <v>783</v>
      </c>
      <c r="H4" t="s">
        <v>782</v>
      </c>
      <c r="I4" t="s">
        <v>764</v>
      </c>
    </row>
    <row r="5" spans="1:9" x14ac:dyDescent="0.3">
      <c r="A5" s="9" t="s">
        <v>114</v>
      </c>
      <c r="B5" s="18">
        <v>6</v>
      </c>
      <c r="C5" s="18">
        <v>216</v>
      </c>
      <c r="D5" s="18">
        <v>144756.99</v>
      </c>
      <c r="F5" s="9" t="s">
        <v>455</v>
      </c>
      <c r="G5" s="18">
        <v>1</v>
      </c>
      <c r="H5" s="18">
        <v>50</v>
      </c>
      <c r="I5" s="18">
        <v>147743.07</v>
      </c>
    </row>
    <row r="6" spans="1:9" x14ac:dyDescent="0.3">
      <c r="A6" s="10" t="s">
        <v>119</v>
      </c>
      <c r="B6" s="18">
        <v>1</v>
      </c>
      <c r="C6" s="18">
        <v>36</v>
      </c>
      <c r="D6" s="18">
        <v>24860</v>
      </c>
      <c r="F6" s="10" t="s">
        <v>457</v>
      </c>
      <c r="G6" s="18">
        <v>1</v>
      </c>
      <c r="H6" s="18">
        <v>50</v>
      </c>
      <c r="I6" s="18">
        <v>147743.07</v>
      </c>
    </row>
    <row r="7" spans="1:9" x14ac:dyDescent="0.3">
      <c r="A7" s="10" t="s">
        <v>122</v>
      </c>
      <c r="B7" s="18">
        <v>1</v>
      </c>
      <c r="C7" s="18">
        <v>36</v>
      </c>
      <c r="D7" s="18">
        <v>24860</v>
      </c>
      <c r="F7" s="9" t="s">
        <v>747</v>
      </c>
      <c r="G7" s="18">
        <v>1</v>
      </c>
      <c r="H7" s="18">
        <v>50</v>
      </c>
      <c r="I7" s="18">
        <v>147743.07</v>
      </c>
    </row>
    <row r="8" spans="1:9" x14ac:dyDescent="0.3">
      <c r="A8" s="10" t="s">
        <v>125</v>
      </c>
      <c r="B8" s="18">
        <v>1</v>
      </c>
      <c r="C8" s="18">
        <v>36</v>
      </c>
      <c r="D8" s="18">
        <v>28800</v>
      </c>
    </row>
    <row r="9" spans="1:9" x14ac:dyDescent="0.3">
      <c r="A9" s="10" t="s">
        <v>128</v>
      </c>
      <c r="B9" s="18">
        <v>1</v>
      </c>
      <c r="C9" s="18">
        <v>36</v>
      </c>
      <c r="D9" s="18">
        <v>28800</v>
      </c>
    </row>
    <row r="10" spans="1:9" x14ac:dyDescent="0.3">
      <c r="A10" s="10" t="s">
        <v>131</v>
      </c>
      <c r="B10" s="18">
        <v>1</v>
      </c>
      <c r="C10" s="18">
        <v>36</v>
      </c>
      <c r="D10" s="18">
        <v>29300</v>
      </c>
    </row>
    <row r="11" spans="1:9" x14ac:dyDescent="0.3">
      <c r="A11" s="10" t="s">
        <v>769</v>
      </c>
      <c r="B11" s="18">
        <v>1</v>
      </c>
      <c r="C11" s="18">
        <v>36</v>
      </c>
      <c r="D11" s="18">
        <v>8136.99</v>
      </c>
    </row>
    <row r="12" spans="1:9" x14ac:dyDescent="0.3">
      <c r="A12" s="9" t="s">
        <v>226</v>
      </c>
      <c r="B12" s="18"/>
      <c r="C12" s="18">
        <v>14</v>
      </c>
      <c r="D12" s="18">
        <v>712656</v>
      </c>
    </row>
    <row r="13" spans="1:9" x14ac:dyDescent="0.3">
      <c r="A13" s="10" t="s">
        <v>228</v>
      </c>
      <c r="B13" s="18"/>
      <c r="C13" s="18">
        <v>7</v>
      </c>
      <c r="D13" s="18">
        <v>323856</v>
      </c>
    </row>
    <row r="14" spans="1:9" x14ac:dyDescent="0.3">
      <c r="A14" s="10" t="s">
        <v>231</v>
      </c>
      <c r="B14" s="18"/>
      <c r="C14" s="18">
        <v>7</v>
      </c>
      <c r="D14" s="18">
        <v>388800</v>
      </c>
    </row>
    <row r="15" spans="1:9" x14ac:dyDescent="0.3">
      <c r="A15" s="9" t="s">
        <v>233</v>
      </c>
      <c r="B15" s="18">
        <v>1</v>
      </c>
      <c r="C15" s="18">
        <v>22</v>
      </c>
      <c r="D15" s="18">
        <v>67550</v>
      </c>
    </row>
    <row r="16" spans="1:9" x14ac:dyDescent="0.3">
      <c r="A16" s="10" t="s">
        <v>236</v>
      </c>
      <c r="B16" s="18">
        <v>1</v>
      </c>
      <c r="C16" s="18">
        <v>22</v>
      </c>
      <c r="D16" s="18">
        <v>67550</v>
      </c>
    </row>
    <row r="17" spans="1:4" x14ac:dyDescent="0.3">
      <c r="A17" s="9" t="s">
        <v>242</v>
      </c>
      <c r="B17" s="18"/>
      <c r="C17" s="18">
        <v>12</v>
      </c>
      <c r="D17" s="18">
        <v>119780</v>
      </c>
    </row>
    <row r="18" spans="1:4" x14ac:dyDescent="0.3">
      <c r="A18" s="10" t="s">
        <v>771</v>
      </c>
      <c r="B18" s="18"/>
      <c r="C18" s="18">
        <v>7</v>
      </c>
      <c r="D18" s="18">
        <v>60182</v>
      </c>
    </row>
    <row r="19" spans="1:4" x14ac:dyDescent="0.3">
      <c r="A19" s="10" t="s">
        <v>772</v>
      </c>
      <c r="B19" s="18"/>
      <c r="C19" s="18">
        <v>5</v>
      </c>
      <c r="D19" s="18">
        <v>59598</v>
      </c>
    </row>
    <row r="20" spans="1:4" x14ac:dyDescent="0.3">
      <c r="A20" s="9" t="s">
        <v>261</v>
      </c>
      <c r="B20" s="18"/>
      <c r="C20" s="18">
        <v>12</v>
      </c>
      <c r="D20" s="18">
        <v>55870</v>
      </c>
    </row>
    <row r="21" spans="1:4" x14ac:dyDescent="0.3">
      <c r="A21" s="10" t="s">
        <v>773</v>
      </c>
      <c r="B21" s="18"/>
      <c r="C21" s="18">
        <v>7</v>
      </c>
      <c r="D21" s="18">
        <v>19830</v>
      </c>
    </row>
    <row r="22" spans="1:4" x14ac:dyDescent="0.3">
      <c r="A22" s="10" t="s">
        <v>774</v>
      </c>
      <c r="B22" s="18"/>
      <c r="C22" s="18">
        <v>5</v>
      </c>
      <c r="D22" s="18">
        <v>36040</v>
      </c>
    </row>
    <row r="23" spans="1:4" x14ac:dyDescent="0.3">
      <c r="A23" s="9" t="s">
        <v>455</v>
      </c>
      <c r="B23" s="18">
        <v>2</v>
      </c>
      <c r="C23" s="18">
        <v>63</v>
      </c>
      <c r="D23" s="18">
        <v>352221.7</v>
      </c>
    </row>
    <row r="24" spans="1:4" x14ac:dyDescent="0.3">
      <c r="A24" s="10" t="s">
        <v>460</v>
      </c>
      <c r="B24" s="18">
        <v>1</v>
      </c>
      <c r="C24" s="18">
        <v>37</v>
      </c>
      <c r="D24" s="18">
        <v>177221.7</v>
      </c>
    </row>
    <row r="25" spans="1:4" x14ac:dyDescent="0.3">
      <c r="A25" s="10" t="s">
        <v>463</v>
      </c>
      <c r="B25" s="18">
        <v>1</v>
      </c>
      <c r="C25" s="18">
        <v>26</v>
      </c>
      <c r="D25" s="18">
        <v>175000</v>
      </c>
    </row>
    <row r="26" spans="1:4" x14ac:dyDescent="0.3">
      <c r="A26" s="9" t="s">
        <v>465</v>
      </c>
      <c r="B26" s="18">
        <v>1</v>
      </c>
      <c r="C26" s="18">
        <v>20</v>
      </c>
      <c r="D26" s="18">
        <v>737100</v>
      </c>
    </row>
    <row r="27" spans="1:4" x14ac:dyDescent="0.3">
      <c r="A27" s="10" t="s">
        <v>468</v>
      </c>
      <c r="B27" s="18">
        <v>1</v>
      </c>
      <c r="C27" s="18">
        <v>12</v>
      </c>
      <c r="D27" s="18">
        <v>631800</v>
      </c>
    </row>
    <row r="28" spans="1:4" x14ac:dyDescent="0.3">
      <c r="A28" s="10" t="s">
        <v>471</v>
      </c>
      <c r="B28" s="18"/>
      <c r="C28" s="18">
        <v>8</v>
      </c>
      <c r="D28" s="18">
        <v>105300</v>
      </c>
    </row>
    <row r="29" spans="1:4" x14ac:dyDescent="0.3">
      <c r="A29" s="9" t="s">
        <v>473</v>
      </c>
      <c r="B29" s="18"/>
      <c r="C29" s="18">
        <v>9</v>
      </c>
      <c r="D29" s="18">
        <v>392340</v>
      </c>
    </row>
    <row r="30" spans="1:4" x14ac:dyDescent="0.3">
      <c r="A30" s="10" t="s">
        <v>478</v>
      </c>
      <c r="B30" s="18"/>
      <c r="C30" s="18">
        <v>5</v>
      </c>
      <c r="D30" s="18">
        <v>396900</v>
      </c>
    </row>
    <row r="31" spans="1:4" x14ac:dyDescent="0.3">
      <c r="A31" s="10" t="s">
        <v>475</v>
      </c>
      <c r="B31" s="18"/>
      <c r="C31" s="18">
        <v>4</v>
      </c>
      <c r="D31" s="18">
        <v>-4560</v>
      </c>
    </row>
    <row r="32" spans="1:4" x14ac:dyDescent="0.3">
      <c r="A32" s="9" t="s">
        <v>493</v>
      </c>
      <c r="B32" s="18">
        <v>4</v>
      </c>
      <c r="C32" s="18">
        <v>99</v>
      </c>
      <c r="D32" s="18">
        <v>266500</v>
      </c>
    </row>
    <row r="33" spans="1:4" x14ac:dyDescent="0.3">
      <c r="A33" s="10" t="s">
        <v>495</v>
      </c>
      <c r="B33" s="18">
        <v>1</v>
      </c>
      <c r="C33" s="18">
        <v>36</v>
      </c>
      <c r="D33" s="18">
        <v>76700</v>
      </c>
    </row>
    <row r="34" spans="1:4" x14ac:dyDescent="0.3">
      <c r="A34" s="10" t="s">
        <v>498</v>
      </c>
      <c r="B34" s="18">
        <v>1</v>
      </c>
      <c r="C34" s="18">
        <v>22</v>
      </c>
      <c r="D34" s="18">
        <v>36400</v>
      </c>
    </row>
    <row r="35" spans="1:4" x14ac:dyDescent="0.3">
      <c r="A35" s="10" t="s">
        <v>501</v>
      </c>
      <c r="B35" s="18">
        <v>1</v>
      </c>
      <c r="C35" s="18">
        <v>22</v>
      </c>
      <c r="D35" s="18">
        <v>80600</v>
      </c>
    </row>
    <row r="36" spans="1:4" x14ac:dyDescent="0.3">
      <c r="A36" s="10" t="s">
        <v>504</v>
      </c>
      <c r="B36" s="18">
        <v>1</v>
      </c>
      <c r="C36" s="18">
        <v>12</v>
      </c>
      <c r="D36" s="18">
        <v>36400</v>
      </c>
    </row>
    <row r="37" spans="1:4" x14ac:dyDescent="0.3">
      <c r="A37" s="10" t="s">
        <v>507</v>
      </c>
      <c r="B37" s="18"/>
      <c r="C37" s="18">
        <v>7</v>
      </c>
      <c r="D37" s="18">
        <v>36400</v>
      </c>
    </row>
    <row r="38" spans="1:4" x14ac:dyDescent="0.3">
      <c r="A38" s="9" t="s">
        <v>509</v>
      </c>
      <c r="B38" s="18">
        <v>1</v>
      </c>
      <c r="C38" s="18">
        <v>21</v>
      </c>
      <c r="D38" s="18">
        <v>70212</v>
      </c>
    </row>
    <row r="39" spans="1:4" x14ac:dyDescent="0.3">
      <c r="A39" s="10" t="s">
        <v>775</v>
      </c>
      <c r="B39" s="18">
        <v>1</v>
      </c>
      <c r="C39" s="18">
        <v>21</v>
      </c>
      <c r="D39" s="18">
        <v>70212</v>
      </c>
    </row>
    <row r="40" spans="1:4" x14ac:dyDescent="0.3">
      <c r="A40" s="9" t="s">
        <v>598</v>
      </c>
      <c r="B40" s="18"/>
      <c r="C40" s="18">
        <v>12</v>
      </c>
      <c r="D40" s="18">
        <v>-7645</v>
      </c>
    </row>
    <row r="41" spans="1:4" x14ac:dyDescent="0.3">
      <c r="A41" s="10" t="s">
        <v>475</v>
      </c>
      <c r="B41" s="18"/>
      <c r="C41" s="18">
        <v>12</v>
      </c>
      <c r="D41" s="18">
        <v>-7645</v>
      </c>
    </row>
    <row r="42" spans="1:4" x14ac:dyDescent="0.3">
      <c r="A42" s="9" t="s">
        <v>622</v>
      </c>
      <c r="B42" s="18"/>
      <c r="C42" s="18">
        <v>17</v>
      </c>
      <c r="D42" s="18">
        <v>595782</v>
      </c>
    </row>
    <row r="43" spans="1:4" x14ac:dyDescent="0.3">
      <c r="A43" s="10" t="s">
        <v>624</v>
      </c>
      <c r="B43" s="18"/>
      <c r="C43" s="18">
        <v>7</v>
      </c>
      <c r="D43" s="18">
        <v>111132</v>
      </c>
    </row>
    <row r="44" spans="1:4" x14ac:dyDescent="0.3">
      <c r="A44" s="10" t="s">
        <v>627</v>
      </c>
      <c r="B44" s="18"/>
      <c r="C44" s="18">
        <v>5</v>
      </c>
      <c r="D44" s="18">
        <v>153900</v>
      </c>
    </row>
    <row r="45" spans="1:4" x14ac:dyDescent="0.3">
      <c r="A45" s="10" t="s">
        <v>630</v>
      </c>
      <c r="B45" s="18"/>
      <c r="C45" s="18">
        <v>5</v>
      </c>
      <c r="D45" s="18">
        <v>330750</v>
      </c>
    </row>
    <row r="46" spans="1:4" x14ac:dyDescent="0.3">
      <c r="A46" s="9" t="s">
        <v>663</v>
      </c>
      <c r="B46" s="18"/>
      <c r="C46" s="18">
        <v>42</v>
      </c>
      <c r="D46" s="18">
        <v>172970</v>
      </c>
    </row>
    <row r="47" spans="1:4" x14ac:dyDescent="0.3">
      <c r="A47" s="10" t="s">
        <v>776</v>
      </c>
      <c r="B47" s="18"/>
      <c r="C47" s="18">
        <v>35</v>
      </c>
      <c r="D47" s="18">
        <v>56300</v>
      </c>
    </row>
    <row r="48" spans="1:4" x14ac:dyDescent="0.3">
      <c r="A48" s="10" t="s">
        <v>777</v>
      </c>
      <c r="B48" s="18"/>
      <c r="C48" s="18">
        <v>7</v>
      </c>
      <c r="D48" s="18">
        <v>116670</v>
      </c>
    </row>
    <row r="49" spans="1:4" x14ac:dyDescent="0.3">
      <c r="A49" s="9" t="s">
        <v>669</v>
      </c>
      <c r="B49" s="18"/>
      <c r="C49" s="18">
        <v>5</v>
      </c>
      <c r="D49" s="18">
        <v>56785</v>
      </c>
    </row>
    <row r="50" spans="1:4" x14ac:dyDescent="0.3">
      <c r="A50" s="10" t="s">
        <v>778</v>
      </c>
      <c r="B50" s="18"/>
      <c r="C50" s="18">
        <v>5</v>
      </c>
      <c r="D50" s="18">
        <v>56785</v>
      </c>
    </row>
    <row r="51" spans="1:4" x14ac:dyDescent="0.3">
      <c r="A51" s="9" t="s">
        <v>688</v>
      </c>
      <c r="B51" s="18">
        <v>6</v>
      </c>
      <c r="C51" s="18">
        <v>253</v>
      </c>
      <c r="D51" s="18">
        <v>1317572</v>
      </c>
    </row>
    <row r="52" spans="1:4" x14ac:dyDescent="0.3">
      <c r="A52" s="10" t="s">
        <v>691</v>
      </c>
      <c r="B52" s="18">
        <v>1</v>
      </c>
      <c r="C52" s="18">
        <v>37</v>
      </c>
      <c r="D52" s="18">
        <v>86240</v>
      </c>
    </row>
    <row r="53" spans="1:4" x14ac:dyDescent="0.3">
      <c r="A53" s="10" t="s">
        <v>694</v>
      </c>
      <c r="B53" s="18">
        <v>1</v>
      </c>
      <c r="C53" s="18">
        <v>37</v>
      </c>
      <c r="D53" s="18">
        <v>129600</v>
      </c>
    </row>
    <row r="54" spans="1:4" x14ac:dyDescent="0.3">
      <c r="A54" s="10" t="s">
        <v>697</v>
      </c>
      <c r="B54" s="18">
        <v>1</v>
      </c>
      <c r="C54" s="18">
        <v>36</v>
      </c>
      <c r="D54" s="18">
        <v>67200</v>
      </c>
    </row>
    <row r="55" spans="1:4" x14ac:dyDescent="0.3">
      <c r="A55" s="10" t="s">
        <v>700</v>
      </c>
      <c r="B55" s="18">
        <v>1</v>
      </c>
      <c r="C55" s="18">
        <v>36</v>
      </c>
      <c r="D55" s="18">
        <v>72960</v>
      </c>
    </row>
    <row r="56" spans="1:4" x14ac:dyDescent="0.3">
      <c r="A56" s="10" t="s">
        <v>703</v>
      </c>
      <c r="B56" s="18">
        <v>1</v>
      </c>
      <c r="C56" s="18">
        <v>26</v>
      </c>
      <c r="D56" s="18">
        <v>78200</v>
      </c>
    </row>
    <row r="57" spans="1:4" x14ac:dyDescent="0.3">
      <c r="A57" s="10" t="s">
        <v>706</v>
      </c>
      <c r="B57" s="18">
        <v>1</v>
      </c>
      <c r="C57" s="18">
        <v>26</v>
      </c>
      <c r="D57" s="18">
        <v>180000</v>
      </c>
    </row>
    <row r="58" spans="1:4" x14ac:dyDescent="0.3">
      <c r="A58" s="10" t="s">
        <v>709</v>
      </c>
      <c r="B58" s="18"/>
      <c r="C58" s="18">
        <v>9</v>
      </c>
      <c r="D58" s="18">
        <v>110112</v>
      </c>
    </row>
    <row r="59" spans="1:4" x14ac:dyDescent="0.3">
      <c r="A59" s="10" t="s">
        <v>712</v>
      </c>
      <c r="B59" s="18"/>
      <c r="C59" s="18">
        <v>9</v>
      </c>
      <c r="D59" s="18">
        <v>35520</v>
      </c>
    </row>
    <row r="60" spans="1:4" x14ac:dyDescent="0.3">
      <c r="A60" s="10" t="s">
        <v>715</v>
      </c>
      <c r="B60" s="18"/>
      <c r="C60" s="18">
        <v>9</v>
      </c>
      <c r="D60" s="18">
        <v>41760</v>
      </c>
    </row>
    <row r="61" spans="1:4" x14ac:dyDescent="0.3">
      <c r="A61" s="10" t="s">
        <v>718</v>
      </c>
      <c r="B61" s="18"/>
      <c r="C61" s="18">
        <v>8</v>
      </c>
      <c r="D61" s="18">
        <v>191070</v>
      </c>
    </row>
    <row r="62" spans="1:4" x14ac:dyDescent="0.3">
      <c r="A62" s="10" t="s">
        <v>721</v>
      </c>
      <c r="B62" s="18"/>
      <c r="C62" s="18">
        <v>5</v>
      </c>
      <c r="D62" s="18">
        <v>53360</v>
      </c>
    </row>
    <row r="63" spans="1:4" x14ac:dyDescent="0.3">
      <c r="A63" s="10" t="s">
        <v>724</v>
      </c>
      <c r="B63" s="18"/>
      <c r="C63" s="18">
        <v>5</v>
      </c>
      <c r="D63" s="18">
        <v>163070</v>
      </c>
    </row>
    <row r="64" spans="1:4" x14ac:dyDescent="0.3">
      <c r="A64" s="10" t="s">
        <v>727</v>
      </c>
      <c r="B64" s="18"/>
      <c r="C64" s="18">
        <v>5</v>
      </c>
      <c r="D64" s="18">
        <v>52800</v>
      </c>
    </row>
    <row r="65" spans="1:4" x14ac:dyDescent="0.3">
      <c r="A65" s="10" t="s">
        <v>730</v>
      </c>
      <c r="B65" s="18"/>
      <c r="C65" s="18">
        <v>5</v>
      </c>
      <c r="D65" s="18">
        <v>55680</v>
      </c>
    </row>
    <row r="66" spans="1:4" x14ac:dyDescent="0.3">
      <c r="A66" s="9" t="s">
        <v>732</v>
      </c>
      <c r="B66" s="18">
        <v>1</v>
      </c>
      <c r="C66" s="18">
        <v>10</v>
      </c>
      <c r="D66" s="18">
        <v>30250</v>
      </c>
    </row>
    <row r="67" spans="1:4" x14ac:dyDescent="0.3">
      <c r="A67" s="10" t="s">
        <v>734</v>
      </c>
      <c r="B67" s="18">
        <v>1</v>
      </c>
      <c r="C67" s="18">
        <v>10</v>
      </c>
      <c r="D67" s="18">
        <v>30250</v>
      </c>
    </row>
    <row r="68" spans="1:4" x14ac:dyDescent="0.3">
      <c r="A68" s="9" t="s">
        <v>736</v>
      </c>
      <c r="B68" s="18">
        <v>3</v>
      </c>
      <c r="C68" s="18">
        <v>56</v>
      </c>
      <c r="D68" s="18">
        <v>195404</v>
      </c>
    </row>
    <row r="69" spans="1:4" x14ac:dyDescent="0.3">
      <c r="A69" s="10" t="s">
        <v>739</v>
      </c>
      <c r="B69" s="18">
        <v>1</v>
      </c>
      <c r="C69" s="18">
        <v>22</v>
      </c>
      <c r="D69" s="18">
        <v>94500</v>
      </c>
    </row>
    <row r="70" spans="1:4" x14ac:dyDescent="0.3">
      <c r="A70" s="10" t="s">
        <v>744</v>
      </c>
      <c r="B70" s="18">
        <v>1</v>
      </c>
      <c r="C70" s="18">
        <v>12</v>
      </c>
      <c r="D70" s="18">
        <v>95904</v>
      </c>
    </row>
    <row r="71" spans="1:4" x14ac:dyDescent="0.3">
      <c r="A71" s="10" t="s">
        <v>779</v>
      </c>
      <c r="B71" s="18">
        <v>1</v>
      </c>
      <c r="C71" s="18">
        <v>22</v>
      </c>
      <c r="D71" s="18">
        <v>5000</v>
      </c>
    </row>
    <row r="72" spans="1:4" x14ac:dyDescent="0.3">
      <c r="A72" s="9" t="s">
        <v>747</v>
      </c>
      <c r="B72" s="18">
        <v>25</v>
      </c>
      <c r="C72" s="18">
        <v>883</v>
      </c>
      <c r="D72" s="18">
        <v>5280104.6899999995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35"/>
  <sheetViews>
    <sheetView topLeftCell="E1" workbookViewId="0">
      <pane ySplit="1" topLeftCell="A190" activePane="bottomLeft" state="frozen"/>
      <selection pane="bottomLeft" activeCell="L196" sqref="L196"/>
    </sheetView>
  </sheetViews>
  <sheetFormatPr baseColWidth="10" defaultColWidth="8.88671875" defaultRowHeight="14.4" outlineLevelRow="1" x14ac:dyDescent="0.3"/>
  <cols>
    <col min="1" max="1" width="11" bestFit="1" customWidth="1"/>
    <col min="2" max="2" width="37.6640625" bestFit="1" customWidth="1"/>
    <col min="3" max="3" width="13" bestFit="1" customWidth="1"/>
    <col min="4" max="4" width="17" bestFit="1" customWidth="1"/>
    <col min="5" max="6" width="19" bestFit="1" customWidth="1"/>
    <col min="7" max="7" width="29" bestFit="1" customWidth="1"/>
    <col min="8" max="8" width="14" bestFit="1" customWidth="1"/>
    <col min="9" max="9" width="23" bestFit="1" customWidth="1"/>
    <col min="10" max="10" width="21" bestFit="1" customWidth="1"/>
    <col min="11" max="11" width="18.5546875" bestFit="1" customWidth="1"/>
    <col min="12" max="12" width="10.33203125" bestFit="1" customWidth="1"/>
    <col min="13" max="13" width="10.21875" customWidth="1"/>
    <col min="14" max="14" width="10.88671875" bestFit="1" customWidth="1"/>
    <col min="15" max="15" width="12.77734375" bestFit="1" customWidth="1"/>
    <col min="16" max="16" width="12.21875" bestFit="1" customWidth="1"/>
    <col min="17" max="17" width="13.21875" customWidth="1"/>
    <col min="18" max="18" width="12.6640625" bestFit="1" customWidth="1"/>
  </cols>
  <sheetData>
    <row r="1" spans="1:18" ht="52.8" x14ac:dyDescent="0.3">
      <c r="A1" s="1" t="s">
        <v>0</v>
      </c>
      <c r="B1" s="1" t="s">
        <v>1</v>
      </c>
      <c r="C1" s="1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749</v>
      </c>
      <c r="L1" s="11" t="s">
        <v>756</v>
      </c>
      <c r="M1" s="12" t="s">
        <v>757</v>
      </c>
      <c r="N1" s="20" t="s">
        <v>758</v>
      </c>
      <c r="O1" s="13" t="s">
        <v>759</v>
      </c>
      <c r="P1" s="13" t="s">
        <v>760</v>
      </c>
      <c r="Q1" s="14" t="s">
        <v>761</v>
      </c>
      <c r="R1" s="15" t="s">
        <v>762</v>
      </c>
    </row>
    <row r="2" spans="1:18" hidden="1" outlineLevel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45980</v>
      </c>
      <c r="G2" s="4">
        <v>159</v>
      </c>
      <c r="H2" s="3">
        <v>45987</v>
      </c>
      <c r="I2" s="5">
        <v>42.48</v>
      </c>
      <c r="J2" s="2" t="s">
        <v>14</v>
      </c>
      <c r="K2" t="s">
        <v>750</v>
      </c>
      <c r="O2" s="21">
        <f>H2</f>
        <v>45987</v>
      </c>
      <c r="P2" s="23">
        <f>I2/3.521</f>
        <v>12.064754331155921</v>
      </c>
    </row>
    <row r="3" spans="1:18" hidden="1" outlineLevel="1" x14ac:dyDescent="0.3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3">
        <v>45980</v>
      </c>
      <c r="G3" s="4">
        <v>159</v>
      </c>
      <c r="H3" s="3">
        <v>45987</v>
      </c>
      <c r="I3" s="5">
        <v>14.16</v>
      </c>
      <c r="J3" s="2" t="s">
        <v>14</v>
      </c>
      <c r="K3" t="s">
        <v>750</v>
      </c>
      <c r="O3" s="21">
        <f t="shared" ref="O3:O33" si="0">H3</f>
        <v>45987</v>
      </c>
      <c r="P3" s="23">
        <f t="shared" ref="P3:P33" si="1">I3/3.521</f>
        <v>4.0215847770519737</v>
      </c>
    </row>
    <row r="4" spans="1:18" hidden="1" outlineLevel="1" x14ac:dyDescent="0.3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3">
        <v>45980</v>
      </c>
      <c r="G4" s="4">
        <v>159</v>
      </c>
      <c r="H4" s="3">
        <v>45987</v>
      </c>
      <c r="I4" s="5">
        <v>14.16</v>
      </c>
      <c r="J4" s="2" t="s">
        <v>14</v>
      </c>
      <c r="K4" t="s">
        <v>750</v>
      </c>
      <c r="O4" s="21">
        <f t="shared" si="0"/>
        <v>45987</v>
      </c>
      <c r="P4" s="23">
        <f t="shared" si="1"/>
        <v>4.0215847770519737</v>
      </c>
    </row>
    <row r="5" spans="1:18" hidden="1" outlineLevel="1" x14ac:dyDescent="0.3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3">
        <v>45981</v>
      </c>
      <c r="G5" s="4">
        <v>158</v>
      </c>
      <c r="H5" s="3">
        <v>45988</v>
      </c>
      <c r="I5" s="5">
        <v>28.32</v>
      </c>
      <c r="J5" s="2" t="s">
        <v>14</v>
      </c>
      <c r="K5" t="s">
        <v>750</v>
      </c>
      <c r="O5" s="21">
        <f t="shared" si="0"/>
        <v>45988</v>
      </c>
      <c r="P5" s="23">
        <f t="shared" si="1"/>
        <v>8.0431695541039474</v>
      </c>
    </row>
    <row r="6" spans="1:18" hidden="1" outlineLevel="1" x14ac:dyDescent="0.3">
      <c r="A6" s="2" t="s">
        <v>9</v>
      </c>
      <c r="B6" s="2" t="s">
        <v>24</v>
      </c>
      <c r="C6" s="2" t="s">
        <v>25</v>
      </c>
      <c r="D6" s="2" t="s">
        <v>26</v>
      </c>
      <c r="E6" s="2" t="s">
        <v>13</v>
      </c>
      <c r="F6" s="3">
        <v>45981</v>
      </c>
      <c r="G6" s="4">
        <v>158</v>
      </c>
      <c r="H6" s="3">
        <v>45988</v>
      </c>
      <c r="I6" s="5">
        <v>14.16</v>
      </c>
      <c r="J6" s="2" t="s">
        <v>14</v>
      </c>
      <c r="K6" t="s">
        <v>750</v>
      </c>
      <c r="O6" s="21">
        <f t="shared" si="0"/>
        <v>45988</v>
      </c>
      <c r="P6" s="23">
        <f t="shared" si="1"/>
        <v>4.0215847770519737</v>
      </c>
    </row>
    <row r="7" spans="1:18" hidden="1" outlineLevel="1" x14ac:dyDescent="0.3">
      <c r="A7" s="2" t="s">
        <v>9</v>
      </c>
      <c r="B7" s="2" t="s">
        <v>27</v>
      </c>
      <c r="C7" s="2" t="s">
        <v>28</v>
      </c>
      <c r="D7" s="2" t="s">
        <v>29</v>
      </c>
      <c r="E7" s="2" t="s">
        <v>13</v>
      </c>
      <c r="F7" s="3">
        <v>45982</v>
      </c>
      <c r="G7" s="4">
        <v>157</v>
      </c>
      <c r="H7" s="3">
        <v>45989</v>
      </c>
      <c r="I7" s="5">
        <v>28.32</v>
      </c>
      <c r="J7" s="2" t="s">
        <v>14</v>
      </c>
      <c r="K7" t="s">
        <v>750</v>
      </c>
      <c r="O7" s="21">
        <f t="shared" si="0"/>
        <v>45989</v>
      </c>
      <c r="P7" s="23">
        <f t="shared" si="1"/>
        <v>8.0431695541039474</v>
      </c>
    </row>
    <row r="8" spans="1:18" hidden="1" outlineLevel="1" x14ac:dyDescent="0.3">
      <c r="A8" s="2" t="s">
        <v>9</v>
      </c>
      <c r="B8" s="2" t="s">
        <v>30</v>
      </c>
      <c r="C8" s="2" t="s">
        <v>31</v>
      </c>
      <c r="D8" s="2" t="s">
        <v>32</v>
      </c>
      <c r="E8" s="2" t="s">
        <v>13</v>
      </c>
      <c r="F8" s="3">
        <v>45982</v>
      </c>
      <c r="G8" s="4">
        <v>157</v>
      </c>
      <c r="H8" s="3">
        <v>45989</v>
      </c>
      <c r="I8" s="5">
        <v>42.48</v>
      </c>
      <c r="J8" s="2" t="s">
        <v>14</v>
      </c>
      <c r="K8" t="s">
        <v>750</v>
      </c>
      <c r="O8" s="21">
        <f t="shared" si="0"/>
        <v>45989</v>
      </c>
      <c r="P8" s="23">
        <f t="shared" si="1"/>
        <v>12.064754331155921</v>
      </c>
    </row>
    <row r="9" spans="1:18" hidden="1" outlineLevel="1" x14ac:dyDescent="0.3">
      <c r="A9" s="2" t="s">
        <v>9</v>
      </c>
      <c r="B9" s="2" t="s">
        <v>33</v>
      </c>
      <c r="C9" s="2" t="s">
        <v>34</v>
      </c>
      <c r="D9" s="2" t="s">
        <v>35</v>
      </c>
      <c r="E9" s="2" t="s">
        <v>13</v>
      </c>
      <c r="F9" s="3">
        <v>45982</v>
      </c>
      <c r="G9" s="4">
        <v>157</v>
      </c>
      <c r="H9" s="3">
        <v>45989</v>
      </c>
      <c r="I9" s="5">
        <v>42.48</v>
      </c>
      <c r="J9" s="2" t="s">
        <v>14</v>
      </c>
      <c r="K9" t="s">
        <v>750</v>
      </c>
      <c r="O9" s="21">
        <f t="shared" si="0"/>
        <v>45989</v>
      </c>
      <c r="P9" s="23">
        <f t="shared" si="1"/>
        <v>12.064754331155921</v>
      </c>
    </row>
    <row r="10" spans="1:18" hidden="1" outlineLevel="1" x14ac:dyDescent="0.3">
      <c r="A10" s="2" t="s">
        <v>9</v>
      </c>
      <c r="B10" s="2" t="s">
        <v>36</v>
      </c>
      <c r="C10" s="2" t="s">
        <v>37</v>
      </c>
      <c r="D10" s="2" t="s">
        <v>38</v>
      </c>
      <c r="E10" s="2" t="s">
        <v>13</v>
      </c>
      <c r="F10" s="3">
        <v>45982</v>
      </c>
      <c r="G10" s="4">
        <v>157</v>
      </c>
      <c r="H10" s="3">
        <v>45989</v>
      </c>
      <c r="I10" s="5">
        <v>14.16</v>
      </c>
      <c r="J10" s="2" t="s">
        <v>14</v>
      </c>
      <c r="K10" t="s">
        <v>750</v>
      </c>
      <c r="O10" s="21">
        <f t="shared" si="0"/>
        <v>45989</v>
      </c>
      <c r="P10" s="23">
        <f t="shared" si="1"/>
        <v>4.0215847770519737</v>
      </c>
    </row>
    <row r="11" spans="1:18" hidden="1" outlineLevel="1" x14ac:dyDescent="0.3">
      <c r="A11" s="2" t="s">
        <v>9</v>
      </c>
      <c r="B11" s="2" t="s">
        <v>39</v>
      </c>
      <c r="C11" s="2" t="s">
        <v>40</v>
      </c>
      <c r="D11" s="2" t="s">
        <v>41</v>
      </c>
      <c r="E11" s="2" t="s">
        <v>13</v>
      </c>
      <c r="F11" s="3">
        <v>45983</v>
      </c>
      <c r="G11" s="4">
        <v>156</v>
      </c>
      <c r="H11" s="3">
        <v>45990</v>
      </c>
      <c r="I11" s="5">
        <v>28.32</v>
      </c>
      <c r="J11" s="2" t="s">
        <v>14</v>
      </c>
      <c r="K11" t="s">
        <v>750</v>
      </c>
      <c r="O11" s="21">
        <f t="shared" si="0"/>
        <v>45990</v>
      </c>
      <c r="P11" s="23">
        <f t="shared" si="1"/>
        <v>8.0431695541039474</v>
      </c>
    </row>
    <row r="12" spans="1:18" hidden="1" outlineLevel="1" x14ac:dyDescent="0.3">
      <c r="A12" s="2" t="s">
        <v>9</v>
      </c>
      <c r="B12" s="2" t="s">
        <v>42</v>
      </c>
      <c r="C12" s="2" t="s">
        <v>43</v>
      </c>
      <c r="D12" s="2" t="s">
        <v>44</v>
      </c>
      <c r="E12" s="2" t="s">
        <v>13</v>
      </c>
      <c r="F12" s="3">
        <v>45988</v>
      </c>
      <c r="G12" s="4">
        <v>151</v>
      </c>
      <c r="H12" s="3">
        <v>45995</v>
      </c>
      <c r="I12" s="5">
        <v>14.16</v>
      </c>
      <c r="J12" s="2" t="s">
        <v>14</v>
      </c>
      <c r="K12" t="s">
        <v>750</v>
      </c>
      <c r="O12" s="21">
        <f t="shared" si="0"/>
        <v>45995</v>
      </c>
      <c r="P12" s="23">
        <f t="shared" si="1"/>
        <v>4.0215847770519737</v>
      </c>
    </row>
    <row r="13" spans="1:18" hidden="1" outlineLevel="1" x14ac:dyDescent="0.3">
      <c r="A13" s="2" t="s">
        <v>9</v>
      </c>
      <c r="B13" s="2" t="s">
        <v>45</v>
      </c>
      <c r="C13" s="2" t="s">
        <v>46</v>
      </c>
      <c r="D13" s="2" t="s">
        <v>47</v>
      </c>
      <c r="E13" s="2" t="s">
        <v>13</v>
      </c>
      <c r="F13" s="3">
        <v>46028</v>
      </c>
      <c r="G13" s="4">
        <v>111</v>
      </c>
      <c r="H13" s="3">
        <v>46035</v>
      </c>
      <c r="I13" s="5">
        <v>14.16</v>
      </c>
      <c r="J13" s="2" t="s">
        <v>14</v>
      </c>
      <c r="K13" t="s">
        <v>750</v>
      </c>
      <c r="O13" s="21">
        <f t="shared" si="0"/>
        <v>46035</v>
      </c>
      <c r="P13" s="23">
        <f t="shared" si="1"/>
        <v>4.0215847770519737</v>
      </c>
    </row>
    <row r="14" spans="1:18" hidden="1" outlineLevel="1" x14ac:dyDescent="0.3">
      <c r="A14" s="2" t="s">
        <v>9</v>
      </c>
      <c r="B14" s="2" t="s">
        <v>48</v>
      </c>
      <c r="C14" s="2" t="s">
        <v>49</v>
      </c>
      <c r="D14" s="2" t="s">
        <v>50</v>
      </c>
      <c r="E14" s="2" t="s">
        <v>13</v>
      </c>
      <c r="F14" s="3">
        <v>46030</v>
      </c>
      <c r="G14" s="4">
        <v>109</v>
      </c>
      <c r="H14" s="3">
        <v>46037</v>
      </c>
      <c r="I14" s="5">
        <v>14.16</v>
      </c>
      <c r="J14" s="2" t="s">
        <v>14</v>
      </c>
      <c r="K14" t="s">
        <v>750</v>
      </c>
      <c r="O14" s="21">
        <f t="shared" si="0"/>
        <v>46037</v>
      </c>
      <c r="P14" s="23">
        <f t="shared" si="1"/>
        <v>4.0215847770519737</v>
      </c>
    </row>
    <row r="15" spans="1:18" hidden="1" outlineLevel="1" x14ac:dyDescent="0.3">
      <c r="A15" s="2" t="s">
        <v>9</v>
      </c>
      <c r="B15" s="2" t="s">
        <v>51</v>
      </c>
      <c r="C15" s="2" t="s">
        <v>52</v>
      </c>
      <c r="D15" s="2" t="s">
        <v>53</v>
      </c>
      <c r="E15" s="2" t="s">
        <v>13</v>
      </c>
      <c r="F15" s="3">
        <v>46032</v>
      </c>
      <c r="G15" s="4">
        <v>107</v>
      </c>
      <c r="H15" s="3">
        <v>46039</v>
      </c>
      <c r="I15" s="5">
        <v>14.16</v>
      </c>
      <c r="J15" s="2" t="s">
        <v>14</v>
      </c>
      <c r="K15" t="s">
        <v>750</v>
      </c>
      <c r="O15" s="21">
        <f t="shared" si="0"/>
        <v>46039</v>
      </c>
      <c r="P15" s="23">
        <f t="shared" si="1"/>
        <v>4.0215847770519737</v>
      </c>
    </row>
    <row r="16" spans="1:18" hidden="1" outlineLevel="1" x14ac:dyDescent="0.3">
      <c r="A16" s="2" t="s">
        <v>9</v>
      </c>
      <c r="B16" s="2" t="s">
        <v>54</v>
      </c>
      <c r="C16" s="2" t="s">
        <v>55</v>
      </c>
      <c r="D16" s="2" t="s">
        <v>56</v>
      </c>
      <c r="E16" s="2" t="s">
        <v>13</v>
      </c>
      <c r="F16" s="3">
        <v>46038</v>
      </c>
      <c r="G16" s="4">
        <v>101</v>
      </c>
      <c r="H16" s="3">
        <v>46045</v>
      </c>
      <c r="I16" s="5">
        <v>14.16</v>
      </c>
      <c r="J16" s="2" t="s">
        <v>14</v>
      </c>
      <c r="K16" t="s">
        <v>750</v>
      </c>
      <c r="O16" s="21">
        <f t="shared" si="0"/>
        <v>46045</v>
      </c>
      <c r="P16" s="23">
        <f t="shared" si="1"/>
        <v>4.0215847770519737</v>
      </c>
    </row>
    <row r="17" spans="1:16" hidden="1" outlineLevel="1" x14ac:dyDescent="0.3">
      <c r="A17" s="2" t="s">
        <v>9</v>
      </c>
      <c r="B17" s="2" t="s">
        <v>57</v>
      </c>
      <c r="C17" s="2" t="s">
        <v>58</v>
      </c>
      <c r="D17" s="2" t="s">
        <v>59</v>
      </c>
      <c r="E17" s="2" t="s">
        <v>13</v>
      </c>
      <c r="F17" s="3">
        <v>46038</v>
      </c>
      <c r="G17" s="4">
        <v>101</v>
      </c>
      <c r="H17" s="3">
        <v>46045</v>
      </c>
      <c r="I17" s="5">
        <v>14.16</v>
      </c>
      <c r="J17" s="2" t="s">
        <v>14</v>
      </c>
      <c r="K17" t="s">
        <v>750</v>
      </c>
      <c r="O17" s="21">
        <f t="shared" si="0"/>
        <v>46045</v>
      </c>
      <c r="P17" s="23">
        <f t="shared" si="1"/>
        <v>4.0215847770519737</v>
      </c>
    </row>
    <row r="18" spans="1:16" hidden="1" outlineLevel="1" x14ac:dyDescent="0.3">
      <c r="A18" s="2" t="s">
        <v>9</v>
      </c>
      <c r="B18" s="2" t="s">
        <v>60</v>
      </c>
      <c r="C18" s="2" t="s">
        <v>61</v>
      </c>
      <c r="D18" s="2" t="s">
        <v>62</v>
      </c>
      <c r="E18" s="2" t="s">
        <v>13</v>
      </c>
      <c r="F18" s="3">
        <v>46041</v>
      </c>
      <c r="G18" s="4">
        <v>98</v>
      </c>
      <c r="H18" s="3">
        <v>46048</v>
      </c>
      <c r="I18" s="5">
        <v>14.16</v>
      </c>
      <c r="J18" s="2" t="s">
        <v>14</v>
      </c>
      <c r="K18" t="s">
        <v>750</v>
      </c>
      <c r="O18" s="21">
        <f t="shared" si="0"/>
        <v>46048</v>
      </c>
      <c r="P18" s="23">
        <f t="shared" si="1"/>
        <v>4.0215847770519737</v>
      </c>
    </row>
    <row r="19" spans="1:16" hidden="1" outlineLevel="1" x14ac:dyDescent="0.3">
      <c r="A19" s="2" t="s">
        <v>63</v>
      </c>
      <c r="B19" s="2" t="s">
        <v>64</v>
      </c>
      <c r="C19" s="2" t="s">
        <v>65</v>
      </c>
      <c r="D19" s="2" t="s">
        <v>66</v>
      </c>
      <c r="E19" s="2" t="s">
        <v>67</v>
      </c>
      <c r="F19" s="3">
        <v>46117</v>
      </c>
      <c r="G19" s="4">
        <v>22</v>
      </c>
      <c r="H19" s="3">
        <v>46124</v>
      </c>
      <c r="I19" s="5">
        <v>250.4</v>
      </c>
      <c r="J19" s="2" t="s">
        <v>14</v>
      </c>
      <c r="K19" t="s">
        <v>750</v>
      </c>
      <c r="O19" s="21">
        <f t="shared" si="0"/>
        <v>46124</v>
      </c>
      <c r="P19" s="23">
        <f t="shared" si="1"/>
        <v>71.116160181766546</v>
      </c>
    </row>
    <row r="20" spans="1:16" hidden="1" outlineLevel="1" x14ac:dyDescent="0.3">
      <c r="A20" s="2" t="s">
        <v>63</v>
      </c>
      <c r="B20" s="2" t="s">
        <v>68</v>
      </c>
      <c r="C20" s="2" t="s">
        <v>69</v>
      </c>
      <c r="D20" s="2" t="s">
        <v>70</v>
      </c>
      <c r="E20" s="2" t="s">
        <v>67</v>
      </c>
      <c r="F20" s="3">
        <v>46117</v>
      </c>
      <c r="G20" s="4">
        <v>22</v>
      </c>
      <c r="H20" s="3">
        <v>46124</v>
      </c>
      <c r="I20" s="5">
        <v>23.6</v>
      </c>
      <c r="J20" s="2" t="s">
        <v>14</v>
      </c>
      <c r="K20" t="s">
        <v>750</v>
      </c>
      <c r="O20" s="21">
        <f t="shared" si="0"/>
        <v>46124</v>
      </c>
      <c r="P20" s="23">
        <f t="shared" si="1"/>
        <v>6.7026412950866234</v>
      </c>
    </row>
    <row r="21" spans="1:16" hidden="1" outlineLevel="1" x14ac:dyDescent="0.3">
      <c r="A21" s="2" t="s">
        <v>63</v>
      </c>
      <c r="B21" s="2" t="s">
        <v>71</v>
      </c>
      <c r="C21" s="2" t="s">
        <v>72</v>
      </c>
      <c r="D21" s="2" t="s">
        <v>73</v>
      </c>
      <c r="E21" s="2" t="s">
        <v>67</v>
      </c>
      <c r="F21" s="3">
        <v>46128</v>
      </c>
      <c r="G21" s="4">
        <v>11</v>
      </c>
      <c r="H21" s="3">
        <v>46135</v>
      </c>
      <c r="I21" s="5">
        <v>355.89</v>
      </c>
      <c r="J21" s="2" t="s">
        <v>14</v>
      </c>
      <c r="K21" t="s">
        <v>750</v>
      </c>
      <c r="O21" s="21">
        <f t="shared" si="0"/>
        <v>46135</v>
      </c>
      <c r="P21" s="23">
        <f t="shared" si="1"/>
        <v>101.07639875035501</v>
      </c>
    </row>
    <row r="22" spans="1:16" hidden="1" outlineLevel="1" x14ac:dyDescent="0.3">
      <c r="A22" s="2" t="s">
        <v>63</v>
      </c>
      <c r="B22" s="2" t="s">
        <v>74</v>
      </c>
      <c r="C22" s="2" t="s">
        <v>75</v>
      </c>
      <c r="D22" s="2" t="s">
        <v>76</v>
      </c>
      <c r="E22" s="2" t="s">
        <v>67</v>
      </c>
      <c r="F22" s="3">
        <v>46128</v>
      </c>
      <c r="G22" s="4">
        <v>11</v>
      </c>
      <c r="H22" s="3">
        <v>46135</v>
      </c>
      <c r="I22" s="5">
        <v>35.4</v>
      </c>
      <c r="J22" s="2" t="s">
        <v>14</v>
      </c>
      <c r="K22" t="s">
        <v>750</v>
      </c>
      <c r="O22" s="21">
        <f t="shared" si="0"/>
        <v>46135</v>
      </c>
      <c r="P22" s="23">
        <f t="shared" si="1"/>
        <v>10.053961942629934</v>
      </c>
    </row>
    <row r="23" spans="1:16" hidden="1" outlineLevel="1" x14ac:dyDescent="0.3">
      <c r="A23" s="2" t="s">
        <v>63</v>
      </c>
      <c r="B23" s="2" t="s">
        <v>77</v>
      </c>
      <c r="C23" s="2" t="s">
        <v>78</v>
      </c>
      <c r="D23" s="2" t="s">
        <v>79</v>
      </c>
      <c r="E23" s="2" t="s">
        <v>67</v>
      </c>
      <c r="F23" s="3">
        <v>46142</v>
      </c>
      <c r="G23" s="6">
        <v>-3</v>
      </c>
      <c r="H23" s="3">
        <v>46149</v>
      </c>
      <c r="I23" s="5">
        <v>352.82</v>
      </c>
      <c r="J23" s="2" t="s">
        <v>14</v>
      </c>
      <c r="K23" t="s">
        <v>750</v>
      </c>
      <c r="O23" s="21">
        <f t="shared" si="0"/>
        <v>46149</v>
      </c>
      <c r="P23" s="23">
        <f t="shared" si="1"/>
        <v>100.20448736154502</v>
      </c>
    </row>
    <row r="24" spans="1:16" hidden="1" outlineLevel="1" x14ac:dyDescent="0.3">
      <c r="A24" s="2" t="s">
        <v>63</v>
      </c>
      <c r="B24" s="2" t="s">
        <v>80</v>
      </c>
      <c r="C24" s="2" t="s">
        <v>81</v>
      </c>
      <c r="D24" s="2" t="s">
        <v>82</v>
      </c>
      <c r="E24" s="2" t="s">
        <v>67</v>
      </c>
      <c r="F24" s="3">
        <v>46142</v>
      </c>
      <c r="G24" s="6">
        <v>-3</v>
      </c>
      <c r="H24" s="3">
        <v>46149</v>
      </c>
      <c r="I24" s="5">
        <v>47.2</v>
      </c>
      <c r="J24" s="2" t="s">
        <v>14</v>
      </c>
      <c r="K24" t="s">
        <v>750</v>
      </c>
      <c r="O24" s="21">
        <f t="shared" si="0"/>
        <v>46149</v>
      </c>
      <c r="P24" s="23">
        <f t="shared" si="1"/>
        <v>13.405282590173247</v>
      </c>
    </row>
    <row r="25" spans="1:16" hidden="1" outlineLevel="1" x14ac:dyDescent="0.3">
      <c r="A25" s="2" t="s">
        <v>84</v>
      </c>
      <c r="B25" s="2" t="s">
        <v>85</v>
      </c>
      <c r="C25" s="2" t="s">
        <v>86</v>
      </c>
      <c r="D25" s="2" t="s">
        <v>87</v>
      </c>
      <c r="E25" s="2" t="s">
        <v>13</v>
      </c>
      <c r="F25" s="3">
        <v>46098</v>
      </c>
      <c r="G25" s="4">
        <v>41</v>
      </c>
      <c r="H25" s="3">
        <v>46105</v>
      </c>
      <c r="I25" s="5">
        <v>424.8</v>
      </c>
      <c r="J25" s="2" t="s">
        <v>14</v>
      </c>
      <c r="K25" t="s">
        <v>750</v>
      </c>
      <c r="O25" s="21">
        <f t="shared" si="0"/>
        <v>46105</v>
      </c>
      <c r="P25" s="23">
        <f t="shared" si="1"/>
        <v>120.64754331155922</v>
      </c>
    </row>
    <row r="26" spans="1:16" hidden="1" outlineLevel="1" x14ac:dyDescent="0.3">
      <c r="A26" s="2" t="s">
        <v>84</v>
      </c>
      <c r="B26" s="2" t="s">
        <v>88</v>
      </c>
      <c r="C26" s="2" t="s">
        <v>89</v>
      </c>
      <c r="D26" s="2" t="s">
        <v>90</v>
      </c>
      <c r="E26" s="2" t="s">
        <v>13</v>
      </c>
      <c r="F26" s="3">
        <v>46100</v>
      </c>
      <c r="G26" s="4">
        <v>39</v>
      </c>
      <c r="H26" s="3">
        <v>46107</v>
      </c>
      <c r="I26" s="5">
        <v>283.2</v>
      </c>
      <c r="J26" s="2" t="s">
        <v>14</v>
      </c>
      <c r="K26" t="s">
        <v>750</v>
      </c>
      <c r="O26" s="21">
        <f t="shared" si="0"/>
        <v>46107</v>
      </c>
      <c r="P26" s="23">
        <f t="shared" si="1"/>
        <v>80.431695541039474</v>
      </c>
    </row>
    <row r="27" spans="1:16" hidden="1" outlineLevel="1" x14ac:dyDescent="0.3">
      <c r="A27" s="2" t="s">
        <v>84</v>
      </c>
      <c r="B27" s="2" t="s">
        <v>91</v>
      </c>
      <c r="C27" s="2" t="s">
        <v>92</v>
      </c>
      <c r="D27" s="2" t="s">
        <v>93</v>
      </c>
      <c r="E27" s="2" t="s">
        <v>13</v>
      </c>
      <c r="F27" s="3">
        <v>46102</v>
      </c>
      <c r="G27" s="4">
        <v>37</v>
      </c>
      <c r="H27" s="3">
        <v>46109</v>
      </c>
      <c r="I27" s="5">
        <v>354</v>
      </c>
      <c r="J27" s="2" t="s">
        <v>14</v>
      </c>
      <c r="K27" t="s">
        <v>750</v>
      </c>
      <c r="O27" s="21">
        <f t="shared" si="0"/>
        <v>46109</v>
      </c>
      <c r="P27" s="23">
        <f t="shared" si="1"/>
        <v>100.53961942629935</v>
      </c>
    </row>
    <row r="28" spans="1:16" hidden="1" outlineLevel="1" x14ac:dyDescent="0.3">
      <c r="A28" s="2" t="s">
        <v>84</v>
      </c>
      <c r="B28" s="2" t="s">
        <v>94</v>
      </c>
      <c r="C28" s="2" t="s">
        <v>95</v>
      </c>
      <c r="D28" s="2" t="s">
        <v>96</v>
      </c>
      <c r="E28" s="2" t="s">
        <v>13</v>
      </c>
      <c r="F28" s="3">
        <v>46111</v>
      </c>
      <c r="G28" s="4">
        <v>28</v>
      </c>
      <c r="H28" s="3">
        <v>46118</v>
      </c>
      <c r="I28" s="5">
        <v>283.2</v>
      </c>
      <c r="J28" s="2" t="s">
        <v>14</v>
      </c>
      <c r="K28" t="s">
        <v>750</v>
      </c>
      <c r="O28" s="21">
        <f t="shared" si="0"/>
        <v>46118</v>
      </c>
      <c r="P28" s="23">
        <f t="shared" si="1"/>
        <v>80.431695541039474</v>
      </c>
    </row>
    <row r="29" spans="1:16" hidden="1" outlineLevel="1" x14ac:dyDescent="0.3">
      <c r="A29" s="2" t="s">
        <v>84</v>
      </c>
      <c r="B29" s="2" t="s">
        <v>97</v>
      </c>
      <c r="C29" s="2" t="s">
        <v>98</v>
      </c>
      <c r="D29" s="2" t="s">
        <v>99</v>
      </c>
      <c r="E29" s="2" t="s">
        <v>13</v>
      </c>
      <c r="F29" s="3">
        <v>46121</v>
      </c>
      <c r="G29" s="4">
        <v>18</v>
      </c>
      <c r="H29" s="3">
        <v>46128</v>
      </c>
      <c r="I29" s="5">
        <v>354</v>
      </c>
      <c r="J29" s="2" t="s">
        <v>14</v>
      </c>
      <c r="K29" t="s">
        <v>750</v>
      </c>
      <c r="O29" s="21">
        <f t="shared" si="0"/>
        <v>46128</v>
      </c>
      <c r="P29" s="23">
        <f t="shared" si="1"/>
        <v>100.53961942629935</v>
      </c>
    </row>
    <row r="30" spans="1:16" hidden="1" outlineLevel="1" x14ac:dyDescent="0.3">
      <c r="A30" s="2" t="s">
        <v>84</v>
      </c>
      <c r="B30" s="2" t="s">
        <v>100</v>
      </c>
      <c r="C30" s="2" t="s">
        <v>101</v>
      </c>
      <c r="D30" s="2" t="s">
        <v>102</v>
      </c>
      <c r="E30" s="2" t="s">
        <v>13</v>
      </c>
      <c r="F30" s="3">
        <v>46122</v>
      </c>
      <c r="G30" s="4">
        <v>17</v>
      </c>
      <c r="H30" s="3">
        <v>46129</v>
      </c>
      <c r="I30" s="5">
        <v>236</v>
      </c>
      <c r="J30" s="2" t="s">
        <v>14</v>
      </c>
      <c r="K30" t="s">
        <v>750</v>
      </c>
      <c r="O30" s="21">
        <f t="shared" si="0"/>
        <v>46129</v>
      </c>
      <c r="P30" s="23">
        <f t="shared" si="1"/>
        <v>67.026412950866231</v>
      </c>
    </row>
    <row r="31" spans="1:16" hidden="1" outlineLevel="1" x14ac:dyDescent="0.3">
      <c r="A31" s="2" t="s">
        <v>84</v>
      </c>
      <c r="B31" s="2" t="s">
        <v>103</v>
      </c>
      <c r="C31" s="2" t="s">
        <v>104</v>
      </c>
      <c r="D31" s="2" t="s">
        <v>105</v>
      </c>
      <c r="E31" s="2" t="s">
        <v>13</v>
      </c>
      <c r="F31" s="3">
        <v>46137</v>
      </c>
      <c r="G31" s="4">
        <v>2</v>
      </c>
      <c r="H31" s="3">
        <v>46144</v>
      </c>
      <c r="I31" s="5">
        <v>354</v>
      </c>
      <c r="J31" s="2" t="s">
        <v>14</v>
      </c>
      <c r="K31" t="s">
        <v>750</v>
      </c>
      <c r="O31" s="21">
        <f t="shared" si="0"/>
        <v>46144</v>
      </c>
      <c r="P31" s="23">
        <f t="shared" si="1"/>
        <v>100.53961942629935</v>
      </c>
    </row>
    <row r="32" spans="1:16" hidden="1" outlineLevel="1" x14ac:dyDescent="0.3">
      <c r="A32" s="2" t="s">
        <v>106</v>
      </c>
      <c r="B32" s="2" t="s">
        <v>107</v>
      </c>
      <c r="C32" s="2" t="s">
        <v>108</v>
      </c>
      <c r="D32" s="2" t="s">
        <v>109</v>
      </c>
      <c r="E32" s="2" t="s">
        <v>13</v>
      </c>
      <c r="F32" s="3">
        <v>46141</v>
      </c>
      <c r="G32" s="6">
        <v>-2</v>
      </c>
      <c r="H32" s="3">
        <v>46148</v>
      </c>
      <c r="I32" s="5">
        <v>190.31</v>
      </c>
      <c r="J32" s="2" t="s">
        <v>14</v>
      </c>
      <c r="K32" t="s">
        <v>750</v>
      </c>
      <c r="O32" s="21">
        <f t="shared" si="0"/>
        <v>46148</v>
      </c>
      <c r="P32" s="23">
        <f t="shared" si="1"/>
        <v>54.04998579948878</v>
      </c>
    </row>
    <row r="33" spans="1:18" hidden="1" outlineLevel="1" x14ac:dyDescent="0.3">
      <c r="A33" s="2" t="s">
        <v>106</v>
      </c>
      <c r="B33" s="2" t="s">
        <v>110</v>
      </c>
      <c r="C33" s="2" t="s">
        <v>111</v>
      </c>
      <c r="D33" s="2" t="s">
        <v>112</v>
      </c>
      <c r="E33" s="2" t="s">
        <v>13</v>
      </c>
      <c r="F33" s="3">
        <v>46141</v>
      </c>
      <c r="G33" s="6">
        <v>-2</v>
      </c>
      <c r="H33" s="3">
        <v>46148</v>
      </c>
      <c r="I33" s="5">
        <v>123.9</v>
      </c>
      <c r="J33" s="2" t="s">
        <v>14</v>
      </c>
      <c r="K33" t="s">
        <v>750</v>
      </c>
      <c r="O33" s="21">
        <f t="shared" si="0"/>
        <v>46148</v>
      </c>
      <c r="P33" s="23">
        <f t="shared" si="1"/>
        <v>35.188866799204774</v>
      </c>
    </row>
    <row r="34" spans="1:18" outlineLevel="1" x14ac:dyDescent="0.3">
      <c r="A34" s="2" t="s">
        <v>113</v>
      </c>
      <c r="B34" s="2" t="s">
        <v>114</v>
      </c>
      <c r="C34" s="2" t="s">
        <v>115</v>
      </c>
      <c r="D34" s="2" t="s">
        <v>769</v>
      </c>
      <c r="E34" s="2" t="s">
        <v>132</v>
      </c>
      <c r="F34" s="3">
        <v>46110</v>
      </c>
      <c r="G34" s="6">
        <v>-9</v>
      </c>
      <c r="H34" s="3">
        <v>46155</v>
      </c>
      <c r="I34" s="5">
        <v>8136.99</v>
      </c>
      <c r="J34" s="2" t="s">
        <v>83</v>
      </c>
      <c r="K34" t="s">
        <v>754</v>
      </c>
      <c r="L34" s="16">
        <f>F34+45</f>
        <v>46155</v>
      </c>
      <c r="M34" s="17">
        <f ca="1">TODAY()-N34</f>
        <v>-9</v>
      </c>
      <c r="N34" s="16">
        <v>46155</v>
      </c>
      <c r="O34" s="21">
        <f>H34</f>
        <v>46155</v>
      </c>
      <c r="P34" s="22">
        <f>I34</f>
        <v>8136.99</v>
      </c>
      <c r="Q34" s="17">
        <f ca="1">TODAY()-F34</f>
        <v>36</v>
      </c>
      <c r="R34" t="s">
        <v>780</v>
      </c>
    </row>
    <row r="35" spans="1:18" outlineLevel="1" x14ac:dyDescent="0.3">
      <c r="A35" s="2" t="s">
        <v>113</v>
      </c>
      <c r="B35" s="2" t="s">
        <v>117</v>
      </c>
      <c r="C35" s="2" t="s">
        <v>118</v>
      </c>
      <c r="D35" s="2" t="s">
        <v>119</v>
      </c>
      <c r="E35" s="2" t="s">
        <v>116</v>
      </c>
      <c r="F35" s="3">
        <v>46110</v>
      </c>
      <c r="G35" s="6">
        <v>-9</v>
      </c>
      <c r="H35" s="3">
        <v>46155</v>
      </c>
      <c r="I35" s="5">
        <v>24860</v>
      </c>
      <c r="J35" s="2" t="s">
        <v>83</v>
      </c>
      <c r="K35" t="s">
        <v>754</v>
      </c>
      <c r="L35" s="16">
        <f t="shared" ref="L35:L39" si="2">F35+45</f>
        <v>46155</v>
      </c>
      <c r="M35" s="17">
        <f t="shared" ref="M35:M39" ca="1" si="3">TODAY()-N35</f>
        <v>-9</v>
      </c>
      <c r="N35" s="16">
        <v>46155</v>
      </c>
      <c r="O35" s="21">
        <f t="shared" ref="O35:O39" si="4">H35</f>
        <v>46155</v>
      </c>
      <c r="P35" s="22">
        <f t="shared" ref="P35:P39" si="5">I35</f>
        <v>24860</v>
      </c>
      <c r="Q35" s="17">
        <f t="shared" ref="Q35:Q39" ca="1" si="6">TODAY()-F35</f>
        <v>36</v>
      </c>
      <c r="R35" t="s">
        <v>780</v>
      </c>
    </row>
    <row r="36" spans="1:18" outlineLevel="1" x14ac:dyDescent="0.3">
      <c r="A36" s="2" t="s">
        <v>113</v>
      </c>
      <c r="B36" s="2" t="s">
        <v>120</v>
      </c>
      <c r="C36" s="2" t="s">
        <v>121</v>
      </c>
      <c r="D36" s="2" t="s">
        <v>122</v>
      </c>
      <c r="E36" s="2" t="s">
        <v>116</v>
      </c>
      <c r="F36" s="3">
        <v>46110</v>
      </c>
      <c r="G36" s="6">
        <v>-9</v>
      </c>
      <c r="H36" s="3">
        <v>46155</v>
      </c>
      <c r="I36" s="5">
        <v>24860</v>
      </c>
      <c r="J36" s="2" t="s">
        <v>83</v>
      </c>
      <c r="K36" t="s">
        <v>754</v>
      </c>
      <c r="L36" s="16">
        <f t="shared" si="2"/>
        <v>46155</v>
      </c>
      <c r="M36" s="17">
        <f t="shared" ca="1" si="3"/>
        <v>-9</v>
      </c>
      <c r="N36" s="16">
        <v>46155</v>
      </c>
      <c r="O36" s="21">
        <f t="shared" si="4"/>
        <v>46155</v>
      </c>
      <c r="P36" s="22">
        <f t="shared" si="5"/>
        <v>24860</v>
      </c>
      <c r="Q36" s="17">
        <f t="shared" ca="1" si="6"/>
        <v>36</v>
      </c>
      <c r="R36" t="s">
        <v>780</v>
      </c>
    </row>
    <row r="37" spans="1:18" outlineLevel="1" x14ac:dyDescent="0.3">
      <c r="A37" s="2" t="s">
        <v>113</v>
      </c>
      <c r="B37" s="2" t="s">
        <v>123</v>
      </c>
      <c r="C37" s="2" t="s">
        <v>124</v>
      </c>
      <c r="D37" s="2" t="s">
        <v>125</v>
      </c>
      <c r="E37" s="2" t="s">
        <v>116</v>
      </c>
      <c r="F37" s="3">
        <v>46110</v>
      </c>
      <c r="G37" s="6">
        <v>-9</v>
      </c>
      <c r="H37" s="3">
        <v>46155</v>
      </c>
      <c r="I37" s="5">
        <v>28800</v>
      </c>
      <c r="J37" s="2" t="s">
        <v>83</v>
      </c>
      <c r="K37" t="s">
        <v>754</v>
      </c>
      <c r="L37" s="16">
        <f t="shared" si="2"/>
        <v>46155</v>
      </c>
      <c r="M37" s="17">
        <f t="shared" ca="1" si="3"/>
        <v>-9</v>
      </c>
      <c r="N37" s="16">
        <v>46155</v>
      </c>
      <c r="O37" s="21">
        <f t="shared" si="4"/>
        <v>46155</v>
      </c>
      <c r="P37" s="22">
        <f t="shared" si="5"/>
        <v>28800</v>
      </c>
      <c r="Q37" s="17">
        <f t="shared" ca="1" si="6"/>
        <v>36</v>
      </c>
      <c r="R37" t="s">
        <v>780</v>
      </c>
    </row>
    <row r="38" spans="1:18" outlineLevel="1" x14ac:dyDescent="0.3">
      <c r="A38" s="2" t="s">
        <v>113</v>
      </c>
      <c r="B38" s="2" t="s">
        <v>126</v>
      </c>
      <c r="C38" s="2" t="s">
        <v>127</v>
      </c>
      <c r="D38" s="2" t="s">
        <v>128</v>
      </c>
      <c r="E38" s="2" t="s">
        <v>116</v>
      </c>
      <c r="F38" s="3">
        <v>46110</v>
      </c>
      <c r="G38" s="6">
        <v>-9</v>
      </c>
      <c r="H38" s="3">
        <v>46155</v>
      </c>
      <c r="I38" s="5">
        <v>28800</v>
      </c>
      <c r="J38" s="2" t="s">
        <v>83</v>
      </c>
      <c r="K38" t="s">
        <v>754</v>
      </c>
      <c r="L38" s="16">
        <f t="shared" si="2"/>
        <v>46155</v>
      </c>
      <c r="M38" s="17">
        <f t="shared" ca="1" si="3"/>
        <v>-9</v>
      </c>
      <c r="N38" s="16">
        <v>46155</v>
      </c>
      <c r="O38" s="21">
        <f t="shared" si="4"/>
        <v>46155</v>
      </c>
      <c r="P38" s="22">
        <f t="shared" si="5"/>
        <v>28800</v>
      </c>
      <c r="Q38" s="17">
        <f t="shared" ca="1" si="6"/>
        <v>36</v>
      </c>
      <c r="R38" t="s">
        <v>780</v>
      </c>
    </row>
    <row r="39" spans="1:18" outlineLevel="1" x14ac:dyDescent="0.3">
      <c r="A39" s="2" t="s">
        <v>113</v>
      </c>
      <c r="B39" s="2" t="s">
        <v>129</v>
      </c>
      <c r="C39" s="2" t="s">
        <v>130</v>
      </c>
      <c r="D39" s="2" t="s">
        <v>131</v>
      </c>
      <c r="E39" s="2" t="s">
        <v>116</v>
      </c>
      <c r="F39" s="3">
        <v>46110</v>
      </c>
      <c r="G39" s="6">
        <v>-9</v>
      </c>
      <c r="H39" s="3">
        <v>46155</v>
      </c>
      <c r="I39" s="5">
        <v>29300</v>
      </c>
      <c r="J39" s="2" t="s">
        <v>83</v>
      </c>
      <c r="K39" t="s">
        <v>754</v>
      </c>
      <c r="L39" s="16">
        <f t="shared" si="2"/>
        <v>46155</v>
      </c>
      <c r="M39" s="17">
        <f t="shared" ca="1" si="3"/>
        <v>-9</v>
      </c>
      <c r="N39" s="16">
        <v>46155</v>
      </c>
      <c r="O39" s="21">
        <f t="shared" si="4"/>
        <v>46155</v>
      </c>
      <c r="P39" s="22">
        <f t="shared" si="5"/>
        <v>29300</v>
      </c>
      <c r="Q39" s="17">
        <f t="shared" ca="1" si="6"/>
        <v>36</v>
      </c>
      <c r="R39" t="s">
        <v>780</v>
      </c>
    </row>
    <row r="40" spans="1:18" hidden="1" outlineLevel="1" x14ac:dyDescent="0.3">
      <c r="A40" s="2" t="s">
        <v>134</v>
      </c>
      <c r="B40" s="2" t="s">
        <v>135</v>
      </c>
      <c r="C40" s="2" t="s">
        <v>136</v>
      </c>
      <c r="D40" s="2" t="s">
        <v>137</v>
      </c>
      <c r="E40" s="2" t="s">
        <v>67</v>
      </c>
      <c r="F40" s="3">
        <v>46128</v>
      </c>
      <c r="G40" s="4">
        <v>11</v>
      </c>
      <c r="H40" s="3">
        <v>46135</v>
      </c>
      <c r="I40" s="5">
        <v>684.64</v>
      </c>
      <c r="J40" s="2" t="s">
        <v>14</v>
      </c>
      <c r="K40" t="s">
        <v>750</v>
      </c>
      <c r="N40" s="16"/>
      <c r="O40" s="21">
        <f t="shared" ref="O40:O76" si="7">H40</f>
        <v>46135</v>
      </c>
      <c r="P40" s="23">
        <f t="shared" ref="P40:P69" si="8">I40/3.521</f>
        <v>194.44476001136042</v>
      </c>
    </row>
    <row r="41" spans="1:18" hidden="1" outlineLevel="1" x14ac:dyDescent="0.3">
      <c r="A41" s="2" t="s">
        <v>134</v>
      </c>
      <c r="B41" s="2" t="s">
        <v>138</v>
      </c>
      <c r="C41" s="2" t="s">
        <v>139</v>
      </c>
      <c r="D41" s="2" t="s">
        <v>140</v>
      </c>
      <c r="E41" s="2" t="s">
        <v>67</v>
      </c>
      <c r="F41" s="3">
        <v>46128</v>
      </c>
      <c r="G41" s="4">
        <v>11</v>
      </c>
      <c r="H41" s="3">
        <v>46135</v>
      </c>
      <c r="I41" s="5">
        <v>70.8</v>
      </c>
      <c r="J41" s="2" t="s">
        <v>14</v>
      </c>
      <c r="K41" t="s">
        <v>750</v>
      </c>
      <c r="N41" s="16"/>
      <c r="O41" s="21">
        <f t="shared" si="7"/>
        <v>46135</v>
      </c>
      <c r="P41" s="23">
        <f t="shared" si="8"/>
        <v>20.107923885259869</v>
      </c>
    </row>
    <row r="42" spans="1:18" hidden="1" outlineLevel="1" x14ac:dyDescent="0.3">
      <c r="A42" s="2" t="s">
        <v>134</v>
      </c>
      <c r="B42" s="2" t="s">
        <v>141</v>
      </c>
      <c r="C42" s="2" t="s">
        <v>142</v>
      </c>
      <c r="D42" s="2" t="s">
        <v>143</v>
      </c>
      <c r="E42" s="2" t="s">
        <v>67</v>
      </c>
      <c r="F42" s="3">
        <v>46129</v>
      </c>
      <c r="G42" s="4">
        <v>17</v>
      </c>
      <c r="H42" s="3">
        <v>46129</v>
      </c>
      <c r="I42" s="5">
        <v>586.70000000000005</v>
      </c>
      <c r="J42" s="2" t="s">
        <v>14</v>
      </c>
      <c r="K42" t="s">
        <v>750</v>
      </c>
      <c r="N42" s="16"/>
      <c r="O42" s="21">
        <f t="shared" si="7"/>
        <v>46129</v>
      </c>
      <c r="P42" s="23">
        <f t="shared" si="8"/>
        <v>166.62879863675093</v>
      </c>
    </row>
    <row r="43" spans="1:18" hidden="1" outlineLevel="1" x14ac:dyDescent="0.3">
      <c r="A43" s="2" t="s">
        <v>134</v>
      </c>
      <c r="B43" s="2" t="s">
        <v>144</v>
      </c>
      <c r="C43" s="2" t="s">
        <v>145</v>
      </c>
      <c r="D43" s="2" t="s">
        <v>146</v>
      </c>
      <c r="E43" s="2" t="s">
        <v>67</v>
      </c>
      <c r="F43" s="3">
        <v>46129</v>
      </c>
      <c r="G43" s="4">
        <v>17</v>
      </c>
      <c r="H43" s="3">
        <v>46129</v>
      </c>
      <c r="I43" s="5">
        <v>70.8</v>
      </c>
      <c r="J43" s="2" t="s">
        <v>14</v>
      </c>
      <c r="K43" t="s">
        <v>750</v>
      </c>
      <c r="N43" s="16"/>
      <c r="O43" s="21">
        <f t="shared" si="7"/>
        <v>46129</v>
      </c>
      <c r="P43" s="23">
        <f t="shared" si="8"/>
        <v>20.107923885259869</v>
      </c>
    </row>
    <row r="44" spans="1:18" hidden="1" outlineLevel="1" x14ac:dyDescent="0.3">
      <c r="A44" s="2" t="s">
        <v>134</v>
      </c>
      <c r="B44" s="2" t="s">
        <v>147</v>
      </c>
      <c r="C44" s="2" t="s">
        <v>148</v>
      </c>
      <c r="D44" s="2" t="s">
        <v>149</v>
      </c>
      <c r="E44" s="2" t="s">
        <v>67</v>
      </c>
      <c r="F44" s="3">
        <v>46131</v>
      </c>
      <c r="G44" s="4">
        <v>8</v>
      </c>
      <c r="H44" s="3">
        <v>46138</v>
      </c>
      <c r="I44" s="5">
        <v>358.48</v>
      </c>
      <c r="J44" s="2" t="s">
        <v>14</v>
      </c>
      <c r="K44" t="s">
        <v>750</v>
      </c>
      <c r="N44" s="16"/>
      <c r="O44" s="21">
        <f t="shared" si="7"/>
        <v>46138</v>
      </c>
      <c r="P44" s="23">
        <f t="shared" si="8"/>
        <v>101.81198523146834</v>
      </c>
    </row>
    <row r="45" spans="1:18" hidden="1" outlineLevel="1" x14ac:dyDescent="0.3">
      <c r="A45" s="2" t="s">
        <v>134</v>
      </c>
      <c r="B45" s="2" t="s">
        <v>150</v>
      </c>
      <c r="C45" s="2" t="s">
        <v>151</v>
      </c>
      <c r="D45" s="2" t="s">
        <v>152</v>
      </c>
      <c r="E45" s="2" t="s">
        <v>67</v>
      </c>
      <c r="F45" s="3">
        <v>46131</v>
      </c>
      <c r="G45" s="4">
        <v>8</v>
      </c>
      <c r="H45" s="3">
        <v>46138</v>
      </c>
      <c r="I45" s="5">
        <v>70.8</v>
      </c>
      <c r="J45" s="2" t="s">
        <v>14</v>
      </c>
      <c r="K45" t="s">
        <v>750</v>
      </c>
      <c r="N45" s="16"/>
      <c r="O45" s="21">
        <f t="shared" si="7"/>
        <v>46138</v>
      </c>
      <c r="P45" s="23">
        <f t="shared" si="8"/>
        <v>20.107923885259869</v>
      </c>
    </row>
    <row r="46" spans="1:18" hidden="1" outlineLevel="1" x14ac:dyDescent="0.3">
      <c r="A46" s="2" t="s">
        <v>134</v>
      </c>
      <c r="B46" s="2" t="s">
        <v>153</v>
      </c>
      <c r="C46" s="2" t="s">
        <v>154</v>
      </c>
      <c r="D46" s="2" t="s">
        <v>155</v>
      </c>
      <c r="E46" s="2" t="s">
        <v>67</v>
      </c>
      <c r="F46" s="3">
        <v>46132</v>
      </c>
      <c r="G46" s="4">
        <v>7</v>
      </c>
      <c r="H46" s="3">
        <v>46139</v>
      </c>
      <c r="I46" s="5">
        <v>405.68</v>
      </c>
      <c r="J46" s="2" t="s">
        <v>14</v>
      </c>
      <c r="K46" t="s">
        <v>750</v>
      </c>
      <c r="N46" s="16"/>
      <c r="O46" s="21">
        <f t="shared" si="7"/>
        <v>46139</v>
      </c>
      <c r="P46" s="23">
        <f t="shared" si="8"/>
        <v>115.21726782164158</v>
      </c>
    </row>
    <row r="47" spans="1:18" hidden="1" outlineLevel="1" x14ac:dyDescent="0.3">
      <c r="A47" s="2" t="s">
        <v>134</v>
      </c>
      <c r="B47" s="2" t="s">
        <v>156</v>
      </c>
      <c r="C47" s="2" t="s">
        <v>157</v>
      </c>
      <c r="D47" s="2" t="s">
        <v>158</v>
      </c>
      <c r="E47" s="2" t="s">
        <v>67</v>
      </c>
      <c r="F47" s="3">
        <v>46132</v>
      </c>
      <c r="G47" s="4">
        <v>7</v>
      </c>
      <c r="H47" s="3">
        <v>46139</v>
      </c>
      <c r="I47" s="5">
        <v>70.8</v>
      </c>
      <c r="J47" s="2" t="s">
        <v>14</v>
      </c>
      <c r="K47" t="s">
        <v>750</v>
      </c>
      <c r="N47" s="16"/>
      <c r="O47" s="21">
        <f t="shared" si="7"/>
        <v>46139</v>
      </c>
      <c r="P47" s="23">
        <f t="shared" si="8"/>
        <v>20.107923885259869</v>
      </c>
    </row>
    <row r="48" spans="1:18" hidden="1" outlineLevel="1" x14ac:dyDescent="0.3">
      <c r="A48" s="2" t="s">
        <v>134</v>
      </c>
      <c r="B48" s="2" t="s">
        <v>159</v>
      </c>
      <c r="C48" s="2" t="s">
        <v>160</v>
      </c>
      <c r="D48" s="2" t="s">
        <v>161</v>
      </c>
      <c r="E48" s="2" t="s">
        <v>67</v>
      </c>
      <c r="F48" s="3">
        <v>46132</v>
      </c>
      <c r="G48" s="4">
        <v>7</v>
      </c>
      <c r="H48" s="3">
        <v>46139</v>
      </c>
      <c r="I48" s="5">
        <v>371.23</v>
      </c>
      <c r="J48" s="2" t="s">
        <v>14</v>
      </c>
      <c r="K48" t="s">
        <v>750</v>
      </c>
      <c r="N48" s="16"/>
      <c r="O48" s="21">
        <f t="shared" si="7"/>
        <v>46139</v>
      </c>
      <c r="P48" s="23">
        <f t="shared" si="8"/>
        <v>105.43311559216133</v>
      </c>
    </row>
    <row r="49" spans="1:16" hidden="1" outlineLevel="1" x14ac:dyDescent="0.3">
      <c r="A49" s="2" t="s">
        <v>134</v>
      </c>
      <c r="B49" s="2" t="s">
        <v>162</v>
      </c>
      <c r="C49" s="2" t="s">
        <v>163</v>
      </c>
      <c r="D49" s="2" t="s">
        <v>164</v>
      </c>
      <c r="E49" s="2" t="s">
        <v>67</v>
      </c>
      <c r="F49" s="3">
        <v>46132</v>
      </c>
      <c r="G49" s="4">
        <v>7</v>
      </c>
      <c r="H49" s="3">
        <v>46139</v>
      </c>
      <c r="I49" s="5">
        <v>47.2</v>
      </c>
      <c r="J49" s="2" t="s">
        <v>14</v>
      </c>
      <c r="K49" t="s">
        <v>750</v>
      </c>
      <c r="N49" s="16"/>
      <c r="O49" s="21">
        <f t="shared" si="7"/>
        <v>46139</v>
      </c>
      <c r="P49" s="23">
        <f t="shared" si="8"/>
        <v>13.405282590173247</v>
      </c>
    </row>
    <row r="50" spans="1:16" hidden="1" outlineLevel="1" x14ac:dyDescent="0.3">
      <c r="A50" s="2" t="s">
        <v>134</v>
      </c>
      <c r="B50" s="2" t="s">
        <v>165</v>
      </c>
      <c r="C50" s="2" t="s">
        <v>166</v>
      </c>
      <c r="D50" s="2" t="s">
        <v>167</v>
      </c>
      <c r="E50" s="2" t="s">
        <v>67</v>
      </c>
      <c r="F50" s="3">
        <v>46134</v>
      </c>
      <c r="G50" s="4">
        <v>5</v>
      </c>
      <c r="H50" s="3">
        <v>46141</v>
      </c>
      <c r="I50" s="5">
        <v>242.61</v>
      </c>
      <c r="J50" s="2" t="s">
        <v>14</v>
      </c>
      <c r="K50" t="s">
        <v>750</v>
      </c>
      <c r="N50" s="16"/>
      <c r="O50" s="21">
        <f t="shared" si="7"/>
        <v>46141</v>
      </c>
      <c r="P50" s="23">
        <f t="shared" si="8"/>
        <v>68.903720533939222</v>
      </c>
    </row>
    <row r="51" spans="1:16" hidden="1" outlineLevel="1" x14ac:dyDescent="0.3">
      <c r="A51" s="2" t="s">
        <v>134</v>
      </c>
      <c r="B51" s="2" t="s">
        <v>168</v>
      </c>
      <c r="C51" s="2" t="s">
        <v>169</v>
      </c>
      <c r="D51" s="2" t="s">
        <v>170</v>
      </c>
      <c r="E51" s="2" t="s">
        <v>67</v>
      </c>
      <c r="F51" s="3">
        <v>46134</v>
      </c>
      <c r="G51" s="4">
        <v>5</v>
      </c>
      <c r="H51" s="3">
        <v>46141</v>
      </c>
      <c r="I51" s="5">
        <v>47.2</v>
      </c>
      <c r="J51" s="2" t="s">
        <v>14</v>
      </c>
      <c r="K51" t="s">
        <v>750</v>
      </c>
      <c r="N51" s="16"/>
      <c r="O51" s="21">
        <f t="shared" si="7"/>
        <v>46141</v>
      </c>
      <c r="P51" s="23">
        <f t="shared" si="8"/>
        <v>13.405282590173247</v>
      </c>
    </row>
    <row r="52" spans="1:16" hidden="1" outlineLevel="1" x14ac:dyDescent="0.3">
      <c r="A52" s="2" t="s">
        <v>134</v>
      </c>
      <c r="B52" s="2" t="s">
        <v>171</v>
      </c>
      <c r="C52" s="2" t="s">
        <v>172</v>
      </c>
      <c r="D52" s="2" t="s">
        <v>173</v>
      </c>
      <c r="E52" s="2" t="s">
        <v>67</v>
      </c>
      <c r="F52" s="3">
        <v>46135</v>
      </c>
      <c r="G52" s="4">
        <v>4</v>
      </c>
      <c r="H52" s="3">
        <v>46142</v>
      </c>
      <c r="I52" s="5">
        <v>590.47</v>
      </c>
      <c r="J52" s="2" t="s">
        <v>14</v>
      </c>
      <c r="K52" t="s">
        <v>750</v>
      </c>
      <c r="N52" s="16"/>
      <c r="O52" s="21">
        <f t="shared" si="7"/>
        <v>46142</v>
      </c>
      <c r="P52" s="23">
        <f t="shared" si="8"/>
        <v>167.69951718261859</v>
      </c>
    </row>
    <row r="53" spans="1:16" hidden="1" outlineLevel="1" x14ac:dyDescent="0.3">
      <c r="A53" s="2" t="s">
        <v>134</v>
      </c>
      <c r="B53" s="2" t="s">
        <v>174</v>
      </c>
      <c r="C53" s="2" t="s">
        <v>175</v>
      </c>
      <c r="D53" s="2" t="s">
        <v>176</v>
      </c>
      <c r="E53" s="2" t="s">
        <v>67</v>
      </c>
      <c r="F53" s="3">
        <v>46135</v>
      </c>
      <c r="G53" s="4">
        <v>4</v>
      </c>
      <c r="H53" s="3">
        <v>46142</v>
      </c>
      <c r="I53" s="5">
        <v>70.8</v>
      </c>
      <c r="J53" s="2" t="s">
        <v>14</v>
      </c>
      <c r="K53" t="s">
        <v>750</v>
      </c>
      <c r="N53" s="16"/>
      <c r="O53" s="21">
        <f t="shared" si="7"/>
        <v>46142</v>
      </c>
      <c r="P53" s="23">
        <f t="shared" si="8"/>
        <v>20.107923885259869</v>
      </c>
    </row>
    <row r="54" spans="1:16" hidden="1" outlineLevel="1" x14ac:dyDescent="0.3">
      <c r="A54" s="2" t="s">
        <v>134</v>
      </c>
      <c r="B54" s="2" t="s">
        <v>177</v>
      </c>
      <c r="C54" s="2" t="s">
        <v>178</v>
      </c>
      <c r="D54" s="2" t="s">
        <v>179</v>
      </c>
      <c r="E54" s="2" t="s">
        <v>67</v>
      </c>
      <c r="F54" s="3">
        <v>46137</v>
      </c>
      <c r="G54" s="4">
        <v>2</v>
      </c>
      <c r="H54" s="3">
        <v>46144</v>
      </c>
      <c r="I54" s="5">
        <v>508.82</v>
      </c>
      <c r="J54" s="2" t="s">
        <v>14</v>
      </c>
      <c r="K54" t="s">
        <v>750</v>
      </c>
      <c r="N54" s="16"/>
      <c r="O54" s="21">
        <f t="shared" si="7"/>
        <v>46144</v>
      </c>
      <c r="P54" s="23">
        <f t="shared" si="8"/>
        <v>144.51008236296508</v>
      </c>
    </row>
    <row r="55" spans="1:16" hidden="1" outlineLevel="1" x14ac:dyDescent="0.3">
      <c r="A55" s="2" t="s">
        <v>134</v>
      </c>
      <c r="B55" s="2" t="s">
        <v>180</v>
      </c>
      <c r="C55" s="2" t="s">
        <v>181</v>
      </c>
      <c r="D55" s="2" t="s">
        <v>182</v>
      </c>
      <c r="E55" s="2" t="s">
        <v>67</v>
      </c>
      <c r="F55" s="3">
        <v>46137</v>
      </c>
      <c r="G55" s="4">
        <v>2</v>
      </c>
      <c r="H55" s="3">
        <v>46144</v>
      </c>
      <c r="I55" s="5">
        <v>47.2</v>
      </c>
      <c r="J55" s="2" t="s">
        <v>14</v>
      </c>
      <c r="K55" t="s">
        <v>750</v>
      </c>
      <c r="N55" s="16"/>
      <c r="O55" s="21">
        <f t="shared" si="7"/>
        <v>46144</v>
      </c>
      <c r="P55" s="23">
        <f t="shared" si="8"/>
        <v>13.405282590173247</v>
      </c>
    </row>
    <row r="56" spans="1:16" hidden="1" outlineLevel="1" x14ac:dyDescent="0.3">
      <c r="A56" s="2" t="s">
        <v>134</v>
      </c>
      <c r="B56" s="2" t="s">
        <v>183</v>
      </c>
      <c r="C56" s="2" t="s">
        <v>184</v>
      </c>
      <c r="D56" s="2" t="s">
        <v>185</v>
      </c>
      <c r="E56" s="2" t="s">
        <v>67</v>
      </c>
      <c r="F56" s="3">
        <v>46137</v>
      </c>
      <c r="G56" s="4">
        <v>2</v>
      </c>
      <c r="H56" s="3">
        <v>46144</v>
      </c>
      <c r="I56" s="5">
        <v>377.84</v>
      </c>
      <c r="J56" s="2" t="s">
        <v>14</v>
      </c>
      <c r="K56" t="s">
        <v>750</v>
      </c>
      <c r="N56" s="16"/>
      <c r="O56" s="21">
        <f t="shared" si="7"/>
        <v>46144</v>
      </c>
      <c r="P56" s="23">
        <f t="shared" si="8"/>
        <v>107.31042317523431</v>
      </c>
    </row>
    <row r="57" spans="1:16" hidden="1" outlineLevel="1" x14ac:dyDescent="0.3">
      <c r="A57" s="2" t="s">
        <v>134</v>
      </c>
      <c r="B57" s="2" t="s">
        <v>186</v>
      </c>
      <c r="C57" s="2" t="s">
        <v>187</v>
      </c>
      <c r="D57" s="2" t="s">
        <v>188</v>
      </c>
      <c r="E57" s="2" t="s">
        <v>67</v>
      </c>
      <c r="F57" s="3">
        <v>46137</v>
      </c>
      <c r="G57" s="4">
        <v>2</v>
      </c>
      <c r="H57" s="3">
        <v>46144</v>
      </c>
      <c r="I57" s="5">
        <v>47.2</v>
      </c>
      <c r="J57" s="2" t="s">
        <v>14</v>
      </c>
      <c r="K57" t="s">
        <v>750</v>
      </c>
      <c r="N57" s="16"/>
      <c r="O57" s="21">
        <f t="shared" si="7"/>
        <v>46144</v>
      </c>
      <c r="P57" s="23">
        <f t="shared" si="8"/>
        <v>13.405282590173247</v>
      </c>
    </row>
    <row r="58" spans="1:16" hidden="1" outlineLevel="1" x14ac:dyDescent="0.3">
      <c r="A58" s="2" t="s">
        <v>134</v>
      </c>
      <c r="B58" s="2" t="s">
        <v>189</v>
      </c>
      <c r="C58" s="2" t="s">
        <v>190</v>
      </c>
      <c r="D58" s="2" t="s">
        <v>191</v>
      </c>
      <c r="E58" s="2" t="s">
        <v>67</v>
      </c>
      <c r="F58" s="3">
        <v>46139</v>
      </c>
      <c r="G58" s="4">
        <v>0</v>
      </c>
      <c r="H58" s="3">
        <v>46146</v>
      </c>
      <c r="I58" s="5">
        <v>676.61</v>
      </c>
      <c r="J58" s="2" t="s">
        <v>14</v>
      </c>
      <c r="K58" t="s">
        <v>750</v>
      </c>
      <c r="N58" s="16"/>
      <c r="O58" s="21">
        <f t="shared" si="7"/>
        <v>46146</v>
      </c>
      <c r="P58" s="23">
        <f t="shared" si="8"/>
        <v>192.16415790968475</v>
      </c>
    </row>
    <row r="59" spans="1:16" hidden="1" outlineLevel="1" x14ac:dyDescent="0.3">
      <c r="A59" s="2" t="s">
        <v>134</v>
      </c>
      <c r="B59" s="2" t="s">
        <v>192</v>
      </c>
      <c r="C59" s="2" t="s">
        <v>193</v>
      </c>
      <c r="D59" s="2" t="s">
        <v>194</v>
      </c>
      <c r="E59" s="2" t="s">
        <v>67</v>
      </c>
      <c r="F59" s="3">
        <v>46139</v>
      </c>
      <c r="G59" s="4">
        <v>0</v>
      </c>
      <c r="H59" s="3">
        <v>46146</v>
      </c>
      <c r="I59" s="5">
        <v>70.8</v>
      </c>
      <c r="J59" s="2" t="s">
        <v>14</v>
      </c>
      <c r="K59" t="s">
        <v>750</v>
      </c>
      <c r="N59" s="16"/>
      <c r="O59" s="21">
        <f t="shared" si="7"/>
        <v>46146</v>
      </c>
      <c r="P59" s="23">
        <f t="shared" si="8"/>
        <v>20.107923885259869</v>
      </c>
    </row>
    <row r="60" spans="1:16" hidden="1" outlineLevel="1" x14ac:dyDescent="0.3">
      <c r="A60" s="2" t="s">
        <v>134</v>
      </c>
      <c r="B60" s="2" t="s">
        <v>195</v>
      </c>
      <c r="C60" s="2" t="s">
        <v>196</v>
      </c>
      <c r="D60" s="2" t="s">
        <v>197</v>
      </c>
      <c r="E60" s="2" t="s">
        <v>67</v>
      </c>
      <c r="F60" s="3">
        <v>46140</v>
      </c>
      <c r="G60" s="6">
        <v>-1</v>
      </c>
      <c r="H60" s="3">
        <v>46147</v>
      </c>
      <c r="I60" s="5">
        <v>413.24</v>
      </c>
      <c r="J60" s="2" t="s">
        <v>14</v>
      </c>
      <c r="K60" t="s">
        <v>750</v>
      </c>
      <c r="N60" s="16"/>
      <c r="O60" s="21">
        <f t="shared" si="7"/>
        <v>46147</v>
      </c>
      <c r="P60" s="23">
        <f t="shared" si="8"/>
        <v>117.36438511786424</v>
      </c>
    </row>
    <row r="61" spans="1:16" hidden="1" outlineLevel="1" x14ac:dyDescent="0.3">
      <c r="A61" s="2" t="s">
        <v>134</v>
      </c>
      <c r="B61" s="2" t="s">
        <v>198</v>
      </c>
      <c r="C61" s="2" t="s">
        <v>199</v>
      </c>
      <c r="D61" s="2" t="s">
        <v>200</v>
      </c>
      <c r="E61" s="2" t="s">
        <v>67</v>
      </c>
      <c r="F61" s="3">
        <v>46140</v>
      </c>
      <c r="G61" s="6">
        <v>-1</v>
      </c>
      <c r="H61" s="3">
        <v>46147</v>
      </c>
      <c r="I61" s="5">
        <v>47.2</v>
      </c>
      <c r="J61" s="2" t="s">
        <v>14</v>
      </c>
      <c r="K61" t="s">
        <v>750</v>
      </c>
      <c r="N61" s="16"/>
      <c r="O61" s="21">
        <f t="shared" si="7"/>
        <v>46147</v>
      </c>
      <c r="P61" s="23">
        <f t="shared" si="8"/>
        <v>13.405282590173247</v>
      </c>
    </row>
    <row r="62" spans="1:16" hidden="1" outlineLevel="1" x14ac:dyDescent="0.3">
      <c r="A62" s="2" t="s">
        <v>134</v>
      </c>
      <c r="B62" s="2" t="s">
        <v>201</v>
      </c>
      <c r="C62" s="2" t="s">
        <v>202</v>
      </c>
      <c r="D62" s="2" t="s">
        <v>203</v>
      </c>
      <c r="E62" s="2" t="s">
        <v>67</v>
      </c>
      <c r="F62" s="3">
        <v>46141</v>
      </c>
      <c r="G62" s="6">
        <v>-2</v>
      </c>
      <c r="H62" s="3">
        <v>46148</v>
      </c>
      <c r="I62" s="5">
        <v>317.42</v>
      </c>
      <c r="J62" s="2" t="s">
        <v>14</v>
      </c>
      <c r="K62" t="s">
        <v>750</v>
      </c>
      <c r="N62" s="16"/>
      <c r="O62" s="21">
        <f t="shared" si="7"/>
        <v>46148</v>
      </c>
      <c r="P62" s="23">
        <f t="shared" si="8"/>
        <v>90.150525418915095</v>
      </c>
    </row>
    <row r="63" spans="1:16" hidden="1" outlineLevel="1" x14ac:dyDescent="0.3">
      <c r="A63" s="2" t="s">
        <v>134</v>
      </c>
      <c r="B63" s="2" t="s">
        <v>204</v>
      </c>
      <c r="C63" s="2" t="s">
        <v>205</v>
      </c>
      <c r="D63" s="2" t="s">
        <v>206</v>
      </c>
      <c r="E63" s="2" t="s">
        <v>67</v>
      </c>
      <c r="F63" s="3">
        <v>46141</v>
      </c>
      <c r="G63" s="6">
        <v>-2</v>
      </c>
      <c r="H63" s="3">
        <v>46148</v>
      </c>
      <c r="I63" s="5">
        <v>47.2</v>
      </c>
      <c r="J63" s="2" t="s">
        <v>14</v>
      </c>
      <c r="K63" t="s">
        <v>750</v>
      </c>
      <c r="N63" s="16"/>
      <c r="O63" s="21">
        <f t="shared" si="7"/>
        <v>46148</v>
      </c>
      <c r="P63" s="23">
        <f t="shared" si="8"/>
        <v>13.405282590173247</v>
      </c>
    </row>
    <row r="64" spans="1:16" hidden="1" outlineLevel="1" x14ac:dyDescent="0.3">
      <c r="A64" s="2" t="s">
        <v>134</v>
      </c>
      <c r="B64" s="2" t="s">
        <v>207</v>
      </c>
      <c r="C64" s="2" t="s">
        <v>208</v>
      </c>
      <c r="D64" s="2" t="s">
        <v>209</v>
      </c>
      <c r="E64" s="2" t="s">
        <v>67</v>
      </c>
      <c r="F64" s="3">
        <v>46142</v>
      </c>
      <c r="G64" s="6">
        <v>-3</v>
      </c>
      <c r="H64" s="3">
        <v>46149</v>
      </c>
      <c r="I64" s="5">
        <v>488.28</v>
      </c>
      <c r="J64" s="2" t="s">
        <v>14</v>
      </c>
      <c r="K64" t="s">
        <v>750</v>
      </c>
      <c r="N64" s="16"/>
      <c r="O64" s="21">
        <f t="shared" si="7"/>
        <v>46149</v>
      </c>
      <c r="P64" s="23">
        <f t="shared" si="8"/>
        <v>138.67651235444475</v>
      </c>
    </row>
    <row r="65" spans="1:18" hidden="1" outlineLevel="1" x14ac:dyDescent="0.3">
      <c r="A65" s="2" t="s">
        <v>134</v>
      </c>
      <c r="B65" s="2" t="s">
        <v>210</v>
      </c>
      <c r="C65" s="2" t="s">
        <v>211</v>
      </c>
      <c r="D65" s="2" t="s">
        <v>212</v>
      </c>
      <c r="E65" s="2" t="s">
        <v>67</v>
      </c>
      <c r="F65" s="3">
        <v>46142</v>
      </c>
      <c r="G65" s="6">
        <v>-3</v>
      </c>
      <c r="H65" s="3">
        <v>46149</v>
      </c>
      <c r="I65" s="5">
        <v>47.2</v>
      </c>
      <c r="J65" s="2" t="s">
        <v>14</v>
      </c>
      <c r="K65" t="s">
        <v>750</v>
      </c>
      <c r="N65" s="16"/>
      <c r="O65" s="21">
        <f t="shared" si="7"/>
        <v>46149</v>
      </c>
      <c r="P65" s="23">
        <f t="shared" si="8"/>
        <v>13.405282590173247</v>
      </c>
    </row>
    <row r="66" spans="1:18" hidden="1" outlineLevel="1" x14ac:dyDescent="0.3">
      <c r="A66" s="2" t="s">
        <v>134</v>
      </c>
      <c r="B66" s="2" t="s">
        <v>213</v>
      </c>
      <c r="C66" s="2" t="s">
        <v>214</v>
      </c>
      <c r="D66" s="2" t="s">
        <v>215</v>
      </c>
      <c r="E66" s="2" t="s">
        <v>67</v>
      </c>
      <c r="F66" s="3">
        <v>46144</v>
      </c>
      <c r="G66" s="6">
        <v>-5</v>
      </c>
      <c r="H66" s="3">
        <v>46151</v>
      </c>
      <c r="I66" s="5">
        <v>787.3</v>
      </c>
      <c r="J66" s="2" t="s">
        <v>14</v>
      </c>
      <c r="K66" t="s">
        <v>750</v>
      </c>
      <c r="N66" s="16"/>
      <c r="O66" s="21">
        <f t="shared" si="7"/>
        <v>46151</v>
      </c>
      <c r="P66" s="23">
        <f t="shared" si="8"/>
        <v>223.60124964498721</v>
      </c>
    </row>
    <row r="67" spans="1:18" hidden="1" outlineLevel="1" x14ac:dyDescent="0.3">
      <c r="A67" s="2" t="s">
        <v>134</v>
      </c>
      <c r="B67" s="2" t="s">
        <v>216</v>
      </c>
      <c r="C67" s="2" t="s">
        <v>217</v>
      </c>
      <c r="D67" s="2" t="s">
        <v>218</v>
      </c>
      <c r="E67" s="2" t="s">
        <v>67</v>
      </c>
      <c r="F67" s="3">
        <v>46144</v>
      </c>
      <c r="G67" s="6">
        <v>-5</v>
      </c>
      <c r="H67" s="3">
        <v>46151</v>
      </c>
      <c r="I67" s="5">
        <v>70.8</v>
      </c>
      <c r="J67" s="2" t="s">
        <v>14</v>
      </c>
      <c r="K67" t="s">
        <v>750</v>
      </c>
      <c r="N67" s="16"/>
      <c r="O67" s="21">
        <f t="shared" si="7"/>
        <v>46151</v>
      </c>
      <c r="P67" s="23">
        <f t="shared" si="8"/>
        <v>20.107923885259869</v>
      </c>
    </row>
    <row r="68" spans="1:18" hidden="1" outlineLevel="1" x14ac:dyDescent="0.3">
      <c r="A68" s="2" t="s">
        <v>134</v>
      </c>
      <c r="B68" s="2" t="s">
        <v>219</v>
      </c>
      <c r="C68" s="2" t="s">
        <v>220</v>
      </c>
      <c r="D68" s="2" t="s">
        <v>221</v>
      </c>
      <c r="E68" s="2" t="s">
        <v>67</v>
      </c>
      <c r="F68" s="3">
        <v>46145</v>
      </c>
      <c r="G68" s="6">
        <v>-6</v>
      </c>
      <c r="H68" s="3">
        <v>46152</v>
      </c>
      <c r="I68" s="5">
        <v>1235.7</v>
      </c>
      <c r="J68" s="2" t="s">
        <v>14</v>
      </c>
      <c r="K68" t="s">
        <v>750</v>
      </c>
      <c r="N68" s="16"/>
      <c r="O68" s="21">
        <f t="shared" si="7"/>
        <v>46152</v>
      </c>
      <c r="P68" s="23">
        <f t="shared" si="8"/>
        <v>350.95143425163309</v>
      </c>
    </row>
    <row r="69" spans="1:18" hidden="1" outlineLevel="1" x14ac:dyDescent="0.3">
      <c r="A69" s="2" t="s">
        <v>134</v>
      </c>
      <c r="B69" s="2" t="s">
        <v>222</v>
      </c>
      <c r="C69" s="2" t="s">
        <v>223</v>
      </c>
      <c r="D69" s="2" t="s">
        <v>224</v>
      </c>
      <c r="E69" s="2" t="s">
        <v>67</v>
      </c>
      <c r="F69" s="3">
        <v>46145</v>
      </c>
      <c r="G69" s="6">
        <v>-6</v>
      </c>
      <c r="H69" s="3">
        <v>46152</v>
      </c>
      <c r="I69" s="5">
        <v>118</v>
      </c>
      <c r="J69" s="2" t="s">
        <v>14</v>
      </c>
      <c r="K69" t="s">
        <v>750</v>
      </c>
      <c r="N69" s="16"/>
      <c r="O69" s="21">
        <f t="shared" si="7"/>
        <v>46152</v>
      </c>
      <c r="P69" s="23">
        <f t="shared" si="8"/>
        <v>33.513206475433115</v>
      </c>
    </row>
    <row r="70" spans="1:18" outlineLevel="1" x14ac:dyDescent="0.3">
      <c r="A70" s="2" t="s">
        <v>225</v>
      </c>
      <c r="B70" s="2" t="s">
        <v>226</v>
      </c>
      <c r="C70" s="2" t="s">
        <v>227</v>
      </c>
      <c r="D70" s="2" t="s">
        <v>228</v>
      </c>
      <c r="E70" s="2" t="s">
        <v>116</v>
      </c>
      <c r="F70" s="3">
        <v>46139</v>
      </c>
      <c r="G70" s="6">
        <v>-38</v>
      </c>
      <c r="H70" s="3">
        <v>46184</v>
      </c>
      <c r="I70" s="5">
        <v>323856</v>
      </c>
      <c r="J70" s="2" t="s">
        <v>83</v>
      </c>
      <c r="K70" t="s">
        <v>754</v>
      </c>
      <c r="L70" s="16">
        <f t="shared" ref="L70:N76" si="9">F70+45</f>
        <v>46184</v>
      </c>
      <c r="M70" s="17"/>
      <c r="N70" s="16">
        <f>L70</f>
        <v>46184</v>
      </c>
      <c r="O70" s="21">
        <f t="shared" si="7"/>
        <v>46184</v>
      </c>
      <c r="P70" s="22">
        <f t="shared" ref="P70:P76" si="10">I70</f>
        <v>323856</v>
      </c>
      <c r="Q70" s="17">
        <f t="shared" ref="Q70:Q76" ca="1" si="11">TODAY()-F70</f>
        <v>7</v>
      </c>
      <c r="R70" t="s">
        <v>780</v>
      </c>
    </row>
    <row r="71" spans="1:18" outlineLevel="1" x14ac:dyDescent="0.3">
      <c r="A71" s="2" t="s">
        <v>225</v>
      </c>
      <c r="B71" s="2" t="s">
        <v>226</v>
      </c>
      <c r="C71" s="2" t="s">
        <v>230</v>
      </c>
      <c r="D71" s="2" t="s">
        <v>231</v>
      </c>
      <c r="E71" s="2" t="s">
        <v>116</v>
      </c>
      <c r="F71" s="3">
        <v>46139</v>
      </c>
      <c r="G71" s="6">
        <v>-38</v>
      </c>
      <c r="H71" s="3">
        <v>46184</v>
      </c>
      <c r="I71" s="5">
        <v>388800</v>
      </c>
      <c r="J71" s="2" t="s">
        <v>83</v>
      </c>
      <c r="K71" t="s">
        <v>754</v>
      </c>
      <c r="L71" s="16">
        <f t="shared" ref="L71" si="12">F71+45</f>
        <v>46184</v>
      </c>
      <c r="M71" s="17"/>
      <c r="N71" s="16">
        <f>L71</f>
        <v>46184</v>
      </c>
      <c r="O71" s="21">
        <f t="shared" ref="O71" si="13">H71</f>
        <v>46184</v>
      </c>
      <c r="P71" s="22">
        <f t="shared" ref="P71" si="14">I71</f>
        <v>388800</v>
      </c>
      <c r="Q71" s="17">
        <f t="shared" ref="Q71" ca="1" si="15">TODAY()-F71</f>
        <v>7</v>
      </c>
      <c r="R71" t="s">
        <v>780</v>
      </c>
    </row>
    <row r="72" spans="1:18" outlineLevel="1" x14ac:dyDescent="0.3">
      <c r="A72" s="2" t="s">
        <v>225</v>
      </c>
      <c r="B72" s="2" t="s">
        <v>229</v>
      </c>
      <c r="C72" s="2" t="s">
        <v>230</v>
      </c>
      <c r="D72" s="2" t="s">
        <v>770</v>
      </c>
      <c r="E72" s="2" t="s">
        <v>133</v>
      </c>
      <c r="F72" s="3">
        <v>46141</v>
      </c>
      <c r="G72" s="6">
        <v>-38</v>
      </c>
      <c r="H72" s="3">
        <v>46142</v>
      </c>
      <c r="I72" s="5">
        <v>-64701</v>
      </c>
      <c r="J72" s="2" t="s">
        <v>83</v>
      </c>
      <c r="K72" t="s">
        <v>754</v>
      </c>
      <c r="L72" s="16">
        <f>H72</f>
        <v>46142</v>
      </c>
      <c r="M72" s="17"/>
      <c r="N72" s="16">
        <f>L72</f>
        <v>46142</v>
      </c>
      <c r="O72" s="21">
        <f t="shared" si="7"/>
        <v>46142</v>
      </c>
      <c r="P72" s="22">
        <f t="shared" si="10"/>
        <v>-64701</v>
      </c>
      <c r="Q72" s="17">
        <f t="shared" ca="1" si="11"/>
        <v>5</v>
      </c>
      <c r="R72" t="s">
        <v>780</v>
      </c>
    </row>
    <row r="73" spans="1:18" outlineLevel="1" x14ac:dyDescent="0.3">
      <c r="A73" s="2" t="s">
        <v>232</v>
      </c>
      <c r="B73" s="2" t="s">
        <v>234</v>
      </c>
      <c r="C73" s="2" t="s">
        <v>235</v>
      </c>
      <c r="D73" s="2" t="s">
        <v>236</v>
      </c>
      <c r="E73" s="2" t="s">
        <v>116</v>
      </c>
      <c r="F73" s="3">
        <v>46124</v>
      </c>
      <c r="G73" s="6">
        <v>-23</v>
      </c>
      <c r="H73" s="3">
        <v>46169</v>
      </c>
      <c r="I73" s="5">
        <v>67550</v>
      </c>
      <c r="J73" s="2" t="s">
        <v>83</v>
      </c>
      <c r="K73" t="s">
        <v>754</v>
      </c>
      <c r="L73" s="16">
        <f t="shared" si="9"/>
        <v>46169</v>
      </c>
      <c r="M73" s="17">
        <f t="shared" ref="M73" ca="1" si="16">TODAY()-N73</f>
        <v>-23</v>
      </c>
      <c r="N73" s="16">
        <v>46169</v>
      </c>
      <c r="O73" s="21">
        <f t="shared" si="7"/>
        <v>46169</v>
      </c>
      <c r="P73" s="22">
        <f t="shared" si="10"/>
        <v>67550</v>
      </c>
      <c r="Q73" s="17">
        <f t="shared" ca="1" si="11"/>
        <v>22</v>
      </c>
      <c r="R73" t="s">
        <v>780</v>
      </c>
    </row>
    <row r="74" spans="1:18" outlineLevel="1" x14ac:dyDescent="0.3">
      <c r="A74" s="2" t="s">
        <v>232</v>
      </c>
      <c r="B74" s="2" t="s">
        <v>237</v>
      </c>
      <c r="C74" s="2" t="s">
        <v>238</v>
      </c>
      <c r="D74" s="2" t="s">
        <v>239</v>
      </c>
      <c r="E74" s="2" t="s">
        <v>240</v>
      </c>
      <c r="F74" s="3">
        <v>46132</v>
      </c>
      <c r="G74" s="6">
        <v>-23</v>
      </c>
      <c r="H74" s="3">
        <v>46169</v>
      </c>
      <c r="I74" s="7">
        <v>-0.02</v>
      </c>
      <c r="J74" s="2" t="s">
        <v>83</v>
      </c>
      <c r="K74" t="s">
        <v>754</v>
      </c>
      <c r="L74" s="16">
        <f t="shared" si="9"/>
        <v>46177</v>
      </c>
      <c r="M74" s="17"/>
      <c r="N74" s="16">
        <f t="shared" ref="N74:N76" si="17">L74</f>
        <v>46177</v>
      </c>
      <c r="O74" s="21">
        <v>46177</v>
      </c>
      <c r="P74" s="22">
        <f t="shared" si="10"/>
        <v>-0.02</v>
      </c>
      <c r="Q74" s="17">
        <f t="shared" ca="1" si="11"/>
        <v>14</v>
      </c>
      <c r="R74" t="s">
        <v>780</v>
      </c>
    </row>
    <row r="75" spans="1:18" outlineLevel="1" x14ac:dyDescent="0.3">
      <c r="A75" s="2" t="s">
        <v>241</v>
      </c>
      <c r="B75" s="2" t="s">
        <v>243</v>
      </c>
      <c r="C75" s="2" t="s">
        <v>244</v>
      </c>
      <c r="D75" s="2" t="s">
        <v>771</v>
      </c>
      <c r="E75" s="2" t="s">
        <v>132</v>
      </c>
      <c r="F75" s="3">
        <v>46139</v>
      </c>
      <c r="G75" s="6">
        <v>-38</v>
      </c>
      <c r="H75" s="3">
        <v>46184</v>
      </c>
      <c r="I75" s="5">
        <v>60182</v>
      </c>
      <c r="J75" s="2" t="s">
        <v>83</v>
      </c>
      <c r="K75" t="s">
        <v>754</v>
      </c>
      <c r="L75" s="16">
        <f t="shared" si="9"/>
        <v>46184</v>
      </c>
      <c r="M75" s="17"/>
      <c r="N75" s="16">
        <f t="shared" si="17"/>
        <v>46184</v>
      </c>
      <c r="O75" s="21">
        <f t="shared" si="7"/>
        <v>46184</v>
      </c>
      <c r="P75" s="22">
        <f t="shared" si="10"/>
        <v>60182</v>
      </c>
      <c r="Q75" s="17">
        <f t="shared" ca="1" si="11"/>
        <v>7</v>
      </c>
      <c r="R75" t="s">
        <v>780</v>
      </c>
    </row>
    <row r="76" spans="1:18" outlineLevel="1" x14ac:dyDescent="0.3">
      <c r="A76" s="2" t="s">
        <v>241</v>
      </c>
      <c r="B76" s="2" t="s">
        <v>245</v>
      </c>
      <c r="C76" s="2" t="s">
        <v>246</v>
      </c>
      <c r="D76" s="2" t="s">
        <v>772</v>
      </c>
      <c r="E76" s="2" t="s">
        <v>132</v>
      </c>
      <c r="F76" s="3">
        <v>46141</v>
      </c>
      <c r="G76" s="6">
        <v>-40</v>
      </c>
      <c r="H76" s="3">
        <v>46186</v>
      </c>
      <c r="I76" s="5">
        <v>59598</v>
      </c>
      <c r="J76" s="2" t="s">
        <v>83</v>
      </c>
      <c r="K76" t="s">
        <v>754</v>
      </c>
      <c r="L76" s="16">
        <f t="shared" si="9"/>
        <v>46186</v>
      </c>
      <c r="M76" s="17"/>
      <c r="N76" s="16">
        <f t="shared" si="17"/>
        <v>46186</v>
      </c>
      <c r="O76" s="21">
        <f t="shared" si="7"/>
        <v>46186</v>
      </c>
      <c r="P76" s="22">
        <f t="shared" si="10"/>
        <v>59598</v>
      </c>
      <c r="Q76" s="17">
        <f t="shared" ca="1" si="11"/>
        <v>5</v>
      </c>
      <c r="R76" t="s">
        <v>780</v>
      </c>
    </row>
    <row r="77" spans="1:18" hidden="1" outlineLevel="1" x14ac:dyDescent="0.3">
      <c r="A77" s="2" t="s">
        <v>247</v>
      </c>
      <c r="B77" s="2" t="s">
        <v>248</v>
      </c>
      <c r="C77" s="2" t="s">
        <v>249</v>
      </c>
      <c r="D77" s="2" t="s">
        <v>250</v>
      </c>
      <c r="E77" s="2" t="s">
        <v>13</v>
      </c>
      <c r="F77" s="3">
        <v>46134</v>
      </c>
      <c r="G77" s="4">
        <v>12</v>
      </c>
      <c r="H77" s="3">
        <v>46134</v>
      </c>
      <c r="I77" s="5">
        <v>695.16</v>
      </c>
      <c r="J77" s="2" t="s">
        <v>14</v>
      </c>
      <c r="K77" t="s">
        <v>750</v>
      </c>
      <c r="N77" s="16"/>
      <c r="O77" s="21">
        <f t="shared" ref="O77:O82" si="18">H77</f>
        <v>46134</v>
      </c>
      <c r="P77" s="23">
        <f t="shared" ref="P77:P80" si="19">I77/3.521</f>
        <v>197.43254757171258</v>
      </c>
    </row>
    <row r="78" spans="1:18" hidden="1" outlineLevel="1" x14ac:dyDescent="0.3">
      <c r="A78" s="2" t="s">
        <v>247</v>
      </c>
      <c r="B78" s="2" t="s">
        <v>251</v>
      </c>
      <c r="C78" s="2" t="s">
        <v>252</v>
      </c>
      <c r="D78" s="2" t="s">
        <v>253</v>
      </c>
      <c r="E78" s="2" t="s">
        <v>13</v>
      </c>
      <c r="F78" s="3">
        <v>46134</v>
      </c>
      <c r="G78" s="4">
        <v>12</v>
      </c>
      <c r="H78" s="3">
        <v>46134</v>
      </c>
      <c r="I78" s="5">
        <v>212.4</v>
      </c>
      <c r="J78" s="2" t="s">
        <v>14</v>
      </c>
      <c r="K78" t="s">
        <v>750</v>
      </c>
      <c r="N78" s="16"/>
      <c r="O78" s="21">
        <f t="shared" si="18"/>
        <v>46134</v>
      </c>
      <c r="P78" s="23">
        <f t="shared" si="19"/>
        <v>60.323771655779609</v>
      </c>
    </row>
    <row r="79" spans="1:18" hidden="1" outlineLevel="1" x14ac:dyDescent="0.3">
      <c r="A79" s="2" t="s">
        <v>247</v>
      </c>
      <c r="B79" s="2" t="s">
        <v>254</v>
      </c>
      <c r="C79" s="2" t="s">
        <v>255</v>
      </c>
      <c r="D79" s="2" t="s">
        <v>256</v>
      </c>
      <c r="E79" s="2" t="s">
        <v>13</v>
      </c>
      <c r="F79" s="3">
        <v>46135</v>
      </c>
      <c r="G79" s="4">
        <v>11</v>
      </c>
      <c r="H79" s="3">
        <v>46135</v>
      </c>
      <c r="I79" s="5">
        <v>759.92</v>
      </c>
      <c r="J79" s="2" t="s">
        <v>14</v>
      </c>
      <c r="K79" t="s">
        <v>750</v>
      </c>
      <c r="N79" s="16"/>
      <c r="O79" s="21">
        <f t="shared" si="18"/>
        <v>46135</v>
      </c>
      <c r="P79" s="23">
        <f t="shared" si="19"/>
        <v>215.82504970178925</v>
      </c>
    </row>
    <row r="80" spans="1:18" hidden="1" outlineLevel="1" x14ac:dyDescent="0.3">
      <c r="A80" s="2" t="s">
        <v>247</v>
      </c>
      <c r="B80" s="2" t="s">
        <v>257</v>
      </c>
      <c r="C80" s="2" t="s">
        <v>258</v>
      </c>
      <c r="D80" s="2" t="s">
        <v>259</v>
      </c>
      <c r="E80" s="2" t="s">
        <v>13</v>
      </c>
      <c r="F80" s="3">
        <v>46135</v>
      </c>
      <c r="G80" s="4">
        <v>11</v>
      </c>
      <c r="H80" s="3">
        <v>46135</v>
      </c>
      <c r="I80" s="5">
        <v>194.7</v>
      </c>
      <c r="J80" s="2" t="s">
        <v>14</v>
      </c>
      <c r="K80" t="s">
        <v>750</v>
      </c>
      <c r="N80" s="16"/>
      <c r="O80" s="21">
        <f t="shared" si="18"/>
        <v>46135</v>
      </c>
      <c r="P80" s="23">
        <f t="shared" si="19"/>
        <v>55.296790684464639</v>
      </c>
    </row>
    <row r="81" spans="1:18" outlineLevel="1" x14ac:dyDescent="0.3">
      <c r="A81" s="2" t="s">
        <v>260</v>
      </c>
      <c r="B81" s="2" t="s">
        <v>262</v>
      </c>
      <c r="C81" s="2" t="s">
        <v>263</v>
      </c>
      <c r="D81" s="2" t="s">
        <v>773</v>
      </c>
      <c r="E81" s="2" t="s">
        <v>132</v>
      </c>
      <c r="F81" s="3">
        <v>46139</v>
      </c>
      <c r="G81" s="6">
        <v>-38</v>
      </c>
      <c r="H81" s="3">
        <v>46184</v>
      </c>
      <c r="I81" s="5">
        <v>19830</v>
      </c>
      <c r="J81" s="2" t="s">
        <v>83</v>
      </c>
      <c r="K81" t="s">
        <v>754</v>
      </c>
      <c r="L81" s="16">
        <f t="shared" ref="L81:L82" si="20">F81+45</f>
        <v>46184</v>
      </c>
      <c r="M81" s="17"/>
      <c r="N81" s="16">
        <f t="shared" ref="N81:N82" si="21">L81</f>
        <v>46184</v>
      </c>
      <c r="O81" s="21">
        <f t="shared" si="18"/>
        <v>46184</v>
      </c>
      <c r="P81" s="22">
        <f t="shared" ref="P81:P82" si="22">I81</f>
        <v>19830</v>
      </c>
      <c r="Q81" s="17">
        <f t="shared" ref="Q81:Q82" ca="1" si="23">TODAY()-F81</f>
        <v>7</v>
      </c>
      <c r="R81" t="s">
        <v>780</v>
      </c>
    </row>
    <row r="82" spans="1:18" outlineLevel="1" x14ac:dyDescent="0.3">
      <c r="A82" s="2" t="s">
        <v>260</v>
      </c>
      <c r="B82" s="2" t="s">
        <v>264</v>
      </c>
      <c r="C82" s="2" t="s">
        <v>265</v>
      </c>
      <c r="D82" s="2" t="s">
        <v>774</v>
      </c>
      <c r="E82" s="2" t="s">
        <v>132</v>
      </c>
      <c r="F82" s="3">
        <v>46141</v>
      </c>
      <c r="G82" s="6">
        <v>-40</v>
      </c>
      <c r="H82" s="3">
        <v>46186</v>
      </c>
      <c r="I82" s="5">
        <v>36040</v>
      </c>
      <c r="J82" s="2" t="s">
        <v>83</v>
      </c>
      <c r="K82" t="s">
        <v>754</v>
      </c>
      <c r="L82" s="16">
        <f t="shared" si="20"/>
        <v>46186</v>
      </c>
      <c r="M82" s="17"/>
      <c r="N82" s="16">
        <f t="shared" si="21"/>
        <v>46186</v>
      </c>
      <c r="O82" s="21">
        <f t="shared" si="18"/>
        <v>46186</v>
      </c>
      <c r="P82" s="22">
        <f t="shared" si="22"/>
        <v>36040</v>
      </c>
      <c r="Q82" s="17">
        <f t="shared" ca="1" si="23"/>
        <v>5</v>
      </c>
      <c r="R82" t="s">
        <v>780</v>
      </c>
    </row>
    <row r="83" spans="1:18" hidden="1" outlineLevel="1" x14ac:dyDescent="0.3">
      <c r="A83" s="2" t="s">
        <v>266</v>
      </c>
      <c r="B83" s="2" t="s">
        <v>267</v>
      </c>
      <c r="C83" s="2" t="s">
        <v>268</v>
      </c>
      <c r="D83" s="2" t="s">
        <v>269</v>
      </c>
      <c r="E83" s="2" t="s">
        <v>13</v>
      </c>
      <c r="F83" s="3">
        <v>46140</v>
      </c>
      <c r="G83" s="4">
        <v>6</v>
      </c>
      <c r="H83" s="3">
        <v>46140</v>
      </c>
      <c r="I83" s="5">
        <v>305.86</v>
      </c>
      <c r="J83" s="2" t="s">
        <v>14</v>
      </c>
      <c r="K83" t="s">
        <v>750</v>
      </c>
      <c r="N83" s="16"/>
      <c r="O83" s="21">
        <f t="shared" ref="O83:O146" si="24">H83</f>
        <v>46140</v>
      </c>
      <c r="P83" s="23">
        <f t="shared" ref="P83:P144" si="25">I83/3.521</f>
        <v>86.867367225220107</v>
      </c>
    </row>
    <row r="84" spans="1:18" hidden="1" outlineLevel="1" x14ac:dyDescent="0.3">
      <c r="A84" s="2" t="s">
        <v>266</v>
      </c>
      <c r="B84" s="2" t="s">
        <v>270</v>
      </c>
      <c r="C84" s="2" t="s">
        <v>271</v>
      </c>
      <c r="D84" s="2" t="s">
        <v>272</v>
      </c>
      <c r="E84" s="2" t="s">
        <v>13</v>
      </c>
      <c r="F84" s="3">
        <v>46140</v>
      </c>
      <c r="G84" s="4">
        <v>6</v>
      </c>
      <c r="H84" s="3">
        <v>46140</v>
      </c>
      <c r="I84" s="5">
        <v>35.4</v>
      </c>
      <c r="J84" s="2" t="s">
        <v>14</v>
      </c>
      <c r="K84" t="s">
        <v>750</v>
      </c>
      <c r="N84" s="16"/>
      <c r="O84" s="21">
        <f t="shared" si="24"/>
        <v>46140</v>
      </c>
      <c r="P84" s="23">
        <f t="shared" si="25"/>
        <v>10.053961942629934</v>
      </c>
    </row>
    <row r="85" spans="1:18" hidden="1" outlineLevel="1" x14ac:dyDescent="0.3">
      <c r="A85" s="2" t="s">
        <v>273</v>
      </c>
      <c r="B85" s="2" t="s">
        <v>274</v>
      </c>
      <c r="C85" s="2" t="s">
        <v>275</v>
      </c>
      <c r="D85" s="2" t="s">
        <v>276</v>
      </c>
      <c r="E85" s="2" t="s">
        <v>13</v>
      </c>
      <c r="F85" s="3">
        <v>46126</v>
      </c>
      <c r="G85" s="4">
        <v>13</v>
      </c>
      <c r="H85" s="3">
        <v>46133</v>
      </c>
      <c r="I85" s="5">
        <v>1138.94</v>
      </c>
      <c r="J85" s="2" t="s">
        <v>14</v>
      </c>
      <c r="K85" t="s">
        <v>750</v>
      </c>
      <c r="N85" s="16"/>
      <c r="O85" s="21">
        <f t="shared" si="24"/>
        <v>46133</v>
      </c>
      <c r="P85" s="23">
        <f t="shared" si="25"/>
        <v>323.47060494177794</v>
      </c>
    </row>
    <row r="86" spans="1:18" hidden="1" outlineLevel="1" x14ac:dyDescent="0.3">
      <c r="A86" s="2" t="s">
        <v>273</v>
      </c>
      <c r="B86" s="2" t="s">
        <v>277</v>
      </c>
      <c r="C86" s="2" t="s">
        <v>278</v>
      </c>
      <c r="D86" s="2" t="s">
        <v>279</v>
      </c>
      <c r="E86" s="2" t="s">
        <v>13</v>
      </c>
      <c r="F86" s="3">
        <v>46126</v>
      </c>
      <c r="G86" s="4">
        <v>13</v>
      </c>
      <c r="H86" s="3">
        <v>46133</v>
      </c>
      <c r="I86" s="5">
        <v>118</v>
      </c>
      <c r="J86" s="2" t="s">
        <v>14</v>
      </c>
      <c r="K86" t="s">
        <v>750</v>
      </c>
      <c r="N86" s="16"/>
      <c r="O86" s="21">
        <f t="shared" si="24"/>
        <v>46133</v>
      </c>
      <c r="P86" s="23">
        <f t="shared" si="25"/>
        <v>33.513206475433115</v>
      </c>
    </row>
    <row r="87" spans="1:18" hidden="1" outlineLevel="1" x14ac:dyDescent="0.3">
      <c r="A87" s="2" t="s">
        <v>273</v>
      </c>
      <c r="B87" s="2" t="s">
        <v>280</v>
      </c>
      <c r="C87" s="2" t="s">
        <v>281</v>
      </c>
      <c r="D87" s="2" t="s">
        <v>282</v>
      </c>
      <c r="E87" s="2" t="s">
        <v>13</v>
      </c>
      <c r="F87" s="3">
        <v>46126</v>
      </c>
      <c r="G87" s="4">
        <v>13</v>
      </c>
      <c r="H87" s="3">
        <v>46133</v>
      </c>
      <c r="I87" s="5">
        <v>599.35</v>
      </c>
      <c r="J87" s="2" t="s">
        <v>14</v>
      </c>
      <c r="K87" t="s">
        <v>750</v>
      </c>
      <c r="N87" s="16"/>
      <c r="O87" s="21">
        <f t="shared" si="24"/>
        <v>46133</v>
      </c>
      <c r="P87" s="23">
        <f t="shared" si="25"/>
        <v>170.22152797500712</v>
      </c>
    </row>
    <row r="88" spans="1:18" hidden="1" outlineLevel="1" x14ac:dyDescent="0.3">
      <c r="A88" s="2" t="s">
        <v>273</v>
      </c>
      <c r="B88" s="2" t="s">
        <v>283</v>
      </c>
      <c r="C88" s="2" t="s">
        <v>284</v>
      </c>
      <c r="D88" s="2" t="s">
        <v>285</v>
      </c>
      <c r="E88" s="2" t="s">
        <v>13</v>
      </c>
      <c r="F88" s="3">
        <v>46126</v>
      </c>
      <c r="G88" s="4">
        <v>13</v>
      </c>
      <c r="H88" s="3">
        <v>46133</v>
      </c>
      <c r="I88" s="5">
        <v>212.4</v>
      </c>
      <c r="J88" s="2" t="s">
        <v>14</v>
      </c>
      <c r="K88" t="s">
        <v>750</v>
      </c>
      <c r="N88" s="16"/>
      <c r="O88" s="21">
        <f t="shared" si="24"/>
        <v>46133</v>
      </c>
      <c r="P88" s="23">
        <f t="shared" si="25"/>
        <v>60.323771655779609</v>
      </c>
    </row>
    <row r="89" spans="1:18" hidden="1" outlineLevel="1" x14ac:dyDescent="0.3">
      <c r="A89" s="2" t="s">
        <v>273</v>
      </c>
      <c r="B89" s="2" t="s">
        <v>286</v>
      </c>
      <c r="C89" s="2" t="s">
        <v>287</v>
      </c>
      <c r="D89" s="2" t="s">
        <v>288</v>
      </c>
      <c r="E89" s="2" t="s">
        <v>13</v>
      </c>
      <c r="F89" s="3">
        <v>46126</v>
      </c>
      <c r="G89" s="4">
        <v>13</v>
      </c>
      <c r="H89" s="3">
        <v>46133</v>
      </c>
      <c r="I89" s="5">
        <v>260.31</v>
      </c>
      <c r="J89" s="2" t="s">
        <v>14</v>
      </c>
      <c r="K89" t="s">
        <v>750</v>
      </c>
      <c r="N89" s="16"/>
      <c r="O89" s="21">
        <f t="shared" si="24"/>
        <v>46133</v>
      </c>
      <c r="P89" s="23">
        <f t="shared" si="25"/>
        <v>73.930701505254191</v>
      </c>
    </row>
    <row r="90" spans="1:18" hidden="1" outlineLevel="1" x14ac:dyDescent="0.3">
      <c r="A90" s="2" t="s">
        <v>273</v>
      </c>
      <c r="B90" s="2" t="s">
        <v>289</v>
      </c>
      <c r="C90" s="2" t="s">
        <v>290</v>
      </c>
      <c r="D90" s="2" t="s">
        <v>291</v>
      </c>
      <c r="E90" s="2" t="s">
        <v>13</v>
      </c>
      <c r="F90" s="3">
        <v>46126</v>
      </c>
      <c r="G90" s="4">
        <v>13</v>
      </c>
      <c r="H90" s="3">
        <v>46133</v>
      </c>
      <c r="I90" s="5">
        <v>70.8</v>
      </c>
      <c r="J90" s="2" t="s">
        <v>14</v>
      </c>
      <c r="K90" t="s">
        <v>750</v>
      </c>
      <c r="N90" s="16"/>
      <c r="O90" s="21">
        <f t="shared" si="24"/>
        <v>46133</v>
      </c>
      <c r="P90" s="23">
        <f t="shared" si="25"/>
        <v>20.107923885259869</v>
      </c>
    </row>
    <row r="91" spans="1:18" hidden="1" outlineLevel="1" x14ac:dyDescent="0.3">
      <c r="A91" s="2" t="s">
        <v>273</v>
      </c>
      <c r="B91" s="2" t="s">
        <v>292</v>
      </c>
      <c r="C91" s="2" t="s">
        <v>293</v>
      </c>
      <c r="D91" s="2" t="s">
        <v>294</v>
      </c>
      <c r="E91" s="2" t="s">
        <v>13</v>
      </c>
      <c r="F91" s="3">
        <v>46127</v>
      </c>
      <c r="G91" s="4">
        <v>12</v>
      </c>
      <c r="H91" s="3">
        <v>46134</v>
      </c>
      <c r="I91" s="5">
        <v>906.71</v>
      </c>
      <c r="J91" s="2" t="s">
        <v>14</v>
      </c>
      <c r="K91" t="s">
        <v>750</v>
      </c>
      <c r="N91" s="16"/>
      <c r="O91" s="21">
        <f t="shared" si="24"/>
        <v>46134</v>
      </c>
      <c r="P91" s="23">
        <f t="shared" si="25"/>
        <v>257.51491053677933</v>
      </c>
    </row>
    <row r="92" spans="1:18" hidden="1" outlineLevel="1" x14ac:dyDescent="0.3">
      <c r="A92" s="2" t="s">
        <v>273</v>
      </c>
      <c r="B92" s="2" t="s">
        <v>295</v>
      </c>
      <c r="C92" s="2" t="s">
        <v>296</v>
      </c>
      <c r="D92" s="2" t="s">
        <v>297</v>
      </c>
      <c r="E92" s="2" t="s">
        <v>13</v>
      </c>
      <c r="F92" s="3">
        <v>46127</v>
      </c>
      <c r="G92" s="4">
        <v>12</v>
      </c>
      <c r="H92" s="3">
        <v>46134</v>
      </c>
      <c r="I92" s="5">
        <v>94.4</v>
      </c>
      <c r="J92" s="2" t="s">
        <v>14</v>
      </c>
      <c r="K92" t="s">
        <v>750</v>
      </c>
      <c r="N92" s="16"/>
      <c r="O92" s="21">
        <f t="shared" si="24"/>
        <v>46134</v>
      </c>
      <c r="P92" s="23">
        <f t="shared" si="25"/>
        <v>26.810565180346494</v>
      </c>
    </row>
    <row r="93" spans="1:18" hidden="1" outlineLevel="1" x14ac:dyDescent="0.3">
      <c r="A93" s="2" t="s">
        <v>273</v>
      </c>
      <c r="B93" s="2" t="s">
        <v>298</v>
      </c>
      <c r="C93" s="2" t="s">
        <v>299</v>
      </c>
      <c r="D93" s="2" t="s">
        <v>300</v>
      </c>
      <c r="E93" s="2" t="s">
        <v>13</v>
      </c>
      <c r="F93" s="3">
        <v>46127</v>
      </c>
      <c r="G93" s="4">
        <v>12</v>
      </c>
      <c r="H93" s="3">
        <v>46134</v>
      </c>
      <c r="I93" s="5">
        <v>965.43</v>
      </c>
      <c r="J93" s="2" t="s">
        <v>14</v>
      </c>
      <c r="K93" t="s">
        <v>750</v>
      </c>
      <c r="N93" s="16"/>
      <c r="O93" s="21">
        <f t="shared" si="24"/>
        <v>46134</v>
      </c>
      <c r="P93" s="23">
        <f t="shared" si="25"/>
        <v>274.1919909116728</v>
      </c>
    </row>
    <row r="94" spans="1:18" hidden="1" outlineLevel="1" x14ac:dyDescent="0.3">
      <c r="A94" s="2" t="s">
        <v>273</v>
      </c>
      <c r="B94" s="2" t="s">
        <v>301</v>
      </c>
      <c r="C94" s="2" t="s">
        <v>302</v>
      </c>
      <c r="D94" s="2" t="s">
        <v>303</v>
      </c>
      <c r="E94" s="2" t="s">
        <v>13</v>
      </c>
      <c r="F94" s="3">
        <v>46127</v>
      </c>
      <c r="G94" s="4">
        <v>12</v>
      </c>
      <c r="H94" s="3">
        <v>46134</v>
      </c>
      <c r="I94" s="5">
        <v>306.8</v>
      </c>
      <c r="J94" s="2" t="s">
        <v>14</v>
      </c>
      <c r="K94" t="s">
        <v>750</v>
      </c>
      <c r="N94" s="16"/>
      <c r="O94" s="21">
        <f t="shared" si="24"/>
        <v>46134</v>
      </c>
      <c r="P94" s="23">
        <f t="shared" si="25"/>
        <v>87.13433683612611</v>
      </c>
    </row>
    <row r="95" spans="1:18" hidden="1" outlineLevel="1" x14ac:dyDescent="0.3">
      <c r="A95" s="2" t="s">
        <v>273</v>
      </c>
      <c r="B95" s="2" t="s">
        <v>304</v>
      </c>
      <c r="C95" s="2" t="s">
        <v>305</v>
      </c>
      <c r="D95" s="2" t="s">
        <v>306</v>
      </c>
      <c r="E95" s="2" t="s">
        <v>13</v>
      </c>
      <c r="F95" s="3">
        <v>46129</v>
      </c>
      <c r="G95" s="4">
        <v>10</v>
      </c>
      <c r="H95" s="3">
        <v>46136</v>
      </c>
      <c r="I95" s="5">
        <v>1350.16</v>
      </c>
      <c r="J95" s="2" t="s">
        <v>14</v>
      </c>
      <c r="K95" t="s">
        <v>750</v>
      </c>
      <c r="N95" s="16"/>
      <c r="O95" s="21">
        <f t="shared" si="24"/>
        <v>46136</v>
      </c>
      <c r="P95" s="23">
        <f t="shared" si="25"/>
        <v>383.45924453280321</v>
      </c>
    </row>
    <row r="96" spans="1:18" hidden="1" outlineLevel="1" x14ac:dyDescent="0.3">
      <c r="A96" s="2" t="s">
        <v>273</v>
      </c>
      <c r="B96" s="2" t="s">
        <v>307</v>
      </c>
      <c r="C96" s="2" t="s">
        <v>308</v>
      </c>
      <c r="D96" s="2" t="s">
        <v>309</v>
      </c>
      <c r="E96" s="2" t="s">
        <v>13</v>
      </c>
      <c r="F96" s="3">
        <v>46129</v>
      </c>
      <c r="G96" s="4">
        <v>10</v>
      </c>
      <c r="H96" s="3">
        <v>46136</v>
      </c>
      <c r="I96" s="5">
        <v>141.6</v>
      </c>
      <c r="J96" s="2" t="s">
        <v>14</v>
      </c>
      <c r="K96" t="s">
        <v>750</v>
      </c>
      <c r="N96" s="16"/>
      <c r="O96" s="21">
        <f t="shared" si="24"/>
        <v>46136</v>
      </c>
      <c r="P96" s="23">
        <f t="shared" si="25"/>
        <v>40.215847770519737</v>
      </c>
    </row>
    <row r="97" spans="1:16" hidden="1" outlineLevel="1" x14ac:dyDescent="0.3">
      <c r="A97" s="2" t="s">
        <v>273</v>
      </c>
      <c r="B97" s="2" t="s">
        <v>310</v>
      </c>
      <c r="C97" s="2" t="s">
        <v>311</v>
      </c>
      <c r="D97" s="2" t="s">
        <v>312</v>
      </c>
      <c r="E97" s="2" t="s">
        <v>13</v>
      </c>
      <c r="F97" s="3">
        <v>46130</v>
      </c>
      <c r="G97" s="4">
        <v>9</v>
      </c>
      <c r="H97" s="3">
        <v>46137</v>
      </c>
      <c r="I97" s="5">
        <v>1227.9100000000001</v>
      </c>
      <c r="J97" s="2" t="s">
        <v>14</v>
      </c>
      <c r="K97" t="s">
        <v>750</v>
      </c>
      <c r="N97" s="16"/>
      <c r="O97" s="21">
        <f t="shared" si="24"/>
        <v>46137</v>
      </c>
      <c r="P97" s="23">
        <f t="shared" si="25"/>
        <v>348.73899460380579</v>
      </c>
    </row>
    <row r="98" spans="1:16" hidden="1" outlineLevel="1" x14ac:dyDescent="0.3">
      <c r="A98" s="2" t="s">
        <v>273</v>
      </c>
      <c r="B98" s="2" t="s">
        <v>313</v>
      </c>
      <c r="C98" s="2" t="s">
        <v>314</v>
      </c>
      <c r="D98" s="2" t="s">
        <v>315</v>
      </c>
      <c r="E98" s="2" t="s">
        <v>13</v>
      </c>
      <c r="F98" s="3">
        <v>46130</v>
      </c>
      <c r="G98" s="4">
        <v>9</v>
      </c>
      <c r="H98" s="3">
        <v>46137</v>
      </c>
      <c r="I98" s="5">
        <v>141.6</v>
      </c>
      <c r="J98" s="2" t="s">
        <v>14</v>
      </c>
      <c r="K98" t="s">
        <v>750</v>
      </c>
      <c r="N98" s="16"/>
      <c r="O98" s="21">
        <f t="shared" si="24"/>
        <v>46137</v>
      </c>
      <c r="P98" s="23">
        <f t="shared" si="25"/>
        <v>40.215847770519737</v>
      </c>
    </row>
    <row r="99" spans="1:16" hidden="1" outlineLevel="1" x14ac:dyDescent="0.3">
      <c r="A99" s="2" t="s">
        <v>273</v>
      </c>
      <c r="B99" s="2" t="s">
        <v>316</v>
      </c>
      <c r="C99" s="2" t="s">
        <v>317</v>
      </c>
      <c r="D99" s="2" t="s">
        <v>318</v>
      </c>
      <c r="E99" s="2" t="s">
        <v>13</v>
      </c>
      <c r="F99" s="3">
        <v>46131</v>
      </c>
      <c r="G99" s="4">
        <v>15</v>
      </c>
      <c r="H99" s="3">
        <v>46131</v>
      </c>
      <c r="I99" s="5">
        <v>302.79000000000002</v>
      </c>
      <c r="J99" s="2" t="s">
        <v>14</v>
      </c>
      <c r="K99" t="s">
        <v>750</v>
      </c>
      <c r="N99" s="16"/>
      <c r="O99" s="21">
        <f t="shared" si="24"/>
        <v>46131</v>
      </c>
      <c r="P99" s="23">
        <f t="shared" si="25"/>
        <v>85.995455836410116</v>
      </c>
    </row>
    <row r="100" spans="1:16" hidden="1" outlineLevel="1" x14ac:dyDescent="0.3">
      <c r="A100" s="2" t="s">
        <v>273</v>
      </c>
      <c r="B100" s="2" t="s">
        <v>319</v>
      </c>
      <c r="C100" s="2" t="s">
        <v>320</v>
      </c>
      <c r="D100" s="2" t="s">
        <v>321</v>
      </c>
      <c r="E100" s="2" t="s">
        <v>13</v>
      </c>
      <c r="F100" s="3">
        <v>46131</v>
      </c>
      <c r="G100" s="4">
        <v>15</v>
      </c>
      <c r="H100" s="3">
        <v>46131</v>
      </c>
      <c r="I100" s="5">
        <v>70.8</v>
      </c>
      <c r="J100" s="2" t="s">
        <v>14</v>
      </c>
      <c r="K100" t="s">
        <v>750</v>
      </c>
      <c r="N100" s="16"/>
      <c r="O100" s="21">
        <f t="shared" si="24"/>
        <v>46131</v>
      </c>
      <c r="P100" s="23">
        <f t="shared" si="25"/>
        <v>20.107923885259869</v>
      </c>
    </row>
    <row r="101" spans="1:16" hidden="1" outlineLevel="1" x14ac:dyDescent="0.3">
      <c r="A101" s="2" t="s">
        <v>273</v>
      </c>
      <c r="B101" s="2" t="s">
        <v>322</v>
      </c>
      <c r="C101" s="2" t="s">
        <v>323</v>
      </c>
      <c r="D101" s="2" t="s">
        <v>324</v>
      </c>
      <c r="E101" s="2" t="s">
        <v>13</v>
      </c>
      <c r="F101" s="3">
        <v>46131</v>
      </c>
      <c r="G101" s="4">
        <v>8</v>
      </c>
      <c r="H101" s="3">
        <v>46138</v>
      </c>
      <c r="I101" s="5">
        <v>444.39</v>
      </c>
      <c r="J101" s="2" t="s">
        <v>14</v>
      </c>
      <c r="K101" t="s">
        <v>750</v>
      </c>
      <c r="N101" s="16"/>
      <c r="O101" s="21">
        <f t="shared" si="24"/>
        <v>46138</v>
      </c>
      <c r="P101" s="23">
        <f t="shared" si="25"/>
        <v>126.21130360692985</v>
      </c>
    </row>
    <row r="102" spans="1:16" hidden="1" outlineLevel="1" x14ac:dyDescent="0.3">
      <c r="A102" s="2" t="s">
        <v>273</v>
      </c>
      <c r="B102" s="2" t="s">
        <v>325</v>
      </c>
      <c r="C102" s="2" t="s">
        <v>326</v>
      </c>
      <c r="D102" s="2" t="s">
        <v>327</v>
      </c>
      <c r="E102" s="2" t="s">
        <v>13</v>
      </c>
      <c r="F102" s="3">
        <v>46131</v>
      </c>
      <c r="G102" s="4">
        <v>8</v>
      </c>
      <c r="H102" s="3">
        <v>46138</v>
      </c>
      <c r="I102" s="5">
        <v>135.69999999999999</v>
      </c>
      <c r="J102" s="2" t="s">
        <v>14</v>
      </c>
      <c r="K102" t="s">
        <v>750</v>
      </c>
      <c r="N102" s="16"/>
      <c r="O102" s="21">
        <f t="shared" si="24"/>
        <v>46138</v>
      </c>
      <c r="P102" s="23">
        <f t="shared" si="25"/>
        <v>38.540187446748078</v>
      </c>
    </row>
    <row r="103" spans="1:16" hidden="1" outlineLevel="1" x14ac:dyDescent="0.3">
      <c r="A103" s="2" t="s">
        <v>273</v>
      </c>
      <c r="B103" s="2" t="s">
        <v>328</v>
      </c>
      <c r="C103" s="2" t="s">
        <v>329</v>
      </c>
      <c r="D103" s="2" t="s">
        <v>330</v>
      </c>
      <c r="E103" s="2" t="s">
        <v>13</v>
      </c>
      <c r="F103" s="3">
        <v>46132</v>
      </c>
      <c r="G103" s="4">
        <v>7</v>
      </c>
      <c r="H103" s="3">
        <v>46139</v>
      </c>
      <c r="I103" s="5">
        <v>705.17</v>
      </c>
      <c r="J103" s="2" t="s">
        <v>14</v>
      </c>
      <c r="K103" t="s">
        <v>750</v>
      </c>
      <c r="N103" s="16"/>
      <c r="O103" s="21">
        <f t="shared" si="24"/>
        <v>46139</v>
      </c>
      <c r="P103" s="23">
        <f t="shared" si="25"/>
        <v>200.27548991763703</v>
      </c>
    </row>
    <row r="104" spans="1:16" hidden="1" outlineLevel="1" x14ac:dyDescent="0.3">
      <c r="A104" s="2" t="s">
        <v>273</v>
      </c>
      <c r="B104" s="2" t="s">
        <v>331</v>
      </c>
      <c r="C104" s="2" t="s">
        <v>332</v>
      </c>
      <c r="D104" s="2" t="s">
        <v>333</v>
      </c>
      <c r="E104" s="2" t="s">
        <v>13</v>
      </c>
      <c r="F104" s="3">
        <v>46132</v>
      </c>
      <c r="G104" s="4">
        <v>7</v>
      </c>
      <c r="H104" s="3">
        <v>46139</v>
      </c>
      <c r="I104" s="5">
        <v>70.8</v>
      </c>
      <c r="J104" s="2" t="s">
        <v>14</v>
      </c>
      <c r="K104" t="s">
        <v>750</v>
      </c>
      <c r="N104" s="16"/>
      <c r="O104" s="21">
        <f t="shared" si="24"/>
        <v>46139</v>
      </c>
      <c r="P104" s="23">
        <f t="shared" si="25"/>
        <v>20.107923885259869</v>
      </c>
    </row>
    <row r="105" spans="1:16" hidden="1" outlineLevel="1" x14ac:dyDescent="0.3">
      <c r="A105" s="2" t="s">
        <v>273</v>
      </c>
      <c r="B105" s="2" t="s">
        <v>334</v>
      </c>
      <c r="C105" s="2" t="s">
        <v>335</v>
      </c>
      <c r="D105" s="2" t="s">
        <v>336</v>
      </c>
      <c r="E105" s="2" t="s">
        <v>13</v>
      </c>
      <c r="F105" s="3">
        <v>46133</v>
      </c>
      <c r="G105" s="4">
        <v>6</v>
      </c>
      <c r="H105" s="3">
        <v>46140</v>
      </c>
      <c r="I105" s="5">
        <v>387.23</v>
      </c>
      <c r="J105" s="2" t="s">
        <v>14</v>
      </c>
      <c r="K105" t="s">
        <v>750</v>
      </c>
      <c r="N105" s="16"/>
      <c r="O105" s="21">
        <f t="shared" si="24"/>
        <v>46140</v>
      </c>
      <c r="P105" s="23">
        <f t="shared" si="25"/>
        <v>109.97727918205057</v>
      </c>
    </row>
    <row r="106" spans="1:16" hidden="1" outlineLevel="1" x14ac:dyDescent="0.3">
      <c r="A106" s="2" t="s">
        <v>273</v>
      </c>
      <c r="B106" s="2" t="s">
        <v>337</v>
      </c>
      <c r="C106" s="2" t="s">
        <v>338</v>
      </c>
      <c r="D106" s="2" t="s">
        <v>339</v>
      </c>
      <c r="E106" s="2" t="s">
        <v>13</v>
      </c>
      <c r="F106" s="3">
        <v>46133</v>
      </c>
      <c r="G106" s="4">
        <v>6</v>
      </c>
      <c r="H106" s="3">
        <v>46140</v>
      </c>
      <c r="I106" s="5">
        <v>153.4</v>
      </c>
      <c r="J106" s="2" t="s">
        <v>14</v>
      </c>
      <c r="K106" t="s">
        <v>750</v>
      </c>
      <c r="N106" s="16"/>
      <c r="O106" s="21">
        <f t="shared" si="24"/>
        <v>46140</v>
      </c>
      <c r="P106" s="23">
        <f t="shared" si="25"/>
        <v>43.567168418063055</v>
      </c>
    </row>
    <row r="107" spans="1:16" hidden="1" outlineLevel="1" x14ac:dyDescent="0.3">
      <c r="A107" s="2" t="s">
        <v>273</v>
      </c>
      <c r="B107" s="2" t="s">
        <v>340</v>
      </c>
      <c r="C107" s="2" t="s">
        <v>341</v>
      </c>
      <c r="D107" s="2" t="s">
        <v>342</v>
      </c>
      <c r="E107" s="2" t="s">
        <v>13</v>
      </c>
      <c r="F107" s="3">
        <v>46133</v>
      </c>
      <c r="G107" s="4">
        <v>6</v>
      </c>
      <c r="H107" s="3">
        <v>46140</v>
      </c>
      <c r="I107" s="5">
        <v>295.94</v>
      </c>
      <c r="J107" s="2" t="s">
        <v>14</v>
      </c>
      <c r="K107" t="s">
        <v>750</v>
      </c>
      <c r="N107" s="16"/>
      <c r="O107" s="21">
        <f t="shared" si="24"/>
        <v>46140</v>
      </c>
      <c r="P107" s="23">
        <f t="shared" si="25"/>
        <v>84.04998579948878</v>
      </c>
    </row>
    <row r="108" spans="1:16" hidden="1" outlineLevel="1" x14ac:dyDescent="0.3">
      <c r="A108" s="2" t="s">
        <v>273</v>
      </c>
      <c r="B108" s="2" t="s">
        <v>343</v>
      </c>
      <c r="C108" s="2" t="s">
        <v>344</v>
      </c>
      <c r="D108" s="2" t="s">
        <v>345</v>
      </c>
      <c r="E108" s="2" t="s">
        <v>13</v>
      </c>
      <c r="F108" s="3">
        <v>46133</v>
      </c>
      <c r="G108" s="4">
        <v>6</v>
      </c>
      <c r="H108" s="3">
        <v>46140</v>
      </c>
      <c r="I108" s="5">
        <v>47.2</v>
      </c>
      <c r="J108" s="2" t="s">
        <v>14</v>
      </c>
      <c r="K108" t="s">
        <v>750</v>
      </c>
      <c r="N108" s="16"/>
      <c r="O108" s="21">
        <f t="shared" si="24"/>
        <v>46140</v>
      </c>
      <c r="P108" s="23">
        <f t="shared" si="25"/>
        <v>13.405282590173247</v>
      </c>
    </row>
    <row r="109" spans="1:16" hidden="1" outlineLevel="1" x14ac:dyDescent="0.3">
      <c r="A109" s="2" t="s">
        <v>273</v>
      </c>
      <c r="B109" s="2" t="s">
        <v>346</v>
      </c>
      <c r="C109" s="2" t="s">
        <v>347</v>
      </c>
      <c r="D109" s="2" t="s">
        <v>348</v>
      </c>
      <c r="E109" s="2" t="s">
        <v>13</v>
      </c>
      <c r="F109" s="3">
        <v>46133</v>
      </c>
      <c r="G109" s="4">
        <v>6</v>
      </c>
      <c r="H109" s="3">
        <v>46140</v>
      </c>
      <c r="I109" s="5">
        <v>484.04</v>
      </c>
      <c r="J109" s="2" t="s">
        <v>14</v>
      </c>
      <c r="K109" t="s">
        <v>750</v>
      </c>
      <c r="N109" s="16"/>
      <c r="O109" s="21">
        <f t="shared" si="24"/>
        <v>46140</v>
      </c>
      <c r="P109" s="23">
        <f t="shared" si="25"/>
        <v>137.47230900312411</v>
      </c>
    </row>
    <row r="110" spans="1:16" hidden="1" outlineLevel="1" x14ac:dyDescent="0.3">
      <c r="A110" s="2" t="s">
        <v>273</v>
      </c>
      <c r="B110" s="2" t="s">
        <v>349</v>
      </c>
      <c r="C110" s="2" t="s">
        <v>350</v>
      </c>
      <c r="D110" s="2" t="s">
        <v>351</v>
      </c>
      <c r="E110" s="2" t="s">
        <v>13</v>
      </c>
      <c r="F110" s="3">
        <v>46133</v>
      </c>
      <c r="G110" s="4">
        <v>6</v>
      </c>
      <c r="H110" s="3">
        <v>46140</v>
      </c>
      <c r="I110" s="5">
        <v>153.4</v>
      </c>
      <c r="J110" s="2" t="s">
        <v>14</v>
      </c>
      <c r="K110" t="s">
        <v>750</v>
      </c>
      <c r="N110" s="16"/>
      <c r="O110" s="21">
        <f t="shared" si="24"/>
        <v>46140</v>
      </c>
      <c r="P110" s="23">
        <f t="shared" si="25"/>
        <v>43.567168418063055</v>
      </c>
    </row>
    <row r="111" spans="1:16" hidden="1" outlineLevel="1" x14ac:dyDescent="0.3">
      <c r="A111" s="2" t="s">
        <v>273</v>
      </c>
      <c r="B111" s="2" t="s">
        <v>352</v>
      </c>
      <c r="C111" s="2" t="s">
        <v>353</v>
      </c>
      <c r="D111" s="2" t="s">
        <v>354</v>
      </c>
      <c r="E111" s="2" t="s">
        <v>13</v>
      </c>
      <c r="F111" s="3">
        <v>46134</v>
      </c>
      <c r="G111" s="4">
        <v>5</v>
      </c>
      <c r="H111" s="3">
        <v>46141</v>
      </c>
      <c r="I111" s="5">
        <v>673.36</v>
      </c>
      <c r="J111" s="2" t="s">
        <v>14</v>
      </c>
      <c r="K111" t="s">
        <v>750</v>
      </c>
      <c r="N111" s="16"/>
      <c r="O111" s="21">
        <f t="shared" si="24"/>
        <v>46141</v>
      </c>
      <c r="P111" s="23">
        <f t="shared" si="25"/>
        <v>191.2411246804885</v>
      </c>
    </row>
    <row r="112" spans="1:16" hidden="1" outlineLevel="1" x14ac:dyDescent="0.3">
      <c r="A112" s="2" t="s">
        <v>273</v>
      </c>
      <c r="B112" s="2" t="s">
        <v>355</v>
      </c>
      <c r="C112" s="2" t="s">
        <v>356</v>
      </c>
      <c r="D112" s="2" t="s">
        <v>357</v>
      </c>
      <c r="E112" s="2" t="s">
        <v>13</v>
      </c>
      <c r="F112" s="3">
        <v>46134</v>
      </c>
      <c r="G112" s="4">
        <v>5</v>
      </c>
      <c r="H112" s="3">
        <v>46141</v>
      </c>
      <c r="I112" s="5">
        <v>177</v>
      </c>
      <c r="J112" s="2" t="s">
        <v>14</v>
      </c>
      <c r="K112" t="s">
        <v>750</v>
      </c>
      <c r="N112" s="16"/>
      <c r="O112" s="21">
        <f t="shared" si="24"/>
        <v>46141</v>
      </c>
      <c r="P112" s="23">
        <f t="shared" si="25"/>
        <v>50.269809713149677</v>
      </c>
    </row>
    <row r="113" spans="1:16" hidden="1" outlineLevel="1" x14ac:dyDescent="0.3">
      <c r="A113" s="2" t="s">
        <v>273</v>
      </c>
      <c r="B113" s="2" t="s">
        <v>358</v>
      </c>
      <c r="C113" s="2" t="s">
        <v>359</v>
      </c>
      <c r="D113" s="2" t="s">
        <v>360</v>
      </c>
      <c r="E113" s="2" t="s">
        <v>13</v>
      </c>
      <c r="F113" s="3">
        <v>46135</v>
      </c>
      <c r="G113" s="4">
        <v>4</v>
      </c>
      <c r="H113" s="3">
        <v>46142</v>
      </c>
      <c r="I113" s="5">
        <v>425.27</v>
      </c>
      <c r="J113" s="2" t="s">
        <v>14</v>
      </c>
      <c r="K113" t="s">
        <v>750</v>
      </c>
      <c r="N113" s="16"/>
      <c r="O113" s="21">
        <f t="shared" si="24"/>
        <v>46142</v>
      </c>
      <c r="P113" s="23">
        <f t="shared" si="25"/>
        <v>120.78102811701221</v>
      </c>
    </row>
    <row r="114" spans="1:16" hidden="1" outlineLevel="1" x14ac:dyDescent="0.3">
      <c r="A114" s="2" t="s">
        <v>273</v>
      </c>
      <c r="B114" s="2" t="s">
        <v>361</v>
      </c>
      <c r="C114" s="2" t="s">
        <v>362</v>
      </c>
      <c r="D114" s="2" t="s">
        <v>363</v>
      </c>
      <c r="E114" s="2" t="s">
        <v>13</v>
      </c>
      <c r="F114" s="3">
        <v>46135</v>
      </c>
      <c r="G114" s="4">
        <v>4</v>
      </c>
      <c r="H114" s="3">
        <v>46142</v>
      </c>
      <c r="I114" s="5">
        <v>47.2</v>
      </c>
      <c r="J114" s="2" t="s">
        <v>14</v>
      </c>
      <c r="K114" t="s">
        <v>750</v>
      </c>
      <c r="N114" s="16"/>
      <c r="O114" s="21">
        <f t="shared" si="24"/>
        <v>46142</v>
      </c>
      <c r="P114" s="23">
        <f t="shared" si="25"/>
        <v>13.405282590173247</v>
      </c>
    </row>
    <row r="115" spans="1:16" hidden="1" outlineLevel="1" x14ac:dyDescent="0.3">
      <c r="A115" s="2" t="s">
        <v>273</v>
      </c>
      <c r="B115" s="2" t="s">
        <v>364</v>
      </c>
      <c r="C115" s="2" t="s">
        <v>365</v>
      </c>
      <c r="D115" s="2" t="s">
        <v>366</v>
      </c>
      <c r="E115" s="2" t="s">
        <v>13</v>
      </c>
      <c r="F115" s="3">
        <v>46135</v>
      </c>
      <c r="G115" s="4">
        <v>4</v>
      </c>
      <c r="H115" s="3">
        <v>46142</v>
      </c>
      <c r="I115" s="5">
        <v>639.09</v>
      </c>
      <c r="J115" s="2" t="s">
        <v>14</v>
      </c>
      <c r="K115" t="s">
        <v>750</v>
      </c>
      <c r="N115" s="16"/>
      <c r="O115" s="21">
        <f t="shared" si="24"/>
        <v>46142</v>
      </c>
      <c r="P115" s="23">
        <f t="shared" si="25"/>
        <v>181.50809429139451</v>
      </c>
    </row>
    <row r="116" spans="1:16" hidden="1" outlineLevel="1" x14ac:dyDescent="0.3">
      <c r="A116" s="2" t="s">
        <v>273</v>
      </c>
      <c r="B116" s="2" t="s">
        <v>367</v>
      </c>
      <c r="C116" s="2" t="s">
        <v>368</v>
      </c>
      <c r="D116" s="2" t="s">
        <v>369</v>
      </c>
      <c r="E116" s="2" t="s">
        <v>13</v>
      </c>
      <c r="F116" s="3">
        <v>46135</v>
      </c>
      <c r="G116" s="4">
        <v>4</v>
      </c>
      <c r="H116" s="3">
        <v>46142</v>
      </c>
      <c r="I116" s="5">
        <v>70.8</v>
      </c>
      <c r="J116" s="2" t="s">
        <v>14</v>
      </c>
      <c r="K116" t="s">
        <v>750</v>
      </c>
      <c r="N116" s="16"/>
      <c r="O116" s="21">
        <f t="shared" si="24"/>
        <v>46142</v>
      </c>
      <c r="P116" s="23">
        <f t="shared" si="25"/>
        <v>20.107923885259869</v>
      </c>
    </row>
    <row r="117" spans="1:16" hidden="1" outlineLevel="1" x14ac:dyDescent="0.3">
      <c r="A117" s="2" t="s">
        <v>273</v>
      </c>
      <c r="B117" s="2" t="s">
        <v>370</v>
      </c>
      <c r="C117" s="2" t="s">
        <v>371</v>
      </c>
      <c r="D117" s="2" t="s">
        <v>372</v>
      </c>
      <c r="E117" s="2" t="s">
        <v>13</v>
      </c>
      <c r="F117" s="3">
        <v>46136</v>
      </c>
      <c r="G117" s="4">
        <v>10</v>
      </c>
      <c r="H117" s="3">
        <v>46136</v>
      </c>
      <c r="I117" s="5">
        <v>627.1</v>
      </c>
      <c r="J117" s="2" t="s">
        <v>14</v>
      </c>
      <c r="K117" t="s">
        <v>750</v>
      </c>
      <c r="N117" s="16"/>
      <c r="O117" s="21">
        <f t="shared" si="24"/>
        <v>46136</v>
      </c>
      <c r="P117" s="23">
        <f t="shared" si="25"/>
        <v>178.10281170122124</v>
      </c>
    </row>
    <row r="118" spans="1:16" hidden="1" outlineLevel="1" x14ac:dyDescent="0.3">
      <c r="A118" s="2" t="s">
        <v>273</v>
      </c>
      <c r="B118" s="2" t="s">
        <v>373</v>
      </c>
      <c r="C118" s="2" t="s">
        <v>374</v>
      </c>
      <c r="D118" s="2" t="s">
        <v>375</v>
      </c>
      <c r="E118" s="2" t="s">
        <v>13</v>
      </c>
      <c r="F118" s="3">
        <v>46136</v>
      </c>
      <c r="G118" s="4">
        <v>10</v>
      </c>
      <c r="H118" s="3">
        <v>46136</v>
      </c>
      <c r="I118" s="5">
        <v>177</v>
      </c>
      <c r="J118" s="2" t="s">
        <v>14</v>
      </c>
      <c r="K118" t="s">
        <v>750</v>
      </c>
      <c r="N118" s="16"/>
      <c r="O118" s="21">
        <f t="shared" si="24"/>
        <v>46136</v>
      </c>
      <c r="P118" s="23">
        <f t="shared" si="25"/>
        <v>50.269809713149677</v>
      </c>
    </row>
    <row r="119" spans="1:16" hidden="1" outlineLevel="1" x14ac:dyDescent="0.3">
      <c r="A119" s="2" t="s">
        <v>273</v>
      </c>
      <c r="B119" s="2" t="s">
        <v>376</v>
      </c>
      <c r="C119" s="2" t="s">
        <v>377</v>
      </c>
      <c r="D119" s="2" t="s">
        <v>378</v>
      </c>
      <c r="E119" s="2" t="s">
        <v>13</v>
      </c>
      <c r="F119" s="3">
        <v>46136</v>
      </c>
      <c r="G119" s="4">
        <v>3</v>
      </c>
      <c r="H119" s="3">
        <v>46143</v>
      </c>
      <c r="I119" s="5">
        <v>425.04</v>
      </c>
      <c r="J119" s="2" t="s">
        <v>14</v>
      </c>
      <c r="K119" t="s">
        <v>750</v>
      </c>
      <c r="N119" s="16"/>
      <c r="O119" s="21">
        <f t="shared" si="24"/>
        <v>46143</v>
      </c>
      <c r="P119" s="23">
        <f t="shared" si="25"/>
        <v>120.71570576540756</v>
      </c>
    </row>
    <row r="120" spans="1:16" hidden="1" outlineLevel="1" x14ac:dyDescent="0.3">
      <c r="A120" s="2" t="s">
        <v>273</v>
      </c>
      <c r="B120" s="2" t="s">
        <v>379</v>
      </c>
      <c r="C120" s="2" t="s">
        <v>380</v>
      </c>
      <c r="D120" s="2" t="s">
        <v>381</v>
      </c>
      <c r="E120" s="2" t="s">
        <v>13</v>
      </c>
      <c r="F120" s="3">
        <v>46136</v>
      </c>
      <c r="G120" s="4">
        <v>3</v>
      </c>
      <c r="H120" s="3">
        <v>46143</v>
      </c>
      <c r="I120" s="5">
        <v>47.2</v>
      </c>
      <c r="J120" s="2" t="s">
        <v>14</v>
      </c>
      <c r="K120" t="s">
        <v>750</v>
      </c>
      <c r="N120" s="16"/>
      <c r="O120" s="21">
        <f t="shared" si="24"/>
        <v>46143</v>
      </c>
      <c r="P120" s="23">
        <f t="shared" si="25"/>
        <v>13.405282590173247</v>
      </c>
    </row>
    <row r="121" spans="1:16" hidden="1" outlineLevel="1" x14ac:dyDescent="0.3">
      <c r="A121" s="2" t="s">
        <v>273</v>
      </c>
      <c r="B121" s="2" t="s">
        <v>382</v>
      </c>
      <c r="C121" s="2" t="s">
        <v>383</v>
      </c>
      <c r="D121" s="2" t="s">
        <v>384</v>
      </c>
      <c r="E121" s="2" t="s">
        <v>13</v>
      </c>
      <c r="F121" s="3">
        <v>46136</v>
      </c>
      <c r="G121" s="4">
        <v>3</v>
      </c>
      <c r="H121" s="3">
        <v>46143</v>
      </c>
      <c r="I121" s="5">
        <v>1539</v>
      </c>
      <c r="J121" s="2" t="s">
        <v>14</v>
      </c>
      <c r="K121" t="s">
        <v>750</v>
      </c>
      <c r="N121" s="16"/>
      <c r="O121" s="21">
        <f t="shared" si="24"/>
        <v>46143</v>
      </c>
      <c r="P121" s="23">
        <f t="shared" si="25"/>
        <v>437.09173530247091</v>
      </c>
    </row>
    <row r="122" spans="1:16" hidden="1" outlineLevel="1" x14ac:dyDescent="0.3">
      <c r="A122" s="2" t="s">
        <v>273</v>
      </c>
      <c r="B122" s="2" t="s">
        <v>385</v>
      </c>
      <c r="C122" s="2" t="s">
        <v>386</v>
      </c>
      <c r="D122" s="2" t="s">
        <v>387</v>
      </c>
      <c r="E122" s="2" t="s">
        <v>13</v>
      </c>
      <c r="F122" s="3">
        <v>46136</v>
      </c>
      <c r="G122" s="4">
        <v>3</v>
      </c>
      <c r="H122" s="3">
        <v>46143</v>
      </c>
      <c r="I122" s="5">
        <v>536.9</v>
      </c>
      <c r="J122" s="2" t="s">
        <v>14</v>
      </c>
      <c r="K122" t="s">
        <v>750</v>
      </c>
      <c r="N122" s="16"/>
      <c r="O122" s="21">
        <f t="shared" si="24"/>
        <v>46143</v>
      </c>
      <c r="P122" s="23">
        <f t="shared" si="25"/>
        <v>152.48508946322067</v>
      </c>
    </row>
    <row r="123" spans="1:16" hidden="1" outlineLevel="1" x14ac:dyDescent="0.3">
      <c r="A123" s="2" t="s">
        <v>273</v>
      </c>
      <c r="B123" s="2" t="s">
        <v>388</v>
      </c>
      <c r="C123" s="2" t="s">
        <v>389</v>
      </c>
      <c r="D123" s="2" t="s">
        <v>390</v>
      </c>
      <c r="E123" s="2" t="s">
        <v>13</v>
      </c>
      <c r="F123" s="3">
        <v>46138</v>
      </c>
      <c r="G123" s="4">
        <v>1</v>
      </c>
      <c r="H123" s="3">
        <v>46145</v>
      </c>
      <c r="I123" s="5">
        <v>692.66</v>
      </c>
      <c r="J123" s="2" t="s">
        <v>14</v>
      </c>
      <c r="K123" t="s">
        <v>750</v>
      </c>
      <c r="N123" s="16"/>
      <c r="O123" s="21">
        <f t="shared" si="24"/>
        <v>46145</v>
      </c>
      <c r="P123" s="23">
        <f t="shared" si="25"/>
        <v>196.72252201079237</v>
      </c>
    </row>
    <row r="124" spans="1:16" hidden="1" outlineLevel="1" x14ac:dyDescent="0.3">
      <c r="A124" s="2" t="s">
        <v>273</v>
      </c>
      <c r="B124" s="2" t="s">
        <v>391</v>
      </c>
      <c r="C124" s="2" t="s">
        <v>392</v>
      </c>
      <c r="D124" s="2" t="s">
        <v>393</v>
      </c>
      <c r="E124" s="2" t="s">
        <v>13</v>
      </c>
      <c r="F124" s="3">
        <v>46138</v>
      </c>
      <c r="G124" s="4">
        <v>1</v>
      </c>
      <c r="H124" s="3">
        <v>46145</v>
      </c>
      <c r="I124" s="5">
        <v>70.8</v>
      </c>
      <c r="J124" s="2" t="s">
        <v>14</v>
      </c>
      <c r="K124" t="s">
        <v>750</v>
      </c>
      <c r="N124" s="16"/>
      <c r="O124" s="21">
        <f t="shared" si="24"/>
        <v>46145</v>
      </c>
      <c r="P124" s="23">
        <f t="shared" si="25"/>
        <v>20.107923885259869</v>
      </c>
    </row>
    <row r="125" spans="1:16" hidden="1" outlineLevel="1" x14ac:dyDescent="0.3">
      <c r="A125" s="2" t="s">
        <v>273</v>
      </c>
      <c r="B125" s="2" t="s">
        <v>394</v>
      </c>
      <c r="C125" s="2" t="s">
        <v>395</v>
      </c>
      <c r="D125" s="2" t="s">
        <v>396</v>
      </c>
      <c r="E125" s="2" t="s">
        <v>13</v>
      </c>
      <c r="F125" s="3">
        <v>46138</v>
      </c>
      <c r="G125" s="4">
        <v>1</v>
      </c>
      <c r="H125" s="3">
        <v>46145</v>
      </c>
      <c r="I125" s="5">
        <v>631.39</v>
      </c>
      <c r="J125" s="2" t="s">
        <v>14</v>
      </c>
      <c r="K125" t="s">
        <v>750</v>
      </c>
      <c r="N125" s="16"/>
      <c r="O125" s="21">
        <f t="shared" si="24"/>
        <v>46145</v>
      </c>
      <c r="P125" s="23">
        <f t="shared" si="25"/>
        <v>179.32121556376029</v>
      </c>
    </row>
    <row r="126" spans="1:16" hidden="1" outlineLevel="1" x14ac:dyDescent="0.3">
      <c r="A126" s="2" t="s">
        <v>273</v>
      </c>
      <c r="B126" s="2" t="s">
        <v>397</v>
      </c>
      <c r="C126" s="2" t="s">
        <v>398</v>
      </c>
      <c r="D126" s="2" t="s">
        <v>399</v>
      </c>
      <c r="E126" s="2" t="s">
        <v>13</v>
      </c>
      <c r="F126" s="3">
        <v>46138</v>
      </c>
      <c r="G126" s="4">
        <v>1</v>
      </c>
      <c r="H126" s="3">
        <v>46145</v>
      </c>
      <c r="I126" s="5">
        <v>153.4</v>
      </c>
      <c r="J126" s="2" t="s">
        <v>14</v>
      </c>
      <c r="K126" t="s">
        <v>750</v>
      </c>
      <c r="N126" s="16"/>
      <c r="O126" s="21">
        <f t="shared" si="24"/>
        <v>46145</v>
      </c>
      <c r="P126" s="23">
        <f t="shared" si="25"/>
        <v>43.567168418063055</v>
      </c>
    </row>
    <row r="127" spans="1:16" hidden="1" outlineLevel="1" x14ac:dyDescent="0.3">
      <c r="A127" s="2" t="s">
        <v>273</v>
      </c>
      <c r="B127" s="2" t="s">
        <v>400</v>
      </c>
      <c r="C127" s="2" t="s">
        <v>401</v>
      </c>
      <c r="D127" s="2" t="s">
        <v>402</v>
      </c>
      <c r="E127" s="2" t="s">
        <v>13</v>
      </c>
      <c r="F127" s="3">
        <v>46139</v>
      </c>
      <c r="G127" s="4">
        <v>0</v>
      </c>
      <c r="H127" s="3">
        <v>46146</v>
      </c>
      <c r="I127" s="5">
        <v>217.12</v>
      </c>
      <c r="J127" s="2" t="s">
        <v>14</v>
      </c>
      <c r="K127" t="s">
        <v>750</v>
      </c>
      <c r="N127" s="16"/>
      <c r="O127" s="21">
        <f t="shared" si="24"/>
        <v>46146</v>
      </c>
      <c r="P127" s="23">
        <f t="shared" si="25"/>
        <v>61.664299914796935</v>
      </c>
    </row>
    <row r="128" spans="1:16" hidden="1" outlineLevel="1" x14ac:dyDescent="0.3">
      <c r="A128" s="2" t="s">
        <v>273</v>
      </c>
      <c r="B128" s="2" t="s">
        <v>403</v>
      </c>
      <c r="C128" s="2" t="s">
        <v>404</v>
      </c>
      <c r="D128" s="2" t="s">
        <v>405</v>
      </c>
      <c r="E128" s="2" t="s">
        <v>13</v>
      </c>
      <c r="F128" s="3">
        <v>46139</v>
      </c>
      <c r="G128" s="4">
        <v>0</v>
      </c>
      <c r="H128" s="3">
        <v>46146</v>
      </c>
      <c r="I128" s="5">
        <v>47.2</v>
      </c>
      <c r="J128" s="2" t="s">
        <v>14</v>
      </c>
      <c r="K128" t="s">
        <v>750</v>
      </c>
      <c r="N128" s="16"/>
      <c r="O128" s="21">
        <f t="shared" si="24"/>
        <v>46146</v>
      </c>
      <c r="P128" s="23">
        <f t="shared" si="25"/>
        <v>13.405282590173247</v>
      </c>
    </row>
    <row r="129" spans="1:16" hidden="1" outlineLevel="1" x14ac:dyDescent="0.3">
      <c r="A129" s="2" t="s">
        <v>273</v>
      </c>
      <c r="B129" s="2" t="s">
        <v>406</v>
      </c>
      <c r="C129" s="2" t="s">
        <v>407</v>
      </c>
      <c r="D129" s="2" t="s">
        <v>408</v>
      </c>
      <c r="E129" s="2" t="s">
        <v>13</v>
      </c>
      <c r="F129" s="3">
        <v>46139</v>
      </c>
      <c r="G129" s="4">
        <v>0</v>
      </c>
      <c r="H129" s="3">
        <v>46146</v>
      </c>
      <c r="I129" s="5">
        <v>614.21</v>
      </c>
      <c r="J129" s="2" t="s">
        <v>14</v>
      </c>
      <c r="K129" t="s">
        <v>750</v>
      </c>
      <c r="N129" s="16"/>
      <c r="O129" s="21">
        <f t="shared" si="24"/>
        <v>46146</v>
      </c>
      <c r="P129" s="23">
        <f t="shared" si="25"/>
        <v>174.44191990911673</v>
      </c>
    </row>
    <row r="130" spans="1:16" hidden="1" outlineLevel="1" x14ac:dyDescent="0.3">
      <c r="A130" s="2" t="s">
        <v>273</v>
      </c>
      <c r="B130" s="2" t="s">
        <v>409</v>
      </c>
      <c r="C130" s="2" t="s">
        <v>410</v>
      </c>
      <c r="D130" s="2" t="s">
        <v>411</v>
      </c>
      <c r="E130" s="2" t="s">
        <v>13</v>
      </c>
      <c r="F130" s="3">
        <v>46139</v>
      </c>
      <c r="G130" s="4">
        <v>0</v>
      </c>
      <c r="H130" s="3">
        <v>46146</v>
      </c>
      <c r="I130" s="5">
        <v>188.8</v>
      </c>
      <c r="J130" s="2" t="s">
        <v>14</v>
      </c>
      <c r="K130" t="s">
        <v>750</v>
      </c>
      <c r="N130" s="16"/>
      <c r="O130" s="21">
        <f t="shared" si="24"/>
        <v>46146</v>
      </c>
      <c r="P130" s="23">
        <f t="shared" si="25"/>
        <v>53.621130360692987</v>
      </c>
    </row>
    <row r="131" spans="1:16" hidden="1" outlineLevel="1" x14ac:dyDescent="0.3">
      <c r="A131" s="2" t="s">
        <v>273</v>
      </c>
      <c r="B131" s="2" t="s">
        <v>412</v>
      </c>
      <c r="C131" s="2" t="s">
        <v>413</v>
      </c>
      <c r="D131" s="2" t="s">
        <v>414</v>
      </c>
      <c r="E131" s="2" t="s">
        <v>13</v>
      </c>
      <c r="F131" s="3">
        <v>46141</v>
      </c>
      <c r="G131" s="6">
        <v>-2</v>
      </c>
      <c r="H131" s="3">
        <v>46148</v>
      </c>
      <c r="I131" s="5">
        <v>653.86</v>
      </c>
      <c r="J131" s="2" t="s">
        <v>14</v>
      </c>
      <c r="K131" t="s">
        <v>750</v>
      </c>
      <c r="N131" s="16"/>
      <c r="O131" s="21">
        <f t="shared" si="24"/>
        <v>46148</v>
      </c>
      <c r="P131" s="23">
        <f t="shared" si="25"/>
        <v>185.702925305311</v>
      </c>
    </row>
    <row r="132" spans="1:16" hidden="1" outlineLevel="1" x14ac:dyDescent="0.3">
      <c r="A132" s="2" t="s">
        <v>273</v>
      </c>
      <c r="B132" s="2" t="s">
        <v>415</v>
      </c>
      <c r="C132" s="2" t="s">
        <v>416</v>
      </c>
      <c r="D132" s="2" t="s">
        <v>417</v>
      </c>
      <c r="E132" s="2" t="s">
        <v>13</v>
      </c>
      <c r="F132" s="3">
        <v>46141</v>
      </c>
      <c r="G132" s="6">
        <v>-2</v>
      </c>
      <c r="H132" s="3">
        <v>46148</v>
      </c>
      <c r="I132" s="5">
        <v>194.7</v>
      </c>
      <c r="J132" s="2" t="s">
        <v>14</v>
      </c>
      <c r="K132" t="s">
        <v>750</v>
      </c>
      <c r="N132" s="16"/>
      <c r="O132" s="21">
        <f t="shared" si="24"/>
        <v>46148</v>
      </c>
      <c r="P132" s="23">
        <f t="shared" si="25"/>
        <v>55.296790684464639</v>
      </c>
    </row>
    <row r="133" spans="1:16" hidden="1" outlineLevel="1" x14ac:dyDescent="0.3">
      <c r="A133" s="2" t="s">
        <v>273</v>
      </c>
      <c r="B133" s="2" t="s">
        <v>418</v>
      </c>
      <c r="C133" s="2" t="s">
        <v>419</v>
      </c>
      <c r="D133" s="2" t="s">
        <v>420</v>
      </c>
      <c r="E133" s="2" t="s">
        <v>13</v>
      </c>
      <c r="F133" s="3">
        <v>46141</v>
      </c>
      <c r="G133" s="6">
        <v>-2</v>
      </c>
      <c r="H133" s="3">
        <v>46148</v>
      </c>
      <c r="I133" s="5">
        <v>568.29</v>
      </c>
      <c r="J133" s="2" t="s">
        <v>14</v>
      </c>
      <c r="K133" t="s">
        <v>750</v>
      </c>
      <c r="N133" s="16"/>
      <c r="O133" s="21">
        <f t="shared" si="24"/>
        <v>46148</v>
      </c>
      <c r="P133" s="23">
        <f t="shared" si="25"/>
        <v>161.40017040613461</v>
      </c>
    </row>
    <row r="134" spans="1:16" hidden="1" outlineLevel="1" x14ac:dyDescent="0.3">
      <c r="A134" s="2" t="s">
        <v>273</v>
      </c>
      <c r="B134" s="2" t="s">
        <v>421</v>
      </c>
      <c r="C134" s="2" t="s">
        <v>422</v>
      </c>
      <c r="D134" s="2" t="s">
        <v>423</v>
      </c>
      <c r="E134" s="2" t="s">
        <v>13</v>
      </c>
      <c r="F134" s="3">
        <v>46141</v>
      </c>
      <c r="G134" s="6">
        <v>-2</v>
      </c>
      <c r="H134" s="3">
        <v>46148</v>
      </c>
      <c r="I134" s="5">
        <v>118</v>
      </c>
      <c r="J134" s="2" t="s">
        <v>14</v>
      </c>
      <c r="K134" t="s">
        <v>750</v>
      </c>
      <c r="N134" s="16"/>
      <c r="O134" s="21">
        <f t="shared" si="24"/>
        <v>46148</v>
      </c>
      <c r="P134" s="23">
        <f t="shared" si="25"/>
        <v>33.513206475433115</v>
      </c>
    </row>
    <row r="135" spans="1:16" hidden="1" outlineLevel="1" x14ac:dyDescent="0.3">
      <c r="A135" s="2" t="s">
        <v>273</v>
      </c>
      <c r="B135" s="2" t="s">
        <v>424</v>
      </c>
      <c r="C135" s="2" t="s">
        <v>425</v>
      </c>
      <c r="D135" s="2" t="s">
        <v>426</v>
      </c>
      <c r="E135" s="2" t="s">
        <v>13</v>
      </c>
      <c r="F135" s="3">
        <v>46142</v>
      </c>
      <c r="G135" s="6">
        <v>-3</v>
      </c>
      <c r="H135" s="3">
        <v>46149</v>
      </c>
      <c r="I135" s="5">
        <v>522.98</v>
      </c>
      <c r="J135" s="2" t="s">
        <v>14</v>
      </c>
      <c r="K135" t="s">
        <v>750</v>
      </c>
      <c r="N135" s="16"/>
      <c r="O135" s="21">
        <f t="shared" si="24"/>
        <v>46149</v>
      </c>
      <c r="P135" s="23">
        <f t="shared" si="25"/>
        <v>148.53166714001705</v>
      </c>
    </row>
    <row r="136" spans="1:16" hidden="1" outlineLevel="1" x14ac:dyDescent="0.3">
      <c r="A136" s="2" t="s">
        <v>273</v>
      </c>
      <c r="B136" s="2" t="s">
        <v>427</v>
      </c>
      <c r="C136" s="2" t="s">
        <v>428</v>
      </c>
      <c r="D136" s="2" t="s">
        <v>429</v>
      </c>
      <c r="E136" s="2" t="s">
        <v>13</v>
      </c>
      <c r="F136" s="3">
        <v>46142</v>
      </c>
      <c r="G136" s="6">
        <v>-3</v>
      </c>
      <c r="H136" s="3">
        <v>46149</v>
      </c>
      <c r="I136" s="5">
        <v>47.2</v>
      </c>
      <c r="J136" s="2" t="s">
        <v>14</v>
      </c>
      <c r="K136" t="s">
        <v>750</v>
      </c>
      <c r="N136" s="16"/>
      <c r="O136" s="21">
        <f t="shared" si="24"/>
        <v>46149</v>
      </c>
      <c r="P136" s="23">
        <f t="shared" si="25"/>
        <v>13.405282590173247</v>
      </c>
    </row>
    <row r="137" spans="1:16" hidden="1" outlineLevel="1" x14ac:dyDescent="0.3">
      <c r="A137" s="2" t="s">
        <v>273</v>
      </c>
      <c r="B137" s="2" t="s">
        <v>430</v>
      </c>
      <c r="C137" s="2" t="s">
        <v>431</v>
      </c>
      <c r="D137" s="2" t="s">
        <v>432</v>
      </c>
      <c r="E137" s="2" t="s">
        <v>13</v>
      </c>
      <c r="F137" s="3">
        <v>46142</v>
      </c>
      <c r="G137" s="6">
        <v>-3</v>
      </c>
      <c r="H137" s="3">
        <v>46149</v>
      </c>
      <c r="I137" s="5">
        <v>745.76</v>
      </c>
      <c r="J137" s="2" t="s">
        <v>14</v>
      </c>
      <c r="K137" t="s">
        <v>750</v>
      </c>
      <c r="N137" s="16"/>
      <c r="O137" s="21">
        <f t="shared" si="24"/>
        <v>46149</v>
      </c>
      <c r="P137" s="23">
        <f t="shared" si="25"/>
        <v>211.80346492473728</v>
      </c>
    </row>
    <row r="138" spans="1:16" hidden="1" outlineLevel="1" x14ac:dyDescent="0.3">
      <c r="A138" s="2" t="s">
        <v>273</v>
      </c>
      <c r="B138" s="2" t="s">
        <v>433</v>
      </c>
      <c r="C138" s="2" t="s">
        <v>434</v>
      </c>
      <c r="D138" s="2" t="s">
        <v>435</v>
      </c>
      <c r="E138" s="2" t="s">
        <v>13</v>
      </c>
      <c r="F138" s="3">
        <v>46142</v>
      </c>
      <c r="G138" s="6">
        <v>-3</v>
      </c>
      <c r="H138" s="3">
        <v>46149</v>
      </c>
      <c r="I138" s="5">
        <v>70.8</v>
      </c>
      <c r="J138" s="2" t="s">
        <v>14</v>
      </c>
      <c r="K138" t="s">
        <v>750</v>
      </c>
      <c r="N138" s="16"/>
      <c r="O138" s="21">
        <f t="shared" si="24"/>
        <v>46149</v>
      </c>
      <c r="P138" s="23">
        <f t="shared" si="25"/>
        <v>20.107923885259869</v>
      </c>
    </row>
    <row r="139" spans="1:16" hidden="1" outlineLevel="1" x14ac:dyDescent="0.3">
      <c r="A139" s="2" t="s">
        <v>273</v>
      </c>
      <c r="B139" s="2" t="s">
        <v>436</v>
      </c>
      <c r="C139" s="2" t="s">
        <v>437</v>
      </c>
      <c r="D139" s="2" t="s">
        <v>438</v>
      </c>
      <c r="E139" s="2" t="s">
        <v>13</v>
      </c>
      <c r="F139" s="3">
        <v>46144</v>
      </c>
      <c r="G139" s="6">
        <v>-5</v>
      </c>
      <c r="H139" s="3">
        <v>46151</v>
      </c>
      <c r="I139" s="5">
        <v>516.6</v>
      </c>
      <c r="J139" s="2" t="s">
        <v>14</v>
      </c>
      <c r="K139" t="s">
        <v>750</v>
      </c>
      <c r="N139" s="16"/>
      <c r="O139" s="21">
        <f t="shared" si="24"/>
        <v>46151</v>
      </c>
      <c r="P139" s="23">
        <f t="shared" si="25"/>
        <v>146.71968190854872</v>
      </c>
    </row>
    <row r="140" spans="1:16" hidden="1" outlineLevel="1" x14ac:dyDescent="0.3">
      <c r="A140" s="2" t="s">
        <v>273</v>
      </c>
      <c r="B140" s="2" t="s">
        <v>439</v>
      </c>
      <c r="C140" s="2" t="s">
        <v>440</v>
      </c>
      <c r="D140" s="2" t="s">
        <v>441</v>
      </c>
      <c r="E140" s="2" t="s">
        <v>13</v>
      </c>
      <c r="F140" s="3">
        <v>46144</v>
      </c>
      <c r="G140" s="6">
        <v>-5</v>
      </c>
      <c r="H140" s="3">
        <v>46151</v>
      </c>
      <c r="I140" s="5">
        <v>47.2</v>
      </c>
      <c r="J140" s="2" t="s">
        <v>14</v>
      </c>
      <c r="K140" t="s">
        <v>750</v>
      </c>
      <c r="N140" s="16"/>
      <c r="O140" s="21">
        <f t="shared" si="24"/>
        <v>46151</v>
      </c>
      <c r="P140" s="23">
        <f t="shared" si="25"/>
        <v>13.405282590173247</v>
      </c>
    </row>
    <row r="141" spans="1:16" hidden="1" outlineLevel="1" x14ac:dyDescent="0.3">
      <c r="A141" s="2" t="s">
        <v>273</v>
      </c>
      <c r="B141" s="2" t="s">
        <v>442</v>
      </c>
      <c r="C141" s="2" t="s">
        <v>443</v>
      </c>
      <c r="D141" s="2" t="s">
        <v>444</v>
      </c>
      <c r="E141" s="2" t="s">
        <v>13</v>
      </c>
      <c r="F141" s="3">
        <v>46145</v>
      </c>
      <c r="G141" s="6">
        <v>-6</v>
      </c>
      <c r="H141" s="3">
        <v>46152</v>
      </c>
      <c r="I141" s="5">
        <v>656.08</v>
      </c>
      <c r="J141" s="2" t="s">
        <v>14</v>
      </c>
      <c r="K141" t="s">
        <v>750</v>
      </c>
      <c r="N141" s="16"/>
      <c r="O141" s="21">
        <f t="shared" si="24"/>
        <v>46152</v>
      </c>
      <c r="P141" s="23">
        <f t="shared" si="25"/>
        <v>186.33342800340813</v>
      </c>
    </row>
    <row r="142" spans="1:16" hidden="1" outlineLevel="1" x14ac:dyDescent="0.3">
      <c r="A142" s="2" t="s">
        <v>273</v>
      </c>
      <c r="B142" s="2" t="s">
        <v>445</v>
      </c>
      <c r="C142" s="2" t="s">
        <v>446</v>
      </c>
      <c r="D142" s="2" t="s">
        <v>447</v>
      </c>
      <c r="E142" s="2" t="s">
        <v>13</v>
      </c>
      <c r="F142" s="3">
        <v>46145</v>
      </c>
      <c r="G142" s="6">
        <v>-6</v>
      </c>
      <c r="H142" s="3">
        <v>46152</v>
      </c>
      <c r="I142" s="5">
        <v>70.8</v>
      </c>
      <c r="J142" s="2" t="s">
        <v>14</v>
      </c>
      <c r="K142" t="s">
        <v>750</v>
      </c>
      <c r="N142" s="16"/>
      <c r="O142" s="21">
        <f t="shared" si="24"/>
        <v>46152</v>
      </c>
      <c r="P142" s="23">
        <f t="shared" si="25"/>
        <v>20.107923885259869</v>
      </c>
    </row>
    <row r="143" spans="1:16" hidden="1" outlineLevel="1" x14ac:dyDescent="0.3">
      <c r="A143" s="2" t="s">
        <v>273</v>
      </c>
      <c r="B143" s="2" t="s">
        <v>448</v>
      </c>
      <c r="C143" s="2" t="s">
        <v>449</v>
      </c>
      <c r="D143" s="2" t="s">
        <v>450</v>
      </c>
      <c r="E143" s="2" t="s">
        <v>13</v>
      </c>
      <c r="F143" s="3">
        <v>46145</v>
      </c>
      <c r="G143" s="6">
        <v>-6</v>
      </c>
      <c r="H143" s="3">
        <v>46152</v>
      </c>
      <c r="I143" s="5">
        <v>686.24</v>
      </c>
      <c r="J143" s="2" t="s">
        <v>14</v>
      </c>
      <c r="K143" t="s">
        <v>750</v>
      </c>
      <c r="N143" s="16"/>
      <c r="O143" s="21">
        <f t="shared" si="24"/>
        <v>46152</v>
      </c>
      <c r="P143" s="23">
        <f t="shared" si="25"/>
        <v>194.89917637034935</v>
      </c>
    </row>
    <row r="144" spans="1:16" hidden="1" outlineLevel="1" x14ac:dyDescent="0.3">
      <c r="A144" s="2" t="s">
        <v>273</v>
      </c>
      <c r="B144" s="2" t="s">
        <v>451</v>
      </c>
      <c r="C144" s="2" t="s">
        <v>452</v>
      </c>
      <c r="D144" s="2" t="s">
        <v>453</v>
      </c>
      <c r="E144" s="2" t="s">
        <v>13</v>
      </c>
      <c r="F144" s="3">
        <v>46145</v>
      </c>
      <c r="G144" s="6">
        <v>-6</v>
      </c>
      <c r="H144" s="3">
        <v>46152</v>
      </c>
      <c r="I144" s="5">
        <v>177</v>
      </c>
      <c r="J144" s="2" t="s">
        <v>14</v>
      </c>
      <c r="K144" t="s">
        <v>750</v>
      </c>
      <c r="N144" s="16"/>
      <c r="O144" s="21">
        <f t="shared" si="24"/>
        <v>46152</v>
      </c>
      <c r="P144" s="23">
        <f t="shared" si="25"/>
        <v>50.269809713149677</v>
      </c>
    </row>
    <row r="145" spans="1:18" outlineLevel="1" x14ac:dyDescent="0.3">
      <c r="A145" s="2" t="s">
        <v>454</v>
      </c>
      <c r="B145" s="2" t="s">
        <v>455</v>
      </c>
      <c r="C145" s="2" t="s">
        <v>456</v>
      </c>
      <c r="D145" s="2" t="s">
        <v>457</v>
      </c>
      <c r="E145" s="2" t="s">
        <v>132</v>
      </c>
      <c r="F145" s="3">
        <v>46096</v>
      </c>
      <c r="G145" s="4">
        <v>50</v>
      </c>
      <c r="H145" s="3">
        <v>46096</v>
      </c>
      <c r="I145" s="5">
        <v>147743.07</v>
      </c>
      <c r="J145" s="2" t="s">
        <v>83</v>
      </c>
      <c r="K145" t="s">
        <v>754</v>
      </c>
      <c r="L145" s="16">
        <f t="shared" ref="L145:L151" si="26">F145+45</f>
        <v>46141</v>
      </c>
      <c r="M145" s="17">
        <f t="shared" ref="M145:M148" ca="1" si="27">TODAY()-N145</f>
        <v>-2</v>
      </c>
      <c r="N145" s="16">
        <v>46148</v>
      </c>
      <c r="O145" s="21">
        <v>46148</v>
      </c>
      <c r="P145" s="22">
        <f t="shared" ref="P145:P151" si="28">I145</f>
        <v>147743.07</v>
      </c>
      <c r="Q145" s="17">
        <f t="shared" ref="Q145:Q151" ca="1" si="29">TODAY()-F145</f>
        <v>50</v>
      </c>
      <c r="R145" t="s">
        <v>781</v>
      </c>
    </row>
    <row r="146" spans="1:18" outlineLevel="1" x14ac:dyDescent="0.3">
      <c r="A146" s="2" t="s">
        <v>454</v>
      </c>
      <c r="B146" s="2" t="s">
        <v>458</v>
      </c>
      <c r="C146" s="2" t="s">
        <v>459</v>
      </c>
      <c r="D146" s="2" t="s">
        <v>460</v>
      </c>
      <c r="E146" s="2" t="s">
        <v>116</v>
      </c>
      <c r="F146" s="3">
        <v>46109</v>
      </c>
      <c r="G146" s="6">
        <v>-8</v>
      </c>
      <c r="H146" s="3">
        <v>46154</v>
      </c>
      <c r="I146" s="5">
        <v>177221.7</v>
      </c>
      <c r="J146" s="2" t="s">
        <v>83</v>
      </c>
      <c r="K146" t="s">
        <v>754</v>
      </c>
      <c r="L146" s="16">
        <f t="shared" si="26"/>
        <v>46154</v>
      </c>
      <c r="M146" s="17">
        <f t="shared" ca="1" si="27"/>
        <v>-8</v>
      </c>
      <c r="N146" s="16">
        <v>46154</v>
      </c>
      <c r="O146" s="21">
        <f t="shared" si="24"/>
        <v>46154</v>
      </c>
      <c r="P146" s="22">
        <f t="shared" si="28"/>
        <v>177221.7</v>
      </c>
      <c r="Q146" s="17">
        <f t="shared" ca="1" si="29"/>
        <v>37</v>
      </c>
      <c r="R146" t="s">
        <v>780</v>
      </c>
    </row>
    <row r="147" spans="1:18" outlineLevel="1" x14ac:dyDescent="0.3">
      <c r="A147" s="2" t="s">
        <v>454</v>
      </c>
      <c r="B147" s="2" t="s">
        <v>461</v>
      </c>
      <c r="C147" s="2" t="s">
        <v>462</v>
      </c>
      <c r="D147" s="2" t="s">
        <v>463</v>
      </c>
      <c r="E147" s="2" t="s">
        <v>116</v>
      </c>
      <c r="F147" s="3">
        <v>46120</v>
      </c>
      <c r="G147" s="6">
        <v>-19</v>
      </c>
      <c r="H147" s="3">
        <v>46165</v>
      </c>
      <c r="I147" s="5">
        <v>175000</v>
      </c>
      <c r="J147" s="2" t="s">
        <v>83</v>
      </c>
      <c r="K147" t="s">
        <v>754</v>
      </c>
      <c r="L147" s="16">
        <f t="shared" si="26"/>
        <v>46165</v>
      </c>
      <c r="M147" s="17">
        <f t="shared" ca="1" si="27"/>
        <v>-19</v>
      </c>
      <c r="N147" s="16">
        <v>46165</v>
      </c>
      <c r="O147" s="21">
        <f t="shared" ref="O147:O151" si="30">H147</f>
        <v>46165</v>
      </c>
      <c r="P147" s="22">
        <f t="shared" si="28"/>
        <v>175000</v>
      </c>
      <c r="Q147" s="17">
        <f t="shared" ca="1" si="29"/>
        <v>26</v>
      </c>
      <c r="R147" t="s">
        <v>780</v>
      </c>
    </row>
    <row r="148" spans="1:18" outlineLevel="1" x14ac:dyDescent="0.3">
      <c r="A148" s="2" t="s">
        <v>464</v>
      </c>
      <c r="B148" s="2" t="s">
        <v>466</v>
      </c>
      <c r="C148" s="2" t="s">
        <v>467</v>
      </c>
      <c r="D148" s="2" t="s">
        <v>468</v>
      </c>
      <c r="E148" s="2" t="s">
        <v>116</v>
      </c>
      <c r="F148" s="3">
        <v>46134</v>
      </c>
      <c r="G148" s="6">
        <v>-33</v>
      </c>
      <c r="H148" s="3">
        <v>46179</v>
      </c>
      <c r="I148" s="5">
        <v>631800</v>
      </c>
      <c r="J148" s="2" t="s">
        <v>83</v>
      </c>
      <c r="K148" t="s">
        <v>754</v>
      </c>
      <c r="L148" s="16">
        <f t="shared" si="26"/>
        <v>46179</v>
      </c>
      <c r="M148" s="17">
        <f t="shared" ca="1" si="27"/>
        <v>-33</v>
      </c>
      <c r="N148" s="16">
        <v>46179</v>
      </c>
      <c r="O148" s="21">
        <f t="shared" si="30"/>
        <v>46179</v>
      </c>
      <c r="P148" s="22">
        <f t="shared" si="28"/>
        <v>631800</v>
      </c>
      <c r="Q148" s="17">
        <f t="shared" ca="1" si="29"/>
        <v>12</v>
      </c>
      <c r="R148" t="s">
        <v>780</v>
      </c>
    </row>
    <row r="149" spans="1:18" outlineLevel="1" x14ac:dyDescent="0.3">
      <c r="A149" s="2" t="s">
        <v>464</v>
      </c>
      <c r="B149" s="2" t="s">
        <v>469</v>
      </c>
      <c r="C149" s="2" t="s">
        <v>470</v>
      </c>
      <c r="D149" s="2" t="s">
        <v>471</v>
      </c>
      <c r="E149" s="2" t="s">
        <v>116</v>
      </c>
      <c r="F149" s="3">
        <v>46138</v>
      </c>
      <c r="G149" s="6">
        <v>-37</v>
      </c>
      <c r="H149" s="3">
        <v>46183</v>
      </c>
      <c r="I149" s="5">
        <v>105300</v>
      </c>
      <c r="J149" s="2" t="s">
        <v>83</v>
      </c>
      <c r="K149" t="s">
        <v>754</v>
      </c>
      <c r="L149" s="16">
        <f t="shared" si="26"/>
        <v>46183</v>
      </c>
      <c r="M149" s="17"/>
      <c r="N149" s="16">
        <f t="shared" ref="N149:N151" si="31">L149</f>
        <v>46183</v>
      </c>
      <c r="O149" s="21">
        <f t="shared" si="30"/>
        <v>46183</v>
      </c>
      <c r="P149" s="22">
        <f t="shared" si="28"/>
        <v>105300</v>
      </c>
      <c r="Q149" s="17">
        <f t="shared" ca="1" si="29"/>
        <v>8</v>
      </c>
      <c r="R149" t="s">
        <v>780</v>
      </c>
    </row>
    <row r="150" spans="1:18" outlineLevel="1" x14ac:dyDescent="0.3">
      <c r="A150" s="2" t="s">
        <v>472</v>
      </c>
      <c r="B150" s="2" t="s">
        <v>473</v>
      </c>
      <c r="C150" s="2" t="s">
        <v>474</v>
      </c>
      <c r="D150" s="2" t="s">
        <v>475</v>
      </c>
      <c r="E150" s="2" t="s">
        <v>132</v>
      </c>
      <c r="F150" s="3">
        <v>46142</v>
      </c>
      <c r="G150" s="4">
        <v>0</v>
      </c>
      <c r="H150" s="3">
        <v>46142</v>
      </c>
      <c r="I150" s="7">
        <v>-4560</v>
      </c>
      <c r="J150" s="2" t="s">
        <v>83</v>
      </c>
      <c r="K150" t="s">
        <v>754</v>
      </c>
      <c r="L150" s="16">
        <f>F150</f>
        <v>46142</v>
      </c>
      <c r="M150" s="17"/>
      <c r="N150" s="16">
        <f t="shared" si="31"/>
        <v>46142</v>
      </c>
      <c r="O150" s="21">
        <f t="shared" si="30"/>
        <v>46142</v>
      </c>
      <c r="P150" s="22">
        <f t="shared" si="28"/>
        <v>-4560</v>
      </c>
      <c r="Q150" s="17">
        <f t="shared" ca="1" si="29"/>
        <v>4</v>
      </c>
      <c r="R150" t="s">
        <v>780</v>
      </c>
    </row>
    <row r="151" spans="1:18" outlineLevel="1" x14ac:dyDescent="0.3">
      <c r="A151" s="2" t="s">
        <v>472</v>
      </c>
      <c r="B151" s="2" t="s">
        <v>476</v>
      </c>
      <c r="C151" s="2" t="s">
        <v>477</v>
      </c>
      <c r="D151" s="2" t="s">
        <v>478</v>
      </c>
      <c r="E151" s="2" t="s">
        <v>116</v>
      </c>
      <c r="F151" s="3">
        <v>46141</v>
      </c>
      <c r="G151" s="6">
        <v>-40</v>
      </c>
      <c r="H151" s="3">
        <v>46186</v>
      </c>
      <c r="I151" s="5">
        <v>396900</v>
      </c>
      <c r="J151" s="2" t="s">
        <v>83</v>
      </c>
      <c r="K151" t="s">
        <v>754</v>
      </c>
      <c r="L151" s="16">
        <f t="shared" si="26"/>
        <v>46186</v>
      </c>
      <c r="M151" s="17"/>
      <c r="N151" s="16">
        <f t="shared" si="31"/>
        <v>46186</v>
      </c>
      <c r="O151" s="21">
        <f t="shared" si="30"/>
        <v>46186</v>
      </c>
      <c r="P151" s="22">
        <f t="shared" si="28"/>
        <v>396900</v>
      </c>
      <c r="Q151" s="17">
        <f t="shared" ca="1" si="29"/>
        <v>5</v>
      </c>
      <c r="R151" t="s">
        <v>780</v>
      </c>
    </row>
    <row r="152" spans="1:18" hidden="1" outlineLevel="1" x14ac:dyDescent="0.3">
      <c r="A152" s="2" t="s">
        <v>479</v>
      </c>
      <c r="B152" s="2" t="s">
        <v>480</v>
      </c>
      <c r="C152" s="2" t="s">
        <v>481</v>
      </c>
      <c r="D152" s="2" t="s">
        <v>482</v>
      </c>
      <c r="E152" s="2" t="s">
        <v>13</v>
      </c>
      <c r="F152" s="3">
        <v>45964</v>
      </c>
      <c r="G152" s="4">
        <v>175</v>
      </c>
      <c r="H152" s="3">
        <v>45971</v>
      </c>
      <c r="I152" s="5">
        <v>1403.26</v>
      </c>
      <c r="J152" s="2" t="s">
        <v>14</v>
      </c>
      <c r="K152" t="s">
        <v>755</v>
      </c>
      <c r="N152" s="16"/>
      <c r="O152" s="21">
        <f>H152</f>
        <v>45971</v>
      </c>
      <c r="P152" s="23">
        <f>I152/3.521</f>
        <v>398.54018744674806</v>
      </c>
    </row>
    <row r="153" spans="1:18" hidden="1" outlineLevel="1" x14ac:dyDescent="0.3">
      <c r="A153" s="2" t="s">
        <v>479</v>
      </c>
      <c r="B153" s="2" t="s">
        <v>483</v>
      </c>
      <c r="C153" s="2" t="s">
        <v>484</v>
      </c>
      <c r="D153" s="2" t="s">
        <v>485</v>
      </c>
      <c r="E153" s="2" t="s">
        <v>13</v>
      </c>
      <c r="F153" s="3">
        <v>45964</v>
      </c>
      <c r="G153" s="4">
        <v>175</v>
      </c>
      <c r="H153" s="3">
        <v>45971</v>
      </c>
      <c r="I153" s="5">
        <v>141.6</v>
      </c>
      <c r="J153" s="2" t="s">
        <v>14</v>
      </c>
      <c r="K153" t="s">
        <v>755</v>
      </c>
      <c r="N153" s="16"/>
      <c r="O153" s="21">
        <f t="shared" ref="O153:O161" si="32">H153</f>
        <v>45971</v>
      </c>
      <c r="P153" s="23">
        <f t="shared" ref="P153:P155" si="33">I153/3.521</f>
        <v>40.215847770519737</v>
      </c>
    </row>
    <row r="154" spans="1:18" hidden="1" outlineLevel="1" x14ac:dyDescent="0.3">
      <c r="A154" s="2" t="s">
        <v>479</v>
      </c>
      <c r="B154" s="2" t="s">
        <v>486</v>
      </c>
      <c r="C154" s="2" t="s">
        <v>487</v>
      </c>
      <c r="D154" s="2" t="s">
        <v>488</v>
      </c>
      <c r="E154" s="2" t="s">
        <v>13</v>
      </c>
      <c r="F154" s="3">
        <v>45967</v>
      </c>
      <c r="G154" s="4">
        <v>172</v>
      </c>
      <c r="H154" s="3">
        <v>45974</v>
      </c>
      <c r="I154" s="5">
        <v>1193.22</v>
      </c>
      <c r="J154" s="2" t="s">
        <v>14</v>
      </c>
      <c r="K154" t="s">
        <v>755</v>
      </c>
      <c r="N154" s="16"/>
      <c r="O154" s="21">
        <f t="shared" si="32"/>
        <v>45974</v>
      </c>
      <c r="P154" s="23">
        <f t="shared" si="33"/>
        <v>338.88667992047715</v>
      </c>
    </row>
    <row r="155" spans="1:18" hidden="1" outlineLevel="1" x14ac:dyDescent="0.3">
      <c r="A155" s="2" t="s">
        <v>479</v>
      </c>
      <c r="B155" s="2" t="s">
        <v>489</v>
      </c>
      <c r="C155" s="2" t="s">
        <v>490</v>
      </c>
      <c r="D155" s="2" t="s">
        <v>491</v>
      </c>
      <c r="E155" s="2" t="s">
        <v>13</v>
      </c>
      <c r="F155" s="3">
        <v>45967</v>
      </c>
      <c r="G155" s="4">
        <v>172</v>
      </c>
      <c r="H155" s="3">
        <v>45974</v>
      </c>
      <c r="I155" s="5">
        <v>106.2</v>
      </c>
      <c r="J155" s="2" t="s">
        <v>14</v>
      </c>
      <c r="K155" t="s">
        <v>755</v>
      </c>
      <c r="N155" s="16"/>
      <c r="O155" s="21">
        <f t="shared" si="32"/>
        <v>45974</v>
      </c>
      <c r="P155" s="23">
        <f t="shared" si="33"/>
        <v>30.161885827889805</v>
      </c>
    </row>
    <row r="156" spans="1:18" outlineLevel="1" x14ac:dyDescent="0.3">
      <c r="A156" s="2" t="s">
        <v>492</v>
      </c>
      <c r="B156" s="2" t="s">
        <v>493</v>
      </c>
      <c r="C156" s="2" t="s">
        <v>494</v>
      </c>
      <c r="D156" s="2" t="s">
        <v>495</v>
      </c>
      <c r="E156" s="2" t="s">
        <v>116</v>
      </c>
      <c r="F156" s="3">
        <v>46110</v>
      </c>
      <c r="G156" s="6">
        <v>-9</v>
      </c>
      <c r="H156" s="3">
        <v>46155</v>
      </c>
      <c r="I156" s="5">
        <v>76700</v>
      </c>
      <c r="J156" s="2" t="s">
        <v>83</v>
      </c>
      <c r="K156" t="s">
        <v>754</v>
      </c>
      <c r="L156" s="16">
        <f t="shared" ref="L156:L161" si="34">F156+45</f>
        <v>46155</v>
      </c>
      <c r="M156" s="17">
        <f t="shared" ref="M156:M161" ca="1" si="35">TODAY()-N156</f>
        <v>-9</v>
      </c>
      <c r="N156" s="16">
        <v>46155</v>
      </c>
      <c r="O156" s="21">
        <f t="shared" si="32"/>
        <v>46155</v>
      </c>
      <c r="P156" s="22">
        <f t="shared" ref="P156:P161" si="36">I156</f>
        <v>76700</v>
      </c>
      <c r="Q156" s="17">
        <f t="shared" ref="Q156:Q161" ca="1" si="37">TODAY()-F156</f>
        <v>36</v>
      </c>
      <c r="R156" t="s">
        <v>780</v>
      </c>
    </row>
    <row r="157" spans="1:18" outlineLevel="1" x14ac:dyDescent="0.3">
      <c r="A157" s="2" t="s">
        <v>492</v>
      </c>
      <c r="B157" s="2" t="s">
        <v>496</v>
      </c>
      <c r="C157" s="2" t="s">
        <v>497</v>
      </c>
      <c r="D157" s="2" t="s">
        <v>498</v>
      </c>
      <c r="E157" s="2" t="s">
        <v>116</v>
      </c>
      <c r="F157" s="3">
        <v>46124</v>
      </c>
      <c r="G157" s="6">
        <v>-23</v>
      </c>
      <c r="H157" s="3">
        <v>46169</v>
      </c>
      <c r="I157" s="5">
        <v>36400</v>
      </c>
      <c r="J157" s="2" t="s">
        <v>83</v>
      </c>
      <c r="K157" t="s">
        <v>754</v>
      </c>
      <c r="L157" s="16">
        <f t="shared" si="34"/>
        <v>46169</v>
      </c>
      <c r="M157" s="17">
        <f t="shared" ca="1" si="35"/>
        <v>-23</v>
      </c>
      <c r="N157" s="16">
        <v>46169</v>
      </c>
      <c r="O157" s="21">
        <f t="shared" si="32"/>
        <v>46169</v>
      </c>
      <c r="P157" s="22">
        <f t="shared" si="36"/>
        <v>36400</v>
      </c>
      <c r="Q157" s="17">
        <f t="shared" ca="1" si="37"/>
        <v>22</v>
      </c>
      <c r="R157" t="s">
        <v>780</v>
      </c>
    </row>
    <row r="158" spans="1:18" outlineLevel="1" x14ac:dyDescent="0.3">
      <c r="A158" s="2" t="s">
        <v>492</v>
      </c>
      <c r="B158" s="2" t="s">
        <v>499</v>
      </c>
      <c r="C158" s="2" t="s">
        <v>500</v>
      </c>
      <c r="D158" s="2" t="s">
        <v>501</v>
      </c>
      <c r="E158" s="2" t="s">
        <v>116</v>
      </c>
      <c r="F158" s="3">
        <v>46124</v>
      </c>
      <c r="G158" s="6">
        <v>-38</v>
      </c>
      <c r="H158" s="3">
        <v>46184</v>
      </c>
      <c r="I158" s="5">
        <v>80600</v>
      </c>
      <c r="J158" s="2" t="s">
        <v>83</v>
      </c>
      <c r="K158" t="s">
        <v>754</v>
      </c>
      <c r="L158" s="16">
        <f t="shared" si="34"/>
        <v>46169</v>
      </c>
      <c r="M158" s="17">
        <f t="shared" ca="1" si="35"/>
        <v>-38</v>
      </c>
      <c r="N158" s="16">
        <v>46184</v>
      </c>
      <c r="O158" s="21">
        <f t="shared" si="32"/>
        <v>46184</v>
      </c>
      <c r="P158" s="22">
        <f t="shared" si="36"/>
        <v>80600</v>
      </c>
      <c r="Q158" s="17">
        <f t="shared" ca="1" si="37"/>
        <v>22</v>
      </c>
      <c r="R158" t="s">
        <v>780</v>
      </c>
    </row>
    <row r="159" spans="1:18" outlineLevel="1" x14ac:dyDescent="0.3">
      <c r="A159" s="2" t="s">
        <v>492</v>
      </c>
      <c r="B159" s="2" t="s">
        <v>502</v>
      </c>
      <c r="C159" s="2" t="s">
        <v>503</v>
      </c>
      <c r="D159" s="2" t="s">
        <v>504</v>
      </c>
      <c r="E159" s="2" t="s">
        <v>116</v>
      </c>
      <c r="F159" s="3">
        <v>46134</v>
      </c>
      <c r="G159" s="6">
        <v>-33</v>
      </c>
      <c r="H159" s="3">
        <v>46179</v>
      </c>
      <c r="I159" s="5">
        <v>36400</v>
      </c>
      <c r="J159" s="2" t="s">
        <v>83</v>
      </c>
      <c r="K159" t="s">
        <v>754</v>
      </c>
      <c r="L159" s="16">
        <f t="shared" si="34"/>
        <v>46179</v>
      </c>
      <c r="M159" s="17">
        <f t="shared" ca="1" si="35"/>
        <v>-33</v>
      </c>
      <c r="N159" s="16">
        <v>46179</v>
      </c>
      <c r="O159" s="21">
        <f t="shared" si="32"/>
        <v>46179</v>
      </c>
      <c r="P159" s="22">
        <f t="shared" si="36"/>
        <v>36400</v>
      </c>
      <c r="Q159" s="17">
        <f t="shared" ca="1" si="37"/>
        <v>12</v>
      </c>
      <c r="R159" t="s">
        <v>780</v>
      </c>
    </row>
    <row r="160" spans="1:18" outlineLevel="1" x14ac:dyDescent="0.3">
      <c r="A160" s="2" t="s">
        <v>492</v>
      </c>
      <c r="B160" s="2" t="s">
        <v>505</v>
      </c>
      <c r="C160" s="2" t="s">
        <v>506</v>
      </c>
      <c r="D160" s="2" t="s">
        <v>507</v>
      </c>
      <c r="E160" s="2" t="s">
        <v>116</v>
      </c>
      <c r="F160" s="3">
        <v>46139</v>
      </c>
      <c r="G160" s="6">
        <v>-38</v>
      </c>
      <c r="H160" s="3">
        <v>46184</v>
      </c>
      <c r="I160" s="5">
        <v>36400</v>
      </c>
      <c r="J160" s="2" t="s">
        <v>83</v>
      </c>
      <c r="K160" t="s">
        <v>754</v>
      </c>
      <c r="L160" s="16">
        <f t="shared" si="34"/>
        <v>46184</v>
      </c>
      <c r="M160" s="17"/>
      <c r="N160" s="16">
        <f>L160</f>
        <v>46184</v>
      </c>
      <c r="O160" s="21">
        <f t="shared" si="32"/>
        <v>46184</v>
      </c>
      <c r="P160" s="22">
        <f t="shared" si="36"/>
        <v>36400</v>
      </c>
      <c r="Q160" s="17">
        <f t="shared" ca="1" si="37"/>
        <v>7</v>
      </c>
      <c r="R160" t="s">
        <v>780</v>
      </c>
    </row>
    <row r="161" spans="1:18" outlineLevel="1" x14ac:dyDescent="0.3">
      <c r="A161" s="2" t="s">
        <v>508</v>
      </c>
      <c r="B161" s="2" t="s">
        <v>509</v>
      </c>
      <c r="C161" s="2" t="s">
        <v>510</v>
      </c>
      <c r="D161" s="2" t="s">
        <v>775</v>
      </c>
      <c r="E161" s="2" t="s">
        <v>132</v>
      </c>
      <c r="F161" s="3">
        <v>46125</v>
      </c>
      <c r="G161" s="6">
        <v>-24</v>
      </c>
      <c r="H161" s="3">
        <v>46170</v>
      </c>
      <c r="I161" s="5">
        <v>70212</v>
      </c>
      <c r="J161" s="2" t="s">
        <v>83</v>
      </c>
      <c r="K161" t="s">
        <v>754</v>
      </c>
      <c r="L161" s="16">
        <f t="shared" si="34"/>
        <v>46170</v>
      </c>
      <c r="M161" s="17">
        <f t="shared" ca="1" si="35"/>
        <v>-24</v>
      </c>
      <c r="N161" s="16">
        <v>46170</v>
      </c>
      <c r="O161" s="21">
        <f t="shared" si="32"/>
        <v>46170</v>
      </c>
      <c r="P161" s="22">
        <f t="shared" si="36"/>
        <v>70212</v>
      </c>
      <c r="Q161" s="17">
        <f t="shared" ca="1" si="37"/>
        <v>21</v>
      </c>
      <c r="R161" t="s">
        <v>780</v>
      </c>
    </row>
    <row r="162" spans="1:18" hidden="1" outlineLevel="1" x14ac:dyDescent="0.3">
      <c r="A162" s="2" t="s">
        <v>511</v>
      </c>
      <c r="B162" s="2" t="s">
        <v>512</v>
      </c>
      <c r="C162" s="2" t="s">
        <v>513</v>
      </c>
      <c r="D162" s="2" t="s">
        <v>514</v>
      </c>
      <c r="E162" s="2" t="s">
        <v>132</v>
      </c>
      <c r="F162" s="3">
        <v>45951</v>
      </c>
      <c r="G162" s="4">
        <v>195</v>
      </c>
      <c r="H162" s="3">
        <v>45951</v>
      </c>
      <c r="I162" s="5">
        <v>4460</v>
      </c>
      <c r="J162" s="2" t="s">
        <v>14</v>
      </c>
      <c r="K162" t="s">
        <v>753</v>
      </c>
      <c r="N162" s="16"/>
      <c r="O162" s="21">
        <f>H162</f>
        <v>45951</v>
      </c>
      <c r="P162" s="23">
        <f>I162/3.521</f>
        <v>1266.6856006816245</v>
      </c>
    </row>
    <row r="163" spans="1:18" hidden="1" outlineLevel="1" x14ac:dyDescent="0.3">
      <c r="A163" s="2" t="s">
        <v>511</v>
      </c>
      <c r="B163" s="2" t="s">
        <v>515</v>
      </c>
      <c r="C163" s="2" t="s">
        <v>516</v>
      </c>
      <c r="D163" s="2" t="s">
        <v>517</v>
      </c>
      <c r="E163" s="2" t="s">
        <v>13</v>
      </c>
      <c r="F163" s="3">
        <v>45965</v>
      </c>
      <c r="G163" s="4">
        <v>174</v>
      </c>
      <c r="H163" s="3">
        <v>45972</v>
      </c>
      <c r="I163" s="5">
        <v>7097.98</v>
      </c>
      <c r="J163" s="2" t="s">
        <v>14</v>
      </c>
      <c r="K163" t="s">
        <v>753</v>
      </c>
      <c r="N163" s="16"/>
      <c r="O163" s="21">
        <f t="shared" ref="O163:O189" si="38">H163</f>
        <v>45972</v>
      </c>
      <c r="P163" s="23">
        <f t="shared" ref="P163:P189" si="39">I163/3.521</f>
        <v>2015.8988923601248</v>
      </c>
    </row>
    <row r="164" spans="1:18" hidden="1" outlineLevel="1" x14ac:dyDescent="0.3">
      <c r="A164" s="2" t="s">
        <v>511</v>
      </c>
      <c r="B164" s="2" t="s">
        <v>518</v>
      </c>
      <c r="C164" s="2" t="s">
        <v>519</v>
      </c>
      <c r="D164" s="2" t="s">
        <v>520</v>
      </c>
      <c r="E164" s="2" t="s">
        <v>13</v>
      </c>
      <c r="F164" s="3">
        <v>46053</v>
      </c>
      <c r="G164" s="4">
        <v>86</v>
      </c>
      <c r="H164" s="3">
        <v>46060</v>
      </c>
      <c r="I164" s="5">
        <v>4003.46</v>
      </c>
      <c r="J164" s="2" t="s">
        <v>14</v>
      </c>
      <c r="K164" t="s">
        <v>753</v>
      </c>
      <c r="N164" s="16"/>
      <c r="O164" s="21">
        <f t="shared" si="38"/>
        <v>46060</v>
      </c>
      <c r="P164" s="23">
        <f t="shared" si="39"/>
        <v>1137.0235728486225</v>
      </c>
    </row>
    <row r="165" spans="1:18" hidden="1" outlineLevel="1" x14ac:dyDescent="0.3">
      <c r="A165" s="2" t="s">
        <v>511</v>
      </c>
      <c r="B165" s="2" t="s">
        <v>521</v>
      </c>
      <c r="C165" s="2" t="s">
        <v>522</v>
      </c>
      <c r="D165" s="2" t="s">
        <v>523</v>
      </c>
      <c r="E165" s="2" t="s">
        <v>13</v>
      </c>
      <c r="F165" s="3">
        <v>46084</v>
      </c>
      <c r="G165" s="4">
        <v>55</v>
      </c>
      <c r="H165" s="3">
        <v>46091</v>
      </c>
      <c r="I165" s="5">
        <v>4956</v>
      </c>
      <c r="J165" s="2" t="s">
        <v>14</v>
      </c>
      <c r="K165" t="s">
        <v>750</v>
      </c>
      <c r="N165" s="16"/>
      <c r="O165" s="21">
        <f t="shared" si="38"/>
        <v>46091</v>
      </c>
      <c r="P165" s="23">
        <f t="shared" si="39"/>
        <v>1407.5546719681909</v>
      </c>
    </row>
    <row r="166" spans="1:18" hidden="1" outlineLevel="1" x14ac:dyDescent="0.3">
      <c r="A166" s="2" t="s">
        <v>524</v>
      </c>
      <c r="B166" s="2" t="s">
        <v>525</v>
      </c>
      <c r="C166" s="2" t="s">
        <v>526</v>
      </c>
      <c r="D166" s="2" t="s">
        <v>527</v>
      </c>
      <c r="E166" s="2" t="s">
        <v>13</v>
      </c>
      <c r="F166" s="3">
        <v>46128</v>
      </c>
      <c r="G166" s="4">
        <v>11</v>
      </c>
      <c r="H166" s="3">
        <v>46135</v>
      </c>
      <c r="I166" s="5">
        <v>777.76</v>
      </c>
      <c r="J166" s="2" t="s">
        <v>14</v>
      </c>
      <c r="K166" t="s">
        <v>750</v>
      </c>
      <c r="N166" s="16"/>
      <c r="O166" s="21">
        <f t="shared" si="38"/>
        <v>46135</v>
      </c>
      <c r="P166" s="23">
        <f t="shared" si="39"/>
        <v>220.89179210451576</v>
      </c>
    </row>
    <row r="167" spans="1:18" hidden="1" outlineLevel="1" x14ac:dyDescent="0.3">
      <c r="A167" s="2" t="s">
        <v>524</v>
      </c>
      <c r="B167" s="2" t="s">
        <v>528</v>
      </c>
      <c r="C167" s="2" t="s">
        <v>529</v>
      </c>
      <c r="D167" s="2" t="s">
        <v>530</v>
      </c>
      <c r="E167" s="2" t="s">
        <v>13</v>
      </c>
      <c r="F167" s="3">
        <v>46128</v>
      </c>
      <c r="G167" s="4">
        <v>11</v>
      </c>
      <c r="H167" s="3">
        <v>46135</v>
      </c>
      <c r="I167" s="5">
        <v>194.7</v>
      </c>
      <c r="J167" s="2" t="s">
        <v>14</v>
      </c>
      <c r="K167" t="s">
        <v>750</v>
      </c>
      <c r="N167" s="16"/>
      <c r="O167" s="21">
        <f t="shared" si="38"/>
        <v>46135</v>
      </c>
      <c r="P167" s="23">
        <f t="shared" si="39"/>
        <v>55.296790684464639</v>
      </c>
    </row>
    <row r="168" spans="1:18" hidden="1" outlineLevel="1" x14ac:dyDescent="0.3">
      <c r="A168" s="2" t="s">
        <v>524</v>
      </c>
      <c r="B168" s="2" t="s">
        <v>531</v>
      </c>
      <c r="C168" s="2" t="s">
        <v>532</v>
      </c>
      <c r="D168" s="2" t="s">
        <v>533</v>
      </c>
      <c r="E168" s="2" t="s">
        <v>13</v>
      </c>
      <c r="F168" s="3">
        <v>46130</v>
      </c>
      <c r="G168" s="4">
        <v>9</v>
      </c>
      <c r="H168" s="3">
        <v>46137</v>
      </c>
      <c r="I168" s="5">
        <v>800.56</v>
      </c>
      <c r="J168" s="2" t="s">
        <v>14</v>
      </c>
      <c r="K168" t="s">
        <v>750</v>
      </c>
      <c r="N168" s="16"/>
      <c r="O168" s="21">
        <f t="shared" si="38"/>
        <v>46137</v>
      </c>
      <c r="P168" s="23">
        <f t="shared" si="39"/>
        <v>227.36722522010791</v>
      </c>
    </row>
    <row r="169" spans="1:18" hidden="1" outlineLevel="1" x14ac:dyDescent="0.3">
      <c r="A169" s="2" t="s">
        <v>524</v>
      </c>
      <c r="B169" s="2" t="s">
        <v>534</v>
      </c>
      <c r="C169" s="2" t="s">
        <v>535</v>
      </c>
      <c r="D169" s="2" t="s">
        <v>536</v>
      </c>
      <c r="E169" s="2" t="s">
        <v>13</v>
      </c>
      <c r="F169" s="3">
        <v>46130</v>
      </c>
      <c r="G169" s="4">
        <v>9</v>
      </c>
      <c r="H169" s="3">
        <v>46137</v>
      </c>
      <c r="I169" s="5">
        <v>212.4</v>
      </c>
      <c r="J169" s="2" t="s">
        <v>14</v>
      </c>
      <c r="K169" t="s">
        <v>750</v>
      </c>
      <c r="N169" s="16"/>
      <c r="O169" s="21">
        <f t="shared" si="38"/>
        <v>46137</v>
      </c>
      <c r="P169" s="23">
        <f t="shared" si="39"/>
        <v>60.323771655779609</v>
      </c>
    </row>
    <row r="170" spans="1:18" hidden="1" outlineLevel="1" x14ac:dyDescent="0.3">
      <c r="A170" s="2" t="s">
        <v>524</v>
      </c>
      <c r="B170" s="2" t="s">
        <v>537</v>
      </c>
      <c r="C170" s="2" t="s">
        <v>538</v>
      </c>
      <c r="D170" s="2" t="s">
        <v>539</v>
      </c>
      <c r="E170" s="2" t="s">
        <v>13</v>
      </c>
      <c r="F170" s="3">
        <v>46131</v>
      </c>
      <c r="G170" s="4">
        <v>8</v>
      </c>
      <c r="H170" s="3">
        <v>46138</v>
      </c>
      <c r="I170" s="5">
        <v>729.85</v>
      </c>
      <c r="J170" s="2" t="s">
        <v>14</v>
      </c>
      <c r="K170" t="s">
        <v>750</v>
      </c>
      <c r="N170" s="16"/>
      <c r="O170" s="21">
        <f t="shared" si="38"/>
        <v>46138</v>
      </c>
      <c r="P170" s="23">
        <f t="shared" si="39"/>
        <v>207.28486225504119</v>
      </c>
    </row>
    <row r="171" spans="1:18" hidden="1" outlineLevel="1" x14ac:dyDescent="0.3">
      <c r="A171" s="2" t="s">
        <v>524</v>
      </c>
      <c r="B171" s="2" t="s">
        <v>540</v>
      </c>
      <c r="C171" s="2" t="s">
        <v>541</v>
      </c>
      <c r="D171" s="2" t="s">
        <v>542</v>
      </c>
      <c r="E171" s="2" t="s">
        <v>13</v>
      </c>
      <c r="F171" s="3">
        <v>46131</v>
      </c>
      <c r="G171" s="4">
        <v>8</v>
      </c>
      <c r="H171" s="3">
        <v>46138</v>
      </c>
      <c r="I171" s="5">
        <v>194.7</v>
      </c>
      <c r="J171" s="2" t="s">
        <v>14</v>
      </c>
      <c r="K171" t="s">
        <v>750</v>
      </c>
      <c r="N171" s="16"/>
      <c r="O171" s="21">
        <f t="shared" si="38"/>
        <v>46138</v>
      </c>
      <c r="P171" s="23">
        <f t="shared" si="39"/>
        <v>55.296790684464639</v>
      </c>
    </row>
    <row r="172" spans="1:18" hidden="1" outlineLevel="1" x14ac:dyDescent="0.3">
      <c r="A172" s="2" t="s">
        <v>524</v>
      </c>
      <c r="B172" s="2" t="s">
        <v>543</v>
      </c>
      <c r="C172" s="2" t="s">
        <v>544</v>
      </c>
      <c r="D172" s="2" t="s">
        <v>545</v>
      </c>
      <c r="E172" s="2" t="s">
        <v>13</v>
      </c>
      <c r="F172" s="3">
        <v>46133</v>
      </c>
      <c r="G172" s="4">
        <v>6</v>
      </c>
      <c r="H172" s="3">
        <v>46140</v>
      </c>
      <c r="I172" s="5">
        <v>408.37</v>
      </c>
      <c r="J172" s="2" t="s">
        <v>14</v>
      </c>
      <c r="K172" t="s">
        <v>750</v>
      </c>
      <c r="N172" s="16"/>
      <c r="O172" s="21">
        <f t="shared" si="38"/>
        <v>46140</v>
      </c>
      <c r="P172" s="23">
        <f t="shared" si="39"/>
        <v>115.98125532519171</v>
      </c>
    </row>
    <row r="173" spans="1:18" hidden="1" outlineLevel="1" x14ac:dyDescent="0.3">
      <c r="A173" s="2" t="s">
        <v>524</v>
      </c>
      <c r="B173" s="2" t="s">
        <v>546</v>
      </c>
      <c r="C173" s="2" t="s">
        <v>547</v>
      </c>
      <c r="D173" s="2" t="s">
        <v>548</v>
      </c>
      <c r="E173" s="2" t="s">
        <v>13</v>
      </c>
      <c r="F173" s="3">
        <v>46133</v>
      </c>
      <c r="G173" s="4">
        <v>6</v>
      </c>
      <c r="H173" s="3">
        <v>46140</v>
      </c>
      <c r="I173" s="5">
        <v>135.69999999999999</v>
      </c>
      <c r="J173" s="2" t="s">
        <v>14</v>
      </c>
      <c r="K173" t="s">
        <v>750</v>
      </c>
      <c r="N173" s="16"/>
      <c r="O173" s="21">
        <f t="shared" si="38"/>
        <v>46140</v>
      </c>
      <c r="P173" s="23">
        <f t="shared" si="39"/>
        <v>38.540187446748078</v>
      </c>
    </row>
    <row r="174" spans="1:18" hidden="1" outlineLevel="1" x14ac:dyDescent="0.3">
      <c r="A174" s="2" t="s">
        <v>524</v>
      </c>
      <c r="B174" s="2" t="s">
        <v>549</v>
      </c>
      <c r="C174" s="2" t="s">
        <v>550</v>
      </c>
      <c r="D174" s="2" t="s">
        <v>551</v>
      </c>
      <c r="E174" s="2" t="s">
        <v>13</v>
      </c>
      <c r="F174" s="3">
        <v>46134</v>
      </c>
      <c r="G174" s="4">
        <v>5</v>
      </c>
      <c r="H174" s="3">
        <v>46141</v>
      </c>
      <c r="I174" s="5">
        <v>934.7</v>
      </c>
      <c r="J174" s="2" t="s">
        <v>14</v>
      </c>
      <c r="K174" t="s">
        <v>750</v>
      </c>
      <c r="N174" s="16"/>
      <c r="O174" s="21">
        <f t="shared" si="38"/>
        <v>46141</v>
      </c>
      <c r="P174" s="23">
        <f t="shared" si="39"/>
        <v>265.46435671684185</v>
      </c>
    </row>
    <row r="175" spans="1:18" hidden="1" outlineLevel="1" x14ac:dyDescent="0.3">
      <c r="A175" s="2" t="s">
        <v>524</v>
      </c>
      <c r="B175" s="2" t="s">
        <v>552</v>
      </c>
      <c r="C175" s="2" t="s">
        <v>553</v>
      </c>
      <c r="D175" s="2" t="s">
        <v>554</v>
      </c>
      <c r="E175" s="2" t="s">
        <v>13</v>
      </c>
      <c r="F175" s="3">
        <v>46134</v>
      </c>
      <c r="G175" s="4">
        <v>5</v>
      </c>
      <c r="H175" s="3">
        <v>46141</v>
      </c>
      <c r="I175" s="5">
        <v>230.1</v>
      </c>
      <c r="J175" s="2" t="s">
        <v>14</v>
      </c>
      <c r="K175" t="s">
        <v>750</v>
      </c>
      <c r="N175" s="16"/>
      <c r="O175" s="21">
        <f t="shared" si="38"/>
        <v>46141</v>
      </c>
      <c r="P175" s="23">
        <f t="shared" si="39"/>
        <v>65.350752627094579</v>
      </c>
    </row>
    <row r="176" spans="1:18" hidden="1" outlineLevel="1" x14ac:dyDescent="0.3">
      <c r="A176" s="2" t="s">
        <v>524</v>
      </c>
      <c r="B176" s="2" t="s">
        <v>555</v>
      </c>
      <c r="C176" s="2" t="s">
        <v>556</v>
      </c>
      <c r="D176" s="2" t="s">
        <v>557</v>
      </c>
      <c r="E176" s="2" t="s">
        <v>13</v>
      </c>
      <c r="F176" s="3">
        <v>46136</v>
      </c>
      <c r="G176" s="4">
        <v>3</v>
      </c>
      <c r="H176" s="3">
        <v>46143</v>
      </c>
      <c r="I176" s="5">
        <v>513.77</v>
      </c>
      <c r="J176" s="2" t="s">
        <v>14</v>
      </c>
      <c r="K176" t="s">
        <v>750</v>
      </c>
      <c r="N176" s="16"/>
      <c r="O176" s="21">
        <f t="shared" si="38"/>
        <v>46143</v>
      </c>
      <c r="P176" s="23">
        <f t="shared" si="39"/>
        <v>145.91593297358705</v>
      </c>
    </row>
    <row r="177" spans="1:18" hidden="1" outlineLevel="1" x14ac:dyDescent="0.3">
      <c r="A177" s="2" t="s">
        <v>524</v>
      </c>
      <c r="B177" s="2" t="s">
        <v>558</v>
      </c>
      <c r="C177" s="2" t="s">
        <v>559</v>
      </c>
      <c r="D177" s="2" t="s">
        <v>560</v>
      </c>
      <c r="E177" s="2" t="s">
        <v>13</v>
      </c>
      <c r="F177" s="3">
        <v>46136</v>
      </c>
      <c r="G177" s="4">
        <v>3</v>
      </c>
      <c r="H177" s="3">
        <v>46143</v>
      </c>
      <c r="I177" s="5">
        <v>177</v>
      </c>
      <c r="J177" s="2" t="s">
        <v>14</v>
      </c>
      <c r="K177" t="s">
        <v>750</v>
      </c>
      <c r="N177" s="16"/>
      <c r="O177" s="21">
        <f t="shared" si="38"/>
        <v>46143</v>
      </c>
      <c r="P177" s="23">
        <f t="shared" si="39"/>
        <v>50.269809713149677</v>
      </c>
    </row>
    <row r="178" spans="1:18" hidden="1" outlineLevel="1" x14ac:dyDescent="0.3">
      <c r="A178" s="2" t="s">
        <v>524</v>
      </c>
      <c r="B178" s="2" t="s">
        <v>561</v>
      </c>
      <c r="C178" s="2" t="s">
        <v>562</v>
      </c>
      <c r="D178" s="2" t="s">
        <v>563</v>
      </c>
      <c r="E178" s="2" t="s">
        <v>13</v>
      </c>
      <c r="F178" s="3">
        <v>46137</v>
      </c>
      <c r="G178" s="4">
        <v>9</v>
      </c>
      <c r="H178" s="3">
        <v>46137</v>
      </c>
      <c r="I178" s="5">
        <v>663.11</v>
      </c>
      <c r="J178" s="2" t="s">
        <v>14</v>
      </c>
      <c r="K178" t="s">
        <v>750</v>
      </c>
      <c r="N178" s="16"/>
      <c r="O178" s="21">
        <f t="shared" si="38"/>
        <v>46137</v>
      </c>
      <c r="P178" s="23">
        <f t="shared" si="39"/>
        <v>188.33001988071572</v>
      </c>
    </row>
    <row r="179" spans="1:18" hidden="1" outlineLevel="1" x14ac:dyDescent="0.3">
      <c r="A179" s="2" t="s">
        <v>524</v>
      </c>
      <c r="B179" s="2" t="s">
        <v>564</v>
      </c>
      <c r="C179" s="2" t="s">
        <v>565</v>
      </c>
      <c r="D179" s="2" t="s">
        <v>566</v>
      </c>
      <c r="E179" s="2" t="s">
        <v>13</v>
      </c>
      <c r="F179" s="3">
        <v>46137</v>
      </c>
      <c r="G179" s="4">
        <v>9</v>
      </c>
      <c r="H179" s="3">
        <v>46137</v>
      </c>
      <c r="I179" s="5">
        <v>194.7</v>
      </c>
      <c r="J179" s="2" t="s">
        <v>14</v>
      </c>
      <c r="K179" t="s">
        <v>750</v>
      </c>
      <c r="N179" s="16"/>
      <c r="O179" s="21">
        <f t="shared" si="38"/>
        <v>46137</v>
      </c>
      <c r="P179" s="23">
        <f t="shared" si="39"/>
        <v>55.296790684464639</v>
      </c>
    </row>
    <row r="180" spans="1:18" hidden="1" outlineLevel="1" x14ac:dyDescent="0.3">
      <c r="A180" s="2" t="s">
        <v>524</v>
      </c>
      <c r="B180" s="2" t="s">
        <v>567</v>
      </c>
      <c r="C180" s="2" t="s">
        <v>568</v>
      </c>
      <c r="D180" s="2" t="s">
        <v>569</v>
      </c>
      <c r="E180" s="2" t="s">
        <v>13</v>
      </c>
      <c r="F180" s="3">
        <v>46138</v>
      </c>
      <c r="G180" s="4">
        <v>1</v>
      </c>
      <c r="H180" s="3">
        <v>46145</v>
      </c>
      <c r="I180" s="5">
        <v>1273.03</v>
      </c>
      <c r="J180" s="2" t="s">
        <v>14</v>
      </c>
      <c r="K180" t="s">
        <v>750</v>
      </c>
      <c r="N180" s="16"/>
      <c r="O180" s="21">
        <f t="shared" si="38"/>
        <v>46145</v>
      </c>
      <c r="P180" s="23">
        <f t="shared" si="39"/>
        <v>361.55353592729341</v>
      </c>
    </row>
    <row r="181" spans="1:18" hidden="1" outlineLevel="1" x14ac:dyDescent="0.3">
      <c r="A181" s="2" t="s">
        <v>524</v>
      </c>
      <c r="B181" s="2" t="s">
        <v>570</v>
      </c>
      <c r="C181" s="2" t="s">
        <v>571</v>
      </c>
      <c r="D181" s="2" t="s">
        <v>572</v>
      </c>
      <c r="E181" s="2" t="s">
        <v>13</v>
      </c>
      <c r="F181" s="3">
        <v>46138</v>
      </c>
      <c r="G181" s="4">
        <v>1</v>
      </c>
      <c r="H181" s="3">
        <v>46145</v>
      </c>
      <c r="I181" s="5">
        <v>389.4</v>
      </c>
      <c r="J181" s="2" t="s">
        <v>14</v>
      </c>
      <c r="K181" t="s">
        <v>750</v>
      </c>
      <c r="N181" s="16"/>
      <c r="O181" s="21">
        <f t="shared" si="38"/>
        <v>46145</v>
      </c>
      <c r="P181" s="23">
        <f t="shared" si="39"/>
        <v>110.59358136892928</v>
      </c>
    </row>
    <row r="182" spans="1:18" hidden="1" outlineLevel="1" x14ac:dyDescent="0.3">
      <c r="A182" s="2" t="s">
        <v>524</v>
      </c>
      <c r="B182" s="2" t="s">
        <v>573</v>
      </c>
      <c r="C182" s="2" t="s">
        <v>574</v>
      </c>
      <c r="D182" s="2" t="s">
        <v>575</v>
      </c>
      <c r="E182" s="2" t="s">
        <v>13</v>
      </c>
      <c r="F182" s="3">
        <v>46139</v>
      </c>
      <c r="G182" s="4">
        <v>0</v>
      </c>
      <c r="H182" s="3">
        <v>46146</v>
      </c>
      <c r="I182" s="5">
        <v>1816.54</v>
      </c>
      <c r="J182" s="2" t="s">
        <v>14</v>
      </c>
      <c r="K182" t="s">
        <v>750</v>
      </c>
      <c r="N182" s="16"/>
      <c r="O182" s="21">
        <f t="shared" si="38"/>
        <v>46146</v>
      </c>
      <c r="P182" s="23">
        <f t="shared" si="39"/>
        <v>515.91593297358702</v>
      </c>
    </row>
    <row r="183" spans="1:18" hidden="1" outlineLevel="1" x14ac:dyDescent="0.3">
      <c r="A183" s="2" t="s">
        <v>524</v>
      </c>
      <c r="B183" s="2" t="s">
        <v>576</v>
      </c>
      <c r="C183" s="2" t="s">
        <v>577</v>
      </c>
      <c r="D183" s="2" t="s">
        <v>578</v>
      </c>
      <c r="E183" s="2" t="s">
        <v>13</v>
      </c>
      <c r="F183" s="3">
        <v>46139</v>
      </c>
      <c r="G183" s="4">
        <v>0</v>
      </c>
      <c r="H183" s="3">
        <v>46146</v>
      </c>
      <c r="I183" s="5">
        <v>495.6</v>
      </c>
      <c r="J183" s="2" t="s">
        <v>14</v>
      </c>
      <c r="K183" t="s">
        <v>750</v>
      </c>
      <c r="N183" s="16"/>
      <c r="O183" s="21">
        <f t="shared" si="38"/>
        <v>46146</v>
      </c>
      <c r="P183" s="23">
        <f t="shared" si="39"/>
        <v>140.7554671968191</v>
      </c>
    </row>
    <row r="184" spans="1:18" hidden="1" outlineLevel="1" x14ac:dyDescent="0.3">
      <c r="A184" s="2" t="s">
        <v>524</v>
      </c>
      <c r="B184" s="2" t="s">
        <v>579</v>
      </c>
      <c r="C184" s="2" t="s">
        <v>580</v>
      </c>
      <c r="D184" s="2" t="s">
        <v>581</v>
      </c>
      <c r="E184" s="2" t="s">
        <v>13</v>
      </c>
      <c r="F184" s="3">
        <v>46140</v>
      </c>
      <c r="G184" s="6">
        <v>-1</v>
      </c>
      <c r="H184" s="3">
        <v>46147</v>
      </c>
      <c r="I184" s="5">
        <v>1277.99</v>
      </c>
      <c r="J184" s="2" t="s">
        <v>14</v>
      </c>
      <c r="K184" t="s">
        <v>750</v>
      </c>
      <c r="N184" s="16"/>
      <c r="O184" s="21">
        <f t="shared" si="38"/>
        <v>46147</v>
      </c>
      <c r="P184" s="23">
        <f t="shared" si="39"/>
        <v>362.96222664015903</v>
      </c>
    </row>
    <row r="185" spans="1:18" hidden="1" outlineLevel="1" x14ac:dyDescent="0.3">
      <c r="A185" s="2" t="s">
        <v>524</v>
      </c>
      <c r="B185" s="2" t="s">
        <v>582</v>
      </c>
      <c r="C185" s="2" t="s">
        <v>583</v>
      </c>
      <c r="D185" s="2" t="s">
        <v>584</v>
      </c>
      <c r="E185" s="2" t="s">
        <v>13</v>
      </c>
      <c r="F185" s="3">
        <v>46140</v>
      </c>
      <c r="G185" s="6">
        <v>-1</v>
      </c>
      <c r="H185" s="3">
        <v>46147</v>
      </c>
      <c r="I185" s="5">
        <v>383.5</v>
      </c>
      <c r="J185" s="2" t="s">
        <v>14</v>
      </c>
      <c r="K185" t="s">
        <v>750</v>
      </c>
      <c r="N185" s="16"/>
      <c r="O185" s="21">
        <f t="shared" si="38"/>
        <v>46147</v>
      </c>
      <c r="P185" s="23">
        <f t="shared" si="39"/>
        <v>108.91792104515763</v>
      </c>
    </row>
    <row r="186" spans="1:18" hidden="1" outlineLevel="1" x14ac:dyDescent="0.3">
      <c r="A186" s="2" t="s">
        <v>524</v>
      </c>
      <c r="B186" s="2" t="s">
        <v>585</v>
      </c>
      <c r="C186" s="2" t="s">
        <v>586</v>
      </c>
      <c r="D186" s="2" t="s">
        <v>587</v>
      </c>
      <c r="E186" s="2" t="s">
        <v>13</v>
      </c>
      <c r="F186" s="3">
        <v>46141</v>
      </c>
      <c r="G186" s="6">
        <v>-2</v>
      </c>
      <c r="H186" s="3">
        <v>46148</v>
      </c>
      <c r="I186" s="5">
        <v>1326.56</v>
      </c>
      <c r="J186" s="2" t="s">
        <v>14</v>
      </c>
      <c r="K186" t="s">
        <v>750</v>
      </c>
      <c r="N186" s="16"/>
      <c r="O186" s="21">
        <f t="shared" si="38"/>
        <v>46148</v>
      </c>
      <c r="P186" s="23">
        <f t="shared" si="39"/>
        <v>376.75660323771655</v>
      </c>
    </row>
    <row r="187" spans="1:18" hidden="1" outlineLevel="1" x14ac:dyDescent="0.3">
      <c r="A187" s="2" t="s">
        <v>524</v>
      </c>
      <c r="B187" s="2" t="s">
        <v>588</v>
      </c>
      <c r="C187" s="2" t="s">
        <v>589</v>
      </c>
      <c r="D187" s="2" t="s">
        <v>590</v>
      </c>
      <c r="E187" s="2" t="s">
        <v>13</v>
      </c>
      <c r="F187" s="3">
        <v>46141</v>
      </c>
      <c r="G187" s="6">
        <v>-2</v>
      </c>
      <c r="H187" s="3">
        <v>46148</v>
      </c>
      <c r="I187" s="5">
        <v>442.5</v>
      </c>
      <c r="J187" s="2" t="s">
        <v>14</v>
      </c>
      <c r="K187" t="s">
        <v>750</v>
      </c>
      <c r="N187" s="16"/>
      <c r="O187" s="21">
        <f t="shared" si="38"/>
        <v>46148</v>
      </c>
      <c r="P187" s="23">
        <f t="shared" si="39"/>
        <v>125.67452428287419</v>
      </c>
    </row>
    <row r="188" spans="1:18" hidden="1" outlineLevel="1" x14ac:dyDescent="0.3">
      <c r="A188" s="2" t="s">
        <v>524</v>
      </c>
      <c r="B188" s="2" t="s">
        <v>591</v>
      </c>
      <c r="C188" s="2" t="s">
        <v>592</v>
      </c>
      <c r="D188" s="2" t="s">
        <v>593</v>
      </c>
      <c r="E188" s="2" t="s">
        <v>13</v>
      </c>
      <c r="F188" s="3">
        <v>46144</v>
      </c>
      <c r="G188" s="6">
        <v>-5</v>
      </c>
      <c r="H188" s="3">
        <v>46151</v>
      </c>
      <c r="I188" s="5">
        <v>427.21</v>
      </c>
      <c r="J188" s="2" t="s">
        <v>14</v>
      </c>
      <c r="K188" t="s">
        <v>750</v>
      </c>
      <c r="N188" s="16"/>
      <c r="O188" s="21">
        <f t="shared" si="38"/>
        <v>46151</v>
      </c>
      <c r="P188" s="23">
        <f t="shared" si="39"/>
        <v>121.33200795228628</v>
      </c>
    </row>
    <row r="189" spans="1:18" hidden="1" outlineLevel="1" x14ac:dyDescent="0.3">
      <c r="A189" s="2" t="s">
        <v>524</v>
      </c>
      <c r="B189" s="2" t="s">
        <v>594</v>
      </c>
      <c r="C189" s="2" t="s">
        <v>595</v>
      </c>
      <c r="D189" s="2" t="s">
        <v>596</v>
      </c>
      <c r="E189" s="2" t="s">
        <v>13</v>
      </c>
      <c r="F189" s="3">
        <v>46144</v>
      </c>
      <c r="G189" s="6">
        <v>-5</v>
      </c>
      <c r="H189" s="3">
        <v>46151</v>
      </c>
      <c r="I189" s="5">
        <v>153.4</v>
      </c>
      <c r="J189" s="2" t="s">
        <v>14</v>
      </c>
      <c r="K189" t="s">
        <v>750</v>
      </c>
      <c r="N189" s="16"/>
      <c r="O189" s="21">
        <f t="shared" si="38"/>
        <v>46151</v>
      </c>
      <c r="P189" s="23">
        <f t="shared" si="39"/>
        <v>43.567168418063055</v>
      </c>
    </row>
    <row r="190" spans="1:18" outlineLevel="1" x14ac:dyDescent="0.3">
      <c r="A190" s="2" t="s">
        <v>597</v>
      </c>
      <c r="B190" s="2" t="s">
        <v>598</v>
      </c>
      <c r="C190" s="2" t="s">
        <v>599</v>
      </c>
      <c r="D190" s="2" t="s">
        <v>600</v>
      </c>
      <c r="E190" s="2" t="s">
        <v>132</v>
      </c>
      <c r="F190" s="3">
        <v>46134</v>
      </c>
      <c r="G190" s="4">
        <v>0</v>
      </c>
      <c r="H190" s="3">
        <v>46134</v>
      </c>
      <c r="I190" s="7">
        <v>-7645</v>
      </c>
      <c r="J190" s="2" t="s">
        <v>83</v>
      </c>
      <c r="K190" t="s">
        <v>754</v>
      </c>
      <c r="L190" s="16">
        <f>F190+45</f>
        <v>46179</v>
      </c>
      <c r="M190" s="17"/>
      <c r="N190" s="16">
        <f>F190</f>
        <v>46134</v>
      </c>
      <c r="O190" s="21">
        <f>H190</f>
        <v>46134</v>
      </c>
      <c r="P190" s="22">
        <f>I190</f>
        <v>-7645</v>
      </c>
      <c r="Q190" s="17">
        <f ca="1">TODAY()-F190</f>
        <v>12</v>
      </c>
      <c r="R190" t="s">
        <v>780</v>
      </c>
    </row>
    <row r="191" spans="1:18" hidden="1" outlineLevel="1" x14ac:dyDescent="0.3">
      <c r="A191" s="2" t="s">
        <v>601</v>
      </c>
      <c r="B191" s="2" t="s">
        <v>602</v>
      </c>
      <c r="C191" s="2" t="s">
        <v>603</v>
      </c>
      <c r="D191" s="2" t="s">
        <v>604</v>
      </c>
      <c r="E191" s="2" t="s">
        <v>13</v>
      </c>
      <c r="F191" s="3">
        <v>45937</v>
      </c>
      <c r="G191" s="4">
        <v>202</v>
      </c>
      <c r="H191" s="3">
        <v>45944</v>
      </c>
      <c r="I191" s="5">
        <v>790</v>
      </c>
      <c r="J191" s="2" t="s">
        <v>14</v>
      </c>
      <c r="K191" t="s">
        <v>751</v>
      </c>
      <c r="N191" s="16"/>
      <c r="O191" s="21">
        <f>H191</f>
        <v>45944</v>
      </c>
      <c r="P191" s="23">
        <f>I191/3.521</f>
        <v>224.36807725078103</v>
      </c>
    </row>
    <row r="192" spans="1:18" hidden="1" outlineLevel="1" x14ac:dyDescent="0.3">
      <c r="A192" s="2" t="s">
        <v>605</v>
      </c>
      <c r="B192" s="2" t="s">
        <v>606</v>
      </c>
      <c r="C192" s="2" t="s">
        <v>607</v>
      </c>
      <c r="D192" s="2" t="s">
        <v>608</v>
      </c>
      <c r="E192" s="2" t="s">
        <v>13</v>
      </c>
      <c r="F192" s="3">
        <v>46134</v>
      </c>
      <c r="G192" s="4">
        <v>9</v>
      </c>
      <c r="H192" s="3">
        <v>46137</v>
      </c>
      <c r="I192" s="5">
        <v>21687.46</v>
      </c>
      <c r="J192" s="2" t="s">
        <v>14</v>
      </c>
      <c r="K192" t="s">
        <v>752</v>
      </c>
      <c r="N192" s="16"/>
      <c r="O192" s="21">
        <f>H192</f>
        <v>46137</v>
      </c>
      <c r="P192" s="23">
        <f>I192/3.521</f>
        <v>6159.4603805737006</v>
      </c>
    </row>
    <row r="193" spans="1:18" hidden="1" outlineLevel="1" x14ac:dyDescent="0.3">
      <c r="A193" s="2" t="s">
        <v>605</v>
      </c>
      <c r="B193" s="2" t="s">
        <v>609</v>
      </c>
      <c r="C193" s="2" t="s">
        <v>610</v>
      </c>
      <c r="D193" s="2" t="s">
        <v>611</v>
      </c>
      <c r="E193" s="2" t="s">
        <v>13</v>
      </c>
      <c r="F193" s="3">
        <v>46142</v>
      </c>
      <c r="G193" s="4">
        <v>1</v>
      </c>
      <c r="H193" s="3">
        <v>46145</v>
      </c>
      <c r="I193" s="5">
        <v>47934.43</v>
      </c>
      <c r="J193" s="2" t="s">
        <v>14</v>
      </c>
      <c r="K193" t="s">
        <v>752</v>
      </c>
      <c r="N193" s="16"/>
      <c r="O193" s="21">
        <f t="shared" ref="O193:O200" si="40">H193</f>
        <v>46145</v>
      </c>
      <c r="P193" s="23">
        <f t="shared" ref="P193:P194" si="41">I193/3.521</f>
        <v>13613.868219255894</v>
      </c>
    </row>
    <row r="194" spans="1:18" hidden="1" outlineLevel="1" x14ac:dyDescent="0.3">
      <c r="A194" s="2" t="s">
        <v>605</v>
      </c>
      <c r="B194" s="2" t="s">
        <v>612</v>
      </c>
      <c r="C194" s="2" t="s">
        <v>613</v>
      </c>
      <c r="D194" s="2" t="s">
        <v>614</v>
      </c>
      <c r="E194" s="2" t="s">
        <v>13</v>
      </c>
      <c r="F194" s="3">
        <v>46142</v>
      </c>
      <c r="G194" s="4">
        <v>1</v>
      </c>
      <c r="H194" s="3">
        <v>46145</v>
      </c>
      <c r="I194" s="5">
        <v>54183.95</v>
      </c>
      <c r="J194" s="2" t="s">
        <v>14</v>
      </c>
      <c r="K194" t="s">
        <v>752</v>
      </c>
      <c r="N194" s="16"/>
      <c r="O194" s="21">
        <f t="shared" si="40"/>
        <v>46145</v>
      </c>
      <c r="P194" s="23">
        <f t="shared" si="41"/>
        <v>15388.795796648679</v>
      </c>
    </row>
    <row r="195" spans="1:18" outlineLevel="1" x14ac:dyDescent="0.3">
      <c r="A195" s="2" t="s">
        <v>621</v>
      </c>
      <c r="B195" s="2" t="s">
        <v>622</v>
      </c>
      <c r="C195" s="2" t="s">
        <v>615</v>
      </c>
      <c r="D195" s="2" t="s">
        <v>616</v>
      </c>
      <c r="E195" s="2" t="s">
        <v>133</v>
      </c>
      <c r="F195" s="3">
        <v>46111</v>
      </c>
      <c r="G195" s="4">
        <v>0</v>
      </c>
      <c r="H195" s="3">
        <v>46112</v>
      </c>
      <c r="I195" s="7">
        <v>-33875</v>
      </c>
      <c r="J195" s="2" t="s">
        <v>83</v>
      </c>
      <c r="K195" t="s">
        <v>754</v>
      </c>
      <c r="L195" s="16">
        <f t="shared" ref="L195:L200" si="42">F195+45</f>
        <v>46156</v>
      </c>
      <c r="M195" s="17"/>
      <c r="N195" s="16">
        <f t="shared" ref="N195:N197" si="43">F195</f>
        <v>46111</v>
      </c>
      <c r="O195" s="21">
        <f t="shared" si="40"/>
        <v>46112</v>
      </c>
      <c r="P195" s="22">
        <f t="shared" ref="P195:P200" si="44">I195</f>
        <v>-33875</v>
      </c>
      <c r="Q195" s="17">
        <f t="shared" ref="Q195:Q200" ca="1" si="45">TODAY()-F195</f>
        <v>35</v>
      </c>
      <c r="R195" t="s">
        <v>780</v>
      </c>
    </row>
    <row r="196" spans="1:18" outlineLevel="1" x14ac:dyDescent="0.3">
      <c r="A196" s="2" t="s">
        <v>621</v>
      </c>
      <c r="B196" s="2" t="s">
        <v>622</v>
      </c>
      <c r="C196" s="2" t="s">
        <v>617</v>
      </c>
      <c r="D196" s="2" t="s">
        <v>618</v>
      </c>
      <c r="E196" s="2" t="s">
        <v>133</v>
      </c>
      <c r="F196" s="3">
        <v>46120</v>
      </c>
      <c r="G196" s="4">
        <v>0</v>
      </c>
      <c r="H196" s="3">
        <v>46142</v>
      </c>
      <c r="I196" s="7">
        <v>-30635</v>
      </c>
      <c r="J196" s="2" t="s">
        <v>83</v>
      </c>
      <c r="K196" t="s">
        <v>754</v>
      </c>
      <c r="L196" s="16">
        <f t="shared" si="42"/>
        <v>46165</v>
      </c>
      <c r="M196" s="17"/>
      <c r="N196" s="16">
        <f>H196</f>
        <v>46142</v>
      </c>
      <c r="O196" s="21">
        <f t="shared" si="40"/>
        <v>46142</v>
      </c>
      <c r="P196" s="22">
        <f t="shared" si="44"/>
        <v>-30635</v>
      </c>
      <c r="Q196" s="17">
        <f t="shared" ca="1" si="45"/>
        <v>26</v>
      </c>
      <c r="R196" t="s">
        <v>780</v>
      </c>
    </row>
    <row r="197" spans="1:18" outlineLevel="1" x14ac:dyDescent="0.3">
      <c r="A197" s="2" t="s">
        <v>621</v>
      </c>
      <c r="B197" s="2" t="s">
        <v>622</v>
      </c>
      <c r="C197" s="2" t="s">
        <v>619</v>
      </c>
      <c r="D197" s="2" t="s">
        <v>620</v>
      </c>
      <c r="E197" s="2" t="s">
        <v>133</v>
      </c>
      <c r="F197" s="3">
        <v>46127</v>
      </c>
      <c r="G197" s="4">
        <v>0</v>
      </c>
      <c r="H197" s="3">
        <v>46142</v>
      </c>
      <c r="I197" s="7">
        <v>-168395</v>
      </c>
      <c r="J197" s="2" t="s">
        <v>83</v>
      </c>
      <c r="K197" t="s">
        <v>754</v>
      </c>
      <c r="L197" s="16">
        <f t="shared" si="42"/>
        <v>46172</v>
      </c>
      <c r="M197" s="17"/>
      <c r="N197" s="16">
        <f t="shared" si="43"/>
        <v>46127</v>
      </c>
      <c r="O197" s="21">
        <f t="shared" si="40"/>
        <v>46142</v>
      </c>
      <c r="P197" s="22">
        <f t="shared" si="44"/>
        <v>-168395</v>
      </c>
      <c r="Q197" s="17">
        <f t="shared" ca="1" si="45"/>
        <v>19</v>
      </c>
      <c r="R197" t="s">
        <v>780</v>
      </c>
    </row>
    <row r="198" spans="1:18" outlineLevel="1" x14ac:dyDescent="0.3">
      <c r="A198" s="2" t="s">
        <v>621</v>
      </c>
      <c r="B198" s="2" t="s">
        <v>622</v>
      </c>
      <c r="C198" s="2" t="s">
        <v>623</v>
      </c>
      <c r="D198" s="2" t="s">
        <v>624</v>
      </c>
      <c r="E198" s="2" t="s">
        <v>116</v>
      </c>
      <c r="F198" s="3">
        <v>46139</v>
      </c>
      <c r="G198" s="6">
        <v>-38</v>
      </c>
      <c r="H198" s="3">
        <v>46184</v>
      </c>
      <c r="I198" s="5">
        <v>111132</v>
      </c>
      <c r="J198" s="2" t="s">
        <v>83</v>
      </c>
      <c r="K198" t="s">
        <v>754</v>
      </c>
      <c r="L198" s="16">
        <f t="shared" si="42"/>
        <v>46184</v>
      </c>
      <c r="M198" s="17"/>
      <c r="N198" s="16">
        <f t="shared" ref="N198:N200" si="46">L198</f>
        <v>46184</v>
      </c>
      <c r="O198" s="21">
        <f t="shared" si="40"/>
        <v>46184</v>
      </c>
      <c r="P198" s="22">
        <f t="shared" si="44"/>
        <v>111132</v>
      </c>
      <c r="Q198" s="17">
        <f t="shared" ca="1" si="45"/>
        <v>7</v>
      </c>
      <c r="R198" t="s">
        <v>780</v>
      </c>
    </row>
    <row r="199" spans="1:18" outlineLevel="1" x14ac:dyDescent="0.3">
      <c r="A199" s="2" t="s">
        <v>621</v>
      </c>
      <c r="B199" s="2" t="s">
        <v>625</v>
      </c>
      <c r="C199" s="2" t="s">
        <v>626</v>
      </c>
      <c r="D199" s="2" t="s">
        <v>627</v>
      </c>
      <c r="E199" s="2" t="s">
        <v>116</v>
      </c>
      <c r="F199" s="3">
        <v>46141</v>
      </c>
      <c r="G199" s="6">
        <v>-40</v>
      </c>
      <c r="H199" s="3">
        <v>46186</v>
      </c>
      <c r="I199" s="5">
        <v>153900</v>
      </c>
      <c r="J199" s="2" t="s">
        <v>83</v>
      </c>
      <c r="K199" t="s">
        <v>754</v>
      </c>
      <c r="L199" s="16">
        <f t="shared" si="42"/>
        <v>46186</v>
      </c>
      <c r="M199" s="17"/>
      <c r="N199" s="16">
        <f t="shared" si="46"/>
        <v>46186</v>
      </c>
      <c r="O199" s="21">
        <f t="shared" si="40"/>
        <v>46186</v>
      </c>
      <c r="P199" s="22">
        <f t="shared" si="44"/>
        <v>153900</v>
      </c>
      <c r="Q199" s="17">
        <f t="shared" ca="1" si="45"/>
        <v>5</v>
      </c>
      <c r="R199" t="s">
        <v>780</v>
      </c>
    </row>
    <row r="200" spans="1:18" outlineLevel="1" x14ac:dyDescent="0.3">
      <c r="A200" s="2" t="s">
        <v>621</v>
      </c>
      <c r="B200" s="2" t="s">
        <v>628</v>
      </c>
      <c r="C200" s="2" t="s">
        <v>629</v>
      </c>
      <c r="D200" s="2" t="s">
        <v>630</v>
      </c>
      <c r="E200" s="2" t="s">
        <v>116</v>
      </c>
      <c r="F200" s="3">
        <v>46141</v>
      </c>
      <c r="G200" s="6">
        <v>-40</v>
      </c>
      <c r="H200" s="3">
        <v>46186</v>
      </c>
      <c r="I200" s="5">
        <v>330750</v>
      </c>
      <c r="J200" s="2" t="s">
        <v>83</v>
      </c>
      <c r="K200" t="s">
        <v>754</v>
      </c>
      <c r="L200" s="16">
        <f t="shared" si="42"/>
        <v>46186</v>
      </c>
      <c r="M200" s="17"/>
      <c r="N200" s="16">
        <f t="shared" si="46"/>
        <v>46186</v>
      </c>
      <c r="O200" s="21">
        <f t="shared" si="40"/>
        <v>46186</v>
      </c>
      <c r="P200" s="22">
        <f t="shared" si="44"/>
        <v>330750</v>
      </c>
      <c r="Q200" s="17">
        <f t="shared" ca="1" si="45"/>
        <v>5</v>
      </c>
      <c r="R200" t="s">
        <v>780</v>
      </c>
    </row>
    <row r="201" spans="1:18" hidden="1" outlineLevel="1" x14ac:dyDescent="0.3">
      <c r="A201" s="2" t="s">
        <v>631</v>
      </c>
      <c r="B201" s="2" t="s">
        <v>632</v>
      </c>
      <c r="C201" s="2" t="s">
        <v>633</v>
      </c>
      <c r="D201" s="2" t="s">
        <v>634</v>
      </c>
      <c r="E201" s="2" t="s">
        <v>13</v>
      </c>
      <c r="F201" s="3">
        <v>46129</v>
      </c>
      <c r="G201" s="4">
        <v>17</v>
      </c>
      <c r="H201" s="3">
        <v>46129</v>
      </c>
      <c r="I201" s="5">
        <v>590</v>
      </c>
      <c r="J201" s="2" t="s">
        <v>14</v>
      </c>
      <c r="K201" t="s">
        <v>750</v>
      </c>
      <c r="N201" s="16"/>
      <c r="O201" s="21">
        <f t="shared" ref="O201:O213" si="47">H201</f>
        <v>46129</v>
      </c>
      <c r="P201" s="23">
        <f t="shared" ref="P201:P210" si="48">I201/3.521</f>
        <v>167.56603237716558</v>
      </c>
    </row>
    <row r="202" spans="1:18" hidden="1" outlineLevel="1" x14ac:dyDescent="0.3">
      <c r="A202" s="2" t="s">
        <v>631</v>
      </c>
      <c r="B202" s="2" t="s">
        <v>635</v>
      </c>
      <c r="C202" s="2" t="s">
        <v>636</v>
      </c>
      <c r="D202" s="2" t="s">
        <v>637</v>
      </c>
      <c r="E202" s="2" t="s">
        <v>13</v>
      </c>
      <c r="F202" s="3">
        <v>46130</v>
      </c>
      <c r="G202" s="4">
        <v>16</v>
      </c>
      <c r="H202" s="3">
        <v>46130</v>
      </c>
      <c r="I202" s="5">
        <v>590</v>
      </c>
      <c r="J202" s="2" t="s">
        <v>14</v>
      </c>
      <c r="K202" t="s">
        <v>750</v>
      </c>
      <c r="N202" s="16"/>
      <c r="O202" s="21">
        <f t="shared" si="47"/>
        <v>46130</v>
      </c>
      <c r="P202" s="23">
        <f t="shared" si="48"/>
        <v>167.56603237716558</v>
      </c>
    </row>
    <row r="203" spans="1:18" hidden="1" outlineLevel="1" x14ac:dyDescent="0.3">
      <c r="A203" s="2" t="s">
        <v>631</v>
      </c>
      <c r="B203" s="2" t="s">
        <v>638</v>
      </c>
      <c r="C203" s="2" t="s">
        <v>639</v>
      </c>
      <c r="D203" s="2" t="s">
        <v>640</v>
      </c>
      <c r="E203" s="2" t="s">
        <v>13</v>
      </c>
      <c r="F203" s="3">
        <v>46132</v>
      </c>
      <c r="G203" s="4">
        <v>7</v>
      </c>
      <c r="H203" s="3">
        <v>46139</v>
      </c>
      <c r="I203" s="5">
        <v>590</v>
      </c>
      <c r="J203" s="2" t="s">
        <v>14</v>
      </c>
      <c r="K203" t="s">
        <v>750</v>
      </c>
      <c r="N203" s="16"/>
      <c r="O203" s="21">
        <f t="shared" si="47"/>
        <v>46139</v>
      </c>
      <c r="P203" s="23">
        <f t="shared" si="48"/>
        <v>167.56603237716558</v>
      </c>
    </row>
    <row r="204" spans="1:18" hidden="1" outlineLevel="1" x14ac:dyDescent="0.3">
      <c r="A204" s="2" t="s">
        <v>631</v>
      </c>
      <c r="B204" s="2" t="s">
        <v>641</v>
      </c>
      <c r="C204" s="2" t="s">
        <v>642</v>
      </c>
      <c r="D204" s="2" t="s">
        <v>643</v>
      </c>
      <c r="E204" s="2" t="s">
        <v>13</v>
      </c>
      <c r="F204" s="3">
        <v>46134</v>
      </c>
      <c r="G204" s="4">
        <v>5</v>
      </c>
      <c r="H204" s="3">
        <v>46141</v>
      </c>
      <c r="I204" s="5">
        <v>590</v>
      </c>
      <c r="J204" s="2" t="s">
        <v>14</v>
      </c>
      <c r="K204" t="s">
        <v>750</v>
      </c>
      <c r="N204" s="16"/>
      <c r="O204" s="21">
        <f t="shared" si="47"/>
        <v>46141</v>
      </c>
      <c r="P204" s="23">
        <f t="shared" si="48"/>
        <v>167.56603237716558</v>
      </c>
    </row>
    <row r="205" spans="1:18" hidden="1" outlineLevel="1" x14ac:dyDescent="0.3">
      <c r="A205" s="2" t="s">
        <v>631</v>
      </c>
      <c r="B205" s="2" t="s">
        <v>644</v>
      </c>
      <c r="C205" s="2" t="s">
        <v>645</v>
      </c>
      <c r="D205" s="2" t="s">
        <v>646</v>
      </c>
      <c r="E205" s="2" t="s">
        <v>13</v>
      </c>
      <c r="F205" s="3">
        <v>46136</v>
      </c>
      <c r="G205" s="4">
        <v>3</v>
      </c>
      <c r="H205" s="3">
        <v>46143</v>
      </c>
      <c r="I205" s="5">
        <v>590</v>
      </c>
      <c r="J205" s="2" t="s">
        <v>14</v>
      </c>
      <c r="K205" t="s">
        <v>750</v>
      </c>
      <c r="N205" s="16"/>
      <c r="O205" s="21">
        <f t="shared" si="47"/>
        <v>46143</v>
      </c>
      <c r="P205" s="23">
        <f t="shared" si="48"/>
        <v>167.56603237716558</v>
      </c>
    </row>
    <row r="206" spans="1:18" hidden="1" outlineLevel="1" x14ac:dyDescent="0.3">
      <c r="A206" s="2" t="s">
        <v>631</v>
      </c>
      <c r="B206" s="2" t="s">
        <v>647</v>
      </c>
      <c r="C206" s="2" t="s">
        <v>648</v>
      </c>
      <c r="D206" s="2" t="s">
        <v>649</v>
      </c>
      <c r="E206" s="2" t="s">
        <v>13</v>
      </c>
      <c r="F206" s="3">
        <v>46139</v>
      </c>
      <c r="G206" s="4">
        <v>0</v>
      </c>
      <c r="H206" s="3">
        <v>46146</v>
      </c>
      <c r="I206" s="5">
        <v>590</v>
      </c>
      <c r="J206" s="2" t="s">
        <v>14</v>
      </c>
      <c r="K206" t="s">
        <v>750</v>
      </c>
      <c r="N206" s="16"/>
      <c r="O206" s="21">
        <f t="shared" si="47"/>
        <v>46146</v>
      </c>
      <c r="P206" s="23">
        <f t="shared" si="48"/>
        <v>167.56603237716558</v>
      </c>
    </row>
    <row r="207" spans="1:18" hidden="1" outlineLevel="1" x14ac:dyDescent="0.3">
      <c r="A207" s="2" t="s">
        <v>631</v>
      </c>
      <c r="B207" s="2" t="s">
        <v>650</v>
      </c>
      <c r="C207" s="2" t="s">
        <v>651</v>
      </c>
      <c r="D207" s="2" t="s">
        <v>652</v>
      </c>
      <c r="E207" s="2" t="s">
        <v>13</v>
      </c>
      <c r="F207" s="3">
        <v>46141</v>
      </c>
      <c r="G207" s="6">
        <v>-2</v>
      </c>
      <c r="H207" s="3">
        <v>46148</v>
      </c>
      <c r="I207" s="5">
        <v>590</v>
      </c>
      <c r="J207" s="2" t="s">
        <v>14</v>
      </c>
      <c r="K207" t="s">
        <v>750</v>
      </c>
      <c r="N207" s="16"/>
      <c r="O207" s="21">
        <f t="shared" si="47"/>
        <v>46148</v>
      </c>
      <c r="P207" s="23">
        <f t="shared" si="48"/>
        <v>167.56603237716558</v>
      </c>
    </row>
    <row r="208" spans="1:18" hidden="1" outlineLevel="1" x14ac:dyDescent="0.3">
      <c r="A208" s="2" t="s">
        <v>631</v>
      </c>
      <c r="B208" s="2" t="s">
        <v>653</v>
      </c>
      <c r="C208" s="2" t="s">
        <v>654</v>
      </c>
      <c r="D208" s="2" t="s">
        <v>655</v>
      </c>
      <c r="E208" s="2" t="s">
        <v>13</v>
      </c>
      <c r="F208" s="3">
        <v>46144</v>
      </c>
      <c r="G208" s="4">
        <v>2</v>
      </c>
      <c r="H208" s="3">
        <v>46144</v>
      </c>
      <c r="I208" s="5">
        <v>590</v>
      </c>
      <c r="J208" s="2" t="s">
        <v>14</v>
      </c>
      <c r="K208" t="s">
        <v>750</v>
      </c>
      <c r="N208" s="16"/>
      <c r="O208" s="21">
        <f t="shared" si="47"/>
        <v>46144</v>
      </c>
      <c r="P208" s="23">
        <f t="shared" si="48"/>
        <v>167.56603237716558</v>
      </c>
    </row>
    <row r="209" spans="1:18" hidden="1" outlineLevel="1" x14ac:dyDescent="0.3">
      <c r="A209" s="2" t="s">
        <v>631</v>
      </c>
      <c r="B209" s="2" t="s">
        <v>656</v>
      </c>
      <c r="C209" s="2" t="s">
        <v>657</v>
      </c>
      <c r="D209" s="2" t="s">
        <v>658</v>
      </c>
      <c r="E209" s="2" t="s">
        <v>13</v>
      </c>
      <c r="F209" s="3">
        <v>46144</v>
      </c>
      <c r="G209" s="6">
        <v>-5</v>
      </c>
      <c r="H209" s="3">
        <v>46151</v>
      </c>
      <c r="I209" s="5">
        <v>698.56</v>
      </c>
      <c r="J209" s="2" t="s">
        <v>14</v>
      </c>
      <c r="K209" t="s">
        <v>750</v>
      </c>
      <c r="N209" s="16"/>
      <c r="O209" s="21">
        <f t="shared" si="47"/>
        <v>46151</v>
      </c>
      <c r="P209" s="23">
        <f t="shared" si="48"/>
        <v>198.39818233456404</v>
      </c>
    </row>
    <row r="210" spans="1:18" hidden="1" outlineLevel="1" x14ac:dyDescent="0.3">
      <c r="A210" s="2" t="s">
        <v>631</v>
      </c>
      <c r="B210" s="2" t="s">
        <v>659</v>
      </c>
      <c r="C210" s="2" t="s">
        <v>660</v>
      </c>
      <c r="D210" s="2" t="s">
        <v>661</v>
      </c>
      <c r="E210" s="2" t="s">
        <v>13</v>
      </c>
      <c r="F210" s="3">
        <v>46144</v>
      </c>
      <c r="G210" s="6">
        <v>-5</v>
      </c>
      <c r="H210" s="3">
        <v>46151</v>
      </c>
      <c r="I210" s="5">
        <v>123.9</v>
      </c>
      <c r="J210" s="2" t="s">
        <v>14</v>
      </c>
      <c r="K210" t="s">
        <v>750</v>
      </c>
      <c r="N210" s="16"/>
      <c r="O210" s="21">
        <f t="shared" si="47"/>
        <v>46151</v>
      </c>
      <c r="P210" s="23">
        <f t="shared" si="48"/>
        <v>35.188866799204774</v>
      </c>
    </row>
    <row r="211" spans="1:18" outlineLevel="1" x14ac:dyDescent="0.3">
      <c r="A211" s="2" t="s">
        <v>662</v>
      </c>
      <c r="B211" s="2" t="s">
        <v>664</v>
      </c>
      <c r="C211" s="2" t="s">
        <v>665</v>
      </c>
      <c r="D211" s="2" t="s">
        <v>776</v>
      </c>
      <c r="E211" s="2" t="s">
        <v>132</v>
      </c>
      <c r="F211" s="3">
        <v>46111</v>
      </c>
      <c r="G211" s="6">
        <v>-10</v>
      </c>
      <c r="H211" s="3">
        <v>46156</v>
      </c>
      <c r="I211" s="5">
        <v>56300</v>
      </c>
      <c r="J211" s="2" t="s">
        <v>83</v>
      </c>
      <c r="K211" t="s">
        <v>754</v>
      </c>
      <c r="L211" s="16">
        <f t="shared" ref="L211:L213" si="49">F211+45</f>
        <v>46156</v>
      </c>
      <c r="M211" s="17"/>
      <c r="N211" s="16">
        <f t="shared" ref="N211:N213" si="50">L211</f>
        <v>46156</v>
      </c>
      <c r="O211" s="21">
        <f t="shared" si="47"/>
        <v>46156</v>
      </c>
      <c r="P211" s="22">
        <f t="shared" ref="P211:P213" si="51">I211</f>
        <v>56300</v>
      </c>
      <c r="Q211" s="17">
        <f t="shared" ref="Q211:Q213" ca="1" si="52">TODAY()-F211</f>
        <v>35</v>
      </c>
      <c r="R211" t="s">
        <v>780</v>
      </c>
    </row>
    <row r="212" spans="1:18" outlineLevel="1" x14ac:dyDescent="0.3">
      <c r="A212" s="2" t="s">
        <v>662</v>
      </c>
      <c r="B212" s="2" t="s">
        <v>666</v>
      </c>
      <c r="C212" s="2" t="s">
        <v>667</v>
      </c>
      <c r="D212" s="2" t="s">
        <v>777</v>
      </c>
      <c r="E212" s="2" t="s">
        <v>132</v>
      </c>
      <c r="F212" s="3">
        <v>46139</v>
      </c>
      <c r="G212" s="6">
        <v>-38</v>
      </c>
      <c r="H212" s="3">
        <v>46184</v>
      </c>
      <c r="I212" s="5">
        <v>116670</v>
      </c>
      <c r="J212" s="2" t="s">
        <v>83</v>
      </c>
      <c r="K212" t="s">
        <v>754</v>
      </c>
      <c r="L212" s="16">
        <f t="shared" si="49"/>
        <v>46184</v>
      </c>
      <c r="M212" s="17"/>
      <c r="N212" s="16">
        <f t="shared" si="50"/>
        <v>46184</v>
      </c>
      <c r="O212" s="21">
        <f t="shared" si="47"/>
        <v>46184</v>
      </c>
      <c r="P212" s="22">
        <f t="shared" si="51"/>
        <v>116670</v>
      </c>
      <c r="Q212" s="17">
        <f t="shared" ca="1" si="52"/>
        <v>7</v>
      </c>
      <c r="R212" t="s">
        <v>780</v>
      </c>
    </row>
    <row r="213" spans="1:18" outlineLevel="1" x14ac:dyDescent="0.3">
      <c r="A213" s="2" t="s">
        <v>668</v>
      </c>
      <c r="B213" s="2" t="s">
        <v>670</v>
      </c>
      <c r="C213" s="2" t="s">
        <v>671</v>
      </c>
      <c r="D213" s="2" t="s">
        <v>778</v>
      </c>
      <c r="E213" s="2" t="s">
        <v>132</v>
      </c>
      <c r="F213" s="3">
        <v>46141</v>
      </c>
      <c r="G213" s="6">
        <v>-40</v>
      </c>
      <c r="H213" s="3">
        <v>46186</v>
      </c>
      <c r="I213" s="5">
        <v>56785</v>
      </c>
      <c r="J213" s="2" t="s">
        <v>83</v>
      </c>
      <c r="K213" t="s">
        <v>754</v>
      </c>
      <c r="L213" s="16">
        <f t="shared" si="49"/>
        <v>46186</v>
      </c>
      <c r="M213" s="17"/>
      <c r="N213" s="16">
        <f t="shared" si="50"/>
        <v>46186</v>
      </c>
      <c r="O213" s="21">
        <f t="shared" si="47"/>
        <v>46186</v>
      </c>
      <c r="P213" s="22">
        <f t="shared" si="51"/>
        <v>56785</v>
      </c>
      <c r="Q213" s="17">
        <f t="shared" ca="1" si="52"/>
        <v>5</v>
      </c>
      <c r="R213" t="s">
        <v>780</v>
      </c>
    </row>
    <row r="214" spans="1:18" hidden="1" outlineLevel="1" x14ac:dyDescent="0.3">
      <c r="A214" s="2" t="s">
        <v>672</v>
      </c>
      <c r="B214" s="2" t="s">
        <v>673</v>
      </c>
      <c r="C214" s="2" t="s">
        <v>674</v>
      </c>
      <c r="D214" s="2" t="s">
        <v>675</v>
      </c>
      <c r="E214" s="2" t="s">
        <v>13</v>
      </c>
      <c r="F214" s="3">
        <v>46137</v>
      </c>
      <c r="G214" s="4">
        <v>2</v>
      </c>
      <c r="H214" s="3">
        <v>46144</v>
      </c>
      <c r="I214" s="5">
        <v>668.82</v>
      </c>
      <c r="J214" s="2" t="s">
        <v>14</v>
      </c>
      <c r="K214" t="s">
        <v>750</v>
      </c>
      <c r="N214" s="16"/>
      <c r="O214" s="21">
        <f t="shared" ref="O214:O235" si="53">H214</f>
        <v>46144</v>
      </c>
      <c r="P214" s="23">
        <f t="shared" ref="P214:P217" si="54">I214/3.521</f>
        <v>189.95171826185745</v>
      </c>
    </row>
    <row r="215" spans="1:18" hidden="1" outlineLevel="1" x14ac:dyDescent="0.3">
      <c r="A215" s="2" t="s">
        <v>672</v>
      </c>
      <c r="B215" s="2" t="s">
        <v>676</v>
      </c>
      <c r="C215" s="2" t="s">
        <v>677</v>
      </c>
      <c r="D215" s="2" t="s">
        <v>678</v>
      </c>
      <c r="E215" s="2" t="s">
        <v>13</v>
      </c>
      <c r="F215" s="3">
        <v>46137</v>
      </c>
      <c r="G215" s="4">
        <v>2</v>
      </c>
      <c r="H215" s="3">
        <v>46144</v>
      </c>
      <c r="I215" s="5">
        <v>123.9</v>
      </c>
      <c r="J215" s="2" t="s">
        <v>14</v>
      </c>
      <c r="K215" t="s">
        <v>750</v>
      </c>
      <c r="N215" s="16"/>
      <c r="O215" s="21">
        <f t="shared" si="53"/>
        <v>46144</v>
      </c>
      <c r="P215" s="23">
        <f t="shared" si="54"/>
        <v>35.188866799204774</v>
      </c>
    </row>
    <row r="216" spans="1:18" hidden="1" outlineLevel="1" x14ac:dyDescent="0.3">
      <c r="A216" s="2" t="s">
        <v>679</v>
      </c>
      <c r="B216" s="2" t="s">
        <v>680</v>
      </c>
      <c r="C216" s="2" t="s">
        <v>681</v>
      </c>
      <c r="D216" s="2" t="s">
        <v>682</v>
      </c>
      <c r="E216" s="2" t="s">
        <v>133</v>
      </c>
      <c r="F216" s="3">
        <v>45942</v>
      </c>
      <c r="G216" s="4">
        <v>204</v>
      </c>
      <c r="H216" s="3">
        <v>45942</v>
      </c>
      <c r="I216" s="5">
        <v>56.64</v>
      </c>
      <c r="J216" s="2" t="s">
        <v>14</v>
      </c>
      <c r="K216" t="s">
        <v>750</v>
      </c>
      <c r="N216" s="16"/>
      <c r="O216" s="21">
        <f t="shared" si="53"/>
        <v>45942</v>
      </c>
      <c r="P216" s="23">
        <f t="shared" si="54"/>
        <v>16.086339108207895</v>
      </c>
    </row>
    <row r="217" spans="1:18" hidden="1" outlineLevel="1" x14ac:dyDescent="0.3">
      <c r="A217" s="2" t="s">
        <v>683</v>
      </c>
      <c r="B217" s="2" t="s">
        <v>684</v>
      </c>
      <c r="C217" s="2" t="s">
        <v>685</v>
      </c>
      <c r="D217" s="2" t="s">
        <v>686</v>
      </c>
      <c r="E217" s="2" t="s">
        <v>13</v>
      </c>
      <c r="F217" s="3">
        <v>46132</v>
      </c>
      <c r="G217" s="4">
        <v>7</v>
      </c>
      <c r="H217" s="3">
        <v>46139</v>
      </c>
      <c r="I217" s="5">
        <v>1274.4000000000001</v>
      </c>
      <c r="J217" s="2" t="s">
        <v>14</v>
      </c>
      <c r="K217" t="s">
        <v>750</v>
      </c>
      <c r="N217" s="16"/>
      <c r="O217" s="21">
        <f t="shared" si="53"/>
        <v>46139</v>
      </c>
      <c r="P217" s="23">
        <f t="shared" si="54"/>
        <v>361.94262993467771</v>
      </c>
    </row>
    <row r="218" spans="1:18" outlineLevel="1" x14ac:dyDescent="0.3">
      <c r="A218" s="2" t="s">
        <v>687</v>
      </c>
      <c r="B218" s="2" t="s">
        <v>689</v>
      </c>
      <c r="C218" s="2" t="s">
        <v>690</v>
      </c>
      <c r="D218" s="2" t="s">
        <v>691</v>
      </c>
      <c r="E218" s="2" t="s">
        <v>116</v>
      </c>
      <c r="F218" s="3">
        <v>46109</v>
      </c>
      <c r="G218" s="6">
        <v>-8</v>
      </c>
      <c r="H218" s="3">
        <v>46154</v>
      </c>
      <c r="I218" s="5">
        <v>86240</v>
      </c>
      <c r="J218" s="2" t="s">
        <v>83</v>
      </c>
      <c r="K218" t="s">
        <v>754</v>
      </c>
      <c r="L218" s="16">
        <f t="shared" ref="L218:L235" si="55">F218+45</f>
        <v>46154</v>
      </c>
      <c r="M218" s="17">
        <f t="shared" ref="M218:M235" ca="1" si="56">TODAY()-N218</f>
        <v>-8</v>
      </c>
      <c r="N218" s="16">
        <v>46154</v>
      </c>
      <c r="O218" s="21">
        <f t="shared" si="53"/>
        <v>46154</v>
      </c>
      <c r="P218" s="22">
        <f t="shared" ref="P218:P235" si="57">I218</f>
        <v>86240</v>
      </c>
      <c r="Q218" s="17">
        <f t="shared" ref="Q218:Q235" ca="1" si="58">TODAY()-F218</f>
        <v>37</v>
      </c>
      <c r="R218" t="s">
        <v>780</v>
      </c>
    </row>
    <row r="219" spans="1:18" outlineLevel="1" x14ac:dyDescent="0.3">
      <c r="A219" s="2" t="s">
        <v>687</v>
      </c>
      <c r="B219" s="2" t="s">
        <v>692</v>
      </c>
      <c r="C219" s="2" t="s">
        <v>693</v>
      </c>
      <c r="D219" s="2" t="s">
        <v>694</v>
      </c>
      <c r="E219" s="2" t="s">
        <v>116</v>
      </c>
      <c r="F219" s="3">
        <v>46109</v>
      </c>
      <c r="G219" s="6">
        <v>-8</v>
      </c>
      <c r="H219" s="3">
        <v>46154</v>
      </c>
      <c r="I219" s="5">
        <v>129600</v>
      </c>
      <c r="J219" s="2" t="s">
        <v>83</v>
      </c>
      <c r="K219" t="s">
        <v>754</v>
      </c>
      <c r="L219" s="16">
        <f t="shared" si="55"/>
        <v>46154</v>
      </c>
      <c r="M219" s="17">
        <f t="shared" ca="1" si="56"/>
        <v>-8</v>
      </c>
      <c r="N219" s="16">
        <v>46154</v>
      </c>
      <c r="O219" s="21">
        <f t="shared" si="53"/>
        <v>46154</v>
      </c>
      <c r="P219" s="22">
        <f t="shared" si="57"/>
        <v>129600</v>
      </c>
      <c r="Q219" s="17">
        <f t="shared" ca="1" si="58"/>
        <v>37</v>
      </c>
      <c r="R219" t="s">
        <v>780</v>
      </c>
    </row>
    <row r="220" spans="1:18" outlineLevel="1" x14ac:dyDescent="0.3">
      <c r="A220" s="2" t="s">
        <v>687</v>
      </c>
      <c r="B220" s="2" t="s">
        <v>695</v>
      </c>
      <c r="C220" s="2" t="s">
        <v>696</v>
      </c>
      <c r="D220" s="2" t="s">
        <v>697</v>
      </c>
      <c r="E220" s="2" t="s">
        <v>116</v>
      </c>
      <c r="F220" s="3">
        <v>46110</v>
      </c>
      <c r="G220" s="6">
        <v>-9</v>
      </c>
      <c r="H220" s="3">
        <v>46155</v>
      </c>
      <c r="I220" s="5">
        <v>67200</v>
      </c>
      <c r="J220" s="2" t="s">
        <v>83</v>
      </c>
      <c r="K220" t="s">
        <v>754</v>
      </c>
      <c r="L220" s="16">
        <f t="shared" si="55"/>
        <v>46155</v>
      </c>
      <c r="M220" s="17">
        <f t="shared" ca="1" si="56"/>
        <v>-9</v>
      </c>
      <c r="N220" s="16">
        <v>46155</v>
      </c>
      <c r="O220" s="21">
        <f t="shared" si="53"/>
        <v>46155</v>
      </c>
      <c r="P220" s="22">
        <f t="shared" si="57"/>
        <v>67200</v>
      </c>
      <c r="Q220" s="17">
        <f t="shared" ca="1" si="58"/>
        <v>36</v>
      </c>
      <c r="R220" t="s">
        <v>780</v>
      </c>
    </row>
    <row r="221" spans="1:18" outlineLevel="1" x14ac:dyDescent="0.3">
      <c r="A221" s="2" t="s">
        <v>687</v>
      </c>
      <c r="B221" s="2" t="s">
        <v>698</v>
      </c>
      <c r="C221" s="2" t="s">
        <v>699</v>
      </c>
      <c r="D221" s="2" t="s">
        <v>700</v>
      </c>
      <c r="E221" s="2" t="s">
        <v>116</v>
      </c>
      <c r="F221" s="3">
        <v>46110</v>
      </c>
      <c r="G221" s="6">
        <v>-9</v>
      </c>
      <c r="H221" s="3">
        <v>46155</v>
      </c>
      <c r="I221" s="5">
        <v>72960</v>
      </c>
      <c r="J221" s="2" t="s">
        <v>83</v>
      </c>
      <c r="K221" t="s">
        <v>754</v>
      </c>
      <c r="L221" s="16">
        <f t="shared" si="55"/>
        <v>46155</v>
      </c>
      <c r="M221" s="17">
        <f t="shared" ca="1" si="56"/>
        <v>-9</v>
      </c>
      <c r="N221" s="16">
        <v>46155</v>
      </c>
      <c r="O221" s="21">
        <f t="shared" si="53"/>
        <v>46155</v>
      </c>
      <c r="P221" s="22">
        <f t="shared" si="57"/>
        <v>72960</v>
      </c>
      <c r="Q221" s="17">
        <f t="shared" ca="1" si="58"/>
        <v>36</v>
      </c>
      <c r="R221" t="s">
        <v>780</v>
      </c>
    </row>
    <row r="222" spans="1:18" outlineLevel="1" x14ac:dyDescent="0.3">
      <c r="A222" s="2" t="s">
        <v>687</v>
      </c>
      <c r="B222" s="2" t="s">
        <v>701</v>
      </c>
      <c r="C222" s="2" t="s">
        <v>702</v>
      </c>
      <c r="D222" s="2" t="s">
        <v>703</v>
      </c>
      <c r="E222" s="2" t="s">
        <v>116</v>
      </c>
      <c r="F222" s="3">
        <v>46120</v>
      </c>
      <c r="G222" s="6">
        <v>-19</v>
      </c>
      <c r="H222" s="3">
        <v>46165</v>
      </c>
      <c r="I222" s="5">
        <v>78200</v>
      </c>
      <c r="J222" s="2" t="s">
        <v>83</v>
      </c>
      <c r="K222" t="s">
        <v>754</v>
      </c>
      <c r="L222" s="16">
        <f t="shared" si="55"/>
        <v>46165</v>
      </c>
      <c r="M222" s="17">
        <f t="shared" ca="1" si="56"/>
        <v>-19</v>
      </c>
      <c r="N222" s="16">
        <v>46165</v>
      </c>
      <c r="O222" s="21">
        <f t="shared" si="53"/>
        <v>46165</v>
      </c>
      <c r="P222" s="22">
        <f t="shared" si="57"/>
        <v>78200</v>
      </c>
      <c r="Q222" s="17">
        <f t="shared" ca="1" si="58"/>
        <v>26</v>
      </c>
      <c r="R222" t="s">
        <v>780</v>
      </c>
    </row>
    <row r="223" spans="1:18" outlineLevel="1" x14ac:dyDescent="0.3">
      <c r="A223" s="2" t="s">
        <v>687</v>
      </c>
      <c r="B223" s="2" t="s">
        <v>704</v>
      </c>
      <c r="C223" s="2" t="s">
        <v>705</v>
      </c>
      <c r="D223" s="2" t="s">
        <v>706</v>
      </c>
      <c r="E223" s="2" t="s">
        <v>116</v>
      </c>
      <c r="F223" s="3">
        <v>46120</v>
      </c>
      <c r="G223" s="6">
        <v>-19</v>
      </c>
      <c r="H223" s="3">
        <v>46165</v>
      </c>
      <c r="I223" s="5">
        <v>180000</v>
      </c>
      <c r="J223" s="2" t="s">
        <v>83</v>
      </c>
      <c r="K223" t="s">
        <v>754</v>
      </c>
      <c r="L223" s="16">
        <f t="shared" si="55"/>
        <v>46165</v>
      </c>
      <c r="M223" s="17">
        <f t="shared" ca="1" si="56"/>
        <v>-19</v>
      </c>
      <c r="N223" s="16">
        <v>46165</v>
      </c>
      <c r="O223" s="21">
        <f t="shared" si="53"/>
        <v>46165</v>
      </c>
      <c r="P223" s="22">
        <f t="shared" si="57"/>
        <v>180000</v>
      </c>
      <c r="Q223" s="17">
        <f t="shared" ca="1" si="58"/>
        <v>26</v>
      </c>
      <c r="R223" t="s">
        <v>780</v>
      </c>
    </row>
    <row r="224" spans="1:18" outlineLevel="1" x14ac:dyDescent="0.3">
      <c r="A224" s="2" t="s">
        <v>687</v>
      </c>
      <c r="B224" s="2" t="s">
        <v>707</v>
      </c>
      <c r="C224" s="2" t="s">
        <v>708</v>
      </c>
      <c r="D224" s="2" t="s">
        <v>709</v>
      </c>
      <c r="E224" s="2" t="s">
        <v>116</v>
      </c>
      <c r="F224" s="3">
        <v>46137</v>
      </c>
      <c r="G224" s="6">
        <v>-36</v>
      </c>
      <c r="H224" s="3">
        <v>46182</v>
      </c>
      <c r="I224" s="5">
        <v>110112</v>
      </c>
      <c r="J224" s="2" t="s">
        <v>83</v>
      </c>
      <c r="K224" t="s">
        <v>754</v>
      </c>
      <c r="L224" s="16">
        <f t="shared" si="55"/>
        <v>46182</v>
      </c>
      <c r="M224" s="17"/>
      <c r="N224" s="16">
        <f t="shared" ref="N224:N231" si="59">L224</f>
        <v>46182</v>
      </c>
      <c r="O224" s="21">
        <f t="shared" si="53"/>
        <v>46182</v>
      </c>
      <c r="P224" s="22">
        <f t="shared" si="57"/>
        <v>110112</v>
      </c>
      <c r="Q224" s="17">
        <f t="shared" ca="1" si="58"/>
        <v>9</v>
      </c>
      <c r="R224" t="s">
        <v>780</v>
      </c>
    </row>
    <row r="225" spans="1:18" outlineLevel="1" x14ac:dyDescent="0.3">
      <c r="A225" s="2" t="s">
        <v>687</v>
      </c>
      <c r="B225" s="2" t="s">
        <v>710</v>
      </c>
      <c r="C225" s="2" t="s">
        <v>711</v>
      </c>
      <c r="D225" s="2" t="s">
        <v>712</v>
      </c>
      <c r="E225" s="2" t="s">
        <v>116</v>
      </c>
      <c r="F225" s="3">
        <v>46137</v>
      </c>
      <c r="G225" s="6">
        <v>-36</v>
      </c>
      <c r="H225" s="3">
        <v>46182</v>
      </c>
      <c r="I225" s="5">
        <v>35520</v>
      </c>
      <c r="J225" s="2" t="s">
        <v>83</v>
      </c>
      <c r="K225" t="s">
        <v>754</v>
      </c>
      <c r="L225" s="16">
        <f t="shared" si="55"/>
        <v>46182</v>
      </c>
      <c r="M225" s="17"/>
      <c r="N225" s="16">
        <f t="shared" si="59"/>
        <v>46182</v>
      </c>
      <c r="O225" s="21">
        <f t="shared" si="53"/>
        <v>46182</v>
      </c>
      <c r="P225" s="22">
        <f t="shared" si="57"/>
        <v>35520</v>
      </c>
      <c r="Q225" s="17">
        <f t="shared" ca="1" si="58"/>
        <v>9</v>
      </c>
      <c r="R225" t="s">
        <v>780</v>
      </c>
    </row>
    <row r="226" spans="1:18" outlineLevel="1" x14ac:dyDescent="0.3">
      <c r="A226" s="2" t="s">
        <v>687</v>
      </c>
      <c r="B226" s="2" t="s">
        <v>713</v>
      </c>
      <c r="C226" s="2" t="s">
        <v>714</v>
      </c>
      <c r="D226" s="2" t="s">
        <v>715</v>
      </c>
      <c r="E226" s="2" t="s">
        <v>116</v>
      </c>
      <c r="F226" s="3">
        <v>46137</v>
      </c>
      <c r="G226" s="6">
        <v>-36</v>
      </c>
      <c r="H226" s="3">
        <v>46182</v>
      </c>
      <c r="I226" s="5">
        <v>41760</v>
      </c>
      <c r="J226" s="2" t="s">
        <v>83</v>
      </c>
      <c r="K226" t="s">
        <v>754</v>
      </c>
      <c r="L226" s="16">
        <f t="shared" si="55"/>
        <v>46182</v>
      </c>
      <c r="M226" s="17"/>
      <c r="N226" s="16">
        <f t="shared" si="59"/>
        <v>46182</v>
      </c>
      <c r="O226" s="21">
        <f t="shared" si="53"/>
        <v>46182</v>
      </c>
      <c r="P226" s="22">
        <f t="shared" si="57"/>
        <v>41760</v>
      </c>
      <c r="Q226" s="17">
        <f t="shared" ca="1" si="58"/>
        <v>9</v>
      </c>
      <c r="R226" t="s">
        <v>780</v>
      </c>
    </row>
    <row r="227" spans="1:18" outlineLevel="1" x14ac:dyDescent="0.3">
      <c r="A227" s="2" t="s">
        <v>687</v>
      </c>
      <c r="B227" s="2" t="s">
        <v>716</v>
      </c>
      <c r="C227" s="2" t="s">
        <v>717</v>
      </c>
      <c r="D227" s="2" t="s">
        <v>718</v>
      </c>
      <c r="E227" s="2" t="s">
        <v>116</v>
      </c>
      <c r="F227" s="3">
        <v>46138</v>
      </c>
      <c r="G227" s="6">
        <v>-37</v>
      </c>
      <c r="H227" s="3">
        <v>46183</v>
      </c>
      <c r="I227" s="5">
        <v>191070</v>
      </c>
      <c r="J227" s="2" t="s">
        <v>83</v>
      </c>
      <c r="K227" t="s">
        <v>754</v>
      </c>
      <c r="L227" s="16">
        <f t="shared" si="55"/>
        <v>46183</v>
      </c>
      <c r="M227" s="17"/>
      <c r="N227" s="16">
        <f t="shared" si="59"/>
        <v>46183</v>
      </c>
      <c r="O227" s="21">
        <f t="shared" si="53"/>
        <v>46183</v>
      </c>
      <c r="P227" s="22">
        <f t="shared" si="57"/>
        <v>191070</v>
      </c>
      <c r="Q227" s="17">
        <f t="shared" ca="1" si="58"/>
        <v>8</v>
      </c>
      <c r="R227" t="s">
        <v>780</v>
      </c>
    </row>
    <row r="228" spans="1:18" outlineLevel="1" x14ac:dyDescent="0.3">
      <c r="A228" s="2" t="s">
        <v>687</v>
      </c>
      <c r="B228" s="2" t="s">
        <v>719</v>
      </c>
      <c r="C228" s="2" t="s">
        <v>720</v>
      </c>
      <c r="D228" s="2" t="s">
        <v>721</v>
      </c>
      <c r="E228" s="2" t="s">
        <v>116</v>
      </c>
      <c r="F228" s="3">
        <v>46141</v>
      </c>
      <c r="G228" s="6">
        <v>-40</v>
      </c>
      <c r="H228" s="3">
        <v>46186</v>
      </c>
      <c r="I228" s="5">
        <v>53360</v>
      </c>
      <c r="J228" s="2" t="s">
        <v>83</v>
      </c>
      <c r="K228" t="s">
        <v>754</v>
      </c>
      <c r="L228" s="16">
        <f t="shared" si="55"/>
        <v>46186</v>
      </c>
      <c r="M228" s="17"/>
      <c r="N228" s="16">
        <f t="shared" si="59"/>
        <v>46186</v>
      </c>
      <c r="O228" s="21">
        <f t="shared" si="53"/>
        <v>46186</v>
      </c>
      <c r="P228" s="22">
        <f t="shared" si="57"/>
        <v>53360</v>
      </c>
      <c r="Q228" s="17">
        <f t="shared" ca="1" si="58"/>
        <v>5</v>
      </c>
      <c r="R228" t="s">
        <v>780</v>
      </c>
    </row>
    <row r="229" spans="1:18" outlineLevel="1" x14ac:dyDescent="0.3">
      <c r="A229" s="2" t="s">
        <v>687</v>
      </c>
      <c r="B229" s="2" t="s">
        <v>722</v>
      </c>
      <c r="C229" s="2" t="s">
        <v>723</v>
      </c>
      <c r="D229" s="2" t="s">
        <v>724</v>
      </c>
      <c r="E229" s="2" t="s">
        <v>116</v>
      </c>
      <c r="F229" s="3">
        <v>46141</v>
      </c>
      <c r="G229" s="6">
        <v>-40</v>
      </c>
      <c r="H229" s="3">
        <v>46186</v>
      </c>
      <c r="I229" s="5">
        <v>163070</v>
      </c>
      <c r="J229" s="2" t="s">
        <v>83</v>
      </c>
      <c r="K229" t="s">
        <v>754</v>
      </c>
      <c r="L229" s="16">
        <f t="shared" si="55"/>
        <v>46186</v>
      </c>
      <c r="M229" s="17"/>
      <c r="N229" s="16">
        <f t="shared" si="59"/>
        <v>46186</v>
      </c>
      <c r="O229" s="21">
        <f t="shared" si="53"/>
        <v>46186</v>
      </c>
      <c r="P229" s="22">
        <f t="shared" si="57"/>
        <v>163070</v>
      </c>
      <c r="Q229" s="17">
        <f t="shared" ca="1" si="58"/>
        <v>5</v>
      </c>
      <c r="R229" t="s">
        <v>780</v>
      </c>
    </row>
    <row r="230" spans="1:18" outlineLevel="1" x14ac:dyDescent="0.3">
      <c r="A230" s="2" t="s">
        <v>687</v>
      </c>
      <c r="B230" s="2" t="s">
        <v>725</v>
      </c>
      <c r="C230" s="2" t="s">
        <v>726</v>
      </c>
      <c r="D230" s="2" t="s">
        <v>727</v>
      </c>
      <c r="E230" s="2" t="s">
        <v>116</v>
      </c>
      <c r="F230" s="3">
        <v>46141</v>
      </c>
      <c r="G230" s="6">
        <v>-40</v>
      </c>
      <c r="H230" s="3">
        <v>46186</v>
      </c>
      <c r="I230" s="5">
        <v>52800</v>
      </c>
      <c r="J230" s="2" t="s">
        <v>83</v>
      </c>
      <c r="K230" t="s">
        <v>754</v>
      </c>
      <c r="L230" s="16">
        <f t="shared" si="55"/>
        <v>46186</v>
      </c>
      <c r="M230" s="17"/>
      <c r="N230" s="16">
        <f t="shared" si="59"/>
        <v>46186</v>
      </c>
      <c r="O230" s="21">
        <f t="shared" si="53"/>
        <v>46186</v>
      </c>
      <c r="P230" s="22">
        <f t="shared" si="57"/>
        <v>52800</v>
      </c>
      <c r="Q230" s="17">
        <f t="shared" ca="1" si="58"/>
        <v>5</v>
      </c>
      <c r="R230" t="s">
        <v>780</v>
      </c>
    </row>
    <row r="231" spans="1:18" outlineLevel="1" x14ac:dyDescent="0.3">
      <c r="A231" s="2" t="s">
        <v>687</v>
      </c>
      <c r="B231" s="2" t="s">
        <v>728</v>
      </c>
      <c r="C231" s="2" t="s">
        <v>729</v>
      </c>
      <c r="D231" s="2" t="s">
        <v>730</v>
      </c>
      <c r="E231" s="2" t="s">
        <v>116</v>
      </c>
      <c r="F231" s="3">
        <v>46141</v>
      </c>
      <c r="G231" s="6">
        <v>-40</v>
      </c>
      <c r="H231" s="3">
        <v>46186</v>
      </c>
      <c r="I231" s="5">
        <v>55680</v>
      </c>
      <c r="J231" s="2" t="s">
        <v>83</v>
      </c>
      <c r="K231" t="s">
        <v>754</v>
      </c>
      <c r="L231" s="16">
        <f t="shared" si="55"/>
        <v>46186</v>
      </c>
      <c r="M231" s="17"/>
      <c r="N231" s="16">
        <f t="shared" si="59"/>
        <v>46186</v>
      </c>
      <c r="O231" s="21">
        <f t="shared" si="53"/>
        <v>46186</v>
      </c>
      <c r="P231" s="22">
        <f t="shared" si="57"/>
        <v>55680</v>
      </c>
      <c r="Q231" s="17">
        <f t="shared" ca="1" si="58"/>
        <v>5</v>
      </c>
      <c r="R231" t="s">
        <v>780</v>
      </c>
    </row>
    <row r="232" spans="1:18" outlineLevel="1" x14ac:dyDescent="0.3">
      <c r="A232" s="2" t="s">
        <v>731</v>
      </c>
      <c r="B232" s="2" t="s">
        <v>732</v>
      </c>
      <c r="C232" s="2" t="s">
        <v>733</v>
      </c>
      <c r="D232" s="2" t="s">
        <v>734</v>
      </c>
      <c r="E232" s="2" t="s">
        <v>116</v>
      </c>
      <c r="F232" s="3">
        <v>46136</v>
      </c>
      <c r="G232" s="6">
        <v>-35</v>
      </c>
      <c r="H232" s="3">
        <v>46181</v>
      </c>
      <c r="I232" s="5">
        <v>30250</v>
      </c>
      <c r="J232" s="2" t="s">
        <v>83</v>
      </c>
      <c r="K232" t="s">
        <v>754</v>
      </c>
      <c r="L232" s="16">
        <f t="shared" si="55"/>
        <v>46181</v>
      </c>
      <c r="M232" s="17">
        <f t="shared" ca="1" si="56"/>
        <v>-35</v>
      </c>
      <c r="N232" s="16">
        <v>46181</v>
      </c>
      <c r="O232" s="21">
        <f t="shared" si="53"/>
        <v>46181</v>
      </c>
      <c r="P232" s="22">
        <f t="shared" si="57"/>
        <v>30250</v>
      </c>
      <c r="Q232" s="17">
        <f t="shared" ca="1" si="58"/>
        <v>10</v>
      </c>
      <c r="R232" t="s">
        <v>780</v>
      </c>
    </row>
    <row r="233" spans="1:18" outlineLevel="1" x14ac:dyDescent="0.3">
      <c r="A233" s="2" t="s">
        <v>735</v>
      </c>
      <c r="B233" s="2" t="s">
        <v>737</v>
      </c>
      <c r="C233" s="2" t="s">
        <v>738</v>
      </c>
      <c r="D233" s="2" t="s">
        <v>739</v>
      </c>
      <c r="E233" s="2" t="s">
        <v>116</v>
      </c>
      <c r="F233" s="3">
        <v>46124</v>
      </c>
      <c r="G233" s="6">
        <v>-23</v>
      </c>
      <c r="H233" s="3">
        <v>46169</v>
      </c>
      <c r="I233" s="5">
        <v>94500</v>
      </c>
      <c r="J233" s="2" t="s">
        <v>83</v>
      </c>
      <c r="K233" t="s">
        <v>754</v>
      </c>
      <c r="L233" s="16">
        <f t="shared" si="55"/>
        <v>46169</v>
      </c>
      <c r="M233" s="17">
        <f t="shared" ca="1" si="56"/>
        <v>-23</v>
      </c>
      <c r="N233" s="16">
        <v>46169</v>
      </c>
      <c r="O233" s="21">
        <f t="shared" si="53"/>
        <v>46169</v>
      </c>
      <c r="P233" s="22">
        <f t="shared" si="57"/>
        <v>94500</v>
      </c>
      <c r="Q233" s="17">
        <f t="shared" ca="1" si="58"/>
        <v>22</v>
      </c>
      <c r="R233" t="s">
        <v>780</v>
      </c>
    </row>
    <row r="234" spans="1:18" outlineLevel="1" x14ac:dyDescent="0.3">
      <c r="A234" s="2" t="s">
        <v>735</v>
      </c>
      <c r="B234" s="2" t="s">
        <v>740</v>
      </c>
      <c r="C234" s="2" t="s">
        <v>741</v>
      </c>
      <c r="D234" s="2" t="s">
        <v>779</v>
      </c>
      <c r="E234" s="2" t="s">
        <v>132</v>
      </c>
      <c r="F234" s="3">
        <v>46124</v>
      </c>
      <c r="G234" s="6">
        <v>-23</v>
      </c>
      <c r="H234" s="3">
        <v>46169</v>
      </c>
      <c r="I234" s="5">
        <v>5000</v>
      </c>
      <c r="J234" s="2" t="s">
        <v>83</v>
      </c>
      <c r="K234" t="s">
        <v>754</v>
      </c>
      <c r="L234" s="16">
        <f t="shared" si="55"/>
        <v>46169</v>
      </c>
      <c r="M234" s="17">
        <f t="shared" ca="1" si="56"/>
        <v>-23</v>
      </c>
      <c r="N234" s="16">
        <v>46169</v>
      </c>
      <c r="O234" s="21">
        <f t="shared" si="53"/>
        <v>46169</v>
      </c>
      <c r="P234" s="22">
        <f t="shared" si="57"/>
        <v>5000</v>
      </c>
      <c r="Q234" s="17">
        <f t="shared" ca="1" si="58"/>
        <v>22</v>
      </c>
      <c r="R234" t="s">
        <v>780</v>
      </c>
    </row>
    <row r="235" spans="1:18" outlineLevel="1" x14ac:dyDescent="0.3">
      <c r="A235" s="2" t="s">
        <v>735</v>
      </c>
      <c r="B235" s="2" t="s">
        <v>742</v>
      </c>
      <c r="C235" s="2" t="s">
        <v>743</v>
      </c>
      <c r="D235" s="2" t="s">
        <v>744</v>
      </c>
      <c r="E235" s="2" t="s">
        <v>116</v>
      </c>
      <c r="F235" s="3">
        <v>46134</v>
      </c>
      <c r="G235" s="6">
        <v>-33</v>
      </c>
      <c r="H235" s="3">
        <v>46179</v>
      </c>
      <c r="I235" s="5">
        <v>95904</v>
      </c>
      <c r="J235" s="2" t="s">
        <v>83</v>
      </c>
      <c r="K235" t="s">
        <v>754</v>
      </c>
      <c r="L235" s="16">
        <f t="shared" si="55"/>
        <v>46179</v>
      </c>
      <c r="M235" s="17">
        <f t="shared" ca="1" si="56"/>
        <v>-33</v>
      </c>
      <c r="N235" s="16">
        <v>46179</v>
      </c>
      <c r="O235" s="21">
        <f t="shared" si="53"/>
        <v>46179</v>
      </c>
      <c r="P235" s="22">
        <f t="shared" si="57"/>
        <v>95904</v>
      </c>
      <c r="Q235" s="17">
        <f t="shared" ca="1" si="58"/>
        <v>12</v>
      </c>
      <c r="R235" t="s">
        <v>780</v>
      </c>
    </row>
  </sheetData>
  <autoFilter ref="A1:R235" xr:uid="{00000000-0001-0000-0000-000000000000}">
    <filterColumn colId="10">
      <filters>
        <filter val="EXPORTACIÓN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Hoja2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2026-05-04T20:49:29Z</dcterms:created>
  <dcterms:modified xsi:type="dcterms:W3CDTF">2026-05-04T20:55:10Z</dcterms:modified>
  <cp:category/>
</cp:coreProperties>
</file>