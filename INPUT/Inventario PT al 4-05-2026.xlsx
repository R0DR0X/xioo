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8_{D7A0DA3D-2AF7-4FE7-A9FB-7AE9F03B6E2D}" xr6:coauthVersionLast="47" xr6:coauthVersionMax="47" xr10:uidLastSave="{00000000-0000-0000-0000-000000000000}"/>
  <bookViews>
    <workbookView xWindow="-108" yWindow="-108" windowWidth="23256" windowHeight="13896" xr2:uid="{E49F44D6-2AA4-4DB6-B5AA-2D3E646476D9}"/>
  </bookViews>
  <sheets>
    <sheet name="Abril2026" sheetId="23" r:id="rId1"/>
    <sheet name="Marzo2026" sheetId="21" r:id="rId2"/>
    <sheet name="Febrero2026" sheetId="20" r:id="rId3"/>
    <sheet name="Enero2026" sheetId="19" r:id="rId4"/>
    <sheet name="Estadistica" sheetId="2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2" l="1"/>
  <c r="AH21" i="23"/>
  <c r="AH5" i="23"/>
  <c r="AH3" i="23"/>
  <c r="AC51" i="23"/>
  <c r="AC52" i="23"/>
  <c r="AC46" i="23"/>
  <c r="AC11" i="23"/>
  <c r="AK30" i="23"/>
  <c r="AK13" i="23"/>
  <c r="AK14" i="23"/>
  <c r="AI27" i="23"/>
  <c r="AI26" i="23"/>
  <c r="AK27" i="23"/>
  <c r="AK25" i="23"/>
  <c r="AK26" i="23"/>
  <c r="AK24" i="23"/>
  <c r="AK28" i="23"/>
  <c r="AL28" i="23" s="1"/>
  <c r="AK42" i="23"/>
  <c r="AK38" i="23"/>
  <c r="AK36" i="23"/>
  <c r="AK34" i="23"/>
  <c r="AK33" i="23"/>
  <c r="AK32" i="23"/>
  <c r="AK35" i="23"/>
  <c r="AK41" i="23"/>
  <c r="AK31" i="23"/>
  <c r="AK18" i="23"/>
  <c r="AK21" i="23"/>
  <c r="AK16" i="23"/>
  <c r="AK23" i="23"/>
  <c r="AK19" i="23"/>
  <c r="AK17" i="23"/>
  <c r="AK55" i="23"/>
  <c r="AL55" i="23"/>
  <c r="AK52" i="23"/>
  <c r="AK51" i="23"/>
  <c r="AB46" i="23"/>
  <c r="AK46" i="23"/>
  <c r="AK44" i="23"/>
  <c r="AK43" i="23"/>
  <c r="AB43" i="23"/>
  <c r="AL59" i="23"/>
  <c r="AL58" i="23"/>
  <c r="AL57" i="23"/>
  <c r="AL56" i="23"/>
  <c r="AL54" i="23"/>
  <c r="AL53" i="23"/>
  <c r="AL50" i="23"/>
  <c r="AL49" i="23"/>
  <c r="AL48" i="23"/>
  <c r="AL47" i="23"/>
  <c r="AL45" i="23"/>
  <c r="AL40" i="23"/>
  <c r="AL39" i="23"/>
  <c r="AL37" i="23"/>
  <c r="AL35" i="23"/>
  <c r="AL30" i="23"/>
  <c r="AL23" i="23"/>
  <c r="AL22" i="23"/>
  <c r="AL20" i="23"/>
  <c r="AL15" i="23"/>
  <c r="AK12" i="23"/>
  <c r="AK11" i="23"/>
  <c r="AB9" i="23"/>
  <c r="AH9" i="23"/>
  <c r="AK9" i="23"/>
  <c r="Y5" i="23"/>
  <c r="AK5" i="23"/>
  <c r="AK4" i="23"/>
  <c r="R3" i="23"/>
  <c r="Z3" i="23"/>
  <c r="AA3" i="23"/>
  <c r="AK3" i="23"/>
  <c r="AH18" i="23"/>
  <c r="AH19" i="23"/>
  <c r="AM18" i="23"/>
  <c r="AH36" i="23"/>
  <c r="AM36" i="23"/>
  <c r="AH31" i="23"/>
  <c r="AH33" i="23"/>
  <c r="AH35" i="23"/>
  <c r="AA27" i="23"/>
  <c r="Z27" i="23"/>
  <c r="AA25" i="23"/>
  <c r="Z25" i="23"/>
  <c r="AA26" i="23"/>
  <c r="Z26" i="23"/>
  <c r="AA24" i="23"/>
  <c r="Z24" i="23"/>
  <c r="AA42" i="23"/>
  <c r="Z42" i="23"/>
  <c r="Y42" i="23"/>
  <c r="AA38" i="23"/>
  <c r="AA34" i="23"/>
  <c r="AA33" i="23"/>
  <c r="Z33" i="23"/>
  <c r="Y33" i="23"/>
  <c r="Z35" i="23"/>
  <c r="AA41" i="23"/>
  <c r="Z41" i="23"/>
  <c r="Y41" i="23"/>
  <c r="AA31" i="23"/>
  <c r="Z31" i="23"/>
  <c r="AA18" i="23"/>
  <c r="Z18" i="23"/>
  <c r="Y18" i="23"/>
  <c r="AA21" i="23"/>
  <c r="Z21" i="23"/>
  <c r="Y21" i="23"/>
  <c r="Z16" i="23"/>
  <c r="AA52" i="23"/>
  <c r="Y52" i="23"/>
  <c r="Z51" i="23"/>
  <c r="Y51" i="23"/>
  <c r="AA46" i="23"/>
  <c r="Z46" i="23"/>
  <c r="Y46" i="23"/>
  <c r="AA43" i="23"/>
  <c r="Z43" i="23"/>
  <c r="Y43" i="23"/>
  <c r="AA12" i="23"/>
  <c r="Z12" i="23"/>
  <c r="AA11" i="23"/>
  <c r="Y11" i="23"/>
  <c r="AA9" i="23"/>
  <c r="Y9" i="23"/>
  <c r="Z5" i="23"/>
  <c r="Y4" i="23"/>
  <c r="AH7" i="23"/>
  <c r="X62" i="23"/>
  <c r="Q62" i="23"/>
  <c r="J62" i="23"/>
  <c r="AH52" i="23"/>
  <c r="U13" i="23"/>
  <c r="W27" i="23"/>
  <c r="V27" i="23"/>
  <c r="W25" i="23"/>
  <c r="V25" i="23"/>
  <c r="W26" i="23"/>
  <c r="V26" i="23"/>
  <c r="W24" i="23"/>
  <c r="V24" i="23"/>
  <c r="W42" i="23"/>
  <c r="V42" i="23"/>
  <c r="AH38" i="23"/>
  <c r="V38" i="23"/>
  <c r="W33" i="23"/>
  <c r="V33" i="23"/>
  <c r="W35" i="23"/>
  <c r="V35" i="23"/>
  <c r="W41" i="23"/>
  <c r="V41" i="23"/>
  <c r="W31" i="23"/>
  <c r="U31" i="23"/>
  <c r="T31" i="23"/>
  <c r="S31" i="23"/>
  <c r="W18" i="23"/>
  <c r="V18" i="23"/>
  <c r="W21" i="23"/>
  <c r="W62" i="23" s="1"/>
  <c r="V21" i="23"/>
  <c r="U16" i="23"/>
  <c r="AF56" i="23"/>
  <c r="T56" i="23"/>
  <c r="AG56" i="23" s="1"/>
  <c r="AI56" i="23" s="1"/>
  <c r="W51" i="23"/>
  <c r="W46" i="23"/>
  <c r="V46" i="23"/>
  <c r="W43" i="23"/>
  <c r="V43" i="23"/>
  <c r="AF12" i="23"/>
  <c r="V12" i="23"/>
  <c r="V62" i="23" s="1"/>
  <c r="W11" i="23"/>
  <c r="U11" i="23"/>
  <c r="W9" i="23"/>
  <c r="R9" i="23"/>
  <c r="U9" i="23"/>
  <c r="W5" i="23"/>
  <c r="V5" i="23"/>
  <c r="U5" i="23"/>
  <c r="T5" i="23"/>
  <c r="S5" i="23"/>
  <c r="R5" i="23"/>
  <c r="W4" i="23"/>
  <c r="V4" i="23"/>
  <c r="W3" i="23"/>
  <c r="V3" i="23"/>
  <c r="U4" i="23" l="1"/>
  <c r="T4" i="23"/>
  <c r="U42" i="23"/>
  <c r="T42" i="23"/>
  <c r="S42" i="23"/>
  <c r="R42" i="23"/>
  <c r="U36" i="23"/>
  <c r="U34" i="23"/>
  <c r="U33" i="23"/>
  <c r="T33" i="23"/>
  <c r="S33" i="23"/>
  <c r="R33" i="23"/>
  <c r="T35" i="23"/>
  <c r="S35" i="23"/>
  <c r="S14" i="23"/>
  <c r="U27" i="23"/>
  <c r="T27" i="23"/>
  <c r="S27" i="23"/>
  <c r="U25" i="23"/>
  <c r="T25" i="23"/>
  <c r="S25" i="23"/>
  <c r="U26" i="23"/>
  <c r="T26" i="23"/>
  <c r="S26" i="23"/>
  <c r="U24" i="23"/>
  <c r="S24" i="23"/>
  <c r="T29" i="23"/>
  <c r="S29" i="23"/>
  <c r="U55" i="23"/>
  <c r="S55" i="23"/>
  <c r="U52" i="23"/>
  <c r="S52" i="23"/>
  <c r="R52" i="23"/>
  <c r="U51" i="23"/>
  <c r="T51" i="23"/>
  <c r="S51" i="23"/>
  <c r="R51" i="23"/>
  <c r="U46" i="23"/>
  <c r="T46" i="23"/>
  <c r="S46" i="23"/>
  <c r="R46" i="23"/>
  <c r="U43" i="23"/>
  <c r="T43" i="23"/>
  <c r="S43" i="23"/>
  <c r="R43" i="23"/>
  <c r="U18" i="23"/>
  <c r="T18" i="23"/>
  <c r="R18" i="23"/>
  <c r="U21" i="23"/>
  <c r="T21" i="23"/>
  <c r="S21" i="23"/>
  <c r="R21" i="23"/>
  <c r="U12" i="23"/>
  <c r="T12" i="23"/>
  <c r="AG12" i="23" s="1"/>
  <c r="AI12" i="23" s="1"/>
  <c r="AL12" i="23" s="1"/>
  <c r="S4" i="23"/>
  <c r="U3" i="23"/>
  <c r="T3" i="23"/>
  <c r="S3" i="23"/>
  <c r="O13" i="23"/>
  <c r="N13" i="23"/>
  <c r="P27" i="23"/>
  <c r="N27" i="23"/>
  <c r="N25" i="23"/>
  <c r="P25" i="23"/>
  <c r="P26" i="23"/>
  <c r="O26" i="23"/>
  <c r="N26" i="23"/>
  <c r="P24" i="23"/>
  <c r="N24" i="23"/>
  <c r="P29" i="23"/>
  <c r="O29" i="23"/>
  <c r="N29" i="23"/>
  <c r="O38" i="23"/>
  <c r="N38" i="23"/>
  <c r="M38" i="23"/>
  <c r="L38" i="23"/>
  <c r="K38" i="23"/>
  <c r="O36" i="23"/>
  <c r="N36" i="23"/>
  <c r="M36" i="23"/>
  <c r="L36" i="23"/>
  <c r="K36" i="23"/>
  <c r="M34" i="23"/>
  <c r="L34" i="23"/>
  <c r="K34" i="23"/>
  <c r="I34" i="23"/>
  <c r="O33" i="23"/>
  <c r="P33" i="23"/>
  <c r="N33" i="23"/>
  <c r="M33" i="23"/>
  <c r="L33" i="23"/>
  <c r="K33" i="23"/>
  <c r="P35" i="23"/>
  <c r="O35" i="23"/>
  <c r="N35" i="23"/>
  <c r="O31" i="23"/>
  <c r="N31" i="23"/>
  <c r="N42" i="23"/>
  <c r="P42" i="23"/>
  <c r="O42" i="23"/>
  <c r="P18" i="23"/>
  <c r="O18" i="23"/>
  <c r="N18" i="23"/>
  <c r="P21" i="23"/>
  <c r="O21" i="23"/>
  <c r="N21" i="23"/>
  <c r="O19" i="23"/>
  <c r="P55" i="23"/>
  <c r="O55" i="23"/>
  <c r="N55" i="23"/>
  <c r="O52" i="23"/>
  <c r="O51" i="23"/>
  <c r="O46" i="23"/>
  <c r="N46" i="23"/>
  <c r="AH44" i="23"/>
  <c r="AH43" i="23"/>
  <c r="O43" i="23"/>
  <c r="N11" i="23"/>
  <c r="O9" i="23"/>
  <c r="P5" i="23"/>
  <c r="O5" i="23"/>
  <c r="N5" i="23"/>
  <c r="P4" i="23"/>
  <c r="O4" i="23"/>
  <c r="P3" i="23"/>
  <c r="O3" i="23"/>
  <c r="N3" i="23"/>
  <c r="M32" i="23"/>
  <c r="L32" i="23"/>
  <c r="L35" i="23"/>
  <c r="K35" i="23"/>
  <c r="M31" i="23"/>
  <c r="L31" i="23"/>
  <c r="K41" i="23"/>
  <c r="L30" i="23"/>
  <c r="M13" i="23"/>
  <c r="L13" i="23"/>
  <c r="M27" i="23"/>
  <c r="L27" i="23"/>
  <c r="M25" i="23"/>
  <c r="L25" i="23"/>
  <c r="M26" i="23"/>
  <c r="L26" i="23"/>
  <c r="M24" i="23"/>
  <c r="L24" i="23"/>
  <c r="R62" i="23" l="1"/>
  <c r="N62" i="23"/>
  <c r="U62" i="23"/>
  <c r="P62" i="23"/>
  <c r="S62" i="23"/>
  <c r="O62" i="23"/>
  <c r="T62" i="23"/>
  <c r="AQ29" i="23"/>
  <c r="AR29" i="23" s="1"/>
  <c r="AF29" i="23"/>
  <c r="M29" i="23"/>
  <c r="L29" i="23"/>
  <c r="G29" i="23"/>
  <c r="AG29" i="23" s="1"/>
  <c r="L28" i="23"/>
  <c r="AG28" i="23" s="1"/>
  <c r="M42" i="23"/>
  <c r="AG42" i="23" s="1"/>
  <c r="AF42" i="23"/>
  <c r="M22" i="23"/>
  <c r="L22" i="23"/>
  <c r="K22" i="23"/>
  <c r="M20" i="23"/>
  <c r="L20" i="23"/>
  <c r="K20" i="23"/>
  <c r="M18" i="23"/>
  <c r="L18" i="23"/>
  <c r="K18" i="23"/>
  <c r="L21" i="23"/>
  <c r="M21" i="23"/>
  <c r="K21" i="23"/>
  <c r="M16" i="23"/>
  <c r="L16" i="23"/>
  <c r="K16" i="23"/>
  <c r="K17" i="23"/>
  <c r="M46" i="23"/>
  <c r="M43" i="23"/>
  <c r="M11" i="23"/>
  <c r="M9" i="23"/>
  <c r="M5" i="23"/>
  <c r="L5" i="23"/>
  <c r="K5" i="23"/>
  <c r="M4" i="23"/>
  <c r="L4" i="23"/>
  <c r="K4" i="23"/>
  <c r="M3" i="23"/>
  <c r="L3" i="23"/>
  <c r="AF28" i="23"/>
  <c r="I13" i="23"/>
  <c r="G13" i="23"/>
  <c r="G14" i="23"/>
  <c r="AG14" i="23" s="1"/>
  <c r="G27" i="23"/>
  <c r="F27" i="23"/>
  <c r="G25" i="23"/>
  <c r="F25" i="23"/>
  <c r="F26" i="23"/>
  <c r="AG26" i="23" s="1"/>
  <c r="AG23" i="23"/>
  <c r="AG24" i="23"/>
  <c r="AG41" i="23"/>
  <c r="AG40" i="23"/>
  <c r="AG39" i="23"/>
  <c r="AF41" i="23"/>
  <c r="AF40" i="23"/>
  <c r="AF39" i="23"/>
  <c r="I33" i="23"/>
  <c r="G33" i="23"/>
  <c r="F33" i="23"/>
  <c r="I38" i="23"/>
  <c r="G38" i="23"/>
  <c r="F38" i="23"/>
  <c r="G36" i="23"/>
  <c r="F36" i="23"/>
  <c r="G34" i="23"/>
  <c r="F34" i="23"/>
  <c r="E34" i="23"/>
  <c r="G32" i="23"/>
  <c r="AG32" i="23" s="1"/>
  <c r="I35" i="23"/>
  <c r="G35" i="23"/>
  <c r="F35" i="23"/>
  <c r="I31" i="23"/>
  <c r="G31" i="23"/>
  <c r="F31" i="23"/>
  <c r="AF23" i="23"/>
  <c r="I21" i="23"/>
  <c r="H21" i="23"/>
  <c r="AF21" i="23"/>
  <c r="G21" i="23"/>
  <c r="F21" i="23"/>
  <c r="G55" i="23"/>
  <c r="AG55" i="23" s="1"/>
  <c r="AF22" i="23"/>
  <c r="AF20" i="23"/>
  <c r="AF16" i="23"/>
  <c r="I16" i="23"/>
  <c r="G16" i="23"/>
  <c r="F16" i="23"/>
  <c r="I18" i="23"/>
  <c r="H18" i="23"/>
  <c r="G18" i="23"/>
  <c r="F18" i="23"/>
  <c r="E18" i="23"/>
  <c r="F19" i="23"/>
  <c r="AG19" i="23" s="1"/>
  <c r="F17" i="23"/>
  <c r="F15" i="23"/>
  <c r="AG15" i="23" s="1"/>
  <c r="G46" i="23"/>
  <c r="F46" i="23"/>
  <c r="G44" i="23"/>
  <c r="F44" i="23"/>
  <c r="G43" i="23"/>
  <c r="F43" i="23"/>
  <c r="G11" i="23"/>
  <c r="F11" i="23"/>
  <c r="G9" i="23"/>
  <c r="F9" i="23"/>
  <c r="I5" i="23"/>
  <c r="H5" i="23"/>
  <c r="G5" i="23"/>
  <c r="F5" i="23"/>
  <c r="I4" i="23"/>
  <c r="H4" i="23"/>
  <c r="I3" i="23"/>
  <c r="H3" i="23"/>
  <c r="G3" i="23"/>
  <c r="F3" i="23"/>
  <c r="AF7" i="23"/>
  <c r="AM62" i="23"/>
  <c r="AK62" i="23"/>
  <c r="AE62" i="23"/>
  <c r="AD62" i="23"/>
  <c r="D62" i="23"/>
  <c r="AQ60" i="23"/>
  <c r="AR60" i="23" s="1"/>
  <c r="AG60" i="23"/>
  <c r="AF60" i="23"/>
  <c r="AI60" i="23" s="1"/>
  <c r="AL60" i="23" s="1"/>
  <c r="AQ59" i="23"/>
  <c r="AR59" i="23" s="1"/>
  <c r="AG59" i="23"/>
  <c r="AF59" i="23"/>
  <c r="AQ58" i="23"/>
  <c r="AR58" i="23" s="1"/>
  <c r="AG58" i="23"/>
  <c r="AF58" i="23"/>
  <c r="AQ57" i="23"/>
  <c r="AR57" i="23" s="1"/>
  <c r="AG57" i="23"/>
  <c r="AF57" i="23"/>
  <c r="AQ55" i="23"/>
  <c r="AR55" i="23" s="1"/>
  <c r="AF55" i="23"/>
  <c r="AQ54" i="23"/>
  <c r="AR54" i="23" s="1"/>
  <c r="AG54" i="23"/>
  <c r="AF54" i="23"/>
  <c r="AG53" i="23"/>
  <c r="AF53" i="23"/>
  <c r="AQ52" i="23"/>
  <c r="AR52" i="23" s="1"/>
  <c r="AF52" i="23"/>
  <c r="AG52" i="23"/>
  <c r="AQ51" i="23"/>
  <c r="AF51" i="23"/>
  <c r="AG51" i="23"/>
  <c r="AQ50" i="23"/>
  <c r="AR50" i="23" s="1"/>
  <c r="AG50" i="23"/>
  <c r="AF50" i="23"/>
  <c r="AQ49" i="23"/>
  <c r="AR49" i="23" s="1"/>
  <c r="AG49" i="23"/>
  <c r="AF49" i="23"/>
  <c r="AQ48" i="23"/>
  <c r="AR48" i="23" s="1"/>
  <c r="AG48" i="23"/>
  <c r="AF48" i="23"/>
  <c r="AQ47" i="23"/>
  <c r="AG47" i="23"/>
  <c r="AF47" i="23"/>
  <c r="AQ46" i="23"/>
  <c r="AR46" i="23" s="1"/>
  <c r="AF46" i="23"/>
  <c r="AQ45" i="23"/>
  <c r="AR45" i="23" s="1"/>
  <c r="AG45" i="23"/>
  <c r="AF45" i="23"/>
  <c r="AQ44" i="23"/>
  <c r="AF44" i="23"/>
  <c r="AQ43" i="23"/>
  <c r="AF43" i="23"/>
  <c r="AQ38" i="23"/>
  <c r="AF38" i="23"/>
  <c r="AQ37" i="23"/>
  <c r="AR37" i="23" s="1"/>
  <c r="AG37" i="23"/>
  <c r="AF37" i="23"/>
  <c r="AQ36" i="23"/>
  <c r="AF36" i="23"/>
  <c r="AQ35" i="23"/>
  <c r="AR35" i="23" s="1"/>
  <c r="AF35" i="23"/>
  <c r="AQ34" i="23"/>
  <c r="AR34" i="23" s="1"/>
  <c r="AF34" i="23"/>
  <c r="AQ33" i="23"/>
  <c r="AR33" i="23" s="1"/>
  <c r="AF33" i="23"/>
  <c r="AQ32" i="23"/>
  <c r="AR32" i="23" s="1"/>
  <c r="AF32" i="23"/>
  <c r="AQ31" i="23"/>
  <c r="AF31" i="23"/>
  <c r="AQ30" i="23"/>
  <c r="AR30" i="23" s="1"/>
  <c r="AF30" i="23"/>
  <c r="AG30" i="23"/>
  <c r="AQ27" i="23"/>
  <c r="AF27" i="23"/>
  <c r="AQ26" i="23"/>
  <c r="AF26" i="23"/>
  <c r="AF25" i="23"/>
  <c r="AQ24" i="23"/>
  <c r="AR24" i="23" s="1"/>
  <c r="AF24" i="23"/>
  <c r="AQ19" i="23"/>
  <c r="AF19" i="23"/>
  <c r="AQ18" i="23"/>
  <c r="AF18" i="23"/>
  <c r="AQ17" i="23"/>
  <c r="AR17" i="23" s="1"/>
  <c r="AF17" i="23"/>
  <c r="AQ15" i="23"/>
  <c r="AR15" i="23" s="1"/>
  <c r="AF15" i="23"/>
  <c r="AQ14" i="23"/>
  <c r="AF14" i="23"/>
  <c r="AQ13" i="23"/>
  <c r="AR13" i="23" s="1"/>
  <c r="AF13" i="23"/>
  <c r="AQ11" i="23"/>
  <c r="AR11" i="23" s="1"/>
  <c r="AF11" i="23"/>
  <c r="AQ10" i="23"/>
  <c r="AR10" i="23" s="1"/>
  <c r="AG10" i="23"/>
  <c r="AF10" i="23"/>
  <c r="AQ9" i="23"/>
  <c r="AR9" i="23" s="1"/>
  <c r="AF9" i="23"/>
  <c r="AQ8" i="23"/>
  <c r="AR8" i="23" s="1"/>
  <c r="AG8" i="23"/>
  <c r="AF8" i="23"/>
  <c r="AQ7" i="23"/>
  <c r="AG7" i="23"/>
  <c r="AQ6" i="23"/>
  <c r="AR6" i="23" s="1"/>
  <c r="AG6" i="23"/>
  <c r="AF6" i="23"/>
  <c r="AQ5" i="23"/>
  <c r="AR5" i="23" s="1"/>
  <c r="AF5" i="23"/>
  <c r="AQ4" i="23"/>
  <c r="AF4" i="23"/>
  <c r="A4" i="23"/>
  <c r="A5" i="23" s="1"/>
  <c r="A6" i="23" s="1"/>
  <c r="A7" i="23" s="1"/>
  <c r="A8" i="23" s="1"/>
  <c r="A9" i="23" s="1"/>
  <c r="A10" i="23" s="1"/>
  <c r="A11" i="23" s="1"/>
  <c r="AQ3" i="23"/>
  <c r="AR3" i="23" s="1"/>
  <c r="AF3" i="23"/>
  <c r="AB21" i="21"/>
  <c r="AB20" i="21"/>
  <c r="AG42" i="21"/>
  <c r="AI42" i="21" s="1"/>
  <c r="AF42" i="21"/>
  <c r="AO31" i="21"/>
  <c r="AQ31" i="21" s="1"/>
  <c r="AO24" i="21"/>
  <c r="AN21" i="21"/>
  <c r="AQ21" i="21"/>
  <c r="AR21" i="21" s="1"/>
  <c r="AH21" i="21"/>
  <c r="AO20" i="21"/>
  <c r="AN20" i="21"/>
  <c r="AH20" i="21"/>
  <c r="AO16" i="21"/>
  <c r="AN16" i="21"/>
  <c r="AQ16" i="21"/>
  <c r="AH16" i="21"/>
  <c r="AN13" i="21"/>
  <c r="AQ48" i="21"/>
  <c r="AR48" i="21" s="1"/>
  <c r="AQ47" i="21"/>
  <c r="AR47" i="21" s="1"/>
  <c r="AQ46" i="21"/>
  <c r="AR46" i="21" s="1"/>
  <c r="AQ45" i="21"/>
  <c r="AR45" i="21" s="1"/>
  <c r="AQ44" i="21"/>
  <c r="AR44" i="21" s="1"/>
  <c r="AQ43" i="21"/>
  <c r="AR43" i="21" s="1"/>
  <c r="AQ41" i="21"/>
  <c r="AR41" i="21" s="1"/>
  <c r="AQ40" i="21"/>
  <c r="AQ39" i="21"/>
  <c r="AR39" i="21" s="1"/>
  <c r="AQ38" i="21"/>
  <c r="AR38" i="21" s="1"/>
  <c r="AQ37" i="21"/>
  <c r="AR37" i="21" s="1"/>
  <c r="AQ36" i="21"/>
  <c r="AQ35" i="21"/>
  <c r="AR35" i="21" s="1"/>
  <c r="AQ34" i="21"/>
  <c r="AR34" i="21" s="1"/>
  <c r="AQ33" i="21"/>
  <c r="AQ32" i="21"/>
  <c r="AQ30" i="21"/>
  <c r="AR30" i="21" s="1"/>
  <c r="AQ28" i="21"/>
  <c r="AR28" i="21" s="1"/>
  <c r="AQ27" i="21"/>
  <c r="AR27" i="21" s="1"/>
  <c r="AQ26" i="21"/>
  <c r="AR26" i="21" s="1"/>
  <c r="AQ25" i="21"/>
  <c r="AR25" i="21" s="1"/>
  <c r="AQ24" i="21"/>
  <c r="AQ23" i="21"/>
  <c r="AR23" i="21" s="1"/>
  <c r="AQ22" i="21"/>
  <c r="AQ20" i="21"/>
  <c r="AR20" i="21" s="1"/>
  <c r="AQ19" i="21"/>
  <c r="AR19" i="21" s="1"/>
  <c r="AQ18" i="21"/>
  <c r="AR18" i="21" s="1"/>
  <c r="AQ17" i="21"/>
  <c r="AR17" i="21" s="1"/>
  <c r="AQ15" i="21"/>
  <c r="AR15" i="21" s="1"/>
  <c r="AQ14" i="21"/>
  <c r="AR14" i="21" s="1"/>
  <c r="AQ13" i="21"/>
  <c r="AQ12" i="21"/>
  <c r="AR12" i="21" s="1"/>
  <c r="AQ11" i="21"/>
  <c r="AR11" i="21" s="1"/>
  <c r="AQ10" i="21"/>
  <c r="AR10" i="21" s="1"/>
  <c r="AQ9" i="21"/>
  <c r="AR9" i="21" s="1"/>
  <c r="AQ8" i="21"/>
  <c r="AR8" i="21" s="1"/>
  <c r="AQ6" i="21"/>
  <c r="AR6" i="21" s="1"/>
  <c r="AQ5" i="21"/>
  <c r="AR5" i="21" s="1"/>
  <c r="AQ4" i="21"/>
  <c r="AQ3" i="21"/>
  <c r="AN7" i="21"/>
  <c r="AQ7" i="21" s="1"/>
  <c r="AO7" i="21"/>
  <c r="AC50" i="21"/>
  <c r="AB13" i="21"/>
  <c r="AB22" i="21"/>
  <c r="AG26" i="21"/>
  <c r="AF26" i="21"/>
  <c r="AI26" i="21" s="1"/>
  <c r="AL26" i="21" s="1"/>
  <c r="AB31" i="21"/>
  <c r="AB29" i="21"/>
  <c r="AB24" i="21"/>
  <c r="AG37" i="21"/>
  <c r="AF37" i="21"/>
  <c r="AI37" i="21" s="1"/>
  <c r="AL37" i="21" s="1"/>
  <c r="AB16" i="21"/>
  <c r="AB50" i="21" s="1"/>
  <c r="AB7" i="21"/>
  <c r="AB4" i="21"/>
  <c r="U51" i="21"/>
  <c r="S51" i="21"/>
  <c r="J51" i="21"/>
  <c r="I51" i="21"/>
  <c r="H51" i="21"/>
  <c r="U50" i="21"/>
  <c r="S50" i="21"/>
  <c r="J50" i="21"/>
  <c r="I50" i="21"/>
  <c r="H50" i="21"/>
  <c r="AA50" i="21"/>
  <c r="L62" i="23" l="1"/>
  <c r="M62" i="23"/>
  <c r="I62" i="23"/>
  <c r="K62" i="23"/>
  <c r="A14" i="23"/>
  <c r="A15" i="23" s="1"/>
  <c r="A12" i="23"/>
  <c r="A13" i="23" s="1"/>
  <c r="AG17" i="23"/>
  <c r="AI17" i="23" s="1"/>
  <c r="AL17" i="23" s="1"/>
  <c r="AI42" i="23"/>
  <c r="AL42" i="23" s="1"/>
  <c r="AI29" i="23"/>
  <c r="AL29" i="23" s="1"/>
  <c r="AG20" i="23"/>
  <c r="AI20" i="23" s="1"/>
  <c r="AG22" i="23"/>
  <c r="AI22" i="23" s="1"/>
  <c r="AI40" i="23"/>
  <c r="AG25" i="23"/>
  <c r="AI25" i="23" s="1"/>
  <c r="AL25" i="23" s="1"/>
  <c r="AI39" i="23"/>
  <c r="AI23" i="23"/>
  <c r="AI28" i="23"/>
  <c r="AI41" i="23"/>
  <c r="AL41" i="23" s="1"/>
  <c r="AG33" i="23"/>
  <c r="AI33" i="23" s="1"/>
  <c r="AL33" i="23" s="1"/>
  <c r="AG31" i="23"/>
  <c r="AI31" i="23" s="1"/>
  <c r="AL31" i="23" s="1"/>
  <c r="AG38" i="23"/>
  <c r="AI38" i="23" s="1"/>
  <c r="AL38" i="23" s="1"/>
  <c r="AG13" i="23"/>
  <c r="AI13" i="23" s="1"/>
  <c r="AL13" i="23" s="1"/>
  <c r="AI24" i="23"/>
  <c r="AL24" i="23" s="1"/>
  <c r="AG34" i="23"/>
  <c r="AI34" i="23" s="1"/>
  <c r="AL34" i="23" s="1"/>
  <c r="AG21" i="23"/>
  <c r="AI21" i="23" s="1"/>
  <c r="AL21" i="23" s="1"/>
  <c r="AG35" i="23"/>
  <c r="AI35" i="23" s="1"/>
  <c r="AG43" i="23"/>
  <c r="AI43" i="23" s="1"/>
  <c r="AL43" i="23" s="1"/>
  <c r="AG44" i="23"/>
  <c r="AI44" i="23" s="1"/>
  <c r="AL44" i="23" s="1"/>
  <c r="AG11" i="23"/>
  <c r="AI11" i="23" s="1"/>
  <c r="AL11" i="23" s="1"/>
  <c r="AG18" i="23"/>
  <c r="AI18" i="23" s="1"/>
  <c r="AL18" i="23" s="1"/>
  <c r="AI53" i="23"/>
  <c r="AR19" i="23"/>
  <c r="H62" i="23"/>
  <c r="AG16" i="23"/>
  <c r="AI16" i="23" s="1"/>
  <c r="AL16" i="23" s="1"/>
  <c r="AI32" i="23"/>
  <c r="AL32" i="23" s="1"/>
  <c r="E63" i="23"/>
  <c r="AG5" i="23"/>
  <c r="AI5" i="23" s="1"/>
  <c r="AL5" i="23" s="1"/>
  <c r="AG9" i="23"/>
  <c r="AI9" i="23" s="1"/>
  <c r="AL9" i="23" s="1"/>
  <c r="AG46" i="23"/>
  <c r="AI46" i="23" s="1"/>
  <c r="AL46" i="23" s="1"/>
  <c r="AG3" i="23"/>
  <c r="AI3" i="23" s="1"/>
  <c r="AJ3" i="23" s="1"/>
  <c r="AI52" i="23"/>
  <c r="AL52" i="23" s="1"/>
  <c r="AI15" i="23"/>
  <c r="G63" i="23"/>
  <c r="AI54" i="23"/>
  <c r="AI59" i="23"/>
  <c r="AI7" i="23"/>
  <c r="AL7" i="23" s="1"/>
  <c r="AR27" i="23"/>
  <c r="AI6" i="23"/>
  <c r="AL6" i="23" s="1"/>
  <c r="AI19" i="23"/>
  <c r="AL19" i="23" s="1"/>
  <c r="AQ25" i="23"/>
  <c r="AR25" i="23" s="1"/>
  <c r="AR44" i="23"/>
  <c r="AR14" i="23"/>
  <c r="AR36" i="23"/>
  <c r="AI37" i="23"/>
  <c r="AI51" i="23"/>
  <c r="AL51" i="23" s="1"/>
  <c r="AR18" i="23"/>
  <c r="AR7" i="23"/>
  <c r="AR47" i="23"/>
  <c r="AI55" i="23"/>
  <c r="AI8" i="23"/>
  <c r="AL8" i="23" s="1"/>
  <c r="AR51" i="23"/>
  <c r="AR26" i="23"/>
  <c r="AR38" i="23"/>
  <c r="AI45" i="23"/>
  <c r="AI57" i="23"/>
  <c r="AI49" i="23"/>
  <c r="AR43" i="23"/>
  <c r="AI50" i="23"/>
  <c r="AI47" i="23"/>
  <c r="AI48" i="23"/>
  <c r="AI58" i="23"/>
  <c r="F63" i="23"/>
  <c r="AR31" i="23"/>
  <c r="F62" i="23"/>
  <c r="AG27" i="23"/>
  <c r="AL27" i="23" s="1"/>
  <c r="AG36" i="23"/>
  <c r="AI36" i="23" s="1"/>
  <c r="AL36" i="23" s="1"/>
  <c r="G62" i="23"/>
  <c r="AG4" i="23"/>
  <c r="AI4" i="23" s="1"/>
  <c r="AL4" i="23" s="1"/>
  <c r="AI14" i="23"/>
  <c r="AL14" i="23" s="1"/>
  <c r="AH62" i="23"/>
  <c r="AI30" i="23"/>
  <c r="H63" i="23"/>
  <c r="AR4" i="23"/>
  <c r="AL26" i="23"/>
  <c r="AI10" i="23"/>
  <c r="AL10" i="23" s="1"/>
  <c r="AF62" i="23"/>
  <c r="AN62" i="23"/>
  <c r="E62" i="23"/>
  <c r="AO62" i="23"/>
  <c r="AR3" i="21"/>
  <c r="AR22" i="21"/>
  <c r="AR31" i="21"/>
  <c r="AR16" i="21"/>
  <c r="Z22" i="21"/>
  <c r="Z21" i="21"/>
  <c r="Z20" i="21"/>
  <c r="X23" i="21"/>
  <c r="Z31" i="21"/>
  <c r="Z29" i="21"/>
  <c r="Z27" i="21"/>
  <c r="Z24" i="21"/>
  <c r="AH32" i="21"/>
  <c r="AR32" i="21" s="1"/>
  <c r="Z16" i="21"/>
  <c r="Z7" i="21"/>
  <c r="Z4" i="21"/>
  <c r="AG55" i="21"/>
  <c r="Y22" i="21"/>
  <c r="X22" i="21"/>
  <c r="AH22" i="21"/>
  <c r="W22" i="21"/>
  <c r="V22" i="21"/>
  <c r="Y20" i="21"/>
  <c r="X20" i="21"/>
  <c r="W20" i="21"/>
  <c r="V20" i="21"/>
  <c r="Y21" i="21"/>
  <c r="X21" i="21"/>
  <c r="Y12" i="21"/>
  <c r="X12" i="21"/>
  <c r="W12" i="21"/>
  <c r="Y13" i="21"/>
  <c r="X13" i="21"/>
  <c r="W13" i="21"/>
  <c r="Y31" i="21"/>
  <c r="X31" i="21"/>
  <c r="AH31" i="21"/>
  <c r="W31" i="21"/>
  <c r="V31" i="21"/>
  <c r="Y29" i="21"/>
  <c r="X29" i="21"/>
  <c r="W29" i="21"/>
  <c r="V29" i="21"/>
  <c r="Y27" i="21"/>
  <c r="X27" i="21"/>
  <c r="W27" i="21"/>
  <c r="V27" i="21"/>
  <c r="AH24" i="21"/>
  <c r="AR24" i="21" s="1"/>
  <c r="Y24" i="21"/>
  <c r="X24" i="21"/>
  <c r="W24" i="21"/>
  <c r="V24" i="21"/>
  <c r="Y16" i="21"/>
  <c r="X16" i="21"/>
  <c r="W16" i="21"/>
  <c r="V16" i="21"/>
  <c r="Y17" i="21"/>
  <c r="A16" i="23" l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Q62" i="23"/>
  <c r="AG62" i="23"/>
  <c r="C7" i="22" s="1"/>
  <c r="AR62" i="23"/>
  <c r="AI62" i="23"/>
  <c r="AL3" i="23"/>
  <c r="AL62" i="23" s="1"/>
  <c r="Z50" i="21"/>
  <c r="Z51" i="21"/>
  <c r="AH40" i="21"/>
  <c r="AR40" i="21" s="1"/>
  <c r="W40" i="21"/>
  <c r="W35" i="21"/>
  <c r="W33" i="21"/>
  <c r="W32" i="21"/>
  <c r="AH7" i="21"/>
  <c r="AR7" i="21" s="1"/>
  <c r="X7" i="21"/>
  <c r="Y7" i="21"/>
  <c r="W7" i="21"/>
  <c r="V7" i="21"/>
  <c r="Y4" i="21"/>
  <c r="X4" i="21"/>
  <c r="AH4" i="21"/>
  <c r="AR4" i="21" s="1"/>
  <c r="W4" i="21"/>
  <c r="V4" i="21"/>
  <c r="C5" i="22"/>
  <c r="C4" i="22"/>
  <c r="AI54" i="21"/>
  <c r="T22" i="21"/>
  <c r="T20" i="21"/>
  <c r="T21" i="21"/>
  <c r="T13" i="21"/>
  <c r="T31" i="21"/>
  <c r="T29" i="21"/>
  <c r="T27" i="21"/>
  <c r="T24" i="21"/>
  <c r="AG43" i="21"/>
  <c r="T44" i="21"/>
  <c r="AG44" i="21" s="1"/>
  <c r="AF44" i="21"/>
  <c r="AF43" i="21"/>
  <c r="T17" i="21"/>
  <c r="T16" i="21"/>
  <c r="T32" i="21"/>
  <c r="T7" i="21"/>
  <c r="T4" i="21"/>
  <c r="Q22" i="21"/>
  <c r="R20" i="21"/>
  <c r="Q20" i="21"/>
  <c r="R12" i="21"/>
  <c r="AH13" i="21"/>
  <c r="AR13" i="21" s="1"/>
  <c r="R31" i="21"/>
  <c r="Q31" i="21"/>
  <c r="R29" i="21"/>
  <c r="Q29" i="21"/>
  <c r="R27" i="21"/>
  <c r="R24" i="21"/>
  <c r="R17" i="21"/>
  <c r="P16" i="21"/>
  <c r="R16" i="21"/>
  <c r="Q16" i="21"/>
  <c r="R41" i="21"/>
  <c r="R40" i="21"/>
  <c r="R32" i="21"/>
  <c r="R35" i="21"/>
  <c r="AH33" i="21"/>
  <c r="AR33" i="21" s="1"/>
  <c r="R7" i="21"/>
  <c r="Q7" i="21"/>
  <c r="R4" i="21"/>
  <c r="Q4" i="21"/>
  <c r="P22" i="21"/>
  <c r="P20" i="21"/>
  <c r="P21" i="21"/>
  <c r="P23" i="21"/>
  <c r="P12" i="21"/>
  <c r="O12" i="21"/>
  <c r="P13" i="21"/>
  <c r="P31" i="21"/>
  <c r="P29" i="21"/>
  <c r="P27" i="21"/>
  <c r="P24" i="21"/>
  <c r="P17" i="21"/>
  <c r="P41" i="21"/>
  <c r="P40" i="21"/>
  <c r="P35" i="21"/>
  <c r="P33" i="21"/>
  <c r="P32" i="21"/>
  <c r="P7" i="21"/>
  <c r="P4" i="21"/>
  <c r="AD7" i="20"/>
  <c r="AG15" i="19"/>
  <c r="AF19" i="19"/>
  <c r="N7" i="21"/>
  <c r="M7" i="21"/>
  <c r="L7" i="21"/>
  <c r="K7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1" i="21"/>
  <c r="M31" i="21"/>
  <c r="K31" i="21"/>
  <c r="N29" i="21"/>
  <c r="M29" i="21"/>
  <c r="K29" i="21"/>
  <c r="N27" i="21"/>
  <c r="M27" i="21"/>
  <c r="K27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53" i="23" l="1"/>
  <c r="A54" i="23" s="1"/>
  <c r="A55" i="23" s="1"/>
  <c r="A56" i="23" s="1"/>
  <c r="A57" i="23" s="1"/>
  <c r="A58" i="23" s="1"/>
  <c r="A59" i="23" s="1"/>
  <c r="A60" i="23" s="1"/>
  <c r="AS62" i="23"/>
  <c r="O50" i="21"/>
  <c r="O51" i="21"/>
  <c r="Q50" i="21"/>
  <c r="Q51" i="21"/>
  <c r="X50" i="21"/>
  <c r="X51" i="21"/>
  <c r="R51" i="21"/>
  <c r="R50" i="21"/>
  <c r="V51" i="21"/>
  <c r="V50" i="21"/>
  <c r="W50" i="21"/>
  <c r="W51" i="21"/>
  <c r="P50" i="21"/>
  <c r="P51" i="21"/>
  <c r="Y50" i="21"/>
  <c r="Y51" i="21"/>
  <c r="T51" i="21"/>
  <c r="T50" i="21"/>
  <c r="AI44" i="21"/>
  <c r="AL44" i="21" s="1"/>
  <c r="AI43" i="21"/>
  <c r="AL43" i="21" s="1"/>
  <c r="M24" i="21"/>
  <c r="L24" i="21"/>
  <c r="N16" i="21"/>
  <c r="M16" i="21"/>
  <c r="L16" i="21"/>
  <c r="K16" i="21"/>
  <c r="N41" i="21"/>
  <c r="L41" i="21"/>
  <c r="N40" i="21"/>
  <c r="L40" i="21"/>
  <c r="N35" i="21"/>
  <c r="L35" i="21"/>
  <c r="N33" i="21"/>
  <c r="L33" i="21"/>
  <c r="N32" i="21"/>
  <c r="L32" i="21"/>
  <c r="N4" i="21"/>
  <c r="M4" i="21"/>
  <c r="L4" i="21"/>
  <c r="K4" i="21"/>
  <c r="AP7" i="20"/>
  <c r="AI7" i="20"/>
  <c r="N50" i="21" l="1"/>
  <c r="N51" i="21"/>
  <c r="K50" i="21"/>
  <c r="K51" i="21"/>
  <c r="L50" i="21"/>
  <c r="L51" i="21"/>
  <c r="M50" i="21"/>
  <c r="M51" i="21"/>
  <c r="AR45" i="20"/>
  <c r="AQ45" i="20"/>
  <c r="AP20" i="20"/>
  <c r="AP17" i="20"/>
  <c r="AN36" i="20"/>
  <c r="AP28" i="20"/>
  <c r="AP16" i="20"/>
  <c r="AP13" i="20"/>
  <c r="AD22" i="20" l="1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O29" i="21" l="1"/>
  <c r="AO50" i="21" l="1"/>
  <c r="AQ29" i="21"/>
  <c r="AH29" i="21"/>
  <c r="E57" i="21"/>
  <c r="AR29" i="21" l="1"/>
  <c r="AQ50" i="21"/>
  <c r="F22" i="21"/>
  <c r="E22" i="21"/>
  <c r="F20" i="21"/>
  <c r="E20" i="21"/>
  <c r="F21" i="21"/>
  <c r="E21" i="21"/>
  <c r="F23" i="21"/>
  <c r="AG23" i="21" s="1"/>
  <c r="F12" i="21"/>
  <c r="AG12" i="21" s="1"/>
  <c r="F13" i="21"/>
  <c r="AG13" i="21" s="1"/>
  <c r="F31" i="21"/>
  <c r="AG31" i="21" s="1"/>
  <c r="F29" i="21"/>
  <c r="E29" i="21"/>
  <c r="F27" i="21"/>
  <c r="F24" i="21"/>
  <c r="AH36" i="21"/>
  <c r="AR36" i="21" s="1"/>
  <c r="F16" i="21"/>
  <c r="E16" i="21"/>
  <c r="G41" i="21"/>
  <c r="AG41" i="21" s="1"/>
  <c r="G40" i="21"/>
  <c r="AG40" i="21" s="1"/>
  <c r="G35" i="21"/>
  <c r="AG35" i="21" s="1"/>
  <c r="G33" i="21"/>
  <c r="AG33" i="21" s="1"/>
  <c r="G32" i="21"/>
  <c r="F7" i="21"/>
  <c r="E7" i="21"/>
  <c r="F4" i="21"/>
  <c r="E4" i="21"/>
  <c r="BC50" i="21"/>
  <c r="AN50" i="21"/>
  <c r="AK50" i="21"/>
  <c r="AE50" i="21"/>
  <c r="AD50" i="21"/>
  <c r="D50" i="21"/>
  <c r="AG48" i="21"/>
  <c r="AF48" i="21"/>
  <c r="AI48" i="21" s="1"/>
  <c r="AL48" i="21" s="1"/>
  <c r="AG47" i="21"/>
  <c r="AF47" i="21"/>
  <c r="AG46" i="21"/>
  <c r="AF46" i="21"/>
  <c r="AG45" i="21"/>
  <c r="AF45" i="21"/>
  <c r="AF41" i="21"/>
  <c r="AF40" i="21"/>
  <c r="AG39" i="21"/>
  <c r="AF39" i="21"/>
  <c r="AG38" i="21"/>
  <c r="AF38" i="21"/>
  <c r="AM50" i="21"/>
  <c r="AG36" i="21"/>
  <c r="AF36" i="21"/>
  <c r="AF35" i="21"/>
  <c r="AG34" i="21"/>
  <c r="AF34" i="21"/>
  <c r="AF33" i="21"/>
  <c r="AF32" i="21"/>
  <c r="AF31" i="21"/>
  <c r="AG30" i="21"/>
  <c r="AF30" i="21"/>
  <c r="AF29" i="21"/>
  <c r="AG28" i="21"/>
  <c r="AF28" i="21"/>
  <c r="AF27" i="21"/>
  <c r="AG27" i="21"/>
  <c r="AG25" i="21"/>
  <c r="AF25" i="21"/>
  <c r="AG24" i="21"/>
  <c r="AF24" i="21"/>
  <c r="AF23" i="21"/>
  <c r="AF22" i="21"/>
  <c r="AG22" i="21"/>
  <c r="AF21" i="21"/>
  <c r="AF20" i="21"/>
  <c r="AG19" i="21"/>
  <c r="AF19" i="21"/>
  <c r="AG18" i="21"/>
  <c r="AF18" i="21"/>
  <c r="AF17" i="21"/>
  <c r="AG17" i="21"/>
  <c r="AF16" i="21"/>
  <c r="AG15" i="21"/>
  <c r="AF15" i="21"/>
  <c r="AG14" i="21"/>
  <c r="AF14" i="21"/>
  <c r="AF13" i="21"/>
  <c r="AF12" i="21"/>
  <c r="AG11" i="21"/>
  <c r="AF11" i="21"/>
  <c r="AG10" i="21"/>
  <c r="AF10" i="21"/>
  <c r="AF9" i="21"/>
  <c r="AG9" i="21"/>
  <c r="AG8" i="21"/>
  <c r="AF8" i="21"/>
  <c r="AM54" i="21"/>
  <c r="AG6" i="21"/>
  <c r="AF6" i="21"/>
  <c r="AG5" i="21"/>
  <c r="AF5" i="21"/>
  <c r="AF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G3" i="21"/>
  <c r="AF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27" i="21" l="1"/>
  <c r="A28" i="21" s="1"/>
  <c r="A29" i="21" s="1"/>
  <c r="A30" i="21" s="1"/>
  <c r="A31" i="21" s="1"/>
  <c r="A32" i="21" s="1"/>
  <c r="A33" i="21" s="1"/>
  <c r="A34" i="21" s="1"/>
  <c r="A35" i="21" s="1"/>
  <c r="A36" i="21" s="1"/>
  <c r="A26" i="21"/>
  <c r="AG20" i="21"/>
  <c r="AI20" i="21" s="1"/>
  <c r="AL20" i="21" s="1"/>
  <c r="AS50" i="21"/>
  <c r="AM55" i="21"/>
  <c r="AR50" i="21"/>
  <c r="AI46" i="21"/>
  <c r="AL46" i="21" s="1"/>
  <c r="AG32" i="21"/>
  <c r="G51" i="21"/>
  <c r="G50" i="21"/>
  <c r="E50" i="21"/>
  <c r="E51" i="21"/>
  <c r="AI25" i="21"/>
  <c r="AL25" i="21" s="1"/>
  <c r="F51" i="21"/>
  <c r="F50" i="21"/>
  <c r="AG21" i="21"/>
  <c r="AI21" i="21" s="1"/>
  <c r="AL21" i="21" s="1"/>
  <c r="AM56" i="21"/>
  <c r="AM57" i="21" s="1"/>
  <c r="AI39" i="21"/>
  <c r="AL39" i="21" s="1"/>
  <c r="AG7" i="21"/>
  <c r="AI7" i="21" s="1"/>
  <c r="AL7" i="21" s="1"/>
  <c r="AG16" i="21"/>
  <c r="AI16" i="21" s="1"/>
  <c r="AL16" i="21" s="1"/>
  <c r="AG29" i="21"/>
  <c r="AI29" i="21" s="1"/>
  <c r="AL29" i="21" s="1"/>
  <c r="AG4" i="21"/>
  <c r="AI4" i="21" s="1"/>
  <c r="AL4" i="21" s="1"/>
  <c r="AI15" i="21"/>
  <c r="AL15" i="21" s="1"/>
  <c r="AI45" i="21"/>
  <c r="AL45" i="21" s="1"/>
  <c r="AI5" i="21"/>
  <c r="AL5" i="21" s="1"/>
  <c r="AI28" i="21"/>
  <c r="AL28" i="21" s="1"/>
  <c r="AI36" i="21"/>
  <c r="AL36" i="21" s="1"/>
  <c r="AH50" i="21"/>
  <c r="AO52" i="21" s="1"/>
  <c r="AI47" i="21"/>
  <c r="AL47" i="21" s="1"/>
  <c r="AI14" i="21"/>
  <c r="AL14" i="21" s="1"/>
  <c r="AI11" i="21"/>
  <c r="AL11" i="21" s="1"/>
  <c r="AI34" i="21"/>
  <c r="AL34" i="21" s="1"/>
  <c r="AI10" i="21"/>
  <c r="AL10" i="21" s="1"/>
  <c r="AI18" i="21"/>
  <c r="AL18" i="21" s="1"/>
  <c r="AI30" i="21"/>
  <c r="AL30" i="21" s="1"/>
  <c r="AI38" i="21"/>
  <c r="AL38" i="21" s="1"/>
  <c r="AI8" i="21"/>
  <c r="AL8" i="21" s="1"/>
  <c r="AI13" i="21"/>
  <c r="AL13" i="21" s="1"/>
  <c r="AI19" i="21"/>
  <c r="AL19" i="21" s="1"/>
  <c r="AI23" i="21"/>
  <c r="AL23" i="21" s="1"/>
  <c r="AI31" i="21"/>
  <c r="AL31" i="21" s="1"/>
  <c r="AI6" i="21"/>
  <c r="AL6" i="21" s="1"/>
  <c r="AI17" i="21"/>
  <c r="AL17" i="21" s="1"/>
  <c r="AI24" i="21"/>
  <c r="AL24" i="21" s="1"/>
  <c r="AI3" i="21"/>
  <c r="AJ3" i="21" s="1"/>
  <c r="AI33" i="21"/>
  <c r="AL33" i="21" s="1"/>
  <c r="AI9" i="21"/>
  <c r="AL9" i="21" s="1"/>
  <c r="AI12" i="21"/>
  <c r="AL12" i="21" s="1"/>
  <c r="AI27" i="21"/>
  <c r="AL27" i="21" s="1"/>
  <c r="AI41" i="21"/>
  <c r="AL41" i="21" s="1"/>
  <c r="AI22" i="21"/>
  <c r="AL22" i="21" s="1"/>
  <c r="AI32" i="21"/>
  <c r="AL32" i="21" s="1"/>
  <c r="AI40" i="21"/>
  <c r="AL40" i="21" s="1"/>
  <c r="AI35" i="21"/>
  <c r="AL35" i="21" s="1"/>
  <c r="AF50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37" i="21" l="1"/>
  <c r="A38" i="21" s="1"/>
  <c r="A39" i="21" s="1"/>
  <c r="A40" i="21" s="1"/>
  <c r="A41" i="21" s="1"/>
  <c r="E53" i="21"/>
  <c r="AG50" i="21"/>
  <c r="C6" i="22" s="1"/>
  <c r="AL3" i="21"/>
  <c r="AL50" i="21" s="1"/>
  <c r="AI50" i="21"/>
  <c r="AI53" i="21" s="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43" i="21" l="1"/>
  <c r="A44" i="21" s="1"/>
  <c r="A45" i="21" s="1"/>
  <c r="A46" i="21" s="1"/>
  <c r="A47" i="21" s="1"/>
  <c r="A48" i="21" s="1"/>
  <c r="AI57" i="21"/>
  <c r="BD50" i="21"/>
  <c r="AJ10" i="20"/>
  <c r="AM10" i="20" s="1"/>
  <c r="AG27" i="19"/>
  <c r="AG21" i="19"/>
  <c r="AG19" i="19"/>
  <c r="AG12" i="19"/>
  <c r="AG23" i="19"/>
  <c r="AG16" i="19"/>
  <c r="V45" i="19" l="1"/>
  <c r="O45" i="19"/>
  <c r="AP46" i="20"/>
  <c r="BD46" i="20"/>
  <c r="AO46" i="20"/>
  <c r="AN52" i="20" s="1"/>
  <c r="AN46" i="20"/>
  <c r="AN51" i="20" s="1"/>
  <c r="AF46" i="20"/>
  <c r="AE46" i="20"/>
  <c r="D46" i="20"/>
  <c r="AS44" i="20"/>
  <c r="AH44" i="20"/>
  <c r="AG44" i="20"/>
  <c r="AJ44" i="20" s="1"/>
  <c r="AM44" i="20" s="1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 s="1"/>
  <c r="AM15" i="20" s="1"/>
  <c r="AH14" i="20"/>
  <c r="AG14" i="20"/>
  <c r="AS13" i="20"/>
  <c r="AG13" i="20"/>
  <c r="AH13" i="20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 s="1"/>
  <c r="A6" i="20" s="1"/>
  <c r="A7" i="20" s="1"/>
  <c r="A8" i="20" s="1"/>
  <c r="A9" i="20" s="1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 s="1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 s="1"/>
  <c r="S30" i="19"/>
  <c r="R30" i="19"/>
  <c r="Y10" i="19"/>
  <c r="X10" i="19"/>
  <c r="AA10" i="19" s="1"/>
  <c r="AD10" i="19" s="1"/>
  <c r="Y9" i="19"/>
  <c r="X9" i="19"/>
  <c r="AA9" i="19" s="1"/>
  <c r="AD9" i="19" s="1"/>
  <c r="Q10" i="19"/>
  <c r="Q9" i="19"/>
  <c r="U7" i="19"/>
  <c r="T7" i="19"/>
  <c r="S7" i="19"/>
  <c r="R7" i="19"/>
  <c r="Q7" i="19"/>
  <c r="Z7" i="19"/>
  <c r="U4" i="19"/>
  <c r="U45" i="19" s="1"/>
  <c r="S4" i="19"/>
  <c r="S45" i="19" s="1"/>
  <c r="R4" i="19"/>
  <c r="R45" i="19" s="1"/>
  <c r="Q4" i="19"/>
  <c r="Q45" i="19" s="1"/>
  <c r="M21" i="19"/>
  <c r="L21" i="19"/>
  <c r="N19" i="19"/>
  <c r="M19" i="19"/>
  <c r="K19" i="19"/>
  <c r="N20" i="19"/>
  <c r="M20" i="19"/>
  <c r="L20" i="19"/>
  <c r="L22" i="19"/>
  <c r="L11" i="19"/>
  <c r="M12" i="19"/>
  <c r="K12" i="19"/>
  <c r="AN50" i="20" l="1"/>
  <c r="AP50" i="20" s="1"/>
  <c r="AQ46" i="20"/>
  <c r="AJ37" i="20"/>
  <c r="AM37" i="20" s="1"/>
  <c r="AJ41" i="20"/>
  <c r="AM41" i="20" s="1"/>
  <c r="AJ6" i="20"/>
  <c r="AM6" i="20" s="1"/>
  <c r="AJ34" i="20"/>
  <c r="AM34" i="20" s="1"/>
  <c r="AJ23" i="20"/>
  <c r="AM23" i="20" s="1"/>
  <c r="AJ27" i="20"/>
  <c r="AM27" i="20" s="1"/>
  <c r="AJ42" i="20"/>
  <c r="AM42" i="20" s="1"/>
  <c r="AJ21" i="20"/>
  <c r="AM21" i="20" s="1"/>
  <c r="AH16" i="20"/>
  <c r="AJ16" i="20" s="1"/>
  <c r="AM16" i="20" s="1"/>
  <c r="AJ5" i="20"/>
  <c r="AM5" i="20" s="1"/>
  <c r="AJ8" i="20"/>
  <c r="AM8" i="20" s="1"/>
  <c r="AH28" i="20"/>
  <c r="AJ28" i="20" s="1"/>
  <c r="AM28" i="20" s="1"/>
  <c r="AJ19" i="20"/>
  <c r="AM19" i="20" s="1"/>
  <c r="AJ25" i="20"/>
  <c r="AM25" i="20" s="1"/>
  <c r="AJ32" i="20"/>
  <c r="AM32" i="20" s="1"/>
  <c r="AJ29" i="20"/>
  <c r="AM29" i="20" s="1"/>
  <c r="AJ35" i="20"/>
  <c r="AM35" i="20" s="1"/>
  <c r="AJ12" i="20"/>
  <c r="AM12" i="20" s="1"/>
  <c r="AJ43" i="20"/>
  <c r="AM43" i="20" s="1"/>
  <c r="AJ14" i="20"/>
  <c r="AM14" i="20" s="1"/>
  <c r="AJ36" i="20"/>
  <c r="AM36" i="20" s="1"/>
  <c r="AJ39" i="20"/>
  <c r="AM39" i="20" s="1"/>
  <c r="AJ11" i="20"/>
  <c r="AM11" i="20" s="1"/>
  <c r="AJ18" i="20"/>
  <c r="AM18" i="20" s="1"/>
  <c r="AJ33" i="20"/>
  <c r="AM33" i="20" s="1"/>
  <c r="A32" i="20"/>
  <c r="A35" i="20" s="1"/>
  <c r="A37" i="20" s="1"/>
  <c r="A33" i="20"/>
  <c r="A36" i="20" s="1"/>
  <c r="A38" i="20" s="1"/>
  <c r="A39" i="20" s="1"/>
  <c r="A40" i="20" s="1"/>
  <c r="A41" i="20" s="1"/>
  <c r="A42" i="20" s="1"/>
  <c r="A43" i="20" s="1"/>
  <c r="A44" i="20" s="1"/>
  <c r="AL46" i="20"/>
  <c r="AS14" i="20"/>
  <c r="AJ40" i="20"/>
  <c r="AM40" i="20" s="1"/>
  <c r="AJ17" i="20"/>
  <c r="AM17" i="20" s="1"/>
  <c r="AH22" i="20"/>
  <c r="AJ22" i="20" s="1"/>
  <c r="AM22" i="20" s="1"/>
  <c r="AH24" i="20"/>
  <c r="AJ24" i="20" s="1"/>
  <c r="AM24" i="20" s="1"/>
  <c r="AJ26" i="20"/>
  <c r="AM26" i="20" s="1"/>
  <c r="AJ38" i="20"/>
  <c r="AM38" i="20" s="1"/>
  <c r="AN53" i="20"/>
  <c r="AJ31" i="20"/>
  <c r="AM31" i="20" s="1"/>
  <c r="AJ9" i="20"/>
  <c r="AM9" i="20" s="1"/>
  <c r="AH20" i="20"/>
  <c r="AJ20" i="20" s="1"/>
  <c r="AM20" i="20" s="1"/>
  <c r="AG46" i="20"/>
  <c r="E46" i="20"/>
  <c r="AH7" i="20"/>
  <c r="AJ7" i="20" s="1"/>
  <c r="AM7" i="20" s="1"/>
  <c r="AI46" i="20"/>
  <c r="AJ13" i="20"/>
  <c r="AM13" i="20" s="1"/>
  <c r="AH30" i="20"/>
  <c r="AJ30" i="20" s="1"/>
  <c r="AM30" i="20" s="1"/>
  <c r="AJ3" i="20"/>
  <c r="AK3" i="20" s="1"/>
  <c r="L29" i="19"/>
  <c r="M29" i="19"/>
  <c r="N27" i="19"/>
  <c r="M27" i="19"/>
  <c r="L27" i="19"/>
  <c r="M25" i="19"/>
  <c r="L25" i="19"/>
  <c r="I25" i="19"/>
  <c r="M23" i="19"/>
  <c r="L23" i="19"/>
  <c r="K23" i="19"/>
  <c r="K45" i="19" s="1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 s="1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L45" i="19" l="1"/>
  <c r="M45" i="19"/>
  <c r="N45" i="19"/>
  <c r="AM3" i="20"/>
  <c r="I45" i="19"/>
  <c r="J45" i="19"/>
  <c r="AA33" i="19"/>
  <c r="AD33" i="19" s="1"/>
  <c r="AQ45" i="19"/>
  <c r="AG45" i="19"/>
  <c r="AF45" i="19"/>
  <c r="AE51" i="19" s="1"/>
  <c r="AE45" i="19"/>
  <c r="AE50" i="19" s="1"/>
  <c r="W45" i="19"/>
  <c r="D45" i="19"/>
  <c r="Y43" i="19"/>
  <c r="X43" i="19"/>
  <c r="AA43" i="19" s="1"/>
  <c r="AD43" i="19" s="1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 s="1"/>
  <c r="A6" i="19" s="1"/>
  <c r="A7" i="19" s="1"/>
  <c r="A8" i="19" s="1"/>
  <c r="A9" i="19" s="1"/>
  <c r="Y3" i="19"/>
  <c r="X3" i="19"/>
  <c r="AE49" i="19" l="1"/>
  <c r="AE52" i="19" s="1"/>
  <c r="AG51" i="19"/>
  <c r="AA32" i="19"/>
  <c r="AD32" i="19" s="1"/>
  <c r="AA6" i="19"/>
  <c r="AD6" i="19" s="1"/>
  <c r="AA42" i="19"/>
  <c r="AD42" i="19" s="1"/>
  <c r="AA34" i="19"/>
  <c r="AD34" i="19" s="1"/>
  <c r="AA41" i="19"/>
  <c r="AD41" i="19" s="1"/>
  <c r="AA4" i="19"/>
  <c r="AD4" i="19" s="1"/>
  <c r="AA36" i="19"/>
  <c r="AD36" i="19" s="1"/>
  <c r="AA20" i="19"/>
  <c r="AD20" i="19" s="1"/>
  <c r="AA5" i="19"/>
  <c r="AD5" i="19" s="1"/>
  <c r="AA26" i="19"/>
  <c r="AD26" i="19" s="1"/>
  <c r="AA3" i="19"/>
  <c r="AB3" i="19" s="1"/>
  <c r="Z45" i="19"/>
  <c r="AA8" i="19"/>
  <c r="AD8" i="19" s="1"/>
  <c r="AA14" i="19"/>
  <c r="AD14" i="19" s="1"/>
  <c r="AA37" i="19"/>
  <c r="AD37" i="19" s="1"/>
  <c r="AA35" i="19"/>
  <c r="AD35" i="19" s="1"/>
  <c r="AA31" i="19"/>
  <c r="AD31" i="19" s="1"/>
  <c r="AA24" i="19"/>
  <c r="AD24" i="19" s="1"/>
  <c r="AA27" i="19"/>
  <c r="AD27" i="19" s="1"/>
  <c r="AA39" i="19"/>
  <c r="AD39" i="19" s="1"/>
  <c r="AA17" i="19"/>
  <c r="AD17" i="19" s="1"/>
  <c r="AA28" i="19"/>
  <c r="AD28" i="19" s="1"/>
  <c r="AA40" i="19"/>
  <c r="AD40" i="19" s="1"/>
  <c r="AA12" i="19"/>
  <c r="AD12" i="19" s="1"/>
  <c r="AA13" i="19"/>
  <c r="AD13" i="19" s="1"/>
  <c r="AA19" i="19"/>
  <c r="AD19" i="19" s="1"/>
  <c r="AA22" i="19"/>
  <c r="AD22" i="19" s="1"/>
  <c r="AA18" i="19"/>
  <c r="AD18" i="19" s="1"/>
  <c r="AA25" i="19"/>
  <c r="AD25" i="19" s="1"/>
  <c r="X45" i="19"/>
  <c r="AA23" i="19"/>
  <c r="AD23" i="19" s="1"/>
  <c r="AC45" i="19"/>
  <c r="AA21" i="19"/>
  <c r="AD21" i="19" s="1"/>
  <c r="AA30" i="19"/>
  <c r="AD30" i="19" s="1"/>
  <c r="AA7" i="19"/>
  <c r="AD7" i="19" s="1"/>
  <c r="AA38" i="19"/>
  <c r="AD38" i="19" s="1"/>
  <c r="Y15" i="19"/>
  <c r="AA15" i="19" s="1"/>
  <c r="AD15" i="19" s="1"/>
  <c r="AA29" i="19"/>
  <c r="AD29" i="19" s="1"/>
  <c r="Y16" i="19"/>
  <c r="AA16" i="19" s="1"/>
  <c r="AD16" i="19" s="1"/>
  <c r="AA11" i="19"/>
  <c r="AD11" i="19" s="1"/>
  <c r="F45" i="19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D3" i="19"/>
  <c r="AD45" i="19" s="1"/>
  <c r="Y45" i="19"/>
  <c r="AA45" i="19"/>
  <c r="A26" i="19" l="1"/>
  <c r="A27" i="19" s="1"/>
  <c r="A28" i="19" s="1"/>
  <c r="A29" i="19" s="1"/>
  <c r="A30" i="19" s="1"/>
  <c r="AA48" i="19"/>
  <c r="AR45" i="19"/>
  <c r="AA52" i="19" l="1"/>
  <c r="A32" i="19"/>
  <c r="A35" i="19" s="1"/>
  <c r="A37" i="19" s="1"/>
  <c r="A38" i="19" s="1"/>
  <c r="A39" i="19" s="1"/>
  <c r="A40" i="19" s="1"/>
  <c r="A41" i="19" s="1"/>
  <c r="A42" i="19" s="1"/>
  <c r="A43" i="19" s="1"/>
  <c r="A31" i="19"/>
  <c r="A34" i="19" s="1"/>
  <c r="A36" i="19" s="1"/>
  <c r="AH4" i="20" l="1"/>
  <c r="AJ4" i="20" s="1"/>
  <c r="AJ46" i="20" l="1"/>
  <c r="AM4" i="20"/>
  <c r="AM46" i="20" s="1"/>
  <c r="AH46" i="20"/>
  <c r="BE46" i="20" l="1"/>
  <c r="AJ49" i="20"/>
  <c r="AJ5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tc={C87EF883-30C4-405A-828F-FD6A4F9A477E}</author>
  </authors>
  <commentList>
    <comment ref="AH50" authorId="0" shapeId="0" xr:uid="{C87EF883-30C4-405A-828F-FD6A4F9A4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sharedStrings.xml><?xml version="1.0" encoding="utf-8"?>
<sst xmlns="http://schemas.openxmlformats.org/spreadsheetml/2006/main" count="390" uniqueCount="123">
  <si>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</si>
  <si>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</si>
  <si>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</si>
  <si>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</si>
  <si>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</si>
  <si>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</si>
  <si>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</si>
  <si>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</si>
  <si>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</si>
  <si>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</si>
  <si>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</si>
  <si>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</si>
  <si>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</si>
  <si>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</si>
  <si>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</si>
  <si>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</si>
  <si>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</si>
  <si>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</si>
  <si>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</si>
  <si>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</si>
  <si>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</si>
  <si>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</si>
  <si>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</si>
  <si>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</si>
  <si>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</si>
  <si>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</si>
  <si>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</si>
  <si>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</si>
  <si>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</si>
  <si>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</si>
  <si>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</si>
  <si>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</si>
  <si>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</si>
  <si>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</si>
  <si>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</si>
  <si>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</si>
  <si>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</si>
  <si>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</si>
  <si>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</si>
  <si>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</si>
  <si>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</si>
  <si>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</si>
  <si>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</si>
  <si>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</si>
  <si>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</si>
  <si>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</si>
  <si>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</si>
  <si>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</si>
  <si>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</si>
  <si>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</si>
  <si>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</si>
  <si>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</si>
  <si>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</si>
  <si>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</si>
  <si>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</si>
  <si>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</si>
  <si>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</si>
  <si>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</si>
  <si>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</si>
  <si>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</si>
  <si>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</si>
  <si>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</si>
  <si>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</si>
  <si>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</si>
  <si>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</si>
  <si>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</si>
  <si>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</si>
  <si>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</si>
  <si>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</si>
  <si>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</si>
  <si>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</si>
  <si>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</si>
  <si>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</si>
  <si>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</si>
  <si>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</si>
  <si>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</si>
  <si>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</si>
  <si>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</si>
  <si>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</si>
  <si>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</si>
  <si>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</si>
  <si>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</si>
  <si>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</si>
  <si>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</si>
  <si>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</si>
  <si>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</si>
  <si>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</si>
  <si>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</si>
  <si>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</si>
  <si>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</si>
  <si>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</si>
  <si>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</si>
  <si>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</si>
  <si>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 MARZO 2026</t>
  </si>
  <si>
    <t>STOCK AL DIA FEBRERO 2026</t>
  </si>
  <si>
    <t>POTA FILETE C/M C/T FR 2-4 AA BL10 S20</t>
  </si>
  <si>
    <t xml:space="preserve"> STOCK   MARZO 2026</t>
  </si>
  <si>
    <t xml:space="preserve"> STOCK   FEBRERO 2026</t>
  </si>
  <si>
    <t>TUBO ALETA 1.0-1.5</t>
  </si>
  <si>
    <t>TUBO ALETA 0.5-1.0</t>
  </si>
  <si>
    <t>ENERO</t>
  </si>
  <si>
    <t>FEBRERO</t>
  </si>
  <si>
    <t>MARZO</t>
  </si>
  <si>
    <t>PRODUCCION 2026</t>
  </si>
  <si>
    <t>Tn</t>
  </si>
  <si>
    <t>RECORTE TELILLA FRESCA REPROCESO BL 10</t>
  </si>
  <si>
    <t>RECORTE MEMBRANA FRESCA REPROCESO BL 10</t>
  </si>
  <si>
    <t>FILETE  FR S/M S/T C/M 1-2 REPROCESO x 10</t>
  </si>
  <si>
    <t>POTA RECORTE FRESCO POR REPROCESO</t>
  </si>
  <si>
    <t>ABRIL</t>
  </si>
  <si>
    <t>POTA FILETE C/M C/T FR 0.5-1AA BL10 S20</t>
  </si>
  <si>
    <t>POTA FILETE C/M C/T FR 0.5-1AAA BL10 S20</t>
  </si>
  <si>
    <t>POTA FILETE C/M C/T FR 1-2 AAABL10 S20</t>
  </si>
  <si>
    <t>POTA FILETE C/M C/T FR 1-2 AABL10 S20</t>
  </si>
  <si>
    <t>POTA FILETE C/M C/T FR &lt; 0.5 BL10 S20</t>
  </si>
  <si>
    <t>POTA REJOS OR &lt; 60 FR LIMPIOS S/COD BL10 S20</t>
  </si>
  <si>
    <t>POTA ALAS PRE COC AA BL9 S18</t>
  </si>
  <si>
    <t>POTA REJOS 0.5-1 SUCIO</t>
  </si>
  <si>
    <t>POTA NUCAS CERRADA FR &lt;0.1 BL10 S20</t>
  </si>
  <si>
    <t>POTA 1-2 ALAS ENTERA</t>
  </si>
  <si>
    <t>TUBO ALETA 1.0-2</t>
  </si>
  <si>
    <t>STOCK ABRIL 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</si>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</sst>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6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3" fontId="1" fillId="10" borderId="2" xfId="0" applyNumberFormat="1" applyFont="1" applyFill="1" applyBorder="1"/>
    <xf numFmtId="3" fontId="1" fillId="10" borderId="0" xfId="0" applyNumberFormat="1" applyFont="1" applyFill="1"/>
    <xf numFmtId="3" fontId="2" fillId="10" borderId="1" xfId="0" applyNumberFormat="1" applyFont="1" applyFill="1" applyBorder="1"/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3" fontId="2" fillId="4" borderId="1" xfId="0" applyNumberFormat="1" applyFont="1" applyFill="1" applyBorder="1"/>
    <xf numFmtId="164" fontId="1" fillId="5" borderId="0" xfId="0" applyNumberFormat="1" applyFont="1" applyFill="1"/>
    <xf numFmtId="3" fontId="0" fillId="0" borderId="0" xfId="0" applyNumberFormat="1"/>
    <xf numFmtId="3" fontId="1" fillId="2" borderId="0" xfId="0" applyNumberFormat="1" applyFont="1" applyFill="1"/>
    <xf numFmtId="3" fontId="1" fillId="13" borderId="1" xfId="0" applyNumberFormat="1" applyFont="1" applyFill="1" applyBorder="1"/>
    <xf numFmtId="3" fontId="1" fillId="14" borderId="1" xfId="0" applyNumberFormat="1" applyFont="1" applyFill="1" applyBorder="1"/>
    <xf numFmtId="0" fontId="0" fillId="6" borderId="1" xfId="0" applyFill="1" applyBorder="1" applyAlignment="1">
      <alignment horizontal="right" vertical="top"/>
    </xf>
    <xf numFmtId="0" fontId="0" fillId="5" borderId="1" xfId="0" applyFill="1" applyBorder="1" applyAlignment="1">
      <alignment horizontal="right" vertical="top"/>
    </xf>
    <xf numFmtId="0" fontId="1" fillId="15" borderId="1" xfId="0" applyFont="1" applyFill="1" applyBorder="1"/>
    <xf numFmtId="0" fontId="0" fillId="15" borderId="1" xfId="0" applyFill="1" applyBorder="1" applyAlignment="1">
      <alignment vertical="top"/>
    </xf>
    <xf numFmtId="3" fontId="0" fillId="15" borderId="1" xfId="0" applyNumberFormat="1" applyFill="1" applyBorder="1" applyAlignment="1">
      <alignment vertical="top"/>
    </xf>
    <xf numFmtId="3" fontId="1" fillId="15" borderId="1" xfId="0" applyNumberFormat="1" applyFont="1" applyFill="1" applyBorder="1"/>
    <xf numFmtId="3" fontId="1" fillId="15" borderId="3" xfId="0" applyNumberFormat="1" applyFont="1" applyFill="1" applyBorder="1"/>
    <xf numFmtId="3" fontId="1" fillId="15" borderId="0" xfId="0" applyNumberFormat="1" applyFont="1" applyFill="1"/>
    <xf numFmtId="3" fontId="2" fillId="15" borderId="3" xfId="0" applyNumberFormat="1" applyFont="1" applyFill="1" applyBorder="1"/>
    <xf numFmtId="3" fontId="1" fillId="16" borderId="1" xfId="0" applyNumberFormat="1" applyFont="1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0" borderId="0" xfId="0" applyFont="1" applyFill="1"/>
    <xf numFmtId="3" fontId="1" fillId="0" borderId="0" xfId="0" applyNumberFormat="1" applyFont="1" applyFill="1"/>
    <xf numFmtId="0" fontId="0" fillId="0" borderId="0" xfId="0" applyFill="1"/>
    <xf numFmtId="0" fontId="1" fillId="0" borderId="0" xfId="0" applyFont="1" applyFill="1"/>
    <xf numFmtId="0" fontId="0" fillId="0" borderId="0" xfId="0" applyFill="1"/>
    <xf numFmtId="164" fontId="1" fillId="0" borderId="0" xfId="0" applyNumberFormat="1" applyFont="1" applyFill="1"/>
    <xf numFmtId="14" fontId="1" fillId="0" borderId="0" xfId="0" applyNumberFormat="1" applyFont="1" applyFill="1"/>
    <xf numFmtId="166" fontId="1" fillId="0" borderId="0" xfId="1" applyNumberFormat="1" applyFont="1" applyFill="1"/>
    <xf numFmtId="3" fontId="8" fillId="0" borderId="1" xfId="0" applyNumberFormat="1" applyFont="1" applyBorder="1"/>
    <xf numFmtId="0" fontId="8" fillId="0" borderId="1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45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4FC08E13-A5EF-4F9D-A16D-D0494BAB9DB8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45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DD7D49C2-74B1-42CD-A480-3BC4B3B266D5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50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7501-08BF-43E0-9933-3399EF48FE61}">
  <sheetPr>
    <pageSetUpPr fitToPage="1"/>
  </sheetPr>
  <dimension ref="A1:BI75"/>
  <sheetViews>
    <sheetView tabSelected="1" zoomScale="90" zoomScaleNormal="9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67" sqref="AI66:AI67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hidden="1" customWidth="1"/>
    <col min="39" max="39" width="12.44140625" style="3" hidden="1" customWidth="1"/>
    <col min="40" max="40" width="11.44140625" style="3" hidden="1" customWidth="1"/>
    <col min="41" max="41" width="11.77734375" style="3" hidden="1" customWidth="1"/>
    <col min="42" max="44" width="9.77734375" style="8" hidden="1" customWidth="1"/>
    <col min="45" max="45" width="0" hidden="1" customWidth="1"/>
    <col min="46" max="50" width="9.77734375" style="3" customWidth="1"/>
    <col min="51" max="16384" width="11.5546875" style="3"/>
  </cols>
  <sheetData>
    <row r="1" spans="1:61" x14ac:dyDescent="0.3">
      <c r="A1" s="115" t="s">
        <v>1</v>
      </c>
      <c r="B1" s="2" t="s">
        <v>5</v>
      </c>
      <c r="C1" s="115" t="s">
        <v>0</v>
      </c>
      <c r="D1" s="115" t="s">
        <v>86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F1" s="115" t="s">
        <v>2</v>
      </c>
      <c r="AG1" s="115"/>
      <c r="AH1" s="115"/>
      <c r="AI1" s="115"/>
      <c r="AJ1" s="27"/>
      <c r="AK1" s="16" t="s">
        <v>22</v>
      </c>
      <c r="AL1" s="111" t="s">
        <v>24</v>
      </c>
    </row>
    <row r="2" spans="1:61" x14ac:dyDescent="0.3">
      <c r="A2" s="115"/>
      <c r="B2" s="2" t="s">
        <v>6</v>
      </c>
      <c r="C2" s="115"/>
      <c r="D2" s="4" t="s">
        <v>20</v>
      </c>
      <c r="E2" s="4">
        <v>46118</v>
      </c>
      <c r="F2" s="4">
        <v>46119</v>
      </c>
      <c r="G2" s="4">
        <v>46120</v>
      </c>
      <c r="H2" s="4">
        <v>46121</v>
      </c>
      <c r="I2" s="4">
        <v>46122</v>
      </c>
      <c r="J2" s="4">
        <v>46123</v>
      </c>
      <c r="K2" s="4">
        <v>46125</v>
      </c>
      <c r="L2" s="4">
        <v>46126</v>
      </c>
      <c r="M2" s="4">
        <v>46127</v>
      </c>
      <c r="N2" s="4">
        <v>46128</v>
      </c>
      <c r="O2" s="4">
        <v>46129</v>
      </c>
      <c r="P2" s="4">
        <v>46130</v>
      </c>
      <c r="Q2" s="4">
        <v>46131</v>
      </c>
      <c r="R2" s="4">
        <v>46132</v>
      </c>
      <c r="S2" s="4">
        <v>46133</v>
      </c>
      <c r="T2" s="4">
        <v>46134</v>
      </c>
      <c r="U2" s="4">
        <v>46135</v>
      </c>
      <c r="V2" s="4">
        <v>46136</v>
      </c>
      <c r="W2" s="4">
        <v>46137</v>
      </c>
      <c r="X2" s="4">
        <v>46138</v>
      </c>
      <c r="Y2" s="4">
        <v>46139</v>
      </c>
      <c r="Z2" s="4">
        <v>46140</v>
      </c>
      <c r="AA2" s="4">
        <v>46141</v>
      </c>
      <c r="AB2" s="4">
        <v>46142</v>
      </c>
      <c r="AC2" s="4">
        <v>46146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112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620</v>
      </c>
      <c r="E3" s="18">
        <v>1780</v>
      </c>
      <c r="F3" s="18">
        <f>280+120</f>
        <v>400</v>
      </c>
      <c r="G3" s="18">
        <f>2640+180</f>
        <v>2820</v>
      </c>
      <c r="H3" s="18">
        <f>1680+0</f>
        <v>1680</v>
      </c>
      <c r="I3" s="18">
        <f>2860+1900</f>
        <v>4760</v>
      </c>
      <c r="J3" s="18">
        <v>1620</v>
      </c>
      <c r="K3" s="18">
        <v>1240</v>
      </c>
      <c r="L3" s="18">
        <f>1620+2280</f>
        <v>3900</v>
      </c>
      <c r="M3" s="18">
        <f>2760+1840</f>
        <v>4600</v>
      </c>
      <c r="N3" s="18">
        <f>2800+1020</f>
        <v>3820</v>
      </c>
      <c r="O3" s="18">
        <f>5380+440</f>
        <v>5820</v>
      </c>
      <c r="P3" s="18">
        <f>420+1200</f>
        <v>1620</v>
      </c>
      <c r="Q3" s="18">
        <v>1580</v>
      </c>
      <c r="R3" s="18">
        <f>400+380</f>
        <v>780</v>
      </c>
      <c r="S3" s="18">
        <f>2220+660</f>
        <v>2880</v>
      </c>
      <c r="T3" s="18">
        <f>320+380</f>
        <v>700</v>
      </c>
      <c r="U3" s="18">
        <f>1260+1120</f>
        <v>2380</v>
      </c>
      <c r="V3" s="18">
        <f>2100+300</f>
        <v>2400</v>
      </c>
      <c r="W3" s="18">
        <f>500+840</f>
        <v>1340</v>
      </c>
      <c r="X3" s="18">
        <v>1400</v>
      </c>
      <c r="Y3" s="18">
        <v>120</v>
      </c>
      <c r="Z3" s="18">
        <f>2120+840</f>
        <v>2960</v>
      </c>
      <c r="AA3" s="18">
        <f>1020+100</f>
        <v>1120</v>
      </c>
      <c r="AB3" s="18">
        <v>1900</v>
      </c>
      <c r="AC3" s="18"/>
      <c r="AD3" s="18"/>
      <c r="AE3" s="27"/>
      <c r="AF3" s="18">
        <f>+D3</f>
        <v>620</v>
      </c>
      <c r="AG3" s="18">
        <f t="shared" ref="AG3:AG60" si="0">SUM(E3:AD3)</f>
        <v>53620</v>
      </c>
      <c r="AH3" s="19">
        <f>20+(644*20)+9740+14860+40</f>
        <v>37540</v>
      </c>
      <c r="AI3" s="18">
        <f>+AF3+AG3-AH3</f>
        <v>16700</v>
      </c>
      <c r="AJ3" s="27">
        <f>+AF3-AI3</f>
        <v>-16080</v>
      </c>
      <c r="AK3" s="6">
        <f>10640+120+2120+840+1020+100+1900</f>
        <v>16740</v>
      </c>
      <c r="AL3" s="18">
        <f>+AI3-AK3</f>
        <v>-40</v>
      </c>
      <c r="AM3" s="60"/>
      <c r="AN3" s="65"/>
      <c r="AO3" s="60"/>
      <c r="AP3" s="27"/>
      <c r="AQ3" s="27">
        <f>SUM(AM3:AO3)</f>
        <v>0</v>
      </c>
      <c r="AR3" s="27">
        <f>+AQ3-AH3</f>
        <v>-37540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29100</v>
      </c>
      <c r="E4" s="18">
        <v>400</v>
      </c>
      <c r="F4" s="18">
        <v>80</v>
      </c>
      <c r="G4" s="18">
        <v>240</v>
      </c>
      <c r="H4" s="18">
        <f>100+0</f>
        <v>100</v>
      </c>
      <c r="I4" s="18">
        <f>220+200</f>
        <v>420</v>
      </c>
      <c r="J4" s="18">
        <v>400</v>
      </c>
      <c r="K4" s="18">
        <f>160+60</f>
        <v>220</v>
      </c>
      <c r="L4" s="18">
        <f>200+740</f>
        <v>940</v>
      </c>
      <c r="M4" s="18">
        <f>200+340</f>
        <v>540</v>
      </c>
      <c r="N4" s="18">
        <v>860</v>
      </c>
      <c r="O4" s="18">
        <f>1180+300</f>
        <v>1480</v>
      </c>
      <c r="P4" s="18">
        <f>80+1020</f>
        <v>1100</v>
      </c>
      <c r="Q4" s="18">
        <v>560</v>
      </c>
      <c r="R4" s="18">
        <v>140</v>
      </c>
      <c r="S4" s="18">
        <f>500+1020</f>
        <v>1520</v>
      </c>
      <c r="T4" s="18">
        <f>180+760</f>
        <v>940</v>
      </c>
      <c r="U4" s="18">
        <f>600+340</f>
        <v>940</v>
      </c>
      <c r="V4" s="18">
        <f>740+540</f>
        <v>1280</v>
      </c>
      <c r="W4" s="18">
        <f>440+840</f>
        <v>1280</v>
      </c>
      <c r="X4" s="18">
        <v>420</v>
      </c>
      <c r="Y4" s="18">
        <f>800+620</f>
        <v>1420</v>
      </c>
      <c r="Z4" s="18">
        <v>540</v>
      </c>
      <c r="AA4" s="18"/>
      <c r="AB4" s="18">
        <v>240</v>
      </c>
      <c r="AC4" s="18"/>
      <c r="AD4" s="18"/>
      <c r="AE4" s="27"/>
      <c r="AF4" s="18">
        <f>+D4</f>
        <v>29100</v>
      </c>
      <c r="AG4" s="18">
        <f t="shared" si="0"/>
        <v>16060</v>
      </c>
      <c r="AH4" s="19">
        <v>10000</v>
      </c>
      <c r="AI4" s="18">
        <f t="shared" ref="AI4:AI59" si="1">+AF4+AG4-AH4</f>
        <v>35160</v>
      </c>
      <c r="AJ4" s="27"/>
      <c r="AK4" s="6">
        <f>32960+800+620+540+240</f>
        <v>35160</v>
      </c>
      <c r="AL4" s="18">
        <f t="shared" ref="AL4:AL60" si="2">+AI4-AK4</f>
        <v>0</v>
      </c>
      <c r="AM4" s="60"/>
      <c r="AN4" s="65"/>
      <c r="AO4" s="60"/>
      <c r="AP4" s="27"/>
      <c r="AQ4" s="27">
        <f t="shared" ref="AQ4:AQ60" si="3">SUM(AM4:AO4)</f>
        <v>0</v>
      </c>
      <c r="AR4" s="27">
        <f t="shared" ref="AR4:AR60" si="4">+AQ4-AH4</f>
        <v>-10000</v>
      </c>
      <c r="BF4" s="15"/>
    </row>
    <row r="5" spans="1:61" x14ac:dyDescent="0.3">
      <c r="A5" s="17">
        <f t="shared" ref="A5:A50" si="5">+A4+1</f>
        <v>3</v>
      </c>
      <c r="B5" s="39" t="s">
        <v>31</v>
      </c>
      <c r="C5" s="39" t="s">
        <v>32</v>
      </c>
      <c r="D5" s="53">
        <v>680</v>
      </c>
      <c r="E5" s="18">
        <v>1540</v>
      </c>
      <c r="F5" s="18">
        <f>60+400</f>
        <v>460</v>
      </c>
      <c r="G5" s="18">
        <f>1940+180</f>
        <v>2120</v>
      </c>
      <c r="H5" s="18">
        <f>2820+0</f>
        <v>2820</v>
      </c>
      <c r="I5" s="18">
        <f>3880+2760</f>
        <v>6640</v>
      </c>
      <c r="J5" s="18">
        <v>2500</v>
      </c>
      <c r="K5" s="18">
        <f>3940+20</f>
        <v>3960</v>
      </c>
      <c r="L5" s="18">
        <f>3060+5480</f>
        <v>8540</v>
      </c>
      <c r="M5" s="18">
        <f>4440+4640</f>
        <v>9080</v>
      </c>
      <c r="N5" s="18">
        <f>10920+1040</f>
        <v>11960</v>
      </c>
      <c r="O5" s="18">
        <f>17160+3460</f>
        <v>20620</v>
      </c>
      <c r="P5" s="18">
        <f>1820+9100</f>
        <v>10920</v>
      </c>
      <c r="Q5" s="18">
        <v>10040</v>
      </c>
      <c r="R5" s="18">
        <f>4740+540</f>
        <v>5280</v>
      </c>
      <c r="S5" s="18">
        <f>22680+11800</f>
        <v>34480</v>
      </c>
      <c r="T5" s="18">
        <f>3120+2160</f>
        <v>5280</v>
      </c>
      <c r="U5" s="18">
        <f>13600+9200</f>
        <v>22800</v>
      </c>
      <c r="V5" s="18">
        <f>18400+9080</f>
        <v>27480</v>
      </c>
      <c r="W5" s="18">
        <f>1320+5900</f>
        <v>7220</v>
      </c>
      <c r="X5" s="18">
        <v>13000</v>
      </c>
      <c r="Y5" s="18">
        <f>2940+9500</f>
        <v>12440</v>
      </c>
      <c r="Z5" s="18">
        <f>7740+11580</f>
        <v>19320</v>
      </c>
      <c r="AA5" s="18">
        <v>13640</v>
      </c>
      <c r="AB5" s="18">
        <v>3620</v>
      </c>
      <c r="AC5" s="18"/>
      <c r="AD5" s="18"/>
      <c r="AE5" s="27"/>
      <c r="AF5" s="18">
        <f>+D5</f>
        <v>680</v>
      </c>
      <c r="AG5" s="18">
        <f t="shared" si="0"/>
        <v>255760</v>
      </c>
      <c r="AH5" s="19">
        <f>40+9640+17260+66140+20</f>
        <v>93100</v>
      </c>
      <c r="AI5" s="18">
        <f t="shared" si="1"/>
        <v>163340</v>
      </c>
      <c r="AJ5" s="27"/>
      <c r="AK5" s="6">
        <f>114340+2940+9500+7740+11580+13640+3620</f>
        <v>163360</v>
      </c>
      <c r="AL5" s="18">
        <f t="shared" si="2"/>
        <v>-20</v>
      </c>
      <c r="AM5" s="60"/>
      <c r="AN5" s="65"/>
      <c r="AO5" s="60"/>
      <c r="AP5" s="27"/>
      <c r="AQ5" s="27">
        <f t="shared" si="3"/>
        <v>0</v>
      </c>
      <c r="AR5" s="27">
        <f t="shared" si="4"/>
        <v>-93100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>
        <v>680</v>
      </c>
      <c r="AI6" s="18">
        <f t="shared" si="1"/>
        <v>0</v>
      </c>
      <c r="AJ6" s="27"/>
      <c r="AK6" s="9"/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-680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274200</v>
      </c>
      <c r="E7" s="18">
        <v>60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>
        <v>500</v>
      </c>
      <c r="Q7" s="18">
        <v>140</v>
      </c>
      <c r="R7" s="18">
        <v>20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27"/>
      <c r="AF7" s="18">
        <f>+D7</f>
        <v>274200</v>
      </c>
      <c r="AG7" s="18">
        <f t="shared" si="0"/>
        <v>720</v>
      </c>
      <c r="AH7" s="19">
        <f>27000+174620+10000+61800</f>
        <v>273420</v>
      </c>
      <c r="AI7" s="18">
        <f t="shared" si="1"/>
        <v>1500</v>
      </c>
      <c r="AJ7" s="27"/>
      <c r="AK7" s="6">
        <v>1500</v>
      </c>
      <c r="AL7" s="18">
        <f t="shared" si="2"/>
        <v>0</v>
      </c>
      <c r="AM7" s="60"/>
      <c r="AN7" s="65"/>
      <c r="AO7" s="60"/>
      <c r="AP7" s="27"/>
      <c r="AQ7" s="27">
        <f t="shared" si="3"/>
        <v>0</v>
      </c>
      <c r="AR7" s="27">
        <f t="shared" si="4"/>
        <v>-273420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60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6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15138</v>
      </c>
      <c r="E9" s="18"/>
      <c r="F9" s="18">
        <f>4086+3078</f>
        <v>7164</v>
      </c>
      <c r="G9" s="18">
        <f>2088+2376</f>
        <v>4464</v>
      </c>
      <c r="H9" s="18">
        <v>2916</v>
      </c>
      <c r="I9" s="18">
        <v>2124</v>
      </c>
      <c r="J9" s="18">
        <v>3114</v>
      </c>
      <c r="K9" s="18"/>
      <c r="L9" s="18"/>
      <c r="M9" s="18">
        <f>7812+6822</f>
        <v>14634</v>
      </c>
      <c r="N9" s="18">
        <v>3330</v>
      </c>
      <c r="O9" s="18">
        <f>2016+3834</f>
        <v>5850</v>
      </c>
      <c r="P9" s="18"/>
      <c r="Q9" s="18"/>
      <c r="R9" s="18">
        <f>1350+5364</f>
        <v>6714</v>
      </c>
      <c r="S9" s="18">
        <v>828</v>
      </c>
      <c r="T9" s="18">
        <v>1386</v>
      </c>
      <c r="U9" s="18">
        <f>4554+3114</f>
        <v>7668</v>
      </c>
      <c r="V9" s="18">
        <v>3618</v>
      </c>
      <c r="W9" s="18">
        <f>1566+1404</f>
        <v>2970</v>
      </c>
      <c r="X9" s="18">
        <v>3150</v>
      </c>
      <c r="Y9" s="18">
        <f>5526+1134</f>
        <v>6660</v>
      </c>
      <c r="Z9" s="18">
        <v>3438</v>
      </c>
      <c r="AA9" s="18">
        <f>3798+1566</f>
        <v>5364</v>
      </c>
      <c r="AB9" s="18">
        <f>2592+5616</f>
        <v>8208</v>
      </c>
      <c r="AC9" s="18">
        <v>338</v>
      </c>
      <c r="AD9" s="18"/>
      <c r="AE9" s="27"/>
      <c r="AF9" s="18">
        <f t="shared" si="6"/>
        <v>15138</v>
      </c>
      <c r="AG9" s="18">
        <f t="shared" si="0"/>
        <v>93938</v>
      </c>
      <c r="AH9" s="19">
        <f>24660+26460</f>
        <v>51120</v>
      </c>
      <c r="AI9" s="18">
        <f t="shared" si="1"/>
        <v>57956</v>
      </c>
      <c r="AJ9" s="27"/>
      <c r="AK9" s="6">
        <f>33948+5526+1134+3438+3798+1566+2592+5616</f>
        <v>57618</v>
      </c>
      <c r="AL9" s="18">
        <f t="shared" si="2"/>
        <v>338</v>
      </c>
      <c r="AM9" s="60"/>
      <c r="AN9" s="65"/>
      <c r="AO9" s="60"/>
      <c r="AP9" s="27"/>
      <c r="AQ9" s="27">
        <f t="shared" si="3"/>
        <v>0</v>
      </c>
      <c r="AR9" s="27">
        <f t="shared" si="4"/>
        <v>-51120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0</v>
      </c>
      <c r="AG10" s="18">
        <f t="shared" si="0"/>
        <v>0</v>
      </c>
      <c r="AH10" s="19"/>
      <c r="AI10" s="18">
        <f t="shared" si="1"/>
        <v>0</v>
      </c>
      <c r="AJ10" s="27"/>
      <c r="AK10" s="18"/>
      <c r="AL10" s="18">
        <f t="shared" si="2"/>
        <v>0</v>
      </c>
      <c r="AM10" s="60"/>
      <c r="AN10" s="65"/>
      <c r="AO10" s="60"/>
      <c r="AP10" s="27"/>
      <c r="AQ10" s="27">
        <f t="shared" si="3"/>
        <v>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116</v>
      </c>
      <c r="D11" s="53">
        <v>5472</v>
      </c>
      <c r="E11" s="18"/>
      <c r="F11" s="18">
        <f>324+342</f>
        <v>666</v>
      </c>
      <c r="G11" s="18">
        <f>540+36</f>
        <v>576</v>
      </c>
      <c r="H11" s="18">
        <v>216</v>
      </c>
      <c r="I11" s="18"/>
      <c r="J11" s="18">
        <v>234</v>
      </c>
      <c r="K11" s="18"/>
      <c r="L11" s="18"/>
      <c r="M11" s="18">
        <f>378+234</f>
        <v>612</v>
      </c>
      <c r="N11" s="18">
        <f>378+108</f>
        <v>486</v>
      </c>
      <c r="O11" s="18">
        <v>468</v>
      </c>
      <c r="P11" s="18"/>
      <c r="Q11" s="18"/>
      <c r="R11" s="18">
        <v>378</v>
      </c>
      <c r="S11" s="18">
        <v>144</v>
      </c>
      <c r="T11" s="18"/>
      <c r="U11" s="18">
        <f>234+324</f>
        <v>558</v>
      </c>
      <c r="V11" s="18">
        <v>162</v>
      </c>
      <c r="W11" s="18">
        <f>342+126</f>
        <v>468</v>
      </c>
      <c r="X11" s="18">
        <v>126</v>
      </c>
      <c r="Y11" s="18">
        <f>486+90</f>
        <v>576</v>
      </c>
      <c r="Z11" s="18">
        <v>198</v>
      </c>
      <c r="AA11" s="18">
        <f>162+54</f>
        <v>216</v>
      </c>
      <c r="AB11" s="18">
        <v>180</v>
      </c>
      <c r="AC11" s="18">
        <f>22*18</f>
        <v>396</v>
      </c>
      <c r="AD11" s="18"/>
      <c r="AE11" s="27"/>
      <c r="AF11" s="18">
        <f t="shared" si="6"/>
        <v>5472</v>
      </c>
      <c r="AG11" s="18">
        <f t="shared" si="0"/>
        <v>6660</v>
      </c>
      <c r="AH11" s="19">
        <v>1980</v>
      </c>
      <c r="AI11" s="18">
        <f t="shared" si="1"/>
        <v>10152</v>
      </c>
      <c r="AJ11" s="27"/>
      <c r="AK11" s="6">
        <f>8586+486+90+198+162+54+180</f>
        <v>9756</v>
      </c>
      <c r="AL11" s="18">
        <f t="shared" si="2"/>
        <v>396</v>
      </c>
      <c r="AM11" s="60"/>
      <c r="AN11" s="65"/>
      <c r="AO11" s="60"/>
      <c r="AP11" s="27"/>
      <c r="AQ11" s="27">
        <f t="shared" si="3"/>
        <v>0</v>
      </c>
      <c r="AR11" s="27">
        <f t="shared" si="4"/>
        <v>-1980</v>
      </c>
    </row>
    <row r="12" spans="1:61" x14ac:dyDescent="0.3">
      <c r="A12" s="17">
        <f t="shared" si="5"/>
        <v>10</v>
      </c>
      <c r="B12" s="39">
        <v>10010005</v>
      </c>
      <c r="C12" s="39" t="s">
        <v>119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>
        <v>120</v>
      </c>
      <c r="S12" s="18">
        <v>660</v>
      </c>
      <c r="T12" s="18">
        <f>160+360</f>
        <v>520</v>
      </c>
      <c r="U12" s="18">
        <f>180+700</f>
        <v>880</v>
      </c>
      <c r="V12" s="18">
        <f>400+940</f>
        <v>1340</v>
      </c>
      <c r="W12" s="18">
        <v>700</v>
      </c>
      <c r="X12" s="18">
        <v>600</v>
      </c>
      <c r="Y12" s="18">
        <v>80</v>
      </c>
      <c r="Z12" s="18">
        <f>880+620</f>
        <v>1500</v>
      </c>
      <c r="AA12" s="18">
        <f>1200+180</f>
        <v>1380</v>
      </c>
      <c r="AB12" s="18">
        <v>2960</v>
      </c>
      <c r="AC12" s="18"/>
      <c r="AD12" s="18"/>
      <c r="AE12" s="27"/>
      <c r="AF12" s="18">
        <f t="shared" ref="AF12" si="7">+D12</f>
        <v>0</v>
      </c>
      <c r="AG12" s="18">
        <f t="shared" ref="AG12" si="8">SUM(E12:AD12)</f>
        <v>10740</v>
      </c>
      <c r="AH12" s="19"/>
      <c r="AI12" s="18">
        <f t="shared" ref="AI12" si="9">+AF12+AG12-AH12</f>
        <v>10740</v>
      </c>
      <c r="AJ12" s="27"/>
      <c r="AK12" s="6">
        <f>4820+80+880+620+1200+180+2960</f>
        <v>10740</v>
      </c>
      <c r="AL12" s="18">
        <f t="shared" si="2"/>
        <v>0</v>
      </c>
      <c r="AM12" s="60"/>
      <c r="AN12" s="65"/>
      <c r="AO12" s="60"/>
      <c r="AP12" s="27"/>
      <c r="AQ12" s="27"/>
      <c r="AR12" s="27"/>
    </row>
    <row r="13" spans="1:61" s="8" customFormat="1" x14ac:dyDescent="0.25">
      <c r="A13" s="37">
        <f>+A12+1</f>
        <v>11</v>
      </c>
      <c r="B13" s="102" t="s">
        <v>40</v>
      </c>
      <c r="C13" s="40" t="s">
        <v>41</v>
      </c>
      <c r="D13" s="54">
        <v>30840</v>
      </c>
      <c r="E13" s="26">
        <v>320</v>
      </c>
      <c r="F13" s="26">
        <v>0</v>
      </c>
      <c r="G13" s="26">
        <f>260+140</f>
        <v>400</v>
      </c>
      <c r="H13" s="26">
        <v>280</v>
      </c>
      <c r="I13" s="26">
        <f>160+360</f>
        <v>520</v>
      </c>
      <c r="J13" s="26">
        <v>80</v>
      </c>
      <c r="K13" s="26">
        <v>680</v>
      </c>
      <c r="L13" s="26">
        <f>280+80</f>
        <v>360</v>
      </c>
      <c r="M13" s="26">
        <f>700+260</f>
        <v>960</v>
      </c>
      <c r="N13" s="26">
        <f>440+280</f>
        <v>720</v>
      </c>
      <c r="O13" s="26">
        <f>480+320</f>
        <v>800</v>
      </c>
      <c r="P13" s="26"/>
      <c r="Q13" s="26">
        <v>880</v>
      </c>
      <c r="R13" s="26">
        <v>140</v>
      </c>
      <c r="S13" s="26">
        <v>660</v>
      </c>
      <c r="T13" s="26">
        <v>740</v>
      </c>
      <c r="U13" s="26">
        <f>900+280</f>
        <v>1180</v>
      </c>
      <c r="V13" s="26">
        <v>540</v>
      </c>
      <c r="W13" s="26">
        <v>360</v>
      </c>
      <c r="X13" s="26">
        <v>760</v>
      </c>
      <c r="Y13" s="26"/>
      <c r="Z13" s="26">
        <v>840</v>
      </c>
      <c r="AA13" s="26">
        <v>620</v>
      </c>
      <c r="AB13" s="26">
        <v>860</v>
      </c>
      <c r="AC13" s="26"/>
      <c r="AD13" s="26"/>
      <c r="AE13" s="27"/>
      <c r="AF13" s="26">
        <f t="shared" si="6"/>
        <v>30840</v>
      </c>
      <c r="AG13" s="26">
        <f t="shared" si="0"/>
        <v>12700</v>
      </c>
      <c r="AH13" s="38"/>
      <c r="AI13" s="26">
        <f t="shared" si="1"/>
        <v>43540</v>
      </c>
      <c r="AJ13" s="27"/>
      <c r="AK13" s="6">
        <f>41220+840+620+860</f>
        <v>43540</v>
      </c>
      <c r="AL13" s="18">
        <f t="shared" si="2"/>
        <v>0</v>
      </c>
      <c r="AM13" s="60"/>
      <c r="AN13" s="65"/>
      <c r="AO13" s="60"/>
      <c r="AP13" s="27"/>
      <c r="AQ13" s="27">
        <f t="shared" si="3"/>
        <v>0</v>
      </c>
      <c r="AR13" s="27">
        <f t="shared" si="4"/>
        <v>0</v>
      </c>
    </row>
    <row r="14" spans="1:61" s="8" customFormat="1" x14ac:dyDescent="0.25">
      <c r="A14" s="37">
        <f>+A13+1</f>
        <v>12</v>
      </c>
      <c r="B14" s="40">
        <v>10007969</v>
      </c>
      <c r="C14" s="40" t="s">
        <v>59</v>
      </c>
      <c r="D14" s="54">
        <v>48300</v>
      </c>
      <c r="E14" s="26">
        <v>640</v>
      </c>
      <c r="F14" s="26">
        <v>280</v>
      </c>
      <c r="G14" s="26">
        <f>340+300</f>
        <v>640</v>
      </c>
      <c r="H14" s="26">
        <v>340</v>
      </c>
      <c r="I14" s="26">
        <v>700</v>
      </c>
      <c r="J14" s="26"/>
      <c r="K14" s="26">
        <v>640</v>
      </c>
      <c r="L14" s="26">
        <v>360</v>
      </c>
      <c r="M14" s="26"/>
      <c r="N14" s="26">
        <v>160</v>
      </c>
      <c r="O14" s="26">
        <v>140</v>
      </c>
      <c r="P14" s="26">
        <v>140</v>
      </c>
      <c r="Q14" s="26">
        <v>80</v>
      </c>
      <c r="R14" s="26"/>
      <c r="S14" s="26">
        <f>80+20</f>
        <v>100</v>
      </c>
      <c r="T14" s="26"/>
      <c r="U14" s="26"/>
      <c r="V14" s="26">
        <v>160</v>
      </c>
      <c r="W14" s="26"/>
      <c r="X14" s="26"/>
      <c r="Y14" s="26"/>
      <c r="Z14" s="26"/>
      <c r="AA14" s="26"/>
      <c r="AB14" s="26">
        <v>100</v>
      </c>
      <c r="AC14" s="26"/>
      <c r="AD14" s="26"/>
      <c r="AE14" s="27"/>
      <c r="AF14" s="26">
        <f t="shared" si="6"/>
        <v>48300</v>
      </c>
      <c r="AG14" s="26">
        <f t="shared" si="0"/>
        <v>4480</v>
      </c>
      <c r="AH14" s="38">
        <v>22200</v>
      </c>
      <c r="AI14" s="26">
        <f t="shared" si="1"/>
        <v>30580</v>
      </c>
      <c r="AJ14" s="27"/>
      <c r="AK14" s="6">
        <f>30480+100</f>
        <v>30580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-22200</v>
      </c>
    </row>
    <row r="15" spans="1:61" x14ac:dyDescent="0.3">
      <c r="A15" s="7">
        <f>+A14+1</f>
        <v>13</v>
      </c>
      <c r="B15" s="20" t="s">
        <v>8</v>
      </c>
      <c r="C15" s="20" t="s">
        <v>9</v>
      </c>
      <c r="D15" s="55">
        <v>300</v>
      </c>
      <c r="E15" s="21"/>
      <c r="F15" s="21">
        <f>40+160</f>
        <v>200</v>
      </c>
      <c r="G15" s="21"/>
      <c r="H15" s="21"/>
      <c r="I15" s="21">
        <v>60</v>
      </c>
      <c r="J15" s="21"/>
      <c r="K15" s="21">
        <v>20</v>
      </c>
      <c r="L15" s="21"/>
      <c r="M15" s="21"/>
      <c r="N15" s="21"/>
      <c r="O15" s="21">
        <v>20</v>
      </c>
      <c r="P15" s="21"/>
      <c r="Q15" s="21"/>
      <c r="R15" s="21"/>
      <c r="S15" s="21"/>
      <c r="T15" s="21">
        <v>620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300</v>
      </c>
      <c r="AG15" s="21">
        <f t="shared" si="0"/>
        <v>920</v>
      </c>
      <c r="AH15" s="22"/>
      <c r="AI15" s="21">
        <f t="shared" si="1"/>
        <v>1220</v>
      </c>
      <c r="AJ15" s="27"/>
      <c r="AK15" s="6">
        <v>1220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ref="A16:A23" si="10">+A15+1</f>
        <v>14</v>
      </c>
      <c r="B16" s="20">
        <v>10005711</v>
      </c>
      <c r="C16" s="20" t="s">
        <v>110</v>
      </c>
      <c r="D16" s="55">
        <v>0</v>
      </c>
      <c r="E16" s="21">
        <v>1100</v>
      </c>
      <c r="F16" s="21">
        <f>140+1180</f>
        <v>1320</v>
      </c>
      <c r="G16" s="21">
        <f>700+520</f>
        <v>1220</v>
      </c>
      <c r="H16" s="21">
        <v>1000</v>
      </c>
      <c r="I16" s="21">
        <f>260+1840</f>
        <v>2100</v>
      </c>
      <c r="J16" s="21">
        <v>1140</v>
      </c>
      <c r="K16" s="21">
        <f>360+340</f>
        <v>700</v>
      </c>
      <c r="L16" s="21">
        <f>100+800</f>
        <v>900</v>
      </c>
      <c r="M16" s="21">
        <f>340+240</f>
        <v>580</v>
      </c>
      <c r="N16" s="21">
        <v>300</v>
      </c>
      <c r="O16" s="21">
        <v>120</v>
      </c>
      <c r="P16" s="21">
        <v>200</v>
      </c>
      <c r="Q16" s="21"/>
      <c r="R16" s="21"/>
      <c r="S16" s="21"/>
      <c r="T16" s="21">
        <v>40</v>
      </c>
      <c r="U16" s="21">
        <f>80+40</f>
        <v>120</v>
      </c>
      <c r="V16" s="21">
        <v>80</v>
      </c>
      <c r="W16" s="21">
        <v>20</v>
      </c>
      <c r="X16" s="21"/>
      <c r="Y16" s="21"/>
      <c r="Z16" s="21">
        <f>160+80</f>
        <v>240</v>
      </c>
      <c r="AA16" s="21"/>
      <c r="AB16" s="21">
        <v>120</v>
      </c>
      <c r="AC16" s="21"/>
      <c r="AD16" s="21"/>
      <c r="AE16" s="27"/>
      <c r="AF16" s="21">
        <f t="shared" ref="AF16" si="11">+D16</f>
        <v>0</v>
      </c>
      <c r="AG16" s="21">
        <f t="shared" ref="AG16" si="12">SUM(E16:AD16)</f>
        <v>11300</v>
      </c>
      <c r="AH16" s="22"/>
      <c r="AI16" s="21">
        <f t="shared" ref="AI16" si="13">+AF16+AG16-AH16</f>
        <v>11300</v>
      </c>
      <c r="AJ16" s="27"/>
      <c r="AK16" s="6">
        <f>10940+160+80+120</f>
        <v>11300</v>
      </c>
      <c r="AL16" s="18">
        <f t="shared" si="2"/>
        <v>0</v>
      </c>
      <c r="AM16" s="60"/>
      <c r="AN16" s="65"/>
      <c r="AO16" s="60"/>
      <c r="AP16" s="27"/>
      <c r="AQ16" s="27"/>
      <c r="AR16" s="27"/>
    </row>
    <row r="17" spans="1:60" x14ac:dyDescent="0.3">
      <c r="A17" s="7">
        <f t="shared" si="10"/>
        <v>15</v>
      </c>
      <c r="B17" s="20" t="s">
        <v>10</v>
      </c>
      <c r="C17" s="20" t="s">
        <v>11</v>
      </c>
      <c r="D17" s="55">
        <v>1120</v>
      </c>
      <c r="E17" s="21"/>
      <c r="F17" s="21">
        <f>280+840</f>
        <v>1120</v>
      </c>
      <c r="G17" s="21">
        <v>280</v>
      </c>
      <c r="H17" s="21"/>
      <c r="I17" s="21">
        <v>1720</v>
      </c>
      <c r="J17" s="21"/>
      <c r="K17" s="21">
        <f>220+1240</f>
        <v>1460</v>
      </c>
      <c r="L17" s="21">
        <v>640</v>
      </c>
      <c r="M17" s="21"/>
      <c r="N17" s="21">
        <v>1440</v>
      </c>
      <c r="O17" s="21">
        <v>280</v>
      </c>
      <c r="P17" s="21"/>
      <c r="Q17" s="21">
        <v>1300</v>
      </c>
      <c r="R17" s="21">
        <v>2120</v>
      </c>
      <c r="S17" s="21">
        <v>1580</v>
      </c>
      <c r="T17" s="21">
        <v>920</v>
      </c>
      <c r="U17" s="21"/>
      <c r="V17" s="21">
        <v>540</v>
      </c>
      <c r="W17" s="21">
        <v>980</v>
      </c>
      <c r="X17" s="21">
        <v>980</v>
      </c>
      <c r="Y17" s="21">
        <v>2360</v>
      </c>
      <c r="Z17" s="21">
        <v>580</v>
      </c>
      <c r="AA17" s="21">
        <v>680</v>
      </c>
      <c r="AB17" s="21">
        <v>2820</v>
      </c>
      <c r="AC17" s="21"/>
      <c r="AD17" s="21"/>
      <c r="AE17" s="27"/>
      <c r="AF17" s="21">
        <f t="shared" si="6"/>
        <v>1120</v>
      </c>
      <c r="AG17" s="21">
        <f t="shared" si="0"/>
        <v>21800</v>
      </c>
      <c r="AH17" s="22"/>
      <c r="AI17" s="21">
        <f t="shared" si="1"/>
        <v>22920</v>
      </c>
      <c r="AJ17" s="27"/>
      <c r="AK17" s="6">
        <f>16480+2360+580+680+2820</f>
        <v>22920</v>
      </c>
      <c r="AL17" s="18">
        <f t="shared" si="2"/>
        <v>0</v>
      </c>
      <c r="AM17" s="60"/>
      <c r="AN17" s="65"/>
      <c r="AO17" s="60"/>
      <c r="AP17" s="27"/>
      <c r="AQ17" s="27">
        <f t="shared" si="3"/>
        <v>0</v>
      </c>
      <c r="AR17" s="27">
        <f t="shared" si="4"/>
        <v>0</v>
      </c>
    </row>
    <row r="18" spans="1:60" x14ac:dyDescent="0.3">
      <c r="A18" s="7">
        <f t="shared" si="10"/>
        <v>16</v>
      </c>
      <c r="B18" s="20" t="s">
        <v>57</v>
      </c>
      <c r="C18" s="20" t="s">
        <v>95</v>
      </c>
      <c r="D18" s="55">
        <v>486640</v>
      </c>
      <c r="E18" s="21">
        <f>4760+7800</f>
        <v>12560</v>
      </c>
      <c r="F18" s="21">
        <f>4320+6300</f>
        <v>10620</v>
      </c>
      <c r="G18" s="21">
        <f>1920+2900</f>
        <v>4820</v>
      </c>
      <c r="H18" s="21">
        <f>1280+6180</f>
        <v>7460</v>
      </c>
      <c r="I18" s="21">
        <f>1160+11780</f>
        <v>12940</v>
      </c>
      <c r="J18" s="21">
        <v>1460</v>
      </c>
      <c r="K18" s="21">
        <f>7800+7640</f>
        <v>15440</v>
      </c>
      <c r="L18" s="21">
        <f>920+6880</f>
        <v>7800</v>
      </c>
      <c r="M18" s="21">
        <f>1280+4540</f>
        <v>5820</v>
      </c>
      <c r="N18" s="21">
        <f>3680+9060</f>
        <v>12740</v>
      </c>
      <c r="O18" s="21">
        <f>3720+3160</f>
        <v>6880</v>
      </c>
      <c r="P18" s="21">
        <f>2360+6960</f>
        <v>9320</v>
      </c>
      <c r="Q18" s="21">
        <v>2380</v>
      </c>
      <c r="R18" s="21">
        <f>1480+740</f>
        <v>2220</v>
      </c>
      <c r="S18" s="21">
        <v>1400</v>
      </c>
      <c r="T18" s="21">
        <f>4720+3260</f>
        <v>7980</v>
      </c>
      <c r="U18" s="21">
        <f>5680+1880</f>
        <v>7560</v>
      </c>
      <c r="V18" s="21">
        <f>740+5040</f>
        <v>5780</v>
      </c>
      <c r="W18" s="21">
        <f>7780+3340</f>
        <v>11120</v>
      </c>
      <c r="X18" s="100">
        <v>4540</v>
      </c>
      <c r="Y18" s="100">
        <f>520+3340</f>
        <v>3860</v>
      </c>
      <c r="Z18" s="100">
        <f>4900+5860</f>
        <v>10760</v>
      </c>
      <c r="AA18" s="100">
        <f>2680+10000</f>
        <v>12680</v>
      </c>
      <c r="AB18" s="100">
        <v>4220</v>
      </c>
      <c r="AC18" s="100"/>
      <c r="AD18" s="21"/>
      <c r="AE18" s="27"/>
      <c r="AF18" s="21">
        <f t="shared" si="6"/>
        <v>486640</v>
      </c>
      <c r="AG18" s="21">
        <f t="shared" si="0"/>
        <v>182360</v>
      </c>
      <c r="AH18" s="22">
        <f>125000+120000+26000+26000+81000+26000+135000+54000</f>
        <v>593000</v>
      </c>
      <c r="AI18" s="21">
        <f t="shared" si="1"/>
        <v>76000</v>
      </c>
      <c r="AJ18" s="27"/>
      <c r="AK18" s="99">
        <f>44400+520+3340+4900+5860+2680+10000+4220</f>
        <v>75920</v>
      </c>
      <c r="AL18" s="18">
        <f t="shared" si="2"/>
        <v>80</v>
      </c>
      <c r="AM18" s="22">
        <f>125000+120000+26000+26000+81000+189000+26000</f>
        <v>593000</v>
      </c>
      <c r="AN18" s="65"/>
      <c r="AO18" s="60">
        <v>125000</v>
      </c>
      <c r="AP18" s="27"/>
      <c r="AQ18" s="27">
        <f t="shared" si="3"/>
        <v>718000</v>
      </c>
      <c r="AR18" s="27">
        <f t="shared" si="4"/>
        <v>125000</v>
      </c>
      <c r="BG18" s="15"/>
    </row>
    <row r="19" spans="1:60" x14ac:dyDescent="0.3">
      <c r="A19" s="7">
        <f t="shared" si="10"/>
        <v>17</v>
      </c>
      <c r="B19" s="20" t="s">
        <v>55</v>
      </c>
      <c r="C19" s="20" t="s">
        <v>56</v>
      </c>
      <c r="D19" s="55">
        <v>121200</v>
      </c>
      <c r="E19" s="21">
        <v>280</v>
      </c>
      <c r="F19" s="21">
        <f>320+2480</f>
        <v>2800</v>
      </c>
      <c r="G19" s="21">
        <v>740</v>
      </c>
      <c r="H19" s="21">
        <v>720</v>
      </c>
      <c r="I19" s="21">
        <v>1340</v>
      </c>
      <c r="J19" s="21"/>
      <c r="K19" s="21">
        <v>80</v>
      </c>
      <c r="L19" s="21"/>
      <c r="M19" s="21"/>
      <c r="N19" s="21">
        <v>1020</v>
      </c>
      <c r="O19" s="21">
        <f>740+100</f>
        <v>840</v>
      </c>
      <c r="P19" s="21"/>
      <c r="Q19" s="21">
        <v>420</v>
      </c>
      <c r="R19" s="21">
        <v>400</v>
      </c>
      <c r="S19" s="21">
        <v>120</v>
      </c>
      <c r="T19" s="21">
        <v>620</v>
      </c>
      <c r="U19" s="21"/>
      <c r="V19" s="21"/>
      <c r="W19" s="21">
        <v>140</v>
      </c>
      <c r="X19" s="21">
        <v>180</v>
      </c>
      <c r="Y19" s="21"/>
      <c r="Z19" s="21">
        <v>860</v>
      </c>
      <c r="AA19" s="21">
        <v>240</v>
      </c>
      <c r="AB19" s="21">
        <v>1540</v>
      </c>
      <c r="AC19" s="21"/>
      <c r="AD19" s="21"/>
      <c r="AE19" s="27"/>
      <c r="AF19" s="21">
        <f t="shared" si="6"/>
        <v>121200</v>
      </c>
      <c r="AG19" s="21">
        <f t="shared" si="0"/>
        <v>12340</v>
      </c>
      <c r="AH19" s="22">
        <f>46000+27000+23200+24000</f>
        <v>120200</v>
      </c>
      <c r="AI19" s="21">
        <f>+AF19+AG19-AH19</f>
        <v>13340</v>
      </c>
      <c r="AJ19" s="27"/>
      <c r="AK19" s="6">
        <f>10700+860+240+1540</f>
        <v>13340</v>
      </c>
      <c r="AL19" s="18">
        <f t="shared" si="2"/>
        <v>0</v>
      </c>
      <c r="AM19" s="60"/>
      <c r="AN19" s="65"/>
      <c r="AO19" s="60">
        <v>46000</v>
      </c>
      <c r="AP19" s="27"/>
      <c r="AQ19" s="27">
        <f t="shared" si="3"/>
        <v>46000</v>
      </c>
      <c r="AR19" s="27">
        <f t="shared" si="4"/>
        <v>-74200</v>
      </c>
      <c r="BF19" s="8"/>
    </row>
    <row r="20" spans="1:60" x14ac:dyDescent="0.3">
      <c r="A20" s="7">
        <f t="shared" si="10"/>
        <v>18</v>
      </c>
      <c r="B20" s="20">
        <v>10009971</v>
      </c>
      <c r="C20" s="20" t="s">
        <v>111</v>
      </c>
      <c r="D20" s="55">
        <v>0</v>
      </c>
      <c r="E20" s="21"/>
      <c r="F20" s="21"/>
      <c r="G20" s="21"/>
      <c r="H20" s="21">
        <v>40</v>
      </c>
      <c r="I20" s="21">
        <v>120</v>
      </c>
      <c r="J20" s="21">
        <v>720</v>
      </c>
      <c r="K20" s="21">
        <f>460+120</f>
        <v>580</v>
      </c>
      <c r="L20" s="21">
        <f>920+740</f>
        <v>1660</v>
      </c>
      <c r="M20" s="21">
        <f>460+40</f>
        <v>500</v>
      </c>
      <c r="N20" s="21">
        <v>740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7"/>
      <c r="AF20" s="21">
        <f t="shared" si="6"/>
        <v>0</v>
      </c>
      <c r="AG20" s="21">
        <f t="shared" ref="AG20:AG23" si="14">SUM(E20:AD20)</f>
        <v>4360</v>
      </c>
      <c r="AH20" s="22"/>
      <c r="AI20" s="21">
        <f t="shared" ref="AI20:AI23" si="15">+AF20+AG20-AH20</f>
        <v>4360</v>
      </c>
      <c r="AJ20" s="27"/>
      <c r="AK20" s="6">
        <v>4360</v>
      </c>
      <c r="AL20" s="18">
        <f t="shared" si="2"/>
        <v>0</v>
      </c>
      <c r="AM20" s="60"/>
      <c r="AN20" s="65"/>
      <c r="AO20" s="60"/>
      <c r="AP20" s="27"/>
      <c r="AQ20" s="27"/>
      <c r="AR20" s="27"/>
      <c r="BF20" s="8"/>
    </row>
    <row r="21" spans="1:60" x14ac:dyDescent="0.3">
      <c r="A21" s="7">
        <f t="shared" si="10"/>
        <v>19</v>
      </c>
      <c r="B21" s="20">
        <v>10005718</v>
      </c>
      <c r="C21" s="20" t="s">
        <v>113</v>
      </c>
      <c r="D21" s="55">
        <v>0</v>
      </c>
      <c r="E21" s="21">
        <v>7820</v>
      </c>
      <c r="F21" s="21">
        <f>1040+3620</f>
        <v>4660</v>
      </c>
      <c r="G21" s="21">
        <f>5080+940</f>
        <v>6020</v>
      </c>
      <c r="H21" s="21">
        <f>1100+9100</f>
        <v>10200</v>
      </c>
      <c r="I21" s="21">
        <f>8680+12460</f>
        <v>21140</v>
      </c>
      <c r="J21" s="21">
        <v>11180</v>
      </c>
      <c r="K21" s="21">
        <f>14420+12740</f>
        <v>27160</v>
      </c>
      <c r="L21" s="21">
        <f>22180+16720</f>
        <v>38900</v>
      </c>
      <c r="M21" s="21">
        <f>13600+8900</f>
        <v>22500</v>
      </c>
      <c r="N21" s="21">
        <f>13240+16680</f>
        <v>29920</v>
      </c>
      <c r="O21" s="21">
        <f>12920+1520</f>
        <v>14440</v>
      </c>
      <c r="P21" s="21">
        <f>16820+10200</f>
        <v>27020</v>
      </c>
      <c r="Q21" s="21">
        <v>2380</v>
      </c>
      <c r="R21" s="21">
        <f>9280+300</f>
        <v>9580</v>
      </c>
      <c r="S21" s="21">
        <f>840+4260</f>
        <v>5100</v>
      </c>
      <c r="T21" s="21">
        <f>14720+15380</f>
        <v>30100</v>
      </c>
      <c r="U21" s="21">
        <f>9500+7760</f>
        <v>17260</v>
      </c>
      <c r="V21" s="21">
        <f>5020+9580</f>
        <v>14600</v>
      </c>
      <c r="W21" s="21">
        <f>10740+17380</f>
        <v>28120</v>
      </c>
      <c r="X21" s="100">
        <v>1640</v>
      </c>
      <c r="Y21" s="100">
        <f>4660+12100</f>
        <v>16760</v>
      </c>
      <c r="Z21" s="100">
        <f>7420+7840</f>
        <v>15260</v>
      </c>
      <c r="AA21" s="100">
        <f>7560+16320</f>
        <v>23880</v>
      </c>
      <c r="AB21" s="100">
        <v>4060</v>
      </c>
      <c r="AC21" s="100"/>
      <c r="AD21" s="21"/>
      <c r="AE21" s="27"/>
      <c r="AF21" s="21">
        <f t="shared" ref="AF21" si="16">+D21</f>
        <v>0</v>
      </c>
      <c r="AG21" s="21">
        <f t="shared" ref="AG21" si="17">SUM(E21:AD21)</f>
        <v>389700</v>
      </c>
      <c r="AH21" s="22">
        <f>40+70900+23200+60</f>
        <v>94200</v>
      </c>
      <c r="AI21" s="21">
        <f t="shared" ref="AI21" si="18">+AF21+AG21-AH21</f>
        <v>295500</v>
      </c>
      <c r="AJ21" s="27"/>
      <c r="AK21" s="99">
        <f>235640+4660+12100+7420+7840+7560+16320+4060</f>
        <v>295600</v>
      </c>
      <c r="AL21" s="18">
        <f t="shared" si="2"/>
        <v>-100</v>
      </c>
      <c r="AM21" s="60"/>
      <c r="AN21" s="65"/>
      <c r="AO21" s="60"/>
      <c r="AP21" s="27"/>
      <c r="AQ21" s="27"/>
      <c r="AR21" s="27"/>
      <c r="BF21" s="8"/>
    </row>
    <row r="22" spans="1:60" x14ac:dyDescent="0.3">
      <c r="A22" s="7">
        <f t="shared" si="10"/>
        <v>20</v>
      </c>
      <c r="B22" s="20">
        <v>10009972</v>
      </c>
      <c r="C22" s="20" t="s">
        <v>112</v>
      </c>
      <c r="D22" s="55">
        <v>0</v>
      </c>
      <c r="E22" s="21"/>
      <c r="F22" s="21"/>
      <c r="G22" s="21"/>
      <c r="H22" s="21">
        <v>320</v>
      </c>
      <c r="I22" s="21"/>
      <c r="J22" s="21">
        <v>1560</v>
      </c>
      <c r="K22" s="21">
        <f>6780+1000</f>
        <v>7780</v>
      </c>
      <c r="L22" s="21">
        <f>9480+7640</f>
        <v>17120</v>
      </c>
      <c r="M22" s="21">
        <f>9020+1560</f>
        <v>10580</v>
      </c>
      <c r="N22" s="21"/>
      <c r="O22" s="21">
        <v>13040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7"/>
      <c r="AF22" s="21">
        <f t="shared" si="6"/>
        <v>0</v>
      </c>
      <c r="AG22" s="21">
        <f t="shared" si="14"/>
        <v>50400</v>
      </c>
      <c r="AH22" s="22"/>
      <c r="AI22" s="21">
        <f t="shared" si="15"/>
        <v>50400</v>
      </c>
      <c r="AJ22" s="27"/>
      <c r="AK22" s="6">
        <v>50400</v>
      </c>
      <c r="AL22" s="18">
        <f t="shared" si="2"/>
        <v>0</v>
      </c>
      <c r="AM22" s="60"/>
      <c r="AN22" s="65"/>
      <c r="AO22" s="60"/>
      <c r="AP22" s="27"/>
      <c r="AQ22" s="27"/>
      <c r="AR22" s="27"/>
      <c r="BF22" s="8"/>
    </row>
    <row r="23" spans="1:60" x14ac:dyDescent="0.3">
      <c r="A23" s="7">
        <f t="shared" si="10"/>
        <v>21</v>
      </c>
      <c r="B23" s="20">
        <v>10005708</v>
      </c>
      <c r="C23" s="20" t="s">
        <v>114</v>
      </c>
      <c r="D23" s="55">
        <v>0</v>
      </c>
      <c r="E23" s="21"/>
      <c r="F23" s="21"/>
      <c r="G23" s="21"/>
      <c r="H23" s="21"/>
      <c r="I23" s="21">
        <v>460</v>
      </c>
      <c r="J23" s="21">
        <v>100</v>
      </c>
      <c r="K23" s="21"/>
      <c r="L23" s="21">
        <v>500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>
        <v>20</v>
      </c>
      <c r="Y23" s="21"/>
      <c r="Z23" s="21"/>
      <c r="AA23" s="21"/>
      <c r="AB23" s="21"/>
      <c r="AC23" s="21"/>
      <c r="AD23" s="21"/>
      <c r="AE23" s="27"/>
      <c r="AF23" s="21">
        <f t="shared" si="6"/>
        <v>0</v>
      </c>
      <c r="AG23" s="21">
        <f t="shared" si="14"/>
        <v>1080</v>
      </c>
      <c r="AH23" s="22"/>
      <c r="AI23" s="21">
        <f t="shared" si="15"/>
        <v>1080</v>
      </c>
      <c r="AJ23" s="27"/>
      <c r="AK23" s="6">
        <f>1060+20</f>
        <v>1080</v>
      </c>
      <c r="AL23" s="18">
        <f t="shared" si="2"/>
        <v>0</v>
      </c>
      <c r="AM23" s="60"/>
      <c r="AN23" s="65"/>
      <c r="AO23" s="60"/>
      <c r="AP23" s="27"/>
      <c r="AQ23" s="27"/>
      <c r="AR23" s="27"/>
      <c r="BF23" s="8"/>
    </row>
    <row r="24" spans="1:60" x14ac:dyDescent="0.3">
      <c r="A24" s="23">
        <f>+A23+1</f>
        <v>22</v>
      </c>
      <c r="B24" s="47" t="s">
        <v>42</v>
      </c>
      <c r="C24" s="32" t="s">
        <v>7</v>
      </c>
      <c r="D24" s="56">
        <v>940</v>
      </c>
      <c r="E24" s="24"/>
      <c r="F24" s="24"/>
      <c r="G24" s="24">
        <v>20</v>
      </c>
      <c r="H24" s="24"/>
      <c r="I24" s="24">
        <v>100</v>
      </c>
      <c r="J24" s="24">
        <v>100</v>
      </c>
      <c r="K24" s="24"/>
      <c r="L24" s="24">
        <f>360+120</f>
        <v>480</v>
      </c>
      <c r="M24" s="24">
        <f>180+380</f>
        <v>560</v>
      </c>
      <c r="N24" s="24">
        <f>1760+780</f>
        <v>2540</v>
      </c>
      <c r="O24" s="24">
        <v>1020</v>
      </c>
      <c r="P24" s="24">
        <f>200+1300</f>
        <v>1500</v>
      </c>
      <c r="Q24" s="24">
        <v>220</v>
      </c>
      <c r="R24" s="24">
        <v>700</v>
      </c>
      <c r="S24" s="24">
        <f>2040+2500</f>
        <v>4540</v>
      </c>
      <c r="T24" s="24">
        <v>2180</v>
      </c>
      <c r="U24" s="24">
        <f>1280+1140</f>
        <v>2420</v>
      </c>
      <c r="V24" s="24">
        <f>800+3680</f>
        <v>4480</v>
      </c>
      <c r="W24" s="24">
        <f>1520+5180</f>
        <v>6700</v>
      </c>
      <c r="X24" s="24">
        <v>4740</v>
      </c>
      <c r="Y24" s="24">
        <v>2960</v>
      </c>
      <c r="Z24" s="24">
        <f>4580+5380</f>
        <v>9960</v>
      </c>
      <c r="AA24" s="24">
        <f>2520+4020</f>
        <v>6540</v>
      </c>
      <c r="AB24" s="24">
        <v>2260</v>
      </c>
      <c r="AC24" s="24"/>
      <c r="AD24" s="24"/>
      <c r="AE24" s="27"/>
      <c r="AF24" s="24">
        <f t="shared" si="6"/>
        <v>940</v>
      </c>
      <c r="AG24" s="24">
        <f t="shared" si="0"/>
        <v>54020</v>
      </c>
      <c r="AH24" s="25">
        <v>20</v>
      </c>
      <c r="AI24" s="24">
        <f t="shared" si="1"/>
        <v>54940</v>
      </c>
      <c r="AJ24" s="27"/>
      <c r="AK24" s="6">
        <f>33240+2960+4580+5380+2520+4020+2260</f>
        <v>54960</v>
      </c>
      <c r="AL24" s="18">
        <f t="shared" si="2"/>
        <v>-20</v>
      </c>
      <c r="AM24" s="60"/>
      <c r="AN24" s="65"/>
      <c r="AO24" s="60"/>
      <c r="AP24" s="27"/>
      <c r="AQ24" s="27">
        <f t="shared" si="3"/>
        <v>0</v>
      </c>
      <c r="AR24" s="27">
        <f t="shared" si="4"/>
        <v>-20</v>
      </c>
    </row>
    <row r="25" spans="1:60" x14ac:dyDescent="0.3">
      <c r="A25" s="23">
        <f t="shared" ref="A25:A29" si="19">+A24+1</f>
        <v>23</v>
      </c>
      <c r="B25" s="47" t="s">
        <v>43</v>
      </c>
      <c r="C25" s="32" t="s">
        <v>44</v>
      </c>
      <c r="D25" s="56">
        <v>78780</v>
      </c>
      <c r="E25" s="24">
        <v>1280</v>
      </c>
      <c r="F25" s="24">
        <f>120+1040</f>
        <v>1160</v>
      </c>
      <c r="G25" s="24">
        <f>140+380</f>
        <v>520</v>
      </c>
      <c r="H25" s="24">
        <v>720</v>
      </c>
      <c r="I25" s="24">
        <v>1160</v>
      </c>
      <c r="J25" s="24">
        <v>260</v>
      </c>
      <c r="K25" s="24"/>
      <c r="L25" s="24">
        <f>980+640</f>
        <v>1620</v>
      </c>
      <c r="M25" s="24">
        <f>160+340</f>
        <v>500</v>
      </c>
      <c r="N25" s="24">
        <f>480+520</f>
        <v>1000</v>
      </c>
      <c r="O25" s="24">
        <v>340</v>
      </c>
      <c r="P25" s="24">
        <f>100+360</f>
        <v>460</v>
      </c>
      <c r="Q25" s="24">
        <v>100</v>
      </c>
      <c r="R25" s="24">
        <v>0</v>
      </c>
      <c r="S25" s="24">
        <f>460+220</f>
        <v>680</v>
      </c>
      <c r="T25" s="24">
        <f>80+160</f>
        <v>240</v>
      </c>
      <c r="U25" s="24">
        <f>200+20</f>
        <v>220</v>
      </c>
      <c r="V25" s="24">
        <f>20+100</f>
        <v>120</v>
      </c>
      <c r="W25" s="24">
        <f>220+300</f>
        <v>520</v>
      </c>
      <c r="X25" s="24">
        <v>480</v>
      </c>
      <c r="Y25" s="24">
        <v>40</v>
      </c>
      <c r="Z25" s="24">
        <f>260+260</f>
        <v>520</v>
      </c>
      <c r="AA25" s="24">
        <f>320+360</f>
        <v>680</v>
      </c>
      <c r="AB25" s="24">
        <v>120</v>
      </c>
      <c r="AC25" s="24"/>
      <c r="AD25" s="24"/>
      <c r="AE25" s="27"/>
      <c r="AF25" s="24">
        <f t="shared" si="6"/>
        <v>78780</v>
      </c>
      <c r="AG25" s="24">
        <f t="shared" si="0"/>
        <v>12740</v>
      </c>
      <c r="AH25" s="25">
        <v>20</v>
      </c>
      <c r="AI25" s="24">
        <f t="shared" si="1"/>
        <v>91500</v>
      </c>
      <c r="AJ25" s="27"/>
      <c r="AK25" s="6">
        <f>90160+40+260+260+320+360+120</f>
        <v>91520</v>
      </c>
      <c r="AL25" s="18">
        <f t="shared" si="2"/>
        <v>-20</v>
      </c>
      <c r="AM25" s="60"/>
      <c r="AN25" s="65"/>
      <c r="AO25" s="60"/>
      <c r="AP25" s="27"/>
      <c r="AQ25" s="27">
        <f t="shared" si="3"/>
        <v>0</v>
      </c>
      <c r="AR25" s="27">
        <f t="shared" si="4"/>
        <v>-20</v>
      </c>
    </row>
    <row r="26" spans="1:60" x14ac:dyDescent="0.3">
      <c r="A26" s="23">
        <f t="shared" si="19"/>
        <v>24</v>
      </c>
      <c r="B26" s="47" t="s">
        <v>45</v>
      </c>
      <c r="C26" s="32" t="s">
        <v>46</v>
      </c>
      <c r="D26" s="56">
        <v>3620</v>
      </c>
      <c r="E26" s="24">
        <v>160</v>
      </c>
      <c r="F26" s="24">
        <f>20+180</f>
        <v>200</v>
      </c>
      <c r="G26" s="110">
        <v>40</v>
      </c>
      <c r="H26" s="24">
        <v>120</v>
      </c>
      <c r="I26" s="24">
        <v>380</v>
      </c>
      <c r="J26" s="24">
        <v>40</v>
      </c>
      <c r="K26" s="24"/>
      <c r="L26" s="24">
        <f>600+340</f>
        <v>940</v>
      </c>
      <c r="M26" s="24">
        <f>180+740</f>
        <v>920</v>
      </c>
      <c r="N26" s="24">
        <f>860+760</f>
        <v>1620</v>
      </c>
      <c r="O26" s="24">
        <f>80+560</f>
        <v>640</v>
      </c>
      <c r="P26" s="24">
        <f>240+1340</f>
        <v>1580</v>
      </c>
      <c r="Q26" s="24"/>
      <c r="R26" s="24">
        <v>660</v>
      </c>
      <c r="S26" s="24">
        <f>1560+1320</f>
        <v>2880</v>
      </c>
      <c r="T26" s="24">
        <f>400+1700</f>
        <v>2100</v>
      </c>
      <c r="U26" s="24">
        <f>720+420</f>
        <v>1140</v>
      </c>
      <c r="V26" s="24">
        <f>260+1340</f>
        <v>1600</v>
      </c>
      <c r="W26" s="24">
        <f>660+1760</f>
        <v>2420</v>
      </c>
      <c r="X26" s="24">
        <v>1340</v>
      </c>
      <c r="Y26" s="24">
        <v>420</v>
      </c>
      <c r="Z26" s="24">
        <f>1660+2320</f>
        <v>3980</v>
      </c>
      <c r="AA26" s="24">
        <f>1100+1080</f>
        <v>2180</v>
      </c>
      <c r="AB26" s="24">
        <v>1680</v>
      </c>
      <c r="AC26" s="24"/>
      <c r="AD26" s="24"/>
      <c r="AE26" s="27"/>
      <c r="AF26" s="24">
        <f t="shared" si="6"/>
        <v>3620</v>
      </c>
      <c r="AG26" s="24">
        <f t="shared" si="0"/>
        <v>27040</v>
      </c>
      <c r="AH26" s="25">
        <v>20</v>
      </c>
      <c r="AI26" s="24">
        <f>+AF26+AG26-AH26-40</f>
        <v>30600</v>
      </c>
      <c r="AJ26" s="27"/>
      <c r="AK26" s="6">
        <f>22360+420+1660+2320+1100+1080+1680</f>
        <v>30620</v>
      </c>
      <c r="AL26" s="18">
        <f t="shared" si="2"/>
        <v>-20</v>
      </c>
      <c r="AM26" s="60"/>
      <c r="AN26" s="65"/>
      <c r="AO26" s="60"/>
      <c r="AP26" s="27"/>
      <c r="AQ26" s="27">
        <f t="shared" si="3"/>
        <v>0</v>
      </c>
      <c r="AR26" s="27">
        <f t="shared" si="4"/>
        <v>-20</v>
      </c>
    </row>
    <row r="27" spans="1:60" x14ac:dyDescent="0.3">
      <c r="A27" s="23">
        <f t="shared" si="19"/>
        <v>25</v>
      </c>
      <c r="B27" s="47" t="s">
        <v>47</v>
      </c>
      <c r="C27" s="32" t="s">
        <v>48</v>
      </c>
      <c r="D27" s="56">
        <v>57080</v>
      </c>
      <c r="E27" s="24">
        <v>1400</v>
      </c>
      <c r="F27" s="24">
        <f>280+1540</f>
        <v>1820</v>
      </c>
      <c r="G27" s="24">
        <f>200+580</f>
        <v>780</v>
      </c>
      <c r="H27" s="24">
        <v>1020</v>
      </c>
      <c r="I27" s="24">
        <v>1240</v>
      </c>
      <c r="J27" s="24">
        <v>220</v>
      </c>
      <c r="K27" s="24"/>
      <c r="L27" s="24">
        <f>1920+260</f>
        <v>2180</v>
      </c>
      <c r="M27" s="24">
        <f>220+320</f>
        <v>540</v>
      </c>
      <c r="N27" s="24">
        <f>580+920</f>
        <v>1500</v>
      </c>
      <c r="O27" s="24">
        <v>420</v>
      </c>
      <c r="P27" s="24">
        <f>100+360</f>
        <v>460</v>
      </c>
      <c r="Q27" s="24">
        <v>120</v>
      </c>
      <c r="R27" s="24">
        <v>0</v>
      </c>
      <c r="S27" s="24">
        <f>400+140</f>
        <v>540</v>
      </c>
      <c r="T27" s="24">
        <f>80+100</f>
        <v>180</v>
      </c>
      <c r="U27" s="24">
        <f>160+20</f>
        <v>180</v>
      </c>
      <c r="V27" s="24">
        <f>20+80</f>
        <v>100</v>
      </c>
      <c r="W27" s="24">
        <f>480+540</f>
        <v>1020</v>
      </c>
      <c r="X27" s="24">
        <v>400</v>
      </c>
      <c r="Y27" s="24">
        <v>60</v>
      </c>
      <c r="Z27" s="24">
        <f>200+180</f>
        <v>380</v>
      </c>
      <c r="AA27" s="24">
        <f>60+360</f>
        <v>420</v>
      </c>
      <c r="AB27" s="24">
        <v>40</v>
      </c>
      <c r="AC27" s="24"/>
      <c r="AD27" s="24"/>
      <c r="AE27" s="27"/>
      <c r="AF27" s="24">
        <f t="shared" si="6"/>
        <v>57080</v>
      </c>
      <c r="AG27" s="24">
        <f t="shared" si="0"/>
        <v>15020</v>
      </c>
      <c r="AH27" s="25">
        <v>20</v>
      </c>
      <c r="AI27" s="24">
        <f>+AF27+AG27-AH27+40</f>
        <v>72120</v>
      </c>
      <c r="AJ27" s="27"/>
      <c r="AK27" s="6">
        <f>71240+60+200+180+60+360+40</f>
        <v>72140</v>
      </c>
      <c r="AL27" s="18">
        <f t="shared" si="2"/>
        <v>-20</v>
      </c>
      <c r="AM27" s="60"/>
      <c r="AN27" s="65"/>
      <c r="AO27" s="60"/>
      <c r="AP27" s="27"/>
      <c r="AQ27" s="27">
        <f t="shared" si="3"/>
        <v>0</v>
      </c>
      <c r="AR27" s="27">
        <f t="shared" si="4"/>
        <v>-20</v>
      </c>
    </row>
    <row r="28" spans="1:60" x14ac:dyDescent="0.3">
      <c r="A28" s="23">
        <f t="shared" si="19"/>
        <v>26</v>
      </c>
      <c r="B28" s="47">
        <v>10009183</v>
      </c>
      <c r="C28" s="32" t="s">
        <v>118</v>
      </c>
      <c r="D28" s="56">
        <v>0</v>
      </c>
      <c r="E28" s="24">
        <v>40</v>
      </c>
      <c r="F28" s="24">
        <v>60</v>
      </c>
      <c r="G28" s="24"/>
      <c r="H28" s="24">
        <v>160</v>
      </c>
      <c r="I28" s="24">
        <v>5220</v>
      </c>
      <c r="J28" s="24"/>
      <c r="K28" s="24">
        <v>160</v>
      </c>
      <c r="L28" s="24">
        <f>200+20</f>
        <v>220</v>
      </c>
      <c r="M28" s="24">
        <v>20</v>
      </c>
      <c r="N28" s="24">
        <v>60</v>
      </c>
      <c r="O28" s="24"/>
      <c r="P28" s="24">
        <v>40</v>
      </c>
      <c r="Q28" s="24">
        <v>20</v>
      </c>
      <c r="R28" s="24"/>
      <c r="S28" s="24"/>
      <c r="T28" s="24"/>
      <c r="U28" s="24">
        <v>40</v>
      </c>
      <c r="V28" s="24"/>
      <c r="W28" s="24"/>
      <c r="X28" s="24"/>
      <c r="Y28" s="24"/>
      <c r="Z28" s="24"/>
      <c r="AA28" s="24">
        <v>40</v>
      </c>
      <c r="AB28" s="24"/>
      <c r="AC28" s="24"/>
      <c r="AD28" s="24"/>
      <c r="AE28" s="27"/>
      <c r="AF28" s="24">
        <f t="shared" si="6"/>
        <v>0</v>
      </c>
      <c r="AG28" s="24">
        <f t="shared" si="0"/>
        <v>6080</v>
      </c>
      <c r="AH28" s="25"/>
      <c r="AI28" s="24">
        <f t="shared" si="1"/>
        <v>6080</v>
      </c>
      <c r="AJ28" s="27"/>
      <c r="AK28" s="6">
        <f>6040+40</f>
        <v>6080</v>
      </c>
      <c r="AL28" s="18">
        <f t="shared" si="2"/>
        <v>0</v>
      </c>
      <c r="AM28" s="60"/>
      <c r="AN28" s="65"/>
      <c r="AO28" s="60"/>
      <c r="AP28" s="27"/>
      <c r="AQ28" s="27"/>
      <c r="AR28" s="27"/>
    </row>
    <row r="29" spans="1:60" x14ac:dyDescent="0.3">
      <c r="A29" s="23">
        <f t="shared" si="19"/>
        <v>27</v>
      </c>
      <c r="B29" s="47">
        <v>10009271</v>
      </c>
      <c r="C29" s="32" t="s">
        <v>60</v>
      </c>
      <c r="D29" s="56">
        <v>560</v>
      </c>
      <c r="E29" s="24">
        <v>1220</v>
      </c>
      <c r="F29" s="24">
        <v>1160</v>
      </c>
      <c r="G29" s="24">
        <f>220+800</f>
        <v>1020</v>
      </c>
      <c r="H29" s="24">
        <v>1460</v>
      </c>
      <c r="I29" s="24">
        <v>140</v>
      </c>
      <c r="J29" s="24"/>
      <c r="K29" s="24">
        <v>4980</v>
      </c>
      <c r="L29" s="24">
        <f>1780+2720</f>
        <v>4500</v>
      </c>
      <c r="M29" s="24">
        <f>2040+6840</f>
        <v>8880</v>
      </c>
      <c r="N29" s="24">
        <f>1240+4120</f>
        <v>5360</v>
      </c>
      <c r="O29" s="24">
        <f>940+2340</f>
        <v>3280</v>
      </c>
      <c r="P29" s="24">
        <f>4120+3740</f>
        <v>7860</v>
      </c>
      <c r="Q29" s="24">
        <v>380</v>
      </c>
      <c r="R29" s="24">
        <v>6240</v>
      </c>
      <c r="S29" s="24">
        <f>1200+3880</f>
        <v>5080</v>
      </c>
      <c r="T29" s="24">
        <f>200+5620</f>
        <v>5820</v>
      </c>
      <c r="U29" s="24">
        <v>1280</v>
      </c>
      <c r="V29" s="24"/>
      <c r="W29" s="24">
        <v>160</v>
      </c>
      <c r="X29" s="24">
        <v>100</v>
      </c>
      <c r="Y29" s="24"/>
      <c r="Z29" s="24"/>
      <c r="AA29" s="24"/>
      <c r="AB29" s="24"/>
      <c r="AC29" s="24"/>
      <c r="AD29" s="24"/>
      <c r="AE29" s="27"/>
      <c r="AF29" s="24">
        <f t="shared" ref="AF29" si="20">+D29</f>
        <v>560</v>
      </c>
      <c r="AG29" s="24">
        <f t="shared" ref="AG29" si="21">SUM(E29:AD29)</f>
        <v>58920</v>
      </c>
      <c r="AH29" s="25">
        <v>20</v>
      </c>
      <c r="AI29" s="24">
        <f t="shared" ref="AI29" si="22">+AF29+AG29-AH29</f>
        <v>59460</v>
      </c>
      <c r="AJ29" s="27"/>
      <c r="AK29" s="6">
        <v>59480</v>
      </c>
      <c r="AL29" s="18">
        <f t="shared" si="2"/>
        <v>-20</v>
      </c>
      <c r="AM29" s="60"/>
      <c r="AN29" s="65"/>
      <c r="AO29" s="60"/>
      <c r="AP29" s="27"/>
      <c r="AQ29" s="27">
        <f t="shared" ref="AQ29" si="23">SUM(AM29:AO29)</f>
        <v>0</v>
      </c>
      <c r="AR29" s="27">
        <f t="shared" ref="AR29" si="24">+AQ29-AH29</f>
        <v>-20</v>
      </c>
    </row>
    <row r="30" spans="1:60" x14ac:dyDescent="0.3">
      <c r="A30" s="78">
        <f>+A29+1</f>
        <v>28</v>
      </c>
      <c r="B30" s="93">
        <v>10009386</v>
      </c>
      <c r="C30" s="93" t="s">
        <v>63</v>
      </c>
      <c r="D30" s="94">
        <v>36360</v>
      </c>
      <c r="E30" s="9">
        <v>140</v>
      </c>
      <c r="F30" s="9">
        <v>360</v>
      </c>
      <c r="G30" s="9">
        <v>100</v>
      </c>
      <c r="H30" s="9">
        <v>200</v>
      </c>
      <c r="I30" s="9">
        <v>200</v>
      </c>
      <c r="J30" s="9"/>
      <c r="K30" s="9">
        <v>140</v>
      </c>
      <c r="L30" s="9">
        <f>20+100</f>
        <v>120</v>
      </c>
      <c r="M30" s="9"/>
      <c r="N30" s="9"/>
      <c r="O30" s="9">
        <v>80</v>
      </c>
      <c r="P30" s="9">
        <v>120</v>
      </c>
      <c r="Q30" s="9"/>
      <c r="R30" s="9"/>
      <c r="S30" s="9"/>
      <c r="T30" s="9"/>
      <c r="U30" s="9"/>
      <c r="V30" s="9"/>
      <c r="W30" s="9">
        <v>60</v>
      </c>
      <c r="X30" s="9"/>
      <c r="Y30" s="9"/>
      <c r="Z30" s="9">
        <v>60</v>
      </c>
      <c r="AA30" s="9"/>
      <c r="AB30" s="9"/>
      <c r="AC30" s="9"/>
      <c r="AD30" s="9"/>
      <c r="AE30" s="27"/>
      <c r="AF30" s="9">
        <f t="shared" si="6"/>
        <v>36360</v>
      </c>
      <c r="AG30" s="9">
        <f t="shared" si="0"/>
        <v>1580</v>
      </c>
      <c r="AH30" s="95">
        <v>24200</v>
      </c>
      <c r="AI30" s="9">
        <f t="shared" si="1"/>
        <v>13740</v>
      </c>
      <c r="AJ30" s="27"/>
      <c r="AK30" s="6">
        <f>13680+60</f>
        <v>13740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-24200</v>
      </c>
    </row>
    <row r="31" spans="1:60" s="8" customFormat="1" x14ac:dyDescent="0.25">
      <c r="A31" s="11">
        <f>+A30+1</f>
        <v>29</v>
      </c>
      <c r="B31" s="101" t="s">
        <v>12</v>
      </c>
      <c r="C31" s="12" t="s">
        <v>13</v>
      </c>
      <c r="D31" s="57">
        <v>107860</v>
      </c>
      <c r="E31" s="10">
        <v>1220</v>
      </c>
      <c r="F31" s="10">
        <f>60+1740</f>
        <v>1800</v>
      </c>
      <c r="G31" s="10">
        <f>260+700</f>
        <v>960</v>
      </c>
      <c r="H31" s="10">
        <v>1440</v>
      </c>
      <c r="I31" s="10">
        <f>380+960</f>
        <v>1340</v>
      </c>
      <c r="J31" s="10">
        <v>140</v>
      </c>
      <c r="K31" s="10">
        <v>260</v>
      </c>
      <c r="L31" s="10">
        <f>3040+2360</f>
        <v>5400</v>
      </c>
      <c r="M31" s="10">
        <f>940+560</f>
        <v>1500</v>
      </c>
      <c r="N31" s="10">
        <f>3540+1000</f>
        <v>4540</v>
      </c>
      <c r="O31" s="10">
        <f>1740+1920</f>
        <v>3660</v>
      </c>
      <c r="P31" s="10">
        <v>2940</v>
      </c>
      <c r="Q31" s="10">
        <v>1880</v>
      </c>
      <c r="R31" s="10">
        <v>2160</v>
      </c>
      <c r="S31" s="10">
        <f>2760+2660</f>
        <v>5420</v>
      </c>
      <c r="T31" s="10">
        <f>900+2580</f>
        <v>3480</v>
      </c>
      <c r="U31" s="10">
        <f>2780+280</f>
        <v>3060</v>
      </c>
      <c r="V31" s="10"/>
      <c r="W31" s="10">
        <f>600+160</f>
        <v>760</v>
      </c>
      <c r="X31" s="10">
        <v>140</v>
      </c>
      <c r="Y31" s="10">
        <v>280</v>
      </c>
      <c r="Z31" s="10">
        <f>220+260</f>
        <v>480</v>
      </c>
      <c r="AA31" s="10">
        <f>820+1240</f>
        <v>2060</v>
      </c>
      <c r="AB31" s="10">
        <v>40</v>
      </c>
      <c r="AC31" s="10"/>
      <c r="AD31" s="10"/>
      <c r="AE31" s="26"/>
      <c r="AF31" s="10">
        <f t="shared" si="6"/>
        <v>107860</v>
      </c>
      <c r="AG31" s="10">
        <f t="shared" si="0"/>
        <v>44960</v>
      </c>
      <c r="AH31" s="14">
        <f>26000+26000+51800</f>
        <v>103800</v>
      </c>
      <c r="AI31" s="10">
        <f t="shared" si="1"/>
        <v>49020</v>
      </c>
      <c r="AJ31" s="27"/>
      <c r="AK31" s="6">
        <f>46160+280+220+260+820+1240+40</f>
        <v>49020</v>
      </c>
      <c r="AL31" s="18">
        <f t="shared" si="2"/>
        <v>0</v>
      </c>
      <c r="AM31" s="60"/>
      <c r="AN31" s="65"/>
      <c r="AO31" s="60"/>
      <c r="AP31" s="27"/>
      <c r="AQ31" s="27">
        <f t="shared" si="3"/>
        <v>0</v>
      </c>
      <c r="AR31" s="27">
        <f t="shared" si="4"/>
        <v>-103800</v>
      </c>
      <c r="AZ31" s="3"/>
      <c r="BF31" s="3"/>
      <c r="BG31" s="3"/>
      <c r="BH31" s="3"/>
    </row>
    <row r="32" spans="1:60" x14ac:dyDescent="0.3">
      <c r="A32" s="11">
        <f t="shared" ref="A32:A42" si="25">+A31+1</f>
        <v>30</v>
      </c>
      <c r="B32" s="101" t="s">
        <v>14</v>
      </c>
      <c r="C32" s="12" t="s">
        <v>15</v>
      </c>
      <c r="D32" s="57">
        <v>140</v>
      </c>
      <c r="E32" s="10"/>
      <c r="F32" s="10">
        <v>100</v>
      </c>
      <c r="G32" s="10">
        <f>180+40</f>
        <v>220</v>
      </c>
      <c r="H32" s="10">
        <v>100</v>
      </c>
      <c r="I32" s="10">
        <v>500</v>
      </c>
      <c r="J32" s="10"/>
      <c r="K32" s="10"/>
      <c r="L32" s="10">
        <f>20+140</f>
        <v>160</v>
      </c>
      <c r="M32" s="10">
        <f>140+120</f>
        <v>260</v>
      </c>
      <c r="N32" s="10"/>
      <c r="O32" s="10"/>
      <c r="P32" s="10">
        <v>120</v>
      </c>
      <c r="Q32" s="10">
        <v>40</v>
      </c>
      <c r="R32" s="10"/>
      <c r="S32" s="10"/>
      <c r="T32" s="10"/>
      <c r="U32" s="10">
        <v>20</v>
      </c>
      <c r="V32" s="10"/>
      <c r="W32" s="10"/>
      <c r="X32" s="10"/>
      <c r="Y32" s="10"/>
      <c r="Z32" s="10">
        <v>20</v>
      </c>
      <c r="AA32" s="10"/>
      <c r="AB32" s="10">
        <v>80</v>
      </c>
      <c r="AC32" s="10"/>
      <c r="AD32" s="10"/>
      <c r="AE32" s="26"/>
      <c r="AF32" s="10">
        <f t="shared" si="6"/>
        <v>140</v>
      </c>
      <c r="AG32" s="10">
        <f t="shared" si="0"/>
        <v>1620</v>
      </c>
      <c r="AH32" s="14">
        <v>1640</v>
      </c>
      <c r="AI32" s="10">
        <f>+AF32+AG32-AH32</f>
        <v>120</v>
      </c>
      <c r="AJ32" s="27"/>
      <c r="AK32" s="6">
        <f>1660-1640+20+80</f>
        <v>120</v>
      </c>
      <c r="AL32" s="18">
        <f t="shared" si="2"/>
        <v>0</v>
      </c>
      <c r="AM32" s="60"/>
      <c r="AN32" s="65"/>
      <c r="AO32" s="60"/>
      <c r="AP32" s="27"/>
      <c r="AQ32" s="27">
        <f t="shared" si="3"/>
        <v>0</v>
      </c>
      <c r="AR32" s="27">
        <f t="shared" si="4"/>
        <v>-1640</v>
      </c>
      <c r="AZ32" s="8"/>
    </row>
    <row r="33" spans="1:59" x14ac:dyDescent="0.3">
      <c r="A33" s="11">
        <f t="shared" si="25"/>
        <v>31</v>
      </c>
      <c r="B33" s="101">
        <v>10009777</v>
      </c>
      <c r="C33" s="12" t="s">
        <v>15</v>
      </c>
      <c r="D33" s="57">
        <v>220</v>
      </c>
      <c r="E33" s="10"/>
      <c r="F33" s="10">
        <f>300+1240</f>
        <v>1540</v>
      </c>
      <c r="G33" s="10">
        <f>1420+380</f>
        <v>1800</v>
      </c>
      <c r="H33" s="10">
        <v>1920</v>
      </c>
      <c r="I33" s="10">
        <f>2000+1880</f>
        <v>3880</v>
      </c>
      <c r="J33" s="10">
        <v>3980</v>
      </c>
      <c r="K33" s="10">
        <f>3480+5000</f>
        <v>8480</v>
      </c>
      <c r="L33" s="10">
        <f>6260+2520</f>
        <v>8780</v>
      </c>
      <c r="M33" s="10">
        <f>1120+11780</f>
        <v>12900</v>
      </c>
      <c r="N33" s="10">
        <f>720+5680</f>
        <v>6400</v>
      </c>
      <c r="O33" s="10">
        <f>6180+2260</f>
        <v>8440</v>
      </c>
      <c r="P33" s="10">
        <f>6220+4940</f>
        <v>11160</v>
      </c>
      <c r="Q33" s="10">
        <v>960</v>
      </c>
      <c r="R33" s="10">
        <f>1820+8100</f>
        <v>9920</v>
      </c>
      <c r="S33" s="10">
        <f>2700+7180</f>
        <v>9880</v>
      </c>
      <c r="T33" s="10">
        <f>2300+8520</f>
        <v>10820</v>
      </c>
      <c r="U33" s="10">
        <f>2440+4580</f>
        <v>7020</v>
      </c>
      <c r="V33" s="10">
        <f>4040+2900</f>
        <v>6940</v>
      </c>
      <c r="W33" s="10">
        <f>2820+9780</f>
        <v>12600</v>
      </c>
      <c r="X33" s="10">
        <v>1280</v>
      </c>
      <c r="Y33" s="10">
        <f>1080+5560</f>
        <v>6640</v>
      </c>
      <c r="Z33" s="10">
        <f>4160+5720</f>
        <v>9880</v>
      </c>
      <c r="AA33" s="10">
        <f>5000+4040</f>
        <v>9040</v>
      </c>
      <c r="AB33" s="10">
        <v>2700</v>
      </c>
      <c r="AC33" s="10"/>
      <c r="AD33" s="10"/>
      <c r="AE33" s="26"/>
      <c r="AF33" s="10">
        <f t="shared" si="6"/>
        <v>220</v>
      </c>
      <c r="AG33" s="10">
        <f t="shared" si="0"/>
        <v>156960</v>
      </c>
      <c r="AH33" s="14">
        <f>14960+44920</f>
        <v>59880</v>
      </c>
      <c r="AI33" s="10">
        <f>+AF33+AG33-AH33</f>
        <v>97300</v>
      </c>
      <c r="AJ33" s="27"/>
      <c r="AK33" s="6">
        <f>113960-44920+1080+5560+4160+5720+5000+4040+2700</f>
        <v>97300</v>
      </c>
      <c r="AL33" s="18">
        <f t="shared" si="2"/>
        <v>0</v>
      </c>
      <c r="AM33" s="60"/>
      <c r="AN33" s="65"/>
      <c r="AO33" s="60"/>
      <c r="AP33" s="27"/>
      <c r="AQ33" s="27">
        <f t="shared" si="3"/>
        <v>0</v>
      </c>
      <c r="AR33" s="27">
        <f t="shared" si="4"/>
        <v>-59880</v>
      </c>
      <c r="AZ33" s="8"/>
    </row>
    <row r="34" spans="1:59" x14ac:dyDescent="0.3">
      <c r="A34" s="11">
        <f t="shared" si="25"/>
        <v>32</v>
      </c>
      <c r="B34" s="101" t="s">
        <v>16</v>
      </c>
      <c r="C34" s="12" t="s">
        <v>17</v>
      </c>
      <c r="D34" s="57">
        <v>11080</v>
      </c>
      <c r="E34" s="10">
        <f>620+0</f>
        <v>620</v>
      </c>
      <c r="F34" s="10">
        <f>220+400</f>
        <v>620</v>
      </c>
      <c r="G34" s="10">
        <f>40+280</f>
        <v>320</v>
      </c>
      <c r="H34" s="10">
        <v>720</v>
      </c>
      <c r="I34" s="10">
        <f>300+2000</f>
        <v>2300</v>
      </c>
      <c r="J34" s="10">
        <v>220</v>
      </c>
      <c r="K34" s="10">
        <f>800+1000</f>
        <v>1800</v>
      </c>
      <c r="L34" s="10">
        <f>1560+2060</f>
        <v>3620</v>
      </c>
      <c r="M34" s="10">
        <f>1440+840</f>
        <v>2280</v>
      </c>
      <c r="N34" s="10">
        <v>100</v>
      </c>
      <c r="O34" s="10"/>
      <c r="P34" s="10">
        <v>2020</v>
      </c>
      <c r="Q34" s="10">
        <v>740</v>
      </c>
      <c r="R34" s="10">
        <v>0</v>
      </c>
      <c r="S34" s="10">
        <v>40</v>
      </c>
      <c r="T34" s="10">
        <v>100</v>
      </c>
      <c r="U34" s="10">
        <f>320+60</f>
        <v>380</v>
      </c>
      <c r="V34" s="10">
        <v>40</v>
      </c>
      <c r="W34" s="10">
        <v>40</v>
      </c>
      <c r="X34" s="10">
        <v>60</v>
      </c>
      <c r="Y34" s="10"/>
      <c r="Z34" s="10">
        <v>60</v>
      </c>
      <c r="AA34" s="10">
        <f>100+100</f>
        <v>200</v>
      </c>
      <c r="AB34" s="10">
        <v>160</v>
      </c>
      <c r="AC34" s="10"/>
      <c r="AD34" s="10"/>
      <c r="AE34" s="26"/>
      <c r="AF34" s="10">
        <f t="shared" si="6"/>
        <v>11080</v>
      </c>
      <c r="AG34" s="10">
        <f t="shared" si="0"/>
        <v>16440</v>
      </c>
      <c r="AH34" s="14">
        <v>25360</v>
      </c>
      <c r="AI34" s="10">
        <f>+AF34+AG34-AH34</f>
        <v>2160</v>
      </c>
      <c r="AJ34" s="27"/>
      <c r="AK34" s="6">
        <f>27100+60+100+100+160-25360</f>
        <v>2160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-25360</v>
      </c>
    </row>
    <row r="35" spans="1:59" x14ac:dyDescent="0.3">
      <c r="A35" s="11">
        <f t="shared" si="25"/>
        <v>33</v>
      </c>
      <c r="B35" s="101" t="s">
        <v>18</v>
      </c>
      <c r="C35" s="12" t="s">
        <v>19</v>
      </c>
      <c r="D35" s="57">
        <v>740</v>
      </c>
      <c r="E35" s="10"/>
      <c r="F35" s="10">
        <f>140+660</f>
        <v>800</v>
      </c>
      <c r="G35" s="10">
        <f>300+300</f>
        <v>600</v>
      </c>
      <c r="H35" s="10">
        <v>800</v>
      </c>
      <c r="I35" s="10">
        <f>780+500</f>
        <v>1280</v>
      </c>
      <c r="J35" s="10">
        <v>720</v>
      </c>
      <c r="K35" s="10">
        <f>440+740</f>
        <v>1180</v>
      </c>
      <c r="L35" s="10">
        <f>680+640</f>
        <v>1320</v>
      </c>
      <c r="M35" s="10">
        <v>1180</v>
      </c>
      <c r="N35" s="10">
        <f>140+680</f>
        <v>820</v>
      </c>
      <c r="O35" s="10">
        <f>520+140</f>
        <v>660</v>
      </c>
      <c r="P35" s="10">
        <f>580+640</f>
        <v>1220</v>
      </c>
      <c r="Q35" s="10">
        <v>200</v>
      </c>
      <c r="R35" s="10">
        <v>340</v>
      </c>
      <c r="S35" s="10">
        <f>120+460</f>
        <v>580</v>
      </c>
      <c r="T35" s="10">
        <f>260+440</f>
        <v>700</v>
      </c>
      <c r="U35" s="10">
        <v>720</v>
      </c>
      <c r="V35" s="10">
        <f>620+460</f>
        <v>1080</v>
      </c>
      <c r="W35" s="10">
        <f>360+420</f>
        <v>780</v>
      </c>
      <c r="X35" s="10">
        <v>160</v>
      </c>
      <c r="Y35" s="10">
        <v>180</v>
      </c>
      <c r="Z35" s="10">
        <f>240+200</f>
        <v>440</v>
      </c>
      <c r="AA35" s="10">
        <v>210</v>
      </c>
      <c r="AB35" s="10"/>
      <c r="AC35" s="10"/>
      <c r="AD35" s="10"/>
      <c r="AE35" s="26"/>
      <c r="AF35" s="10">
        <f t="shared" si="6"/>
        <v>740</v>
      </c>
      <c r="AG35" s="10">
        <f t="shared" si="0"/>
        <v>15970</v>
      </c>
      <c r="AH35" s="14">
        <f>1500+9080</f>
        <v>10580</v>
      </c>
      <c r="AI35" s="10">
        <f t="shared" si="1"/>
        <v>6130</v>
      </c>
      <c r="AJ35" s="27"/>
      <c r="AK35" s="6">
        <f>14380+180+240+200+210-9080</f>
        <v>6130</v>
      </c>
      <c r="AL35" s="18">
        <f t="shared" si="2"/>
        <v>0</v>
      </c>
      <c r="AM35" s="60"/>
      <c r="AN35" s="65"/>
      <c r="AO35" s="60"/>
      <c r="AP35" s="27"/>
      <c r="AQ35" s="27">
        <f t="shared" si="3"/>
        <v>0</v>
      </c>
      <c r="AR35" s="27">
        <f t="shared" si="4"/>
        <v>-10580</v>
      </c>
    </row>
    <row r="36" spans="1:59" x14ac:dyDescent="0.3">
      <c r="A36" s="11">
        <f t="shared" si="25"/>
        <v>34</v>
      </c>
      <c r="B36" s="101" t="s">
        <v>49</v>
      </c>
      <c r="C36" s="12" t="s">
        <v>50</v>
      </c>
      <c r="D36" s="57">
        <v>267680</v>
      </c>
      <c r="E36" s="10">
        <v>3660</v>
      </c>
      <c r="F36" s="10">
        <f>800+2720</f>
        <v>3520</v>
      </c>
      <c r="G36" s="10">
        <f>500+1000</f>
        <v>1500</v>
      </c>
      <c r="H36" s="10">
        <v>2080</v>
      </c>
      <c r="I36" s="10">
        <v>3620</v>
      </c>
      <c r="J36" s="10">
        <v>220</v>
      </c>
      <c r="K36" s="10">
        <f>1120+1080</f>
        <v>2200</v>
      </c>
      <c r="L36" s="10">
        <f>1560+1060</f>
        <v>2620</v>
      </c>
      <c r="M36" s="10">
        <f>560+1220</f>
        <v>1780</v>
      </c>
      <c r="N36" s="10">
        <f>440+1500</f>
        <v>1940</v>
      </c>
      <c r="O36" s="10">
        <f>340+520</f>
        <v>860</v>
      </c>
      <c r="P36" s="10">
        <v>120</v>
      </c>
      <c r="Q36" s="10">
        <v>1160</v>
      </c>
      <c r="R36" s="10">
        <v>480</v>
      </c>
      <c r="S36" s="10">
        <v>220</v>
      </c>
      <c r="T36" s="10">
        <v>720</v>
      </c>
      <c r="U36" s="10">
        <f>720+300</f>
        <v>1020</v>
      </c>
      <c r="V36" s="10">
        <v>640</v>
      </c>
      <c r="W36" s="10">
        <v>420</v>
      </c>
      <c r="X36" s="10">
        <v>1300</v>
      </c>
      <c r="Y36" s="10"/>
      <c r="Z36" s="10">
        <v>920</v>
      </c>
      <c r="AA36" s="10">
        <v>160</v>
      </c>
      <c r="AB36" s="10">
        <v>480</v>
      </c>
      <c r="AC36" s="10"/>
      <c r="AD36" s="10"/>
      <c r="AE36" s="26"/>
      <c r="AF36" s="10">
        <f t="shared" si="6"/>
        <v>267680</v>
      </c>
      <c r="AG36" s="10">
        <f t="shared" si="0"/>
        <v>31640</v>
      </c>
      <c r="AH36" s="14">
        <f>189000+105260</f>
        <v>294260</v>
      </c>
      <c r="AI36" s="10">
        <f t="shared" si="1"/>
        <v>5060</v>
      </c>
      <c r="AJ36" s="27"/>
      <c r="AK36" s="6">
        <f>3500+920+160+480</f>
        <v>5060</v>
      </c>
      <c r="AL36" s="18">
        <f t="shared" si="2"/>
        <v>0</v>
      </c>
      <c r="AM36" s="14">
        <f>135000+159260</f>
        <v>294260</v>
      </c>
      <c r="AN36" s="65"/>
      <c r="AO36" s="60"/>
      <c r="AP36" s="27"/>
      <c r="AQ36" s="27">
        <f t="shared" si="3"/>
        <v>294260</v>
      </c>
      <c r="AR36" s="27">
        <f t="shared" si="4"/>
        <v>0</v>
      </c>
    </row>
    <row r="37" spans="1:59" ht="15.6" customHeight="1" x14ac:dyDescent="0.3">
      <c r="A37" s="11">
        <f t="shared" si="25"/>
        <v>35</v>
      </c>
      <c r="B37" s="101">
        <v>10009658</v>
      </c>
      <c r="C37" s="12" t="s">
        <v>68</v>
      </c>
      <c r="D37" s="57">
        <v>1960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26"/>
      <c r="AF37" s="10">
        <f t="shared" si="6"/>
        <v>1960</v>
      </c>
      <c r="AG37" s="10">
        <f t="shared" si="0"/>
        <v>0</v>
      </c>
      <c r="AH37" s="14"/>
      <c r="AI37" s="10">
        <f>+AF37+AG37-AH37</f>
        <v>1960</v>
      </c>
      <c r="AJ37" s="27"/>
      <c r="AK37" s="6">
        <v>1960</v>
      </c>
      <c r="AL37" s="18">
        <f t="shared" si="2"/>
        <v>0</v>
      </c>
      <c r="AM37" s="60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59" x14ac:dyDescent="0.3">
      <c r="A38" s="11">
        <f t="shared" si="25"/>
        <v>36</v>
      </c>
      <c r="B38" s="101">
        <v>10009639</v>
      </c>
      <c r="C38" s="12" t="s">
        <v>69</v>
      </c>
      <c r="D38" s="57">
        <v>44660</v>
      </c>
      <c r="E38" s="10">
        <v>1780</v>
      </c>
      <c r="F38" s="10">
        <f>460+1520</f>
        <v>1980</v>
      </c>
      <c r="G38" s="10">
        <f>380+500</f>
        <v>880</v>
      </c>
      <c r="H38" s="10">
        <v>1220</v>
      </c>
      <c r="I38" s="10">
        <f>140+1840</f>
        <v>1980</v>
      </c>
      <c r="J38" s="10">
        <v>140</v>
      </c>
      <c r="K38" s="10">
        <f>160+1340</f>
        <v>1500</v>
      </c>
      <c r="L38" s="10">
        <f>900+700</f>
        <v>1600</v>
      </c>
      <c r="M38" s="10">
        <f>300+640</f>
        <v>940</v>
      </c>
      <c r="N38" s="10">
        <f>200+860</f>
        <v>1060</v>
      </c>
      <c r="O38" s="10">
        <f>80+460</f>
        <v>540</v>
      </c>
      <c r="P38" s="10"/>
      <c r="Q38" s="10">
        <v>720</v>
      </c>
      <c r="R38" s="10">
        <v>560</v>
      </c>
      <c r="S38" s="10">
        <v>80</v>
      </c>
      <c r="T38" s="10">
        <v>240</v>
      </c>
      <c r="U38" s="10">
        <v>300</v>
      </c>
      <c r="V38" s="10">
        <f>140+740</f>
        <v>880</v>
      </c>
      <c r="W38" s="10">
        <v>260</v>
      </c>
      <c r="X38" s="10">
        <v>860</v>
      </c>
      <c r="Y38" s="10"/>
      <c r="Z38" s="10">
        <v>480</v>
      </c>
      <c r="AA38" s="10">
        <f>40+320</f>
        <v>360</v>
      </c>
      <c r="AB38" s="10">
        <v>140</v>
      </c>
      <c r="AC38" s="10"/>
      <c r="AD38" s="10"/>
      <c r="AE38" s="26"/>
      <c r="AF38" s="10">
        <f t="shared" si="6"/>
        <v>44660</v>
      </c>
      <c r="AG38" s="10">
        <f t="shared" si="0"/>
        <v>18500</v>
      </c>
      <c r="AH38" s="14">
        <f>54000+2740</f>
        <v>56740</v>
      </c>
      <c r="AI38" s="10">
        <f>+AF38+AG38-AH38</f>
        <v>6420</v>
      </c>
      <c r="AJ38" s="27"/>
      <c r="AK38" s="6">
        <f>5440+480+40+320+140</f>
        <v>6420</v>
      </c>
      <c r="AL38" s="18">
        <f t="shared" si="2"/>
        <v>0</v>
      </c>
      <c r="AM38" s="60"/>
      <c r="AN38" s="65"/>
      <c r="AO38" s="60"/>
      <c r="AP38" s="27"/>
      <c r="AQ38" s="27">
        <f t="shared" si="3"/>
        <v>0</v>
      </c>
      <c r="AR38" s="27">
        <f t="shared" si="4"/>
        <v>-56740</v>
      </c>
    </row>
    <row r="39" spans="1:59" x14ac:dyDescent="0.3">
      <c r="A39" s="11">
        <f t="shared" si="25"/>
        <v>37</v>
      </c>
      <c r="B39" s="101"/>
      <c r="C39" s="12" t="s">
        <v>19</v>
      </c>
      <c r="D39" s="57">
        <v>0</v>
      </c>
      <c r="E39" s="10">
        <v>300</v>
      </c>
      <c r="F39" s="10">
        <v>160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26"/>
      <c r="AF39" s="10">
        <f t="shared" si="6"/>
        <v>0</v>
      </c>
      <c r="AG39" s="10">
        <f t="shared" si="0"/>
        <v>460</v>
      </c>
      <c r="AH39" s="14"/>
      <c r="AI39" s="10">
        <f t="shared" ref="AI39:AI41" si="26">+AF39+AG39-AH39</f>
        <v>460</v>
      </c>
      <c r="AJ39" s="27"/>
      <c r="AK39" s="6">
        <v>460</v>
      </c>
      <c r="AL39" s="18">
        <f t="shared" si="2"/>
        <v>0</v>
      </c>
      <c r="AM39" s="60"/>
      <c r="AN39" s="65"/>
      <c r="AO39" s="60"/>
      <c r="AP39" s="27"/>
      <c r="AQ39" s="27"/>
      <c r="AR39" s="27"/>
    </row>
    <row r="40" spans="1:59" x14ac:dyDescent="0.3">
      <c r="A40" s="11">
        <f t="shared" si="25"/>
        <v>38</v>
      </c>
      <c r="B40" s="101">
        <v>10009914</v>
      </c>
      <c r="C40" s="12" t="s">
        <v>15</v>
      </c>
      <c r="D40" s="57">
        <v>0</v>
      </c>
      <c r="E40" s="10">
        <v>1060</v>
      </c>
      <c r="F40" s="10">
        <v>660</v>
      </c>
      <c r="G40" s="10">
        <v>280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26"/>
      <c r="AF40" s="10">
        <f t="shared" si="6"/>
        <v>0</v>
      </c>
      <c r="AG40" s="10">
        <f t="shared" si="0"/>
        <v>2000</v>
      </c>
      <c r="AH40" s="14"/>
      <c r="AI40" s="10">
        <f t="shared" si="26"/>
        <v>2000</v>
      </c>
      <c r="AJ40" s="27"/>
      <c r="AK40" s="6">
        <v>2000</v>
      </c>
      <c r="AL40" s="18">
        <f t="shared" si="2"/>
        <v>0</v>
      </c>
      <c r="AM40" s="60"/>
      <c r="AN40" s="65"/>
      <c r="AO40" s="60"/>
      <c r="AP40" s="27"/>
      <c r="AQ40" s="27"/>
      <c r="AR40" s="27"/>
    </row>
    <row r="41" spans="1:59" x14ac:dyDescent="0.3">
      <c r="A41" s="11">
        <f t="shared" si="25"/>
        <v>39</v>
      </c>
      <c r="B41" s="101">
        <v>10009975</v>
      </c>
      <c r="C41" s="12" t="s">
        <v>115</v>
      </c>
      <c r="D41" s="57">
        <v>0</v>
      </c>
      <c r="E41" s="10"/>
      <c r="F41" s="10"/>
      <c r="G41" s="10"/>
      <c r="H41" s="10"/>
      <c r="I41" s="10">
        <v>2300</v>
      </c>
      <c r="J41" s="10"/>
      <c r="K41" s="10">
        <f>460+960</f>
        <v>1420</v>
      </c>
      <c r="L41" s="10">
        <v>1100</v>
      </c>
      <c r="M41" s="10"/>
      <c r="N41" s="10"/>
      <c r="O41" s="10"/>
      <c r="P41" s="10"/>
      <c r="Q41" s="10"/>
      <c r="R41" s="10"/>
      <c r="S41" s="10"/>
      <c r="T41" s="10"/>
      <c r="U41" s="10">
        <v>1620</v>
      </c>
      <c r="V41" s="10">
        <f>3080+0</f>
        <v>3080</v>
      </c>
      <c r="W41" s="10">
        <f>1640+2240</f>
        <v>3880</v>
      </c>
      <c r="X41" s="10">
        <v>1760</v>
      </c>
      <c r="Y41" s="10">
        <f>320+1320</f>
        <v>1640</v>
      </c>
      <c r="Z41" s="10">
        <f>2280+3040</f>
        <v>5320</v>
      </c>
      <c r="AA41" s="10">
        <f>360+2300</f>
        <v>2660</v>
      </c>
      <c r="AB41" s="10">
        <v>880</v>
      </c>
      <c r="AC41" s="10"/>
      <c r="AD41" s="10"/>
      <c r="AE41" s="26"/>
      <c r="AF41" s="10">
        <f t="shared" si="6"/>
        <v>0</v>
      </c>
      <c r="AG41" s="10">
        <f t="shared" si="0"/>
        <v>25660</v>
      </c>
      <c r="AH41" s="14"/>
      <c r="AI41" s="10">
        <f t="shared" si="26"/>
        <v>25660</v>
      </c>
      <c r="AJ41" s="27"/>
      <c r="AK41" s="6">
        <f>15160+320+1320+2280+3040+360+2300+880</f>
        <v>25660</v>
      </c>
      <c r="AL41" s="18">
        <f t="shared" si="2"/>
        <v>0</v>
      </c>
      <c r="AM41" s="60"/>
      <c r="AN41" s="65"/>
      <c r="AO41" s="60"/>
      <c r="AP41" s="27"/>
      <c r="AQ41" s="27"/>
      <c r="AR41" s="27"/>
    </row>
    <row r="42" spans="1:59" x14ac:dyDescent="0.3">
      <c r="A42" s="11">
        <f t="shared" si="25"/>
        <v>40</v>
      </c>
      <c r="B42" s="101">
        <v>10009989</v>
      </c>
      <c r="C42" s="12" t="s">
        <v>117</v>
      </c>
      <c r="D42" s="57">
        <v>0</v>
      </c>
      <c r="E42" s="10"/>
      <c r="F42" s="10"/>
      <c r="G42" s="10"/>
      <c r="H42" s="10"/>
      <c r="I42" s="10"/>
      <c r="J42" s="10"/>
      <c r="K42" s="10"/>
      <c r="L42" s="10"/>
      <c r="M42" s="10">
        <f>440+3180</f>
        <v>3620</v>
      </c>
      <c r="N42" s="10">
        <f>660+4280</f>
        <v>4940</v>
      </c>
      <c r="O42" s="10">
        <f>4400+1540</f>
        <v>5940</v>
      </c>
      <c r="P42" s="10">
        <f>2960+2460</f>
        <v>5420</v>
      </c>
      <c r="Q42" s="10">
        <v>20</v>
      </c>
      <c r="R42" s="10">
        <f>1200+8180</f>
        <v>9380</v>
      </c>
      <c r="S42" s="10">
        <f>1880+5620</f>
        <v>7500</v>
      </c>
      <c r="T42" s="10">
        <f>2260+6280</f>
        <v>8540</v>
      </c>
      <c r="U42" s="10">
        <f>2380+3680</f>
        <v>6060</v>
      </c>
      <c r="V42" s="10">
        <f>2760+3960</f>
        <v>6720</v>
      </c>
      <c r="W42" s="10">
        <f>2660+7680</f>
        <v>10340</v>
      </c>
      <c r="X42" s="10">
        <v>2880</v>
      </c>
      <c r="Y42" s="10">
        <f>1100+5340</f>
        <v>6440</v>
      </c>
      <c r="Z42" s="10">
        <f>4620+5560</f>
        <v>10180</v>
      </c>
      <c r="AA42" s="10">
        <f>6180+5640</f>
        <v>11820</v>
      </c>
      <c r="AB42" s="10">
        <v>4160</v>
      </c>
      <c r="AC42" s="10"/>
      <c r="AD42" s="10"/>
      <c r="AE42" s="26"/>
      <c r="AF42" s="10">
        <f t="shared" si="6"/>
        <v>0</v>
      </c>
      <c r="AG42" s="10">
        <f t="shared" ref="AG42" si="27">SUM(E42:AD42)</f>
        <v>103960</v>
      </c>
      <c r="AH42" s="14">
        <v>10540</v>
      </c>
      <c r="AI42" s="10">
        <f t="shared" ref="AI42" si="28">+AF42+AG42-AH42</f>
        <v>93420</v>
      </c>
      <c r="AJ42" s="27"/>
      <c r="AK42" s="6">
        <f>60820+1100+5340+4620+5560+6180+5640+4160</f>
        <v>93420</v>
      </c>
      <c r="AL42" s="18">
        <f t="shared" si="2"/>
        <v>0</v>
      </c>
      <c r="AM42" s="60"/>
      <c r="AN42" s="65"/>
      <c r="AO42" s="60"/>
      <c r="AP42" s="27"/>
      <c r="AQ42" s="27"/>
      <c r="AR42" s="27"/>
    </row>
    <row r="43" spans="1:59" x14ac:dyDescent="0.3">
      <c r="A43" s="28">
        <f>+A42+1</f>
        <v>41</v>
      </c>
      <c r="B43" s="31" t="s">
        <v>53</v>
      </c>
      <c r="C43" s="31" t="s">
        <v>54</v>
      </c>
      <c r="D43" s="58">
        <v>194440</v>
      </c>
      <c r="E43" s="29">
        <v>1620</v>
      </c>
      <c r="F43" s="29">
        <f>860+2360</f>
        <v>3220</v>
      </c>
      <c r="G43" s="29">
        <f>2040+2340</f>
        <v>4380</v>
      </c>
      <c r="H43" s="29">
        <v>960</v>
      </c>
      <c r="I43" s="29"/>
      <c r="J43" s="29">
        <v>2040</v>
      </c>
      <c r="K43" s="29"/>
      <c r="L43" s="29"/>
      <c r="M43" s="29">
        <f>1580+540</f>
        <v>2120</v>
      </c>
      <c r="N43" s="29">
        <v>2300</v>
      </c>
      <c r="O43" s="29">
        <f>4420+9340</f>
        <v>13760</v>
      </c>
      <c r="P43" s="29"/>
      <c r="Q43" s="29">
        <v>7060</v>
      </c>
      <c r="R43" s="29">
        <f>5580+7660</f>
        <v>13240</v>
      </c>
      <c r="S43" s="29">
        <f>11160+4560</f>
        <v>15720</v>
      </c>
      <c r="T43" s="29">
        <f>10080+1900</f>
        <v>11980</v>
      </c>
      <c r="U43" s="29">
        <f>120+13800</f>
        <v>13920</v>
      </c>
      <c r="V43" s="29">
        <f>10060+7100</f>
        <v>17160</v>
      </c>
      <c r="W43" s="29">
        <f>9400+3740</f>
        <v>13140</v>
      </c>
      <c r="X43" s="29">
        <v>9340</v>
      </c>
      <c r="Y43" s="29">
        <f>5540+4540</f>
        <v>10080</v>
      </c>
      <c r="Z43" s="29">
        <f>8540+4280</f>
        <v>12820</v>
      </c>
      <c r="AA43" s="29">
        <f>8260+880</f>
        <v>9140</v>
      </c>
      <c r="AB43" s="29">
        <f>7640+11460</f>
        <v>19100</v>
      </c>
      <c r="AC43" s="29"/>
      <c r="AD43" s="29"/>
      <c r="AE43" s="26"/>
      <c r="AF43" s="29">
        <f t="shared" si="6"/>
        <v>194440</v>
      </c>
      <c r="AG43" s="29">
        <f t="shared" si="0"/>
        <v>183100</v>
      </c>
      <c r="AH43" s="30">
        <f>27000+150000+25000</f>
        <v>202000</v>
      </c>
      <c r="AI43" s="29">
        <f>+AF43+AG43-AH43</f>
        <v>175540</v>
      </c>
      <c r="AJ43" s="27"/>
      <c r="AK43" s="6">
        <f>124400+5540+4540+8540+4280+8260+880+7640+11460</f>
        <v>175540</v>
      </c>
      <c r="AL43" s="18">
        <f t="shared" si="2"/>
        <v>0</v>
      </c>
      <c r="AM43" s="60"/>
      <c r="AN43" s="65"/>
      <c r="AO43" s="60"/>
      <c r="AP43" s="27"/>
      <c r="AQ43" s="27">
        <f t="shared" si="3"/>
        <v>0</v>
      </c>
      <c r="AR43" s="27">
        <f t="shared" si="4"/>
        <v>-202000</v>
      </c>
    </row>
    <row r="44" spans="1:59" x14ac:dyDescent="0.3">
      <c r="A44" s="28">
        <f t="shared" si="5"/>
        <v>42</v>
      </c>
      <c r="B44" s="31" t="s">
        <v>51</v>
      </c>
      <c r="C44" s="31" t="s">
        <v>52</v>
      </c>
      <c r="D44" s="58">
        <v>21620</v>
      </c>
      <c r="E44" s="29">
        <v>380</v>
      </c>
      <c r="F44" s="29">
        <f>200+440</f>
        <v>640</v>
      </c>
      <c r="G44" s="29">
        <f>480+440</f>
        <v>920</v>
      </c>
      <c r="H44" s="29">
        <v>320</v>
      </c>
      <c r="I44" s="29"/>
      <c r="J44" s="29">
        <v>160</v>
      </c>
      <c r="K44" s="29"/>
      <c r="L44" s="29"/>
      <c r="M44" s="29">
        <v>60</v>
      </c>
      <c r="N44" s="29">
        <v>240</v>
      </c>
      <c r="O44" s="29">
        <v>40</v>
      </c>
      <c r="P44" s="29"/>
      <c r="Q44" s="29">
        <v>20</v>
      </c>
      <c r="R44" s="29"/>
      <c r="S44" s="29">
        <v>60</v>
      </c>
      <c r="T44" s="29">
        <v>20</v>
      </c>
      <c r="U44" s="29"/>
      <c r="V44" s="29">
        <v>20</v>
      </c>
      <c r="W44" s="29">
        <v>80</v>
      </c>
      <c r="X44" s="29"/>
      <c r="Y44" s="29"/>
      <c r="Z44" s="29"/>
      <c r="AA44" s="29"/>
      <c r="AB44" s="29">
        <v>40</v>
      </c>
      <c r="AC44" s="29"/>
      <c r="AD44" s="29"/>
      <c r="AE44" s="26"/>
      <c r="AF44" s="29">
        <f t="shared" si="6"/>
        <v>21620</v>
      </c>
      <c r="AG44" s="29">
        <f t="shared" si="0"/>
        <v>3000</v>
      </c>
      <c r="AH44" s="30">
        <f>12000+2000</f>
        <v>14000</v>
      </c>
      <c r="AI44" s="29">
        <f t="shared" si="1"/>
        <v>10620</v>
      </c>
      <c r="AJ44" s="27"/>
      <c r="AK44" s="6">
        <f>10580+40</f>
        <v>10620</v>
      </c>
      <c r="AL44" s="18">
        <f t="shared" si="2"/>
        <v>0</v>
      </c>
      <c r="AM44" s="60"/>
      <c r="AN44" s="65"/>
      <c r="AO44" s="60"/>
      <c r="AP44" s="27"/>
      <c r="AQ44" s="27">
        <f t="shared" si="3"/>
        <v>0</v>
      </c>
      <c r="AR44" s="27">
        <f t="shared" si="4"/>
        <v>-14000</v>
      </c>
      <c r="BG44" s="5"/>
    </row>
    <row r="45" spans="1:59" x14ac:dyDescent="0.3">
      <c r="A45" s="28">
        <f t="shared" si="5"/>
        <v>43</v>
      </c>
      <c r="B45" s="31" t="s">
        <v>38</v>
      </c>
      <c r="C45" s="31" t="s">
        <v>39</v>
      </c>
      <c r="D45" s="58">
        <v>260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6"/>
      <c r="AF45" s="29">
        <f t="shared" si="6"/>
        <v>260</v>
      </c>
      <c r="AG45" s="29">
        <f t="shared" si="0"/>
        <v>0</v>
      </c>
      <c r="AH45" s="30"/>
      <c r="AI45" s="29">
        <f t="shared" si="1"/>
        <v>260</v>
      </c>
      <c r="AJ45" s="27"/>
      <c r="AK45" s="6">
        <v>260</v>
      </c>
      <c r="AL45" s="18">
        <f t="shared" si="2"/>
        <v>0</v>
      </c>
      <c r="AM45" s="60"/>
      <c r="AN45" s="65"/>
      <c r="AO45" s="60"/>
      <c r="AP45" s="27"/>
      <c r="AQ45" s="27">
        <f t="shared" si="3"/>
        <v>0</v>
      </c>
      <c r="AR45" s="27">
        <f t="shared" si="4"/>
        <v>0</v>
      </c>
      <c r="BG45" s="5"/>
    </row>
    <row r="46" spans="1:59" x14ac:dyDescent="0.3">
      <c r="A46" s="28">
        <f t="shared" si="5"/>
        <v>44</v>
      </c>
      <c r="B46" s="31">
        <v>10007050</v>
      </c>
      <c r="C46" s="31" t="s">
        <v>87</v>
      </c>
      <c r="D46" s="58">
        <v>49620</v>
      </c>
      <c r="E46" s="29"/>
      <c r="F46" s="36">
        <f>400+400</f>
        <v>800</v>
      </c>
      <c r="G46" s="36">
        <f>40+2140</f>
        <v>2180</v>
      </c>
      <c r="H46" s="36">
        <v>200</v>
      </c>
      <c r="I46" s="36"/>
      <c r="J46" s="36">
        <v>720</v>
      </c>
      <c r="K46" s="36"/>
      <c r="L46" s="36"/>
      <c r="M46" s="36">
        <f>680+260</f>
        <v>940</v>
      </c>
      <c r="N46" s="36">
        <f>460+240</f>
        <v>700</v>
      </c>
      <c r="O46" s="36">
        <f>560+780</f>
        <v>1340</v>
      </c>
      <c r="P46" s="36"/>
      <c r="Q46" s="36">
        <v>760</v>
      </c>
      <c r="R46" s="36">
        <f>40+100</f>
        <v>140</v>
      </c>
      <c r="S46" s="29">
        <f>360+980</f>
        <v>1340</v>
      </c>
      <c r="T46" s="36">
        <f>300+1440</f>
        <v>1740</v>
      </c>
      <c r="U46" s="36">
        <f>40+40</f>
        <v>80</v>
      </c>
      <c r="V46" s="36">
        <f>1020+180</f>
        <v>1200</v>
      </c>
      <c r="W46" s="36">
        <f>360+100</f>
        <v>460</v>
      </c>
      <c r="X46" s="36">
        <v>940</v>
      </c>
      <c r="Y46" s="36">
        <f>360+40</f>
        <v>400</v>
      </c>
      <c r="Z46" s="36">
        <f>200+1100</f>
        <v>1300</v>
      </c>
      <c r="AA46" s="36">
        <f>1080+780</f>
        <v>1860</v>
      </c>
      <c r="AB46" s="36">
        <f>40+1540</f>
        <v>1580</v>
      </c>
      <c r="AC46" s="36">
        <f>6*20</f>
        <v>120</v>
      </c>
      <c r="AD46" s="36"/>
      <c r="AE46" s="27"/>
      <c r="AF46" s="29">
        <f t="shared" si="6"/>
        <v>49620</v>
      </c>
      <c r="AG46" s="29">
        <f t="shared" si="0"/>
        <v>18800</v>
      </c>
      <c r="AH46" s="30">
        <v>26120</v>
      </c>
      <c r="AI46" s="29">
        <f t="shared" si="1"/>
        <v>42300</v>
      </c>
      <c r="AJ46" s="27"/>
      <c r="AK46" s="6">
        <f>37040+360+40+200+1100+1080+780+40+1540</f>
        <v>42180</v>
      </c>
      <c r="AL46" s="18">
        <f t="shared" si="2"/>
        <v>120</v>
      </c>
      <c r="AM46" s="60"/>
      <c r="AN46" s="65"/>
      <c r="AO46" s="60"/>
      <c r="AP46" s="27"/>
      <c r="AQ46" s="27">
        <f t="shared" si="3"/>
        <v>0</v>
      </c>
      <c r="AR46" s="27">
        <f t="shared" si="4"/>
        <v>-26120</v>
      </c>
      <c r="BG46" s="5"/>
    </row>
    <row r="47" spans="1:59" ht="18.600000000000001" customHeight="1" x14ac:dyDescent="0.3">
      <c r="A47" s="43">
        <f>+A46+1</f>
        <v>45</v>
      </c>
      <c r="B47" s="44"/>
      <c r="C47" s="44" t="s">
        <v>81</v>
      </c>
      <c r="D47" s="59">
        <v>9450</v>
      </c>
      <c r="E47" s="42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1"/>
      <c r="AF47" s="42">
        <f t="shared" si="6"/>
        <v>9450</v>
      </c>
      <c r="AG47" s="42">
        <f t="shared" si="0"/>
        <v>0</v>
      </c>
      <c r="AH47" s="92">
        <v>9450</v>
      </c>
      <c r="AI47" s="42">
        <f t="shared" si="1"/>
        <v>0</v>
      </c>
      <c r="AJ47" s="27"/>
      <c r="AK47" s="18"/>
      <c r="AL47" s="18">
        <f t="shared" si="2"/>
        <v>0</v>
      </c>
      <c r="AM47" s="60"/>
      <c r="AN47" s="65"/>
      <c r="AO47" s="60"/>
      <c r="AP47" s="27"/>
      <c r="AQ47" s="27">
        <f t="shared" si="3"/>
        <v>0</v>
      </c>
      <c r="AR47" s="27">
        <f t="shared" si="4"/>
        <v>-9450</v>
      </c>
    </row>
    <row r="48" spans="1:59" ht="18.600000000000001" customHeight="1" x14ac:dyDescent="0.3">
      <c r="A48" s="43">
        <f t="shared" si="5"/>
        <v>46</v>
      </c>
      <c r="B48" s="44"/>
      <c r="C48" s="44" t="s">
        <v>107</v>
      </c>
      <c r="D48" s="59">
        <v>3460</v>
      </c>
      <c r="E48" s="42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1"/>
      <c r="AF48" s="42">
        <f t="shared" si="6"/>
        <v>3460</v>
      </c>
      <c r="AG48" s="42">
        <f t="shared" si="0"/>
        <v>0</v>
      </c>
      <c r="AH48" s="92">
        <v>3460</v>
      </c>
      <c r="AI48" s="42">
        <f t="shared" si="1"/>
        <v>0</v>
      </c>
      <c r="AJ48" s="27"/>
      <c r="AK48" s="18"/>
      <c r="AL48" s="18">
        <f t="shared" si="2"/>
        <v>0</v>
      </c>
      <c r="AM48" s="60"/>
      <c r="AN48" s="65"/>
      <c r="AO48" s="60"/>
      <c r="AP48" s="27"/>
      <c r="AQ48" s="27">
        <f t="shared" si="3"/>
        <v>0</v>
      </c>
      <c r="AR48" s="27">
        <f t="shared" si="4"/>
        <v>-3460</v>
      </c>
    </row>
    <row r="49" spans="1:60" x14ac:dyDescent="0.3">
      <c r="A49" s="43">
        <f t="shared" si="5"/>
        <v>47</v>
      </c>
      <c r="B49" s="44"/>
      <c r="C49" s="44" t="s">
        <v>106</v>
      </c>
      <c r="D49" s="59">
        <v>2380</v>
      </c>
      <c r="E49" s="42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1"/>
      <c r="AF49" s="42">
        <f t="shared" si="6"/>
        <v>2380</v>
      </c>
      <c r="AG49" s="42">
        <f t="shared" si="0"/>
        <v>0</v>
      </c>
      <c r="AH49" s="92">
        <v>2380</v>
      </c>
      <c r="AI49" s="42">
        <f t="shared" si="1"/>
        <v>0</v>
      </c>
      <c r="AJ49" s="27"/>
      <c r="AK49" s="18"/>
      <c r="AL49" s="18">
        <f t="shared" si="2"/>
        <v>0</v>
      </c>
      <c r="AM49" s="60"/>
      <c r="AN49" s="65"/>
      <c r="AO49" s="60"/>
      <c r="AP49" s="27"/>
      <c r="AQ49" s="27">
        <f t="shared" si="3"/>
        <v>0</v>
      </c>
      <c r="AR49" s="27">
        <f t="shared" si="4"/>
        <v>-2380</v>
      </c>
    </row>
    <row r="50" spans="1:60" x14ac:dyDescent="0.3">
      <c r="A50" s="43">
        <f t="shared" si="5"/>
        <v>48</v>
      </c>
      <c r="B50" s="44"/>
      <c r="C50" s="44" t="s">
        <v>105</v>
      </c>
      <c r="D50" s="59">
        <v>2200</v>
      </c>
      <c r="E50" s="42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1"/>
      <c r="AF50" s="42">
        <f t="shared" si="6"/>
        <v>2200</v>
      </c>
      <c r="AG50" s="42">
        <f t="shared" si="0"/>
        <v>0</v>
      </c>
      <c r="AH50" s="92">
        <v>2200</v>
      </c>
      <c r="AI50" s="42">
        <f t="shared" si="1"/>
        <v>0</v>
      </c>
      <c r="AJ50" s="27"/>
      <c r="AK50" s="18"/>
      <c r="AL50" s="18">
        <f t="shared" si="2"/>
        <v>0</v>
      </c>
      <c r="AM50" s="60"/>
      <c r="AN50" s="65"/>
      <c r="AO50" s="60"/>
      <c r="AP50" s="27"/>
      <c r="AQ50" s="27">
        <f t="shared" si="3"/>
        <v>0</v>
      </c>
      <c r="AR50" s="27">
        <f t="shared" si="4"/>
        <v>-2200</v>
      </c>
    </row>
    <row r="51" spans="1:60" s="15" customFormat="1" x14ac:dyDescent="0.25">
      <c r="A51" s="103">
        <f>+A50+1</f>
        <v>49</v>
      </c>
      <c r="B51" s="104">
        <v>10009337</v>
      </c>
      <c r="C51" s="104" t="s">
        <v>62</v>
      </c>
      <c r="D51" s="105">
        <v>21210</v>
      </c>
      <c r="E51" s="106"/>
      <c r="F51" s="107">
        <v>345</v>
      </c>
      <c r="G51" s="107">
        <v>1230</v>
      </c>
      <c r="H51" s="107">
        <v>180</v>
      </c>
      <c r="I51" s="107"/>
      <c r="J51" s="107">
        <v>300</v>
      </c>
      <c r="K51" s="107"/>
      <c r="L51" s="107"/>
      <c r="M51" s="107">
        <v>690</v>
      </c>
      <c r="N51" s="107">
        <v>180</v>
      </c>
      <c r="O51" s="107">
        <f>570+1230</f>
        <v>1800</v>
      </c>
      <c r="P51" s="107"/>
      <c r="Q51" s="107">
        <v>855</v>
      </c>
      <c r="R51" s="107">
        <f>240+2175</f>
        <v>2415</v>
      </c>
      <c r="S51" s="107">
        <f>120+1800</f>
        <v>1920</v>
      </c>
      <c r="T51" s="107">
        <f>1935+0</f>
        <v>1935</v>
      </c>
      <c r="U51" s="107">
        <f>900+1335</f>
        <v>2235</v>
      </c>
      <c r="V51" s="107">
        <v>1545</v>
      </c>
      <c r="W51" s="107">
        <f>615+2625</f>
        <v>3240</v>
      </c>
      <c r="X51" s="107"/>
      <c r="Y51" s="107">
        <f>2295+120</f>
        <v>2415</v>
      </c>
      <c r="Z51" s="107">
        <f>1500+1125</f>
        <v>2625</v>
      </c>
      <c r="AA51" s="107">
        <v>2535</v>
      </c>
      <c r="AB51" s="107">
        <v>1830</v>
      </c>
      <c r="AC51" s="107">
        <f>38*15</f>
        <v>570</v>
      </c>
      <c r="AD51" s="107"/>
      <c r="AE51" s="108"/>
      <c r="AF51" s="107">
        <f t="shared" si="6"/>
        <v>21210</v>
      </c>
      <c r="AG51" s="106">
        <f t="shared" si="0"/>
        <v>28845</v>
      </c>
      <c r="AH51" s="109">
        <v>26250</v>
      </c>
      <c r="AI51" s="106">
        <f t="shared" si="1"/>
        <v>23805</v>
      </c>
      <c r="AJ51" s="27">
        <v>52320</v>
      </c>
      <c r="AK51" s="6">
        <f>13830+2295+120+1500+1125+2535+1830</f>
        <v>23235</v>
      </c>
      <c r="AL51" s="18">
        <f t="shared" si="2"/>
        <v>570</v>
      </c>
      <c r="AM51" s="60"/>
      <c r="AN51" s="65"/>
      <c r="AO51" s="60"/>
      <c r="AP51" s="27"/>
      <c r="AQ51" s="27">
        <f t="shared" si="3"/>
        <v>0</v>
      </c>
      <c r="AR51" s="27">
        <f t="shared" si="4"/>
        <v>-26250</v>
      </c>
      <c r="BF51" s="3"/>
      <c r="BG51" s="3"/>
      <c r="BH51" s="3"/>
    </row>
    <row r="52" spans="1:60" s="15" customFormat="1" x14ac:dyDescent="0.25">
      <c r="A52" s="103">
        <f t="shared" ref="A52:A56" si="29">+A51+1</f>
        <v>50</v>
      </c>
      <c r="B52" s="104">
        <v>10009332</v>
      </c>
      <c r="C52" s="104" t="s">
        <v>64</v>
      </c>
      <c r="D52" s="105">
        <v>39360</v>
      </c>
      <c r="E52" s="106"/>
      <c r="F52" s="107">
        <v>345</v>
      </c>
      <c r="G52" s="107">
        <v>1080</v>
      </c>
      <c r="H52" s="107">
        <v>180</v>
      </c>
      <c r="I52" s="107"/>
      <c r="J52" s="107">
        <v>225</v>
      </c>
      <c r="K52" s="107"/>
      <c r="L52" s="107"/>
      <c r="M52" s="107">
        <v>525</v>
      </c>
      <c r="N52" s="107">
        <v>165</v>
      </c>
      <c r="O52" s="107">
        <f>1275+645</f>
        <v>1920</v>
      </c>
      <c r="P52" s="107"/>
      <c r="Q52" s="107">
        <v>600</v>
      </c>
      <c r="R52" s="107">
        <f>840+435</f>
        <v>1275</v>
      </c>
      <c r="S52" s="107">
        <f>285+2595</f>
        <v>2880</v>
      </c>
      <c r="T52" s="107">
        <v>1830</v>
      </c>
      <c r="U52" s="107">
        <f>1170+540</f>
        <v>1710</v>
      </c>
      <c r="V52" s="107">
        <v>1725</v>
      </c>
      <c r="W52" s="107">
        <v>690</v>
      </c>
      <c r="X52" s="107">
        <v>2805</v>
      </c>
      <c r="Y52" s="107">
        <f>1245+900</f>
        <v>2145</v>
      </c>
      <c r="Z52" s="107">
        <v>1935</v>
      </c>
      <c r="AA52" s="107">
        <f>3705+15</f>
        <v>3720</v>
      </c>
      <c r="AB52" s="107">
        <v>525</v>
      </c>
      <c r="AC52" s="107">
        <f>97*15</f>
        <v>1455</v>
      </c>
      <c r="AD52" s="107"/>
      <c r="AE52" s="108"/>
      <c r="AF52" s="107">
        <f t="shared" si="6"/>
        <v>39360</v>
      </c>
      <c r="AG52" s="106">
        <f t="shared" si="0"/>
        <v>27735</v>
      </c>
      <c r="AH52" s="109">
        <f>900+26100</f>
        <v>27000</v>
      </c>
      <c r="AI52" s="106">
        <f t="shared" si="1"/>
        <v>40095</v>
      </c>
      <c r="AJ52" s="27"/>
      <c r="AK52" s="6">
        <f>30315+1245+900+1935+3705+15+525</f>
        <v>38640</v>
      </c>
      <c r="AL52" s="18">
        <f t="shared" si="2"/>
        <v>1455</v>
      </c>
      <c r="AM52" s="60"/>
      <c r="AN52" s="65"/>
      <c r="AO52" s="60"/>
      <c r="AP52" s="27"/>
      <c r="AQ52" s="27">
        <f t="shared" si="3"/>
        <v>0</v>
      </c>
      <c r="AR52" s="27">
        <f t="shared" si="4"/>
        <v>-27000</v>
      </c>
      <c r="BF52" s="3"/>
      <c r="BG52" s="3"/>
      <c r="BH52" s="3"/>
    </row>
    <row r="53" spans="1:60" s="15" customFormat="1" x14ac:dyDescent="0.25">
      <c r="A53" s="23">
        <f t="shared" si="29"/>
        <v>51</v>
      </c>
      <c r="B53" s="32"/>
      <c r="C53" s="32" t="s">
        <v>108</v>
      </c>
      <c r="D53" s="56">
        <v>4920</v>
      </c>
      <c r="E53" s="24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27"/>
      <c r="AF53" s="33">
        <f t="shared" si="6"/>
        <v>4920</v>
      </c>
      <c r="AG53" s="24">
        <f t="shared" si="0"/>
        <v>0</v>
      </c>
      <c r="AH53" s="46">
        <v>4920</v>
      </c>
      <c r="AI53" s="24">
        <f t="shared" si="1"/>
        <v>0</v>
      </c>
      <c r="AJ53" s="27"/>
      <c r="AK53" s="18"/>
      <c r="AL53" s="18">
        <f t="shared" si="2"/>
        <v>0</v>
      </c>
      <c r="AM53" s="60"/>
      <c r="AN53" s="65"/>
      <c r="AO53" s="60"/>
      <c r="AP53" s="27"/>
      <c r="AQ53" s="27"/>
      <c r="AR53" s="27"/>
      <c r="BF53" s="3"/>
      <c r="BG53" s="3"/>
      <c r="BH53" s="3"/>
    </row>
    <row r="54" spans="1:60" s="15" customFormat="1" x14ac:dyDescent="0.25">
      <c r="A54" s="23">
        <f t="shared" si="29"/>
        <v>52</v>
      </c>
      <c r="B54" s="32">
        <v>10009176</v>
      </c>
      <c r="C54" s="32" t="s">
        <v>99</v>
      </c>
      <c r="D54" s="56">
        <v>20</v>
      </c>
      <c r="E54" s="24">
        <v>140</v>
      </c>
      <c r="F54" s="33"/>
      <c r="G54" s="33">
        <v>220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>
        <v>40</v>
      </c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27"/>
      <c r="AF54" s="33">
        <f t="shared" si="6"/>
        <v>20</v>
      </c>
      <c r="AG54" s="24">
        <f t="shared" si="0"/>
        <v>400</v>
      </c>
      <c r="AH54" s="46"/>
      <c r="AI54" s="24">
        <f t="shared" si="1"/>
        <v>420</v>
      </c>
      <c r="AJ54" s="27"/>
      <c r="AK54" s="6">
        <v>420</v>
      </c>
      <c r="AL54" s="18">
        <f t="shared" si="2"/>
        <v>0</v>
      </c>
      <c r="AM54" s="60"/>
      <c r="AN54" s="65"/>
      <c r="AO54" s="60"/>
      <c r="AP54" s="27"/>
      <c r="AQ54" s="27">
        <f t="shared" si="3"/>
        <v>0</v>
      </c>
      <c r="AR54" s="27">
        <f t="shared" si="4"/>
        <v>0</v>
      </c>
      <c r="BF54" s="3"/>
      <c r="BG54" s="3"/>
      <c r="BH54" s="3"/>
    </row>
    <row r="55" spans="1:60" s="15" customFormat="1" x14ac:dyDescent="0.25">
      <c r="A55" s="23">
        <f t="shared" si="29"/>
        <v>53</v>
      </c>
      <c r="B55" s="32">
        <v>10009177</v>
      </c>
      <c r="C55" s="32" t="s">
        <v>120</v>
      </c>
      <c r="D55" s="56">
        <v>2060</v>
      </c>
      <c r="E55" s="24">
        <v>1260</v>
      </c>
      <c r="F55" s="33">
        <v>380</v>
      </c>
      <c r="G55" s="33">
        <f>500+240</f>
        <v>740</v>
      </c>
      <c r="H55" s="33">
        <v>20</v>
      </c>
      <c r="I55" s="33">
        <v>80</v>
      </c>
      <c r="J55" s="33"/>
      <c r="K55" s="33"/>
      <c r="L55" s="33"/>
      <c r="M55" s="33"/>
      <c r="N55" s="33">
        <f>1080+2540</f>
        <v>3620</v>
      </c>
      <c r="O55" s="33">
        <f>3020+240</f>
        <v>3260</v>
      </c>
      <c r="P55" s="33">
        <f>1220+1280</f>
        <v>2500</v>
      </c>
      <c r="Q55" s="33">
        <v>1360</v>
      </c>
      <c r="R55" s="33">
        <v>2920</v>
      </c>
      <c r="S55" s="33">
        <f>660+1700</f>
        <v>2360</v>
      </c>
      <c r="T55" s="33">
        <v>740</v>
      </c>
      <c r="U55" s="33">
        <f>80+360</f>
        <v>440</v>
      </c>
      <c r="V55" s="33">
        <v>20</v>
      </c>
      <c r="W55" s="33">
        <v>700</v>
      </c>
      <c r="X55" s="33">
        <v>800</v>
      </c>
      <c r="Y55" s="33"/>
      <c r="Z55" s="33"/>
      <c r="AA55" s="33"/>
      <c r="AB55" s="33"/>
      <c r="AC55" s="33"/>
      <c r="AD55" s="33"/>
      <c r="AE55" s="27"/>
      <c r="AF55" s="33">
        <f t="shared" si="6"/>
        <v>2060</v>
      </c>
      <c r="AG55" s="24">
        <f t="shared" si="0"/>
        <v>21200</v>
      </c>
      <c r="AH55" s="46">
        <v>700</v>
      </c>
      <c r="AI55" s="24">
        <f t="shared" si="1"/>
        <v>22560</v>
      </c>
      <c r="AJ55" s="27"/>
      <c r="AK55" s="6">
        <f>23260-700</f>
        <v>22560</v>
      </c>
      <c r="AL55" s="18">
        <f t="shared" si="2"/>
        <v>0</v>
      </c>
      <c r="AM55" s="60">
        <v>700</v>
      </c>
      <c r="AN55" s="65"/>
      <c r="AO55" s="60"/>
      <c r="AP55" s="27"/>
      <c r="AQ55" s="27">
        <f t="shared" si="3"/>
        <v>700</v>
      </c>
      <c r="AR55" s="27">
        <f t="shared" si="4"/>
        <v>0</v>
      </c>
      <c r="BF55" s="3"/>
      <c r="BG55" s="3"/>
      <c r="BH55" s="3"/>
    </row>
    <row r="56" spans="1:60" s="15" customFormat="1" x14ac:dyDescent="0.25">
      <c r="A56" s="23">
        <f t="shared" si="29"/>
        <v>54</v>
      </c>
      <c r="B56" s="32">
        <v>10010003</v>
      </c>
      <c r="C56" s="32" t="s">
        <v>98</v>
      </c>
      <c r="D56" s="56"/>
      <c r="E56" s="24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>
        <v>580</v>
      </c>
      <c r="S56" s="33">
        <v>540</v>
      </c>
      <c r="T56" s="33">
        <f>100+1780</f>
        <v>1880</v>
      </c>
      <c r="U56" s="33">
        <v>80</v>
      </c>
      <c r="V56" s="33">
        <v>160</v>
      </c>
      <c r="W56" s="33">
        <v>480</v>
      </c>
      <c r="X56" s="33">
        <v>320</v>
      </c>
      <c r="Y56" s="33"/>
      <c r="Z56" s="33"/>
      <c r="AA56" s="33"/>
      <c r="AB56" s="33"/>
      <c r="AC56" s="33"/>
      <c r="AD56" s="33"/>
      <c r="AE56" s="27"/>
      <c r="AF56" s="33">
        <f t="shared" ref="AF56" si="30">+D56</f>
        <v>0</v>
      </c>
      <c r="AG56" s="24">
        <f t="shared" ref="AG56" si="31">SUM(E56:AD56)</f>
        <v>4040</v>
      </c>
      <c r="AH56" s="46"/>
      <c r="AI56" s="24">
        <f t="shared" ref="AI56" si="32">+AF56+AG56-AH56</f>
        <v>4040</v>
      </c>
      <c r="AJ56" s="27"/>
      <c r="AK56" s="6">
        <v>4040</v>
      </c>
      <c r="AL56" s="18">
        <f t="shared" si="2"/>
        <v>0</v>
      </c>
      <c r="AM56" s="60"/>
      <c r="AN56" s="65"/>
      <c r="AO56" s="60"/>
      <c r="AP56" s="27"/>
      <c r="AQ56" s="27"/>
      <c r="AR56" s="27"/>
      <c r="BF56" s="3"/>
      <c r="BG56" s="3"/>
      <c r="BH56" s="3"/>
    </row>
    <row r="57" spans="1:60" s="15" customFormat="1" x14ac:dyDescent="0.25">
      <c r="A57" s="48">
        <f>+A56+1</f>
        <v>55</v>
      </c>
      <c r="B57" s="49"/>
      <c r="C57" s="49" t="s">
        <v>65</v>
      </c>
      <c r="D57" s="72">
        <v>51.174999999999997</v>
      </c>
      <c r="E57" s="50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2"/>
      <c r="AF57" s="67">
        <f t="shared" si="6"/>
        <v>51.174999999999997</v>
      </c>
      <c r="AG57" s="68">
        <f t="shared" si="0"/>
        <v>0</v>
      </c>
      <c r="AH57" s="69"/>
      <c r="AI57" s="71">
        <f t="shared" si="1"/>
        <v>51.174999999999997</v>
      </c>
      <c r="AJ57" s="70"/>
      <c r="AK57" s="9"/>
      <c r="AL57" s="18">
        <f t="shared" si="2"/>
        <v>51.174999999999997</v>
      </c>
      <c r="AM57" s="60"/>
      <c r="AN57" s="65"/>
      <c r="AO57" s="60"/>
      <c r="AP57" s="27"/>
      <c r="AQ57" s="27">
        <f t="shared" si="3"/>
        <v>0</v>
      </c>
      <c r="AR57" s="27">
        <f t="shared" si="4"/>
        <v>0</v>
      </c>
      <c r="BF57" s="3"/>
      <c r="BG57" s="3"/>
      <c r="BH57" s="3"/>
    </row>
    <row r="58" spans="1:60" s="15" customFormat="1" x14ac:dyDescent="0.25">
      <c r="A58" s="48">
        <f t="shared" ref="A58:A59" si="33">+A57+1</f>
        <v>56</v>
      </c>
      <c r="B58" s="49"/>
      <c r="C58" s="49" t="s">
        <v>66</v>
      </c>
      <c r="D58" s="72">
        <v>13.774999999999999</v>
      </c>
      <c r="E58" s="50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2"/>
      <c r="AF58" s="67">
        <f t="shared" si="6"/>
        <v>13.774999999999999</v>
      </c>
      <c r="AG58" s="68">
        <f t="shared" si="0"/>
        <v>0</v>
      </c>
      <c r="AH58" s="69"/>
      <c r="AI58" s="71">
        <f t="shared" si="1"/>
        <v>13.774999999999999</v>
      </c>
      <c r="AJ58" s="70"/>
      <c r="AK58" s="9"/>
      <c r="AL58" s="18">
        <f t="shared" si="2"/>
        <v>13.774999999999999</v>
      </c>
      <c r="AM58" s="60"/>
      <c r="AN58" s="65"/>
      <c r="AO58" s="60"/>
      <c r="AP58" s="27"/>
      <c r="AQ58" s="27">
        <f t="shared" si="3"/>
        <v>0</v>
      </c>
      <c r="AR58" s="27">
        <f t="shared" si="4"/>
        <v>0</v>
      </c>
      <c r="BF58" s="3"/>
      <c r="BG58" s="3"/>
      <c r="BH58" s="3"/>
    </row>
    <row r="59" spans="1:60" s="15" customFormat="1" x14ac:dyDescent="0.25">
      <c r="A59" s="48">
        <f t="shared" si="33"/>
        <v>57</v>
      </c>
      <c r="B59" s="49"/>
      <c r="C59" s="49" t="s">
        <v>80</v>
      </c>
      <c r="D59" s="72">
        <v>23.85</v>
      </c>
      <c r="E59" s="50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2"/>
      <c r="AF59" s="67">
        <f t="shared" si="6"/>
        <v>23.85</v>
      </c>
      <c r="AG59" s="68">
        <f t="shared" si="0"/>
        <v>0</v>
      </c>
      <c r="AH59" s="69"/>
      <c r="AI59" s="71">
        <f t="shared" si="1"/>
        <v>23.85</v>
      </c>
      <c r="AJ59" s="70"/>
      <c r="AK59" s="9"/>
      <c r="AL59" s="18">
        <f t="shared" si="2"/>
        <v>23.85</v>
      </c>
      <c r="AM59" s="60"/>
      <c r="AN59" s="65"/>
      <c r="AO59" s="60"/>
      <c r="AP59" s="27"/>
      <c r="AQ59" s="27">
        <f t="shared" si="3"/>
        <v>0</v>
      </c>
      <c r="AR59" s="27">
        <f t="shared" si="4"/>
        <v>0</v>
      </c>
      <c r="BF59" s="3"/>
      <c r="BG59" s="3"/>
      <c r="BH59" s="3"/>
    </row>
    <row r="60" spans="1:60" x14ac:dyDescent="0.3">
      <c r="A60" s="43">
        <f>+A59+1</f>
        <v>58</v>
      </c>
      <c r="B60" s="44" t="s">
        <v>25</v>
      </c>
      <c r="C60" s="44" t="s">
        <v>26</v>
      </c>
      <c r="D60" s="59">
        <v>1120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5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>
        <f t="shared" si="6"/>
        <v>1120</v>
      </c>
      <c r="AG60" s="42">
        <f t="shared" si="0"/>
        <v>0</v>
      </c>
      <c r="AH60" s="42"/>
      <c r="AI60" s="42">
        <f>SUM(G60:AF60)</f>
        <v>1120</v>
      </c>
      <c r="AJ60" s="27"/>
      <c r="AK60" s="9"/>
      <c r="AL60" s="18">
        <f t="shared" si="2"/>
        <v>1120</v>
      </c>
      <c r="AM60" s="60"/>
      <c r="AN60" s="65"/>
      <c r="AO60" s="60"/>
      <c r="AP60" s="27"/>
      <c r="AQ60" s="27">
        <f t="shared" si="3"/>
        <v>0</v>
      </c>
      <c r="AR60" s="27">
        <f t="shared" si="4"/>
        <v>0</v>
      </c>
    </row>
    <row r="61" spans="1:60" ht="3.6" customHeight="1" x14ac:dyDescent="0.3"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1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27"/>
      <c r="AQ61" s="27"/>
    </row>
    <row r="62" spans="1:60" ht="15.6" x14ac:dyDescent="0.3">
      <c r="C62" s="1" t="s">
        <v>121</v>
      </c>
      <c r="D62" s="6">
        <f>SUM(D3:D60)</f>
        <v>1978298.8</v>
      </c>
      <c r="E62" s="6">
        <f>SUM(E3:E60)</f>
        <v>42780</v>
      </c>
      <c r="F62" s="6">
        <f>SUM(F3:F60)</f>
        <v>51440</v>
      </c>
      <c r="G62" s="6">
        <f>SUM(G3:G60)</f>
        <v>44130</v>
      </c>
      <c r="H62" s="6">
        <f>SUM(H3:H60)</f>
        <v>41912</v>
      </c>
      <c r="I62" s="6">
        <f t="shared" ref="I62:X62" si="34">SUM(I3:I60)</f>
        <v>80764</v>
      </c>
      <c r="J62" s="6">
        <f t="shared" si="34"/>
        <v>33593</v>
      </c>
      <c r="K62" s="6">
        <f t="shared" si="34"/>
        <v>82080</v>
      </c>
      <c r="L62" s="6">
        <f t="shared" si="34"/>
        <v>116280</v>
      </c>
      <c r="M62" s="6">
        <f t="shared" si="34"/>
        <v>110621</v>
      </c>
      <c r="N62" s="6">
        <f t="shared" si="34"/>
        <v>106581</v>
      </c>
      <c r="O62" s="6">
        <f t="shared" si="34"/>
        <v>118798</v>
      </c>
      <c r="P62" s="6">
        <f t="shared" si="34"/>
        <v>88340</v>
      </c>
      <c r="Q62" s="6">
        <f t="shared" si="34"/>
        <v>36975</v>
      </c>
      <c r="R62" s="6">
        <f t="shared" si="34"/>
        <v>78902</v>
      </c>
      <c r="S62" s="6">
        <f t="shared" si="34"/>
        <v>111772</v>
      </c>
      <c r="T62" s="6">
        <f t="shared" si="34"/>
        <v>105091</v>
      </c>
      <c r="U62" s="6">
        <f t="shared" si="34"/>
        <v>105291</v>
      </c>
      <c r="V62" s="6">
        <f t="shared" si="34"/>
        <v>105490</v>
      </c>
      <c r="W62" s="6">
        <f t="shared" si="34"/>
        <v>113468</v>
      </c>
      <c r="X62" s="6">
        <f t="shared" si="34"/>
        <v>56521</v>
      </c>
      <c r="Y62" s="6"/>
      <c r="Z62" s="6"/>
      <c r="AA62" s="6"/>
      <c r="AB62" s="6"/>
      <c r="AC62" s="6"/>
      <c r="AD62" s="6">
        <f>SUM(AD3:AD60)</f>
        <v>0</v>
      </c>
      <c r="AE62" s="5">
        <f>SUM(AE3:AE50)</f>
        <v>0</v>
      </c>
      <c r="AF62" s="6">
        <f>SUM(AF3:AF60)</f>
        <v>1978298.8</v>
      </c>
      <c r="AG62" s="6">
        <f>SUM(AG3:AG60)</f>
        <v>2009628</v>
      </c>
      <c r="AH62" s="73">
        <f>SUM(AH3:AH60)</f>
        <v>2203020</v>
      </c>
      <c r="AI62" s="35">
        <f>SUM(AI3:AI61)</f>
        <v>1784906.8</v>
      </c>
      <c r="AJ62" s="27"/>
      <c r="AK62" s="9">
        <f>SUM(AK1:AK60)</f>
        <v>1780999</v>
      </c>
      <c r="AL62" s="5">
        <f>SUM(AL1:AL60)</f>
        <v>3907.8</v>
      </c>
      <c r="AM62" s="5">
        <f>SUM(AM1:AM60)</f>
        <v>887960</v>
      </c>
      <c r="AN62" s="5">
        <f>SUM(AN1:AN60)</f>
        <v>0</v>
      </c>
      <c r="AO62" s="5">
        <f>SUM(AO3:AO60)</f>
        <v>171000</v>
      </c>
      <c r="AP62" s="27"/>
      <c r="AQ62" s="5">
        <f>SUM(AQ3:AQ60)</f>
        <v>1058960</v>
      </c>
      <c r="AR62" s="27">
        <f>SUM(AM62:AO62)</f>
        <v>1058960</v>
      </c>
      <c r="AS62" s="97">
        <f>+AQ62-AR62</f>
        <v>0</v>
      </c>
      <c r="BD62" s="5"/>
    </row>
    <row r="63" spans="1:60" ht="17.399999999999999" customHeight="1" x14ac:dyDescent="0.3">
      <c r="E63" s="6">
        <f>SUM(E4:E61)</f>
        <v>41000</v>
      </c>
      <c r="F63" s="6">
        <f>SUM(F4:F61)</f>
        <v>51040</v>
      </c>
      <c r="G63" s="6">
        <f>SUM(G4:G61)</f>
        <v>41310</v>
      </c>
      <c r="H63" s="6">
        <f>SUM(H4:H61)</f>
        <v>40232</v>
      </c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6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F63" s="5"/>
      <c r="AJ63" s="27"/>
      <c r="AL63" s="5"/>
    </row>
    <row r="64" spans="1:60" x14ac:dyDescent="0.3">
      <c r="D64" s="74"/>
      <c r="S64" s="98"/>
      <c r="AF64" s="117"/>
      <c r="AG64" s="117"/>
      <c r="AH64" s="117"/>
      <c r="AI64" s="117"/>
      <c r="AJ64" s="117"/>
      <c r="AK64" s="117"/>
      <c r="AL64" s="118"/>
      <c r="AM64" s="117"/>
      <c r="AN64" s="118"/>
      <c r="AO64" s="118"/>
      <c r="AP64" s="117"/>
      <c r="AQ64" s="117"/>
      <c r="AR64" s="117"/>
      <c r="AS64" s="119"/>
      <c r="AT64" s="117"/>
    </row>
    <row r="65" spans="4:46" x14ac:dyDescent="0.3">
      <c r="D65" s="5"/>
      <c r="E65" s="5"/>
      <c r="AF65" s="120"/>
      <c r="AG65" s="121"/>
      <c r="AH65" s="121"/>
      <c r="AI65" s="122"/>
      <c r="AJ65" s="117"/>
      <c r="AK65" s="117"/>
      <c r="AL65" s="118"/>
      <c r="AM65" s="117"/>
      <c r="AN65" s="117"/>
      <c r="AO65" s="117"/>
      <c r="AP65" s="117"/>
      <c r="AQ65" s="122"/>
      <c r="AR65" s="117"/>
      <c r="AS65" s="119"/>
      <c r="AT65" s="117"/>
    </row>
    <row r="66" spans="4:46" x14ac:dyDescent="0.3">
      <c r="AF66" s="117"/>
      <c r="AG66" s="123"/>
      <c r="AH66" s="123"/>
      <c r="AI66" s="124"/>
      <c r="AJ66" s="117"/>
      <c r="AK66" s="117"/>
      <c r="AL66" s="118"/>
      <c r="AM66" s="117"/>
      <c r="AN66" s="117"/>
      <c r="AO66" s="117"/>
      <c r="AP66" s="117"/>
      <c r="AQ66" s="122"/>
      <c r="AR66" s="117"/>
      <c r="AS66" s="119"/>
      <c r="AT66" s="117"/>
    </row>
    <row r="67" spans="4:46" x14ac:dyDescent="0.3">
      <c r="AF67" s="123"/>
      <c r="AG67" s="118"/>
      <c r="AH67" s="123"/>
      <c r="AI67" s="124"/>
      <c r="AJ67" s="117"/>
      <c r="AK67" s="117"/>
      <c r="AL67" s="117"/>
      <c r="AM67" s="117"/>
      <c r="AN67" s="117"/>
      <c r="AO67" s="117"/>
      <c r="AP67" s="117"/>
      <c r="AQ67" s="122"/>
      <c r="AR67" s="117"/>
      <c r="AS67" s="119"/>
      <c r="AT67" s="117"/>
    </row>
    <row r="68" spans="4:46" x14ac:dyDescent="0.3">
      <c r="AF68" s="123"/>
      <c r="AG68" s="118"/>
      <c r="AH68" s="123"/>
      <c r="AI68" s="122"/>
      <c r="AJ68" s="117"/>
      <c r="AK68" s="117"/>
      <c r="AL68" s="117"/>
      <c r="AM68" s="117"/>
      <c r="AN68" s="117"/>
      <c r="AO68" s="117"/>
      <c r="AP68" s="117"/>
      <c r="AQ68" s="122"/>
      <c r="AR68" s="117"/>
      <c r="AS68" s="119"/>
      <c r="AT68" s="117"/>
    </row>
    <row r="69" spans="4:46" x14ac:dyDescent="0.3">
      <c r="AF69" s="120"/>
      <c r="AG69" s="121"/>
      <c r="AH69" s="121"/>
      <c r="AI69" s="122"/>
      <c r="AJ69" s="117"/>
      <c r="AK69" s="117"/>
      <c r="AL69" s="122"/>
      <c r="AM69" s="117"/>
      <c r="AN69" s="117"/>
      <c r="AO69" s="117"/>
      <c r="AP69" s="117"/>
      <c r="AQ69" s="122"/>
      <c r="AR69" s="117"/>
      <c r="AS69" s="119"/>
      <c r="AT69" s="117"/>
    </row>
    <row r="70" spans="4:46" x14ac:dyDescent="0.3">
      <c r="AF70" s="117"/>
      <c r="AG70" s="117"/>
      <c r="AH70" s="117"/>
      <c r="AI70" s="117"/>
      <c r="AJ70" s="117"/>
      <c r="AK70" s="117"/>
      <c r="AL70" s="122"/>
      <c r="AM70" s="122"/>
      <c r="AN70" s="117"/>
      <c r="AO70" s="117"/>
      <c r="AP70" s="117"/>
      <c r="AQ70" s="117"/>
      <c r="AR70" s="117"/>
      <c r="AS70" s="119"/>
      <c r="AT70" s="117"/>
    </row>
    <row r="71" spans="4:46" x14ac:dyDescent="0.3">
      <c r="AF71" s="117"/>
      <c r="AG71" s="117"/>
      <c r="AH71" s="117"/>
      <c r="AI71" s="117"/>
      <c r="AJ71" s="117"/>
      <c r="AK71" s="117"/>
      <c r="AL71" s="117"/>
      <c r="AM71" s="122"/>
      <c r="AN71" s="117"/>
      <c r="AO71" s="117"/>
      <c r="AP71" s="117"/>
      <c r="AQ71" s="117"/>
      <c r="AR71" s="117"/>
      <c r="AS71" s="119"/>
      <c r="AT71" s="117"/>
    </row>
    <row r="72" spans="4:46" x14ac:dyDescent="0.3">
      <c r="AG72" s="5"/>
    </row>
    <row r="73" spans="4:46" x14ac:dyDescent="0.3">
      <c r="AG73" s="5"/>
      <c r="AI73" s="63"/>
    </row>
    <row r="75" spans="4:46" x14ac:dyDescent="0.3">
      <c r="AI75" s="63"/>
    </row>
  </sheetData>
  <mergeCells count="7">
    <mergeCell ref="AL1:AL2"/>
    <mergeCell ref="AF65:AH65"/>
    <mergeCell ref="AF69:AH69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I63"/>
  <sheetViews>
    <sheetView zoomScale="91" zoomScaleNormal="91" workbookViewId="0">
      <pane xSplit="3" ySplit="2" topLeftCell="AA3" activePane="bottomRight" state="frozen"/>
      <selection pane="topRight" activeCell="D1" sqref="D1"/>
      <selection pane="bottomLeft" activeCell="A3" sqref="A3"/>
      <selection pane="bottomRight" activeCell="AB21" sqref="AB21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bestFit="1" customWidth="1"/>
    <col min="39" max="39" width="12.44140625" style="3" bestFit="1" customWidth="1"/>
    <col min="40" max="40" width="11.44140625" style="3" bestFit="1" customWidth="1"/>
    <col min="41" max="41" width="11.77734375" style="3" bestFit="1" customWidth="1"/>
    <col min="42" max="44" width="9.77734375" style="8" customWidth="1"/>
    <col min="46" max="50" width="9.77734375" style="3" customWidth="1"/>
    <col min="51" max="16384" width="11.5546875" style="3"/>
  </cols>
  <sheetData>
    <row r="1" spans="1:61" x14ac:dyDescent="0.3">
      <c r="A1" s="115" t="s">
        <v>1</v>
      </c>
      <c r="B1" s="2" t="s">
        <v>5</v>
      </c>
      <c r="C1" s="115" t="s">
        <v>0</v>
      </c>
      <c r="D1" s="115" t="s">
        <v>86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F1" s="115" t="s">
        <v>2</v>
      </c>
      <c r="AG1" s="115"/>
      <c r="AH1" s="115"/>
      <c r="AI1" s="115"/>
      <c r="AJ1" s="27"/>
      <c r="AK1" s="16" t="s">
        <v>22</v>
      </c>
      <c r="AL1" s="111" t="s">
        <v>24</v>
      </c>
    </row>
    <row r="2" spans="1:61" x14ac:dyDescent="0.3">
      <c r="A2" s="115"/>
      <c r="B2" s="2" t="s">
        <v>6</v>
      </c>
      <c r="C2" s="115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>
        <v>46104</v>
      </c>
      <c r="W2" s="4">
        <v>46105</v>
      </c>
      <c r="X2" s="4">
        <v>46107</v>
      </c>
      <c r="Y2" s="4">
        <v>46108</v>
      </c>
      <c r="Z2" s="4">
        <v>46109</v>
      </c>
      <c r="AA2" s="4">
        <v>46110</v>
      </c>
      <c r="AB2" s="4">
        <v>46111</v>
      </c>
      <c r="AC2" s="4">
        <v>46112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112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27"/>
      <c r="AF3" s="18">
        <f>+D3</f>
        <v>180</v>
      </c>
      <c r="AG3" s="18">
        <f t="shared" ref="AG3:AG48" si="0">SUM(E3:AD3)</f>
        <v>440</v>
      </c>
      <c r="AH3" s="19"/>
      <c r="AI3" s="18">
        <f>+AF3+AG3-AH3</f>
        <v>620</v>
      </c>
      <c r="AJ3" s="27">
        <f>+AF3-AI3</f>
        <v>-440</v>
      </c>
      <c r="AK3" s="18">
        <v>620</v>
      </c>
      <c r="AL3" s="18">
        <f>+AI3-AK3</f>
        <v>0</v>
      </c>
      <c r="AM3" s="60"/>
      <c r="AN3" s="65"/>
      <c r="AO3" s="60"/>
      <c r="AP3" s="27"/>
      <c r="AQ3" s="27">
        <f>SUM(AM3:AO3)</f>
        <v>0</v>
      </c>
      <c r="AR3" s="27">
        <f>+AQ3-AH3</f>
        <v>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>
        <f>600+800</f>
        <v>1400</v>
      </c>
      <c r="W4" s="18">
        <f>3600+1180</f>
        <v>4780</v>
      </c>
      <c r="X4" s="18">
        <f>1320+1060</f>
        <v>2380</v>
      </c>
      <c r="Y4" s="18">
        <f>140+1200</f>
        <v>1340</v>
      </c>
      <c r="Z4" s="18">
        <f>640+620</f>
        <v>1260</v>
      </c>
      <c r="AA4" s="18">
        <v>1960</v>
      </c>
      <c r="AB4" s="18">
        <f>840+80</f>
        <v>920</v>
      </c>
      <c r="AC4" s="18">
        <v>180</v>
      </c>
      <c r="AD4" s="18"/>
      <c r="AE4" s="27"/>
      <c r="AF4" s="18">
        <f>+D4</f>
        <v>25720</v>
      </c>
      <c r="AG4" s="18">
        <f t="shared" si="0"/>
        <v>23280</v>
      </c>
      <c r="AH4" s="19">
        <f>8000+2000+3900+4000+2000</f>
        <v>19900</v>
      </c>
      <c r="AI4" s="18">
        <f t="shared" ref="AI4:AI47" si="1">+AF4+AG4-AH4</f>
        <v>29100</v>
      </c>
      <c r="AJ4" s="27"/>
      <c r="AK4" s="18">
        <v>28000</v>
      </c>
      <c r="AL4" s="18">
        <f t="shared" ref="AL4:AL48" si="2">+AI4-AK4</f>
        <v>1100</v>
      </c>
      <c r="AM4" s="60"/>
      <c r="AN4" s="65"/>
      <c r="AO4" s="60">
        <v>19900</v>
      </c>
      <c r="AP4" s="27"/>
      <c r="AQ4" s="27">
        <f t="shared" ref="AQ4:AQ48" si="3">SUM(AM4:AO4)</f>
        <v>19900</v>
      </c>
      <c r="AR4" s="27">
        <f t="shared" ref="AR4:AR48" si="4">+AQ4-AH4</f>
        <v>0</v>
      </c>
      <c r="BF4" s="15"/>
    </row>
    <row r="5" spans="1:61" x14ac:dyDescent="0.3">
      <c r="A5" s="17">
        <f t="shared" ref="A5:A39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27"/>
      <c r="AF5" s="18">
        <f>+D5</f>
        <v>660</v>
      </c>
      <c r="AG5" s="18">
        <f t="shared" si="0"/>
        <v>20</v>
      </c>
      <c r="AH5" s="19"/>
      <c r="AI5" s="18">
        <f t="shared" si="1"/>
        <v>680</v>
      </c>
      <c r="AJ5" s="27"/>
      <c r="AK5" s="18">
        <v>680</v>
      </c>
      <c r="AL5" s="18">
        <f t="shared" si="2"/>
        <v>0</v>
      </c>
      <c r="AM5" s="60"/>
      <c r="AN5" s="65"/>
      <c r="AO5" s="60"/>
      <c r="AP5" s="27"/>
      <c r="AQ5" s="27">
        <f t="shared" si="3"/>
        <v>0</v>
      </c>
      <c r="AR5" s="27">
        <f t="shared" si="4"/>
        <v>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/>
      <c r="AI6" s="18">
        <f t="shared" si="1"/>
        <v>680</v>
      </c>
      <c r="AJ6" s="27"/>
      <c r="AK6" s="18">
        <v>680</v>
      </c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>
        <f>12480+4100</f>
        <v>16580</v>
      </c>
      <c r="W7" s="18">
        <f>29040+12820</f>
        <v>41860</v>
      </c>
      <c r="X7" s="18">
        <f>9160+4600</f>
        <v>13760</v>
      </c>
      <c r="Y7" s="18">
        <f>2300+2880</f>
        <v>5180</v>
      </c>
      <c r="Z7" s="18">
        <f>8580+5100</f>
        <v>13680</v>
      </c>
      <c r="AA7" s="18">
        <v>12420</v>
      </c>
      <c r="AB7" s="18">
        <f>13640+1480</f>
        <v>15120</v>
      </c>
      <c r="AC7" s="18">
        <v>5840</v>
      </c>
      <c r="AD7" s="18"/>
      <c r="AE7" s="27"/>
      <c r="AF7" s="18">
        <v>368800</v>
      </c>
      <c r="AG7" s="18">
        <f t="shared" si="0"/>
        <v>366060</v>
      </c>
      <c r="AH7" s="19">
        <f>116800+48000+100000+25000+40+80+60+50000+95600+25000+80</f>
        <v>460660</v>
      </c>
      <c r="AI7" s="18">
        <f t="shared" si="1"/>
        <v>274200</v>
      </c>
      <c r="AJ7" s="27"/>
      <c r="AK7" s="18">
        <v>253240</v>
      </c>
      <c r="AL7" s="18">
        <f t="shared" si="2"/>
        <v>20960</v>
      </c>
      <c r="AM7" s="60"/>
      <c r="AN7" s="19">
        <f>40+80+60+80</f>
        <v>260</v>
      </c>
      <c r="AO7" s="19">
        <f>116800+48000+100000+25000+50000+95600+25000</f>
        <v>460400</v>
      </c>
      <c r="AP7" s="27"/>
      <c r="AQ7" s="27">
        <f t="shared" si="3"/>
        <v>460660</v>
      </c>
      <c r="AR7" s="27">
        <f t="shared" si="4"/>
        <v>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48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18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>
        <v>5364</v>
      </c>
      <c r="Z9" s="18">
        <v>5148</v>
      </c>
      <c r="AA9" s="18"/>
      <c r="AB9" s="18"/>
      <c r="AC9" s="18"/>
      <c r="AD9" s="18"/>
      <c r="AE9" s="27"/>
      <c r="AF9" s="18">
        <f t="shared" si="6"/>
        <v>57168</v>
      </c>
      <c r="AG9" s="18">
        <f t="shared" si="0"/>
        <v>10512</v>
      </c>
      <c r="AH9" s="19">
        <v>52542</v>
      </c>
      <c r="AI9" s="18">
        <f t="shared" si="1"/>
        <v>15138</v>
      </c>
      <c r="AJ9" s="27"/>
      <c r="AK9" s="18">
        <v>15138</v>
      </c>
      <c r="AL9" s="18">
        <f t="shared" si="2"/>
        <v>0</v>
      </c>
      <c r="AM9" s="60"/>
      <c r="AN9" s="65"/>
      <c r="AO9" s="60">
        <v>52542</v>
      </c>
      <c r="AP9" s="27"/>
      <c r="AQ9" s="27">
        <f t="shared" si="3"/>
        <v>52542</v>
      </c>
      <c r="AR9" s="27">
        <f t="shared" si="4"/>
        <v>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360</v>
      </c>
      <c r="AG10" s="18">
        <f t="shared" si="0"/>
        <v>0</v>
      </c>
      <c r="AH10" s="19">
        <v>360</v>
      </c>
      <c r="AI10" s="18">
        <f t="shared" si="1"/>
        <v>0</v>
      </c>
      <c r="AJ10" s="27"/>
      <c r="AK10" s="18">
        <v>0</v>
      </c>
      <c r="AL10" s="18">
        <f t="shared" si="2"/>
        <v>0</v>
      </c>
      <c r="AM10" s="60">
        <v>360</v>
      </c>
      <c r="AN10" s="65"/>
      <c r="AO10" s="60"/>
      <c r="AP10" s="27"/>
      <c r="AQ10" s="27">
        <f t="shared" si="3"/>
        <v>360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612</v>
      </c>
      <c r="Z11" s="18">
        <v>432</v>
      </c>
      <c r="AA11" s="18"/>
      <c r="AB11" s="18"/>
      <c r="AC11" s="18"/>
      <c r="AD11" s="18"/>
      <c r="AE11" s="27"/>
      <c r="AF11" s="18">
        <f t="shared" si="6"/>
        <v>4428</v>
      </c>
      <c r="AG11" s="18">
        <f t="shared" si="0"/>
        <v>1044</v>
      </c>
      <c r="AH11" s="19"/>
      <c r="AI11" s="18">
        <f t="shared" si="1"/>
        <v>5472</v>
      </c>
      <c r="AJ11" s="27"/>
      <c r="AK11" s="18">
        <v>5472</v>
      </c>
      <c r="AL11" s="18">
        <f t="shared" si="2"/>
        <v>0</v>
      </c>
      <c r="AM11" s="60"/>
      <c r="AN11" s="65"/>
      <c r="AO11" s="60"/>
      <c r="AP11" s="27"/>
      <c r="AQ11" s="27">
        <f t="shared" si="3"/>
        <v>0</v>
      </c>
      <c r="AR11" s="27">
        <f t="shared" si="4"/>
        <v>0</v>
      </c>
    </row>
    <row r="12" spans="1:61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>
        <v>240</v>
      </c>
      <c r="W12" s="26">
        <f>540+480</f>
        <v>1020</v>
      </c>
      <c r="X12" s="26">
        <f>220+20</f>
        <v>240</v>
      </c>
      <c r="Y12" s="26">
        <f>160+300</f>
        <v>460</v>
      </c>
      <c r="Z12" s="26">
        <v>760</v>
      </c>
      <c r="AA12" s="26"/>
      <c r="AB12" s="26">
        <v>320</v>
      </c>
      <c r="AC12" s="26">
        <v>80</v>
      </c>
      <c r="AD12" s="26"/>
      <c r="AE12" s="27"/>
      <c r="AF12" s="26">
        <f t="shared" si="6"/>
        <v>22840</v>
      </c>
      <c r="AG12" s="26">
        <f t="shared" si="0"/>
        <v>8000</v>
      </c>
      <c r="AH12" s="38"/>
      <c r="AI12" s="26">
        <f t="shared" si="1"/>
        <v>30840</v>
      </c>
      <c r="AJ12" s="27"/>
      <c r="AK12" s="18">
        <v>30440</v>
      </c>
      <c r="AL12" s="18">
        <f t="shared" si="2"/>
        <v>400</v>
      </c>
      <c r="AM12" s="26"/>
      <c r="AN12" s="37"/>
      <c r="AO12" s="60"/>
      <c r="AP12" s="27"/>
      <c r="AQ12" s="27">
        <f t="shared" si="3"/>
        <v>0</v>
      </c>
      <c r="AR12" s="27">
        <f t="shared" si="4"/>
        <v>0</v>
      </c>
    </row>
    <row r="13" spans="1:61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>
        <v>2840</v>
      </c>
      <c r="W13" s="26">
        <f>1320+1060</f>
        <v>2380</v>
      </c>
      <c r="X13" s="26">
        <f>780+380</f>
        <v>1160</v>
      </c>
      <c r="Y13" s="26">
        <f>260+1760</f>
        <v>2020</v>
      </c>
      <c r="Z13" s="26">
        <v>2180</v>
      </c>
      <c r="AA13" s="26"/>
      <c r="AB13" s="26">
        <f>720+420</f>
        <v>1140</v>
      </c>
      <c r="AC13" s="26">
        <v>380</v>
      </c>
      <c r="AD13" s="26"/>
      <c r="AE13" s="27"/>
      <c r="AF13" s="26">
        <f t="shared" si="6"/>
        <v>60620</v>
      </c>
      <c r="AG13" s="26">
        <f t="shared" si="0"/>
        <v>35760</v>
      </c>
      <c r="AH13" s="38">
        <f>40+40+48000</f>
        <v>48080</v>
      </c>
      <c r="AI13" s="26">
        <f t="shared" si="1"/>
        <v>48300</v>
      </c>
      <c r="AJ13" s="27"/>
      <c r="AK13" s="18">
        <v>46780</v>
      </c>
      <c r="AL13" s="18">
        <f t="shared" si="2"/>
        <v>1520</v>
      </c>
      <c r="AM13" s="26"/>
      <c r="AN13" s="37">
        <f>40+40</f>
        <v>80</v>
      </c>
      <c r="AO13" s="60">
        <v>48000</v>
      </c>
      <c r="AP13" s="27"/>
      <c r="AQ13" s="27">
        <f t="shared" si="3"/>
        <v>48080</v>
      </c>
      <c r="AR13" s="27">
        <f t="shared" si="4"/>
        <v>0</v>
      </c>
    </row>
    <row r="14" spans="1:61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7"/>
      <c r="AF14" s="21">
        <f t="shared" si="6"/>
        <v>300</v>
      </c>
      <c r="AG14" s="21">
        <f t="shared" si="0"/>
        <v>0</v>
      </c>
      <c r="AH14" s="22"/>
      <c r="AI14" s="21">
        <f t="shared" si="1"/>
        <v>300</v>
      </c>
      <c r="AJ14" s="27"/>
      <c r="AK14" s="18">
        <v>300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0</v>
      </c>
    </row>
    <row r="15" spans="1:61" x14ac:dyDescent="0.3">
      <c r="A15" s="7">
        <f t="shared" ref="A15:A17" si="7">+A14+1</f>
        <v>13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1120</v>
      </c>
      <c r="AG15" s="21">
        <f t="shared" si="0"/>
        <v>0</v>
      </c>
      <c r="AH15" s="22"/>
      <c r="AI15" s="21">
        <f t="shared" si="1"/>
        <v>1120</v>
      </c>
      <c r="AJ15" s="27"/>
      <c r="AK15" s="18">
        <v>1120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si="7"/>
        <v>14</v>
      </c>
      <c r="B16" s="20" t="s">
        <v>57</v>
      </c>
      <c r="C16" s="20" t="s">
        <v>95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>
        <f>7060+10300</f>
        <v>17360</v>
      </c>
      <c r="W16" s="21">
        <f>7340+11000</f>
        <v>18340</v>
      </c>
      <c r="X16" s="21">
        <f>3880+2360</f>
        <v>6240</v>
      </c>
      <c r="Y16" s="21">
        <f>10400+25160</f>
        <v>35560</v>
      </c>
      <c r="Z16" s="21">
        <f>10520+8620</f>
        <v>19140</v>
      </c>
      <c r="AA16" s="21">
        <v>13840</v>
      </c>
      <c r="AB16" s="21">
        <f>10380+9460</f>
        <v>19840</v>
      </c>
      <c r="AC16" s="21">
        <v>6620</v>
      </c>
      <c r="AD16" s="21"/>
      <c r="AE16" s="27"/>
      <c r="AF16" s="21">
        <f t="shared" si="6"/>
        <v>331000</v>
      </c>
      <c r="AG16" s="21">
        <f t="shared" si="0"/>
        <v>289760</v>
      </c>
      <c r="AH16" s="22">
        <f>108000+26000+80+40</f>
        <v>134120</v>
      </c>
      <c r="AI16" s="21">
        <f t="shared" si="1"/>
        <v>486640</v>
      </c>
      <c r="AJ16" s="27"/>
      <c r="AK16" s="18">
        <v>460180</v>
      </c>
      <c r="AL16" s="18">
        <f t="shared" si="2"/>
        <v>26460</v>
      </c>
      <c r="AM16" s="60"/>
      <c r="AN16" s="65">
        <f>80+40</f>
        <v>120</v>
      </c>
      <c r="AO16" s="60">
        <f>108000+26000</f>
        <v>134000</v>
      </c>
      <c r="AP16" s="27"/>
      <c r="AQ16" s="27">
        <f t="shared" si="3"/>
        <v>134120</v>
      </c>
      <c r="AR16" s="27">
        <f t="shared" si="4"/>
        <v>0</v>
      </c>
      <c r="BG16" s="15"/>
    </row>
    <row r="17" spans="1:60" x14ac:dyDescent="0.3">
      <c r="A17" s="7">
        <f t="shared" si="7"/>
        <v>15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>
        <v>5160</v>
      </c>
      <c r="W17" s="21">
        <v>1720</v>
      </c>
      <c r="X17" s="21">
        <v>760</v>
      </c>
      <c r="Y17" s="21">
        <f>60+3620</f>
        <v>3680</v>
      </c>
      <c r="Z17" s="21">
        <v>5560</v>
      </c>
      <c r="AA17" s="21"/>
      <c r="AB17" s="21">
        <v>1180</v>
      </c>
      <c r="AC17" s="21">
        <v>1320</v>
      </c>
      <c r="AD17" s="21"/>
      <c r="AE17" s="27"/>
      <c r="AF17" s="21">
        <f t="shared" si="6"/>
        <v>83980</v>
      </c>
      <c r="AG17" s="21">
        <f t="shared" si="0"/>
        <v>37260</v>
      </c>
      <c r="AH17" s="22">
        <v>40</v>
      </c>
      <c r="AI17" s="21">
        <f>+AF17+AG17-AH17</f>
        <v>121200</v>
      </c>
      <c r="AJ17" s="27"/>
      <c r="AK17" s="18">
        <v>118700</v>
      </c>
      <c r="AL17" s="18">
        <f t="shared" si="2"/>
        <v>2500</v>
      </c>
      <c r="AM17" s="60"/>
      <c r="AN17" s="65">
        <v>40</v>
      </c>
      <c r="AO17" s="60"/>
      <c r="AP17" s="27"/>
      <c r="AQ17" s="27">
        <f t="shared" si="3"/>
        <v>40</v>
      </c>
      <c r="AR17" s="27">
        <f t="shared" si="4"/>
        <v>0</v>
      </c>
      <c r="BF17" s="8"/>
    </row>
    <row r="18" spans="1:60" x14ac:dyDescent="0.3">
      <c r="A18" s="23">
        <f>+A17+1</f>
        <v>16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7"/>
      <c r="AF18" s="24">
        <f t="shared" si="6"/>
        <v>940</v>
      </c>
      <c r="AG18" s="24">
        <f t="shared" si="0"/>
        <v>0</v>
      </c>
      <c r="AH18" s="25"/>
      <c r="AI18" s="24">
        <f t="shared" si="1"/>
        <v>940</v>
      </c>
      <c r="AJ18" s="27"/>
      <c r="AK18" s="18">
        <v>940</v>
      </c>
      <c r="AL18" s="18">
        <f t="shared" si="2"/>
        <v>0</v>
      </c>
      <c r="AM18" s="60"/>
      <c r="AN18" s="65"/>
      <c r="AO18" s="60"/>
      <c r="AP18" s="27"/>
      <c r="AQ18" s="27">
        <f t="shared" si="3"/>
        <v>0</v>
      </c>
      <c r="AR18" s="27">
        <f t="shared" si="4"/>
        <v>0</v>
      </c>
    </row>
    <row r="19" spans="1:60" x14ac:dyDescent="0.3">
      <c r="A19" s="23">
        <f t="shared" ref="A19:A23" si="8">+A18+1</f>
        <v>17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320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7"/>
      <c r="AF19" s="24">
        <f t="shared" si="6"/>
        <v>240</v>
      </c>
      <c r="AG19" s="24">
        <f t="shared" si="0"/>
        <v>320</v>
      </c>
      <c r="AH19" s="25"/>
      <c r="AI19" s="24">
        <f t="shared" si="1"/>
        <v>560</v>
      </c>
      <c r="AJ19" s="27"/>
      <c r="AK19" s="18">
        <v>560</v>
      </c>
      <c r="AL19" s="18">
        <f t="shared" si="2"/>
        <v>0</v>
      </c>
      <c r="AM19" s="60"/>
      <c r="AN19" s="65"/>
      <c r="AO19" s="60"/>
      <c r="AP19" s="27"/>
      <c r="AQ19" s="27">
        <f t="shared" si="3"/>
        <v>0</v>
      </c>
      <c r="AR19" s="27">
        <f t="shared" si="4"/>
        <v>0</v>
      </c>
    </row>
    <row r="20" spans="1:60" x14ac:dyDescent="0.3">
      <c r="A20" s="23">
        <f t="shared" si="8"/>
        <v>18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>
        <f>3120+4200</f>
        <v>7320</v>
      </c>
      <c r="W20" s="24">
        <f>1620+2220</f>
        <v>3840</v>
      </c>
      <c r="X20" s="24">
        <f>1520+880</f>
        <v>2400</v>
      </c>
      <c r="Y20" s="24">
        <f>1280+2900</f>
        <v>4180</v>
      </c>
      <c r="Z20" s="24">
        <f>1140+2760</f>
        <v>3900</v>
      </c>
      <c r="AA20" s="24">
        <v>240</v>
      </c>
      <c r="AB20" s="24">
        <f>1220+1180-900</f>
        <v>1500</v>
      </c>
      <c r="AC20" s="24">
        <v>720</v>
      </c>
      <c r="AD20" s="24"/>
      <c r="AE20" s="27"/>
      <c r="AF20" s="24">
        <f t="shared" si="6"/>
        <v>238560</v>
      </c>
      <c r="AG20" s="24">
        <f t="shared" si="0"/>
        <v>87160</v>
      </c>
      <c r="AH20" s="25">
        <f>40+80+200+20+67800+67800+96000+15000</f>
        <v>246940</v>
      </c>
      <c r="AI20" s="24">
        <f t="shared" si="1"/>
        <v>78780</v>
      </c>
      <c r="AJ20" s="27"/>
      <c r="AK20" s="18">
        <v>76560</v>
      </c>
      <c r="AL20" s="18">
        <f t="shared" si="2"/>
        <v>2220</v>
      </c>
      <c r="AM20" s="60"/>
      <c r="AN20" s="65">
        <f>40+80+200+20</f>
        <v>340</v>
      </c>
      <c r="AO20" s="60">
        <f>67800+67800+96000+15000</f>
        <v>246600</v>
      </c>
      <c r="AP20" s="27"/>
      <c r="AQ20" s="27">
        <f t="shared" si="3"/>
        <v>246940</v>
      </c>
      <c r="AR20" s="27">
        <f t="shared" si="4"/>
        <v>0</v>
      </c>
    </row>
    <row r="21" spans="1:60" x14ac:dyDescent="0.3">
      <c r="A21" s="23">
        <f t="shared" si="8"/>
        <v>19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>
        <v>280</v>
      </c>
      <c r="W21" s="24">
        <v>120</v>
      </c>
      <c r="X21" s="24">
        <f>60+20</f>
        <v>80</v>
      </c>
      <c r="Y21" s="24">
        <f>20+120</f>
        <v>140</v>
      </c>
      <c r="Z21" s="24">
        <f>20+160</f>
        <v>180</v>
      </c>
      <c r="AA21" s="24"/>
      <c r="AB21" s="24">
        <f>80+40</f>
        <v>120</v>
      </c>
      <c r="AC21" s="24">
        <v>20</v>
      </c>
      <c r="AD21" s="24"/>
      <c r="AE21" s="27"/>
      <c r="AF21" s="24">
        <f t="shared" si="6"/>
        <v>9720</v>
      </c>
      <c r="AG21" s="24">
        <f t="shared" si="0"/>
        <v>3920</v>
      </c>
      <c r="AH21" s="25">
        <f>20+10000</f>
        <v>10020</v>
      </c>
      <c r="AI21" s="24">
        <f t="shared" si="1"/>
        <v>3620</v>
      </c>
      <c r="AJ21" s="27"/>
      <c r="AK21" s="18">
        <v>3480</v>
      </c>
      <c r="AL21" s="18">
        <f t="shared" si="2"/>
        <v>140</v>
      </c>
      <c r="AM21" s="60"/>
      <c r="AN21" s="65">
        <f>20</f>
        <v>20</v>
      </c>
      <c r="AO21" s="60">
        <v>10000</v>
      </c>
      <c r="AP21" s="27"/>
      <c r="AQ21" s="27">
        <f t="shared" si="3"/>
        <v>10020</v>
      </c>
      <c r="AR21" s="27">
        <f t="shared" si="4"/>
        <v>0</v>
      </c>
    </row>
    <row r="22" spans="1:60" x14ac:dyDescent="0.3">
      <c r="A22" s="23">
        <f t="shared" si="8"/>
        <v>20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>
        <f>2300+2860</f>
        <v>5160</v>
      </c>
      <c r="W22" s="24">
        <f>1760+1740</f>
        <v>3500</v>
      </c>
      <c r="X22" s="24">
        <f>1420+1080</f>
        <v>2500</v>
      </c>
      <c r="Y22" s="24">
        <f>1100+2600</f>
        <v>3700</v>
      </c>
      <c r="Z22" s="24">
        <f>880+3120</f>
        <v>4000</v>
      </c>
      <c r="AA22" s="24">
        <v>220</v>
      </c>
      <c r="AB22" s="24">
        <f>1300+1140</f>
        <v>2440</v>
      </c>
      <c r="AC22" s="24">
        <v>1140</v>
      </c>
      <c r="AD22" s="24"/>
      <c r="AE22" s="27"/>
      <c r="AF22" s="24">
        <f t="shared" si="6"/>
        <v>67740</v>
      </c>
      <c r="AG22" s="24">
        <f t="shared" si="0"/>
        <v>37420</v>
      </c>
      <c r="AH22" s="25">
        <f>40+40+48000</f>
        <v>48080</v>
      </c>
      <c r="AI22" s="24">
        <f t="shared" si="1"/>
        <v>57080</v>
      </c>
      <c r="AJ22" s="27"/>
      <c r="AK22" s="18">
        <v>53500</v>
      </c>
      <c r="AL22" s="18">
        <f t="shared" si="2"/>
        <v>3580</v>
      </c>
      <c r="AM22" s="60"/>
      <c r="AN22" s="65">
        <v>80</v>
      </c>
      <c r="AO22" s="60">
        <v>48000</v>
      </c>
      <c r="AP22" s="27"/>
      <c r="AQ22" s="27">
        <f t="shared" si="3"/>
        <v>48080</v>
      </c>
      <c r="AR22" s="27">
        <f t="shared" si="4"/>
        <v>0</v>
      </c>
    </row>
    <row r="23" spans="1:60" x14ac:dyDescent="0.3">
      <c r="A23" s="78">
        <f t="shared" si="8"/>
        <v>21</v>
      </c>
      <c r="B23" s="93">
        <v>10009386</v>
      </c>
      <c r="C23" s="93" t="s">
        <v>63</v>
      </c>
      <c r="D23" s="94">
        <v>27480</v>
      </c>
      <c r="E23" s="9">
        <v>400</v>
      </c>
      <c r="F23" s="9">
        <f>260+380</f>
        <v>640</v>
      </c>
      <c r="G23" s="9"/>
      <c r="H23" s="9"/>
      <c r="I23" s="9"/>
      <c r="J23" s="9"/>
      <c r="K23" s="9">
        <f>220+400</f>
        <v>620</v>
      </c>
      <c r="L23" s="9">
        <v>300</v>
      </c>
      <c r="M23" s="9">
        <v>740</v>
      </c>
      <c r="N23" s="9">
        <f>200+140</f>
        <v>340</v>
      </c>
      <c r="O23" s="9">
        <v>200</v>
      </c>
      <c r="P23" s="9">
        <f>260+160</f>
        <v>420</v>
      </c>
      <c r="Q23" s="9">
        <v>720</v>
      </c>
      <c r="R23" s="9">
        <v>180</v>
      </c>
      <c r="S23" s="9">
        <v>180</v>
      </c>
      <c r="T23" s="9">
        <v>460</v>
      </c>
      <c r="U23" s="9"/>
      <c r="V23" s="9">
        <v>800</v>
      </c>
      <c r="W23" s="9">
        <v>560</v>
      </c>
      <c r="X23" s="9">
        <f>240+140</f>
        <v>380</v>
      </c>
      <c r="Y23" s="9">
        <v>680</v>
      </c>
      <c r="Z23" s="9">
        <v>740</v>
      </c>
      <c r="AA23" s="9"/>
      <c r="AB23" s="9">
        <v>400</v>
      </c>
      <c r="AC23" s="9">
        <v>120</v>
      </c>
      <c r="AD23" s="9"/>
      <c r="AE23" s="27"/>
      <c r="AF23" s="9">
        <f t="shared" si="6"/>
        <v>27480</v>
      </c>
      <c r="AG23" s="9">
        <f t="shared" si="0"/>
        <v>8880</v>
      </c>
      <c r="AH23" s="95"/>
      <c r="AI23" s="9">
        <f t="shared" si="1"/>
        <v>36360</v>
      </c>
      <c r="AJ23" s="27"/>
      <c r="AK23" s="18">
        <v>35840</v>
      </c>
      <c r="AL23" s="18">
        <f t="shared" si="2"/>
        <v>520</v>
      </c>
      <c r="AM23" s="60"/>
      <c r="AN23" s="65"/>
      <c r="AO23" s="60"/>
      <c r="AP23" s="27"/>
      <c r="AQ23" s="27">
        <f t="shared" si="3"/>
        <v>0</v>
      </c>
      <c r="AR23" s="27">
        <f t="shared" si="4"/>
        <v>0</v>
      </c>
    </row>
    <row r="24" spans="1:60" s="8" customFormat="1" x14ac:dyDescent="0.25">
      <c r="A24" s="11">
        <f>+A23+1</f>
        <v>22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>
        <f>560+640</f>
        <v>1200</v>
      </c>
      <c r="W24" s="10">
        <f>4980+1980</f>
        <v>6960</v>
      </c>
      <c r="X24" s="10">
        <f>1240+620</f>
        <v>1860</v>
      </c>
      <c r="Y24" s="10">
        <f>1060+2180</f>
        <v>3240</v>
      </c>
      <c r="Z24" s="10">
        <f>500+3160</f>
        <v>3660</v>
      </c>
      <c r="AA24" s="10"/>
      <c r="AB24" s="10">
        <f>340+1620</f>
        <v>1960</v>
      </c>
      <c r="AC24" s="10">
        <v>700</v>
      </c>
      <c r="AD24" s="10"/>
      <c r="AE24" s="26"/>
      <c r="AF24" s="10">
        <f t="shared" si="6"/>
        <v>104880</v>
      </c>
      <c r="AG24" s="10">
        <f t="shared" si="0"/>
        <v>53980</v>
      </c>
      <c r="AH24" s="14">
        <f>25000+26000</f>
        <v>51000</v>
      </c>
      <c r="AI24" s="10">
        <f t="shared" si="1"/>
        <v>107860</v>
      </c>
      <c r="AJ24" s="27"/>
      <c r="AK24" s="18">
        <v>105200</v>
      </c>
      <c r="AL24" s="18">
        <f t="shared" si="2"/>
        <v>2660</v>
      </c>
      <c r="AM24" s="60"/>
      <c r="AN24" s="37"/>
      <c r="AO24" s="60">
        <f>25000+26000</f>
        <v>51000</v>
      </c>
      <c r="AP24" s="27"/>
      <c r="AQ24" s="27">
        <f t="shared" si="3"/>
        <v>51000</v>
      </c>
      <c r="AR24" s="27">
        <f t="shared" si="4"/>
        <v>0</v>
      </c>
      <c r="AZ24" s="3"/>
      <c r="BF24" s="3"/>
      <c r="BG24" s="3"/>
      <c r="BH24" s="3"/>
    </row>
    <row r="25" spans="1:60" x14ac:dyDescent="0.3">
      <c r="A25" s="11">
        <f t="shared" ref="A25:A31" si="9">+A24+1</f>
        <v>23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6"/>
      <c r="AF25" s="10">
        <f t="shared" si="6"/>
        <v>140</v>
      </c>
      <c r="AG25" s="10">
        <f t="shared" si="0"/>
        <v>0</v>
      </c>
      <c r="AH25" s="14"/>
      <c r="AI25" s="10">
        <f>+AF25+AG25-AH25</f>
        <v>140</v>
      </c>
      <c r="AJ25" s="27"/>
      <c r="AK25" s="18">
        <v>140</v>
      </c>
      <c r="AL25" s="18">
        <f t="shared" si="2"/>
        <v>0</v>
      </c>
      <c r="AM25" s="60"/>
      <c r="AN25" s="65"/>
      <c r="AO25" s="60"/>
      <c r="AP25" s="27"/>
      <c r="AQ25" s="27">
        <f t="shared" si="3"/>
        <v>0</v>
      </c>
      <c r="AR25" s="27">
        <f t="shared" si="4"/>
        <v>0</v>
      </c>
      <c r="AZ25" s="8"/>
    </row>
    <row r="26" spans="1:60" x14ac:dyDescent="0.3">
      <c r="A26" s="11">
        <f t="shared" si="9"/>
        <v>24</v>
      </c>
      <c r="B26" s="12">
        <v>10009777</v>
      </c>
      <c r="C26" s="12" t="s">
        <v>15</v>
      </c>
      <c r="D26" s="57"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220</v>
      </c>
      <c r="W26" s="10"/>
      <c r="X26" s="10"/>
      <c r="Y26" s="10"/>
      <c r="Z26" s="10"/>
      <c r="AA26" s="10"/>
      <c r="AB26" s="10"/>
      <c r="AC26" s="10"/>
      <c r="AD26" s="10"/>
      <c r="AE26" s="26"/>
      <c r="AF26" s="10">
        <f t="shared" si="6"/>
        <v>0</v>
      </c>
      <c r="AG26" s="10">
        <f t="shared" si="0"/>
        <v>220</v>
      </c>
      <c r="AH26" s="14"/>
      <c r="AI26" s="10">
        <f>+AF26+AG26-AH26</f>
        <v>220</v>
      </c>
      <c r="AJ26" s="27"/>
      <c r="AK26" s="18">
        <v>220</v>
      </c>
      <c r="AL26" s="18">
        <f t="shared" ref="AL26" si="10">+AI26-AK26</f>
        <v>0</v>
      </c>
      <c r="AM26" s="60"/>
      <c r="AN26" s="65"/>
      <c r="AO26" s="60"/>
      <c r="AP26" s="27"/>
      <c r="AQ26" s="27">
        <f t="shared" si="3"/>
        <v>0</v>
      </c>
      <c r="AR26" s="27">
        <f t="shared" si="4"/>
        <v>0</v>
      </c>
      <c r="AZ26" s="8"/>
    </row>
    <row r="27" spans="1:60" x14ac:dyDescent="0.3">
      <c r="A27" s="11">
        <f>+A25+1</f>
        <v>24</v>
      </c>
      <c r="B27" s="12" t="s">
        <v>16</v>
      </c>
      <c r="C27" s="12" t="s">
        <v>17</v>
      </c>
      <c r="D27" s="57">
        <v>6240</v>
      </c>
      <c r="E27" s="10">
        <v>260</v>
      </c>
      <c r="F27" s="10">
        <f>140+360</f>
        <v>500</v>
      </c>
      <c r="G27" s="10"/>
      <c r="H27" s="10"/>
      <c r="I27" s="10"/>
      <c r="J27" s="10"/>
      <c r="K27" s="10">
        <f>80+320</f>
        <v>400</v>
      </c>
      <c r="L27" s="10">
        <v>220</v>
      </c>
      <c r="M27" s="10">
        <f>40+480</f>
        <v>520</v>
      </c>
      <c r="N27" s="10">
        <f>60+120</f>
        <v>180</v>
      </c>
      <c r="O27" s="10">
        <v>140</v>
      </c>
      <c r="P27" s="10">
        <f>240+140</f>
        <v>380</v>
      </c>
      <c r="Q27" s="10">
        <v>560</v>
      </c>
      <c r="R27" s="10">
        <f>80+100</f>
        <v>180</v>
      </c>
      <c r="S27" s="10"/>
      <c r="T27" s="10">
        <f>40+220</f>
        <v>260</v>
      </c>
      <c r="U27" s="10"/>
      <c r="V27" s="10">
        <f>40+160</f>
        <v>200</v>
      </c>
      <c r="W27" s="10">
        <f>100+140</f>
        <v>240</v>
      </c>
      <c r="X27" s="10">
        <f>60+120</f>
        <v>180</v>
      </c>
      <c r="Y27" s="10">
        <f>20+160</f>
        <v>180</v>
      </c>
      <c r="Z27" s="10">
        <f>120+100</f>
        <v>220</v>
      </c>
      <c r="AA27" s="10"/>
      <c r="AB27" s="10">
        <v>180</v>
      </c>
      <c r="AC27" s="10">
        <v>40</v>
      </c>
      <c r="AD27" s="10"/>
      <c r="AE27" s="26"/>
      <c r="AF27" s="10">
        <f t="shared" si="6"/>
        <v>6240</v>
      </c>
      <c r="AG27" s="10">
        <f t="shared" si="0"/>
        <v>4840</v>
      </c>
      <c r="AH27" s="14"/>
      <c r="AI27" s="10">
        <f>+AF27+AG27-AH27</f>
        <v>11080</v>
      </c>
      <c r="AJ27" s="27"/>
      <c r="AK27" s="18">
        <v>10860</v>
      </c>
      <c r="AL27" s="18">
        <f t="shared" si="2"/>
        <v>220</v>
      </c>
      <c r="AM27" s="60"/>
      <c r="AN27" s="65"/>
      <c r="AO27" s="60"/>
      <c r="AP27" s="27"/>
      <c r="AQ27" s="27">
        <f t="shared" si="3"/>
        <v>0</v>
      </c>
      <c r="AR27" s="27">
        <f t="shared" si="4"/>
        <v>0</v>
      </c>
    </row>
    <row r="28" spans="1:60" x14ac:dyDescent="0.3">
      <c r="A28" s="11">
        <f t="shared" si="9"/>
        <v>25</v>
      </c>
      <c r="B28" s="12" t="s">
        <v>18</v>
      </c>
      <c r="C28" s="12" t="s">
        <v>19</v>
      </c>
      <c r="D28" s="57">
        <v>200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6"/>
      <c r="AF28" s="10">
        <f t="shared" si="6"/>
        <v>200</v>
      </c>
      <c r="AG28" s="10">
        <f t="shared" si="0"/>
        <v>540</v>
      </c>
      <c r="AH28" s="14"/>
      <c r="AI28" s="10">
        <f t="shared" si="1"/>
        <v>740</v>
      </c>
      <c r="AJ28" s="27"/>
      <c r="AK28" s="18">
        <v>740</v>
      </c>
      <c r="AL28" s="18">
        <f t="shared" si="2"/>
        <v>0</v>
      </c>
      <c r="AM28" s="60"/>
      <c r="AN28" s="65"/>
      <c r="AO28" s="60"/>
      <c r="AP28" s="27"/>
      <c r="AQ28" s="27">
        <f t="shared" si="3"/>
        <v>0</v>
      </c>
      <c r="AR28" s="27">
        <f t="shared" si="4"/>
        <v>0</v>
      </c>
    </row>
    <row r="29" spans="1:60" x14ac:dyDescent="0.3">
      <c r="A29" s="11">
        <f t="shared" si="9"/>
        <v>26</v>
      </c>
      <c r="B29" s="12" t="s">
        <v>49</v>
      </c>
      <c r="C29" s="12" t="s">
        <v>50</v>
      </c>
      <c r="D29" s="57">
        <v>288880</v>
      </c>
      <c r="E29" s="10">
        <f>5880+5540</f>
        <v>11420</v>
      </c>
      <c r="F29" s="10">
        <f>7660+10080</f>
        <v>17740</v>
      </c>
      <c r="G29" s="10"/>
      <c r="H29" s="10"/>
      <c r="I29" s="10"/>
      <c r="J29" s="10"/>
      <c r="K29" s="10">
        <f>8420+9320</f>
        <v>17740</v>
      </c>
      <c r="L29" s="10">
        <v>7500</v>
      </c>
      <c r="M29" s="10">
        <f>10580+9480</f>
        <v>20060</v>
      </c>
      <c r="N29" s="10">
        <f>6880+1820</f>
        <v>8700</v>
      </c>
      <c r="O29" s="10">
        <v>6920</v>
      </c>
      <c r="P29" s="10">
        <f>6540+4320</f>
        <v>10860</v>
      </c>
      <c r="Q29" s="10">
        <f>9480+9680</f>
        <v>19160</v>
      </c>
      <c r="R29" s="10">
        <f>5500+480</f>
        <v>5980</v>
      </c>
      <c r="S29" s="10">
        <v>3000</v>
      </c>
      <c r="T29" s="10">
        <f>7780+3180</f>
        <v>10960</v>
      </c>
      <c r="U29" s="10"/>
      <c r="V29" s="10">
        <f>6860+11160</f>
        <v>18020</v>
      </c>
      <c r="W29" s="10">
        <f>5720+4740</f>
        <v>10460</v>
      </c>
      <c r="X29" s="10">
        <f>4340+2240</f>
        <v>6580</v>
      </c>
      <c r="Y29" s="10">
        <f>4340+6720</f>
        <v>11060</v>
      </c>
      <c r="Z29" s="10">
        <f>6820+4880</f>
        <v>11700</v>
      </c>
      <c r="AA29" s="10"/>
      <c r="AB29" s="10">
        <f>4380+2300</f>
        <v>6680</v>
      </c>
      <c r="AC29" s="10">
        <v>2260</v>
      </c>
      <c r="AD29" s="10"/>
      <c r="AE29" s="26"/>
      <c r="AF29" s="10">
        <f t="shared" si="6"/>
        <v>288880</v>
      </c>
      <c r="AG29" s="10">
        <f t="shared" si="0"/>
        <v>206800</v>
      </c>
      <c r="AH29" s="14">
        <f>26000+177000+25000</f>
        <v>228000</v>
      </c>
      <c r="AI29" s="10">
        <f t="shared" si="1"/>
        <v>267680</v>
      </c>
      <c r="AJ29" s="27"/>
      <c r="AK29" s="18">
        <v>258740</v>
      </c>
      <c r="AL29" s="18">
        <f t="shared" si="2"/>
        <v>8940</v>
      </c>
      <c r="AM29" s="60"/>
      <c r="AN29" s="65"/>
      <c r="AO29" s="60">
        <f>26000+177000+25000</f>
        <v>228000</v>
      </c>
      <c r="AP29" s="27"/>
      <c r="AQ29" s="27">
        <f t="shared" si="3"/>
        <v>228000</v>
      </c>
      <c r="AR29" s="27">
        <f t="shared" si="4"/>
        <v>0</v>
      </c>
    </row>
    <row r="30" spans="1:60" ht="15.6" customHeight="1" x14ac:dyDescent="0.3">
      <c r="A30" s="11">
        <f t="shared" si="9"/>
        <v>27</v>
      </c>
      <c r="B30" s="12">
        <v>10009658</v>
      </c>
      <c r="C30" s="12" t="s">
        <v>68</v>
      </c>
      <c r="D30" s="57">
        <v>1960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6"/>
      <c r="AF30" s="10">
        <f t="shared" si="6"/>
        <v>1960</v>
      </c>
      <c r="AG30" s="10">
        <f t="shared" si="0"/>
        <v>0</v>
      </c>
      <c r="AH30" s="14"/>
      <c r="AI30" s="10">
        <f>+AF30+AG30-AH30</f>
        <v>1960</v>
      </c>
      <c r="AJ30" s="27"/>
      <c r="AK30" s="18">
        <v>1960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0</v>
      </c>
    </row>
    <row r="31" spans="1:60" x14ac:dyDescent="0.3">
      <c r="A31" s="11">
        <f t="shared" si="9"/>
        <v>28</v>
      </c>
      <c r="B31" s="12">
        <v>10009639</v>
      </c>
      <c r="C31" s="12" t="s">
        <v>69</v>
      </c>
      <c r="D31" s="57">
        <v>47080</v>
      </c>
      <c r="E31" s="10">
        <v>980</v>
      </c>
      <c r="F31" s="10">
        <f>520+1240</f>
        <v>1760</v>
      </c>
      <c r="G31" s="10"/>
      <c r="H31" s="10"/>
      <c r="I31" s="10"/>
      <c r="J31" s="10"/>
      <c r="K31" s="10">
        <f>640+1460</f>
        <v>2100</v>
      </c>
      <c r="L31" s="10">
        <v>800</v>
      </c>
      <c r="M31" s="10">
        <f>800+1340</f>
        <v>2140</v>
      </c>
      <c r="N31" s="10">
        <f>900+420</f>
        <v>1320</v>
      </c>
      <c r="O31" s="10">
        <v>860</v>
      </c>
      <c r="P31" s="10">
        <f>460+340</f>
        <v>800</v>
      </c>
      <c r="Q31" s="10">
        <f>640+960</f>
        <v>1600</v>
      </c>
      <c r="R31" s="10">
        <f>460+460</f>
        <v>920</v>
      </c>
      <c r="S31" s="10">
        <v>980</v>
      </c>
      <c r="T31" s="10">
        <f>2740+1860</f>
        <v>4600</v>
      </c>
      <c r="U31" s="10"/>
      <c r="V31" s="10">
        <f>2140+4460</f>
        <v>6600</v>
      </c>
      <c r="W31" s="10">
        <f>2700+2240</f>
        <v>4940</v>
      </c>
      <c r="X31" s="10">
        <f>1380+1140</f>
        <v>2520</v>
      </c>
      <c r="Y31" s="10">
        <f>1760+3560</f>
        <v>5320</v>
      </c>
      <c r="Z31" s="10">
        <f>3080+2960</f>
        <v>6040</v>
      </c>
      <c r="AA31" s="10"/>
      <c r="AB31" s="10">
        <f>2020+1080</f>
        <v>3100</v>
      </c>
      <c r="AC31" s="10">
        <v>1200</v>
      </c>
      <c r="AD31" s="10"/>
      <c r="AE31" s="26"/>
      <c r="AF31" s="10">
        <f t="shared" si="6"/>
        <v>47080</v>
      </c>
      <c r="AG31" s="10">
        <f t="shared" si="0"/>
        <v>48580</v>
      </c>
      <c r="AH31" s="14">
        <f>24000+27000</f>
        <v>51000</v>
      </c>
      <c r="AI31" s="10">
        <f>+AF31+AG31-AH31</f>
        <v>44660</v>
      </c>
      <c r="AJ31" s="27"/>
      <c r="AK31" s="18">
        <v>40360</v>
      </c>
      <c r="AL31" s="18">
        <f t="shared" si="2"/>
        <v>4300</v>
      </c>
      <c r="AM31" s="60"/>
      <c r="AN31" s="65"/>
      <c r="AO31" s="60">
        <f>24000+27000</f>
        <v>51000</v>
      </c>
      <c r="AP31" s="27"/>
      <c r="AQ31" s="27">
        <f t="shared" si="3"/>
        <v>51000</v>
      </c>
      <c r="AR31" s="27">
        <f t="shared" si="4"/>
        <v>0</v>
      </c>
    </row>
    <row r="32" spans="1:60" x14ac:dyDescent="0.3">
      <c r="A32" s="28">
        <f>+A31+1</f>
        <v>29</v>
      </c>
      <c r="B32" s="31" t="s">
        <v>53</v>
      </c>
      <c r="C32" s="31" t="s">
        <v>54</v>
      </c>
      <c r="D32" s="58">
        <v>287540</v>
      </c>
      <c r="E32" s="29">
        <v>2980</v>
      </c>
      <c r="F32" s="29">
        <v>4360</v>
      </c>
      <c r="G32" s="29">
        <f>9400+9920</f>
        <v>19320</v>
      </c>
      <c r="H32" s="29">
        <v>6580</v>
      </c>
      <c r="I32" s="29"/>
      <c r="J32" s="29"/>
      <c r="K32" s="29">
        <v>8240</v>
      </c>
      <c r="L32" s="29">
        <f>8740+8460</f>
        <v>17200</v>
      </c>
      <c r="M32" s="29">
        <v>9740</v>
      </c>
      <c r="N32" s="29">
        <f>7920+11360</f>
        <v>19280</v>
      </c>
      <c r="O32" s="29">
        <v>4240</v>
      </c>
      <c r="P32" s="29">
        <f>3540+13020</f>
        <v>16560</v>
      </c>
      <c r="Q32" s="29">
        <v>5120</v>
      </c>
      <c r="R32" s="29">
        <f>11820+13600</f>
        <v>25420</v>
      </c>
      <c r="S32" s="29">
        <v>2360</v>
      </c>
      <c r="T32" s="29">
        <f>2540+2840</f>
        <v>5380</v>
      </c>
      <c r="U32" s="29">
        <v>3660</v>
      </c>
      <c r="V32" s="29">
        <v>7660</v>
      </c>
      <c r="W32" s="29">
        <f>12080+14800</f>
        <v>26880</v>
      </c>
      <c r="X32" s="29">
        <v>10280</v>
      </c>
      <c r="Y32" s="29">
        <v>5960</v>
      </c>
      <c r="Z32" s="29">
        <v>3540</v>
      </c>
      <c r="AA32" s="29"/>
      <c r="AB32" s="29">
        <v>2320</v>
      </c>
      <c r="AC32" s="29"/>
      <c r="AD32" s="29"/>
      <c r="AE32" s="26"/>
      <c r="AF32" s="29">
        <f t="shared" si="6"/>
        <v>287540</v>
      </c>
      <c r="AG32" s="29">
        <f t="shared" si="0"/>
        <v>207080</v>
      </c>
      <c r="AH32" s="30">
        <f>175000+125000+180</f>
        <v>300180</v>
      </c>
      <c r="AI32" s="29">
        <f>+AF32+AG32-AH32</f>
        <v>194440</v>
      </c>
      <c r="AJ32" s="27"/>
      <c r="AK32" s="18">
        <v>192120</v>
      </c>
      <c r="AL32" s="18">
        <f t="shared" si="2"/>
        <v>2320</v>
      </c>
      <c r="AM32" s="60"/>
      <c r="AN32" s="65">
        <v>180</v>
      </c>
      <c r="AO32" s="60">
        <v>300000</v>
      </c>
      <c r="AP32" s="27"/>
      <c r="AQ32" s="27">
        <f t="shared" si="3"/>
        <v>300180</v>
      </c>
      <c r="AR32" s="27">
        <f t="shared" si="4"/>
        <v>0</v>
      </c>
    </row>
    <row r="33" spans="1:60" x14ac:dyDescent="0.3">
      <c r="A33" s="28">
        <f t="shared" si="5"/>
        <v>30</v>
      </c>
      <c r="B33" s="31" t="s">
        <v>51</v>
      </c>
      <c r="C33" s="31" t="s">
        <v>52</v>
      </c>
      <c r="D33" s="58">
        <v>36540</v>
      </c>
      <c r="E33" s="29">
        <v>20</v>
      </c>
      <c r="F33" s="29">
        <v>240</v>
      </c>
      <c r="G33" s="29">
        <f>400+320</f>
        <v>720</v>
      </c>
      <c r="H33" s="29">
        <v>980</v>
      </c>
      <c r="I33" s="29"/>
      <c r="J33" s="29"/>
      <c r="K33" s="29"/>
      <c r="L33" s="29">
        <f>860+620</f>
        <v>1480</v>
      </c>
      <c r="M33" s="29">
        <v>1700</v>
      </c>
      <c r="N33" s="29">
        <f>300+700</f>
        <v>1000</v>
      </c>
      <c r="O33" s="29">
        <v>0</v>
      </c>
      <c r="P33" s="29">
        <f>660+420</f>
        <v>1080</v>
      </c>
      <c r="Q33" s="29">
        <v>120</v>
      </c>
      <c r="R33" s="29">
        <v>540</v>
      </c>
      <c r="S33" s="29"/>
      <c r="T33" s="29">
        <v>80</v>
      </c>
      <c r="U33" s="29">
        <v>80</v>
      </c>
      <c r="V33" s="29"/>
      <c r="W33" s="29">
        <f>60+220</f>
        <v>280</v>
      </c>
      <c r="X33" s="29">
        <v>180</v>
      </c>
      <c r="Y33" s="29">
        <v>100</v>
      </c>
      <c r="Z33" s="29">
        <v>420</v>
      </c>
      <c r="AA33" s="29"/>
      <c r="AB33" s="29">
        <v>60</v>
      </c>
      <c r="AC33" s="29"/>
      <c r="AD33" s="29"/>
      <c r="AE33" s="26"/>
      <c r="AF33" s="29">
        <f t="shared" si="6"/>
        <v>36540</v>
      </c>
      <c r="AG33" s="29">
        <f t="shared" si="0"/>
        <v>9080</v>
      </c>
      <c r="AH33" s="30">
        <f>14000+10000</f>
        <v>24000</v>
      </c>
      <c r="AI33" s="29">
        <f t="shared" si="1"/>
        <v>21620</v>
      </c>
      <c r="AJ33" s="27"/>
      <c r="AK33" s="18">
        <v>21560</v>
      </c>
      <c r="AL33" s="18">
        <f t="shared" si="2"/>
        <v>60</v>
      </c>
      <c r="AM33" s="60"/>
      <c r="AN33" s="65"/>
      <c r="AO33" s="60">
        <v>24000</v>
      </c>
      <c r="AP33" s="27"/>
      <c r="AQ33" s="27">
        <f t="shared" si="3"/>
        <v>24000</v>
      </c>
      <c r="AR33" s="27">
        <f t="shared" si="4"/>
        <v>0</v>
      </c>
      <c r="BG33" s="5"/>
    </row>
    <row r="34" spans="1:60" x14ac:dyDescent="0.3">
      <c r="A34" s="28">
        <f t="shared" si="5"/>
        <v>31</v>
      </c>
      <c r="B34" s="31" t="s">
        <v>38</v>
      </c>
      <c r="C34" s="31" t="s">
        <v>39</v>
      </c>
      <c r="D34" s="58">
        <v>260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/>
      <c r="AF34" s="29">
        <f t="shared" si="6"/>
        <v>260</v>
      </c>
      <c r="AG34" s="29">
        <f t="shared" si="0"/>
        <v>0</v>
      </c>
      <c r="AH34" s="30"/>
      <c r="AI34" s="29">
        <f t="shared" si="1"/>
        <v>260</v>
      </c>
      <c r="AJ34" s="27"/>
      <c r="AK34" s="18">
        <v>260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0</v>
      </c>
      <c r="BG34" s="5"/>
    </row>
    <row r="35" spans="1:60" x14ac:dyDescent="0.3">
      <c r="A35" s="28">
        <f t="shared" si="5"/>
        <v>32</v>
      </c>
      <c r="B35" s="31">
        <v>10007050</v>
      </c>
      <c r="C35" s="31" t="s">
        <v>87</v>
      </c>
      <c r="D35" s="58">
        <v>26460</v>
      </c>
      <c r="E35" s="29">
        <v>660</v>
      </c>
      <c r="F35" s="36">
        <v>100</v>
      </c>
      <c r="G35" s="36">
        <f>1520+200</f>
        <v>1720</v>
      </c>
      <c r="H35" s="29">
        <v>1740</v>
      </c>
      <c r="I35" s="29"/>
      <c r="J35" s="36"/>
      <c r="K35" s="36"/>
      <c r="L35" s="36">
        <f>680+1100</f>
        <v>1780</v>
      </c>
      <c r="M35" s="36">
        <v>320</v>
      </c>
      <c r="N35" s="36">
        <f>180+1980</f>
        <v>2160</v>
      </c>
      <c r="O35" s="36">
        <v>0</v>
      </c>
      <c r="P35" s="36">
        <f>560+1140</f>
        <v>1700</v>
      </c>
      <c r="Q35" s="36">
        <v>940</v>
      </c>
      <c r="R35" s="36">
        <f>2160+2220</f>
        <v>4380</v>
      </c>
      <c r="S35" s="36"/>
      <c r="T35" s="36">
        <v>540</v>
      </c>
      <c r="U35" s="36">
        <v>1420</v>
      </c>
      <c r="V35" s="36">
        <v>80</v>
      </c>
      <c r="W35" s="36">
        <f>680+1340</f>
        <v>2020</v>
      </c>
      <c r="X35" s="36">
        <v>860</v>
      </c>
      <c r="Y35" s="36">
        <v>1100</v>
      </c>
      <c r="Z35" s="36">
        <v>1120</v>
      </c>
      <c r="AA35" s="36"/>
      <c r="AB35" s="36">
        <v>520</v>
      </c>
      <c r="AC35" s="36"/>
      <c r="AD35" s="36"/>
      <c r="AE35" s="27"/>
      <c r="AF35" s="29">
        <f t="shared" si="6"/>
        <v>26460</v>
      </c>
      <c r="AG35" s="29">
        <f t="shared" si="0"/>
        <v>23160</v>
      </c>
      <c r="AH35" s="30"/>
      <c r="AI35" s="29">
        <f t="shared" si="1"/>
        <v>49620</v>
      </c>
      <c r="AJ35" s="27"/>
      <c r="AK35" s="18">
        <v>49100</v>
      </c>
      <c r="AL35" s="18">
        <f t="shared" si="2"/>
        <v>520</v>
      </c>
      <c r="AM35" s="60"/>
      <c r="AN35" s="65"/>
      <c r="AO35" s="60"/>
      <c r="AP35" s="27"/>
      <c r="AQ35" s="27">
        <f t="shared" si="3"/>
        <v>0</v>
      </c>
      <c r="AR35" s="27">
        <f t="shared" si="4"/>
        <v>0</v>
      </c>
      <c r="BG35" s="5"/>
    </row>
    <row r="36" spans="1:60" ht="18.600000000000001" customHeight="1" x14ac:dyDescent="0.3">
      <c r="A36" s="43">
        <f t="shared" si="5"/>
        <v>33</v>
      </c>
      <c r="B36" s="44"/>
      <c r="C36" s="44" t="s">
        <v>81</v>
      </c>
      <c r="D36" s="59">
        <v>22290</v>
      </c>
      <c r="E36" s="42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>
        <v>390</v>
      </c>
      <c r="AB36" s="90"/>
      <c r="AC36" s="90">
        <v>9060</v>
      </c>
      <c r="AD36" s="90"/>
      <c r="AE36" s="91"/>
      <c r="AF36" s="42">
        <f t="shared" si="6"/>
        <v>22290</v>
      </c>
      <c r="AG36" s="42">
        <f t="shared" si="0"/>
        <v>9450</v>
      </c>
      <c r="AH36" s="92">
        <f>10080+12210</f>
        <v>22290</v>
      </c>
      <c r="AI36" s="42">
        <f t="shared" si="1"/>
        <v>9450</v>
      </c>
      <c r="AJ36" s="27"/>
      <c r="AK36" s="18">
        <v>0</v>
      </c>
      <c r="AL36" s="18">
        <f t="shared" si="2"/>
        <v>9450</v>
      </c>
      <c r="AM36" s="18">
        <v>22290</v>
      </c>
      <c r="AN36" s="65"/>
      <c r="AO36" s="60"/>
      <c r="AP36" s="27"/>
      <c r="AQ36" s="27">
        <f t="shared" si="3"/>
        <v>22290</v>
      </c>
      <c r="AR36" s="27">
        <f t="shared" si="4"/>
        <v>0</v>
      </c>
    </row>
    <row r="37" spans="1:60" ht="18.600000000000001" customHeight="1" x14ac:dyDescent="0.3">
      <c r="A37" s="43">
        <f t="shared" si="5"/>
        <v>34</v>
      </c>
      <c r="B37" s="44"/>
      <c r="C37" s="44" t="s">
        <v>107</v>
      </c>
      <c r="D37" s="59">
        <v>0</v>
      </c>
      <c r="E37" s="4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>
        <v>3460</v>
      </c>
      <c r="AD37" s="90"/>
      <c r="AE37" s="91"/>
      <c r="AF37" s="42">
        <f t="shared" si="6"/>
        <v>0</v>
      </c>
      <c r="AG37" s="42">
        <f t="shared" si="0"/>
        <v>3460</v>
      </c>
      <c r="AH37" s="92"/>
      <c r="AI37" s="42">
        <f t="shared" si="1"/>
        <v>3460</v>
      </c>
      <c r="AJ37" s="27"/>
      <c r="AK37" s="18">
        <v>0</v>
      </c>
      <c r="AL37" s="18">
        <f t="shared" si="2"/>
        <v>3460</v>
      </c>
      <c r="AM37" s="18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60" x14ac:dyDescent="0.3">
      <c r="A38" s="43">
        <f t="shared" si="5"/>
        <v>35</v>
      </c>
      <c r="B38" s="44"/>
      <c r="C38" s="44" t="s">
        <v>106</v>
      </c>
      <c r="D38" s="59">
        <v>2600</v>
      </c>
      <c r="E38" s="42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>
        <v>2380</v>
      </c>
      <c r="AD38" s="90"/>
      <c r="AE38" s="91"/>
      <c r="AF38" s="42">
        <f t="shared" si="6"/>
        <v>2600</v>
      </c>
      <c r="AG38" s="42">
        <f t="shared" si="0"/>
        <v>2380</v>
      </c>
      <c r="AH38" s="92">
        <v>2600</v>
      </c>
      <c r="AI38" s="42">
        <f t="shared" si="1"/>
        <v>2380</v>
      </c>
      <c r="AJ38" s="27"/>
      <c r="AK38" s="18">
        <v>0</v>
      </c>
      <c r="AL38" s="18">
        <f t="shared" si="2"/>
        <v>2380</v>
      </c>
      <c r="AM38" s="18">
        <v>2600</v>
      </c>
      <c r="AN38" s="65"/>
      <c r="AO38" s="60"/>
      <c r="AP38" s="27"/>
      <c r="AQ38" s="27">
        <f t="shared" si="3"/>
        <v>2600</v>
      </c>
      <c r="AR38" s="27">
        <f t="shared" si="4"/>
        <v>0</v>
      </c>
    </row>
    <row r="39" spans="1:60" x14ac:dyDescent="0.3">
      <c r="A39" s="43">
        <f t="shared" si="5"/>
        <v>36</v>
      </c>
      <c r="B39" s="44"/>
      <c r="C39" s="44" t="s">
        <v>105</v>
      </c>
      <c r="D39" s="59">
        <v>2650</v>
      </c>
      <c r="E39" s="4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>
        <v>2200</v>
      </c>
      <c r="AD39" s="90"/>
      <c r="AE39" s="91"/>
      <c r="AF39" s="42">
        <f t="shared" si="6"/>
        <v>2650</v>
      </c>
      <c r="AG39" s="42">
        <f t="shared" si="0"/>
        <v>2200</v>
      </c>
      <c r="AH39" s="92">
        <v>2650</v>
      </c>
      <c r="AI39" s="42">
        <f t="shared" si="1"/>
        <v>2200</v>
      </c>
      <c r="AJ39" s="27"/>
      <c r="AK39" s="18">
        <v>0</v>
      </c>
      <c r="AL39" s="18">
        <f t="shared" si="2"/>
        <v>2200</v>
      </c>
      <c r="AM39" s="18">
        <v>2650</v>
      </c>
      <c r="AN39" s="65"/>
      <c r="AO39" s="60"/>
      <c r="AP39" s="27"/>
      <c r="AQ39" s="27">
        <f t="shared" si="3"/>
        <v>2650</v>
      </c>
      <c r="AR39" s="27">
        <f t="shared" si="4"/>
        <v>0</v>
      </c>
    </row>
    <row r="40" spans="1:60" s="15" customFormat="1" x14ac:dyDescent="0.25">
      <c r="A40" s="23">
        <f>+A39+1</f>
        <v>37</v>
      </c>
      <c r="B40" s="32">
        <v>10009337</v>
      </c>
      <c r="C40" s="32" t="s">
        <v>62</v>
      </c>
      <c r="D40" s="56">
        <v>19455</v>
      </c>
      <c r="E40" s="24"/>
      <c r="F40" s="33">
        <v>570</v>
      </c>
      <c r="G40" s="33">
        <f>3615+30</f>
        <v>3645</v>
      </c>
      <c r="H40" s="33"/>
      <c r="I40" s="33"/>
      <c r="J40" s="33"/>
      <c r="K40" s="33">
        <v>1800</v>
      </c>
      <c r="L40" s="33">
        <f>255+1125</f>
        <v>1380</v>
      </c>
      <c r="M40" s="33">
        <v>735</v>
      </c>
      <c r="N40" s="33">
        <f>1215+1740</f>
        <v>2955</v>
      </c>
      <c r="O40" s="33">
        <v>0</v>
      </c>
      <c r="P40" s="33">
        <f>825+1500</f>
        <v>2325</v>
      </c>
      <c r="Q40" s="33">
        <v>435</v>
      </c>
      <c r="R40" s="33">
        <f>3660+795</f>
        <v>4455</v>
      </c>
      <c r="S40" s="33"/>
      <c r="T40" s="33">
        <v>600</v>
      </c>
      <c r="U40" s="33">
        <v>1005</v>
      </c>
      <c r="V40" s="33">
        <v>1440</v>
      </c>
      <c r="W40" s="33">
        <f>525+2340</f>
        <v>2865</v>
      </c>
      <c r="X40" s="33">
        <v>1305</v>
      </c>
      <c r="Y40" s="33">
        <v>780</v>
      </c>
      <c r="Z40" s="33">
        <v>855</v>
      </c>
      <c r="AA40" s="33"/>
      <c r="AB40" s="33"/>
      <c r="AC40" s="33"/>
      <c r="AD40" s="33"/>
      <c r="AE40" s="27"/>
      <c r="AF40" s="33">
        <f t="shared" si="6"/>
        <v>19455</v>
      </c>
      <c r="AG40" s="24">
        <f t="shared" si="0"/>
        <v>27150</v>
      </c>
      <c r="AH40" s="46">
        <f>25500-105</f>
        <v>25395</v>
      </c>
      <c r="AI40" s="24">
        <f t="shared" si="1"/>
        <v>21210</v>
      </c>
      <c r="AJ40" s="27">
        <v>52320</v>
      </c>
      <c r="AK40" s="18">
        <v>21210</v>
      </c>
      <c r="AL40" s="18">
        <f t="shared" si="2"/>
        <v>0</v>
      </c>
      <c r="AM40" s="18"/>
      <c r="AN40" s="66"/>
      <c r="AO40" s="60">
        <v>25395</v>
      </c>
      <c r="AP40" s="27"/>
      <c r="AQ40" s="27">
        <f t="shared" si="3"/>
        <v>25395</v>
      </c>
      <c r="AR40" s="27">
        <f t="shared" si="4"/>
        <v>0</v>
      </c>
      <c r="BF40" s="3"/>
      <c r="BG40" s="3"/>
      <c r="BH40" s="3"/>
    </row>
    <row r="41" spans="1:60" s="15" customFormat="1" x14ac:dyDescent="0.25">
      <c r="A41" s="23">
        <f t="shared" ref="A41:A44" si="11">+A40+1</f>
        <v>38</v>
      </c>
      <c r="B41" s="32">
        <v>10009332</v>
      </c>
      <c r="C41" s="32" t="s">
        <v>64</v>
      </c>
      <c r="D41" s="56">
        <v>14025</v>
      </c>
      <c r="E41" s="24"/>
      <c r="F41" s="33">
        <v>885</v>
      </c>
      <c r="G41" s="33">
        <f>3150+15</f>
        <v>3165</v>
      </c>
      <c r="H41" s="33"/>
      <c r="I41" s="33"/>
      <c r="J41" s="33"/>
      <c r="K41" s="33">
        <v>525</v>
      </c>
      <c r="L41" s="33">
        <f>1350+1200</f>
        <v>2550</v>
      </c>
      <c r="M41" s="33">
        <v>345</v>
      </c>
      <c r="N41" s="33">
        <f>1410+1650</f>
        <v>3060</v>
      </c>
      <c r="O41" s="33">
        <v>0</v>
      </c>
      <c r="P41" s="33">
        <f>780+1185</f>
        <v>1965</v>
      </c>
      <c r="Q41" s="33">
        <v>1380</v>
      </c>
      <c r="R41" s="33">
        <f>2700+780</f>
        <v>3480</v>
      </c>
      <c r="S41" s="33"/>
      <c r="T41" s="33">
        <v>480</v>
      </c>
      <c r="U41" s="33">
        <v>900</v>
      </c>
      <c r="V41" s="33">
        <v>1650</v>
      </c>
      <c r="W41" s="33">
        <v>2175</v>
      </c>
      <c r="X41" s="33">
        <v>1185</v>
      </c>
      <c r="Y41" s="33">
        <v>1230</v>
      </c>
      <c r="Z41" s="33">
        <v>360</v>
      </c>
      <c r="AA41" s="33"/>
      <c r="AB41" s="33"/>
      <c r="AC41" s="33"/>
      <c r="AD41" s="33"/>
      <c r="AE41" s="27"/>
      <c r="AF41" s="33">
        <f t="shared" si="6"/>
        <v>14025</v>
      </c>
      <c r="AG41" s="24">
        <f t="shared" si="0"/>
        <v>25335</v>
      </c>
      <c r="AH41" s="46"/>
      <c r="AI41" s="24">
        <f t="shared" si="1"/>
        <v>39360</v>
      </c>
      <c r="AJ41" s="27"/>
      <c r="AK41" s="18">
        <v>39360</v>
      </c>
      <c r="AL41" s="18">
        <f t="shared" si="2"/>
        <v>0</v>
      </c>
      <c r="AM41" s="18"/>
      <c r="AN41" s="75"/>
      <c r="AO41" s="60"/>
      <c r="AP41" s="27"/>
      <c r="AQ41" s="27">
        <f t="shared" si="3"/>
        <v>0</v>
      </c>
      <c r="AR41" s="27">
        <f t="shared" si="4"/>
        <v>0</v>
      </c>
      <c r="BF41" s="3"/>
      <c r="BG41" s="3"/>
      <c r="BH41" s="3"/>
    </row>
    <row r="42" spans="1:60" s="15" customFormat="1" x14ac:dyDescent="0.25">
      <c r="A42" s="23"/>
      <c r="B42" s="32"/>
      <c r="C42" s="32" t="s">
        <v>108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>
        <v>4920</v>
      </c>
      <c r="AD42" s="33"/>
      <c r="AE42" s="27"/>
      <c r="AF42" s="33">
        <f t="shared" si="6"/>
        <v>0</v>
      </c>
      <c r="AG42" s="24">
        <f t="shared" ref="AG42" si="12">SUM(E42:AD42)</f>
        <v>4920</v>
      </c>
      <c r="AH42" s="46"/>
      <c r="AI42" s="24">
        <f t="shared" ref="AI42" si="13">+AF42+AG42-AH42</f>
        <v>4920</v>
      </c>
      <c r="AJ42" s="27"/>
      <c r="AK42" s="18"/>
      <c r="AL42" s="18"/>
      <c r="AM42" s="18"/>
      <c r="AN42" s="75"/>
      <c r="AO42" s="60"/>
      <c r="AP42" s="27"/>
      <c r="AQ42" s="27"/>
      <c r="AR42" s="27"/>
      <c r="BF42" s="3"/>
      <c r="BG42" s="3"/>
      <c r="BH42" s="3"/>
    </row>
    <row r="43" spans="1:60" s="15" customFormat="1" x14ac:dyDescent="0.25">
      <c r="A43" s="23">
        <f>+A41+1</f>
        <v>39</v>
      </c>
      <c r="B43" s="32"/>
      <c r="C43" s="32" t="s">
        <v>99</v>
      </c>
      <c r="D43" s="56">
        <v>0</v>
      </c>
      <c r="E43" s="2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>
        <v>20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27"/>
      <c r="AF43" s="33">
        <f t="shared" si="6"/>
        <v>0</v>
      </c>
      <c r="AG43" s="24">
        <f t="shared" si="0"/>
        <v>20</v>
      </c>
      <c r="AH43" s="46"/>
      <c r="AI43" s="24">
        <f t="shared" ref="AI43:AI44" si="14">+AF43+AG43-AH43</f>
        <v>20</v>
      </c>
      <c r="AJ43" s="27"/>
      <c r="AK43" s="18">
        <v>20</v>
      </c>
      <c r="AL43" s="18">
        <f t="shared" ref="AL43:AL44" si="15">+AI43-AK43</f>
        <v>0</v>
      </c>
      <c r="AM43" s="18"/>
      <c r="AN43" s="75"/>
      <c r="AO43" s="60"/>
      <c r="AP43" s="27"/>
      <c r="AQ43" s="27">
        <f t="shared" si="3"/>
        <v>0</v>
      </c>
      <c r="AR43" s="27">
        <f t="shared" si="4"/>
        <v>0</v>
      </c>
      <c r="BF43" s="3"/>
      <c r="BG43" s="3"/>
      <c r="BH43" s="3"/>
    </row>
    <row r="44" spans="1:60" s="15" customFormat="1" x14ac:dyDescent="0.25">
      <c r="A44" s="23">
        <f t="shared" si="11"/>
        <v>40</v>
      </c>
      <c r="B44" s="32"/>
      <c r="C44" s="32" t="s">
        <v>98</v>
      </c>
      <c r="D44" s="56">
        <v>0</v>
      </c>
      <c r="E44" s="2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>
        <f>880+1180</f>
        <v>2060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27"/>
      <c r="AF44" s="33">
        <f t="shared" si="6"/>
        <v>0</v>
      </c>
      <c r="AG44" s="24">
        <f t="shared" si="0"/>
        <v>2060</v>
      </c>
      <c r="AH44" s="46"/>
      <c r="AI44" s="24">
        <f t="shared" si="14"/>
        <v>2060</v>
      </c>
      <c r="AJ44" s="27"/>
      <c r="AK44" s="18">
        <v>2060</v>
      </c>
      <c r="AL44" s="18">
        <f t="shared" si="15"/>
        <v>0</v>
      </c>
      <c r="AM44" s="18"/>
      <c r="AN44" s="75"/>
      <c r="AO44" s="60"/>
      <c r="AP44" s="27"/>
      <c r="AQ44" s="27">
        <f t="shared" si="3"/>
        <v>0</v>
      </c>
      <c r="AR44" s="27">
        <f t="shared" si="4"/>
        <v>0</v>
      </c>
      <c r="BF44" s="3"/>
      <c r="BG44" s="3"/>
      <c r="BH44" s="3"/>
    </row>
    <row r="45" spans="1:60" s="15" customFormat="1" x14ac:dyDescent="0.25">
      <c r="A45" s="48">
        <f>+A44+1</f>
        <v>41</v>
      </c>
      <c r="B45" s="49"/>
      <c r="C45" s="49" t="s">
        <v>65</v>
      </c>
      <c r="D45" s="72">
        <v>56.174999999999997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2"/>
      <c r="AF45" s="67">
        <f t="shared" si="6"/>
        <v>56.174999999999997</v>
      </c>
      <c r="AG45" s="68">
        <f t="shared" si="0"/>
        <v>0</v>
      </c>
      <c r="AH45" s="69">
        <v>5</v>
      </c>
      <c r="AI45" s="71">
        <f t="shared" si="1"/>
        <v>51.174999999999997</v>
      </c>
      <c r="AJ45" s="70"/>
      <c r="AK45" s="9">
        <v>51.174999999999997</v>
      </c>
      <c r="AL45" s="18">
        <f t="shared" si="2"/>
        <v>0</v>
      </c>
      <c r="AM45" s="18"/>
      <c r="AN45" s="66">
        <v>5</v>
      </c>
      <c r="AO45" s="60"/>
      <c r="AP45" s="27"/>
      <c r="AQ45" s="27">
        <f t="shared" si="3"/>
        <v>5</v>
      </c>
      <c r="AR45" s="27">
        <f t="shared" si="4"/>
        <v>0</v>
      </c>
      <c r="BF45" s="3"/>
      <c r="BG45" s="3"/>
      <c r="BH45" s="3"/>
    </row>
    <row r="46" spans="1:60" s="15" customFormat="1" x14ac:dyDescent="0.25">
      <c r="A46" s="48">
        <f t="shared" ref="A46:A47" si="16">+A45+1</f>
        <v>42</v>
      </c>
      <c r="B46" s="49"/>
      <c r="C46" s="49" t="s">
        <v>66</v>
      </c>
      <c r="D46" s="72">
        <v>16.774999999999999</v>
      </c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2"/>
      <c r="AF46" s="67">
        <f t="shared" si="6"/>
        <v>16.774999999999999</v>
      </c>
      <c r="AG46" s="68">
        <f t="shared" si="0"/>
        <v>0</v>
      </c>
      <c r="AH46" s="69">
        <v>3</v>
      </c>
      <c r="AI46" s="71">
        <f t="shared" si="1"/>
        <v>13.774999999999999</v>
      </c>
      <c r="AJ46" s="70"/>
      <c r="AK46" s="9">
        <v>13.775</v>
      </c>
      <c r="AL46" s="18">
        <f t="shared" si="2"/>
        <v>0</v>
      </c>
      <c r="AM46" s="18"/>
      <c r="AN46" s="66">
        <v>3</v>
      </c>
      <c r="AO46" s="60"/>
      <c r="AP46" s="27"/>
      <c r="AQ46" s="27">
        <f t="shared" si="3"/>
        <v>3</v>
      </c>
      <c r="AR46" s="27">
        <f t="shared" si="4"/>
        <v>0</v>
      </c>
      <c r="BF46" s="3"/>
      <c r="BG46" s="3"/>
      <c r="BH46" s="3"/>
    </row>
    <row r="47" spans="1:60" s="15" customFormat="1" x14ac:dyDescent="0.25">
      <c r="A47" s="48">
        <f t="shared" si="16"/>
        <v>43</v>
      </c>
      <c r="B47" s="49"/>
      <c r="C47" s="49" t="s">
        <v>80</v>
      </c>
      <c r="D47" s="72">
        <v>23.85</v>
      </c>
      <c r="E47" s="50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2"/>
      <c r="AF47" s="67">
        <f t="shared" si="6"/>
        <v>23.85</v>
      </c>
      <c r="AG47" s="68">
        <f t="shared" si="0"/>
        <v>0</v>
      </c>
      <c r="AH47" s="69"/>
      <c r="AI47" s="71">
        <f t="shared" si="1"/>
        <v>23.85</v>
      </c>
      <c r="AJ47" s="70"/>
      <c r="AK47" s="9">
        <v>23.85</v>
      </c>
      <c r="AL47" s="18">
        <f t="shared" si="2"/>
        <v>0</v>
      </c>
      <c r="AM47" s="18"/>
      <c r="AN47" s="66"/>
      <c r="AO47" s="60"/>
      <c r="AP47" s="27"/>
      <c r="AQ47" s="27">
        <f t="shared" si="3"/>
        <v>0</v>
      </c>
      <c r="AR47" s="27">
        <f t="shared" si="4"/>
        <v>0</v>
      </c>
      <c r="BF47" s="3"/>
      <c r="BG47" s="3"/>
      <c r="BH47" s="3"/>
    </row>
    <row r="48" spans="1:60" x14ac:dyDescent="0.3">
      <c r="A48" s="43">
        <f>+A47+1</f>
        <v>44</v>
      </c>
      <c r="B48" s="44" t="s">
        <v>25</v>
      </c>
      <c r="C48" s="44" t="s">
        <v>26</v>
      </c>
      <c r="D48" s="59">
        <v>1120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>
        <f t="shared" si="6"/>
        <v>1120</v>
      </c>
      <c r="AG48" s="42">
        <f t="shared" si="0"/>
        <v>0</v>
      </c>
      <c r="AH48" s="42"/>
      <c r="AI48" s="42">
        <f>SUM(G48:AF48)</f>
        <v>1120</v>
      </c>
      <c r="AJ48" s="27"/>
      <c r="AK48" s="9">
        <v>1120</v>
      </c>
      <c r="AL48" s="18">
        <f t="shared" si="2"/>
        <v>0</v>
      </c>
      <c r="AM48" s="18"/>
      <c r="AN48" s="65"/>
      <c r="AO48" s="60"/>
      <c r="AP48" s="27"/>
      <c r="AQ48" s="27">
        <f t="shared" si="3"/>
        <v>0</v>
      </c>
      <c r="AR48" s="27">
        <f t="shared" si="4"/>
        <v>0</v>
      </c>
    </row>
    <row r="49" spans="3:56" ht="3.6" customHeight="1" x14ac:dyDescent="0.3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27"/>
      <c r="AQ49" s="27"/>
    </row>
    <row r="50" spans="3:56" ht="15.6" x14ac:dyDescent="0.3">
      <c r="C50" s="1" t="s">
        <v>93</v>
      </c>
      <c r="D50" s="6">
        <f t="shared" ref="D50:AA50" si="17">SUM(D3:D48)</f>
        <v>2166892.7999999998</v>
      </c>
      <c r="E50" s="6">
        <f t="shared" si="17"/>
        <v>70560</v>
      </c>
      <c r="F50" s="6">
        <f t="shared" si="17"/>
        <v>96575</v>
      </c>
      <c r="G50" s="6">
        <f t="shared" si="17"/>
        <v>28570</v>
      </c>
      <c r="H50" s="6">
        <f t="shared" si="17"/>
        <v>9300</v>
      </c>
      <c r="I50" s="6">
        <f t="shared" si="17"/>
        <v>0</v>
      </c>
      <c r="J50" s="6">
        <f t="shared" si="17"/>
        <v>0</v>
      </c>
      <c r="K50" s="6">
        <f t="shared" si="17"/>
        <v>96685</v>
      </c>
      <c r="L50" s="6">
        <f t="shared" si="17"/>
        <v>69550</v>
      </c>
      <c r="M50" s="6">
        <f t="shared" si="17"/>
        <v>96560</v>
      </c>
      <c r="N50" s="6">
        <f t="shared" si="17"/>
        <v>91275</v>
      </c>
      <c r="O50" s="6">
        <f t="shared" si="17"/>
        <v>36980</v>
      </c>
      <c r="P50" s="6">
        <f t="shared" si="17"/>
        <v>73730</v>
      </c>
      <c r="Q50" s="6">
        <f t="shared" si="17"/>
        <v>92015</v>
      </c>
      <c r="R50" s="6">
        <f t="shared" si="17"/>
        <v>64135</v>
      </c>
      <c r="S50" s="6">
        <f t="shared" si="17"/>
        <v>28060</v>
      </c>
      <c r="T50" s="6">
        <f t="shared" si="17"/>
        <v>89740</v>
      </c>
      <c r="U50" s="6">
        <f t="shared" si="17"/>
        <v>7065</v>
      </c>
      <c r="V50" s="6">
        <f t="shared" si="17"/>
        <v>94210</v>
      </c>
      <c r="W50" s="6">
        <f t="shared" si="17"/>
        <v>134940</v>
      </c>
      <c r="X50" s="6">
        <f t="shared" si="17"/>
        <v>54850</v>
      </c>
      <c r="Y50" s="6">
        <f t="shared" si="17"/>
        <v>91886</v>
      </c>
      <c r="Z50" s="6">
        <f t="shared" si="17"/>
        <v>84895</v>
      </c>
      <c r="AA50" s="6">
        <f t="shared" si="17"/>
        <v>29070</v>
      </c>
      <c r="AB50" s="6">
        <f t="shared" ref="AB50:AC50" si="18">SUM(AB3:AB48)</f>
        <v>57800</v>
      </c>
      <c r="AC50" s="6">
        <f t="shared" si="18"/>
        <v>42640</v>
      </c>
      <c r="AD50" s="6">
        <f>SUM(AD3:AD48)</f>
        <v>0</v>
      </c>
      <c r="AE50" s="5">
        <f>SUM(AE3:AE39)</f>
        <v>0</v>
      </c>
      <c r="AF50" s="6">
        <f>SUM(AF3:AF48)</f>
        <v>2165072.7999999998</v>
      </c>
      <c r="AG50" s="6">
        <f>SUM(AG3:AG48)</f>
        <v>1541091</v>
      </c>
      <c r="AH50" s="73">
        <f>SUM(AH3:AH48)</f>
        <v>1727865</v>
      </c>
      <c r="AI50" s="35">
        <f>SUM(AI3:AI49)</f>
        <v>1978298.8</v>
      </c>
      <c r="AJ50" s="27"/>
      <c r="AK50" s="9">
        <f>SUM(AK1:AK48)</f>
        <v>1877468.8</v>
      </c>
      <c r="AL50" s="5">
        <f>SUM(AL1:AL48)</f>
        <v>95910</v>
      </c>
      <c r="AM50" s="5">
        <f>SUM(AM1:AM48)</f>
        <v>27900</v>
      </c>
      <c r="AN50" s="5">
        <f>SUM(AN1:AN48)</f>
        <v>1128</v>
      </c>
      <c r="AO50" s="5">
        <f>SUM(AO3:AO48)</f>
        <v>1698837</v>
      </c>
      <c r="AP50" s="27"/>
      <c r="AQ50" s="5">
        <f>SUM(AQ3:AQ48)</f>
        <v>1727865</v>
      </c>
      <c r="AR50" s="27">
        <f>SUM(AM50:AO50)</f>
        <v>1727865</v>
      </c>
      <c r="AS50" s="97">
        <f>+AQ50-AR50</f>
        <v>0</v>
      </c>
      <c r="BC50" s="3">
        <f>SUM(BC4:BC49)</f>
        <v>0</v>
      </c>
      <c r="BD50" s="5">
        <f>+BC50-AI50</f>
        <v>-1978298.8</v>
      </c>
    </row>
    <row r="51" spans="3:56" ht="17.399999999999999" customHeight="1" x14ac:dyDescent="0.3">
      <c r="E51" s="6">
        <f t="shared" ref="E51:Z51" si="19">SUM(E4:E49)</f>
        <v>70560</v>
      </c>
      <c r="F51" s="6">
        <f t="shared" si="19"/>
        <v>96575</v>
      </c>
      <c r="G51" s="6">
        <f t="shared" si="19"/>
        <v>28570</v>
      </c>
      <c r="H51" s="6">
        <f t="shared" si="19"/>
        <v>9300</v>
      </c>
      <c r="I51" s="6">
        <f t="shared" si="19"/>
        <v>0</v>
      </c>
      <c r="J51" s="6">
        <f t="shared" si="19"/>
        <v>0</v>
      </c>
      <c r="K51" s="6">
        <f t="shared" si="19"/>
        <v>96685</v>
      </c>
      <c r="L51" s="6">
        <f t="shared" si="19"/>
        <v>69550</v>
      </c>
      <c r="M51" s="6">
        <f t="shared" si="19"/>
        <v>96560</v>
      </c>
      <c r="N51" s="6">
        <f t="shared" si="19"/>
        <v>91275</v>
      </c>
      <c r="O51" s="6">
        <f t="shared" si="19"/>
        <v>36980</v>
      </c>
      <c r="P51" s="6">
        <f t="shared" si="19"/>
        <v>73730</v>
      </c>
      <c r="Q51" s="6">
        <f t="shared" si="19"/>
        <v>92015</v>
      </c>
      <c r="R51" s="6">
        <f t="shared" si="19"/>
        <v>64135</v>
      </c>
      <c r="S51" s="6">
        <f t="shared" si="19"/>
        <v>28060</v>
      </c>
      <c r="T51" s="6">
        <f t="shared" si="19"/>
        <v>89300</v>
      </c>
      <c r="U51" s="6">
        <f t="shared" si="19"/>
        <v>7065</v>
      </c>
      <c r="V51" s="6">
        <f t="shared" si="19"/>
        <v>94210</v>
      </c>
      <c r="W51" s="6">
        <f t="shared" si="19"/>
        <v>134940</v>
      </c>
      <c r="X51" s="6">
        <f t="shared" si="19"/>
        <v>54850</v>
      </c>
      <c r="Y51" s="6">
        <f t="shared" si="19"/>
        <v>91886</v>
      </c>
      <c r="Z51" s="6">
        <f t="shared" si="19"/>
        <v>84895</v>
      </c>
      <c r="AJ51" s="27"/>
      <c r="AL51" s="5"/>
    </row>
    <row r="52" spans="3:56" x14ac:dyDescent="0.3">
      <c r="D52" s="74"/>
      <c r="AL52" s="5"/>
      <c r="AN52" s="5"/>
      <c r="AO52" s="5">
        <f>+AH50-AN52</f>
        <v>1727865</v>
      </c>
    </row>
    <row r="53" spans="3:56" x14ac:dyDescent="0.3">
      <c r="D53" s="5"/>
      <c r="E53" s="5">
        <f>+E50+F50</f>
        <v>167135</v>
      </c>
      <c r="AF53" s="113" t="s">
        <v>96</v>
      </c>
      <c r="AG53" s="114"/>
      <c r="AH53" s="114"/>
      <c r="AI53" s="62">
        <f>ROUND(+AI50/1000,0)</f>
        <v>1978</v>
      </c>
      <c r="AL53" s="5" t="s">
        <v>71</v>
      </c>
      <c r="AO53" s="3" t="s">
        <v>78</v>
      </c>
      <c r="AP53" s="8" t="s">
        <v>79</v>
      </c>
      <c r="AQ53" s="96">
        <v>642.57680000000005</v>
      </c>
    </row>
    <row r="54" spans="3:56" x14ac:dyDescent="0.3">
      <c r="AF54" s="3" t="s">
        <v>70</v>
      </c>
      <c r="AG54" s="61"/>
      <c r="AH54" s="61"/>
      <c r="AI54" s="63">
        <f>+AG55+AG56</f>
        <v>324</v>
      </c>
      <c r="AL54" s="5" t="s">
        <v>72</v>
      </c>
      <c r="AM54" s="3">
        <f>+AO50/1000</f>
        <v>1698.837</v>
      </c>
      <c r="AO54" s="3">
        <v>0</v>
      </c>
      <c r="AP54" s="8">
        <v>0</v>
      </c>
      <c r="AQ54" s="96">
        <v>49</v>
      </c>
    </row>
    <row r="55" spans="3:56" x14ac:dyDescent="0.3">
      <c r="E55" s="3">
        <v>115</v>
      </c>
      <c r="AF55" s="61">
        <v>46113</v>
      </c>
      <c r="AG55" s="5">
        <f>27*12</f>
        <v>324</v>
      </c>
      <c r="AH55" s="61"/>
      <c r="AI55" s="63">
        <v>0</v>
      </c>
      <c r="AL55" s="3" t="s">
        <v>73</v>
      </c>
      <c r="AM55" s="3">
        <f>+AM50/1000</f>
        <v>27.9</v>
      </c>
      <c r="AQ55" s="96">
        <v>0</v>
      </c>
    </row>
    <row r="56" spans="3:56" x14ac:dyDescent="0.3">
      <c r="E56" s="3">
        <v>167</v>
      </c>
      <c r="AF56" s="61"/>
      <c r="AG56" s="5"/>
      <c r="AH56" s="61"/>
      <c r="AI56" s="63">
        <v>0</v>
      </c>
      <c r="AL56" s="3" t="s">
        <v>74</v>
      </c>
      <c r="AM56" s="3">
        <f>+AN50/1000</f>
        <v>1.1279999999999999</v>
      </c>
      <c r="AQ56" s="96">
        <v>0</v>
      </c>
    </row>
    <row r="57" spans="3:56" x14ac:dyDescent="0.3">
      <c r="E57" s="3">
        <f>+E56-E55</f>
        <v>52</v>
      </c>
      <c r="AF57" s="113" t="s">
        <v>67</v>
      </c>
      <c r="AG57" s="114"/>
      <c r="AH57" s="114"/>
      <c r="AI57" s="64">
        <f>+AI53-AI54-AI55-AI56</f>
        <v>1654</v>
      </c>
      <c r="AL57" s="63"/>
      <c r="AM57" s="3">
        <f>SUM(AM54:AM56)</f>
        <v>1727.865</v>
      </c>
      <c r="AQ57" s="96">
        <v>593.57680000000005</v>
      </c>
    </row>
    <row r="58" spans="3:56" x14ac:dyDescent="0.3">
      <c r="AL58" s="63"/>
      <c r="AM58" s="63"/>
    </row>
    <row r="59" spans="3:56" x14ac:dyDescent="0.3">
      <c r="AM59" s="63"/>
    </row>
    <row r="60" spans="3:56" x14ac:dyDescent="0.3">
      <c r="AG60" s="5"/>
    </row>
    <row r="61" spans="3:56" x14ac:dyDescent="0.3">
      <c r="AG61" s="5"/>
      <c r="AI61" s="63"/>
    </row>
    <row r="63" spans="3:56" x14ac:dyDescent="0.3">
      <c r="AI63" s="63"/>
    </row>
  </sheetData>
  <mergeCells count="7">
    <mergeCell ref="AL1:AL2"/>
    <mergeCell ref="AF53:AH53"/>
    <mergeCell ref="AF57:AH57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E2" sqref="AE1:AH1048576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9.109375" style="3" bestFit="1" customWidth="1"/>
    <col min="4" max="4" width="13.88671875" style="3" bestFit="1" customWidth="1"/>
    <col min="5" max="5" width="12.109375" style="3" customWidth="1"/>
    <col min="6" max="30" width="12" style="3" customWidth="1"/>
    <col min="31" max="31" width="12.21875" style="3" customWidth="1"/>
    <col min="32" max="32" width="1.109375" style="3" customWidth="1"/>
    <col min="33" max="34" width="11.6640625" style="3" customWidth="1"/>
    <col min="35" max="35" width="11.88671875" style="3" customWidth="1"/>
    <col min="36" max="36" width="12.6640625" style="3" customWidth="1"/>
    <col min="37" max="37" width="0.88671875" style="8" customWidth="1"/>
    <col min="38" max="38" width="11.5546875" style="3" customWidth="1"/>
    <col min="39" max="39" width="12.77734375" style="3" bestFit="1" customWidth="1"/>
    <col min="40" max="40" width="12.44140625" style="3" bestFit="1" customWidth="1"/>
    <col min="41" max="41" width="11.44140625" style="3" bestFit="1" customWidth="1"/>
    <col min="42" max="42" width="11.77734375" style="3" bestFit="1" customWidth="1"/>
    <col min="43" max="44" width="9.77734375" style="83" customWidth="1"/>
    <col min="45" max="45" width="9.77734375" style="76" customWidth="1"/>
    <col min="47" max="51" width="9.77734375" style="3" customWidth="1"/>
    <col min="52" max="16384" width="11.5546875" style="3"/>
  </cols>
  <sheetData>
    <row r="1" spans="1:62" x14ac:dyDescent="0.3">
      <c r="A1" s="115" t="s">
        <v>1</v>
      </c>
      <c r="B1" s="2" t="s">
        <v>5</v>
      </c>
      <c r="C1" s="115" t="s">
        <v>0</v>
      </c>
      <c r="D1" s="115" t="s">
        <v>86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G1" s="115" t="s">
        <v>2</v>
      </c>
      <c r="AH1" s="115"/>
      <c r="AI1" s="115"/>
      <c r="AJ1" s="115"/>
      <c r="AK1" s="27"/>
      <c r="AL1" s="16" t="s">
        <v>22</v>
      </c>
      <c r="AM1" s="111" t="s">
        <v>24</v>
      </c>
    </row>
    <row r="2" spans="1:62" x14ac:dyDescent="0.3">
      <c r="A2" s="115"/>
      <c r="B2" s="2" t="s">
        <v>6</v>
      </c>
      <c r="C2" s="115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112"/>
      <c r="AN2" s="65" t="s">
        <v>75</v>
      </c>
      <c r="AO2" s="65" t="s">
        <v>76</v>
      </c>
      <c r="AP2" s="65" t="s">
        <v>77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4"/>
      <c r="AR3" s="84"/>
      <c r="AS3" s="77">
        <f t="shared" ref="AS3:AS44" si="2">+AL3-AR3</f>
        <v>0</v>
      </c>
      <c r="BJ3" s="5"/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4"/>
      <c r="AR4" s="84"/>
      <c r="AS4" s="77">
        <f t="shared" si="2"/>
        <v>0</v>
      </c>
      <c r="BG4" s="15"/>
    </row>
    <row r="5" spans="1:62" x14ac:dyDescent="0.3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4"/>
      <c r="AR5" s="84"/>
      <c r="AS5" s="77">
        <f t="shared" si="2"/>
        <v>0</v>
      </c>
    </row>
    <row r="6" spans="1:62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4"/>
      <c r="AR6" s="84"/>
      <c r="AS6" s="77">
        <f t="shared" si="2"/>
        <v>0</v>
      </c>
    </row>
    <row r="7" spans="1:62" x14ac:dyDescent="0.3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4"/>
      <c r="AR7" s="84"/>
      <c r="AS7" s="77">
        <f t="shared" si="2"/>
        <v>0</v>
      </c>
    </row>
    <row r="8" spans="1:62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4"/>
      <c r="AR8" s="84"/>
      <c r="AS8" s="77">
        <f t="shared" si="2"/>
        <v>0</v>
      </c>
    </row>
    <row r="9" spans="1:62" x14ac:dyDescent="0.3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4"/>
      <c r="AR9" s="84"/>
      <c r="AS9" s="77"/>
    </row>
    <row r="10" spans="1:62" x14ac:dyDescent="0.3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4"/>
      <c r="AR10" s="84"/>
      <c r="AS10" s="77"/>
    </row>
    <row r="11" spans="1:62" x14ac:dyDescent="0.3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4"/>
      <c r="AR11" s="84"/>
      <c r="AS11" s="77"/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4"/>
      <c r="AR12" s="84"/>
      <c r="AS12" s="77">
        <f t="shared" si="2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4"/>
      <c r="AR13" s="84"/>
      <c r="AS13" s="77">
        <f t="shared" si="2"/>
        <v>0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4"/>
      <c r="AR14" s="84"/>
      <c r="AS14" s="77">
        <f t="shared" si="2"/>
        <v>0</v>
      </c>
    </row>
    <row r="15" spans="1:62" x14ac:dyDescent="0.3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4"/>
      <c r="AR15" s="84"/>
      <c r="AS15" s="77">
        <f t="shared" si="2"/>
        <v>0</v>
      </c>
    </row>
    <row r="16" spans="1:62" x14ac:dyDescent="0.3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4"/>
      <c r="AR16" s="84"/>
      <c r="AS16" s="77">
        <f t="shared" si="2"/>
        <v>0</v>
      </c>
      <c r="BH16" s="15"/>
    </row>
    <row r="17" spans="1:61" x14ac:dyDescent="0.3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4"/>
      <c r="AR17" s="84"/>
      <c r="AS17" s="77">
        <f t="shared" si="2"/>
        <v>0</v>
      </c>
      <c r="BG17" s="8"/>
    </row>
    <row r="18" spans="1:61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4"/>
      <c r="AR18" s="84"/>
      <c r="AS18" s="77">
        <f t="shared" si="2"/>
        <v>0</v>
      </c>
    </row>
    <row r="19" spans="1:61" x14ac:dyDescent="0.3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4"/>
      <c r="AR19" s="84"/>
      <c r="AS19" s="77">
        <f t="shared" si="2"/>
        <v>0</v>
      </c>
    </row>
    <row r="20" spans="1:61" x14ac:dyDescent="0.3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4"/>
      <c r="AR20" s="84"/>
      <c r="AS20" s="77">
        <f t="shared" si="2"/>
        <v>0</v>
      </c>
    </row>
    <row r="21" spans="1:61" x14ac:dyDescent="0.3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4"/>
      <c r="AR21" s="84"/>
      <c r="AS21" s="77">
        <f t="shared" si="2"/>
        <v>0</v>
      </c>
    </row>
    <row r="22" spans="1:61" x14ac:dyDescent="0.3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4"/>
      <c r="AR22" s="84"/>
      <c r="AS22" s="77">
        <f t="shared" si="2"/>
        <v>0</v>
      </c>
    </row>
    <row r="23" spans="1:61" x14ac:dyDescent="0.3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4"/>
      <c r="AR23" s="84"/>
      <c r="AS23" s="77">
        <f t="shared" si="2"/>
        <v>0</v>
      </c>
    </row>
    <row r="24" spans="1:61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4"/>
      <c r="AR24" s="84"/>
      <c r="AS24" s="77">
        <f t="shared" si="2"/>
        <v>0</v>
      </c>
      <c r="BA24" s="3"/>
      <c r="BG24" s="3"/>
      <c r="BH24" s="3"/>
      <c r="BI24" s="3"/>
    </row>
    <row r="25" spans="1:61" x14ac:dyDescent="0.3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4"/>
      <c r="AR25" s="84"/>
      <c r="AS25" s="77">
        <f t="shared" si="2"/>
        <v>0</v>
      </c>
      <c r="BA25" s="8"/>
    </row>
    <row r="26" spans="1:61" x14ac:dyDescent="0.3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4"/>
      <c r="AR26" s="84"/>
      <c r="AS26" s="77">
        <f t="shared" si="2"/>
        <v>0</v>
      </c>
    </row>
    <row r="27" spans="1:61" x14ac:dyDescent="0.3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4"/>
      <c r="AR27" s="84"/>
      <c r="AS27" s="77">
        <f t="shared" si="2"/>
        <v>0</v>
      </c>
    </row>
    <row r="28" spans="1:61" x14ac:dyDescent="0.3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4"/>
      <c r="AR28" s="84"/>
      <c r="AS28" s="77">
        <f t="shared" si="2"/>
        <v>0</v>
      </c>
    </row>
    <row r="29" spans="1:61" ht="15.6" customHeight="1" x14ac:dyDescent="0.3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4"/>
      <c r="AR29" s="84"/>
      <c r="AS29" s="77">
        <f t="shared" si="2"/>
        <v>0</v>
      </c>
    </row>
    <row r="30" spans="1:61" x14ac:dyDescent="0.3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4"/>
      <c r="AR30" s="84"/>
      <c r="AS30" s="77">
        <f t="shared" si="2"/>
        <v>0</v>
      </c>
    </row>
    <row r="31" spans="1:61" x14ac:dyDescent="0.3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4"/>
      <c r="AR31" s="84"/>
      <c r="AS31" s="77">
        <f t="shared" si="2"/>
        <v>0</v>
      </c>
    </row>
    <row r="32" spans="1:61" x14ac:dyDescent="0.3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4"/>
      <c r="AR32" s="84"/>
      <c r="AS32" s="77">
        <f t="shared" si="2"/>
        <v>0</v>
      </c>
      <c r="BH32" s="5"/>
    </row>
    <row r="33" spans="1:61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4"/>
      <c r="AR33" s="84"/>
      <c r="AS33" s="77">
        <f t="shared" si="2"/>
        <v>0</v>
      </c>
      <c r="BH33" s="5"/>
    </row>
    <row r="34" spans="1:61" x14ac:dyDescent="0.3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4"/>
      <c r="AR34" s="84"/>
      <c r="AS34" s="77"/>
      <c r="BH34" s="5"/>
    </row>
    <row r="35" spans="1:61" ht="18.600000000000001" customHeight="1" x14ac:dyDescent="0.3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4"/>
      <c r="AR35" s="84"/>
      <c r="AS35" s="77">
        <f t="shared" si="2"/>
        <v>0</v>
      </c>
    </row>
    <row r="36" spans="1:61" ht="18.600000000000001" customHeight="1" x14ac:dyDescent="0.3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4"/>
      <c r="AR36" s="84"/>
      <c r="AS36" s="77">
        <f t="shared" si="2"/>
        <v>0</v>
      </c>
    </row>
    <row r="37" spans="1:61" x14ac:dyDescent="0.3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4"/>
      <c r="AR37" s="84"/>
      <c r="AS37" s="77">
        <f t="shared" si="2"/>
        <v>0</v>
      </c>
    </row>
    <row r="38" spans="1:61" x14ac:dyDescent="0.3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4"/>
      <c r="AR38" s="84"/>
      <c r="AS38" s="77">
        <f t="shared" si="2"/>
        <v>0</v>
      </c>
    </row>
    <row r="39" spans="1:61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86"/>
      <c r="AP39" s="26">
        <v>26625</v>
      </c>
      <c r="AQ39" s="84"/>
      <c r="AR39" s="84"/>
      <c r="AS39" s="77">
        <f t="shared" si="2"/>
        <v>0</v>
      </c>
      <c r="BG39" s="3"/>
      <c r="BH39" s="3"/>
      <c r="BI39" s="3"/>
    </row>
    <row r="40" spans="1:61" s="15" customFormat="1" x14ac:dyDescent="0.25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87"/>
      <c r="AP40" s="26">
        <v>26625</v>
      </c>
      <c r="AQ40" s="84"/>
      <c r="AR40" s="84"/>
      <c r="AS40" s="77">
        <f t="shared" si="2"/>
        <v>0</v>
      </c>
      <c r="BG40" s="3"/>
      <c r="BH40" s="3"/>
      <c r="BI40" s="3"/>
    </row>
    <row r="41" spans="1:61" s="15" customFormat="1" x14ac:dyDescent="0.25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86"/>
      <c r="AP41" s="26"/>
      <c r="AQ41" s="84"/>
      <c r="AR41" s="84"/>
      <c r="AS41" s="77">
        <f t="shared" si="2"/>
        <v>0</v>
      </c>
      <c r="BG41" s="3"/>
      <c r="BH41" s="3"/>
      <c r="BI41" s="3"/>
    </row>
    <row r="42" spans="1:61" s="15" customFormat="1" x14ac:dyDescent="0.25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86"/>
      <c r="AP42" s="26"/>
      <c r="AQ42" s="84"/>
      <c r="AR42" s="84"/>
      <c r="AS42" s="77">
        <f t="shared" si="2"/>
        <v>0</v>
      </c>
      <c r="BG42" s="3"/>
      <c r="BH42" s="3"/>
      <c r="BI42" s="3"/>
    </row>
    <row r="43" spans="1:61" s="15" customFormat="1" x14ac:dyDescent="0.25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86"/>
      <c r="AP43" s="26"/>
      <c r="AQ43" s="84"/>
      <c r="AR43" s="84"/>
      <c r="AS43" s="77">
        <f t="shared" si="2"/>
        <v>0</v>
      </c>
      <c r="BG43" s="3"/>
      <c r="BH43" s="3"/>
      <c r="BI43" s="3"/>
    </row>
    <row r="44" spans="1:61" x14ac:dyDescent="0.3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4"/>
      <c r="AR44" s="84"/>
      <c r="AS44" s="77">
        <f t="shared" si="2"/>
        <v>0</v>
      </c>
    </row>
    <row r="45" spans="1:61" ht="3.6" customHeight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4">
        <f t="shared" ref="AQ45" si="15">SUM(AN45:AP45)</f>
        <v>0</v>
      </c>
      <c r="AR45" s="84">
        <f t="shared" ref="AR45" si="16">+AI45-AQ45</f>
        <v>0</v>
      </c>
    </row>
    <row r="46" spans="1:61" ht="15.6" x14ac:dyDescent="0.3">
      <c r="C46" s="1" t="s">
        <v>94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4">
        <f>+AP46+AN46+AO46+20</f>
        <v>1759000</v>
      </c>
      <c r="AR46" s="84"/>
      <c r="BD46" s="3">
        <f>SUM(BD4:BD45)</f>
        <v>0</v>
      </c>
      <c r="BE46" s="5">
        <f>+BD46-AJ46</f>
        <v>-2165902.7999999998</v>
      </c>
    </row>
    <row r="47" spans="1:61" ht="3.6" customHeight="1" x14ac:dyDescent="0.3">
      <c r="AK47" s="27"/>
      <c r="AM47" s="5"/>
    </row>
    <row r="48" spans="1:61" x14ac:dyDescent="0.3">
      <c r="D48" s="74"/>
      <c r="AM48" s="5"/>
    </row>
    <row r="49" spans="4:44" x14ac:dyDescent="0.3">
      <c r="D49" s="5"/>
      <c r="AG49" s="113" t="s">
        <v>97</v>
      </c>
      <c r="AH49" s="114"/>
      <c r="AI49" s="114"/>
      <c r="AJ49" s="62">
        <f>+AJ46/1000</f>
        <v>2165.9027999999998</v>
      </c>
      <c r="AM49" s="5" t="s">
        <v>71</v>
      </c>
      <c r="AP49" s="3" t="s">
        <v>78</v>
      </c>
      <c r="AQ49" s="83" t="s">
        <v>79</v>
      </c>
      <c r="AR49" s="85"/>
    </row>
    <row r="50" spans="4:44" x14ac:dyDescent="0.3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3">
        <v>0</v>
      </c>
      <c r="AR50" s="85"/>
    </row>
    <row r="51" spans="4:44" x14ac:dyDescent="0.3">
      <c r="AH51" s="61"/>
      <c r="AI51" s="61"/>
      <c r="AJ51" s="63">
        <v>0</v>
      </c>
      <c r="AM51" s="3" t="s">
        <v>73</v>
      </c>
      <c r="AN51" s="3">
        <f>+AN46/1000</f>
        <v>8.93</v>
      </c>
      <c r="AR51" s="85"/>
    </row>
    <row r="52" spans="4:44" x14ac:dyDescent="0.3">
      <c r="AH52" s="61"/>
      <c r="AI52" s="61"/>
      <c r="AJ52" s="63">
        <v>0</v>
      </c>
      <c r="AM52" s="3" t="s">
        <v>74</v>
      </c>
      <c r="AN52" s="3">
        <f>+AO46/1000</f>
        <v>0.78</v>
      </c>
      <c r="AR52" s="85"/>
    </row>
    <row r="53" spans="4:44" x14ac:dyDescent="0.3">
      <c r="AG53" s="113" t="s">
        <v>67</v>
      </c>
      <c r="AH53" s="114"/>
      <c r="AI53" s="114"/>
      <c r="AJ53" s="64">
        <f>+AJ49-AJ50-AJ51-AJ52</f>
        <v>2165.9027999999998</v>
      </c>
      <c r="AM53" s="63"/>
      <c r="AN53" s="3">
        <f>SUM(AN50:AN52)</f>
        <v>1758.98</v>
      </c>
      <c r="AR53" s="85"/>
    </row>
    <row r="54" spans="4:44" x14ac:dyDescent="0.3">
      <c r="AM54" s="63"/>
      <c r="AN54" s="63"/>
    </row>
    <row r="55" spans="4:44" x14ac:dyDescent="0.3">
      <c r="AN55" s="63"/>
    </row>
    <row r="56" spans="4:44" x14ac:dyDescent="0.3">
      <c r="AH56" s="5"/>
    </row>
    <row r="57" spans="4:44" x14ac:dyDescent="0.3">
      <c r="AH57" s="5"/>
      <c r="AJ57" s="63"/>
    </row>
    <row r="59" spans="4:44" x14ac:dyDescent="0.3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Q27" activePane="bottomRight" state="frozen"/>
      <selection pane="topRight" activeCell="D1" sqref="D1"/>
      <selection pane="bottomLeft" activeCell="A3" sqref="A3"/>
      <selection pane="bottomRight" activeCell="A45" sqref="A45"/>
    </sheetView>
  </sheetViews>
  <sheetFormatPr baseColWidth="10" defaultRowHeight="13.8" x14ac:dyDescent="0.25"/>
  <cols>
    <col min="1" max="1" width="5.5546875" style="3" customWidth="1"/>
    <col min="2" max="2" width="10.109375" style="3" customWidth="1"/>
    <col min="3" max="3" width="20.77734375" style="3" customWidth="1"/>
    <col min="4" max="4" width="13.33203125" style="3" customWidth="1"/>
    <col min="5" max="5" width="12.109375" style="3" customWidth="1"/>
    <col min="6" max="21" width="12" style="3" customWidth="1"/>
    <col min="22" max="22" width="12.21875" style="3" customWidth="1"/>
    <col min="23" max="23" width="1.109375" style="3" customWidth="1"/>
    <col min="24" max="25" width="11.6640625" style="3" customWidth="1"/>
    <col min="26" max="26" width="11.88671875" style="3" customWidth="1"/>
    <col min="27" max="27" width="12.6640625" style="3" customWidth="1"/>
    <col min="28" max="28" width="0.88671875" style="8" customWidth="1"/>
    <col min="29" max="29" width="11.5546875" style="3" customWidth="1"/>
    <col min="30" max="30" width="12.77734375" style="3" bestFit="1" customWidth="1"/>
    <col min="31" max="31" width="12.44140625" style="3" bestFit="1" customWidth="1"/>
    <col min="32" max="32" width="9.77734375" style="3" customWidth="1"/>
    <col min="33" max="33" width="11.77734375" style="3" bestFit="1" customWidth="1"/>
    <col min="34" max="38" width="9.77734375" style="3" customWidth="1"/>
    <col min="39" max="16384" width="11.5546875" style="3"/>
  </cols>
  <sheetData>
    <row r="1" spans="1:49" x14ac:dyDescent="0.25">
      <c r="A1" s="115" t="s">
        <v>1</v>
      </c>
      <c r="B1" s="2" t="s">
        <v>5</v>
      </c>
      <c r="C1" s="115" t="s">
        <v>0</v>
      </c>
      <c r="D1" s="115" t="s">
        <v>86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X1" s="115" t="s">
        <v>2</v>
      </c>
      <c r="Y1" s="115"/>
      <c r="Z1" s="115"/>
      <c r="AA1" s="115"/>
      <c r="AB1" s="27"/>
      <c r="AC1" s="16" t="s">
        <v>22</v>
      </c>
      <c r="AD1" s="111" t="s">
        <v>24</v>
      </c>
    </row>
    <row r="2" spans="1:49" x14ac:dyDescent="0.25">
      <c r="A2" s="115"/>
      <c r="B2" s="2" t="s">
        <v>6</v>
      </c>
      <c r="C2" s="115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112"/>
      <c r="AE2" s="65" t="s">
        <v>75</v>
      </c>
      <c r="AF2" s="65" t="s">
        <v>76</v>
      </c>
      <c r="AG2" s="65" t="s">
        <v>77</v>
      </c>
    </row>
    <row r="3" spans="1:49" ht="14.4" x14ac:dyDescent="0.25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 ht="14.4" x14ac:dyDescent="0.25">
      <c r="A4" s="17">
        <f>+A3+1</f>
        <v>2</v>
      </c>
      <c r="B4" s="39" t="s">
        <v>29</v>
      </c>
      <c r="C4" s="39" t="s">
        <v>30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78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 ht="14.4" x14ac:dyDescent="0.25">
      <c r="A5" s="17">
        <f t="shared" ref="A5:A31" si="4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78">
        <v>660</v>
      </c>
      <c r="AD5" s="18">
        <f t="shared" si="3"/>
        <v>0</v>
      </c>
      <c r="AE5" s="60"/>
      <c r="AF5" s="65"/>
      <c r="AG5" s="60"/>
    </row>
    <row r="6" spans="1:49" ht="14.4" x14ac:dyDescent="0.25">
      <c r="A6" s="17">
        <f t="shared" si="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78">
        <v>680</v>
      </c>
      <c r="AD6" s="18">
        <f t="shared" si="3"/>
        <v>0</v>
      </c>
      <c r="AE6" s="60"/>
      <c r="AF6" s="65"/>
      <c r="AG6" s="60"/>
    </row>
    <row r="7" spans="1:49" ht="14.4" x14ac:dyDescent="0.25">
      <c r="A7" s="17">
        <f t="shared" si="4"/>
        <v>5</v>
      </c>
      <c r="B7" s="39" t="s">
        <v>34</v>
      </c>
      <c r="C7" s="39" t="s">
        <v>35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78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 ht="14.4" x14ac:dyDescent="0.25">
      <c r="A8" s="17">
        <f t="shared" si="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78">
        <v>120</v>
      </c>
      <c r="AD8" s="18">
        <f t="shared" si="3"/>
        <v>0</v>
      </c>
      <c r="AE8" s="60"/>
      <c r="AF8" s="65"/>
      <c r="AG8" s="19"/>
    </row>
    <row r="9" spans="1:49" ht="14.4" x14ac:dyDescent="0.25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78">
        <v>16650</v>
      </c>
      <c r="AD9" s="18">
        <f t="shared" si="3"/>
        <v>0</v>
      </c>
      <c r="AE9" s="60"/>
      <c r="AF9" s="65"/>
      <c r="AG9" s="19"/>
    </row>
    <row r="10" spans="1:49" ht="14.4" x14ac:dyDescent="0.25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78">
        <v>1854</v>
      </c>
      <c r="AD10" s="18">
        <f t="shared" si="3"/>
        <v>0</v>
      </c>
      <c r="AE10" s="60"/>
      <c r="AF10" s="65"/>
      <c r="AG10" s="19"/>
    </row>
    <row r="11" spans="1:49" s="8" customFormat="1" ht="14.4" x14ac:dyDescent="0.25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78">
        <v>12340</v>
      </c>
      <c r="AD11" s="18">
        <f t="shared" si="3"/>
        <v>0</v>
      </c>
      <c r="AE11" s="26"/>
      <c r="AF11" s="37"/>
      <c r="AG11" s="38"/>
    </row>
    <row r="12" spans="1:49" s="8" customFormat="1" ht="14.4" x14ac:dyDescent="0.25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78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 ht="14.4" x14ac:dyDescent="0.25">
      <c r="A13" s="7">
        <f>+A12+1</f>
        <v>10</v>
      </c>
      <c r="B13" s="20" t="s">
        <v>8</v>
      </c>
      <c r="C13" s="20" t="s">
        <v>9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78">
        <f>120+180</f>
        <v>300</v>
      </c>
      <c r="AD13" s="18">
        <f t="shared" si="3"/>
        <v>0</v>
      </c>
      <c r="AE13" s="60"/>
      <c r="AF13" s="65"/>
      <c r="AG13" s="22"/>
    </row>
    <row r="14" spans="1:49" ht="14.4" x14ac:dyDescent="0.25">
      <c r="A14" s="7">
        <f t="shared" ref="A14:A16" si="6">+A13+1</f>
        <v>11</v>
      </c>
      <c r="B14" s="20" t="s">
        <v>10</v>
      </c>
      <c r="C14" s="20" t="s">
        <v>11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 ht="14.4" x14ac:dyDescent="0.25">
      <c r="A15" s="7">
        <f t="shared" si="6"/>
        <v>12</v>
      </c>
      <c r="B15" s="20" t="s">
        <v>57</v>
      </c>
      <c r="C15" s="20" t="s">
        <v>58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78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 ht="14.4" x14ac:dyDescent="0.25">
      <c r="A16" s="7">
        <f t="shared" si="6"/>
        <v>13</v>
      </c>
      <c r="B16" s="20" t="s">
        <v>55</v>
      </c>
      <c r="C16" s="20" t="s">
        <v>56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78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 ht="14.4" x14ac:dyDescent="0.25">
      <c r="A17" s="23">
        <f>+A16+1</f>
        <v>14</v>
      </c>
      <c r="B17" s="47" t="s">
        <v>42</v>
      </c>
      <c r="C17" s="32" t="s">
        <v>7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 ht="14.4" x14ac:dyDescent="0.25">
      <c r="A18" s="23">
        <f t="shared" ref="A18:A22" si="7">+A17+1</f>
        <v>15</v>
      </c>
      <c r="B18" s="47">
        <v>10009271</v>
      </c>
      <c r="C18" s="32" t="s">
        <v>60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 ht="14.4" x14ac:dyDescent="0.25">
      <c r="A19" s="23">
        <f t="shared" si="7"/>
        <v>16</v>
      </c>
      <c r="B19" s="47" t="s">
        <v>43</v>
      </c>
      <c r="C19" s="32" t="s">
        <v>44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78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 ht="14.4" x14ac:dyDescent="0.25">
      <c r="A20" s="23">
        <f t="shared" si="7"/>
        <v>17</v>
      </c>
      <c r="B20" s="47" t="s">
        <v>45</v>
      </c>
      <c r="C20" s="32" t="s">
        <v>46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 ht="14.4" x14ac:dyDescent="0.25">
      <c r="A21" s="23">
        <f t="shared" si="7"/>
        <v>18</v>
      </c>
      <c r="B21" s="47" t="s">
        <v>47</v>
      </c>
      <c r="C21" s="32" t="s">
        <v>48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78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 ht="14.4" x14ac:dyDescent="0.25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78">
        <v>17260</v>
      </c>
      <c r="AD22" s="18">
        <f t="shared" si="3"/>
        <v>0</v>
      </c>
      <c r="AE22" s="60"/>
      <c r="AF22" s="65"/>
      <c r="AG22" s="25"/>
    </row>
    <row r="23" spans="1:48" s="8" customFormat="1" ht="14.4" x14ac:dyDescent="0.25">
      <c r="A23" s="11">
        <f>+A22+1</f>
        <v>20</v>
      </c>
      <c r="B23" s="12" t="s">
        <v>12</v>
      </c>
      <c r="C23" s="12" t="s">
        <v>13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 ht="14.4" x14ac:dyDescent="0.25">
      <c r="A24" s="11">
        <f t="shared" ref="A24:A29" si="8">+A23+1</f>
        <v>21</v>
      </c>
      <c r="B24" s="12" t="s">
        <v>14</v>
      </c>
      <c r="C24" s="12" t="s">
        <v>15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78">
        <v>140</v>
      </c>
      <c r="AD24" s="18">
        <f t="shared" si="3"/>
        <v>0</v>
      </c>
      <c r="AE24" s="60"/>
      <c r="AF24" s="65"/>
      <c r="AG24" s="14"/>
      <c r="AN24" s="8"/>
    </row>
    <row r="25" spans="1:48" ht="14.4" x14ac:dyDescent="0.25">
      <c r="A25" s="11">
        <f t="shared" si="8"/>
        <v>22</v>
      </c>
      <c r="B25" s="12" t="s">
        <v>16</v>
      </c>
      <c r="C25" s="12" t="s">
        <v>17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78">
        <v>3020</v>
      </c>
      <c r="AD25" s="18">
        <f t="shared" si="3"/>
        <v>0</v>
      </c>
      <c r="AE25" s="60"/>
      <c r="AF25" s="65"/>
      <c r="AG25" s="14">
        <v>13760</v>
      </c>
    </row>
    <row r="26" spans="1:48" ht="14.4" x14ac:dyDescent="0.25">
      <c r="A26" s="11">
        <f t="shared" si="8"/>
        <v>23</v>
      </c>
      <c r="B26" s="12" t="s">
        <v>18</v>
      </c>
      <c r="C26" s="12" t="s">
        <v>19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 ht="14.4" x14ac:dyDescent="0.25">
      <c r="A27" s="11">
        <f t="shared" si="8"/>
        <v>24</v>
      </c>
      <c r="B27" s="12" t="s">
        <v>49</v>
      </c>
      <c r="C27" s="12" t="s">
        <v>50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78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 x14ac:dyDescent="0.25">
      <c r="A28" s="11">
        <f t="shared" si="8"/>
        <v>25</v>
      </c>
      <c r="B28" s="12">
        <v>10009658</v>
      </c>
      <c r="C28" s="12" t="s">
        <v>68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78">
        <v>1960</v>
      </c>
      <c r="AD28" s="18">
        <f t="shared" si="3"/>
        <v>0</v>
      </c>
      <c r="AE28" s="60"/>
      <c r="AF28" s="65"/>
      <c r="AG28" s="14"/>
    </row>
    <row r="29" spans="1:48" ht="14.4" x14ac:dyDescent="0.25">
      <c r="A29" s="11">
        <f t="shared" si="8"/>
        <v>26</v>
      </c>
      <c r="B29" s="12">
        <v>10009639</v>
      </c>
      <c r="C29" s="12" t="s">
        <v>69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78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 ht="14.4" x14ac:dyDescent="0.25">
      <c r="A30" s="28">
        <f>+A29+1</f>
        <v>27</v>
      </c>
      <c r="B30" s="31" t="s">
        <v>53</v>
      </c>
      <c r="C30" s="31" t="s">
        <v>54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78">
        <v>102460</v>
      </c>
      <c r="AD30" s="18">
        <f t="shared" si="3"/>
        <v>0</v>
      </c>
      <c r="AE30" s="60"/>
      <c r="AF30" s="65"/>
      <c r="AG30" s="30"/>
      <c r="AH30" s="5"/>
    </row>
    <row r="31" spans="1:48" ht="14.4" x14ac:dyDescent="0.25">
      <c r="A31" s="28">
        <f t="shared" si="4"/>
        <v>28</v>
      </c>
      <c r="B31" s="31" t="s">
        <v>51</v>
      </c>
      <c r="C31" s="31" t="s">
        <v>52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78">
        <v>30780</v>
      </c>
      <c r="AD31" s="18">
        <f t="shared" si="3"/>
        <v>0</v>
      </c>
      <c r="AE31" s="60"/>
      <c r="AF31" s="65"/>
      <c r="AG31" s="30"/>
      <c r="AU31" s="5"/>
    </row>
    <row r="32" spans="1:48" ht="14.4" x14ac:dyDescent="0.25">
      <c r="A32" s="28">
        <f>+A30+1</f>
        <v>28</v>
      </c>
      <c r="B32" s="31" t="s">
        <v>38</v>
      </c>
      <c r="C32" s="31" t="s">
        <v>39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78">
        <v>260</v>
      </c>
      <c r="AD32" s="18">
        <f t="shared" si="3"/>
        <v>0</v>
      </c>
      <c r="AE32" s="60"/>
      <c r="AF32" s="65"/>
      <c r="AG32" s="30"/>
      <c r="AU32" s="5"/>
    </row>
    <row r="33" spans="1:48" ht="14.4" x14ac:dyDescent="0.25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78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 x14ac:dyDescent="0.25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0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 x14ac:dyDescent="0.25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0">
        <f>300+640</f>
        <v>940</v>
      </c>
      <c r="AD35" s="18">
        <f t="shared" si="3"/>
        <v>0</v>
      </c>
      <c r="AE35" s="18"/>
      <c r="AF35" s="65"/>
      <c r="AG35" s="30"/>
    </row>
    <row r="36" spans="1:48" ht="14.4" x14ac:dyDescent="0.25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0">
        <v>1250</v>
      </c>
      <c r="AD36" s="18">
        <f t="shared" si="3"/>
        <v>0</v>
      </c>
      <c r="AE36" s="18"/>
      <c r="AF36" s="65"/>
      <c r="AG36" s="30"/>
    </row>
    <row r="37" spans="1:48" ht="14.4" x14ac:dyDescent="0.25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0">
        <v>1260</v>
      </c>
      <c r="AD37" s="18">
        <f t="shared" si="3"/>
        <v>0</v>
      </c>
      <c r="AE37" s="18"/>
      <c r="AF37" s="65"/>
      <c r="AG37" s="30"/>
    </row>
    <row r="38" spans="1:48" s="15" customFormat="1" ht="14.4" x14ac:dyDescent="0.25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79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 ht="14.4" x14ac:dyDescent="0.25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79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 ht="14.4" x14ac:dyDescent="0.25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1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 ht="14.4" x14ac:dyDescent="0.25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1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 ht="14.4" x14ac:dyDescent="0.25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1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 ht="14.4" x14ac:dyDescent="0.25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2">
        <v>1120</v>
      </c>
      <c r="AD43" s="18">
        <f t="shared" si="3"/>
        <v>0</v>
      </c>
      <c r="AE43" s="18"/>
      <c r="AF43" s="65"/>
      <c r="AG43" s="42"/>
    </row>
    <row r="44" spans="1:48" ht="3.6" customHeight="1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" x14ac:dyDescent="0.2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 x14ac:dyDescent="0.25">
      <c r="AB46" s="27"/>
      <c r="AD46" s="5"/>
    </row>
    <row r="47" spans="1:48" x14ac:dyDescent="0.25">
      <c r="D47" s="74"/>
      <c r="AD47" s="5"/>
      <c r="AG47" s="5"/>
    </row>
    <row r="48" spans="1:48" ht="14.4" x14ac:dyDescent="0.3">
      <c r="D48" s="5"/>
      <c r="X48" s="113" t="s">
        <v>85</v>
      </c>
      <c r="Y48" s="114"/>
      <c r="Z48" s="114"/>
      <c r="AA48" s="62">
        <f>+AA45/1000</f>
        <v>1656.5658000000001</v>
      </c>
      <c r="AD48" s="5" t="s">
        <v>71</v>
      </c>
      <c r="AG48" s="3" t="s">
        <v>78</v>
      </c>
    </row>
    <row r="49" spans="24:33" x14ac:dyDescent="0.25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 x14ac:dyDescent="0.25">
      <c r="Y50" s="61"/>
      <c r="Z50" s="61"/>
      <c r="AA50" s="63"/>
      <c r="AD50" s="3" t="s">
        <v>73</v>
      </c>
      <c r="AE50" s="3">
        <f>+AE45/1000</f>
        <v>0</v>
      </c>
    </row>
    <row r="51" spans="24:33" x14ac:dyDescent="0.25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 ht="14.4" x14ac:dyDescent="0.3">
      <c r="X52" s="113" t="s">
        <v>67</v>
      </c>
      <c r="Y52" s="114"/>
      <c r="Z52" s="114"/>
      <c r="AA52" s="64">
        <f>+AA48-AA49-AA50-AA51</f>
        <v>1656.5658000000001</v>
      </c>
      <c r="AD52" s="63"/>
      <c r="AE52" s="3">
        <f>SUM(AE49:AE51)</f>
        <v>404.88</v>
      </c>
    </row>
    <row r="53" spans="24:33" x14ac:dyDescent="0.25">
      <c r="AD53" s="63"/>
      <c r="AE53" s="63"/>
    </row>
    <row r="54" spans="24:33" x14ac:dyDescent="0.25">
      <c r="AE54" s="63"/>
    </row>
    <row r="55" spans="24:33" x14ac:dyDescent="0.25">
      <c r="Y55" s="5"/>
    </row>
    <row r="56" spans="24:33" x14ac:dyDescent="0.25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CDAC-5B36-4823-B79F-3948F56C00BD}">
  <dimension ref="B3:D8"/>
  <sheetViews>
    <sheetView workbookViewId="0">
      <selection activeCell="G9" sqref="G9"/>
    </sheetView>
  </sheetViews>
  <sheetFormatPr baseColWidth="10" defaultRowHeight="14.4" x14ac:dyDescent="0.3"/>
  <cols>
    <col min="4" max="4" width="2.88671875" bestFit="1" customWidth="1"/>
  </cols>
  <sheetData>
    <row r="3" spans="2:4" x14ac:dyDescent="0.3">
      <c r="B3" s="116" t="s">
        <v>103</v>
      </c>
      <c r="C3" s="116"/>
      <c r="D3" s="116"/>
    </row>
    <row r="4" spans="2:4" x14ac:dyDescent="0.3">
      <c r="B4" s="88" t="s">
        <v>100</v>
      </c>
      <c r="C4" s="89">
        <f>+Enero2026!Y45</f>
        <v>1418869</v>
      </c>
      <c r="D4" s="88" t="s">
        <v>104</v>
      </c>
    </row>
    <row r="5" spans="2:4" x14ac:dyDescent="0.3">
      <c r="B5" s="88" t="s">
        <v>101</v>
      </c>
      <c r="C5" s="89">
        <f>+Febrero2026!AH46</f>
        <v>2268337</v>
      </c>
      <c r="D5" s="88" t="s">
        <v>104</v>
      </c>
    </row>
    <row r="6" spans="2:4" x14ac:dyDescent="0.3">
      <c r="B6" s="88" t="s">
        <v>102</v>
      </c>
      <c r="C6" s="89">
        <f>+Marzo2026!AG50</f>
        <v>1541091</v>
      </c>
      <c r="D6" s="88" t="s">
        <v>104</v>
      </c>
    </row>
    <row r="7" spans="2:4" x14ac:dyDescent="0.3">
      <c r="B7" s="88" t="s">
        <v>109</v>
      </c>
      <c r="C7" s="89">
        <f>+Abril2026!AG62</f>
        <v>2009628</v>
      </c>
      <c r="D7" s="88" t="s">
        <v>104</v>
      </c>
    </row>
    <row r="8" spans="2:4" x14ac:dyDescent="0.3">
      <c r="B8" s="126" t="s">
        <v>122</v>
      </c>
      <c r="C8" s="125">
        <f>SUM(C4:C7)</f>
        <v>7237925</v>
      </c>
      <c r="D8" s="88" t="s">
        <v>104</v>
      </c>
    </row>
  </sheetData>
  <mergeCells count="1">
    <mergeCell ref="B3:D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Abril2026</vt:lpstr>
      <vt:lpstr>Marzo2026</vt:lpstr>
      <vt:lpstr>Febrero2026</vt:lpstr>
      <vt:lpstr>Enero2026</vt:lpstr>
      <vt:lpstr>Estadistica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Rodrigo Sebastian Martinez Montalvo (PFRO)</cp:lastModifiedBy>
  <cp:lastPrinted>2025-03-28T22:25:46Z</cp:lastPrinted>
  <dcterms:created xsi:type="dcterms:W3CDTF">2025-03-21T00:36:50Z</dcterms:created>
  <dcterms:modified xsi:type="dcterms:W3CDTF">2026-05-04T21:00:20Z</dcterms:modified>
</cp:coreProperties>
</file>