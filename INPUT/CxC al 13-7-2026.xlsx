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AA84851B-F04A-40AF-81AD-C2C43E1C64D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talle1" sheetId="6" r:id="rId1"/>
    <sheet name="RESUMEN" sheetId="2" r:id="rId2"/>
    <sheet name="Hoja3" sheetId="4" state="hidden" r:id="rId3"/>
    <sheet name="DÍAS" sheetId="5" state="hidden" r:id="rId4"/>
    <sheet name="Data" sheetId="1" r:id="rId5"/>
  </sheets>
  <definedNames>
    <definedName name="_xlnm._FilterDatabase" localSheetId="4" hidden="1">Data!$A$1:$R$120</definedName>
  </definedNames>
  <calcPr calcId="191029"/>
  <pivotCaches>
    <pivotCache cacheId="34" r:id="rId6"/>
    <pivotCache cacheId="35" r:id="rId7"/>
    <pivotCache cacheId="3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O49" i="1"/>
  <c r="O52" i="1"/>
  <c r="O53" i="1"/>
  <c r="O61" i="1"/>
  <c r="O90" i="1"/>
  <c r="O94" i="1"/>
  <c r="O100" i="1"/>
  <c r="O106" i="1"/>
  <c r="Q104" i="1"/>
  <c r="P104" i="1"/>
  <c r="O104" i="1"/>
  <c r="L104" i="1"/>
  <c r="Q120" i="1"/>
  <c r="Q119" i="1"/>
  <c r="Q118" i="1"/>
  <c r="Q117" i="1"/>
  <c r="Q113" i="1"/>
  <c r="Q112" i="1"/>
  <c r="Q111" i="1"/>
  <c r="Q106" i="1"/>
  <c r="Q105" i="1"/>
  <c r="Q103" i="1"/>
  <c r="Q102" i="1"/>
  <c r="Q100" i="1"/>
  <c r="Q99" i="1"/>
  <c r="Q94" i="1"/>
  <c r="Q93" i="1"/>
  <c r="Q92" i="1"/>
  <c r="Q91" i="1"/>
  <c r="Q90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30" i="1"/>
  <c r="Q29" i="1"/>
  <c r="Q28" i="1"/>
  <c r="Q22" i="1"/>
  <c r="Q21" i="1"/>
  <c r="Q20" i="1"/>
  <c r="Q19" i="1"/>
  <c r="M120" i="1"/>
  <c r="M119" i="1"/>
  <c r="M118" i="1"/>
  <c r="M117" i="1"/>
  <c r="M113" i="1"/>
  <c r="M112" i="1"/>
  <c r="M111" i="1"/>
  <c r="M105" i="1"/>
  <c r="M103" i="1"/>
  <c r="M102" i="1"/>
  <c r="M99" i="1"/>
  <c r="M93" i="1"/>
  <c r="M92" i="1"/>
  <c r="M91" i="1"/>
  <c r="M63" i="1"/>
  <c r="M62" i="1"/>
  <c r="M60" i="1"/>
  <c r="M59" i="1"/>
  <c r="M58" i="1"/>
  <c r="M57" i="1"/>
  <c r="M56" i="1"/>
  <c r="M55" i="1"/>
  <c r="M54" i="1"/>
  <c r="M51" i="1"/>
  <c r="M50" i="1"/>
  <c r="M29" i="1"/>
  <c r="M28" i="1"/>
  <c r="M22" i="1"/>
  <c r="M21" i="1"/>
  <c r="M20" i="1"/>
  <c r="M19" i="1"/>
  <c r="L120" i="1" l="1"/>
  <c r="L119" i="1"/>
  <c r="L118" i="1"/>
  <c r="L117" i="1"/>
  <c r="L113" i="1"/>
  <c r="L112" i="1"/>
  <c r="L111" i="1"/>
  <c r="L106" i="1"/>
  <c r="L105" i="1"/>
  <c r="L103" i="1"/>
  <c r="L102" i="1"/>
  <c r="L100" i="1"/>
  <c r="L99" i="1"/>
  <c r="L94" i="1"/>
  <c r="L93" i="1"/>
  <c r="L92" i="1"/>
  <c r="L91" i="1"/>
  <c r="L90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30" i="1"/>
  <c r="L29" i="1"/>
  <c r="L28" i="1"/>
  <c r="L22" i="1"/>
  <c r="L21" i="1"/>
  <c r="L20" i="1"/>
  <c r="L19" i="1"/>
  <c r="P120" i="1"/>
  <c r="P119" i="1"/>
  <c r="P118" i="1"/>
  <c r="P117" i="1"/>
  <c r="P113" i="1"/>
  <c r="P112" i="1"/>
  <c r="P111" i="1"/>
  <c r="P106" i="1"/>
  <c r="P105" i="1"/>
  <c r="P103" i="1"/>
  <c r="P102" i="1"/>
  <c r="P100" i="1"/>
  <c r="P99" i="1"/>
  <c r="P94" i="1"/>
  <c r="P93" i="1"/>
  <c r="P92" i="1"/>
  <c r="P91" i="1"/>
  <c r="P90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30" i="1"/>
  <c r="P29" i="1"/>
  <c r="P28" i="1"/>
  <c r="P22" i="1"/>
  <c r="P21" i="1"/>
  <c r="P20" i="1"/>
  <c r="P19" i="1"/>
  <c r="O60" i="1"/>
  <c r="O58" i="1"/>
  <c r="O57" i="1"/>
  <c r="O56" i="1"/>
  <c r="O54" i="1"/>
  <c r="O21" i="1"/>
  <c r="P116" i="1"/>
  <c r="P115" i="1"/>
  <c r="P114" i="1"/>
  <c r="P110" i="1"/>
  <c r="P109" i="1"/>
  <c r="P108" i="1"/>
  <c r="P107" i="1"/>
  <c r="P89" i="1"/>
  <c r="P88" i="1"/>
  <c r="P87" i="1"/>
  <c r="P86" i="1"/>
  <c r="P85" i="1"/>
  <c r="P84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27" i="1"/>
  <c r="P26" i="1"/>
  <c r="P25" i="1"/>
  <c r="P24" i="1"/>
  <c r="P23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16" i="1"/>
  <c r="O115" i="1"/>
  <c r="O114" i="1"/>
  <c r="O110" i="1"/>
  <c r="O109" i="1"/>
  <c r="O108" i="1"/>
  <c r="O107" i="1"/>
  <c r="O89" i="1"/>
  <c r="O88" i="1"/>
  <c r="O87" i="1"/>
  <c r="O86" i="1"/>
  <c r="O85" i="1"/>
  <c r="O84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27" i="1"/>
  <c r="O26" i="1"/>
  <c r="O25" i="1"/>
  <c r="O24" i="1"/>
  <c r="O23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64" i="1"/>
  <c r="P101" i="1"/>
  <c r="O101" i="1"/>
  <c r="P32" i="1"/>
  <c r="O32" i="1"/>
  <c r="P96" i="1"/>
  <c r="P97" i="1"/>
  <c r="P98" i="1"/>
  <c r="P95" i="1"/>
  <c r="O96" i="1"/>
  <c r="O97" i="1"/>
  <c r="O98" i="1"/>
  <c r="O95" i="1"/>
  <c r="P31" i="1"/>
  <c r="O31" i="1"/>
</calcChain>
</file>

<file path=xl/sharedStrings.xml><?xml version="1.0" encoding="utf-8"?>
<sst xmlns="http://schemas.openxmlformats.org/spreadsheetml/2006/main" count="1117" uniqueCount="432">
  <si>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</si>
  <si>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</si>
  <si>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</si>
  <si>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</si>
  <si>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</si>
  <si>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</si>
  <si>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</si>
  <si>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</si>
  <si>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</si>
  <si>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</si>
  <si>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</si>
  <si>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</si>
  <si>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1200000045</t>
  </si>
  <si>
    <t>01-0F101-0005160</t>
  </si>
  <si>
    <t>DF</t>
  </si>
  <si>
    <t>PEN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</si>
  <si>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</si>
  <si>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</si>
  <si>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</si>
  <si>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</si>
  <si>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</si>
  <si>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</si>
  <si>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</si>
  <si>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</si>
  <si>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</si>
  <si>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</si>
  <si>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</si>
  <si>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</si>
  <si>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</si>
  <si>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</si>
  <si>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</si>
  <si>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ARKANO TRADING SOCIEDAD ANONIMA CER</t>
  </si>
  <si>
    <t>1200005220</t>
  </si>
  <si>
    <t>01-0F101-0004694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</si>
  <si>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</si>
  <si>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</si>
  <si>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</si>
  <si>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</si>
  <si>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</si>
  <si>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</si>
  <si>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</si>
  <si>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</si>
  <si>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</si>
  <si>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</si>
  <si>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</si>
  <si>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</si>
  <si>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</si>
  <si>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</si>
  <si>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</si>
  <si>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</si>
  <si>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</si>
  <si>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</si>
  <si>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</si>
  <si>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</si>
  <si>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</si>
  <si>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</si>
  <si>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</si>
  <si>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</si>
  <si>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</si>
  <si>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</si>
  <si>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</si>
  <si>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</si>
  <si>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</si>
  <si>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</si>
  <si>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ZV</t>
  </si>
  <si>
    <t>2000001028</t>
  </si>
  <si>
    <t>AVANCE GROUP LTD</t>
  </si>
  <si>
    <t>1200002081</t>
  </si>
  <si>
    <t>DE</t>
  </si>
  <si>
    <t>USD</t>
  </si>
  <si>
    <t>AVANCE GROUP LTD</t>
  </si>
  <si>
    <t>1200002135</t>
  </si>
  <si>
    <t>01-0F002-0000359</t>
  </si>
  <si>
    <t>AVANCE GROUP LTD</t>
  </si>
  <si>
    <t>1200002939</t>
  </si>
  <si>
    <t>AVANCE GROUP LTD</t>
  </si>
  <si>
    <t>1300004711</t>
  </si>
  <si>
    <t>FT-0F002-0000360</t>
  </si>
  <si>
    <t>DZ</t>
  </si>
  <si>
    <t>1000013676</t>
  </si>
  <si>
    <t>CARLOS ALBERTO MARTINEZ QUEREVALU</t>
  </si>
  <si>
    <t>1200001798</t>
  </si>
  <si>
    <t>03-0B001-0004567</t>
  </si>
  <si>
    <t>DB</t>
  </si>
  <si>
    <t>CARLOS ALBERTO MARTINEZ QUEREVALU</t>
  </si>
  <si>
    <t>1200001799</t>
  </si>
  <si>
    <t>03-0B001-0004568</t>
  </si>
  <si>
    <t>CARLOS ALBERTO MARTINEZ QUEREVALU</t>
  </si>
  <si>
    <t>1200002786</t>
  </si>
  <si>
    <t>03-0B001-0004754</t>
  </si>
  <si>
    <t>CARLOS ALBERTO MARTINEZ QUEREVALU</t>
  </si>
  <si>
    <t>1200002787</t>
  </si>
  <si>
    <t>03-0B001-0004755</t>
  </si>
  <si>
    <t>1000013678</t>
  </si>
  <si>
    <t>CORPORACION NACIONAL PERU EXPORTACI</t>
  </si>
  <si>
    <t>1200003045</t>
  </si>
  <si>
    <t>01-0F101-0007358</t>
  </si>
  <si>
    <t>2000001368</t>
  </si>
  <si>
    <t>FOOD &amp; BEVERAGES TRADERS, S.L.</t>
  </si>
  <si>
    <t>1300004854</t>
  </si>
  <si>
    <t>FT-0F002-0000311</t>
  </si>
  <si>
    <t>2000001361</t>
  </si>
  <si>
    <t>GLOBAL OCEAN FLEXTRADING, S. L</t>
  </si>
  <si>
    <t>1300004210</t>
  </si>
  <si>
    <t>FT-0F002-0000295</t>
  </si>
  <si>
    <t>2000001439</t>
  </si>
  <si>
    <t>GOLDEN SEAFOOD PTE. LTD.</t>
  </si>
  <si>
    <t>1300005406</t>
  </si>
  <si>
    <t>FP-253</t>
  </si>
  <si>
    <t>6002186</t>
  </si>
  <si>
    <t>INDUSTRIAL PESQUERA SANTA MONICA S.</t>
  </si>
  <si>
    <t>1200003015</t>
  </si>
  <si>
    <t>01-0F101-0007341</t>
  </si>
  <si>
    <t>INDUSTRIAL PESQUERA SANTA MONICA S.</t>
  </si>
  <si>
    <t>1200003016</t>
  </si>
  <si>
    <t>01-0F101-0007342</t>
  </si>
  <si>
    <t>1000006830</t>
  </si>
  <si>
    <t>JAHFISH E.I.R.L.</t>
  </si>
  <si>
    <t>1200003020</t>
  </si>
  <si>
    <t>01-0F101-0007338</t>
  </si>
  <si>
    <t>JAHFISH E.I.R.L.</t>
  </si>
  <si>
    <t>1200003021</t>
  </si>
  <si>
    <t>01-0F101-0007339</t>
  </si>
  <si>
    <t>JAHFISH E.I.R.L.</t>
  </si>
  <si>
    <t>1200003026</t>
  </si>
  <si>
    <t>01-0F101-0007344</t>
  </si>
  <si>
    <t>JAHFISH E.I.R.L.</t>
  </si>
  <si>
    <t>1200003027</t>
  </si>
  <si>
    <t>01-0F101-0007345</t>
  </si>
  <si>
    <t>JAHFISH E.I.R.L.</t>
  </si>
  <si>
    <t>1200003040</t>
  </si>
  <si>
    <t>01-0F101-0007354</t>
  </si>
  <si>
    <t>JAHFISH E.I.R.L.</t>
  </si>
  <si>
    <t>1200003041</t>
  </si>
  <si>
    <t>01-0F101-0007355</t>
  </si>
  <si>
    <t>JAHFISH E.I.R.L.</t>
  </si>
  <si>
    <t>1200003042</t>
  </si>
  <si>
    <t>01-0F101-0007356</t>
  </si>
  <si>
    <t>JAHFISH E.I.R.L.</t>
  </si>
  <si>
    <t>1200003043</t>
  </si>
  <si>
    <t>01-0F101-0007357</t>
  </si>
  <si>
    <t>JAHFISH E.I.R.L.</t>
  </si>
  <si>
    <t>1200003046</t>
  </si>
  <si>
    <t>01-0F101-0007359</t>
  </si>
  <si>
    <t>JAHFISH E.I.R.L.</t>
  </si>
  <si>
    <t>1200003047</t>
  </si>
  <si>
    <t>01-0F101-0007360</t>
  </si>
  <si>
    <t>JAHFISH E.I.R.L.</t>
  </si>
  <si>
    <t>1200003065</t>
  </si>
  <si>
    <t>01-0F101-0007375</t>
  </si>
  <si>
    <t>JAHFISH E.I.R.L.</t>
  </si>
  <si>
    <t>1200003066</t>
  </si>
  <si>
    <t>01-0F101-0007376</t>
  </si>
  <si>
    <t>JAHFISH E.I.R.L.</t>
  </si>
  <si>
    <t>1200003086</t>
  </si>
  <si>
    <t>01-0F101-0007396</t>
  </si>
  <si>
    <t>JAHFISH E.I.R.L.</t>
  </si>
  <si>
    <t>1200003087</t>
  </si>
  <si>
    <t>01-0F101-0007397</t>
  </si>
  <si>
    <t>JAHFISH E.I.R.L.</t>
  </si>
  <si>
    <t>1200003101</t>
  </si>
  <si>
    <t>01-0F101-0007408</t>
  </si>
  <si>
    <t>JAHFISH E.I.R.L.</t>
  </si>
  <si>
    <t>1200003102</t>
  </si>
  <si>
    <t>01-0F101-0007409</t>
  </si>
  <si>
    <t>2000001459</t>
  </si>
  <si>
    <t>KS FROZEN COMPANY LIMITED</t>
  </si>
  <si>
    <t>1300004230</t>
  </si>
  <si>
    <t>ANTICIPO FP242</t>
  </si>
  <si>
    <t>2000001172</t>
  </si>
  <si>
    <t>KULALIA SL</t>
  </si>
  <si>
    <t>1200002678</t>
  </si>
  <si>
    <t>KULALIA SL</t>
  </si>
  <si>
    <t>1200002721</t>
  </si>
  <si>
    <t>01-0F002-0000375</t>
  </si>
  <si>
    <t>KULALIA SL</t>
  </si>
  <si>
    <t>1300004713</t>
  </si>
  <si>
    <t>SALDO A FAVOR</t>
  </si>
  <si>
    <t>KULALIA SL</t>
  </si>
  <si>
    <t>1300004844</t>
  </si>
  <si>
    <t>ANTICIPO FP-248</t>
  </si>
  <si>
    <t>2000000231</t>
  </si>
  <si>
    <t>LONGKOU JIABAO AQUATIC FOODSTUFFS</t>
  </si>
  <si>
    <t>1200002635</t>
  </si>
  <si>
    <t>01-0F002-0000371</t>
  </si>
  <si>
    <t>LONGKOU JIABAO AQUATIC FOODSTUFFS</t>
  </si>
  <si>
    <t>1200002880</t>
  </si>
  <si>
    <t>01-0F002-0000378</t>
  </si>
  <si>
    <t>LONGKOU JIABAO AQUATIC FOODSTUFFS</t>
  </si>
  <si>
    <t>1200002882</t>
  </si>
  <si>
    <t>01-0F002-0000379</t>
  </si>
  <si>
    <t>2000000233</t>
  </si>
  <si>
    <t>LONGKOU SANMING AQUATIC</t>
  </si>
  <si>
    <t>1200002541</t>
  </si>
  <si>
    <t>01-0F002-0000367</t>
  </si>
  <si>
    <t>LONGKOU SANMING AQUATIC</t>
  </si>
  <si>
    <t>1200002904</t>
  </si>
  <si>
    <t>01-0F002-0000382</t>
  </si>
  <si>
    <t>LONGKOU SANMING AQUATIC</t>
  </si>
  <si>
    <t>1200002931</t>
  </si>
  <si>
    <t>01-0F002-0000384</t>
  </si>
  <si>
    <t>LONGKOU SANMING AQUATIC</t>
  </si>
  <si>
    <t>1200002938</t>
  </si>
  <si>
    <t>01-0F002-0000385</t>
  </si>
  <si>
    <t>LONGKOU SANMING AQUATIC</t>
  </si>
  <si>
    <t>1300004855</t>
  </si>
  <si>
    <t>ANTICIPO FP-249</t>
  </si>
  <si>
    <t>LONGKOU SANMING AQUATIC</t>
  </si>
  <si>
    <t>1300005331</t>
  </si>
  <si>
    <t>FT-0F002-0000377</t>
  </si>
  <si>
    <t>2000001409</t>
  </si>
  <si>
    <t>Longkou Yunfeng Aquatic Food Co.,Lt</t>
  </si>
  <si>
    <t>1300005409</t>
  </si>
  <si>
    <t>FT-0F002-0000356</t>
  </si>
  <si>
    <t>6002007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</si>
  <si>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</si>
  <si>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</si>
  <si>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</si>
  <si>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</si>
  <si>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</si>
  <si>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</si>
  <si>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</si>
  <si>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</si>
  <si>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</si>
  <si>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</si>
  <si>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</si>
  <si>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</si>
  <si>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</si>
  <si>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</si>
  <si>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</si>
  <si>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</si>
  <si>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</si>
  <si>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</si>
  <si>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</si>
  <si>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</si>
  <si>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</si>
  <si>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</si>
  <si>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</si>
  <si>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</si>
  <si>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</si>
  <si>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</si>
  <si>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</si>
  <si>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</si>
  <si>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</si>
  <si>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</si>
  <si>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</si>
  <si>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</si>
  <si>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</si>
  <si>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</si>
  <si>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</si>
  <si>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</si>
  <si>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</si>
  <si>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</si>
  <si>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</si>
  <si>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</si>
  <si>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</si>
  <si>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</si>
  <si>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NAVAPEZ E.I.R.L.</t>
  </si>
  <si>
    <t>1200002956</t>
  </si>
  <si>
    <t>01-0F101-0007286</t>
  </si>
  <si>
    <t>NAVAPEZ E.I.R.L.</t>
  </si>
  <si>
    <t>1200002957</t>
  </si>
  <si>
    <t>01-0F101-0007287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</si>
  <si>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</si>
  <si>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</si>
  <si>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</si>
  <si>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</si>
  <si>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</si>
  <si>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</si>
  <si>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</si>
  <si>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</si>
  <si>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</si>
  <si>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</si>
  <si>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</si>
  <si>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</si>
  <si>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6001105</t>
  </si>
  <si>
    <t>NEGOCIOS PESQUEROS AARON EIRL</t>
  </si>
  <si>
    <t>1200001300</t>
  </si>
  <si>
    <t>01-0F101-0006073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</si>
  <si>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</si>
  <si>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</si>
  <si>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</si>
  <si>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</si>
  <si>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</si>
  <si>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</si>
  <si>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</si>
  <si>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</si>
  <si>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</si>
  <si>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</si>
  <si>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</si>
  <si>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</si>
  <si>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NEGOCIOS PESQUEROS AARON EIRL</t>
  </si>
  <si>
    <t>1300004037</t>
  </si>
  <si>
    <t>FT-0F101-0006072</t>
  </si>
  <si>
    <t>2000001443</t>
  </si>
  <si>
    <t>NINGBO JUN TAO IMPORT AND</t>
  </si>
  <si>
    <t>1300002821</t>
  </si>
  <si>
    <t>ANTICIPO NINGBO</t>
  </si>
  <si>
    <t>NINGBO JUN TAO IMPORT AND</t>
  </si>
  <si>
    <t>1300004715</t>
  </si>
  <si>
    <t>FT-0F002-0000355</t>
  </si>
  <si>
    <t>2000001359</t>
  </si>
  <si>
    <t>OCEANUS FISH S.L.</t>
  </si>
  <si>
    <t>1200002006</t>
  </si>
  <si>
    <t>01-0F002-0000341</t>
  </si>
  <si>
    <t>OCEANUS FISH S.L.</t>
  </si>
  <si>
    <t>1300005285</t>
  </si>
  <si>
    <t>FT-0F002-0000309</t>
  </si>
  <si>
    <t>2000001468</t>
  </si>
  <si>
    <t>OPTIMIZE INTEGRATION GROUP INC</t>
  </si>
  <si>
    <t>1300004843</t>
  </si>
  <si>
    <t>ANTICIPO FP-247</t>
  </si>
  <si>
    <t>1000013925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</si>
  <si>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</si>
  <si>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</si>
  <si>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</si>
  <si>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</si>
  <si>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</si>
  <si>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</si>
  <si>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PEGASUS ENTERPRISE S.A.C.</t>
  </si>
  <si>
    <t>1200005124</t>
  </si>
  <si>
    <t>01-0F003-0000129</t>
  </si>
  <si>
    <t>PEGASUS ENTERPRISE S.A.C.</t>
  </si>
  <si>
    <t>1300006898</t>
  </si>
  <si>
    <t>FT-0F003-0000101</t>
  </si>
  <si>
    <t>2000001380</t>
  </si>
  <si>
    <t>PELAGICS INTERNATIONAL CORP SAS</t>
  </si>
  <si>
    <t>1200002542</t>
  </si>
  <si>
    <t>01-0F002-0000368</t>
  </si>
  <si>
    <t>PELAGICS INTERNATIONAL CORP SAS</t>
  </si>
  <si>
    <t>1300004799</t>
  </si>
  <si>
    <t>ANTICIPO FP-243</t>
  </si>
  <si>
    <t>6000434</t>
  </si>
  <si>
    <t>PESQUERA HAYDUK S.A.</t>
  </si>
  <si>
    <t>1200004540</t>
  </si>
  <si>
    <t>01-0F003-0000083</t>
  </si>
  <si>
    <t>2000001438</t>
  </si>
  <si>
    <t>Qingdao Haiyujia International Trad</t>
  </si>
  <si>
    <t>1200001892</t>
  </si>
  <si>
    <t>01-0F002-0000332</t>
  </si>
  <si>
    <t>Qingdao Haiyujia International Trad</t>
  </si>
  <si>
    <t>1300002731</t>
  </si>
  <si>
    <t>FT-0F002-0000324</t>
  </si>
  <si>
    <t>2000001460</t>
  </si>
  <si>
    <t>SERENE OCEAN TRADING LIMITED</t>
  </si>
  <si>
    <t>1200002674</t>
  </si>
  <si>
    <t>01-0F002-0000373</t>
  </si>
  <si>
    <t>SERENE OCEAN TRADING LIMITED</t>
  </si>
  <si>
    <t>1300004801</t>
  </si>
  <si>
    <t>ANTICIPO FP-246</t>
  </si>
  <si>
    <t>1000001965</t>
  </si>
  <si>
    <t>SERVICIOS DIESEL EXPRESS E.I.R.L.</t>
  </si>
  <si>
    <t>1200002981</t>
  </si>
  <si>
    <t>01-0F101-0007305</t>
  </si>
  <si>
    <t>SERVICIOS DIESEL EXPRESS E.I.R.L.</t>
  </si>
  <si>
    <t>1200003024</t>
  </si>
  <si>
    <t>01-0F101-0007340</t>
  </si>
  <si>
    <t>SERVICIOS DIESEL EXPRESS E.I.R.L.</t>
  </si>
  <si>
    <t>1200003053</t>
  </si>
  <si>
    <t>01-0F101-0007365</t>
  </si>
  <si>
    <t>SERVICIOS DIESEL EXPRESS E.I.R.L.</t>
  </si>
  <si>
    <t>1200003073</t>
  </si>
  <si>
    <t>01-0F101-0007383</t>
  </si>
  <si>
    <t>2000001440</t>
  </si>
  <si>
    <t>Shenzhen Yueshi Supply Chain</t>
  </si>
  <si>
    <t>1200002673</t>
  </si>
  <si>
    <t>01-0F002-0000372</t>
  </si>
  <si>
    <t>Shenzhen Yueshi Supply Chain</t>
  </si>
  <si>
    <t>1300002671</t>
  </si>
  <si>
    <t>FT-0F002-0000321</t>
  </si>
  <si>
    <t>Shenzhen Yueshi Supply Chain</t>
  </si>
  <si>
    <t>1300004716</t>
  </si>
  <si>
    <t>FT-0F002-0000361</t>
  </si>
  <si>
    <t>1000013801</t>
  </si>
  <si>
    <t>STL 5.0 S.A.C.</t>
  </si>
  <si>
    <t>1200003062</t>
  </si>
  <si>
    <t>01-0F101-0007372</t>
  </si>
  <si>
    <t>STL 5.0 S.A.C.</t>
  </si>
  <si>
    <t>1200003063</t>
  </si>
  <si>
    <t>01-0F101-0007373</t>
  </si>
  <si>
    <t>1000013686</t>
  </si>
  <si>
    <t>TRANSPORTES O Y G S.A.C.</t>
  </si>
  <si>
    <t>1200003025</t>
  </si>
  <si>
    <t>01-0F101-0007343</t>
  </si>
  <si>
    <t>2000000786</t>
  </si>
  <si>
    <t>TSUJINO &amp; CO., LTD</t>
  </si>
  <si>
    <t>1200002885</t>
  </si>
  <si>
    <t>01-0F002-0000381</t>
  </si>
  <si>
    <t>TSUJINO &amp; CO., LTD</t>
  </si>
  <si>
    <t>1200002930</t>
  </si>
  <si>
    <t>01-0F002-0000383</t>
  </si>
  <si>
    <t>2000001444</t>
  </si>
  <si>
    <t>YANTAI HONGCHANG IMPORT AND EXPORT</t>
  </si>
  <si>
    <t>1200002637</t>
  </si>
  <si>
    <t>01-0F002-0000370</t>
  </si>
  <si>
    <t>YANTAI HONGCHANG IMPORT AND EXPORT</t>
  </si>
  <si>
    <t>1300004719</t>
  </si>
  <si>
    <t>FT-0F002-0000345</t>
  </si>
  <si>
    <t>UNIDAD DE NEGOCIO</t>
  </si>
  <si>
    <t>NACIONAL</t>
  </si>
  <si>
    <t>CISTERNA COMBUSTIBLE</t>
  </si>
  <si>
    <t>RODRIGO</t>
  </si>
  <si>
    <t>OTROS</t>
  </si>
  <si>
    <t>EXPORTACION</t>
  </si>
  <si>
    <t>ALMACENAMIENTO</t>
  </si>
  <si>
    <t>ESTIBA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</si>
  <si>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</si>
  <si>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</si>
  <si>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</si>
  <si>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</si>
  <si>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</si>
  <si>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</si>
  <si>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</si>
  <si>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</si>
  <si>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</si>
  <si>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61-90</t>
  </si>
  <si>
    <t>91-A MÁS</t>
  </si>
  <si>
    <t>FT-0F002-0000386</t>
  </si>
  <si>
    <t>FT-0F002-0000353</t>
  </si>
  <si>
    <t>QINGDAO OCEAN FISHERY COMPANY LIMIT</t>
  </si>
  <si>
    <t>FP-255</t>
  </si>
  <si>
    <t>FT-0F002-0000374</t>
  </si>
  <si>
    <t>Etiquetas de fila</t>
  </si>
  <si>
    <t>Suma de Importe en moneda doc.</t>
  </si>
  <si>
    <t>Total general</t>
  </si>
  <si>
    <t>Suma de USD HOMOL</t>
  </si>
  <si>
    <t>Etiquetas de columna</t>
  </si>
  <si>
    <t>(Todas)</t>
  </si>
  <si>
    <t>(Varios elementos)</t>
  </si>
  <si>
    <t>Suma de DÍAS ATRASADOS</t>
  </si>
  <si>
    <t>Cuenta de DÍAS VENCIDOS</t>
  </si>
  <si>
    <t>Detalles para Suma de Importe en moneda doc. - Nombre de cliente: AVANCE GROUP LTD, Vcto finanzas: 7/16/2026, Clase de documento: DB, UNIDAD DE NEGOCIO: EXPORTACION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</si>
</sst>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2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0" fillId="0" borderId="0" xfId="0" applyNumberFormat="1" applyAlignment="1">
      <alignment vertical="top"/>
    </xf>
    <xf numFmtId="0" fontId="3" fillId="3" borderId="0" xfId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1" applyFont="1" applyFill="1" applyAlignment="1">
      <alignment vertical="top" wrapText="1"/>
    </xf>
    <xf numFmtId="0" fontId="3" fillId="5" borderId="0" xfId="1" applyFont="1" applyFill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2" applyFont="1" applyAlignment="1">
      <alignment vertical="top"/>
    </xf>
    <xf numFmtId="2" fontId="0" fillId="0" borderId="0" xfId="0" applyNumberForma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43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0" fillId="5" borderId="0" xfId="0" applyFill="1" applyAlignment="1">
      <alignment vertical="top"/>
    </xf>
    <xf numFmtId="14" fontId="0" fillId="5" borderId="0" xfId="0" applyNumberFormat="1" applyFill="1" applyAlignment="1">
      <alignment vertical="top"/>
    </xf>
    <xf numFmtId="3" fontId="0" fillId="5" borderId="0" xfId="0" applyNumberFormat="1" applyFill="1" applyAlignment="1">
      <alignment vertical="top"/>
    </xf>
    <xf numFmtId="0" fontId="5" fillId="0" borderId="0" xfId="0" applyFont="1" applyAlignment="1">
      <alignment vertical="top"/>
    </xf>
  </cellXfs>
  <cellStyles count="3">
    <cellStyle name="Millares" xfId="2" builtinId="3"/>
    <cellStyle name="Normal" xfId="0" builtinId="0"/>
    <cellStyle name="Normal 2" xfId="1" xr:uid="{EDB2AF36-62B1-4FF9-BB08-AAE78717777E}"/>
  </cellStyles>
  <dxfs count="14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16.642412499998" createdVersion="8" refreshedVersion="8" minRefreshableVersion="3" recordCount="119" xr:uid="{7D1BE952-C106-47F1-86DD-0319FB3A1FDD}">
  <cacheSource type="worksheet">
    <worksheetSource ref="A1:R120" sheet="Data"/>
  </cacheSource>
  <cacheFields count="18">
    <cacheField name="Cliente" numFmtId="0">
      <sharedItems containsMixedTypes="1" containsNumber="1" containsInteger="1" minValue="2000001382" maxValue="2000001382" count="31">
        <s v="1000013966"/>
        <s v="2000001028"/>
        <s v="1000013676"/>
        <s v="1000013678"/>
        <s v="2000001368"/>
        <s v="2000001361"/>
        <s v="2000001439"/>
        <s v="6002186"/>
        <s v="1000006830"/>
        <s v="2000001459"/>
        <s v="2000001172"/>
        <s v="2000000231"/>
        <s v="2000000233"/>
        <s v="2000001409"/>
        <s v="6002007"/>
        <s v="6001105"/>
        <s v="2000001443"/>
        <s v="2000001359"/>
        <s v="2000001468"/>
        <s v="1000013925"/>
        <s v="2000001380"/>
        <s v="6000434"/>
        <s v="2000001438"/>
        <n v="2000001382"/>
        <s v="2000001460"/>
        <s v="1000001965"/>
        <s v="2000001440"/>
        <s v="1000013801"/>
        <s v="1000013686"/>
        <s v="2000000786"/>
        <s v="2000001444"/>
      </sharedItems>
    </cacheField>
    <cacheField name="Nombre de cliente" numFmtId="0">
      <sharedItems count="31">
        <s v="ARKANO TRADING SOCIEDAD ANONIMA CER"/>
        <s v="AVANCE GROUP LTD"/>
        <s v="CARLOS ALBERTO MARTINEZ QUEREVALU"/>
        <s v="CORPORACION NACIONAL PERU EXPORTACI"/>
        <s v="FOOD &amp; BEVERAGES TRADERS, S.L."/>
        <s v="GLOBAL OCEAN FLEXTRADING, S. L"/>
        <s v="GOLDEN SEAFOOD PTE. LTD."/>
        <s v="INDUSTRIAL PESQUERA SANTA MONICA S.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Qingdao Haiyujia International Trad"/>
        <s v="QINGDAO OCEAN FISHERY COMPANY LIMIT"/>
        <s v="SERENE OCEAN TRADING LIMITED"/>
        <s v="SERVICIOS DIESEL EXPRESS E.I.R.L."/>
        <s v="Shenzhen Yueshi Supply Chain"/>
        <s v="STL 5.0 S.A.C."/>
        <s v="TRANSPORTES O Y G S.A.C."/>
        <s v="TSUJINO &amp; CO., LTD"/>
        <s v="YANTAI HONGCHANG IMPORT AND EXPORT"/>
      </sharedItems>
    </cacheField>
    <cacheField name="Nº documento" numFmtId="0">
      <sharedItems containsMixedTypes="1" containsNumber="1" containsInteger="1" minValue="1300005603" maxValue="1300005603"/>
    </cacheField>
    <cacheField name="Referencia" numFmtId="0">
      <sharedItems count="119">
        <s v="01-0F101-0005160"/>
        <s v="01-0F101-0005198"/>
        <s v="01-0F101-0005211"/>
        <s v="01-0F101-0005224"/>
        <s v="01-0F101-0005225"/>
        <s v="01-0F101-0005231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FT-0F002-0000353"/>
        <s v="01-0F002-0000359"/>
        <s v="FT-0F002-0000386"/>
        <s v="FT-0F002-0000360"/>
        <s v="03-0B001-0004567"/>
        <s v="03-0B001-0004568"/>
        <s v="03-0B001-0004754"/>
        <s v="03-0B001-0004755"/>
        <s v="01-0F101-0007358"/>
        <s v="FT-0F002-0000311"/>
        <s v="FT-0F002-0000295"/>
        <s v="FP-253"/>
        <s v="01-0F101-0007341"/>
        <s v="01-0F101-0007342"/>
        <s v="01-0F101-0007338"/>
        <s v="01-0F101-0007339"/>
        <s v="01-0F101-0007344"/>
        <s v="01-0F101-0007345"/>
        <s v="01-0F101-0007354"/>
        <s v="01-0F101-0007355"/>
        <s v="01-0F101-0007356"/>
        <s v="01-0F101-0007357"/>
        <s v="01-0F101-0007359"/>
        <s v="01-0F101-0007360"/>
        <s v="01-0F101-0007375"/>
        <s v="01-0F101-0007376"/>
        <s v="01-0F101-0007396"/>
        <s v="01-0F101-0007397"/>
        <s v="01-0F101-0007408"/>
        <s v="01-0F101-0007409"/>
        <s v="ANTICIPO FP242"/>
        <s v="FT-0F002-0000374"/>
        <s v="01-0F002-0000375"/>
        <s v="SALDO A FAVOR"/>
        <s v="ANTICIPO FP-248"/>
        <s v="01-0F002-0000371"/>
        <s v="01-0F002-0000378"/>
        <s v="01-0F002-0000379"/>
        <s v="01-0F002-0000367"/>
        <s v="01-0F002-0000382"/>
        <s v="01-0F002-0000384"/>
        <s v="01-0F002-0000385"/>
        <s v="ANTICIPO FP-249"/>
        <s v="FT-0F002-0000377"/>
        <s v="FT-0F002-0000356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4638"/>
        <s v="01-0F101-0004639"/>
        <s v="01-0F101-0004653"/>
        <s v="01-0F101-0004654"/>
        <s v="01-0F101-0006073"/>
        <s v="01-0F101-0006074"/>
        <s v="01-0F101-0006075"/>
        <s v="01-0F101-0006336"/>
        <s v="01-0F101-0006337"/>
        <s v="FT-0F101-0006072"/>
        <s v="ANTICIPO NINGBO"/>
        <s v="FT-0F002-0000355"/>
        <s v="01-0F002-0000341"/>
        <s v="FT-0F002-0000309"/>
        <s v="ANTICIPO FP-247"/>
        <s v="01-0F003-0000168"/>
        <s v="01-0F003-0000174"/>
        <s v="01-0F003-0000129"/>
        <s v="FT-0F003-0000101"/>
        <s v="01-0F002-0000368"/>
        <s v="ANTICIPO FP-243"/>
        <s v="01-0F003-0000083"/>
        <s v="01-0F002-0000332"/>
        <s v="FT-0F002-0000324"/>
        <s v="FP-255"/>
        <s v="01-0F002-0000373"/>
        <s v="ANTICIPO FP-246"/>
        <s v="01-0F101-0007305"/>
        <s v="01-0F101-0007340"/>
        <s v="01-0F101-0007365"/>
        <s v="01-0F101-0007383"/>
        <s v="01-0F002-0000372"/>
        <s v="FT-0F002-0000321"/>
        <s v="FT-0F002-0000361"/>
        <s v="01-0F101-0007372"/>
        <s v="01-0F101-0007373"/>
        <s v="01-0F101-0007343"/>
        <s v="01-0F002-0000381"/>
        <s v="01-0F002-0000383"/>
        <s v="01-0F002-0000370"/>
        <s v="FT-0F002-0000345"/>
      </sharedItems>
    </cacheField>
    <cacheField name="Clase de documento" numFmtId="0">
      <sharedItems count="5">
        <s v="DF"/>
        <s v="ZV"/>
        <s v="DE"/>
        <s v="DB"/>
        <s v="DZ"/>
      </sharedItems>
    </cacheField>
    <cacheField name="Fecha de documento" numFmtId="14">
      <sharedItems containsSemiMixedTypes="0" containsNonDate="0" containsDate="1" containsString="0" minDate="2025-10-07T00:00:00" maxDate="2026-07-11T00:00:00" count="49">
        <d v="2026-01-06T00:00:00"/>
        <d v="2026-01-08T00:00:00"/>
        <d v="2026-01-10T00:00:00"/>
        <d v="2026-01-16T00:00:00"/>
        <d v="2026-01-19T00:00:00"/>
        <d v="2025-11-19T00:00:00"/>
        <d v="2025-11-20T00:00:00"/>
        <d v="2025-11-21T00:00:00"/>
        <d v="2025-11-22T00:00:00"/>
        <d v="2025-11-27T00:00:00"/>
        <d v="2026-05-26T00:00:00"/>
        <d v="2026-05-29T00:00:00"/>
        <d v="2026-06-30T00:00:00"/>
        <d v="2026-05-17T00:00:00"/>
        <d v="2026-06-28T00:00:00"/>
        <d v="2026-07-07T00:00:00"/>
        <d v="2026-04-27T00:00:00"/>
        <d v="2026-04-12T00:00:00"/>
        <d v="2026-07-01T00:00:00"/>
        <d v="2026-07-06T00:00:00"/>
        <d v="2026-07-08T00:00:00"/>
        <d v="2026-07-09T00:00:00"/>
        <d v="2026-07-10T00:00:00"/>
        <d v="2026-06-21T00:00:00"/>
        <d v="2026-06-23T00:00:00"/>
        <d v="2026-04-28T00:00:00"/>
        <d v="2026-06-08T00:00:00"/>
        <d v="2026-06-19T00:00:00"/>
        <d v="2026-06-13T00:00:00"/>
        <d v="2026-06-09T00:00:00"/>
        <d v="2026-06-27T00:00:00"/>
        <d v="2026-05-06T00:00:00"/>
        <d v="2026-05-12T00:00:00"/>
        <d v="2026-05-16T00:00:00"/>
        <d v="2026-05-27T00:00:00"/>
        <d v="2026-06-02T00:00:00"/>
        <d v="2026-07-03T00:00:00"/>
        <d v="2025-11-03T00:00:00"/>
        <d v="2025-11-06T00:00:00"/>
        <d v="2026-05-22T00:00:00"/>
        <d v="2026-06-05T00:00:00"/>
        <d v="2026-01-31T00:00:00"/>
        <d v="2026-03-03T00:00:00"/>
        <d v="2025-11-04T00:00:00"/>
        <d v="2025-10-21T00:00:00"/>
        <d v="2025-10-07T00:00:00"/>
        <d v="2026-04-29T00:00:00"/>
        <d v="2026-07-04T00:00:00"/>
        <d v="2026-05-24T00:00:00"/>
      </sharedItems>
    </cacheField>
    <cacheField name="Demora tras vencimiento neto" numFmtId="3">
      <sharedItems containsSemiMixedTypes="0" containsString="0" containsNumber="1" containsInteger="1" minValue="-48" maxValue="271"/>
    </cacheField>
    <cacheField name="Fecha de pago" numFmtId="14">
      <sharedItems containsSemiMixedTypes="0" containsNonDate="0" containsDate="1" containsString="0" minDate="2025-10-14T00:00:00" maxDate="2026-08-30T00:00:00"/>
    </cacheField>
    <cacheField name="Importe en moneda doc." numFmtId="4">
      <sharedItems containsSemiMixedTypes="0" containsString="0" containsNumber="1" minValue="-159925" maxValue="533250"/>
    </cacheField>
    <cacheField name="Moneda del documento" numFmtId="0">
      <sharedItems/>
    </cacheField>
    <cacheField name="UNIDAD DE NEGOCIO" numFmtId="0">
      <sharedItems count="7">
        <s v="NACIONAL"/>
        <s v="EXPORTACION"/>
        <s v="ALMACENAMIENTO"/>
        <s v="ESTIBA"/>
        <s v="RODRIGO"/>
        <s v="CISTERNA COMBUSTIBLE"/>
        <s v="OTROS"/>
      </sharedItems>
    </cacheField>
    <cacheField name="FECHA IDEAL DE PAGO" numFmtId="0">
      <sharedItems containsNonDate="0" containsDate="1" containsString="0" containsBlank="1" minDate="2026-06-11T00:00:00" maxDate="2026-09-07T00:00:00"/>
    </cacheField>
    <cacheField name="DÍAS VENCIDOS" numFmtId="0">
      <sharedItems containsString="0" containsBlank="1" containsNumber="1" containsInteger="1" minValue="-47" maxValue="46216"/>
    </cacheField>
    <cacheField name="Vcto finanzas SEMANA PASADA" numFmtId="0">
      <sharedItems containsNonDate="0" containsDate="1" containsString="0" containsBlank="1" minDate="2026-07-08T00:00:00" maxDate="2026-08-30T00:00:00"/>
    </cacheField>
    <cacheField name="Vcto finanzas" numFmtId="14">
      <sharedItems containsNonDate="0" containsDate="1" containsString="0" containsBlank="1" minDate="2025-10-14T00:00:00" maxDate="2026-08-30T00:00:00"/>
    </cacheField>
    <cacheField name="USD HOMOL" numFmtId="0">
      <sharedItems containsSemiMixedTypes="0" containsString="0" containsNumber="1" minValue="-159925" maxValue="533250"/>
    </cacheField>
    <cacheField name="DÍAS ATRASADOS" numFmtId="0">
      <sharedItems containsString="0" containsBlank="1" containsNumber="1" containsInteger="1" minValue="5" maxValue="92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16.643272222223" createdVersion="8" refreshedVersion="8" minRefreshableVersion="3" recordCount="119" xr:uid="{F53C7B54-E99A-4D63-AE59-D9BF1C872676}">
  <cacheSource type="worksheet">
    <worksheetSource ref="A1:R120" sheet="Data"/>
  </cacheSource>
  <cacheFields count="18">
    <cacheField name="Cliente" numFmtId="0">
      <sharedItems containsMixedTypes="1" containsNumber="1" containsInteger="1" minValue="2000001382" maxValue="2000001382"/>
    </cacheField>
    <cacheField name="Nombre de cliente" numFmtId="0">
      <sharedItems count="31">
        <s v="ARKANO TRADING SOCIEDAD ANONIMA CER"/>
        <s v="AVANCE GROUP LTD"/>
        <s v="CARLOS ALBERTO MARTINEZ QUEREVALU"/>
        <s v="CORPORACION NACIONAL PERU EXPORTACI"/>
        <s v="FOOD &amp; BEVERAGES TRADERS, S.L."/>
        <s v="GLOBAL OCEAN FLEXTRADING, S. L"/>
        <s v="GOLDEN SEAFOOD PTE. LTD."/>
        <s v="INDUSTRIAL PESQUERA SANTA MONICA S.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Qingdao Haiyujia International Trad"/>
        <s v="QINGDAO OCEAN FISHERY COMPANY LIMIT"/>
        <s v="SERENE OCEAN TRADING LIMITED"/>
        <s v="SERVICIOS DIESEL EXPRESS E.I.R.L."/>
        <s v="Shenzhen Yueshi Supply Chain"/>
        <s v="STL 5.0 S.A.C."/>
        <s v="TRANSPORTES O Y G S.A.C."/>
        <s v="TSUJINO &amp; CO., LTD"/>
        <s v="YANTAI HONGCHANG IMPORT AND EXPORT"/>
      </sharedItems>
    </cacheField>
    <cacheField name="Nº documento" numFmtId="0">
      <sharedItems containsMixedTypes="1" containsNumber="1" containsInteger="1" minValue="1300005603" maxValue="1300005603"/>
    </cacheField>
    <cacheField name="Referencia" numFmtId="0">
      <sharedItems count="119">
        <s v="01-0F101-0005160"/>
        <s v="01-0F101-0005198"/>
        <s v="01-0F101-0005211"/>
        <s v="01-0F101-0005224"/>
        <s v="01-0F101-0005225"/>
        <s v="01-0F101-0005231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FT-0F002-0000353"/>
        <s v="01-0F002-0000359"/>
        <s v="FT-0F002-0000386"/>
        <s v="FT-0F002-0000360"/>
        <s v="03-0B001-0004567"/>
        <s v="03-0B001-0004568"/>
        <s v="03-0B001-0004754"/>
        <s v="03-0B001-0004755"/>
        <s v="01-0F101-0007358"/>
        <s v="FT-0F002-0000311"/>
        <s v="FT-0F002-0000295"/>
        <s v="FP-253"/>
        <s v="01-0F101-0007341"/>
        <s v="01-0F101-0007342"/>
        <s v="01-0F101-0007338"/>
        <s v="01-0F101-0007339"/>
        <s v="01-0F101-0007344"/>
        <s v="01-0F101-0007345"/>
        <s v="01-0F101-0007354"/>
        <s v="01-0F101-0007355"/>
        <s v="01-0F101-0007356"/>
        <s v="01-0F101-0007357"/>
        <s v="01-0F101-0007359"/>
        <s v="01-0F101-0007360"/>
        <s v="01-0F101-0007375"/>
        <s v="01-0F101-0007376"/>
        <s v="01-0F101-0007396"/>
        <s v="01-0F101-0007397"/>
        <s v="01-0F101-0007408"/>
        <s v="01-0F101-0007409"/>
        <s v="ANTICIPO FP242"/>
        <s v="FT-0F002-0000374"/>
        <s v="01-0F002-0000375"/>
        <s v="SALDO A FAVOR"/>
        <s v="ANTICIPO FP-248"/>
        <s v="01-0F002-0000371"/>
        <s v="01-0F002-0000378"/>
        <s v="01-0F002-0000379"/>
        <s v="01-0F002-0000367"/>
        <s v="01-0F002-0000382"/>
        <s v="01-0F002-0000384"/>
        <s v="01-0F002-0000385"/>
        <s v="ANTICIPO FP-249"/>
        <s v="FT-0F002-0000377"/>
        <s v="FT-0F002-0000356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4638"/>
        <s v="01-0F101-0004639"/>
        <s v="01-0F101-0004653"/>
        <s v="01-0F101-0004654"/>
        <s v="01-0F101-0006073"/>
        <s v="01-0F101-0006074"/>
        <s v="01-0F101-0006075"/>
        <s v="01-0F101-0006336"/>
        <s v="01-0F101-0006337"/>
        <s v="FT-0F101-0006072"/>
        <s v="ANTICIPO NINGBO"/>
        <s v="FT-0F002-0000355"/>
        <s v="01-0F002-0000341"/>
        <s v="FT-0F002-0000309"/>
        <s v="ANTICIPO FP-247"/>
        <s v="01-0F003-0000168"/>
        <s v="01-0F003-0000174"/>
        <s v="01-0F003-0000129"/>
        <s v="FT-0F003-0000101"/>
        <s v="01-0F002-0000368"/>
        <s v="ANTICIPO FP-243"/>
        <s v="01-0F003-0000083"/>
        <s v="01-0F002-0000332"/>
        <s v="FT-0F002-0000324"/>
        <s v="FP-255"/>
        <s v="01-0F002-0000373"/>
        <s v="ANTICIPO FP-246"/>
        <s v="01-0F101-0007305"/>
        <s v="01-0F101-0007340"/>
        <s v="01-0F101-0007365"/>
        <s v="01-0F101-0007383"/>
        <s v="01-0F002-0000372"/>
        <s v="FT-0F002-0000321"/>
        <s v="FT-0F002-0000361"/>
        <s v="01-0F101-0007372"/>
        <s v="01-0F101-0007373"/>
        <s v="01-0F101-0007343"/>
        <s v="01-0F002-0000381"/>
        <s v="01-0F002-0000383"/>
        <s v="01-0F002-0000370"/>
        <s v="FT-0F002-0000345"/>
      </sharedItems>
    </cacheField>
    <cacheField name="Clase de documento" numFmtId="0">
      <sharedItems count="5">
        <s v="DF"/>
        <s v="ZV"/>
        <s v="DE"/>
        <s v="DB"/>
        <s v="DZ"/>
      </sharedItems>
    </cacheField>
    <cacheField name="Fecha de documento" numFmtId="14">
      <sharedItems containsSemiMixedTypes="0" containsNonDate="0" containsDate="1" containsString="0" minDate="2025-10-07T00:00:00" maxDate="2026-07-11T00:00:00"/>
    </cacheField>
    <cacheField name="Demora tras vencimiento neto" numFmtId="3">
      <sharedItems containsSemiMixedTypes="0" containsString="0" containsNumber="1" containsInteger="1" minValue="-48" maxValue="271"/>
    </cacheField>
    <cacheField name="Fecha de pago" numFmtId="14">
      <sharedItems containsSemiMixedTypes="0" containsNonDate="0" containsDate="1" containsString="0" minDate="2025-10-14T00:00:00" maxDate="2026-08-30T00:00:00"/>
    </cacheField>
    <cacheField name="Importe en moneda doc." numFmtId="4">
      <sharedItems containsSemiMixedTypes="0" containsString="0" containsNumber="1" minValue="-159925" maxValue="533250"/>
    </cacheField>
    <cacheField name="Moneda del documento" numFmtId="0">
      <sharedItems/>
    </cacheField>
    <cacheField name="UNIDAD DE NEGOCIO" numFmtId="0">
      <sharedItems count="7">
        <s v="NACIONAL"/>
        <s v="EXPORTACION"/>
        <s v="ALMACENAMIENTO"/>
        <s v="ESTIBA"/>
        <s v="RODRIGO"/>
        <s v="CISTERNA COMBUSTIBLE"/>
        <s v="OTROS"/>
      </sharedItems>
    </cacheField>
    <cacheField name="FECHA IDEAL DE PAGO" numFmtId="0">
      <sharedItems containsNonDate="0" containsDate="1" containsString="0" containsBlank="1" minDate="2026-06-11T00:00:00" maxDate="2026-09-07T00:00:00"/>
    </cacheField>
    <cacheField name="DÍAS VENCIDOS" numFmtId="0">
      <sharedItems containsString="0" containsBlank="1" containsNumber="1" containsInteger="1" minValue="-47" maxValue="46216"/>
    </cacheField>
    <cacheField name="Vcto finanzas SEMANA PASADA" numFmtId="0">
      <sharedItems containsNonDate="0" containsDate="1" containsString="0" containsBlank="1" minDate="2026-07-08T00:00:00" maxDate="2026-08-30T00:00:00"/>
    </cacheField>
    <cacheField name="Vcto finanzas" numFmtId="14">
      <sharedItems containsNonDate="0" containsDate="1" containsString="0" containsBlank="1" minDate="2025-10-14T00:00:00" maxDate="2026-08-30T00:00:00"/>
    </cacheField>
    <cacheField name="USD HOMOL" numFmtId="0">
      <sharedItems containsSemiMixedTypes="0" containsString="0" containsNumber="1" minValue="-159925" maxValue="533250"/>
    </cacheField>
    <cacheField name="DÍAS ATRASADOS" numFmtId="0">
      <sharedItems containsString="0" containsBlank="1" containsNumber="1" containsInteger="1" minValue="5" maxValue="92"/>
    </cacheField>
    <cacheField name="ANTIGÜEDAD" numFmtId="0">
      <sharedItems containsBlank="1" count="5">
        <m/>
        <s v="46-60"/>
        <s v="0-45"/>
        <s v="61-90"/>
        <s v="91-A MÁ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16.678714236114" createdVersion="8" refreshedVersion="8" minRefreshableVersion="3" recordCount="119" xr:uid="{B7AB53B5-8D11-42F9-8DFD-FC1125BD13FD}">
  <cacheSource type="worksheet">
    <worksheetSource ref="A1:R120" sheet="Data"/>
  </cacheSource>
  <cacheFields count="18">
    <cacheField name="Cliente" numFmtId="0">
      <sharedItems containsMixedTypes="1" containsNumber="1" containsInteger="1" minValue="2000001382" maxValue="2000001382"/>
    </cacheField>
    <cacheField name="Nombre de cliente" numFmtId="0">
      <sharedItems count="31">
        <s v="ARKANO TRADING SOCIEDAD ANONIMA CER"/>
        <s v="AVANCE GROUP LTD"/>
        <s v="CARLOS ALBERTO MARTINEZ QUEREVALU"/>
        <s v="CORPORACION NACIONAL PERU EXPORTACI"/>
        <s v="FOOD &amp; BEVERAGES TRADERS, S.L."/>
        <s v="GLOBAL OCEAN FLEXTRADING, S. L"/>
        <s v="GOLDEN SEAFOOD PTE. LTD."/>
        <s v="INDUSTRIAL PESQUERA SANTA MONICA S.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Qingdao Haiyujia International Trad"/>
        <s v="QINGDAO OCEAN FISHERY COMPANY LIMIT"/>
        <s v="SERENE OCEAN TRADING LIMITED"/>
        <s v="SERVICIOS DIESEL EXPRESS E.I.R.L."/>
        <s v="Shenzhen Yueshi Supply Chain"/>
        <s v="STL 5.0 S.A.C."/>
        <s v="TRANSPORTES O Y G S.A.C."/>
        <s v="TSUJINO &amp; CO., LTD"/>
        <s v="YANTAI HONGCHANG IMPORT AND EXPORT"/>
      </sharedItems>
    </cacheField>
    <cacheField name="Nº documento" numFmtId="0">
      <sharedItems containsMixedTypes="1" containsNumber="1" containsInteger="1" minValue="1300005603" maxValue="1300005603"/>
    </cacheField>
    <cacheField name="Referencia" numFmtId="0">
      <sharedItems/>
    </cacheField>
    <cacheField name="Clase de documento" numFmtId="0">
      <sharedItems count="5">
        <s v="DF"/>
        <s v="ZV"/>
        <s v="DE"/>
        <s v="DB"/>
        <s v="DZ"/>
      </sharedItems>
    </cacheField>
    <cacheField name="Fecha de documento" numFmtId="14">
      <sharedItems containsSemiMixedTypes="0" containsNonDate="0" containsDate="1" containsString="0" minDate="2025-10-07T00:00:00" maxDate="2026-07-11T00:00:00"/>
    </cacheField>
    <cacheField name="Demora tras vencimiento neto" numFmtId="3">
      <sharedItems containsSemiMixedTypes="0" containsString="0" containsNumber="1" containsInteger="1" minValue="-48" maxValue="271"/>
    </cacheField>
    <cacheField name="Fecha de pago" numFmtId="14">
      <sharedItems containsSemiMixedTypes="0" containsNonDate="0" containsDate="1" containsString="0" minDate="2025-10-14T00:00:00" maxDate="2026-08-30T00:00:00"/>
    </cacheField>
    <cacheField name="Importe en moneda doc." numFmtId="4">
      <sharedItems containsSemiMixedTypes="0" containsString="0" containsNumber="1" minValue="-159925" maxValue="533250"/>
    </cacheField>
    <cacheField name="Moneda del documento" numFmtId="0">
      <sharedItems/>
    </cacheField>
    <cacheField name="UNIDAD DE NEGOCIO" numFmtId="0">
      <sharedItems count="7">
        <s v="NACIONAL"/>
        <s v="EXPORTACION"/>
        <s v="ALMACENAMIENTO"/>
        <s v="ESTIBA"/>
        <s v="RODRIGO"/>
        <s v="CISTERNA COMBUSTIBLE"/>
        <s v="OTROS"/>
      </sharedItems>
    </cacheField>
    <cacheField name="FECHA IDEAL DE PAGO" numFmtId="0">
      <sharedItems containsNonDate="0" containsDate="1" containsString="0" containsBlank="1" minDate="2026-06-11T00:00:00" maxDate="2026-09-07T00:00:00"/>
    </cacheField>
    <cacheField name="DÍAS VENCIDOS" numFmtId="0">
      <sharedItems containsString="0" containsBlank="1" containsNumber="1" containsInteger="1" minValue="-47" maxValue="5"/>
    </cacheField>
    <cacheField name="Vcto finanzas SEMANA PASADA" numFmtId="0">
      <sharedItems containsNonDate="0" containsDate="1" containsString="0" containsBlank="1" minDate="2026-07-08T00:00:00" maxDate="2026-08-30T00:00:00"/>
    </cacheField>
    <cacheField name="Vcto finanzas" numFmtId="14">
      <sharedItems containsSemiMixedTypes="0" containsNonDate="0" containsDate="1" containsString="0" minDate="2025-10-14T00:00:00" maxDate="2026-08-30T00:00:00" count="55">
        <d v="2026-01-13T00:00:00"/>
        <d v="2026-01-15T00:00:00"/>
        <d v="2026-01-17T00:00:00"/>
        <d v="2026-01-23T00:00:00"/>
        <d v="2026-01-26T00:00:00"/>
        <d v="2025-11-26T00:00:00"/>
        <d v="2025-11-27T00:00:00"/>
        <d v="2025-11-28T00:00:00"/>
        <d v="2025-11-29T00:00:00"/>
        <d v="2025-12-04T00:00:00"/>
        <d v="2026-07-17T00:00:00"/>
        <d v="2026-08-29T00:00:00"/>
        <d v="2026-08-10T00:00:00"/>
        <d v="2026-05-24T00:00:00"/>
        <d v="2026-07-05T00:00:00"/>
        <d v="2026-07-14T00:00:00"/>
        <d v="2026-07-31T00:00:00"/>
        <d v="2026-07-01T00:00:00"/>
        <d v="2026-07-13T00:00:00"/>
        <d v="2026-07-15T00:00:00"/>
        <d v="2026-07-16T00:00:00"/>
        <d v="2026-05-26T00:00:00"/>
        <d v="2026-08-20T00:00:00"/>
        <d v="2026-08-22T00:00:00"/>
        <d v="2026-04-28T00:00:00"/>
        <d v="2026-06-08T00:00:00"/>
        <d v="2026-08-03T00:00:00"/>
        <d v="2026-07-28T00:00:00"/>
        <d v="2026-06-09T00:00:00"/>
        <d v="2026-08-26T00:00:00"/>
        <d v="2026-05-13T00:00:00"/>
        <d v="2026-05-19T00:00:00"/>
        <d v="2026-05-23T00:00:00"/>
        <d v="2026-06-03T00:00:00"/>
        <d v="2026-06-20T00:00:00"/>
        <d v="2026-07-10T00:00:00"/>
        <d v="2025-11-10T00:00:00"/>
        <d v="2025-11-13T00:00:00"/>
        <d v="2026-05-12T00:00:00"/>
        <d v="2026-05-06T00:00:00"/>
        <d v="2026-08-01T00:00:00"/>
        <d v="2026-07-21T00:00:00"/>
        <d v="2026-06-05T00:00:00"/>
        <d v="2026-02-07T00:00:00"/>
        <d v="2026-03-10T00:00:00"/>
        <d v="2025-11-11T00:00:00"/>
        <d v="2025-10-21T00:00:00"/>
        <d v="2026-08-12T00:00:00"/>
        <d v="2026-06-02T00:00:00"/>
        <d v="2025-10-14T00:00:00"/>
        <d v="2026-07-20T00:00:00"/>
        <d v="2026-07-11T00:00:00"/>
        <d v="2026-07-24T00:00:00"/>
        <d v="2026-08-24T00:00:00"/>
        <d v="2026-08-18T00:00:00"/>
      </sharedItems>
    </cacheField>
    <cacheField name="USD HOMOL" numFmtId="0">
      <sharedItems containsSemiMixedTypes="0" containsString="0" containsNumber="1" minValue="-159925" maxValue="533250"/>
    </cacheField>
    <cacheField name="DÍAS ATRASADOS" numFmtId="0">
      <sharedItems containsString="0" containsBlank="1" containsNumber="1" containsInteger="1" minValue="5" maxValue="92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x v="0"/>
    <s v="1200000045"/>
    <x v="0"/>
    <x v="0"/>
    <x v="0"/>
    <n v="180"/>
    <d v="2026-01-13T00:00:00"/>
    <n v="14.16"/>
    <s v="PEN"/>
    <x v="0"/>
    <m/>
    <m/>
    <m/>
    <d v="2026-01-13T00:00:00"/>
    <n v="4.1683838681189291"/>
    <m/>
    <m/>
  </r>
  <r>
    <x v="0"/>
    <x v="0"/>
    <s v="1200000090"/>
    <x v="1"/>
    <x v="0"/>
    <x v="1"/>
    <n v="178"/>
    <d v="2026-01-15T00:00:00"/>
    <n v="14.16"/>
    <s v="PEN"/>
    <x v="0"/>
    <m/>
    <m/>
    <m/>
    <d v="2026-01-15T00:00:00"/>
    <n v="4.1683838681189291"/>
    <m/>
    <m/>
  </r>
  <r>
    <x v="0"/>
    <x v="0"/>
    <s v="1200000113"/>
    <x v="2"/>
    <x v="0"/>
    <x v="2"/>
    <n v="176"/>
    <d v="2026-01-17T00:00:00"/>
    <n v="14.16"/>
    <s v="PEN"/>
    <x v="0"/>
    <m/>
    <m/>
    <m/>
    <d v="2026-01-17T00:00:00"/>
    <n v="4.1683838681189291"/>
    <m/>
    <m/>
  </r>
  <r>
    <x v="0"/>
    <x v="0"/>
    <s v="1200000132"/>
    <x v="3"/>
    <x v="0"/>
    <x v="3"/>
    <n v="170"/>
    <d v="2026-01-23T00:00:00"/>
    <n v="14.16"/>
    <s v="PEN"/>
    <x v="0"/>
    <m/>
    <m/>
    <m/>
    <d v="2026-01-23T00:00:00"/>
    <n v="4.1683838681189291"/>
    <m/>
    <m/>
  </r>
  <r>
    <x v="0"/>
    <x v="0"/>
    <s v="1200000133"/>
    <x v="4"/>
    <x v="0"/>
    <x v="3"/>
    <n v="170"/>
    <d v="2026-01-23T00:00:00"/>
    <n v="14.16"/>
    <s v="PEN"/>
    <x v="0"/>
    <m/>
    <m/>
    <m/>
    <d v="2026-01-23T00:00:00"/>
    <n v="4.1683838681189291"/>
    <m/>
    <m/>
  </r>
  <r>
    <x v="0"/>
    <x v="0"/>
    <s v="1200000141"/>
    <x v="5"/>
    <x v="0"/>
    <x v="4"/>
    <n v="167"/>
    <d v="2026-01-26T00:00:00"/>
    <n v="14.16"/>
    <s v="PEN"/>
    <x v="0"/>
    <m/>
    <m/>
    <m/>
    <d v="2026-01-26T00:00:00"/>
    <n v="4.1683838681189291"/>
    <m/>
    <m/>
  </r>
  <r>
    <x v="0"/>
    <x v="0"/>
    <s v="1200005220"/>
    <x v="6"/>
    <x v="0"/>
    <x v="5"/>
    <n v="228"/>
    <d v="2025-11-26T00:00:00"/>
    <n v="42.48"/>
    <s v="PEN"/>
    <x v="0"/>
    <m/>
    <m/>
    <m/>
    <d v="2025-11-26T00:00:00"/>
    <n v="12.505151604356785"/>
    <m/>
    <m/>
  </r>
  <r>
    <x v="0"/>
    <x v="0"/>
    <s v="1200005228"/>
    <x v="7"/>
    <x v="0"/>
    <x v="5"/>
    <n v="228"/>
    <d v="2025-11-26T00:00:00"/>
    <n v="14.16"/>
    <s v="PEN"/>
    <x v="0"/>
    <m/>
    <m/>
    <m/>
    <d v="2025-11-26T00:00:00"/>
    <n v="4.1683838681189291"/>
    <m/>
    <m/>
  </r>
  <r>
    <x v="0"/>
    <x v="0"/>
    <s v="1200005242"/>
    <x v="8"/>
    <x v="0"/>
    <x v="5"/>
    <n v="228"/>
    <d v="2025-11-26T00:00:00"/>
    <n v="14.16"/>
    <s v="PEN"/>
    <x v="0"/>
    <m/>
    <m/>
    <m/>
    <d v="2025-11-26T00:00:00"/>
    <n v="4.1683838681189291"/>
    <m/>
    <m/>
  </r>
  <r>
    <x v="0"/>
    <x v="0"/>
    <s v="1200005264"/>
    <x v="9"/>
    <x v="0"/>
    <x v="6"/>
    <n v="227"/>
    <d v="2025-11-27T00:00:00"/>
    <n v="28.32"/>
    <s v="PEN"/>
    <x v="0"/>
    <m/>
    <m/>
    <m/>
    <d v="2025-11-27T00:00:00"/>
    <n v="8.3367677362378583"/>
    <m/>
    <m/>
  </r>
  <r>
    <x v="0"/>
    <x v="0"/>
    <s v="1200005271"/>
    <x v="10"/>
    <x v="0"/>
    <x v="6"/>
    <n v="227"/>
    <d v="2025-11-27T00:00:00"/>
    <n v="14.16"/>
    <s v="PEN"/>
    <x v="0"/>
    <m/>
    <m/>
    <m/>
    <d v="2025-11-27T00:00:00"/>
    <n v="4.1683838681189291"/>
    <m/>
    <m/>
  </r>
  <r>
    <x v="0"/>
    <x v="0"/>
    <s v="1200005296"/>
    <x v="11"/>
    <x v="0"/>
    <x v="7"/>
    <n v="226"/>
    <d v="2025-11-28T00:00:00"/>
    <n v="28.32"/>
    <s v="PEN"/>
    <x v="0"/>
    <m/>
    <m/>
    <m/>
    <d v="2025-11-28T00:00:00"/>
    <n v="8.3367677362378583"/>
    <m/>
    <m/>
  </r>
  <r>
    <x v="0"/>
    <x v="0"/>
    <s v="1200005302"/>
    <x v="12"/>
    <x v="0"/>
    <x v="7"/>
    <n v="226"/>
    <d v="2025-11-28T00:00:00"/>
    <n v="42.48"/>
    <s v="PEN"/>
    <x v="0"/>
    <m/>
    <m/>
    <m/>
    <d v="2025-11-28T00:00:00"/>
    <n v="12.505151604356785"/>
    <m/>
    <m/>
  </r>
  <r>
    <x v="0"/>
    <x v="0"/>
    <s v="1200005304"/>
    <x v="13"/>
    <x v="0"/>
    <x v="7"/>
    <n v="226"/>
    <d v="2025-11-28T00:00:00"/>
    <n v="42.48"/>
    <s v="PEN"/>
    <x v="0"/>
    <m/>
    <m/>
    <m/>
    <d v="2025-11-28T00:00:00"/>
    <n v="12.505151604356785"/>
    <m/>
    <m/>
  </r>
  <r>
    <x v="0"/>
    <x v="0"/>
    <s v="1200005313"/>
    <x v="14"/>
    <x v="0"/>
    <x v="7"/>
    <n v="226"/>
    <d v="2025-11-28T00:00:00"/>
    <n v="14.16"/>
    <s v="PEN"/>
    <x v="0"/>
    <m/>
    <m/>
    <m/>
    <d v="2025-11-28T00:00:00"/>
    <n v="4.1683838681189291"/>
    <m/>
    <m/>
  </r>
  <r>
    <x v="0"/>
    <x v="0"/>
    <s v="1200005346"/>
    <x v="15"/>
    <x v="0"/>
    <x v="8"/>
    <n v="225"/>
    <d v="2025-11-29T00:00:00"/>
    <n v="28.32"/>
    <s v="PEN"/>
    <x v="0"/>
    <m/>
    <m/>
    <m/>
    <d v="2025-11-29T00:00:00"/>
    <n v="8.3367677362378583"/>
    <m/>
    <m/>
  </r>
  <r>
    <x v="0"/>
    <x v="0"/>
    <s v="1200005422"/>
    <x v="16"/>
    <x v="0"/>
    <x v="9"/>
    <n v="220"/>
    <d v="2025-12-04T00:00:00"/>
    <n v="14.16"/>
    <s v="PEN"/>
    <x v="0"/>
    <m/>
    <m/>
    <m/>
    <d v="2025-12-04T00:00:00"/>
    <n v="4.1683838681189291"/>
    <m/>
    <m/>
  </r>
  <r>
    <x v="1"/>
    <x v="1"/>
    <s v="1200002081"/>
    <x v="17"/>
    <x v="1"/>
    <x v="10"/>
    <n v="2"/>
    <d v="2026-07-10T00:00:00"/>
    <n v="78360"/>
    <s v="USD"/>
    <x v="1"/>
    <d v="2026-07-25T00:00:00"/>
    <n v="3"/>
    <d v="2026-07-10T00:00:00"/>
    <m/>
    <n v="78360"/>
    <n v="48"/>
    <s v="46-60"/>
  </r>
  <r>
    <x v="1"/>
    <x v="1"/>
    <s v="1200002135"/>
    <x v="18"/>
    <x v="2"/>
    <x v="11"/>
    <n v="-1"/>
    <d v="2026-07-13T00:00:00"/>
    <n v="234900"/>
    <s v="USD"/>
    <x v="1"/>
    <d v="2026-07-28T00:00:00"/>
    <n v="0"/>
    <d v="2026-07-13T00:00:00"/>
    <m/>
    <n v="234900"/>
    <n v="45"/>
    <s v="0-45"/>
  </r>
  <r>
    <x v="1"/>
    <x v="1"/>
    <s v="1200002939"/>
    <x v="19"/>
    <x v="1"/>
    <x v="12"/>
    <n v="-48"/>
    <d v="2026-08-29T00:00:00"/>
    <n v="218730"/>
    <s v="USD"/>
    <x v="1"/>
    <d v="2026-08-29T00:00:00"/>
    <n v="-47"/>
    <d v="2026-08-29T00:00:00"/>
    <d v="2026-08-29T00:00:00"/>
    <n v="218730"/>
    <n v="13"/>
    <s v="0-45"/>
  </r>
  <r>
    <x v="1"/>
    <x v="1"/>
    <s v="1300004711"/>
    <x v="20"/>
    <x v="1"/>
    <x v="11"/>
    <n v="44"/>
    <d v="2026-05-29T00:00:00"/>
    <n v="336990"/>
    <s v="USD"/>
    <x v="1"/>
    <d v="2026-07-28T00:00:00"/>
    <n v="0"/>
    <d v="2026-07-13T00:00:00"/>
    <m/>
    <n v="336990"/>
    <n v="45"/>
    <s v="0-45"/>
  </r>
  <r>
    <x v="2"/>
    <x v="2"/>
    <s v="1200001798"/>
    <x v="21"/>
    <x v="3"/>
    <x v="13"/>
    <n v="49"/>
    <d v="2026-05-24T00:00:00"/>
    <n v="365.8"/>
    <s v="PEN"/>
    <x v="0"/>
    <m/>
    <m/>
    <m/>
    <d v="2026-05-24T00:00:00"/>
    <n v="107.68324992640567"/>
    <m/>
    <m/>
  </r>
  <r>
    <x v="2"/>
    <x v="2"/>
    <s v="1200001799"/>
    <x v="22"/>
    <x v="3"/>
    <x v="13"/>
    <n v="49"/>
    <d v="2026-05-24T00:00:00"/>
    <n v="47.2"/>
    <s v="PEN"/>
    <x v="0"/>
    <m/>
    <m/>
    <m/>
    <d v="2026-05-24T00:00:00"/>
    <n v="13.894612893729763"/>
    <m/>
    <m/>
  </r>
  <r>
    <x v="2"/>
    <x v="2"/>
    <s v="1200002786"/>
    <x v="23"/>
    <x v="3"/>
    <x v="14"/>
    <n v="7"/>
    <d v="2026-07-05T00:00:00"/>
    <n v="820.1"/>
    <s v="PEN"/>
    <x v="0"/>
    <m/>
    <m/>
    <m/>
    <d v="2026-07-05T00:00:00"/>
    <n v="241.41889902855462"/>
    <m/>
    <m/>
  </r>
  <r>
    <x v="2"/>
    <x v="2"/>
    <s v="1200002787"/>
    <x v="24"/>
    <x v="3"/>
    <x v="14"/>
    <n v="7"/>
    <d v="2026-07-05T00:00:00"/>
    <n v="70.8"/>
    <s v="PEN"/>
    <x v="0"/>
    <m/>
    <m/>
    <m/>
    <d v="2026-07-05T00:00:00"/>
    <n v="20.841919340594643"/>
    <m/>
    <m/>
  </r>
  <r>
    <x v="3"/>
    <x v="3"/>
    <s v="1200003045"/>
    <x v="25"/>
    <x v="0"/>
    <x v="15"/>
    <n v="-2"/>
    <d v="2026-07-14T00:00:00"/>
    <n v="283.2"/>
    <s v="PEN"/>
    <x v="0"/>
    <m/>
    <m/>
    <m/>
    <d v="2026-07-14T00:00:00"/>
    <n v="83.367677362378572"/>
    <m/>
    <m/>
  </r>
  <r>
    <x v="4"/>
    <x v="4"/>
    <s v="1300004854"/>
    <x v="26"/>
    <x v="1"/>
    <x v="16"/>
    <n v="76"/>
    <d v="2026-04-27T00:00:00"/>
    <n v="15163"/>
    <s v="USD"/>
    <x v="1"/>
    <d v="2026-06-26T00:00:00"/>
    <n v="-18"/>
    <d v="2026-07-31T00:00:00"/>
    <d v="2026-07-31T00:00:00"/>
    <n v="15163"/>
    <n v="77"/>
    <s v="61-90"/>
  </r>
  <r>
    <x v="5"/>
    <x v="5"/>
    <s v="1300004210"/>
    <x v="27"/>
    <x v="1"/>
    <x v="17"/>
    <n v="91"/>
    <d v="2026-04-12T00:00:00"/>
    <n v="16355.92"/>
    <s v="USD"/>
    <x v="1"/>
    <d v="2026-06-11T00:00:00"/>
    <n v="-18"/>
    <d v="2026-07-31T00:00:00"/>
    <d v="2026-07-31T00:00:00"/>
    <n v="16355.92"/>
    <n v="92"/>
    <s v="91-A MÁS"/>
  </r>
  <r>
    <x v="6"/>
    <x v="6"/>
    <s v="1300005406"/>
    <x v="28"/>
    <x v="4"/>
    <x v="18"/>
    <n v="0"/>
    <d v="2026-07-31T00:00:00"/>
    <n v="-14712"/>
    <s v="USD"/>
    <x v="1"/>
    <d v="2026-08-30T00:00:00"/>
    <n v="46216"/>
    <m/>
    <d v="2026-07-31T00:00:00"/>
    <n v="-14712"/>
    <n v="12"/>
    <s v="0-45"/>
  </r>
  <r>
    <x v="7"/>
    <x v="7"/>
    <s v="1200003015"/>
    <x v="29"/>
    <x v="0"/>
    <x v="19"/>
    <n v="-1"/>
    <d v="2026-07-13T00:00:00"/>
    <n v="8692.67"/>
    <s v="USD"/>
    <x v="2"/>
    <m/>
    <m/>
    <m/>
    <d v="2026-07-13T00:00:00"/>
    <n v="8692.67"/>
    <m/>
    <m/>
  </r>
  <r>
    <x v="7"/>
    <x v="7"/>
    <s v="1200003016"/>
    <x v="30"/>
    <x v="0"/>
    <x v="19"/>
    <n v="-1"/>
    <d v="2026-07-13T00:00:00"/>
    <n v="3596.64"/>
    <s v="USD"/>
    <x v="3"/>
    <m/>
    <m/>
    <m/>
    <d v="2026-07-13T00:00:00"/>
    <n v="3596.64"/>
    <m/>
    <m/>
  </r>
  <r>
    <x v="8"/>
    <x v="8"/>
    <s v="1200003020"/>
    <x v="31"/>
    <x v="0"/>
    <x v="19"/>
    <n v="-1"/>
    <d v="2026-07-13T00:00:00"/>
    <n v="773.61"/>
    <s v="PEN"/>
    <x v="0"/>
    <m/>
    <m/>
    <m/>
    <d v="2026-07-13T00:00:00"/>
    <n v="227.73329408301444"/>
    <m/>
    <m/>
  </r>
  <r>
    <x v="8"/>
    <x v="8"/>
    <s v="1200003021"/>
    <x v="32"/>
    <x v="0"/>
    <x v="19"/>
    <n v="-1"/>
    <d v="2026-07-13T00:00:00"/>
    <n v="70.8"/>
    <s v="PEN"/>
    <x v="0"/>
    <m/>
    <m/>
    <m/>
    <d v="2026-07-13T00:00:00"/>
    <n v="20.841919340594643"/>
    <m/>
    <m/>
  </r>
  <r>
    <x v="8"/>
    <x v="8"/>
    <s v="1200003026"/>
    <x v="33"/>
    <x v="0"/>
    <x v="19"/>
    <n v="-1"/>
    <d v="2026-07-13T00:00:00"/>
    <n v="428.1"/>
    <s v="PEN"/>
    <x v="0"/>
    <m/>
    <m/>
    <m/>
    <d v="2026-07-13T00:00:00"/>
    <n v="126.02296143656169"/>
    <m/>
    <m/>
  </r>
  <r>
    <x v="8"/>
    <x v="8"/>
    <s v="1200003027"/>
    <x v="34"/>
    <x v="0"/>
    <x v="19"/>
    <n v="-1"/>
    <d v="2026-07-13T00:00:00"/>
    <n v="35.4"/>
    <s v="PEN"/>
    <x v="0"/>
    <m/>
    <m/>
    <m/>
    <d v="2026-07-13T00:00:00"/>
    <n v="10.420959670297322"/>
    <m/>
    <m/>
  </r>
  <r>
    <x v="8"/>
    <x v="8"/>
    <s v="1200003040"/>
    <x v="35"/>
    <x v="0"/>
    <x v="19"/>
    <n v="-1"/>
    <d v="2026-07-13T00:00:00"/>
    <n v="202.49"/>
    <s v="PEN"/>
    <x v="0"/>
    <m/>
    <m/>
    <m/>
    <d v="2026-07-13T00:00:00"/>
    <n v="59.608478068884317"/>
    <m/>
    <m/>
  </r>
  <r>
    <x v="8"/>
    <x v="8"/>
    <s v="1200003041"/>
    <x v="36"/>
    <x v="0"/>
    <x v="19"/>
    <n v="-1"/>
    <d v="2026-07-13T00:00:00"/>
    <n v="70.8"/>
    <s v="PEN"/>
    <x v="0"/>
    <m/>
    <m/>
    <m/>
    <d v="2026-07-13T00:00:00"/>
    <n v="20.841919340594643"/>
    <m/>
    <m/>
  </r>
  <r>
    <x v="8"/>
    <x v="8"/>
    <s v="1200003042"/>
    <x v="37"/>
    <x v="0"/>
    <x v="19"/>
    <n v="-1"/>
    <d v="2026-07-13T00:00:00"/>
    <n v="571.59"/>
    <s v="PEN"/>
    <x v="0"/>
    <m/>
    <m/>
    <m/>
    <d v="2026-07-13T00:00:00"/>
    <n v="168.2631733882838"/>
    <m/>
    <m/>
  </r>
  <r>
    <x v="8"/>
    <x v="8"/>
    <s v="1200003043"/>
    <x v="38"/>
    <x v="0"/>
    <x v="19"/>
    <n v="-1"/>
    <d v="2026-07-13T00:00:00"/>
    <n v="159.30000000000001"/>
    <s v="PEN"/>
    <x v="0"/>
    <m/>
    <m/>
    <m/>
    <d v="2026-07-13T00:00:00"/>
    <n v="46.894318516337954"/>
    <m/>
    <m/>
  </r>
  <r>
    <x v="8"/>
    <x v="8"/>
    <s v="1200003046"/>
    <x v="39"/>
    <x v="0"/>
    <x v="15"/>
    <n v="-2"/>
    <d v="2026-07-14T00:00:00"/>
    <n v="427.16"/>
    <s v="PEN"/>
    <x v="0"/>
    <m/>
    <m/>
    <m/>
    <d v="2026-07-14T00:00:00"/>
    <n v="125.74624668825436"/>
    <m/>
    <m/>
  </r>
  <r>
    <x v="8"/>
    <x v="8"/>
    <s v="1200003047"/>
    <x v="40"/>
    <x v="0"/>
    <x v="15"/>
    <n v="-2"/>
    <d v="2026-07-14T00:00:00"/>
    <n v="70.8"/>
    <s v="PEN"/>
    <x v="0"/>
    <m/>
    <m/>
    <m/>
    <d v="2026-07-14T00:00:00"/>
    <n v="20.841919340594643"/>
    <m/>
    <m/>
  </r>
  <r>
    <x v="8"/>
    <x v="8"/>
    <s v="1200003065"/>
    <x v="41"/>
    <x v="0"/>
    <x v="20"/>
    <n v="-3"/>
    <d v="2026-07-15T00:00:00"/>
    <n v="359.43"/>
    <s v="PEN"/>
    <x v="0"/>
    <m/>
    <m/>
    <m/>
    <d v="2026-07-15T00:00:00"/>
    <n v="105.80806594053577"/>
    <m/>
    <m/>
  </r>
  <r>
    <x v="8"/>
    <x v="8"/>
    <s v="1200003066"/>
    <x v="42"/>
    <x v="0"/>
    <x v="20"/>
    <n v="-3"/>
    <d v="2026-07-15T00:00:00"/>
    <n v="47.2"/>
    <s v="PEN"/>
    <x v="0"/>
    <m/>
    <m/>
    <m/>
    <d v="2026-07-15T00:00:00"/>
    <n v="13.894612893729763"/>
    <m/>
    <m/>
  </r>
  <r>
    <x v="8"/>
    <x v="8"/>
    <s v="1200003086"/>
    <x v="43"/>
    <x v="0"/>
    <x v="21"/>
    <n v="-4"/>
    <d v="2026-07-16T00:00:00"/>
    <n v="344.8"/>
    <s v="PEN"/>
    <x v="0"/>
    <m/>
    <m/>
    <m/>
    <d v="2026-07-16T00:00:00"/>
    <n v="101.50132469826319"/>
    <m/>
    <m/>
  </r>
  <r>
    <x v="8"/>
    <x v="8"/>
    <s v="1200003087"/>
    <x v="44"/>
    <x v="0"/>
    <x v="21"/>
    <n v="-4"/>
    <d v="2026-07-16T00:00:00"/>
    <n v="47.2"/>
    <s v="PEN"/>
    <x v="0"/>
    <m/>
    <m/>
    <m/>
    <d v="2026-07-16T00:00:00"/>
    <n v="13.894612893729763"/>
    <m/>
    <m/>
  </r>
  <r>
    <x v="8"/>
    <x v="8"/>
    <s v="1200003101"/>
    <x v="45"/>
    <x v="0"/>
    <x v="22"/>
    <n v="-5"/>
    <d v="2026-07-17T00:00:00"/>
    <n v="521.70000000000005"/>
    <s v="PEN"/>
    <x v="0"/>
    <m/>
    <m/>
    <m/>
    <d v="2026-07-17T00:00:00"/>
    <n v="153.57668531056817"/>
    <m/>
    <m/>
  </r>
  <r>
    <x v="8"/>
    <x v="8"/>
    <s v="1200003102"/>
    <x v="46"/>
    <x v="0"/>
    <x v="22"/>
    <n v="-5"/>
    <d v="2026-07-17T00:00:00"/>
    <n v="153.4"/>
    <s v="PEN"/>
    <x v="0"/>
    <m/>
    <m/>
    <m/>
    <d v="2026-07-17T00:00:00"/>
    <n v="45.157491904621729"/>
    <m/>
    <m/>
  </r>
  <r>
    <x v="9"/>
    <x v="9"/>
    <s v="1300004230"/>
    <x v="47"/>
    <x v="4"/>
    <x v="10"/>
    <n v="0"/>
    <d v="2026-05-31T00:00:00"/>
    <n v="-34580"/>
    <s v="USD"/>
    <x v="1"/>
    <d v="2026-07-25T00:00:00"/>
    <n v="46216"/>
    <m/>
    <d v="2026-05-31T00:00:00"/>
    <n v="-34580"/>
    <n v="48"/>
    <s v="46-60"/>
  </r>
  <r>
    <x v="10"/>
    <x v="10"/>
    <s v="1200002678"/>
    <x v="48"/>
    <x v="1"/>
    <x v="23"/>
    <n v="-24"/>
    <d v="2026-08-05T00:00:00"/>
    <n v="16334.54"/>
    <s v="USD"/>
    <x v="1"/>
    <d v="2026-08-20T00:00:00"/>
    <n v="-38"/>
    <d v="2026-08-20T00:00:00"/>
    <d v="2026-08-20T00:00:00"/>
    <n v="16334.54"/>
    <n v="22"/>
    <s v="0-45"/>
  </r>
  <r>
    <x v="10"/>
    <x v="10"/>
    <s v="1200002721"/>
    <x v="49"/>
    <x v="2"/>
    <x v="24"/>
    <n v="-26"/>
    <d v="2026-08-07T00:00:00"/>
    <n v="135200"/>
    <s v="USD"/>
    <x v="1"/>
    <d v="2026-08-22T00:00:00"/>
    <n v="-40"/>
    <d v="2026-08-22T00:00:00"/>
    <d v="2026-08-22T00:00:00"/>
    <n v="135200"/>
    <n v="20"/>
    <s v="0-45"/>
  </r>
  <r>
    <x v="10"/>
    <x v="10"/>
    <s v="1300004713"/>
    <x v="50"/>
    <x v="1"/>
    <x v="25"/>
    <n v="0"/>
    <d v="2026-04-28T00:00:00"/>
    <n v="-1504"/>
    <s v="USD"/>
    <x v="1"/>
    <d v="2026-06-27T00:00:00"/>
    <n v="46216"/>
    <m/>
    <d v="2026-04-28T00:00:00"/>
    <n v="-1504"/>
    <n v="76"/>
    <s v="61-90"/>
  </r>
  <r>
    <x v="10"/>
    <x v="10"/>
    <s v="1300004844"/>
    <x v="51"/>
    <x v="4"/>
    <x v="26"/>
    <n v="0"/>
    <d v="2026-06-30T00:00:00"/>
    <n v="-33677"/>
    <s v="USD"/>
    <x v="1"/>
    <d v="2026-08-07T00:00:00"/>
    <n v="46216"/>
    <m/>
    <d v="2026-06-30T00:00:00"/>
    <n v="-33677"/>
    <n v="35"/>
    <s v="0-45"/>
  </r>
  <r>
    <x v="11"/>
    <x v="11"/>
    <s v="1200002635"/>
    <x v="52"/>
    <x v="2"/>
    <x v="27"/>
    <n v="-22"/>
    <d v="2026-08-03T00:00:00"/>
    <n v="421200"/>
    <s v="USD"/>
    <x v="1"/>
    <d v="2026-08-18T00:00:00"/>
    <n v="-21"/>
    <d v="2026-08-03T00:00:00"/>
    <d v="2026-08-03T00:00:00"/>
    <n v="421200"/>
    <n v="24"/>
    <s v="0-45"/>
  </r>
  <r>
    <x v="11"/>
    <x v="11"/>
    <s v="1200002880"/>
    <x v="53"/>
    <x v="2"/>
    <x v="12"/>
    <n v="-33"/>
    <d v="2026-08-14T00:00:00"/>
    <n v="211167"/>
    <s v="USD"/>
    <x v="1"/>
    <d v="2026-08-29T00:00:00"/>
    <n v="-47"/>
    <d v="2026-08-29T00:00:00"/>
    <d v="2026-08-29T00:00:00"/>
    <n v="211167"/>
    <n v="13"/>
    <s v="0-45"/>
  </r>
  <r>
    <x v="11"/>
    <x v="11"/>
    <s v="1200002882"/>
    <x v="54"/>
    <x v="2"/>
    <x v="12"/>
    <n v="-48"/>
    <d v="2026-08-29T00:00:00"/>
    <n v="105300"/>
    <s v="USD"/>
    <x v="1"/>
    <d v="2026-08-29T00:00:00"/>
    <n v="-47"/>
    <d v="2026-08-29T00:00:00"/>
    <d v="2026-08-29T00:00:00"/>
    <n v="105300"/>
    <n v="13"/>
    <s v="0-45"/>
  </r>
  <r>
    <x v="12"/>
    <x v="12"/>
    <s v="1200002541"/>
    <x v="55"/>
    <x v="2"/>
    <x v="28"/>
    <n v="-16"/>
    <d v="2026-07-28T00:00:00"/>
    <n v="113004"/>
    <s v="USD"/>
    <x v="1"/>
    <d v="2026-08-12T00:00:00"/>
    <n v="-15"/>
    <d v="2026-07-28T00:00:00"/>
    <d v="2026-07-28T00:00:00"/>
    <n v="113004"/>
    <n v="30"/>
    <s v="0-45"/>
  </r>
  <r>
    <x v="12"/>
    <x v="12"/>
    <s v="1200002904"/>
    <x v="56"/>
    <x v="2"/>
    <x v="12"/>
    <n v="-48"/>
    <d v="2026-08-29T00:00:00"/>
    <n v="533250"/>
    <s v="USD"/>
    <x v="1"/>
    <d v="2026-08-29T00:00:00"/>
    <n v="-47"/>
    <d v="2026-08-29T00:00:00"/>
    <d v="2026-08-29T00:00:00"/>
    <n v="533250"/>
    <n v="13"/>
    <s v="0-45"/>
  </r>
  <r>
    <x v="12"/>
    <x v="12"/>
    <s v="1200002931"/>
    <x v="57"/>
    <x v="2"/>
    <x v="12"/>
    <n v="-33"/>
    <d v="2026-08-14T00:00:00"/>
    <n v="169092"/>
    <s v="USD"/>
    <x v="1"/>
    <d v="2026-08-29T00:00:00"/>
    <n v="-47"/>
    <d v="2026-08-29T00:00:00"/>
    <d v="2026-08-29T00:00:00"/>
    <n v="169092"/>
    <n v="13"/>
    <s v="0-45"/>
  </r>
  <r>
    <x v="12"/>
    <x v="12"/>
    <s v="1200002938"/>
    <x v="58"/>
    <x v="2"/>
    <x v="12"/>
    <n v="-48"/>
    <d v="2026-08-29T00:00:00"/>
    <n v="213300"/>
    <s v="USD"/>
    <x v="1"/>
    <d v="2026-08-29T00:00:00"/>
    <n v="-47"/>
    <d v="2026-08-29T00:00:00"/>
    <d v="2026-08-29T00:00:00"/>
    <n v="213300"/>
    <n v="13"/>
    <s v="0-45"/>
  </r>
  <r>
    <x v="12"/>
    <x v="12"/>
    <s v="1300004855"/>
    <x v="59"/>
    <x v="4"/>
    <x v="29"/>
    <n v="0"/>
    <d v="2026-06-30T00:00:00"/>
    <n v="-159925"/>
    <s v="USD"/>
    <x v="1"/>
    <d v="2026-08-08T00:00:00"/>
    <n v="46216"/>
    <m/>
    <d v="2026-06-30T00:00:00"/>
    <n v="-159925"/>
    <n v="34"/>
    <s v="0-45"/>
  </r>
  <r>
    <x v="12"/>
    <x v="12"/>
    <s v="1300005331"/>
    <x v="60"/>
    <x v="1"/>
    <x v="30"/>
    <n v="15"/>
    <d v="2026-06-27T00:00:00"/>
    <n v="213454"/>
    <s v="USD"/>
    <x v="1"/>
    <d v="2026-08-26T00:00:00"/>
    <n v="-44"/>
    <d v="2026-08-26T00:00:00"/>
    <d v="2026-08-26T00:00:00"/>
    <n v="213454"/>
    <n v="16"/>
    <s v="0-45"/>
  </r>
  <r>
    <x v="13"/>
    <x v="13"/>
    <s v="1300005409"/>
    <x v="61"/>
    <x v="1"/>
    <x v="11"/>
    <n v="44"/>
    <d v="2026-05-29T00:00:00"/>
    <n v="45810"/>
    <s v="USD"/>
    <x v="1"/>
    <d v="2026-07-28T00:00:00"/>
    <n v="-15"/>
    <d v="2026-07-28T00:00:00"/>
    <d v="2026-07-28T00:00:00"/>
    <n v="45810"/>
    <n v="45"/>
    <s v="0-45"/>
  </r>
  <r>
    <x v="14"/>
    <x v="14"/>
    <s v="1200001503"/>
    <x v="62"/>
    <x v="0"/>
    <x v="31"/>
    <n v="60"/>
    <d v="2026-05-13T00:00:00"/>
    <n v="23.6"/>
    <s v="PEN"/>
    <x v="4"/>
    <m/>
    <m/>
    <m/>
    <d v="2026-05-13T00:00:00"/>
    <n v="6.9473064468648813"/>
    <m/>
    <m/>
  </r>
  <r>
    <x v="14"/>
    <x v="14"/>
    <s v="1200001504"/>
    <x v="63"/>
    <x v="0"/>
    <x v="31"/>
    <n v="60"/>
    <d v="2026-05-13T00:00:00"/>
    <n v="261.49"/>
    <s v="PEN"/>
    <x v="4"/>
    <m/>
    <m/>
    <m/>
    <d v="2026-05-13T00:00:00"/>
    <n v="76.976744186046517"/>
    <m/>
    <m/>
  </r>
  <r>
    <x v="14"/>
    <x v="14"/>
    <s v="1200001509"/>
    <x v="64"/>
    <x v="0"/>
    <x v="31"/>
    <n v="60"/>
    <d v="2026-05-13T00:00:00"/>
    <n v="387.51"/>
    <s v="PEN"/>
    <x v="4"/>
    <m/>
    <m/>
    <m/>
    <d v="2026-05-13T00:00:00"/>
    <n v="114.07418310273772"/>
    <m/>
    <m/>
  </r>
  <r>
    <x v="14"/>
    <x v="14"/>
    <s v="1200001510"/>
    <x v="65"/>
    <x v="0"/>
    <x v="31"/>
    <n v="60"/>
    <d v="2026-05-13T00:00:00"/>
    <n v="35.4"/>
    <s v="PEN"/>
    <x v="4"/>
    <m/>
    <m/>
    <m/>
    <d v="2026-05-13T00:00:00"/>
    <n v="10.420959670297322"/>
    <m/>
    <m/>
  </r>
  <r>
    <x v="14"/>
    <x v="14"/>
    <s v="1200001609"/>
    <x v="66"/>
    <x v="0"/>
    <x v="32"/>
    <n v="54"/>
    <d v="2026-05-19T00:00:00"/>
    <n v="482.86"/>
    <s v="PEN"/>
    <x v="4"/>
    <m/>
    <m/>
    <m/>
    <d v="2026-05-19T00:00:00"/>
    <n v="142.14306741242274"/>
    <m/>
    <m/>
  </r>
  <r>
    <x v="14"/>
    <x v="14"/>
    <s v="1200001610"/>
    <x v="67"/>
    <x v="0"/>
    <x v="32"/>
    <n v="54"/>
    <d v="2026-05-19T00:00:00"/>
    <n v="47.2"/>
    <s v="PEN"/>
    <x v="4"/>
    <m/>
    <m/>
    <m/>
    <d v="2026-05-19T00:00:00"/>
    <n v="13.894612893729763"/>
    <m/>
    <m/>
  </r>
  <r>
    <x v="14"/>
    <x v="14"/>
    <s v="1200001789"/>
    <x v="68"/>
    <x v="0"/>
    <x v="33"/>
    <n v="50"/>
    <d v="2026-05-23T00:00:00"/>
    <n v="544.45000000000005"/>
    <s v="PEN"/>
    <x v="4"/>
    <m/>
    <m/>
    <m/>
    <d v="2026-05-23T00:00:00"/>
    <n v="160.27377097438918"/>
    <m/>
    <m/>
  </r>
  <r>
    <x v="14"/>
    <x v="14"/>
    <s v="1200001790"/>
    <x v="69"/>
    <x v="0"/>
    <x v="33"/>
    <n v="50"/>
    <d v="2026-05-23T00:00:00"/>
    <n v="47.2"/>
    <s v="PEN"/>
    <x v="4"/>
    <m/>
    <m/>
    <m/>
    <d v="2026-05-23T00:00:00"/>
    <n v="13.894612893729763"/>
    <m/>
    <m/>
  </r>
  <r>
    <x v="14"/>
    <x v="14"/>
    <s v="1200002045"/>
    <x v="70"/>
    <x v="0"/>
    <x v="34"/>
    <n v="39"/>
    <d v="2026-06-03T00:00:00"/>
    <n v="591.65"/>
    <s v="PEN"/>
    <x v="4"/>
    <m/>
    <m/>
    <m/>
    <d v="2026-06-03T00:00:00"/>
    <n v="174.16838386811892"/>
    <m/>
    <m/>
  </r>
  <r>
    <x v="14"/>
    <x v="14"/>
    <s v="1200002046"/>
    <x v="71"/>
    <x v="0"/>
    <x v="34"/>
    <n v="39"/>
    <d v="2026-06-03T00:00:00"/>
    <n v="70.8"/>
    <s v="PEN"/>
    <x v="4"/>
    <m/>
    <m/>
    <m/>
    <d v="2026-06-03T00:00:00"/>
    <n v="20.841919340594643"/>
    <m/>
    <m/>
  </r>
  <r>
    <x v="14"/>
    <x v="14"/>
    <s v="1200002186"/>
    <x v="72"/>
    <x v="0"/>
    <x v="35"/>
    <n v="33"/>
    <d v="2026-06-09T00:00:00"/>
    <n v="185.97"/>
    <s v="PEN"/>
    <x v="4"/>
    <m/>
    <m/>
    <m/>
    <d v="2026-06-09T00:00:00"/>
    <n v="54.7453635560789"/>
    <m/>
    <m/>
  </r>
  <r>
    <x v="14"/>
    <x v="14"/>
    <s v="1200002187"/>
    <x v="73"/>
    <x v="0"/>
    <x v="35"/>
    <n v="33"/>
    <d v="2026-06-09T00:00:00"/>
    <n v="23.6"/>
    <s v="PEN"/>
    <x v="4"/>
    <m/>
    <m/>
    <m/>
    <d v="2026-06-09T00:00:00"/>
    <n v="6.9473064468648813"/>
    <m/>
    <m/>
  </r>
  <r>
    <x v="14"/>
    <x v="14"/>
    <s v="1200002487"/>
    <x v="74"/>
    <x v="0"/>
    <x v="28"/>
    <n v="22"/>
    <d v="2026-06-20T00:00:00"/>
    <n v="535.25"/>
    <s v="PEN"/>
    <x v="4"/>
    <m/>
    <m/>
    <m/>
    <d v="2026-06-20T00:00:00"/>
    <n v="157.56549896967914"/>
    <m/>
    <m/>
  </r>
  <r>
    <x v="14"/>
    <x v="14"/>
    <s v="1200002488"/>
    <x v="75"/>
    <x v="0"/>
    <x v="28"/>
    <n v="22"/>
    <d v="2026-06-20T00:00:00"/>
    <n v="70.8"/>
    <s v="PEN"/>
    <x v="4"/>
    <m/>
    <m/>
    <m/>
    <d v="2026-06-20T00:00:00"/>
    <n v="20.841919340594643"/>
    <m/>
    <m/>
  </r>
  <r>
    <x v="14"/>
    <x v="14"/>
    <s v="1200002956"/>
    <x v="76"/>
    <x v="0"/>
    <x v="36"/>
    <n v="2"/>
    <d v="2026-07-10T00:00:00"/>
    <n v="449.11"/>
    <s v="PEN"/>
    <x v="4"/>
    <m/>
    <m/>
    <m/>
    <d v="2026-07-10T00:00:00"/>
    <n v="132.20783043862232"/>
    <m/>
    <m/>
  </r>
  <r>
    <x v="14"/>
    <x v="14"/>
    <s v="1200002957"/>
    <x v="77"/>
    <x v="0"/>
    <x v="36"/>
    <n v="2"/>
    <d v="2026-07-10T00:00:00"/>
    <n v="35.4"/>
    <s v="PEN"/>
    <x v="4"/>
    <m/>
    <m/>
    <m/>
    <d v="2026-07-10T00:00:00"/>
    <n v="10.420959670297322"/>
    <m/>
    <m/>
  </r>
  <r>
    <x v="14"/>
    <x v="14"/>
    <s v="1200005141"/>
    <x v="78"/>
    <x v="0"/>
    <x v="37"/>
    <n v="244"/>
    <d v="2025-11-10T00:00:00"/>
    <n v="1403.26"/>
    <s v="PEN"/>
    <x v="4"/>
    <m/>
    <m/>
    <m/>
    <d v="2025-11-10T00:00:00"/>
    <n v="413.0880188401531"/>
    <m/>
    <m/>
  </r>
  <r>
    <x v="14"/>
    <x v="14"/>
    <s v="1200005142"/>
    <x v="79"/>
    <x v="0"/>
    <x v="37"/>
    <n v="244"/>
    <d v="2025-11-10T00:00:00"/>
    <n v="141.6"/>
    <s v="PEN"/>
    <x v="4"/>
    <m/>
    <m/>
    <m/>
    <d v="2025-11-10T00:00:00"/>
    <n v="41.683838681189286"/>
    <m/>
    <m/>
  </r>
  <r>
    <x v="14"/>
    <x v="14"/>
    <s v="1200005158"/>
    <x v="80"/>
    <x v="0"/>
    <x v="38"/>
    <n v="241"/>
    <d v="2025-11-13T00:00:00"/>
    <n v="1193.22"/>
    <s v="PEN"/>
    <x v="4"/>
    <m/>
    <m/>
    <m/>
    <d v="2025-11-13T00:00:00"/>
    <n v="351.25699146305567"/>
    <m/>
    <m/>
  </r>
  <r>
    <x v="14"/>
    <x v="14"/>
    <s v="1200005159"/>
    <x v="81"/>
    <x v="0"/>
    <x v="38"/>
    <n v="241"/>
    <d v="2025-11-13T00:00:00"/>
    <n v="106.2"/>
    <s v="PEN"/>
    <x v="4"/>
    <m/>
    <m/>
    <m/>
    <d v="2025-11-13T00:00:00"/>
    <n v="31.262879010891965"/>
    <m/>
    <m/>
  </r>
  <r>
    <x v="15"/>
    <x v="15"/>
    <s v="1200001300"/>
    <x v="82"/>
    <x v="0"/>
    <x v="25"/>
    <n v="75"/>
    <d v="2026-04-28T00:00:00"/>
    <n v="59"/>
    <s v="PEN"/>
    <x v="0"/>
    <m/>
    <m/>
    <m/>
    <d v="2026-04-28T00:00:00"/>
    <n v="17.368266117162204"/>
    <m/>
    <m/>
  </r>
  <r>
    <x v="15"/>
    <x v="15"/>
    <s v="1200001301"/>
    <x v="83"/>
    <x v="0"/>
    <x v="25"/>
    <n v="75"/>
    <d v="2026-04-28T00:00:00"/>
    <n v="716.71"/>
    <s v="PEN"/>
    <x v="0"/>
    <m/>
    <m/>
    <m/>
    <d v="2026-04-28T00:00:00"/>
    <n v="210.98322048866649"/>
    <m/>
    <m/>
  </r>
  <r>
    <x v="15"/>
    <x v="15"/>
    <s v="1200001302"/>
    <x v="84"/>
    <x v="0"/>
    <x v="25"/>
    <n v="75"/>
    <d v="2026-04-28T00:00:00"/>
    <n v="129.80000000000001"/>
    <s v="PEN"/>
    <x v="0"/>
    <m/>
    <m/>
    <m/>
    <d v="2026-04-28T00:00:00"/>
    <n v="38.21018545775685"/>
    <m/>
    <m/>
  </r>
  <r>
    <x v="15"/>
    <x v="15"/>
    <s v="1200001648"/>
    <x v="85"/>
    <x v="0"/>
    <x v="32"/>
    <n v="61"/>
    <d v="2026-05-12T00:00:00"/>
    <n v="404.98"/>
    <s v="PEN"/>
    <x v="0"/>
    <m/>
    <m/>
    <m/>
    <d v="2026-05-12T00:00:00"/>
    <n v="119.21695613776863"/>
    <m/>
    <m/>
  </r>
  <r>
    <x v="15"/>
    <x v="15"/>
    <s v="1200001649"/>
    <x v="86"/>
    <x v="0"/>
    <x v="32"/>
    <n v="61"/>
    <d v="2026-05-12T00:00:00"/>
    <n v="59"/>
    <s v="PEN"/>
    <x v="0"/>
    <m/>
    <m/>
    <m/>
    <d v="2026-05-12T00:00:00"/>
    <n v="17.368266117162204"/>
    <m/>
    <m/>
  </r>
  <r>
    <x v="15"/>
    <x v="15"/>
    <s v="1300004037"/>
    <x v="87"/>
    <x v="1"/>
    <x v="25"/>
    <n v="75"/>
    <d v="2026-04-28T00:00:00"/>
    <n v="422.56"/>
    <s v="PEN"/>
    <x v="0"/>
    <m/>
    <m/>
    <m/>
    <d v="2026-04-28T00:00:00"/>
    <n v="124.39211068589933"/>
    <m/>
    <m/>
  </r>
  <r>
    <x v="16"/>
    <x v="16"/>
    <s v="1300002821"/>
    <x v="88"/>
    <x v="4"/>
    <x v="31"/>
    <n v="0"/>
    <d v="2026-05-31T00:00:00"/>
    <n v="-33334"/>
    <s v="USD"/>
    <x v="1"/>
    <d v="2026-07-05T00:00:00"/>
    <n v="46216"/>
    <m/>
    <d v="2026-05-31T00:00:00"/>
    <n v="-33334"/>
    <n v="68"/>
    <s v="61-90"/>
  </r>
  <r>
    <x v="16"/>
    <x v="16"/>
    <s v="1300004715"/>
    <x v="89"/>
    <x v="1"/>
    <x v="11"/>
    <n v="44"/>
    <d v="2026-05-29T00:00:00"/>
    <n v="67008"/>
    <s v="USD"/>
    <x v="1"/>
    <d v="2026-07-28T00:00:00"/>
    <n v="0"/>
    <d v="2026-07-13T00:00:00"/>
    <m/>
    <n v="67008"/>
    <n v="45"/>
    <s v="0-45"/>
  </r>
  <r>
    <x v="17"/>
    <x v="17"/>
    <s v="1200002006"/>
    <x v="90"/>
    <x v="2"/>
    <x v="39"/>
    <n v="6"/>
    <d v="2026-07-06T00:00:00"/>
    <n v="80600"/>
    <s v="USD"/>
    <x v="1"/>
    <d v="2026-07-21T00:00:00"/>
    <n v="-8"/>
    <d v="2026-07-21T00:00:00"/>
    <m/>
    <n v="80600"/>
    <n v="52"/>
    <s v="46-60"/>
  </r>
  <r>
    <x v="17"/>
    <x v="17"/>
    <s v="1300005285"/>
    <x v="91"/>
    <x v="1"/>
    <x v="16"/>
    <n v="76"/>
    <d v="2026-04-27T00:00:00"/>
    <n v="10284"/>
    <s v="USD"/>
    <x v="1"/>
    <d v="2026-06-26T00:00:00"/>
    <n v="-18"/>
    <d v="2026-07-31T00:00:00"/>
    <d v="2026-07-31T00:00:00"/>
    <n v="10284"/>
    <n v="77"/>
    <s v="61-90"/>
  </r>
  <r>
    <x v="18"/>
    <x v="18"/>
    <s v="1300004843"/>
    <x v="92"/>
    <x v="4"/>
    <x v="40"/>
    <n v="0"/>
    <d v="2026-06-30T00:00:00"/>
    <n v="-13728"/>
    <s v="USD"/>
    <x v="1"/>
    <d v="2026-08-04T00:00:00"/>
    <n v="46216"/>
    <m/>
    <d v="2026-06-30T00:00:00"/>
    <n v="-13728"/>
    <n v="38"/>
    <s v="0-45"/>
  </r>
  <r>
    <x v="19"/>
    <x v="19"/>
    <s v="1200000182"/>
    <x v="93"/>
    <x v="0"/>
    <x v="41"/>
    <n v="155"/>
    <d v="2026-02-07T00:00:00"/>
    <n v="4003.46"/>
    <s v="PEN"/>
    <x v="5"/>
    <m/>
    <m/>
    <m/>
    <d v="2026-02-07T00:00:00"/>
    <n v="1178.5281130409185"/>
    <m/>
    <m/>
  </r>
  <r>
    <x v="19"/>
    <x v="19"/>
    <s v="1200000382"/>
    <x v="94"/>
    <x v="0"/>
    <x v="42"/>
    <n v="124"/>
    <d v="2026-03-10T00:00:00"/>
    <n v="4956"/>
    <s v="PEN"/>
    <x v="5"/>
    <m/>
    <m/>
    <m/>
    <d v="2026-03-10T00:00:00"/>
    <n v="1458.9343538416251"/>
    <m/>
    <m/>
  </r>
  <r>
    <x v="19"/>
    <x v="19"/>
    <s v="1200005124"/>
    <x v="95"/>
    <x v="0"/>
    <x v="43"/>
    <n v="243"/>
    <d v="2025-11-11T00:00:00"/>
    <n v="7097.98"/>
    <s v="PEN"/>
    <x v="5"/>
    <m/>
    <m/>
    <m/>
    <d v="2025-11-11T00:00:00"/>
    <n v="2089.4848395643216"/>
    <m/>
    <m/>
  </r>
  <r>
    <x v="19"/>
    <x v="19"/>
    <s v="1300006898"/>
    <x v="96"/>
    <x v="1"/>
    <x v="44"/>
    <n v="264"/>
    <d v="2025-10-21T00:00:00"/>
    <n v="4460"/>
    <s v="PEN"/>
    <x v="5"/>
    <m/>
    <m/>
    <m/>
    <d v="2025-10-21T00:00:00"/>
    <n v="1312.9231675007361"/>
    <m/>
    <m/>
  </r>
  <r>
    <x v="20"/>
    <x v="20"/>
    <s v="1200002542"/>
    <x v="97"/>
    <x v="2"/>
    <x v="28"/>
    <n v="-16"/>
    <d v="2026-07-28T00:00:00"/>
    <n v="29250"/>
    <s v="USD"/>
    <x v="1"/>
    <d v="2026-08-12T00:00:00"/>
    <n v="-30"/>
    <d v="2026-08-12T00:00:00"/>
    <d v="2026-08-12T00:00:00"/>
    <n v="29250"/>
    <n v="30"/>
    <s v="0-45"/>
  </r>
  <r>
    <x v="20"/>
    <x v="20"/>
    <s v="1300004799"/>
    <x v="98"/>
    <x v="4"/>
    <x v="35"/>
    <n v="0"/>
    <d v="2026-06-30T00:00:00"/>
    <n v="-6470"/>
    <s v="USD"/>
    <x v="1"/>
    <d v="2026-08-01T00:00:00"/>
    <n v="46216"/>
    <m/>
    <d v="2026-06-30T00:00:00"/>
    <n v="-6470"/>
    <n v="41"/>
    <s v="0-45"/>
  </r>
  <r>
    <x v="21"/>
    <x v="21"/>
    <s v="1200004540"/>
    <x v="99"/>
    <x v="0"/>
    <x v="45"/>
    <n v="271"/>
    <d v="2025-10-14T00:00:00"/>
    <n v="790"/>
    <s v="PEN"/>
    <x v="6"/>
    <m/>
    <m/>
    <m/>
    <d v="2025-10-14T00:00:00"/>
    <n v="232.55813953488374"/>
    <m/>
    <m/>
  </r>
  <r>
    <x v="22"/>
    <x v="22"/>
    <s v="1200001892"/>
    <x v="100"/>
    <x v="2"/>
    <x v="13"/>
    <n v="11"/>
    <d v="2026-07-01T00:00:00"/>
    <n v="230850"/>
    <s v="USD"/>
    <x v="1"/>
    <d v="2026-07-16T00:00:00"/>
    <n v="-3"/>
    <d v="2026-07-16T00:00:00"/>
    <m/>
    <n v="230850"/>
    <n v="57"/>
    <s v="46-60"/>
  </r>
  <r>
    <x v="22"/>
    <x v="22"/>
    <s v="1300002731"/>
    <x v="101"/>
    <x v="1"/>
    <x v="46"/>
    <n v="74"/>
    <d v="2026-04-29T00:00:00"/>
    <n v="162355"/>
    <s v="USD"/>
    <x v="1"/>
    <d v="2026-06-28T00:00:00"/>
    <n v="-7"/>
    <d v="2026-07-20T00:00:00"/>
    <m/>
    <n v="162355"/>
    <n v="75"/>
    <s v="61-90"/>
  </r>
  <r>
    <x v="23"/>
    <x v="23"/>
    <n v="1300005603"/>
    <x v="102"/>
    <x v="4"/>
    <x v="20"/>
    <n v="0"/>
    <d v="2026-07-31T00:00:00"/>
    <n v="15970"/>
    <s v="USD"/>
    <x v="1"/>
    <d v="2026-09-06T00:00:00"/>
    <n v="46216"/>
    <m/>
    <d v="2026-07-31T00:00:00"/>
    <n v="15970"/>
    <n v="5"/>
    <s v="61-90"/>
  </r>
  <r>
    <x v="24"/>
    <x v="24"/>
    <s v="1200002674"/>
    <x v="103"/>
    <x v="2"/>
    <x v="23"/>
    <n v="-24"/>
    <d v="2026-08-05T00:00:00"/>
    <n v="46018"/>
    <s v="USD"/>
    <x v="1"/>
    <d v="2026-08-20T00:00:00"/>
    <n v="-38"/>
    <d v="2026-08-20T00:00:00"/>
    <d v="2026-08-20T00:00:00"/>
    <n v="46018"/>
    <n v="22"/>
    <s v="0-45"/>
  </r>
  <r>
    <x v="24"/>
    <x v="24"/>
    <s v="1300004801"/>
    <x v="104"/>
    <x v="4"/>
    <x v="35"/>
    <n v="0"/>
    <d v="2026-06-30T00:00:00"/>
    <n v="-9287"/>
    <s v="USD"/>
    <x v="1"/>
    <d v="2026-08-01T00:00:00"/>
    <n v="46216"/>
    <m/>
    <d v="2026-06-30T00:00:00"/>
    <n v="-9287"/>
    <n v="41"/>
    <s v="0-45"/>
  </r>
  <r>
    <x v="25"/>
    <x v="25"/>
    <s v="1200002981"/>
    <x v="105"/>
    <x v="0"/>
    <x v="47"/>
    <n v="1"/>
    <d v="2026-07-11T00:00:00"/>
    <n v="590"/>
    <s v="PEN"/>
    <x v="0"/>
    <m/>
    <m/>
    <m/>
    <d v="2026-07-11T00:00:00"/>
    <n v="173.68266117162202"/>
    <m/>
    <m/>
  </r>
  <r>
    <x v="25"/>
    <x v="25"/>
    <s v="1200003024"/>
    <x v="106"/>
    <x v="0"/>
    <x v="19"/>
    <n v="-1"/>
    <d v="2026-07-13T00:00:00"/>
    <n v="590"/>
    <s v="PEN"/>
    <x v="0"/>
    <m/>
    <m/>
    <m/>
    <d v="2026-07-13T00:00:00"/>
    <n v="173.68266117162202"/>
    <m/>
    <m/>
  </r>
  <r>
    <x v="25"/>
    <x v="25"/>
    <s v="1200003053"/>
    <x v="107"/>
    <x v="0"/>
    <x v="15"/>
    <n v="-2"/>
    <d v="2026-07-14T00:00:00"/>
    <n v="590"/>
    <s v="PEN"/>
    <x v="0"/>
    <m/>
    <m/>
    <m/>
    <d v="2026-07-14T00:00:00"/>
    <n v="173.68266117162202"/>
    <m/>
    <m/>
  </r>
  <r>
    <x v="25"/>
    <x v="25"/>
    <s v="1200003073"/>
    <x v="108"/>
    <x v="0"/>
    <x v="20"/>
    <n v="-3"/>
    <d v="2026-07-15T00:00:00"/>
    <n v="590"/>
    <s v="PEN"/>
    <x v="0"/>
    <m/>
    <m/>
    <m/>
    <d v="2026-07-15T00:00:00"/>
    <n v="173.68266117162202"/>
    <m/>
    <m/>
  </r>
  <r>
    <x v="26"/>
    <x v="26"/>
    <s v="1200002673"/>
    <x v="109"/>
    <x v="2"/>
    <x v="23"/>
    <n v="-24"/>
    <d v="2026-08-05T00:00:00"/>
    <n v="59400"/>
    <s v="USD"/>
    <x v="1"/>
    <d v="2026-08-20T00:00:00"/>
    <n v="-38"/>
    <d v="2026-08-20T00:00:00"/>
    <d v="2026-08-20T00:00:00"/>
    <n v="59400"/>
    <n v="22"/>
    <s v="0-45"/>
  </r>
  <r>
    <x v="26"/>
    <x v="26"/>
    <s v="1300002671"/>
    <x v="110"/>
    <x v="1"/>
    <x v="46"/>
    <n v="74"/>
    <d v="2026-04-29T00:00:00"/>
    <n v="56785"/>
    <s v="USD"/>
    <x v="1"/>
    <d v="2026-06-28T00:00:00"/>
    <n v="-2"/>
    <d v="2026-07-15T00:00:00"/>
    <m/>
    <n v="56785"/>
    <n v="75"/>
    <s v="61-90"/>
  </r>
  <r>
    <x v="26"/>
    <x v="26"/>
    <s v="1300004716"/>
    <x v="111"/>
    <x v="1"/>
    <x v="11"/>
    <n v="44"/>
    <d v="2026-05-29T00:00:00"/>
    <n v="35725"/>
    <s v="USD"/>
    <x v="1"/>
    <d v="2026-07-28T00:00:00"/>
    <n v="0"/>
    <d v="2026-07-13T00:00:00"/>
    <m/>
    <n v="35725"/>
    <n v="45"/>
    <s v="0-45"/>
  </r>
  <r>
    <x v="27"/>
    <x v="27"/>
    <s v="1200003062"/>
    <x v="112"/>
    <x v="0"/>
    <x v="15"/>
    <n v="-2"/>
    <d v="2026-07-14T00:00:00"/>
    <n v="665.99"/>
    <s v="PEN"/>
    <x v="0"/>
    <m/>
    <m/>
    <m/>
    <d v="2026-07-14T00:00:00"/>
    <n v="196.05239917574332"/>
    <m/>
    <m/>
  </r>
  <r>
    <x v="27"/>
    <x v="27"/>
    <s v="1200003063"/>
    <x v="113"/>
    <x v="0"/>
    <x v="15"/>
    <n v="-2"/>
    <d v="2026-07-14T00:00:00"/>
    <n v="123.9"/>
    <s v="PEN"/>
    <x v="0"/>
    <m/>
    <m/>
    <m/>
    <d v="2026-07-14T00:00:00"/>
    <n v="36.473358846040625"/>
    <m/>
    <m/>
  </r>
  <r>
    <x v="28"/>
    <x v="28"/>
    <s v="1200003025"/>
    <x v="114"/>
    <x v="0"/>
    <x v="19"/>
    <n v="-1"/>
    <d v="2026-07-13T00:00:00"/>
    <n v="396.48"/>
    <s v="PEN"/>
    <x v="0"/>
    <m/>
    <m/>
    <m/>
    <d v="2026-07-13T00:00:00"/>
    <n v="116.71474830733001"/>
    <m/>
    <m/>
  </r>
  <r>
    <x v="29"/>
    <x v="29"/>
    <s v="1200002885"/>
    <x v="115"/>
    <x v="2"/>
    <x v="12"/>
    <n v="-33"/>
    <d v="2026-08-14T00:00:00"/>
    <n v="30375"/>
    <s v="USD"/>
    <x v="1"/>
    <d v="2026-08-29T00:00:00"/>
    <n v="-47"/>
    <d v="2026-08-29T00:00:00"/>
    <d v="2026-08-29T00:00:00"/>
    <n v="30375"/>
    <n v="13"/>
    <s v="0-45"/>
  </r>
  <r>
    <x v="29"/>
    <x v="29"/>
    <s v="1200002930"/>
    <x v="116"/>
    <x v="2"/>
    <x v="12"/>
    <n v="-33"/>
    <d v="2026-08-14T00:00:00"/>
    <n v="81574.5"/>
    <s v="USD"/>
    <x v="1"/>
    <d v="2026-08-29T00:00:00"/>
    <n v="-47"/>
    <d v="2026-08-29T00:00:00"/>
    <d v="2026-08-29T00:00:00"/>
    <n v="81574.5"/>
    <n v="13"/>
    <s v="0-45"/>
  </r>
  <r>
    <x v="30"/>
    <x v="30"/>
    <s v="1200002637"/>
    <x v="117"/>
    <x v="2"/>
    <x v="27"/>
    <n v="-22"/>
    <d v="2026-08-03T00:00:00"/>
    <n v="82350"/>
    <s v="USD"/>
    <x v="1"/>
    <d v="2026-08-18T00:00:00"/>
    <n v="-36"/>
    <d v="2026-08-18T00:00:00"/>
    <d v="2026-08-18T00:00:00"/>
    <n v="82350"/>
    <n v="24"/>
    <s v="0-45"/>
  </r>
  <r>
    <x v="30"/>
    <x v="30"/>
    <s v="1300004719"/>
    <x v="118"/>
    <x v="1"/>
    <x v="48"/>
    <n v="49"/>
    <d v="2026-05-24T00:00:00"/>
    <n v="90691"/>
    <s v="USD"/>
    <x v="1"/>
    <d v="2026-07-23T00:00:00"/>
    <n v="5"/>
    <d v="2026-07-08T00:00:00"/>
    <m/>
    <n v="90691"/>
    <n v="50"/>
    <s v="46-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1000013966"/>
    <x v="0"/>
    <s v="1200000045"/>
    <x v="0"/>
    <x v="0"/>
    <d v="2026-01-06T00:00:00"/>
    <n v="180"/>
    <d v="2026-01-13T00:00:00"/>
    <n v="14.16"/>
    <s v="PEN"/>
    <x v="0"/>
    <m/>
    <m/>
    <m/>
    <d v="2026-01-13T00:00:00"/>
    <n v="4.1683838681189291"/>
    <m/>
    <x v="0"/>
  </r>
  <r>
    <s v="1000013966"/>
    <x v="0"/>
    <s v="1200000090"/>
    <x v="1"/>
    <x v="0"/>
    <d v="2026-01-08T00:00:00"/>
    <n v="178"/>
    <d v="2026-01-15T00:00:00"/>
    <n v="14.16"/>
    <s v="PEN"/>
    <x v="0"/>
    <m/>
    <m/>
    <m/>
    <d v="2026-01-15T00:00:00"/>
    <n v="4.1683838681189291"/>
    <m/>
    <x v="0"/>
  </r>
  <r>
    <s v="1000013966"/>
    <x v="0"/>
    <s v="1200000113"/>
    <x v="2"/>
    <x v="0"/>
    <d v="2026-01-10T00:00:00"/>
    <n v="176"/>
    <d v="2026-01-17T00:00:00"/>
    <n v="14.16"/>
    <s v="PEN"/>
    <x v="0"/>
    <m/>
    <m/>
    <m/>
    <d v="2026-01-17T00:00:00"/>
    <n v="4.1683838681189291"/>
    <m/>
    <x v="0"/>
  </r>
  <r>
    <s v="1000013966"/>
    <x v="0"/>
    <s v="1200000132"/>
    <x v="3"/>
    <x v="0"/>
    <d v="2026-01-16T00:00:00"/>
    <n v="170"/>
    <d v="2026-01-23T00:00:00"/>
    <n v="14.16"/>
    <s v="PEN"/>
    <x v="0"/>
    <m/>
    <m/>
    <m/>
    <d v="2026-01-23T00:00:00"/>
    <n v="4.1683838681189291"/>
    <m/>
    <x v="0"/>
  </r>
  <r>
    <s v="1000013966"/>
    <x v="0"/>
    <s v="1200000133"/>
    <x v="4"/>
    <x v="0"/>
    <d v="2026-01-16T00:00:00"/>
    <n v="170"/>
    <d v="2026-01-23T00:00:00"/>
    <n v="14.16"/>
    <s v="PEN"/>
    <x v="0"/>
    <m/>
    <m/>
    <m/>
    <d v="2026-01-23T00:00:00"/>
    <n v="4.1683838681189291"/>
    <m/>
    <x v="0"/>
  </r>
  <r>
    <s v="1000013966"/>
    <x v="0"/>
    <s v="1200000141"/>
    <x v="5"/>
    <x v="0"/>
    <d v="2026-01-19T00:00:00"/>
    <n v="167"/>
    <d v="2026-01-26T00:00:00"/>
    <n v="14.16"/>
    <s v="PEN"/>
    <x v="0"/>
    <m/>
    <m/>
    <m/>
    <d v="2026-01-26T00:00:00"/>
    <n v="4.1683838681189291"/>
    <m/>
    <x v="0"/>
  </r>
  <r>
    <s v="1000013966"/>
    <x v="0"/>
    <s v="1200005220"/>
    <x v="6"/>
    <x v="0"/>
    <d v="2025-11-19T00:00:00"/>
    <n v="228"/>
    <d v="2025-11-26T00:00:00"/>
    <n v="42.48"/>
    <s v="PEN"/>
    <x v="0"/>
    <m/>
    <m/>
    <m/>
    <d v="2025-11-26T00:00:00"/>
    <n v="12.505151604356785"/>
    <m/>
    <x v="0"/>
  </r>
  <r>
    <s v="1000013966"/>
    <x v="0"/>
    <s v="1200005228"/>
    <x v="7"/>
    <x v="0"/>
    <d v="2025-11-19T00:00:00"/>
    <n v="228"/>
    <d v="2025-11-26T00:00:00"/>
    <n v="14.16"/>
    <s v="PEN"/>
    <x v="0"/>
    <m/>
    <m/>
    <m/>
    <d v="2025-11-26T00:00:00"/>
    <n v="4.1683838681189291"/>
    <m/>
    <x v="0"/>
  </r>
  <r>
    <s v="1000013966"/>
    <x v="0"/>
    <s v="1200005242"/>
    <x v="8"/>
    <x v="0"/>
    <d v="2025-11-19T00:00:00"/>
    <n v="228"/>
    <d v="2025-11-26T00:00:00"/>
    <n v="14.16"/>
    <s v="PEN"/>
    <x v="0"/>
    <m/>
    <m/>
    <m/>
    <d v="2025-11-26T00:00:00"/>
    <n v="4.1683838681189291"/>
    <m/>
    <x v="0"/>
  </r>
  <r>
    <s v="1000013966"/>
    <x v="0"/>
    <s v="1200005264"/>
    <x v="9"/>
    <x v="0"/>
    <d v="2025-11-20T00:00:00"/>
    <n v="227"/>
    <d v="2025-11-27T00:00:00"/>
    <n v="28.32"/>
    <s v="PEN"/>
    <x v="0"/>
    <m/>
    <m/>
    <m/>
    <d v="2025-11-27T00:00:00"/>
    <n v="8.3367677362378583"/>
    <m/>
    <x v="0"/>
  </r>
  <r>
    <s v="1000013966"/>
    <x v="0"/>
    <s v="1200005271"/>
    <x v="10"/>
    <x v="0"/>
    <d v="2025-11-20T00:00:00"/>
    <n v="227"/>
    <d v="2025-11-27T00:00:00"/>
    <n v="14.16"/>
    <s v="PEN"/>
    <x v="0"/>
    <m/>
    <m/>
    <m/>
    <d v="2025-11-27T00:00:00"/>
    <n v="4.1683838681189291"/>
    <m/>
    <x v="0"/>
  </r>
  <r>
    <s v="1000013966"/>
    <x v="0"/>
    <s v="1200005296"/>
    <x v="11"/>
    <x v="0"/>
    <d v="2025-11-21T00:00:00"/>
    <n v="226"/>
    <d v="2025-11-28T00:00:00"/>
    <n v="28.32"/>
    <s v="PEN"/>
    <x v="0"/>
    <m/>
    <m/>
    <m/>
    <d v="2025-11-28T00:00:00"/>
    <n v="8.3367677362378583"/>
    <m/>
    <x v="0"/>
  </r>
  <r>
    <s v="1000013966"/>
    <x v="0"/>
    <s v="1200005302"/>
    <x v="12"/>
    <x v="0"/>
    <d v="2025-11-21T00:00:00"/>
    <n v="226"/>
    <d v="2025-11-28T00:00:00"/>
    <n v="42.48"/>
    <s v="PEN"/>
    <x v="0"/>
    <m/>
    <m/>
    <m/>
    <d v="2025-11-28T00:00:00"/>
    <n v="12.505151604356785"/>
    <m/>
    <x v="0"/>
  </r>
  <r>
    <s v="1000013966"/>
    <x v="0"/>
    <s v="1200005304"/>
    <x v="13"/>
    <x v="0"/>
    <d v="2025-11-21T00:00:00"/>
    <n v="226"/>
    <d v="2025-11-28T00:00:00"/>
    <n v="42.48"/>
    <s v="PEN"/>
    <x v="0"/>
    <m/>
    <m/>
    <m/>
    <d v="2025-11-28T00:00:00"/>
    <n v="12.505151604356785"/>
    <m/>
    <x v="0"/>
  </r>
  <r>
    <s v="1000013966"/>
    <x v="0"/>
    <s v="1200005313"/>
    <x v="14"/>
    <x v="0"/>
    <d v="2025-11-21T00:00:00"/>
    <n v="226"/>
    <d v="2025-11-28T00:00:00"/>
    <n v="14.16"/>
    <s v="PEN"/>
    <x v="0"/>
    <m/>
    <m/>
    <m/>
    <d v="2025-11-28T00:00:00"/>
    <n v="4.1683838681189291"/>
    <m/>
    <x v="0"/>
  </r>
  <r>
    <s v="1000013966"/>
    <x v="0"/>
    <s v="1200005346"/>
    <x v="15"/>
    <x v="0"/>
    <d v="2025-11-22T00:00:00"/>
    <n v="225"/>
    <d v="2025-11-29T00:00:00"/>
    <n v="28.32"/>
    <s v="PEN"/>
    <x v="0"/>
    <m/>
    <m/>
    <m/>
    <d v="2025-11-29T00:00:00"/>
    <n v="8.3367677362378583"/>
    <m/>
    <x v="0"/>
  </r>
  <r>
    <s v="1000013966"/>
    <x v="0"/>
    <s v="1200005422"/>
    <x v="16"/>
    <x v="0"/>
    <d v="2025-11-27T00:00:00"/>
    <n v="220"/>
    <d v="2025-12-04T00:00:00"/>
    <n v="14.16"/>
    <s v="PEN"/>
    <x v="0"/>
    <m/>
    <m/>
    <m/>
    <d v="2025-12-04T00:00:00"/>
    <n v="4.1683838681189291"/>
    <m/>
    <x v="0"/>
  </r>
  <r>
    <s v="2000001028"/>
    <x v="1"/>
    <s v="1200002081"/>
    <x v="17"/>
    <x v="1"/>
    <d v="2026-05-26T00:00:00"/>
    <n v="2"/>
    <d v="2026-07-10T00:00:00"/>
    <n v="78360"/>
    <s v="USD"/>
    <x v="1"/>
    <d v="2026-07-25T00:00:00"/>
    <n v="3"/>
    <d v="2026-07-10T00:00:00"/>
    <m/>
    <n v="78360"/>
    <n v="48"/>
    <x v="1"/>
  </r>
  <r>
    <s v="2000001028"/>
    <x v="1"/>
    <s v="1200002135"/>
    <x v="18"/>
    <x v="2"/>
    <d v="2026-05-29T00:00:00"/>
    <n v="-1"/>
    <d v="2026-07-13T00:00:00"/>
    <n v="234900"/>
    <s v="USD"/>
    <x v="1"/>
    <d v="2026-07-28T00:00:00"/>
    <n v="0"/>
    <d v="2026-07-13T00:00:00"/>
    <m/>
    <n v="234900"/>
    <n v="45"/>
    <x v="2"/>
  </r>
  <r>
    <s v="2000001028"/>
    <x v="1"/>
    <s v="1200002939"/>
    <x v="19"/>
    <x v="1"/>
    <d v="2026-06-30T00:00:00"/>
    <n v="-48"/>
    <d v="2026-08-29T00:00:00"/>
    <n v="218730"/>
    <s v="USD"/>
    <x v="1"/>
    <d v="2026-08-29T00:00:00"/>
    <n v="-47"/>
    <d v="2026-08-29T00:00:00"/>
    <d v="2026-08-29T00:00:00"/>
    <n v="218730"/>
    <n v="13"/>
    <x v="2"/>
  </r>
  <r>
    <s v="2000001028"/>
    <x v="1"/>
    <s v="1300004711"/>
    <x v="20"/>
    <x v="1"/>
    <d v="2026-05-29T00:00:00"/>
    <n v="44"/>
    <d v="2026-05-29T00:00:00"/>
    <n v="336990"/>
    <s v="USD"/>
    <x v="1"/>
    <d v="2026-07-28T00:00:00"/>
    <n v="0"/>
    <d v="2026-07-13T00:00:00"/>
    <m/>
    <n v="336990"/>
    <n v="45"/>
    <x v="2"/>
  </r>
  <r>
    <s v="1000013676"/>
    <x v="2"/>
    <s v="1200001798"/>
    <x v="21"/>
    <x v="3"/>
    <d v="2026-05-17T00:00:00"/>
    <n v="49"/>
    <d v="2026-05-24T00:00:00"/>
    <n v="365.8"/>
    <s v="PEN"/>
    <x v="0"/>
    <m/>
    <m/>
    <m/>
    <d v="2026-05-24T00:00:00"/>
    <n v="107.68324992640567"/>
    <m/>
    <x v="0"/>
  </r>
  <r>
    <s v="1000013676"/>
    <x v="2"/>
    <s v="1200001799"/>
    <x v="22"/>
    <x v="3"/>
    <d v="2026-05-17T00:00:00"/>
    <n v="49"/>
    <d v="2026-05-24T00:00:00"/>
    <n v="47.2"/>
    <s v="PEN"/>
    <x v="0"/>
    <m/>
    <m/>
    <m/>
    <d v="2026-05-24T00:00:00"/>
    <n v="13.894612893729763"/>
    <m/>
    <x v="0"/>
  </r>
  <r>
    <s v="1000013676"/>
    <x v="2"/>
    <s v="1200002786"/>
    <x v="23"/>
    <x v="3"/>
    <d v="2026-06-28T00:00:00"/>
    <n v="7"/>
    <d v="2026-07-05T00:00:00"/>
    <n v="820.1"/>
    <s v="PEN"/>
    <x v="0"/>
    <m/>
    <m/>
    <m/>
    <d v="2026-07-05T00:00:00"/>
    <n v="241.41889902855462"/>
    <m/>
    <x v="0"/>
  </r>
  <r>
    <s v="1000013676"/>
    <x v="2"/>
    <s v="1200002787"/>
    <x v="24"/>
    <x v="3"/>
    <d v="2026-06-28T00:00:00"/>
    <n v="7"/>
    <d v="2026-07-05T00:00:00"/>
    <n v="70.8"/>
    <s v="PEN"/>
    <x v="0"/>
    <m/>
    <m/>
    <m/>
    <d v="2026-07-05T00:00:00"/>
    <n v="20.841919340594643"/>
    <m/>
    <x v="0"/>
  </r>
  <r>
    <s v="1000013678"/>
    <x v="3"/>
    <s v="1200003045"/>
    <x v="25"/>
    <x v="0"/>
    <d v="2026-07-07T00:00:00"/>
    <n v="-2"/>
    <d v="2026-07-14T00:00:00"/>
    <n v="283.2"/>
    <s v="PEN"/>
    <x v="0"/>
    <m/>
    <m/>
    <m/>
    <d v="2026-07-14T00:00:00"/>
    <n v="83.367677362378572"/>
    <m/>
    <x v="0"/>
  </r>
  <r>
    <s v="2000001368"/>
    <x v="4"/>
    <s v="1300004854"/>
    <x v="26"/>
    <x v="1"/>
    <d v="2026-04-27T00:00:00"/>
    <n v="76"/>
    <d v="2026-04-27T00:00:00"/>
    <n v="15163"/>
    <s v="USD"/>
    <x v="1"/>
    <d v="2026-06-26T00:00:00"/>
    <n v="-18"/>
    <d v="2026-07-31T00:00:00"/>
    <d v="2026-07-31T00:00:00"/>
    <n v="15163"/>
    <n v="77"/>
    <x v="3"/>
  </r>
  <r>
    <s v="2000001361"/>
    <x v="5"/>
    <s v="1300004210"/>
    <x v="27"/>
    <x v="1"/>
    <d v="2026-04-12T00:00:00"/>
    <n v="91"/>
    <d v="2026-04-12T00:00:00"/>
    <n v="16355.92"/>
    <s v="USD"/>
    <x v="1"/>
    <d v="2026-06-11T00:00:00"/>
    <n v="-18"/>
    <d v="2026-07-31T00:00:00"/>
    <d v="2026-07-31T00:00:00"/>
    <n v="16355.92"/>
    <n v="92"/>
    <x v="4"/>
  </r>
  <r>
    <s v="2000001439"/>
    <x v="6"/>
    <s v="1300005406"/>
    <x v="28"/>
    <x v="4"/>
    <d v="2026-07-01T00:00:00"/>
    <n v="0"/>
    <d v="2026-07-31T00:00:00"/>
    <n v="-14712"/>
    <s v="USD"/>
    <x v="1"/>
    <d v="2026-08-30T00:00:00"/>
    <n v="46216"/>
    <m/>
    <d v="2026-07-31T00:00:00"/>
    <n v="-14712"/>
    <n v="12"/>
    <x v="2"/>
  </r>
  <r>
    <s v="6002186"/>
    <x v="7"/>
    <s v="1200003015"/>
    <x v="29"/>
    <x v="0"/>
    <d v="2026-07-06T00:00:00"/>
    <n v="-1"/>
    <d v="2026-07-13T00:00:00"/>
    <n v="8692.67"/>
    <s v="USD"/>
    <x v="2"/>
    <m/>
    <m/>
    <m/>
    <d v="2026-07-13T00:00:00"/>
    <n v="8692.67"/>
    <m/>
    <x v="0"/>
  </r>
  <r>
    <s v="6002186"/>
    <x v="7"/>
    <s v="1200003016"/>
    <x v="30"/>
    <x v="0"/>
    <d v="2026-07-06T00:00:00"/>
    <n v="-1"/>
    <d v="2026-07-13T00:00:00"/>
    <n v="3596.64"/>
    <s v="USD"/>
    <x v="3"/>
    <m/>
    <m/>
    <m/>
    <d v="2026-07-13T00:00:00"/>
    <n v="3596.64"/>
    <m/>
    <x v="0"/>
  </r>
  <r>
    <s v="1000006830"/>
    <x v="8"/>
    <s v="1200003020"/>
    <x v="31"/>
    <x v="0"/>
    <d v="2026-07-06T00:00:00"/>
    <n v="-1"/>
    <d v="2026-07-13T00:00:00"/>
    <n v="773.61"/>
    <s v="PEN"/>
    <x v="0"/>
    <m/>
    <m/>
    <m/>
    <d v="2026-07-13T00:00:00"/>
    <n v="227.73329408301444"/>
    <m/>
    <x v="0"/>
  </r>
  <r>
    <s v="1000006830"/>
    <x v="8"/>
    <s v="1200003021"/>
    <x v="32"/>
    <x v="0"/>
    <d v="2026-07-06T00:00:00"/>
    <n v="-1"/>
    <d v="2026-07-13T00:00:00"/>
    <n v="70.8"/>
    <s v="PEN"/>
    <x v="0"/>
    <m/>
    <m/>
    <m/>
    <d v="2026-07-13T00:00:00"/>
    <n v="20.841919340594643"/>
    <m/>
    <x v="0"/>
  </r>
  <r>
    <s v="1000006830"/>
    <x v="8"/>
    <s v="1200003026"/>
    <x v="33"/>
    <x v="0"/>
    <d v="2026-07-06T00:00:00"/>
    <n v="-1"/>
    <d v="2026-07-13T00:00:00"/>
    <n v="428.1"/>
    <s v="PEN"/>
    <x v="0"/>
    <m/>
    <m/>
    <m/>
    <d v="2026-07-13T00:00:00"/>
    <n v="126.02296143656169"/>
    <m/>
    <x v="0"/>
  </r>
  <r>
    <s v="1000006830"/>
    <x v="8"/>
    <s v="1200003027"/>
    <x v="34"/>
    <x v="0"/>
    <d v="2026-07-06T00:00:00"/>
    <n v="-1"/>
    <d v="2026-07-13T00:00:00"/>
    <n v="35.4"/>
    <s v="PEN"/>
    <x v="0"/>
    <m/>
    <m/>
    <m/>
    <d v="2026-07-13T00:00:00"/>
    <n v="10.420959670297322"/>
    <m/>
    <x v="0"/>
  </r>
  <r>
    <s v="1000006830"/>
    <x v="8"/>
    <s v="1200003040"/>
    <x v="35"/>
    <x v="0"/>
    <d v="2026-07-06T00:00:00"/>
    <n v="-1"/>
    <d v="2026-07-13T00:00:00"/>
    <n v="202.49"/>
    <s v="PEN"/>
    <x v="0"/>
    <m/>
    <m/>
    <m/>
    <d v="2026-07-13T00:00:00"/>
    <n v="59.608478068884317"/>
    <m/>
    <x v="0"/>
  </r>
  <r>
    <s v="1000006830"/>
    <x v="8"/>
    <s v="1200003041"/>
    <x v="36"/>
    <x v="0"/>
    <d v="2026-07-06T00:00:00"/>
    <n v="-1"/>
    <d v="2026-07-13T00:00:00"/>
    <n v="70.8"/>
    <s v="PEN"/>
    <x v="0"/>
    <m/>
    <m/>
    <m/>
    <d v="2026-07-13T00:00:00"/>
    <n v="20.841919340594643"/>
    <m/>
    <x v="0"/>
  </r>
  <r>
    <s v="1000006830"/>
    <x v="8"/>
    <s v="1200003042"/>
    <x v="37"/>
    <x v="0"/>
    <d v="2026-07-06T00:00:00"/>
    <n v="-1"/>
    <d v="2026-07-13T00:00:00"/>
    <n v="571.59"/>
    <s v="PEN"/>
    <x v="0"/>
    <m/>
    <m/>
    <m/>
    <d v="2026-07-13T00:00:00"/>
    <n v="168.2631733882838"/>
    <m/>
    <x v="0"/>
  </r>
  <r>
    <s v="1000006830"/>
    <x v="8"/>
    <s v="1200003043"/>
    <x v="38"/>
    <x v="0"/>
    <d v="2026-07-06T00:00:00"/>
    <n v="-1"/>
    <d v="2026-07-13T00:00:00"/>
    <n v="159.30000000000001"/>
    <s v="PEN"/>
    <x v="0"/>
    <m/>
    <m/>
    <m/>
    <d v="2026-07-13T00:00:00"/>
    <n v="46.894318516337954"/>
    <m/>
    <x v="0"/>
  </r>
  <r>
    <s v="1000006830"/>
    <x v="8"/>
    <s v="1200003046"/>
    <x v="39"/>
    <x v="0"/>
    <d v="2026-07-07T00:00:00"/>
    <n v="-2"/>
    <d v="2026-07-14T00:00:00"/>
    <n v="427.16"/>
    <s v="PEN"/>
    <x v="0"/>
    <m/>
    <m/>
    <m/>
    <d v="2026-07-14T00:00:00"/>
    <n v="125.74624668825436"/>
    <m/>
    <x v="0"/>
  </r>
  <r>
    <s v="1000006830"/>
    <x v="8"/>
    <s v="1200003047"/>
    <x v="40"/>
    <x v="0"/>
    <d v="2026-07-07T00:00:00"/>
    <n v="-2"/>
    <d v="2026-07-14T00:00:00"/>
    <n v="70.8"/>
    <s v="PEN"/>
    <x v="0"/>
    <m/>
    <m/>
    <m/>
    <d v="2026-07-14T00:00:00"/>
    <n v="20.841919340594643"/>
    <m/>
    <x v="0"/>
  </r>
  <r>
    <s v="1000006830"/>
    <x v="8"/>
    <s v="1200003065"/>
    <x v="41"/>
    <x v="0"/>
    <d v="2026-07-08T00:00:00"/>
    <n v="-3"/>
    <d v="2026-07-15T00:00:00"/>
    <n v="359.43"/>
    <s v="PEN"/>
    <x v="0"/>
    <m/>
    <m/>
    <m/>
    <d v="2026-07-15T00:00:00"/>
    <n v="105.80806594053577"/>
    <m/>
    <x v="0"/>
  </r>
  <r>
    <s v="1000006830"/>
    <x v="8"/>
    <s v="1200003066"/>
    <x v="42"/>
    <x v="0"/>
    <d v="2026-07-08T00:00:00"/>
    <n v="-3"/>
    <d v="2026-07-15T00:00:00"/>
    <n v="47.2"/>
    <s v="PEN"/>
    <x v="0"/>
    <m/>
    <m/>
    <m/>
    <d v="2026-07-15T00:00:00"/>
    <n v="13.894612893729763"/>
    <m/>
    <x v="0"/>
  </r>
  <r>
    <s v="1000006830"/>
    <x v="8"/>
    <s v="1200003086"/>
    <x v="43"/>
    <x v="0"/>
    <d v="2026-07-09T00:00:00"/>
    <n v="-4"/>
    <d v="2026-07-16T00:00:00"/>
    <n v="344.8"/>
    <s v="PEN"/>
    <x v="0"/>
    <m/>
    <m/>
    <m/>
    <d v="2026-07-16T00:00:00"/>
    <n v="101.50132469826319"/>
    <m/>
    <x v="0"/>
  </r>
  <r>
    <s v="1000006830"/>
    <x v="8"/>
    <s v="1200003087"/>
    <x v="44"/>
    <x v="0"/>
    <d v="2026-07-09T00:00:00"/>
    <n v="-4"/>
    <d v="2026-07-16T00:00:00"/>
    <n v="47.2"/>
    <s v="PEN"/>
    <x v="0"/>
    <m/>
    <m/>
    <m/>
    <d v="2026-07-16T00:00:00"/>
    <n v="13.894612893729763"/>
    <m/>
    <x v="0"/>
  </r>
  <r>
    <s v="1000006830"/>
    <x v="8"/>
    <s v="1200003101"/>
    <x v="45"/>
    <x v="0"/>
    <d v="2026-07-10T00:00:00"/>
    <n v="-5"/>
    <d v="2026-07-17T00:00:00"/>
    <n v="521.70000000000005"/>
    <s v="PEN"/>
    <x v="0"/>
    <m/>
    <m/>
    <m/>
    <d v="2026-07-17T00:00:00"/>
    <n v="153.57668531056817"/>
    <m/>
    <x v="0"/>
  </r>
  <r>
    <s v="1000006830"/>
    <x v="8"/>
    <s v="1200003102"/>
    <x v="46"/>
    <x v="0"/>
    <d v="2026-07-10T00:00:00"/>
    <n v="-5"/>
    <d v="2026-07-17T00:00:00"/>
    <n v="153.4"/>
    <s v="PEN"/>
    <x v="0"/>
    <m/>
    <m/>
    <m/>
    <d v="2026-07-17T00:00:00"/>
    <n v="45.157491904621729"/>
    <m/>
    <x v="0"/>
  </r>
  <r>
    <s v="2000001459"/>
    <x v="9"/>
    <s v="1300004230"/>
    <x v="47"/>
    <x v="4"/>
    <d v="2026-05-26T00:00:00"/>
    <n v="0"/>
    <d v="2026-05-31T00:00:00"/>
    <n v="-34580"/>
    <s v="USD"/>
    <x v="1"/>
    <d v="2026-07-25T00:00:00"/>
    <n v="46216"/>
    <m/>
    <d v="2026-05-31T00:00:00"/>
    <n v="-34580"/>
    <n v="48"/>
    <x v="1"/>
  </r>
  <r>
    <s v="2000001172"/>
    <x v="10"/>
    <s v="1200002678"/>
    <x v="48"/>
    <x v="1"/>
    <d v="2026-06-21T00:00:00"/>
    <n v="-24"/>
    <d v="2026-08-05T00:00:00"/>
    <n v="16334.54"/>
    <s v="USD"/>
    <x v="1"/>
    <d v="2026-08-20T00:00:00"/>
    <n v="-38"/>
    <d v="2026-08-20T00:00:00"/>
    <d v="2026-08-20T00:00:00"/>
    <n v="16334.54"/>
    <n v="22"/>
    <x v="2"/>
  </r>
  <r>
    <s v="2000001172"/>
    <x v="10"/>
    <s v="1200002721"/>
    <x v="49"/>
    <x v="2"/>
    <d v="2026-06-23T00:00:00"/>
    <n v="-26"/>
    <d v="2026-08-07T00:00:00"/>
    <n v="135200"/>
    <s v="USD"/>
    <x v="1"/>
    <d v="2026-08-22T00:00:00"/>
    <n v="-40"/>
    <d v="2026-08-22T00:00:00"/>
    <d v="2026-08-22T00:00:00"/>
    <n v="135200"/>
    <n v="20"/>
    <x v="2"/>
  </r>
  <r>
    <s v="2000001172"/>
    <x v="10"/>
    <s v="1300004713"/>
    <x v="50"/>
    <x v="1"/>
    <d v="2026-04-28T00:00:00"/>
    <n v="0"/>
    <d v="2026-04-28T00:00:00"/>
    <n v="-1504"/>
    <s v="USD"/>
    <x v="1"/>
    <d v="2026-06-27T00:00:00"/>
    <n v="46216"/>
    <m/>
    <d v="2026-04-28T00:00:00"/>
    <n v="-1504"/>
    <n v="76"/>
    <x v="3"/>
  </r>
  <r>
    <s v="2000001172"/>
    <x v="10"/>
    <s v="1300004844"/>
    <x v="51"/>
    <x v="4"/>
    <d v="2026-06-08T00:00:00"/>
    <n v="0"/>
    <d v="2026-06-30T00:00:00"/>
    <n v="-33677"/>
    <s v="USD"/>
    <x v="1"/>
    <d v="2026-08-07T00:00:00"/>
    <n v="46216"/>
    <m/>
    <d v="2026-06-30T00:00:00"/>
    <n v="-33677"/>
    <n v="35"/>
    <x v="2"/>
  </r>
  <r>
    <s v="2000000231"/>
    <x v="11"/>
    <s v="1200002635"/>
    <x v="52"/>
    <x v="2"/>
    <d v="2026-06-19T00:00:00"/>
    <n v="-22"/>
    <d v="2026-08-03T00:00:00"/>
    <n v="421200"/>
    <s v="USD"/>
    <x v="1"/>
    <d v="2026-08-18T00:00:00"/>
    <n v="-21"/>
    <d v="2026-08-03T00:00:00"/>
    <d v="2026-08-03T00:00:00"/>
    <n v="421200"/>
    <n v="24"/>
    <x v="2"/>
  </r>
  <r>
    <s v="2000000231"/>
    <x v="11"/>
    <s v="1200002880"/>
    <x v="53"/>
    <x v="2"/>
    <d v="2026-06-30T00:00:00"/>
    <n v="-33"/>
    <d v="2026-08-14T00:00:00"/>
    <n v="211167"/>
    <s v="USD"/>
    <x v="1"/>
    <d v="2026-08-29T00:00:00"/>
    <n v="-47"/>
    <d v="2026-08-29T00:00:00"/>
    <d v="2026-08-29T00:00:00"/>
    <n v="211167"/>
    <n v="13"/>
    <x v="2"/>
  </r>
  <r>
    <s v="2000000231"/>
    <x v="11"/>
    <s v="1200002882"/>
    <x v="54"/>
    <x v="2"/>
    <d v="2026-06-30T00:00:00"/>
    <n v="-48"/>
    <d v="2026-08-29T00:00:00"/>
    <n v="105300"/>
    <s v="USD"/>
    <x v="1"/>
    <d v="2026-08-29T00:00:00"/>
    <n v="-47"/>
    <d v="2026-08-29T00:00:00"/>
    <d v="2026-08-29T00:00:00"/>
    <n v="105300"/>
    <n v="13"/>
    <x v="2"/>
  </r>
  <r>
    <s v="2000000233"/>
    <x v="12"/>
    <s v="1200002541"/>
    <x v="55"/>
    <x v="2"/>
    <d v="2026-06-13T00:00:00"/>
    <n v="-16"/>
    <d v="2026-07-28T00:00:00"/>
    <n v="113004"/>
    <s v="USD"/>
    <x v="1"/>
    <d v="2026-08-12T00:00:00"/>
    <n v="-15"/>
    <d v="2026-07-28T00:00:00"/>
    <d v="2026-07-28T00:00:00"/>
    <n v="113004"/>
    <n v="30"/>
    <x v="2"/>
  </r>
  <r>
    <s v="2000000233"/>
    <x v="12"/>
    <s v="1200002904"/>
    <x v="56"/>
    <x v="2"/>
    <d v="2026-06-30T00:00:00"/>
    <n v="-48"/>
    <d v="2026-08-29T00:00:00"/>
    <n v="533250"/>
    <s v="USD"/>
    <x v="1"/>
    <d v="2026-08-29T00:00:00"/>
    <n v="-47"/>
    <d v="2026-08-29T00:00:00"/>
    <d v="2026-08-29T00:00:00"/>
    <n v="533250"/>
    <n v="13"/>
    <x v="2"/>
  </r>
  <r>
    <s v="2000000233"/>
    <x v="12"/>
    <s v="1200002931"/>
    <x v="57"/>
    <x v="2"/>
    <d v="2026-06-30T00:00:00"/>
    <n v="-33"/>
    <d v="2026-08-14T00:00:00"/>
    <n v="169092"/>
    <s v="USD"/>
    <x v="1"/>
    <d v="2026-08-29T00:00:00"/>
    <n v="-47"/>
    <d v="2026-08-29T00:00:00"/>
    <d v="2026-08-29T00:00:00"/>
    <n v="169092"/>
    <n v="13"/>
    <x v="2"/>
  </r>
  <r>
    <s v="2000000233"/>
    <x v="12"/>
    <s v="1200002938"/>
    <x v="58"/>
    <x v="2"/>
    <d v="2026-06-30T00:00:00"/>
    <n v="-48"/>
    <d v="2026-08-29T00:00:00"/>
    <n v="213300"/>
    <s v="USD"/>
    <x v="1"/>
    <d v="2026-08-29T00:00:00"/>
    <n v="-47"/>
    <d v="2026-08-29T00:00:00"/>
    <d v="2026-08-29T00:00:00"/>
    <n v="213300"/>
    <n v="13"/>
    <x v="2"/>
  </r>
  <r>
    <s v="2000000233"/>
    <x v="12"/>
    <s v="1300004855"/>
    <x v="59"/>
    <x v="4"/>
    <d v="2026-06-09T00:00:00"/>
    <n v="0"/>
    <d v="2026-06-30T00:00:00"/>
    <n v="-159925"/>
    <s v="USD"/>
    <x v="1"/>
    <d v="2026-08-08T00:00:00"/>
    <n v="46216"/>
    <m/>
    <d v="2026-06-30T00:00:00"/>
    <n v="-159925"/>
    <n v="34"/>
    <x v="2"/>
  </r>
  <r>
    <s v="2000000233"/>
    <x v="12"/>
    <s v="1300005331"/>
    <x v="60"/>
    <x v="1"/>
    <d v="2026-06-27T00:00:00"/>
    <n v="15"/>
    <d v="2026-06-27T00:00:00"/>
    <n v="213454"/>
    <s v="USD"/>
    <x v="1"/>
    <d v="2026-08-26T00:00:00"/>
    <n v="-44"/>
    <d v="2026-08-26T00:00:00"/>
    <d v="2026-08-26T00:00:00"/>
    <n v="213454"/>
    <n v="16"/>
    <x v="2"/>
  </r>
  <r>
    <s v="2000001409"/>
    <x v="13"/>
    <s v="1300005409"/>
    <x v="61"/>
    <x v="1"/>
    <d v="2026-05-29T00:00:00"/>
    <n v="44"/>
    <d v="2026-05-29T00:00:00"/>
    <n v="45810"/>
    <s v="USD"/>
    <x v="1"/>
    <d v="2026-07-28T00:00:00"/>
    <n v="-15"/>
    <d v="2026-07-28T00:00:00"/>
    <d v="2026-07-28T00:00:00"/>
    <n v="45810"/>
    <n v="45"/>
    <x v="2"/>
  </r>
  <r>
    <s v="6002007"/>
    <x v="14"/>
    <s v="1200001503"/>
    <x v="62"/>
    <x v="0"/>
    <d v="2026-05-06T00:00:00"/>
    <n v="60"/>
    <d v="2026-05-13T00:00:00"/>
    <n v="23.6"/>
    <s v="PEN"/>
    <x v="4"/>
    <m/>
    <m/>
    <m/>
    <d v="2026-05-13T00:00:00"/>
    <n v="6.9473064468648813"/>
    <m/>
    <x v="0"/>
  </r>
  <r>
    <s v="6002007"/>
    <x v="14"/>
    <s v="1200001504"/>
    <x v="63"/>
    <x v="0"/>
    <d v="2026-05-06T00:00:00"/>
    <n v="60"/>
    <d v="2026-05-13T00:00:00"/>
    <n v="261.49"/>
    <s v="PEN"/>
    <x v="4"/>
    <m/>
    <m/>
    <m/>
    <d v="2026-05-13T00:00:00"/>
    <n v="76.976744186046517"/>
    <m/>
    <x v="0"/>
  </r>
  <r>
    <s v="6002007"/>
    <x v="14"/>
    <s v="1200001509"/>
    <x v="64"/>
    <x v="0"/>
    <d v="2026-05-06T00:00:00"/>
    <n v="60"/>
    <d v="2026-05-13T00:00:00"/>
    <n v="387.51"/>
    <s v="PEN"/>
    <x v="4"/>
    <m/>
    <m/>
    <m/>
    <d v="2026-05-13T00:00:00"/>
    <n v="114.07418310273772"/>
    <m/>
    <x v="0"/>
  </r>
  <r>
    <s v="6002007"/>
    <x v="14"/>
    <s v="1200001510"/>
    <x v="65"/>
    <x v="0"/>
    <d v="2026-05-06T00:00:00"/>
    <n v="60"/>
    <d v="2026-05-13T00:00:00"/>
    <n v="35.4"/>
    <s v="PEN"/>
    <x v="4"/>
    <m/>
    <m/>
    <m/>
    <d v="2026-05-13T00:00:00"/>
    <n v="10.420959670297322"/>
    <m/>
    <x v="0"/>
  </r>
  <r>
    <s v="6002007"/>
    <x v="14"/>
    <s v="1200001609"/>
    <x v="66"/>
    <x v="0"/>
    <d v="2026-05-12T00:00:00"/>
    <n v="54"/>
    <d v="2026-05-19T00:00:00"/>
    <n v="482.86"/>
    <s v="PEN"/>
    <x v="4"/>
    <m/>
    <m/>
    <m/>
    <d v="2026-05-19T00:00:00"/>
    <n v="142.14306741242274"/>
    <m/>
    <x v="0"/>
  </r>
  <r>
    <s v="6002007"/>
    <x v="14"/>
    <s v="1200001610"/>
    <x v="67"/>
    <x v="0"/>
    <d v="2026-05-12T00:00:00"/>
    <n v="54"/>
    <d v="2026-05-19T00:00:00"/>
    <n v="47.2"/>
    <s v="PEN"/>
    <x v="4"/>
    <m/>
    <m/>
    <m/>
    <d v="2026-05-19T00:00:00"/>
    <n v="13.894612893729763"/>
    <m/>
    <x v="0"/>
  </r>
  <r>
    <s v="6002007"/>
    <x v="14"/>
    <s v="1200001789"/>
    <x v="68"/>
    <x v="0"/>
    <d v="2026-05-16T00:00:00"/>
    <n v="50"/>
    <d v="2026-05-23T00:00:00"/>
    <n v="544.45000000000005"/>
    <s v="PEN"/>
    <x v="4"/>
    <m/>
    <m/>
    <m/>
    <d v="2026-05-23T00:00:00"/>
    <n v="160.27377097438918"/>
    <m/>
    <x v="0"/>
  </r>
  <r>
    <s v="6002007"/>
    <x v="14"/>
    <s v="1200001790"/>
    <x v="69"/>
    <x v="0"/>
    <d v="2026-05-16T00:00:00"/>
    <n v="50"/>
    <d v="2026-05-23T00:00:00"/>
    <n v="47.2"/>
    <s v="PEN"/>
    <x v="4"/>
    <m/>
    <m/>
    <m/>
    <d v="2026-05-23T00:00:00"/>
    <n v="13.894612893729763"/>
    <m/>
    <x v="0"/>
  </r>
  <r>
    <s v="6002007"/>
    <x v="14"/>
    <s v="1200002045"/>
    <x v="70"/>
    <x v="0"/>
    <d v="2026-05-27T00:00:00"/>
    <n v="39"/>
    <d v="2026-06-03T00:00:00"/>
    <n v="591.65"/>
    <s v="PEN"/>
    <x v="4"/>
    <m/>
    <m/>
    <m/>
    <d v="2026-06-03T00:00:00"/>
    <n v="174.16838386811892"/>
    <m/>
    <x v="0"/>
  </r>
  <r>
    <s v="6002007"/>
    <x v="14"/>
    <s v="1200002046"/>
    <x v="71"/>
    <x v="0"/>
    <d v="2026-05-27T00:00:00"/>
    <n v="39"/>
    <d v="2026-06-03T00:00:00"/>
    <n v="70.8"/>
    <s v="PEN"/>
    <x v="4"/>
    <m/>
    <m/>
    <m/>
    <d v="2026-06-03T00:00:00"/>
    <n v="20.841919340594643"/>
    <m/>
    <x v="0"/>
  </r>
  <r>
    <s v="6002007"/>
    <x v="14"/>
    <s v="1200002186"/>
    <x v="72"/>
    <x v="0"/>
    <d v="2026-06-02T00:00:00"/>
    <n v="33"/>
    <d v="2026-06-09T00:00:00"/>
    <n v="185.97"/>
    <s v="PEN"/>
    <x v="4"/>
    <m/>
    <m/>
    <m/>
    <d v="2026-06-09T00:00:00"/>
    <n v="54.7453635560789"/>
    <m/>
    <x v="0"/>
  </r>
  <r>
    <s v="6002007"/>
    <x v="14"/>
    <s v="1200002187"/>
    <x v="73"/>
    <x v="0"/>
    <d v="2026-06-02T00:00:00"/>
    <n v="33"/>
    <d v="2026-06-09T00:00:00"/>
    <n v="23.6"/>
    <s v="PEN"/>
    <x v="4"/>
    <m/>
    <m/>
    <m/>
    <d v="2026-06-09T00:00:00"/>
    <n v="6.9473064468648813"/>
    <m/>
    <x v="0"/>
  </r>
  <r>
    <s v="6002007"/>
    <x v="14"/>
    <s v="1200002487"/>
    <x v="74"/>
    <x v="0"/>
    <d v="2026-06-13T00:00:00"/>
    <n v="22"/>
    <d v="2026-06-20T00:00:00"/>
    <n v="535.25"/>
    <s v="PEN"/>
    <x v="4"/>
    <m/>
    <m/>
    <m/>
    <d v="2026-06-20T00:00:00"/>
    <n v="157.56549896967914"/>
    <m/>
    <x v="0"/>
  </r>
  <r>
    <s v="6002007"/>
    <x v="14"/>
    <s v="1200002488"/>
    <x v="75"/>
    <x v="0"/>
    <d v="2026-06-13T00:00:00"/>
    <n v="22"/>
    <d v="2026-06-20T00:00:00"/>
    <n v="70.8"/>
    <s v="PEN"/>
    <x v="4"/>
    <m/>
    <m/>
    <m/>
    <d v="2026-06-20T00:00:00"/>
    <n v="20.841919340594643"/>
    <m/>
    <x v="0"/>
  </r>
  <r>
    <s v="6002007"/>
    <x v="14"/>
    <s v="1200002956"/>
    <x v="76"/>
    <x v="0"/>
    <d v="2026-07-03T00:00:00"/>
    <n v="2"/>
    <d v="2026-07-10T00:00:00"/>
    <n v="449.11"/>
    <s v="PEN"/>
    <x v="4"/>
    <m/>
    <m/>
    <m/>
    <d v="2026-07-10T00:00:00"/>
    <n v="132.20783043862232"/>
    <m/>
    <x v="0"/>
  </r>
  <r>
    <s v="6002007"/>
    <x v="14"/>
    <s v="1200002957"/>
    <x v="77"/>
    <x v="0"/>
    <d v="2026-07-03T00:00:00"/>
    <n v="2"/>
    <d v="2026-07-10T00:00:00"/>
    <n v="35.4"/>
    <s v="PEN"/>
    <x v="4"/>
    <m/>
    <m/>
    <m/>
    <d v="2026-07-10T00:00:00"/>
    <n v="10.420959670297322"/>
    <m/>
    <x v="0"/>
  </r>
  <r>
    <s v="6002007"/>
    <x v="14"/>
    <s v="1200005141"/>
    <x v="78"/>
    <x v="0"/>
    <d v="2025-11-03T00:00:00"/>
    <n v="244"/>
    <d v="2025-11-10T00:00:00"/>
    <n v="1403.26"/>
    <s v="PEN"/>
    <x v="4"/>
    <m/>
    <m/>
    <m/>
    <d v="2025-11-10T00:00:00"/>
    <n v="413.0880188401531"/>
    <m/>
    <x v="0"/>
  </r>
  <r>
    <s v="6002007"/>
    <x v="14"/>
    <s v="1200005142"/>
    <x v="79"/>
    <x v="0"/>
    <d v="2025-11-03T00:00:00"/>
    <n v="244"/>
    <d v="2025-11-10T00:00:00"/>
    <n v="141.6"/>
    <s v="PEN"/>
    <x v="4"/>
    <m/>
    <m/>
    <m/>
    <d v="2025-11-10T00:00:00"/>
    <n v="41.683838681189286"/>
    <m/>
    <x v="0"/>
  </r>
  <r>
    <s v="6002007"/>
    <x v="14"/>
    <s v="1200005158"/>
    <x v="80"/>
    <x v="0"/>
    <d v="2025-11-06T00:00:00"/>
    <n v="241"/>
    <d v="2025-11-13T00:00:00"/>
    <n v="1193.22"/>
    <s v="PEN"/>
    <x v="4"/>
    <m/>
    <m/>
    <m/>
    <d v="2025-11-13T00:00:00"/>
    <n v="351.25699146305567"/>
    <m/>
    <x v="0"/>
  </r>
  <r>
    <s v="6002007"/>
    <x v="14"/>
    <s v="1200005159"/>
    <x v="81"/>
    <x v="0"/>
    <d v="2025-11-06T00:00:00"/>
    <n v="241"/>
    <d v="2025-11-13T00:00:00"/>
    <n v="106.2"/>
    <s v="PEN"/>
    <x v="4"/>
    <m/>
    <m/>
    <m/>
    <d v="2025-11-13T00:00:00"/>
    <n v="31.262879010891965"/>
    <m/>
    <x v="0"/>
  </r>
  <r>
    <s v="6001105"/>
    <x v="15"/>
    <s v="1200001300"/>
    <x v="82"/>
    <x v="0"/>
    <d v="2026-04-28T00:00:00"/>
    <n v="75"/>
    <d v="2026-04-28T00:00:00"/>
    <n v="59"/>
    <s v="PEN"/>
    <x v="0"/>
    <m/>
    <m/>
    <m/>
    <d v="2026-04-28T00:00:00"/>
    <n v="17.368266117162204"/>
    <m/>
    <x v="0"/>
  </r>
  <r>
    <s v="6001105"/>
    <x v="15"/>
    <s v="1200001301"/>
    <x v="83"/>
    <x v="0"/>
    <d v="2026-04-28T00:00:00"/>
    <n v="75"/>
    <d v="2026-04-28T00:00:00"/>
    <n v="716.71"/>
    <s v="PEN"/>
    <x v="0"/>
    <m/>
    <m/>
    <m/>
    <d v="2026-04-28T00:00:00"/>
    <n v="210.98322048866649"/>
    <m/>
    <x v="0"/>
  </r>
  <r>
    <s v="6001105"/>
    <x v="15"/>
    <s v="1200001302"/>
    <x v="84"/>
    <x v="0"/>
    <d v="2026-04-28T00:00:00"/>
    <n v="75"/>
    <d v="2026-04-28T00:00:00"/>
    <n v="129.80000000000001"/>
    <s v="PEN"/>
    <x v="0"/>
    <m/>
    <m/>
    <m/>
    <d v="2026-04-28T00:00:00"/>
    <n v="38.21018545775685"/>
    <m/>
    <x v="0"/>
  </r>
  <r>
    <s v="6001105"/>
    <x v="15"/>
    <s v="1200001648"/>
    <x v="85"/>
    <x v="0"/>
    <d v="2026-05-12T00:00:00"/>
    <n v="61"/>
    <d v="2026-05-12T00:00:00"/>
    <n v="404.98"/>
    <s v="PEN"/>
    <x v="0"/>
    <m/>
    <m/>
    <m/>
    <d v="2026-05-12T00:00:00"/>
    <n v="119.21695613776863"/>
    <m/>
    <x v="0"/>
  </r>
  <r>
    <s v="6001105"/>
    <x v="15"/>
    <s v="1200001649"/>
    <x v="86"/>
    <x v="0"/>
    <d v="2026-05-12T00:00:00"/>
    <n v="61"/>
    <d v="2026-05-12T00:00:00"/>
    <n v="59"/>
    <s v="PEN"/>
    <x v="0"/>
    <m/>
    <m/>
    <m/>
    <d v="2026-05-12T00:00:00"/>
    <n v="17.368266117162204"/>
    <m/>
    <x v="0"/>
  </r>
  <r>
    <s v="6001105"/>
    <x v="15"/>
    <s v="1300004037"/>
    <x v="87"/>
    <x v="1"/>
    <d v="2026-04-28T00:00:00"/>
    <n v="75"/>
    <d v="2026-04-28T00:00:00"/>
    <n v="422.56"/>
    <s v="PEN"/>
    <x v="0"/>
    <m/>
    <m/>
    <m/>
    <d v="2026-04-28T00:00:00"/>
    <n v="124.39211068589933"/>
    <m/>
    <x v="0"/>
  </r>
  <r>
    <s v="2000001443"/>
    <x v="16"/>
    <s v="1300002821"/>
    <x v="88"/>
    <x v="4"/>
    <d v="2026-05-06T00:00:00"/>
    <n v="0"/>
    <d v="2026-05-31T00:00:00"/>
    <n v="-33334"/>
    <s v="USD"/>
    <x v="1"/>
    <d v="2026-07-05T00:00:00"/>
    <n v="46216"/>
    <m/>
    <d v="2026-05-31T00:00:00"/>
    <n v="-33334"/>
    <n v="68"/>
    <x v="3"/>
  </r>
  <r>
    <s v="2000001443"/>
    <x v="16"/>
    <s v="1300004715"/>
    <x v="89"/>
    <x v="1"/>
    <d v="2026-05-29T00:00:00"/>
    <n v="44"/>
    <d v="2026-05-29T00:00:00"/>
    <n v="67008"/>
    <s v="USD"/>
    <x v="1"/>
    <d v="2026-07-28T00:00:00"/>
    <n v="0"/>
    <d v="2026-07-13T00:00:00"/>
    <m/>
    <n v="67008"/>
    <n v="45"/>
    <x v="2"/>
  </r>
  <r>
    <s v="2000001359"/>
    <x v="17"/>
    <s v="1200002006"/>
    <x v="90"/>
    <x v="2"/>
    <d v="2026-05-22T00:00:00"/>
    <n v="6"/>
    <d v="2026-07-06T00:00:00"/>
    <n v="80600"/>
    <s v="USD"/>
    <x v="1"/>
    <d v="2026-07-21T00:00:00"/>
    <n v="-8"/>
    <d v="2026-07-21T00:00:00"/>
    <m/>
    <n v="80600"/>
    <n v="52"/>
    <x v="1"/>
  </r>
  <r>
    <s v="2000001359"/>
    <x v="17"/>
    <s v="1300005285"/>
    <x v="91"/>
    <x v="1"/>
    <d v="2026-04-27T00:00:00"/>
    <n v="76"/>
    <d v="2026-04-27T00:00:00"/>
    <n v="10284"/>
    <s v="USD"/>
    <x v="1"/>
    <d v="2026-06-26T00:00:00"/>
    <n v="-18"/>
    <d v="2026-07-31T00:00:00"/>
    <d v="2026-07-31T00:00:00"/>
    <n v="10284"/>
    <n v="77"/>
    <x v="3"/>
  </r>
  <r>
    <s v="2000001468"/>
    <x v="18"/>
    <s v="1300004843"/>
    <x v="92"/>
    <x v="4"/>
    <d v="2026-06-05T00:00:00"/>
    <n v="0"/>
    <d v="2026-06-30T00:00:00"/>
    <n v="-13728"/>
    <s v="USD"/>
    <x v="1"/>
    <d v="2026-08-04T00:00:00"/>
    <n v="46216"/>
    <m/>
    <d v="2026-06-30T00:00:00"/>
    <n v="-13728"/>
    <n v="38"/>
    <x v="2"/>
  </r>
  <r>
    <s v="1000013925"/>
    <x v="19"/>
    <s v="1200000182"/>
    <x v="93"/>
    <x v="0"/>
    <d v="2026-01-31T00:00:00"/>
    <n v="155"/>
    <d v="2026-02-07T00:00:00"/>
    <n v="4003.46"/>
    <s v="PEN"/>
    <x v="5"/>
    <m/>
    <m/>
    <m/>
    <d v="2026-02-07T00:00:00"/>
    <n v="1178.5281130409185"/>
    <m/>
    <x v="0"/>
  </r>
  <r>
    <s v="1000013925"/>
    <x v="19"/>
    <s v="1200000382"/>
    <x v="94"/>
    <x v="0"/>
    <d v="2026-03-03T00:00:00"/>
    <n v="124"/>
    <d v="2026-03-10T00:00:00"/>
    <n v="4956"/>
    <s v="PEN"/>
    <x v="5"/>
    <m/>
    <m/>
    <m/>
    <d v="2026-03-10T00:00:00"/>
    <n v="1458.9343538416251"/>
    <m/>
    <x v="0"/>
  </r>
  <r>
    <s v="1000013925"/>
    <x v="19"/>
    <s v="1200005124"/>
    <x v="95"/>
    <x v="0"/>
    <d v="2025-11-04T00:00:00"/>
    <n v="243"/>
    <d v="2025-11-11T00:00:00"/>
    <n v="7097.98"/>
    <s v="PEN"/>
    <x v="5"/>
    <m/>
    <m/>
    <m/>
    <d v="2025-11-11T00:00:00"/>
    <n v="2089.4848395643216"/>
    <m/>
    <x v="0"/>
  </r>
  <r>
    <s v="1000013925"/>
    <x v="19"/>
    <s v="1300006898"/>
    <x v="96"/>
    <x v="1"/>
    <d v="2025-10-21T00:00:00"/>
    <n v="264"/>
    <d v="2025-10-21T00:00:00"/>
    <n v="4460"/>
    <s v="PEN"/>
    <x v="5"/>
    <m/>
    <m/>
    <m/>
    <d v="2025-10-21T00:00:00"/>
    <n v="1312.9231675007361"/>
    <m/>
    <x v="0"/>
  </r>
  <r>
    <s v="2000001380"/>
    <x v="20"/>
    <s v="1200002542"/>
    <x v="97"/>
    <x v="2"/>
    <d v="2026-06-13T00:00:00"/>
    <n v="-16"/>
    <d v="2026-07-28T00:00:00"/>
    <n v="29250"/>
    <s v="USD"/>
    <x v="1"/>
    <d v="2026-08-12T00:00:00"/>
    <n v="-30"/>
    <d v="2026-08-12T00:00:00"/>
    <d v="2026-08-12T00:00:00"/>
    <n v="29250"/>
    <n v="30"/>
    <x v="2"/>
  </r>
  <r>
    <s v="2000001380"/>
    <x v="20"/>
    <s v="1300004799"/>
    <x v="98"/>
    <x v="4"/>
    <d v="2026-06-02T00:00:00"/>
    <n v="0"/>
    <d v="2026-06-30T00:00:00"/>
    <n v="-6470"/>
    <s v="USD"/>
    <x v="1"/>
    <d v="2026-08-01T00:00:00"/>
    <n v="46216"/>
    <m/>
    <d v="2026-06-30T00:00:00"/>
    <n v="-6470"/>
    <n v="41"/>
    <x v="2"/>
  </r>
  <r>
    <s v="6000434"/>
    <x v="21"/>
    <s v="1200004540"/>
    <x v="99"/>
    <x v="0"/>
    <d v="2025-10-07T00:00:00"/>
    <n v="271"/>
    <d v="2025-10-14T00:00:00"/>
    <n v="790"/>
    <s v="PEN"/>
    <x v="6"/>
    <m/>
    <m/>
    <m/>
    <d v="2025-10-14T00:00:00"/>
    <n v="232.55813953488374"/>
    <m/>
    <x v="0"/>
  </r>
  <r>
    <s v="2000001438"/>
    <x v="22"/>
    <s v="1200001892"/>
    <x v="100"/>
    <x v="2"/>
    <d v="2026-05-17T00:00:00"/>
    <n v="11"/>
    <d v="2026-07-01T00:00:00"/>
    <n v="230850"/>
    <s v="USD"/>
    <x v="1"/>
    <d v="2026-07-16T00:00:00"/>
    <n v="-3"/>
    <d v="2026-07-16T00:00:00"/>
    <m/>
    <n v="230850"/>
    <n v="57"/>
    <x v="1"/>
  </r>
  <r>
    <s v="2000001438"/>
    <x v="22"/>
    <s v="1300002731"/>
    <x v="101"/>
    <x v="1"/>
    <d v="2026-04-29T00:00:00"/>
    <n v="74"/>
    <d v="2026-04-29T00:00:00"/>
    <n v="162355"/>
    <s v="USD"/>
    <x v="1"/>
    <d v="2026-06-28T00:00:00"/>
    <n v="-7"/>
    <d v="2026-07-20T00:00:00"/>
    <m/>
    <n v="162355"/>
    <n v="75"/>
    <x v="3"/>
  </r>
  <r>
    <n v="2000001382"/>
    <x v="23"/>
    <n v="1300005603"/>
    <x v="102"/>
    <x v="4"/>
    <d v="2026-07-08T00:00:00"/>
    <n v="0"/>
    <d v="2026-07-31T00:00:00"/>
    <n v="15970"/>
    <s v="USD"/>
    <x v="1"/>
    <d v="2026-09-06T00:00:00"/>
    <n v="46216"/>
    <m/>
    <d v="2026-07-31T00:00:00"/>
    <n v="15970"/>
    <n v="5"/>
    <x v="3"/>
  </r>
  <r>
    <s v="2000001460"/>
    <x v="24"/>
    <s v="1200002674"/>
    <x v="103"/>
    <x v="2"/>
    <d v="2026-06-21T00:00:00"/>
    <n v="-24"/>
    <d v="2026-08-05T00:00:00"/>
    <n v="46018"/>
    <s v="USD"/>
    <x v="1"/>
    <d v="2026-08-20T00:00:00"/>
    <n v="-38"/>
    <d v="2026-08-20T00:00:00"/>
    <d v="2026-08-20T00:00:00"/>
    <n v="46018"/>
    <n v="22"/>
    <x v="2"/>
  </r>
  <r>
    <s v="2000001460"/>
    <x v="24"/>
    <s v="1300004801"/>
    <x v="104"/>
    <x v="4"/>
    <d v="2026-06-02T00:00:00"/>
    <n v="0"/>
    <d v="2026-06-30T00:00:00"/>
    <n v="-9287"/>
    <s v="USD"/>
    <x v="1"/>
    <d v="2026-08-01T00:00:00"/>
    <n v="46216"/>
    <m/>
    <d v="2026-06-30T00:00:00"/>
    <n v="-9287"/>
    <n v="41"/>
    <x v="2"/>
  </r>
  <r>
    <s v="1000001965"/>
    <x v="25"/>
    <s v="1200002981"/>
    <x v="105"/>
    <x v="0"/>
    <d v="2026-07-04T00:00:00"/>
    <n v="1"/>
    <d v="2026-07-11T00:00:00"/>
    <n v="590"/>
    <s v="PEN"/>
    <x v="0"/>
    <m/>
    <m/>
    <m/>
    <d v="2026-07-11T00:00:00"/>
    <n v="173.68266117162202"/>
    <m/>
    <x v="0"/>
  </r>
  <r>
    <s v="1000001965"/>
    <x v="25"/>
    <s v="1200003024"/>
    <x v="106"/>
    <x v="0"/>
    <d v="2026-07-06T00:00:00"/>
    <n v="-1"/>
    <d v="2026-07-13T00:00:00"/>
    <n v="590"/>
    <s v="PEN"/>
    <x v="0"/>
    <m/>
    <m/>
    <m/>
    <d v="2026-07-13T00:00:00"/>
    <n v="173.68266117162202"/>
    <m/>
    <x v="0"/>
  </r>
  <r>
    <s v="1000001965"/>
    <x v="25"/>
    <s v="1200003053"/>
    <x v="107"/>
    <x v="0"/>
    <d v="2026-07-07T00:00:00"/>
    <n v="-2"/>
    <d v="2026-07-14T00:00:00"/>
    <n v="590"/>
    <s v="PEN"/>
    <x v="0"/>
    <m/>
    <m/>
    <m/>
    <d v="2026-07-14T00:00:00"/>
    <n v="173.68266117162202"/>
    <m/>
    <x v="0"/>
  </r>
  <r>
    <s v="1000001965"/>
    <x v="25"/>
    <s v="1200003073"/>
    <x v="108"/>
    <x v="0"/>
    <d v="2026-07-08T00:00:00"/>
    <n v="-3"/>
    <d v="2026-07-15T00:00:00"/>
    <n v="590"/>
    <s v="PEN"/>
    <x v="0"/>
    <m/>
    <m/>
    <m/>
    <d v="2026-07-15T00:00:00"/>
    <n v="173.68266117162202"/>
    <m/>
    <x v="0"/>
  </r>
  <r>
    <s v="2000001440"/>
    <x v="26"/>
    <s v="1200002673"/>
    <x v="109"/>
    <x v="2"/>
    <d v="2026-06-21T00:00:00"/>
    <n v="-24"/>
    <d v="2026-08-05T00:00:00"/>
    <n v="59400"/>
    <s v="USD"/>
    <x v="1"/>
    <d v="2026-08-20T00:00:00"/>
    <n v="-38"/>
    <d v="2026-08-20T00:00:00"/>
    <d v="2026-08-20T00:00:00"/>
    <n v="59400"/>
    <n v="22"/>
    <x v="2"/>
  </r>
  <r>
    <s v="2000001440"/>
    <x v="26"/>
    <s v="1300002671"/>
    <x v="110"/>
    <x v="1"/>
    <d v="2026-04-29T00:00:00"/>
    <n v="74"/>
    <d v="2026-04-29T00:00:00"/>
    <n v="56785"/>
    <s v="USD"/>
    <x v="1"/>
    <d v="2026-06-28T00:00:00"/>
    <n v="-2"/>
    <d v="2026-07-15T00:00:00"/>
    <m/>
    <n v="56785"/>
    <n v="75"/>
    <x v="3"/>
  </r>
  <r>
    <s v="2000001440"/>
    <x v="26"/>
    <s v="1300004716"/>
    <x v="111"/>
    <x v="1"/>
    <d v="2026-05-29T00:00:00"/>
    <n v="44"/>
    <d v="2026-05-29T00:00:00"/>
    <n v="35725"/>
    <s v="USD"/>
    <x v="1"/>
    <d v="2026-07-28T00:00:00"/>
    <n v="0"/>
    <d v="2026-07-13T00:00:00"/>
    <m/>
    <n v="35725"/>
    <n v="45"/>
    <x v="2"/>
  </r>
  <r>
    <s v="1000013801"/>
    <x v="27"/>
    <s v="1200003062"/>
    <x v="112"/>
    <x v="0"/>
    <d v="2026-07-07T00:00:00"/>
    <n v="-2"/>
    <d v="2026-07-14T00:00:00"/>
    <n v="665.99"/>
    <s v="PEN"/>
    <x v="0"/>
    <m/>
    <m/>
    <m/>
    <d v="2026-07-14T00:00:00"/>
    <n v="196.05239917574332"/>
    <m/>
    <x v="0"/>
  </r>
  <r>
    <s v="1000013801"/>
    <x v="27"/>
    <s v="1200003063"/>
    <x v="113"/>
    <x v="0"/>
    <d v="2026-07-07T00:00:00"/>
    <n v="-2"/>
    <d v="2026-07-14T00:00:00"/>
    <n v="123.9"/>
    <s v="PEN"/>
    <x v="0"/>
    <m/>
    <m/>
    <m/>
    <d v="2026-07-14T00:00:00"/>
    <n v="36.473358846040625"/>
    <m/>
    <x v="0"/>
  </r>
  <r>
    <s v="1000013686"/>
    <x v="28"/>
    <s v="1200003025"/>
    <x v="114"/>
    <x v="0"/>
    <d v="2026-07-06T00:00:00"/>
    <n v="-1"/>
    <d v="2026-07-13T00:00:00"/>
    <n v="396.48"/>
    <s v="PEN"/>
    <x v="0"/>
    <m/>
    <m/>
    <m/>
    <d v="2026-07-13T00:00:00"/>
    <n v="116.71474830733001"/>
    <m/>
    <x v="0"/>
  </r>
  <r>
    <s v="2000000786"/>
    <x v="29"/>
    <s v="1200002885"/>
    <x v="115"/>
    <x v="2"/>
    <d v="2026-06-30T00:00:00"/>
    <n v="-33"/>
    <d v="2026-08-14T00:00:00"/>
    <n v="30375"/>
    <s v="USD"/>
    <x v="1"/>
    <d v="2026-08-29T00:00:00"/>
    <n v="-47"/>
    <d v="2026-08-29T00:00:00"/>
    <d v="2026-08-29T00:00:00"/>
    <n v="30375"/>
    <n v="13"/>
    <x v="2"/>
  </r>
  <r>
    <s v="2000000786"/>
    <x v="29"/>
    <s v="1200002930"/>
    <x v="116"/>
    <x v="2"/>
    <d v="2026-06-30T00:00:00"/>
    <n v="-33"/>
    <d v="2026-08-14T00:00:00"/>
    <n v="81574.5"/>
    <s v="USD"/>
    <x v="1"/>
    <d v="2026-08-29T00:00:00"/>
    <n v="-47"/>
    <d v="2026-08-29T00:00:00"/>
    <d v="2026-08-29T00:00:00"/>
    <n v="81574.5"/>
    <n v="13"/>
    <x v="2"/>
  </r>
  <r>
    <s v="2000001444"/>
    <x v="30"/>
    <s v="1200002637"/>
    <x v="117"/>
    <x v="2"/>
    <d v="2026-06-19T00:00:00"/>
    <n v="-22"/>
    <d v="2026-08-03T00:00:00"/>
    <n v="82350"/>
    <s v="USD"/>
    <x v="1"/>
    <d v="2026-08-18T00:00:00"/>
    <n v="-36"/>
    <d v="2026-08-18T00:00:00"/>
    <d v="2026-08-18T00:00:00"/>
    <n v="82350"/>
    <n v="24"/>
    <x v="2"/>
  </r>
  <r>
    <s v="2000001444"/>
    <x v="30"/>
    <s v="1300004719"/>
    <x v="118"/>
    <x v="1"/>
    <d v="2026-05-24T00:00:00"/>
    <n v="49"/>
    <d v="2026-05-24T00:00:00"/>
    <n v="90691"/>
    <s v="USD"/>
    <x v="1"/>
    <d v="2026-07-23T00:00:00"/>
    <n v="5"/>
    <d v="2026-07-08T00:00:00"/>
    <m/>
    <n v="90691"/>
    <n v="5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1000013966"/>
    <x v="0"/>
    <s v="1200000045"/>
    <s v="01-0F101-0005160"/>
    <x v="0"/>
    <d v="2026-01-06T00:00:00"/>
    <n v="180"/>
    <d v="2026-01-13T00:00:00"/>
    <n v="14.16"/>
    <s v="PEN"/>
    <x v="0"/>
    <m/>
    <m/>
    <m/>
    <x v="0"/>
    <n v="4.1683838681189291"/>
    <m/>
    <m/>
  </r>
  <r>
    <s v="1000013966"/>
    <x v="0"/>
    <s v="1200000090"/>
    <s v="01-0F101-0005198"/>
    <x v="0"/>
    <d v="2026-01-08T00:00:00"/>
    <n v="178"/>
    <d v="2026-01-15T00:00:00"/>
    <n v="14.16"/>
    <s v="PEN"/>
    <x v="0"/>
    <m/>
    <m/>
    <m/>
    <x v="1"/>
    <n v="4.1683838681189291"/>
    <m/>
    <m/>
  </r>
  <r>
    <s v="1000013966"/>
    <x v="0"/>
    <s v="1200000113"/>
    <s v="01-0F101-0005211"/>
    <x v="0"/>
    <d v="2026-01-10T00:00:00"/>
    <n v="176"/>
    <d v="2026-01-17T00:00:00"/>
    <n v="14.16"/>
    <s v="PEN"/>
    <x v="0"/>
    <m/>
    <m/>
    <m/>
    <x v="2"/>
    <n v="4.1683838681189291"/>
    <m/>
    <m/>
  </r>
  <r>
    <s v="1000013966"/>
    <x v="0"/>
    <s v="1200000132"/>
    <s v="01-0F101-0005224"/>
    <x v="0"/>
    <d v="2026-01-16T00:00:00"/>
    <n v="170"/>
    <d v="2026-01-23T00:00:00"/>
    <n v="14.16"/>
    <s v="PEN"/>
    <x v="0"/>
    <m/>
    <m/>
    <m/>
    <x v="3"/>
    <n v="4.1683838681189291"/>
    <m/>
    <m/>
  </r>
  <r>
    <s v="1000013966"/>
    <x v="0"/>
    <s v="1200000133"/>
    <s v="01-0F101-0005225"/>
    <x v="0"/>
    <d v="2026-01-16T00:00:00"/>
    <n v="170"/>
    <d v="2026-01-23T00:00:00"/>
    <n v="14.16"/>
    <s v="PEN"/>
    <x v="0"/>
    <m/>
    <m/>
    <m/>
    <x v="3"/>
    <n v="4.1683838681189291"/>
    <m/>
    <m/>
  </r>
  <r>
    <s v="1000013966"/>
    <x v="0"/>
    <s v="1200000141"/>
    <s v="01-0F101-0005231"/>
    <x v="0"/>
    <d v="2026-01-19T00:00:00"/>
    <n v="167"/>
    <d v="2026-01-26T00:00:00"/>
    <n v="14.16"/>
    <s v="PEN"/>
    <x v="0"/>
    <m/>
    <m/>
    <m/>
    <x v="4"/>
    <n v="4.1683838681189291"/>
    <m/>
    <m/>
  </r>
  <r>
    <s v="1000013966"/>
    <x v="0"/>
    <s v="1200005220"/>
    <s v="01-0F101-0004694"/>
    <x v="0"/>
    <d v="2025-11-19T00:00:00"/>
    <n v="228"/>
    <d v="2025-11-26T00:00:00"/>
    <n v="42.48"/>
    <s v="PEN"/>
    <x v="0"/>
    <m/>
    <m/>
    <m/>
    <x v="5"/>
    <n v="12.505151604356785"/>
    <m/>
    <m/>
  </r>
  <r>
    <s v="1000013966"/>
    <x v="0"/>
    <s v="1200005228"/>
    <s v="01-0F101-0004700"/>
    <x v="0"/>
    <d v="2025-11-19T00:00:00"/>
    <n v="228"/>
    <d v="2025-11-26T00:00:00"/>
    <n v="14.16"/>
    <s v="PEN"/>
    <x v="0"/>
    <m/>
    <m/>
    <m/>
    <x v="5"/>
    <n v="4.1683838681189291"/>
    <m/>
    <m/>
  </r>
  <r>
    <s v="1000013966"/>
    <x v="0"/>
    <s v="1200005242"/>
    <s v="01-0F101-0004710"/>
    <x v="0"/>
    <d v="2025-11-19T00:00:00"/>
    <n v="228"/>
    <d v="2025-11-26T00:00:00"/>
    <n v="14.16"/>
    <s v="PEN"/>
    <x v="0"/>
    <m/>
    <m/>
    <m/>
    <x v="5"/>
    <n v="4.1683838681189291"/>
    <m/>
    <m/>
  </r>
  <r>
    <s v="1000013966"/>
    <x v="0"/>
    <s v="1200005264"/>
    <s v="01-0F101-0004729"/>
    <x v="0"/>
    <d v="2025-11-20T00:00:00"/>
    <n v="227"/>
    <d v="2025-11-27T00:00:00"/>
    <n v="28.32"/>
    <s v="PEN"/>
    <x v="0"/>
    <m/>
    <m/>
    <m/>
    <x v="6"/>
    <n v="8.3367677362378583"/>
    <m/>
    <m/>
  </r>
  <r>
    <s v="1000013966"/>
    <x v="0"/>
    <s v="1200005271"/>
    <s v="01-0F101-0004736"/>
    <x v="0"/>
    <d v="2025-11-20T00:00:00"/>
    <n v="227"/>
    <d v="2025-11-27T00:00:00"/>
    <n v="14.16"/>
    <s v="PEN"/>
    <x v="0"/>
    <m/>
    <m/>
    <m/>
    <x v="6"/>
    <n v="4.1683838681189291"/>
    <m/>
    <m/>
  </r>
  <r>
    <s v="1000013966"/>
    <x v="0"/>
    <s v="1200005296"/>
    <s v="01-0F101-0004758"/>
    <x v="0"/>
    <d v="2025-11-21T00:00:00"/>
    <n v="226"/>
    <d v="2025-11-28T00:00:00"/>
    <n v="28.32"/>
    <s v="PEN"/>
    <x v="0"/>
    <m/>
    <m/>
    <m/>
    <x v="7"/>
    <n v="8.3367677362378583"/>
    <m/>
    <m/>
  </r>
  <r>
    <s v="1000013966"/>
    <x v="0"/>
    <s v="1200005302"/>
    <s v="01-0F101-0004762"/>
    <x v="0"/>
    <d v="2025-11-21T00:00:00"/>
    <n v="226"/>
    <d v="2025-11-28T00:00:00"/>
    <n v="42.48"/>
    <s v="PEN"/>
    <x v="0"/>
    <m/>
    <m/>
    <m/>
    <x v="7"/>
    <n v="12.505151604356785"/>
    <m/>
    <m/>
  </r>
  <r>
    <s v="1000013966"/>
    <x v="0"/>
    <s v="1200005304"/>
    <s v="01-0F101-0004763"/>
    <x v="0"/>
    <d v="2025-11-21T00:00:00"/>
    <n v="226"/>
    <d v="2025-11-28T00:00:00"/>
    <n v="42.48"/>
    <s v="PEN"/>
    <x v="0"/>
    <m/>
    <m/>
    <m/>
    <x v="7"/>
    <n v="12.505151604356785"/>
    <m/>
    <m/>
  </r>
  <r>
    <s v="1000013966"/>
    <x v="0"/>
    <s v="1200005313"/>
    <s v="01-0F101-0004772"/>
    <x v="0"/>
    <d v="2025-11-21T00:00:00"/>
    <n v="226"/>
    <d v="2025-11-28T00:00:00"/>
    <n v="14.16"/>
    <s v="PEN"/>
    <x v="0"/>
    <m/>
    <m/>
    <m/>
    <x v="7"/>
    <n v="4.1683838681189291"/>
    <m/>
    <m/>
  </r>
  <r>
    <s v="1000013966"/>
    <x v="0"/>
    <s v="1200005346"/>
    <s v="01-0F101-0004803"/>
    <x v="0"/>
    <d v="2025-11-22T00:00:00"/>
    <n v="225"/>
    <d v="2025-11-29T00:00:00"/>
    <n v="28.32"/>
    <s v="PEN"/>
    <x v="0"/>
    <m/>
    <m/>
    <m/>
    <x v="8"/>
    <n v="8.3367677362378583"/>
    <m/>
    <m/>
  </r>
  <r>
    <s v="1000013966"/>
    <x v="0"/>
    <s v="1200005422"/>
    <s v="01-0F101-0004855"/>
    <x v="0"/>
    <d v="2025-11-27T00:00:00"/>
    <n v="220"/>
    <d v="2025-12-04T00:00:00"/>
    <n v="14.16"/>
    <s v="PEN"/>
    <x v="0"/>
    <m/>
    <m/>
    <m/>
    <x v="9"/>
    <n v="4.1683838681189291"/>
    <m/>
    <m/>
  </r>
  <r>
    <s v="2000001028"/>
    <x v="1"/>
    <s v="1200002081"/>
    <s v="FT-0F002-0000353"/>
    <x v="1"/>
    <d v="2026-05-26T00:00:00"/>
    <n v="2"/>
    <d v="2026-07-10T00:00:00"/>
    <n v="78360"/>
    <s v="USD"/>
    <x v="1"/>
    <d v="2026-07-25T00:00:00"/>
    <n v="3"/>
    <d v="2026-07-10T00:00:00"/>
    <x v="10"/>
    <n v="78360"/>
    <n v="48"/>
    <s v="46-60"/>
  </r>
  <r>
    <s v="2000001028"/>
    <x v="1"/>
    <s v="1200002135"/>
    <s v="01-0F002-0000359"/>
    <x v="2"/>
    <d v="2026-05-29T00:00:00"/>
    <n v="-1"/>
    <d v="2026-07-13T00:00:00"/>
    <n v="234900"/>
    <s v="USD"/>
    <x v="1"/>
    <d v="2026-07-28T00:00:00"/>
    <n v="0"/>
    <d v="2026-07-13T00:00:00"/>
    <x v="10"/>
    <n v="234900"/>
    <n v="45"/>
    <s v="0-45"/>
  </r>
  <r>
    <s v="2000001028"/>
    <x v="1"/>
    <s v="1200002939"/>
    <s v="FT-0F002-0000386"/>
    <x v="1"/>
    <d v="2026-06-30T00:00:00"/>
    <n v="-48"/>
    <d v="2026-08-29T00:00:00"/>
    <n v="218730"/>
    <s v="USD"/>
    <x v="1"/>
    <d v="2026-08-29T00:00:00"/>
    <n v="-47"/>
    <d v="2026-08-29T00:00:00"/>
    <x v="11"/>
    <n v="218730"/>
    <n v="13"/>
    <s v="0-45"/>
  </r>
  <r>
    <s v="2000001028"/>
    <x v="1"/>
    <s v="1300004711"/>
    <s v="FT-0F002-0000360"/>
    <x v="1"/>
    <d v="2026-05-29T00:00:00"/>
    <n v="44"/>
    <d v="2026-05-29T00:00:00"/>
    <n v="336990"/>
    <s v="USD"/>
    <x v="1"/>
    <d v="2026-07-28T00:00:00"/>
    <n v="0"/>
    <d v="2026-07-13T00:00:00"/>
    <x v="12"/>
    <n v="336990"/>
    <n v="45"/>
    <s v="0-45"/>
  </r>
  <r>
    <s v="1000013676"/>
    <x v="2"/>
    <s v="1200001798"/>
    <s v="03-0B001-0004567"/>
    <x v="3"/>
    <d v="2026-05-17T00:00:00"/>
    <n v="49"/>
    <d v="2026-05-24T00:00:00"/>
    <n v="365.8"/>
    <s v="PEN"/>
    <x v="0"/>
    <m/>
    <m/>
    <m/>
    <x v="13"/>
    <n v="107.68324992640567"/>
    <m/>
    <m/>
  </r>
  <r>
    <s v="1000013676"/>
    <x v="2"/>
    <s v="1200001799"/>
    <s v="03-0B001-0004568"/>
    <x v="3"/>
    <d v="2026-05-17T00:00:00"/>
    <n v="49"/>
    <d v="2026-05-24T00:00:00"/>
    <n v="47.2"/>
    <s v="PEN"/>
    <x v="0"/>
    <m/>
    <m/>
    <m/>
    <x v="13"/>
    <n v="13.894612893729763"/>
    <m/>
    <m/>
  </r>
  <r>
    <s v="1000013676"/>
    <x v="2"/>
    <s v="1200002786"/>
    <s v="03-0B001-0004754"/>
    <x v="3"/>
    <d v="2026-06-28T00:00:00"/>
    <n v="7"/>
    <d v="2026-07-05T00:00:00"/>
    <n v="820.1"/>
    <s v="PEN"/>
    <x v="0"/>
    <m/>
    <m/>
    <m/>
    <x v="14"/>
    <n v="241.41889902855462"/>
    <m/>
    <m/>
  </r>
  <r>
    <s v="1000013676"/>
    <x v="2"/>
    <s v="1200002787"/>
    <s v="03-0B001-0004755"/>
    <x v="3"/>
    <d v="2026-06-28T00:00:00"/>
    <n v="7"/>
    <d v="2026-07-05T00:00:00"/>
    <n v="70.8"/>
    <s v="PEN"/>
    <x v="0"/>
    <m/>
    <m/>
    <m/>
    <x v="14"/>
    <n v="20.841919340594643"/>
    <m/>
    <m/>
  </r>
  <r>
    <s v="1000013678"/>
    <x v="3"/>
    <s v="1200003045"/>
    <s v="01-0F101-0007358"/>
    <x v="0"/>
    <d v="2026-07-07T00:00:00"/>
    <n v="-2"/>
    <d v="2026-07-14T00:00:00"/>
    <n v="283.2"/>
    <s v="PEN"/>
    <x v="0"/>
    <m/>
    <m/>
    <m/>
    <x v="15"/>
    <n v="83.367677362378572"/>
    <m/>
    <m/>
  </r>
  <r>
    <s v="2000001368"/>
    <x v="4"/>
    <s v="1300004854"/>
    <s v="FT-0F002-0000311"/>
    <x v="1"/>
    <d v="2026-04-27T00:00:00"/>
    <n v="76"/>
    <d v="2026-04-27T00:00:00"/>
    <n v="15163"/>
    <s v="USD"/>
    <x v="1"/>
    <d v="2026-06-26T00:00:00"/>
    <n v="-18"/>
    <d v="2026-07-31T00:00:00"/>
    <x v="16"/>
    <n v="15163"/>
    <n v="77"/>
    <s v="61-90"/>
  </r>
  <r>
    <s v="2000001361"/>
    <x v="5"/>
    <s v="1300004210"/>
    <s v="FT-0F002-0000295"/>
    <x v="1"/>
    <d v="2026-04-12T00:00:00"/>
    <n v="91"/>
    <d v="2026-04-12T00:00:00"/>
    <n v="16355.92"/>
    <s v="USD"/>
    <x v="1"/>
    <d v="2026-06-11T00:00:00"/>
    <n v="-18"/>
    <d v="2026-07-31T00:00:00"/>
    <x v="16"/>
    <n v="16355.92"/>
    <n v="92"/>
    <s v="91-A MÁS"/>
  </r>
  <r>
    <s v="2000001439"/>
    <x v="6"/>
    <s v="1300005406"/>
    <s v="FP-253"/>
    <x v="4"/>
    <d v="2026-07-01T00:00:00"/>
    <n v="0"/>
    <d v="2026-07-31T00:00:00"/>
    <n v="-14712"/>
    <s v="USD"/>
    <x v="1"/>
    <d v="2026-08-30T00:00:00"/>
    <m/>
    <m/>
    <x v="17"/>
    <n v="-14712"/>
    <n v="12"/>
    <s v="0-45"/>
  </r>
  <r>
    <s v="6002186"/>
    <x v="7"/>
    <s v="1200003015"/>
    <s v="01-0F101-0007341"/>
    <x v="0"/>
    <d v="2026-07-06T00:00:00"/>
    <n v="-1"/>
    <d v="2026-07-13T00:00:00"/>
    <n v="8692.67"/>
    <s v="USD"/>
    <x v="2"/>
    <m/>
    <m/>
    <m/>
    <x v="18"/>
    <n v="8692.67"/>
    <m/>
    <m/>
  </r>
  <r>
    <s v="6002186"/>
    <x v="7"/>
    <s v="1200003016"/>
    <s v="01-0F101-0007342"/>
    <x v="0"/>
    <d v="2026-07-06T00:00:00"/>
    <n v="-1"/>
    <d v="2026-07-13T00:00:00"/>
    <n v="3596.64"/>
    <s v="USD"/>
    <x v="3"/>
    <m/>
    <m/>
    <m/>
    <x v="18"/>
    <n v="3596.64"/>
    <m/>
    <m/>
  </r>
  <r>
    <s v="1000006830"/>
    <x v="8"/>
    <s v="1200003020"/>
    <s v="01-0F101-0007338"/>
    <x v="0"/>
    <d v="2026-07-06T00:00:00"/>
    <n v="-1"/>
    <d v="2026-07-13T00:00:00"/>
    <n v="773.61"/>
    <s v="PEN"/>
    <x v="0"/>
    <m/>
    <m/>
    <m/>
    <x v="18"/>
    <n v="227.73329408301444"/>
    <m/>
    <m/>
  </r>
  <r>
    <s v="1000006830"/>
    <x v="8"/>
    <s v="1200003021"/>
    <s v="01-0F101-0007339"/>
    <x v="0"/>
    <d v="2026-07-06T00:00:00"/>
    <n v="-1"/>
    <d v="2026-07-13T00:00:00"/>
    <n v="70.8"/>
    <s v="PEN"/>
    <x v="0"/>
    <m/>
    <m/>
    <m/>
    <x v="18"/>
    <n v="20.841919340594643"/>
    <m/>
    <m/>
  </r>
  <r>
    <s v="1000006830"/>
    <x v="8"/>
    <s v="1200003026"/>
    <s v="01-0F101-0007344"/>
    <x v="0"/>
    <d v="2026-07-06T00:00:00"/>
    <n v="-1"/>
    <d v="2026-07-13T00:00:00"/>
    <n v="428.1"/>
    <s v="PEN"/>
    <x v="0"/>
    <m/>
    <m/>
    <m/>
    <x v="18"/>
    <n v="126.02296143656169"/>
    <m/>
    <m/>
  </r>
  <r>
    <s v="1000006830"/>
    <x v="8"/>
    <s v="1200003027"/>
    <s v="01-0F101-0007345"/>
    <x v="0"/>
    <d v="2026-07-06T00:00:00"/>
    <n v="-1"/>
    <d v="2026-07-13T00:00:00"/>
    <n v="35.4"/>
    <s v="PEN"/>
    <x v="0"/>
    <m/>
    <m/>
    <m/>
    <x v="18"/>
    <n v="10.420959670297322"/>
    <m/>
    <m/>
  </r>
  <r>
    <s v="1000006830"/>
    <x v="8"/>
    <s v="1200003040"/>
    <s v="01-0F101-0007354"/>
    <x v="0"/>
    <d v="2026-07-06T00:00:00"/>
    <n v="-1"/>
    <d v="2026-07-13T00:00:00"/>
    <n v="202.49"/>
    <s v="PEN"/>
    <x v="0"/>
    <m/>
    <m/>
    <m/>
    <x v="18"/>
    <n v="59.608478068884317"/>
    <m/>
    <m/>
  </r>
  <r>
    <s v="1000006830"/>
    <x v="8"/>
    <s v="1200003041"/>
    <s v="01-0F101-0007355"/>
    <x v="0"/>
    <d v="2026-07-06T00:00:00"/>
    <n v="-1"/>
    <d v="2026-07-13T00:00:00"/>
    <n v="70.8"/>
    <s v="PEN"/>
    <x v="0"/>
    <m/>
    <m/>
    <m/>
    <x v="18"/>
    <n v="20.841919340594643"/>
    <m/>
    <m/>
  </r>
  <r>
    <s v="1000006830"/>
    <x v="8"/>
    <s v="1200003042"/>
    <s v="01-0F101-0007356"/>
    <x v="0"/>
    <d v="2026-07-06T00:00:00"/>
    <n v="-1"/>
    <d v="2026-07-13T00:00:00"/>
    <n v="571.59"/>
    <s v="PEN"/>
    <x v="0"/>
    <m/>
    <m/>
    <m/>
    <x v="18"/>
    <n v="168.2631733882838"/>
    <m/>
    <m/>
  </r>
  <r>
    <s v="1000006830"/>
    <x v="8"/>
    <s v="1200003043"/>
    <s v="01-0F101-0007357"/>
    <x v="0"/>
    <d v="2026-07-06T00:00:00"/>
    <n v="-1"/>
    <d v="2026-07-13T00:00:00"/>
    <n v="159.30000000000001"/>
    <s v="PEN"/>
    <x v="0"/>
    <m/>
    <m/>
    <m/>
    <x v="18"/>
    <n v="46.894318516337954"/>
    <m/>
    <m/>
  </r>
  <r>
    <s v="1000006830"/>
    <x v="8"/>
    <s v="1200003046"/>
    <s v="01-0F101-0007359"/>
    <x v="0"/>
    <d v="2026-07-07T00:00:00"/>
    <n v="-2"/>
    <d v="2026-07-14T00:00:00"/>
    <n v="427.16"/>
    <s v="PEN"/>
    <x v="0"/>
    <m/>
    <m/>
    <m/>
    <x v="15"/>
    <n v="125.74624668825436"/>
    <m/>
    <m/>
  </r>
  <r>
    <s v="1000006830"/>
    <x v="8"/>
    <s v="1200003047"/>
    <s v="01-0F101-0007360"/>
    <x v="0"/>
    <d v="2026-07-07T00:00:00"/>
    <n v="-2"/>
    <d v="2026-07-14T00:00:00"/>
    <n v="70.8"/>
    <s v="PEN"/>
    <x v="0"/>
    <m/>
    <m/>
    <m/>
    <x v="15"/>
    <n v="20.841919340594643"/>
    <m/>
    <m/>
  </r>
  <r>
    <s v="1000006830"/>
    <x v="8"/>
    <s v="1200003065"/>
    <s v="01-0F101-0007375"/>
    <x v="0"/>
    <d v="2026-07-08T00:00:00"/>
    <n v="-3"/>
    <d v="2026-07-15T00:00:00"/>
    <n v="359.43"/>
    <s v="PEN"/>
    <x v="0"/>
    <m/>
    <m/>
    <m/>
    <x v="19"/>
    <n v="105.80806594053577"/>
    <m/>
    <m/>
  </r>
  <r>
    <s v="1000006830"/>
    <x v="8"/>
    <s v="1200003066"/>
    <s v="01-0F101-0007376"/>
    <x v="0"/>
    <d v="2026-07-08T00:00:00"/>
    <n v="-3"/>
    <d v="2026-07-15T00:00:00"/>
    <n v="47.2"/>
    <s v="PEN"/>
    <x v="0"/>
    <m/>
    <m/>
    <m/>
    <x v="19"/>
    <n v="13.894612893729763"/>
    <m/>
    <m/>
  </r>
  <r>
    <s v="1000006830"/>
    <x v="8"/>
    <s v="1200003086"/>
    <s v="01-0F101-0007396"/>
    <x v="0"/>
    <d v="2026-07-09T00:00:00"/>
    <n v="-4"/>
    <d v="2026-07-16T00:00:00"/>
    <n v="344.8"/>
    <s v="PEN"/>
    <x v="0"/>
    <m/>
    <m/>
    <m/>
    <x v="20"/>
    <n v="101.50132469826319"/>
    <m/>
    <m/>
  </r>
  <r>
    <s v="1000006830"/>
    <x v="8"/>
    <s v="1200003087"/>
    <s v="01-0F101-0007397"/>
    <x v="0"/>
    <d v="2026-07-09T00:00:00"/>
    <n v="-4"/>
    <d v="2026-07-16T00:00:00"/>
    <n v="47.2"/>
    <s v="PEN"/>
    <x v="0"/>
    <m/>
    <m/>
    <m/>
    <x v="20"/>
    <n v="13.894612893729763"/>
    <m/>
    <m/>
  </r>
  <r>
    <s v="1000006830"/>
    <x v="8"/>
    <s v="1200003101"/>
    <s v="01-0F101-0007408"/>
    <x v="0"/>
    <d v="2026-07-10T00:00:00"/>
    <n v="-5"/>
    <d v="2026-07-17T00:00:00"/>
    <n v="521.70000000000005"/>
    <s v="PEN"/>
    <x v="0"/>
    <m/>
    <m/>
    <m/>
    <x v="10"/>
    <n v="153.57668531056817"/>
    <m/>
    <m/>
  </r>
  <r>
    <s v="1000006830"/>
    <x v="8"/>
    <s v="1200003102"/>
    <s v="01-0F101-0007409"/>
    <x v="0"/>
    <d v="2026-07-10T00:00:00"/>
    <n v="-5"/>
    <d v="2026-07-17T00:00:00"/>
    <n v="153.4"/>
    <s v="PEN"/>
    <x v="0"/>
    <m/>
    <m/>
    <m/>
    <x v="10"/>
    <n v="45.157491904621729"/>
    <m/>
    <m/>
  </r>
  <r>
    <s v="2000001459"/>
    <x v="9"/>
    <s v="1300004230"/>
    <s v="ANTICIPO FP242"/>
    <x v="4"/>
    <d v="2026-05-26T00:00:00"/>
    <n v="0"/>
    <d v="2026-05-31T00:00:00"/>
    <n v="-34580"/>
    <s v="USD"/>
    <x v="1"/>
    <d v="2026-07-25T00:00:00"/>
    <m/>
    <m/>
    <x v="21"/>
    <n v="-34580"/>
    <n v="48"/>
    <s v="46-60"/>
  </r>
  <r>
    <s v="2000001172"/>
    <x v="10"/>
    <s v="1200002678"/>
    <s v="FT-0F002-0000374"/>
    <x v="1"/>
    <d v="2026-06-21T00:00:00"/>
    <n v="-24"/>
    <d v="2026-08-05T00:00:00"/>
    <n v="16334.54"/>
    <s v="USD"/>
    <x v="1"/>
    <d v="2026-08-20T00:00:00"/>
    <n v="-38"/>
    <d v="2026-08-20T00:00:00"/>
    <x v="22"/>
    <n v="16334.54"/>
    <n v="22"/>
    <s v="0-45"/>
  </r>
  <r>
    <s v="2000001172"/>
    <x v="10"/>
    <s v="1200002721"/>
    <s v="01-0F002-0000375"/>
    <x v="2"/>
    <d v="2026-06-23T00:00:00"/>
    <n v="-26"/>
    <d v="2026-08-07T00:00:00"/>
    <n v="135200"/>
    <s v="USD"/>
    <x v="1"/>
    <d v="2026-08-22T00:00:00"/>
    <n v="-40"/>
    <d v="2026-08-22T00:00:00"/>
    <x v="23"/>
    <n v="135200"/>
    <n v="20"/>
    <s v="0-45"/>
  </r>
  <r>
    <s v="2000001172"/>
    <x v="10"/>
    <s v="1300004713"/>
    <s v="SALDO A FAVOR"/>
    <x v="1"/>
    <d v="2026-04-28T00:00:00"/>
    <n v="0"/>
    <d v="2026-04-28T00:00:00"/>
    <n v="-1504"/>
    <s v="USD"/>
    <x v="1"/>
    <d v="2026-06-27T00:00:00"/>
    <m/>
    <m/>
    <x v="24"/>
    <n v="-1504"/>
    <n v="76"/>
    <s v="61-90"/>
  </r>
  <r>
    <s v="2000001172"/>
    <x v="10"/>
    <s v="1300004844"/>
    <s v="ANTICIPO FP-248"/>
    <x v="4"/>
    <d v="2026-06-08T00:00:00"/>
    <n v="0"/>
    <d v="2026-06-30T00:00:00"/>
    <n v="-33677"/>
    <s v="USD"/>
    <x v="1"/>
    <d v="2026-08-07T00:00:00"/>
    <m/>
    <m/>
    <x v="25"/>
    <n v="-33677"/>
    <n v="35"/>
    <s v="0-45"/>
  </r>
  <r>
    <s v="2000000231"/>
    <x v="11"/>
    <s v="1200002635"/>
    <s v="01-0F002-0000371"/>
    <x v="2"/>
    <d v="2026-06-19T00:00:00"/>
    <n v="-22"/>
    <d v="2026-08-03T00:00:00"/>
    <n v="421200"/>
    <s v="USD"/>
    <x v="1"/>
    <d v="2026-08-18T00:00:00"/>
    <n v="-21"/>
    <d v="2026-08-03T00:00:00"/>
    <x v="26"/>
    <n v="421200"/>
    <n v="24"/>
    <s v="0-45"/>
  </r>
  <r>
    <s v="2000000231"/>
    <x v="11"/>
    <s v="1200002880"/>
    <s v="01-0F002-0000378"/>
    <x v="2"/>
    <d v="2026-06-30T00:00:00"/>
    <n v="-33"/>
    <d v="2026-08-14T00:00:00"/>
    <n v="211167"/>
    <s v="USD"/>
    <x v="1"/>
    <d v="2026-08-29T00:00:00"/>
    <n v="-47"/>
    <d v="2026-08-29T00:00:00"/>
    <x v="11"/>
    <n v="211167"/>
    <n v="13"/>
    <s v="0-45"/>
  </r>
  <r>
    <s v="2000000231"/>
    <x v="11"/>
    <s v="1200002882"/>
    <s v="01-0F002-0000379"/>
    <x v="2"/>
    <d v="2026-06-30T00:00:00"/>
    <n v="-48"/>
    <d v="2026-08-29T00:00:00"/>
    <n v="105300"/>
    <s v="USD"/>
    <x v="1"/>
    <d v="2026-08-29T00:00:00"/>
    <n v="-47"/>
    <d v="2026-08-29T00:00:00"/>
    <x v="11"/>
    <n v="105300"/>
    <n v="13"/>
    <s v="0-45"/>
  </r>
  <r>
    <s v="2000000233"/>
    <x v="12"/>
    <s v="1200002541"/>
    <s v="01-0F002-0000367"/>
    <x v="2"/>
    <d v="2026-06-13T00:00:00"/>
    <n v="-16"/>
    <d v="2026-07-28T00:00:00"/>
    <n v="113004"/>
    <s v="USD"/>
    <x v="1"/>
    <d v="2026-08-12T00:00:00"/>
    <n v="-15"/>
    <d v="2026-07-28T00:00:00"/>
    <x v="27"/>
    <n v="113004"/>
    <n v="30"/>
    <s v="0-45"/>
  </r>
  <r>
    <s v="2000000233"/>
    <x v="12"/>
    <s v="1200002904"/>
    <s v="01-0F002-0000382"/>
    <x v="2"/>
    <d v="2026-06-30T00:00:00"/>
    <n v="-48"/>
    <d v="2026-08-29T00:00:00"/>
    <n v="533250"/>
    <s v="USD"/>
    <x v="1"/>
    <d v="2026-08-29T00:00:00"/>
    <n v="-47"/>
    <d v="2026-08-29T00:00:00"/>
    <x v="11"/>
    <n v="533250"/>
    <n v="13"/>
    <s v="0-45"/>
  </r>
  <r>
    <s v="2000000233"/>
    <x v="12"/>
    <s v="1200002931"/>
    <s v="01-0F002-0000384"/>
    <x v="2"/>
    <d v="2026-06-30T00:00:00"/>
    <n v="-33"/>
    <d v="2026-08-14T00:00:00"/>
    <n v="169092"/>
    <s v="USD"/>
    <x v="1"/>
    <d v="2026-08-29T00:00:00"/>
    <n v="-47"/>
    <d v="2026-08-29T00:00:00"/>
    <x v="11"/>
    <n v="169092"/>
    <n v="13"/>
    <s v="0-45"/>
  </r>
  <r>
    <s v="2000000233"/>
    <x v="12"/>
    <s v="1200002938"/>
    <s v="01-0F002-0000385"/>
    <x v="2"/>
    <d v="2026-06-30T00:00:00"/>
    <n v="-48"/>
    <d v="2026-08-29T00:00:00"/>
    <n v="213300"/>
    <s v="USD"/>
    <x v="1"/>
    <d v="2026-08-29T00:00:00"/>
    <n v="-47"/>
    <d v="2026-08-29T00:00:00"/>
    <x v="11"/>
    <n v="213300"/>
    <n v="13"/>
    <s v="0-45"/>
  </r>
  <r>
    <s v="2000000233"/>
    <x v="12"/>
    <s v="1300004855"/>
    <s v="ANTICIPO FP-249"/>
    <x v="4"/>
    <d v="2026-06-09T00:00:00"/>
    <n v="0"/>
    <d v="2026-06-30T00:00:00"/>
    <n v="-159925"/>
    <s v="USD"/>
    <x v="1"/>
    <d v="2026-08-08T00:00:00"/>
    <m/>
    <m/>
    <x v="28"/>
    <n v="-159925"/>
    <n v="34"/>
    <s v="0-45"/>
  </r>
  <r>
    <s v="2000000233"/>
    <x v="12"/>
    <s v="1300005331"/>
    <s v="FT-0F002-0000377"/>
    <x v="1"/>
    <d v="2026-06-27T00:00:00"/>
    <n v="15"/>
    <d v="2026-06-27T00:00:00"/>
    <n v="213454"/>
    <s v="USD"/>
    <x v="1"/>
    <d v="2026-08-26T00:00:00"/>
    <n v="-44"/>
    <d v="2026-08-26T00:00:00"/>
    <x v="29"/>
    <n v="213454"/>
    <n v="16"/>
    <s v="0-45"/>
  </r>
  <r>
    <s v="2000001409"/>
    <x v="13"/>
    <s v="1300005409"/>
    <s v="FT-0F002-0000356"/>
    <x v="1"/>
    <d v="2026-05-29T00:00:00"/>
    <n v="44"/>
    <d v="2026-05-29T00:00:00"/>
    <n v="45810"/>
    <s v="USD"/>
    <x v="1"/>
    <d v="2026-07-28T00:00:00"/>
    <n v="-15"/>
    <d v="2026-07-28T00:00:00"/>
    <x v="27"/>
    <n v="45810"/>
    <n v="45"/>
    <s v="0-45"/>
  </r>
  <r>
    <s v="6002007"/>
    <x v="14"/>
    <s v="1200001503"/>
    <s v="01-0F101-0006226"/>
    <x v="0"/>
    <d v="2026-05-06T00:00:00"/>
    <n v="60"/>
    <d v="2026-05-13T00:00:00"/>
    <n v="23.6"/>
    <s v="PEN"/>
    <x v="4"/>
    <m/>
    <m/>
    <m/>
    <x v="30"/>
    <n v="6.9473064468648813"/>
    <m/>
    <m/>
  </r>
  <r>
    <s v="6002007"/>
    <x v="14"/>
    <s v="1200001504"/>
    <s v="01-0F101-0006227"/>
    <x v="0"/>
    <d v="2026-05-06T00:00:00"/>
    <n v="60"/>
    <d v="2026-05-13T00:00:00"/>
    <n v="261.49"/>
    <s v="PEN"/>
    <x v="4"/>
    <m/>
    <m/>
    <m/>
    <x v="30"/>
    <n v="76.976744186046517"/>
    <m/>
    <m/>
  </r>
  <r>
    <s v="6002007"/>
    <x v="14"/>
    <s v="1200001509"/>
    <s v="01-0F101-0006232"/>
    <x v="0"/>
    <d v="2026-05-06T00:00:00"/>
    <n v="60"/>
    <d v="2026-05-13T00:00:00"/>
    <n v="387.51"/>
    <s v="PEN"/>
    <x v="4"/>
    <m/>
    <m/>
    <m/>
    <x v="30"/>
    <n v="114.07418310273772"/>
    <m/>
    <m/>
  </r>
  <r>
    <s v="6002007"/>
    <x v="14"/>
    <s v="1200001510"/>
    <s v="01-0F101-0006233"/>
    <x v="0"/>
    <d v="2026-05-06T00:00:00"/>
    <n v="60"/>
    <d v="2026-05-13T00:00:00"/>
    <n v="35.4"/>
    <s v="PEN"/>
    <x v="4"/>
    <m/>
    <m/>
    <m/>
    <x v="30"/>
    <n v="10.420959670297322"/>
    <m/>
    <m/>
  </r>
  <r>
    <s v="6002007"/>
    <x v="14"/>
    <s v="1200001609"/>
    <s v="01-0F101-0006311"/>
    <x v="0"/>
    <d v="2026-05-12T00:00:00"/>
    <n v="54"/>
    <d v="2026-05-19T00:00:00"/>
    <n v="482.86"/>
    <s v="PEN"/>
    <x v="4"/>
    <m/>
    <m/>
    <m/>
    <x v="31"/>
    <n v="142.14306741242274"/>
    <m/>
    <m/>
  </r>
  <r>
    <s v="6002007"/>
    <x v="14"/>
    <s v="1200001610"/>
    <s v="01-0F101-0006312"/>
    <x v="0"/>
    <d v="2026-05-12T00:00:00"/>
    <n v="54"/>
    <d v="2026-05-19T00:00:00"/>
    <n v="47.2"/>
    <s v="PEN"/>
    <x v="4"/>
    <m/>
    <m/>
    <m/>
    <x v="31"/>
    <n v="13.894612893729763"/>
    <m/>
    <m/>
  </r>
  <r>
    <s v="6002007"/>
    <x v="14"/>
    <s v="1200001789"/>
    <s v="01-0F101-0006447"/>
    <x v="0"/>
    <d v="2026-05-16T00:00:00"/>
    <n v="50"/>
    <d v="2026-05-23T00:00:00"/>
    <n v="544.45000000000005"/>
    <s v="PEN"/>
    <x v="4"/>
    <m/>
    <m/>
    <m/>
    <x v="32"/>
    <n v="160.27377097438918"/>
    <m/>
    <m/>
  </r>
  <r>
    <s v="6002007"/>
    <x v="14"/>
    <s v="1200001790"/>
    <s v="01-0F101-0006448"/>
    <x v="0"/>
    <d v="2026-05-16T00:00:00"/>
    <n v="50"/>
    <d v="2026-05-23T00:00:00"/>
    <n v="47.2"/>
    <s v="PEN"/>
    <x v="4"/>
    <m/>
    <m/>
    <m/>
    <x v="32"/>
    <n v="13.894612893729763"/>
    <m/>
    <m/>
  </r>
  <r>
    <s v="6002007"/>
    <x v="14"/>
    <s v="1200002045"/>
    <s v="01-0F101-0006626"/>
    <x v="0"/>
    <d v="2026-05-27T00:00:00"/>
    <n v="39"/>
    <d v="2026-06-03T00:00:00"/>
    <n v="591.65"/>
    <s v="PEN"/>
    <x v="4"/>
    <m/>
    <m/>
    <m/>
    <x v="33"/>
    <n v="174.16838386811892"/>
    <m/>
    <m/>
  </r>
  <r>
    <s v="6002007"/>
    <x v="14"/>
    <s v="1200002046"/>
    <s v="01-0F101-0006627"/>
    <x v="0"/>
    <d v="2026-05-27T00:00:00"/>
    <n v="39"/>
    <d v="2026-06-03T00:00:00"/>
    <n v="70.8"/>
    <s v="PEN"/>
    <x v="4"/>
    <m/>
    <m/>
    <m/>
    <x v="33"/>
    <n v="20.841919340594643"/>
    <m/>
    <m/>
  </r>
  <r>
    <s v="6002007"/>
    <x v="14"/>
    <s v="1200002186"/>
    <s v="01-0F101-0006716"/>
    <x v="0"/>
    <d v="2026-06-02T00:00:00"/>
    <n v="33"/>
    <d v="2026-06-09T00:00:00"/>
    <n v="185.97"/>
    <s v="PEN"/>
    <x v="4"/>
    <m/>
    <m/>
    <m/>
    <x v="28"/>
    <n v="54.7453635560789"/>
    <m/>
    <m/>
  </r>
  <r>
    <s v="6002007"/>
    <x v="14"/>
    <s v="1200002187"/>
    <s v="01-0F101-0006717"/>
    <x v="0"/>
    <d v="2026-06-02T00:00:00"/>
    <n v="33"/>
    <d v="2026-06-09T00:00:00"/>
    <n v="23.6"/>
    <s v="PEN"/>
    <x v="4"/>
    <m/>
    <m/>
    <m/>
    <x v="28"/>
    <n v="6.9473064468648813"/>
    <m/>
    <m/>
  </r>
  <r>
    <s v="6002007"/>
    <x v="14"/>
    <s v="1200002487"/>
    <s v="01-0F101-0006948"/>
    <x v="0"/>
    <d v="2026-06-13T00:00:00"/>
    <n v="22"/>
    <d v="2026-06-20T00:00:00"/>
    <n v="535.25"/>
    <s v="PEN"/>
    <x v="4"/>
    <m/>
    <m/>
    <m/>
    <x v="34"/>
    <n v="157.56549896967914"/>
    <m/>
    <m/>
  </r>
  <r>
    <s v="6002007"/>
    <x v="14"/>
    <s v="1200002488"/>
    <s v="01-0F101-0006949"/>
    <x v="0"/>
    <d v="2026-06-13T00:00:00"/>
    <n v="22"/>
    <d v="2026-06-20T00:00:00"/>
    <n v="70.8"/>
    <s v="PEN"/>
    <x v="4"/>
    <m/>
    <m/>
    <m/>
    <x v="34"/>
    <n v="20.841919340594643"/>
    <m/>
    <m/>
  </r>
  <r>
    <s v="6002007"/>
    <x v="14"/>
    <s v="1200002956"/>
    <s v="01-0F101-0007286"/>
    <x v="0"/>
    <d v="2026-07-03T00:00:00"/>
    <n v="2"/>
    <d v="2026-07-10T00:00:00"/>
    <n v="449.11"/>
    <s v="PEN"/>
    <x v="4"/>
    <m/>
    <m/>
    <m/>
    <x v="35"/>
    <n v="132.20783043862232"/>
    <m/>
    <m/>
  </r>
  <r>
    <s v="6002007"/>
    <x v="14"/>
    <s v="1200002957"/>
    <s v="01-0F101-0007287"/>
    <x v="0"/>
    <d v="2026-07-03T00:00:00"/>
    <n v="2"/>
    <d v="2026-07-10T00:00:00"/>
    <n v="35.4"/>
    <s v="PEN"/>
    <x v="4"/>
    <m/>
    <m/>
    <m/>
    <x v="35"/>
    <n v="10.420959670297322"/>
    <m/>
    <m/>
  </r>
  <r>
    <s v="6002007"/>
    <x v="14"/>
    <s v="1200005141"/>
    <s v="01-0F101-0004638"/>
    <x v="0"/>
    <d v="2025-11-03T00:00:00"/>
    <n v="244"/>
    <d v="2025-11-10T00:00:00"/>
    <n v="1403.26"/>
    <s v="PEN"/>
    <x v="4"/>
    <m/>
    <m/>
    <m/>
    <x v="36"/>
    <n v="413.0880188401531"/>
    <m/>
    <m/>
  </r>
  <r>
    <s v="6002007"/>
    <x v="14"/>
    <s v="1200005142"/>
    <s v="01-0F101-0004639"/>
    <x v="0"/>
    <d v="2025-11-03T00:00:00"/>
    <n v="244"/>
    <d v="2025-11-10T00:00:00"/>
    <n v="141.6"/>
    <s v="PEN"/>
    <x v="4"/>
    <m/>
    <m/>
    <m/>
    <x v="36"/>
    <n v="41.683838681189286"/>
    <m/>
    <m/>
  </r>
  <r>
    <s v="6002007"/>
    <x v="14"/>
    <s v="1200005158"/>
    <s v="01-0F101-0004653"/>
    <x v="0"/>
    <d v="2025-11-06T00:00:00"/>
    <n v="241"/>
    <d v="2025-11-13T00:00:00"/>
    <n v="1193.22"/>
    <s v="PEN"/>
    <x v="4"/>
    <m/>
    <m/>
    <m/>
    <x v="37"/>
    <n v="351.25699146305567"/>
    <m/>
    <m/>
  </r>
  <r>
    <s v="6002007"/>
    <x v="14"/>
    <s v="1200005159"/>
    <s v="01-0F101-0004654"/>
    <x v="0"/>
    <d v="2025-11-06T00:00:00"/>
    <n v="241"/>
    <d v="2025-11-13T00:00:00"/>
    <n v="106.2"/>
    <s v="PEN"/>
    <x v="4"/>
    <m/>
    <m/>
    <m/>
    <x v="37"/>
    <n v="31.262879010891965"/>
    <m/>
    <m/>
  </r>
  <r>
    <s v="6001105"/>
    <x v="15"/>
    <s v="1200001300"/>
    <s v="01-0F101-0006073"/>
    <x v="0"/>
    <d v="2026-04-28T00:00:00"/>
    <n v="75"/>
    <d v="2026-04-28T00:00:00"/>
    <n v="59"/>
    <s v="PEN"/>
    <x v="0"/>
    <m/>
    <m/>
    <m/>
    <x v="24"/>
    <n v="17.368266117162204"/>
    <m/>
    <m/>
  </r>
  <r>
    <s v="6001105"/>
    <x v="15"/>
    <s v="1200001301"/>
    <s v="01-0F101-0006074"/>
    <x v="0"/>
    <d v="2026-04-28T00:00:00"/>
    <n v="75"/>
    <d v="2026-04-28T00:00:00"/>
    <n v="716.71"/>
    <s v="PEN"/>
    <x v="0"/>
    <m/>
    <m/>
    <m/>
    <x v="24"/>
    <n v="210.98322048866649"/>
    <m/>
    <m/>
  </r>
  <r>
    <s v="6001105"/>
    <x v="15"/>
    <s v="1200001302"/>
    <s v="01-0F101-0006075"/>
    <x v="0"/>
    <d v="2026-04-28T00:00:00"/>
    <n v="75"/>
    <d v="2026-04-28T00:00:00"/>
    <n v="129.80000000000001"/>
    <s v="PEN"/>
    <x v="0"/>
    <m/>
    <m/>
    <m/>
    <x v="24"/>
    <n v="38.21018545775685"/>
    <m/>
    <m/>
  </r>
  <r>
    <s v="6001105"/>
    <x v="15"/>
    <s v="1200001648"/>
    <s v="01-0F101-0006336"/>
    <x v="0"/>
    <d v="2026-05-12T00:00:00"/>
    <n v="61"/>
    <d v="2026-05-12T00:00:00"/>
    <n v="404.98"/>
    <s v="PEN"/>
    <x v="0"/>
    <m/>
    <m/>
    <m/>
    <x v="38"/>
    <n v="119.21695613776863"/>
    <m/>
    <m/>
  </r>
  <r>
    <s v="6001105"/>
    <x v="15"/>
    <s v="1200001649"/>
    <s v="01-0F101-0006337"/>
    <x v="0"/>
    <d v="2026-05-12T00:00:00"/>
    <n v="61"/>
    <d v="2026-05-12T00:00:00"/>
    <n v="59"/>
    <s v="PEN"/>
    <x v="0"/>
    <m/>
    <m/>
    <m/>
    <x v="38"/>
    <n v="17.368266117162204"/>
    <m/>
    <m/>
  </r>
  <r>
    <s v="6001105"/>
    <x v="15"/>
    <s v="1300004037"/>
    <s v="FT-0F101-0006072"/>
    <x v="1"/>
    <d v="2026-04-28T00:00:00"/>
    <n v="75"/>
    <d v="2026-04-28T00:00:00"/>
    <n v="422.56"/>
    <s v="PEN"/>
    <x v="0"/>
    <m/>
    <m/>
    <m/>
    <x v="24"/>
    <n v="124.39211068589933"/>
    <m/>
    <m/>
  </r>
  <r>
    <s v="2000001443"/>
    <x v="16"/>
    <s v="1300002821"/>
    <s v="ANTICIPO NINGBO"/>
    <x v="4"/>
    <d v="2026-05-06T00:00:00"/>
    <n v="0"/>
    <d v="2026-05-31T00:00:00"/>
    <n v="-33334"/>
    <s v="USD"/>
    <x v="1"/>
    <d v="2026-07-05T00:00:00"/>
    <m/>
    <m/>
    <x v="39"/>
    <n v="-33334"/>
    <n v="68"/>
    <s v="61-90"/>
  </r>
  <r>
    <s v="2000001443"/>
    <x v="16"/>
    <s v="1300004715"/>
    <s v="FT-0F002-0000355"/>
    <x v="1"/>
    <d v="2026-05-29T00:00:00"/>
    <n v="44"/>
    <d v="2026-05-29T00:00:00"/>
    <n v="67008"/>
    <s v="USD"/>
    <x v="1"/>
    <d v="2026-07-28T00:00:00"/>
    <n v="0"/>
    <d v="2026-07-13T00:00:00"/>
    <x v="40"/>
    <n v="67008"/>
    <n v="45"/>
    <s v="0-45"/>
  </r>
  <r>
    <s v="2000001359"/>
    <x v="17"/>
    <s v="1200002006"/>
    <s v="01-0F002-0000341"/>
    <x v="2"/>
    <d v="2026-05-22T00:00:00"/>
    <n v="6"/>
    <d v="2026-07-06T00:00:00"/>
    <n v="80600"/>
    <s v="USD"/>
    <x v="1"/>
    <d v="2026-07-21T00:00:00"/>
    <n v="-8"/>
    <d v="2026-07-21T00:00:00"/>
    <x v="41"/>
    <n v="80600"/>
    <n v="52"/>
    <s v="46-60"/>
  </r>
  <r>
    <s v="2000001359"/>
    <x v="17"/>
    <s v="1300005285"/>
    <s v="FT-0F002-0000309"/>
    <x v="1"/>
    <d v="2026-04-27T00:00:00"/>
    <n v="76"/>
    <d v="2026-04-27T00:00:00"/>
    <n v="10284"/>
    <s v="USD"/>
    <x v="1"/>
    <d v="2026-06-26T00:00:00"/>
    <n v="-18"/>
    <d v="2026-07-31T00:00:00"/>
    <x v="16"/>
    <n v="10284"/>
    <n v="77"/>
    <s v="61-90"/>
  </r>
  <r>
    <s v="2000001468"/>
    <x v="18"/>
    <s v="1300004843"/>
    <s v="ANTICIPO FP-247"/>
    <x v="4"/>
    <d v="2026-06-05T00:00:00"/>
    <n v="0"/>
    <d v="2026-06-30T00:00:00"/>
    <n v="-13728"/>
    <s v="USD"/>
    <x v="1"/>
    <d v="2026-08-04T00:00:00"/>
    <m/>
    <m/>
    <x v="42"/>
    <n v="-13728"/>
    <n v="38"/>
    <s v="0-45"/>
  </r>
  <r>
    <s v="1000013925"/>
    <x v="19"/>
    <s v="1200000182"/>
    <s v="01-0F003-0000168"/>
    <x v="0"/>
    <d v="2026-01-31T00:00:00"/>
    <n v="155"/>
    <d v="2026-02-07T00:00:00"/>
    <n v="4003.46"/>
    <s v="PEN"/>
    <x v="5"/>
    <m/>
    <m/>
    <m/>
    <x v="43"/>
    <n v="1178.5281130409185"/>
    <m/>
    <m/>
  </r>
  <r>
    <s v="1000013925"/>
    <x v="19"/>
    <s v="1200000382"/>
    <s v="01-0F003-0000174"/>
    <x v="0"/>
    <d v="2026-03-03T00:00:00"/>
    <n v="124"/>
    <d v="2026-03-10T00:00:00"/>
    <n v="4956"/>
    <s v="PEN"/>
    <x v="5"/>
    <m/>
    <m/>
    <m/>
    <x v="44"/>
    <n v="1458.9343538416251"/>
    <m/>
    <m/>
  </r>
  <r>
    <s v="1000013925"/>
    <x v="19"/>
    <s v="1200005124"/>
    <s v="01-0F003-0000129"/>
    <x v="0"/>
    <d v="2025-11-04T00:00:00"/>
    <n v="243"/>
    <d v="2025-11-11T00:00:00"/>
    <n v="7097.98"/>
    <s v="PEN"/>
    <x v="5"/>
    <m/>
    <m/>
    <m/>
    <x v="45"/>
    <n v="2089.4848395643216"/>
    <m/>
    <m/>
  </r>
  <r>
    <s v="1000013925"/>
    <x v="19"/>
    <s v="1300006898"/>
    <s v="FT-0F003-0000101"/>
    <x v="1"/>
    <d v="2025-10-21T00:00:00"/>
    <n v="264"/>
    <d v="2025-10-21T00:00:00"/>
    <n v="4460"/>
    <s v="PEN"/>
    <x v="5"/>
    <m/>
    <m/>
    <m/>
    <x v="46"/>
    <n v="1312.9231675007361"/>
    <m/>
    <m/>
  </r>
  <r>
    <s v="2000001380"/>
    <x v="20"/>
    <s v="1200002542"/>
    <s v="01-0F002-0000368"/>
    <x v="2"/>
    <d v="2026-06-13T00:00:00"/>
    <n v="-16"/>
    <d v="2026-07-28T00:00:00"/>
    <n v="29250"/>
    <s v="USD"/>
    <x v="1"/>
    <d v="2026-08-12T00:00:00"/>
    <n v="-30"/>
    <d v="2026-08-12T00:00:00"/>
    <x v="47"/>
    <n v="29250"/>
    <n v="30"/>
    <s v="0-45"/>
  </r>
  <r>
    <s v="2000001380"/>
    <x v="20"/>
    <s v="1300004799"/>
    <s v="ANTICIPO FP-243"/>
    <x v="4"/>
    <d v="2026-06-02T00:00:00"/>
    <n v="0"/>
    <d v="2026-06-30T00:00:00"/>
    <n v="-6470"/>
    <s v="USD"/>
    <x v="1"/>
    <d v="2026-08-01T00:00:00"/>
    <m/>
    <m/>
    <x v="48"/>
    <n v="-6470"/>
    <n v="41"/>
    <s v="0-45"/>
  </r>
  <r>
    <s v="6000434"/>
    <x v="21"/>
    <s v="1200004540"/>
    <s v="01-0F003-0000083"/>
    <x v="0"/>
    <d v="2025-10-07T00:00:00"/>
    <n v="271"/>
    <d v="2025-10-14T00:00:00"/>
    <n v="790"/>
    <s v="PEN"/>
    <x v="6"/>
    <m/>
    <m/>
    <m/>
    <x v="49"/>
    <n v="232.55813953488374"/>
    <m/>
    <m/>
  </r>
  <r>
    <s v="2000001438"/>
    <x v="22"/>
    <s v="1200001892"/>
    <s v="01-0F002-0000332"/>
    <x v="2"/>
    <d v="2026-05-17T00:00:00"/>
    <n v="11"/>
    <d v="2026-07-01T00:00:00"/>
    <n v="230850"/>
    <s v="USD"/>
    <x v="1"/>
    <d v="2026-07-16T00:00:00"/>
    <n v="-3"/>
    <d v="2026-07-16T00:00:00"/>
    <x v="20"/>
    <n v="230850"/>
    <n v="57"/>
    <s v="46-60"/>
  </r>
  <r>
    <s v="2000001438"/>
    <x v="22"/>
    <s v="1300002731"/>
    <s v="FT-0F002-0000324"/>
    <x v="1"/>
    <d v="2026-04-29T00:00:00"/>
    <n v="74"/>
    <d v="2026-04-29T00:00:00"/>
    <n v="162355"/>
    <s v="USD"/>
    <x v="1"/>
    <d v="2026-06-28T00:00:00"/>
    <n v="-7"/>
    <d v="2026-07-20T00:00:00"/>
    <x v="50"/>
    <n v="162355"/>
    <n v="75"/>
    <s v="61-90"/>
  </r>
  <r>
    <n v="2000001382"/>
    <x v="23"/>
    <n v="1300005603"/>
    <s v="FP-255"/>
    <x v="4"/>
    <d v="2026-07-08T00:00:00"/>
    <n v="0"/>
    <d v="2026-07-31T00:00:00"/>
    <n v="15970"/>
    <s v="USD"/>
    <x v="1"/>
    <d v="2026-09-06T00:00:00"/>
    <m/>
    <m/>
    <x v="16"/>
    <n v="15970"/>
    <n v="5"/>
    <s v="61-90"/>
  </r>
  <r>
    <s v="2000001460"/>
    <x v="24"/>
    <s v="1200002674"/>
    <s v="01-0F002-0000373"/>
    <x v="2"/>
    <d v="2026-06-21T00:00:00"/>
    <n v="-24"/>
    <d v="2026-08-05T00:00:00"/>
    <n v="46018"/>
    <s v="USD"/>
    <x v="1"/>
    <d v="2026-08-20T00:00:00"/>
    <n v="-38"/>
    <d v="2026-08-20T00:00:00"/>
    <x v="22"/>
    <n v="46018"/>
    <n v="22"/>
    <s v="0-45"/>
  </r>
  <r>
    <s v="2000001460"/>
    <x v="24"/>
    <s v="1300004801"/>
    <s v="ANTICIPO FP-246"/>
    <x v="4"/>
    <d v="2026-06-02T00:00:00"/>
    <n v="0"/>
    <d v="2026-06-30T00:00:00"/>
    <n v="-9287"/>
    <s v="USD"/>
    <x v="1"/>
    <d v="2026-08-01T00:00:00"/>
    <m/>
    <m/>
    <x v="48"/>
    <n v="-9287"/>
    <n v="41"/>
    <s v="0-45"/>
  </r>
  <r>
    <s v="1000001965"/>
    <x v="25"/>
    <s v="1200002981"/>
    <s v="01-0F101-0007305"/>
    <x v="0"/>
    <d v="2026-07-04T00:00:00"/>
    <n v="1"/>
    <d v="2026-07-11T00:00:00"/>
    <n v="590"/>
    <s v="PEN"/>
    <x v="0"/>
    <m/>
    <m/>
    <m/>
    <x v="51"/>
    <n v="173.68266117162202"/>
    <m/>
    <m/>
  </r>
  <r>
    <s v="1000001965"/>
    <x v="25"/>
    <s v="1200003024"/>
    <s v="01-0F101-0007340"/>
    <x v="0"/>
    <d v="2026-07-06T00:00:00"/>
    <n v="-1"/>
    <d v="2026-07-13T00:00:00"/>
    <n v="590"/>
    <s v="PEN"/>
    <x v="0"/>
    <m/>
    <m/>
    <m/>
    <x v="18"/>
    <n v="173.68266117162202"/>
    <m/>
    <m/>
  </r>
  <r>
    <s v="1000001965"/>
    <x v="25"/>
    <s v="1200003053"/>
    <s v="01-0F101-0007365"/>
    <x v="0"/>
    <d v="2026-07-07T00:00:00"/>
    <n v="-2"/>
    <d v="2026-07-14T00:00:00"/>
    <n v="590"/>
    <s v="PEN"/>
    <x v="0"/>
    <m/>
    <m/>
    <m/>
    <x v="15"/>
    <n v="173.68266117162202"/>
    <m/>
    <m/>
  </r>
  <r>
    <s v="1000001965"/>
    <x v="25"/>
    <s v="1200003073"/>
    <s v="01-0F101-0007383"/>
    <x v="0"/>
    <d v="2026-07-08T00:00:00"/>
    <n v="-3"/>
    <d v="2026-07-15T00:00:00"/>
    <n v="590"/>
    <s v="PEN"/>
    <x v="0"/>
    <m/>
    <m/>
    <m/>
    <x v="19"/>
    <n v="173.68266117162202"/>
    <m/>
    <m/>
  </r>
  <r>
    <s v="2000001440"/>
    <x v="26"/>
    <s v="1200002673"/>
    <s v="01-0F002-0000372"/>
    <x v="2"/>
    <d v="2026-06-21T00:00:00"/>
    <n v="-24"/>
    <d v="2026-08-05T00:00:00"/>
    <n v="59400"/>
    <s v="USD"/>
    <x v="1"/>
    <d v="2026-08-20T00:00:00"/>
    <n v="-38"/>
    <d v="2026-08-20T00:00:00"/>
    <x v="22"/>
    <n v="59400"/>
    <n v="22"/>
    <s v="0-45"/>
  </r>
  <r>
    <s v="2000001440"/>
    <x v="26"/>
    <s v="1300002671"/>
    <s v="FT-0F002-0000321"/>
    <x v="1"/>
    <d v="2026-04-29T00:00:00"/>
    <n v="74"/>
    <d v="2026-04-29T00:00:00"/>
    <n v="56785"/>
    <s v="USD"/>
    <x v="1"/>
    <d v="2026-06-28T00:00:00"/>
    <n v="-2"/>
    <d v="2026-07-15T00:00:00"/>
    <x v="52"/>
    <n v="56785"/>
    <n v="75"/>
    <s v="61-90"/>
  </r>
  <r>
    <s v="2000001440"/>
    <x v="26"/>
    <s v="1300004716"/>
    <s v="FT-0F002-0000361"/>
    <x v="1"/>
    <d v="2026-05-29T00:00:00"/>
    <n v="44"/>
    <d v="2026-05-29T00:00:00"/>
    <n v="35725"/>
    <s v="USD"/>
    <x v="1"/>
    <d v="2026-07-28T00:00:00"/>
    <n v="0"/>
    <d v="2026-07-13T00:00:00"/>
    <x v="53"/>
    <n v="35725"/>
    <n v="45"/>
    <s v="0-45"/>
  </r>
  <r>
    <s v="1000013801"/>
    <x v="27"/>
    <s v="1200003062"/>
    <s v="01-0F101-0007372"/>
    <x v="0"/>
    <d v="2026-07-07T00:00:00"/>
    <n v="-2"/>
    <d v="2026-07-14T00:00:00"/>
    <n v="665.99"/>
    <s v="PEN"/>
    <x v="0"/>
    <m/>
    <m/>
    <m/>
    <x v="15"/>
    <n v="196.05239917574332"/>
    <m/>
    <m/>
  </r>
  <r>
    <s v="1000013801"/>
    <x v="27"/>
    <s v="1200003063"/>
    <s v="01-0F101-0007373"/>
    <x v="0"/>
    <d v="2026-07-07T00:00:00"/>
    <n v="-2"/>
    <d v="2026-07-14T00:00:00"/>
    <n v="123.9"/>
    <s v="PEN"/>
    <x v="0"/>
    <m/>
    <m/>
    <m/>
    <x v="15"/>
    <n v="36.473358846040625"/>
    <m/>
    <m/>
  </r>
  <r>
    <s v="1000013686"/>
    <x v="28"/>
    <s v="1200003025"/>
    <s v="01-0F101-0007343"/>
    <x v="0"/>
    <d v="2026-07-06T00:00:00"/>
    <n v="-1"/>
    <d v="2026-07-13T00:00:00"/>
    <n v="396.48"/>
    <s v="PEN"/>
    <x v="0"/>
    <m/>
    <m/>
    <m/>
    <x v="18"/>
    <n v="116.71474830733001"/>
    <m/>
    <m/>
  </r>
  <r>
    <s v="2000000786"/>
    <x v="29"/>
    <s v="1200002885"/>
    <s v="01-0F002-0000381"/>
    <x v="2"/>
    <d v="2026-06-30T00:00:00"/>
    <n v="-33"/>
    <d v="2026-08-14T00:00:00"/>
    <n v="30375"/>
    <s v="USD"/>
    <x v="1"/>
    <d v="2026-08-29T00:00:00"/>
    <n v="-47"/>
    <d v="2026-08-29T00:00:00"/>
    <x v="11"/>
    <n v="30375"/>
    <n v="13"/>
    <s v="0-45"/>
  </r>
  <r>
    <s v="2000000786"/>
    <x v="29"/>
    <s v="1200002930"/>
    <s v="01-0F002-0000383"/>
    <x v="2"/>
    <d v="2026-06-30T00:00:00"/>
    <n v="-33"/>
    <d v="2026-08-14T00:00:00"/>
    <n v="81574.5"/>
    <s v="USD"/>
    <x v="1"/>
    <d v="2026-08-29T00:00:00"/>
    <n v="-47"/>
    <d v="2026-08-29T00:00:00"/>
    <x v="11"/>
    <n v="81574.5"/>
    <n v="13"/>
    <s v="0-45"/>
  </r>
  <r>
    <s v="2000001444"/>
    <x v="30"/>
    <s v="1200002637"/>
    <s v="01-0F002-0000370"/>
    <x v="2"/>
    <d v="2026-06-19T00:00:00"/>
    <n v="-22"/>
    <d v="2026-08-03T00:00:00"/>
    <n v="82350"/>
    <s v="USD"/>
    <x v="1"/>
    <d v="2026-08-18T00:00:00"/>
    <n v="-36"/>
    <d v="2026-08-18T00:00:00"/>
    <x v="54"/>
    <n v="82350"/>
    <n v="24"/>
    <s v="0-45"/>
  </r>
  <r>
    <s v="2000001444"/>
    <x v="30"/>
    <s v="1300004719"/>
    <s v="FT-0F002-0000345"/>
    <x v="1"/>
    <d v="2026-05-24T00:00:00"/>
    <n v="49"/>
    <d v="2026-05-24T00:00:00"/>
    <n v="90691"/>
    <s v="USD"/>
    <x v="1"/>
    <d v="2026-07-23T00:00:00"/>
    <n v="5"/>
    <d v="2026-07-08T00:00:00"/>
    <x v="50"/>
    <n v="90691"/>
    <n v="50"/>
    <s v="46-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1375E-6735-4BDF-9090-C96959B4DF8E}" name="TablaDinámica2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AA25" firstHeaderRow="1" firstDataRow="2" firstDataCol="1" rowPageCount="2" colPageCount="1"/>
  <pivotFields count="18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axis="axisPage" showAll="0">
      <items count="6">
        <item x="3"/>
        <item x="2"/>
        <item x="0"/>
        <item x="4"/>
        <item x="1"/>
        <item t="default"/>
      </items>
    </pivotField>
    <pivotField numFmtId="14" showAll="0"/>
    <pivotField numFmtId="3" showAll="0"/>
    <pivotField numFmtId="14" showAll="0"/>
    <pivotField dataField="1" numFmtId="4" showAll="0"/>
    <pivotField showAll="0"/>
    <pivotField axis="axisPage" multipleItemSelectionAllowed="1" showAll="0">
      <items count="8">
        <item h="1" x="2"/>
        <item h="1" x="5"/>
        <item h="1" x="3"/>
        <item x="1"/>
        <item h="1" x="0"/>
        <item h="1" x="6"/>
        <item h="1" x="4"/>
        <item t="default"/>
      </items>
    </pivotField>
    <pivotField showAll="0"/>
    <pivotField showAll="0"/>
    <pivotField showAll="0"/>
    <pivotField axis="axisCol" showAll="0">
      <items count="56">
        <item x="49"/>
        <item x="46"/>
        <item x="36"/>
        <item x="45"/>
        <item x="37"/>
        <item x="5"/>
        <item x="6"/>
        <item x="7"/>
        <item x="8"/>
        <item x="9"/>
        <item x="0"/>
        <item x="1"/>
        <item x="2"/>
        <item x="3"/>
        <item x="4"/>
        <item x="43"/>
        <item x="44"/>
        <item x="24"/>
        <item x="38"/>
        <item x="30"/>
        <item x="31"/>
        <item x="32"/>
        <item x="13"/>
        <item x="33"/>
        <item x="21"/>
        <item x="48"/>
        <item x="42"/>
        <item x="39"/>
        <item x="25"/>
        <item x="28"/>
        <item x="34"/>
        <item x="14"/>
        <item x="35"/>
        <item x="51"/>
        <item x="18"/>
        <item x="15"/>
        <item x="19"/>
        <item x="17"/>
        <item x="20"/>
        <item x="10"/>
        <item x="50"/>
        <item x="41"/>
        <item x="52"/>
        <item x="27"/>
        <item x="16"/>
        <item x="40"/>
        <item x="26"/>
        <item x="12"/>
        <item x="47"/>
        <item x="54"/>
        <item x="22"/>
        <item x="23"/>
        <item x="53"/>
        <item x="29"/>
        <item x="11"/>
        <item t="default"/>
      </items>
    </pivotField>
    <pivotField showAll="0"/>
    <pivotField showAll="0"/>
    <pivotField showAll="0"/>
  </pivotFields>
  <rowFields count="1">
    <field x="1"/>
  </rowFields>
  <rowItems count="20">
    <i>
      <x v="1"/>
    </i>
    <i>
      <x v="4"/>
    </i>
    <i>
      <x v="5"/>
    </i>
    <i>
      <x v="6"/>
    </i>
    <i>
      <x v="9"/>
    </i>
    <i>
      <x v="10"/>
    </i>
    <i>
      <x v="11"/>
    </i>
    <i>
      <x v="12"/>
    </i>
    <i>
      <x v="13"/>
    </i>
    <i>
      <x v="16"/>
    </i>
    <i>
      <x v="17"/>
    </i>
    <i>
      <x v="18"/>
    </i>
    <i>
      <x v="20"/>
    </i>
    <i>
      <x v="22"/>
    </i>
    <i>
      <x v="23"/>
    </i>
    <i>
      <x v="24"/>
    </i>
    <i>
      <x v="26"/>
    </i>
    <i>
      <x v="29"/>
    </i>
    <i>
      <x v="30"/>
    </i>
    <i t="grand">
      <x/>
    </i>
  </rowItems>
  <colFields count="1">
    <field x="14"/>
  </colFields>
  <colItems count="26">
    <i>
      <x v="17"/>
    </i>
    <i>
      <x v="24"/>
    </i>
    <i>
      <x v="25"/>
    </i>
    <i>
      <x v="26"/>
    </i>
    <i>
      <x v="27"/>
    </i>
    <i>
      <x v="28"/>
    </i>
    <i>
      <x v="29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colItems>
  <pageFields count="2">
    <pageField fld="4" hier="-1"/>
    <pageField fld="10" hier="-1"/>
  </pageFields>
  <dataFields count="1">
    <dataField name="Suma de Importe en moneda doc." fld="8" baseField="0" baseItem="0" numFmtId="3"/>
  </dataFields>
  <formats count="9"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14" count="2" selected="0">
            <x v="38"/>
            <x v="39"/>
          </reference>
        </references>
      </pivotArea>
    </format>
    <format dxfId="11">
      <pivotArea type="topRight" dataOnly="0" labelOnly="1" outline="0" offset="G1:H1" fieldPosition="0"/>
    </format>
    <format dxfId="10">
      <pivotArea dataOnly="0" labelOnly="1" fieldPosition="0">
        <references count="1">
          <reference field="14" count="2">
            <x v="38"/>
            <x v="39"/>
          </reference>
        </references>
      </pivotArea>
    </format>
    <format dxfId="9">
      <pivotArea type="topRight" dataOnly="0" labelOnly="1" outline="0" offset="G1" fieldPosition="0"/>
    </format>
    <format dxfId="8">
      <pivotArea type="topRight" dataOnly="0" labelOnly="1" outline="0" offset="I1" fieldPosition="0"/>
    </format>
    <format dxfId="7">
      <pivotArea outline="0" collapsedLevelsAreSubtotals="1" fieldPosition="0">
        <references count="1">
          <reference field="14" count="5" selected="0">
            <x v="40"/>
            <x v="41"/>
            <x v="42"/>
            <x v="43"/>
            <x v="44"/>
          </reference>
        </references>
      </pivotArea>
    </format>
    <format dxfId="6">
      <pivotArea type="topRight" dataOnly="0" labelOnly="1" outline="0" offset="J1:N1" fieldPosition="0"/>
    </format>
    <format dxfId="5">
      <pivotArea dataOnly="0" labelOnly="1" fieldPosition="0">
        <references count="1">
          <reference field="14" count="5">
            <x v="40"/>
            <x v="41"/>
            <x v="42"/>
            <x v="43"/>
            <x v="4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4CB03-F74B-45EE-B342-F71828A12804}" name="TablaDinámica4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66" firstHeaderRow="1" firstDataRow="1" firstDataCol="1" rowPageCount="3" colPageCount="1"/>
  <pivotFields count="18">
    <pivotField showAll="0">
      <items count="32">
        <item x="23"/>
        <item x="25"/>
        <item x="8"/>
        <item x="2"/>
        <item x="3"/>
        <item x="28"/>
        <item x="27"/>
        <item x="19"/>
        <item x="0"/>
        <item x="11"/>
        <item x="12"/>
        <item x="29"/>
        <item x="1"/>
        <item x="10"/>
        <item x="17"/>
        <item x="5"/>
        <item x="4"/>
        <item x="20"/>
        <item x="13"/>
        <item x="22"/>
        <item x="6"/>
        <item x="26"/>
        <item x="16"/>
        <item x="30"/>
        <item x="9"/>
        <item x="24"/>
        <item x="18"/>
        <item x="21"/>
        <item x="15"/>
        <item x="14"/>
        <item x="7"/>
        <item t="default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showAll="0">
      <items count="120">
        <item x="100"/>
        <item x="90"/>
        <item x="18"/>
        <item x="55"/>
        <item x="97"/>
        <item x="117"/>
        <item x="52"/>
        <item x="109"/>
        <item x="103"/>
        <item x="49"/>
        <item x="53"/>
        <item x="54"/>
        <item x="115"/>
        <item x="56"/>
        <item x="116"/>
        <item x="57"/>
        <item x="58"/>
        <item x="99"/>
        <item x="95"/>
        <item x="93"/>
        <item x="94"/>
        <item x="78"/>
        <item x="79"/>
        <item x="80"/>
        <item x="81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82"/>
        <item x="83"/>
        <item x="84"/>
        <item x="62"/>
        <item x="63"/>
        <item x="64"/>
        <item x="65"/>
        <item x="66"/>
        <item x="67"/>
        <item x="85"/>
        <item x="86"/>
        <item x="68"/>
        <item x="69"/>
        <item x="70"/>
        <item x="71"/>
        <item x="72"/>
        <item x="73"/>
        <item x="74"/>
        <item x="75"/>
        <item x="76"/>
        <item x="77"/>
        <item x="105"/>
        <item x="31"/>
        <item x="32"/>
        <item x="106"/>
        <item x="29"/>
        <item x="30"/>
        <item x="114"/>
        <item x="33"/>
        <item x="34"/>
        <item x="35"/>
        <item x="36"/>
        <item x="37"/>
        <item x="38"/>
        <item x="25"/>
        <item x="39"/>
        <item x="40"/>
        <item x="107"/>
        <item x="112"/>
        <item x="113"/>
        <item x="41"/>
        <item x="42"/>
        <item x="108"/>
        <item x="43"/>
        <item x="44"/>
        <item x="45"/>
        <item x="46"/>
        <item x="21"/>
        <item x="22"/>
        <item x="23"/>
        <item x="24"/>
        <item x="47"/>
        <item x="98"/>
        <item x="104"/>
        <item x="92"/>
        <item x="51"/>
        <item x="59"/>
        <item x="88"/>
        <item x="28"/>
        <item x="102"/>
        <item x="27"/>
        <item x="91"/>
        <item x="26"/>
        <item x="110"/>
        <item x="101"/>
        <item x="118"/>
        <item x="17"/>
        <item x="89"/>
        <item x="61"/>
        <item x="20"/>
        <item x="111"/>
        <item x="48"/>
        <item x="60"/>
        <item x="19"/>
        <item x="96"/>
        <item x="87"/>
        <item x="50"/>
        <item t="default"/>
      </items>
    </pivotField>
    <pivotField axis="axisPage" multipleItemSelectionAllowed="1" showAll="0">
      <items count="6">
        <item h="1" x="3"/>
        <item x="2"/>
        <item h="1" x="0"/>
        <item x="4"/>
        <item x="1"/>
        <item t="default"/>
      </items>
    </pivotField>
    <pivotField axis="axisPage" numFmtId="14" showAll="0">
      <items count="50">
        <item x="45"/>
        <item x="44"/>
        <item x="37"/>
        <item x="43"/>
        <item x="38"/>
        <item x="5"/>
        <item x="6"/>
        <item x="7"/>
        <item x="8"/>
        <item x="9"/>
        <item x="0"/>
        <item x="1"/>
        <item x="2"/>
        <item x="3"/>
        <item x="4"/>
        <item x="41"/>
        <item x="42"/>
        <item x="17"/>
        <item x="16"/>
        <item x="25"/>
        <item x="46"/>
        <item x="31"/>
        <item x="32"/>
        <item x="33"/>
        <item x="13"/>
        <item x="39"/>
        <item x="48"/>
        <item x="10"/>
        <item x="34"/>
        <item x="11"/>
        <item x="35"/>
        <item x="40"/>
        <item x="26"/>
        <item x="29"/>
        <item x="28"/>
        <item x="27"/>
        <item x="23"/>
        <item x="24"/>
        <item x="30"/>
        <item x="14"/>
        <item x="12"/>
        <item x="18"/>
        <item x="36"/>
        <item x="47"/>
        <item x="19"/>
        <item x="15"/>
        <item x="20"/>
        <item x="21"/>
        <item x="22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5"/>
        <item h="1" x="3"/>
        <item x="1"/>
        <item h="1" x="0"/>
        <item h="1" x="6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3"/>
  </rowFields>
  <rowItems count="61">
    <i>
      <x v="1"/>
    </i>
    <i r="1">
      <x v="2"/>
    </i>
    <i r="1">
      <x v="108"/>
    </i>
    <i r="1">
      <x v="111"/>
    </i>
    <i r="1">
      <x v="115"/>
    </i>
    <i>
      <x v="4"/>
    </i>
    <i r="1">
      <x v="104"/>
    </i>
    <i>
      <x v="5"/>
    </i>
    <i r="1">
      <x v="102"/>
    </i>
    <i>
      <x v="6"/>
    </i>
    <i r="1">
      <x v="100"/>
    </i>
    <i>
      <x v="9"/>
    </i>
    <i r="1">
      <x v="93"/>
    </i>
    <i>
      <x v="10"/>
    </i>
    <i r="1">
      <x v="9"/>
    </i>
    <i r="1">
      <x v="97"/>
    </i>
    <i r="1">
      <x v="113"/>
    </i>
    <i r="1">
      <x v="118"/>
    </i>
    <i>
      <x v="11"/>
    </i>
    <i r="1">
      <x v="6"/>
    </i>
    <i r="1">
      <x v="10"/>
    </i>
    <i r="1">
      <x v="11"/>
    </i>
    <i>
      <x v="12"/>
    </i>
    <i r="1">
      <x v="3"/>
    </i>
    <i r="1">
      <x v="13"/>
    </i>
    <i r="1">
      <x v="15"/>
    </i>
    <i r="1">
      <x v="16"/>
    </i>
    <i r="1">
      <x v="98"/>
    </i>
    <i r="1">
      <x v="114"/>
    </i>
    <i>
      <x v="13"/>
    </i>
    <i r="1">
      <x v="110"/>
    </i>
    <i>
      <x v="16"/>
    </i>
    <i r="1">
      <x v="99"/>
    </i>
    <i r="1">
      <x v="109"/>
    </i>
    <i>
      <x v="17"/>
    </i>
    <i r="1">
      <x v="1"/>
    </i>
    <i r="1">
      <x v="103"/>
    </i>
    <i>
      <x v="18"/>
    </i>
    <i r="1">
      <x v="96"/>
    </i>
    <i>
      <x v="20"/>
    </i>
    <i r="1">
      <x v="4"/>
    </i>
    <i r="1">
      <x v="94"/>
    </i>
    <i>
      <x v="22"/>
    </i>
    <i r="1">
      <x/>
    </i>
    <i r="1">
      <x v="106"/>
    </i>
    <i>
      <x v="23"/>
    </i>
    <i r="1">
      <x v="101"/>
    </i>
    <i>
      <x v="24"/>
    </i>
    <i r="1">
      <x v="8"/>
    </i>
    <i r="1">
      <x v="95"/>
    </i>
    <i>
      <x v="26"/>
    </i>
    <i r="1">
      <x v="7"/>
    </i>
    <i r="1">
      <x v="105"/>
    </i>
    <i r="1">
      <x v="112"/>
    </i>
    <i>
      <x v="29"/>
    </i>
    <i r="1">
      <x v="12"/>
    </i>
    <i r="1">
      <x v="14"/>
    </i>
    <i>
      <x v="30"/>
    </i>
    <i r="1">
      <x v="5"/>
    </i>
    <i r="1">
      <x v="107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EC112-33C1-4053-8C95-EE3513956A95}" name="TablaDinámica6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47" firstHeaderRow="0" firstDataRow="1" firstDataCol="1" rowPageCount="3" colPageCount="1"/>
  <pivotFields count="18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showAll="0">
      <items count="120">
        <item x="100"/>
        <item x="90"/>
        <item x="18"/>
        <item x="55"/>
        <item x="97"/>
        <item x="117"/>
        <item x="52"/>
        <item x="109"/>
        <item x="103"/>
        <item x="49"/>
        <item x="53"/>
        <item x="54"/>
        <item x="115"/>
        <item x="56"/>
        <item x="116"/>
        <item x="57"/>
        <item x="58"/>
        <item x="99"/>
        <item x="95"/>
        <item x="93"/>
        <item x="94"/>
        <item x="78"/>
        <item x="79"/>
        <item x="80"/>
        <item x="81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82"/>
        <item x="83"/>
        <item x="84"/>
        <item x="62"/>
        <item x="63"/>
        <item x="64"/>
        <item x="65"/>
        <item x="66"/>
        <item x="67"/>
        <item x="85"/>
        <item x="86"/>
        <item x="68"/>
        <item x="69"/>
        <item x="70"/>
        <item x="71"/>
        <item x="72"/>
        <item x="73"/>
        <item x="74"/>
        <item x="75"/>
        <item x="76"/>
        <item x="77"/>
        <item x="105"/>
        <item x="31"/>
        <item x="32"/>
        <item x="106"/>
        <item x="29"/>
        <item x="30"/>
        <item x="114"/>
        <item x="33"/>
        <item x="34"/>
        <item x="35"/>
        <item x="36"/>
        <item x="37"/>
        <item x="38"/>
        <item x="25"/>
        <item x="39"/>
        <item x="40"/>
        <item x="107"/>
        <item x="112"/>
        <item x="113"/>
        <item x="41"/>
        <item x="42"/>
        <item x="108"/>
        <item x="43"/>
        <item x="44"/>
        <item x="45"/>
        <item x="46"/>
        <item x="21"/>
        <item x="22"/>
        <item x="23"/>
        <item x="24"/>
        <item x="47"/>
        <item x="98"/>
        <item x="104"/>
        <item x="92"/>
        <item x="51"/>
        <item x="59"/>
        <item x="88"/>
        <item x="28"/>
        <item x="102"/>
        <item x="27"/>
        <item x="91"/>
        <item x="26"/>
        <item x="110"/>
        <item x="101"/>
        <item x="118"/>
        <item x="17"/>
        <item x="89"/>
        <item x="61"/>
        <item x="20"/>
        <item x="111"/>
        <item x="48"/>
        <item x="60"/>
        <item x="19"/>
        <item x="96"/>
        <item x="87"/>
        <item x="50"/>
        <item t="default"/>
      </items>
    </pivotField>
    <pivotField axis="axisPage" multipleItemSelectionAllowed="1" showAll="0">
      <items count="6">
        <item h="1" x="3"/>
        <item x="2"/>
        <item h="1" x="0"/>
        <item x="4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5"/>
        <item h="1" x="3"/>
        <item x="1"/>
        <item h="1" x="0"/>
        <item h="1" x="6"/>
        <item h="1" x="4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x="2"/>
        <item h="1" x="1"/>
        <item h="1" x="3"/>
        <item h="1" x="4"/>
        <item h="1" x="0"/>
        <item t="default"/>
      </items>
    </pivotField>
  </pivotFields>
  <rowFields count="2">
    <field x="1"/>
    <field x="3"/>
  </rowFields>
  <rowItems count="42">
    <i>
      <x v="1"/>
    </i>
    <i r="1">
      <x v="2"/>
    </i>
    <i r="1">
      <x v="111"/>
    </i>
    <i r="1">
      <x v="115"/>
    </i>
    <i>
      <x v="6"/>
    </i>
    <i r="1">
      <x v="100"/>
    </i>
    <i>
      <x v="10"/>
    </i>
    <i r="1">
      <x v="9"/>
    </i>
    <i r="1">
      <x v="97"/>
    </i>
    <i r="1">
      <x v="113"/>
    </i>
    <i>
      <x v="11"/>
    </i>
    <i r="1">
      <x v="6"/>
    </i>
    <i r="1">
      <x v="10"/>
    </i>
    <i r="1">
      <x v="11"/>
    </i>
    <i>
      <x v="12"/>
    </i>
    <i r="1">
      <x v="3"/>
    </i>
    <i r="1">
      <x v="13"/>
    </i>
    <i r="1">
      <x v="15"/>
    </i>
    <i r="1">
      <x v="16"/>
    </i>
    <i r="1">
      <x v="98"/>
    </i>
    <i r="1">
      <x v="114"/>
    </i>
    <i>
      <x v="13"/>
    </i>
    <i r="1">
      <x v="110"/>
    </i>
    <i>
      <x v="16"/>
    </i>
    <i r="1">
      <x v="109"/>
    </i>
    <i>
      <x v="18"/>
    </i>
    <i r="1">
      <x v="96"/>
    </i>
    <i>
      <x v="20"/>
    </i>
    <i r="1">
      <x v="4"/>
    </i>
    <i r="1">
      <x v="94"/>
    </i>
    <i>
      <x v="24"/>
    </i>
    <i r="1">
      <x v="8"/>
    </i>
    <i r="1">
      <x v="95"/>
    </i>
    <i>
      <x v="26"/>
    </i>
    <i r="1">
      <x v="7"/>
    </i>
    <i r="1">
      <x v="112"/>
    </i>
    <i>
      <x v="29"/>
    </i>
    <i r="1">
      <x v="12"/>
    </i>
    <i r="1">
      <x v="14"/>
    </i>
    <i>
      <x v="30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D293A-A97D-4380-B41B-20F1B2D07F8D}" name="TablaDinámica9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3:I46" firstHeaderRow="0" firstDataRow="1" firstDataCol="1" rowPageCount="3" colPageCount="1"/>
  <pivotFields count="18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showAll="0">
      <items count="120">
        <item x="100"/>
        <item x="90"/>
        <item x="18"/>
        <item x="55"/>
        <item x="97"/>
        <item x="117"/>
        <item x="52"/>
        <item x="109"/>
        <item x="103"/>
        <item x="49"/>
        <item x="53"/>
        <item x="54"/>
        <item x="115"/>
        <item x="56"/>
        <item x="116"/>
        <item x="57"/>
        <item x="58"/>
        <item x="99"/>
        <item x="95"/>
        <item x="93"/>
        <item x="94"/>
        <item x="78"/>
        <item x="79"/>
        <item x="80"/>
        <item x="81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82"/>
        <item x="83"/>
        <item x="84"/>
        <item x="62"/>
        <item x="63"/>
        <item x="64"/>
        <item x="65"/>
        <item x="66"/>
        <item x="67"/>
        <item x="85"/>
        <item x="86"/>
        <item x="68"/>
        <item x="69"/>
        <item x="70"/>
        <item x="71"/>
        <item x="72"/>
        <item x="73"/>
        <item x="74"/>
        <item x="75"/>
        <item x="76"/>
        <item x="77"/>
        <item x="105"/>
        <item x="31"/>
        <item x="32"/>
        <item x="106"/>
        <item x="29"/>
        <item x="30"/>
        <item x="114"/>
        <item x="33"/>
        <item x="34"/>
        <item x="35"/>
        <item x="36"/>
        <item x="37"/>
        <item x="38"/>
        <item x="25"/>
        <item x="39"/>
        <item x="40"/>
        <item x="107"/>
        <item x="112"/>
        <item x="113"/>
        <item x="41"/>
        <item x="42"/>
        <item x="108"/>
        <item x="43"/>
        <item x="44"/>
        <item x="45"/>
        <item x="46"/>
        <item x="21"/>
        <item x="22"/>
        <item x="23"/>
        <item x="24"/>
        <item x="47"/>
        <item x="98"/>
        <item x="104"/>
        <item x="92"/>
        <item x="51"/>
        <item x="59"/>
        <item x="88"/>
        <item x="28"/>
        <item x="102"/>
        <item x="27"/>
        <item x="91"/>
        <item x="26"/>
        <item x="110"/>
        <item x="101"/>
        <item x="118"/>
        <item x="17"/>
        <item x="89"/>
        <item x="61"/>
        <item x="20"/>
        <item x="111"/>
        <item x="48"/>
        <item x="60"/>
        <item x="19"/>
        <item x="96"/>
        <item x="87"/>
        <item x="50"/>
        <item t="default"/>
      </items>
    </pivotField>
    <pivotField axis="axisPage" multipleItemSelectionAllowed="1" showAll="0">
      <items count="6">
        <item h="1" x="3"/>
        <item x="2"/>
        <item h="1" x="0"/>
        <item x="4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5"/>
        <item h="1" x="3"/>
        <item x="1"/>
        <item h="1" x="0"/>
        <item h="1" x="6"/>
        <item h="1" x="4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h="1" x="2"/>
        <item h="1" x="1"/>
        <item h="1" x="3"/>
        <item x="4"/>
        <item h="1" x="0"/>
        <item t="default"/>
      </items>
    </pivotField>
  </pivotFields>
  <rowFields count="2">
    <field x="1"/>
    <field x="3"/>
  </rowFields>
  <rowItems count="3">
    <i>
      <x v="5"/>
    </i>
    <i r="1">
      <x v="10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7CED5-6D75-49A7-BBBA-30F383924F88}" name="TablaDinámica8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2:I37" firstHeaderRow="0" firstDataRow="1" firstDataCol="1" rowPageCount="3" colPageCount="1"/>
  <pivotFields count="18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showAll="0">
      <items count="120">
        <item x="100"/>
        <item x="90"/>
        <item x="18"/>
        <item x="55"/>
        <item x="97"/>
        <item x="117"/>
        <item x="52"/>
        <item x="109"/>
        <item x="103"/>
        <item x="49"/>
        <item x="53"/>
        <item x="54"/>
        <item x="115"/>
        <item x="56"/>
        <item x="116"/>
        <item x="57"/>
        <item x="58"/>
        <item x="99"/>
        <item x="95"/>
        <item x="93"/>
        <item x="94"/>
        <item x="78"/>
        <item x="79"/>
        <item x="80"/>
        <item x="81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82"/>
        <item x="83"/>
        <item x="84"/>
        <item x="62"/>
        <item x="63"/>
        <item x="64"/>
        <item x="65"/>
        <item x="66"/>
        <item x="67"/>
        <item x="85"/>
        <item x="86"/>
        <item x="68"/>
        <item x="69"/>
        <item x="70"/>
        <item x="71"/>
        <item x="72"/>
        <item x="73"/>
        <item x="74"/>
        <item x="75"/>
        <item x="76"/>
        <item x="77"/>
        <item x="105"/>
        <item x="31"/>
        <item x="32"/>
        <item x="106"/>
        <item x="29"/>
        <item x="30"/>
        <item x="114"/>
        <item x="33"/>
        <item x="34"/>
        <item x="35"/>
        <item x="36"/>
        <item x="37"/>
        <item x="38"/>
        <item x="25"/>
        <item x="39"/>
        <item x="40"/>
        <item x="107"/>
        <item x="112"/>
        <item x="113"/>
        <item x="41"/>
        <item x="42"/>
        <item x="108"/>
        <item x="43"/>
        <item x="44"/>
        <item x="45"/>
        <item x="46"/>
        <item x="21"/>
        <item x="22"/>
        <item x="23"/>
        <item x="24"/>
        <item x="47"/>
        <item x="98"/>
        <item x="104"/>
        <item x="92"/>
        <item x="51"/>
        <item x="59"/>
        <item x="88"/>
        <item x="28"/>
        <item x="102"/>
        <item x="27"/>
        <item x="91"/>
        <item x="26"/>
        <item x="110"/>
        <item x="101"/>
        <item x="118"/>
        <item x="17"/>
        <item x="89"/>
        <item x="61"/>
        <item x="20"/>
        <item x="111"/>
        <item x="48"/>
        <item x="60"/>
        <item x="19"/>
        <item x="96"/>
        <item x="87"/>
        <item x="50"/>
        <item t="default"/>
      </items>
    </pivotField>
    <pivotField axis="axisPage" multipleItemSelectionAllowed="1" showAll="0">
      <items count="6">
        <item h="1" x="3"/>
        <item x="2"/>
        <item h="1" x="0"/>
        <item x="4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5"/>
        <item h="1" x="3"/>
        <item x="1"/>
        <item h="1" x="0"/>
        <item h="1" x="6"/>
        <item h="1" x="4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h="1" x="2"/>
        <item h="1" x="1"/>
        <item x="3"/>
        <item h="1" x="4"/>
        <item h="1" x="0"/>
        <item t="default"/>
      </items>
    </pivotField>
  </pivotFields>
  <rowFields count="2">
    <field x="1"/>
    <field x="3"/>
  </rowFields>
  <rowItems count="15">
    <i>
      <x v="4"/>
    </i>
    <i r="1">
      <x v="104"/>
    </i>
    <i>
      <x v="10"/>
    </i>
    <i r="1">
      <x v="118"/>
    </i>
    <i>
      <x v="16"/>
    </i>
    <i r="1">
      <x v="99"/>
    </i>
    <i>
      <x v="17"/>
    </i>
    <i r="1">
      <x v="103"/>
    </i>
    <i>
      <x v="22"/>
    </i>
    <i r="1">
      <x v="106"/>
    </i>
    <i>
      <x v="23"/>
    </i>
    <i r="1">
      <x v="101"/>
    </i>
    <i>
      <x v="26"/>
    </i>
    <i r="1">
      <x v="10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306F0-F80F-4430-A6EB-042A2F6D948C}" name="TablaDinámica7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16" firstHeaderRow="0" firstDataRow="1" firstDataCol="1" rowPageCount="3" colPageCount="1"/>
  <pivotFields count="18"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showAll="0">
      <items count="120">
        <item x="100"/>
        <item x="90"/>
        <item x="18"/>
        <item x="55"/>
        <item x="97"/>
        <item x="117"/>
        <item x="52"/>
        <item x="109"/>
        <item x="103"/>
        <item x="49"/>
        <item x="53"/>
        <item x="54"/>
        <item x="115"/>
        <item x="56"/>
        <item x="116"/>
        <item x="57"/>
        <item x="58"/>
        <item x="99"/>
        <item x="95"/>
        <item x="93"/>
        <item x="94"/>
        <item x="78"/>
        <item x="79"/>
        <item x="80"/>
        <item x="81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82"/>
        <item x="83"/>
        <item x="84"/>
        <item x="62"/>
        <item x="63"/>
        <item x="64"/>
        <item x="65"/>
        <item x="66"/>
        <item x="67"/>
        <item x="85"/>
        <item x="86"/>
        <item x="68"/>
        <item x="69"/>
        <item x="70"/>
        <item x="71"/>
        <item x="72"/>
        <item x="73"/>
        <item x="74"/>
        <item x="75"/>
        <item x="76"/>
        <item x="77"/>
        <item x="105"/>
        <item x="31"/>
        <item x="32"/>
        <item x="106"/>
        <item x="29"/>
        <item x="30"/>
        <item x="114"/>
        <item x="33"/>
        <item x="34"/>
        <item x="35"/>
        <item x="36"/>
        <item x="37"/>
        <item x="38"/>
        <item x="25"/>
        <item x="39"/>
        <item x="40"/>
        <item x="107"/>
        <item x="112"/>
        <item x="113"/>
        <item x="41"/>
        <item x="42"/>
        <item x="108"/>
        <item x="43"/>
        <item x="44"/>
        <item x="45"/>
        <item x="46"/>
        <item x="21"/>
        <item x="22"/>
        <item x="23"/>
        <item x="24"/>
        <item x="47"/>
        <item x="98"/>
        <item x="104"/>
        <item x="92"/>
        <item x="51"/>
        <item x="59"/>
        <item x="88"/>
        <item x="28"/>
        <item x="102"/>
        <item x="27"/>
        <item x="91"/>
        <item x="26"/>
        <item x="110"/>
        <item x="101"/>
        <item x="118"/>
        <item x="17"/>
        <item x="89"/>
        <item x="61"/>
        <item x="20"/>
        <item x="111"/>
        <item x="48"/>
        <item x="60"/>
        <item x="19"/>
        <item x="96"/>
        <item x="87"/>
        <item x="50"/>
        <item t="default"/>
      </items>
    </pivotField>
    <pivotField axis="axisPage" multipleItemSelectionAllowed="1" showAll="0">
      <items count="6">
        <item h="1" x="3"/>
        <item x="2"/>
        <item h="1" x="0"/>
        <item x="4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5"/>
        <item h="1" x="3"/>
        <item x="1"/>
        <item h="1" x="0"/>
        <item h="1" x="6"/>
        <item h="1" x="4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h="1" x="2"/>
        <item x="1"/>
        <item h="1" x="3"/>
        <item h="1" x="4"/>
        <item h="1" x="0"/>
        <item t="default"/>
      </items>
    </pivotField>
  </pivotFields>
  <rowFields count="2">
    <field x="1"/>
    <field x="3"/>
  </rowFields>
  <rowItems count="11">
    <i>
      <x v="1"/>
    </i>
    <i r="1">
      <x v="108"/>
    </i>
    <i>
      <x v="9"/>
    </i>
    <i r="1">
      <x v="93"/>
    </i>
    <i>
      <x v="17"/>
    </i>
    <i r="1">
      <x v="1"/>
    </i>
    <i>
      <x v="22"/>
    </i>
    <i r="1">
      <x/>
    </i>
    <i>
      <x v="30"/>
    </i>
    <i r="1">
      <x v="10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F89CCF-60F7-4835-8DE9-08F72ECD8A23}" name="Tabla1" displayName="Tabla1" ref="A3:R4" totalsRowShown="0">
  <autoFilter ref="A3:R4" xr:uid="{6EF89CCF-60F7-4835-8DE9-08F72ECD8A23}"/>
  <tableColumns count="18">
    <tableColumn id="1" xr3:uid="{F1D191DE-3C56-4ACE-A05F-9624023C9A34}" name="Cliente"/>
    <tableColumn id="2" xr3:uid="{117AA9FB-A632-4D9E-9B0D-F19CF66B8598}" name="Nombre de cliente"/>
    <tableColumn id="3" xr3:uid="{5B59781A-199A-4165-BCB8-732E7AA564C1}" name="Nº documento"/>
    <tableColumn id="4" xr3:uid="{66B5628A-A640-4D58-AB3D-6152278F0850}" name="Referencia"/>
    <tableColumn id="5" xr3:uid="{7541C353-B2D2-4898-9D9A-CFA2B69795B9}" name="Clase de documento"/>
    <tableColumn id="6" xr3:uid="{1714168F-3414-4A46-9F79-896BC48179DB}" name="Fecha de documento"/>
    <tableColumn id="7" xr3:uid="{F5A6C5B3-030F-474A-998B-ED3A77A55623}" name="Demora tras vencimiento neto"/>
    <tableColumn id="8" xr3:uid="{54BA96F0-4C99-420F-8A03-3570000FB487}" name="Fecha de pago"/>
    <tableColumn id="9" xr3:uid="{8B3DD90B-4EA2-497B-9DC5-A80D20A789BE}" name="Importe en moneda doc."/>
    <tableColumn id="10" xr3:uid="{0DBEBE40-F9D8-4E76-8419-A180A367383C}" name="Moneda del documento"/>
    <tableColumn id="11" xr3:uid="{83A4F5CE-D911-4434-BCD4-9D07783356FB}" name="UNIDAD DE NEGOCIO"/>
    <tableColumn id="12" xr3:uid="{640A4013-727F-40D3-BC77-7896F4B35BB6}" name="FECHA IDEAL DE PAGO"/>
    <tableColumn id="13" xr3:uid="{2F203FBE-768A-4196-8731-C11D6A6A076C}" name="DÍAS VENCIDOS"/>
    <tableColumn id="14" xr3:uid="{4679D9F1-63FE-449A-AA8F-24C79C28CFFC}" name="Vcto finanzas SEMANA PASADA"/>
    <tableColumn id="15" xr3:uid="{452AFCC9-857C-43A8-A740-20D1DBD80E8D}" name="Vcto finanzas"/>
    <tableColumn id="16" xr3:uid="{2D2B6F36-5661-4819-8C05-15092DC59633}" name="USD HOMOL"/>
    <tableColumn id="17" xr3:uid="{FD3A8490-7FC0-4293-A412-45521AF54EF3}" name="DÍAS ATRASADOS"/>
    <tableColumn id="18" xr3:uid="{FE741E24-CB60-402E-B867-A7CC7626E052}" name="ANTIGÜE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322D-CF12-48A3-80E7-5427B56A3E40}">
  <dimension ref="A1:R3"/>
  <sheetViews>
    <sheetView workbookViewId="0">
      <selection activeCell="A3" sqref="A3:R4"/>
    </sheetView>
  </sheetViews>
  <sheetFormatPr baseColWidth="10" defaultRowHeight="14.4" x14ac:dyDescent="0.3"/>
  <cols>
    <col min="1" max="1" width="11.6640625" bestFit="1" customWidth="1"/>
    <col min="2" max="2" width="18.6640625" bestFit="1" customWidth="1"/>
    <col min="3" max="3" width="15.21875" bestFit="1" customWidth="1"/>
    <col min="4" max="4" width="12.109375" bestFit="1" customWidth="1"/>
    <col min="5" max="5" width="20.21875" bestFit="1" customWidth="1"/>
    <col min="6" max="6" width="20.5546875" bestFit="1" customWidth="1"/>
    <col min="7" max="7" width="28.21875" bestFit="1" customWidth="1"/>
    <col min="8" max="8" width="15" bestFit="1" customWidth="1"/>
    <col min="9" max="9" width="23.5546875" bestFit="1" customWidth="1"/>
    <col min="10" max="10" width="22.6640625" bestFit="1" customWidth="1"/>
    <col min="11" max="11" width="21" bestFit="1" customWidth="1"/>
    <col min="12" max="12" width="21.88671875" bestFit="1" customWidth="1"/>
    <col min="13" max="13" width="16.44140625" bestFit="1" customWidth="1"/>
    <col min="14" max="14" width="29.109375" bestFit="1" customWidth="1"/>
    <col min="15" max="15" width="14.21875" bestFit="1" customWidth="1"/>
    <col min="16" max="16" width="13.44140625" bestFit="1" customWidth="1"/>
    <col min="17" max="17" width="17.6640625" bestFit="1" customWidth="1"/>
    <col min="18" max="18" width="14.21875" bestFit="1" customWidth="1"/>
  </cols>
  <sheetData>
    <row r="1" spans="1:18" x14ac:dyDescent="0.3">
      <c r="A1" s="26" t="s">
        <v>431</v>
      </c>
    </row>
    <row r="3" spans="1:1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398</v>
      </c>
      <c r="L3" t="s">
        <v>406</v>
      </c>
      <c r="M3" t="s">
        <v>407</v>
      </c>
      <c r="N3" t="s">
        <v>408</v>
      </c>
      <c r="O3" t="s">
        <v>409</v>
      </c>
      <c r="P3" t="s">
        <v>410</v>
      </c>
      <c r="Q3" t="s">
        <v>411</v>
      </c>
      <c r="R3" t="s">
        <v>412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C266-EA3B-49DD-AFFA-74CE03610621}">
  <dimension ref="A1:AA25"/>
  <sheetViews>
    <sheetView showGridLines="0" tabSelected="1" zoomScale="80" zoomScaleNormal="80" workbookViewId="0">
      <pane xSplit="1" ySplit="5" topLeftCell="G6" activePane="bottomRight" state="frozen"/>
      <selection pane="topRight" activeCell="B1" sqref="B1"/>
      <selection pane="bottomLeft" activeCell="A6" sqref="A6"/>
      <selection pane="bottomRight" activeCell="L30" sqref="L30"/>
    </sheetView>
  </sheetViews>
  <sheetFormatPr baseColWidth="10" defaultRowHeight="14.4" x14ac:dyDescent="0.3"/>
  <cols>
    <col min="1" max="1" width="37.88671875" bestFit="1" customWidth="1"/>
    <col min="2" max="2" width="22.77734375" bestFit="1" customWidth="1"/>
    <col min="3" max="3" width="10.33203125" bestFit="1" customWidth="1"/>
    <col min="4" max="9" width="9.33203125" bestFit="1" customWidth="1"/>
    <col min="10" max="16" width="10.33203125" bestFit="1" customWidth="1"/>
    <col min="17" max="18" width="9.33203125" bestFit="1" customWidth="1"/>
    <col min="19" max="26" width="10.33203125" bestFit="1" customWidth="1"/>
    <col min="27" max="27" width="12.21875" bestFit="1" customWidth="1"/>
    <col min="28" max="28" width="10.33203125" bestFit="1" customWidth="1"/>
    <col min="29" max="29" width="10.77734375" bestFit="1" customWidth="1"/>
    <col min="30" max="30" width="9.33203125" bestFit="1" customWidth="1"/>
    <col min="31" max="39" width="10.33203125" bestFit="1" customWidth="1"/>
    <col min="40" max="40" width="10.109375" bestFit="1" customWidth="1"/>
    <col min="41" max="45" width="10.33203125" bestFit="1" customWidth="1"/>
    <col min="46" max="48" width="11.6640625" bestFit="1" customWidth="1"/>
  </cols>
  <sheetData>
    <row r="1" spans="1:27" x14ac:dyDescent="0.3">
      <c r="A1" s="18" t="s">
        <v>4</v>
      </c>
      <c r="B1" t="s">
        <v>427</v>
      </c>
    </row>
    <row r="2" spans="1:27" x14ac:dyDescent="0.3">
      <c r="A2" s="18" t="s">
        <v>398</v>
      </c>
      <c r="B2" t="s">
        <v>403</v>
      </c>
    </row>
    <row r="4" spans="1:27" x14ac:dyDescent="0.3">
      <c r="A4" s="18" t="s">
        <v>423</v>
      </c>
      <c r="B4" s="18" t="s">
        <v>426</v>
      </c>
      <c r="J4" s="23"/>
      <c r="K4" s="23"/>
      <c r="L4" s="23"/>
      <c r="M4" s="23"/>
      <c r="N4" s="23"/>
      <c r="O4" s="23"/>
      <c r="P4" s="23"/>
    </row>
    <row r="5" spans="1:27" x14ac:dyDescent="0.3">
      <c r="A5" s="18" t="s">
        <v>422</v>
      </c>
      <c r="B5" s="15">
        <v>46140</v>
      </c>
      <c r="C5" s="15">
        <v>46168</v>
      </c>
      <c r="D5" s="15">
        <v>46175</v>
      </c>
      <c r="E5" s="15">
        <v>46178</v>
      </c>
      <c r="F5" s="15">
        <v>46148</v>
      </c>
      <c r="G5" s="15">
        <v>46181</v>
      </c>
      <c r="H5" s="15">
        <v>46182</v>
      </c>
      <c r="I5" s="15">
        <v>46204</v>
      </c>
      <c r="J5" s="24">
        <v>46219</v>
      </c>
      <c r="K5" s="24">
        <v>46220</v>
      </c>
      <c r="L5" s="24">
        <v>46223</v>
      </c>
      <c r="M5" s="24">
        <v>46224</v>
      </c>
      <c r="N5" s="24">
        <v>46227</v>
      </c>
      <c r="O5" s="24">
        <v>46231</v>
      </c>
      <c r="P5" s="24">
        <v>46234</v>
      </c>
      <c r="Q5" s="15">
        <v>46235</v>
      </c>
      <c r="R5" s="15">
        <v>46237</v>
      </c>
      <c r="S5" s="15">
        <v>46244</v>
      </c>
      <c r="T5" s="15">
        <v>46246</v>
      </c>
      <c r="U5" s="15">
        <v>46252</v>
      </c>
      <c r="V5" s="15">
        <v>46254</v>
      </c>
      <c r="W5" s="15">
        <v>46256</v>
      </c>
      <c r="X5" s="15">
        <v>46258</v>
      </c>
      <c r="Y5" s="15">
        <v>46260</v>
      </c>
      <c r="Z5" s="15">
        <v>46263</v>
      </c>
      <c r="AA5" t="s">
        <v>424</v>
      </c>
    </row>
    <row r="6" spans="1:27" x14ac:dyDescent="0.3">
      <c r="A6" s="19" t="s">
        <v>66</v>
      </c>
      <c r="B6" s="22"/>
      <c r="C6" s="22"/>
      <c r="D6" s="22"/>
      <c r="E6" s="22"/>
      <c r="F6" s="22"/>
      <c r="G6" s="22"/>
      <c r="H6" s="22"/>
      <c r="I6" s="22"/>
      <c r="J6" s="25"/>
      <c r="K6" s="25">
        <v>313260</v>
      </c>
      <c r="L6" s="25"/>
      <c r="M6" s="25"/>
      <c r="N6" s="25"/>
      <c r="O6" s="25"/>
      <c r="P6" s="25"/>
      <c r="Q6" s="22"/>
      <c r="R6" s="22"/>
      <c r="S6" s="22">
        <v>336990</v>
      </c>
      <c r="T6" s="22"/>
      <c r="U6" s="22"/>
      <c r="V6" s="22"/>
      <c r="W6" s="22"/>
      <c r="X6" s="22"/>
      <c r="Y6" s="22"/>
      <c r="Z6" s="22">
        <v>218730</v>
      </c>
      <c r="AA6" s="22">
        <v>868980</v>
      </c>
    </row>
    <row r="7" spans="1:27" x14ac:dyDescent="0.3">
      <c r="A7" s="19" t="s">
        <v>98</v>
      </c>
      <c r="B7" s="22"/>
      <c r="C7" s="22"/>
      <c r="D7" s="22"/>
      <c r="E7" s="22"/>
      <c r="F7" s="22"/>
      <c r="G7" s="22"/>
      <c r="H7" s="22"/>
      <c r="I7" s="22"/>
      <c r="J7" s="25"/>
      <c r="K7" s="25"/>
      <c r="L7" s="25"/>
      <c r="M7" s="25"/>
      <c r="N7" s="25"/>
      <c r="O7" s="25"/>
      <c r="P7" s="25">
        <v>15163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>
        <v>15163</v>
      </c>
    </row>
    <row r="8" spans="1:27" x14ac:dyDescent="0.3">
      <c r="A8" s="19" t="s">
        <v>102</v>
      </c>
      <c r="B8" s="22"/>
      <c r="C8" s="22"/>
      <c r="D8" s="22"/>
      <c r="E8" s="22"/>
      <c r="F8" s="22"/>
      <c r="G8" s="22"/>
      <c r="H8" s="22"/>
      <c r="I8" s="22"/>
      <c r="J8" s="25"/>
      <c r="K8" s="25"/>
      <c r="L8" s="25"/>
      <c r="M8" s="25"/>
      <c r="N8" s="25"/>
      <c r="O8" s="25"/>
      <c r="P8" s="25">
        <v>16355.92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>
        <v>16355.92</v>
      </c>
    </row>
    <row r="9" spans="1:27" x14ac:dyDescent="0.3">
      <c r="A9" s="19" t="s">
        <v>106</v>
      </c>
      <c r="B9" s="22"/>
      <c r="C9" s="22"/>
      <c r="D9" s="22"/>
      <c r="E9" s="22"/>
      <c r="F9" s="22"/>
      <c r="G9" s="22"/>
      <c r="H9" s="22"/>
      <c r="I9" s="22">
        <v>-14712</v>
      </c>
      <c r="J9" s="25"/>
      <c r="K9" s="25"/>
      <c r="L9" s="25"/>
      <c r="M9" s="25"/>
      <c r="N9" s="25"/>
      <c r="O9" s="25"/>
      <c r="P9" s="25"/>
      <c r="Q9" s="22"/>
      <c r="R9" s="22"/>
      <c r="S9" s="22"/>
      <c r="T9" s="22"/>
      <c r="U9" s="22"/>
      <c r="V9" s="22"/>
      <c r="W9" s="22"/>
      <c r="X9" s="22"/>
      <c r="Y9" s="22"/>
      <c r="Z9" s="22"/>
      <c r="AA9" s="22">
        <v>-14712</v>
      </c>
    </row>
    <row r="10" spans="1:27" x14ac:dyDescent="0.3">
      <c r="A10" s="19" t="s">
        <v>166</v>
      </c>
      <c r="B10" s="22"/>
      <c r="C10" s="22">
        <v>-34580</v>
      </c>
      <c r="D10" s="22"/>
      <c r="E10" s="22"/>
      <c r="F10" s="22"/>
      <c r="G10" s="22"/>
      <c r="H10" s="22"/>
      <c r="I10" s="22"/>
      <c r="J10" s="25"/>
      <c r="K10" s="25"/>
      <c r="L10" s="25"/>
      <c r="M10" s="25"/>
      <c r="N10" s="25"/>
      <c r="O10" s="25"/>
      <c r="P10" s="25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>
        <v>-34580</v>
      </c>
    </row>
    <row r="11" spans="1:27" x14ac:dyDescent="0.3">
      <c r="A11" s="19" t="s">
        <v>170</v>
      </c>
      <c r="B11" s="22">
        <v>-1504</v>
      </c>
      <c r="C11" s="22"/>
      <c r="D11" s="22"/>
      <c r="E11" s="22"/>
      <c r="F11" s="22"/>
      <c r="G11" s="22">
        <v>-33677</v>
      </c>
      <c r="H11" s="22"/>
      <c r="I11" s="22"/>
      <c r="J11" s="25"/>
      <c r="K11" s="25"/>
      <c r="L11" s="25"/>
      <c r="M11" s="25"/>
      <c r="N11" s="25"/>
      <c r="O11" s="25"/>
      <c r="P11" s="25"/>
      <c r="Q11" s="22"/>
      <c r="R11" s="22"/>
      <c r="S11" s="22"/>
      <c r="T11" s="22"/>
      <c r="U11" s="22"/>
      <c r="V11" s="22">
        <v>16334.54</v>
      </c>
      <c r="W11" s="22">
        <v>135200</v>
      </c>
      <c r="X11" s="22"/>
      <c r="Y11" s="22"/>
      <c r="Z11" s="22"/>
      <c r="AA11" s="22">
        <v>116353.54000000001</v>
      </c>
    </row>
    <row r="12" spans="1:27" x14ac:dyDescent="0.3">
      <c r="A12" s="19" t="s">
        <v>182</v>
      </c>
      <c r="B12" s="22"/>
      <c r="C12" s="22"/>
      <c r="D12" s="22"/>
      <c r="E12" s="22"/>
      <c r="F12" s="22"/>
      <c r="G12" s="22"/>
      <c r="H12" s="22"/>
      <c r="I12" s="22"/>
      <c r="J12" s="25"/>
      <c r="K12" s="25"/>
      <c r="L12" s="25"/>
      <c r="M12" s="25"/>
      <c r="N12" s="25"/>
      <c r="O12" s="25"/>
      <c r="P12" s="25"/>
      <c r="Q12" s="22"/>
      <c r="R12" s="22">
        <v>421200</v>
      </c>
      <c r="S12" s="22"/>
      <c r="T12" s="22"/>
      <c r="U12" s="22"/>
      <c r="V12" s="22"/>
      <c r="W12" s="22"/>
      <c r="X12" s="22"/>
      <c r="Y12" s="22"/>
      <c r="Z12" s="22">
        <v>316467</v>
      </c>
      <c r="AA12" s="22">
        <v>737667</v>
      </c>
    </row>
    <row r="13" spans="1:27" x14ac:dyDescent="0.3">
      <c r="A13" s="19" t="s">
        <v>192</v>
      </c>
      <c r="B13" s="22"/>
      <c r="C13" s="22"/>
      <c r="D13" s="22"/>
      <c r="E13" s="22"/>
      <c r="F13" s="22"/>
      <c r="G13" s="22"/>
      <c r="H13" s="22">
        <v>-159925</v>
      </c>
      <c r="I13" s="22"/>
      <c r="J13" s="25"/>
      <c r="K13" s="25"/>
      <c r="L13" s="25"/>
      <c r="M13" s="25"/>
      <c r="N13" s="25"/>
      <c r="O13" s="25">
        <v>113004</v>
      </c>
      <c r="P13" s="25"/>
      <c r="Q13" s="22"/>
      <c r="R13" s="22"/>
      <c r="S13" s="22"/>
      <c r="T13" s="22"/>
      <c r="U13" s="22"/>
      <c r="V13" s="22"/>
      <c r="W13" s="22"/>
      <c r="X13" s="22"/>
      <c r="Y13" s="22">
        <v>213454</v>
      </c>
      <c r="Z13" s="22">
        <v>915642</v>
      </c>
      <c r="AA13" s="22">
        <v>1082175</v>
      </c>
    </row>
    <row r="14" spans="1:27" x14ac:dyDescent="0.3">
      <c r="A14" s="19" t="s">
        <v>211</v>
      </c>
      <c r="B14" s="22"/>
      <c r="C14" s="22"/>
      <c r="D14" s="22"/>
      <c r="E14" s="22"/>
      <c r="F14" s="22"/>
      <c r="G14" s="22"/>
      <c r="H14" s="22"/>
      <c r="I14" s="22"/>
      <c r="J14" s="25"/>
      <c r="K14" s="25"/>
      <c r="L14" s="25"/>
      <c r="M14" s="25"/>
      <c r="N14" s="25"/>
      <c r="O14" s="25">
        <v>45810</v>
      </c>
      <c r="P14" s="25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>
        <v>45810</v>
      </c>
    </row>
    <row r="15" spans="1:27" x14ac:dyDescent="0.3">
      <c r="A15" s="19" t="s">
        <v>295</v>
      </c>
      <c r="B15" s="22"/>
      <c r="C15" s="22"/>
      <c r="D15" s="22"/>
      <c r="E15" s="22"/>
      <c r="F15" s="22">
        <v>-33334</v>
      </c>
      <c r="G15" s="22"/>
      <c r="H15" s="22"/>
      <c r="I15" s="22"/>
      <c r="J15" s="25"/>
      <c r="K15" s="25"/>
      <c r="L15" s="25"/>
      <c r="M15" s="25"/>
      <c r="N15" s="25"/>
      <c r="O15" s="25"/>
      <c r="P15" s="25"/>
      <c r="Q15" s="22">
        <v>67008</v>
      </c>
      <c r="R15" s="22"/>
      <c r="S15" s="22"/>
      <c r="T15" s="22"/>
      <c r="U15" s="22"/>
      <c r="V15" s="22"/>
      <c r="W15" s="22"/>
      <c r="X15" s="22"/>
      <c r="Y15" s="22"/>
      <c r="Z15" s="22"/>
      <c r="AA15" s="22">
        <v>33674</v>
      </c>
    </row>
    <row r="16" spans="1:27" x14ac:dyDescent="0.3">
      <c r="A16" s="19" t="s">
        <v>302</v>
      </c>
      <c r="B16" s="22"/>
      <c r="C16" s="22"/>
      <c r="D16" s="22"/>
      <c r="E16" s="22"/>
      <c r="F16" s="22"/>
      <c r="G16" s="22"/>
      <c r="H16" s="22"/>
      <c r="I16" s="22"/>
      <c r="J16" s="25"/>
      <c r="K16" s="25"/>
      <c r="L16" s="25"/>
      <c r="M16" s="25">
        <v>80600</v>
      </c>
      <c r="N16" s="25"/>
      <c r="O16" s="25"/>
      <c r="P16" s="25">
        <v>10284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>
        <v>90884</v>
      </c>
    </row>
    <row r="17" spans="1:27" x14ac:dyDescent="0.3">
      <c r="A17" s="19" t="s">
        <v>309</v>
      </c>
      <c r="B17" s="22"/>
      <c r="C17" s="22"/>
      <c r="D17" s="22"/>
      <c r="E17" s="22">
        <v>-13728</v>
      </c>
      <c r="F17" s="22"/>
      <c r="G17" s="22"/>
      <c r="H17" s="22"/>
      <c r="I17" s="22"/>
      <c r="J17" s="25"/>
      <c r="K17" s="25"/>
      <c r="L17" s="25"/>
      <c r="M17" s="25"/>
      <c r="N17" s="25"/>
      <c r="O17" s="25"/>
      <c r="P17" s="25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>
        <v>-13728</v>
      </c>
    </row>
    <row r="18" spans="1:27" x14ac:dyDescent="0.3">
      <c r="A18" s="19" t="s">
        <v>326</v>
      </c>
      <c r="B18" s="22"/>
      <c r="C18" s="22"/>
      <c r="D18" s="22">
        <v>-6470</v>
      </c>
      <c r="E18" s="22"/>
      <c r="F18" s="22"/>
      <c r="G18" s="22"/>
      <c r="H18" s="22"/>
      <c r="I18" s="22"/>
      <c r="J18" s="25"/>
      <c r="K18" s="25"/>
      <c r="L18" s="25"/>
      <c r="M18" s="25"/>
      <c r="N18" s="25"/>
      <c r="O18" s="25"/>
      <c r="P18" s="25"/>
      <c r="Q18" s="22"/>
      <c r="R18" s="22"/>
      <c r="S18" s="22"/>
      <c r="T18" s="22">
        <v>29250</v>
      </c>
      <c r="U18" s="22"/>
      <c r="V18" s="22"/>
      <c r="W18" s="22"/>
      <c r="X18" s="22"/>
      <c r="Y18" s="22"/>
      <c r="Z18" s="22"/>
      <c r="AA18" s="22">
        <v>22780</v>
      </c>
    </row>
    <row r="19" spans="1:27" x14ac:dyDescent="0.3">
      <c r="A19" s="19" t="s">
        <v>337</v>
      </c>
      <c r="B19" s="22"/>
      <c r="C19" s="22"/>
      <c r="D19" s="22"/>
      <c r="E19" s="22"/>
      <c r="F19" s="22"/>
      <c r="G19" s="22"/>
      <c r="H19" s="22"/>
      <c r="I19" s="22"/>
      <c r="J19" s="25">
        <v>230850</v>
      </c>
      <c r="K19" s="25"/>
      <c r="L19" s="25">
        <v>162355</v>
      </c>
      <c r="M19" s="25"/>
      <c r="N19" s="25"/>
      <c r="O19" s="25"/>
      <c r="P19" s="25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>
        <v>393205</v>
      </c>
    </row>
    <row r="20" spans="1:27" x14ac:dyDescent="0.3">
      <c r="A20" s="19" t="s">
        <v>419</v>
      </c>
      <c r="B20" s="22"/>
      <c r="C20" s="22"/>
      <c r="D20" s="22"/>
      <c r="E20" s="22"/>
      <c r="F20" s="22"/>
      <c r="G20" s="22"/>
      <c r="H20" s="22"/>
      <c r="I20" s="22"/>
      <c r="J20" s="25"/>
      <c r="K20" s="25"/>
      <c r="L20" s="25"/>
      <c r="M20" s="25"/>
      <c r="N20" s="25"/>
      <c r="O20" s="25"/>
      <c r="P20" s="25">
        <v>15970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>
        <v>15970</v>
      </c>
    </row>
    <row r="21" spans="1:27" x14ac:dyDescent="0.3">
      <c r="A21" s="19" t="s">
        <v>344</v>
      </c>
      <c r="B21" s="22"/>
      <c r="C21" s="22"/>
      <c r="D21" s="22">
        <v>-9287</v>
      </c>
      <c r="E21" s="22"/>
      <c r="F21" s="22"/>
      <c r="G21" s="22"/>
      <c r="H21" s="22"/>
      <c r="I21" s="22"/>
      <c r="J21" s="25"/>
      <c r="K21" s="25"/>
      <c r="L21" s="25"/>
      <c r="M21" s="25"/>
      <c r="N21" s="25"/>
      <c r="O21" s="25"/>
      <c r="P21" s="25"/>
      <c r="Q21" s="22"/>
      <c r="R21" s="22"/>
      <c r="S21" s="22"/>
      <c r="T21" s="22"/>
      <c r="U21" s="22"/>
      <c r="V21" s="22">
        <v>46018</v>
      </c>
      <c r="W21" s="22"/>
      <c r="X21" s="22"/>
      <c r="Y21" s="22"/>
      <c r="Z21" s="22"/>
      <c r="AA21" s="22">
        <v>36731</v>
      </c>
    </row>
    <row r="22" spans="1:27" x14ac:dyDescent="0.3">
      <c r="A22" s="19" t="s">
        <v>364</v>
      </c>
      <c r="B22" s="22"/>
      <c r="C22" s="22"/>
      <c r="D22" s="22"/>
      <c r="E22" s="22"/>
      <c r="F22" s="22"/>
      <c r="G22" s="22"/>
      <c r="H22" s="22"/>
      <c r="I22" s="22"/>
      <c r="J22" s="25"/>
      <c r="K22" s="25"/>
      <c r="L22" s="25"/>
      <c r="M22" s="25"/>
      <c r="N22" s="25">
        <v>56785</v>
      </c>
      <c r="O22" s="25"/>
      <c r="P22" s="25"/>
      <c r="Q22" s="22"/>
      <c r="R22" s="22"/>
      <c r="S22" s="22"/>
      <c r="T22" s="22"/>
      <c r="U22" s="22"/>
      <c r="V22" s="22">
        <v>59400</v>
      </c>
      <c r="W22" s="22"/>
      <c r="X22" s="22">
        <v>35725</v>
      </c>
      <c r="Y22" s="22"/>
      <c r="Z22" s="22"/>
      <c r="AA22" s="22">
        <v>151910</v>
      </c>
    </row>
    <row r="23" spans="1:27" x14ac:dyDescent="0.3">
      <c r="A23" s="19" t="s">
        <v>385</v>
      </c>
      <c r="B23" s="22"/>
      <c r="C23" s="22"/>
      <c r="D23" s="22"/>
      <c r="E23" s="22"/>
      <c r="F23" s="22"/>
      <c r="G23" s="22"/>
      <c r="H23" s="22"/>
      <c r="I23" s="22"/>
      <c r="J23" s="25"/>
      <c r="K23" s="25"/>
      <c r="L23" s="25"/>
      <c r="M23" s="25"/>
      <c r="N23" s="25"/>
      <c r="O23" s="25"/>
      <c r="P23" s="25"/>
      <c r="Q23" s="22"/>
      <c r="R23" s="22"/>
      <c r="S23" s="22"/>
      <c r="T23" s="22"/>
      <c r="U23" s="22"/>
      <c r="V23" s="22"/>
      <c r="W23" s="22"/>
      <c r="X23" s="22"/>
      <c r="Y23" s="22"/>
      <c r="Z23" s="22">
        <v>111949.5</v>
      </c>
      <c r="AA23" s="22">
        <v>111949.5</v>
      </c>
    </row>
    <row r="24" spans="1:27" x14ac:dyDescent="0.3">
      <c r="A24" s="19" t="s">
        <v>392</v>
      </c>
      <c r="B24" s="22"/>
      <c r="C24" s="22"/>
      <c r="D24" s="22"/>
      <c r="E24" s="22"/>
      <c r="F24" s="22"/>
      <c r="G24" s="22"/>
      <c r="H24" s="22"/>
      <c r="I24" s="22"/>
      <c r="J24" s="25"/>
      <c r="K24" s="25"/>
      <c r="L24" s="25">
        <v>90691</v>
      </c>
      <c r="M24" s="25"/>
      <c r="N24" s="25"/>
      <c r="O24" s="25"/>
      <c r="P24" s="25"/>
      <c r="Q24" s="22"/>
      <c r="R24" s="22"/>
      <c r="S24" s="22"/>
      <c r="T24" s="22"/>
      <c r="U24" s="22">
        <v>82350</v>
      </c>
      <c r="V24" s="22"/>
      <c r="W24" s="22"/>
      <c r="X24" s="22"/>
      <c r="Y24" s="22"/>
      <c r="Z24" s="22"/>
      <c r="AA24" s="22">
        <v>173041</v>
      </c>
    </row>
    <row r="25" spans="1:27" x14ac:dyDescent="0.3">
      <c r="A25" s="19" t="s">
        <v>424</v>
      </c>
      <c r="B25" s="22">
        <v>-1504</v>
      </c>
      <c r="C25" s="22">
        <v>-34580</v>
      </c>
      <c r="D25" s="22">
        <v>-15757</v>
      </c>
      <c r="E25" s="22">
        <v>-13728</v>
      </c>
      <c r="F25" s="22">
        <v>-33334</v>
      </c>
      <c r="G25" s="22">
        <v>-33677</v>
      </c>
      <c r="H25" s="22">
        <v>-159925</v>
      </c>
      <c r="I25" s="22">
        <v>-14712</v>
      </c>
      <c r="J25" s="25">
        <v>230850</v>
      </c>
      <c r="K25" s="25">
        <v>313260</v>
      </c>
      <c r="L25" s="25">
        <v>253046</v>
      </c>
      <c r="M25" s="25">
        <v>80600</v>
      </c>
      <c r="N25" s="25">
        <v>56785</v>
      </c>
      <c r="O25" s="25">
        <v>158814</v>
      </c>
      <c r="P25" s="25">
        <v>57772.92</v>
      </c>
      <c r="Q25" s="22">
        <v>67008</v>
      </c>
      <c r="R25" s="22">
        <v>421200</v>
      </c>
      <c r="S25" s="22">
        <v>336990</v>
      </c>
      <c r="T25" s="22">
        <v>29250</v>
      </c>
      <c r="U25" s="22">
        <v>82350</v>
      </c>
      <c r="V25" s="22">
        <v>121752.54000000001</v>
      </c>
      <c r="W25" s="22">
        <v>135200</v>
      </c>
      <c r="X25" s="22">
        <v>35725</v>
      </c>
      <c r="Y25" s="22">
        <v>213454</v>
      </c>
      <c r="Z25" s="22">
        <v>1562788.5</v>
      </c>
      <c r="AA25" s="22">
        <v>3849628.96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3083-0E60-4A09-8DCD-88AD67F9F6EC}">
  <dimension ref="A1:B66"/>
  <sheetViews>
    <sheetView workbookViewId="0">
      <selection activeCell="B6" sqref="B6:B66"/>
    </sheetView>
  </sheetViews>
  <sheetFormatPr baseColWidth="10" defaultRowHeight="14.4" x14ac:dyDescent="0.3"/>
  <cols>
    <col min="1" max="1" width="38.88671875" bestFit="1" customWidth="1"/>
    <col min="2" max="2" width="18.88671875" bestFit="1" customWidth="1"/>
  </cols>
  <sheetData>
    <row r="1" spans="1:2" x14ac:dyDescent="0.3">
      <c r="A1" s="18" t="s">
        <v>5</v>
      </c>
      <c r="B1" t="s">
        <v>427</v>
      </c>
    </row>
    <row r="2" spans="1:2" x14ac:dyDescent="0.3">
      <c r="A2" s="18" t="s">
        <v>398</v>
      </c>
      <c r="B2" t="s">
        <v>403</v>
      </c>
    </row>
    <row r="3" spans="1:2" x14ac:dyDescent="0.3">
      <c r="A3" s="18" t="s">
        <v>4</v>
      </c>
      <c r="B3" t="s">
        <v>428</v>
      </c>
    </row>
    <row r="5" spans="1:2" x14ac:dyDescent="0.3">
      <c r="A5" s="18" t="s">
        <v>422</v>
      </c>
      <c r="B5" t="s">
        <v>425</v>
      </c>
    </row>
    <row r="6" spans="1:2" x14ac:dyDescent="0.3">
      <c r="A6" s="19" t="s">
        <v>66</v>
      </c>
      <c r="B6" s="21">
        <v>868980</v>
      </c>
    </row>
    <row r="7" spans="1:2" x14ac:dyDescent="0.3">
      <c r="A7" s="20" t="s">
        <v>72</v>
      </c>
      <c r="B7" s="21">
        <v>234900</v>
      </c>
    </row>
    <row r="8" spans="1:2" x14ac:dyDescent="0.3">
      <c r="A8" s="20" t="s">
        <v>418</v>
      </c>
      <c r="B8" s="21">
        <v>78360</v>
      </c>
    </row>
    <row r="9" spans="1:2" x14ac:dyDescent="0.3">
      <c r="A9" s="20" t="s">
        <v>77</v>
      </c>
      <c r="B9" s="21">
        <v>336990</v>
      </c>
    </row>
    <row r="10" spans="1:2" x14ac:dyDescent="0.3">
      <c r="A10" s="20" t="s">
        <v>417</v>
      </c>
      <c r="B10" s="21">
        <v>218730</v>
      </c>
    </row>
    <row r="11" spans="1:2" x14ac:dyDescent="0.3">
      <c r="A11" s="19" t="s">
        <v>98</v>
      </c>
      <c r="B11" s="21">
        <v>15163</v>
      </c>
    </row>
    <row r="12" spans="1:2" x14ac:dyDescent="0.3">
      <c r="A12" s="20" t="s">
        <v>100</v>
      </c>
      <c r="B12" s="21">
        <v>15163</v>
      </c>
    </row>
    <row r="13" spans="1:2" x14ac:dyDescent="0.3">
      <c r="A13" s="19" t="s">
        <v>102</v>
      </c>
      <c r="B13" s="21">
        <v>16355.92</v>
      </c>
    </row>
    <row r="14" spans="1:2" x14ac:dyDescent="0.3">
      <c r="A14" s="20" t="s">
        <v>104</v>
      </c>
      <c r="B14" s="21">
        <v>16355.92</v>
      </c>
    </row>
    <row r="15" spans="1:2" x14ac:dyDescent="0.3">
      <c r="A15" s="19" t="s">
        <v>106</v>
      </c>
      <c r="B15" s="21">
        <v>-14712</v>
      </c>
    </row>
    <row r="16" spans="1:2" x14ac:dyDescent="0.3">
      <c r="A16" s="20" t="s">
        <v>108</v>
      </c>
      <c r="B16" s="21">
        <v>-14712</v>
      </c>
    </row>
    <row r="17" spans="1:2" x14ac:dyDescent="0.3">
      <c r="A17" s="19" t="s">
        <v>166</v>
      </c>
      <c r="B17" s="21">
        <v>-34580</v>
      </c>
    </row>
    <row r="18" spans="1:2" x14ac:dyDescent="0.3">
      <c r="A18" s="20" t="s">
        <v>168</v>
      </c>
      <c r="B18" s="21">
        <v>-34580</v>
      </c>
    </row>
    <row r="19" spans="1:2" x14ac:dyDescent="0.3">
      <c r="A19" s="19" t="s">
        <v>170</v>
      </c>
      <c r="B19" s="21">
        <v>116353.54000000001</v>
      </c>
    </row>
    <row r="20" spans="1:2" x14ac:dyDescent="0.3">
      <c r="A20" s="20" t="s">
        <v>174</v>
      </c>
      <c r="B20" s="21">
        <v>135200</v>
      </c>
    </row>
    <row r="21" spans="1:2" x14ac:dyDescent="0.3">
      <c r="A21" s="20" t="s">
        <v>180</v>
      </c>
      <c r="B21" s="21">
        <v>-33677</v>
      </c>
    </row>
    <row r="22" spans="1:2" x14ac:dyDescent="0.3">
      <c r="A22" s="20" t="s">
        <v>421</v>
      </c>
      <c r="B22" s="21">
        <v>16334.54</v>
      </c>
    </row>
    <row r="23" spans="1:2" x14ac:dyDescent="0.3">
      <c r="A23" s="20" t="s">
        <v>177</v>
      </c>
      <c r="B23" s="21">
        <v>-1504</v>
      </c>
    </row>
    <row r="24" spans="1:2" x14ac:dyDescent="0.3">
      <c r="A24" s="19" t="s">
        <v>182</v>
      </c>
      <c r="B24" s="21">
        <v>737667</v>
      </c>
    </row>
    <row r="25" spans="1:2" x14ac:dyDescent="0.3">
      <c r="A25" s="20" t="s">
        <v>184</v>
      </c>
      <c r="B25" s="21">
        <v>421200</v>
      </c>
    </row>
    <row r="26" spans="1:2" x14ac:dyDescent="0.3">
      <c r="A26" s="20" t="s">
        <v>187</v>
      </c>
      <c r="B26" s="21">
        <v>211167</v>
      </c>
    </row>
    <row r="27" spans="1:2" x14ac:dyDescent="0.3">
      <c r="A27" s="20" t="s">
        <v>190</v>
      </c>
      <c r="B27" s="21">
        <v>105300</v>
      </c>
    </row>
    <row r="28" spans="1:2" x14ac:dyDescent="0.3">
      <c r="A28" s="19" t="s">
        <v>192</v>
      </c>
      <c r="B28" s="21">
        <v>1082175</v>
      </c>
    </row>
    <row r="29" spans="1:2" x14ac:dyDescent="0.3">
      <c r="A29" s="20" t="s">
        <v>194</v>
      </c>
      <c r="B29" s="21">
        <v>113004</v>
      </c>
    </row>
    <row r="30" spans="1:2" x14ac:dyDescent="0.3">
      <c r="A30" s="20" t="s">
        <v>197</v>
      </c>
      <c r="B30" s="21">
        <v>533250</v>
      </c>
    </row>
    <row r="31" spans="1:2" x14ac:dyDescent="0.3">
      <c r="A31" s="20" t="s">
        <v>200</v>
      </c>
      <c r="B31" s="21">
        <v>169092</v>
      </c>
    </row>
    <row r="32" spans="1:2" x14ac:dyDescent="0.3">
      <c r="A32" s="20" t="s">
        <v>203</v>
      </c>
      <c r="B32" s="21">
        <v>213300</v>
      </c>
    </row>
    <row r="33" spans="1:2" x14ac:dyDescent="0.3">
      <c r="A33" s="20" t="s">
        <v>206</v>
      </c>
      <c r="B33" s="21">
        <v>-159925</v>
      </c>
    </row>
    <row r="34" spans="1:2" x14ac:dyDescent="0.3">
      <c r="A34" s="20" t="s">
        <v>209</v>
      </c>
      <c r="B34" s="21">
        <v>213454</v>
      </c>
    </row>
    <row r="35" spans="1:2" x14ac:dyDescent="0.3">
      <c r="A35" s="19" t="s">
        <v>211</v>
      </c>
      <c r="B35" s="21">
        <v>45810</v>
      </c>
    </row>
    <row r="36" spans="1:2" x14ac:dyDescent="0.3">
      <c r="A36" s="20" t="s">
        <v>213</v>
      </c>
      <c r="B36" s="21">
        <v>45810</v>
      </c>
    </row>
    <row r="37" spans="1:2" x14ac:dyDescent="0.3">
      <c r="A37" s="19" t="s">
        <v>295</v>
      </c>
      <c r="B37" s="21">
        <v>33674</v>
      </c>
    </row>
    <row r="38" spans="1:2" x14ac:dyDescent="0.3">
      <c r="A38" s="20" t="s">
        <v>297</v>
      </c>
      <c r="B38" s="21">
        <v>-33334</v>
      </c>
    </row>
    <row r="39" spans="1:2" x14ac:dyDescent="0.3">
      <c r="A39" s="20" t="s">
        <v>300</v>
      </c>
      <c r="B39" s="21">
        <v>67008</v>
      </c>
    </row>
    <row r="40" spans="1:2" x14ac:dyDescent="0.3">
      <c r="A40" s="19" t="s">
        <v>302</v>
      </c>
      <c r="B40" s="21">
        <v>90884</v>
      </c>
    </row>
    <row r="41" spans="1:2" x14ac:dyDescent="0.3">
      <c r="A41" s="20" t="s">
        <v>304</v>
      </c>
      <c r="B41" s="21">
        <v>80600</v>
      </c>
    </row>
    <row r="42" spans="1:2" x14ac:dyDescent="0.3">
      <c r="A42" s="20" t="s">
        <v>307</v>
      </c>
      <c r="B42" s="21">
        <v>10284</v>
      </c>
    </row>
    <row r="43" spans="1:2" x14ac:dyDescent="0.3">
      <c r="A43" s="19" t="s">
        <v>309</v>
      </c>
      <c r="B43" s="21">
        <v>-13728</v>
      </c>
    </row>
    <row r="44" spans="1:2" x14ac:dyDescent="0.3">
      <c r="A44" s="20" t="s">
        <v>311</v>
      </c>
      <c r="B44" s="21">
        <v>-13728</v>
      </c>
    </row>
    <row r="45" spans="1:2" x14ac:dyDescent="0.3">
      <c r="A45" s="19" t="s">
        <v>326</v>
      </c>
      <c r="B45" s="21">
        <v>22780</v>
      </c>
    </row>
    <row r="46" spans="1:2" x14ac:dyDescent="0.3">
      <c r="A46" s="20" t="s">
        <v>328</v>
      </c>
      <c r="B46" s="21">
        <v>29250</v>
      </c>
    </row>
    <row r="47" spans="1:2" x14ac:dyDescent="0.3">
      <c r="A47" s="20" t="s">
        <v>331</v>
      </c>
      <c r="B47" s="21">
        <v>-6470</v>
      </c>
    </row>
    <row r="48" spans="1:2" x14ac:dyDescent="0.3">
      <c r="A48" s="19" t="s">
        <v>337</v>
      </c>
      <c r="B48" s="21">
        <v>393205</v>
      </c>
    </row>
    <row r="49" spans="1:2" x14ac:dyDescent="0.3">
      <c r="A49" s="20" t="s">
        <v>339</v>
      </c>
      <c r="B49" s="21">
        <v>230850</v>
      </c>
    </row>
    <row r="50" spans="1:2" x14ac:dyDescent="0.3">
      <c r="A50" s="20" t="s">
        <v>342</v>
      </c>
      <c r="B50" s="21">
        <v>162355</v>
      </c>
    </row>
    <row r="51" spans="1:2" x14ac:dyDescent="0.3">
      <c r="A51" s="19" t="s">
        <v>419</v>
      </c>
      <c r="B51" s="21">
        <v>15970</v>
      </c>
    </row>
    <row r="52" spans="1:2" x14ac:dyDescent="0.3">
      <c r="A52" s="20" t="s">
        <v>420</v>
      </c>
      <c r="B52" s="21">
        <v>15970</v>
      </c>
    </row>
    <row r="53" spans="1:2" x14ac:dyDescent="0.3">
      <c r="A53" s="19" t="s">
        <v>344</v>
      </c>
      <c r="B53" s="21">
        <v>36731</v>
      </c>
    </row>
    <row r="54" spans="1:2" x14ac:dyDescent="0.3">
      <c r="A54" s="20" t="s">
        <v>346</v>
      </c>
      <c r="B54" s="21">
        <v>46018</v>
      </c>
    </row>
    <row r="55" spans="1:2" x14ac:dyDescent="0.3">
      <c r="A55" s="20" t="s">
        <v>349</v>
      </c>
      <c r="B55" s="21">
        <v>-9287</v>
      </c>
    </row>
    <row r="56" spans="1:2" x14ac:dyDescent="0.3">
      <c r="A56" s="19" t="s">
        <v>364</v>
      </c>
      <c r="B56" s="21">
        <v>151910</v>
      </c>
    </row>
    <row r="57" spans="1:2" x14ac:dyDescent="0.3">
      <c r="A57" s="20" t="s">
        <v>366</v>
      </c>
      <c r="B57" s="21">
        <v>59400</v>
      </c>
    </row>
    <row r="58" spans="1:2" x14ac:dyDescent="0.3">
      <c r="A58" s="20" t="s">
        <v>369</v>
      </c>
      <c r="B58" s="21">
        <v>56785</v>
      </c>
    </row>
    <row r="59" spans="1:2" x14ac:dyDescent="0.3">
      <c r="A59" s="20" t="s">
        <v>372</v>
      </c>
      <c r="B59" s="21">
        <v>35725</v>
      </c>
    </row>
    <row r="60" spans="1:2" x14ac:dyDescent="0.3">
      <c r="A60" s="19" t="s">
        <v>385</v>
      </c>
      <c r="B60" s="21">
        <v>111949.5</v>
      </c>
    </row>
    <row r="61" spans="1:2" x14ac:dyDescent="0.3">
      <c r="A61" s="20" t="s">
        <v>387</v>
      </c>
      <c r="B61" s="21">
        <v>30375</v>
      </c>
    </row>
    <row r="62" spans="1:2" x14ac:dyDescent="0.3">
      <c r="A62" s="20" t="s">
        <v>390</v>
      </c>
      <c r="B62" s="21">
        <v>81574.5</v>
      </c>
    </row>
    <row r="63" spans="1:2" x14ac:dyDescent="0.3">
      <c r="A63" s="19" t="s">
        <v>392</v>
      </c>
      <c r="B63" s="21">
        <v>173041</v>
      </c>
    </row>
    <row r="64" spans="1:2" x14ac:dyDescent="0.3">
      <c r="A64" s="20" t="s">
        <v>394</v>
      </c>
      <c r="B64" s="21">
        <v>82350</v>
      </c>
    </row>
    <row r="65" spans="1:2" x14ac:dyDescent="0.3">
      <c r="A65" s="20" t="s">
        <v>397</v>
      </c>
      <c r="B65" s="21">
        <v>90691</v>
      </c>
    </row>
    <row r="66" spans="1:2" x14ac:dyDescent="0.3">
      <c r="A66" s="19" t="s">
        <v>424</v>
      </c>
      <c r="B66" s="21">
        <v>3849628.96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244F-B3C1-4FDC-B6CB-EAB11C160E06}">
  <dimension ref="A1:I47"/>
  <sheetViews>
    <sheetView topLeftCell="B1" workbookViewId="0">
      <selection activeCell="F39" sqref="F39:I85"/>
    </sheetView>
  </sheetViews>
  <sheetFormatPr baseColWidth="10" defaultRowHeight="14.4" x14ac:dyDescent="0.3"/>
  <cols>
    <col min="1" max="1" width="38.886718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31.664062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18" t="s">
        <v>4</v>
      </c>
      <c r="B1" t="s">
        <v>428</v>
      </c>
      <c r="F1" s="18" t="s">
        <v>4</v>
      </c>
      <c r="G1" t="s">
        <v>428</v>
      </c>
    </row>
    <row r="2" spans="1:9" x14ac:dyDescent="0.3">
      <c r="A2" s="18" t="s">
        <v>412</v>
      </c>
      <c r="B2" t="s">
        <v>413</v>
      </c>
      <c r="F2" s="18" t="s">
        <v>412</v>
      </c>
      <c r="G2" t="s">
        <v>414</v>
      </c>
    </row>
    <row r="3" spans="1:9" x14ac:dyDescent="0.3">
      <c r="A3" s="18" t="s">
        <v>398</v>
      </c>
      <c r="B3" t="s">
        <v>403</v>
      </c>
      <c r="F3" s="18" t="s">
        <v>398</v>
      </c>
      <c r="G3" t="s">
        <v>403</v>
      </c>
    </row>
    <row r="5" spans="1:9" x14ac:dyDescent="0.3">
      <c r="A5" s="18" t="s">
        <v>422</v>
      </c>
      <c r="B5" t="s">
        <v>430</v>
      </c>
      <c r="C5" t="s">
        <v>429</v>
      </c>
      <c r="D5" t="s">
        <v>425</v>
      </c>
      <c r="F5" s="18" t="s">
        <v>422</v>
      </c>
      <c r="G5" t="s">
        <v>430</v>
      </c>
      <c r="H5" t="s">
        <v>429</v>
      </c>
      <c r="I5" t="s">
        <v>425</v>
      </c>
    </row>
    <row r="6" spans="1:9" x14ac:dyDescent="0.3">
      <c r="A6" s="19" t="s">
        <v>66</v>
      </c>
      <c r="B6" s="21">
        <v>3</v>
      </c>
      <c r="C6" s="21">
        <v>103</v>
      </c>
      <c r="D6" s="21">
        <v>790620</v>
      </c>
      <c r="F6" s="19" t="s">
        <v>66</v>
      </c>
      <c r="G6" s="21">
        <v>1</v>
      </c>
      <c r="H6" s="21">
        <v>48</v>
      </c>
      <c r="I6" s="21">
        <v>78360</v>
      </c>
    </row>
    <row r="7" spans="1:9" x14ac:dyDescent="0.3">
      <c r="A7" s="20" t="s">
        <v>72</v>
      </c>
      <c r="B7" s="21">
        <v>1</v>
      </c>
      <c r="C7" s="21">
        <v>45</v>
      </c>
      <c r="D7" s="21">
        <v>234900</v>
      </c>
      <c r="F7" s="20" t="s">
        <v>418</v>
      </c>
      <c r="G7" s="21">
        <v>1</v>
      </c>
      <c r="H7" s="21">
        <v>48</v>
      </c>
      <c r="I7" s="21">
        <v>78360</v>
      </c>
    </row>
    <row r="8" spans="1:9" x14ac:dyDescent="0.3">
      <c r="A8" s="20" t="s">
        <v>77</v>
      </c>
      <c r="B8" s="21">
        <v>1</v>
      </c>
      <c r="C8" s="21">
        <v>45</v>
      </c>
      <c r="D8" s="21">
        <v>336990</v>
      </c>
      <c r="F8" s="19" t="s">
        <v>166</v>
      </c>
      <c r="G8" s="21">
        <v>1</v>
      </c>
      <c r="H8" s="21">
        <v>48</v>
      </c>
      <c r="I8" s="21">
        <v>-34580</v>
      </c>
    </row>
    <row r="9" spans="1:9" x14ac:dyDescent="0.3">
      <c r="A9" s="20" t="s">
        <v>417</v>
      </c>
      <c r="B9" s="21">
        <v>1</v>
      </c>
      <c r="C9" s="21">
        <v>13</v>
      </c>
      <c r="D9" s="21">
        <v>218730</v>
      </c>
      <c r="F9" s="20" t="s">
        <v>168</v>
      </c>
      <c r="G9" s="21">
        <v>1</v>
      </c>
      <c r="H9" s="21">
        <v>48</v>
      </c>
      <c r="I9" s="21">
        <v>-34580</v>
      </c>
    </row>
    <row r="10" spans="1:9" x14ac:dyDescent="0.3">
      <c r="A10" s="19" t="s">
        <v>106</v>
      </c>
      <c r="B10" s="21">
        <v>1</v>
      </c>
      <c r="C10" s="21">
        <v>12</v>
      </c>
      <c r="D10" s="21">
        <v>-14712</v>
      </c>
      <c r="F10" s="19" t="s">
        <v>302</v>
      </c>
      <c r="G10" s="21">
        <v>1</v>
      </c>
      <c r="H10" s="21">
        <v>52</v>
      </c>
      <c r="I10" s="21">
        <v>80600</v>
      </c>
    </row>
    <row r="11" spans="1:9" x14ac:dyDescent="0.3">
      <c r="A11" s="20" t="s">
        <v>108</v>
      </c>
      <c r="B11" s="21">
        <v>1</v>
      </c>
      <c r="C11" s="21">
        <v>12</v>
      </c>
      <c r="D11" s="21">
        <v>-14712</v>
      </c>
      <c r="F11" s="20" t="s">
        <v>304</v>
      </c>
      <c r="G11" s="21">
        <v>1</v>
      </c>
      <c r="H11" s="21">
        <v>52</v>
      </c>
      <c r="I11" s="21">
        <v>80600</v>
      </c>
    </row>
    <row r="12" spans="1:9" x14ac:dyDescent="0.3">
      <c r="A12" s="19" t="s">
        <v>170</v>
      </c>
      <c r="B12" s="21">
        <v>3</v>
      </c>
      <c r="C12" s="21">
        <v>77</v>
      </c>
      <c r="D12" s="21">
        <v>117857.54000000001</v>
      </c>
      <c r="F12" s="19" t="s">
        <v>337</v>
      </c>
      <c r="G12" s="21">
        <v>1</v>
      </c>
      <c r="H12" s="21">
        <v>57</v>
      </c>
      <c r="I12" s="21">
        <v>230850</v>
      </c>
    </row>
    <row r="13" spans="1:9" x14ac:dyDescent="0.3">
      <c r="A13" s="20" t="s">
        <v>174</v>
      </c>
      <c r="B13" s="21">
        <v>1</v>
      </c>
      <c r="C13" s="21">
        <v>20</v>
      </c>
      <c r="D13" s="21">
        <v>135200</v>
      </c>
      <c r="F13" s="20" t="s">
        <v>339</v>
      </c>
      <c r="G13" s="21">
        <v>1</v>
      </c>
      <c r="H13" s="21">
        <v>57</v>
      </c>
      <c r="I13" s="21">
        <v>230850</v>
      </c>
    </row>
    <row r="14" spans="1:9" x14ac:dyDescent="0.3">
      <c r="A14" s="20" t="s">
        <v>180</v>
      </c>
      <c r="B14" s="21">
        <v>1</v>
      </c>
      <c r="C14" s="21">
        <v>35</v>
      </c>
      <c r="D14" s="21">
        <v>-33677</v>
      </c>
      <c r="F14" s="19" t="s">
        <v>392</v>
      </c>
      <c r="G14" s="21">
        <v>1</v>
      </c>
      <c r="H14" s="21">
        <v>50</v>
      </c>
      <c r="I14" s="21">
        <v>90691</v>
      </c>
    </row>
    <row r="15" spans="1:9" x14ac:dyDescent="0.3">
      <c r="A15" s="20" t="s">
        <v>421</v>
      </c>
      <c r="B15" s="21">
        <v>1</v>
      </c>
      <c r="C15" s="21">
        <v>22</v>
      </c>
      <c r="D15" s="21">
        <v>16334.54</v>
      </c>
      <c r="F15" s="20" t="s">
        <v>397</v>
      </c>
      <c r="G15" s="21">
        <v>1</v>
      </c>
      <c r="H15" s="21">
        <v>50</v>
      </c>
      <c r="I15" s="21">
        <v>90691</v>
      </c>
    </row>
    <row r="16" spans="1:9" x14ac:dyDescent="0.3">
      <c r="A16" s="19" t="s">
        <v>182</v>
      </c>
      <c r="B16" s="21">
        <v>3</v>
      </c>
      <c r="C16" s="21">
        <v>50</v>
      </c>
      <c r="D16" s="21">
        <v>737667</v>
      </c>
      <c r="F16" s="19" t="s">
        <v>424</v>
      </c>
      <c r="G16" s="21">
        <v>5</v>
      </c>
      <c r="H16" s="21">
        <v>255</v>
      </c>
      <c r="I16" s="21">
        <v>445921</v>
      </c>
    </row>
    <row r="17" spans="1:9" x14ac:dyDescent="0.3">
      <c r="A17" s="20" t="s">
        <v>184</v>
      </c>
      <c r="B17" s="21">
        <v>1</v>
      </c>
      <c r="C17" s="21">
        <v>24</v>
      </c>
      <c r="D17" s="21">
        <v>421200</v>
      </c>
    </row>
    <row r="18" spans="1:9" x14ac:dyDescent="0.3">
      <c r="A18" s="20" t="s">
        <v>187</v>
      </c>
      <c r="B18" s="21">
        <v>1</v>
      </c>
      <c r="C18" s="21">
        <v>13</v>
      </c>
      <c r="D18" s="21">
        <v>211167</v>
      </c>
      <c r="F18" s="18" t="s">
        <v>4</v>
      </c>
      <c r="G18" t="s">
        <v>428</v>
      </c>
    </row>
    <row r="19" spans="1:9" x14ac:dyDescent="0.3">
      <c r="A19" s="20" t="s">
        <v>190</v>
      </c>
      <c r="B19" s="21">
        <v>1</v>
      </c>
      <c r="C19" s="21">
        <v>13</v>
      </c>
      <c r="D19" s="21">
        <v>105300</v>
      </c>
      <c r="F19" s="18" t="s">
        <v>412</v>
      </c>
      <c r="G19" t="s">
        <v>415</v>
      </c>
    </row>
    <row r="20" spans="1:9" x14ac:dyDescent="0.3">
      <c r="A20" s="19" t="s">
        <v>192</v>
      </c>
      <c r="B20" s="21">
        <v>6</v>
      </c>
      <c r="C20" s="21">
        <v>119</v>
      </c>
      <c r="D20" s="21">
        <v>1082175</v>
      </c>
      <c r="F20" s="18" t="s">
        <v>398</v>
      </c>
      <c r="G20" t="s">
        <v>403</v>
      </c>
    </row>
    <row r="21" spans="1:9" x14ac:dyDescent="0.3">
      <c r="A21" s="20" t="s">
        <v>194</v>
      </c>
      <c r="B21" s="21">
        <v>1</v>
      </c>
      <c r="C21" s="21">
        <v>30</v>
      </c>
      <c r="D21" s="21">
        <v>113004</v>
      </c>
    </row>
    <row r="22" spans="1:9" x14ac:dyDescent="0.3">
      <c r="A22" s="20" t="s">
        <v>197</v>
      </c>
      <c r="B22" s="21">
        <v>1</v>
      </c>
      <c r="C22" s="21">
        <v>13</v>
      </c>
      <c r="D22" s="21">
        <v>533250</v>
      </c>
      <c r="F22" s="18" t="s">
        <v>422</v>
      </c>
      <c r="G22" t="s">
        <v>430</v>
      </c>
      <c r="H22" t="s">
        <v>429</v>
      </c>
      <c r="I22" t="s">
        <v>425</v>
      </c>
    </row>
    <row r="23" spans="1:9" x14ac:dyDescent="0.3">
      <c r="A23" s="20" t="s">
        <v>200</v>
      </c>
      <c r="B23" s="21">
        <v>1</v>
      </c>
      <c r="C23" s="21">
        <v>13</v>
      </c>
      <c r="D23" s="21">
        <v>169092</v>
      </c>
      <c r="F23" s="19" t="s">
        <v>98</v>
      </c>
      <c r="G23" s="21">
        <v>1</v>
      </c>
      <c r="H23" s="21">
        <v>77</v>
      </c>
      <c r="I23" s="21">
        <v>15163</v>
      </c>
    </row>
    <row r="24" spans="1:9" x14ac:dyDescent="0.3">
      <c r="A24" s="20" t="s">
        <v>203</v>
      </c>
      <c r="B24" s="21">
        <v>1</v>
      </c>
      <c r="C24" s="21">
        <v>13</v>
      </c>
      <c r="D24" s="21">
        <v>213300</v>
      </c>
      <c r="F24" s="20" t="s">
        <v>100</v>
      </c>
      <c r="G24" s="21">
        <v>1</v>
      </c>
      <c r="H24" s="21">
        <v>77</v>
      </c>
      <c r="I24" s="21">
        <v>15163</v>
      </c>
    </row>
    <row r="25" spans="1:9" x14ac:dyDescent="0.3">
      <c r="A25" s="20" t="s">
        <v>206</v>
      </c>
      <c r="B25" s="21">
        <v>1</v>
      </c>
      <c r="C25" s="21">
        <v>34</v>
      </c>
      <c r="D25" s="21">
        <v>-159925</v>
      </c>
      <c r="F25" s="19" t="s">
        <v>170</v>
      </c>
      <c r="G25" s="21">
        <v>1</v>
      </c>
      <c r="H25" s="21">
        <v>76</v>
      </c>
      <c r="I25" s="21">
        <v>-1504</v>
      </c>
    </row>
    <row r="26" spans="1:9" x14ac:dyDescent="0.3">
      <c r="A26" s="20" t="s">
        <v>209</v>
      </c>
      <c r="B26" s="21">
        <v>1</v>
      </c>
      <c r="C26" s="21">
        <v>16</v>
      </c>
      <c r="D26" s="21">
        <v>213454</v>
      </c>
      <c r="F26" s="20" t="s">
        <v>177</v>
      </c>
      <c r="G26" s="21">
        <v>1</v>
      </c>
      <c r="H26" s="21">
        <v>76</v>
      </c>
      <c r="I26" s="21">
        <v>-1504</v>
      </c>
    </row>
    <row r="27" spans="1:9" x14ac:dyDescent="0.3">
      <c r="A27" s="19" t="s">
        <v>211</v>
      </c>
      <c r="B27" s="21">
        <v>1</v>
      </c>
      <c r="C27" s="21">
        <v>45</v>
      </c>
      <c r="D27" s="21">
        <v>45810</v>
      </c>
      <c r="F27" s="19" t="s">
        <v>295</v>
      </c>
      <c r="G27" s="21">
        <v>1</v>
      </c>
      <c r="H27" s="21">
        <v>68</v>
      </c>
      <c r="I27" s="21">
        <v>-33334</v>
      </c>
    </row>
    <row r="28" spans="1:9" x14ac:dyDescent="0.3">
      <c r="A28" s="20" t="s">
        <v>213</v>
      </c>
      <c r="B28" s="21">
        <v>1</v>
      </c>
      <c r="C28" s="21">
        <v>45</v>
      </c>
      <c r="D28" s="21">
        <v>45810</v>
      </c>
      <c r="F28" s="20" t="s">
        <v>297</v>
      </c>
      <c r="G28" s="21">
        <v>1</v>
      </c>
      <c r="H28" s="21">
        <v>68</v>
      </c>
      <c r="I28" s="21">
        <v>-33334</v>
      </c>
    </row>
    <row r="29" spans="1:9" x14ac:dyDescent="0.3">
      <c r="A29" s="19" t="s">
        <v>295</v>
      </c>
      <c r="B29" s="21">
        <v>1</v>
      </c>
      <c r="C29" s="21">
        <v>45</v>
      </c>
      <c r="D29" s="21">
        <v>67008</v>
      </c>
      <c r="F29" s="19" t="s">
        <v>302</v>
      </c>
      <c r="G29" s="21">
        <v>1</v>
      </c>
      <c r="H29" s="21">
        <v>77</v>
      </c>
      <c r="I29" s="21">
        <v>10284</v>
      </c>
    </row>
    <row r="30" spans="1:9" x14ac:dyDescent="0.3">
      <c r="A30" s="20" t="s">
        <v>300</v>
      </c>
      <c r="B30" s="21">
        <v>1</v>
      </c>
      <c r="C30" s="21">
        <v>45</v>
      </c>
      <c r="D30" s="21">
        <v>67008</v>
      </c>
      <c r="F30" s="20" t="s">
        <v>307</v>
      </c>
      <c r="G30" s="21">
        <v>1</v>
      </c>
      <c r="H30" s="21">
        <v>77</v>
      </c>
      <c r="I30" s="21">
        <v>10284</v>
      </c>
    </row>
    <row r="31" spans="1:9" x14ac:dyDescent="0.3">
      <c r="A31" s="19" t="s">
        <v>309</v>
      </c>
      <c r="B31" s="21">
        <v>1</v>
      </c>
      <c r="C31" s="21">
        <v>38</v>
      </c>
      <c r="D31" s="21">
        <v>-13728</v>
      </c>
      <c r="F31" s="19" t="s">
        <v>337</v>
      </c>
      <c r="G31" s="21">
        <v>1</v>
      </c>
      <c r="H31" s="21">
        <v>75</v>
      </c>
      <c r="I31" s="21">
        <v>162355</v>
      </c>
    </row>
    <row r="32" spans="1:9" x14ac:dyDescent="0.3">
      <c r="A32" s="20" t="s">
        <v>311</v>
      </c>
      <c r="B32" s="21">
        <v>1</v>
      </c>
      <c r="C32" s="21">
        <v>38</v>
      </c>
      <c r="D32" s="21">
        <v>-13728</v>
      </c>
      <c r="F32" s="20" t="s">
        <v>342</v>
      </c>
      <c r="G32" s="21">
        <v>1</v>
      </c>
      <c r="H32" s="21">
        <v>75</v>
      </c>
      <c r="I32" s="21">
        <v>162355</v>
      </c>
    </row>
    <row r="33" spans="1:9" x14ac:dyDescent="0.3">
      <c r="A33" s="19" t="s">
        <v>326</v>
      </c>
      <c r="B33" s="21">
        <v>2</v>
      </c>
      <c r="C33" s="21">
        <v>71</v>
      </c>
      <c r="D33" s="21">
        <v>22780</v>
      </c>
      <c r="F33" s="19" t="s">
        <v>419</v>
      </c>
      <c r="G33" s="21">
        <v>1</v>
      </c>
      <c r="H33" s="21">
        <v>5</v>
      </c>
      <c r="I33" s="21">
        <v>15970</v>
      </c>
    </row>
    <row r="34" spans="1:9" x14ac:dyDescent="0.3">
      <c r="A34" s="20" t="s">
        <v>328</v>
      </c>
      <c r="B34" s="21">
        <v>1</v>
      </c>
      <c r="C34" s="21">
        <v>30</v>
      </c>
      <c r="D34" s="21">
        <v>29250</v>
      </c>
      <c r="F34" s="20" t="s">
        <v>420</v>
      </c>
      <c r="G34" s="21">
        <v>1</v>
      </c>
      <c r="H34" s="21">
        <v>5</v>
      </c>
      <c r="I34" s="21">
        <v>15970</v>
      </c>
    </row>
    <row r="35" spans="1:9" x14ac:dyDescent="0.3">
      <c r="A35" s="20" t="s">
        <v>331</v>
      </c>
      <c r="B35" s="21">
        <v>1</v>
      </c>
      <c r="C35" s="21">
        <v>41</v>
      </c>
      <c r="D35" s="21">
        <v>-6470</v>
      </c>
      <c r="F35" s="19" t="s">
        <v>364</v>
      </c>
      <c r="G35" s="21">
        <v>1</v>
      </c>
      <c r="H35" s="21">
        <v>75</v>
      </c>
      <c r="I35" s="21">
        <v>56785</v>
      </c>
    </row>
    <row r="36" spans="1:9" x14ac:dyDescent="0.3">
      <c r="A36" s="19" t="s">
        <v>344</v>
      </c>
      <c r="B36" s="21">
        <v>2</v>
      </c>
      <c r="C36" s="21">
        <v>63</v>
      </c>
      <c r="D36" s="21">
        <v>36731</v>
      </c>
      <c r="F36" s="20" t="s">
        <v>369</v>
      </c>
      <c r="G36" s="21">
        <v>1</v>
      </c>
      <c r="H36" s="21">
        <v>75</v>
      </c>
      <c r="I36" s="21">
        <v>56785</v>
      </c>
    </row>
    <row r="37" spans="1:9" x14ac:dyDescent="0.3">
      <c r="A37" s="20" t="s">
        <v>346</v>
      </c>
      <c r="B37" s="21">
        <v>1</v>
      </c>
      <c r="C37" s="21">
        <v>22</v>
      </c>
      <c r="D37" s="21">
        <v>46018</v>
      </c>
      <c r="F37" s="19" t="s">
        <v>424</v>
      </c>
      <c r="G37" s="21">
        <v>7</v>
      </c>
      <c r="H37" s="21">
        <v>453</v>
      </c>
      <c r="I37" s="21">
        <v>225719</v>
      </c>
    </row>
    <row r="38" spans="1:9" x14ac:dyDescent="0.3">
      <c r="A38" s="20" t="s">
        <v>349</v>
      </c>
      <c r="B38" s="21">
        <v>1</v>
      </c>
      <c r="C38" s="21">
        <v>41</v>
      </c>
      <c r="D38" s="21">
        <v>-9287</v>
      </c>
    </row>
    <row r="39" spans="1:9" x14ac:dyDescent="0.3">
      <c r="A39" s="19" t="s">
        <v>364</v>
      </c>
      <c r="B39" s="21">
        <v>2</v>
      </c>
      <c r="C39" s="21">
        <v>67</v>
      </c>
      <c r="D39" s="21">
        <v>95125</v>
      </c>
      <c r="F39" s="18" t="s">
        <v>4</v>
      </c>
      <c r="G39" t="s">
        <v>428</v>
      </c>
    </row>
    <row r="40" spans="1:9" x14ac:dyDescent="0.3">
      <c r="A40" s="20" t="s">
        <v>366</v>
      </c>
      <c r="B40" s="21">
        <v>1</v>
      </c>
      <c r="C40" s="21">
        <v>22</v>
      </c>
      <c r="D40" s="21">
        <v>59400</v>
      </c>
      <c r="F40" s="18" t="s">
        <v>412</v>
      </c>
      <c r="G40" t="s">
        <v>416</v>
      </c>
    </row>
    <row r="41" spans="1:9" x14ac:dyDescent="0.3">
      <c r="A41" s="20" t="s">
        <v>372</v>
      </c>
      <c r="B41" s="21">
        <v>1</v>
      </c>
      <c r="C41" s="21">
        <v>45</v>
      </c>
      <c r="D41" s="21">
        <v>35725</v>
      </c>
      <c r="F41" s="18" t="s">
        <v>398</v>
      </c>
      <c r="G41" t="s">
        <v>403</v>
      </c>
    </row>
    <row r="42" spans="1:9" x14ac:dyDescent="0.3">
      <c r="A42" s="19" t="s">
        <v>385</v>
      </c>
      <c r="B42" s="21">
        <v>2</v>
      </c>
      <c r="C42" s="21">
        <v>26</v>
      </c>
      <c r="D42" s="21">
        <v>111949.5</v>
      </c>
    </row>
    <row r="43" spans="1:9" x14ac:dyDescent="0.3">
      <c r="A43" s="20" t="s">
        <v>387</v>
      </c>
      <c r="B43" s="21">
        <v>1</v>
      </c>
      <c r="C43" s="21">
        <v>13</v>
      </c>
      <c r="D43" s="21">
        <v>30375</v>
      </c>
      <c r="F43" s="18" t="s">
        <v>422</v>
      </c>
      <c r="G43" t="s">
        <v>430</v>
      </c>
      <c r="H43" t="s">
        <v>429</v>
      </c>
      <c r="I43" t="s">
        <v>425</v>
      </c>
    </row>
    <row r="44" spans="1:9" x14ac:dyDescent="0.3">
      <c r="A44" s="20" t="s">
        <v>390</v>
      </c>
      <c r="B44" s="21">
        <v>1</v>
      </c>
      <c r="C44" s="21">
        <v>13</v>
      </c>
      <c r="D44" s="21">
        <v>81574.5</v>
      </c>
      <c r="F44" s="19" t="s">
        <v>102</v>
      </c>
      <c r="G44" s="21">
        <v>1</v>
      </c>
      <c r="H44" s="21">
        <v>92</v>
      </c>
      <c r="I44" s="21">
        <v>16355.92</v>
      </c>
    </row>
    <row r="45" spans="1:9" x14ac:dyDescent="0.3">
      <c r="A45" s="19" t="s">
        <v>392</v>
      </c>
      <c r="B45" s="21">
        <v>1</v>
      </c>
      <c r="C45" s="21">
        <v>24</v>
      </c>
      <c r="D45" s="21">
        <v>82350</v>
      </c>
      <c r="F45" s="20" t="s">
        <v>104</v>
      </c>
      <c r="G45" s="21">
        <v>1</v>
      </c>
      <c r="H45" s="21">
        <v>92</v>
      </c>
      <c r="I45" s="21">
        <v>16355.92</v>
      </c>
    </row>
    <row r="46" spans="1:9" x14ac:dyDescent="0.3">
      <c r="A46" s="20" t="s">
        <v>394</v>
      </c>
      <c r="B46" s="21">
        <v>1</v>
      </c>
      <c r="C46" s="21">
        <v>24</v>
      </c>
      <c r="D46" s="21">
        <v>82350</v>
      </c>
      <c r="F46" s="19" t="s">
        <v>424</v>
      </c>
      <c r="G46" s="21">
        <v>1</v>
      </c>
      <c r="H46" s="21">
        <v>92</v>
      </c>
      <c r="I46" s="21">
        <v>16355.92</v>
      </c>
    </row>
    <row r="47" spans="1:9" x14ac:dyDescent="0.3">
      <c r="A47" s="19" t="s">
        <v>424</v>
      </c>
      <c r="B47" s="21">
        <v>28</v>
      </c>
      <c r="C47" s="21">
        <v>740</v>
      </c>
      <c r="D47" s="21">
        <v>3161633.04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20"/>
  <sheetViews>
    <sheetView topLeftCell="E1" zoomScale="90" zoomScaleNormal="90" workbookViewId="0">
      <pane ySplit="1" topLeftCell="A19" activePane="bottomLeft" state="frozen"/>
      <selection pane="bottomLeft" activeCell="O104" sqref="O104"/>
    </sheetView>
  </sheetViews>
  <sheetFormatPr baseColWidth="10" defaultColWidth="8.88671875" defaultRowHeight="14.4" outlineLevelRow="1" x14ac:dyDescent="0.3"/>
  <cols>
    <col min="1" max="1" width="12" bestFit="1" customWidth="1"/>
    <col min="2" max="2" width="36" bestFit="1" customWidth="1"/>
    <col min="3" max="3" width="13" bestFit="1" customWidth="1"/>
    <col min="4" max="4" width="17" bestFit="1" customWidth="1"/>
    <col min="5" max="6" width="19" bestFit="1" customWidth="1"/>
    <col min="7" max="7" width="29" customWidth="1"/>
    <col min="8" max="8" width="14" customWidth="1"/>
    <col min="9" max="9" width="23" customWidth="1"/>
    <col min="10" max="10" width="21" customWidth="1"/>
    <col min="11" max="11" width="25" customWidth="1"/>
    <col min="12" max="12" width="11.33203125" customWidth="1"/>
    <col min="13" max="13" width="10.44140625" customWidth="1"/>
    <col min="14" max="14" width="11.44140625" customWidth="1"/>
    <col min="15" max="15" width="12.77734375" bestFit="1" customWidth="1"/>
    <col min="16" max="16" width="12.21875" bestFit="1" customWidth="1"/>
    <col min="17" max="17" width="12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398</v>
      </c>
      <c r="L1" s="9" t="s">
        <v>406</v>
      </c>
      <c r="M1" s="10" t="s">
        <v>407</v>
      </c>
      <c r="N1" s="11" t="s">
        <v>408</v>
      </c>
      <c r="O1" s="12" t="s">
        <v>409</v>
      </c>
      <c r="P1" s="12" t="s">
        <v>410</v>
      </c>
      <c r="Q1" s="13" t="s">
        <v>411</v>
      </c>
      <c r="R1" s="14" t="s">
        <v>412</v>
      </c>
    </row>
    <row r="2" spans="1:18" hidden="1" outlineLevel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46028</v>
      </c>
      <c r="G2" s="4">
        <v>180</v>
      </c>
      <c r="H2" s="3">
        <v>46035</v>
      </c>
      <c r="I2" s="5">
        <v>14.16</v>
      </c>
      <c r="J2" s="2" t="s">
        <v>15</v>
      </c>
      <c r="K2" s="2" t="s">
        <v>399</v>
      </c>
      <c r="O2" s="15">
        <f>H2</f>
        <v>46035</v>
      </c>
      <c r="P2" s="16">
        <f>I2/3.397</f>
        <v>4.1683838681189291</v>
      </c>
    </row>
    <row r="3" spans="1:18" hidden="1" outlineLevel="1" x14ac:dyDescent="0.3">
      <c r="A3" s="2" t="s">
        <v>10</v>
      </c>
      <c r="B3" s="2" t="s">
        <v>16</v>
      </c>
      <c r="C3" s="2" t="s">
        <v>17</v>
      </c>
      <c r="D3" s="2" t="s">
        <v>18</v>
      </c>
      <c r="E3" s="2" t="s">
        <v>14</v>
      </c>
      <c r="F3" s="3">
        <v>46030</v>
      </c>
      <c r="G3" s="4">
        <v>178</v>
      </c>
      <c r="H3" s="3">
        <v>46037</v>
      </c>
      <c r="I3" s="5">
        <v>14.16</v>
      </c>
      <c r="J3" s="2" t="s">
        <v>15</v>
      </c>
      <c r="K3" s="2" t="s">
        <v>399</v>
      </c>
      <c r="O3" s="15">
        <f t="shared" ref="O3:O18" si="0">H3</f>
        <v>46037</v>
      </c>
      <c r="P3" s="16">
        <f t="shared" ref="P3:P18" si="1">I3/3.397</f>
        <v>4.1683838681189291</v>
      </c>
    </row>
    <row r="4" spans="1:18" hidden="1" outlineLevel="1" x14ac:dyDescent="0.3">
      <c r="A4" s="2" t="s">
        <v>10</v>
      </c>
      <c r="B4" s="2" t="s">
        <v>19</v>
      </c>
      <c r="C4" s="2" t="s">
        <v>20</v>
      </c>
      <c r="D4" s="2" t="s">
        <v>21</v>
      </c>
      <c r="E4" s="2" t="s">
        <v>14</v>
      </c>
      <c r="F4" s="3">
        <v>46032</v>
      </c>
      <c r="G4" s="4">
        <v>176</v>
      </c>
      <c r="H4" s="3">
        <v>46039</v>
      </c>
      <c r="I4" s="5">
        <v>14.16</v>
      </c>
      <c r="J4" s="2" t="s">
        <v>15</v>
      </c>
      <c r="K4" s="2" t="s">
        <v>399</v>
      </c>
      <c r="O4" s="15">
        <f t="shared" si="0"/>
        <v>46039</v>
      </c>
      <c r="P4" s="16">
        <f t="shared" si="1"/>
        <v>4.1683838681189291</v>
      </c>
    </row>
    <row r="5" spans="1:18" hidden="1" outlineLevel="1" x14ac:dyDescent="0.3">
      <c r="A5" s="2" t="s">
        <v>10</v>
      </c>
      <c r="B5" s="2" t="s">
        <v>22</v>
      </c>
      <c r="C5" s="2" t="s">
        <v>23</v>
      </c>
      <c r="D5" s="2" t="s">
        <v>24</v>
      </c>
      <c r="E5" s="2" t="s">
        <v>14</v>
      </c>
      <c r="F5" s="3">
        <v>46038</v>
      </c>
      <c r="G5" s="4">
        <v>170</v>
      </c>
      <c r="H5" s="3">
        <v>46045</v>
      </c>
      <c r="I5" s="5">
        <v>14.16</v>
      </c>
      <c r="J5" s="2" t="s">
        <v>15</v>
      </c>
      <c r="K5" s="2" t="s">
        <v>399</v>
      </c>
      <c r="O5" s="15">
        <f t="shared" si="0"/>
        <v>46045</v>
      </c>
      <c r="P5" s="16">
        <f t="shared" si="1"/>
        <v>4.1683838681189291</v>
      </c>
    </row>
    <row r="6" spans="1:18" hidden="1" outlineLevel="1" x14ac:dyDescent="0.3">
      <c r="A6" s="2" t="s">
        <v>10</v>
      </c>
      <c r="B6" s="2" t="s">
        <v>25</v>
      </c>
      <c r="C6" s="2" t="s">
        <v>26</v>
      </c>
      <c r="D6" s="2" t="s">
        <v>27</v>
      </c>
      <c r="E6" s="2" t="s">
        <v>14</v>
      </c>
      <c r="F6" s="3">
        <v>46038</v>
      </c>
      <c r="G6" s="4">
        <v>170</v>
      </c>
      <c r="H6" s="3">
        <v>46045</v>
      </c>
      <c r="I6" s="5">
        <v>14.16</v>
      </c>
      <c r="J6" s="2" t="s">
        <v>15</v>
      </c>
      <c r="K6" s="2" t="s">
        <v>399</v>
      </c>
      <c r="O6" s="15">
        <f t="shared" si="0"/>
        <v>46045</v>
      </c>
      <c r="P6" s="16">
        <f t="shared" si="1"/>
        <v>4.1683838681189291</v>
      </c>
    </row>
    <row r="7" spans="1:18" hidden="1" outlineLevel="1" x14ac:dyDescent="0.3">
      <c r="A7" s="2" t="s">
        <v>10</v>
      </c>
      <c r="B7" s="2" t="s">
        <v>28</v>
      </c>
      <c r="C7" s="2" t="s">
        <v>29</v>
      </c>
      <c r="D7" s="2" t="s">
        <v>30</v>
      </c>
      <c r="E7" s="2" t="s">
        <v>14</v>
      </c>
      <c r="F7" s="3">
        <v>46041</v>
      </c>
      <c r="G7" s="4">
        <v>167</v>
      </c>
      <c r="H7" s="3">
        <v>46048</v>
      </c>
      <c r="I7" s="5">
        <v>14.16</v>
      </c>
      <c r="J7" s="2" t="s">
        <v>15</v>
      </c>
      <c r="K7" s="2" t="s">
        <v>399</v>
      </c>
      <c r="O7" s="15">
        <f t="shared" si="0"/>
        <v>46048</v>
      </c>
      <c r="P7" s="16">
        <f t="shared" si="1"/>
        <v>4.1683838681189291</v>
      </c>
    </row>
    <row r="8" spans="1:18" hidden="1" outlineLevel="1" x14ac:dyDescent="0.3">
      <c r="A8" s="2" t="s">
        <v>10</v>
      </c>
      <c r="B8" s="2" t="s">
        <v>31</v>
      </c>
      <c r="C8" s="2" t="s">
        <v>32</v>
      </c>
      <c r="D8" s="2" t="s">
        <v>33</v>
      </c>
      <c r="E8" s="2" t="s">
        <v>14</v>
      </c>
      <c r="F8" s="3">
        <v>45980</v>
      </c>
      <c r="G8" s="4">
        <v>228</v>
      </c>
      <c r="H8" s="3">
        <v>45987</v>
      </c>
      <c r="I8" s="5">
        <v>42.48</v>
      </c>
      <c r="J8" s="2" t="s">
        <v>15</v>
      </c>
      <c r="K8" s="2" t="s">
        <v>399</v>
      </c>
      <c r="O8" s="15">
        <f t="shared" si="0"/>
        <v>45987</v>
      </c>
      <c r="P8" s="16">
        <f t="shared" si="1"/>
        <v>12.505151604356785</v>
      </c>
    </row>
    <row r="9" spans="1:18" hidden="1" outlineLevel="1" x14ac:dyDescent="0.3">
      <c r="A9" s="2" t="s">
        <v>10</v>
      </c>
      <c r="B9" s="2" t="s">
        <v>34</v>
      </c>
      <c r="C9" s="2" t="s">
        <v>35</v>
      </c>
      <c r="D9" s="2" t="s">
        <v>36</v>
      </c>
      <c r="E9" s="2" t="s">
        <v>14</v>
      </c>
      <c r="F9" s="3">
        <v>45980</v>
      </c>
      <c r="G9" s="4">
        <v>228</v>
      </c>
      <c r="H9" s="3">
        <v>45987</v>
      </c>
      <c r="I9" s="5">
        <v>14.16</v>
      </c>
      <c r="J9" s="2" t="s">
        <v>15</v>
      </c>
      <c r="K9" s="2" t="s">
        <v>399</v>
      </c>
      <c r="O9" s="15">
        <f t="shared" si="0"/>
        <v>45987</v>
      </c>
      <c r="P9" s="16">
        <f t="shared" si="1"/>
        <v>4.1683838681189291</v>
      </c>
    </row>
    <row r="10" spans="1:18" hidden="1" outlineLevel="1" x14ac:dyDescent="0.3">
      <c r="A10" s="2" t="s">
        <v>10</v>
      </c>
      <c r="B10" s="2" t="s">
        <v>37</v>
      </c>
      <c r="C10" s="2" t="s">
        <v>38</v>
      </c>
      <c r="D10" s="2" t="s">
        <v>39</v>
      </c>
      <c r="E10" s="2" t="s">
        <v>14</v>
      </c>
      <c r="F10" s="3">
        <v>45980</v>
      </c>
      <c r="G10" s="4">
        <v>228</v>
      </c>
      <c r="H10" s="3">
        <v>45987</v>
      </c>
      <c r="I10" s="5">
        <v>14.16</v>
      </c>
      <c r="J10" s="2" t="s">
        <v>15</v>
      </c>
      <c r="K10" s="2" t="s">
        <v>399</v>
      </c>
      <c r="O10" s="15">
        <f t="shared" si="0"/>
        <v>45987</v>
      </c>
      <c r="P10" s="16">
        <f t="shared" si="1"/>
        <v>4.1683838681189291</v>
      </c>
    </row>
    <row r="11" spans="1:18" hidden="1" outlineLevel="1" x14ac:dyDescent="0.3">
      <c r="A11" s="2" t="s">
        <v>10</v>
      </c>
      <c r="B11" s="2" t="s">
        <v>40</v>
      </c>
      <c r="C11" s="2" t="s">
        <v>41</v>
      </c>
      <c r="D11" s="2" t="s">
        <v>42</v>
      </c>
      <c r="E11" s="2" t="s">
        <v>14</v>
      </c>
      <c r="F11" s="3">
        <v>45981</v>
      </c>
      <c r="G11" s="4">
        <v>227</v>
      </c>
      <c r="H11" s="3">
        <v>45988</v>
      </c>
      <c r="I11" s="5">
        <v>28.32</v>
      </c>
      <c r="J11" s="2" t="s">
        <v>15</v>
      </c>
      <c r="K11" s="2" t="s">
        <v>399</v>
      </c>
      <c r="O11" s="15">
        <f t="shared" si="0"/>
        <v>45988</v>
      </c>
      <c r="P11" s="16">
        <f t="shared" si="1"/>
        <v>8.3367677362378583</v>
      </c>
    </row>
    <row r="12" spans="1:18" hidden="1" outlineLevel="1" x14ac:dyDescent="0.3">
      <c r="A12" s="2" t="s">
        <v>10</v>
      </c>
      <c r="B12" s="2" t="s">
        <v>43</v>
      </c>
      <c r="C12" s="2" t="s">
        <v>44</v>
      </c>
      <c r="D12" s="2" t="s">
        <v>45</v>
      </c>
      <c r="E12" s="2" t="s">
        <v>14</v>
      </c>
      <c r="F12" s="3">
        <v>45981</v>
      </c>
      <c r="G12" s="4">
        <v>227</v>
      </c>
      <c r="H12" s="3">
        <v>45988</v>
      </c>
      <c r="I12" s="5">
        <v>14.16</v>
      </c>
      <c r="J12" s="2" t="s">
        <v>15</v>
      </c>
      <c r="K12" s="2" t="s">
        <v>399</v>
      </c>
      <c r="O12" s="15">
        <f t="shared" si="0"/>
        <v>45988</v>
      </c>
      <c r="P12" s="16">
        <f t="shared" si="1"/>
        <v>4.1683838681189291</v>
      </c>
    </row>
    <row r="13" spans="1:18" hidden="1" outlineLevel="1" x14ac:dyDescent="0.3">
      <c r="A13" s="2" t="s">
        <v>10</v>
      </c>
      <c r="B13" s="2" t="s">
        <v>46</v>
      </c>
      <c r="C13" s="2" t="s">
        <v>47</v>
      </c>
      <c r="D13" s="2" t="s">
        <v>48</v>
      </c>
      <c r="E13" s="2" t="s">
        <v>14</v>
      </c>
      <c r="F13" s="3">
        <v>45982</v>
      </c>
      <c r="G13" s="4">
        <v>226</v>
      </c>
      <c r="H13" s="3">
        <v>45989</v>
      </c>
      <c r="I13" s="5">
        <v>28.32</v>
      </c>
      <c r="J13" s="2" t="s">
        <v>15</v>
      </c>
      <c r="K13" s="2" t="s">
        <v>399</v>
      </c>
      <c r="O13" s="15">
        <f t="shared" si="0"/>
        <v>45989</v>
      </c>
      <c r="P13" s="16">
        <f t="shared" si="1"/>
        <v>8.3367677362378583</v>
      </c>
    </row>
    <row r="14" spans="1:18" hidden="1" outlineLevel="1" x14ac:dyDescent="0.3">
      <c r="A14" s="2" t="s">
        <v>10</v>
      </c>
      <c r="B14" s="2" t="s">
        <v>49</v>
      </c>
      <c r="C14" s="2" t="s">
        <v>50</v>
      </c>
      <c r="D14" s="2" t="s">
        <v>51</v>
      </c>
      <c r="E14" s="2" t="s">
        <v>14</v>
      </c>
      <c r="F14" s="3">
        <v>45982</v>
      </c>
      <c r="G14" s="4">
        <v>226</v>
      </c>
      <c r="H14" s="3">
        <v>45989</v>
      </c>
      <c r="I14" s="5">
        <v>42.48</v>
      </c>
      <c r="J14" s="2" t="s">
        <v>15</v>
      </c>
      <c r="K14" s="2" t="s">
        <v>399</v>
      </c>
      <c r="O14" s="15">
        <f t="shared" si="0"/>
        <v>45989</v>
      </c>
      <c r="P14" s="16">
        <f t="shared" si="1"/>
        <v>12.505151604356785</v>
      </c>
    </row>
    <row r="15" spans="1:18" hidden="1" outlineLevel="1" x14ac:dyDescent="0.3">
      <c r="A15" s="2" t="s">
        <v>10</v>
      </c>
      <c r="B15" s="2" t="s">
        <v>52</v>
      </c>
      <c r="C15" s="2" t="s">
        <v>53</v>
      </c>
      <c r="D15" s="2" t="s">
        <v>54</v>
      </c>
      <c r="E15" s="2" t="s">
        <v>14</v>
      </c>
      <c r="F15" s="3">
        <v>45982</v>
      </c>
      <c r="G15" s="4">
        <v>226</v>
      </c>
      <c r="H15" s="3">
        <v>45989</v>
      </c>
      <c r="I15" s="5">
        <v>42.48</v>
      </c>
      <c r="J15" s="2" t="s">
        <v>15</v>
      </c>
      <c r="K15" s="2" t="s">
        <v>399</v>
      </c>
      <c r="O15" s="15">
        <f t="shared" si="0"/>
        <v>45989</v>
      </c>
      <c r="P15" s="16">
        <f t="shared" si="1"/>
        <v>12.505151604356785</v>
      </c>
    </row>
    <row r="16" spans="1:18" hidden="1" outlineLevel="1" x14ac:dyDescent="0.3">
      <c r="A16" s="2" t="s">
        <v>10</v>
      </c>
      <c r="B16" s="2" t="s">
        <v>55</v>
      </c>
      <c r="C16" s="2" t="s">
        <v>56</v>
      </c>
      <c r="D16" s="2" t="s">
        <v>57</v>
      </c>
      <c r="E16" s="2" t="s">
        <v>14</v>
      </c>
      <c r="F16" s="3">
        <v>45982</v>
      </c>
      <c r="G16" s="4">
        <v>226</v>
      </c>
      <c r="H16" s="3">
        <v>45989</v>
      </c>
      <c r="I16" s="5">
        <v>14.16</v>
      </c>
      <c r="J16" s="2" t="s">
        <v>15</v>
      </c>
      <c r="K16" s="2" t="s">
        <v>399</v>
      </c>
      <c r="O16" s="15">
        <f t="shared" si="0"/>
        <v>45989</v>
      </c>
      <c r="P16" s="16">
        <f t="shared" si="1"/>
        <v>4.1683838681189291</v>
      </c>
    </row>
    <row r="17" spans="1:18" hidden="1" outlineLevel="1" x14ac:dyDescent="0.3">
      <c r="A17" s="2" t="s">
        <v>10</v>
      </c>
      <c r="B17" s="2" t="s">
        <v>58</v>
      </c>
      <c r="C17" s="2" t="s">
        <v>59</v>
      </c>
      <c r="D17" s="2" t="s">
        <v>60</v>
      </c>
      <c r="E17" s="2" t="s">
        <v>14</v>
      </c>
      <c r="F17" s="3">
        <v>45983</v>
      </c>
      <c r="G17" s="4">
        <v>225</v>
      </c>
      <c r="H17" s="3">
        <v>45990</v>
      </c>
      <c r="I17" s="5">
        <v>28.32</v>
      </c>
      <c r="J17" s="2" t="s">
        <v>15</v>
      </c>
      <c r="K17" s="2" t="s">
        <v>399</v>
      </c>
      <c r="O17" s="15">
        <f t="shared" si="0"/>
        <v>45990</v>
      </c>
      <c r="P17" s="16">
        <f t="shared" si="1"/>
        <v>8.3367677362378583</v>
      </c>
    </row>
    <row r="18" spans="1:18" hidden="1" outlineLevel="1" x14ac:dyDescent="0.3">
      <c r="A18" s="2" t="s">
        <v>10</v>
      </c>
      <c r="B18" s="2" t="s">
        <v>61</v>
      </c>
      <c r="C18" s="2" t="s">
        <v>62</v>
      </c>
      <c r="D18" s="2" t="s">
        <v>63</v>
      </c>
      <c r="E18" s="2" t="s">
        <v>14</v>
      </c>
      <c r="F18" s="3">
        <v>45988</v>
      </c>
      <c r="G18" s="4">
        <v>220</v>
      </c>
      <c r="H18" s="3">
        <v>45995</v>
      </c>
      <c r="I18" s="5">
        <v>14.16</v>
      </c>
      <c r="J18" s="2" t="s">
        <v>15</v>
      </c>
      <c r="K18" s="2" t="s">
        <v>399</v>
      </c>
      <c r="O18" s="15">
        <f t="shared" si="0"/>
        <v>45995</v>
      </c>
      <c r="P18" s="16">
        <f t="shared" si="1"/>
        <v>4.1683838681189291</v>
      </c>
    </row>
    <row r="19" spans="1:18" outlineLevel="1" x14ac:dyDescent="0.3">
      <c r="A19" s="2" t="s">
        <v>65</v>
      </c>
      <c r="B19" s="2" t="s">
        <v>66</v>
      </c>
      <c r="C19" s="2" t="s">
        <v>67</v>
      </c>
      <c r="D19" s="2" t="s">
        <v>418</v>
      </c>
      <c r="E19" s="2" t="s">
        <v>64</v>
      </c>
      <c r="F19" s="3">
        <v>46168</v>
      </c>
      <c r="G19" s="4">
        <v>2</v>
      </c>
      <c r="H19" s="3">
        <v>46213</v>
      </c>
      <c r="I19" s="5">
        <v>78360</v>
      </c>
      <c r="J19" s="2" t="s">
        <v>69</v>
      </c>
      <c r="K19" s="2" t="s">
        <v>403</v>
      </c>
      <c r="L19" s="15">
        <f>F19+60</f>
        <v>46228</v>
      </c>
      <c r="M19" s="17">
        <f ca="1">TODAY()-N19</f>
        <v>3</v>
      </c>
      <c r="N19" s="15">
        <v>46213</v>
      </c>
      <c r="O19" s="15">
        <v>46220</v>
      </c>
      <c r="P19" s="8">
        <f>I19</f>
        <v>78360</v>
      </c>
      <c r="Q19" s="17">
        <f ca="1">TODAY()-F19</f>
        <v>48</v>
      </c>
      <c r="R19" t="s">
        <v>414</v>
      </c>
    </row>
    <row r="20" spans="1:18" outlineLevel="1" x14ac:dyDescent="0.3">
      <c r="A20" s="2" t="s">
        <v>65</v>
      </c>
      <c r="B20" s="2" t="s">
        <v>70</v>
      </c>
      <c r="C20" s="2" t="s">
        <v>71</v>
      </c>
      <c r="D20" s="2" t="s">
        <v>72</v>
      </c>
      <c r="E20" s="2" t="s">
        <v>68</v>
      </c>
      <c r="F20" s="3">
        <v>46171</v>
      </c>
      <c r="G20" s="7">
        <v>-1</v>
      </c>
      <c r="H20" s="3">
        <v>46216</v>
      </c>
      <c r="I20" s="5">
        <v>234900</v>
      </c>
      <c r="J20" s="2" t="s">
        <v>69</v>
      </c>
      <c r="K20" s="2" t="s">
        <v>403</v>
      </c>
      <c r="L20" s="15">
        <f t="shared" ref="L20:L22" si="2">F20+60</f>
        <v>46231</v>
      </c>
      <c r="M20" s="17">
        <f t="shared" ref="M20:M22" ca="1" si="3">TODAY()-N20</f>
        <v>0</v>
      </c>
      <c r="N20" s="15">
        <v>46216</v>
      </c>
      <c r="O20" s="15">
        <v>46220</v>
      </c>
      <c r="P20" s="8">
        <f t="shared" ref="P20:P22" si="4">I20</f>
        <v>234900</v>
      </c>
      <c r="Q20" s="17">
        <f t="shared" ref="Q20:Q22" ca="1" si="5">TODAY()-F20</f>
        <v>45</v>
      </c>
      <c r="R20" t="s">
        <v>413</v>
      </c>
    </row>
    <row r="21" spans="1:18" hidden="1" outlineLevel="1" x14ac:dyDescent="0.3">
      <c r="A21" s="2" t="s">
        <v>65</v>
      </c>
      <c r="B21" s="2" t="s">
        <v>73</v>
      </c>
      <c r="C21" s="2" t="s">
        <v>74</v>
      </c>
      <c r="D21" s="2" t="s">
        <v>417</v>
      </c>
      <c r="E21" s="2" t="s">
        <v>64</v>
      </c>
      <c r="F21" s="3">
        <v>46203</v>
      </c>
      <c r="G21" s="7">
        <v>-48</v>
      </c>
      <c r="H21" s="3">
        <v>46263</v>
      </c>
      <c r="I21" s="5">
        <v>218730</v>
      </c>
      <c r="J21" s="2" t="s">
        <v>69</v>
      </c>
      <c r="K21" s="2" t="s">
        <v>403</v>
      </c>
      <c r="L21" s="15">
        <f t="shared" si="2"/>
        <v>46263</v>
      </c>
      <c r="M21" s="17">
        <f t="shared" ca="1" si="3"/>
        <v>-47</v>
      </c>
      <c r="N21" s="15">
        <v>46263</v>
      </c>
      <c r="O21" s="15">
        <f t="shared" ref="O21" si="6">H21</f>
        <v>46263</v>
      </c>
      <c r="P21" s="8">
        <f t="shared" si="4"/>
        <v>218730</v>
      </c>
      <c r="Q21" s="17">
        <f t="shared" ca="1" si="5"/>
        <v>13</v>
      </c>
      <c r="R21" t="s">
        <v>413</v>
      </c>
    </row>
    <row r="22" spans="1:18" hidden="1" outlineLevel="1" x14ac:dyDescent="0.3">
      <c r="A22" s="2" t="s">
        <v>65</v>
      </c>
      <c r="B22" s="2" t="s">
        <v>75</v>
      </c>
      <c r="C22" s="2" t="s">
        <v>76</v>
      </c>
      <c r="D22" s="2" t="s">
        <v>77</v>
      </c>
      <c r="E22" s="2" t="s">
        <v>64</v>
      </c>
      <c r="F22" s="3">
        <v>46171</v>
      </c>
      <c r="G22" s="4">
        <v>44</v>
      </c>
      <c r="H22" s="3">
        <v>46171</v>
      </c>
      <c r="I22" s="5">
        <v>336990</v>
      </c>
      <c r="J22" s="2" t="s">
        <v>69</v>
      </c>
      <c r="K22" s="2" t="s">
        <v>403</v>
      </c>
      <c r="L22" s="15">
        <f t="shared" si="2"/>
        <v>46231</v>
      </c>
      <c r="M22" s="17">
        <f t="shared" ca="1" si="3"/>
        <v>0</v>
      </c>
      <c r="N22" s="15">
        <v>46216</v>
      </c>
      <c r="O22" s="15">
        <v>46244</v>
      </c>
      <c r="P22" s="8">
        <f t="shared" si="4"/>
        <v>336990</v>
      </c>
      <c r="Q22" s="17">
        <f t="shared" ca="1" si="5"/>
        <v>45</v>
      </c>
      <c r="R22" t="s">
        <v>413</v>
      </c>
    </row>
    <row r="23" spans="1:18" hidden="1" outlineLevel="1" x14ac:dyDescent="0.3">
      <c r="A23" s="2" t="s">
        <v>79</v>
      </c>
      <c r="B23" s="2" t="s">
        <v>80</v>
      </c>
      <c r="C23" s="2" t="s">
        <v>81</v>
      </c>
      <c r="D23" s="2" t="s">
        <v>82</v>
      </c>
      <c r="E23" s="2" t="s">
        <v>83</v>
      </c>
      <c r="F23" s="3">
        <v>46159</v>
      </c>
      <c r="G23" s="4">
        <v>49</v>
      </c>
      <c r="H23" s="3">
        <v>46166</v>
      </c>
      <c r="I23" s="5">
        <v>365.8</v>
      </c>
      <c r="J23" s="2" t="s">
        <v>15</v>
      </c>
      <c r="K23" s="2" t="s">
        <v>399</v>
      </c>
      <c r="N23" s="15"/>
      <c r="O23" s="15">
        <f t="shared" ref="O23:O27" si="7">H23</f>
        <v>46166</v>
      </c>
      <c r="P23" s="16">
        <f t="shared" ref="P23:P27" si="8">I23/3.397</f>
        <v>107.68324992640567</v>
      </c>
    </row>
    <row r="24" spans="1:18" hidden="1" outlineLevel="1" x14ac:dyDescent="0.3">
      <c r="A24" s="2" t="s">
        <v>79</v>
      </c>
      <c r="B24" s="2" t="s">
        <v>84</v>
      </c>
      <c r="C24" s="2" t="s">
        <v>85</v>
      </c>
      <c r="D24" s="2" t="s">
        <v>86</v>
      </c>
      <c r="E24" s="2" t="s">
        <v>83</v>
      </c>
      <c r="F24" s="3">
        <v>46159</v>
      </c>
      <c r="G24" s="4">
        <v>49</v>
      </c>
      <c r="H24" s="3">
        <v>46166</v>
      </c>
      <c r="I24" s="5">
        <v>47.2</v>
      </c>
      <c r="J24" s="2" t="s">
        <v>15</v>
      </c>
      <c r="K24" s="2" t="s">
        <v>399</v>
      </c>
      <c r="N24" s="15"/>
      <c r="O24" s="15">
        <f t="shared" si="7"/>
        <v>46166</v>
      </c>
      <c r="P24" s="16">
        <f t="shared" si="8"/>
        <v>13.894612893729763</v>
      </c>
    </row>
    <row r="25" spans="1:18" hidden="1" outlineLevel="1" x14ac:dyDescent="0.3">
      <c r="A25" s="2" t="s">
        <v>79</v>
      </c>
      <c r="B25" s="2" t="s">
        <v>87</v>
      </c>
      <c r="C25" s="2" t="s">
        <v>88</v>
      </c>
      <c r="D25" s="2" t="s">
        <v>89</v>
      </c>
      <c r="E25" s="2" t="s">
        <v>83</v>
      </c>
      <c r="F25" s="3">
        <v>46201</v>
      </c>
      <c r="G25" s="4">
        <v>7</v>
      </c>
      <c r="H25" s="3">
        <v>46208</v>
      </c>
      <c r="I25" s="5">
        <v>820.1</v>
      </c>
      <c r="J25" s="2" t="s">
        <v>15</v>
      </c>
      <c r="K25" s="2" t="s">
        <v>399</v>
      </c>
      <c r="N25" s="15"/>
      <c r="O25" s="15">
        <f t="shared" si="7"/>
        <v>46208</v>
      </c>
      <c r="P25" s="16">
        <f t="shared" si="8"/>
        <v>241.41889902855462</v>
      </c>
    </row>
    <row r="26" spans="1:18" hidden="1" outlineLevel="1" x14ac:dyDescent="0.3">
      <c r="A26" s="2" t="s">
        <v>79</v>
      </c>
      <c r="B26" s="2" t="s">
        <v>90</v>
      </c>
      <c r="C26" s="2" t="s">
        <v>91</v>
      </c>
      <c r="D26" s="2" t="s">
        <v>92</v>
      </c>
      <c r="E26" s="2" t="s">
        <v>83</v>
      </c>
      <c r="F26" s="3">
        <v>46201</v>
      </c>
      <c r="G26" s="4">
        <v>7</v>
      </c>
      <c r="H26" s="3">
        <v>46208</v>
      </c>
      <c r="I26" s="5">
        <v>70.8</v>
      </c>
      <c r="J26" s="2" t="s">
        <v>15</v>
      </c>
      <c r="K26" s="2" t="s">
        <v>399</v>
      </c>
      <c r="N26" s="15"/>
      <c r="O26" s="15">
        <f t="shared" si="7"/>
        <v>46208</v>
      </c>
      <c r="P26" s="16">
        <f t="shared" si="8"/>
        <v>20.841919340594643</v>
      </c>
    </row>
    <row r="27" spans="1:18" hidden="1" outlineLevel="1" x14ac:dyDescent="0.3">
      <c r="A27" s="2" t="s">
        <v>93</v>
      </c>
      <c r="B27" s="2" t="s">
        <v>94</v>
      </c>
      <c r="C27" s="2" t="s">
        <v>95</v>
      </c>
      <c r="D27" s="2" t="s">
        <v>96</v>
      </c>
      <c r="E27" s="2" t="s">
        <v>14</v>
      </c>
      <c r="F27" s="3">
        <v>46210</v>
      </c>
      <c r="G27" s="7">
        <v>-2</v>
      </c>
      <c r="H27" s="3">
        <v>46217</v>
      </c>
      <c r="I27" s="5">
        <v>283.2</v>
      </c>
      <c r="J27" s="2" t="s">
        <v>15</v>
      </c>
      <c r="K27" s="2" t="s">
        <v>399</v>
      </c>
      <c r="N27" s="15"/>
      <c r="O27" s="15">
        <f t="shared" si="7"/>
        <v>46217</v>
      </c>
      <c r="P27" s="16">
        <f t="shared" si="8"/>
        <v>83.367677362378572</v>
      </c>
    </row>
    <row r="28" spans="1:18" outlineLevel="1" x14ac:dyDescent="0.3">
      <c r="A28" s="2" t="s">
        <v>97</v>
      </c>
      <c r="B28" s="2" t="s">
        <v>98</v>
      </c>
      <c r="C28" s="2" t="s">
        <v>99</v>
      </c>
      <c r="D28" s="2" t="s">
        <v>100</v>
      </c>
      <c r="E28" s="2" t="s">
        <v>64</v>
      </c>
      <c r="F28" s="3">
        <v>46139</v>
      </c>
      <c r="G28" s="4">
        <v>76</v>
      </c>
      <c r="H28" s="3">
        <v>46139</v>
      </c>
      <c r="I28" s="5">
        <v>15163</v>
      </c>
      <c r="J28" s="2" t="s">
        <v>69</v>
      </c>
      <c r="K28" s="2" t="s">
        <v>403</v>
      </c>
      <c r="L28" s="15">
        <f t="shared" ref="L28:L30" si="9">F28+60</f>
        <v>46199</v>
      </c>
      <c r="M28" s="17">
        <f t="shared" ref="M28:M29" ca="1" si="10">TODAY()-N28</f>
        <v>-18</v>
      </c>
      <c r="N28" s="15">
        <v>46234</v>
      </c>
      <c r="O28" s="15">
        <v>46234</v>
      </c>
      <c r="P28" s="8">
        <f t="shared" ref="P28:P30" si="11">I28</f>
        <v>15163</v>
      </c>
      <c r="Q28" s="17">
        <f t="shared" ref="Q28:Q30" ca="1" si="12">TODAY()-F28</f>
        <v>77</v>
      </c>
      <c r="R28" t="s">
        <v>415</v>
      </c>
    </row>
    <row r="29" spans="1:18" outlineLevel="1" x14ac:dyDescent="0.3">
      <c r="A29" s="2" t="s">
        <v>101</v>
      </c>
      <c r="B29" s="2" t="s">
        <v>102</v>
      </c>
      <c r="C29" s="2" t="s">
        <v>103</v>
      </c>
      <c r="D29" s="2" t="s">
        <v>104</v>
      </c>
      <c r="E29" s="2" t="s">
        <v>64</v>
      </c>
      <c r="F29" s="3">
        <v>46124</v>
      </c>
      <c r="G29" s="4">
        <v>91</v>
      </c>
      <c r="H29" s="3">
        <v>46124</v>
      </c>
      <c r="I29" s="5">
        <v>16355.92</v>
      </c>
      <c r="J29" s="2" t="s">
        <v>69</v>
      </c>
      <c r="K29" s="2" t="s">
        <v>403</v>
      </c>
      <c r="L29" s="15">
        <f t="shared" si="9"/>
        <v>46184</v>
      </c>
      <c r="M29" s="17">
        <f t="shared" ca="1" si="10"/>
        <v>-18</v>
      </c>
      <c r="N29" s="15">
        <v>46234</v>
      </c>
      <c r="O29" s="15">
        <v>46234</v>
      </c>
      <c r="P29" s="8">
        <f t="shared" si="11"/>
        <v>16355.92</v>
      </c>
      <c r="Q29" s="17">
        <f t="shared" ca="1" si="12"/>
        <v>92</v>
      </c>
      <c r="R29" t="s">
        <v>416</v>
      </c>
    </row>
    <row r="30" spans="1:18" hidden="1" outlineLevel="1" x14ac:dyDescent="0.3">
      <c r="A30" s="2" t="s">
        <v>105</v>
      </c>
      <c r="B30" s="2" t="s">
        <v>106</v>
      </c>
      <c r="C30" s="2" t="s">
        <v>107</v>
      </c>
      <c r="D30" s="2" t="s">
        <v>108</v>
      </c>
      <c r="E30" s="2" t="s">
        <v>78</v>
      </c>
      <c r="F30" s="3">
        <v>46204</v>
      </c>
      <c r="G30" s="4">
        <v>0</v>
      </c>
      <c r="H30" s="3">
        <v>46234</v>
      </c>
      <c r="I30" s="6">
        <v>-14712</v>
      </c>
      <c r="J30" s="2" t="s">
        <v>69</v>
      </c>
      <c r="K30" s="2" t="s">
        <v>403</v>
      </c>
      <c r="L30" s="15">
        <f t="shared" si="9"/>
        <v>46264</v>
      </c>
      <c r="M30" s="17"/>
      <c r="N30" s="15"/>
      <c r="O30" s="15">
        <f>F30</f>
        <v>46204</v>
      </c>
      <c r="P30" s="8">
        <f t="shared" si="11"/>
        <v>-14712</v>
      </c>
      <c r="Q30" s="17">
        <f t="shared" ca="1" si="12"/>
        <v>12</v>
      </c>
      <c r="R30" t="s">
        <v>413</v>
      </c>
    </row>
    <row r="31" spans="1:18" hidden="1" outlineLevel="1" x14ac:dyDescent="0.3">
      <c r="A31" s="2" t="s">
        <v>109</v>
      </c>
      <c r="B31" s="2" t="s">
        <v>110</v>
      </c>
      <c r="C31" s="2" t="s">
        <v>111</v>
      </c>
      <c r="D31" s="2" t="s">
        <v>112</v>
      </c>
      <c r="E31" s="2" t="s">
        <v>14</v>
      </c>
      <c r="F31" s="3">
        <v>46209</v>
      </c>
      <c r="G31" s="7">
        <v>-1</v>
      </c>
      <c r="H31" s="3">
        <v>46216</v>
      </c>
      <c r="I31" s="5">
        <v>8692.67</v>
      </c>
      <c r="J31" s="2" t="s">
        <v>69</v>
      </c>
      <c r="K31" s="2" t="s">
        <v>404</v>
      </c>
      <c r="N31" s="15"/>
      <c r="O31" s="15">
        <f>H31</f>
        <v>46216</v>
      </c>
      <c r="P31" s="8">
        <f>I31</f>
        <v>8692.67</v>
      </c>
    </row>
    <row r="32" spans="1:18" hidden="1" outlineLevel="1" x14ac:dyDescent="0.3">
      <c r="A32" s="2" t="s">
        <v>109</v>
      </c>
      <c r="B32" s="2" t="s">
        <v>113</v>
      </c>
      <c r="C32" s="2" t="s">
        <v>114</v>
      </c>
      <c r="D32" s="2" t="s">
        <v>115</v>
      </c>
      <c r="E32" s="2" t="s">
        <v>14</v>
      </c>
      <c r="F32" s="3">
        <v>46209</v>
      </c>
      <c r="G32" s="7">
        <v>-1</v>
      </c>
      <c r="H32" s="3">
        <v>46216</v>
      </c>
      <c r="I32" s="5">
        <v>3596.64</v>
      </c>
      <c r="J32" s="2" t="s">
        <v>69</v>
      </c>
      <c r="K32" s="2" t="s">
        <v>405</v>
      </c>
      <c r="N32" s="15"/>
      <c r="O32" s="15">
        <f>H32</f>
        <v>46216</v>
      </c>
      <c r="P32" s="8">
        <f>I32</f>
        <v>3596.64</v>
      </c>
    </row>
    <row r="33" spans="1:16" hidden="1" outlineLevel="1" x14ac:dyDescent="0.3">
      <c r="A33" s="2" t="s">
        <v>116</v>
      </c>
      <c r="B33" s="2" t="s">
        <v>117</v>
      </c>
      <c r="C33" s="2" t="s">
        <v>118</v>
      </c>
      <c r="D33" s="2" t="s">
        <v>119</v>
      </c>
      <c r="E33" s="2" t="s">
        <v>14</v>
      </c>
      <c r="F33" s="3">
        <v>46209</v>
      </c>
      <c r="G33" s="7">
        <v>-1</v>
      </c>
      <c r="H33" s="3">
        <v>46216</v>
      </c>
      <c r="I33" s="5">
        <v>773.61</v>
      </c>
      <c r="J33" s="2" t="s">
        <v>15</v>
      </c>
      <c r="K33" s="2" t="s">
        <v>399</v>
      </c>
      <c r="N33" s="15"/>
      <c r="O33" s="15">
        <f t="shared" ref="O33:O60" si="13">H33</f>
        <v>46216</v>
      </c>
      <c r="P33" s="16">
        <f t="shared" ref="P33:P48" si="14">I33/3.397</f>
        <v>227.73329408301444</v>
      </c>
    </row>
    <row r="34" spans="1:16" hidden="1" outlineLevel="1" x14ac:dyDescent="0.3">
      <c r="A34" s="2" t="s">
        <v>116</v>
      </c>
      <c r="B34" s="2" t="s">
        <v>120</v>
      </c>
      <c r="C34" s="2" t="s">
        <v>121</v>
      </c>
      <c r="D34" s="2" t="s">
        <v>122</v>
      </c>
      <c r="E34" s="2" t="s">
        <v>14</v>
      </c>
      <c r="F34" s="3">
        <v>46209</v>
      </c>
      <c r="G34" s="7">
        <v>-1</v>
      </c>
      <c r="H34" s="3">
        <v>46216</v>
      </c>
      <c r="I34" s="5">
        <v>70.8</v>
      </c>
      <c r="J34" s="2" t="s">
        <v>15</v>
      </c>
      <c r="K34" s="2" t="s">
        <v>399</v>
      </c>
      <c r="N34" s="15"/>
      <c r="O34" s="15">
        <f t="shared" si="13"/>
        <v>46216</v>
      </c>
      <c r="P34" s="16">
        <f t="shared" si="14"/>
        <v>20.841919340594643</v>
      </c>
    </row>
    <row r="35" spans="1:16" hidden="1" outlineLevel="1" x14ac:dyDescent="0.3">
      <c r="A35" s="2" t="s">
        <v>116</v>
      </c>
      <c r="B35" s="2" t="s">
        <v>123</v>
      </c>
      <c r="C35" s="2" t="s">
        <v>124</v>
      </c>
      <c r="D35" s="2" t="s">
        <v>125</v>
      </c>
      <c r="E35" s="2" t="s">
        <v>14</v>
      </c>
      <c r="F35" s="3">
        <v>46209</v>
      </c>
      <c r="G35" s="7">
        <v>-1</v>
      </c>
      <c r="H35" s="3">
        <v>46216</v>
      </c>
      <c r="I35" s="5">
        <v>428.1</v>
      </c>
      <c r="J35" s="2" t="s">
        <v>15</v>
      </c>
      <c r="K35" s="2" t="s">
        <v>399</v>
      </c>
      <c r="N35" s="15"/>
      <c r="O35" s="15">
        <f t="shared" si="13"/>
        <v>46216</v>
      </c>
      <c r="P35" s="16">
        <f t="shared" si="14"/>
        <v>126.02296143656169</v>
      </c>
    </row>
    <row r="36" spans="1:16" hidden="1" outlineLevel="1" x14ac:dyDescent="0.3">
      <c r="A36" s="2" t="s">
        <v>116</v>
      </c>
      <c r="B36" s="2" t="s">
        <v>126</v>
      </c>
      <c r="C36" s="2" t="s">
        <v>127</v>
      </c>
      <c r="D36" s="2" t="s">
        <v>128</v>
      </c>
      <c r="E36" s="2" t="s">
        <v>14</v>
      </c>
      <c r="F36" s="3">
        <v>46209</v>
      </c>
      <c r="G36" s="7">
        <v>-1</v>
      </c>
      <c r="H36" s="3">
        <v>46216</v>
      </c>
      <c r="I36" s="5">
        <v>35.4</v>
      </c>
      <c r="J36" s="2" t="s">
        <v>15</v>
      </c>
      <c r="K36" s="2" t="s">
        <v>399</v>
      </c>
      <c r="N36" s="15"/>
      <c r="O36" s="15">
        <f t="shared" si="13"/>
        <v>46216</v>
      </c>
      <c r="P36" s="16">
        <f t="shared" si="14"/>
        <v>10.420959670297322</v>
      </c>
    </row>
    <row r="37" spans="1:16" hidden="1" outlineLevel="1" x14ac:dyDescent="0.3">
      <c r="A37" s="2" t="s">
        <v>116</v>
      </c>
      <c r="B37" s="2" t="s">
        <v>129</v>
      </c>
      <c r="C37" s="2" t="s">
        <v>130</v>
      </c>
      <c r="D37" s="2" t="s">
        <v>131</v>
      </c>
      <c r="E37" s="2" t="s">
        <v>14</v>
      </c>
      <c r="F37" s="3">
        <v>46209</v>
      </c>
      <c r="G37" s="7">
        <v>-1</v>
      </c>
      <c r="H37" s="3">
        <v>46216</v>
      </c>
      <c r="I37" s="5">
        <v>202.49</v>
      </c>
      <c r="J37" s="2" t="s">
        <v>15</v>
      </c>
      <c r="K37" s="2" t="s">
        <v>399</v>
      </c>
      <c r="N37" s="15"/>
      <c r="O37" s="15">
        <f t="shared" si="13"/>
        <v>46216</v>
      </c>
      <c r="P37" s="16">
        <f t="shared" si="14"/>
        <v>59.608478068884317</v>
      </c>
    </row>
    <row r="38" spans="1:16" hidden="1" outlineLevel="1" x14ac:dyDescent="0.3">
      <c r="A38" s="2" t="s">
        <v>116</v>
      </c>
      <c r="B38" s="2" t="s">
        <v>132</v>
      </c>
      <c r="C38" s="2" t="s">
        <v>133</v>
      </c>
      <c r="D38" s="2" t="s">
        <v>134</v>
      </c>
      <c r="E38" s="2" t="s">
        <v>14</v>
      </c>
      <c r="F38" s="3">
        <v>46209</v>
      </c>
      <c r="G38" s="7">
        <v>-1</v>
      </c>
      <c r="H38" s="3">
        <v>46216</v>
      </c>
      <c r="I38" s="5">
        <v>70.8</v>
      </c>
      <c r="J38" s="2" t="s">
        <v>15</v>
      </c>
      <c r="K38" s="2" t="s">
        <v>399</v>
      </c>
      <c r="N38" s="15"/>
      <c r="O38" s="15">
        <f t="shared" si="13"/>
        <v>46216</v>
      </c>
      <c r="P38" s="16">
        <f t="shared" si="14"/>
        <v>20.841919340594643</v>
      </c>
    </row>
    <row r="39" spans="1:16" hidden="1" outlineLevel="1" x14ac:dyDescent="0.3">
      <c r="A39" s="2" t="s">
        <v>116</v>
      </c>
      <c r="B39" s="2" t="s">
        <v>135</v>
      </c>
      <c r="C39" s="2" t="s">
        <v>136</v>
      </c>
      <c r="D39" s="2" t="s">
        <v>137</v>
      </c>
      <c r="E39" s="2" t="s">
        <v>14</v>
      </c>
      <c r="F39" s="3">
        <v>46209</v>
      </c>
      <c r="G39" s="7">
        <v>-1</v>
      </c>
      <c r="H39" s="3">
        <v>46216</v>
      </c>
      <c r="I39" s="5">
        <v>571.59</v>
      </c>
      <c r="J39" s="2" t="s">
        <v>15</v>
      </c>
      <c r="K39" s="2" t="s">
        <v>399</v>
      </c>
      <c r="N39" s="15"/>
      <c r="O39" s="15">
        <f t="shared" si="13"/>
        <v>46216</v>
      </c>
      <c r="P39" s="16">
        <f t="shared" si="14"/>
        <v>168.2631733882838</v>
      </c>
    </row>
    <row r="40" spans="1:16" hidden="1" outlineLevel="1" x14ac:dyDescent="0.3">
      <c r="A40" s="2" t="s">
        <v>116</v>
      </c>
      <c r="B40" s="2" t="s">
        <v>138</v>
      </c>
      <c r="C40" s="2" t="s">
        <v>139</v>
      </c>
      <c r="D40" s="2" t="s">
        <v>140</v>
      </c>
      <c r="E40" s="2" t="s">
        <v>14</v>
      </c>
      <c r="F40" s="3">
        <v>46209</v>
      </c>
      <c r="G40" s="7">
        <v>-1</v>
      </c>
      <c r="H40" s="3">
        <v>46216</v>
      </c>
      <c r="I40" s="5">
        <v>159.30000000000001</v>
      </c>
      <c r="J40" s="2" t="s">
        <v>15</v>
      </c>
      <c r="K40" s="2" t="s">
        <v>399</v>
      </c>
      <c r="N40" s="15"/>
      <c r="O40" s="15">
        <f t="shared" si="13"/>
        <v>46216</v>
      </c>
      <c r="P40" s="16">
        <f t="shared" si="14"/>
        <v>46.894318516337954</v>
      </c>
    </row>
    <row r="41" spans="1:16" hidden="1" outlineLevel="1" x14ac:dyDescent="0.3">
      <c r="A41" s="2" t="s">
        <v>116</v>
      </c>
      <c r="B41" s="2" t="s">
        <v>141</v>
      </c>
      <c r="C41" s="2" t="s">
        <v>142</v>
      </c>
      <c r="D41" s="2" t="s">
        <v>143</v>
      </c>
      <c r="E41" s="2" t="s">
        <v>14</v>
      </c>
      <c r="F41" s="3">
        <v>46210</v>
      </c>
      <c r="G41" s="7">
        <v>-2</v>
      </c>
      <c r="H41" s="3">
        <v>46217</v>
      </c>
      <c r="I41" s="5">
        <v>427.16</v>
      </c>
      <c r="J41" s="2" t="s">
        <v>15</v>
      </c>
      <c r="K41" s="2" t="s">
        <v>399</v>
      </c>
      <c r="N41" s="15"/>
      <c r="O41" s="15">
        <f t="shared" si="13"/>
        <v>46217</v>
      </c>
      <c r="P41" s="16">
        <f t="shared" si="14"/>
        <v>125.74624668825436</v>
      </c>
    </row>
    <row r="42" spans="1:16" hidden="1" outlineLevel="1" x14ac:dyDescent="0.3">
      <c r="A42" s="2" t="s">
        <v>116</v>
      </c>
      <c r="B42" s="2" t="s">
        <v>144</v>
      </c>
      <c r="C42" s="2" t="s">
        <v>145</v>
      </c>
      <c r="D42" s="2" t="s">
        <v>146</v>
      </c>
      <c r="E42" s="2" t="s">
        <v>14</v>
      </c>
      <c r="F42" s="3">
        <v>46210</v>
      </c>
      <c r="G42" s="7">
        <v>-2</v>
      </c>
      <c r="H42" s="3">
        <v>46217</v>
      </c>
      <c r="I42" s="5">
        <v>70.8</v>
      </c>
      <c r="J42" s="2" t="s">
        <v>15</v>
      </c>
      <c r="K42" s="2" t="s">
        <v>399</v>
      </c>
      <c r="N42" s="15"/>
      <c r="O42" s="15">
        <f t="shared" si="13"/>
        <v>46217</v>
      </c>
      <c r="P42" s="16">
        <f t="shared" si="14"/>
        <v>20.841919340594643</v>
      </c>
    </row>
    <row r="43" spans="1:16" hidden="1" outlineLevel="1" x14ac:dyDescent="0.3">
      <c r="A43" s="2" t="s">
        <v>116</v>
      </c>
      <c r="B43" s="2" t="s">
        <v>147</v>
      </c>
      <c r="C43" s="2" t="s">
        <v>148</v>
      </c>
      <c r="D43" s="2" t="s">
        <v>149</v>
      </c>
      <c r="E43" s="2" t="s">
        <v>14</v>
      </c>
      <c r="F43" s="3">
        <v>46211</v>
      </c>
      <c r="G43" s="7">
        <v>-3</v>
      </c>
      <c r="H43" s="3">
        <v>46218</v>
      </c>
      <c r="I43" s="5">
        <v>359.43</v>
      </c>
      <c r="J43" s="2" t="s">
        <v>15</v>
      </c>
      <c r="K43" s="2" t="s">
        <v>399</v>
      </c>
      <c r="N43" s="15"/>
      <c r="O43" s="15">
        <f t="shared" si="13"/>
        <v>46218</v>
      </c>
      <c r="P43" s="16">
        <f t="shared" si="14"/>
        <v>105.80806594053577</v>
      </c>
    </row>
    <row r="44" spans="1:16" hidden="1" outlineLevel="1" x14ac:dyDescent="0.3">
      <c r="A44" s="2" t="s">
        <v>116</v>
      </c>
      <c r="B44" s="2" t="s">
        <v>150</v>
      </c>
      <c r="C44" s="2" t="s">
        <v>151</v>
      </c>
      <c r="D44" s="2" t="s">
        <v>152</v>
      </c>
      <c r="E44" s="2" t="s">
        <v>14</v>
      </c>
      <c r="F44" s="3">
        <v>46211</v>
      </c>
      <c r="G44" s="7">
        <v>-3</v>
      </c>
      <c r="H44" s="3">
        <v>46218</v>
      </c>
      <c r="I44" s="5">
        <v>47.2</v>
      </c>
      <c r="J44" s="2" t="s">
        <v>15</v>
      </c>
      <c r="K44" s="2" t="s">
        <v>399</v>
      </c>
      <c r="N44" s="15"/>
      <c r="O44" s="15">
        <f t="shared" si="13"/>
        <v>46218</v>
      </c>
      <c r="P44" s="16">
        <f t="shared" si="14"/>
        <v>13.894612893729763</v>
      </c>
    </row>
    <row r="45" spans="1:16" hidden="1" outlineLevel="1" x14ac:dyDescent="0.3">
      <c r="A45" s="2" t="s">
        <v>116</v>
      </c>
      <c r="B45" s="2" t="s">
        <v>153</v>
      </c>
      <c r="C45" s="2" t="s">
        <v>154</v>
      </c>
      <c r="D45" s="2" t="s">
        <v>155</v>
      </c>
      <c r="E45" s="2" t="s">
        <v>14</v>
      </c>
      <c r="F45" s="3">
        <v>46212</v>
      </c>
      <c r="G45" s="7">
        <v>-4</v>
      </c>
      <c r="H45" s="3">
        <v>46219</v>
      </c>
      <c r="I45" s="5">
        <v>344.8</v>
      </c>
      <c r="J45" s="2" t="s">
        <v>15</v>
      </c>
      <c r="K45" s="2" t="s">
        <v>399</v>
      </c>
      <c r="N45" s="15"/>
      <c r="O45" s="15">
        <f t="shared" si="13"/>
        <v>46219</v>
      </c>
      <c r="P45" s="16">
        <f t="shared" si="14"/>
        <v>101.50132469826319</v>
      </c>
    </row>
    <row r="46" spans="1:16" hidden="1" outlineLevel="1" x14ac:dyDescent="0.3">
      <c r="A46" s="2" t="s">
        <v>116</v>
      </c>
      <c r="B46" s="2" t="s">
        <v>156</v>
      </c>
      <c r="C46" s="2" t="s">
        <v>157</v>
      </c>
      <c r="D46" s="2" t="s">
        <v>158</v>
      </c>
      <c r="E46" s="2" t="s">
        <v>14</v>
      </c>
      <c r="F46" s="3">
        <v>46212</v>
      </c>
      <c r="G46" s="7">
        <v>-4</v>
      </c>
      <c r="H46" s="3">
        <v>46219</v>
      </c>
      <c r="I46" s="5">
        <v>47.2</v>
      </c>
      <c r="J46" s="2" t="s">
        <v>15</v>
      </c>
      <c r="K46" s="2" t="s">
        <v>399</v>
      </c>
      <c r="N46" s="15"/>
      <c r="O46" s="15">
        <f t="shared" si="13"/>
        <v>46219</v>
      </c>
      <c r="P46" s="16">
        <f t="shared" si="14"/>
        <v>13.894612893729763</v>
      </c>
    </row>
    <row r="47" spans="1:16" hidden="1" outlineLevel="1" x14ac:dyDescent="0.3">
      <c r="A47" s="2" t="s">
        <v>116</v>
      </c>
      <c r="B47" s="2" t="s">
        <v>159</v>
      </c>
      <c r="C47" s="2" t="s">
        <v>160</v>
      </c>
      <c r="D47" s="2" t="s">
        <v>161</v>
      </c>
      <c r="E47" s="2" t="s">
        <v>14</v>
      </c>
      <c r="F47" s="3">
        <v>46213</v>
      </c>
      <c r="G47" s="7">
        <v>-5</v>
      </c>
      <c r="H47" s="3">
        <v>46220</v>
      </c>
      <c r="I47" s="5">
        <v>521.70000000000005</v>
      </c>
      <c r="J47" s="2" t="s">
        <v>15</v>
      </c>
      <c r="K47" s="2" t="s">
        <v>399</v>
      </c>
      <c r="N47" s="15"/>
      <c r="O47" s="15">
        <f t="shared" si="13"/>
        <v>46220</v>
      </c>
      <c r="P47" s="16">
        <f t="shared" si="14"/>
        <v>153.57668531056817</v>
      </c>
    </row>
    <row r="48" spans="1:16" hidden="1" outlineLevel="1" x14ac:dyDescent="0.3">
      <c r="A48" s="2" t="s">
        <v>116</v>
      </c>
      <c r="B48" s="2" t="s">
        <v>162</v>
      </c>
      <c r="C48" s="2" t="s">
        <v>163</v>
      </c>
      <c r="D48" s="2" t="s">
        <v>164</v>
      </c>
      <c r="E48" s="2" t="s">
        <v>14</v>
      </c>
      <c r="F48" s="3">
        <v>46213</v>
      </c>
      <c r="G48" s="7">
        <v>-5</v>
      </c>
      <c r="H48" s="3">
        <v>46220</v>
      </c>
      <c r="I48" s="5">
        <v>153.4</v>
      </c>
      <c r="J48" s="2" t="s">
        <v>15</v>
      </c>
      <c r="K48" s="2" t="s">
        <v>399</v>
      </c>
      <c r="N48" s="15"/>
      <c r="O48" s="15">
        <f t="shared" si="13"/>
        <v>46220</v>
      </c>
      <c r="P48" s="16">
        <f t="shared" si="14"/>
        <v>45.157491904621729</v>
      </c>
    </row>
    <row r="49" spans="1:18" hidden="1" outlineLevel="1" x14ac:dyDescent="0.3">
      <c r="A49" s="2" t="s">
        <v>165</v>
      </c>
      <c r="B49" s="2" t="s">
        <v>166</v>
      </c>
      <c r="C49" s="2" t="s">
        <v>167</v>
      </c>
      <c r="D49" s="2" t="s">
        <v>168</v>
      </c>
      <c r="E49" s="2" t="s">
        <v>78</v>
      </c>
      <c r="F49" s="3">
        <v>46168</v>
      </c>
      <c r="G49" s="4">
        <v>0</v>
      </c>
      <c r="H49" s="3">
        <v>46173</v>
      </c>
      <c r="I49" s="6">
        <v>-34580</v>
      </c>
      <c r="J49" s="2" t="s">
        <v>69</v>
      </c>
      <c r="K49" s="2" t="s">
        <v>403</v>
      </c>
      <c r="L49" s="15">
        <f t="shared" ref="L49:L63" si="15">F49+60</f>
        <v>46228</v>
      </c>
      <c r="M49" s="17"/>
      <c r="N49" s="15"/>
      <c r="O49" s="15">
        <f>F49</f>
        <v>46168</v>
      </c>
      <c r="P49" s="8">
        <f t="shared" ref="P49:P63" si="16">I49</f>
        <v>-34580</v>
      </c>
      <c r="Q49" s="17">
        <f t="shared" ref="Q49:Q63" ca="1" si="17">TODAY()-F49</f>
        <v>48</v>
      </c>
      <c r="R49" t="s">
        <v>414</v>
      </c>
    </row>
    <row r="50" spans="1:18" hidden="1" outlineLevel="1" x14ac:dyDescent="0.3">
      <c r="A50" s="2" t="s">
        <v>169</v>
      </c>
      <c r="B50" s="2" t="s">
        <v>170</v>
      </c>
      <c r="C50" s="2" t="s">
        <v>171</v>
      </c>
      <c r="D50" s="2" t="s">
        <v>421</v>
      </c>
      <c r="E50" s="2" t="s">
        <v>64</v>
      </c>
      <c r="F50" s="3">
        <v>46194</v>
      </c>
      <c r="G50" s="7">
        <v>-24</v>
      </c>
      <c r="H50" s="3">
        <v>46239</v>
      </c>
      <c r="I50" s="5">
        <v>16334.54</v>
      </c>
      <c r="J50" s="2" t="s">
        <v>69</v>
      </c>
      <c r="K50" s="2" t="s">
        <v>403</v>
      </c>
      <c r="L50" s="15">
        <f t="shared" si="15"/>
        <v>46254</v>
      </c>
      <c r="M50" s="17">
        <f t="shared" ref="M50:M63" ca="1" si="18">TODAY()-N50</f>
        <v>-38</v>
      </c>
      <c r="N50" s="15">
        <v>46254</v>
      </c>
      <c r="O50" s="15">
        <v>46254</v>
      </c>
      <c r="P50" s="8">
        <f t="shared" si="16"/>
        <v>16334.54</v>
      </c>
      <c r="Q50" s="17">
        <f t="shared" ca="1" si="17"/>
        <v>22</v>
      </c>
      <c r="R50" t="s">
        <v>413</v>
      </c>
    </row>
    <row r="51" spans="1:18" hidden="1" outlineLevel="1" x14ac:dyDescent="0.3">
      <c r="A51" s="2" t="s">
        <v>169</v>
      </c>
      <c r="B51" s="2" t="s">
        <v>172</v>
      </c>
      <c r="C51" s="2" t="s">
        <v>173</v>
      </c>
      <c r="D51" s="2" t="s">
        <v>174</v>
      </c>
      <c r="E51" s="2" t="s">
        <v>68</v>
      </c>
      <c r="F51" s="3">
        <v>46196</v>
      </c>
      <c r="G51" s="7">
        <v>-26</v>
      </c>
      <c r="H51" s="3">
        <v>46241</v>
      </c>
      <c r="I51" s="5">
        <v>135200</v>
      </c>
      <c r="J51" s="2" t="s">
        <v>69</v>
      </c>
      <c r="K51" s="2" t="s">
        <v>403</v>
      </c>
      <c r="L51" s="15">
        <f t="shared" si="15"/>
        <v>46256</v>
      </c>
      <c r="M51" s="17">
        <f t="shared" ca="1" si="18"/>
        <v>-40</v>
      </c>
      <c r="N51" s="15">
        <v>46256</v>
      </c>
      <c r="O51" s="15">
        <v>46256</v>
      </c>
      <c r="P51" s="8">
        <f t="shared" si="16"/>
        <v>135200</v>
      </c>
      <c r="Q51" s="17">
        <f t="shared" ca="1" si="17"/>
        <v>20</v>
      </c>
      <c r="R51" t="s">
        <v>413</v>
      </c>
    </row>
    <row r="52" spans="1:18" hidden="1" outlineLevel="1" x14ac:dyDescent="0.3">
      <c r="A52" s="2" t="s">
        <v>169</v>
      </c>
      <c r="B52" s="2" t="s">
        <v>175</v>
      </c>
      <c r="C52" s="2" t="s">
        <v>176</v>
      </c>
      <c r="D52" s="2" t="s">
        <v>177</v>
      </c>
      <c r="E52" s="2" t="s">
        <v>64</v>
      </c>
      <c r="F52" s="3">
        <v>46140</v>
      </c>
      <c r="G52" s="4">
        <v>0</v>
      </c>
      <c r="H52" s="3">
        <v>46140</v>
      </c>
      <c r="I52" s="6">
        <v>-1504</v>
      </c>
      <c r="J52" s="2" t="s">
        <v>69</v>
      </c>
      <c r="K52" s="2" t="s">
        <v>403</v>
      </c>
      <c r="L52" s="15">
        <f t="shared" si="15"/>
        <v>46200</v>
      </c>
      <c r="M52" s="17"/>
      <c r="N52" s="15"/>
      <c r="O52" s="15">
        <f t="shared" ref="O52:O53" si="19">F52</f>
        <v>46140</v>
      </c>
      <c r="P52" s="8">
        <f t="shared" si="16"/>
        <v>-1504</v>
      </c>
      <c r="Q52" s="17">
        <f t="shared" ca="1" si="17"/>
        <v>76</v>
      </c>
      <c r="R52" t="s">
        <v>415</v>
      </c>
    </row>
    <row r="53" spans="1:18" hidden="1" outlineLevel="1" x14ac:dyDescent="0.3">
      <c r="A53" s="2" t="s">
        <v>169</v>
      </c>
      <c r="B53" s="2" t="s">
        <v>178</v>
      </c>
      <c r="C53" s="2" t="s">
        <v>179</v>
      </c>
      <c r="D53" s="2" t="s">
        <v>180</v>
      </c>
      <c r="E53" s="2" t="s">
        <v>78</v>
      </c>
      <c r="F53" s="3">
        <v>46181</v>
      </c>
      <c r="G53" s="4">
        <v>0</v>
      </c>
      <c r="H53" s="3">
        <v>46203</v>
      </c>
      <c r="I53" s="6">
        <v>-33677</v>
      </c>
      <c r="J53" s="2" t="s">
        <v>69</v>
      </c>
      <c r="K53" s="2" t="s">
        <v>403</v>
      </c>
      <c r="L53" s="15">
        <f t="shared" si="15"/>
        <v>46241</v>
      </c>
      <c r="M53" s="17"/>
      <c r="N53" s="15"/>
      <c r="O53" s="15">
        <f t="shared" si="19"/>
        <v>46181</v>
      </c>
      <c r="P53" s="8">
        <f t="shared" si="16"/>
        <v>-33677</v>
      </c>
      <c r="Q53" s="17">
        <f t="shared" ca="1" si="17"/>
        <v>35</v>
      </c>
      <c r="R53" t="s">
        <v>413</v>
      </c>
    </row>
    <row r="54" spans="1:18" hidden="1" outlineLevel="1" x14ac:dyDescent="0.3">
      <c r="A54" s="2" t="s">
        <v>181</v>
      </c>
      <c r="B54" s="2" t="s">
        <v>182</v>
      </c>
      <c r="C54" s="2" t="s">
        <v>183</v>
      </c>
      <c r="D54" s="2" t="s">
        <v>184</v>
      </c>
      <c r="E54" s="2" t="s">
        <v>68</v>
      </c>
      <c r="F54" s="3">
        <v>46192</v>
      </c>
      <c r="G54" s="7">
        <v>-22</v>
      </c>
      <c r="H54" s="3">
        <v>46237</v>
      </c>
      <c r="I54" s="5">
        <v>421200</v>
      </c>
      <c r="J54" s="2" t="s">
        <v>69</v>
      </c>
      <c r="K54" s="2" t="s">
        <v>403</v>
      </c>
      <c r="L54" s="15">
        <f t="shared" si="15"/>
        <v>46252</v>
      </c>
      <c r="M54" s="17">
        <f t="shared" ca="1" si="18"/>
        <v>-21</v>
      </c>
      <c r="N54" s="15">
        <v>46237</v>
      </c>
      <c r="O54" s="15">
        <f t="shared" si="13"/>
        <v>46237</v>
      </c>
      <c r="P54" s="8">
        <f t="shared" si="16"/>
        <v>421200</v>
      </c>
      <c r="Q54" s="17">
        <f t="shared" ca="1" si="17"/>
        <v>24</v>
      </c>
      <c r="R54" t="s">
        <v>413</v>
      </c>
    </row>
    <row r="55" spans="1:18" hidden="1" outlineLevel="1" x14ac:dyDescent="0.3">
      <c r="A55" s="2" t="s">
        <v>181</v>
      </c>
      <c r="B55" s="2" t="s">
        <v>185</v>
      </c>
      <c r="C55" s="2" t="s">
        <v>186</v>
      </c>
      <c r="D55" s="2" t="s">
        <v>187</v>
      </c>
      <c r="E55" s="2" t="s">
        <v>68</v>
      </c>
      <c r="F55" s="3">
        <v>46203</v>
      </c>
      <c r="G55" s="7">
        <v>-33</v>
      </c>
      <c r="H55" s="3">
        <v>46248</v>
      </c>
      <c r="I55" s="5">
        <v>211167</v>
      </c>
      <c r="J55" s="2" t="s">
        <v>69</v>
      </c>
      <c r="K55" s="2" t="s">
        <v>403</v>
      </c>
      <c r="L55" s="15">
        <f t="shared" si="15"/>
        <v>46263</v>
      </c>
      <c r="M55" s="17">
        <f t="shared" ca="1" si="18"/>
        <v>-47</v>
      </c>
      <c r="N55" s="15">
        <v>46263</v>
      </c>
      <c r="O55" s="15">
        <v>46263</v>
      </c>
      <c r="P55" s="8">
        <f t="shared" si="16"/>
        <v>211167</v>
      </c>
      <c r="Q55" s="17">
        <f t="shared" ca="1" si="17"/>
        <v>13</v>
      </c>
      <c r="R55" t="s">
        <v>413</v>
      </c>
    </row>
    <row r="56" spans="1:18" hidden="1" outlineLevel="1" x14ac:dyDescent="0.3">
      <c r="A56" s="2" t="s">
        <v>181</v>
      </c>
      <c r="B56" s="2" t="s">
        <v>188</v>
      </c>
      <c r="C56" s="2" t="s">
        <v>189</v>
      </c>
      <c r="D56" s="2" t="s">
        <v>190</v>
      </c>
      <c r="E56" s="2" t="s">
        <v>68</v>
      </c>
      <c r="F56" s="3">
        <v>46203</v>
      </c>
      <c r="G56" s="7">
        <v>-48</v>
      </c>
      <c r="H56" s="3">
        <v>46263</v>
      </c>
      <c r="I56" s="5">
        <v>105300</v>
      </c>
      <c r="J56" s="2" t="s">
        <v>69</v>
      </c>
      <c r="K56" s="2" t="s">
        <v>403</v>
      </c>
      <c r="L56" s="15">
        <f t="shared" si="15"/>
        <v>46263</v>
      </c>
      <c r="M56" s="17">
        <f t="shared" ca="1" si="18"/>
        <v>-47</v>
      </c>
      <c r="N56" s="15">
        <v>46263</v>
      </c>
      <c r="O56" s="15">
        <f t="shared" si="13"/>
        <v>46263</v>
      </c>
      <c r="P56" s="8">
        <f t="shared" si="16"/>
        <v>105300</v>
      </c>
      <c r="Q56" s="17">
        <f t="shared" ca="1" si="17"/>
        <v>13</v>
      </c>
      <c r="R56" t="s">
        <v>413</v>
      </c>
    </row>
    <row r="57" spans="1:18" outlineLevel="1" x14ac:dyDescent="0.3">
      <c r="A57" s="2" t="s">
        <v>191</v>
      </c>
      <c r="B57" s="2" t="s">
        <v>192</v>
      </c>
      <c r="C57" s="2" t="s">
        <v>193</v>
      </c>
      <c r="D57" s="2" t="s">
        <v>194</v>
      </c>
      <c r="E57" s="2" t="s">
        <v>68</v>
      </c>
      <c r="F57" s="3">
        <v>46186</v>
      </c>
      <c r="G57" s="7">
        <v>-16</v>
      </c>
      <c r="H57" s="3">
        <v>46231</v>
      </c>
      <c r="I57" s="5">
        <v>113004</v>
      </c>
      <c r="J57" s="2" t="s">
        <v>69</v>
      </c>
      <c r="K57" s="2" t="s">
        <v>403</v>
      </c>
      <c r="L57" s="15">
        <f t="shared" si="15"/>
        <v>46246</v>
      </c>
      <c r="M57" s="17">
        <f t="shared" ca="1" si="18"/>
        <v>-15</v>
      </c>
      <c r="N57" s="15">
        <v>46231</v>
      </c>
      <c r="O57" s="15">
        <f t="shared" si="13"/>
        <v>46231</v>
      </c>
      <c r="P57" s="8">
        <f t="shared" si="16"/>
        <v>113004</v>
      </c>
      <c r="Q57" s="17">
        <f t="shared" ca="1" si="17"/>
        <v>30</v>
      </c>
      <c r="R57" t="s">
        <v>413</v>
      </c>
    </row>
    <row r="58" spans="1:18" hidden="1" outlineLevel="1" x14ac:dyDescent="0.3">
      <c r="A58" s="2" t="s">
        <v>191</v>
      </c>
      <c r="B58" s="2" t="s">
        <v>195</v>
      </c>
      <c r="C58" s="2" t="s">
        <v>196</v>
      </c>
      <c r="D58" s="2" t="s">
        <v>197</v>
      </c>
      <c r="E58" s="2" t="s">
        <v>68</v>
      </c>
      <c r="F58" s="3">
        <v>46203</v>
      </c>
      <c r="G58" s="7">
        <v>-48</v>
      </c>
      <c r="H58" s="3">
        <v>46263</v>
      </c>
      <c r="I58" s="5">
        <v>533250</v>
      </c>
      <c r="J58" s="2" t="s">
        <v>69</v>
      </c>
      <c r="K58" s="2" t="s">
        <v>403</v>
      </c>
      <c r="L58" s="15">
        <f t="shared" si="15"/>
        <v>46263</v>
      </c>
      <c r="M58" s="17">
        <f t="shared" ca="1" si="18"/>
        <v>-47</v>
      </c>
      <c r="N58" s="15">
        <v>46263</v>
      </c>
      <c r="O58" s="15">
        <f t="shared" si="13"/>
        <v>46263</v>
      </c>
      <c r="P58" s="8">
        <f t="shared" si="16"/>
        <v>533250</v>
      </c>
      <c r="Q58" s="17">
        <f t="shared" ca="1" si="17"/>
        <v>13</v>
      </c>
      <c r="R58" t="s">
        <v>413</v>
      </c>
    </row>
    <row r="59" spans="1:18" hidden="1" outlineLevel="1" x14ac:dyDescent="0.3">
      <c r="A59" s="2" t="s">
        <v>191</v>
      </c>
      <c r="B59" s="2" t="s">
        <v>198</v>
      </c>
      <c r="C59" s="2" t="s">
        <v>199</v>
      </c>
      <c r="D59" s="2" t="s">
        <v>200</v>
      </c>
      <c r="E59" s="2" t="s">
        <v>68</v>
      </c>
      <c r="F59" s="3">
        <v>46203</v>
      </c>
      <c r="G59" s="7">
        <v>-33</v>
      </c>
      <c r="H59" s="3">
        <v>46248</v>
      </c>
      <c r="I59" s="5">
        <v>169092</v>
      </c>
      <c r="J59" s="2" t="s">
        <v>69</v>
      </c>
      <c r="K59" s="2" t="s">
        <v>403</v>
      </c>
      <c r="L59" s="15">
        <f t="shared" si="15"/>
        <v>46263</v>
      </c>
      <c r="M59" s="17">
        <f t="shared" ca="1" si="18"/>
        <v>-47</v>
      </c>
      <c r="N59" s="15">
        <v>46263</v>
      </c>
      <c r="O59" s="15">
        <v>46263</v>
      </c>
      <c r="P59" s="8">
        <f t="shared" si="16"/>
        <v>169092</v>
      </c>
      <c r="Q59" s="17">
        <f t="shared" ca="1" si="17"/>
        <v>13</v>
      </c>
      <c r="R59" t="s">
        <v>413</v>
      </c>
    </row>
    <row r="60" spans="1:18" hidden="1" outlineLevel="1" x14ac:dyDescent="0.3">
      <c r="A60" s="2" t="s">
        <v>191</v>
      </c>
      <c r="B60" s="2" t="s">
        <v>201</v>
      </c>
      <c r="C60" s="2" t="s">
        <v>202</v>
      </c>
      <c r="D60" s="2" t="s">
        <v>203</v>
      </c>
      <c r="E60" s="2" t="s">
        <v>68</v>
      </c>
      <c r="F60" s="3">
        <v>46203</v>
      </c>
      <c r="G60" s="7">
        <v>-48</v>
      </c>
      <c r="H60" s="3">
        <v>46263</v>
      </c>
      <c r="I60" s="5">
        <v>213300</v>
      </c>
      <c r="J60" s="2" t="s">
        <v>69</v>
      </c>
      <c r="K60" s="2" t="s">
        <v>403</v>
      </c>
      <c r="L60" s="15">
        <f t="shared" si="15"/>
        <v>46263</v>
      </c>
      <c r="M60" s="17">
        <f t="shared" ca="1" si="18"/>
        <v>-47</v>
      </c>
      <c r="N60" s="15">
        <v>46263</v>
      </c>
      <c r="O60" s="15">
        <f t="shared" si="13"/>
        <v>46263</v>
      </c>
      <c r="P60" s="8">
        <f t="shared" si="16"/>
        <v>213300</v>
      </c>
      <c r="Q60" s="17">
        <f t="shared" ca="1" si="17"/>
        <v>13</v>
      </c>
      <c r="R60" t="s">
        <v>413</v>
      </c>
    </row>
    <row r="61" spans="1:18" hidden="1" outlineLevel="1" x14ac:dyDescent="0.3">
      <c r="A61" s="2" t="s">
        <v>191</v>
      </c>
      <c r="B61" s="2" t="s">
        <v>204</v>
      </c>
      <c r="C61" s="2" t="s">
        <v>205</v>
      </c>
      <c r="D61" s="2" t="s">
        <v>206</v>
      </c>
      <c r="E61" s="2" t="s">
        <v>78</v>
      </c>
      <c r="F61" s="3">
        <v>46182</v>
      </c>
      <c r="G61" s="4">
        <v>0</v>
      </c>
      <c r="H61" s="3">
        <v>46203</v>
      </c>
      <c r="I61" s="6">
        <v>-159925</v>
      </c>
      <c r="J61" s="2" t="s">
        <v>69</v>
      </c>
      <c r="K61" s="2" t="s">
        <v>403</v>
      </c>
      <c r="L61" s="15">
        <f t="shared" si="15"/>
        <v>46242</v>
      </c>
      <c r="M61" s="17"/>
      <c r="N61" s="15"/>
      <c r="O61" s="15">
        <f>F61</f>
        <v>46182</v>
      </c>
      <c r="P61" s="8">
        <f t="shared" si="16"/>
        <v>-159925</v>
      </c>
      <c r="Q61" s="17">
        <f t="shared" ca="1" si="17"/>
        <v>34</v>
      </c>
      <c r="R61" t="s">
        <v>413</v>
      </c>
    </row>
    <row r="62" spans="1:18" hidden="1" outlineLevel="1" x14ac:dyDescent="0.3">
      <c r="A62" s="2" t="s">
        <v>191</v>
      </c>
      <c r="B62" s="2" t="s">
        <v>207</v>
      </c>
      <c r="C62" s="2" t="s">
        <v>208</v>
      </c>
      <c r="D62" s="2" t="s">
        <v>209</v>
      </c>
      <c r="E62" s="2" t="s">
        <v>64</v>
      </c>
      <c r="F62" s="3">
        <v>46200</v>
      </c>
      <c r="G62" s="4">
        <v>15</v>
      </c>
      <c r="H62" s="3">
        <v>46200</v>
      </c>
      <c r="I62" s="5">
        <v>213454</v>
      </c>
      <c r="J62" s="2" t="s">
        <v>69</v>
      </c>
      <c r="K62" s="2" t="s">
        <v>403</v>
      </c>
      <c r="L62" s="15">
        <f t="shared" si="15"/>
        <v>46260</v>
      </c>
      <c r="M62" s="17">
        <f t="shared" ca="1" si="18"/>
        <v>-44</v>
      </c>
      <c r="N62" s="15">
        <v>46260</v>
      </c>
      <c r="O62" s="15">
        <v>46260</v>
      </c>
      <c r="P62" s="8">
        <f t="shared" si="16"/>
        <v>213454</v>
      </c>
      <c r="Q62" s="17">
        <f t="shared" ca="1" si="17"/>
        <v>16</v>
      </c>
      <c r="R62" t="s">
        <v>413</v>
      </c>
    </row>
    <row r="63" spans="1:18" outlineLevel="1" x14ac:dyDescent="0.3">
      <c r="A63" s="2" t="s">
        <v>210</v>
      </c>
      <c r="B63" s="2" t="s">
        <v>211</v>
      </c>
      <c r="C63" s="2" t="s">
        <v>212</v>
      </c>
      <c r="D63" s="2" t="s">
        <v>213</v>
      </c>
      <c r="E63" s="2" t="s">
        <v>64</v>
      </c>
      <c r="F63" s="3">
        <v>46171</v>
      </c>
      <c r="G63" s="4">
        <v>44</v>
      </c>
      <c r="H63" s="3">
        <v>46171</v>
      </c>
      <c r="I63" s="5">
        <v>45810</v>
      </c>
      <c r="J63" s="2" t="s">
        <v>69</v>
      </c>
      <c r="K63" s="2" t="s">
        <v>403</v>
      </c>
      <c r="L63" s="15">
        <f t="shared" si="15"/>
        <v>46231</v>
      </c>
      <c r="M63" s="17">
        <f t="shared" ca="1" si="18"/>
        <v>-15</v>
      </c>
      <c r="N63" s="15">
        <v>46231</v>
      </c>
      <c r="O63" s="15">
        <v>46231</v>
      </c>
      <c r="P63" s="8">
        <f t="shared" si="16"/>
        <v>45810</v>
      </c>
      <c r="Q63" s="17">
        <f t="shared" ca="1" si="17"/>
        <v>45</v>
      </c>
      <c r="R63" t="s">
        <v>413</v>
      </c>
    </row>
    <row r="64" spans="1:18" hidden="1" outlineLevel="1" x14ac:dyDescent="0.3">
      <c r="A64" s="2" t="s">
        <v>214</v>
      </c>
      <c r="B64" s="2" t="s">
        <v>215</v>
      </c>
      <c r="C64" s="2" t="s">
        <v>216</v>
      </c>
      <c r="D64" s="2" t="s">
        <v>217</v>
      </c>
      <c r="E64" s="2" t="s">
        <v>14</v>
      </c>
      <c r="F64" s="3">
        <v>46148</v>
      </c>
      <c r="G64" s="4">
        <v>60</v>
      </c>
      <c r="H64" s="3">
        <v>46155</v>
      </c>
      <c r="I64" s="5">
        <v>23.6</v>
      </c>
      <c r="J64" s="2" t="s">
        <v>15</v>
      </c>
      <c r="K64" s="2" t="s">
        <v>401</v>
      </c>
      <c r="N64" s="15"/>
      <c r="O64" s="15">
        <f>H64</f>
        <v>46155</v>
      </c>
      <c r="P64" s="16">
        <f>I64/3.397</f>
        <v>6.9473064468648813</v>
      </c>
    </row>
    <row r="65" spans="1:16" hidden="1" outlineLevel="1" x14ac:dyDescent="0.3">
      <c r="A65" s="2" t="s">
        <v>214</v>
      </c>
      <c r="B65" s="2" t="s">
        <v>218</v>
      </c>
      <c r="C65" s="2" t="s">
        <v>219</v>
      </c>
      <c r="D65" s="2" t="s">
        <v>220</v>
      </c>
      <c r="E65" s="2" t="s">
        <v>14</v>
      </c>
      <c r="F65" s="3">
        <v>46148</v>
      </c>
      <c r="G65" s="4">
        <v>60</v>
      </c>
      <c r="H65" s="3">
        <v>46155</v>
      </c>
      <c r="I65" s="5">
        <v>261.49</v>
      </c>
      <c r="J65" s="2" t="s">
        <v>15</v>
      </c>
      <c r="K65" s="2" t="s">
        <v>401</v>
      </c>
      <c r="N65" s="15"/>
      <c r="O65" s="15">
        <f t="shared" ref="O65:O89" si="20">H65</f>
        <v>46155</v>
      </c>
      <c r="P65" s="16">
        <f t="shared" ref="P65:P89" si="21">I65/3.397</f>
        <v>76.976744186046517</v>
      </c>
    </row>
    <row r="66" spans="1:16" hidden="1" outlineLevel="1" x14ac:dyDescent="0.3">
      <c r="A66" s="2" t="s">
        <v>214</v>
      </c>
      <c r="B66" s="2" t="s">
        <v>221</v>
      </c>
      <c r="C66" s="2" t="s">
        <v>222</v>
      </c>
      <c r="D66" s="2" t="s">
        <v>223</v>
      </c>
      <c r="E66" s="2" t="s">
        <v>14</v>
      </c>
      <c r="F66" s="3">
        <v>46148</v>
      </c>
      <c r="G66" s="4">
        <v>60</v>
      </c>
      <c r="H66" s="3">
        <v>46155</v>
      </c>
      <c r="I66" s="5">
        <v>387.51</v>
      </c>
      <c r="J66" s="2" t="s">
        <v>15</v>
      </c>
      <c r="K66" s="2" t="s">
        <v>401</v>
      </c>
      <c r="N66" s="15"/>
      <c r="O66" s="15">
        <f t="shared" si="20"/>
        <v>46155</v>
      </c>
      <c r="P66" s="16">
        <f t="shared" si="21"/>
        <v>114.07418310273772</v>
      </c>
    </row>
    <row r="67" spans="1:16" hidden="1" outlineLevel="1" x14ac:dyDescent="0.3">
      <c r="A67" s="2" t="s">
        <v>214</v>
      </c>
      <c r="B67" s="2" t="s">
        <v>224</v>
      </c>
      <c r="C67" s="2" t="s">
        <v>225</v>
      </c>
      <c r="D67" s="2" t="s">
        <v>226</v>
      </c>
      <c r="E67" s="2" t="s">
        <v>14</v>
      </c>
      <c r="F67" s="3">
        <v>46148</v>
      </c>
      <c r="G67" s="4">
        <v>60</v>
      </c>
      <c r="H67" s="3">
        <v>46155</v>
      </c>
      <c r="I67" s="5">
        <v>35.4</v>
      </c>
      <c r="J67" s="2" t="s">
        <v>15</v>
      </c>
      <c r="K67" s="2" t="s">
        <v>401</v>
      </c>
      <c r="N67" s="15"/>
      <c r="O67" s="15">
        <f t="shared" si="20"/>
        <v>46155</v>
      </c>
      <c r="P67" s="16">
        <f t="shared" si="21"/>
        <v>10.420959670297322</v>
      </c>
    </row>
    <row r="68" spans="1:16" hidden="1" outlineLevel="1" x14ac:dyDescent="0.3">
      <c r="A68" s="2" t="s">
        <v>214</v>
      </c>
      <c r="B68" s="2" t="s">
        <v>227</v>
      </c>
      <c r="C68" s="2" t="s">
        <v>228</v>
      </c>
      <c r="D68" s="2" t="s">
        <v>229</v>
      </c>
      <c r="E68" s="2" t="s">
        <v>14</v>
      </c>
      <c r="F68" s="3">
        <v>46154</v>
      </c>
      <c r="G68" s="4">
        <v>54</v>
      </c>
      <c r="H68" s="3">
        <v>46161</v>
      </c>
      <c r="I68" s="5">
        <v>482.86</v>
      </c>
      <c r="J68" s="2" t="s">
        <v>15</v>
      </c>
      <c r="K68" s="2" t="s">
        <v>401</v>
      </c>
      <c r="N68" s="15"/>
      <c r="O68" s="15">
        <f t="shared" si="20"/>
        <v>46161</v>
      </c>
      <c r="P68" s="16">
        <f t="shared" si="21"/>
        <v>142.14306741242274</v>
      </c>
    </row>
    <row r="69" spans="1:16" hidden="1" outlineLevel="1" x14ac:dyDescent="0.3">
      <c r="A69" s="2" t="s">
        <v>214</v>
      </c>
      <c r="B69" s="2" t="s">
        <v>230</v>
      </c>
      <c r="C69" s="2" t="s">
        <v>231</v>
      </c>
      <c r="D69" s="2" t="s">
        <v>232</v>
      </c>
      <c r="E69" s="2" t="s">
        <v>14</v>
      </c>
      <c r="F69" s="3">
        <v>46154</v>
      </c>
      <c r="G69" s="4">
        <v>54</v>
      </c>
      <c r="H69" s="3">
        <v>46161</v>
      </c>
      <c r="I69" s="5">
        <v>47.2</v>
      </c>
      <c r="J69" s="2" t="s">
        <v>15</v>
      </c>
      <c r="K69" s="2" t="s">
        <v>401</v>
      </c>
      <c r="N69" s="15"/>
      <c r="O69" s="15">
        <f t="shared" si="20"/>
        <v>46161</v>
      </c>
      <c r="P69" s="16">
        <f t="shared" si="21"/>
        <v>13.894612893729763</v>
      </c>
    </row>
    <row r="70" spans="1:16" hidden="1" outlineLevel="1" x14ac:dyDescent="0.3">
      <c r="A70" s="2" t="s">
        <v>214</v>
      </c>
      <c r="B70" s="2" t="s">
        <v>233</v>
      </c>
      <c r="C70" s="2" t="s">
        <v>234</v>
      </c>
      <c r="D70" s="2" t="s">
        <v>235</v>
      </c>
      <c r="E70" s="2" t="s">
        <v>14</v>
      </c>
      <c r="F70" s="3">
        <v>46158</v>
      </c>
      <c r="G70" s="4">
        <v>50</v>
      </c>
      <c r="H70" s="3">
        <v>46165</v>
      </c>
      <c r="I70" s="5">
        <v>544.45000000000005</v>
      </c>
      <c r="J70" s="2" t="s">
        <v>15</v>
      </c>
      <c r="K70" s="2" t="s">
        <v>401</v>
      </c>
      <c r="N70" s="15"/>
      <c r="O70" s="15">
        <f t="shared" si="20"/>
        <v>46165</v>
      </c>
      <c r="P70" s="16">
        <f t="shared" si="21"/>
        <v>160.27377097438918</v>
      </c>
    </row>
    <row r="71" spans="1:16" hidden="1" outlineLevel="1" x14ac:dyDescent="0.3">
      <c r="A71" s="2" t="s">
        <v>214</v>
      </c>
      <c r="B71" s="2" t="s">
        <v>236</v>
      </c>
      <c r="C71" s="2" t="s">
        <v>237</v>
      </c>
      <c r="D71" s="2" t="s">
        <v>238</v>
      </c>
      <c r="E71" s="2" t="s">
        <v>14</v>
      </c>
      <c r="F71" s="3">
        <v>46158</v>
      </c>
      <c r="G71" s="4">
        <v>50</v>
      </c>
      <c r="H71" s="3">
        <v>46165</v>
      </c>
      <c r="I71" s="5">
        <v>47.2</v>
      </c>
      <c r="J71" s="2" t="s">
        <v>15</v>
      </c>
      <c r="K71" s="2" t="s">
        <v>401</v>
      </c>
      <c r="N71" s="15"/>
      <c r="O71" s="15">
        <f t="shared" si="20"/>
        <v>46165</v>
      </c>
      <c r="P71" s="16">
        <f t="shared" si="21"/>
        <v>13.894612893729763</v>
      </c>
    </row>
    <row r="72" spans="1:16" hidden="1" outlineLevel="1" x14ac:dyDescent="0.3">
      <c r="A72" s="2" t="s">
        <v>214</v>
      </c>
      <c r="B72" s="2" t="s">
        <v>239</v>
      </c>
      <c r="C72" s="2" t="s">
        <v>240</v>
      </c>
      <c r="D72" s="2" t="s">
        <v>241</v>
      </c>
      <c r="E72" s="2" t="s">
        <v>14</v>
      </c>
      <c r="F72" s="3">
        <v>46169</v>
      </c>
      <c r="G72" s="4">
        <v>39</v>
      </c>
      <c r="H72" s="3">
        <v>46176</v>
      </c>
      <c r="I72" s="5">
        <v>591.65</v>
      </c>
      <c r="J72" s="2" t="s">
        <v>15</v>
      </c>
      <c r="K72" s="2" t="s">
        <v>401</v>
      </c>
      <c r="N72" s="15"/>
      <c r="O72" s="15">
        <f t="shared" si="20"/>
        <v>46176</v>
      </c>
      <c r="P72" s="16">
        <f t="shared" si="21"/>
        <v>174.16838386811892</v>
      </c>
    </row>
    <row r="73" spans="1:16" hidden="1" outlineLevel="1" x14ac:dyDescent="0.3">
      <c r="A73" s="2" t="s">
        <v>214</v>
      </c>
      <c r="B73" s="2" t="s">
        <v>242</v>
      </c>
      <c r="C73" s="2" t="s">
        <v>243</v>
      </c>
      <c r="D73" s="2" t="s">
        <v>244</v>
      </c>
      <c r="E73" s="2" t="s">
        <v>14</v>
      </c>
      <c r="F73" s="3">
        <v>46169</v>
      </c>
      <c r="G73" s="4">
        <v>39</v>
      </c>
      <c r="H73" s="3">
        <v>46176</v>
      </c>
      <c r="I73" s="5">
        <v>70.8</v>
      </c>
      <c r="J73" s="2" t="s">
        <v>15</v>
      </c>
      <c r="K73" s="2" t="s">
        <v>401</v>
      </c>
      <c r="N73" s="15"/>
      <c r="O73" s="15">
        <f t="shared" si="20"/>
        <v>46176</v>
      </c>
      <c r="P73" s="16">
        <f t="shared" si="21"/>
        <v>20.841919340594643</v>
      </c>
    </row>
    <row r="74" spans="1:16" hidden="1" outlineLevel="1" x14ac:dyDescent="0.3">
      <c r="A74" s="2" t="s">
        <v>214</v>
      </c>
      <c r="B74" s="2" t="s">
        <v>245</v>
      </c>
      <c r="C74" s="2" t="s">
        <v>246</v>
      </c>
      <c r="D74" s="2" t="s">
        <v>247</v>
      </c>
      <c r="E74" s="2" t="s">
        <v>14</v>
      </c>
      <c r="F74" s="3">
        <v>46175</v>
      </c>
      <c r="G74" s="4">
        <v>33</v>
      </c>
      <c r="H74" s="3">
        <v>46182</v>
      </c>
      <c r="I74" s="5">
        <v>185.97</v>
      </c>
      <c r="J74" s="2" t="s">
        <v>15</v>
      </c>
      <c r="K74" s="2" t="s">
        <v>401</v>
      </c>
      <c r="N74" s="15"/>
      <c r="O74" s="15">
        <f t="shared" si="20"/>
        <v>46182</v>
      </c>
      <c r="P74" s="16">
        <f t="shared" si="21"/>
        <v>54.7453635560789</v>
      </c>
    </row>
    <row r="75" spans="1:16" hidden="1" outlineLevel="1" x14ac:dyDescent="0.3">
      <c r="A75" s="2" t="s">
        <v>214</v>
      </c>
      <c r="B75" s="2" t="s">
        <v>248</v>
      </c>
      <c r="C75" s="2" t="s">
        <v>249</v>
      </c>
      <c r="D75" s="2" t="s">
        <v>250</v>
      </c>
      <c r="E75" s="2" t="s">
        <v>14</v>
      </c>
      <c r="F75" s="3">
        <v>46175</v>
      </c>
      <c r="G75" s="4">
        <v>33</v>
      </c>
      <c r="H75" s="3">
        <v>46182</v>
      </c>
      <c r="I75" s="5">
        <v>23.6</v>
      </c>
      <c r="J75" s="2" t="s">
        <v>15</v>
      </c>
      <c r="K75" s="2" t="s">
        <v>401</v>
      </c>
      <c r="N75" s="15"/>
      <c r="O75" s="15">
        <f t="shared" si="20"/>
        <v>46182</v>
      </c>
      <c r="P75" s="16">
        <f t="shared" si="21"/>
        <v>6.9473064468648813</v>
      </c>
    </row>
    <row r="76" spans="1:16" hidden="1" outlineLevel="1" x14ac:dyDescent="0.3">
      <c r="A76" s="2" t="s">
        <v>214</v>
      </c>
      <c r="B76" s="2" t="s">
        <v>251</v>
      </c>
      <c r="C76" s="2" t="s">
        <v>252</v>
      </c>
      <c r="D76" s="2" t="s">
        <v>253</v>
      </c>
      <c r="E76" s="2" t="s">
        <v>14</v>
      </c>
      <c r="F76" s="3">
        <v>46186</v>
      </c>
      <c r="G76" s="4">
        <v>22</v>
      </c>
      <c r="H76" s="3">
        <v>46193</v>
      </c>
      <c r="I76" s="5">
        <v>535.25</v>
      </c>
      <c r="J76" s="2" t="s">
        <v>15</v>
      </c>
      <c r="K76" s="2" t="s">
        <v>401</v>
      </c>
      <c r="N76" s="15"/>
      <c r="O76" s="15">
        <f t="shared" si="20"/>
        <v>46193</v>
      </c>
      <c r="P76" s="16">
        <f t="shared" si="21"/>
        <v>157.56549896967914</v>
      </c>
    </row>
    <row r="77" spans="1:16" hidden="1" outlineLevel="1" x14ac:dyDescent="0.3">
      <c r="A77" s="2" t="s">
        <v>214</v>
      </c>
      <c r="B77" s="2" t="s">
        <v>254</v>
      </c>
      <c r="C77" s="2" t="s">
        <v>255</v>
      </c>
      <c r="D77" s="2" t="s">
        <v>256</v>
      </c>
      <c r="E77" s="2" t="s">
        <v>14</v>
      </c>
      <c r="F77" s="3">
        <v>46186</v>
      </c>
      <c r="G77" s="4">
        <v>22</v>
      </c>
      <c r="H77" s="3">
        <v>46193</v>
      </c>
      <c r="I77" s="5">
        <v>70.8</v>
      </c>
      <c r="J77" s="2" t="s">
        <v>15</v>
      </c>
      <c r="K77" s="2" t="s">
        <v>401</v>
      </c>
      <c r="N77" s="15"/>
      <c r="O77" s="15">
        <f t="shared" si="20"/>
        <v>46193</v>
      </c>
      <c r="P77" s="16">
        <f t="shared" si="21"/>
        <v>20.841919340594643</v>
      </c>
    </row>
    <row r="78" spans="1:16" hidden="1" outlineLevel="1" x14ac:dyDescent="0.3">
      <c r="A78" s="2" t="s">
        <v>214</v>
      </c>
      <c r="B78" s="2" t="s">
        <v>257</v>
      </c>
      <c r="C78" s="2" t="s">
        <v>258</v>
      </c>
      <c r="D78" s="2" t="s">
        <v>259</v>
      </c>
      <c r="E78" s="2" t="s">
        <v>14</v>
      </c>
      <c r="F78" s="3">
        <v>46206</v>
      </c>
      <c r="G78" s="4">
        <v>2</v>
      </c>
      <c r="H78" s="3">
        <v>46213</v>
      </c>
      <c r="I78" s="5">
        <v>449.11</v>
      </c>
      <c r="J78" s="2" t="s">
        <v>15</v>
      </c>
      <c r="K78" s="2" t="s">
        <v>401</v>
      </c>
      <c r="N78" s="15"/>
      <c r="O78" s="15">
        <f t="shared" si="20"/>
        <v>46213</v>
      </c>
      <c r="P78" s="16">
        <f t="shared" si="21"/>
        <v>132.20783043862232</v>
      </c>
    </row>
    <row r="79" spans="1:16" hidden="1" outlineLevel="1" x14ac:dyDescent="0.3">
      <c r="A79" s="2" t="s">
        <v>214</v>
      </c>
      <c r="B79" s="2" t="s">
        <v>260</v>
      </c>
      <c r="C79" s="2" t="s">
        <v>261</v>
      </c>
      <c r="D79" s="2" t="s">
        <v>262</v>
      </c>
      <c r="E79" s="2" t="s">
        <v>14</v>
      </c>
      <c r="F79" s="3">
        <v>46206</v>
      </c>
      <c r="G79" s="4">
        <v>2</v>
      </c>
      <c r="H79" s="3">
        <v>46213</v>
      </c>
      <c r="I79" s="5">
        <v>35.4</v>
      </c>
      <c r="J79" s="2" t="s">
        <v>15</v>
      </c>
      <c r="K79" s="2" t="s">
        <v>401</v>
      </c>
      <c r="N79" s="15"/>
      <c r="O79" s="15">
        <f t="shared" si="20"/>
        <v>46213</v>
      </c>
      <c r="P79" s="16">
        <f t="shared" si="21"/>
        <v>10.420959670297322</v>
      </c>
    </row>
    <row r="80" spans="1:16" hidden="1" outlineLevel="1" x14ac:dyDescent="0.3">
      <c r="A80" s="2" t="s">
        <v>214</v>
      </c>
      <c r="B80" s="2" t="s">
        <v>263</v>
      </c>
      <c r="C80" s="2" t="s">
        <v>264</v>
      </c>
      <c r="D80" s="2" t="s">
        <v>265</v>
      </c>
      <c r="E80" s="2" t="s">
        <v>14</v>
      </c>
      <c r="F80" s="3">
        <v>45964</v>
      </c>
      <c r="G80" s="4">
        <v>244</v>
      </c>
      <c r="H80" s="3">
        <v>45971</v>
      </c>
      <c r="I80" s="5">
        <v>1403.26</v>
      </c>
      <c r="J80" s="2" t="s">
        <v>15</v>
      </c>
      <c r="K80" s="2" t="s">
        <v>401</v>
      </c>
      <c r="N80" s="15"/>
      <c r="O80" s="15">
        <f t="shared" si="20"/>
        <v>45971</v>
      </c>
      <c r="P80" s="16">
        <f t="shared" si="21"/>
        <v>413.0880188401531</v>
      </c>
    </row>
    <row r="81" spans="1:18" hidden="1" outlineLevel="1" x14ac:dyDescent="0.3">
      <c r="A81" s="2" t="s">
        <v>214</v>
      </c>
      <c r="B81" s="2" t="s">
        <v>266</v>
      </c>
      <c r="C81" s="2" t="s">
        <v>267</v>
      </c>
      <c r="D81" s="2" t="s">
        <v>268</v>
      </c>
      <c r="E81" s="2" t="s">
        <v>14</v>
      </c>
      <c r="F81" s="3">
        <v>45964</v>
      </c>
      <c r="G81" s="4">
        <v>244</v>
      </c>
      <c r="H81" s="3">
        <v>45971</v>
      </c>
      <c r="I81" s="5">
        <v>141.6</v>
      </c>
      <c r="J81" s="2" t="s">
        <v>15</v>
      </c>
      <c r="K81" s="2" t="s">
        <v>401</v>
      </c>
      <c r="N81" s="15"/>
      <c r="O81" s="15">
        <f t="shared" si="20"/>
        <v>45971</v>
      </c>
      <c r="P81" s="16">
        <f t="shared" si="21"/>
        <v>41.683838681189286</v>
      </c>
    </row>
    <row r="82" spans="1:18" hidden="1" outlineLevel="1" x14ac:dyDescent="0.3">
      <c r="A82" s="2" t="s">
        <v>214</v>
      </c>
      <c r="B82" s="2" t="s">
        <v>269</v>
      </c>
      <c r="C82" s="2" t="s">
        <v>270</v>
      </c>
      <c r="D82" s="2" t="s">
        <v>271</v>
      </c>
      <c r="E82" s="2" t="s">
        <v>14</v>
      </c>
      <c r="F82" s="3">
        <v>45967</v>
      </c>
      <c r="G82" s="4">
        <v>241</v>
      </c>
      <c r="H82" s="3">
        <v>45974</v>
      </c>
      <c r="I82" s="5">
        <v>1193.22</v>
      </c>
      <c r="J82" s="2" t="s">
        <v>15</v>
      </c>
      <c r="K82" s="2" t="s">
        <v>401</v>
      </c>
      <c r="N82" s="15"/>
      <c r="O82" s="15">
        <f t="shared" si="20"/>
        <v>45974</v>
      </c>
      <c r="P82" s="16">
        <f t="shared" si="21"/>
        <v>351.25699146305567</v>
      </c>
    </row>
    <row r="83" spans="1:18" hidden="1" outlineLevel="1" x14ac:dyDescent="0.3">
      <c r="A83" s="2" t="s">
        <v>214</v>
      </c>
      <c r="B83" s="2" t="s">
        <v>272</v>
      </c>
      <c r="C83" s="2" t="s">
        <v>273</v>
      </c>
      <c r="D83" s="2" t="s">
        <v>274</v>
      </c>
      <c r="E83" s="2" t="s">
        <v>14</v>
      </c>
      <c r="F83" s="3">
        <v>45967</v>
      </c>
      <c r="G83" s="4">
        <v>241</v>
      </c>
      <c r="H83" s="3">
        <v>45974</v>
      </c>
      <c r="I83" s="5">
        <v>106.2</v>
      </c>
      <c r="J83" s="2" t="s">
        <v>15</v>
      </c>
      <c r="K83" s="2" t="s">
        <v>401</v>
      </c>
      <c r="N83" s="15"/>
      <c r="O83" s="15">
        <f t="shared" si="20"/>
        <v>45974</v>
      </c>
      <c r="P83" s="16">
        <f t="shared" si="21"/>
        <v>31.262879010891965</v>
      </c>
    </row>
    <row r="84" spans="1:18" hidden="1" outlineLevel="1" x14ac:dyDescent="0.3">
      <c r="A84" s="2" t="s">
        <v>275</v>
      </c>
      <c r="B84" s="2" t="s">
        <v>276</v>
      </c>
      <c r="C84" s="2" t="s">
        <v>277</v>
      </c>
      <c r="D84" s="2" t="s">
        <v>278</v>
      </c>
      <c r="E84" s="2" t="s">
        <v>14</v>
      </c>
      <c r="F84" s="3">
        <v>46140</v>
      </c>
      <c r="G84" s="4">
        <v>75</v>
      </c>
      <c r="H84" s="3">
        <v>46140</v>
      </c>
      <c r="I84" s="5">
        <v>59</v>
      </c>
      <c r="J84" s="2" t="s">
        <v>15</v>
      </c>
      <c r="K84" s="2" t="s">
        <v>399</v>
      </c>
      <c r="N84" s="15"/>
      <c r="O84" s="15">
        <f t="shared" si="20"/>
        <v>46140</v>
      </c>
      <c r="P84" s="16">
        <f t="shared" si="21"/>
        <v>17.368266117162204</v>
      </c>
    </row>
    <row r="85" spans="1:18" hidden="1" outlineLevel="1" x14ac:dyDescent="0.3">
      <c r="A85" s="2" t="s">
        <v>275</v>
      </c>
      <c r="B85" s="2" t="s">
        <v>279</v>
      </c>
      <c r="C85" s="2" t="s">
        <v>280</v>
      </c>
      <c r="D85" s="2" t="s">
        <v>281</v>
      </c>
      <c r="E85" s="2" t="s">
        <v>14</v>
      </c>
      <c r="F85" s="3">
        <v>46140</v>
      </c>
      <c r="G85" s="4">
        <v>75</v>
      </c>
      <c r="H85" s="3">
        <v>46140</v>
      </c>
      <c r="I85" s="5">
        <v>716.71</v>
      </c>
      <c r="J85" s="2" t="s">
        <v>15</v>
      </c>
      <c r="K85" s="2" t="s">
        <v>399</v>
      </c>
      <c r="N85" s="15"/>
      <c r="O85" s="15">
        <f t="shared" si="20"/>
        <v>46140</v>
      </c>
      <c r="P85" s="16">
        <f t="shared" si="21"/>
        <v>210.98322048866649</v>
      </c>
    </row>
    <row r="86" spans="1:18" hidden="1" outlineLevel="1" x14ac:dyDescent="0.3">
      <c r="A86" s="2" t="s">
        <v>275</v>
      </c>
      <c r="B86" s="2" t="s">
        <v>282</v>
      </c>
      <c r="C86" s="2" t="s">
        <v>283</v>
      </c>
      <c r="D86" s="2" t="s">
        <v>284</v>
      </c>
      <c r="E86" s="2" t="s">
        <v>14</v>
      </c>
      <c r="F86" s="3">
        <v>46140</v>
      </c>
      <c r="G86" s="4">
        <v>75</v>
      </c>
      <c r="H86" s="3">
        <v>46140</v>
      </c>
      <c r="I86" s="5">
        <v>129.80000000000001</v>
      </c>
      <c r="J86" s="2" t="s">
        <v>15</v>
      </c>
      <c r="K86" s="2" t="s">
        <v>399</v>
      </c>
      <c r="N86" s="15"/>
      <c r="O86" s="15">
        <f t="shared" si="20"/>
        <v>46140</v>
      </c>
      <c r="P86" s="16">
        <f t="shared" si="21"/>
        <v>38.21018545775685</v>
      </c>
    </row>
    <row r="87" spans="1:18" hidden="1" outlineLevel="1" x14ac:dyDescent="0.3">
      <c r="A87" s="2" t="s">
        <v>275</v>
      </c>
      <c r="B87" s="2" t="s">
        <v>285</v>
      </c>
      <c r="C87" s="2" t="s">
        <v>286</v>
      </c>
      <c r="D87" s="2" t="s">
        <v>287</v>
      </c>
      <c r="E87" s="2" t="s">
        <v>14</v>
      </c>
      <c r="F87" s="3">
        <v>46154</v>
      </c>
      <c r="G87" s="4">
        <v>61</v>
      </c>
      <c r="H87" s="3">
        <v>46154</v>
      </c>
      <c r="I87" s="5">
        <v>404.98</v>
      </c>
      <c r="J87" s="2" t="s">
        <v>15</v>
      </c>
      <c r="K87" s="2" t="s">
        <v>399</v>
      </c>
      <c r="N87" s="15"/>
      <c r="O87" s="15">
        <f t="shared" si="20"/>
        <v>46154</v>
      </c>
      <c r="P87" s="16">
        <f t="shared" si="21"/>
        <v>119.21695613776863</v>
      </c>
    </row>
    <row r="88" spans="1:18" hidden="1" outlineLevel="1" x14ac:dyDescent="0.3">
      <c r="A88" s="2" t="s">
        <v>275</v>
      </c>
      <c r="B88" s="2" t="s">
        <v>288</v>
      </c>
      <c r="C88" s="2" t="s">
        <v>289</v>
      </c>
      <c r="D88" s="2" t="s">
        <v>290</v>
      </c>
      <c r="E88" s="2" t="s">
        <v>14</v>
      </c>
      <c r="F88" s="3">
        <v>46154</v>
      </c>
      <c r="G88" s="4">
        <v>61</v>
      </c>
      <c r="H88" s="3">
        <v>46154</v>
      </c>
      <c r="I88" s="5">
        <v>59</v>
      </c>
      <c r="J88" s="2" t="s">
        <v>15</v>
      </c>
      <c r="K88" s="2" t="s">
        <v>399</v>
      </c>
      <c r="N88" s="15"/>
      <c r="O88" s="15">
        <f t="shared" si="20"/>
        <v>46154</v>
      </c>
      <c r="P88" s="16">
        <f t="shared" si="21"/>
        <v>17.368266117162204</v>
      </c>
    </row>
    <row r="89" spans="1:18" hidden="1" outlineLevel="1" x14ac:dyDescent="0.3">
      <c r="A89" s="2" t="s">
        <v>275</v>
      </c>
      <c r="B89" s="2" t="s">
        <v>291</v>
      </c>
      <c r="C89" s="2" t="s">
        <v>292</v>
      </c>
      <c r="D89" s="2" t="s">
        <v>293</v>
      </c>
      <c r="E89" s="2" t="s">
        <v>64</v>
      </c>
      <c r="F89" s="3">
        <v>46140</v>
      </c>
      <c r="G89" s="4">
        <v>75</v>
      </c>
      <c r="H89" s="3">
        <v>46140</v>
      </c>
      <c r="I89" s="5">
        <v>422.56</v>
      </c>
      <c r="J89" s="2" t="s">
        <v>15</v>
      </c>
      <c r="K89" s="2" t="s">
        <v>399</v>
      </c>
      <c r="N89" s="15"/>
      <c r="O89" s="15">
        <f t="shared" si="20"/>
        <v>46140</v>
      </c>
      <c r="P89" s="16">
        <f t="shared" si="21"/>
        <v>124.39211068589933</v>
      </c>
    </row>
    <row r="90" spans="1:18" hidden="1" outlineLevel="1" x14ac:dyDescent="0.3">
      <c r="A90" s="2" t="s">
        <v>294</v>
      </c>
      <c r="B90" s="2" t="s">
        <v>295</v>
      </c>
      <c r="C90" s="2" t="s">
        <v>296</v>
      </c>
      <c r="D90" s="2" t="s">
        <v>297</v>
      </c>
      <c r="E90" s="2" t="s">
        <v>78</v>
      </c>
      <c r="F90" s="3">
        <v>46148</v>
      </c>
      <c r="G90" s="4">
        <v>0</v>
      </c>
      <c r="H90" s="3">
        <v>46173</v>
      </c>
      <c r="I90" s="6">
        <v>-33334</v>
      </c>
      <c r="J90" s="2" t="s">
        <v>69</v>
      </c>
      <c r="K90" s="2" t="s">
        <v>403</v>
      </c>
      <c r="L90" s="15">
        <f t="shared" ref="L90:L94" si="22">F90+60</f>
        <v>46208</v>
      </c>
      <c r="M90" s="17"/>
      <c r="N90" s="15"/>
      <c r="O90" s="15">
        <f>F90</f>
        <v>46148</v>
      </c>
      <c r="P90" s="8">
        <f t="shared" ref="P90:P94" si="23">I90</f>
        <v>-33334</v>
      </c>
      <c r="Q90" s="17">
        <f t="shared" ref="Q90:Q94" ca="1" si="24">TODAY()-F90</f>
        <v>68</v>
      </c>
      <c r="R90" t="s">
        <v>415</v>
      </c>
    </row>
    <row r="91" spans="1:18" hidden="1" outlineLevel="1" x14ac:dyDescent="0.3">
      <c r="A91" s="2" t="s">
        <v>294</v>
      </c>
      <c r="B91" s="2" t="s">
        <v>298</v>
      </c>
      <c r="C91" s="2" t="s">
        <v>299</v>
      </c>
      <c r="D91" s="2" t="s">
        <v>300</v>
      </c>
      <c r="E91" s="2" t="s">
        <v>64</v>
      </c>
      <c r="F91" s="3">
        <v>46171</v>
      </c>
      <c r="G91" s="4">
        <v>44</v>
      </c>
      <c r="H91" s="3">
        <v>46171</v>
      </c>
      <c r="I91" s="5">
        <v>67008</v>
      </c>
      <c r="J91" s="2" t="s">
        <v>69</v>
      </c>
      <c r="K91" s="2" t="s">
        <v>403</v>
      </c>
      <c r="L91" s="15">
        <f t="shared" si="22"/>
        <v>46231</v>
      </c>
      <c r="M91" s="17">
        <f t="shared" ref="M91:M93" ca="1" si="25">TODAY()-N91</f>
        <v>0</v>
      </c>
      <c r="N91" s="15">
        <v>46216</v>
      </c>
      <c r="O91" s="15">
        <v>46235</v>
      </c>
      <c r="P91" s="8">
        <f t="shared" si="23"/>
        <v>67008</v>
      </c>
      <c r="Q91" s="17">
        <f t="shared" ca="1" si="24"/>
        <v>45</v>
      </c>
      <c r="R91" t="s">
        <v>413</v>
      </c>
    </row>
    <row r="92" spans="1:18" outlineLevel="1" x14ac:dyDescent="0.3">
      <c r="A92" s="2" t="s">
        <v>301</v>
      </c>
      <c r="B92" s="2" t="s">
        <v>302</v>
      </c>
      <c r="C92" s="2" t="s">
        <v>303</v>
      </c>
      <c r="D92" s="2" t="s">
        <v>304</v>
      </c>
      <c r="E92" s="2" t="s">
        <v>68</v>
      </c>
      <c r="F92" s="3">
        <v>46164</v>
      </c>
      <c r="G92" s="4">
        <v>6</v>
      </c>
      <c r="H92" s="3">
        <v>46209</v>
      </c>
      <c r="I92" s="5">
        <v>80600</v>
      </c>
      <c r="J92" s="2" t="s">
        <v>69</v>
      </c>
      <c r="K92" s="2" t="s">
        <v>403</v>
      </c>
      <c r="L92" s="15">
        <f t="shared" si="22"/>
        <v>46224</v>
      </c>
      <c r="M92" s="17">
        <f t="shared" ca="1" si="25"/>
        <v>-8</v>
      </c>
      <c r="N92" s="15">
        <v>46224</v>
      </c>
      <c r="O92" s="15">
        <v>46224</v>
      </c>
      <c r="P92" s="8">
        <f t="shared" si="23"/>
        <v>80600</v>
      </c>
      <c r="Q92" s="17">
        <f t="shared" ca="1" si="24"/>
        <v>52</v>
      </c>
      <c r="R92" t="s">
        <v>414</v>
      </c>
    </row>
    <row r="93" spans="1:18" outlineLevel="1" x14ac:dyDescent="0.3">
      <c r="A93" s="2" t="s">
        <v>301</v>
      </c>
      <c r="B93" s="2" t="s">
        <v>305</v>
      </c>
      <c r="C93" s="2" t="s">
        <v>306</v>
      </c>
      <c r="D93" s="2" t="s">
        <v>307</v>
      </c>
      <c r="E93" s="2" t="s">
        <v>64</v>
      </c>
      <c r="F93" s="3">
        <v>46139</v>
      </c>
      <c r="G93" s="4">
        <v>76</v>
      </c>
      <c r="H93" s="3">
        <v>46139</v>
      </c>
      <c r="I93" s="5">
        <v>10284</v>
      </c>
      <c r="J93" s="2" t="s">
        <v>69</v>
      </c>
      <c r="K93" s="2" t="s">
        <v>403</v>
      </c>
      <c r="L93" s="15">
        <f t="shared" si="22"/>
        <v>46199</v>
      </c>
      <c r="M93" s="17">
        <f t="shared" ca="1" si="25"/>
        <v>-18</v>
      </c>
      <c r="N93" s="15">
        <v>46234</v>
      </c>
      <c r="O93" s="15">
        <v>46234</v>
      </c>
      <c r="P93" s="8">
        <f t="shared" si="23"/>
        <v>10284</v>
      </c>
      <c r="Q93" s="17">
        <f t="shared" ca="1" si="24"/>
        <v>77</v>
      </c>
      <c r="R93" t="s">
        <v>415</v>
      </c>
    </row>
    <row r="94" spans="1:18" hidden="1" outlineLevel="1" x14ac:dyDescent="0.3">
      <c r="A94" s="2" t="s">
        <v>308</v>
      </c>
      <c r="B94" s="2" t="s">
        <v>309</v>
      </c>
      <c r="C94" s="2" t="s">
        <v>310</v>
      </c>
      <c r="D94" s="2" t="s">
        <v>311</v>
      </c>
      <c r="E94" s="2" t="s">
        <v>78</v>
      </c>
      <c r="F94" s="3">
        <v>46178</v>
      </c>
      <c r="G94" s="4">
        <v>0</v>
      </c>
      <c r="H94" s="3">
        <v>46203</v>
      </c>
      <c r="I94" s="6">
        <v>-13728</v>
      </c>
      <c r="J94" s="2" t="s">
        <v>69</v>
      </c>
      <c r="K94" s="2" t="s">
        <v>403</v>
      </c>
      <c r="L94" s="15">
        <f t="shared" si="22"/>
        <v>46238</v>
      </c>
      <c r="M94" s="17"/>
      <c r="N94" s="15"/>
      <c r="O94" s="15">
        <f>F94</f>
        <v>46178</v>
      </c>
      <c r="P94" s="8">
        <f t="shared" si="23"/>
        <v>-13728</v>
      </c>
      <c r="Q94" s="17">
        <f t="shared" ca="1" si="24"/>
        <v>38</v>
      </c>
      <c r="R94" t="s">
        <v>413</v>
      </c>
    </row>
    <row r="95" spans="1:18" hidden="1" outlineLevel="1" x14ac:dyDescent="0.3">
      <c r="A95" s="2" t="s">
        <v>312</v>
      </c>
      <c r="B95" s="2" t="s">
        <v>313</v>
      </c>
      <c r="C95" s="2" t="s">
        <v>314</v>
      </c>
      <c r="D95" s="2" t="s">
        <v>315</v>
      </c>
      <c r="E95" s="2" t="s">
        <v>14</v>
      </c>
      <c r="F95" s="3">
        <v>46053</v>
      </c>
      <c r="G95" s="4">
        <v>155</v>
      </c>
      <c r="H95" s="3">
        <v>46060</v>
      </c>
      <c r="I95" s="5">
        <v>4003.46</v>
      </c>
      <c r="J95" s="2" t="s">
        <v>15</v>
      </c>
      <c r="K95" s="2" t="s">
        <v>400</v>
      </c>
      <c r="N95" s="15"/>
      <c r="O95" s="15">
        <f>H95</f>
        <v>46060</v>
      </c>
      <c r="P95" s="16">
        <f>I95/3.397</f>
        <v>1178.5281130409185</v>
      </c>
    </row>
    <row r="96" spans="1:18" hidden="1" outlineLevel="1" x14ac:dyDescent="0.3">
      <c r="A96" s="2" t="s">
        <v>312</v>
      </c>
      <c r="B96" s="2" t="s">
        <v>316</v>
      </c>
      <c r="C96" s="2" t="s">
        <v>317</v>
      </c>
      <c r="D96" s="2" t="s">
        <v>318</v>
      </c>
      <c r="E96" s="2" t="s">
        <v>14</v>
      </c>
      <c r="F96" s="3">
        <v>46084</v>
      </c>
      <c r="G96" s="4">
        <v>124</v>
      </c>
      <c r="H96" s="3">
        <v>46091</v>
      </c>
      <c r="I96" s="5">
        <v>4956</v>
      </c>
      <c r="J96" s="2" t="s">
        <v>15</v>
      </c>
      <c r="K96" s="2" t="s">
        <v>400</v>
      </c>
      <c r="N96" s="15"/>
      <c r="O96" s="15">
        <f t="shared" ref="O96:O98" si="26">H96</f>
        <v>46091</v>
      </c>
      <c r="P96" s="16">
        <f t="shared" ref="P96:P98" si="27">I96/3.397</f>
        <v>1458.9343538416251</v>
      </c>
    </row>
    <row r="97" spans="1:18" hidden="1" outlineLevel="1" x14ac:dyDescent="0.3">
      <c r="A97" s="2" t="s">
        <v>312</v>
      </c>
      <c r="B97" s="2" t="s">
        <v>319</v>
      </c>
      <c r="C97" s="2" t="s">
        <v>320</v>
      </c>
      <c r="D97" s="2" t="s">
        <v>321</v>
      </c>
      <c r="E97" s="2" t="s">
        <v>14</v>
      </c>
      <c r="F97" s="3">
        <v>45965</v>
      </c>
      <c r="G97" s="4">
        <v>243</v>
      </c>
      <c r="H97" s="3">
        <v>45972</v>
      </c>
      <c r="I97" s="5">
        <v>7097.98</v>
      </c>
      <c r="J97" s="2" t="s">
        <v>15</v>
      </c>
      <c r="K97" s="2" t="s">
        <v>400</v>
      </c>
      <c r="N97" s="15"/>
      <c r="O97" s="15">
        <f t="shared" si="26"/>
        <v>45972</v>
      </c>
      <c r="P97" s="16">
        <f t="shared" si="27"/>
        <v>2089.4848395643216</v>
      </c>
    </row>
    <row r="98" spans="1:18" hidden="1" outlineLevel="1" x14ac:dyDescent="0.3">
      <c r="A98" s="2" t="s">
        <v>312</v>
      </c>
      <c r="B98" s="2" t="s">
        <v>322</v>
      </c>
      <c r="C98" s="2" t="s">
        <v>323</v>
      </c>
      <c r="D98" s="2" t="s">
        <v>324</v>
      </c>
      <c r="E98" s="2" t="s">
        <v>64</v>
      </c>
      <c r="F98" s="3">
        <v>45951</v>
      </c>
      <c r="G98" s="4">
        <v>264</v>
      </c>
      <c r="H98" s="3">
        <v>45951</v>
      </c>
      <c r="I98" s="5">
        <v>4460</v>
      </c>
      <c r="J98" s="2" t="s">
        <v>15</v>
      </c>
      <c r="K98" s="2" t="s">
        <v>400</v>
      </c>
      <c r="N98" s="15"/>
      <c r="O98" s="15">
        <f t="shared" si="26"/>
        <v>45951</v>
      </c>
      <c r="P98" s="16">
        <f t="shared" si="27"/>
        <v>1312.9231675007361</v>
      </c>
    </row>
    <row r="99" spans="1:18" hidden="1" outlineLevel="1" x14ac:dyDescent="0.3">
      <c r="A99" s="2" t="s">
        <v>325</v>
      </c>
      <c r="B99" s="2" t="s">
        <v>326</v>
      </c>
      <c r="C99" s="2" t="s">
        <v>327</v>
      </c>
      <c r="D99" s="2" t="s">
        <v>328</v>
      </c>
      <c r="E99" s="2" t="s">
        <v>68</v>
      </c>
      <c r="F99" s="3">
        <v>46186</v>
      </c>
      <c r="G99" s="7">
        <v>-16</v>
      </c>
      <c r="H99" s="3">
        <v>46231</v>
      </c>
      <c r="I99" s="5">
        <v>29250</v>
      </c>
      <c r="J99" s="2" t="s">
        <v>69</v>
      </c>
      <c r="K99" s="2" t="s">
        <v>403</v>
      </c>
      <c r="L99" s="15">
        <f t="shared" ref="L99:L100" si="28">F99+60</f>
        <v>46246</v>
      </c>
      <c r="M99" s="17">
        <f t="shared" ref="M99" ca="1" si="29">TODAY()-N99</f>
        <v>-30</v>
      </c>
      <c r="N99" s="15">
        <v>46246</v>
      </c>
      <c r="O99" s="15">
        <v>46246</v>
      </c>
      <c r="P99" s="8">
        <f t="shared" ref="P99:P100" si="30">I99</f>
        <v>29250</v>
      </c>
      <c r="Q99" s="17">
        <f t="shared" ref="Q99:Q100" ca="1" si="31">TODAY()-F99</f>
        <v>30</v>
      </c>
      <c r="R99" t="s">
        <v>413</v>
      </c>
    </row>
    <row r="100" spans="1:18" hidden="1" outlineLevel="1" x14ac:dyDescent="0.3">
      <c r="A100" s="2" t="s">
        <v>325</v>
      </c>
      <c r="B100" s="2" t="s">
        <v>329</v>
      </c>
      <c r="C100" s="2" t="s">
        <v>330</v>
      </c>
      <c r="D100" s="2" t="s">
        <v>331</v>
      </c>
      <c r="E100" s="2" t="s">
        <v>78</v>
      </c>
      <c r="F100" s="3">
        <v>46175</v>
      </c>
      <c r="G100" s="4">
        <v>0</v>
      </c>
      <c r="H100" s="3">
        <v>46203</v>
      </c>
      <c r="I100" s="6">
        <v>-6470</v>
      </c>
      <c r="J100" s="2" t="s">
        <v>69</v>
      </c>
      <c r="K100" s="2" t="s">
        <v>403</v>
      </c>
      <c r="L100" s="15">
        <f t="shared" si="28"/>
        <v>46235</v>
      </c>
      <c r="M100" s="17"/>
      <c r="N100" s="15"/>
      <c r="O100" s="15">
        <f>F100</f>
        <v>46175</v>
      </c>
      <c r="P100" s="8">
        <f t="shared" si="30"/>
        <v>-6470</v>
      </c>
      <c r="Q100" s="17">
        <f t="shared" ca="1" si="31"/>
        <v>41</v>
      </c>
      <c r="R100" t="s">
        <v>413</v>
      </c>
    </row>
    <row r="101" spans="1:18" hidden="1" outlineLevel="1" x14ac:dyDescent="0.3">
      <c r="A101" s="2" t="s">
        <v>332</v>
      </c>
      <c r="B101" s="2" t="s">
        <v>333</v>
      </c>
      <c r="C101" s="2" t="s">
        <v>334</v>
      </c>
      <c r="D101" s="2" t="s">
        <v>335</v>
      </c>
      <c r="E101" s="2" t="s">
        <v>14</v>
      </c>
      <c r="F101" s="3">
        <v>45937</v>
      </c>
      <c r="G101" s="4">
        <v>271</v>
      </c>
      <c r="H101" s="3">
        <v>45944</v>
      </c>
      <c r="I101" s="5">
        <v>790</v>
      </c>
      <c r="J101" s="2" t="s">
        <v>15</v>
      </c>
      <c r="K101" s="2" t="s">
        <v>402</v>
      </c>
      <c r="N101" s="15"/>
      <c r="O101" s="15">
        <f>H101</f>
        <v>45944</v>
      </c>
      <c r="P101" s="16">
        <f>I101/3.397</f>
        <v>232.55813953488374</v>
      </c>
    </row>
    <row r="102" spans="1:18" outlineLevel="1" x14ac:dyDescent="0.3">
      <c r="A102" s="2" t="s">
        <v>336</v>
      </c>
      <c r="B102" s="2" t="s">
        <v>337</v>
      </c>
      <c r="C102" s="2" t="s">
        <v>338</v>
      </c>
      <c r="D102" s="2" t="s">
        <v>339</v>
      </c>
      <c r="E102" s="2" t="s">
        <v>68</v>
      </c>
      <c r="F102" s="3">
        <v>46159</v>
      </c>
      <c r="G102" s="4">
        <v>11</v>
      </c>
      <c r="H102" s="3">
        <v>46204</v>
      </c>
      <c r="I102" s="5">
        <v>230850</v>
      </c>
      <c r="J102" s="2" t="s">
        <v>69</v>
      </c>
      <c r="K102" s="2" t="s">
        <v>403</v>
      </c>
      <c r="L102" s="15">
        <f t="shared" ref="L102:L106" si="32">F102+60</f>
        <v>46219</v>
      </c>
      <c r="M102" s="17">
        <f t="shared" ref="M102:M105" ca="1" si="33">TODAY()-N102</f>
        <v>-3</v>
      </c>
      <c r="N102" s="15">
        <v>46219</v>
      </c>
      <c r="O102" s="15">
        <v>46219</v>
      </c>
      <c r="P102" s="8">
        <f t="shared" ref="P102:P106" si="34">I102</f>
        <v>230850</v>
      </c>
      <c r="Q102" s="17">
        <f t="shared" ref="Q102:Q106" ca="1" si="35">TODAY()-F102</f>
        <v>57</v>
      </c>
      <c r="R102" t="s">
        <v>414</v>
      </c>
    </row>
    <row r="103" spans="1:18" outlineLevel="1" x14ac:dyDescent="0.3">
      <c r="A103" s="2" t="s">
        <v>336</v>
      </c>
      <c r="B103" s="2" t="s">
        <v>340</v>
      </c>
      <c r="C103" s="2" t="s">
        <v>341</v>
      </c>
      <c r="D103" s="2" t="s">
        <v>342</v>
      </c>
      <c r="E103" s="2" t="s">
        <v>64</v>
      </c>
      <c r="F103" s="3">
        <v>46141</v>
      </c>
      <c r="G103" s="4">
        <v>74</v>
      </c>
      <c r="H103" s="3">
        <v>46141</v>
      </c>
      <c r="I103" s="5">
        <v>162355</v>
      </c>
      <c r="J103" s="2" t="s">
        <v>69</v>
      </c>
      <c r="K103" s="2" t="s">
        <v>403</v>
      </c>
      <c r="L103" s="15">
        <f t="shared" si="32"/>
        <v>46201</v>
      </c>
      <c r="M103" s="17">
        <f t="shared" ca="1" si="33"/>
        <v>-7</v>
      </c>
      <c r="N103" s="15">
        <v>46223</v>
      </c>
      <c r="O103" s="15">
        <v>46223</v>
      </c>
      <c r="P103" s="8">
        <f t="shared" si="34"/>
        <v>162355</v>
      </c>
      <c r="Q103" s="17">
        <f t="shared" ca="1" si="35"/>
        <v>75</v>
      </c>
      <c r="R103" t="s">
        <v>415</v>
      </c>
    </row>
    <row r="104" spans="1:18" outlineLevel="1" x14ac:dyDescent="0.3">
      <c r="A104" s="2">
        <v>2000001382</v>
      </c>
      <c r="B104" s="2" t="s">
        <v>419</v>
      </c>
      <c r="C104" s="2">
        <v>1300005603</v>
      </c>
      <c r="D104" s="2" t="s">
        <v>420</v>
      </c>
      <c r="E104" s="2" t="s">
        <v>78</v>
      </c>
      <c r="F104" s="3">
        <v>46211</v>
      </c>
      <c r="G104" s="4">
        <v>0</v>
      </c>
      <c r="H104" s="3">
        <v>46234</v>
      </c>
      <c r="I104" s="5">
        <v>15970</v>
      </c>
      <c r="J104" s="2" t="s">
        <v>69</v>
      </c>
      <c r="K104" s="2" t="s">
        <v>403</v>
      </c>
      <c r="L104" s="15">
        <f t="shared" ref="L104" si="36">F104+60</f>
        <v>46271</v>
      </c>
      <c r="M104" s="17"/>
      <c r="N104" s="15"/>
      <c r="O104" s="15">
        <f t="shared" ref="O104" si="37">H104</f>
        <v>46234</v>
      </c>
      <c r="P104" s="8">
        <f t="shared" ref="P104" si="38">I104</f>
        <v>15970</v>
      </c>
      <c r="Q104" s="17">
        <f t="shared" ref="Q104" ca="1" si="39">TODAY()-F104</f>
        <v>5</v>
      </c>
      <c r="R104" t="s">
        <v>415</v>
      </c>
    </row>
    <row r="105" spans="1:18" hidden="1" outlineLevel="1" x14ac:dyDescent="0.3">
      <c r="A105" s="2" t="s">
        <v>343</v>
      </c>
      <c r="B105" s="2" t="s">
        <v>344</v>
      </c>
      <c r="C105" s="2" t="s">
        <v>345</v>
      </c>
      <c r="D105" s="2" t="s">
        <v>346</v>
      </c>
      <c r="E105" s="2" t="s">
        <v>68</v>
      </c>
      <c r="F105" s="3">
        <v>46194</v>
      </c>
      <c r="G105" s="7">
        <v>-24</v>
      </c>
      <c r="H105" s="3">
        <v>46239</v>
      </c>
      <c r="I105" s="5">
        <v>46018</v>
      </c>
      <c r="J105" s="2" t="s">
        <v>69</v>
      </c>
      <c r="K105" s="2" t="s">
        <v>403</v>
      </c>
      <c r="L105" s="15">
        <f t="shared" si="32"/>
        <v>46254</v>
      </c>
      <c r="M105" s="17">
        <f t="shared" ca="1" si="33"/>
        <v>-38</v>
      </c>
      <c r="N105" s="15">
        <v>46254</v>
      </c>
      <c r="O105" s="15">
        <v>46254</v>
      </c>
      <c r="P105" s="8">
        <f t="shared" si="34"/>
        <v>46018</v>
      </c>
      <c r="Q105" s="17">
        <f t="shared" ca="1" si="35"/>
        <v>22</v>
      </c>
      <c r="R105" t="s">
        <v>413</v>
      </c>
    </row>
    <row r="106" spans="1:18" hidden="1" outlineLevel="1" x14ac:dyDescent="0.3">
      <c r="A106" s="2" t="s">
        <v>343</v>
      </c>
      <c r="B106" s="2" t="s">
        <v>347</v>
      </c>
      <c r="C106" s="2" t="s">
        <v>348</v>
      </c>
      <c r="D106" s="2" t="s">
        <v>349</v>
      </c>
      <c r="E106" s="2" t="s">
        <v>78</v>
      </c>
      <c r="F106" s="3">
        <v>46175</v>
      </c>
      <c r="G106" s="4">
        <v>0</v>
      </c>
      <c r="H106" s="3">
        <v>46203</v>
      </c>
      <c r="I106" s="6">
        <v>-9287</v>
      </c>
      <c r="J106" s="2" t="s">
        <v>69</v>
      </c>
      <c r="K106" s="2" t="s">
        <v>403</v>
      </c>
      <c r="L106" s="15">
        <f t="shared" si="32"/>
        <v>46235</v>
      </c>
      <c r="M106" s="17"/>
      <c r="N106" s="15"/>
      <c r="O106" s="15">
        <f>F106</f>
        <v>46175</v>
      </c>
      <c r="P106" s="8">
        <f t="shared" si="34"/>
        <v>-9287</v>
      </c>
      <c r="Q106" s="17">
        <f t="shared" ca="1" si="35"/>
        <v>41</v>
      </c>
      <c r="R106" t="s">
        <v>413</v>
      </c>
    </row>
    <row r="107" spans="1:18" hidden="1" outlineLevel="1" x14ac:dyDescent="0.3">
      <c r="A107" s="2" t="s">
        <v>350</v>
      </c>
      <c r="B107" s="2" t="s">
        <v>351</v>
      </c>
      <c r="C107" s="2" t="s">
        <v>352</v>
      </c>
      <c r="D107" s="2" t="s">
        <v>353</v>
      </c>
      <c r="E107" s="2" t="s">
        <v>14</v>
      </c>
      <c r="F107" s="3">
        <v>46207</v>
      </c>
      <c r="G107" s="4">
        <v>1</v>
      </c>
      <c r="H107" s="3">
        <v>46214</v>
      </c>
      <c r="I107" s="5">
        <v>590</v>
      </c>
      <c r="J107" s="2" t="s">
        <v>15</v>
      </c>
      <c r="K107" s="2" t="s">
        <v>399</v>
      </c>
      <c r="N107" s="15"/>
      <c r="O107" s="15">
        <f t="shared" ref="O107:O110" si="40">H107</f>
        <v>46214</v>
      </c>
      <c r="P107" s="16">
        <f t="shared" ref="P107:P110" si="41">I107/3.397</f>
        <v>173.68266117162202</v>
      </c>
    </row>
    <row r="108" spans="1:18" hidden="1" outlineLevel="1" x14ac:dyDescent="0.3">
      <c r="A108" s="2" t="s">
        <v>350</v>
      </c>
      <c r="B108" s="2" t="s">
        <v>354</v>
      </c>
      <c r="C108" s="2" t="s">
        <v>355</v>
      </c>
      <c r="D108" s="2" t="s">
        <v>356</v>
      </c>
      <c r="E108" s="2" t="s">
        <v>14</v>
      </c>
      <c r="F108" s="3">
        <v>46209</v>
      </c>
      <c r="G108" s="7">
        <v>-1</v>
      </c>
      <c r="H108" s="3">
        <v>46216</v>
      </c>
      <c r="I108" s="5">
        <v>590</v>
      </c>
      <c r="J108" s="2" t="s">
        <v>15</v>
      </c>
      <c r="K108" s="2" t="s">
        <v>399</v>
      </c>
      <c r="N108" s="15"/>
      <c r="O108" s="15">
        <f t="shared" si="40"/>
        <v>46216</v>
      </c>
      <c r="P108" s="16">
        <f t="shared" si="41"/>
        <v>173.68266117162202</v>
      </c>
    </row>
    <row r="109" spans="1:18" hidden="1" outlineLevel="1" x14ac:dyDescent="0.3">
      <c r="A109" s="2" t="s">
        <v>350</v>
      </c>
      <c r="B109" s="2" t="s">
        <v>357</v>
      </c>
      <c r="C109" s="2" t="s">
        <v>358</v>
      </c>
      <c r="D109" s="2" t="s">
        <v>359</v>
      </c>
      <c r="E109" s="2" t="s">
        <v>14</v>
      </c>
      <c r="F109" s="3">
        <v>46210</v>
      </c>
      <c r="G109" s="7">
        <v>-2</v>
      </c>
      <c r="H109" s="3">
        <v>46217</v>
      </c>
      <c r="I109" s="5">
        <v>590</v>
      </c>
      <c r="J109" s="2" t="s">
        <v>15</v>
      </c>
      <c r="K109" s="2" t="s">
        <v>399</v>
      </c>
      <c r="N109" s="15"/>
      <c r="O109" s="15">
        <f t="shared" si="40"/>
        <v>46217</v>
      </c>
      <c r="P109" s="16">
        <f t="shared" si="41"/>
        <v>173.68266117162202</v>
      </c>
    </row>
    <row r="110" spans="1:18" hidden="1" outlineLevel="1" x14ac:dyDescent="0.3">
      <c r="A110" s="2" t="s">
        <v>350</v>
      </c>
      <c r="B110" s="2" t="s">
        <v>360</v>
      </c>
      <c r="C110" s="2" t="s">
        <v>361</v>
      </c>
      <c r="D110" s="2" t="s">
        <v>362</v>
      </c>
      <c r="E110" s="2" t="s">
        <v>14</v>
      </c>
      <c r="F110" s="3">
        <v>46211</v>
      </c>
      <c r="G110" s="7">
        <v>-3</v>
      </c>
      <c r="H110" s="3">
        <v>46218</v>
      </c>
      <c r="I110" s="5">
        <v>590</v>
      </c>
      <c r="J110" s="2" t="s">
        <v>15</v>
      </c>
      <c r="K110" s="2" t="s">
        <v>399</v>
      </c>
      <c r="N110" s="15"/>
      <c r="O110" s="15">
        <f t="shared" si="40"/>
        <v>46218</v>
      </c>
      <c r="P110" s="16">
        <f t="shared" si="41"/>
        <v>173.68266117162202</v>
      </c>
    </row>
    <row r="111" spans="1:18" hidden="1" outlineLevel="1" x14ac:dyDescent="0.3">
      <c r="A111" s="2" t="s">
        <v>363</v>
      </c>
      <c r="B111" s="2" t="s">
        <v>364</v>
      </c>
      <c r="C111" s="2" t="s">
        <v>365</v>
      </c>
      <c r="D111" s="2" t="s">
        <v>366</v>
      </c>
      <c r="E111" s="2" t="s">
        <v>68</v>
      </c>
      <c r="F111" s="3">
        <v>46194</v>
      </c>
      <c r="G111" s="7">
        <v>-24</v>
      </c>
      <c r="H111" s="3">
        <v>46239</v>
      </c>
      <c r="I111" s="5">
        <v>59400</v>
      </c>
      <c r="J111" s="2" t="s">
        <v>69</v>
      </c>
      <c r="K111" s="2" t="s">
        <v>403</v>
      </c>
      <c r="L111" s="15">
        <f t="shared" ref="L111:L113" si="42">F111+60</f>
        <v>46254</v>
      </c>
      <c r="M111" s="17">
        <f t="shared" ref="M111:M113" ca="1" si="43">TODAY()-N111</f>
        <v>-38</v>
      </c>
      <c r="N111" s="15">
        <v>46254</v>
      </c>
      <c r="O111" s="15">
        <v>46254</v>
      </c>
      <c r="P111" s="8">
        <f t="shared" ref="P111:P113" si="44">I111</f>
        <v>59400</v>
      </c>
      <c r="Q111" s="17">
        <f t="shared" ref="Q111:Q113" ca="1" si="45">TODAY()-F111</f>
        <v>22</v>
      </c>
      <c r="R111" t="s">
        <v>413</v>
      </c>
    </row>
    <row r="112" spans="1:18" outlineLevel="1" x14ac:dyDescent="0.3">
      <c r="A112" s="2" t="s">
        <v>363</v>
      </c>
      <c r="B112" s="2" t="s">
        <v>367</v>
      </c>
      <c r="C112" s="2" t="s">
        <v>368</v>
      </c>
      <c r="D112" s="2" t="s">
        <v>369</v>
      </c>
      <c r="E112" s="2" t="s">
        <v>64</v>
      </c>
      <c r="F112" s="3">
        <v>46141</v>
      </c>
      <c r="G112" s="4">
        <v>74</v>
      </c>
      <c r="H112" s="3">
        <v>46141</v>
      </c>
      <c r="I112" s="5">
        <v>56785</v>
      </c>
      <c r="J112" s="2" t="s">
        <v>69</v>
      </c>
      <c r="K112" s="2" t="s">
        <v>403</v>
      </c>
      <c r="L112" s="15">
        <f t="shared" si="42"/>
        <v>46201</v>
      </c>
      <c r="M112" s="17">
        <f t="shared" ca="1" si="43"/>
        <v>-2</v>
      </c>
      <c r="N112" s="15">
        <v>46218</v>
      </c>
      <c r="O112" s="15">
        <v>46227</v>
      </c>
      <c r="P112" s="8">
        <f t="shared" si="44"/>
        <v>56785</v>
      </c>
      <c r="Q112" s="17">
        <f t="shared" ca="1" si="45"/>
        <v>75</v>
      </c>
      <c r="R112" t="s">
        <v>415</v>
      </c>
    </row>
    <row r="113" spans="1:18" hidden="1" outlineLevel="1" x14ac:dyDescent="0.3">
      <c r="A113" s="2" t="s">
        <v>363</v>
      </c>
      <c r="B113" s="2" t="s">
        <v>370</v>
      </c>
      <c r="C113" s="2" t="s">
        <v>371</v>
      </c>
      <c r="D113" s="2" t="s">
        <v>372</v>
      </c>
      <c r="E113" s="2" t="s">
        <v>64</v>
      </c>
      <c r="F113" s="3">
        <v>46171</v>
      </c>
      <c r="G113" s="4">
        <v>44</v>
      </c>
      <c r="H113" s="3">
        <v>46171</v>
      </c>
      <c r="I113" s="5">
        <v>35725</v>
      </c>
      <c r="J113" s="2" t="s">
        <v>69</v>
      </c>
      <c r="K113" s="2" t="s">
        <v>403</v>
      </c>
      <c r="L113" s="15">
        <f t="shared" si="42"/>
        <v>46231</v>
      </c>
      <c r="M113" s="17">
        <f t="shared" ca="1" si="43"/>
        <v>0</v>
      </c>
      <c r="N113" s="15">
        <v>46216</v>
      </c>
      <c r="O113" s="15">
        <v>46258</v>
      </c>
      <c r="P113" s="8">
        <f t="shared" si="44"/>
        <v>35725</v>
      </c>
      <c r="Q113" s="17">
        <f t="shared" ca="1" si="45"/>
        <v>45</v>
      </c>
      <c r="R113" t="s">
        <v>413</v>
      </c>
    </row>
    <row r="114" spans="1:18" hidden="1" outlineLevel="1" x14ac:dyDescent="0.3">
      <c r="A114" s="2" t="s">
        <v>373</v>
      </c>
      <c r="B114" s="2" t="s">
        <v>374</v>
      </c>
      <c r="C114" s="2" t="s">
        <v>375</v>
      </c>
      <c r="D114" s="2" t="s">
        <v>376</v>
      </c>
      <c r="E114" s="2" t="s">
        <v>14</v>
      </c>
      <c r="F114" s="3">
        <v>46210</v>
      </c>
      <c r="G114" s="7">
        <v>-2</v>
      </c>
      <c r="H114" s="3">
        <v>46217</v>
      </c>
      <c r="I114" s="5">
        <v>665.99</v>
      </c>
      <c r="J114" s="2" t="s">
        <v>15</v>
      </c>
      <c r="K114" s="2" t="s">
        <v>399</v>
      </c>
      <c r="N114" s="15"/>
      <c r="O114" s="15">
        <f t="shared" ref="O114:O116" si="46">H114</f>
        <v>46217</v>
      </c>
      <c r="P114" s="16">
        <f t="shared" ref="P114:P116" si="47">I114/3.397</f>
        <v>196.05239917574332</v>
      </c>
    </row>
    <row r="115" spans="1:18" hidden="1" outlineLevel="1" x14ac:dyDescent="0.3">
      <c r="A115" s="2" t="s">
        <v>373</v>
      </c>
      <c r="B115" s="2" t="s">
        <v>377</v>
      </c>
      <c r="C115" s="2" t="s">
        <v>378</v>
      </c>
      <c r="D115" s="2" t="s">
        <v>379</v>
      </c>
      <c r="E115" s="2" t="s">
        <v>14</v>
      </c>
      <c r="F115" s="3">
        <v>46210</v>
      </c>
      <c r="G115" s="7">
        <v>-2</v>
      </c>
      <c r="H115" s="3">
        <v>46217</v>
      </c>
      <c r="I115" s="5">
        <v>123.9</v>
      </c>
      <c r="J115" s="2" t="s">
        <v>15</v>
      </c>
      <c r="K115" s="2" t="s">
        <v>399</v>
      </c>
      <c r="N115" s="15"/>
      <c r="O115" s="15">
        <f t="shared" si="46"/>
        <v>46217</v>
      </c>
      <c r="P115" s="16">
        <f t="shared" si="47"/>
        <v>36.473358846040625</v>
      </c>
    </row>
    <row r="116" spans="1:18" hidden="1" outlineLevel="1" x14ac:dyDescent="0.3">
      <c r="A116" s="2" t="s">
        <v>380</v>
      </c>
      <c r="B116" s="2" t="s">
        <v>381</v>
      </c>
      <c r="C116" s="2" t="s">
        <v>382</v>
      </c>
      <c r="D116" s="2" t="s">
        <v>383</v>
      </c>
      <c r="E116" s="2" t="s">
        <v>14</v>
      </c>
      <c r="F116" s="3">
        <v>46209</v>
      </c>
      <c r="G116" s="7">
        <v>-1</v>
      </c>
      <c r="H116" s="3">
        <v>46216</v>
      </c>
      <c r="I116" s="5">
        <v>396.48</v>
      </c>
      <c r="J116" s="2" t="s">
        <v>15</v>
      </c>
      <c r="K116" s="2" t="s">
        <v>399</v>
      </c>
      <c r="N116" s="15"/>
      <c r="O116" s="15">
        <f t="shared" si="46"/>
        <v>46216</v>
      </c>
      <c r="P116" s="16">
        <f t="shared" si="47"/>
        <v>116.71474830733001</v>
      </c>
    </row>
    <row r="117" spans="1:18" hidden="1" outlineLevel="1" x14ac:dyDescent="0.3">
      <c r="A117" s="2" t="s">
        <v>384</v>
      </c>
      <c r="B117" s="2" t="s">
        <v>385</v>
      </c>
      <c r="C117" s="2" t="s">
        <v>386</v>
      </c>
      <c r="D117" s="2" t="s">
        <v>387</v>
      </c>
      <c r="E117" s="2" t="s">
        <v>68</v>
      </c>
      <c r="F117" s="3">
        <v>46203</v>
      </c>
      <c r="G117" s="7">
        <v>-33</v>
      </c>
      <c r="H117" s="3">
        <v>46248</v>
      </c>
      <c r="I117" s="5">
        <v>30375</v>
      </c>
      <c r="J117" s="2" t="s">
        <v>69</v>
      </c>
      <c r="K117" s="2" t="s">
        <v>403</v>
      </c>
      <c r="L117" s="15">
        <f t="shared" ref="L117:L120" si="48">F117+60</f>
        <v>46263</v>
      </c>
      <c r="M117" s="17">
        <f t="shared" ref="M117:M120" ca="1" si="49">TODAY()-N117</f>
        <v>-47</v>
      </c>
      <c r="N117" s="15">
        <v>46263</v>
      </c>
      <c r="O117" s="15">
        <v>46263</v>
      </c>
      <c r="P117" s="8">
        <f t="shared" ref="P117:P120" si="50">I117</f>
        <v>30375</v>
      </c>
      <c r="Q117" s="17">
        <f t="shared" ref="Q117:Q120" ca="1" si="51">TODAY()-F117</f>
        <v>13</v>
      </c>
      <c r="R117" t="s">
        <v>413</v>
      </c>
    </row>
    <row r="118" spans="1:18" hidden="1" outlineLevel="1" x14ac:dyDescent="0.3">
      <c r="A118" s="2" t="s">
        <v>384</v>
      </c>
      <c r="B118" s="2" t="s">
        <v>388</v>
      </c>
      <c r="C118" s="2" t="s">
        <v>389</v>
      </c>
      <c r="D118" s="2" t="s">
        <v>390</v>
      </c>
      <c r="E118" s="2" t="s">
        <v>68</v>
      </c>
      <c r="F118" s="3">
        <v>46203</v>
      </c>
      <c r="G118" s="7">
        <v>-33</v>
      </c>
      <c r="H118" s="3">
        <v>46248</v>
      </c>
      <c r="I118" s="5">
        <v>81574.5</v>
      </c>
      <c r="J118" s="2" t="s">
        <v>69</v>
      </c>
      <c r="K118" s="2" t="s">
        <v>403</v>
      </c>
      <c r="L118" s="15">
        <f t="shared" si="48"/>
        <v>46263</v>
      </c>
      <c r="M118" s="17">
        <f t="shared" ca="1" si="49"/>
        <v>-47</v>
      </c>
      <c r="N118" s="15">
        <v>46263</v>
      </c>
      <c r="O118" s="15">
        <v>46263</v>
      </c>
      <c r="P118" s="8">
        <f t="shared" si="50"/>
        <v>81574.5</v>
      </c>
      <c r="Q118" s="17">
        <f t="shared" ca="1" si="51"/>
        <v>13</v>
      </c>
      <c r="R118" t="s">
        <v>413</v>
      </c>
    </row>
    <row r="119" spans="1:18" hidden="1" outlineLevel="1" x14ac:dyDescent="0.3">
      <c r="A119" s="2" t="s">
        <v>391</v>
      </c>
      <c r="B119" s="2" t="s">
        <v>392</v>
      </c>
      <c r="C119" s="2" t="s">
        <v>393</v>
      </c>
      <c r="D119" s="2" t="s">
        <v>394</v>
      </c>
      <c r="E119" s="2" t="s">
        <v>68</v>
      </c>
      <c r="F119" s="3">
        <v>46192</v>
      </c>
      <c r="G119" s="7">
        <v>-22</v>
      </c>
      <c r="H119" s="3">
        <v>46237</v>
      </c>
      <c r="I119" s="5">
        <v>82350</v>
      </c>
      <c r="J119" s="2" t="s">
        <v>69</v>
      </c>
      <c r="K119" s="2" t="s">
        <v>403</v>
      </c>
      <c r="L119" s="15">
        <f t="shared" si="48"/>
        <v>46252</v>
      </c>
      <c r="M119" s="17">
        <f t="shared" ca="1" si="49"/>
        <v>-36</v>
      </c>
      <c r="N119" s="15">
        <v>46252</v>
      </c>
      <c r="O119" s="15">
        <v>46252</v>
      </c>
      <c r="P119" s="8">
        <f t="shared" si="50"/>
        <v>82350</v>
      </c>
      <c r="Q119" s="17">
        <f t="shared" ca="1" si="51"/>
        <v>24</v>
      </c>
      <c r="R119" t="s">
        <v>413</v>
      </c>
    </row>
    <row r="120" spans="1:18" outlineLevel="1" x14ac:dyDescent="0.3">
      <c r="A120" s="2" t="s">
        <v>391</v>
      </c>
      <c r="B120" s="2" t="s">
        <v>395</v>
      </c>
      <c r="C120" s="2" t="s">
        <v>396</v>
      </c>
      <c r="D120" s="2" t="s">
        <v>397</v>
      </c>
      <c r="E120" s="2" t="s">
        <v>64</v>
      </c>
      <c r="F120" s="3">
        <v>46166</v>
      </c>
      <c r="G120" s="4">
        <v>49</v>
      </c>
      <c r="H120" s="3">
        <v>46166</v>
      </c>
      <c r="I120" s="5">
        <v>90691</v>
      </c>
      <c r="J120" s="2" t="s">
        <v>69</v>
      </c>
      <c r="K120" s="2" t="s">
        <v>403</v>
      </c>
      <c r="L120" s="15">
        <f t="shared" si="48"/>
        <v>46226</v>
      </c>
      <c r="M120" s="17">
        <f t="shared" ca="1" si="49"/>
        <v>5</v>
      </c>
      <c r="N120" s="15">
        <v>46211</v>
      </c>
      <c r="O120" s="15">
        <v>46223</v>
      </c>
      <c r="P120" s="8">
        <f t="shared" si="50"/>
        <v>90691</v>
      </c>
      <c r="Q120" s="17">
        <f t="shared" ca="1" si="51"/>
        <v>50</v>
      </c>
      <c r="R120" t="s">
        <v>414</v>
      </c>
    </row>
  </sheetData>
  <autoFilter ref="A1:R120" xr:uid="{00000000-0001-0000-0000-000000000000}">
    <filterColumn colId="10">
      <filters>
        <filter val="EXPORTACION"/>
      </filters>
    </filterColumn>
    <filterColumn colId="14">
      <filters>
        <dateGroupItem year="2026" month="7" day="16" dateTimeGrouping="day"/>
        <dateGroupItem year="2026" month="7" day="17" dateTimeGrouping="day"/>
        <dateGroupItem year="2026" month="7" day="20" dateTimeGrouping="day"/>
        <dateGroupItem year="2026" month="7" day="21" dateTimeGrouping="day"/>
        <dateGroupItem year="2026" month="7" day="24" dateTimeGrouping="day"/>
        <dateGroupItem year="2026" month="7" day="28" dateTimeGrouping="day"/>
        <dateGroupItem year="2026" month="7" day="31" dateTimeGrouping="day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Detalle1</vt:lpstr>
      <vt:lpstr>RESUMEN</vt:lpstr>
      <vt:lpstr>Hoja3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2026-07-13T21:39:12Z</dcterms:created>
  <dcterms:modified xsi:type="dcterms:W3CDTF">2026-07-13T22:36:49Z</dcterms:modified>
  <cp:category/>
</cp:coreProperties>
</file>