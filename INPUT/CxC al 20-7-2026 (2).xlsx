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22A02565-3038-4EDF-AC6F-A247705F65A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talle1" sheetId="6" r:id="rId1"/>
    <sheet name="RESUMEN" sheetId="3" r:id="rId2"/>
    <sheet name="Hoja2" sheetId="4" r:id="rId3"/>
    <sheet name="DÍAS" sheetId="5" r:id="rId4"/>
    <sheet name="Data" sheetId="1" r:id="rId5"/>
  </sheets>
  <definedNames>
    <definedName name="_xlnm._FilterDatabase" localSheetId="4" hidden="1">Data!$A$1:$R$156</definedName>
  </definedNames>
  <calcPr calcId="191029"/>
  <pivotCaches>
    <pivotCache cacheId="107" r:id="rId6"/>
    <pivotCache cacheId="108" r:id="rId7"/>
    <pivotCache cacheId="12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1" l="1"/>
  <c r="O29" i="1"/>
  <c r="O80" i="1"/>
  <c r="O81" i="1"/>
  <c r="O87" i="1"/>
  <c r="O123" i="1"/>
  <c r="O129" i="1"/>
  <c r="O135" i="1"/>
  <c r="O136" i="1"/>
  <c r="O140" i="1"/>
  <c r="O146" i="1"/>
  <c r="Q156" i="1"/>
  <c r="Q155" i="1"/>
  <c r="Q154" i="1"/>
  <c r="Q149" i="1"/>
  <c r="Q148" i="1"/>
  <c r="Q147" i="1"/>
  <c r="Q146" i="1"/>
  <c r="Q141" i="1"/>
  <c r="Q140" i="1"/>
  <c r="Q139" i="1"/>
  <c r="Q138" i="1"/>
  <c r="Q137" i="1"/>
  <c r="Q136" i="1"/>
  <c r="Q135" i="1"/>
  <c r="Q134" i="1"/>
  <c r="Q130" i="1"/>
  <c r="Q129" i="1"/>
  <c r="Q124" i="1"/>
  <c r="Q123" i="1"/>
  <c r="Q122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31" i="1"/>
  <c r="Q30" i="1"/>
  <c r="Q29" i="1"/>
  <c r="Q28" i="1"/>
  <c r="Q20" i="1"/>
  <c r="Q19" i="1"/>
  <c r="M156" i="1"/>
  <c r="M155" i="1"/>
  <c r="M154" i="1"/>
  <c r="M149" i="1"/>
  <c r="M148" i="1"/>
  <c r="M147" i="1"/>
  <c r="M141" i="1"/>
  <c r="M139" i="1"/>
  <c r="M138" i="1"/>
  <c r="M137" i="1"/>
  <c r="M134" i="1"/>
  <c r="M130" i="1"/>
  <c r="M122" i="1"/>
  <c r="M93" i="1"/>
  <c r="M92" i="1"/>
  <c r="M91" i="1"/>
  <c r="M90" i="1"/>
  <c r="M89" i="1"/>
  <c r="M88" i="1"/>
  <c r="M86" i="1"/>
  <c r="M85" i="1"/>
  <c r="M84" i="1"/>
  <c r="M83" i="1"/>
  <c r="M82" i="1"/>
  <c r="M31" i="1"/>
  <c r="M30" i="1"/>
  <c r="M20" i="1"/>
  <c r="M19" i="1"/>
  <c r="L156" i="1"/>
  <c r="L155" i="1"/>
  <c r="L154" i="1"/>
  <c r="L149" i="1"/>
  <c r="L148" i="1"/>
  <c r="L147" i="1"/>
  <c r="L146" i="1"/>
  <c r="L141" i="1"/>
  <c r="L140" i="1"/>
  <c r="L139" i="1"/>
  <c r="L138" i="1"/>
  <c r="L137" i="1"/>
  <c r="L136" i="1"/>
  <c r="L135" i="1"/>
  <c r="L134" i="1"/>
  <c r="L130" i="1"/>
  <c r="L129" i="1"/>
  <c r="L124" i="1"/>
  <c r="L123" i="1"/>
  <c r="L122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31" i="1"/>
  <c r="L30" i="1"/>
  <c r="L29" i="1"/>
  <c r="L28" i="1"/>
  <c r="L20" i="1"/>
  <c r="L19" i="1"/>
  <c r="P156" i="1"/>
  <c r="P155" i="1"/>
  <c r="P154" i="1"/>
  <c r="P149" i="1"/>
  <c r="P148" i="1"/>
  <c r="P147" i="1"/>
  <c r="P146" i="1"/>
  <c r="P141" i="1"/>
  <c r="P140" i="1"/>
  <c r="P139" i="1"/>
  <c r="P138" i="1"/>
  <c r="P137" i="1"/>
  <c r="P136" i="1"/>
  <c r="P135" i="1"/>
  <c r="P134" i="1"/>
  <c r="P130" i="1"/>
  <c r="P129" i="1"/>
  <c r="P124" i="1"/>
  <c r="P123" i="1"/>
  <c r="P122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31" i="1"/>
  <c r="P30" i="1"/>
  <c r="P29" i="1"/>
  <c r="P28" i="1"/>
  <c r="P20" i="1"/>
  <c r="P19" i="1"/>
  <c r="O139" i="1"/>
  <c r="O138" i="1"/>
  <c r="O137" i="1"/>
  <c r="O124" i="1"/>
  <c r="O92" i="1"/>
  <c r="O90" i="1"/>
  <c r="O88" i="1"/>
  <c r="O86" i="1"/>
  <c r="O84" i="1"/>
  <c r="O31" i="1"/>
  <c r="O30" i="1"/>
  <c r="P153" i="1"/>
  <c r="P152" i="1"/>
  <c r="P151" i="1"/>
  <c r="P150" i="1"/>
  <c r="P145" i="1"/>
  <c r="P144" i="1"/>
  <c r="P143" i="1"/>
  <c r="P142" i="1"/>
  <c r="P132" i="1"/>
  <c r="P131" i="1"/>
  <c r="P121" i="1"/>
  <c r="P120" i="1"/>
  <c r="P119" i="1"/>
  <c r="P118" i="1"/>
  <c r="P117" i="1"/>
  <c r="P116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27" i="1"/>
  <c r="P26" i="1"/>
  <c r="P25" i="1"/>
  <c r="P24" i="1"/>
  <c r="P23" i="1"/>
  <c r="P22" i="1"/>
  <c r="P21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153" i="1"/>
  <c r="O152" i="1"/>
  <c r="O151" i="1"/>
  <c r="O150" i="1"/>
  <c r="O145" i="1"/>
  <c r="O144" i="1"/>
  <c r="O143" i="1"/>
  <c r="O142" i="1"/>
  <c r="O132" i="1"/>
  <c r="O131" i="1"/>
  <c r="O121" i="1"/>
  <c r="O120" i="1"/>
  <c r="O119" i="1"/>
  <c r="O118" i="1"/>
  <c r="O117" i="1"/>
  <c r="O116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27" i="1"/>
  <c r="O26" i="1"/>
  <c r="O25" i="1"/>
  <c r="O24" i="1"/>
  <c r="O23" i="1"/>
  <c r="O22" i="1"/>
  <c r="O21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94" i="1"/>
  <c r="P133" i="1"/>
  <c r="O133" i="1"/>
  <c r="P126" i="1"/>
  <c r="P127" i="1"/>
  <c r="P128" i="1"/>
  <c r="P125" i="1"/>
  <c r="O126" i="1"/>
  <c r="O127" i="1"/>
  <c r="O128" i="1"/>
  <c r="O125" i="1"/>
</calcChain>
</file>

<file path=xl/sharedStrings.xml><?xml version="1.0" encoding="utf-8"?>
<sst xmlns="http://schemas.openxmlformats.org/spreadsheetml/2006/main" count="1374" uniqueCount="549">
  <si>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</si>
  <si>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</si>
  <si>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</si>
  <si>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</si>
  <si>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</si>
  <si>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</si>
  <si>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</si>
  <si>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</si>
  <si>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</si>
  <si>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</si>
  <si>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1000013966</t>
  </si>
  <si>
    <t>ARKANO TRADING SOCIEDAD ANONIMA CER</t>
  </si>
  <si>
    <t>1200005220</t>
  </si>
  <si>
    <t>01-0F101-0004694</t>
  </si>
  <si>
    <t>DF</t>
  </si>
  <si>
    <t>PEN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</si>
  <si>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</si>
  <si>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</si>
  <si>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</si>
  <si>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</si>
  <si>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</si>
  <si>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</si>
  <si>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</si>
  <si>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</si>
  <si>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</si>
  <si>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</si>
  <si>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</si>
  <si>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</si>
  <si>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</si>
  <si>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</si>
  <si>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</si>
  <si>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</si>
  <si>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</si>
  <si>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</si>
  <si>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</si>
  <si>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</si>
  <si>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</si>
  <si>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</si>
  <si>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</si>
  <si>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</si>
  <si>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</si>
  <si>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</si>
  <si>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</si>
  <si>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</si>
  <si>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</si>
  <si>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</si>
  <si>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</si>
  <si>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</si>
  <si>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</si>
  <si>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</si>
  <si>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</si>
  <si>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</si>
  <si>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</si>
  <si>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</si>
  <si>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</si>
  <si>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</si>
  <si>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</si>
  <si>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</si>
  <si>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</si>
  <si>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</si>
  <si>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</si>
  <si>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</si>
  <si>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</si>
  <si>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</si>
  <si>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ZV</t>
  </si>
  <si>
    <t>2000001028</t>
  </si>
  <si>
    <t>AVANCE GROUP LTD</t>
  </si>
  <si>
    <t>FT-0F002-0000353</t>
  </si>
  <si>
    <t>USD</t>
  </si>
  <si>
    <t>01-0F002-0000359</t>
  </si>
  <si>
    <t>DE</t>
  </si>
  <si>
    <t>AVANCE GROUP LTD</t>
  </si>
  <si>
    <t>1300004711</t>
  </si>
  <si>
    <t>FT-0F002-0000360</t>
  </si>
  <si>
    <t>AVANCE GROUP LTD</t>
  </si>
  <si>
    <t>1300005598</t>
  </si>
  <si>
    <t>FT-0F002-0000386</t>
  </si>
  <si>
    <t>1000013676</t>
  </si>
  <si>
    <t>CARLOS ALBERTO MARTINEZ QUEREVALU</t>
  </si>
  <si>
    <t>1200001798</t>
  </si>
  <si>
    <t>03-0B001-0004567</t>
  </si>
  <si>
    <t>DB</t>
  </si>
  <si>
    <t>CARLOS ALBERTO MARTINEZ QUEREVALU</t>
  </si>
  <si>
    <t>1200001799</t>
  </si>
  <si>
    <t>03-0B001-0004568</t>
  </si>
  <si>
    <t>CARLOS ALBERTO MARTINEZ QUEREVALU</t>
  </si>
  <si>
    <t>1200002786</t>
  </si>
  <si>
    <t>03-0B001-0004754</t>
  </si>
  <si>
    <t>CARLOS ALBERTO MARTINEZ QUEREVALU</t>
  </si>
  <si>
    <t>1200002787</t>
  </si>
  <si>
    <t>03-0B001-0004755</t>
  </si>
  <si>
    <t>SA</t>
  </si>
  <si>
    <t>1000013678</t>
  </si>
  <si>
    <t>CORPORACION NACIONAL PERU EXPORTACI</t>
  </si>
  <si>
    <t>1200003045</t>
  </si>
  <si>
    <t>01-0F101-0007358</t>
  </si>
  <si>
    <t>DZ</t>
  </si>
  <si>
    <t>1000013754</t>
  </si>
  <si>
    <t>ELMER SIXTO SOJO ACARO</t>
  </si>
  <si>
    <t>1200003301</t>
  </si>
  <si>
    <t>03-0B001-0004840</t>
  </si>
  <si>
    <t>ELMER SIXTO SOJO ACARO</t>
  </si>
  <si>
    <t>1200003302</t>
  </si>
  <si>
    <t>03-0B001-0004841</t>
  </si>
  <si>
    <t>FOOD &amp; BEVERAGES TRADERS, S.L.</t>
  </si>
  <si>
    <t>FT-0F002-0000311</t>
  </si>
  <si>
    <t>GLOBAL OCEAN FLEXTRADING, S. L</t>
  </si>
  <si>
    <t>FT-0F002-0000295</t>
  </si>
  <si>
    <t>2000001439</t>
  </si>
  <si>
    <t>GOLDEN SEAFOOD PTE. LTD.</t>
  </si>
  <si>
    <t>1300005406</t>
  </si>
  <si>
    <t>FP-253</t>
  </si>
  <si>
    <t>GOLDEN SEAFOOD PTE. LTD.</t>
  </si>
  <si>
    <t>1300007036</t>
  </si>
  <si>
    <t>FP-263´</t>
  </si>
  <si>
    <t>6002186</t>
  </si>
  <si>
    <t>INDUSTRIAL PESQUERA SANTA MONICA S.</t>
  </si>
  <si>
    <t>1200003015</t>
  </si>
  <si>
    <t>01-0F101-0007341</t>
  </si>
  <si>
    <t>INDUSTRIAL PESQUERA SANTA MONICA S.</t>
  </si>
  <si>
    <t>1200003016</t>
  </si>
  <si>
    <t>01-0F101-0007342</t>
  </si>
  <si>
    <t>1000006830</t>
  </si>
  <si>
    <t>JAHFISH E.I.R.L.</t>
  </si>
  <si>
    <t>1200003020</t>
  </si>
  <si>
    <t>01-0F101-0007338</t>
  </si>
  <si>
    <t>JAHFISH E.I.R.L.</t>
  </si>
  <si>
    <t>1200003021</t>
  </si>
  <si>
    <t>01-0F101-0007339</t>
  </si>
  <si>
    <t>JAHFISH E.I.R.L.</t>
  </si>
  <si>
    <t>1200003026</t>
  </si>
  <si>
    <t>01-0F101-0007344</t>
  </si>
  <si>
    <t>JAHFISH E.I.R.L.</t>
  </si>
  <si>
    <t>1200003027</t>
  </si>
  <si>
    <t>01-0F101-0007345</t>
  </si>
  <si>
    <t>JAHFISH E.I.R.L.</t>
  </si>
  <si>
    <t>1200003040</t>
  </si>
  <si>
    <t>01-0F101-0007354</t>
  </si>
  <si>
    <t>JAHFISH E.I.R.L.</t>
  </si>
  <si>
    <t>1200003041</t>
  </si>
  <si>
    <t>01-0F101-0007355</t>
  </si>
  <si>
    <t>JAHFISH E.I.R.L.</t>
  </si>
  <si>
    <t>1200003042</t>
  </si>
  <si>
    <t>01-0F101-0007356</t>
  </si>
  <si>
    <t>JAHFISH E.I.R.L.</t>
  </si>
  <si>
    <t>1200003043</t>
  </si>
  <si>
    <t>01-0F101-0007357</t>
  </si>
  <si>
    <t>JAHFISH E.I.R.L.</t>
  </si>
  <si>
    <t>1200003046</t>
  </si>
  <si>
    <t>01-0F101-0007359</t>
  </si>
  <si>
    <t>JAHFISH E.I.R.L.</t>
  </si>
  <si>
    <t>1200003047</t>
  </si>
  <si>
    <t>01-0F101-0007360</t>
  </si>
  <si>
    <t>JAHFISH E.I.R.L.</t>
  </si>
  <si>
    <t>1200003065</t>
  </si>
  <si>
    <t>01-0F101-0007375</t>
  </si>
  <si>
    <t>JAHFISH E.I.R.L.</t>
  </si>
  <si>
    <t>1200003066</t>
  </si>
  <si>
    <t>01-0F101-0007376</t>
  </si>
  <si>
    <t>JAHFISH E.I.R.L.</t>
  </si>
  <si>
    <t>1200003086</t>
  </si>
  <si>
    <t>01-0F101-0007396</t>
  </si>
  <si>
    <t>JAHFISH E.I.R.L.</t>
  </si>
  <si>
    <t>1200003087</t>
  </si>
  <si>
    <t>01-0F101-0007397</t>
  </si>
  <si>
    <t>JAHFISH E.I.R.L.</t>
  </si>
  <si>
    <t>1200003101</t>
  </si>
  <si>
    <t>01-0F101-0007408</t>
  </si>
  <si>
    <t>JAHFISH E.I.R.L.</t>
  </si>
  <si>
    <t>1200003102</t>
  </si>
  <si>
    <t>01-0F101-0007409</t>
  </si>
  <si>
    <t>JAHFISH E.I.R.L.</t>
  </si>
  <si>
    <t>1200003105</t>
  </si>
  <si>
    <t>01-0F101-0007412</t>
  </si>
  <si>
    <t>JAHFISH E.I.R.L.</t>
  </si>
  <si>
    <t>1200003106</t>
  </si>
  <si>
    <t>01-0F101-0007413</t>
  </si>
  <si>
    <t>JAHFISH E.I.R.L.</t>
  </si>
  <si>
    <t>1200003126</t>
  </si>
  <si>
    <t>01-0F101-0007431</t>
  </si>
  <si>
    <t>JAHFISH E.I.R.L.</t>
  </si>
  <si>
    <t>1200003127</t>
  </si>
  <si>
    <t>01-0F101-0007432</t>
  </si>
  <si>
    <t>JAHFISH E.I.R.L.</t>
  </si>
  <si>
    <t>1200003135</t>
  </si>
  <si>
    <t>01-0F101-0007438</t>
  </si>
  <si>
    <t>JAHFISH E.I.R.L.</t>
  </si>
  <si>
    <t>1200003136</t>
  </si>
  <si>
    <t>01-0F101-0007439</t>
  </si>
  <si>
    <t>JAHFISH E.I.R.L.</t>
  </si>
  <si>
    <t>1200003141</t>
  </si>
  <si>
    <t>01-0F101-0007440</t>
  </si>
  <si>
    <t>JAHFISH E.I.R.L.</t>
  </si>
  <si>
    <t>1200003142</t>
  </si>
  <si>
    <t>01-0F101-0007441</t>
  </si>
  <si>
    <t>JAHFISH E.I.R.L.</t>
  </si>
  <si>
    <t>1200003165</t>
  </si>
  <si>
    <t>01-0F101-0007460</t>
  </si>
  <si>
    <t>JAHFISH E.I.R.L.</t>
  </si>
  <si>
    <t>1200003166</t>
  </si>
  <si>
    <t>01-0F101-0007461</t>
  </si>
  <si>
    <t>JAHFISH E.I.R.L.</t>
  </si>
  <si>
    <t>1200003181</t>
  </si>
  <si>
    <t>01-0F101-0007472</t>
  </si>
  <si>
    <t>JAHFISH E.I.R.L.</t>
  </si>
  <si>
    <t>1200003182</t>
  </si>
  <si>
    <t>01-0F101-0007473</t>
  </si>
  <si>
    <t>JAHFISH E.I.R.L.</t>
  </si>
  <si>
    <t>1200003204</t>
  </si>
  <si>
    <t>01-0F101-0007491</t>
  </si>
  <si>
    <t>JAHFISH E.I.R.L.</t>
  </si>
  <si>
    <t>1200003205</t>
  </si>
  <si>
    <t>01-0F101-0007492</t>
  </si>
  <si>
    <t>JAHFISH E.I.R.L.</t>
  </si>
  <si>
    <t>1200003206</t>
  </si>
  <si>
    <t>01-0F101-0007493</t>
  </si>
  <si>
    <t>JAHFISH E.I.R.L.</t>
  </si>
  <si>
    <t>1200003207</t>
  </si>
  <si>
    <t>01-0F101-0007494</t>
  </si>
  <si>
    <t>JAHFISH E.I.R.L.</t>
  </si>
  <si>
    <t>1200003228</t>
  </si>
  <si>
    <t>01-0F101-0007512</t>
  </si>
  <si>
    <t>JAHFISH E.I.R.L.</t>
  </si>
  <si>
    <t>1200003229</t>
  </si>
  <si>
    <t>01-0F101-0007513</t>
  </si>
  <si>
    <t>JAHFISH E.I.R.L.</t>
  </si>
  <si>
    <t>1200003236</t>
  </si>
  <si>
    <t>01-0F101-0007520</t>
  </si>
  <si>
    <t>JAHFISH E.I.R.L.</t>
  </si>
  <si>
    <t>1200003237</t>
  </si>
  <si>
    <t>01-0F101-0007521</t>
  </si>
  <si>
    <t>JAHFISH E.I.R.L.</t>
  </si>
  <si>
    <t>1200003254</t>
  </si>
  <si>
    <t>01-0F101-0007534</t>
  </si>
  <si>
    <t>JAHFISH E.I.R.L.</t>
  </si>
  <si>
    <t>1200003255</t>
  </si>
  <si>
    <t>01-0F101-0007535</t>
  </si>
  <si>
    <t>JAHFISH E.I.R.L.</t>
  </si>
  <si>
    <t>1200003257</t>
  </si>
  <si>
    <t>01-0F101-0007536</t>
  </si>
  <si>
    <t>JAHFISH E.I.R.L.</t>
  </si>
  <si>
    <t>1200003258</t>
  </si>
  <si>
    <t>01-0F101-0007537</t>
  </si>
  <si>
    <t>JAHFISH E.I.R.L.</t>
  </si>
  <si>
    <t>1200003276</t>
  </si>
  <si>
    <t>01-0F101-0007554</t>
  </si>
  <si>
    <t>JAHFISH E.I.R.L.</t>
  </si>
  <si>
    <t>1200003277</t>
  </si>
  <si>
    <t>01-0F101-0007555</t>
  </si>
  <si>
    <t>JAHFISH E.I.R.L.</t>
  </si>
  <si>
    <t>1200003284</t>
  </si>
  <si>
    <t>01-0F101-0007562</t>
  </si>
  <si>
    <t>JAHFISH E.I.R.L.</t>
  </si>
  <si>
    <t>1200003285</t>
  </si>
  <si>
    <t>01-0F101-0007563</t>
  </si>
  <si>
    <t>JAHFISH E.I.R.L.</t>
  </si>
  <si>
    <t>1200003286</t>
  </si>
  <si>
    <t>01-0F101-0007564</t>
  </si>
  <si>
    <t>JAHFISH E.I.R.L.</t>
  </si>
  <si>
    <t>1200003287</t>
  </si>
  <si>
    <t>01-0F101-0007565</t>
  </si>
  <si>
    <t>JAHFISH E.I.R.L.</t>
  </si>
  <si>
    <t>1200003289</t>
  </si>
  <si>
    <t>01-0F101-0007567</t>
  </si>
  <si>
    <t>JAHFISH E.I.R.L.</t>
  </si>
  <si>
    <t>1200003290</t>
  </si>
  <si>
    <t>01-0F101-0007568</t>
  </si>
  <si>
    <t>2000001459</t>
  </si>
  <si>
    <t>KS FROZEN COMPANY LIMITED</t>
  </si>
  <si>
    <t>1300004230</t>
  </si>
  <si>
    <t>ANTICIPO FP242</t>
  </si>
  <si>
    <t>2000001172</t>
  </si>
  <si>
    <t>KULALIA SL</t>
  </si>
  <si>
    <t>1300004844</t>
  </si>
  <si>
    <t>ANTICIPO FP-248</t>
  </si>
  <si>
    <t>KULALIA SL</t>
  </si>
  <si>
    <t>1300007034</t>
  </si>
  <si>
    <t>FT-0F002-0000374</t>
  </si>
  <si>
    <t>KULALIA SL</t>
  </si>
  <si>
    <t>1300007035</t>
  </si>
  <si>
    <t>FT-0F002-0000375</t>
  </si>
  <si>
    <t>2000000231</t>
  </si>
  <si>
    <t>LONGKOU JIABAO AQUATIC FOODSTUFFS</t>
  </si>
  <si>
    <t>1200002635</t>
  </si>
  <si>
    <t>01-0F002-0000371</t>
  </si>
  <si>
    <t>LONGKOU JIABAO AQUATIC FOODSTUFFS</t>
  </si>
  <si>
    <t>1200002880</t>
  </si>
  <si>
    <t>01-0F002-0000378</t>
  </si>
  <si>
    <t>LONGKOU JIABAO AQUATIC FOODSTUFFS</t>
  </si>
  <si>
    <t>1200002882</t>
  </si>
  <si>
    <t>01-0F002-0000379</t>
  </si>
  <si>
    <t>2000000233</t>
  </si>
  <si>
    <t>LONGKOU SANMING AQUATIC</t>
  </si>
  <si>
    <t>1300004855</t>
  </si>
  <si>
    <t>ANTICIPO FP-249</t>
  </si>
  <si>
    <t>LONGKOU SANMING AQUATIC</t>
  </si>
  <si>
    <t>1200002541</t>
  </si>
  <si>
    <t>01-0F002-0000367</t>
  </si>
  <si>
    <t>LONGKOU SANMING AQUATIC</t>
  </si>
  <si>
    <t>1300005331</t>
  </si>
  <si>
    <t>FT-0F002-0000377</t>
  </si>
  <si>
    <t>LONGKOU SANMING AQUATIC</t>
  </si>
  <si>
    <t>1200002904</t>
  </si>
  <si>
    <t>01-0F002-0000382</t>
  </si>
  <si>
    <t>LONGKOU SANMING AQUATIC</t>
  </si>
  <si>
    <t>1200002931</t>
  </si>
  <si>
    <t>01-0F002-0000384</t>
  </si>
  <si>
    <t>LONGKOU SANMING AQUATIC</t>
  </si>
  <si>
    <t>1200002938</t>
  </si>
  <si>
    <t>01-0F002-0000385</t>
  </si>
  <si>
    <t>2000001409</t>
  </si>
  <si>
    <t>Longkou Yunfeng Aquatic Food Co.,Lt</t>
  </si>
  <si>
    <t>1300005409</t>
  </si>
  <si>
    <t>FT-0F002-0000356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</si>
  <si>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</si>
  <si>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</si>
  <si>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</si>
  <si>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</si>
  <si>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</si>
  <si>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</si>
  <si>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</si>
  <si>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</si>
  <si>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</si>
  <si>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</si>
  <si>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</si>
  <si>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</si>
  <si>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</si>
  <si>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</si>
  <si>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</si>
  <si>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</si>
  <si>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</si>
  <si>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</si>
  <si>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</si>
  <si>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</si>
  <si>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</si>
  <si>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</si>
  <si>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</si>
  <si>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</si>
  <si>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</si>
  <si>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NAVAPEZ E.I.R.L.</t>
  </si>
  <si>
    <t>1200001609</t>
  </si>
  <si>
    <t>01-0F101-0006311</t>
  </si>
  <si>
    <t>NAVAPEZ E.I.R.L.</t>
  </si>
  <si>
    <t>1200001610</t>
  </si>
  <si>
    <t>01-0F101-0006312</t>
  </si>
  <si>
    <t>NAVAPEZ E.I.R.L.</t>
  </si>
  <si>
    <t>1200001789</t>
  </si>
  <si>
    <t>01-0F101-0006447</t>
  </si>
  <si>
    <t>NAVAPEZ E.I.R.L.</t>
  </si>
  <si>
    <t>1200001790</t>
  </si>
  <si>
    <t>01-0F101-0006448</t>
  </si>
  <si>
    <t>NAVAPEZ E.I.R.L.</t>
  </si>
  <si>
    <t>1200002045</t>
  </si>
  <si>
    <t>01-0F101-0006626</t>
  </si>
  <si>
    <t>NAVAPEZ E.I.R.L.</t>
  </si>
  <si>
    <t>1200002046</t>
  </si>
  <si>
    <t>01-0F101-0006627</t>
  </si>
  <si>
    <t>NAVAPEZ E.I.R.L.</t>
  </si>
  <si>
    <t>1200002186</t>
  </si>
  <si>
    <t>01-0F101-0006716</t>
  </si>
  <si>
    <t>NAVAPEZ E.I.R.L.</t>
  </si>
  <si>
    <t>1200002187</t>
  </si>
  <si>
    <t>01-0F101-0006717</t>
  </si>
  <si>
    <t>NAVAPEZ E.I.R.L.</t>
  </si>
  <si>
    <t>1200002487</t>
  </si>
  <si>
    <t>01-0F101-0006948</t>
  </si>
  <si>
    <t>NAVAPEZ E.I.R.L.</t>
  </si>
  <si>
    <t>1200002488</t>
  </si>
  <si>
    <t>01-0F101-0006949</t>
  </si>
  <si>
    <t>NAVAPEZ E.I.R.L.</t>
  </si>
  <si>
    <t>1200002956</t>
  </si>
  <si>
    <t>01-0F101-0007286</t>
  </si>
  <si>
    <t>NAVAPEZ E.I.R.L.</t>
  </si>
  <si>
    <t>1200002957</t>
  </si>
  <si>
    <t>01-0F101-0007287</t>
  </si>
  <si>
    <t>NAVAPEZ E.I.R.L.</t>
  </si>
  <si>
    <t>1200003319</t>
  </si>
  <si>
    <t>01-0F101-0007590</t>
  </si>
  <si>
    <t>NAVAPEZ E.I.R.L.</t>
  </si>
  <si>
    <t>1200003320</t>
  </si>
  <si>
    <t>01-0F101-0007591</t>
  </si>
  <si>
    <t>6001105</t>
  </si>
  <si>
    <t>NEGOCIOS PESQUEROS AARON EIRL</t>
  </si>
  <si>
    <t>1200001300</t>
  </si>
  <si>
    <t>01-0F101-0006073</t>
  </si>
  <si>
    <t>NEGOCIOS PESQUEROS AARON EIRL</t>
  </si>
  <si>
    <t>1200001301</t>
  </si>
  <si>
    <t>01-0F101-0006074</t>
  </si>
  <si>
    <t>NEGOCIOS PESQUEROS AARON EIRL</t>
  </si>
  <si>
    <t>1200001302</t>
  </si>
  <si>
    <t>01-0F101-0006075</t>
  </si>
  <si>
    <t>NEGOCIOS PESQUEROS AARON EIRL</t>
  </si>
  <si>
    <t>1300004037</t>
  </si>
  <si>
    <t>FT-0F101-0006072</t>
  </si>
  <si>
    <t>NEGOCIOS PESQUEROS AARON EIRL</t>
  </si>
  <si>
    <t>1200001648</t>
  </si>
  <si>
    <t>01-0F101-0006336</t>
  </si>
  <si>
    <t>NEGOCIOS PESQUEROS AARON EIRL</t>
  </si>
  <si>
    <t>1200001649</t>
  </si>
  <si>
    <t>01-0F101-0006337</t>
  </si>
  <si>
    <t>2000001443</t>
  </si>
  <si>
    <t>NINGBO JUN TAO IMPORT AND</t>
  </si>
  <si>
    <t>1300004715</t>
  </si>
  <si>
    <t>FT-0F002-0000355</t>
  </si>
  <si>
    <t>OCEANUS FISH S.L.</t>
  </si>
  <si>
    <t>FT-0F002-0000309</t>
  </si>
  <si>
    <t>2000001468</t>
  </si>
  <si>
    <t>OPTIMIZE INTEGRATION GROUP INC</t>
  </si>
  <si>
    <t>1300004843</t>
  </si>
  <si>
    <t>ANTICIPO FP-247</t>
  </si>
  <si>
    <t>OPTIMIZE INTEGRATION GROUP INC</t>
  </si>
  <si>
    <t>1200003263</t>
  </si>
  <si>
    <t>01-0F002-0000387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</si>
  <si>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</si>
  <si>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</si>
  <si>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</si>
  <si>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</si>
  <si>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</si>
  <si>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</si>
  <si>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</si>
  <si>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</si>
  <si>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</si>
  <si>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</si>
  <si>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</si>
  <si>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</si>
  <si>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</si>
  <si>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2000001380</t>
  </si>
  <si>
    <t>PELAGICS INTERNATIONAL CORP SAS</t>
  </si>
  <si>
    <t>1300004799</t>
  </si>
  <si>
    <t>ANTICIPO FP-243</t>
  </si>
  <si>
    <t>PELAGICS INTERNATIONAL CORP SAS</t>
  </si>
  <si>
    <t>1200002542</t>
  </si>
  <si>
    <t>01-0F002-0000368</t>
  </si>
  <si>
    <t>1000015185</t>
  </si>
  <si>
    <t>PESCACORD PERU SOCIEDAD ANONIMA CER</t>
  </si>
  <si>
    <t>1200003282</t>
  </si>
  <si>
    <t>01-0F101-0007560</t>
  </si>
  <si>
    <t>PESCACORD PERU SOCIEDAD ANONIMA CER</t>
  </si>
  <si>
    <t>1200003283</t>
  </si>
  <si>
    <t>01-0F101-0007561</t>
  </si>
  <si>
    <t>6000434</t>
  </si>
  <si>
    <t>PESQUERA HAYDUK S.A.</t>
  </si>
  <si>
    <t>1200004540</t>
  </si>
  <si>
    <t>01-0F003-0000083</t>
  </si>
  <si>
    <t>2000001438</t>
  </si>
  <si>
    <t>Qingdao Haiyujia International Trad</t>
  </si>
  <si>
    <t>1300007039</t>
  </si>
  <si>
    <t>FT-0F002-0000332</t>
  </si>
  <si>
    <t>2000001382</t>
  </si>
  <si>
    <t>QINGDAO OCEAN FISHERY COMPANY LIMIT</t>
  </si>
  <si>
    <t>1300005603</t>
  </si>
  <si>
    <t>FP-255</t>
  </si>
  <si>
    <t>QINGDAO OCEAN FISHERY COMPANY LIMIT</t>
  </si>
  <si>
    <t>1300007032</t>
  </si>
  <si>
    <t>FP-261</t>
  </si>
  <si>
    <t>1000015392</t>
  </si>
  <si>
    <t>SEBGUSTA FISH S.R.L.</t>
  </si>
  <si>
    <t>1100021551</t>
  </si>
  <si>
    <t>GARANTIA</t>
  </si>
  <si>
    <t>SEBGUSTA FISH S.R.L.</t>
  </si>
  <si>
    <t>1100021550</t>
  </si>
  <si>
    <t>SEBGUSTA FISH S.R.L.</t>
  </si>
  <si>
    <t>1100021552</t>
  </si>
  <si>
    <t>2000001460</t>
  </si>
  <si>
    <t>SERENE OCEAN TRADING LIMITED</t>
  </si>
  <si>
    <t>1300004801</t>
  </si>
  <si>
    <t>ANTICIPO FP-246</t>
  </si>
  <si>
    <t>SERENE OCEAN TRADING LIMITED</t>
  </si>
  <si>
    <t>1200002674</t>
  </si>
  <si>
    <t>01-0F002-0000373</t>
  </si>
  <si>
    <t>1000001965</t>
  </si>
  <si>
    <t>SERVICIOS DIESEL EXPRESS E.I.R.L.</t>
  </si>
  <si>
    <t>1200003073</t>
  </si>
  <si>
    <t>01-0F101-0007383</t>
  </si>
  <si>
    <t>SERVICIOS DIESEL EXPRESS E.I.R.L.</t>
  </si>
  <si>
    <t>1200003103</t>
  </si>
  <si>
    <t>01-0F101-0007410</t>
  </si>
  <si>
    <t>SERVICIOS DIESEL EXPRESS E.I.R.L.</t>
  </si>
  <si>
    <t>1200003167</t>
  </si>
  <si>
    <t>01-0F101-0007462</t>
  </si>
  <si>
    <t>SERVICIOS DIESEL EXPRESS E.I.R.L.</t>
  </si>
  <si>
    <t>1200003261</t>
  </si>
  <si>
    <t>01-0F101-0007540</t>
  </si>
  <si>
    <t>2000000974</t>
  </si>
  <si>
    <t>SHANDONG LONGKOU XINLONG</t>
  </si>
  <si>
    <t>1300007031</t>
  </si>
  <si>
    <t>FP-258</t>
  </si>
  <si>
    <t>2000001440</t>
  </si>
  <si>
    <t>Shenzhen Yueshi Supply Chain</t>
  </si>
  <si>
    <t>1300002671</t>
  </si>
  <si>
    <t>FT-0F002-0000321</t>
  </si>
  <si>
    <t>Shenzhen Yueshi Supply Chain</t>
  </si>
  <si>
    <t>1300004716</t>
  </si>
  <si>
    <t>FT-0F002-0000361</t>
  </si>
  <si>
    <t>Shenzhen Yueshi Supply Chain</t>
  </si>
  <si>
    <t>1200002673</t>
  </si>
  <si>
    <t>01-0F002-0000372</t>
  </si>
  <si>
    <t>1000013801</t>
  </si>
  <si>
    <t>STL 5.0 S.A.C.</t>
  </si>
  <si>
    <t>1200003113</t>
  </si>
  <si>
    <t>01-0F101-0007420</t>
  </si>
  <si>
    <t>STL 5.0 S.A.C.</t>
  </si>
  <si>
    <t>1200003114</t>
  </si>
  <si>
    <t>01-0F101-0007421</t>
  </si>
  <si>
    <t>1000013686</t>
  </si>
  <si>
    <t>TRANSPORTES O Y G S.A.C.</t>
  </si>
  <si>
    <t>1200003104</t>
  </si>
  <si>
    <t>01-0F101-0007411</t>
  </si>
  <si>
    <t>TRANSPORTES O Y G S.A.C.</t>
  </si>
  <si>
    <t>1200003134</t>
  </si>
  <si>
    <t>01-0F101-0007437</t>
  </si>
  <si>
    <t>2000000786</t>
  </si>
  <si>
    <t>TSUJINO &amp; CO., LTD</t>
  </si>
  <si>
    <t>TSUJINO &amp; CO., LTD</t>
  </si>
  <si>
    <t>1200002885</t>
  </si>
  <si>
    <t>01-0F002-0000381</t>
  </si>
  <si>
    <t>TSUJINO &amp; CO., LTD</t>
  </si>
  <si>
    <t>1200002930</t>
  </si>
  <si>
    <t>01-0F002-0000383</t>
  </si>
  <si>
    <t>2000001444</t>
  </si>
  <si>
    <t>YANTAI HONGCHANG IMPORT AND EXPORT</t>
  </si>
  <si>
    <t>1300007042</t>
  </si>
  <si>
    <t>FT-0F002-0000370</t>
  </si>
  <si>
    <t>UNIDAD DE NEGOCIO</t>
  </si>
  <si>
    <t xml:space="preserve">NACIONAL </t>
  </si>
  <si>
    <t>RODRIGO</t>
  </si>
  <si>
    <t>CISTERNA COMBIUSTIBLE</t>
  </si>
  <si>
    <t>OTROS</t>
  </si>
  <si>
    <t xml:space="preserve">EXPORTACIÓN </t>
  </si>
  <si>
    <t>Etiquetas de columna</t>
  </si>
  <si>
    <t>Etiquetas de fila</t>
  </si>
  <si>
    <t>Total general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</si>
  <si>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</si>
  <si>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</si>
  <si>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</si>
  <si>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</si>
  <si>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</si>
  <si>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</si>
  <si>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</si>
  <si>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</si>
  <si>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46-60</t>
  </si>
  <si>
    <t>61-90</t>
  </si>
  <si>
    <t>91 A MÁS</t>
  </si>
  <si>
    <t>Suma de USD HOMOL</t>
  </si>
  <si>
    <t>(Todas)</t>
  </si>
  <si>
    <t>(Varios elementos)</t>
  </si>
  <si>
    <t>Suma de DÍAS ATRASADOS</t>
  </si>
  <si>
    <t>Cuenta de DÍAS VENCIDOS</t>
  </si>
  <si>
    <t>Detalles para Suma de USD HOMOL - Vcto finanzas: 8/10/2026, Clase de documento: DB, UNIDAD DE NEGOCIO: EXPORTACIÓN 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</si>
</sst>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</cellStyleXfs>
  <cellXfs count="2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3" fontId="0" fillId="0" borderId="0" xfId="1" applyFont="1" applyAlignment="1">
      <alignment vertical="top"/>
    </xf>
    <xf numFmtId="4" fontId="0" fillId="0" borderId="0" xfId="0" applyNumberFormat="1" applyAlignment="1">
      <alignment vertical="top"/>
    </xf>
    <xf numFmtId="0" fontId="4" fillId="3" borderId="0" xfId="2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2" applyFont="1" applyFill="1" applyAlignment="1">
      <alignment vertical="top" wrapText="1"/>
    </xf>
    <xf numFmtId="0" fontId="4" fillId="5" borderId="0" xfId="2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"/>
    </xf>
    <xf numFmtId="43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4" fontId="0" fillId="5" borderId="0" xfId="0" applyNumberFormat="1" applyFill="1" applyAlignment="1">
      <alignment vertical="top"/>
    </xf>
    <xf numFmtId="0" fontId="5" fillId="0" borderId="0" xfId="0" applyFont="1" applyAlignment="1">
      <alignment vertical="top"/>
    </xf>
  </cellXfs>
  <cellStyles count="4">
    <cellStyle name="Millares" xfId="1" builtinId="3"/>
    <cellStyle name="Millares 2" xfId="3" xr:uid="{99EAC3F9-6C79-4D08-AFA5-412C2FD42CC2}"/>
    <cellStyle name="Normal" xfId="0" builtinId="0"/>
    <cellStyle name="Normal 2" xfId="2" xr:uid="{9F59857B-E586-4D5B-BE3F-514865AC42E4}"/>
  </cellStyles>
  <dxfs count="16">
    <dxf>
      <numFmt numFmtId="164" formatCode="_-* #,##0_-;\-* #,##0_-;_-* &quot;-&quot;??_-;_-@_-"/>
    </dxf>
    <dxf>
      <fill>
        <patternFill patternType="solid">
          <bgColor rgb="FFFFFF00"/>
        </patternFill>
      </fill>
    </dxf>
    <dxf>
      <numFmt numFmtId="164" formatCode="_-* #,##0_-;\-* #,##0_-;_-* &quot;-&quot;??_-;_-@_-"/>
    </dxf>
    <dxf>
      <fill>
        <patternFill patternType="solid">
          <bgColor rgb="FFFFFF00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9" formatCode="d/mm/yyyy"/>
      <alignment horizontal="general" vertical="top" textRotation="0" wrapText="0" indent="0" justifyLastLine="0" shrinkToFit="0" readingOrder="0"/>
    </dxf>
    <dxf>
      <numFmt numFmtId="19" formatCode="d/mm/yyyy"/>
      <alignment horizontal="general" vertical="top" textRotation="0" wrapText="0" indent="0" justifyLastLine="0" shrinkToFit="0" readingOrder="0"/>
    </dxf>
    <dxf>
      <numFmt numFmtId="19" formatCode="d/mm/yyyy"/>
      <alignment horizontal="general" vertical="top" textRotation="0" wrapText="0" indent="0" justifyLastLine="0" shrinkToFit="0" readingOrder="0"/>
    </dxf>
    <dxf>
      <numFmt numFmtId="19" formatCode="d/mm/yyyy"/>
      <alignment horizontal="general" vertical="top" textRotation="0" wrapText="0" indent="0" justifyLastLine="0" shrinkToFit="0" readingOrder="0"/>
    </dxf>
    <dxf>
      <numFmt numFmtId="19" formatCode="d/mm/yyyy"/>
      <alignment horizontal="general" vertical="top" textRotation="0" wrapText="0" indent="0" justifyLastLine="0" shrinkToFit="0" readingOrder="0"/>
    </dxf>
    <dxf>
      <fill>
        <patternFill patternType="solid">
          <bgColor rgb="FFFFFF00"/>
        </patternFill>
      </fill>
    </dxf>
    <dxf>
      <numFmt numFmtId="164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23.754010069446" createdVersion="8" refreshedVersion="8" minRefreshableVersion="3" recordCount="160" xr:uid="{ED986E71-4AEE-49A7-9E78-8D3640DB14A6}">
  <cacheSource type="worksheet">
    <worksheetSource ref="A1:R156" sheet="Data"/>
  </cacheSource>
  <cacheFields count="18">
    <cacheField name="Cliente" numFmtId="0">
      <sharedItems/>
    </cacheField>
    <cacheField name="Nombre de cliente" numFmtId="0">
      <sharedItems count="35">
        <s v="ARKANO TRADING SOCIEDAD ANONIMA CER"/>
        <s v="AVANCE GROUP LTD"/>
        <s v="CARLOS ALBERTO MARTINEZ QUEREVALU"/>
        <s v="CORPORACION NACIONAL PERU EXPORTACI"/>
        <s v="ELMER SIXTO SOJO ACARO"/>
        <s v="FOOD &amp; BEVERAGES TRADERS, S.L."/>
        <s v="GLOBAL OCEAN FLEXTRADING, S. L"/>
        <s v="GOLDEN SEAFOOD PTE. LTD."/>
        <s v="INDUSTRIAL PESQUERA SANTA MONICA S."/>
        <s v="JAHFISH E.I.R.L."/>
        <s v="KS FROZEN COMPANY LIMITED"/>
        <s v="KULALIA SL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OPTIMIZE INTEGRATION GROUP INC"/>
        <s v="PEGASUS ENTERPRISE S.A.C."/>
        <s v="PELAGICS INTERNATIONAL CORP SAS"/>
        <s v="PESCACORD PERU SOCIEDAD ANONIMA CER"/>
        <s v="PESQUERA HAYDUK S.A."/>
        <s v="Qingdao Haiyujia International Trad"/>
        <s v="QINGDAO OCEAN FISHERY COMPANY LIMIT"/>
        <s v="SEBGUSTA FISH S.R.L."/>
        <s v="SERENE OCEAN TRADING LIMITED"/>
        <s v="SERVICIOS DIESEL EXPRESS E.I.R.L."/>
        <s v="SHANDONG LONGKOU XINLONG"/>
        <s v="Shenzhen Yueshi Supply Chain"/>
        <s v="STL 5.0 S.A.C."/>
        <s v="TRANSPORTES O Y G S.A.C."/>
        <s v="TSUJINO &amp; CO., LTD"/>
        <s v="YANTAI HONGCHANG IMPORT AND EXPORT"/>
      </sharedItems>
    </cacheField>
    <cacheField name="Nº documento" numFmtId="0">
      <sharedItems/>
    </cacheField>
    <cacheField name="Referencia" numFmtId="0">
      <sharedItems count="158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53"/>
        <s v="01-0F002-0000359"/>
        <s v="FT-0F002-0000360"/>
        <s v="FT-0F002-0000386"/>
        <s v="03-0B001-0004567"/>
        <s v="03-0B001-0004568"/>
        <s v="03-0B001-0004754"/>
        <s v="03-0B001-0004755"/>
        <s v="01-0F101-0007358"/>
        <s v="03-0B001-0004840"/>
        <s v="03-0B001-0004841"/>
        <s v="FT-0F002-0000311"/>
        <s v="FT-0F002-0000295"/>
        <s v="FP-253"/>
        <s v="FP-263´"/>
        <s v="01-0F101-0007341"/>
        <s v="01-0F101-0007342"/>
        <s v="01-0F101-0007338"/>
        <s v="01-0F101-0007339"/>
        <s v="01-0F101-0007344"/>
        <s v="01-0F101-0007345"/>
        <s v="01-0F101-0007354"/>
        <s v="01-0F101-0007355"/>
        <s v="01-0F101-0007356"/>
        <s v="01-0F101-0007357"/>
        <s v="01-0F101-0007359"/>
        <s v="01-0F101-0007360"/>
        <s v="01-0F101-0007375"/>
        <s v="01-0F101-0007376"/>
        <s v="01-0F101-0007396"/>
        <s v="01-0F101-0007397"/>
        <s v="01-0F101-0007408"/>
        <s v="01-0F101-0007409"/>
        <s v="01-0F101-0007412"/>
        <s v="01-0F101-0007413"/>
        <s v="01-0F101-0007431"/>
        <s v="01-0F101-0007432"/>
        <s v="01-0F101-0007438"/>
        <s v="01-0F101-0007439"/>
        <s v="01-0F101-0007440"/>
        <s v="01-0F101-0007441"/>
        <s v="01-0F101-0007460"/>
        <s v="01-0F101-0007461"/>
        <s v="01-0F101-0007472"/>
        <s v="01-0F101-0007473"/>
        <s v="01-0F101-0007491"/>
        <s v="01-0F101-0007492"/>
        <s v="01-0F101-0007493"/>
        <s v="01-0F101-0007494"/>
        <s v="01-0F101-0007512"/>
        <s v="01-0F101-0007513"/>
        <s v="01-0F101-0007520"/>
        <s v="01-0F101-0007521"/>
        <s v="01-0F101-0007534"/>
        <s v="01-0F101-0007535"/>
        <s v="01-0F101-0007536"/>
        <s v="01-0F101-0007537"/>
        <s v="01-0F101-0007554"/>
        <s v="01-0F101-0007555"/>
        <s v="01-0F101-0007562"/>
        <s v="01-0F101-0007563"/>
        <s v="01-0F101-0007564"/>
        <s v="01-0F101-0007565"/>
        <s v="01-0F101-0007567"/>
        <s v="01-0F101-0007568"/>
        <s v="ANTICIPO FP242"/>
        <s v="ANTICIPO FP-248"/>
        <s v="FT-0F002-0000374"/>
        <s v="FT-0F002-0000375"/>
        <s v="01-0F002-0000371"/>
        <s v="01-0F002-0000378"/>
        <s v="01-0F002-0000379"/>
        <s v="ANTICIPO FP-249"/>
        <s v="01-0F002-0000367"/>
        <s v="FT-0F002-0000377"/>
        <s v="01-0F002-0000382"/>
        <s v="01-0F002-0000384"/>
        <s v="01-0F002-0000385"/>
        <s v="FT-0F002-0000356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01-0F101-0006073"/>
        <s v="01-0F101-0006074"/>
        <s v="01-0F101-0006075"/>
        <s v="FT-0F101-0006072"/>
        <s v="01-0F101-0006336"/>
        <s v="01-0F101-0006337"/>
        <s v="FT-0F002-0000355"/>
        <s v="FT-0F002-0000309"/>
        <s v="ANTICIPO FP-247"/>
        <s v="01-0F002-0000387"/>
        <s v="FT-0F003-0000101"/>
        <s v="01-0F003-0000129"/>
        <s v="01-0F003-0000168"/>
        <s v="01-0F003-0000174"/>
        <s v="ANTICIPO FP-243"/>
        <s v="01-0F002-0000368"/>
        <s v="01-0F101-0007560"/>
        <s v="01-0F101-0007561"/>
        <s v="01-0F003-0000083"/>
        <s v="FT-0F002-0000332"/>
        <s v="FP-255"/>
        <s v="FP-261"/>
        <s v="GARANTIA"/>
        <s v="ANTICIPO FP-246"/>
        <s v="01-0F002-0000373"/>
        <s v="01-0F101-0007383"/>
        <s v="01-0F101-0007410"/>
        <s v="01-0F101-0007462"/>
        <s v="01-0F101-0007540"/>
        <s v="FP-258"/>
        <s v="FT-0F002-0000321"/>
        <s v="FT-0F002-0000361"/>
        <s v="01-0F002-0000372"/>
        <s v="01-0F101-0007420"/>
        <s v="01-0F101-0007421"/>
        <s v="01-0F101-0007411"/>
        <s v="01-0F101-0007437"/>
        <s v="01-0F002-0000381"/>
        <s v="01-0F002-0000383"/>
        <s v="FT-0F002-0000370"/>
      </sharedItems>
    </cacheField>
    <cacheField name="Clase de documento" numFmtId="0">
      <sharedItems count="6">
        <s v="DF"/>
        <s v="ZV"/>
        <s v="DE"/>
        <s v="DB"/>
        <s v="DZ"/>
        <s v="SA"/>
      </sharedItems>
    </cacheField>
    <cacheField name="Fecha de documento" numFmtId="14">
      <sharedItems containsSemiMixedTypes="0" containsNonDate="0" containsDate="1" containsString="0" minDate="2025-04-16T00:00:00" maxDate="2026-07-18T00:00:00" count="56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5-26T00:00:00"/>
        <d v="2026-05-29T00:00:00"/>
        <d v="2026-06-30T00:00:00"/>
        <d v="2026-05-17T00:00:00"/>
        <d v="2026-06-28T00:00:00"/>
        <d v="2026-07-07T00:00:00"/>
        <d v="2026-07-17T00:00:00"/>
        <d v="2026-04-27T00:00:00"/>
        <d v="2026-04-12T00:00:00"/>
        <d v="2026-07-01T00:00:00"/>
        <d v="2026-07-15T00:00:00"/>
        <d v="2026-07-06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6T00:00:00"/>
        <d v="2026-06-08T00:00:00"/>
        <d v="2026-06-21T00:00:00"/>
        <d v="2026-06-23T00:00:00"/>
        <d v="2026-06-19T00:00:00"/>
        <d v="2026-06-09T00:00:00"/>
        <d v="2026-06-13T00:00:00"/>
        <d v="2026-06-27T00:00:00"/>
        <d v="2025-11-03T00:00:00"/>
        <d v="2025-11-06T00:00:00"/>
        <d v="2026-05-06T00:00:00"/>
        <d v="2026-05-12T00:00:00"/>
        <d v="2026-05-16T00:00:00"/>
        <d v="2026-05-27T00:00:00"/>
        <d v="2026-06-02T00:00:00"/>
        <d v="2026-07-03T00:00:00"/>
        <d v="2026-04-28T00:00:00"/>
        <d v="2026-06-05T00:00:00"/>
        <d v="2025-10-21T00:00:00"/>
        <d v="2025-11-04T00:00:00"/>
        <d v="2026-01-31T00:00:00"/>
        <d v="2026-03-03T00:00:00"/>
        <d v="2025-10-07T00:00:00"/>
        <d v="2025-04-16T00:00:00"/>
        <d v="2025-05-31T00:00:00"/>
        <d v="2025-08-19T00:00:00"/>
        <d v="2026-04-29T00:00:00"/>
      </sharedItems>
    </cacheField>
    <cacheField name="Demora tras vencimiento neto" numFmtId="3">
      <sharedItems containsSemiMixedTypes="0" containsString="0" containsNumber="1" containsInteger="1" minValue="-53" maxValue="460"/>
    </cacheField>
    <cacheField name="Fecha de pago" numFmtId="14">
      <sharedItems containsSemiMixedTypes="0" containsNonDate="0" containsDate="1" containsString="0" minDate="2025-04-16T00:00:00" maxDate="2026-09-12T00:00:00"/>
    </cacheField>
    <cacheField name="Importe en moneda doc." numFmtId="4">
      <sharedItems containsSemiMixedTypes="0" containsString="0" containsNumber="1" minValue="-159925" maxValue="533250"/>
    </cacheField>
    <cacheField name="Moneda del documento" numFmtId="0">
      <sharedItems/>
    </cacheField>
    <cacheField name="UNIDAD DE NEGOCIO" numFmtId="0">
      <sharedItems count="5">
        <s v="NACIONAL "/>
        <s v="EXPORTACIÓN "/>
        <s v="RODRIGO"/>
        <s v="CISTERNA COMBIUSTIBLE"/>
        <s v="OTROS"/>
      </sharedItems>
    </cacheField>
    <cacheField name="FECHA IDEAL DE PAGO" numFmtId="0">
      <sharedItems containsNonDate="0" containsDate="1" containsString="0" containsBlank="1" minDate="2025-06-15T00:00:00" maxDate="2026-09-15T00:00:00"/>
    </cacheField>
    <cacheField name="DÍAS VENCIDOS" numFmtId="0">
      <sharedItems containsString="0" containsBlank="1" containsNumber="1" containsInteger="1" minValue="-40" maxValue="46223"/>
    </cacheField>
    <cacheField name="Vcto finanzas SEMANA PASADA" numFmtId="0">
      <sharedItems containsNonDate="0" containsDate="1" containsString="0" containsBlank="1" minDate="2026-07-16T00:00:00" maxDate="2026-08-30T00:00:00"/>
    </cacheField>
    <cacheField name="Vcto finanzas" numFmtId="14">
      <sharedItems containsSemiMixedTypes="0" containsNonDate="0" containsDate="1" containsString="0" minDate="2025-04-16T00:00:00" maxDate="2026-09-12T00:00:00"/>
    </cacheField>
    <cacheField name="USD HOMOL" numFmtId="0">
      <sharedItems containsSemiMixedTypes="0" containsString="0" containsNumber="1" minValue="-159925" maxValue="533250"/>
    </cacheField>
    <cacheField name="DÍAS ATRASADOS" numFmtId="0">
      <sharedItems containsString="0" containsBlank="1" containsNumber="1" containsInteger="1" minValue="4" maxValue="460"/>
    </cacheField>
    <cacheField name="ANTIGÜED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23.75476087963" createdVersion="8" refreshedVersion="8" minRefreshableVersion="3" recordCount="160" xr:uid="{2EBA5E89-134D-45C4-AC1E-64CCC3249A8C}">
  <cacheSource type="worksheet">
    <worksheetSource ref="A1:R156" sheet="Data"/>
  </cacheSource>
  <cacheFields count="18">
    <cacheField name="Cliente" numFmtId="0">
      <sharedItems/>
    </cacheField>
    <cacheField name="Nombre de cliente" numFmtId="0">
      <sharedItems count="35">
        <s v="ARKANO TRADING SOCIEDAD ANONIMA CER"/>
        <s v="AVANCE GROUP LTD"/>
        <s v="CARLOS ALBERTO MARTINEZ QUEREVALU"/>
        <s v="CORPORACION NACIONAL PERU EXPORTACI"/>
        <s v="ELMER SIXTO SOJO ACARO"/>
        <s v="FOOD &amp; BEVERAGES TRADERS, S.L."/>
        <s v="GLOBAL OCEAN FLEXTRADING, S. L"/>
        <s v="GOLDEN SEAFOOD PTE. LTD."/>
        <s v="INDUSTRIAL PESQUERA SANTA MONICA S."/>
        <s v="JAHFISH E.I.R.L."/>
        <s v="KS FROZEN COMPANY LIMITED"/>
        <s v="KULALIA SL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OPTIMIZE INTEGRATION GROUP INC"/>
        <s v="PEGASUS ENTERPRISE S.A.C."/>
        <s v="PELAGICS INTERNATIONAL CORP SAS"/>
        <s v="PESCACORD PERU SOCIEDAD ANONIMA CER"/>
        <s v="PESQUERA HAYDUK S.A."/>
        <s v="Qingdao Haiyujia International Trad"/>
        <s v="QINGDAO OCEAN FISHERY COMPANY LIMIT"/>
        <s v="SEBGUSTA FISH S.R.L."/>
        <s v="SERENE OCEAN TRADING LIMITED"/>
        <s v="SERVICIOS DIESEL EXPRESS E.I.R.L."/>
        <s v="SHANDONG LONGKOU XINLONG"/>
        <s v="Shenzhen Yueshi Supply Chain"/>
        <s v="STL 5.0 S.A.C."/>
        <s v="TRANSPORTES O Y G S.A.C."/>
        <s v="TSUJINO &amp; CO., LTD"/>
        <s v="YANTAI HONGCHANG IMPORT AND EXPORT"/>
      </sharedItems>
    </cacheField>
    <cacheField name="Nº documento" numFmtId="0">
      <sharedItems/>
    </cacheField>
    <cacheField name="Referencia" numFmtId="0">
      <sharedItems count="158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53"/>
        <s v="01-0F002-0000359"/>
        <s v="FT-0F002-0000360"/>
        <s v="FT-0F002-0000386"/>
        <s v="03-0B001-0004567"/>
        <s v="03-0B001-0004568"/>
        <s v="03-0B001-0004754"/>
        <s v="03-0B001-0004755"/>
        <s v="01-0F101-0007358"/>
        <s v="03-0B001-0004840"/>
        <s v="03-0B001-0004841"/>
        <s v="FT-0F002-0000311"/>
        <s v="FT-0F002-0000295"/>
        <s v="FP-253"/>
        <s v="FP-263´"/>
        <s v="01-0F101-0007341"/>
        <s v="01-0F101-0007342"/>
        <s v="01-0F101-0007338"/>
        <s v="01-0F101-0007339"/>
        <s v="01-0F101-0007344"/>
        <s v="01-0F101-0007345"/>
        <s v="01-0F101-0007354"/>
        <s v="01-0F101-0007355"/>
        <s v="01-0F101-0007356"/>
        <s v="01-0F101-0007357"/>
        <s v="01-0F101-0007359"/>
        <s v="01-0F101-0007360"/>
        <s v="01-0F101-0007375"/>
        <s v="01-0F101-0007376"/>
        <s v="01-0F101-0007396"/>
        <s v="01-0F101-0007397"/>
        <s v="01-0F101-0007408"/>
        <s v="01-0F101-0007409"/>
        <s v="01-0F101-0007412"/>
        <s v="01-0F101-0007413"/>
        <s v="01-0F101-0007431"/>
        <s v="01-0F101-0007432"/>
        <s v="01-0F101-0007438"/>
        <s v="01-0F101-0007439"/>
        <s v="01-0F101-0007440"/>
        <s v="01-0F101-0007441"/>
        <s v="01-0F101-0007460"/>
        <s v="01-0F101-0007461"/>
        <s v="01-0F101-0007472"/>
        <s v="01-0F101-0007473"/>
        <s v="01-0F101-0007491"/>
        <s v="01-0F101-0007492"/>
        <s v="01-0F101-0007493"/>
        <s v="01-0F101-0007494"/>
        <s v="01-0F101-0007512"/>
        <s v="01-0F101-0007513"/>
        <s v="01-0F101-0007520"/>
        <s v="01-0F101-0007521"/>
        <s v="01-0F101-0007534"/>
        <s v="01-0F101-0007535"/>
        <s v="01-0F101-0007536"/>
        <s v="01-0F101-0007537"/>
        <s v="01-0F101-0007554"/>
        <s v="01-0F101-0007555"/>
        <s v="01-0F101-0007562"/>
        <s v="01-0F101-0007563"/>
        <s v="01-0F101-0007564"/>
        <s v="01-0F101-0007565"/>
        <s v="01-0F101-0007567"/>
        <s v="01-0F101-0007568"/>
        <s v="ANTICIPO FP242"/>
        <s v="ANTICIPO FP-248"/>
        <s v="FT-0F002-0000374"/>
        <s v="FT-0F002-0000375"/>
        <s v="01-0F002-0000371"/>
        <s v="01-0F002-0000378"/>
        <s v="01-0F002-0000379"/>
        <s v="ANTICIPO FP-249"/>
        <s v="01-0F002-0000367"/>
        <s v="FT-0F002-0000377"/>
        <s v="01-0F002-0000382"/>
        <s v="01-0F002-0000384"/>
        <s v="01-0F002-0000385"/>
        <s v="FT-0F002-0000356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01-0F101-0006073"/>
        <s v="01-0F101-0006074"/>
        <s v="01-0F101-0006075"/>
        <s v="FT-0F101-0006072"/>
        <s v="01-0F101-0006336"/>
        <s v="01-0F101-0006337"/>
        <s v="FT-0F002-0000355"/>
        <s v="FT-0F002-0000309"/>
        <s v="ANTICIPO FP-247"/>
        <s v="01-0F002-0000387"/>
        <s v="FT-0F003-0000101"/>
        <s v="01-0F003-0000129"/>
        <s v="01-0F003-0000168"/>
        <s v="01-0F003-0000174"/>
        <s v="ANTICIPO FP-243"/>
        <s v="01-0F002-0000368"/>
        <s v="01-0F101-0007560"/>
        <s v="01-0F101-0007561"/>
        <s v="01-0F003-0000083"/>
        <s v="FT-0F002-0000332"/>
        <s v="FP-255"/>
        <s v="FP-261"/>
        <s v="GARANTIA"/>
        <s v="ANTICIPO FP-246"/>
        <s v="01-0F002-0000373"/>
        <s v="01-0F101-0007383"/>
        <s v="01-0F101-0007410"/>
        <s v="01-0F101-0007462"/>
        <s v="01-0F101-0007540"/>
        <s v="FP-258"/>
        <s v="FT-0F002-0000321"/>
        <s v="FT-0F002-0000361"/>
        <s v="01-0F002-0000372"/>
        <s v="01-0F101-0007420"/>
        <s v="01-0F101-0007421"/>
        <s v="01-0F101-0007411"/>
        <s v="01-0F101-0007437"/>
        <s v="01-0F002-0000381"/>
        <s v="01-0F002-0000383"/>
        <s v="FT-0F002-0000370"/>
      </sharedItems>
    </cacheField>
    <cacheField name="Clase de documento" numFmtId="0">
      <sharedItems count="6">
        <s v="DF"/>
        <s v="ZV"/>
        <s v="DE"/>
        <s v="DB"/>
        <s v="DZ"/>
        <s v="SA"/>
      </sharedItems>
    </cacheField>
    <cacheField name="Fecha de documento" numFmtId="14">
      <sharedItems containsSemiMixedTypes="0" containsNonDate="0" containsDate="1" containsString="0" minDate="2025-04-16T00:00:00" maxDate="2026-07-18T00:00:00"/>
    </cacheField>
    <cacheField name="Demora tras vencimiento neto" numFmtId="3">
      <sharedItems containsSemiMixedTypes="0" containsString="0" containsNumber="1" containsInteger="1" minValue="-53" maxValue="460"/>
    </cacheField>
    <cacheField name="Fecha de pago" numFmtId="14">
      <sharedItems containsSemiMixedTypes="0" containsNonDate="0" containsDate="1" containsString="0" minDate="2025-04-16T00:00:00" maxDate="2026-09-12T00:00:00"/>
    </cacheField>
    <cacheField name="Importe en moneda doc." numFmtId="4">
      <sharedItems containsSemiMixedTypes="0" containsString="0" containsNumber="1" minValue="-159925" maxValue="533250"/>
    </cacheField>
    <cacheField name="Moneda del documento" numFmtId="0">
      <sharedItems/>
    </cacheField>
    <cacheField name="UNIDAD DE NEGOCIO" numFmtId="0">
      <sharedItems count="5">
        <s v="NACIONAL "/>
        <s v="EXPORTACIÓN "/>
        <s v="RODRIGO"/>
        <s v="CISTERNA COMBIUSTIBLE"/>
        <s v="OTROS"/>
      </sharedItems>
    </cacheField>
    <cacheField name="FECHA IDEAL DE PAGO" numFmtId="0">
      <sharedItems containsNonDate="0" containsDate="1" containsString="0" containsBlank="1" minDate="2025-06-15T00:00:00" maxDate="2026-09-15T00:00:00"/>
    </cacheField>
    <cacheField name="DÍAS VENCIDOS" numFmtId="0">
      <sharedItems containsString="0" containsBlank="1" containsNumber="1" containsInteger="1" minValue="-40" maxValue="46223"/>
    </cacheField>
    <cacheField name="Vcto finanzas SEMANA PASADA" numFmtId="0">
      <sharedItems containsNonDate="0" containsDate="1" containsString="0" containsBlank="1" minDate="2026-07-16T00:00:00" maxDate="2026-08-30T00:00:00"/>
    </cacheField>
    <cacheField name="Vcto finanzas" numFmtId="14">
      <sharedItems containsSemiMixedTypes="0" containsNonDate="0" containsDate="1" containsString="0" minDate="2025-04-16T00:00:00" maxDate="2026-09-12T00:00:00"/>
    </cacheField>
    <cacheField name="USD HOMOL" numFmtId="0">
      <sharedItems containsSemiMixedTypes="0" containsString="0" containsNumber="1" minValue="-159925" maxValue="533250"/>
    </cacheField>
    <cacheField name="DÍAS ATRASADOS" numFmtId="0">
      <sharedItems containsString="0" containsBlank="1" containsNumber="1" containsInteger="1" minValue="4" maxValue="460"/>
    </cacheField>
    <cacheField name="ANTIGÜEDAD" numFmtId="0">
      <sharedItems containsBlank="1" count="5">
        <m/>
        <s v="46-60"/>
        <s v="0-45"/>
        <s v="61-90"/>
        <s v="91 A MÁ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23.88709895833" createdVersion="8" refreshedVersion="8" minRefreshableVersion="3" recordCount="155" xr:uid="{159F69AD-7F65-417B-9247-FA773BD05EF9}">
  <cacheSource type="worksheet">
    <worksheetSource ref="A1:R156" sheet="Data"/>
  </cacheSource>
  <cacheFields count="21">
    <cacheField name="Cliente" numFmtId="0">
      <sharedItems/>
    </cacheField>
    <cacheField name="Nombre de cliente" numFmtId="0">
      <sharedItems count="35">
        <s v="ARKANO TRADING SOCIEDAD ANONIMA CER"/>
        <s v="AVANCE GROUP LTD"/>
        <s v="CARLOS ALBERTO MARTINEZ QUEREVALU"/>
        <s v="CORPORACION NACIONAL PERU EXPORTACI"/>
        <s v="ELMER SIXTO SOJO ACARO"/>
        <s v="GOLDEN SEAFOOD PTE. LTD."/>
        <s v="INDUSTRIAL PESQUERA SANTA MONICA S."/>
        <s v="JAHFISH E.I.R.L."/>
        <s v="KS FROZEN COMPANY LIMITED"/>
        <s v="KULALIA SL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PTIMIZE INTEGRATION GROUP INC"/>
        <s v="PEGASUS ENTERPRISE S.A.C."/>
        <s v="PELAGICS INTERNATIONAL CORP SAS"/>
        <s v="PESCACORD PERU SOCIEDAD ANONIMA CER"/>
        <s v="PESQUERA HAYDUK S.A."/>
        <s v="Qingdao Haiyujia International Trad"/>
        <s v="QINGDAO OCEAN FISHERY COMPANY LIMIT"/>
        <s v="SEBGUSTA FISH S.R.L."/>
        <s v="SERENE OCEAN TRADING LIMITED"/>
        <s v="SERVICIOS DIESEL EXPRESS E.I.R.L."/>
        <s v="SHANDONG LONGKOU XINLONG"/>
        <s v="Shenzhen Yueshi Supply Chain"/>
        <s v="STL 5.0 S.A.C."/>
        <s v="TRANSPORTES O Y G S.A.C."/>
        <s v="TSUJINO &amp; CO., LTD"/>
        <s v="YANTAI HONGCHANG IMPORT AND EXPORT"/>
        <s v="FOOD &amp; BEVERAGES TRADERS, S.L." u="1"/>
        <s v="GLOBAL OCEAN FLEXTRADING, S. L" u="1"/>
        <s v="OCEANUS FISH S.L." u="1"/>
      </sharedItems>
    </cacheField>
    <cacheField name="Nº documento" numFmtId="0">
      <sharedItems/>
    </cacheField>
    <cacheField name="Referencia" numFmtId="0">
      <sharedItems/>
    </cacheField>
    <cacheField name="Clase de documento" numFmtId="0">
      <sharedItems count="6">
        <s v="DF"/>
        <s v="ZV"/>
        <s v="DB"/>
        <s v="DZ"/>
        <s v="DE"/>
        <s v="SA"/>
      </sharedItems>
    </cacheField>
    <cacheField name="Fecha de documento" numFmtId="14">
      <sharedItems containsSemiMixedTypes="0" containsNonDate="0" containsDate="1" containsString="0" minDate="2025-04-16T00:00:00" maxDate="2026-07-18T00:00:00"/>
    </cacheField>
    <cacheField name="Demora tras vencimiento neto" numFmtId="3">
      <sharedItems containsSemiMixedTypes="0" containsString="0" containsNumber="1" containsInteger="1" minValue="-53" maxValue="460"/>
    </cacheField>
    <cacheField name="Fecha de pago" numFmtId="14">
      <sharedItems containsSemiMixedTypes="0" containsNonDate="0" containsDate="1" containsString="0" minDate="2025-04-16T00:00:00" maxDate="2026-09-12T00:00:00"/>
    </cacheField>
    <cacheField name="Importe en moneda doc." numFmtId="4">
      <sharedItems containsSemiMixedTypes="0" containsString="0" containsNumber="1" minValue="-159925" maxValue="533250"/>
    </cacheField>
    <cacheField name="Moneda del documento" numFmtId="0">
      <sharedItems/>
    </cacheField>
    <cacheField name="UNIDAD DE NEGOCIO" numFmtId="0">
      <sharedItems count="5">
        <s v="NACIONAL "/>
        <s v="EXPORTACIÓN "/>
        <s v="RODRIGO"/>
        <s v="CISTERNA COMBIUSTIBLE"/>
        <s v="OTROS"/>
      </sharedItems>
    </cacheField>
    <cacheField name="FECHA IDEAL DE PAGO" numFmtId="0">
      <sharedItems containsNonDate="0" containsDate="1" containsString="0" containsBlank="1" minDate="2025-06-15T00:00:00" maxDate="2026-09-15T00:00:00"/>
    </cacheField>
    <cacheField name="DÍAS VENCIDOS" numFmtId="0">
      <sharedItems containsString="0" containsBlank="1" containsNumber="1" containsInteger="1" minValue="-40" maxValue="46223"/>
    </cacheField>
    <cacheField name="Vcto finanzas SEMANA PASADA" numFmtId="0">
      <sharedItems containsNonDate="0" containsDate="1" containsString="0" containsBlank="1" minDate="2026-07-16T00:00:00" maxDate="2026-08-30T00:00:00"/>
    </cacheField>
    <cacheField name="Vcto finanzas" numFmtId="14">
      <sharedItems containsSemiMixedTypes="0" containsNonDate="0" containsDate="1" containsString="0" minDate="2025-04-16T00:00:00" maxDate="2026-09-12T00:00:00" count="60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8-10T00:00:00"/>
        <d v="2026-08-29T00:00:00"/>
        <d v="2026-05-24T00:00:00"/>
        <d v="2026-07-05T00:00:00"/>
        <d v="2026-07-14T00:00:00"/>
        <d v="2026-07-24T00:00:00"/>
        <d v="2026-07-01T00:00:00"/>
        <d v="2026-07-15T00:00:00"/>
        <d v="2026-07-13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5-26T00:00:00"/>
        <d v="2026-06-08T00:00:00"/>
        <d v="2026-08-20T00:00:00"/>
        <d v="2026-08-22T00:00:00"/>
        <d v="2026-08-03T00:00:00"/>
        <d v="2026-06-09T00:00:00"/>
        <d v="2026-07-28T00:00:00"/>
        <d v="2026-08-26T00:00:00"/>
        <d v="2025-11-10T00:00:00"/>
        <d v="2025-11-13T00:00:00"/>
        <d v="2026-05-13T00:00:00"/>
        <d v="2026-05-19T00:00:00"/>
        <d v="2026-05-23T00:00:00"/>
        <d v="2026-06-03T00:00:00"/>
        <d v="2026-06-20T00:00:00"/>
        <d v="2026-07-10T00:00:00"/>
        <d v="2026-04-28T00:00:00"/>
        <d v="2026-05-12T00:00:00"/>
        <d v="2026-08-01T00:00:00"/>
        <d v="2026-06-05T00:00:00"/>
        <d v="2026-09-11T00:00:00"/>
        <d v="2025-10-21T00:00:00"/>
        <d v="2025-11-11T00:00:00"/>
        <d v="2026-02-07T00:00:00"/>
        <d v="2026-03-10T00:00:00"/>
        <d v="2026-06-02T00:00:00"/>
        <d v="2026-08-12T00:00:00"/>
        <d v="2025-10-14T00:00:00"/>
        <d v="2026-07-08T00:00:00"/>
        <d v="2025-04-16T00:00:00"/>
        <d v="2025-05-31T00:00:00"/>
        <d v="2025-08-19T00:00:00"/>
        <d v="2026-08-18T00:00:00"/>
      </sharedItems>
      <fieldGroup par="20"/>
    </cacheField>
    <cacheField name="USD HOMOL" numFmtId="0">
      <sharedItems containsSemiMixedTypes="0" containsString="0" containsNumber="1" minValue="-159925" maxValue="533250"/>
    </cacheField>
    <cacheField name="DÍAS ATRASADOS" numFmtId="0">
      <sharedItems containsString="0" containsBlank="1" containsNumber="1" containsInteger="1" minValue="4" maxValue="460"/>
    </cacheField>
    <cacheField name="ANTIGÜEDAD" numFmtId="0">
      <sharedItems containsBlank="1"/>
    </cacheField>
    <cacheField name="Meses (Vcto finanzas)" numFmtId="0" databaseField="0">
      <fieldGroup base="14">
        <rangePr groupBy="months" startDate="2025-04-16T00:00:00" endDate="2026-09-12T00:00:00"/>
        <groupItems count="14">
          <s v="&lt;16/04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2/09/2026"/>
        </groupItems>
      </fieldGroup>
    </cacheField>
    <cacheField name="Trimestres (Vcto finanzas)" numFmtId="0" databaseField="0">
      <fieldGroup base="14">
        <rangePr groupBy="quarters" startDate="2025-04-16T00:00:00" endDate="2026-09-12T00:00:00"/>
        <groupItems count="6">
          <s v="&lt;16/04/2025"/>
          <s v="Trim.1"/>
          <s v="Trim.2"/>
          <s v="Trim.3"/>
          <s v="Trim.4"/>
          <s v="&gt;12/09/2026"/>
        </groupItems>
      </fieldGroup>
    </cacheField>
    <cacheField name="Años (Vcto finanzas)" numFmtId="0" databaseField="0">
      <fieldGroup base="14">
        <rangePr groupBy="years" startDate="2025-04-16T00:00:00" endDate="2026-09-12T00:00:00"/>
        <groupItems count="4">
          <s v="&lt;16/04/2025"/>
          <s v="2025"/>
          <s v="2026"/>
          <s v="&gt;12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s v="1000013966"/>
    <x v="0"/>
    <s v="1200005220"/>
    <x v="0"/>
    <x v="0"/>
    <x v="0"/>
    <n v="236"/>
    <d v="2025-11-26T00:00:00"/>
    <n v="42.48"/>
    <s v="PEN"/>
    <x v="0"/>
    <m/>
    <m/>
    <m/>
    <d v="2025-11-26T00:00:00"/>
    <n v="12.464788732394366"/>
    <m/>
    <m/>
  </r>
  <r>
    <s v="1000013966"/>
    <x v="0"/>
    <s v="1200005228"/>
    <x v="1"/>
    <x v="0"/>
    <x v="0"/>
    <n v="236"/>
    <d v="2025-11-26T00:00:00"/>
    <n v="14.16"/>
    <s v="PEN"/>
    <x v="0"/>
    <m/>
    <m/>
    <m/>
    <d v="2025-11-26T00:00:00"/>
    <n v="4.154929577464789"/>
    <m/>
    <m/>
  </r>
  <r>
    <s v="1000013966"/>
    <x v="0"/>
    <s v="1200005242"/>
    <x v="2"/>
    <x v="0"/>
    <x v="0"/>
    <n v="236"/>
    <d v="2025-11-26T00:00:00"/>
    <n v="14.16"/>
    <s v="PEN"/>
    <x v="0"/>
    <m/>
    <m/>
    <m/>
    <d v="2025-11-26T00:00:00"/>
    <n v="4.154929577464789"/>
    <m/>
    <m/>
  </r>
  <r>
    <s v="1000013966"/>
    <x v="0"/>
    <s v="1200005264"/>
    <x v="3"/>
    <x v="0"/>
    <x v="1"/>
    <n v="235"/>
    <d v="2025-11-27T00:00:00"/>
    <n v="28.32"/>
    <s v="PEN"/>
    <x v="0"/>
    <m/>
    <m/>
    <m/>
    <d v="2025-11-27T00:00:00"/>
    <n v="8.3098591549295779"/>
    <m/>
    <m/>
  </r>
  <r>
    <s v="1000013966"/>
    <x v="0"/>
    <s v="1200005271"/>
    <x v="4"/>
    <x v="0"/>
    <x v="1"/>
    <n v="235"/>
    <d v="2025-11-27T00:00:00"/>
    <n v="14.16"/>
    <s v="PEN"/>
    <x v="0"/>
    <m/>
    <m/>
    <m/>
    <d v="2025-11-27T00:00:00"/>
    <n v="4.154929577464789"/>
    <m/>
    <m/>
  </r>
  <r>
    <s v="1000013966"/>
    <x v="0"/>
    <s v="1200005296"/>
    <x v="5"/>
    <x v="0"/>
    <x v="2"/>
    <n v="234"/>
    <d v="2025-11-28T00:00:00"/>
    <n v="28.32"/>
    <s v="PEN"/>
    <x v="0"/>
    <m/>
    <m/>
    <m/>
    <d v="2025-11-28T00:00:00"/>
    <n v="8.3098591549295779"/>
    <m/>
    <m/>
  </r>
  <r>
    <s v="1000013966"/>
    <x v="0"/>
    <s v="1200005302"/>
    <x v="6"/>
    <x v="0"/>
    <x v="2"/>
    <n v="234"/>
    <d v="2025-11-28T00:00:00"/>
    <n v="42.48"/>
    <s v="PEN"/>
    <x v="0"/>
    <m/>
    <m/>
    <m/>
    <d v="2025-11-28T00:00:00"/>
    <n v="12.464788732394366"/>
    <m/>
    <m/>
  </r>
  <r>
    <s v="1000013966"/>
    <x v="0"/>
    <s v="1200005304"/>
    <x v="7"/>
    <x v="0"/>
    <x v="2"/>
    <n v="234"/>
    <d v="2025-11-28T00:00:00"/>
    <n v="42.48"/>
    <s v="PEN"/>
    <x v="0"/>
    <m/>
    <m/>
    <m/>
    <d v="2025-11-28T00:00:00"/>
    <n v="12.464788732394366"/>
    <m/>
    <m/>
  </r>
  <r>
    <s v="1000013966"/>
    <x v="0"/>
    <s v="1200005313"/>
    <x v="8"/>
    <x v="0"/>
    <x v="2"/>
    <n v="234"/>
    <d v="2025-11-28T00:00:00"/>
    <n v="14.16"/>
    <s v="PEN"/>
    <x v="0"/>
    <m/>
    <m/>
    <m/>
    <d v="2025-11-28T00:00:00"/>
    <n v="4.154929577464789"/>
    <m/>
    <m/>
  </r>
  <r>
    <s v="1000013966"/>
    <x v="0"/>
    <s v="1200005346"/>
    <x v="9"/>
    <x v="0"/>
    <x v="3"/>
    <n v="233"/>
    <d v="2025-11-29T00:00:00"/>
    <n v="28.32"/>
    <s v="PEN"/>
    <x v="0"/>
    <m/>
    <m/>
    <m/>
    <d v="2025-11-29T00:00:00"/>
    <n v="8.3098591549295779"/>
    <m/>
    <m/>
  </r>
  <r>
    <s v="1000013966"/>
    <x v="0"/>
    <s v="1200005422"/>
    <x v="10"/>
    <x v="0"/>
    <x v="4"/>
    <n v="228"/>
    <d v="2025-12-04T00:00:00"/>
    <n v="14.16"/>
    <s v="PEN"/>
    <x v="0"/>
    <m/>
    <m/>
    <m/>
    <d v="2025-12-04T00:00:00"/>
    <n v="4.154929577464789"/>
    <m/>
    <m/>
  </r>
  <r>
    <s v="1000013966"/>
    <x v="0"/>
    <s v="1200000045"/>
    <x v="11"/>
    <x v="0"/>
    <x v="5"/>
    <n v="188"/>
    <d v="2026-01-13T00:00:00"/>
    <n v="14.16"/>
    <s v="PEN"/>
    <x v="0"/>
    <m/>
    <m/>
    <m/>
    <d v="2026-01-13T00:00:00"/>
    <n v="4.154929577464789"/>
    <m/>
    <m/>
  </r>
  <r>
    <s v="1000013966"/>
    <x v="0"/>
    <s v="1200000090"/>
    <x v="12"/>
    <x v="0"/>
    <x v="6"/>
    <n v="186"/>
    <d v="2026-01-15T00:00:00"/>
    <n v="14.16"/>
    <s v="PEN"/>
    <x v="0"/>
    <m/>
    <m/>
    <m/>
    <d v="2026-01-15T00:00:00"/>
    <n v="4.154929577464789"/>
    <m/>
    <m/>
  </r>
  <r>
    <s v="1000013966"/>
    <x v="0"/>
    <s v="1200000113"/>
    <x v="13"/>
    <x v="0"/>
    <x v="7"/>
    <n v="184"/>
    <d v="2026-01-17T00:00:00"/>
    <n v="14.16"/>
    <s v="PEN"/>
    <x v="0"/>
    <m/>
    <m/>
    <m/>
    <d v="2026-01-17T00:00:00"/>
    <n v="4.154929577464789"/>
    <m/>
    <m/>
  </r>
  <r>
    <s v="1000013966"/>
    <x v="0"/>
    <s v="1200000132"/>
    <x v="14"/>
    <x v="0"/>
    <x v="8"/>
    <n v="178"/>
    <d v="2026-01-23T00:00:00"/>
    <n v="14.16"/>
    <s v="PEN"/>
    <x v="0"/>
    <m/>
    <m/>
    <m/>
    <d v="2026-01-23T00:00:00"/>
    <n v="4.154929577464789"/>
    <m/>
    <m/>
  </r>
  <r>
    <s v="1000013966"/>
    <x v="0"/>
    <s v="1200000133"/>
    <x v="15"/>
    <x v="0"/>
    <x v="8"/>
    <n v="178"/>
    <d v="2026-01-23T00:00:00"/>
    <n v="14.16"/>
    <s v="PEN"/>
    <x v="0"/>
    <m/>
    <m/>
    <m/>
    <d v="2026-01-23T00:00:00"/>
    <n v="4.154929577464789"/>
    <m/>
    <m/>
  </r>
  <r>
    <s v="1000013966"/>
    <x v="0"/>
    <s v="1200000141"/>
    <x v="16"/>
    <x v="0"/>
    <x v="9"/>
    <n v="175"/>
    <d v="2026-01-26T00:00:00"/>
    <n v="14.16"/>
    <s v="PEN"/>
    <x v="0"/>
    <m/>
    <m/>
    <m/>
    <d v="2026-01-26T00:00:00"/>
    <n v="4.154929577464789"/>
    <m/>
    <m/>
  </r>
  <r>
    <s v="2000001028"/>
    <x v="1"/>
    <s v="1300005601"/>
    <x v="17"/>
    <x v="1"/>
    <x v="10"/>
    <n v="55"/>
    <d v="2026-05-26T00:00:00"/>
    <n v="78360"/>
    <s v="USD"/>
    <x v="1"/>
    <d v="2026-07-25T00:00:00"/>
    <n v="3"/>
    <d v="2026-07-17T00:00:00"/>
    <d v="2026-07-20T00:00:00"/>
    <n v="78360"/>
    <n v="55"/>
    <s v="46-60"/>
  </r>
  <r>
    <s v="2000001028"/>
    <x v="1"/>
    <s v="1200002135"/>
    <x v="18"/>
    <x v="2"/>
    <x v="11"/>
    <n v="7"/>
    <d v="2026-07-13T00:00:00"/>
    <n v="234900"/>
    <s v="USD"/>
    <x v="1"/>
    <d v="2026-07-28T00:00:00"/>
    <n v="3"/>
    <d v="2026-07-17T00:00:00"/>
    <d v="2026-07-20T00:00:00"/>
    <n v="234900"/>
    <n v="52"/>
    <s v="46-60"/>
  </r>
  <r>
    <s v="2000001028"/>
    <x v="1"/>
    <s v="1300004711"/>
    <x v="19"/>
    <x v="1"/>
    <x v="11"/>
    <n v="52"/>
    <d v="2026-05-29T00:00:00"/>
    <n v="336990"/>
    <s v="USD"/>
    <x v="1"/>
    <d v="2026-07-28T00:00:00"/>
    <n v="-21"/>
    <d v="2026-08-10T00:00:00"/>
    <d v="2026-08-10T00:00:00"/>
    <n v="336990"/>
    <n v="52"/>
    <s v="46-60"/>
  </r>
  <r>
    <s v="2000001028"/>
    <x v="1"/>
    <s v="1300005598"/>
    <x v="20"/>
    <x v="1"/>
    <x v="12"/>
    <n v="20"/>
    <d v="2026-06-30T00:00:00"/>
    <n v="218730"/>
    <s v="USD"/>
    <x v="1"/>
    <d v="2026-08-29T00:00:00"/>
    <n v="-40"/>
    <d v="2026-08-29T00:00:00"/>
    <d v="2026-08-29T00:00:00"/>
    <n v="218730"/>
    <n v="20"/>
    <s v="0-45"/>
  </r>
  <r>
    <s v="1000013676"/>
    <x v="2"/>
    <s v="1200001798"/>
    <x v="21"/>
    <x v="3"/>
    <x v="13"/>
    <n v="57"/>
    <d v="2026-05-24T00:00:00"/>
    <n v="365.8"/>
    <s v="PEN"/>
    <x v="0"/>
    <m/>
    <m/>
    <m/>
    <d v="2026-05-24T00:00:00"/>
    <n v="107.33568075117371"/>
    <m/>
    <m/>
  </r>
  <r>
    <s v="1000013676"/>
    <x v="2"/>
    <s v="1200001799"/>
    <x v="22"/>
    <x v="3"/>
    <x v="13"/>
    <n v="57"/>
    <d v="2026-05-24T00:00:00"/>
    <n v="47.2"/>
    <s v="PEN"/>
    <x v="0"/>
    <m/>
    <m/>
    <m/>
    <d v="2026-05-24T00:00:00"/>
    <n v="13.849765258215964"/>
    <m/>
    <m/>
  </r>
  <r>
    <s v="1000013676"/>
    <x v="2"/>
    <s v="1200002786"/>
    <x v="23"/>
    <x v="3"/>
    <x v="14"/>
    <n v="15"/>
    <d v="2026-07-05T00:00:00"/>
    <n v="820.1"/>
    <s v="PEN"/>
    <x v="0"/>
    <m/>
    <m/>
    <m/>
    <d v="2026-07-05T00:00:00"/>
    <n v="240.63967136150237"/>
    <m/>
    <m/>
  </r>
  <r>
    <s v="1000013676"/>
    <x v="2"/>
    <s v="1200002787"/>
    <x v="24"/>
    <x v="3"/>
    <x v="14"/>
    <n v="15"/>
    <d v="2026-07-05T00:00:00"/>
    <n v="70.8"/>
    <s v="PEN"/>
    <x v="0"/>
    <m/>
    <m/>
    <m/>
    <d v="2026-07-05T00:00:00"/>
    <n v="20.774647887323944"/>
    <m/>
    <m/>
  </r>
  <r>
    <s v="1000013678"/>
    <x v="3"/>
    <s v="1200003045"/>
    <x v="25"/>
    <x v="0"/>
    <x v="15"/>
    <n v="6"/>
    <d v="2026-07-14T00:00:00"/>
    <n v="283.2"/>
    <s v="PEN"/>
    <x v="0"/>
    <m/>
    <m/>
    <m/>
    <d v="2026-07-14T00:00:00"/>
    <n v="83.098591549295776"/>
    <m/>
    <m/>
  </r>
  <r>
    <s v="1000013754"/>
    <x v="4"/>
    <s v="1200003301"/>
    <x v="26"/>
    <x v="3"/>
    <x v="16"/>
    <n v="-4"/>
    <d v="2026-07-24T00:00:00"/>
    <n v="398.84"/>
    <s v="PEN"/>
    <x v="0"/>
    <m/>
    <m/>
    <m/>
    <d v="2026-07-24T00:00:00"/>
    <n v="117.03051643192488"/>
    <m/>
    <m/>
  </r>
  <r>
    <s v="1000013754"/>
    <x v="4"/>
    <s v="1200003302"/>
    <x v="27"/>
    <x v="3"/>
    <x v="16"/>
    <n v="-4"/>
    <d v="2026-07-24T00:00:00"/>
    <n v="47.2"/>
    <s v="PEN"/>
    <x v="0"/>
    <m/>
    <m/>
    <m/>
    <d v="2026-07-24T00:00:00"/>
    <n v="13.849765258215964"/>
    <m/>
    <m/>
  </r>
  <r>
    <s v="2000001368"/>
    <x v="5"/>
    <s v="1300004854"/>
    <x v="28"/>
    <x v="1"/>
    <x v="17"/>
    <n v="84"/>
    <d v="2026-04-27T00:00:00"/>
    <n v="15163"/>
    <s v="USD"/>
    <x v="1"/>
    <d v="2026-06-26T00:00:00"/>
    <n v="-11"/>
    <d v="2026-07-31T00:00:00"/>
    <d v="2026-07-31T00:00:00"/>
    <n v="15163"/>
    <n v="84"/>
    <s v="61-90"/>
  </r>
  <r>
    <s v="2000001361"/>
    <x v="6"/>
    <s v="1300004210"/>
    <x v="29"/>
    <x v="1"/>
    <x v="18"/>
    <n v="99"/>
    <d v="2026-04-12T00:00:00"/>
    <n v="16355.92"/>
    <s v="USD"/>
    <x v="1"/>
    <d v="2026-06-11T00:00:00"/>
    <n v="-11"/>
    <d v="2026-07-31T00:00:00"/>
    <d v="2026-07-31T00:00:00"/>
    <n v="16355.92"/>
    <n v="99"/>
    <s v="91 A MÁS"/>
  </r>
  <r>
    <s v="2000001439"/>
    <x v="7"/>
    <s v="1300005406"/>
    <x v="30"/>
    <x v="4"/>
    <x v="19"/>
    <n v="0"/>
    <d v="2026-07-31T00:00:00"/>
    <n v="-14712"/>
    <s v="USD"/>
    <x v="1"/>
    <d v="2026-08-30T00:00:00"/>
    <m/>
    <m/>
    <d v="2026-07-31T00:00:00"/>
    <n v="-14712"/>
    <n v="19"/>
    <s v="0-45"/>
  </r>
  <r>
    <s v="2000001439"/>
    <x v="7"/>
    <s v="1300007036"/>
    <x v="31"/>
    <x v="4"/>
    <x v="20"/>
    <n v="0"/>
    <d v="2026-07-31T00:00:00"/>
    <n v="-14442"/>
    <s v="USD"/>
    <x v="1"/>
    <d v="2026-09-13T00:00:00"/>
    <m/>
    <m/>
    <d v="2026-07-31T00:00:00"/>
    <n v="-14442"/>
    <n v="5"/>
    <s v="0-45"/>
  </r>
  <r>
    <s v="6002186"/>
    <x v="8"/>
    <s v="1200003015"/>
    <x v="32"/>
    <x v="0"/>
    <x v="21"/>
    <n v="7"/>
    <d v="2026-07-13T00:00:00"/>
    <n v="8692.67"/>
    <s v="USD"/>
    <x v="0"/>
    <d v="2026-09-04T00:00:00"/>
    <n v="46223"/>
    <m/>
    <d v="2026-07-13T00:00:00"/>
    <n v="8692.67"/>
    <n v="14"/>
    <s v="0-45"/>
  </r>
  <r>
    <s v="6002186"/>
    <x v="8"/>
    <s v="1200003016"/>
    <x v="33"/>
    <x v="0"/>
    <x v="21"/>
    <n v="7"/>
    <d v="2026-07-13T00:00:00"/>
    <n v="3596.64"/>
    <s v="USD"/>
    <x v="0"/>
    <d v="2026-09-04T00:00:00"/>
    <n v="46223"/>
    <m/>
    <d v="2026-07-13T00:00:00"/>
    <n v="3596.64"/>
    <n v="14"/>
    <s v="0-45"/>
  </r>
  <r>
    <s v="1000006830"/>
    <x v="9"/>
    <s v="1200003020"/>
    <x v="34"/>
    <x v="0"/>
    <x v="21"/>
    <n v="7"/>
    <d v="2026-07-13T00:00:00"/>
    <n v="773.61"/>
    <s v="PEN"/>
    <x v="0"/>
    <m/>
    <m/>
    <m/>
    <d v="2026-07-13T00:00:00"/>
    <n v="226.99823943661974"/>
    <m/>
    <m/>
  </r>
  <r>
    <s v="1000006830"/>
    <x v="9"/>
    <s v="1200003021"/>
    <x v="35"/>
    <x v="0"/>
    <x v="21"/>
    <n v="7"/>
    <d v="2026-07-13T00:00:00"/>
    <n v="70.8"/>
    <s v="PEN"/>
    <x v="0"/>
    <m/>
    <m/>
    <m/>
    <d v="2026-07-13T00:00:00"/>
    <n v="20.774647887323944"/>
    <m/>
    <m/>
  </r>
  <r>
    <s v="1000006830"/>
    <x v="9"/>
    <s v="1200003026"/>
    <x v="36"/>
    <x v="0"/>
    <x v="21"/>
    <n v="7"/>
    <d v="2026-07-13T00:00:00"/>
    <n v="428.1"/>
    <s v="PEN"/>
    <x v="0"/>
    <m/>
    <m/>
    <m/>
    <d v="2026-07-13T00:00:00"/>
    <n v="125.61619718309861"/>
    <m/>
    <m/>
  </r>
  <r>
    <s v="1000006830"/>
    <x v="9"/>
    <s v="1200003027"/>
    <x v="37"/>
    <x v="0"/>
    <x v="21"/>
    <n v="7"/>
    <d v="2026-07-13T00:00:00"/>
    <n v="35.4"/>
    <s v="PEN"/>
    <x v="0"/>
    <m/>
    <m/>
    <m/>
    <d v="2026-07-13T00:00:00"/>
    <n v="10.387323943661972"/>
    <m/>
    <m/>
  </r>
  <r>
    <s v="1000006830"/>
    <x v="9"/>
    <s v="1200003040"/>
    <x v="38"/>
    <x v="0"/>
    <x v="21"/>
    <n v="7"/>
    <d v="2026-07-13T00:00:00"/>
    <n v="202.49"/>
    <s v="PEN"/>
    <x v="0"/>
    <m/>
    <m/>
    <m/>
    <d v="2026-07-13T00:00:00"/>
    <n v="59.416079812206576"/>
    <m/>
    <m/>
  </r>
  <r>
    <s v="1000006830"/>
    <x v="9"/>
    <s v="1200003041"/>
    <x v="39"/>
    <x v="0"/>
    <x v="21"/>
    <n v="7"/>
    <d v="2026-07-13T00:00:00"/>
    <n v="70.8"/>
    <s v="PEN"/>
    <x v="0"/>
    <m/>
    <m/>
    <m/>
    <d v="2026-07-13T00:00:00"/>
    <n v="20.774647887323944"/>
    <m/>
    <m/>
  </r>
  <r>
    <s v="1000006830"/>
    <x v="9"/>
    <s v="1200003042"/>
    <x v="40"/>
    <x v="0"/>
    <x v="21"/>
    <n v="7"/>
    <d v="2026-07-13T00:00:00"/>
    <n v="571.59"/>
    <s v="PEN"/>
    <x v="0"/>
    <m/>
    <m/>
    <m/>
    <d v="2026-07-13T00:00:00"/>
    <n v="167.72007042253523"/>
    <m/>
    <m/>
  </r>
  <r>
    <s v="1000006830"/>
    <x v="9"/>
    <s v="1200003043"/>
    <x v="41"/>
    <x v="0"/>
    <x v="21"/>
    <n v="7"/>
    <d v="2026-07-13T00:00:00"/>
    <n v="159.30000000000001"/>
    <s v="PEN"/>
    <x v="0"/>
    <m/>
    <m/>
    <m/>
    <d v="2026-07-13T00:00:00"/>
    <n v="46.742957746478879"/>
    <m/>
    <m/>
  </r>
  <r>
    <s v="1000006830"/>
    <x v="9"/>
    <s v="1200003046"/>
    <x v="42"/>
    <x v="0"/>
    <x v="15"/>
    <n v="6"/>
    <d v="2026-07-14T00:00:00"/>
    <n v="427.16"/>
    <s v="PEN"/>
    <x v="0"/>
    <m/>
    <m/>
    <m/>
    <d v="2026-07-14T00:00:00"/>
    <n v="125.34037558685446"/>
    <m/>
    <m/>
  </r>
  <r>
    <s v="1000006830"/>
    <x v="9"/>
    <s v="1200003047"/>
    <x v="43"/>
    <x v="0"/>
    <x v="15"/>
    <n v="6"/>
    <d v="2026-07-14T00:00:00"/>
    <n v="70.8"/>
    <s v="PEN"/>
    <x v="0"/>
    <m/>
    <m/>
    <m/>
    <d v="2026-07-14T00:00:00"/>
    <n v="20.774647887323944"/>
    <m/>
    <m/>
  </r>
  <r>
    <s v="1000006830"/>
    <x v="9"/>
    <s v="1200003065"/>
    <x v="44"/>
    <x v="0"/>
    <x v="22"/>
    <n v="5"/>
    <d v="2026-07-15T00:00:00"/>
    <n v="359.43"/>
    <s v="PEN"/>
    <x v="0"/>
    <m/>
    <m/>
    <m/>
    <d v="2026-07-15T00:00:00"/>
    <n v="105.46654929577466"/>
    <m/>
    <m/>
  </r>
  <r>
    <s v="1000006830"/>
    <x v="9"/>
    <s v="1200003066"/>
    <x v="45"/>
    <x v="0"/>
    <x v="22"/>
    <n v="5"/>
    <d v="2026-07-15T00:00:00"/>
    <n v="47.2"/>
    <s v="PEN"/>
    <x v="0"/>
    <m/>
    <m/>
    <m/>
    <d v="2026-07-15T00:00:00"/>
    <n v="13.849765258215964"/>
    <m/>
    <m/>
  </r>
  <r>
    <s v="1000006830"/>
    <x v="9"/>
    <s v="1200003086"/>
    <x v="46"/>
    <x v="0"/>
    <x v="23"/>
    <n v="4"/>
    <d v="2026-07-16T00:00:00"/>
    <n v="344.8"/>
    <s v="PEN"/>
    <x v="0"/>
    <m/>
    <m/>
    <m/>
    <d v="2026-07-16T00:00:00"/>
    <n v="101.17370892018779"/>
    <m/>
    <m/>
  </r>
  <r>
    <s v="1000006830"/>
    <x v="9"/>
    <s v="1200003087"/>
    <x v="47"/>
    <x v="0"/>
    <x v="23"/>
    <n v="4"/>
    <d v="2026-07-16T00:00:00"/>
    <n v="47.2"/>
    <s v="PEN"/>
    <x v="0"/>
    <m/>
    <m/>
    <m/>
    <d v="2026-07-16T00:00:00"/>
    <n v="13.849765258215964"/>
    <m/>
    <m/>
  </r>
  <r>
    <s v="1000006830"/>
    <x v="9"/>
    <s v="1200003101"/>
    <x v="48"/>
    <x v="0"/>
    <x v="24"/>
    <n v="3"/>
    <d v="2026-07-17T00:00:00"/>
    <n v="521.70000000000005"/>
    <s v="PEN"/>
    <x v="0"/>
    <m/>
    <m/>
    <m/>
    <d v="2026-07-17T00:00:00"/>
    <n v="153.08098591549299"/>
    <m/>
    <m/>
  </r>
  <r>
    <s v="1000006830"/>
    <x v="9"/>
    <s v="1200003102"/>
    <x v="49"/>
    <x v="0"/>
    <x v="24"/>
    <n v="3"/>
    <d v="2026-07-17T00:00:00"/>
    <n v="153.4"/>
    <s v="PEN"/>
    <x v="0"/>
    <m/>
    <m/>
    <m/>
    <d v="2026-07-17T00:00:00"/>
    <n v="45.01173708920188"/>
    <m/>
    <m/>
  </r>
  <r>
    <s v="1000006830"/>
    <x v="9"/>
    <s v="1200003105"/>
    <x v="50"/>
    <x v="0"/>
    <x v="24"/>
    <n v="3"/>
    <d v="2026-07-17T00:00:00"/>
    <n v="162.88999999999999"/>
    <s v="PEN"/>
    <x v="0"/>
    <m/>
    <m/>
    <m/>
    <d v="2026-07-17T00:00:00"/>
    <n v="47.796361502347416"/>
    <m/>
    <m/>
  </r>
  <r>
    <s v="1000006830"/>
    <x v="9"/>
    <s v="1200003106"/>
    <x v="51"/>
    <x v="0"/>
    <x v="24"/>
    <n v="3"/>
    <d v="2026-07-17T00:00:00"/>
    <n v="123.9"/>
    <s v="PEN"/>
    <x v="0"/>
    <m/>
    <m/>
    <m/>
    <d v="2026-07-17T00:00:00"/>
    <n v="36.355633802816904"/>
    <m/>
    <m/>
  </r>
  <r>
    <s v="1000006830"/>
    <x v="9"/>
    <s v="1200003126"/>
    <x v="52"/>
    <x v="0"/>
    <x v="25"/>
    <n v="2"/>
    <d v="2026-07-18T00:00:00"/>
    <n v="375.71"/>
    <s v="PEN"/>
    <x v="0"/>
    <m/>
    <m/>
    <m/>
    <d v="2026-07-18T00:00:00"/>
    <n v="110.24354460093896"/>
    <m/>
    <m/>
  </r>
  <r>
    <s v="1000006830"/>
    <x v="9"/>
    <s v="1200003127"/>
    <x v="53"/>
    <x v="0"/>
    <x v="25"/>
    <n v="2"/>
    <d v="2026-07-18T00:00:00"/>
    <n v="35.4"/>
    <s v="PEN"/>
    <x v="0"/>
    <m/>
    <m/>
    <m/>
    <d v="2026-07-18T00:00:00"/>
    <n v="10.387323943661972"/>
    <m/>
    <m/>
  </r>
  <r>
    <s v="1000006830"/>
    <x v="9"/>
    <s v="1200003135"/>
    <x v="54"/>
    <x v="0"/>
    <x v="25"/>
    <n v="2"/>
    <d v="2026-07-18T00:00:00"/>
    <n v="391.52"/>
    <s v="PEN"/>
    <x v="0"/>
    <m/>
    <m/>
    <m/>
    <d v="2026-07-18T00:00:00"/>
    <n v="114.88262910798122"/>
    <m/>
    <m/>
  </r>
  <r>
    <s v="1000006830"/>
    <x v="9"/>
    <s v="1200003136"/>
    <x v="55"/>
    <x v="0"/>
    <x v="25"/>
    <n v="2"/>
    <d v="2026-07-18T00:00:00"/>
    <n v="135.69999999999999"/>
    <s v="PEN"/>
    <x v="0"/>
    <m/>
    <m/>
    <m/>
    <d v="2026-07-18T00:00:00"/>
    <n v="39.818075117370888"/>
    <m/>
    <m/>
  </r>
  <r>
    <s v="1000006830"/>
    <x v="9"/>
    <s v="1200003141"/>
    <x v="56"/>
    <x v="0"/>
    <x v="26"/>
    <n v="1"/>
    <d v="2026-07-19T00:00:00"/>
    <n v="1809.93"/>
    <s v="PEN"/>
    <x v="0"/>
    <m/>
    <m/>
    <m/>
    <d v="2026-07-19T00:00:00"/>
    <n v="531.08274647887322"/>
    <m/>
    <m/>
  </r>
  <r>
    <s v="1000006830"/>
    <x v="9"/>
    <s v="1200003142"/>
    <x v="57"/>
    <x v="0"/>
    <x v="26"/>
    <n v="1"/>
    <d v="2026-07-19T00:00:00"/>
    <n v="454.3"/>
    <s v="PEN"/>
    <x v="0"/>
    <m/>
    <m/>
    <m/>
    <d v="2026-07-19T00:00:00"/>
    <n v="133.30399061032864"/>
    <m/>
    <m/>
  </r>
  <r>
    <s v="1000006830"/>
    <x v="9"/>
    <s v="1200003165"/>
    <x v="58"/>
    <x v="0"/>
    <x v="27"/>
    <n v="0"/>
    <d v="2026-07-20T00:00:00"/>
    <n v="675.2"/>
    <s v="PEN"/>
    <x v="0"/>
    <m/>
    <m/>
    <m/>
    <d v="2026-07-20T00:00:00"/>
    <n v="198.12206572769955"/>
    <m/>
    <m/>
  </r>
  <r>
    <s v="1000006830"/>
    <x v="9"/>
    <s v="1200003166"/>
    <x v="59"/>
    <x v="0"/>
    <x v="27"/>
    <n v="0"/>
    <d v="2026-07-20T00:00:00"/>
    <n v="82.6"/>
    <s v="PEN"/>
    <x v="0"/>
    <m/>
    <m/>
    <m/>
    <d v="2026-07-20T00:00:00"/>
    <n v="24.237089201877932"/>
    <m/>
    <m/>
  </r>
  <r>
    <s v="1000006830"/>
    <x v="9"/>
    <s v="1200003181"/>
    <x v="60"/>
    <x v="0"/>
    <x v="28"/>
    <n v="-1"/>
    <d v="2026-07-21T00:00:00"/>
    <n v="744.39"/>
    <s v="PEN"/>
    <x v="0"/>
    <m/>
    <m/>
    <m/>
    <d v="2026-07-21T00:00:00"/>
    <n v="218.4242957746479"/>
    <m/>
    <m/>
  </r>
  <r>
    <s v="1000006830"/>
    <x v="9"/>
    <s v="1200003182"/>
    <x v="61"/>
    <x v="0"/>
    <x v="28"/>
    <n v="-1"/>
    <d v="2026-07-21T00:00:00"/>
    <n v="218.3"/>
    <s v="PEN"/>
    <x v="0"/>
    <m/>
    <m/>
    <m/>
    <d v="2026-07-21T00:00:00"/>
    <n v="64.055164319248831"/>
    <m/>
    <m/>
  </r>
  <r>
    <s v="1000006830"/>
    <x v="9"/>
    <s v="1200003204"/>
    <x v="62"/>
    <x v="0"/>
    <x v="28"/>
    <n v="-1"/>
    <d v="2026-07-21T00:00:00"/>
    <n v="703.04"/>
    <s v="PEN"/>
    <x v="0"/>
    <m/>
    <m/>
    <m/>
    <d v="2026-07-21T00:00:00"/>
    <n v="206.29107981220656"/>
    <m/>
    <m/>
  </r>
  <r>
    <s v="1000006830"/>
    <x v="9"/>
    <s v="1200003205"/>
    <x v="63"/>
    <x v="0"/>
    <x v="28"/>
    <n v="-1"/>
    <d v="2026-07-21T00:00:00"/>
    <n v="70.8"/>
    <s v="PEN"/>
    <x v="0"/>
    <m/>
    <m/>
    <m/>
    <d v="2026-07-21T00:00:00"/>
    <n v="20.774647887323944"/>
    <m/>
    <m/>
  </r>
  <r>
    <s v="1000006830"/>
    <x v="9"/>
    <s v="1200003206"/>
    <x v="64"/>
    <x v="0"/>
    <x v="28"/>
    <n v="-1"/>
    <d v="2026-07-21T00:00:00"/>
    <n v="157.41"/>
    <s v="PEN"/>
    <x v="0"/>
    <m/>
    <m/>
    <m/>
    <d v="2026-07-21T00:00:00"/>
    <n v="46.188380281690144"/>
    <m/>
    <m/>
  </r>
  <r>
    <s v="1000006830"/>
    <x v="9"/>
    <s v="1200003207"/>
    <x v="65"/>
    <x v="0"/>
    <x v="28"/>
    <n v="-1"/>
    <d v="2026-07-21T00:00:00"/>
    <n v="35.4"/>
    <s v="PEN"/>
    <x v="0"/>
    <m/>
    <m/>
    <m/>
    <d v="2026-07-21T00:00:00"/>
    <n v="10.387323943661972"/>
    <m/>
    <m/>
  </r>
  <r>
    <s v="1000006830"/>
    <x v="9"/>
    <s v="1200003228"/>
    <x v="66"/>
    <x v="0"/>
    <x v="20"/>
    <n v="-2"/>
    <d v="2026-07-22T00:00:00"/>
    <n v="438.02"/>
    <s v="PEN"/>
    <x v="0"/>
    <m/>
    <m/>
    <m/>
    <d v="2026-07-22T00:00:00"/>
    <n v="128.52699530516432"/>
    <m/>
    <m/>
  </r>
  <r>
    <s v="1000006830"/>
    <x v="9"/>
    <s v="1200003229"/>
    <x v="67"/>
    <x v="0"/>
    <x v="20"/>
    <n v="-2"/>
    <d v="2026-07-22T00:00:00"/>
    <n v="35.4"/>
    <s v="PEN"/>
    <x v="0"/>
    <m/>
    <m/>
    <m/>
    <d v="2026-07-22T00:00:00"/>
    <n v="10.387323943661972"/>
    <m/>
    <m/>
  </r>
  <r>
    <s v="1000006830"/>
    <x v="9"/>
    <s v="1200003236"/>
    <x v="68"/>
    <x v="0"/>
    <x v="20"/>
    <n v="-2"/>
    <d v="2026-07-22T00:00:00"/>
    <n v="399.55"/>
    <s v="PEN"/>
    <x v="0"/>
    <m/>
    <m/>
    <m/>
    <d v="2026-07-22T00:00:00"/>
    <n v="117.23884976525822"/>
    <m/>
    <m/>
  </r>
  <r>
    <s v="1000006830"/>
    <x v="9"/>
    <s v="1200003237"/>
    <x v="69"/>
    <x v="0"/>
    <x v="20"/>
    <n v="-2"/>
    <d v="2026-07-22T00:00:00"/>
    <n v="47.2"/>
    <s v="PEN"/>
    <x v="0"/>
    <m/>
    <m/>
    <m/>
    <d v="2026-07-22T00:00:00"/>
    <n v="13.849765258215964"/>
    <m/>
    <m/>
  </r>
  <r>
    <s v="1000006830"/>
    <x v="9"/>
    <s v="1200003254"/>
    <x v="70"/>
    <x v="0"/>
    <x v="29"/>
    <n v="-3"/>
    <d v="2026-07-23T00:00:00"/>
    <n v="460.25"/>
    <s v="PEN"/>
    <x v="0"/>
    <m/>
    <m/>
    <m/>
    <d v="2026-07-23T00:00:00"/>
    <n v="135.049882629108"/>
    <m/>
    <m/>
  </r>
  <r>
    <s v="1000006830"/>
    <x v="9"/>
    <s v="1200003255"/>
    <x v="71"/>
    <x v="0"/>
    <x v="29"/>
    <n v="-3"/>
    <d v="2026-07-23T00:00:00"/>
    <n v="153.4"/>
    <s v="PEN"/>
    <x v="0"/>
    <m/>
    <m/>
    <m/>
    <d v="2026-07-23T00:00:00"/>
    <n v="45.01173708920188"/>
    <m/>
    <m/>
  </r>
  <r>
    <s v="1000006830"/>
    <x v="9"/>
    <s v="1200003257"/>
    <x v="72"/>
    <x v="0"/>
    <x v="29"/>
    <n v="-3"/>
    <d v="2026-07-23T00:00:00"/>
    <n v="402.85"/>
    <s v="PEN"/>
    <x v="0"/>
    <m/>
    <m/>
    <m/>
    <d v="2026-07-23T00:00:00"/>
    <n v="118.20715962441315"/>
    <m/>
    <m/>
  </r>
  <r>
    <s v="1000006830"/>
    <x v="9"/>
    <s v="1200003258"/>
    <x v="73"/>
    <x v="0"/>
    <x v="29"/>
    <n v="-3"/>
    <d v="2026-07-23T00:00:00"/>
    <n v="35.4"/>
    <s v="PEN"/>
    <x v="0"/>
    <m/>
    <m/>
    <m/>
    <d v="2026-07-23T00:00:00"/>
    <n v="10.387323943661972"/>
    <m/>
    <m/>
  </r>
  <r>
    <s v="1000006830"/>
    <x v="9"/>
    <s v="1200003276"/>
    <x v="74"/>
    <x v="0"/>
    <x v="29"/>
    <n v="-3"/>
    <d v="2026-07-23T00:00:00"/>
    <n v="690.21"/>
    <s v="PEN"/>
    <x v="0"/>
    <m/>
    <m/>
    <m/>
    <d v="2026-07-23T00:00:00"/>
    <n v="202.52640845070425"/>
    <m/>
    <m/>
  </r>
  <r>
    <s v="1000006830"/>
    <x v="9"/>
    <s v="1200003277"/>
    <x v="75"/>
    <x v="0"/>
    <x v="29"/>
    <n v="-3"/>
    <d v="2026-07-23T00:00:00"/>
    <n v="212.4"/>
    <s v="PEN"/>
    <x v="0"/>
    <m/>
    <m/>
    <m/>
    <d v="2026-07-23T00:00:00"/>
    <n v="62.323943661971832"/>
    <m/>
    <m/>
  </r>
  <r>
    <s v="1000006830"/>
    <x v="9"/>
    <s v="1200003284"/>
    <x v="76"/>
    <x v="0"/>
    <x v="16"/>
    <n v="-4"/>
    <d v="2026-07-24T00:00:00"/>
    <n v="629.41"/>
    <s v="PEN"/>
    <x v="0"/>
    <m/>
    <m/>
    <m/>
    <d v="2026-07-24T00:00:00"/>
    <n v="184.68603286384976"/>
    <m/>
    <m/>
  </r>
  <r>
    <s v="1000006830"/>
    <x v="9"/>
    <s v="1200003285"/>
    <x v="77"/>
    <x v="0"/>
    <x v="16"/>
    <n v="-4"/>
    <d v="2026-07-24T00:00:00"/>
    <n v="230.1"/>
    <s v="PEN"/>
    <x v="0"/>
    <m/>
    <m/>
    <m/>
    <d v="2026-07-24T00:00:00"/>
    <n v="67.517605633802816"/>
    <m/>
    <m/>
  </r>
  <r>
    <s v="1000006830"/>
    <x v="9"/>
    <s v="1200003286"/>
    <x v="78"/>
    <x v="0"/>
    <x v="16"/>
    <n v="-4"/>
    <d v="2026-07-24T00:00:00"/>
    <n v="367.07"/>
    <s v="PEN"/>
    <x v="0"/>
    <m/>
    <m/>
    <m/>
    <d v="2026-07-24T00:00:00"/>
    <n v="107.70833333333333"/>
    <m/>
    <m/>
  </r>
  <r>
    <s v="1000006830"/>
    <x v="9"/>
    <s v="1200003287"/>
    <x v="79"/>
    <x v="0"/>
    <x v="16"/>
    <n v="-4"/>
    <d v="2026-07-24T00:00:00"/>
    <n v="177"/>
    <s v="PEN"/>
    <x v="0"/>
    <m/>
    <m/>
    <m/>
    <d v="2026-07-24T00:00:00"/>
    <n v="51.936619718309863"/>
    <m/>
    <m/>
  </r>
  <r>
    <s v="1000006830"/>
    <x v="9"/>
    <s v="1200003289"/>
    <x v="80"/>
    <x v="0"/>
    <x v="16"/>
    <n v="-4"/>
    <d v="2026-07-24T00:00:00"/>
    <n v="331.11"/>
    <s v="PEN"/>
    <x v="0"/>
    <m/>
    <m/>
    <m/>
    <d v="2026-07-24T00:00:00"/>
    <n v="97.156690140845072"/>
    <m/>
    <m/>
  </r>
  <r>
    <s v="1000006830"/>
    <x v="9"/>
    <s v="1200003290"/>
    <x v="81"/>
    <x v="0"/>
    <x v="16"/>
    <n v="-4"/>
    <d v="2026-07-24T00:00:00"/>
    <n v="35.4"/>
    <s v="PEN"/>
    <x v="0"/>
    <m/>
    <m/>
    <m/>
    <d v="2026-07-24T00:00:00"/>
    <n v="10.387323943661972"/>
    <m/>
    <m/>
  </r>
  <r>
    <s v="2000001459"/>
    <x v="10"/>
    <s v="1300004230"/>
    <x v="82"/>
    <x v="4"/>
    <x v="10"/>
    <n v="0"/>
    <d v="2026-05-31T00:00:00"/>
    <n v="-34580"/>
    <s v="USD"/>
    <x v="1"/>
    <d v="2026-07-25T00:00:00"/>
    <m/>
    <m/>
    <d v="2026-05-31T00:00:00"/>
    <n v="-34580"/>
    <n v="55"/>
    <s v="46-60"/>
  </r>
  <r>
    <s v="2000001172"/>
    <x v="11"/>
    <s v="1300004844"/>
    <x v="83"/>
    <x v="4"/>
    <x v="30"/>
    <n v="0"/>
    <d v="2026-06-30T00:00:00"/>
    <n v="-33677"/>
    <s v="USD"/>
    <x v="1"/>
    <d v="2026-08-07T00:00:00"/>
    <m/>
    <m/>
    <d v="2026-06-30T00:00:00"/>
    <n v="-33677"/>
    <n v="42"/>
    <s v="0-45"/>
  </r>
  <r>
    <s v="2000001172"/>
    <x v="11"/>
    <s v="1300007034"/>
    <x v="84"/>
    <x v="1"/>
    <x v="31"/>
    <n v="29"/>
    <d v="2026-06-21T00:00:00"/>
    <n v="14830.54"/>
    <s v="USD"/>
    <x v="1"/>
    <d v="2026-08-20T00:00:00"/>
    <n v="-31"/>
    <d v="2026-08-20T00:00:00"/>
    <d v="2026-08-20T00:00:00"/>
    <n v="14830.54"/>
    <n v="29"/>
    <s v="0-45"/>
  </r>
  <r>
    <s v="2000001172"/>
    <x v="11"/>
    <s v="1300007035"/>
    <x v="85"/>
    <x v="1"/>
    <x v="32"/>
    <n v="27"/>
    <d v="2026-06-23T00:00:00"/>
    <n v="18230"/>
    <s v="USD"/>
    <x v="1"/>
    <d v="2026-08-22T00:00:00"/>
    <n v="-33"/>
    <d v="2026-08-22T00:00:00"/>
    <d v="2026-08-22T00:00:00"/>
    <n v="18230"/>
    <n v="27"/>
    <s v="0-45"/>
  </r>
  <r>
    <s v="2000000231"/>
    <x v="12"/>
    <s v="1200002635"/>
    <x v="86"/>
    <x v="2"/>
    <x v="33"/>
    <n v="-14"/>
    <d v="2026-08-03T00:00:00"/>
    <n v="421200"/>
    <s v="USD"/>
    <x v="1"/>
    <d v="2026-08-18T00:00:00"/>
    <n v="-14"/>
    <d v="2026-08-03T00:00:00"/>
    <d v="2026-08-03T00:00:00"/>
    <n v="421200"/>
    <n v="31"/>
    <s v="0-45"/>
  </r>
  <r>
    <s v="2000000231"/>
    <x v="12"/>
    <s v="1200002880"/>
    <x v="87"/>
    <x v="2"/>
    <x v="12"/>
    <n v="-25"/>
    <d v="2026-08-14T00:00:00"/>
    <n v="211167"/>
    <s v="USD"/>
    <x v="1"/>
    <d v="2026-08-29T00:00:00"/>
    <n v="-40"/>
    <d v="2026-08-29T00:00:00"/>
    <d v="2026-08-29T00:00:00"/>
    <n v="211167"/>
    <n v="20"/>
    <s v="0-45"/>
  </r>
  <r>
    <s v="2000000231"/>
    <x v="12"/>
    <s v="1200002882"/>
    <x v="88"/>
    <x v="2"/>
    <x v="12"/>
    <n v="-40"/>
    <d v="2026-08-29T00:00:00"/>
    <n v="105300"/>
    <s v="USD"/>
    <x v="1"/>
    <d v="2026-08-29T00:00:00"/>
    <n v="-40"/>
    <d v="2026-08-29T00:00:00"/>
    <d v="2026-08-29T00:00:00"/>
    <n v="105300"/>
    <n v="20"/>
    <s v="0-45"/>
  </r>
  <r>
    <s v="2000000233"/>
    <x v="13"/>
    <s v="1300004855"/>
    <x v="89"/>
    <x v="4"/>
    <x v="34"/>
    <n v="0"/>
    <d v="2026-06-30T00:00:00"/>
    <n v="-159925"/>
    <s v="USD"/>
    <x v="1"/>
    <d v="2026-08-08T00:00:00"/>
    <m/>
    <m/>
    <d v="2026-06-30T00:00:00"/>
    <n v="-159925"/>
    <n v="41"/>
    <s v="0-45"/>
  </r>
  <r>
    <s v="2000000233"/>
    <x v="13"/>
    <s v="1200002541"/>
    <x v="90"/>
    <x v="2"/>
    <x v="35"/>
    <n v="-8"/>
    <d v="2026-07-28T00:00:00"/>
    <n v="113004"/>
    <s v="USD"/>
    <x v="1"/>
    <d v="2026-08-12T00:00:00"/>
    <n v="-8"/>
    <d v="2026-07-28T00:00:00"/>
    <d v="2026-07-28T00:00:00"/>
    <n v="113004"/>
    <n v="37"/>
    <s v="0-45"/>
  </r>
  <r>
    <s v="2000000233"/>
    <x v="13"/>
    <s v="1300005331"/>
    <x v="91"/>
    <x v="1"/>
    <x v="36"/>
    <n v="23"/>
    <d v="2026-06-27T00:00:00"/>
    <n v="213454"/>
    <s v="USD"/>
    <x v="1"/>
    <d v="2026-08-26T00:00:00"/>
    <n v="-37"/>
    <d v="2026-08-26T00:00:00"/>
    <d v="2026-08-26T00:00:00"/>
    <n v="213454"/>
    <n v="23"/>
    <s v="0-45"/>
  </r>
  <r>
    <s v="2000000233"/>
    <x v="13"/>
    <s v="1200002904"/>
    <x v="92"/>
    <x v="2"/>
    <x v="12"/>
    <n v="-40"/>
    <d v="2026-08-29T00:00:00"/>
    <n v="533250"/>
    <s v="USD"/>
    <x v="1"/>
    <d v="2026-08-29T00:00:00"/>
    <n v="-40"/>
    <d v="2026-08-29T00:00:00"/>
    <d v="2026-08-29T00:00:00"/>
    <n v="533250"/>
    <n v="20"/>
    <s v="0-45"/>
  </r>
  <r>
    <s v="2000000233"/>
    <x v="13"/>
    <s v="1200002931"/>
    <x v="93"/>
    <x v="2"/>
    <x v="12"/>
    <n v="-25"/>
    <d v="2026-08-14T00:00:00"/>
    <n v="169092"/>
    <s v="USD"/>
    <x v="1"/>
    <d v="2026-08-29T00:00:00"/>
    <n v="-40"/>
    <d v="2026-08-29T00:00:00"/>
    <d v="2026-08-29T00:00:00"/>
    <n v="169092"/>
    <n v="20"/>
    <s v="0-45"/>
  </r>
  <r>
    <s v="2000000233"/>
    <x v="13"/>
    <s v="1200002938"/>
    <x v="94"/>
    <x v="2"/>
    <x v="12"/>
    <n v="-40"/>
    <d v="2026-08-29T00:00:00"/>
    <n v="213300"/>
    <s v="USD"/>
    <x v="1"/>
    <d v="2026-08-29T00:00:00"/>
    <n v="-40"/>
    <d v="2026-08-29T00:00:00"/>
    <d v="2026-08-29T00:00:00"/>
    <n v="213300"/>
    <n v="20"/>
    <s v="0-45"/>
  </r>
  <r>
    <s v="2000001409"/>
    <x v="14"/>
    <s v="1300005409"/>
    <x v="95"/>
    <x v="1"/>
    <x v="11"/>
    <n v="52"/>
    <d v="2026-05-29T00:00:00"/>
    <n v="45810"/>
    <s v="USD"/>
    <x v="1"/>
    <d v="2026-07-28T00:00:00"/>
    <n v="-8"/>
    <d v="2026-07-28T00:00:00"/>
    <d v="2026-07-28T00:00:00"/>
    <n v="45810"/>
    <n v="52"/>
    <s v="46-60"/>
  </r>
  <r>
    <s v="6002007"/>
    <x v="15"/>
    <s v="1200005141"/>
    <x v="96"/>
    <x v="0"/>
    <x v="37"/>
    <n v="252"/>
    <d v="2025-11-10T00:00:00"/>
    <n v="1403.26"/>
    <s v="PEN"/>
    <x v="2"/>
    <m/>
    <m/>
    <m/>
    <d v="2025-11-10T00:00:00"/>
    <n v="411.75469483568077"/>
    <m/>
    <m/>
  </r>
  <r>
    <s v="6002007"/>
    <x v="15"/>
    <s v="1200005142"/>
    <x v="97"/>
    <x v="0"/>
    <x v="37"/>
    <n v="252"/>
    <d v="2025-11-10T00:00:00"/>
    <n v="141.6"/>
    <s v="PEN"/>
    <x v="2"/>
    <m/>
    <m/>
    <m/>
    <d v="2025-11-10T00:00:00"/>
    <n v="41.549295774647888"/>
    <m/>
    <m/>
  </r>
  <r>
    <s v="6002007"/>
    <x v="15"/>
    <s v="1200005158"/>
    <x v="98"/>
    <x v="0"/>
    <x v="38"/>
    <n v="249"/>
    <d v="2025-11-13T00:00:00"/>
    <n v="1193.22"/>
    <s v="PEN"/>
    <x v="2"/>
    <m/>
    <m/>
    <m/>
    <d v="2025-11-13T00:00:00"/>
    <n v="350.12323943661971"/>
    <m/>
    <m/>
  </r>
  <r>
    <s v="6002007"/>
    <x v="15"/>
    <s v="1200005159"/>
    <x v="99"/>
    <x v="0"/>
    <x v="38"/>
    <n v="249"/>
    <d v="2025-11-13T00:00:00"/>
    <n v="106.2"/>
    <s v="PEN"/>
    <x v="2"/>
    <m/>
    <m/>
    <m/>
    <d v="2025-11-13T00:00:00"/>
    <n v="31.161971830985916"/>
    <m/>
    <m/>
  </r>
  <r>
    <s v="6002007"/>
    <x v="15"/>
    <s v="1200001503"/>
    <x v="100"/>
    <x v="0"/>
    <x v="39"/>
    <n v="68"/>
    <d v="2026-05-13T00:00:00"/>
    <n v="23.6"/>
    <s v="PEN"/>
    <x v="2"/>
    <m/>
    <m/>
    <m/>
    <d v="2026-05-13T00:00:00"/>
    <n v="6.9248826291079819"/>
    <m/>
    <m/>
  </r>
  <r>
    <s v="6002007"/>
    <x v="15"/>
    <s v="1200001504"/>
    <x v="101"/>
    <x v="0"/>
    <x v="39"/>
    <n v="68"/>
    <d v="2026-05-13T00:00:00"/>
    <n v="261.49"/>
    <s v="PEN"/>
    <x v="2"/>
    <m/>
    <m/>
    <m/>
    <d v="2026-05-13T00:00:00"/>
    <n v="76.728286384976528"/>
    <m/>
    <m/>
  </r>
  <r>
    <s v="6002007"/>
    <x v="15"/>
    <s v="1200001509"/>
    <x v="102"/>
    <x v="0"/>
    <x v="39"/>
    <n v="68"/>
    <d v="2026-05-13T00:00:00"/>
    <n v="387.51"/>
    <s v="PEN"/>
    <x v="2"/>
    <m/>
    <m/>
    <m/>
    <d v="2026-05-13T00:00:00"/>
    <n v="113.70598591549296"/>
    <m/>
    <m/>
  </r>
  <r>
    <s v="6002007"/>
    <x v="15"/>
    <s v="1200001510"/>
    <x v="103"/>
    <x v="0"/>
    <x v="39"/>
    <n v="68"/>
    <d v="2026-05-13T00:00:00"/>
    <n v="35.4"/>
    <s v="PEN"/>
    <x v="2"/>
    <m/>
    <m/>
    <m/>
    <d v="2026-05-13T00:00:00"/>
    <n v="10.387323943661972"/>
    <m/>
    <m/>
  </r>
  <r>
    <s v="6002007"/>
    <x v="15"/>
    <s v="1200001609"/>
    <x v="104"/>
    <x v="0"/>
    <x v="40"/>
    <n v="62"/>
    <d v="2026-05-19T00:00:00"/>
    <n v="482.86"/>
    <s v="PEN"/>
    <x v="2"/>
    <m/>
    <m/>
    <m/>
    <d v="2026-05-19T00:00:00"/>
    <n v="141.6842723004695"/>
    <m/>
    <m/>
  </r>
  <r>
    <s v="6002007"/>
    <x v="15"/>
    <s v="1200001610"/>
    <x v="105"/>
    <x v="0"/>
    <x v="40"/>
    <n v="62"/>
    <d v="2026-05-19T00:00:00"/>
    <n v="47.2"/>
    <s v="PEN"/>
    <x v="2"/>
    <m/>
    <m/>
    <m/>
    <d v="2026-05-19T00:00:00"/>
    <n v="13.849765258215964"/>
    <m/>
    <m/>
  </r>
  <r>
    <s v="6002007"/>
    <x v="15"/>
    <s v="1200001789"/>
    <x v="106"/>
    <x v="0"/>
    <x v="41"/>
    <n v="58"/>
    <d v="2026-05-23T00:00:00"/>
    <n v="544.45000000000005"/>
    <s v="PEN"/>
    <x v="2"/>
    <m/>
    <m/>
    <m/>
    <d v="2026-05-23T00:00:00"/>
    <n v="159.75645539906105"/>
    <m/>
    <m/>
  </r>
  <r>
    <s v="6002007"/>
    <x v="15"/>
    <s v="1200001790"/>
    <x v="107"/>
    <x v="0"/>
    <x v="41"/>
    <n v="58"/>
    <d v="2026-05-23T00:00:00"/>
    <n v="47.2"/>
    <s v="PEN"/>
    <x v="2"/>
    <m/>
    <m/>
    <m/>
    <d v="2026-05-23T00:00:00"/>
    <n v="13.849765258215964"/>
    <m/>
    <m/>
  </r>
  <r>
    <s v="6002007"/>
    <x v="15"/>
    <s v="1200002045"/>
    <x v="108"/>
    <x v="0"/>
    <x v="42"/>
    <n v="47"/>
    <d v="2026-06-03T00:00:00"/>
    <n v="591.65"/>
    <s v="PEN"/>
    <x v="2"/>
    <m/>
    <m/>
    <m/>
    <d v="2026-06-03T00:00:00"/>
    <n v="173.60622065727699"/>
    <m/>
    <m/>
  </r>
  <r>
    <s v="6002007"/>
    <x v="15"/>
    <s v="1200002046"/>
    <x v="109"/>
    <x v="0"/>
    <x v="42"/>
    <n v="47"/>
    <d v="2026-06-03T00:00:00"/>
    <n v="70.8"/>
    <s v="PEN"/>
    <x v="2"/>
    <m/>
    <m/>
    <m/>
    <d v="2026-06-03T00:00:00"/>
    <n v="20.774647887323944"/>
    <m/>
    <m/>
  </r>
  <r>
    <s v="6002007"/>
    <x v="15"/>
    <s v="1200002186"/>
    <x v="110"/>
    <x v="0"/>
    <x v="43"/>
    <n v="41"/>
    <d v="2026-06-09T00:00:00"/>
    <n v="185.97"/>
    <s v="PEN"/>
    <x v="2"/>
    <m/>
    <m/>
    <m/>
    <d v="2026-06-09T00:00:00"/>
    <n v="54.568661971830984"/>
    <m/>
    <m/>
  </r>
  <r>
    <s v="6002007"/>
    <x v="15"/>
    <s v="1200002187"/>
    <x v="111"/>
    <x v="0"/>
    <x v="43"/>
    <n v="41"/>
    <d v="2026-06-09T00:00:00"/>
    <n v="23.6"/>
    <s v="PEN"/>
    <x v="2"/>
    <m/>
    <m/>
    <m/>
    <d v="2026-06-09T00:00:00"/>
    <n v="6.9248826291079819"/>
    <m/>
    <m/>
  </r>
  <r>
    <s v="6002007"/>
    <x v="15"/>
    <s v="1200002487"/>
    <x v="112"/>
    <x v="0"/>
    <x v="35"/>
    <n v="30"/>
    <d v="2026-06-20T00:00:00"/>
    <n v="535.25"/>
    <s v="PEN"/>
    <x v="2"/>
    <m/>
    <m/>
    <m/>
    <d v="2026-06-20T00:00:00"/>
    <n v="157.05692488262912"/>
    <m/>
    <m/>
  </r>
  <r>
    <s v="6002007"/>
    <x v="15"/>
    <s v="1200002488"/>
    <x v="113"/>
    <x v="0"/>
    <x v="35"/>
    <n v="30"/>
    <d v="2026-06-20T00:00:00"/>
    <n v="70.8"/>
    <s v="PEN"/>
    <x v="2"/>
    <m/>
    <m/>
    <m/>
    <d v="2026-06-20T00:00:00"/>
    <n v="20.774647887323944"/>
    <m/>
    <m/>
  </r>
  <r>
    <s v="6002007"/>
    <x v="15"/>
    <s v="1200002956"/>
    <x v="114"/>
    <x v="0"/>
    <x v="44"/>
    <n v="10"/>
    <d v="2026-07-10T00:00:00"/>
    <n v="449.11"/>
    <s v="PEN"/>
    <x v="2"/>
    <m/>
    <m/>
    <m/>
    <d v="2026-07-10T00:00:00"/>
    <n v="131.78110328638499"/>
    <m/>
    <m/>
  </r>
  <r>
    <s v="6002007"/>
    <x v="15"/>
    <s v="1200002957"/>
    <x v="115"/>
    <x v="0"/>
    <x v="44"/>
    <n v="10"/>
    <d v="2026-07-10T00:00:00"/>
    <n v="35.4"/>
    <s v="PEN"/>
    <x v="2"/>
    <m/>
    <m/>
    <m/>
    <d v="2026-07-10T00:00:00"/>
    <n v="10.387323943661972"/>
    <m/>
    <m/>
  </r>
  <r>
    <s v="6002007"/>
    <x v="15"/>
    <s v="1200003319"/>
    <x v="116"/>
    <x v="0"/>
    <x v="16"/>
    <n v="-4"/>
    <d v="2026-07-24T00:00:00"/>
    <n v="355.65"/>
    <s v="PEN"/>
    <x v="2"/>
    <m/>
    <m/>
    <m/>
    <d v="2026-07-24T00:00:00"/>
    <n v="104.35739436619718"/>
    <m/>
    <m/>
  </r>
  <r>
    <s v="6002007"/>
    <x v="15"/>
    <s v="1200003320"/>
    <x v="117"/>
    <x v="0"/>
    <x v="16"/>
    <n v="-4"/>
    <d v="2026-07-24T00:00:00"/>
    <n v="47.2"/>
    <s v="PEN"/>
    <x v="2"/>
    <m/>
    <m/>
    <m/>
    <d v="2026-07-24T00:00:00"/>
    <n v="13.849765258215964"/>
    <m/>
    <m/>
  </r>
  <r>
    <s v="6001105"/>
    <x v="16"/>
    <s v="1200001300"/>
    <x v="118"/>
    <x v="0"/>
    <x v="45"/>
    <n v="83"/>
    <d v="2026-04-28T00:00:00"/>
    <n v="59"/>
    <s v="PEN"/>
    <x v="0"/>
    <m/>
    <m/>
    <m/>
    <d v="2026-04-28T00:00:00"/>
    <n v="17.312206572769952"/>
    <m/>
    <m/>
  </r>
  <r>
    <s v="6001105"/>
    <x v="16"/>
    <s v="1200001301"/>
    <x v="119"/>
    <x v="0"/>
    <x v="45"/>
    <n v="83"/>
    <d v="2026-04-28T00:00:00"/>
    <n v="716.71"/>
    <s v="PEN"/>
    <x v="0"/>
    <m/>
    <m/>
    <m/>
    <d v="2026-04-28T00:00:00"/>
    <n v="210.30223004694838"/>
    <m/>
    <m/>
  </r>
  <r>
    <s v="6001105"/>
    <x v="16"/>
    <s v="1200001302"/>
    <x v="120"/>
    <x v="0"/>
    <x v="45"/>
    <n v="83"/>
    <d v="2026-04-28T00:00:00"/>
    <n v="129.80000000000001"/>
    <s v="PEN"/>
    <x v="0"/>
    <m/>
    <m/>
    <m/>
    <d v="2026-04-28T00:00:00"/>
    <n v="38.086854460093903"/>
    <m/>
    <m/>
  </r>
  <r>
    <s v="6001105"/>
    <x v="16"/>
    <s v="1300004037"/>
    <x v="121"/>
    <x v="1"/>
    <x v="45"/>
    <n v="83"/>
    <d v="2026-04-28T00:00:00"/>
    <n v="422.56"/>
    <s v="PEN"/>
    <x v="0"/>
    <m/>
    <m/>
    <m/>
    <d v="2026-04-28T00:00:00"/>
    <n v="123.9906103286385"/>
    <m/>
    <m/>
  </r>
  <r>
    <s v="6001105"/>
    <x v="16"/>
    <s v="1200001648"/>
    <x v="122"/>
    <x v="0"/>
    <x v="40"/>
    <n v="69"/>
    <d v="2026-05-12T00:00:00"/>
    <n v="404.98"/>
    <s v="PEN"/>
    <x v="0"/>
    <m/>
    <m/>
    <m/>
    <d v="2026-05-12T00:00:00"/>
    <n v="118.83215962441315"/>
    <m/>
    <m/>
  </r>
  <r>
    <s v="6001105"/>
    <x v="16"/>
    <s v="1200001649"/>
    <x v="123"/>
    <x v="0"/>
    <x v="40"/>
    <n v="69"/>
    <d v="2026-05-12T00:00:00"/>
    <n v="59"/>
    <s v="PEN"/>
    <x v="0"/>
    <m/>
    <m/>
    <m/>
    <d v="2026-05-12T00:00:00"/>
    <n v="17.312206572769952"/>
    <m/>
    <m/>
  </r>
  <r>
    <s v="2000001443"/>
    <x v="17"/>
    <s v="1300004715"/>
    <x v="124"/>
    <x v="1"/>
    <x v="11"/>
    <n v="52"/>
    <d v="2026-05-29T00:00:00"/>
    <n v="67008"/>
    <s v="USD"/>
    <x v="1"/>
    <d v="2026-07-28T00:00:00"/>
    <n v="-12"/>
    <d v="2026-08-01T00:00:00"/>
    <d v="2026-08-01T00:00:00"/>
    <n v="67008"/>
    <n v="52"/>
    <s v="46-60"/>
  </r>
  <r>
    <s v="2000001359"/>
    <x v="18"/>
    <s v="1300005285"/>
    <x v="125"/>
    <x v="1"/>
    <x v="17"/>
    <n v="84"/>
    <d v="2026-04-27T00:00:00"/>
    <n v="10284"/>
    <s v="USD"/>
    <x v="1"/>
    <d v="2026-06-26T00:00:00"/>
    <n v="-11"/>
    <d v="2026-07-31T00:00:00"/>
    <d v="2026-07-31T00:00:00"/>
    <n v="10284"/>
    <n v="84"/>
    <s v="61-90"/>
  </r>
  <r>
    <s v="2000001468"/>
    <x v="19"/>
    <s v="1300004843"/>
    <x v="126"/>
    <x v="4"/>
    <x v="46"/>
    <n v="0"/>
    <d v="2026-06-30T00:00:00"/>
    <n v="-13728"/>
    <s v="USD"/>
    <x v="1"/>
    <d v="2026-08-04T00:00:00"/>
    <m/>
    <m/>
    <d v="2026-06-30T00:00:00"/>
    <n v="-13728"/>
    <n v="45"/>
    <s v="0-45"/>
  </r>
  <r>
    <s v="2000001468"/>
    <x v="19"/>
    <s v="1200003263"/>
    <x v="127"/>
    <x v="2"/>
    <x v="27"/>
    <n v="-53"/>
    <d v="2026-09-11T00:00:00"/>
    <n v="68340"/>
    <s v="USD"/>
    <x v="1"/>
    <d v="2026-09-11T00:00:00"/>
    <m/>
    <m/>
    <d v="2026-09-11T00:00:00"/>
    <n v="68340"/>
    <n v="7"/>
    <s v="0-45"/>
  </r>
  <r>
    <s v="1000013925"/>
    <x v="20"/>
    <s v="1300006898"/>
    <x v="128"/>
    <x v="1"/>
    <x v="47"/>
    <n v="272"/>
    <d v="2025-10-21T00:00:00"/>
    <n v="4460"/>
    <s v="PEN"/>
    <x v="3"/>
    <m/>
    <m/>
    <m/>
    <d v="2025-10-21T00:00:00"/>
    <n v="1308.6854460093898"/>
    <m/>
    <m/>
  </r>
  <r>
    <s v="1000013925"/>
    <x v="20"/>
    <s v="1200005124"/>
    <x v="129"/>
    <x v="0"/>
    <x v="48"/>
    <n v="251"/>
    <d v="2025-11-11T00:00:00"/>
    <n v="7097.98"/>
    <s v="PEN"/>
    <x v="3"/>
    <m/>
    <m/>
    <m/>
    <d v="2025-11-11T00:00:00"/>
    <n v="2082.7406103286385"/>
    <m/>
    <m/>
  </r>
  <r>
    <s v="1000013925"/>
    <x v="20"/>
    <s v="1200000182"/>
    <x v="130"/>
    <x v="0"/>
    <x v="49"/>
    <n v="163"/>
    <d v="2026-02-07T00:00:00"/>
    <n v="4003.46"/>
    <s v="PEN"/>
    <x v="3"/>
    <m/>
    <m/>
    <m/>
    <d v="2026-02-07T00:00:00"/>
    <n v="1174.724178403756"/>
    <m/>
    <m/>
  </r>
  <r>
    <s v="1000013925"/>
    <x v="20"/>
    <s v="1200000382"/>
    <x v="131"/>
    <x v="0"/>
    <x v="50"/>
    <n v="132"/>
    <d v="2026-03-10T00:00:00"/>
    <n v="4956"/>
    <s v="PEN"/>
    <x v="3"/>
    <m/>
    <m/>
    <m/>
    <d v="2026-03-10T00:00:00"/>
    <n v="1454.2253521126761"/>
    <m/>
    <m/>
  </r>
  <r>
    <s v="2000001380"/>
    <x v="21"/>
    <s v="1300004799"/>
    <x v="132"/>
    <x v="4"/>
    <x v="43"/>
    <n v="0"/>
    <d v="2026-06-30T00:00:00"/>
    <n v="-6470"/>
    <s v="USD"/>
    <x v="1"/>
    <d v="2026-08-01T00:00:00"/>
    <m/>
    <m/>
    <d v="2026-06-30T00:00:00"/>
    <n v="-6470"/>
    <n v="48"/>
    <s v="46-60"/>
  </r>
  <r>
    <s v="2000001380"/>
    <x v="21"/>
    <s v="1200002542"/>
    <x v="133"/>
    <x v="2"/>
    <x v="35"/>
    <n v="-8"/>
    <d v="2026-07-28T00:00:00"/>
    <n v="29250"/>
    <s v="USD"/>
    <x v="1"/>
    <d v="2026-08-12T00:00:00"/>
    <n v="-23"/>
    <d v="2026-08-12T00:00:00"/>
    <d v="2026-08-12T00:00:00"/>
    <n v="29250"/>
    <n v="37"/>
    <s v="0-45"/>
  </r>
  <r>
    <s v="1000015185"/>
    <x v="22"/>
    <s v="1200003282"/>
    <x v="134"/>
    <x v="0"/>
    <x v="16"/>
    <n v="-4"/>
    <d v="2026-07-24T00:00:00"/>
    <n v="658.82"/>
    <s v="PEN"/>
    <x v="0"/>
    <m/>
    <m/>
    <m/>
    <d v="2026-07-24T00:00:00"/>
    <n v="193.31572769953053"/>
    <m/>
    <m/>
  </r>
  <r>
    <s v="1000015185"/>
    <x v="22"/>
    <s v="1200003283"/>
    <x v="135"/>
    <x v="0"/>
    <x v="16"/>
    <n v="-4"/>
    <d v="2026-07-24T00:00:00"/>
    <n v="212.4"/>
    <s v="PEN"/>
    <x v="0"/>
    <m/>
    <m/>
    <m/>
    <d v="2026-07-24T00:00:00"/>
    <n v="62.323943661971832"/>
    <m/>
    <m/>
  </r>
  <r>
    <s v="6000434"/>
    <x v="23"/>
    <s v="1200004540"/>
    <x v="136"/>
    <x v="0"/>
    <x v="51"/>
    <n v="279"/>
    <d v="2025-10-14T00:00:00"/>
    <n v="790"/>
    <s v="PEN"/>
    <x v="4"/>
    <m/>
    <m/>
    <m/>
    <d v="2025-10-14T00:00:00"/>
    <n v="231.80751173708921"/>
    <m/>
    <m/>
  </r>
  <r>
    <s v="2000001438"/>
    <x v="24"/>
    <s v="1300007039"/>
    <x v="137"/>
    <x v="1"/>
    <x v="13"/>
    <n v="64"/>
    <d v="2026-05-17T00:00:00"/>
    <n v="161795"/>
    <s v="USD"/>
    <x v="1"/>
    <d v="2026-07-16T00:00:00"/>
    <n v="4"/>
    <d v="2026-07-16T00:00:00"/>
    <d v="2026-07-21T00:00:00"/>
    <n v="161795"/>
    <n v="64"/>
    <s v="61-90"/>
  </r>
  <r>
    <s v="2000001382"/>
    <x v="25"/>
    <s v="1300005603"/>
    <x v="138"/>
    <x v="4"/>
    <x v="22"/>
    <n v="0"/>
    <d v="2026-07-31T00:00:00"/>
    <n v="-15970"/>
    <s v="USD"/>
    <x v="1"/>
    <d v="2026-09-06T00:00:00"/>
    <m/>
    <m/>
    <d v="2026-07-31T00:00:00"/>
    <n v="-15970"/>
    <n v="12"/>
    <s v="0-45"/>
  </r>
  <r>
    <s v="2000001382"/>
    <x v="25"/>
    <s v="1300007032"/>
    <x v="139"/>
    <x v="4"/>
    <x v="29"/>
    <n v="0"/>
    <d v="2026-07-31T00:00:00"/>
    <n v="-16150"/>
    <s v="USD"/>
    <x v="1"/>
    <d v="2026-09-14T00:00:00"/>
    <m/>
    <m/>
    <d v="2026-07-31T00:00:00"/>
    <n v="-16150"/>
    <n v="4"/>
    <s v="0-45"/>
  </r>
  <r>
    <s v="1000015392"/>
    <x v="26"/>
    <s v="1100021551"/>
    <x v="140"/>
    <x v="5"/>
    <x v="52"/>
    <n v="460"/>
    <d v="2025-04-16T00:00:00"/>
    <n v="2198.11"/>
    <s v="USD"/>
    <x v="0"/>
    <d v="2025-06-15T00:00:00"/>
    <n v="46223"/>
    <m/>
    <d v="2025-04-16T00:00:00"/>
    <n v="2198.11"/>
    <n v="460"/>
    <s v="91 A MÁS"/>
  </r>
  <r>
    <s v="1000015392"/>
    <x v="26"/>
    <s v="1100021550"/>
    <x v="140"/>
    <x v="5"/>
    <x v="53"/>
    <n v="415"/>
    <d v="2025-05-31T00:00:00"/>
    <n v="7020.55"/>
    <s v="USD"/>
    <x v="0"/>
    <d v="2025-07-30T00:00:00"/>
    <n v="46223"/>
    <m/>
    <d v="2025-05-31T00:00:00"/>
    <n v="7020.55"/>
    <n v="415"/>
    <s v="91 A MÁS"/>
  </r>
  <r>
    <s v="1000015392"/>
    <x v="26"/>
    <s v="1100021552"/>
    <x v="140"/>
    <x v="5"/>
    <x v="54"/>
    <n v="335"/>
    <d v="2025-08-19T00:00:00"/>
    <n v="40781.339999999997"/>
    <s v="USD"/>
    <x v="0"/>
    <d v="2025-10-18T00:00:00"/>
    <n v="46223"/>
    <m/>
    <d v="2025-08-19T00:00:00"/>
    <n v="40781.339999999997"/>
    <n v="335"/>
    <s v="91 A MÁS"/>
  </r>
  <r>
    <s v="2000001460"/>
    <x v="27"/>
    <s v="1300004801"/>
    <x v="141"/>
    <x v="4"/>
    <x v="43"/>
    <n v="0"/>
    <d v="2026-06-30T00:00:00"/>
    <n v="-9287"/>
    <s v="USD"/>
    <x v="1"/>
    <d v="2026-08-01T00:00:00"/>
    <m/>
    <m/>
    <d v="2026-06-30T00:00:00"/>
    <n v="-9287"/>
    <n v="48"/>
    <s v="46-60"/>
  </r>
  <r>
    <s v="2000001460"/>
    <x v="27"/>
    <s v="1200002674"/>
    <x v="142"/>
    <x v="2"/>
    <x v="31"/>
    <n v="-16"/>
    <d v="2026-08-05T00:00:00"/>
    <n v="46018"/>
    <s v="USD"/>
    <x v="1"/>
    <d v="2026-08-20T00:00:00"/>
    <n v="-31"/>
    <d v="2026-08-20T00:00:00"/>
    <d v="2026-08-20T00:00:00"/>
    <n v="46018"/>
    <n v="29"/>
    <s v="0-45"/>
  </r>
  <r>
    <s v="1000001965"/>
    <x v="28"/>
    <s v="1200003073"/>
    <x v="143"/>
    <x v="0"/>
    <x v="22"/>
    <n v="5"/>
    <d v="2026-07-15T00:00:00"/>
    <n v="590"/>
    <s v="PEN"/>
    <x v="0"/>
    <m/>
    <m/>
    <m/>
    <d v="2026-07-15T00:00:00"/>
    <n v="173.12206572769952"/>
    <m/>
    <m/>
  </r>
  <r>
    <s v="1000001965"/>
    <x v="28"/>
    <s v="1200003103"/>
    <x v="144"/>
    <x v="0"/>
    <x v="24"/>
    <n v="3"/>
    <d v="2026-07-17T00:00:00"/>
    <n v="590"/>
    <s v="PEN"/>
    <x v="0"/>
    <m/>
    <m/>
    <m/>
    <d v="2026-07-17T00:00:00"/>
    <n v="173.12206572769952"/>
    <m/>
    <m/>
  </r>
  <r>
    <s v="1000001965"/>
    <x v="28"/>
    <s v="1200003167"/>
    <x v="145"/>
    <x v="0"/>
    <x v="27"/>
    <n v="0"/>
    <d v="2026-07-20T00:00:00"/>
    <n v="590"/>
    <s v="PEN"/>
    <x v="0"/>
    <m/>
    <m/>
    <m/>
    <d v="2026-07-20T00:00:00"/>
    <n v="173.12206572769952"/>
    <m/>
    <m/>
  </r>
  <r>
    <s v="1000001965"/>
    <x v="28"/>
    <s v="1200003261"/>
    <x v="146"/>
    <x v="0"/>
    <x v="29"/>
    <n v="-3"/>
    <d v="2026-07-23T00:00:00"/>
    <n v="590"/>
    <s v="PEN"/>
    <x v="0"/>
    <m/>
    <m/>
    <m/>
    <d v="2026-07-23T00:00:00"/>
    <n v="173.12206572769952"/>
    <m/>
    <m/>
  </r>
  <r>
    <s v="2000000974"/>
    <x v="29"/>
    <s v="1300007031"/>
    <x v="147"/>
    <x v="4"/>
    <x v="27"/>
    <n v="0"/>
    <d v="2026-07-31T00:00:00"/>
    <n v="-24925"/>
    <s v="USD"/>
    <x v="1"/>
    <d v="2026-09-11T00:00:00"/>
    <m/>
    <m/>
    <d v="2026-07-31T00:00:00"/>
    <n v="-24925"/>
    <n v="7"/>
    <s v="0-45"/>
  </r>
  <r>
    <s v="2000001440"/>
    <x v="30"/>
    <s v="1300002671"/>
    <x v="148"/>
    <x v="1"/>
    <x v="55"/>
    <n v="82"/>
    <d v="2026-04-29T00:00:00"/>
    <n v="56785"/>
    <s v="USD"/>
    <x v="1"/>
    <d v="2026-06-28T00:00:00"/>
    <n v="-4"/>
    <d v="2026-07-24T00:00:00"/>
    <d v="2026-07-24T00:00:00"/>
    <n v="56785"/>
    <n v="82"/>
    <s v="61-90"/>
  </r>
  <r>
    <s v="2000001440"/>
    <x v="30"/>
    <s v="1300004716"/>
    <x v="149"/>
    <x v="1"/>
    <x v="11"/>
    <n v="52"/>
    <d v="2026-05-29T00:00:00"/>
    <n v="35725"/>
    <s v="USD"/>
    <x v="1"/>
    <d v="2026-07-28T00:00:00"/>
    <n v="-37"/>
    <d v="2026-08-26T00:00:00"/>
    <d v="2026-08-26T00:00:00"/>
    <n v="35725"/>
    <n v="52"/>
    <s v="46-60"/>
  </r>
  <r>
    <s v="2000001440"/>
    <x v="30"/>
    <s v="1200002673"/>
    <x v="150"/>
    <x v="2"/>
    <x v="31"/>
    <n v="-16"/>
    <d v="2026-08-05T00:00:00"/>
    <n v="59400"/>
    <s v="USD"/>
    <x v="1"/>
    <d v="2026-08-20T00:00:00"/>
    <n v="-31"/>
    <d v="2026-08-20T00:00:00"/>
    <d v="2026-08-20T00:00:00"/>
    <n v="59400"/>
    <n v="29"/>
    <s v="0-45"/>
  </r>
  <r>
    <s v="1000013801"/>
    <x v="31"/>
    <s v="1200003113"/>
    <x v="151"/>
    <x v="0"/>
    <x v="24"/>
    <n v="3"/>
    <d v="2026-07-17T00:00:00"/>
    <n v="667.41"/>
    <s v="PEN"/>
    <x v="0"/>
    <m/>
    <m/>
    <m/>
    <d v="2026-07-17T00:00:00"/>
    <n v="195.83626760563379"/>
    <m/>
    <m/>
  </r>
  <r>
    <s v="1000013801"/>
    <x v="31"/>
    <s v="1200003114"/>
    <x v="152"/>
    <x v="0"/>
    <x v="24"/>
    <n v="3"/>
    <d v="2026-07-17T00:00:00"/>
    <n v="123.9"/>
    <s v="PEN"/>
    <x v="0"/>
    <m/>
    <m/>
    <m/>
    <d v="2026-07-17T00:00:00"/>
    <n v="36.355633802816904"/>
    <m/>
    <m/>
  </r>
  <r>
    <s v="1000013686"/>
    <x v="32"/>
    <s v="1200003104"/>
    <x v="153"/>
    <x v="0"/>
    <x v="24"/>
    <n v="3"/>
    <d v="2026-07-17T00:00:00"/>
    <n v="269.04000000000002"/>
    <s v="PEN"/>
    <x v="0"/>
    <m/>
    <m/>
    <m/>
    <d v="2026-07-17T00:00:00"/>
    <n v="78.943661971830991"/>
    <m/>
    <m/>
  </r>
  <r>
    <s v="1000013686"/>
    <x v="32"/>
    <s v="1200003134"/>
    <x v="154"/>
    <x v="0"/>
    <x v="25"/>
    <n v="2"/>
    <d v="2026-07-18T00:00:00"/>
    <n v="396.48"/>
    <s v="PEN"/>
    <x v="0"/>
    <m/>
    <m/>
    <m/>
    <d v="2026-07-18T00:00:00"/>
    <n v="116.33802816901409"/>
    <m/>
    <m/>
  </r>
  <r>
    <s v="2000000786"/>
    <x v="33"/>
    <s v="1200002885"/>
    <x v="155"/>
    <x v="2"/>
    <x v="12"/>
    <n v="-25"/>
    <d v="2026-08-14T00:00:00"/>
    <n v="30375"/>
    <s v="USD"/>
    <x v="1"/>
    <d v="2026-08-29T00:00:00"/>
    <n v="-40"/>
    <d v="2026-08-29T00:00:00"/>
    <d v="2026-08-29T00:00:00"/>
    <n v="30375"/>
    <n v="20"/>
    <s v="0-45"/>
  </r>
  <r>
    <s v="2000000786"/>
    <x v="33"/>
    <s v="1200002930"/>
    <x v="156"/>
    <x v="2"/>
    <x v="12"/>
    <n v="-25"/>
    <d v="2026-08-14T00:00:00"/>
    <n v="81574.5"/>
    <s v="USD"/>
    <x v="1"/>
    <d v="2026-08-29T00:00:00"/>
    <n v="-40"/>
    <d v="2026-08-29T00:00:00"/>
    <d v="2026-08-29T00:00:00"/>
    <n v="81574.5"/>
    <n v="20"/>
    <s v="0-45"/>
  </r>
  <r>
    <s v="2000001444"/>
    <x v="34"/>
    <s v="1300007042"/>
    <x v="157"/>
    <x v="1"/>
    <x v="33"/>
    <n v="31"/>
    <d v="2026-06-19T00:00:00"/>
    <n v="57857"/>
    <s v="USD"/>
    <x v="1"/>
    <d v="2026-08-18T00:00:00"/>
    <n v="-29"/>
    <d v="2026-08-18T00:00:00"/>
    <d v="2026-08-18T00:00:00"/>
    <n v="57857"/>
    <n v="31"/>
    <s v="0-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s v="1000013966"/>
    <x v="0"/>
    <s v="1200005220"/>
    <x v="0"/>
    <x v="0"/>
    <d v="2025-11-19T00:00:00"/>
    <n v="236"/>
    <d v="2025-11-26T00:00:00"/>
    <n v="42.48"/>
    <s v="PEN"/>
    <x v="0"/>
    <m/>
    <m/>
    <m/>
    <d v="2025-11-26T00:00:00"/>
    <n v="12.464788732394366"/>
    <m/>
    <x v="0"/>
  </r>
  <r>
    <s v="1000013966"/>
    <x v="0"/>
    <s v="1200005228"/>
    <x v="1"/>
    <x v="0"/>
    <d v="2025-11-19T00:00:00"/>
    <n v="236"/>
    <d v="2025-11-26T00:00:00"/>
    <n v="14.16"/>
    <s v="PEN"/>
    <x v="0"/>
    <m/>
    <m/>
    <m/>
    <d v="2025-11-26T00:00:00"/>
    <n v="4.154929577464789"/>
    <m/>
    <x v="0"/>
  </r>
  <r>
    <s v="1000013966"/>
    <x v="0"/>
    <s v="1200005242"/>
    <x v="2"/>
    <x v="0"/>
    <d v="2025-11-19T00:00:00"/>
    <n v="236"/>
    <d v="2025-11-26T00:00:00"/>
    <n v="14.16"/>
    <s v="PEN"/>
    <x v="0"/>
    <m/>
    <m/>
    <m/>
    <d v="2025-11-26T00:00:00"/>
    <n v="4.154929577464789"/>
    <m/>
    <x v="0"/>
  </r>
  <r>
    <s v="1000013966"/>
    <x v="0"/>
    <s v="1200005264"/>
    <x v="3"/>
    <x v="0"/>
    <d v="2025-11-20T00:00:00"/>
    <n v="235"/>
    <d v="2025-11-27T00:00:00"/>
    <n v="28.32"/>
    <s v="PEN"/>
    <x v="0"/>
    <m/>
    <m/>
    <m/>
    <d v="2025-11-27T00:00:00"/>
    <n v="8.3098591549295779"/>
    <m/>
    <x v="0"/>
  </r>
  <r>
    <s v="1000013966"/>
    <x v="0"/>
    <s v="1200005271"/>
    <x v="4"/>
    <x v="0"/>
    <d v="2025-11-20T00:00:00"/>
    <n v="235"/>
    <d v="2025-11-27T00:00:00"/>
    <n v="14.16"/>
    <s v="PEN"/>
    <x v="0"/>
    <m/>
    <m/>
    <m/>
    <d v="2025-11-27T00:00:00"/>
    <n v="4.154929577464789"/>
    <m/>
    <x v="0"/>
  </r>
  <r>
    <s v="1000013966"/>
    <x v="0"/>
    <s v="1200005296"/>
    <x v="5"/>
    <x v="0"/>
    <d v="2025-11-21T00:00:00"/>
    <n v="234"/>
    <d v="2025-11-28T00:00:00"/>
    <n v="28.32"/>
    <s v="PEN"/>
    <x v="0"/>
    <m/>
    <m/>
    <m/>
    <d v="2025-11-28T00:00:00"/>
    <n v="8.3098591549295779"/>
    <m/>
    <x v="0"/>
  </r>
  <r>
    <s v="1000013966"/>
    <x v="0"/>
    <s v="1200005302"/>
    <x v="6"/>
    <x v="0"/>
    <d v="2025-11-21T00:00:00"/>
    <n v="234"/>
    <d v="2025-11-28T00:00:00"/>
    <n v="42.48"/>
    <s v="PEN"/>
    <x v="0"/>
    <m/>
    <m/>
    <m/>
    <d v="2025-11-28T00:00:00"/>
    <n v="12.464788732394366"/>
    <m/>
    <x v="0"/>
  </r>
  <r>
    <s v="1000013966"/>
    <x v="0"/>
    <s v="1200005304"/>
    <x v="7"/>
    <x v="0"/>
    <d v="2025-11-21T00:00:00"/>
    <n v="234"/>
    <d v="2025-11-28T00:00:00"/>
    <n v="42.48"/>
    <s v="PEN"/>
    <x v="0"/>
    <m/>
    <m/>
    <m/>
    <d v="2025-11-28T00:00:00"/>
    <n v="12.464788732394366"/>
    <m/>
    <x v="0"/>
  </r>
  <r>
    <s v="1000013966"/>
    <x v="0"/>
    <s v="1200005313"/>
    <x v="8"/>
    <x v="0"/>
    <d v="2025-11-21T00:00:00"/>
    <n v="234"/>
    <d v="2025-11-28T00:00:00"/>
    <n v="14.16"/>
    <s v="PEN"/>
    <x v="0"/>
    <m/>
    <m/>
    <m/>
    <d v="2025-11-28T00:00:00"/>
    <n v="4.154929577464789"/>
    <m/>
    <x v="0"/>
  </r>
  <r>
    <s v="1000013966"/>
    <x v="0"/>
    <s v="1200005346"/>
    <x v="9"/>
    <x v="0"/>
    <d v="2025-11-22T00:00:00"/>
    <n v="233"/>
    <d v="2025-11-29T00:00:00"/>
    <n v="28.32"/>
    <s v="PEN"/>
    <x v="0"/>
    <m/>
    <m/>
    <m/>
    <d v="2025-11-29T00:00:00"/>
    <n v="8.3098591549295779"/>
    <m/>
    <x v="0"/>
  </r>
  <r>
    <s v="1000013966"/>
    <x v="0"/>
    <s v="1200005422"/>
    <x v="10"/>
    <x v="0"/>
    <d v="2025-11-27T00:00:00"/>
    <n v="228"/>
    <d v="2025-12-04T00:00:00"/>
    <n v="14.16"/>
    <s v="PEN"/>
    <x v="0"/>
    <m/>
    <m/>
    <m/>
    <d v="2025-12-04T00:00:00"/>
    <n v="4.154929577464789"/>
    <m/>
    <x v="0"/>
  </r>
  <r>
    <s v="1000013966"/>
    <x v="0"/>
    <s v="1200000045"/>
    <x v="11"/>
    <x v="0"/>
    <d v="2026-01-06T00:00:00"/>
    <n v="188"/>
    <d v="2026-01-13T00:00:00"/>
    <n v="14.16"/>
    <s v="PEN"/>
    <x v="0"/>
    <m/>
    <m/>
    <m/>
    <d v="2026-01-13T00:00:00"/>
    <n v="4.154929577464789"/>
    <m/>
    <x v="0"/>
  </r>
  <r>
    <s v="1000013966"/>
    <x v="0"/>
    <s v="1200000090"/>
    <x v="12"/>
    <x v="0"/>
    <d v="2026-01-08T00:00:00"/>
    <n v="186"/>
    <d v="2026-01-15T00:00:00"/>
    <n v="14.16"/>
    <s v="PEN"/>
    <x v="0"/>
    <m/>
    <m/>
    <m/>
    <d v="2026-01-15T00:00:00"/>
    <n v="4.154929577464789"/>
    <m/>
    <x v="0"/>
  </r>
  <r>
    <s v="1000013966"/>
    <x v="0"/>
    <s v="1200000113"/>
    <x v="13"/>
    <x v="0"/>
    <d v="2026-01-10T00:00:00"/>
    <n v="184"/>
    <d v="2026-01-17T00:00:00"/>
    <n v="14.16"/>
    <s v="PEN"/>
    <x v="0"/>
    <m/>
    <m/>
    <m/>
    <d v="2026-01-17T00:00:00"/>
    <n v="4.154929577464789"/>
    <m/>
    <x v="0"/>
  </r>
  <r>
    <s v="1000013966"/>
    <x v="0"/>
    <s v="1200000132"/>
    <x v="14"/>
    <x v="0"/>
    <d v="2026-01-16T00:00:00"/>
    <n v="178"/>
    <d v="2026-01-23T00:00:00"/>
    <n v="14.16"/>
    <s v="PEN"/>
    <x v="0"/>
    <m/>
    <m/>
    <m/>
    <d v="2026-01-23T00:00:00"/>
    <n v="4.154929577464789"/>
    <m/>
    <x v="0"/>
  </r>
  <r>
    <s v="1000013966"/>
    <x v="0"/>
    <s v="1200000133"/>
    <x v="15"/>
    <x v="0"/>
    <d v="2026-01-16T00:00:00"/>
    <n v="178"/>
    <d v="2026-01-23T00:00:00"/>
    <n v="14.16"/>
    <s v="PEN"/>
    <x v="0"/>
    <m/>
    <m/>
    <m/>
    <d v="2026-01-23T00:00:00"/>
    <n v="4.154929577464789"/>
    <m/>
    <x v="0"/>
  </r>
  <r>
    <s v="1000013966"/>
    <x v="0"/>
    <s v="1200000141"/>
    <x v="16"/>
    <x v="0"/>
    <d v="2026-01-19T00:00:00"/>
    <n v="175"/>
    <d v="2026-01-26T00:00:00"/>
    <n v="14.16"/>
    <s v="PEN"/>
    <x v="0"/>
    <m/>
    <m/>
    <m/>
    <d v="2026-01-26T00:00:00"/>
    <n v="4.154929577464789"/>
    <m/>
    <x v="0"/>
  </r>
  <r>
    <s v="2000001028"/>
    <x v="1"/>
    <s v="1300005601"/>
    <x v="17"/>
    <x v="1"/>
    <d v="2026-05-26T00:00:00"/>
    <n v="55"/>
    <d v="2026-05-26T00:00:00"/>
    <n v="78360"/>
    <s v="USD"/>
    <x v="1"/>
    <d v="2026-07-25T00:00:00"/>
    <n v="3"/>
    <d v="2026-07-17T00:00:00"/>
    <d v="2026-07-20T00:00:00"/>
    <n v="78360"/>
    <n v="55"/>
    <x v="1"/>
  </r>
  <r>
    <s v="2000001028"/>
    <x v="1"/>
    <s v="1200002135"/>
    <x v="18"/>
    <x v="2"/>
    <d v="2026-05-29T00:00:00"/>
    <n v="7"/>
    <d v="2026-07-13T00:00:00"/>
    <n v="234900"/>
    <s v="USD"/>
    <x v="1"/>
    <d v="2026-07-28T00:00:00"/>
    <n v="3"/>
    <d v="2026-07-17T00:00:00"/>
    <d v="2026-07-20T00:00:00"/>
    <n v="234900"/>
    <n v="52"/>
    <x v="1"/>
  </r>
  <r>
    <s v="2000001028"/>
    <x v="1"/>
    <s v="1300004711"/>
    <x v="19"/>
    <x v="1"/>
    <d v="2026-05-29T00:00:00"/>
    <n v="52"/>
    <d v="2026-05-29T00:00:00"/>
    <n v="336990"/>
    <s v="USD"/>
    <x v="1"/>
    <d v="2026-07-28T00:00:00"/>
    <n v="-21"/>
    <d v="2026-08-10T00:00:00"/>
    <d v="2026-08-10T00:00:00"/>
    <n v="336990"/>
    <n v="52"/>
    <x v="1"/>
  </r>
  <r>
    <s v="2000001028"/>
    <x v="1"/>
    <s v="1300005598"/>
    <x v="20"/>
    <x v="1"/>
    <d v="2026-06-30T00:00:00"/>
    <n v="20"/>
    <d v="2026-06-30T00:00:00"/>
    <n v="218730"/>
    <s v="USD"/>
    <x v="1"/>
    <d v="2026-08-29T00:00:00"/>
    <n v="-40"/>
    <d v="2026-08-29T00:00:00"/>
    <d v="2026-08-29T00:00:00"/>
    <n v="218730"/>
    <n v="20"/>
    <x v="2"/>
  </r>
  <r>
    <s v="1000013676"/>
    <x v="2"/>
    <s v="1200001798"/>
    <x v="21"/>
    <x v="3"/>
    <d v="2026-05-17T00:00:00"/>
    <n v="57"/>
    <d v="2026-05-24T00:00:00"/>
    <n v="365.8"/>
    <s v="PEN"/>
    <x v="0"/>
    <m/>
    <m/>
    <m/>
    <d v="2026-05-24T00:00:00"/>
    <n v="107.33568075117371"/>
    <m/>
    <x v="0"/>
  </r>
  <r>
    <s v="1000013676"/>
    <x v="2"/>
    <s v="1200001799"/>
    <x v="22"/>
    <x v="3"/>
    <d v="2026-05-17T00:00:00"/>
    <n v="57"/>
    <d v="2026-05-24T00:00:00"/>
    <n v="47.2"/>
    <s v="PEN"/>
    <x v="0"/>
    <m/>
    <m/>
    <m/>
    <d v="2026-05-24T00:00:00"/>
    <n v="13.849765258215964"/>
    <m/>
    <x v="0"/>
  </r>
  <r>
    <s v="1000013676"/>
    <x v="2"/>
    <s v="1200002786"/>
    <x v="23"/>
    <x v="3"/>
    <d v="2026-06-28T00:00:00"/>
    <n v="15"/>
    <d v="2026-07-05T00:00:00"/>
    <n v="820.1"/>
    <s v="PEN"/>
    <x v="0"/>
    <m/>
    <m/>
    <m/>
    <d v="2026-07-05T00:00:00"/>
    <n v="240.63967136150237"/>
    <m/>
    <x v="0"/>
  </r>
  <r>
    <s v="1000013676"/>
    <x v="2"/>
    <s v="1200002787"/>
    <x v="24"/>
    <x v="3"/>
    <d v="2026-06-28T00:00:00"/>
    <n v="15"/>
    <d v="2026-07-05T00:00:00"/>
    <n v="70.8"/>
    <s v="PEN"/>
    <x v="0"/>
    <m/>
    <m/>
    <m/>
    <d v="2026-07-05T00:00:00"/>
    <n v="20.774647887323944"/>
    <m/>
    <x v="0"/>
  </r>
  <r>
    <s v="1000013678"/>
    <x v="3"/>
    <s v="1200003045"/>
    <x v="25"/>
    <x v="0"/>
    <d v="2026-07-07T00:00:00"/>
    <n v="6"/>
    <d v="2026-07-14T00:00:00"/>
    <n v="283.2"/>
    <s v="PEN"/>
    <x v="0"/>
    <m/>
    <m/>
    <m/>
    <d v="2026-07-14T00:00:00"/>
    <n v="83.098591549295776"/>
    <m/>
    <x v="0"/>
  </r>
  <r>
    <s v="1000013754"/>
    <x v="4"/>
    <s v="1200003301"/>
    <x v="26"/>
    <x v="3"/>
    <d v="2026-07-17T00:00:00"/>
    <n v="-4"/>
    <d v="2026-07-24T00:00:00"/>
    <n v="398.84"/>
    <s v="PEN"/>
    <x v="0"/>
    <m/>
    <m/>
    <m/>
    <d v="2026-07-24T00:00:00"/>
    <n v="117.03051643192488"/>
    <m/>
    <x v="0"/>
  </r>
  <r>
    <s v="1000013754"/>
    <x v="4"/>
    <s v="1200003302"/>
    <x v="27"/>
    <x v="3"/>
    <d v="2026-07-17T00:00:00"/>
    <n v="-4"/>
    <d v="2026-07-24T00:00:00"/>
    <n v="47.2"/>
    <s v="PEN"/>
    <x v="0"/>
    <m/>
    <m/>
    <m/>
    <d v="2026-07-24T00:00:00"/>
    <n v="13.849765258215964"/>
    <m/>
    <x v="0"/>
  </r>
  <r>
    <s v="2000001368"/>
    <x v="5"/>
    <s v="1300004854"/>
    <x v="28"/>
    <x v="1"/>
    <d v="2026-04-27T00:00:00"/>
    <n v="84"/>
    <d v="2026-04-27T00:00:00"/>
    <n v="15163"/>
    <s v="USD"/>
    <x v="1"/>
    <d v="2026-06-26T00:00:00"/>
    <n v="-11"/>
    <d v="2026-07-31T00:00:00"/>
    <d v="2026-07-31T00:00:00"/>
    <n v="15163"/>
    <n v="84"/>
    <x v="3"/>
  </r>
  <r>
    <s v="2000001361"/>
    <x v="6"/>
    <s v="1300004210"/>
    <x v="29"/>
    <x v="1"/>
    <d v="2026-04-12T00:00:00"/>
    <n v="99"/>
    <d v="2026-04-12T00:00:00"/>
    <n v="16355.92"/>
    <s v="USD"/>
    <x v="1"/>
    <d v="2026-06-11T00:00:00"/>
    <n v="-11"/>
    <d v="2026-07-31T00:00:00"/>
    <d v="2026-07-31T00:00:00"/>
    <n v="16355.92"/>
    <n v="99"/>
    <x v="4"/>
  </r>
  <r>
    <s v="2000001439"/>
    <x v="7"/>
    <s v="1300005406"/>
    <x v="30"/>
    <x v="4"/>
    <d v="2026-07-01T00:00:00"/>
    <n v="0"/>
    <d v="2026-07-31T00:00:00"/>
    <n v="-14712"/>
    <s v="USD"/>
    <x v="1"/>
    <d v="2026-08-30T00:00:00"/>
    <m/>
    <m/>
    <d v="2026-07-31T00:00:00"/>
    <n v="-14712"/>
    <n v="19"/>
    <x v="2"/>
  </r>
  <r>
    <s v="2000001439"/>
    <x v="7"/>
    <s v="1300007036"/>
    <x v="31"/>
    <x v="4"/>
    <d v="2026-07-15T00:00:00"/>
    <n v="0"/>
    <d v="2026-07-31T00:00:00"/>
    <n v="-14442"/>
    <s v="USD"/>
    <x v="1"/>
    <d v="2026-09-13T00:00:00"/>
    <m/>
    <m/>
    <d v="2026-07-31T00:00:00"/>
    <n v="-14442"/>
    <n v="5"/>
    <x v="2"/>
  </r>
  <r>
    <s v="6002186"/>
    <x v="8"/>
    <s v="1200003015"/>
    <x v="32"/>
    <x v="0"/>
    <d v="2026-07-06T00:00:00"/>
    <n v="7"/>
    <d v="2026-07-13T00:00:00"/>
    <n v="8692.67"/>
    <s v="USD"/>
    <x v="0"/>
    <d v="2026-09-04T00:00:00"/>
    <n v="46223"/>
    <m/>
    <d v="2026-07-13T00:00:00"/>
    <n v="8692.67"/>
    <n v="14"/>
    <x v="2"/>
  </r>
  <r>
    <s v="6002186"/>
    <x v="8"/>
    <s v="1200003016"/>
    <x v="33"/>
    <x v="0"/>
    <d v="2026-07-06T00:00:00"/>
    <n v="7"/>
    <d v="2026-07-13T00:00:00"/>
    <n v="3596.64"/>
    <s v="USD"/>
    <x v="0"/>
    <d v="2026-09-04T00:00:00"/>
    <n v="46223"/>
    <m/>
    <d v="2026-07-13T00:00:00"/>
    <n v="3596.64"/>
    <n v="14"/>
    <x v="2"/>
  </r>
  <r>
    <s v="1000006830"/>
    <x v="9"/>
    <s v="1200003020"/>
    <x v="34"/>
    <x v="0"/>
    <d v="2026-07-06T00:00:00"/>
    <n v="7"/>
    <d v="2026-07-13T00:00:00"/>
    <n v="773.61"/>
    <s v="PEN"/>
    <x v="0"/>
    <m/>
    <m/>
    <m/>
    <d v="2026-07-13T00:00:00"/>
    <n v="226.99823943661974"/>
    <m/>
    <x v="0"/>
  </r>
  <r>
    <s v="1000006830"/>
    <x v="9"/>
    <s v="1200003021"/>
    <x v="35"/>
    <x v="0"/>
    <d v="2026-07-06T00:00:00"/>
    <n v="7"/>
    <d v="2026-07-13T00:00:00"/>
    <n v="70.8"/>
    <s v="PEN"/>
    <x v="0"/>
    <m/>
    <m/>
    <m/>
    <d v="2026-07-13T00:00:00"/>
    <n v="20.774647887323944"/>
    <m/>
    <x v="0"/>
  </r>
  <r>
    <s v="1000006830"/>
    <x v="9"/>
    <s v="1200003026"/>
    <x v="36"/>
    <x v="0"/>
    <d v="2026-07-06T00:00:00"/>
    <n v="7"/>
    <d v="2026-07-13T00:00:00"/>
    <n v="428.1"/>
    <s v="PEN"/>
    <x v="0"/>
    <m/>
    <m/>
    <m/>
    <d v="2026-07-13T00:00:00"/>
    <n v="125.61619718309861"/>
    <m/>
    <x v="0"/>
  </r>
  <r>
    <s v="1000006830"/>
    <x v="9"/>
    <s v="1200003027"/>
    <x v="37"/>
    <x v="0"/>
    <d v="2026-07-06T00:00:00"/>
    <n v="7"/>
    <d v="2026-07-13T00:00:00"/>
    <n v="35.4"/>
    <s v="PEN"/>
    <x v="0"/>
    <m/>
    <m/>
    <m/>
    <d v="2026-07-13T00:00:00"/>
    <n v="10.387323943661972"/>
    <m/>
    <x v="0"/>
  </r>
  <r>
    <s v="1000006830"/>
    <x v="9"/>
    <s v="1200003040"/>
    <x v="38"/>
    <x v="0"/>
    <d v="2026-07-06T00:00:00"/>
    <n v="7"/>
    <d v="2026-07-13T00:00:00"/>
    <n v="202.49"/>
    <s v="PEN"/>
    <x v="0"/>
    <m/>
    <m/>
    <m/>
    <d v="2026-07-13T00:00:00"/>
    <n v="59.416079812206576"/>
    <m/>
    <x v="0"/>
  </r>
  <r>
    <s v="1000006830"/>
    <x v="9"/>
    <s v="1200003041"/>
    <x v="39"/>
    <x v="0"/>
    <d v="2026-07-06T00:00:00"/>
    <n v="7"/>
    <d v="2026-07-13T00:00:00"/>
    <n v="70.8"/>
    <s v="PEN"/>
    <x v="0"/>
    <m/>
    <m/>
    <m/>
    <d v="2026-07-13T00:00:00"/>
    <n v="20.774647887323944"/>
    <m/>
    <x v="0"/>
  </r>
  <r>
    <s v="1000006830"/>
    <x v="9"/>
    <s v="1200003042"/>
    <x v="40"/>
    <x v="0"/>
    <d v="2026-07-06T00:00:00"/>
    <n v="7"/>
    <d v="2026-07-13T00:00:00"/>
    <n v="571.59"/>
    <s v="PEN"/>
    <x v="0"/>
    <m/>
    <m/>
    <m/>
    <d v="2026-07-13T00:00:00"/>
    <n v="167.72007042253523"/>
    <m/>
    <x v="0"/>
  </r>
  <r>
    <s v="1000006830"/>
    <x v="9"/>
    <s v="1200003043"/>
    <x v="41"/>
    <x v="0"/>
    <d v="2026-07-06T00:00:00"/>
    <n v="7"/>
    <d v="2026-07-13T00:00:00"/>
    <n v="159.30000000000001"/>
    <s v="PEN"/>
    <x v="0"/>
    <m/>
    <m/>
    <m/>
    <d v="2026-07-13T00:00:00"/>
    <n v="46.742957746478879"/>
    <m/>
    <x v="0"/>
  </r>
  <r>
    <s v="1000006830"/>
    <x v="9"/>
    <s v="1200003046"/>
    <x v="42"/>
    <x v="0"/>
    <d v="2026-07-07T00:00:00"/>
    <n v="6"/>
    <d v="2026-07-14T00:00:00"/>
    <n v="427.16"/>
    <s v="PEN"/>
    <x v="0"/>
    <m/>
    <m/>
    <m/>
    <d v="2026-07-14T00:00:00"/>
    <n v="125.34037558685446"/>
    <m/>
    <x v="0"/>
  </r>
  <r>
    <s v="1000006830"/>
    <x v="9"/>
    <s v="1200003047"/>
    <x v="43"/>
    <x v="0"/>
    <d v="2026-07-07T00:00:00"/>
    <n v="6"/>
    <d v="2026-07-14T00:00:00"/>
    <n v="70.8"/>
    <s v="PEN"/>
    <x v="0"/>
    <m/>
    <m/>
    <m/>
    <d v="2026-07-14T00:00:00"/>
    <n v="20.774647887323944"/>
    <m/>
    <x v="0"/>
  </r>
  <r>
    <s v="1000006830"/>
    <x v="9"/>
    <s v="1200003065"/>
    <x v="44"/>
    <x v="0"/>
    <d v="2026-07-08T00:00:00"/>
    <n v="5"/>
    <d v="2026-07-15T00:00:00"/>
    <n v="359.43"/>
    <s v="PEN"/>
    <x v="0"/>
    <m/>
    <m/>
    <m/>
    <d v="2026-07-15T00:00:00"/>
    <n v="105.46654929577466"/>
    <m/>
    <x v="0"/>
  </r>
  <r>
    <s v="1000006830"/>
    <x v="9"/>
    <s v="1200003066"/>
    <x v="45"/>
    <x v="0"/>
    <d v="2026-07-08T00:00:00"/>
    <n v="5"/>
    <d v="2026-07-15T00:00:00"/>
    <n v="47.2"/>
    <s v="PEN"/>
    <x v="0"/>
    <m/>
    <m/>
    <m/>
    <d v="2026-07-15T00:00:00"/>
    <n v="13.849765258215964"/>
    <m/>
    <x v="0"/>
  </r>
  <r>
    <s v="1000006830"/>
    <x v="9"/>
    <s v="1200003086"/>
    <x v="46"/>
    <x v="0"/>
    <d v="2026-07-09T00:00:00"/>
    <n v="4"/>
    <d v="2026-07-16T00:00:00"/>
    <n v="344.8"/>
    <s v="PEN"/>
    <x v="0"/>
    <m/>
    <m/>
    <m/>
    <d v="2026-07-16T00:00:00"/>
    <n v="101.17370892018779"/>
    <m/>
    <x v="0"/>
  </r>
  <r>
    <s v="1000006830"/>
    <x v="9"/>
    <s v="1200003087"/>
    <x v="47"/>
    <x v="0"/>
    <d v="2026-07-09T00:00:00"/>
    <n v="4"/>
    <d v="2026-07-16T00:00:00"/>
    <n v="47.2"/>
    <s v="PEN"/>
    <x v="0"/>
    <m/>
    <m/>
    <m/>
    <d v="2026-07-16T00:00:00"/>
    <n v="13.849765258215964"/>
    <m/>
    <x v="0"/>
  </r>
  <r>
    <s v="1000006830"/>
    <x v="9"/>
    <s v="1200003101"/>
    <x v="48"/>
    <x v="0"/>
    <d v="2026-07-10T00:00:00"/>
    <n v="3"/>
    <d v="2026-07-17T00:00:00"/>
    <n v="521.70000000000005"/>
    <s v="PEN"/>
    <x v="0"/>
    <m/>
    <m/>
    <m/>
    <d v="2026-07-17T00:00:00"/>
    <n v="153.08098591549299"/>
    <m/>
    <x v="0"/>
  </r>
  <r>
    <s v="1000006830"/>
    <x v="9"/>
    <s v="1200003102"/>
    <x v="49"/>
    <x v="0"/>
    <d v="2026-07-10T00:00:00"/>
    <n v="3"/>
    <d v="2026-07-17T00:00:00"/>
    <n v="153.4"/>
    <s v="PEN"/>
    <x v="0"/>
    <m/>
    <m/>
    <m/>
    <d v="2026-07-17T00:00:00"/>
    <n v="45.01173708920188"/>
    <m/>
    <x v="0"/>
  </r>
  <r>
    <s v="1000006830"/>
    <x v="9"/>
    <s v="1200003105"/>
    <x v="50"/>
    <x v="0"/>
    <d v="2026-07-10T00:00:00"/>
    <n v="3"/>
    <d v="2026-07-17T00:00:00"/>
    <n v="162.88999999999999"/>
    <s v="PEN"/>
    <x v="0"/>
    <m/>
    <m/>
    <m/>
    <d v="2026-07-17T00:00:00"/>
    <n v="47.796361502347416"/>
    <m/>
    <x v="0"/>
  </r>
  <r>
    <s v="1000006830"/>
    <x v="9"/>
    <s v="1200003106"/>
    <x v="51"/>
    <x v="0"/>
    <d v="2026-07-10T00:00:00"/>
    <n v="3"/>
    <d v="2026-07-17T00:00:00"/>
    <n v="123.9"/>
    <s v="PEN"/>
    <x v="0"/>
    <m/>
    <m/>
    <m/>
    <d v="2026-07-17T00:00:00"/>
    <n v="36.355633802816904"/>
    <m/>
    <x v="0"/>
  </r>
  <r>
    <s v="1000006830"/>
    <x v="9"/>
    <s v="1200003126"/>
    <x v="52"/>
    <x v="0"/>
    <d v="2026-07-11T00:00:00"/>
    <n v="2"/>
    <d v="2026-07-18T00:00:00"/>
    <n v="375.71"/>
    <s v="PEN"/>
    <x v="0"/>
    <m/>
    <m/>
    <m/>
    <d v="2026-07-18T00:00:00"/>
    <n v="110.24354460093896"/>
    <m/>
    <x v="0"/>
  </r>
  <r>
    <s v="1000006830"/>
    <x v="9"/>
    <s v="1200003127"/>
    <x v="53"/>
    <x v="0"/>
    <d v="2026-07-11T00:00:00"/>
    <n v="2"/>
    <d v="2026-07-18T00:00:00"/>
    <n v="35.4"/>
    <s v="PEN"/>
    <x v="0"/>
    <m/>
    <m/>
    <m/>
    <d v="2026-07-18T00:00:00"/>
    <n v="10.387323943661972"/>
    <m/>
    <x v="0"/>
  </r>
  <r>
    <s v="1000006830"/>
    <x v="9"/>
    <s v="1200003135"/>
    <x v="54"/>
    <x v="0"/>
    <d v="2026-07-11T00:00:00"/>
    <n v="2"/>
    <d v="2026-07-18T00:00:00"/>
    <n v="391.52"/>
    <s v="PEN"/>
    <x v="0"/>
    <m/>
    <m/>
    <m/>
    <d v="2026-07-18T00:00:00"/>
    <n v="114.88262910798122"/>
    <m/>
    <x v="0"/>
  </r>
  <r>
    <s v="1000006830"/>
    <x v="9"/>
    <s v="1200003136"/>
    <x v="55"/>
    <x v="0"/>
    <d v="2026-07-11T00:00:00"/>
    <n v="2"/>
    <d v="2026-07-18T00:00:00"/>
    <n v="135.69999999999999"/>
    <s v="PEN"/>
    <x v="0"/>
    <m/>
    <m/>
    <m/>
    <d v="2026-07-18T00:00:00"/>
    <n v="39.818075117370888"/>
    <m/>
    <x v="0"/>
  </r>
  <r>
    <s v="1000006830"/>
    <x v="9"/>
    <s v="1200003141"/>
    <x v="56"/>
    <x v="0"/>
    <d v="2026-07-12T00:00:00"/>
    <n v="1"/>
    <d v="2026-07-19T00:00:00"/>
    <n v="1809.93"/>
    <s v="PEN"/>
    <x v="0"/>
    <m/>
    <m/>
    <m/>
    <d v="2026-07-19T00:00:00"/>
    <n v="531.08274647887322"/>
    <m/>
    <x v="0"/>
  </r>
  <r>
    <s v="1000006830"/>
    <x v="9"/>
    <s v="1200003142"/>
    <x v="57"/>
    <x v="0"/>
    <d v="2026-07-12T00:00:00"/>
    <n v="1"/>
    <d v="2026-07-19T00:00:00"/>
    <n v="454.3"/>
    <s v="PEN"/>
    <x v="0"/>
    <m/>
    <m/>
    <m/>
    <d v="2026-07-19T00:00:00"/>
    <n v="133.30399061032864"/>
    <m/>
    <x v="0"/>
  </r>
  <r>
    <s v="1000006830"/>
    <x v="9"/>
    <s v="1200003165"/>
    <x v="58"/>
    <x v="0"/>
    <d v="2026-07-13T00:00:00"/>
    <n v="0"/>
    <d v="2026-07-20T00:00:00"/>
    <n v="675.2"/>
    <s v="PEN"/>
    <x v="0"/>
    <m/>
    <m/>
    <m/>
    <d v="2026-07-20T00:00:00"/>
    <n v="198.12206572769955"/>
    <m/>
    <x v="0"/>
  </r>
  <r>
    <s v="1000006830"/>
    <x v="9"/>
    <s v="1200003166"/>
    <x v="59"/>
    <x v="0"/>
    <d v="2026-07-13T00:00:00"/>
    <n v="0"/>
    <d v="2026-07-20T00:00:00"/>
    <n v="82.6"/>
    <s v="PEN"/>
    <x v="0"/>
    <m/>
    <m/>
    <m/>
    <d v="2026-07-20T00:00:00"/>
    <n v="24.237089201877932"/>
    <m/>
    <x v="0"/>
  </r>
  <r>
    <s v="1000006830"/>
    <x v="9"/>
    <s v="1200003181"/>
    <x v="60"/>
    <x v="0"/>
    <d v="2026-07-14T00:00:00"/>
    <n v="-1"/>
    <d v="2026-07-21T00:00:00"/>
    <n v="744.39"/>
    <s v="PEN"/>
    <x v="0"/>
    <m/>
    <m/>
    <m/>
    <d v="2026-07-21T00:00:00"/>
    <n v="218.4242957746479"/>
    <m/>
    <x v="0"/>
  </r>
  <r>
    <s v="1000006830"/>
    <x v="9"/>
    <s v="1200003182"/>
    <x v="61"/>
    <x v="0"/>
    <d v="2026-07-14T00:00:00"/>
    <n v="-1"/>
    <d v="2026-07-21T00:00:00"/>
    <n v="218.3"/>
    <s v="PEN"/>
    <x v="0"/>
    <m/>
    <m/>
    <m/>
    <d v="2026-07-21T00:00:00"/>
    <n v="64.055164319248831"/>
    <m/>
    <x v="0"/>
  </r>
  <r>
    <s v="1000006830"/>
    <x v="9"/>
    <s v="1200003204"/>
    <x v="62"/>
    <x v="0"/>
    <d v="2026-07-14T00:00:00"/>
    <n v="-1"/>
    <d v="2026-07-21T00:00:00"/>
    <n v="703.04"/>
    <s v="PEN"/>
    <x v="0"/>
    <m/>
    <m/>
    <m/>
    <d v="2026-07-21T00:00:00"/>
    <n v="206.29107981220656"/>
    <m/>
    <x v="0"/>
  </r>
  <r>
    <s v="1000006830"/>
    <x v="9"/>
    <s v="1200003205"/>
    <x v="63"/>
    <x v="0"/>
    <d v="2026-07-14T00:00:00"/>
    <n v="-1"/>
    <d v="2026-07-21T00:00:00"/>
    <n v="70.8"/>
    <s v="PEN"/>
    <x v="0"/>
    <m/>
    <m/>
    <m/>
    <d v="2026-07-21T00:00:00"/>
    <n v="20.774647887323944"/>
    <m/>
    <x v="0"/>
  </r>
  <r>
    <s v="1000006830"/>
    <x v="9"/>
    <s v="1200003206"/>
    <x v="64"/>
    <x v="0"/>
    <d v="2026-07-14T00:00:00"/>
    <n v="-1"/>
    <d v="2026-07-21T00:00:00"/>
    <n v="157.41"/>
    <s v="PEN"/>
    <x v="0"/>
    <m/>
    <m/>
    <m/>
    <d v="2026-07-21T00:00:00"/>
    <n v="46.188380281690144"/>
    <m/>
    <x v="0"/>
  </r>
  <r>
    <s v="1000006830"/>
    <x v="9"/>
    <s v="1200003207"/>
    <x v="65"/>
    <x v="0"/>
    <d v="2026-07-14T00:00:00"/>
    <n v="-1"/>
    <d v="2026-07-21T00:00:00"/>
    <n v="35.4"/>
    <s v="PEN"/>
    <x v="0"/>
    <m/>
    <m/>
    <m/>
    <d v="2026-07-21T00:00:00"/>
    <n v="10.387323943661972"/>
    <m/>
    <x v="0"/>
  </r>
  <r>
    <s v="1000006830"/>
    <x v="9"/>
    <s v="1200003228"/>
    <x v="66"/>
    <x v="0"/>
    <d v="2026-07-15T00:00:00"/>
    <n v="-2"/>
    <d v="2026-07-22T00:00:00"/>
    <n v="438.02"/>
    <s v="PEN"/>
    <x v="0"/>
    <m/>
    <m/>
    <m/>
    <d v="2026-07-22T00:00:00"/>
    <n v="128.52699530516432"/>
    <m/>
    <x v="0"/>
  </r>
  <r>
    <s v="1000006830"/>
    <x v="9"/>
    <s v="1200003229"/>
    <x v="67"/>
    <x v="0"/>
    <d v="2026-07-15T00:00:00"/>
    <n v="-2"/>
    <d v="2026-07-22T00:00:00"/>
    <n v="35.4"/>
    <s v="PEN"/>
    <x v="0"/>
    <m/>
    <m/>
    <m/>
    <d v="2026-07-22T00:00:00"/>
    <n v="10.387323943661972"/>
    <m/>
    <x v="0"/>
  </r>
  <r>
    <s v="1000006830"/>
    <x v="9"/>
    <s v="1200003236"/>
    <x v="68"/>
    <x v="0"/>
    <d v="2026-07-15T00:00:00"/>
    <n v="-2"/>
    <d v="2026-07-22T00:00:00"/>
    <n v="399.55"/>
    <s v="PEN"/>
    <x v="0"/>
    <m/>
    <m/>
    <m/>
    <d v="2026-07-22T00:00:00"/>
    <n v="117.23884976525822"/>
    <m/>
    <x v="0"/>
  </r>
  <r>
    <s v="1000006830"/>
    <x v="9"/>
    <s v="1200003237"/>
    <x v="69"/>
    <x v="0"/>
    <d v="2026-07-15T00:00:00"/>
    <n v="-2"/>
    <d v="2026-07-22T00:00:00"/>
    <n v="47.2"/>
    <s v="PEN"/>
    <x v="0"/>
    <m/>
    <m/>
    <m/>
    <d v="2026-07-22T00:00:00"/>
    <n v="13.849765258215964"/>
    <m/>
    <x v="0"/>
  </r>
  <r>
    <s v="1000006830"/>
    <x v="9"/>
    <s v="1200003254"/>
    <x v="70"/>
    <x v="0"/>
    <d v="2026-07-16T00:00:00"/>
    <n v="-3"/>
    <d v="2026-07-23T00:00:00"/>
    <n v="460.25"/>
    <s v="PEN"/>
    <x v="0"/>
    <m/>
    <m/>
    <m/>
    <d v="2026-07-23T00:00:00"/>
    <n v="135.049882629108"/>
    <m/>
    <x v="0"/>
  </r>
  <r>
    <s v="1000006830"/>
    <x v="9"/>
    <s v="1200003255"/>
    <x v="71"/>
    <x v="0"/>
    <d v="2026-07-16T00:00:00"/>
    <n v="-3"/>
    <d v="2026-07-23T00:00:00"/>
    <n v="153.4"/>
    <s v="PEN"/>
    <x v="0"/>
    <m/>
    <m/>
    <m/>
    <d v="2026-07-23T00:00:00"/>
    <n v="45.01173708920188"/>
    <m/>
    <x v="0"/>
  </r>
  <r>
    <s v="1000006830"/>
    <x v="9"/>
    <s v="1200003257"/>
    <x v="72"/>
    <x v="0"/>
    <d v="2026-07-16T00:00:00"/>
    <n v="-3"/>
    <d v="2026-07-23T00:00:00"/>
    <n v="402.85"/>
    <s v="PEN"/>
    <x v="0"/>
    <m/>
    <m/>
    <m/>
    <d v="2026-07-23T00:00:00"/>
    <n v="118.20715962441315"/>
    <m/>
    <x v="0"/>
  </r>
  <r>
    <s v="1000006830"/>
    <x v="9"/>
    <s v="1200003258"/>
    <x v="73"/>
    <x v="0"/>
    <d v="2026-07-16T00:00:00"/>
    <n v="-3"/>
    <d v="2026-07-23T00:00:00"/>
    <n v="35.4"/>
    <s v="PEN"/>
    <x v="0"/>
    <m/>
    <m/>
    <m/>
    <d v="2026-07-23T00:00:00"/>
    <n v="10.387323943661972"/>
    <m/>
    <x v="0"/>
  </r>
  <r>
    <s v="1000006830"/>
    <x v="9"/>
    <s v="1200003276"/>
    <x v="74"/>
    <x v="0"/>
    <d v="2026-07-16T00:00:00"/>
    <n v="-3"/>
    <d v="2026-07-23T00:00:00"/>
    <n v="690.21"/>
    <s v="PEN"/>
    <x v="0"/>
    <m/>
    <m/>
    <m/>
    <d v="2026-07-23T00:00:00"/>
    <n v="202.52640845070425"/>
    <m/>
    <x v="0"/>
  </r>
  <r>
    <s v="1000006830"/>
    <x v="9"/>
    <s v="1200003277"/>
    <x v="75"/>
    <x v="0"/>
    <d v="2026-07-16T00:00:00"/>
    <n v="-3"/>
    <d v="2026-07-23T00:00:00"/>
    <n v="212.4"/>
    <s v="PEN"/>
    <x v="0"/>
    <m/>
    <m/>
    <m/>
    <d v="2026-07-23T00:00:00"/>
    <n v="62.323943661971832"/>
    <m/>
    <x v="0"/>
  </r>
  <r>
    <s v="1000006830"/>
    <x v="9"/>
    <s v="1200003284"/>
    <x v="76"/>
    <x v="0"/>
    <d v="2026-07-17T00:00:00"/>
    <n v="-4"/>
    <d v="2026-07-24T00:00:00"/>
    <n v="629.41"/>
    <s v="PEN"/>
    <x v="0"/>
    <m/>
    <m/>
    <m/>
    <d v="2026-07-24T00:00:00"/>
    <n v="184.68603286384976"/>
    <m/>
    <x v="0"/>
  </r>
  <r>
    <s v="1000006830"/>
    <x v="9"/>
    <s v="1200003285"/>
    <x v="77"/>
    <x v="0"/>
    <d v="2026-07-17T00:00:00"/>
    <n v="-4"/>
    <d v="2026-07-24T00:00:00"/>
    <n v="230.1"/>
    <s v="PEN"/>
    <x v="0"/>
    <m/>
    <m/>
    <m/>
    <d v="2026-07-24T00:00:00"/>
    <n v="67.517605633802816"/>
    <m/>
    <x v="0"/>
  </r>
  <r>
    <s v="1000006830"/>
    <x v="9"/>
    <s v="1200003286"/>
    <x v="78"/>
    <x v="0"/>
    <d v="2026-07-17T00:00:00"/>
    <n v="-4"/>
    <d v="2026-07-24T00:00:00"/>
    <n v="367.07"/>
    <s v="PEN"/>
    <x v="0"/>
    <m/>
    <m/>
    <m/>
    <d v="2026-07-24T00:00:00"/>
    <n v="107.70833333333333"/>
    <m/>
    <x v="0"/>
  </r>
  <r>
    <s v="1000006830"/>
    <x v="9"/>
    <s v="1200003287"/>
    <x v="79"/>
    <x v="0"/>
    <d v="2026-07-17T00:00:00"/>
    <n v="-4"/>
    <d v="2026-07-24T00:00:00"/>
    <n v="177"/>
    <s v="PEN"/>
    <x v="0"/>
    <m/>
    <m/>
    <m/>
    <d v="2026-07-24T00:00:00"/>
    <n v="51.936619718309863"/>
    <m/>
    <x v="0"/>
  </r>
  <r>
    <s v="1000006830"/>
    <x v="9"/>
    <s v="1200003289"/>
    <x v="80"/>
    <x v="0"/>
    <d v="2026-07-17T00:00:00"/>
    <n v="-4"/>
    <d v="2026-07-24T00:00:00"/>
    <n v="331.11"/>
    <s v="PEN"/>
    <x v="0"/>
    <m/>
    <m/>
    <m/>
    <d v="2026-07-24T00:00:00"/>
    <n v="97.156690140845072"/>
    <m/>
    <x v="0"/>
  </r>
  <r>
    <s v="1000006830"/>
    <x v="9"/>
    <s v="1200003290"/>
    <x v="81"/>
    <x v="0"/>
    <d v="2026-07-17T00:00:00"/>
    <n v="-4"/>
    <d v="2026-07-24T00:00:00"/>
    <n v="35.4"/>
    <s v="PEN"/>
    <x v="0"/>
    <m/>
    <m/>
    <m/>
    <d v="2026-07-24T00:00:00"/>
    <n v="10.387323943661972"/>
    <m/>
    <x v="0"/>
  </r>
  <r>
    <s v="2000001459"/>
    <x v="10"/>
    <s v="1300004230"/>
    <x v="82"/>
    <x v="4"/>
    <d v="2026-05-26T00:00:00"/>
    <n v="0"/>
    <d v="2026-05-31T00:00:00"/>
    <n v="-34580"/>
    <s v="USD"/>
    <x v="1"/>
    <d v="2026-07-25T00:00:00"/>
    <m/>
    <m/>
    <d v="2026-05-31T00:00:00"/>
    <n v="-34580"/>
    <n v="55"/>
    <x v="1"/>
  </r>
  <r>
    <s v="2000001172"/>
    <x v="11"/>
    <s v="1300004844"/>
    <x v="83"/>
    <x v="4"/>
    <d v="2026-06-08T00:00:00"/>
    <n v="0"/>
    <d v="2026-06-30T00:00:00"/>
    <n v="-33677"/>
    <s v="USD"/>
    <x v="1"/>
    <d v="2026-08-07T00:00:00"/>
    <m/>
    <m/>
    <d v="2026-06-30T00:00:00"/>
    <n v="-33677"/>
    <n v="42"/>
    <x v="2"/>
  </r>
  <r>
    <s v="2000001172"/>
    <x v="11"/>
    <s v="1300007034"/>
    <x v="84"/>
    <x v="1"/>
    <d v="2026-06-21T00:00:00"/>
    <n v="29"/>
    <d v="2026-06-21T00:00:00"/>
    <n v="14830.54"/>
    <s v="USD"/>
    <x v="1"/>
    <d v="2026-08-20T00:00:00"/>
    <n v="-31"/>
    <d v="2026-08-20T00:00:00"/>
    <d v="2026-08-20T00:00:00"/>
    <n v="14830.54"/>
    <n v="29"/>
    <x v="2"/>
  </r>
  <r>
    <s v="2000001172"/>
    <x v="11"/>
    <s v="1300007035"/>
    <x v="85"/>
    <x v="1"/>
    <d v="2026-06-23T00:00:00"/>
    <n v="27"/>
    <d v="2026-06-23T00:00:00"/>
    <n v="18230"/>
    <s v="USD"/>
    <x v="1"/>
    <d v="2026-08-22T00:00:00"/>
    <n v="-33"/>
    <d v="2026-08-22T00:00:00"/>
    <d v="2026-08-22T00:00:00"/>
    <n v="18230"/>
    <n v="27"/>
    <x v="2"/>
  </r>
  <r>
    <s v="2000000231"/>
    <x v="12"/>
    <s v="1200002635"/>
    <x v="86"/>
    <x v="2"/>
    <d v="2026-06-19T00:00:00"/>
    <n v="-14"/>
    <d v="2026-08-03T00:00:00"/>
    <n v="421200"/>
    <s v="USD"/>
    <x v="1"/>
    <d v="2026-08-18T00:00:00"/>
    <n v="-14"/>
    <d v="2026-08-03T00:00:00"/>
    <d v="2026-08-03T00:00:00"/>
    <n v="421200"/>
    <n v="31"/>
    <x v="2"/>
  </r>
  <r>
    <s v="2000000231"/>
    <x v="12"/>
    <s v="1200002880"/>
    <x v="87"/>
    <x v="2"/>
    <d v="2026-06-30T00:00:00"/>
    <n v="-25"/>
    <d v="2026-08-14T00:00:00"/>
    <n v="211167"/>
    <s v="USD"/>
    <x v="1"/>
    <d v="2026-08-29T00:00:00"/>
    <n v="-40"/>
    <d v="2026-08-29T00:00:00"/>
    <d v="2026-08-29T00:00:00"/>
    <n v="211167"/>
    <n v="20"/>
    <x v="2"/>
  </r>
  <r>
    <s v="2000000231"/>
    <x v="12"/>
    <s v="1200002882"/>
    <x v="88"/>
    <x v="2"/>
    <d v="2026-06-30T00:00:00"/>
    <n v="-40"/>
    <d v="2026-08-29T00:00:00"/>
    <n v="105300"/>
    <s v="USD"/>
    <x v="1"/>
    <d v="2026-08-29T00:00:00"/>
    <n v="-40"/>
    <d v="2026-08-29T00:00:00"/>
    <d v="2026-08-29T00:00:00"/>
    <n v="105300"/>
    <n v="20"/>
    <x v="2"/>
  </r>
  <r>
    <s v="2000000233"/>
    <x v="13"/>
    <s v="1300004855"/>
    <x v="89"/>
    <x v="4"/>
    <d v="2026-06-09T00:00:00"/>
    <n v="0"/>
    <d v="2026-06-30T00:00:00"/>
    <n v="-159925"/>
    <s v="USD"/>
    <x v="1"/>
    <d v="2026-08-08T00:00:00"/>
    <m/>
    <m/>
    <d v="2026-06-30T00:00:00"/>
    <n v="-159925"/>
    <n v="41"/>
    <x v="2"/>
  </r>
  <r>
    <s v="2000000233"/>
    <x v="13"/>
    <s v="1200002541"/>
    <x v="90"/>
    <x v="2"/>
    <d v="2026-06-13T00:00:00"/>
    <n v="-8"/>
    <d v="2026-07-28T00:00:00"/>
    <n v="113004"/>
    <s v="USD"/>
    <x v="1"/>
    <d v="2026-08-12T00:00:00"/>
    <n v="-8"/>
    <d v="2026-07-28T00:00:00"/>
    <d v="2026-07-28T00:00:00"/>
    <n v="113004"/>
    <n v="37"/>
    <x v="2"/>
  </r>
  <r>
    <s v="2000000233"/>
    <x v="13"/>
    <s v="1300005331"/>
    <x v="91"/>
    <x v="1"/>
    <d v="2026-06-27T00:00:00"/>
    <n v="23"/>
    <d v="2026-06-27T00:00:00"/>
    <n v="213454"/>
    <s v="USD"/>
    <x v="1"/>
    <d v="2026-08-26T00:00:00"/>
    <n v="-37"/>
    <d v="2026-08-26T00:00:00"/>
    <d v="2026-08-26T00:00:00"/>
    <n v="213454"/>
    <n v="23"/>
    <x v="2"/>
  </r>
  <r>
    <s v="2000000233"/>
    <x v="13"/>
    <s v="1200002904"/>
    <x v="92"/>
    <x v="2"/>
    <d v="2026-06-30T00:00:00"/>
    <n v="-40"/>
    <d v="2026-08-29T00:00:00"/>
    <n v="533250"/>
    <s v="USD"/>
    <x v="1"/>
    <d v="2026-08-29T00:00:00"/>
    <n v="-40"/>
    <d v="2026-08-29T00:00:00"/>
    <d v="2026-08-29T00:00:00"/>
    <n v="533250"/>
    <n v="20"/>
    <x v="2"/>
  </r>
  <r>
    <s v="2000000233"/>
    <x v="13"/>
    <s v="1200002931"/>
    <x v="93"/>
    <x v="2"/>
    <d v="2026-06-30T00:00:00"/>
    <n v="-25"/>
    <d v="2026-08-14T00:00:00"/>
    <n v="169092"/>
    <s v="USD"/>
    <x v="1"/>
    <d v="2026-08-29T00:00:00"/>
    <n v="-40"/>
    <d v="2026-08-29T00:00:00"/>
    <d v="2026-08-29T00:00:00"/>
    <n v="169092"/>
    <n v="20"/>
    <x v="2"/>
  </r>
  <r>
    <s v="2000000233"/>
    <x v="13"/>
    <s v="1200002938"/>
    <x v="94"/>
    <x v="2"/>
    <d v="2026-06-30T00:00:00"/>
    <n v="-40"/>
    <d v="2026-08-29T00:00:00"/>
    <n v="213300"/>
    <s v="USD"/>
    <x v="1"/>
    <d v="2026-08-29T00:00:00"/>
    <n v="-40"/>
    <d v="2026-08-29T00:00:00"/>
    <d v="2026-08-29T00:00:00"/>
    <n v="213300"/>
    <n v="20"/>
    <x v="2"/>
  </r>
  <r>
    <s v="2000001409"/>
    <x v="14"/>
    <s v="1300005409"/>
    <x v="95"/>
    <x v="1"/>
    <d v="2026-05-29T00:00:00"/>
    <n v="52"/>
    <d v="2026-05-29T00:00:00"/>
    <n v="45810"/>
    <s v="USD"/>
    <x v="1"/>
    <d v="2026-07-28T00:00:00"/>
    <n v="-8"/>
    <d v="2026-07-28T00:00:00"/>
    <d v="2026-07-28T00:00:00"/>
    <n v="45810"/>
    <n v="52"/>
    <x v="1"/>
  </r>
  <r>
    <s v="6002007"/>
    <x v="15"/>
    <s v="1200005141"/>
    <x v="96"/>
    <x v="0"/>
    <d v="2025-11-03T00:00:00"/>
    <n v="252"/>
    <d v="2025-11-10T00:00:00"/>
    <n v="1403.26"/>
    <s v="PEN"/>
    <x v="2"/>
    <m/>
    <m/>
    <m/>
    <d v="2025-11-10T00:00:00"/>
    <n v="411.75469483568077"/>
    <m/>
    <x v="0"/>
  </r>
  <r>
    <s v="6002007"/>
    <x v="15"/>
    <s v="1200005142"/>
    <x v="97"/>
    <x v="0"/>
    <d v="2025-11-03T00:00:00"/>
    <n v="252"/>
    <d v="2025-11-10T00:00:00"/>
    <n v="141.6"/>
    <s v="PEN"/>
    <x v="2"/>
    <m/>
    <m/>
    <m/>
    <d v="2025-11-10T00:00:00"/>
    <n v="41.549295774647888"/>
    <m/>
    <x v="0"/>
  </r>
  <r>
    <s v="6002007"/>
    <x v="15"/>
    <s v="1200005158"/>
    <x v="98"/>
    <x v="0"/>
    <d v="2025-11-06T00:00:00"/>
    <n v="249"/>
    <d v="2025-11-13T00:00:00"/>
    <n v="1193.22"/>
    <s v="PEN"/>
    <x v="2"/>
    <m/>
    <m/>
    <m/>
    <d v="2025-11-13T00:00:00"/>
    <n v="350.12323943661971"/>
    <m/>
    <x v="0"/>
  </r>
  <r>
    <s v="6002007"/>
    <x v="15"/>
    <s v="1200005159"/>
    <x v="99"/>
    <x v="0"/>
    <d v="2025-11-06T00:00:00"/>
    <n v="249"/>
    <d v="2025-11-13T00:00:00"/>
    <n v="106.2"/>
    <s v="PEN"/>
    <x v="2"/>
    <m/>
    <m/>
    <m/>
    <d v="2025-11-13T00:00:00"/>
    <n v="31.161971830985916"/>
    <m/>
    <x v="0"/>
  </r>
  <r>
    <s v="6002007"/>
    <x v="15"/>
    <s v="1200001503"/>
    <x v="100"/>
    <x v="0"/>
    <d v="2026-05-06T00:00:00"/>
    <n v="68"/>
    <d v="2026-05-13T00:00:00"/>
    <n v="23.6"/>
    <s v="PEN"/>
    <x v="2"/>
    <m/>
    <m/>
    <m/>
    <d v="2026-05-13T00:00:00"/>
    <n v="6.9248826291079819"/>
    <m/>
    <x v="0"/>
  </r>
  <r>
    <s v="6002007"/>
    <x v="15"/>
    <s v="1200001504"/>
    <x v="101"/>
    <x v="0"/>
    <d v="2026-05-06T00:00:00"/>
    <n v="68"/>
    <d v="2026-05-13T00:00:00"/>
    <n v="261.49"/>
    <s v="PEN"/>
    <x v="2"/>
    <m/>
    <m/>
    <m/>
    <d v="2026-05-13T00:00:00"/>
    <n v="76.728286384976528"/>
    <m/>
    <x v="0"/>
  </r>
  <r>
    <s v="6002007"/>
    <x v="15"/>
    <s v="1200001509"/>
    <x v="102"/>
    <x v="0"/>
    <d v="2026-05-06T00:00:00"/>
    <n v="68"/>
    <d v="2026-05-13T00:00:00"/>
    <n v="387.51"/>
    <s v="PEN"/>
    <x v="2"/>
    <m/>
    <m/>
    <m/>
    <d v="2026-05-13T00:00:00"/>
    <n v="113.70598591549296"/>
    <m/>
    <x v="0"/>
  </r>
  <r>
    <s v="6002007"/>
    <x v="15"/>
    <s v="1200001510"/>
    <x v="103"/>
    <x v="0"/>
    <d v="2026-05-06T00:00:00"/>
    <n v="68"/>
    <d v="2026-05-13T00:00:00"/>
    <n v="35.4"/>
    <s v="PEN"/>
    <x v="2"/>
    <m/>
    <m/>
    <m/>
    <d v="2026-05-13T00:00:00"/>
    <n v="10.387323943661972"/>
    <m/>
    <x v="0"/>
  </r>
  <r>
    <s v="6002007"/>
    <x v="15"/>
    <s v="1200001609"/>
    <x v="104"/>
    <x v="0"/>
    <d v="2026-05-12T00:00:00"/>
    <n v="62"/>
    <d v="2026-05-19T00:00:00"/>
    <n v="482.86"/>
    <s v="PEN"/>
    <x v="2"/>
    <m/>
    <m/>
    <m/>
    <d v="2026-05-19T00:00:00"/>
    <n v="141.6842723004695"/>
    <m/>
    <x v="0"/>
  </r>
  <r>
    <s v="6002007"/>
    <x v="15"/>
    <s v="1200001610"/>
    <x v="105"/>
    <x v="0"/>
    <d v="2026-05-12T00:00:00"/>
    <n v="62"/>
    <d v="2026-05-19T00:00:00"/>
    <n v="47.2"/>
    <s v="PEN"/>
    <x v="2"/>
    <m/>
    <m/>
    <m/>
    <d v="2026-05-19T00:00:00"/>
    <n v="13.849765258215964"/>
    <m/>
    <x v="0"/>
  </r>
  <r>
    <s v="6002007"/>
    <x v="15"/>
    <s v="1200001789"/>
    <x v="106"/>
    <x v="0"/>
    <d v="2026-05-16T00:00:00"/>
    <n v="58"/>
    <d v="2026-05-23T00:00:00"/>
    <n v="544.45000000000005"/>
    <s v="PEN"/>
    <x v="2"/>
    <m/>
    <m/>
    <m/>
    <d v="2026-05-23T00:00:00"/>
    <n v="159.75645539906105"/>
    <m/>
    <x v="0"/>
  </r>
  <r>
    <s v="6002007"/>
    <x v="15"/>
    <s v="1200001790"/>
    <x v="107"/>
    <x v="0"/>
    <d v="2026-05-16T00:00:00"/>
    <n v="58"/>
    <d v="2026-05-23T00:00:00"/>
    <n v="47.2"/>
    <s v="PEN"/>
    <x v="2"/>
    <m/>
    <m/>
    <m/>
    <d v="2026-05-23T00:00:00"/>
    <n v="13.849765258215964"/>
    <m/>
    <x v="0"/>
  </r>
  <r>
    <s v="6002007"/>
    <x v="15"/>
    <s v="1200002045"/>
    <x v="108"/>
    <x v="0"/>
    <d v="2026-05-27T00:00:00"/>
    <n v="47"/>
    <d v="2026-06-03T00:00:00"/>
    <n v="591.65"/>
    <s v="PEN"/>
    <x v="2"/>
    <m/>
    <m/>
    <m/>
    <d v="2026-06-03T00:00:00"/>
    <n v="173.60622065727699"/>
    <m/>
    <x v="0"/>
  </r>
  <r>
    <s v="6002007"/>
    <x v="15"/>
    <s v="1200002046"/>
    <x v="109"/>
    <x v="0"/>
    <d v="2026-05-27T00:00:00"/>
    <n v="47"/>
    <d v="2026-06-03T00:00:00"/>
    <n v="70.8"/>
    <s v="PEN"/>
    <x v="2"/>
    <m/>
    <m/>
    <m/>
    <d v="2026-06-03T00:00:00"/>
    <n v="20.774647887323944"/>
    <m/>
    <x v="0"/>
  </r>
  <r>
    <s v="6002007"/>
    <x v="15"/>
    <s v="1200002186"/>
    <x v="110"/>
    <x v="0"/>
    <d v="2026-06-02T00:00:00"/>
    <n v="41"/>
    <d v="2026-06-09T00:00:00"/>
    <n v="185.97"/>
    <s v="PEN"/>
    <x v="2"/>
    <m/>
    <m/>
    <m/>
    <d v="2026-06-09T00:00:00"/>
    <n v="54.568661971830984"/>
    <m/>
    <x v="0"/>
  </r>
  <r>
    <s v="6002007"/>
    <x v="15"/>
    <s v="1200002187"/>
    <x v="111"/>
    <x v="0"/>
    <d v="2026-06-02T00:00:00"/>
    <n v="41"/>
    <d v="2026-06-09T00:00:00"/>
    <n v="23.6"/>
    <s v="PEN"/>
    <x v="2"/>
    <m/>
    <m/>
    <m/>
    <d v="2026-06-09T00:00:00"/>
    <n v="6.9248826291079819"/>
    <m/>
    <x v="0"/>
  </r>
  <r>
    <s v="6002007"/>
    <x v="15"/>
    <s v="1200002487"/>
    <x v="112"/>
    <x v="0"/>
    <d v="2026-06-13T00:00:00"/>
    <n v="30"/>
    <d v="2026-06-20T00:00:00"/>
    <n v="535.25"/>
    <s v="PEN"/>
    <x v="2"/>
    <m/>
    <m/>
    <m/>
    <d v="2026-06-20T00:00:00"/>
    <n v="157.05692488262912"/>
    <m/>
    <x v="0"/>
  </r>
  <r>
    <s v="6002007"/>
    <x v="15"/>
    <s v="1200002488"/>
    <x v="113"/>
    <x v="0"/>
    <d v="2026-06-13T00:00:00"/>
    <n v="30"/>
    <d v="2026-06-20T00:00:00"/>
    <n v="70.8"/>
    <s v="PEN"/>
    <x v="2"/>
    <m/>
    <m/>
    <m/>
    <d v="2026-06-20T00:00:00"/>
    <n v="20.774647887323944"/>
    <m/>
    <x v="0"/>
  </r>
  <r>
    <s v="6002007"/>
    <x v="15"/>
    <s v="1200002956"/>
    <x v="114"/>
    <x v="0"/>
    <d v="2026-07-03T00:00:00"/>
    <n v="10"/>
    <d v="2026-07-10T00:00:00"/>
    <n v="449.11"/>
    <s v="PEN"/>
    <x v="2"/>
    <m/>
    <m/>
    <m/>
    <d v="2026-07-10T00:00:00"/>
    <n v="131.78110328638499"/>
    <m/>
    <x v="0"/>
  </r>
  <r>
    <s v="6002007"/>
    <x v="15"/>
    <s v="1200002957"/>
    <x v="115"/>
    <x v="0"/>
    <d v="2026-07-03T00:00:00"/>
    <n v="10"/>
    <d v="2026-07-10T00:00:00"/>
    <n v="35.4"/>
    <s v="PEN"/>
    <x v="2"/>
    <m/>
    <m/>
    <m/>
    <d v="2026-07-10T00:00:00"/>
    <n v="10.387323943661972"/>
    <m/>
    <x v="0"/>
  </r>
  <r>
    <s v="6002007"/>
    <x v="15"/>
    <s v="1200003319"/>
    <x v="116"/>
    <x v="0"/>
    <d v="2026-07-17T00:00:00"/>
    <n v="-4"/>
    <d v="2026-07-24T00:00:00"/>
    <n v="355.65"/>
    <s v="PEN"/>
    <x v="2"/>
    <m/>
    <m/>
    <m/>
    <d v="2026-07-24T00:00:00"/>
    <n v="104.35739436619718"/>
    <m/>
    <x v="0"/>
  </r>
  <r>
    <s v="6002007"/>
    <x v="15"/>
    <s v="1200003320"/>
    <x v="117"/>
    <x v="0"/>
    <d v="2026-07-17T00:00:00"/>
    <n v="-4"/>
    <d v="2026-07-24T00:00:00"/>
    <n v="47.2"/>
    <s v="PEN"/>
    <x v="2"/>
    <m/>
    <m/>
    <m/>
    <d v="2026-07-24T00:00:00"/>
    <n v="13.849765258215964"/>
    <m/>
    <x v="0"/>
  </r>
  <r>
    <s v="6001105"/>
    <x v="16"/>
    <s v="1200001300"/>
    <x v="118"/>
    <x v="0"/>
    <d v="2026-04-28T00:00:00"/>
    <n v="83"/>
    <d v="2026-04-28T00:00:00"/>
    <n v="59"/>
    <s v="PEN"/>
    <x v="0"/>
    <m/>
    <m/>
    <m/>
    <d v="2026-04-28T00:00:00"/>
    <n v="17.312206572769952"/>
    <m/>
    <x v="0"/>
  </r>
  <r>
    <s v="6001105"/>
    <x v="16"/>
    <s v="1200001301"/>
    <x v="119"/>
    <x v="0"/>
    <d v="2026-04-28T00:00:00"/>
    <n v="83"/>
    <d v="2026-04-28T00:00:00"/>
    <n v="716.71"/>
    <s v="PEN"/>
    <x v="0"/>
    <m/>
    <m/>
    <m/>
    <d v="2026-04-28T00:00:00"/>
    <n v="210.30223004694838"/>
    <m/>
    <x v="0"/>
  </r>
  <r>
    <s v="6001105"/>
    <x v="16"/>
    <s v="1200001302"/>
    <x v="120"/>
    <x v="0"/>
    <d v="2026-04-28T00:00:00"/>
    <n v="83"/>
    <d v="2026-04-28T00:00:00"/>
    <n v="129.80000000000001"/>
    <s v="PEN"/>
    <x v="0"/>
    <m/>
    <m/>
    <m/>
    <d v="2026-04-28T00:00:00"/>
    <n v="38.086854460093903"/>
    <m/>
    <x v="0"/>
  </r>
  <r>
    <s v="6001105"/>
    <x v="16"/>
    <s v="1300004037"/>
    <x v="121"/>
    <x v="1"/>
    <d v="2026-04-28T00:00:00"/>
    <n v="83"/>
    <d v="2026-04-28T00:00:00"/>
    <n v="422.56"/>
    <s v="PEN"/>
    <x v="0"/>
    <m/>
    <m/>
    <m/>
    <d v="2026-04-28T00:00:00"/>
    <n v="123.9906103286385"/>
    <m/>
    <x v="0"/>
  </r>
  <r>
    <s v="6001105"/>
    <x v="16"/>
    <s v="1200001648"/>
    <x v="122"/>
    <x v="0"/>
    <d v="2026-05-12T00:00:00"/>
    <n v="69"/>
    <d v="2026-05-12T00:00:00"/>
    <n v="404.98"/>
    <s v="PEN"/>
    <x v="0"/>
    <m/>
    <m/>
    <m/>
    <d v="2026-05-12T00:00:00"/>
    <n v="118.83215962441315"/>
    <m/>
    <x v="0"/>
  </r>
  <r>
    <s v="6001105"/>
    <x v="16"/>
    <s v="1200001649"/>
    <x v="123"/>
    <x v="0"/>
    <d v="2026-05-12T00:00:00"/>
    <n v="69"/>
    <d v="2026-05-12T00:00:00"/>
    <n v="59"/>
    <s v="PEN"/>
    <x v="0"/>
    <m/>
    <m/>
    <m/>
    <d v="2026-05-12T00:00:00"/>
    <n v="17.312206572769952"/>
    <m/>
    <x v="0"/>
  </r>
  <r>
    <s v="2000001443"/>
    <x v="17"/>
    <s v="1300004715"/>
    <x v="124"/>
    <x v="1"/>
    <d v="2026-05-29T00:00:00"/>
    <n v="52"/>
    <d v="2026-05-29T00:00:00"/>
    <n v="67008"/>
    <s v="USD"/>
    <x v="1"/>
    <d v="2026-07-28T00:00:00"/>
    <n v="-12"/>
    <d v="2026-08-01T00:00:00"/>
    <d v="2026-08-01T00:00:00"/>
    <n v="67008"/>
    <n v="52"/>
    <x v="1"/>
  </r>
  <r>
    <s v="2000001359"/>
    <x v="18"/>
    <s v="1300005285"/>
    <x v="125"/>
    <x v="1"/>
    <d v="2026-04-27T00:00:00"/>
    <n v="84"/>
    <d v="2026-04-27T00:00:00"/>
    <n v="10284"/>
    <s v="USD"/>
    <x v="1"/>
    <d v="2026-06-26T00:00:00"/>
    <n v="-11"/>
    <d v="2026-07-31T00:00:00"/>
    <d v="2026-07-31T00:00:00"/>
    <n v="10284"/>
    <n v="84"/>
    <x v="3"/>
  </r>
  <r>
    <s v="2000001468"/>
    <x v="19"/>
    <s v="1300004843"/>
    <x v="126"/>
    <x v="4"/>
    <d v="2026-06-05T00:00:00"/>
    <n v="0"/>
    <d v="2026-06-30T00:00:00"/>
    <n v="-13728"/>
    <s v="USD"/>
    <x v="1"/>
    <d v="2026-08-04T00:00:00"/>
    <m/>
    <m/>
    <d v="2026-06-30T00:00:00"/>
    <n v="-13728"/>
    <n v="45"/>
    <x v="2"/>
  </r>
  <r>
    <s v="2000001468"/>
    <x v="19"/>
    <s v="1200003263"/>
    <x v="127"/>
    <x v="2"/>
    <d v="2026-07-13T00:00:00"/>
    <n v="-53"/>
    <d v="2026-09-11T00:00:00"/>
    <n v="68340"/>
    <s v="USD"/>
    <x v="1"/>
    <d v="2026-09-11T00:00:00"/>
    <m/>
    <m/>
    <d v="2026-09-11T00:00:00"/>
    <n v="68340"/>
    <n v="7"/>
    <x v="2"/>
  </r>
  <r>
    <s v="1000013925"/>
    <x v="20"/>
    <s v="1300006898"/>
    <x v="128"/>
    <x v="1"/>
    <d v="2025-10-21T00:00:00"/>
    <n v="272"/>
    <d v="2025-10-21T00:00:00"/>
    <n v="4460"/>
    <s v="PEN"/>
    <x v="3"/>
    <m/>
    <m/>
    <m/>
    <d v="2025-10-21T00:00:00"/>
    <n v="1308.6854460093898"/>
    <m/>
    <x v="0"/>
  </r>
  <r>
    <s v="1000013925"/>
    <x v="20"/>
    <s v="1200005124"/>
    <x v="129"/>
    <x v="0"/>
    <d v="2025-11-04T00:00:00"/>
    <n v="251"/>
    <d v="2025-11-11T00:00:00"/>
    <n v="7097.98"/>
    <s v="PEN"/>
    <x v="3"/>
    <m/>
    <m/>
    <m/>
    <d v="2025-11-11T00:00:00"/>
    <n v="2082.7406103286385"/>
    <m/>
    <x v="0"/>
  </r>
  <r>
    <s v="1000013925"/>
    <x v="20"/>
    <s v="1200000182"/>
    <x v="130"/>
    <x v="0"/>
    <d v="2026-01-31T00:00:00"/>
    <n v="163"/>
    <d v="2026-02-07T00:00:00"/>
    <n v="4003.46"/>
    <s v="PEN"/>
    <x v="3"/>
    <m/>
    <m/>
    <m/>
    <d v="2026-02-07T00:00:00"/>
    <n v="1174.724178403756"/>
    <m/>
    <x v="0"/>
  </r>
  <r>
    <s v="1000013925"/>
    <x v="20"/>
    <s v="1200000382"/>
    <x v="131"/>
    <x v="0"/>
    <d v="2026-03-03T00:00:00"/>
    <n v="132"/>
    <d v="2026-03-10T00:00:00"/>
    <n v="4956"/>
    <s v="PEN"/>
    <x v="3"/>
    <m/>
    <m/>
    <m/>
    <d v="2026-03-10T00:00:00"/>
    <n v="1454.2253521126761"/>
    <m/>
    <x v="0"/>
  </r>
  <r>
    <s v="2000001380"/>
    <x v="21"/>
    <s v="1300004799"/>
    <x v="132"/>
    <x v="4"/>
    <d v="2026-06-02T00:00:00"/>
    <n v="0"/>
    <d v="2026-06-30T00:00:00"/>
    <n v="-6470"/>
    <s v="USD"/>
    <x v="1"/>
    <d v="2026-08-01T00:00:00"/>
    <m/>
    <m/>
    <d v="2026-06-30T00:00:00"/>
    <n v="-6470"/>
    <n v="48"/>
    <x v="1"/>
  </r>
  <r>
    <s v="2000001380"/>
    <x v="21"/>
    <s v="1200002542"/>
    <x v="133"/>
    <x v="2"/>
    <d v="2026-06-13T00:00:00"/>
    <n v="-8"/>
    <d v="2026-07-28T00:00:00"/>
    <n v="29250"/>
    <s v="USD"/>
    <x v="1"/>
    <d v="2026-08-12T00:00:00"/>
    <n v="-23"/>
    <d v="2026-08-12T00:00:00"/>
    <d v="2026-08-12T00:00:00"/>
    <n v="29250"/>
    <n v="37"/>
    <x v="2"/>
  </r>
  <r>
    <s v="1000015185"/>
    <x v="22"/>
    <s v="1200003282"/>
    <x v="134"/>
    <x v="0"/>
    <d v="2026-07-17T00:00:00"/>
    <n v="-4"/>
    <d v="2026-07-24T00:00:00"/>
    <n v="658.82"/>
    <s v="PEN"/>
    <x v="0"/>
    <m/>
    <m/>
    <m/>
    <d v="2026-07-24T00:00:00"/>
    <n v="193.31572769953053"/>
    <m/>
    <x v="0"/>
  </r>
  <r>
    <s v="1000015185"/>
    <x v="22"/>
    <s v="1200003283"/>
    <x v="135"/>
    <x v="0"/>
    <d v="2026-07-17T00:00:00"/>
    <n v="-4"/>
    <d v="2026-07-24T00:00:00"/>
    <n v="212.4"/>
    <s v="PEN"/>
    <x v="0"/>
    <m/>
    <m/>
    <m/>
    <d v="2026-07-24T00:00:00"/>
    <n v="62.323943661971832"/>
    <m/>
    <x v="0"/>
  </r>
  <r>
    <s v="6000434"/>
    <x v="23"/>
    <s v="1200004540"/>
    <x v="136"/>
    <x v="0"/>
    <d v="2025-10-07T00:00:00"/>
    <n v="279"/>
    <d v="2025-10-14T00:00:00"/>
    <n v="790"/>
    <s v="PEN"/>
    <x v="4"/>
    <m/>
    <m/>
    <m/>
    <d v="2025-10-14T00:00:00"/>
    <n v="231.80751173708921"/>
    <m/>
    <x v="0"/>
  </r>
  <r>
    <s v="2000001438"/>
    <x v="24"/>
    <s v="1300007039"/>
    <x v="137"/>
    <x v="1"/>
    <d v="2026-05-17T00:00:00"/>
    <n v="64"/>
    <d v="2026-05-17T00:00:00"/>
    <n v="161795"/>
    <s v="USD"/>
    <x v="1"/>
    <d v="2026-07-16T00:00:00"/>
    <n v="4"/>
    <d v="2026-07-16T00:00:00"/>
    <d v="2026-07-21T00:00:00"/>
    <n v="161795"/>
    <n v="64"/>
    <x v="3"/>
  </r>
  <r>
    <s v="2000001382"/>
    <x v="25"/>
    <s v="1300005603"/>
    <x v="138"/>
    <x v="4"/>
    <d v="2026-07-08T00:00:00"/>
    <n v="0"/>
    <d v="2026-07-31T00:00:00"/>
    <n v="-15970"/>
    <s v="USD"/>
    <x v="1"/>
    <d v="2026-09-06T00:00:00"/>
    <m/>
    <m/>
    <d v="2026-07-31T00:00:00"/>
    <n v="-15970"/>
    <n v="12"/>
    <x v="2"/>
  </r>
  <r>
    <s v="2000001382"/>
    <x v="25"/>
    <s v="1300007032"/>
    <x v="139"/>
    <x v="4"/>
    <d v="2026-07-16T00:00:00"/>
    <n v="0"/>
    <d v="2026-07-31T00:00:00"/>
    <n v="-16150"/>
    <s v="USD"/>
    <x v="1"/>
    <d v="2026-09-14T00:00:00"/>
    <m/>
    <m/>
    <d v="2026-07-31T00:00:00"/>
    <n v="-16150"/>
    <n v="4"/>
    <x v="2"/>
  </r>
  <r>
    <s v="1000015392"/>
    <x v="26"/>
    <s v="1100021551"/>
    <x v="140"/>
    <x v="5"/>
    <d v="2025-04-16T00:00:00"/>
    <n v="460"/>
    <d v="2025-04-16T00:00:00"/>
    <n v="2198.11"/>
    <s v="USD"/>
    <x v="0"/>
    <d v="2025-06-15T00:00:00"/>
    <n v="46223"/>
    <m/>
    <d v="2025-04-16T00:00:00"/>
    <n v="2198.11"/>
    <n v="460"/>
    <x v="4"/>
  </r>
  <r>
    <s v="1000015392"/>
    <x v="26"/>
    <s v="1100021550"/>
    <x v="140"/>
    <x v="5"/>
    <d v="2025-05-31T00:00:00"/>
    <n v="415"/>
    <d v="2025-05-31T00:00:00"/>
    <n v="7020.55"/>
    <s v="USD"/>
    <x v="0"/>
    <d v="2025-07-30T00:00:00"/>
    <n v="46223"/>
    <m/>
    <d v="2025-05-31T00:00:00"/>
    <n v="7020.55"/>
    <n v="415"/>
    <x v="4"/>
  </r>
  <r>
    <s v="1000015392"/>
    <x v="26"/>
    <s v="1100021552"/>
    <x v="140"/>
    <x v="5"/>
    <d v="2025-08-19T00:00:00"/>
    <n v="335"/>
    <d v="2025-08-19T00:00:00"/>
    <n v="40781.339999999997"/>
    <s v="USD"/>
    <x v="0"/>
    <d v="2025-10-18T00:00:00"/>
    <n v="46223"/>
    <m/>
    <d v="2025-08-19T00:00:00"/>
    <n v="40781.339999999997"/>
    <n v="335"/>
    <x v="4"/>
  </r>
  <r>
    <s v="2000001460"/>
    <x v="27"/>
    <s v="1300004801"/>
    <x v="141"/>
    <x v="4"/>
    <d v="2026-06-02T00:00:00"/>
    <n v="0"/>
    <d v="2026-06-30T00:00:00"/>
    <n v="-9287"/>
    <s v="USD"/>
    <x v="1"/>
    <d v="2026-08-01T00:00:00"/>
    <m/>
    <m/>
    <d v="2026-06-30T00:00:00"/>
    <n v="-9287"/>
    <n v="48"/>
    <x v="1"/>
  </r>
  <r>
    <s v="2000001460"/>
    <x v="27"/>
    <s v="1200002674"/>
    <x v="142"/>
    <x v="2"/>
    <d v="2026-06-21T00:00:00"/>
    <n v="-16"/>
    <d v="2026-08-05T00:00:00"/>
    <n v="46018"/>
    <s v="USD"/>
    <x v="1"/>
    <d v="2026-08-20T00:00:00"/>
    <n v="-31"/>
    <d v="2026-08-20T00:00:00"/>
    <d v="2026-08-20T00:00:00"/>
    <n v="46018"/>
    <n v="29"/>
    <x v="2"/>
  </r>
  <r>
    <s v="1000001965"/>
    <x v="28"/>
    <s v="1200003073"/>
    <x v="143"/>
    <x v="0"/>
    <d v="2026-07-08T00:00:00"/>
    <n v="5"/>
    <d v="2026-07-15T00:00:00"/>
    <n v="590"/>
    <s v="PEN"/>
    <x v="0"/>
    <m/>
    <m/>
    <m/>
    <d v="2026-07-15T00:00:00"/>
    <n v="173.12206572769952"/>
    <m/>
    <x v="0"/>
  </r>
  <r>
    <s v="1000001965"/>
    <x v="28"/>
    <s v="1200003103"/>
    <x v="144"/>
    <x v="0"/>
    <d v="2026-07-10T00:00:00"/>
    <n v="3"/>
    <d v="2026-07-17T00:00:00"/>
    <n v="590"/>
    <s v="PEN"/>
    <x v="0"/>
    <m/>
    <m/>
    <m/>
    <d v="2026-07-17T00:00:00"/>
    <n v="173.12206572769952"/>
    <m/>
    <x v="0"/>
  </r>
  <r>
    <s v="1000001965"/>
    <x v="28"/>
    <s v="1200003167"/>
    <x v="145"/>
    <x v="0"/>
    <d v="2026-07-13T00:00:00"/>
    <n v="0"/>
    <d v="2026-07-20T00:00:00"/>
    <n v="590"/>
    <s v="PEN"/>
    <x v="0"/>
    <m/>
    <m/>
    <m/>
    <d v="2026-07-20T00:00:00"/>
    <n v="173.12206572769952"/>
    <m/>
    <x v="0"/>
  </r>
  <r>
    <s v="1000001965"/>
    <x v="28"/>
    <s v="1200003261"/>
    <x v="146"/>
    <x v="0"/>
    <d v="2026-07-16T00:00:00"/>
    <n v="-3"/>
    <d v="2026-07-23T00:00:00"/>
    <n v="590"/>
    <s v="PEN"/>
    <x v="0"/>
    <m/>
    <m/>
    <m/>
    <d v="2026-07-23T00:00:00"/>
    <n v="173.12206572769952"/>
    <m/>
    <x v="0"/>
  </r>
  <r>
    <s v="2000000974"/>
    <x v="29"/>
    <s v="1300007031"/>
    <x v="147"/>
    <x v="4"/>
    <d v="2026-07-13T00:00:00"/>
    <n v="0"/>
    <d v="2026-07-31T00:00:00"/>
    <n v="-24925"/>
    <s v="USD"/>
    <x v="1"/>
    <d v="2026-09-11T00:00:00"/>
    <m/>
    <m/>
    <d v="2026-07-31T00:00:00"/>
    <n v="-24925"/>
    <n v="7"/>
    <x v="2"/>
  </r>
  <r>
    <s v="2000001440"/>
    <x v="30"/>
    <s v="1300002671"/>
    <x v="148"/>
    <x v="1"/>
    <d v="2026-04-29T00:00:00"/>
    <n v="82"/>
    <d v="2026-04-29T00:00:00"/>
    <n v="56785"/>
    <s v="USD"/>
    <x v="1"/>
    <d v="2026-06-28T00:00:00"/>
    <n v="-4"/>
    <d v="2026-07-24T00:00:00"/>
    <d v="2026-07-24T00:00:00"/>
    <n v="56785"/>
    <n v="82"/>
    <x v="3"/>
  </r>
  <r>
    <s v="2000001440"/>
    <x v="30"/>
    <s v="1300004716"/>
    <x v="149"/>
    <x v="1"/>
    <d v="2026-05-29T00:00:00"/>
    <n v="52"/>
    <d v="2026-05-29T00:00:00"/>
    <n v="35725"/>
    <s v="USD"/>
    <x v="1"/>
    <d v="2026-07-28T00:00:00"/>
    <n v="-37"/>
    <d v="2026-08-26T00:00:00"/>
    <d v="2026-08-26T00:00:00"/>
    <n v="35725"/>
    <n v="52"/>
    <x v="1"/>
  </r>
  <r>
    <s v="2000001440"/>
    <x v="30"/>
    <s v="1200002673"/>
    <x v="150"/>
    <x v="2"/>
    <d v="2026-06-21T00:00:00"/>
    <n v="-16"/>
    <d v="2026-08-05T00:00:00"/>
    <n v="59400"/>
    <s v="USD"/>
    <x v="1"/>
    <d v="2026-08-20T00:00:00"/>
    <n v="-31"/>
    <d v="2026-08-20T00:00:00"/>
    <d v="2026-08-20T00:00:00"/>
    <n v="59400"/>
    <n v="29"/>
    <x v="2"/>
  </r>
  <r>
    <s v="1000013801"/>
    <x v="31"/>
    <s v="1200003113"/>
    <x v="151"/>
    <x v="0"/>
    <d v="2026-07-10T00:00:00"/>
    <n v="3"/>
    <d v="2026-07-17T00:00:00"/>
    <n v="667.41"/>
    <s v="PEN"/>
    <x v="0"/>
    <m/>
    <m/>
    <m/>
    <d v="2026-07-17T00:00:00"/>
    <n v="195.83626760563379"/>
    <m/>
    <x v="0"/>
  </r>
  <r>
    <s v="1000013801"/>
    <x v="31"/>
    <s v="1200003114"/>
    <x v="152"/>
    <x v="0"/>
    <d v="2026-07-10T00:00:00"/>
    <n v="3"/>
    <d v="2026-07-17T00:00:00"/>
    <n v="123.9"/>
    <s v="PEN"/>
    <x v="0"/>
    <m/>
    <m/>
    <m/>
    <d v="2026-07-17T00:00:00"/>
    <n v="36.355633802816904"/>
    <m/>
    <x v="0"/>
  </r>
  <r>
    <s v="1000013686"/>
    <x v="32"/>
    <s v="1200003104"/>
    <x v="153"/>
    <x v="0"/>
    <d v="2026-07-10T00:00:00"/>
    <n v="3"/>
    <d v="2026-07-17T00:00:00"/>
    <n v="269.04000000000002"/>
    <s v="PEN"/>
    <x v="0"/>
    <m/>
    <m/>
    <m/>
    <d v="2026-07-17T00:00:00"/>
    <n v="78.943661971830991"/>
    <m/>
    <x v="0"/>
  </r>
  <r>
    <s v="1000013686"/>
    <x v="32"/>
    <s v="1200003134"/>
    <x v="154"/>
    <x v="0"/>
    <d v="2026-07-11T00:00:00"/>
    <n v="2"/>
    <d v="2026-07-18T00:00:00"/>
    <n v="396.48"/>
    <s v="PEN"/>
    <x v="0"/>
    <m/>
    <m/>
    <m/>
    <d v="2026-07-18T00:00:00"/>
    <n v="116.33802816901409"/>
    <m/>
    <x v="0"/>
  </r>
  <r>
    <s v="2000000786"/>
    <x v="33"/>
    <s v="1200002885"/>
    <x v="155"/>
    <x v="2"/>
    <d v="2026-06-30T00:00:00"/>
    <n v="-25"/>
    <d v="2026-08-14T00:00:00"/>
    <n v="30375"/>
    <s v="USD"/>
    <x v="1"/>
    <d v="2026-08-29T00:00:00"/>
    <n v="-40"/>
    <d v="2026-08-29T00:00:00"/>
    <d v="2026-08-29T00:00:00"/>
    <n v="30375"/>
    <n v="20"/>
    <x v="2"/>
  </r>
  <r>
    <s v="2000000786"/>
    <x v="33"/>
    <s v="1200002930"/>
    <x v="156"/>
    <x v="2"/>
    <d v="2026-06-30T00:00:00"/>
    <n v="-25"/>
    <d v="2026-08-14T00:00:00"/>
    <n v="81574.5"/>
    <s v="USD"/>
    <x v="1"/>
    <d v="2026-08-29T00:00:00"/>
    <n v="-40"/>
    <d v="2026-08-29T00:00:00"/>
    <d v="2026-08-29T00:00:00"/>
    <n v="81574.5"/>
    <n v="20"/>
    <x v="2"/>
  </r>
  <r>
    <s v="2000001444"/>
    <x v="34"/>
    <s v="1300007042"/>
    <x v="157"/>
    <x v="1"/>
    <d v="2026-06-19T00:00:00"/>
    <n v="31"/>
    <d v="2026-06-19T00:00:00"/>
    <n v="57857"/>
    <s v="USD"/>
    <x v="1"/>
    <d v="2026-08-18T00:00:00"/>
    <n v="-29"/>
    <d v="2026-08-18T00:00:00"/>
    <d v="2026-08-18T00:00:00"/>
    <n v="57857"/>
    <n v="31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s v="1000013966"/>
    <x v="0"/>
    <s v="1200005220"/>
    <s v="01-0F101-0004694"/>
    <x v="0"/>
    <d v="2025-11-19T00:00:00"/>
    <n v="236"/>
    <d v="2025-11-26T00:00:00"/>
    <n v="42.48"/>
    <s v="PEN"/>
    <x v="0"/>
    <m/>
    <m/>
    <m/>
    <x v="0"/>
    <n v="12.464788732394366"/>
    <m/>
    <m/>
  </r>
  <r>
    <s v="1000013966"/>
    <x v="0"/>
    <s v="1200005228"/>
    <s v="01-0F101-0004700"/>
    <x v="0"/>
    <d v="2025-11-19T00:00:00"/>
    <n v="236"/>
    <d v="2025-11-26T00:00:00"/>
    <n v="14.16"/>
    <s v="PEN"/>
    <x v="0"/>
    <m/>
    <m/>
    <m/>
    <x v="0"/>
    <n v="4.154929577464789"/>
    <m/>
    <m/>
  </r>
  <r>
    <s v="1000013966"/>
    <x v="0"/>
    <s v="1200005242"/>
    <s v="01-0F101-0004710"/>
    <x v="0"/>
    <d v="2025-11-19T00:00:00"/>
    <n v="236"/>
    <d v="2025-11-26T00:00:00"/>
    <n v="14.16"/>
    <s v="PEN"/>
    <x v="0"/>
    <m/>
    <m/>
    <m/>
    <x v="0"/>
    <n v="4.154929577464789"/>
    <m/>
    <m/>
  </r>
  <r>
    <s v="1000013966"/>
    <x v="0"/>
    <s v="1200005264"/>
    <s v="01-0F101-0004729"/>
    <x v="0"/>
    <d v="2025-11-20T00:00:00"/>
    <n v="235"/>
    <d v="2025-11-27T00:00:00"/>
    <n v="28.32"/>
    <s v="PEN"/>
    <x v="0"/>
    <m/>
    <m/>
    <m/>
    <x v="1"/>
    <n v="8.3098591549295779"/>
    <m/>
    <m/>
  </r>
  <r>
    <s v="1000013966"/>
    <x v="0"/>
    <s v="1200005271"/>
    <s v="01-0F101-0004736"/>
    <x v="0"/>
    <d v="2025-11-20T00:00:00"/>
    <n v="235"/>
    <d v="2025-11-27T00:00:00"/>
    <n v="14.16"/>
    <s v="PEN"/>
    <x v="0"/>
    <m/>
    <m/>
    <m/>
    <x v="1"/>
    <n v="4.154929577464789"/>
    <m/>
    <m/>
  </r>
  <r>
    <s v="1000013966"/>
    <x v="0"/>
    <s v="1200005296"/>
    <s v="01-0F101-0004758"/>
    <x v="0"/>
    <d v="2025-11-21T00:00:00"/>
    <n v="234"/>
    <d v="2025-11-28T00:00:00"/>
    <n v="28.32"/>
    <s v="PEN"/>
    <x v="0"/>
    <m/>
    <m/>
    <m/>
    <x v="2"/>
    <n v="8.3098591549295779"/>
    <m/>
    <m/>
  </r>
  <r>
    <s v="1000013966"/>
    <x v="0"/>
    <s v="1200005302"/>
    <s v="01-0F101-0004762"/>
    <x v="0"/>
    <d v="2025-11-21T00:00:00"/>
    <n v="234"/>
    <d v="2025-11-28T00:00:00"/>
    <n v="42.48"/>
    <s v="PEN"/>
    <x v="0"/>
    <m/>
    <m/>
    <m/>
    <x v="2"/>
    <n v="12.464788732394366"/>
    <m/>
    <m/>
  </r>
  <r>
    <s v="1000013966"/>
    <x v="0"/>
    <s v="1200005304"/>
    <s v="01-0F101-0004763"/>
    <x v="0"/>
    <d v="2025-11-21T00:00:00"/>
    <n v="234"/>
    <d v="2025-11-28T00:00:00"/>
    <n v="42.48"/>
    <s v="PEN"/>
    <x v="0"/>
    <m/>
    <m/>
    <m/>
    <x v="2"/>
    <n v="12.464788732394366"/>
    <m/>
    <m/>
  </r>
  <r>
    <s v="1000013966"/>
    <x v="0"/>
    <s v="1200005313"/>
    <s v="01-0F101-0004772"/>
    <x v="0"/>
    <d v="2025-11-21T00:00:00"/>
    <n v="234"/>
    <d v="2025-11-28T00:00:00"/>
    <n v="14.16"/>
    <s v="PEN"/>
    <x v="0"/>
    <m/>
    <m/>
    <m/>
    <x v="2"/>
    <n v="4.154929577464789"/>
    <m/>
    <m/>
  </r>
  <r>
    <s v="1000013966"/>
    <x v="0"/>
    <s v="1200005346"/>
    <s v="01-0F101-0004803"/>
    <x v="0"/>
    <d v="2025-11-22T00:00:00"/>
    <n v="233"/>
    <d v="2025-11-29T00:00:00"/>
    <n v="28.32"/>
    <s v="PEN"/>
    <x v="0"/>
    <m/>
    <m/>
    <m/>
    <x v="3"/>
    <n v="8.3098591549295779"/>
    <m/>
    <m/>
  </r>
  <r>
    <s v="1000013966"/>
    <x v="0"/>
    <s v="1200005422"/>
    <s v="01-0F101-0004855"/>
    <x v="0"/>
    <d v="2025-11-27T00:00:00"/>
    <n v="228"/>
    <d v="2025-12-04T00:00:00"/>
    <n v="14.16"/>
    <s v="PEN"/>
    <x v="0"/>
    <m/>
    <m/>
    <m/>
    <x v="4"/>
    <n v="4.154929577464789"/>
    <m/>
    <m/>
  </r>
  <r>
    <s v="1000013966"/>
    <x v="0"/>
    <s v="1200000045"/>
    <s v="01-0F101-0005160"/>
    <x v="0"/>
    <d v="2026-01-06T00:00:00"/>
    <n v="188"/>
    <d v="2026-01-13T00:00:00"/>
    <n v="14.16"/>
    <s v="PEN"/>
    <x v="0"/>
    <m/>
    <m/>
    <m/>
    <x v="5"/>
    <n v="4.154929577464789"/>
    <m/>
    <m/>
  </r>
  <r>
    <s v="1000013966"/>
    <x v="0"/>
    <s v="1200000090"/>
    <s v="01-0F101-0005198"/>
    <x v="0"/>
    <d v="2026-01-08T00:00:00"/>
    <n v="186"/>
    <d v="2026-01-15T00:00:00"/>
    <n v="14.16"/>
    <s v="PEN"/>
    <x v="0"/>
    <m/>
    <m/>
    <m/>
    <x v="6"/>
    <n v="4.154929577464789"/>
    <m/>
    <m/>
  </r>
  <r>
    <s v="1000013966"/>
    <x v="0"/>
    <s v="1200000113"/>
    <s v="01-0F101-0005211"/>
    <x v="0"/>
    <d v="2026-01-10T00:00:00"/>
    <n v="184"/>
    <d v="2026-01-17T00:00:00"/>
    <n v="14.16"/>
    <s v="PEN"/>
    <x v="0"/>
    <m/>
    <m/>
    <m/>
    <x v="7"/>
    <n v="4.154929577464789"/>
    <m/>
    <m/>
  </r>
  <r>
    <s v="1000013966"/>
    <x v="0"/>
    <s v="1200000132"/>
    <s v="01-0F101-0005224"/>
    <x v="0"/>
    <d v="2026-01-16T00:00:00"/>
    <n v="178"/>
    <d v="2026-01-23T00:00:00"/>
    <n v="14.16"/>
    <s v="PEN"/>
    <x v="0"/>
    <m/>
    <m/>
    <m/>
    <x v="8"/>
    <n v="4.154929577464789"/>
    <m/>
    <m/>
  </r>
  <r>
    <s v="1000013966"/>
    <x v="0"/>
    <s v="1200000133"/>
    <s v="01-0F101-0005225"/>
    <x v="0"/>
    <d v="2026-01-16T00:00:00"/>
    <n v="178"/>
    <d v="2026-01-23T00:00:00"/>
    <n v="14.16"/>
    <s v="PEN"/>
    <x v="0"/>
    <m/>
    <m/>
    <m/>
    <x v="8"/>
    <n v="4.154929577464789"/>
    <m/>
    <m/>
  </r>
  <r>
    <s v="1000013966"/>
    <x v="0"/>
    <s v="1200000141"/>
    <s v="01-0F101-0005231"/>
    <x v="0"/>
    <d v="2026-01-19T00:00:00"/>
    <n v="175"/>
    <d v="2026-01-26T00:00:00"/>
    <n v="14.16"/>
    <s v="PEN"/>
    <x v="0"/>
    <m/>
    <m/>
    <m/>
    <x v="9"/>
    <n v="4.154929577464789"/>
    <m/>
    <m/>
  </r>
  <r>
    <s v="2000001028"/>
    <x v="1"/>
    <s v="1300004711"/>
    <s v="FT-0F002-0000360"/>
    <x v="1"/>
    <d v="2026-05-29T00:00:00"/>
    <n v="52"/>
    <d v="2026-05-29T00:00:00"/>
    <n v="336990"/>
    <s v="USD"/>
    <x v="1"/>
    <d v="2026-07-28T00:00:00"/>
    <n v="-21"/>
    <d v="2026-08-10T00:00:00"/>
    <x v="10"/>
    <n v="336990"/>
    <n v="52"/>
    <s v="46-60"/>
  </r>
  <r>
    <s v="2000001028"/>
    <x v="1"/>
    <s v="1300005598"/>
    <s v="FT-0F002-0000386"/>
    <x v="1"/>
    <d v="2026-06-30T00:00:00"/>
    <n v="20"/>
    <d v="2026-06-30T00:00:00"/>
    <n v="218730"/>
    <s v="USD"/>
    <x v="1"/>
    <d v="2026-08-29T00:00:00"/>
    <n v="-40"/>
    <d v="2026-08-29T00:00:00"/>
    <x v="11"/>
    <n v="218730"/>
    <n v="20"/>
    <s v="0-45"/>
  </r>
  <r>
    <s v="1000013676"/>
    <x v="2"/>
    <s v="1200001798"/>
    <s v="03-0B001-0004567"/>
    <x v="2"/>
    <d v="2026-05-17T00:00:00"/>
    <n v="57"/>
    <d v="2026-05-24T00:00:00"/>
    <n v="365.8"/>
    <s v="PEN"/>
    <x v="0"/>
    <m/>
    <m/>
    <m/>
    <x v="12"/>
    <n v="107.33568075117371"/>
    <m/>
    <m/>
  </r>
  <r>
    <s v="1000013676"/>
    <x v="2"/>
    <s v="1200001799"/>
    <s v="03-0B001-0004568"/>
    <x v="2"/>
    <d v="2026-05-17T00:00:00"/>
    <n v="57"/>
    <d v="2026-05-24T00:00:00"/>
    <n v="47.2"/>
    <s v="PEN"/>
    <x v="0"/>
    <m/>
    <m/>
    <m/>
    <x v="12"/>
    <n v="13.849765258215964"/>
    <m/>
    <m/>
  </r>
  <r>
    <s v="1000013676"/>
    <x v="2"/>
    <s v="1200002786"/>
    <s v="03-0B001-0004754"/>
    <x v="2"/>
    <d v="2026-06-28T00:00:00"/>
    <n v="15"/>
    <d v="2026-07-05T00:00:00"/>
    <n v="820.1"/>
    <s v="PEN"/>
    <x v="0"/>
    <m/>
    <m/>
    <m/>
    <x v="13"/>
    <n v="240.63967136150237"/>
    <m/>
    <m/>
  </r>
  <r>
    <s v="1000013676"/>
    <x v="2"/>
    <s v="1200002787"/>
    <s v="03-0B001-0004755"/>
    <x v="2"/>
    <d v="2026-06-28T00:00:00"/>
    <n v="15"/>
    <d v="2026-07-05T00:00:00"/>
    <n v="70.8"/>
    <s v="PEN"/>
    <x v="0"/>
    <m/>
    <m/>
    <m/>
    <x v="13"/>
    <n v="20.774647887323944"/>
    <m/>
    <m/>
  </r>
  <r>
    <s v="1000013678"/>
    <x v="3"/>
    <s v="1200003045"/>
    <s v="01-0F101-0007358"/>
    <x v="0"/>
    <d v="2026-07-07T00:00:00"/>
    <n v="6"/>
    <d v="2026-07-14T00:00:00"/>
    <n v="283.2"/>
    <s v="PEN"/>
    <x v="0"/>
    <m/>
    <m/>
    <m/>
    <x v="14"/>
    <n v="83.098591549295776"/>
    <m/>
    <m/>
  </r>
  <r>
    <s v="1000013754"/>
    <x v="4"/>
    <s v="1200003301"/>
    <s v="03-0B001-0004840"/>
    <x v="2"/>
    <d v="2026-07-17T00:00:00"/>
    <n v="-4"/>
    <d v="2026-07-24T00:00:00"/>
    <n v="398.84"/>
    <s v="PEN"/>
    <x v="0"/>
    <m/>
    <m/>
    <m/>
    <x v="15"/>
    <n v="117.03051643192488"/>
    <m/>
    <m/>
  </r>
  <r>
    <s v="1000013754"/>
    <x v="4"/>
    <s v="1200003302"/>
    <s v="03-0B001-0004841"/>
    <x v="2"/>
    <d v="2026-07-17T00:00:00"/>
    <n v="-4"/>
    <d v="2026-07-24T00:00:00"/>
    <n v="47.2"/>
    <s v="PEN"/>
    <x v="0"/>
    <m/>
    <m/>
    <m/>
    <x v="15"/>
    <n v="13.849765258215964"/>
    <m/>
    <m/>
  </r>
  <r>
    <s v="2000001439"/>
    <x v="5"/>
    <s v="1300005406"/>
    <s v="FP-253"/>
    <x v="3"/>
    <d v="2026-07-01T00:00:00"/>
    <n v="0"/>
    <d v="2026-07-31T00:00:00"/>
    <n v="-14712"/>
    <s v="USD"/>
    <x v="1"/>
    <d v="2026-08-30T00:00:00"/>
    <m/>
    <m/>
    <x v="16"/>
    <n v="-14712"/>
    <n v="19"/>
    <s v="0-45"/>
  </r>
  <r>
    <s v="2000001439"/>
    <x v="5"/>
    <s v="1300007036"/>
    <s v="FP-263´"/>
    <x v="3"/>
    <d v="2026-07-15T00:00:00"/>
    <n v="0"/>
    <d v="2026-07-31T00:00:00"/>
    <n v="-14442"/>
    <s v="USD"/>
    <x v="1"/>
    <d v="2026-09-13T00:00:00"/>
    <m/>
    <m/>
    <x v="17"/>
    <n v="-14442"/>
    <n v="5"/>
    <s v="0-45"/>
  </r>
  <r>
    <s v="6002186"/>
    <x v="6"/>
    <s v="1200003015"/>
    <s v="01-0F101-0007341"/>
    <x v="0"/>
    <d v="2026-07-06T00:00:00"/>
    <n v="7"/>
    <d v="2026-07-13T00:00:00"/>
    <n v="8692.67"/>
    <s v="USD"/>
    <x v="0"/>
    <d v="2026-09-04T00:00:00"/>
    <n v="46223"/>
    <m/>
    <x v="18"/>
    <n v="8692.67"/>
    <n v="14"/>
    <s v="0-45"/>
  </r>
  <r>
    <s v="6002186"/>
    <x v="6"/>
    <s v="1200003016"/>
    <s v="01-0F101-0007342"/>
    <x v="0"/>
    <d v="2026-07-06T00:00:00"/>
    <n v="7"/>
    <d v="2026-07-13T00:00:00"/>
    <n v="3596.64"/>
    <s v="USD"/>
    <x v="0"/>
    <d v="2026-09-04T00:00:00"/>
    <n v="46223"/>
    <m/>
    <x v="18"/>
    <n v="3596.64"/>
    <n v="14"/>
    <s v="0-45"/>
  </r>
  <r>
    <s v="1000006830"/>
    <x v="7"/>
    <s v="1200003020"/>
    <s v="01-0F101-0007338"/>
    <x v="0"/>
    <d v="2026-07-06T00:00:00"/>
    <n v="7"/>
    <d v="2026-07-13T00:00:00"/>
    <n v="773.61"/>
    <s v="PEN"/>
    <x v="0"/>
    <m/>
    <m/>
    <m/>
    <x v="18"/>
    <n v="226.99823943661974"/>
    <m/>
    <m/>
  </r>
  <r>
    <s v="1000006830"/>
    <x v="7"/>
    <s v="1200003021"/>
    <s v="01-0F101-0007339"/>
    <x v="0"/>
    <d v="2026-07-06T00:00:00"/>
    <n v="7"/>
    <d v="2026-07-13T00:00:00"/>
    <n v="70.8"/>
    <s v="PEN"/>
    <x v="0"/>
    <m/>
    <m/>
    <m/>
    <x v="18"/>
    <n v="20.774647887323944"/>
    <m/>
    <m/>
  </r>
  <r>
    <s v="1000006830"/>
    <x v="7"/>
    <s v="1200003026"/>
    <s v="01-0F101-0007344"/>
    <x v="0"/>
    <d v="2026-07-06T00:00:00"/>
    <n v="7"/>
    <d v="2026-07-13T00:00:00"/>
    <n v="428.1"/>
    <s v="PEN"/>
    <x v="0"/>
    <m/>
    <m/>
    <m/>
    <x v="18"/>
    <n v="125.61619718309861"/>
    <m/>
    <m/>
  </r>
  <r>
    <s v="1000006830"/>
    <x v="7"/>
    <s v="1200003027"/>
    <s v="01-0F101-0007345"/>
    <x v="0"/>
    <d v="2026-07-06T00:00:00"/>
    <n v="7"/>
    <d v="2026-07-13T00:00:00"/>
    <n v="35.4"/>
    <s v="PEN"/>
    <x v="0"/>
    <m/>
    <m/>
    <m/>
    <x v="18"/>
    <n v="10.387323943661972"/>
    <m/>
    <m/>
  </r>
  <r>
    <s v="1000006830"/>
    <x v="7"/>
    <s v="1200003040"/>
    <s v="01-0F101-0007354"/>
    <x v="0"/>
    <d v="2026-07-06T00:00:00"/>
    <n v="7"/>
    <d v="2026-07-13T00:00:00"/>
    <n v="202.49"/>
    <s v="PEN"/>
    <x v="0"/>
    <m/>
    <m/>
    <m/>
    <x v="18"/>
    <n v="59.416079812206576"/>
    <m/>
    <m/>
  </r>
  <r>
    <s v="1000006830"/>
    <x v="7"/>
    <s v="1200003041"/>
    <s v="01-0F101-0007355"/>
    <x v="0"/>
    <d v="2026-07-06T00:00:00"/>
    <n v="7"/>
    <d v="2026-07-13T00:00:00"/>
    <n v="70.8"/>
    <s v="PEN"/>
    <x v="0"/>
    <m/>
    <m/>
    <m/>
    <x v="18"/>
    <n v="20.774647887323944"/>
    <m/>
    <m/>
  </r>
  <r>
    <s v="1000006830"/>
    <x v="7"/>
    <s v="1200003042"/>
    <s v="01-0F101-0007356"/>
    <x v="0"/>
    <d v="2026-07-06T00:00:00"/>
    <n v="7"/>
    <d v="2026-07-13T00:00:00"/>
    <n v="571.59"/>
    <s v="PEN"/>
    <x v="0"/>
    <m/>
    <m/>
    <m/>
    <x v="18"/>
    <n v="167.72007042253523"/>
    <m/>
    <m/>
  </r>
  <r>
    <s v="1000006830"/>
    <x v="7"/>
    <s v="1200003043"/>
    <s v="01-0F101-0007357"/>
    <x v="0"/>
    <d v="2026-07-06T00:00:00"/>
    <n v="7"/>
    <d v="2026-07-13T00:00:00"/>
    <n v="159.30000000000001"/>
    <s v="PEN"/>
    <x v="0"/>
    <m/>
    <m/>
    <m/>
    <x v="18"/>
    <n v="46.742957746478879"/>
    <m/>
    <m/>
  </r>
  <r>
    <s v="1000006830"/>
    <x v="7"/>
    <s v="1200003046"/>
    <s v="01-0F101-0007359"/>
    <x v="0"/>
    <d v="2026-07-07T00:00:00"/>
    <n v="6"/>
    <d v="2026-07-14T00:00:00"/>
    <n v="427.16"/>
    <s v="PEN"/>
    <x v="0"/>
    <m/>
    <m/>
    <m/>
    <x v="14"/>
    <n v="125.34037558685446"/>
    <m/>
    <m/>
  </r>
  <r>
    <s v="1000006830"/>
    <x v="7"/>
    <s v="1200003047"/>
    <s v="01-0F101-0007360"/>
    <x v="0"/>
    <d v="2026-07-07T00:00:00"/>
    <n v="6"/>
    <d v="2026-07-14T00:00:00"/>
    <n v="70.8"/>
    <s v="PEN"/>
    <x v="0"/>
    <m/>
    <m/>
    <m/>
    <x v="14"/>
    <n v="20.774647887323944"/>
    <m/>
    <m/>
  </r>
  <r>
    <s v="1000006830"/>
    <x v="7"/>
    <s v="1200003065"/>
    <s v="01-0F101-0007375"/>
    <x v="0"/>
    <d v="2026-07-08T00:00:00"/>
    <n v="5"/>
    <d v="2026-07-15T00:00:00"/>
    <n v="359.43"/>
    <s v="PEN"/>
    <x v="0"/>
    <m/>
    <m/>
    <m/>
    <x v="17"/>
    <n v="105.46654929577466"/>
    <m/>
    <m/>
  </r>
  <r>
    <s v="1000006830"/>
    <x v="7"/>
    <s v="1200003066"/>
    <s v="01-0F101-0007376"/>
    <x v="0"/>
    <d v="2026-07-08T00:00:00"/>
    <n v="5"/>
    <d v="2026-07-15T00:00:00"/>
    <n v="47.2"/>
    <s v="PEN"/>
    <x v="0"/>
    <m/>
    <m/>
    <m/>
    <x v="17"/>
    <n v="13.849765258215964"/>
    <m/>
    <m/>
  </r>
  <r>
    <s v="1000006830"/>
    <x v="7"/>
    <s v="1200003086"/>
    <s v="01-0F101-0007396"/>
    <x v="0"/>
    <d v="2026-07-09T00:00:00"/>
    <n v="4"/>
    <d v="2026-07-16T00:00:00"/>
    <n v="344.8"/>
    <s v="PEN"/>
    <x v="0"/>
    <m/>
    <m/>
    <m/>
    <x v="19"/>
    <n v="101.17370892018779"/>
    <m/>
    <m/>
  </r>
  <r>
    <s v="1000006830"/>
    <x v="7"/>
    <s v="1200003087"/>
    <s v="01-0F101-0007397"/>
    <x v="0"/>
    <d v="2026-07-09T00:00:00"/>
    <n v="4"/>
    <d v="2026-07-16T00:00:00"/>
    <n v="47.2"/>
    <s v="PEN"/>
    <x v="0"/>
    <m/>
    <m/>
    <m/>
    <x v="19"/>
    <n v="13.849765258215964"/>
    <m/>
    <m/>
  </r>
  <r>
    <s v="1000006830"/>
    <x v="7"/>
    <s v="1200003101"/>
    <s v="01-0F101-0007408"/>
    <x v="0"/>
    <d v="2026-07-10T00:00:00"/>
    <n v="3"/>
    <d v="2026-07-17T00:00:00"/>
    <n v="521.70000000000005"/>
    <s v="PEN"/>
    <x v="0"/>
    <m/>
    <m/>
    <m/>
    <x v="20"/>
    <n v="153.08098591549299"/>
    <m/>
    <m/>
  </r>
  <r>
    <s v="1000006830"/>
    <x v="7"/>
    <s v="1200003102"/>
    <s v="01-0F101-0007409"/>
    <x v="0"/>
    <d v="2026-07-10T00:00:00"/>
    <n v="3"/>
    <d v="2026-07-17T00:00:00"/>
    <n v="153.4"/>
    <s v="PEN"/>
    <x v="0"/>
    <m/>
    <m/>
    <m/>
    <x v="20"/>
    <n v="45.01173708920188"/>
    <m/>
    <m/>
  </r>
  <r>
    <s v="1000006830"/>
    <x v="7"/>
    <s v="1200003105"/>
    <s v="01-0F101-0007412"/>
    <x v="0"/>
    <d v="2026-07-10T00:00:00"/>
    <n v="3"/>
    <d v="2026-07-17T00:00:00"/>
    <n v="162.88999999999999"/>
    <s v="PEN"/>
    <x v="0"/>
    <m/>
    <m/>
    <m/>
    <x v="20"/>
    <n v="47.796361502347416"/>
    <m/>
    <m/>
  </r>
  <r>
    <s v="1000006830"/>
    <x v="7"/>
    <s v="1200003106"/>
    <s v="01-0F101-0007413"/>
    <x v="0"/>
    <d v="2026-07-10T00:00:00"/>
    <n v="3"/>
    <d v="2026-07-17T00:00:00"/>
    <n v="123.9"/>
    <s v="PEN"/>
    <x v="0"/>
    <m/>
    <m/>
    <m/>
    <x v="20"/>
    <n v="36.355633802816904"/>
    <m/>
    <m/>
  </r>
  <r>
    <s v="1000006830"/>
    <x v="7"/>
    <s v="1200003126"/>
    <s v="01-0F101-0007431"/>
    <x v="0"/>
    <d v="2026-07-11T00:00:00"/>
    <n v="2"/>
    <d v="2026-07-18T00:00:00"/>
    <n v="375.71"/>
    <s v="PEN"/>
    <x v="0"/>
    <m/>
    <m/>
    <m/>
    <x v="21"/>
    <n v="110.24354460093896"/>
    <m/>
    <m/>
  </r>
  <r>
    <s v="1000006830"/>
    <x v="7"/>
    <s v="1200003127"/>
    <s v="01-0F101-0007432"/>
    <x v="0"/>
    <d v="2026-07-11T00:00:00"/>
    <n v="2"/>
    <d v="2026-07-18T00:00:00"/>
    <n v="35.4"/>
    <s v="PEN"/>
    <x v="0"/>
    <m/>
    <m/>
    <m/>
    <x v="21"/>
    <n v="10.387323943661972"/>
    <m/>
    <m/>
  </r>
  <r>
    <s v="1000006830"/>
    <x v="7"/>
    <s v="1200003135"/>
    <s v="01-0F101-0007438"/>
    <x v="0"/>
    <d v="2026-07-11T00:00:00"/>
    <n v="2"/>
    <d v="2026-07-18T00:00:00"/>
    <n v="391.52"/>
    <s v="PEN"/>
    <x v="0"/>
    <m/>
    <m/>
    <m/>
    <x v="21"/>
    <n v="114.88262910798122"/>
    <m/>
    <m/>
  </r>
  <r>
    <s v="1000006830"/>
    <x v="7"/>
    <s v="1200003136"/>
    <s v="01-0F101-0007439"/>
    <x v="0"/>
    <d v="2026-07-11T00:00:00"/>
    <n v="2"/>
    <d v="2026-07-18T00:00:00"/>
    <n v="135.69999999999999"/>
    <s v="PEN"/>
    <x v="0"/>
    <m/>
    <m/>
    <m/>
    <x v="21"/>
    <n v="39.818075117370888"/>
    <m/>
    <m/>
  </r>
  <r>
    <s v="1000006830"/>
    <x v="7"/>
    <s v="1200003141"/>
    <s v="01-0F101-0007440"/>
    <x v="0"/>
    <d v="2026-07-12T00:00:00"/>
    <n v="1"/>
    <d v="2026-07-19T00:00:00"/>
    <n v="1809.93"/>
    <s v="PEN"/>
    <x v="0"/>
    <m/>
    <m/>
    <m/>
    <x v="22"/>
    <n v="531.08274647887322"/>
    <m/>
    <m/>
  </r>
  <r>
    <s v="1000006830"/>
    <x v="7"/>
    <s v="1200003142"/>
    <s v="01-0F101-0007441"/>
    <x v="0"/>
    <d v="2026-07-12T00:00:00"/>
    <n v="1"/>
    <d v="2026-07-19T00:00:00"/>
    <n v="454.3"/>
    <s v="PEN"/>
    <x v="0"/>
    <m/>
    <m/>
    <m/>
    <x v="22"/>
    <n v="133.30399061032864"/>
    <m/>
    <m/>
  </r>
  <r>
    <s v="1000006830"/>
    <x v="7"/>
    <s v="1200003165"/>
    <s v="01-0F101-0007460"/>
    <x v="0"/>
    <d v="2026-07-13T00:00:00"/>
    <n v="0"/>
    <d v="2026-07-20T00:00:00"/>
    <n v="675.2"/>
    <s v="PEN"/>
    <x v="0"/>
    <m/>
    <m/>
    <m/>
    <x v="23"/>
    <n v="198.12206572769955"/>
    <m/>
    <m/>
  </r>
  <r>
    <s v="1000006830"/>
    <x v="7"/>
    <s v="1200003166"/>
    <s v="01-0F101-0007461"/>
    <x v="0"/>
    <d v="2026-07-13T00:00:00"/>
    <n v="0"/>
    <d v="2026-07-20T00:00:00"/>
    <n v="82.6"/>
    <s v="PEN"/>
    <x v="0"/>
    <m/>
    <m/>
    <m/>
    <x v="23"/>
    <n v="24.237089201877932"/>
    <m/>
    <m/>
  </r>
  <r>
    <s v="1000006830"/>
    <x v="7"/>
    <s v="1200003181"/>
    <s v="01-0F101-0007472"/>
    <x v="0"/>
    <d v="2026-07-14T00:00:00"/>
    <n v="-1"/>
    <d v="2026-07-21T00:00:00"/>
    <n v="744.39"/>
    <s v="PEN"/>
    <x v="0"/>
    <m/>
    <m/>
    <m/>
    <x v="24"/>
    <n v="218.4242957746479"/>
    <m/>
    <m/>
  </r>
  <r>
    <s v="1000006830"/>
    <x v="7"/>
    <s v="1200003182"/>
    <s v="01-0F101-0007473"/>
    <x v="0"/>
    <d v="2026-07-14T00:00:00"/>
    <n v="-1"/>
    <d v="2026-07-21T00:00:00"/>
    <n v="218.3"/>
    <s v="PEN"/>
    <x v="0"/>
    <m/>
    <m/>
    <m/>
    <x v="24"/>
    <n v="64.055164319248831"/>
    <m/>
    <m/>
  </r>
  <r>
    <s v="1000006830"/>
    <x v="7"/>
    <s v="1200003204"/>
    <s v="01-0F101-0007491"/>
    <x v="0"/>
    <d v="2026-07-14T00:00:00"/>
    <n v="-1"/>
    <d v="2026-07-21T00:00:00"/>
    <n v="703.04"/>
    <s v="PEN"/>
    <x v="0"/>
    <m/>
    <m/>
    <m/>
    <x v="24"/>
    <n v="206.29107981220656"/>
    <m/>
    <m/>
  </r>
  <r>
    <s v="1000006830"/>
    <x v="7"/>
    <s v="1200003205"/>
    <s v="01-0F101-0007492"/>
    <x v="0"/>
    <d v="2026-07-14T00:00:00"/>
    <n v="-1"/>
    <d v="2026-07-21T00:00:00"/>
    <n v="70.8"/>
    <s v="PEN"/>
    <x v="0"/>
    <m/>
    <m/>
    <m/>
    <x v="24"/>
    <n v="20.774647887323944"/>
    <m/>
    <m/>
  </r>
  <r>
    <s v="1000006830"/>
    <x v="7"/>
    <s v="1200003206"/>
    <s v="01-0F101-0007493"/>
    <x v="0"/>
    <d v="2026-07-14T00:00:00"/>
    <n v="-1"/>
    <d v="2026-07-21T00:00:00"/>
    <n v="157.41"/>
    <s v="PEN"/>
    <x v="0"/>
    <m/>
    <m/>
    <m/>
    <x v="24"/>
    <n v="46.188380281690144"/>
    <m/>
    <m/>
  </r>
  <r>
    <s v="1000006830"/>
    <x v="7"/>
    <s v="1200003207"/>
    <s v="01-0F101-0007494"/>
    <x v="0"/>
    <d v="2026-07-14T00:00:00"/>
    <n v="-1"/>
    <d v="2026-07-21T00:00:00"/>
    <n v="35.4"/>
    <s v="PEN"/>
    <x v="0"/>
    <m/>
    <m/>
    <m/>
    <x v="24"/>
    <n v="10.387323943661972"/>
    <m/>
    <m/>
  </r>
  <r>
    <s v="1000006830"/>
    <x v="7"/>
    <s v="1200003228"/>
    <s v="01-0F101-0007512"/>
    <x v="0"/>
    <d v="2026-07-15T00:00:00"/>
    <n v="-2"/>
    <d v="2026-07-22T00:00:00"/>
    <n v="438.02"/>
    <s v="PEN"/>
    <x v="0"/>
    <m/>
    <m/>
    <m/>
    <x v="25"/>
    <n v="128.52699530516432"/>
    <m/>
    <m/>
  </r>
  <r>
    <s v="1000006830"/>
    <x v="7"/>
    <s v="1200003229"/>
    <s v="01-0F101-0007513"/>
    <x v="0"/>
    <d v="2026-07-15T00:00:00"/>
    <n v="-2"/>
    <d v="2026-07-22T00:00:00"/>
    <n v="35.4"/>
    <s v="PEN"/>
    <x v="0"/>
    <m/>
    <m/>
    <m/>
    <x v="25"/>
    <n v="10.387323943661972"/>
    <m/>
    <m/>
  </r>
  <r>
    <s v="1000006830"/>
    <x v="7"/>
    <s v="1200003236"/>
    <s v="01-0F101-0007520"/>
    <x v="0"/>
    <d v="2026-07-15T00:00:00"/>
    <n v="-2"/>
    <d v="2026-07-22T00:00:00"/>
    <n v="399.55"/>
    <s v="PEN"/>
    <x v="0"/>
    <m/>
    <m/>
    <m/>
    <x v="25"/>
    <n v="117.23884976525822"/>
    <m/>
    <m/>
  </r>
  <r>
    <s v="1000006830"/>
    <x v="7"/>
    <s v="1200003237"/>
    <s v="01-0F101-0007521"/>
    <x v="0"/>
    <d v="2026-07-15T00:00:00"/>
    <n v="-2"/>
    <d v="2026-07-22T00:00:00"/>
    <n v="47.2"/>
    <s v="PEN"/>
    <x v="0"/>
    <m/>
    <m/>
    <m/>
    <x v="25"/>
    <n v="13.849765258215964"/>
    <m/>
    <m/>
  </r>
  <r>
    <s v="1000006830"/>
    <x v="7"/>
    <s v="1200003254"/>
    <s v="01-0F101-0007534"/>
    <x v="0"/>
    <d v="2026-07-16T00:00:00"/>
    <n v="-3"/>
    <d v="2026-07-23T00:00:00"/>
    <n v="460.25"/>
    <s v="PEN"/>
    <x v="0"/>
    <m/>
    <m/>
    <m/>
    <x v="26"/>
    <n v="135.049882629108"/>
    <m/>
    <m/>
  </r>
  <r>
    <s v="1000006830"/>
    <x v="7"/>
    <s v="1200003255"/>
    <s v="01-0F101-0007535"/>
    <x v="0"/>
    <d v="2026-07-16T00:00:00"/>
    <n v="-3"/>
    <d v="2026-07-23T00:00:00"/>
    <n v="153.4"/>
    <s v="PEN"/>
    <x v="0"/>
    <m/>
    <m/>
    <m/>
    <x v="26"/>
    <n v="45.01173708920188"/>
    <m/>
    <m/>
  </r>
  <r>
    <s v="1000006830"/>
    <x v="7"/>
    <s v="1200003257"/>
    <s v="01-0F101-0007536"/>
    <x v="0"/>
    <d v="2026-07-16T00:00:00"/>
    <n v="-3"/>
    <d v="2026-07-23T00:00:00"/>
    <n v="402.85"/>
    <s v="PEN"/>
    <x v="0"/>
    <m/>
    <m/>
    <m/>
    <x v="26"/>
    <n v="118.20715962441315"/>
    <m/>
    <m/>
  </r>
  <r>
    <s v="1000006830"/>
    <x v="7"/>
    <s v="1200003258"/>
    <s v="01-0F101-0007537"/>
    <x v="0"/>
    <d v="2026-07-16T00:00:00"/>
    <n v="-3"/>
    <d v="2026-07-23T00:00:00"/>
    <n v="35.4"/>
    <s v="PEN"/>
    <x v="0"/>
    <m/>
    <m/>
    <m/>
    <x v="26"/>
    <n v="10.387323943661972"/>
    <m/>
    <m/>
  </r>
  <r>
    <s v="1000006830"/>
    <x v="7"/>
    <s v="1200003276"/>
    <s v="01-0F101-0007554"/>
    <x v="0"/>
    <d v="2026-07-16T00:00:00"/>
    <n v="-3"/>
    <d v="2026-07-23T00:00:00"/>
    <n v="690.21"/>
    <s v="PEN"/>
    <x v="0"/>
    <m/>
    <m/>
    <m/>
    <x v="26"/>
    <n v="202.52640845070425"/>
    <m/>
    <m/>
  </r>
  <r>
    <s v="1000006830"/>
    <x v="7"/>
    <s v="1200003277"/>
    <s v="01-0F101-0007555"/>
    <x v="0"/>
    <d v="2026-07-16T00:00:00"/>
    <n v="-3"/>
    <d v="2026-07-23T00:00:00"/>
    <n v="212.4"/>
    <s v="PEN"/>
    <x v="0"/>
    <m/>
    <m/>
    <m/>
    <x v="26"/>
    <n v="62.323943661971832"/>
    <m/>
    <m/>
  </r>
  <r>
    <s v="1000006830"/>
    <x v="7"/>
    <s v="1200003284"/>
    <s v="01-0F101-0007562"/>
    <x v="0"/>
    <d v="2026-07-17T00:00:00"/>
    <n v="-4"/>
    <d v="2026-07-24T00:00:00"/>
    <n v="629.41"/>
    <s v="PEN"/>
    <x v="0"/>
    <m/>
    <m/>
    <m/>
    <x v="15"/>
    <n v="184.68603286384976"/>
    <m/>
    <m/>
  </r>
  <r>
    <s v="1000006830"/>
    <x v="7"/>
    <s v="1200003285"/>
    <s v="01-0F101-0007563"/>
    <x v="0"/>
    <d v="2026-07-17T00:00:00"/>
    <n v="-4"/>
    <d v="2026-07-24T00:00:00"/>
    <n v="230.1"/>
    <s v="PEN"/>
    <x v="0"/>
    <m/>
    <m/>
    <m/>
    <x v="15"/>
    <n v="67.517605633802816"/>
    <m/>
    <m/>
  </r>
  <r>
    <s v="1000006830"/>
    <x v="7"/>
    <s v="1200003286"/>
    <s v="01-0F101-0007564"/>
    <x v="0"/>
    <d v="2026-07-17T00:00:00"/>
    <n v="-4"/>
    <d v="2026-07-24T00:00:00"/>
    <n v="367.07"/>
    <s v="PEN"/>
    <x v="0"/>
    <m/>
    <m/>
    <m/>
    <x v="15"/>
    <n v="107.70833333333333"/>
    <m/>
    <m/>
  </r>
  <r>
    <s v="1000006830"/>
    <x v="7"/>
    <s v="1200003287"/>
    <s v="01-0F101-0007565"/>
    <x v="0"/>
    <d v="2026-07-17T00:00:00"/>
    <n v="-4"/>
    <d v="2026-07-24T00:00:00"/>
    <n v="177"/>
    <s v="PEN"/>
    <x v="0"/>
    <m/>
    <m/>
    <m/>
    <x v="15"/>
    <n v="51.936619718309863"/>
    <m/>
    <m/>
  </r>
  <r>
    <s v="1000006830"/>
    <x v="7"/>
    <s v="1200003289"/>
    <s v="01-0F101-0007567"/>
    <x v="0"/>
    <d v="2026-07-17T00:00:00"/>
    <n v="-4"/>
    <d v="2026-07-24T00:00:00"/>
    <n v="331.11"/>
    <s v="PEN"/>
    <x v="0"/>
    <m/>
    <m/>
    <m/>
    <x v="15"/>
    <n v="97.156690140845072"/>
    <m/>
    <m/>
  </r>
  <r>
    <s v="1000006830"/>
    <x v="7"/>
    <s v="1200003290"/>
    <s v="01-0F101-0007568"/>
    <x v="0"/>
    <d v="2026-07-17T00:00:00"/>
    <n v="-4"/>
    <d v="2026-07-24T00:00:00"/>
    <n v="35.4"/>
    <s v="PEN"/>
    <x v="0"/>
    <m/>
    <m/>
    <m/>
    <x v="15"/>
    <n v="10.387323943661972"/>
    <m/>
    <m/>
  </r>
  <r>
    <s v="2000001459"/>
    <x v="8"/>
    <s v="1300004230"/>
    <s v="ANTICIPO FP242"/>
    <x v="3"/>
    <d v="2026-05-26T00:00:00"/>
    <n v="0"/>
    <d v="2026-05-31T00:00:00"/>
    <n v="-34580"/>
    <s v="USD"/>
    <x v="1"/>
    <d v="2026-07-25T00:00:00"/>
    <m/>
    <m/>
    <x v="27"/>
    <n v="-34580"/>
    <n v="55"/>
    <s v="46-60"/>
  </r>
  <r>
    <s v="2000001172"/>
    <x v="9"/>
    <s v="1300004844"/>
    <s v="ANTICIPO FP-248"/>
    <x v="3"/>
    <d v="2026-06-08T00:00:00"/>
    <n v="0"/>
    <d v="2026-06-30T00:00:00"/>
    <n v="-33677"/>
    <s v="USD"/>
    <x v="1"/>
    <d v="2026-08-07T00:00:00"/>
    <m/>
    <m/>
    <x v="28"/>
    <n v="-33677"/>
    <n v="42"/>
    <s v="0-45"/>
  </r>
  <r>
    <s v="2000001172"/>
    <x v="9"/>
    <s v="1300007034"/>
    <s v="FT-0F002-0000374"/>
    <x v="1"/>
    <d v="2026-06-21T00:00:00"/>
    <n v="29"/>
    <d v="2026-06-21T00:00:00"/>
    <n v="14830.54"/>
    <s v="USD"/>
    <x v="1"/>
    <d v="2026-08-20T00:00:00"/>
    <n v="-31"/>
    <d v="2026-08-20T00:00:00"/>
    <x v="29"/>
    <n v="14830.54"/>
    <n v="29"/>
    <s v="0-45"/>
  </r>
  <r>
    <s v="2000001172"/>
    <x v="9"/>
    <s v="1300007035"/>
    <s v="FT-0F002-0000375"/>
    <x v="1"/>
    <d v="2026-06-23T00:00:00"/>
    <n v="27"/>
    <d v="2026-06-23T00:00:00"/>
    <n v="18230"/>
    <s v="USD"/>
    <x v="1"/>
    <d v="2026-08-22T00:00:00"/>
    <n v="-33"/>
    <d v="2026-08-22T00:00:00"/>
    <x v="30"/>
    <n v="18230"/>
    <n v="27"/>
    <s v="0-45"/>
  </r>
  <r>
    <s v="2000000231"/>
    <x v="10"/>
    <s v="1200002635"/>
    <s v="01-0F002-0000371"/>
    <x v="4"/>
    <d v="2026-06-19T00:00:00"/>
    <n v="-14"/>
    <d v="2026-08-03T00:00:00"/>
    <n v="421200"/>
    <s v="USD"/>
    <x v="1"/>
    <d v="2026-08-18T00:00:00"/>
    <n v="-14"/>
    <d v="2026-08-03T00:00:00"/>
    <x v="31"/>
    <n v="421200"/>
    <n v="31"/>
    <s v="0-45"/>
  </r>
  <r>
    <s v="2000000231"/>
    <x v="10"/>
    <s v="1200002880"/>
    <s v="01-0F002-0000378"/>
    <x v="4"/>
    <d v="2026-06-30T00:00:00"/>
    <n v="-25"/>
    <d v="2026-08-14T00:00:00"/>
    <n v="211167"/>
    <s v="USD"/>
    <x v="1"/>
    <d v="2026-08-29T00:00:00"/>
    <n v="-40"/>
    <d v="2026-08-29T00:00:00"/>
    <x v="11"/>
    <n v="211167"/>
    <n v="20"/>
    <s v="0-45"/>
  </r>
  <r>
    <s v="2000000231"/>
    <x v="10"/>
    <s v="1200002882"/>
    <s v="01-0F002-0000379"/>
    <x v="4"/>
    <d v="2026-06-30T00:00:00"/>
    <n v="-40"/>
    <d v="2026-08-29T00:00:00"/>
    <n v="105300"/>
    <s v="USD"/>
    <x v="1"/>
    <d v="2026-08-29T00:00:00"/>
    <n v="-40"/>
    <d v="2026-08-29T00:00:00"/>
    <x v="11"/>
    <n v="105300"/>
    <n v="20"/>
    <s v="0-45"/>
  </r>
  <r>
    <s v="2000000233"/>
    <x v="11"/>
    <s v="1300004855"/>
    <s v="ANTICIPO FP-249"/>
    <x v="3"/>
    <d v="2026-06-09T00:00:00"/>
    <n v="0"/>
    <d v="2026-06-30T00:00:00"/>
    <n v="-159925"/>
    <s v="USD"/>
    <x v="1"/>
    <d v="2026-08-08T00:00:00"/>
    <m/>
    <m/>
    <x v="32"/>
    <n v="-159925"/>
    <n v="41"/>
    <s v="0-45"/>
  </r>
  <r>
    <s v="2000000233"/>
    <x v="11"/>
    <s v="1200002541"/>
    <s v="01-0F002-0000367"/>
    <x v="4"/>
    <d v="2026-06-13T00:00:00"/>
    <n v="-8"/>
    <d v="2026-07-28T00:00:00"/>
    <n v="113004"/>
    <s v="USD"/>
    <x v="1"/>
    <d v="2026-08-12T00:00:00"/>
    <n v="-8"/>
    <d v="2026-07-28T00:00:00"/>
    <x v="33"/>
    <n v="113004"/>
    <n v="37"/>
    <s v="0-45"/>
  </r>
  <r>
    <s v="2000000233"/>
    <x v="11"/>
    <s v="1300005331"/>
    <s v="FT-0F002-0000377"/>
    <x v="1"/>
    <d v="2026-06-27T00:00:00"/>
    <n v="23"/>
    <d v="2026-06-27T00:00:00"/>
    <n v="213454"/>
    <s v="USD"/>
    <x v="1"/>
    <d v="2026-08-26T00:00:00"/>
    <n v="-37"/>
    <d v="2026-08-26T00:00:00"/>
    <x v="34"/>
    <n v="213454"/>
    <n v="23"/>
    <s v="0-45"/>
  </r>
  <r>
    <s v="2000000233"/>
    <x v="11"/>
    <s v="1200002904"/>
    <s v="01-0F002-0000382"/>
    <x v="4"/>
    <d v="2026-06-30T00:00:00"/>
    <n v="-40"/>
    <d v="2026-08-29T00:00:00"/>
    <n v="533250"/>
    <s v="USD"/>
    <x v="1"/>
    <d v="2026-08-29T00:00:00"/>
    <n v="-40"/>
    <d v="2026-08-29T00:00:00"/>
    <x v="11"/>
    <n v="533250"/>
    <n v="20"/>
    <s v="0-45"/>
  </r>
  <r>
    <s v="2000000233"/>
    <x v="11"/>
    <s v="1200002931"/>
    <s v="01-0F002-0000384"/>
    <x v="4"/>
    <d v="2026-06-30T00:00:00"/>
    <n v="-25"/>
    <d v="2026-08-14T00:00:00"/>
    <n v="169092"/>
    <s v="USD"/>
    <x v="1"/>
    <d v="2026-08-29T00:00:00"/>
    <n v="-40"/>
    <d v="2026-08-29T00:00:00"/>
    <x v="11"/>
    <n v="169092"/>
    <n v="20"/>
    <s v="0-45"/>
  </r>
  <r>
    <s v="2000000233"/>
    <x v="11"/>
    <s v="1200002938"/>
    <s v="01-0F002-0000385"/>
    <x v="4"/>
    <d v="2026-06-30T00:00:00"/>
    <n v="-40"/>
    <d v="2026-08-29T00:00:00"/>
    <n v="213300"/>
    <s v="USD"/>
    <x v="1"/>
    <d v="2026-08-29T00:00:00"/>
    <n v="-40"/>
    <d v="2026-08-29T00:00:00"/>
    <x v="11"/>
    <n v="213300"/>
    <n v="20"/>
    <s v="0-45"/>
  </r>
  <r>
    <s v="2000001409"/>
    <x v="12"/>
    <s v="1300005409"/>
    <s v="FT-0F002-0000356"/>
    <x v="1"/>
    <d v="2026-05-29T00:00:00"/>
    <n v="52"/>
    <d v="2026-05-29T00:00:00"/>
    <n v="45810"/>
    <s v="USD"/>
    <x v="1"/>
    <d v="2026-07-28T00:00:00"/>
    <n v="-8"/>
    <d v="2026-07-28T00:00:00"/>
    <x v="33"/>
    <n v="45810"/>
    <n v="52"/>
    <s v="46-60"/>
  </r>
  <r>
    <s v="6002007"/>
    <x v="13"/>
    <s v="1200005141"/>
    <s v="01-0F101-0004638"/>
    <x v="0"/>
    <d v="2025-11-03T00:00:00"/>
    <n v="252"/>
    <d v="2025-11-10T00:00:00"/>
    <n v="1403.26"/>
    <s v="PEN"/>
    <x v="2"/>
    <m/>
    <m/>
    <m/>
    <x v="35"/>
    <n v="411.75469483568077"/>
    <m/>
    <m/>
  </r>
  <r>
    <s v="6002007"/>
    <x v="13"/>
    <s v="1200005142"/>
    <s v="01-0F101-0004639"/>
    <x v="0"/>
    <d v="2025-11-03T00:00:00"/>
    <n v="252"/>
    <d v="2025-11-10T00:00:00"/>
    <n v="141.6"/>
    <s v="PEN"/>
    <x v="2"/>
    <m/>
    <m/>
    <m/>
    <x v="35"/>
    <n v="41.549295774647888"/>
    <m/>
    <m/>
  </r>
  <r>
    <s v="6002007"/>
    <x v="13"/>
    <s v="1200005158"/>
    <s v="01-0F101-0004653"/>
    <x v="0"/>
    <d v="2025-11-06T00:00:00"/>
    <n v="249"/>
    <d v="2025-11-13T00:00:00"/>
    <n v="1193.22"/>
    <s v="PEN"/>
    <x v="2"/>
    <m/>
    <m/>
    <m/>
    <x v="36"/>
    <n v="350.12323943661971"/>
    <m/>
    <m/>
  </r>
  <r>
    <s v="6002007"/>
    <x v="13"/>
    <s v="1200005159"/>
    <s v="01-0F101-0004654"/>
    <x v="0"/>
    <d v="2025-11-06T00:00:00"/>
    <n v="249"/>
    <d v="2025-11-13T00:00:00"/>
    <n v="106.2"/>
    <s v="PEN"/>
    <x v="2"/>
    <m/>
    <m/>
    <m/>
    <x v="36"/>
    <n v="31.161971830985916"/>
    <m/>
    <m/>
  </r>
  <r>
    <s v="6002007"/>
    <x v="13"/>
    <s v="1200001503"/>
    <s v="01-0F101-0006226"/>
    <x v="0"/>
    <d v="2026-05-06T00:00:00"/>
    <n v="68"/>
    <d v="2026-05-13T00:00:00"/>
    <n v="23.6"/>
    <s v="PEN"/>
    <x v="2"/>
    <m/>
    <m/>
    <m/>
    <x v="37"/>
    <n v="6.9248826291079819"/>
    <m/>
    <m/>
  </r>
  <r>
    <s v="6002007"/>
    <x v="13"/>
    <s v="1200001504"/>
    <s v="01-0F101-0006227"/>
    <x v="0"/>
    <d v="2026-05-06T00:00:00"/>
    <n v="68"/>
    <d v="2026-05-13T00:00:00"/>
    <n v="261.49"/>
    <s v="PEN"/>
    <x v="2"/>
    <m/>
    <m/>
    <m/>
    <x v="37"/>
    <n v="76.728286384976528"/>
    <m/>
    <m/>
  </r>
  <r>
    <s v="6002007"/>
    <x v="13"/>
    <s v="1200001509"/>
    <s v="01-0F101-0006232"/>
    <x v="0"/>
    <d v="2026-05-06T00:00:00"/>
    <n v="68"/>
    <d v="2026-05-13T00:00:00"/>
    <n v="387.51"/>
    <s v="PEN"/>
    <x v="2"/>
    <m/>
    <m/>
    <m/>
    <x v="37"/>
    <n v="113.70598591549296"/>
    <m/>
    <m/>
  </r>
  <r>
    <s v="6002007"/>
    <x v="13"/>
    <s v="1200001510"/>
    <s v="01-0F101-0006233"/>
    <x v="0"/>
    <d v="2026-05-06T00:00:00"/>
    <n v="68"/>
    <d v="2026-05-13T00:00:00"/>
    <n v="35.4"/>
    <s v="PEN"/>
    <x v="2"/>
    <m/>
    <m/>
    <m/>
    <x v="37"/>
    <n v="10.387323943661972"/>
    <m/>
    <m/>
  </r>
  <r>
    <s v="6002007"/>
    <x v="13"/>
    <s v="1200001609"/>
    <s v="01-0F101-0006311"/>
    <x v="0"/>
    <d v="2026-05-12T00:00:00"/>
    <n v="62"/>
    <d v="2026-05-19T00:00:00"/>
    <n v="482.86"/>
    <s v="PEN"/>
    <x v="2"/>
    <m/>
    <m/>
    <m/>
    <x v="38"/>
    <n v="141.6842723004695"/>
    <m/>
    <m/>
  </r>
  <r>
    <s v="6002007"/>
    <x v="13"/>
    <s v="1200001610"/>
    <s v="01-0F101-0006312"/>
    <x v="0"/>
    <d v="2026-05-12T00:00:00"/>
    <n v="62"/>
    <d v="2026-05-19T00:00:00"/>
    <n v="47.2"/>
    <s v="PEN"/>
    <x v="2"/>
    <m/>
    <m/>
    <m/>
    <x v="38"/>
    <n v="13.849765258215964"/>
    <m/>
    <m/>
  </r>
  <r>
    <s v="6002007"/>
    <x v="13"/>
    <s v="1200001789"/>
    <s v="01-0F101-0006447"/>
    <x v="0"/>
    <d v="2026-05-16T00:00:00"/>
    <n v="58"/>
    <d v="2026-05-23T00:00:00"/>
    <n v="544.45000000000005"/>
    <s v="PEN"/>
    <x v="2"/>
    <m/>
    <m/>
    <m/>
    <x v="39"/>
    <n v="159.75645539906105"/>
    <m/>
    <m/>
  </r>
  <r>
    <s v="6002007"/>
    <x v="13"/>
    <s v="1200001790"/>
    <s v="01-0F101-0006448"/>
    <x v="0"/>
    <d v="2026-05-16T00:00:00"/>
    <n v="58"/>
    <d v="2026-05-23T00:00:00"/>
    <n v="47.2"/>
    <s v="PEN"/>
    <x v="2"/>
    <m/>
    <m/>
    <m/>
    <x v="39"/>
    <n v="13.849765258215964"/>
    <m/>
    <m/>
  </r>
  <r>
    <s v="6002007"/>
    <x v="13"/>
    <s v="1200002045"/>
    <s v="01-0F101-0006626"/>
    <x v="0"/>
    <d v="2026-05-27T00:00:00"/>
    <n v="47"/>
    <d v="2026-06-03T00:00:00"/>
    <n v="591.65"/>
    <s v="PEN"/>
    <x v="2"/>
    <m/>
    <m/>
    <m/>
    <x v="40"/>
    <n v="173.60622065727699"/>
    <m/>
    <m/>
  </r>
  <r>
    <s v="6002007"/>
    <x v="13"/>
    <s v="1200002046"/>
    <s v="01-0F101-0006627"/>
    <x v="0"/>
    <d v="2026-05-27T00:00:00"/>
    <n v="47"/>
    <d v="2026-06-03T00:00:00"/>
    <n v="70.8"/>
    <s v="PEN"/>
    <x v="2"/>
    <m/>
    <m/>
    <m/>
    <x v="40"/>
    <n v="20.774647887323944"/>
    <m/>
    <m/>
  </r>
  <r>
    <s v="6002007"/>
    <x v="13"/>
    <s v="1200002186"/>
    <s v="01-0F101-0006716"/>
    <x v="0"/>
    <d v="2026-06-02T00:00:00"/>
    <n v="41"/>
    <d v="2026-06-09T00:00:00"/>
    <n v="185.97"/>
    <s v="PEN"/>
    <x v="2"/>
    <m/>
    <m/>
    <m/>
    <x v="32"/>
    <n v="54.568661971830984"/>
    <m/>
    <m/>
  </r>
  <r>
    <s v="6002007"/>
    <x v="13"/>
    <s v="1200002187"/>
    <s v="01-0F101-0006717"/>
    <x v="0"/>
    <d v="2026-06-02T00:00:00"/>
    <n v="41"/>
    <d v="2026-06-09T00:00:00"/>
    <n v="23.6"/>
    <s v="PEN"/>
    <x v="2"/>
    <m/>
    <m/>
    <m/>
    <x v="32"/>
    <n v="6.9248826291079819"/>
    <m/>
    <m/>
  </r>
  <r>
    <s v="6002007"/>
    <x v="13"/>
    <s v="1200002487"/>
    <s v="01-0F101-0006948"/>
    <x v="0"/>
    <d v="2026-06-13T00:00:00"/>
    <n v="30"/>
    <d v="2026-06-20T00:00:00"/>
    <n v="535.25"/>
    <s v="PEN"/>
    <x v="2"/>
    <m/>
    <m/>
    <m/>
    <x v="41"/>
    <n v="157.05692488262912"/>
    <m/>
    <m/>
  </r>
  <r>
    <s v="6002007"/>
    <x v="13"/>
    <s v="1200002488"/>
    <s v="01-0F101-0006949"/>
    <x v="0"/>
    <d v="2026-06-13T00:00:00"/>
    <n v="30"/>
    <d v="2026-06-20T00:00:00"/>
    <n v="70.8"/>
    <s v="PEN"/>
    <x v="2"/>
    <m/>
    <m/>
    <m/>
    <x v="41"/>
    <n v="20.774647887323944"/>
    <m/>
    <m/>
  </r>
  <r>
    <s v="6002007"/>
    <x v="13"/>
    <s v="1200002956"/>
    <s v="01-0F101-0007286"/>
    <x v="0"/>
    <d v="2026-07-03T00:00:00"/>
    <n v="10"/>
    <d v="2026-07-10T00:00:00"/>
    <n v="449.11"/>
    <s v="PEN"/>
    <x v="2"/>
    <m/>
    <m/>
    <m/>
    <x v="42"/>
    <n v="131.78110328638499"/>
    <m/>
    <m/>
  </r>
  <r>
    <s v="6002007"/>
    <x v="13"/>
    <s v="1200002957"/>
    <s v="01-0F101-0007287"/>
    <x v="0"/>
    <d v="2026-07-03T00:00:00"/>
    <n v="10"/>
    <d v="2026-07-10T00:00:00"/>
    <n v="35.4"/>
    <s v="PEN"/>
    <x v="2"/>
    <m/>
    <m/>
    <m/>
    <x v="42"/>
    <n v="10.387323943661972"/>
    <m/>
    <m/>
  </r>
  <r>
    <s v="6002007"/>
    <x v="13"/>
    <s v="1200003319"/>
    <s v="01-0F101-0007590"/>
    <x v="0"/>
    <d v="2026-07-17T00:00:00"/>
    <n v="-4"/>
    <d v="2026-07-24T00:00:00"/>
    <n v="355.65"/>
    <s v="PEN"/>
    <x v="2"/>
    <m/>
    <m/>
    <m/>
    <x v="15"/>
    <n v="104.35739436619718"/>
    <m/>
    <m/>
  </r>
  <r>
    <s v="6002007"/>
    <x v="13"/>
    <s v="1200003320"/>
    <s v="01-0F101-0007591"/>
    <x v="0"/>
    <d v="2026-07-17T00:00:00"/>
    <n v="-4"/>
    <d v="2026-07-24T00:00:00"/>
    <n v="47.2"/>
    <s v="PEN"/>
    <x v="2"/>
    <m/>
    <m/>
    <m/>
    <x v="15"/>
    <n v="13.849765258215964"/>
    <m/>
    <m/>
  </r>
  <r>
    <s v="6001105"/>
    <x v="14"/>
    <s v="1200001300"/>
    <s v="01-0F101-0006073"/>
    <x v="0"/>
    <d v="2026-04-28T00:00:00"/>
    <n v="83"/>
    <d v="2026-04-28T00:00:00"/>
    <n v="59"/>
    <s v="PEN"/>
    <x v="0"/>
    <m/>
    <m/>
    <m/>
    <x v="43"/>
    <n v="17.312206572769952"/>
    <m/>
    <m/>
  </r>
  <r>
    <s v="6001105"/>
    <x v="14"/>
    <s v="1200001301"/>
    <s v="01-0F101-0006074"/>
    <x v="0"/>
    <d v="2026-04-28T00:00:00"/>
    <n v="83"/>
    <d v="2026-04-28T00:00:00"/>
    <n v="716.71"/>
    <s v="PEN"/>
    <x v="0"/>
    <m/>
    <m/>
    <m/>
    <x v="43"/>
    <n v="210.30223004694838"/>
    <m/>
    <m/>
  </r>
  <r>
    <s v="6001105"/>
    <x v="14"/>
    <s v="1200001302"/>
    <s v="01-0F101-0006075"/>
    <x v="0"/>
    <d v="2026-04-28T00:00:00"/>
    <n v="83"/>
    <d v="2026-04-28T00:00:00"/>
    <n v="129.80000000000001"/>
    <s v="PEN"/>
    <x v="0"/>
    <m/>
    <m/>
    <m/>
    <x v="43"/>
    <n v="38.086854460093903"/>
    <m/>
    <m/>
  </r>
  <r>
    <s v="6001105"/>
    <x v="14"/>
    <s v="1300004037"/>
    <s v="FT-0F101-0006072"/>
    <x v="1"/>
    <d v="2026-04-28T00:00:00"/>
    <n v="83"/>
    <d v="2026-04-28T00:00:00"/>
    <n v="422.56"/>
    <s v="PEN"/>
    <x v="0"/>
    <m/>
    <m/>
    <m/>
    <x v="43"/>
    <n v="123.9906103286385"/>
    <m/>
    <m/>
  </r>
  <r>
    <s v="6001105"/>
    <x v="14"/>
    <s v="1200001648"/>
    <s v="01-0F101-0006336"/>
    <x v="0"/>
    <d v="2026-05-12T00:00:00"/>
    <n v="69"/>
    <d v="2026-05-12T00:00:00"/>
    <n v="404.98"/>
    <s v="PEN"/>
    <x v="0"/>
    <m/>
    <m/>
    <m/>
    <x v="44"/>
    <n v="118.83215962441315"/>
    <m/>
    <m/>
  </r>
  <r>
    <s v="6001105"/>
    <x v="14"/>
    <s v="1200001649"/>
    <s v="01-0F101-0006337"/>
    <x v="0"/>
    <d v="2026-05-12T00:00:00"/>
    <n v="69"/>
    <d v="2026-05-12T00:00:00"/>
    <n v="59"/>
    <s v="PEN"/>
    <x v="0"/>
    <m/>
    <m/>
    <m/>
    <x v="44"/>
    <n v="17.312206572769952"/>
    <m/>
    <m/>
  </r>
  <r>
    <s v="2000001443"/>
    <x v="15"/>
    <s v="1300004715"/>
    <s v="FT-0F002-0000355"/>
    <x v="1"/>
    <d v="2026-05-29T00:00:00"/>
    <n v="52"/>
    <d v="2026-05-29T00:00:00"/>
    <n v="67008"/>
    <s v="USD"/>
    <x v="1"/>
    <d v="2026-07-28T00:00:00"/>
    <n v="-12"/>
    <d v="2026-08-01T00:00:00"/>
    <x v="45"/>
    <n v="67008"/>
    <n v="52"/>
    <s v="46-60"/>
  </r>
  <r>
    <s v="2000001468"/>
    <x v="16"/>
    <s v="1300004843"/>
    <s v="ANTICIPO FP-247"/>
    <x v="3"/>
    <d v="2026-06-05T00:00:00"/>
    <n v="0"/>
    <d v="2026-06-30T00:00:00"/>
    <n v="-13728"/>
    <s v="USD"/>
    <x v="1"/>
    <d v="2026-08-04T00:00:00"/>
    <m/>
    <m/>
    <x v="46"/>
    <n v="-13728"/>
    <n v="45"/>
    <s v="0-45"/>
  </r>
  <r>
    <s v="2000001468"/>
    <x v="16"/>
    <s v="1200003263"/>
    <s v="01-0F002-0000387"/>
    <x v="4"/>
    <d v="2026-07-13T00:00:00"/>
    <n v="-53"/>
    <d v="2026-09-11T00:00:00"/>
    <n v="68340"/>
    <s v="USD"/>
    <x v="1"/>
    <d v="2026-09-11T00:00:00"/>
    <m/>
    <m/>
    <x v="47"/>
    <n v="68340"/>
    <n v="7"/>
    <s v="0-45"/>
  </r>
  <r>
    <s v="1000013925"/>
    <x v="17"/>
    <s v="1300006898"/>
    <s v="FT-0F003-0000101"/>
    <x v="1"/>
    <d v="2025-10-21T00:00:00"/>
    <n v="272"/>
    <d v="2025-10-21T00:00:00"/>
    <n v="4460"/>
    <s v="PEN"/>
    <x v="3"/>
    <m/>
    <m/>
    <m/>
    <x v="48"/>
    <n v="1308.6854460093898"/>
    <m/>
    <m/>
  </r>
  <r>
    <s v="1000013925"/>
    <x v="17"/>
    <s v="1200005124"/>
    <s v="01-0F003-0000129"/>
    <x v="0"/>
    <d v="2025-11-04T00:00:00"/>
    <n v="251"/>
    <d v="2025-11-11T00:00:00"/>
    <n v="7097.98"/>
    <s v="PEN"/>
    <x v="3"/>
    <m/>
    <m/>
    <m/>
    <x v="49"/>
    <n v="2082.7406103286385"/>
    <m/>
    <m/>
  </r>
  <r>
    <s v="1000013925"/>
    <x v="17"/>
    <s v="1200000182"/>
    <s v="01-0F003-0000168"/>
    <x v="0"/>
    <d v="2026-01-31T00:00:00"/>
    <n v="163"/>
    <d v="2026-02-07T00:00:00"/>
    <n v="4003.46"/>
    <s v="PEN"/>
    <x v="3"/>
    <m/>
    <m/>
    <m/>
    <x v="50"/>
    <n v="1174.724178403756"/>
    <m/>
    <m/>
  </r>
  <r>
    <s v="1000013925"/>
    <x v="17"/>
    <s v="1200000382"/>
    <s v="01-0F003-0000174"/>
    <x v="0"/>
    <d v="2026-03-03T00:00:00"/>
    <n v="132"/>
    <d v="2026-03-10T00:00:00"/>
    <n v="4956"/>
    <s v="PEN"/>
    <x v="3"/>
    <m/>
    <m/>
    <m/>
    <x v="51"/>
    <n v="1454.2253521126761"/>
    <m/>
    <m/>
  </r>
  <r>
    <s v="2000001380"/>
    <x v="18"/>
    <s v="1300004799"/>
    <s v="ANTICIPO FP-243"/>
    <x v="3"/>
    <d v="2026-06-02T00:00:00"/>
    <n v="0"/>
    <d v="2026-06-30T00:00:00"/>
    <n v="-6470"/>
    <s v="USD"/>
    <x v="1"/>
    <d v="2026-08-01T00:00:00"/>
    <m/>
    <m/>
    <x v="52"/>
    <n v="-6470"/>
    <n v="48"/>
    <s v="46-60"/>
  </r>
  <r>
    <s v="2000001380"/>
    <x v="18"/>
    <s v="1200002542"/>
    <s v="01-0F002-0000368"/>
    <x v="4"/>
    <d v="2026-06-13T00:00:00"/>
    <n v="-8"/>
    <d v="2026-07-28T00:00:00"/>
    <n v="29250"/>
    <s v="USD"/>
    <x v="1"/>
    <d v="2026-08-12T00:00:00"/>
    <n v="-23"/>
    <d v="2026-08-12T00:00:00"/>
    <x v="53"/>
    <n v="29250"/>
    <n v="37"/>
    <s v="0-45"/>
  </r>
  <r>
    <s v="1000015185"/>
    <x v="19"/>
    <s v="1200003282"/>
    <s v="01-0F101-0007560"/>
    <x v="0"/>
    <d v="2026-07-17T00:00:00"/>
    <n v="-4"/>
    <d v="2026-07-24T00:00:00"/>
    <n v="658.82"/>
    <s v="PEN"/>
    <x v="0"/>
    <m/>
    <m/>
    <m/>
    <x v="15"/>
    <n v="193.31572769953053"/>
    <m/>
    <m/>
  </r>
  <r>
    <s v="1000015185"/>
    <x v="19"/>
    <s v="1200003283"/>
    <s v="01-0F101-0007561"/>
    <x v="0"/>
    <d v="2026-07-17T00:00:00"/>
    <n v="-4"/>
    <d v="2026-07-24T00:00:00"/>
    <n v="212.4"/>
    <s v="PEN"/>
    <x v="0"/>
    <m/>
    <m/>
    <m/>
    <x v="15"/>
    <n v="62.323943661971832"/>
    <m/>
    <m/>
  </r>
  <r>
    <s v="6000434"/>
    <x v="20"/>
    <s v="1200004540"/>
    <s v="01-0F003-0000083"/>
    <x v="0"/>
    <d v="2025-10-07T00:00:00"/>
    <n v="279"/>
    <d v="2025-10-14T00:00:00"/>
    <n v="790"/>
    <s v="PEN"/>
    <x v="4"/>
    <m/>
    <m/>
    <m/>
    <x v="54"/>
    <n v="231.80751173708921"/>
    <m/>
    <m/>
  </r>
  <r>
    <s v="2000001438"/>
    <x v="21"/>
    <s v="1300007039"/>
    <s v="FT-0F002-0000332"/>
    <x v="1"/>
    <d v="2026-05-17T00:00:00"/>
    <n v="64"/>
    <d v="2026-05-17T00:00:00"/>
    <n v="161795"/>
    <s v="USD"/>
    <x v="1"/>
    <d v="2026-07-16T00:00:00"/>
    <n v="4"/>
    <d v="2026-07-16T00:00:00"/>
    <x v="24"/>
    <n v="161795"/>
    <n v="64"/>
    <s v="61-90"/>
  </r>
  <r>
    <s v="2000001382"/>
    <x v="22"/>
    <s v="1300005603"/>
    <s v="FP-255"/>
    <x v="3"/>
    <d v="2026-07-08T00:00:00"/>
    <n v="0"/>
    <d v="2026-07-31T00:00:00"/>
    <n v="-15970"/>
    <s v="USD"/>
    <x v="1"/>
    <d v="2026-09-06T00:00:00"/>
    <m/>
    <m/>
    <x v="55"/>
    <n v="-15970"/>
    <n v="12"/>
    <s v="0-45"/>
  </r>
  <r>
    <s v="2000001382"/>
    <x v="22"/>
    <s v="1300007032"/>
    <s v="FP-261"/>
    <x v="3"/>
    <d v="2026-07-16T00:00:00"/>
    <n v="0"/>
    <d v="2026-07-31T00:00:00"/>
    <n v="-16150"/>
    <s v="USD"/>
    <x v="1"/>
    <d v="2026-09-14T00:00:00"/>
    <m/>
    <m/>
    <x v="19"/>
    <n v="-16150"/>
    <n v="4"/>
    <s v="0-45"/>
  </r>
  <r>
    <s v="1000015392"/>
    <x v="23"/>
    <s v="1100021551"/>
    <s v="GARANTIA"/>
    <x v="5"/>
    <d v="2025-04-16T00:00:00"/>
    <n v="460"/>
    <d v="2025-04-16T00:00:00"/>
    <n v="2198.11"/>
    <s v="USD"/>
    <x v="0"/>
    <d v="2025-06-15T00:00:00"/>
    <n v="46223"/>
    <m/>
    <x v="56"/>
    <n v="2198.11"/>
    <n v="460"/>
    <s v="91 A MÁS"/>
  </r>
  <r>
    <s v="1000015392"/>
    <x v="23"/>
    <s v="1100021550"/>
    <s v="GARANTIA"/>
    <x v="5"/>
    <d v="2025-05-31T00:00:00"/>
    <n v="415"/>
    <d v="2025-05-31T00:00:00"/>
    <n v="7020.55"/>
    <s v="USD"/>
    <x v="0"/>
    <d v="2025-07-30T00:00:00"/>
    <n v="46223"/>
    <m/>
    <x v="57"/>
    <n v="7020.55"/>
    <n v="415"/>
    <s v="91 A MÁS"/>
  </r>
  <r>
    <s v="1000015392"/>
    <x v="23"/>
    <s v="1100021552"/>
    <s v="GARANTIA"/>
    <x v="5"/>
    <d v="2025-08-19T00:00:00"/>
    <n v="335"/>
    <d v="2025-08-19T00:00:00"/>
    <n v="40781.339999999997"/>
    <s v="USD"/>
    <x v="0"/>
    <d v="2025-10-18T00:00:00"/>
    <n v="46223"/>
    <m/>
    <x v="58"/>
    <n v="40781.339999999997"/>
    <n v="335"/>
    <s v="91 A MÁS"/>
  </r>
  <r>
    <s v="2000001460"/>
    <x v="24"/>
    <s v="1300004801"/>
    <s v="ANTICIPO FP-246"/>
    <x v="3"/>
    <d v="2026-06-02T00:00:00"/>
    <n v="0"/>
    <d v="2026-06-30T00:00:00"/>
    <n v="-9287"/>
    <s v="USD"/>
    <x v="1"/>
    <d v="2026-08-01T00:00:00"/>
    <m/>
    <m/>
    <x v="52"/>
    <n v="-9287"/>
    <n v="48"/>
    <s v="46-60"/>
  </r>
  <r>
    <s v="2000001460"/>
    <x v="24"/>
    <s v="1200002674"/>
    <s v="01-0F002-0000373"/>
    <x v="4"/>
    <d v="2026-06-21T00:00:00"/>
    <n v="-16"/>
    <d v="2026-08-05T00:00:00"/>
    <n v="46018"/>
    <s v="USD"/>
    <x v="1"/>
    <d v="2026-08-20T00:00:00"/>
    <n v="-31"/>
    <d v="2026-08-20T00:00:00"/>
    <x v="29"/>
    <n v="46018"/>
    <n v="29"/>
    <s v="0-45"/>
  </r>
  <r>
    <s v="1000001965"/>
    <x v="25"/>
    <s v="1200003073"/>
    <s v="01-0F101-0007383"/>
    <x v="0"/>
    <d v="2026-07-08T00:00:00"/>
    <n v="5"/>
    <d v="2026-07-15T00:00:00"/>
    <n v="590"/>
    <s v="PEN"/>
    <x v="0"/>
    <m/>
    <m/>
    <m/>
    <x v="17"/>
    <n v="173.12206572769952"/>
    <m/>
    <m/>
  </r>
  <r>
    <s v="1000001965"/>
    <x v="25"/>
    <s v="1200003103"/>
    <s v="01-0F101-0007410"/>
    <x v="0"/>
    <d v="2026-07-10T00:00:00"/>
    <n v="3"/>
    <d v="2026-07-17T00:00:00"/>
    <n v="590"/>
    <s v="PEN"/>
    <x v="0"/>
    <m/>
    <m/>
    <m/>
    <x v="20"/>
    <n v="173.12206572769952"/>
    <m/>
    <m/>
  </r>
  <r>
    <s v="1000001965"/>
    <x v="25"/>
    <s v="1200003167"/>
    <s v="01-0F101-0007462"/>
    <x v="0"/>
    <d v="2026-07-13T00:00:00"/>
    <n v="0"/>
    <d v="2026-07-20T00:00:00"/>
    <n v="590"/>
    <s v="PEN"/>
    <x v="0"/>
    <m/>
    <m/>
    <m/>
    <x v="23"/>
    <n v="173.12206572769952"/>
    <m/>
    <m/>
  </r>
  <r>
    <s v="1000001965"/>
    <x v="25"/>
    <s v="1200003261"/>
    <s v="01-0F101-0007540"/>
    <x v="0"/>
    <d v="2026-07-16T00:00:00"/>
    <n v="-3"/>
    <d v="2026-07-23T00:00:00"/>
    <n v="590"/>
    <s v="PEN"/>
    <x v="0"/>
    <m/>
    <m/>
    <m/>
    <x v="26"/>
    <n v="173.12206572769952"/>
    <m/>
    <m/>
  </r>
  <r>
    <s v="2000000974"/>
    <x v="26"/>
    <s v="1300007031"/>
    <s v="FP-258"/>
    <x v="3"/>
    <d v="2026-07-13T00:00:00"/>
    <n v="0"/>
    <d v="2026-07-31T00:00:00"/>
    <n v="-24925"/>
    <s v="USD"/>
    <x v="1"/>
    <d v="2026-09-11T00:00:00"/>
    <m/>
    <m/>
    <x v="18"/>
    <n v="-24925"/>
    <n v="7"/>
    <s v="0-45"/>
  </r>
  <r>
    <s v="2000001440"/>
    <x v="27"/>
    <s v="1300002671"/>
    <s v="FT-0F002-0000321"/>
    <x v="1"/>
    <d v="2026-04-29T00:00:00"/>
    <n v="82"/>
    <d v="2026-04-29T00:00:00"/>
    <n v="56785"/>
    <s v="USD"/>
    <x v="1"/>
    <d v="2026-06-28T00:00:00"/>
    <n v="-4"/>
    <d v="2026-07-24T00:00:00"/>
    <x v="15"/>
    <n v="56785"/>
    <n v="82"/>
    <s v="61-90"/>
  </r>
  <r>
    <s v="2000001440"/>
    <x v="27"/>
    <s v="1300004716"/>
    <s v="FT-0F002-0000361"/>
    <x v="1"/>
    <d v="2026-05-29T00:00:00"/>
    <n v="52"/>
    <d v="2026-05-29T00:00:00"/>
    <n v="35725"/>
    <s v="USD"/>
    <x v="1"/>
    <d v="2026-07-28T00:00:00"/>
    <n v="-37"/>
    <d v="2026-08-26T00:00:00"/>
    <x v="34"/>
    <n v="35725"/>
    <n v="52"/>
    <s v="46-60"/>
  </r>
  <r>
    <s v="2000001440"/>
    <x v="27"/>
    <s v="1200002673"/>
    <s v="01-0F002-0000372"/>
    <x v="4"/>
    <d v="2026-06-21T00:00:00"/>
    <n v="-16"/>
    <d v="2026-08-05T00:00:00"/>
    <n v="59400"/>
    <s v="USD"/>
    <x v="1"/>
    <d v="2026-08-20T00:00:00"/>
    <n v="-31"/>
    <d v="2026-08-20T00:00:00"/>
    <x v="29"/>
    <n v="59400"/>
    <n v="29"/>
    <s v="0-45"/>
  </r>
  <r>
    <s v="1000013801"/>
    <x v="28"/>
    <s v="1200003113"/>
    <s v="01-0F101-0007420"/>
    <x v="0"/>
    <d v="2026-07-10T00:00:00"/>
    <n v="3"/>
    <d v="2026-07-17T00:00:00"/>
    <n v="667.41"/>
    <s v="PEN"/>
    <x v="0"/>
    <m/>
    <m/>
    <m/>
    <x v="20"/>
    <n v="195.83626760563379"/>
    <m/>
    <m/>
  </r>
  <r>
    <s v="1000013801"/>
    <x v="28"/>
    <s v="1200003114"/>
    <s v="01-0F101-0007421"/>
    <x v="0"/>
    <d v="2026-07-10T00:00:00"/>
    <n v="3"/>
    <d v="2026-07-17T00:00:00"/>
    <n v="123.9"/>
    <s v="PEN"/>
    <x v="0"/>
    <m/>
    <m/>
    <m/>
    <x v="20"/>
    <n v="36.355633802816904"/>
    <m/>
    <m/>
  </r>
  <r>
    <s v="1000013686"/>
    <x v="29"/>
    <s v="1200003104"/>
    <s v="01-0F101-0007411"/>
    <x v="0"/>
    <d v="2026-07-10T00:00:00"/>
    <n v="3"/>
    <d v="2026-07-17T00:00:00"/>
    <n v="269.04000000000002"/>
    <s v="PEN"/>
    <x v="0"/>
    <m/>
    <m/>
    <m/>
    <x v="20"/>
    <n v="78.943661971830991"/>
    <m/>
    <m/>
  </r>
  <r>
    <s v="1000013686"/>
    <x v="29"/>
    <s v="1200003134"/>
    <s v="01-0F101-0007437"/>
    <x v="0"/>
    <d v="2026-07-11T00:00:00"/>
    <n v="2"/>
    <d v="2026-07-18T00:00:00"/>
    <n v="396.48"/>
    <s v="PEN"/>
    <x v="0"/>
    <m/>
    <m/>
    <m/>
    <x v="21"/>
    <n v="116.33802816901409"/>
    <m/>
    <m/>
  </r>
  <r>
    <s v="2000000786"/>
    <x v="30"/>
    <s v="1200002885"/>
    <s v="01-0F002-0000381"/>
    <x v="4"/>
    <d v="2026-06-30T00:00:00"/>
    <n v="-25"/>
    <d v="2026-08-14T00:00:00"/>
    <n v="30375"/>
    <s v="USD"/>
    <x v="1"/>
    <d v="2026-08-29T00:00:00"/>
    <n v="-40"/>
    <d v="2026-08-29T00:00:00"/>
    <x v="11"/>
    <n v="30375"/>
    <n v="20"/>
    <s v="0-45"/>
  </r>
  <r>
    <s v="2000000786"/>
    <x v="30"/>
    <s v="1200002930"/>
    <s v="01-0F002-0000383"/>
    <x v="4"/>
    <d v="2026-06-30T00:00:00"/>
    <n v="-25"/>
    <d v="2026-08-14T00:00:00"/>
    <n v="81574.5"/>
    <s v="USD"/>
    <x v="1"/>
    <d v="2026-08-29T00:00:00"/>
    <n v="-40"/>
    <d v="2026-08-29T00:00:00"/>
    <x v="11"/>
    <n v="81574.5"/>
    <n v="20"/>
    <s v="0-45"/>
  </r>
  <r>
    <s v="2000001444"/>
    <x v="31"/>
    <s v="1300007042"/>
    <s v="FT-0F002-0000370"/>
    <x v="1"/>
    <d v="2026-06-19T00:00:00"/>
    <n v="31"/>
    <d v="2026-06-19T00:00:00"/>
    <n v="57857"/>
    <s v="USD"/>
    <x v="1"/>
    <d v="2026-08-18T00:00:00"/>
    <n v="-29"/>
    <d v="2026-08-18T00:00:00"/>
    <x v="59"/>
    <n v="57857"/>
    <n v="31"/>
    <s v="0-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D5576-8AF1-4F9A-B00D-F1EC20D5A523}" name="TablaDinámica2" cacheId="1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Y23" firstHeaderRow="1" firstDataRow="2" firstDataCol="1" rowPageCount="2" colPageCount="1"/>
  <pivotFields count="21">
    <pivotField showAll="0"/>
    <pivotField axis="axisRow" showAll="0">
      <items count="36">
        <item x="0"/>
        <item x="1"/>
        <item x="2"/>
        <item x="3"/>
        <item x="4"/>
        <item m="1" x="32"/>
        <item m="1" x="33"/>
        <item x="5"/>
        <item x="6"/>
        <item x="7"/>
        <item x="8"/>
        <item x="9"/>
        <item x="10"/>
        <item x="11"/>
        <item x="12"/>
        <item x="13"/>
        <item x="14"/>
        <item x="15"/>
        <item m="1" x="3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axis="axisPage" showAll="0">
      <items count="7">
        <item x="2"/>
        <item x="4"/>
        <item x="0"/>
        <item x="3"/>
        <item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6">
        <item h="1" x="3"/>
        <item x="1"/>
        <item h="1" x="0"/>
        <item h="1" x="4"/>
        <item h="1" x="2"/>
        <item t="default"/>
      </items>
    </pivotField>
    <pivotField showAll="0"/>
    <pivotField showAll="0"/>
    <pivotField showAll="0"/>
    <pivotField axis="axisCol" numFmtId="14" showAll="0">
      <items count="61">
        <item x="56"/>
        <item x="57"/>
        <item x="58"/>
        <item x="54"/>
        <item x="48"/>
        <item x="35"/>
        <item x="49"/>
        <item x="36"/>
        <item x="0"/>
        <item x="1"/>
        <item x="2"/>
        <item x="3"/>
        <item x="4"/>
        <item x="5"/>
        <item x="6"/>
        <item x="7"/>
        <item x="8"/>
        <item x="9"/>
        <item x="50"/>
        <item x="51"/>
        <item x="43"/>
        <item x="44"/>
        <item x="37"/>
        <item x="38"/>
        <item x="39"/>
        <item x="12"/>
        <item x="40"/>
        <item x="27"/>
        <item x="52"/>
        <item x="46"/>
        <item x="28"/>
        <item x="32"/>
        <item x="16"/>
        <item x="55"/>
        <item x="41"/>
        <item x="13"/>
        <item x="42"/>
        <item x="18"/>
        <item x="14"/>
        <item x="17"/>
        <item x="19"/>
        <item x="20"/>
        <item x="21"/>
        <item x="22"/>
        <item x="23"/>
        <item x="24"/>
        <item x="25"/>
        <item x="26"/>
        <item x="15"/>
        <item x="33"/>
        <item x="45"/>
        <item x="31"/>
        <item x="10"/>
        <item x="53"/>
        <item x="59"/>
        <item x="29"/>
        <item x="30"/>
        <item x="34"/>
        <item x="11"/>
        <item x="47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18">
    <i>
      <x v="1"/>
    </i>
    <i>
      <x v="7"/>
    </i>
    <i>
      <x v="10"/>
    </i>
    <i>
      <x v="11"/>
    </i>
    <i>
      <x v="12"/>
    </i>
    <i>
      <x v="13"/>
    </i>
    <i>
      <x v="14"/>
    </i>
    <i>
      <x v="17"/>
    </i>
    <i>
      <x v="19"/>
    </i>
    <i>
      <x v="21"/>
    </i>
    <i>
      <x v="24"/>
    </i>
    <i>
      <x v="25"/>
    </i>
    <i>
      <x v="27"/>
    </i>
    <i>
      <x v="29"/>
    </i>
    <i>
      <x v="30"/>
    </i>
    <i>
      <x v="33"/>
    </i>
    <i>
      <x v="34"/>
    </i>
    <i t="grand">
      <x/>
    </i>
  </rowItems>
  <colFields count="1">
    <field x="14"/>
  </colFields>
  <colItems count="24">
    <i>
      <x v="27"/>
    </i>
    <i>
      <x v="28"/>
    </i>
    <i>
      <x v="29"/>
    </i>
    <i>
      <x v="30"/>
    </i>
    <i>
      <x v="31"/>
    </i>
    <i>
      <x v="32"/>
    </i>
    <i>
      <x v="33"/>
    </i>
    <i>
      <x v="37"/>
    </i>
    <i>
      <x v="39"/>
    </i>
    <i>
      <x v="40"/>
    </i>
    <i>
      <x v="45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colItems>
  <pageFields count="2">
    <pageField fld="4" hier="-1"/>
    <pageField fld="10" hier="-1"/>
  </pageFields>
  <dataFields count="1">
    <dataField name="Suma de USD HOMOL" fld="15" baseField="0" baseItem="0" numFmtId="164"/>
  </dataFields>
  <formats count="2">
    <format dxfId="15">
      <pivotArea outline="0" collapsedLevelsAreSubtotals="1" fieldPosition="0"/>
    </format>
    <format dxfId="14">
      <pivotArea outline="0" collapsedLevelsAreSubtotals="1" fieldPosition="0">
        <references count="1">
          <reference field="14" count="5" selected="0">
            <x v="45"/>
            <x v="48"/>
            <x v="49"/>
            <x v="50"/>
            <x v="5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A0A39-548F-40D3-B430-3BA8774781D8}" name="TablaDinámica4" cacheId="1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66" firstHeaderRow="1" firstDataRow="1" firstDataCol="1" rowPageCount="3" colPageCount="1"/>
  <pivotFields count="18">
    <pivotField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axis="axisRow" showAll="0">
      <items count="159">
        <item x="18"/>
        <item x="90"/>
        <item x="133"/>
        <item x="86"/>
        <item x="150"/>
        <item x="142"/>
        <item x="87"/>
        <item x="88"/>
        <item x="155"/>
        <item x="92"/>
        <item x="156"/>
        <item x="93"/>
        <item x="94"/>
        <item x="127"/>
        <item x="136"/>
        <item x="129"/>
        <item x="130"/>
        <item x="131"/>
        <item x="96"/>
        <item x="97"/>
        <item x="98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18"/>
        <item x="119"/>
        <item x="120"/>
        <item x="100"/>
        <item x="101"/>
        <item x="102"/>
        <item x="103"/>
        <item x="104"/>
        <item x="105"/>
        <item x="122"/>
        <item x="123"/>
        <item x="106"/>
        <item x="107"/>
        <item x="108"/>
        <item x="109"/>
        <item x="110"/>
        <item x="111"/>
        <item x="112"/>
        <item x="113"/>
        <item x="114"/>
        <item x="115"/>
        <item x="34"/>
        <item x="35"/>
        <item x="32"/>
        <item x="33"/>
        <item x="36"/>
        <item x="37"/>
        <item x="38"/>
        <item x="39"/>
        <item x="40"/>
        <item x="41"/>
        <item x="25"/>
        <item x="42"/>
        <item x="43"/>
        <item x="44"/>
        <item x="45"/>
        <item x="143"/>
        <item x="46"/>
        <item x="47"/>
        <item x="48"/>
        <item x="49"/>
        <item x="144"/>
        <item x="153"/>
        <item x="50"/>
        <item x="51"/>
        <item x="151"/>
        <item x="152"/>
        <item x="52"/>
        <item x="53"/>
        <item x="154"/>
        <item x="54"/>
        <item x="55"/>
        <item x="56"/>
        <item x="57"/>
        <item x="58"/>
        <item x="59"/>
        <item x="145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46"/>
        <item x="74"/>
        <item x="75"/>
        <item x="134"/>
        <item x="135"/>
        <item x="76"/>
        <item x="77"/>
        <item x="78"/>
        <item x="79"/>
        <item x="80"/>
        <item x="81"/>
        <item x="116"/>
        <item x="117"/>
        <item x="21"/>
        <item x="22"/>
        <item x="23"/>
        <item x="24"/>
        <item x="26"/>
        <item x="27"/>
        <item x="82"/>
        <item x="132"/>
        <item x="141"/>
        <item x="126"/>
        <item x="83"/>
        <item x="89"/>
        <item x="30"/>
        <item x="138"/>
        <item x="147"/>
        <item x="139"/>
        <item x="31"/>
        <item x="29"/>
        <item x="125"/>
        <item x="28"/>
        <item x="148"/>
        <item x="137"/>
        <item x="17"/>
        <item x="124"/>
        <item x="95"/>
        <item x="19"/>
        <item x="149"/>
        <item x="157"/>
        <item x="84"/>
        <item x="85"/>
        <item x="91"/>
        <item x="20"/>
        <item x="128"/>
        <item x="121"/>
        <item x="140"/>
        <item t="default"/>
      </items>
    </pivotField>
    <pivotField axis="axisPage" multipleItemSelectionAllowed="1" showAll="0">
      <items count="7">
        <item h="1" x="3"/>
        <item x="2"/>
        <item h="1" x="0"/>
        <item x="4"/>
        <item h="1" x="5"/>
        <item x="1"/>
        <item t="default"/>
      </items>
    </pivotField>
    <pivotField axis="axisPage" numFmtId="14" showAll="0">
      <items count="57">
        <item x="52"/>
        <item x="53"/>
        <item x="54"/>
        <item x="51"/>
        <item x="47"/>
        <item x="37"/>
        <item x="48"/>
        <item x="38"/>
        <item x="0"/>
        <item x="1"/>
        <item x="2"/>
        <item x="3"/>
        <item x="4"/>
        <item x="5"/>
        <item x="6"/>
        <item x="7"/>
        <item x="8"/>
        <item x="9"/>
        <item x="49"/>
        <item x="50"/>
        <item x="18"/>
        <item x="17"/>
        <item x="45"/>
        <item x="55"/>
        <item x="39"/>
        <item x="40"/>
        <item x="41"/>
        <item x="13"/>
        <item x="10"/>
        <item x="42"/>
        <item x="11"/>
        <item x="43"/>
        <item x="46"/>
        <item x="30"/>
        <item x="34"/>
        <item x="35"/>
        <item x="33"/>
        <item x="31"/>
        <item x="32"/>
        <item x="36"/>
        <item x="14"/>
        <item x="12"/>
        <item x="19"/>
        <item x="44"/>
        <item x="21"/>
        <item x="15"/>
        <item x="22"/>
        <item x="23"/>
        <item x="24"/>
        <item x="25"/>
        <item x="26"/>
        <item x="27"/>
        <item x="28"/>
        <item x="20"/>
        <item x="29"/>
        <item x="16"/>
        <item t="default"/>
      </items>
    </pivotField>
    <pivotField numFmtId="3" showAll="0"/>
    <pivotField numFmtId="14" showAll="0"/>
    <pivotField numFmtId="4" showAll="0"/>
    <pivotField showAll="0"/>
    <pivotField axis="axisPage" multipleItemSelectionAllowed="1" showAll="0">
      <items count="6">
        <item h="1" x="3"/>
        <item x="1"/>
        <item h="1" x="0"/>
        <item h="1" x="4"/>
        <item h="1" x="2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showAll="0"/>
  </pivotFields>
  <rowFields count="2">
    <field x="1"/>
    <field x="3"/>
  </rowFields>
  <rowItems count="61">
    <i>
      <x v="1"/>
    </i>
    <i r="1">
      <x/>
    </i>
    <i r="1">
      <x v="145"/>
    </i>
    <i r="1">
      <x v="148"/>
    </i>
    <i r="1">
      <x v="154"/>
    </i>
    <i>
      <x v="5"/>
    </i>
    <i r="1">
      <x v="142"/>
    </i>
    <i>
      <x v="6"/>
    </i>
    <i r="1">
      <x v="140"/>
    </i>
    <i>
      <x v="7"/>
    </i>
    <i r="1">
      <x v="135"/>
    </i>
    <i r="1">
      <x v="139"/>
    </i>
    <i>
      <x v="10"/>
    </i>
    <i r="1">
      <x v="129"/>
    </i>
    <i>
      <x v="11"/>
    </i>
    <i r="1">
      <x v="133"/>
    </i>
    <i r="1">
      <x v="151"/>
    </i>
    <i r="1">
      <x v="152"/>
    </i>
    <i>
      <x v="12"/>
    </i>
    <i r="1">
      <x v="3"/>
    </i>
    <i r="1">
      <x v="6"/>
    </i>
    <i r="1">
      <x v="7"/>
    </i>
    <i>
      <x v="13"/>
    </i>
    <i r="1">
      <x v="1"/>
    </i>
    <i r="1">
      <x v="9"/>
    </i>
    <i r="1">
      <x v="11"/>
    </i>
    <i r="1">
      <x v="12"/>
    </i>
    <i r="1">
      <x v="134"/>
    </i>
    <i r="1">
      <x v="153"/>
    </i>
    <i>
      <x v="14"/>
    </i>
    <i r="1">
      <x v="147"/>
    </i>
    <i>
      <x v="17"/>
    </i>
    <i r="1">
      <x v="146"/>
    </i>
    <i>
      <x v="18"/>
    </i>
    <i r="1">
      <x v="141"/>
    </i>
    <i>
      <x v="19"/>
    </i>
    <i r="1">
      <x v="13"/>
    </i>
    <i r="1">
      <x v="132"/>
    </i>
    <i>
      <x v="21"/>
    </i>
    <i r="1">
      <x v="2"/>
    </i>
    <i r="1">
      <x v="130"/>
    </i>
    <i>
      <x v="24"/>
    </i>
    <i r="1">
      <x v="144"/>
    </i>
    <i>
      <x v="25"/>
    </i>
    <i r="1">
      <x v="136"/>
    </i>
    <i r="1">
      <x v="138"/>
    </i>
    <i>
      <x v="27"/>
    </i>
    <i r="1">
      <x v="5"/>
    </i>
    <i r="1">
      <x v="131"/>
    </i>
    <i>
      <x v="29"/>
    </i>
    <i r="1">
      <x v="137"/>
    </i>
    <i>
      <x v="30"/>
    </i>
    <i r="1">
      <x v="4"/>
    </i>
    <i r="1">
      <x v="143"/>
    </i>
    <i r="1">
      <x v="149"/>
    </i>
    <i>
      <x v="33"/>
    </i>
    <i r="1">
      <x v="8"/>
    </i>
    <i r="1">
      <x v="10"/>
    </i>
    <i>
      <x v="34"/>
    </i>
    <i r="1">
      <x v="150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C1108-C400-47C6-B8A3-15773D329380}" name="TablaDinámica8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8:I37" firstHeaderRow="0" firstDataRow="1" firstDataCol="1" rowPageCount="3" colPageCount="1"/>
  <pivotFields count="18">
    <pivotField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axis="axisRow" showAll="0">
      <items count="159">
        <item x="18"/>
        <item x="90"/>
        <item x="133"/>
        <item x="86"/>
        <item x="150"/>
        <item x="142"/>
        <item x="87"/>
        <item x="88"/>
        <item x="155"/>
        <item x="92"/>
        <item x="156"/>
        <item x="93"/>
        <item x="94"/>
        <item x="127"/>
        <item x="136"/>
        <item x="129"/>
        <item x="130"/>
        <item x="131"/>
        <item x="96"/>
        <item x="97"/>
        <item x="98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18"/>
        <item x="119"/>
        <item x="120"/>
        <item x="100"/>
        <item x="101"/>
        <item x="102"/>
        <item x="103"/>
        <item x="104"/>
        <item x="105"/>
        <item x="122"/>
        <item x="123"/>
        <item x="106"/>
        <item x="107"/>
        <item x="108"/>
        <item x="109"/>
        <item x="110"/>
        <item x="111"/>
        <item x="112"/>
        <item x="113"/>
        <item x="114"/>
        <item x="115"/>
        <item x="34"/>
        <item x="35"/>
        <item x="32"/>
        <item x="33"/>
        <item x="36"/>
        <item x="37"/>
        <item x="38"/>
        <item x="39"/>
        <item x="40"/>
        <item x="41"/>
        <item x="25"/>
        <item x="42"/>
        <item x="43"/>
        <item x="44"/>
        <item x="45"/>
        <item x="143"/>
        <item x="46"/>
        <item x="47"/>
        <item x="48"/>
        <item x="49"/>
        <item x="144"/>
        <item x="153"/>
        <item x="50"/>
        <item x="51"/>
        <item x="151"/>
        <item x="152"/>
        <item x="52"/>
        <item x="53"/>
        <item x="154"/>
        <item x="54"/>
        <item x="55"/>
        <item x="56"/>
        <item x="57"/>
        <item x="58"/>
        <item x="59"/>
        <item x="145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46"/>
        <item x="74"/>
        <item x="75"/>
        <item x="134"/>
        <item x="135"/>
        <item x="76"/>
        <item x="77"/>
        <item x="78"/>
        <item x="79"/>
        <item x="80"/>
        <item x="81"/>
        <item x="116"/>
        <item x="117"/>
        <item x="21"/>
        <item x="22"/>
        <item x="23"/>
        <item x="24"/>
        <item x="26"/>
        <item x="27"/>
        <item x="82"/>
        <item x="132"/>
        <item x="141"/>
        <item x="126"/>
        <item x="83"/>
        <item x="89"/>
        <item x="30"/>
        <item x="138"/>
        <item x="147"/>
        <item x="139"/>
        <item x="31"/>
        <item x="29"/>
        <item x="125"/>
        <item x="28"/>
        <item x="148"/>
        <item x="137"/>
        <item x="17"/>
        <item x="124"/>
        <item x="95"/>
        <item x="19"/>
        <item x="149"/>
        <item x="157"/>
        <item x="84"/>
        <item x="85"/>
        <item x="91"/>
        <item x="20"/>
        <item x="128"/>
        <item x="121"/>
        <item x="140"/>
        <item t="default"/>
      </items>
    </pivotField>
    <pivotField axis="axisPage" multipleItemSelectionAllowed="1" showAll="0">
      <items count="7">
        <item h="1" x="3"/>
        <item x="2"/>
        <item h="1" x="0"/>
        <item x="4"/>
        <item h="1"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6">
        <item h="1" x="3"/>
        <item x="1"/>
        <item h="1" x="0"/>
        <item h="1" x="4"/>
        <item h="1" x="2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h="1" x="2"/>
        <item h="1" x="1"/>
        <item x="3"/>
        <item h="1" x="4"/>
        <item h="1" x="0"/>
        <item t="default"/>
      </items>
    </pivotField>
  </pivotFields>
  <rowFields count="2">
    <field x="1"/>
    <field x="3"/>
  </rowFields>
  <rowItems count="9">
    <i>
      <x v="5"/>
    </i>
    <i r="1">
      <x v="142"/>
    </i>
    <i>
      <x v="18"/>
    </i>
    <i r="1">
      <x v="141"/>
    </i>
    <i>
      <x v="24"/>
    </i>
    <i r="1">
      <x v="144"/>
    </i>
    <i>
      <x v="30"/>
    </i>
    <i r="1">
      <x v="14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AD8F4-D18F-4FCA-9C05-069C6897CAA7}" name="TablaDinámica7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I22" firstHeaderRow="0" firstDataRow="1" firstDataCol="1" rowPageCount="3" colPageCount="1"/>
  <pivotFields count="18">
    <pivotField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axis="axisRow" showAll="0">
      <items count="159">
        <item x="18"/>
        <item x="90"/>
        <item x="133"/>
        <item x="86"/>
        <item x="150"/>
        <item x="142"/>
        <item x="87"/>
        <item x="88"/>
        <item x="155"/>
        <item x="92"/>
        <item x="156"/>
        <item x="93"/>
        <item x="94"/>
        <item x="127"/>
        <item x="136"/>
        <item x="129"/>
        <item x="130"/>
        <item x="131"/>
        <item x="96"/>
        <item x="97"/>
        <item x="98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18"/>
        <item x="119"/>
        <item x="120"/>
        <item x="100"/>
        <item x="101"/>
        <item x="102"/>
        <item x="103"/>
        <item x="104"/>
        <item x="105"/>
        <item x="122"/>
        <item x="123"/>
        <item x="106"/>
        <item x="107"/>
        <item x="108"/>
        <item x="109"/>
        <item x="110"/>
        <item x="111"/>
        <item x="112"/>
        <item x="113"/>
        <item x="114"/>
        <item x="115"/>
        <item x="34"/>
        <item x="35"/>
        <item x="32"/>
        <item x="33"/>
        <item x="36"/>
        <item x="37"/>
        <item x="38"/>
        <item x="39"/>
        <item x="40"/>
        <item x="41"/>
        <item x="25"/>
        <item x="42"/>
        <item x="43"/>
        <item x="44"/>
        <item x="45"/>
        <item x="143"/>
        <item x="46"/>
        <item x="47"/>
        <item x="48"/>
        <item x="49"/>
        <item x="144"/>
        <item x="153"/>
        <item x="50"/>
        <item x="51"/>
        <item x="151"/>
        <item x="152"/>
        <item x="52"/>
        <item x="53"/>
        <item x="154"/>
        <item x="54"/>
        <item x="55"/>
        <item x="56"/>
        <item x="57"/>
        <item x="58"/>
        <item x="59"/>
        <item x="145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46"/>
        <item x="74"/>
        <item x="75"/>
        <item x="134"/>
        <item x="135"/>
        <item x="76"/>
        <item x="77"/>
        <item x="78"/>
        <item x="79"/>
        <item x="80"/>
        <item x="81"/>
        <item x="116"/>
        <item x="117"/>
        <item x="21"/>
        <item x="22"/>
        <item x="23"/>
        <item x="24"/>
        <item x="26"/>
        <item x="27"/>
        <item x="82"/>
        <item x="132"/>
        <item x="141"/>
        <item x="126"/>
        <item x="83"/>
        <item x="89"/>
        <item x="30"/>
        <item x="138"/>
        <item x="147"/>
        <item x="139"/>
        <item x="31"/>
        <item x="29"/>
        <item x="125"/>
        <item x="28"/>
        <item x="148"/>
        <item x="137"/>
        <item x="17"/>
        <item x="124"/>
        <item x="95"/>
        <item x="19"/>
        <item x="149"/>
        <item x="157"/>
        <item x="84"/>
        <item x="85"/>
        <item x="91"/>
        <item x="20"/>
        <item x="128"/>
        <item x="121"/>
        <item x="140"/>
        <item t="default"/>
      </items>
    </pivotField>
    <pivotField axis="axisPage" multipleItemSelectionAllowed="1" showAll="0">
      <items count="7">
        <item h="1" x="3"/>
        <item x="2"/>
        <item h="1" x="0"/>
        <item x="4"/>
        <item h="1"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6">
        <item h="1" x="3"/>
        <item x="1"/>
        <item h="1" x="0"/>
        <item h="1" x="4"/>
        <item h="1" x="2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h="1" x="2"/>
        <item x="1"/>
        <item h="1" x="3"/>
        <item h="1" x="4"/>
        <item h="1" x="0"/>
        <item t="default"/>
      </items>
    </pivotField>
  </pivotFields>
  <rowFields count="2">
    <field x="1"/>
    <field x="3"/>
  </rowFields>
  <rowItems count="17">
    <i>
      <x v="1"/>
    </i>
    <i r="1">
      <x/>
    </i>
    <i r="1">
      <x v="145"/>
    </i>
    <i r="1">
      <x v="148"/>
    </i>
    <i>
      <x v="10"/>
    </i>
    <i r="1">
      <x v="129"/>
    </i>
    <i>
      <x v="14"/>
    </i>
    <i r="1">
      <x v="147"/>
    </i>
    <i>
      <x v="17"/>
    </i>
    <i r="1">
      <x v="146"/>
    </i>
    <i>
      <x v="21"/>
    </i>
    <i r="1">
      <x v="130"/>
    </i>
    <i>
      <x v="27"/>
    </i>
    <i r="1">
      <x v="131"/>
    </i>
    <i>
      <x v="30"/>
    </i>
    <i r="1">
      <x v="14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AB009-40D1-41C5-97A1-8F204D69ACCE}" name="TablaDinámica6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D45" firstHeaderRow="0" firstDataRow="1" firstDataCol="1" rowPageCount="3" colPageCount="1"/>
  <pivotFields count="18">
    <pivotField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axis="axisRow" showAll="0">
      <items count="159">
        <item x="18"/>
        <item x="90"/>
        <item x="133"/>
        <item x="86"/>
        <item x="150"/>
        <item x="142"/>
        <item x="87"/>
        <item x="88"/>
        <item x="155"/>
        <item x="92"/>
        <item x="156"/>
        <item x="93"/>
        <item x="94"/>
        <item x="127"/>
        <item x="136"/>
        <item x="129"/>
        <item x="130"/>
        <item x="131"/>
        <item x="96"/>
        <item x="97"/>
        <item x="98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18"/>
        <item x="119"/>
        <item x="120"/>
        <item x="100"/>
        <item x="101"/>
        <item x="102"/>
        <item x="103"/>
        <item x="104"/>
        <item x="105"/>
        <item x="122"/>
        <item x="123"/>
        <item x="106"/>
        <item x="107"/>
        <item x="108"/>
        <item x="109"/>
        <item x="110"/>
        <item x="111"/>
        <item x="112"/>
        <item x="113"/>
        <item x="114"/>
        <item x="115"/>
        <item x="34"/>
        <item x="35"/>
        <item x="32"/>
        <item x="33"/>
        <item x="36"/>
        <item x="37"/>
        <item x="38"/>
        <item x="39"/>
        <item x="40"/>
        <item x="41"/>
        <item x="25"/>
        <item x="42"/>
        <item x="43"/>
        <item x="44"/>
        <item x="45"/>
        <item x="143"/>
        <item x="46"/>
        <item x="47"/>
        <item x="48"/>
        <item x="49"/>
        <item x="144"/>
        <item x="153"/>
        <item x="50"/>
        <item x="51"/>
        <item x="151"/>
        <item x="152"/>
        <item x="52"/>
        <item x="53"/>
        <item x="154"/>
        <item x="54"/>
        <item x="55"/>
        <item x="56"/>
        <item x="57"/>
        <item x="58"/>
        <item x="59"/>
        <item x="145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46"/>
        <item x="74"/>
        <item x="75"/>
        <item x="134"/>
        <item x="135"/>
        <item x="76"/>
        <item x="77"/>
        <item x="78"/>
        <item x="79"/>
        <item x="80"/>
        <item x="81"/>
        <item x="116"/>
        <item x="117"/>
        <item x="21"/>
        <item x="22"/>
        <item x="23"/>
        <item x="24"/>
        <item x="26"/>
        <item x="27"/>
        <item x="82"/>
        <item x="132"/>
        <item x="141"/>
        <item x="126"/>
        <item x="83"/>
        <item x="89"/>
        <item x="30"/>
        <item x="138"/>
        <item x="147"/>
        <item x="139"/>
        <item x="31"/>
        <item x="29"/>
        <item x="125"/>
        <item x="28"/>
        <item x="148"/>
        <item x="137"/>
        <item x="17"/>
        <item x="124"/>
        <item x="95"/>
        <item x="19"/>
        <item x="149"/>
        <item x="157"/>
        <item x="84"/>
        <item x="85"/>
        <item x="91"/>
        <item x="20"/>
        <item x="128"/>
        <item x="121"/>
        <item x="140"/>
        <item t="default"/>
      </items>
    </pivotField>
    <pivotField axis="axisPage" multipleItemSelectionAllowed="1" showAll="0">
      <items count="7">
        <item h="1" x="3"/>
        <item x="2"/>
        <item h="1" x="0"/>
        <item x="4"/>
        <item h="1"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6">
        <item h="1" x="3"/>
        <item x="1"/>
        <item h="1" x="0"/>
        <item h="1" x="4"/>
        <item h="1" x="2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x="2"/>
        <item h="1" x="1"/>
        <item h="1" x="3"/>
        <item h="1" x="4"/>
        <item h="1" x="0"/>
        <item t="default"/>
      </items>
    </pivotField>
  </pivotFields>
  <rowFields count="2">
    <field x="1"/>
    <field x="3"/>
  </rowFields>
  <rowItems count="40">
    <i>
      <x v="1"/>
    </i>
    <i r="1">
      <x v="154"/>
    </i>
    <i>
      <x v="7"/>
    </i>
    <i r="1">
      <x v="135"/>
    </i>
    <i r="1">
      <x v="139"/>
    </i>
    <i>
      <x v="11"/>
    </i>
    <i r="1">
      <x v="133"/>
    </i>
    <i r="1">
      <x v="151"/>
    </i>
    <i r="1">
      <x v="152"/>
    </i>
    <i>
      <x v="12"/>
    </i>
    <i r="1">
      <x v="3"/>
    </i>
    <i r="1">
      <x v="6"/>
    </i>
    <i r="1">
      <x v="7"/>
    </i>
    <i>
      <x v="13"/>
    </i>
    <i r="1">
      <x v="1"/>
    </i>
    <i r="1">
      <x v="9"/>
    </i>
    <i r="1">
      <x v="11"/>
    </i>
    <i r="1">
      <x v="12"/>
    </i>
    <i r="1">
      <x v="134"/>
    </i>
    <i r="1">
      <x v="153"/>
    </i>
    <i>
      <x v="19"/>
    </i>
    <i r="1">
      <x v="13"/>
    </i>
    <i r="1">
      <x v="132"/>
    </i>
    <i>
      <x v="21"/>
    </i>
    <i r="1">
      <x v="2"/>
    </i>
    <i>
      <x v="25"/>
    </i>
    <i r="1">
      <x v="136"/>
    </i>
    <i r="1">
      <x v="138"/>
    </i>
    <i>
      <x v="27"/>
    </i>
    <i r="1">
      <x v="5"/>
    </i>
    <i>
      <x v="29"/>
    </i>
    <i r="1">
      <x v="137"/>
    </i>
    <i>
      <x v="30"/>
    </i>
    <i r="1">
      <x v="4"/>
    </i>
    <i>
      <x v="33"/>
    </i>
    <i r="1">
      <x v="8"/>
    </i>
    <i r="1">
      <x v="10"/>
    </i>
    <i>
      <x v="34"/>
    </i>
    <i r="1">
      <x v="15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D4D3B-20E0-4418-90DF-424919C8E849}" name="TablaDinámica9" cacheId="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3:I46" firstHeaderRow="0" firstDataRow="1" firstDataCol="1" rowPageCount="3" colPageCount="1"/>
  <pivotFields count="18">
    <pivotField showAll="0"/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axis="axisRow" showAll="0">
      <items count="159">
        <item x="18"/>
        <item x="90"/>
        <item x="133"/>
        <item x="86"/>
        <item x="150"/>
        <item x="142"/>
        <item x="87"/>
        <item x="88"/>
        <item x="155"/>
        <item x="92"/>
        <item x="156"/>
        <item x="93"/>
        <item x="94"/>
        <item x="127"/>
        <item x="136"/>
        <item x="129"/>
        <item x="130"/>
        <item x="131"/>
        <item x="96"/>
        <item x="97"/>
        <item x="98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18"/>
        <item x="119"/>
        <item x="120"/>
        <item x="100"/>
        <item x="101"/>
        <item x="102"/>
        <item x="103"/>
        <item x="104"/>
        <item x="105"/>
        <item x="122"/>
        <item x="123"/>
        <item x="106"/>
        <item x="107"/>
        <item x="108"/>
        <item x="109"/>
        <item x="110"/>
        <item x="111"/>
        <item x="112"/>
        <item x="113"/>
        <item x="114"/>
        <item x="115"/>
        <item x="34"/>
        <item x="35"/>
        <item x="32"/>
        <item x="33"/>
        <item x="36"/>
        <item x="37"/>
        <item x="38"/>
        <item x="39"/>
        <item x="40"/>
        <item x="41"/>
        <item x="25"/>
        <item x="42"/>
        <item x="43"/>
        <item x="44"/>
        <item x="45"/>
        <item x="143"/>
        <item x="46"/>
        <item x="47"/>
        <item x="48"/>
        <item x="49"/>
        <item x="144"/>
        <item x="153"/>
        <item x="50"/>
        <item x="51"/>
        <item x="151"/>
        <item x="152"/>
        <item x="52"/>
        <item x="53"/>
        <item x="154"/>
        <item x="54"/>
        <item x="55"/>
        <item x="56"/>
        <item x="57"/>
        <item x="58"/>
        <item x="59"/>
        <item x="145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146"/>
        <item x="74"/>
        <item x="75"/>
        <item x="134"/>
        <item x="135"/>
        <item x="76"/>
        <item x="77"/>
        <item x="78"/>
        <item x="79"/>
        <item x="80"/>
        <item x="81"/>
        <item x="116"/>
        <item x="117"/>
        <item x="21"/>
        <item x="22"/>
        <item x="23"/>
        <item x="24"/>
        <item x="26"/>
        <item x="27"/>
        <item x="82"/>
        <item x="132"/>
        <item x="141"/>
        <item x="126"/>
        <item x="83"/>
        <item x="89"/>
        <item x="30"/>
        <item x="138"/>
        <item x="147"/>
        <item x="139"/>
        <item x="31"/>
        <item x="29"/>
        <item x="125"/>
        <item x="28"/>
        <item x="148"/>
        <item x="137"/>
        <item x="17"/>
        <item x="124"/>
        <item x="95"/>
        <item x="19"/>
        <item x="149"/>
        <item x="157"/>
        <item x="84"/>
        <item x="85"/>
        <item x="91"/>
        <item x="20"/>
        <item x="128"/>
        <item x="121"/>
        <item x="140"/>
        <item t="default"/>
      </items>
    </pivotField>
    <pivotField axis="axisPage" multipleItemSelectionAllowed="1" showAll="0">
      <items count="7">
        <item h="1" x="3"/>
        <item x="2"/>
        <item h="1" x="0"/>
        <item x="4"/>
        <item h="1"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6">
        <item h="1" x="3"/>
        <item x="1"/>
        <item h="1" x="0"/>
        <item h="1" x="4"/>
        <item h="1" x="2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h="1" x="2"/>
        <item h="1" x="1"/>
        <item h="1" x="3"/>
        <item x="4"/>
        <item h="1" x="0"/>
        <item t="default"/>
      </items>
    </pivotField>
  </pivotFields>
  <rowFields count="2">
    <field x="1"/>
    <field x="3"/>
  </rowFields>
  <rowItems count="3">
    <i>
      <x v="6"/>
    </i>
    <i r="1">
      <x v="14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A9189-F2E3-4F5A-9531-5CD37209E3CD}" name="Tabla1" displayName="Tabla1" ref="A3:R4" totalsRowShown="0">
  <autoFilter ref="A3:R4" xr:uid="{847A9189-F2E3-4F5A-9531-5CD37209E3CD}"/>
  <tableColumns count="18">
    <tableColumn id="1" xr3:uid="{A54282D4-3749-433A-BDF6-4964FC96C63C}" name="Cliente"/>
    <tableColumn id="2" xr3:uid="{A4849F54-FF01-41B0-9E96-74C58C80F407}" name="Nombre de cliente"/>
    <tableColumn id="3" xr3:uid="{58D90A4E-C131-478A-AC69-C54CDFEAC7C6}" name="Nº documento"/>
    <tableColumn id="4" xr3:uid="{3C4E0423-C5FA-4800-B030-DC164C2D2FC8}" name="Referencia"/>
    <tableColumn id="5" xr3:uid="{1740C202-BB3D-4DAC-9421-462D9A5431BA}" name="Clase de documento"/>
    <tableColumn id="6" xr3:uid="{000EA479-4E59-4116-8646-ECA4BFDDDA3F}" name="Fecha de documento" dataDxfId="13"/>
    <tableColumn id="7" xr3:uid="{B20F4654-434E-49E6-98A0-D4F0BCE1EB49}" name="Demora tras vencimiento neto"/>
    <tableColumn id="8" xr3:uid="{8DE6C9CA-1034-45AB-A7CA-B869867B0B78}" name="Fecha de pago" dataDxfId="12"/>
    <tableColumn id="9" xr3:uid="{F032B4C4-4925-4F88-A77B-B3ABA32C050B}" name="Importe en moneda doc."/>
    <tableColumn id="10" xr3:uid="{067C7EB0-9627-411B-9BA0-90812F76C20B}" name="Moneda del documento"/>
    <tableColumn id="11" xr3:uid="{5392D3D5-FA95-478E-8369-7D37C3ECE5CC}" name="UNIDAD DE NEGOCIO"/>
    <tableColumn id="12" xr3:uid="{8FEE12F9-9B1E-4F3E-A8D4-257BD2E75C53}" name="FECHA IDEAL DE PAGO" dataDxfId="11"/>
    <tableColumn id="13" xr3:uid="{9A5298D0-54C6-47BD-8542-725751557BDA}" name="DÍAS VENCIDOS"/>
    <tableColumn id="14" xr3:uid="{D38036E2-4257-405D-BBEB-C0B2660C650C}" name="Vcto finanzas SEMANA PASADA" dataDxfId="10"/>
    <tableColumn id="15" xr3:uid="{3F6A676C-7A11-41AE-830E-E368B6B67AE2}" name="Vcto finanzas" dataDxfId="9"/>
    <tableColumn id="16" xr3:uid="{6B88D76E-3360-4846-A3D8-3F0DAA9A83DF}" name="USD HOMOL"/>
    <tableColumn id="17" xr3:uid="{70109501-884A-4DA5-9CAA-05DAAB8FDD37}" name="DÍAS ATRASADOS"/>
    <tableColumn id="18" xr3:uid="{75EF62D1-C620-4D59-8F2F-BC5289A27764}" name="ANTIGÜE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D364-AA3B-491B-A8C8-FBDDDB651813}">
  <dimension ref="A1:R4"/>
  <sheetViews>
    <sheetView workbookViewId="0">
      <selection activeCell="A3" sqref="A3:R4"/>
    </sheetView>
  </sheetViews>
  <sheetFormatPr baseColWidth="10" defaultRowHeight="14.4" x14ac:dyDescent="0.3"/>
  <cols>
    <col min="1" max="1" width="11.6640625" bestFit="1" customWidth="1"/>
    <col min="2" max="2" width="18.6640625" bestFit="1" customWidth="1"/>
    <col min="3" max="3" width="15.21875" bestFit="1" customWidth="1"/>
    <col min="4" max="4" width="16.33203125" bestFit="1" customWidth="1"/>
    <col min="5" max="5" width="20.21875" bestFit="1" customWidth="1"/>
    <col min="6" max="6" width="20.5546875" bestFit="1" customWidth="1"/>
    <col min="7" max="7" width="28.21875" bestFit="1" customWidth="1"/>
    <col min="8" max="8" width="15" bestFit="1" customWidth="1"/>
    <col min="9" max="9" width="23.5546875" bestFit="1" customWidth="1"/>
    <col min="10" max="10" width="22.6640625" bestFit="1" customWidth="1"/>
    <col min="11" max="11" width="21" bestFit="1" customWidth="1"/>
    <col min="12" max="12" width="21.88671875" bestFit="1" customWidth="1"/>
    <col min="13" max="13" width="16.44140625" bestFit="1" customWidth="1"/>
    <col min="14" max="14" width="29.109375" bestFit="1" customWidth="1"/>
    <col min="15" max="15" width="14.21875" bestFit="1" customWidth="1"/>
    <col min="16" max="16" width="13.44140625" bestFit="1" customWidth="1"/>
    <col min="17" max="17" width="17.6640625" bestFit="1" customWidth="1"/>
    <col min="18" max="18" width="14.21875" bestFit="1" customWidth="1"/>
  </cols>
  <sheetData>
    <row r="1" spans="1:18" x14ac:dyDescent="0.3">
      <c r="A1" s="24" t="s">
        <v>548</v>
      </c>
    </row>
    <row r="3" spans="1:1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523</v>
      </c>
      <c r="L3" t="s">
        <v>532</v>
      </c>
      <c r="M3" t="s">
        <v>533</v>
      </c>
      <c r="N3" t="s">
        <v>534</v>
      </c>
      <c r="O3" t="s">
        <v>535</v>
      </c>
      <c r="P3" t="s">
        <v>536</v>
      </c>
      <c r="Q3" t="s">
        <v>537</v>
      </c>
      <c r="R3" t="s">
        <v>538</v>
      </c>
    </row>
    <row r="4" spans="1:18" x14ac:dyDescent="0.3">
      <c r="A4" t="s">
        <v>65</v>
      </c>
      <c r="B4" t="s">
        <v>66</v>
      </c>
      <c r="C4" t="s">
        <v>72</v>
      </c>
      <c r="D4" t="s">
        <v>73</v>
      </c>
      <c r="E4" t="s">
        <v>64</v>
      </c>
      <c r="F4" s="16">
        <v>46171</v>
      </c>
      <c r="G4">
        <v>52</v>
      </c>
      <c r="H4" s="16">
        <v>46171</v>
      </c>
      <c r="I4">
        <v>336990</v>
      </c>
      <c r="J4" t="s">
        <v>68</v>
      </c>
      <c r="K4" t="s">
        <v>528</v>
      </c>
      <c r="L4" s="16">
        <v>46231</v>
      </c>
      <c r="M4">
        <v>-21</v>
      </c>
      <c r="N4" s="16">
        <v>46244</v>
      </c>
      <c r="O4" s="16">
        <v>46244</v>
      </c>
      <c r="P4">
        <v>336990</v>
      </c>
      <c r="Q4">
        <v>52</v>
      </c>
      <c r="R4" t="s">
        <v>540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E6CD-6147-42C2-AD60-E76254264EEA}">
  <dimension ref="A1:Y23"/>
  <sheetViews>
    <sheetView showGridLines="0" tabSelected="1" zoomScale="90" zoomScaleNormal="90" workbookViewId="0">
      <pane xSplit="1" ySplit="5" topLeftCell="K6" activePane="bottomRight" state="frozen"/>
      <selection pane="topRight" activeCell="B1" sqref="B1"/>
      <selection pane="bottomLeft" activeCell="A6" sqref="A6"/>
      <selection pane="bottomRight" activeCell="N13" sqref="N13"/>
    </sheetView>
  </sheetViews>
  <sheetFormatPr baseColWidth="10" defaultRowHeight="14.4" x14ac:dyDescent="0.3"/>
  <cols>
    <col min="1" max="1" width="38" bestFit="1" customWidth="1"/>
    <col min="2" max="2" width="22.44140625" bestFit="1" customWidth="1"/>
    <col min="3" max="8" width="10.33203125" bestFit="1" customWidth="1"/>
    <col min="9" max="14" width="11.44140625" bestFit="1" customWidth="1"/>
    <col min="15" max="16" width="10.33203125" bestFit="1" customWidth="1"/>
    <col min="17" max="24" width="11.44140625" bestFit="1" customWidth="1"/>
    <col min="25" max="27" width="12.44140625" bestFit="1" customWidth="1"/>
    <col min="28" max="28" width="10.33203125" bestFit="1" customWidth="1"/>
    <col min="29" max="30" width="9.33203125" bestFit="1" customWidth="1"/>
    <col min="31" max="31" width="10.33203125" bestFit="1" customWidth="1"/>
    <col min="32" max="32" width="10.77734375" bestFit="1" customWidth="1"/>
    <col min="33" max="33" width="9.33203125" bestFit="1" customWidth="1"/>
    <col min="34" max="48" width="10.33203125" bestFit="1" customWidth="1"/>
    <col min="49" max="49" width="9.33203125" bestFit="1" customWidth="1"/>
    <col min="50" max="50" width="10.109375" bestFit="1" customWidth="1"/>
    <col min="51" max="56" width="10.33203125" bestFit="1" customWidth="1"/>
    <col min="57" max="57" width="11.6640625" bestFit="1" customWidth="1"/>
    <col min="58" max="58" width="10.33203125" bestFit="1" customWidth="1"/>
    <col min="59" max="59" width="11.6640625" bestFit="1" customWidth="1"/>
  </cols>
  <sheetData>
    <row r="1" spans="1:25" x14ac:dyDescent="0.3">
      <c r="A1" s="18" t="s">
        <v>4</v>
      </c>
      <c r="B1" t="s">
        <v>544</v>
      </c>
    </row>
    <row r="2" spans="1:25" x14ac:dyDescent="0.3">
      <c r="A2" s="18" t="s">
        <v>523</v>
      </c>
      <c r="B2" t="s">
        <v>528</v>
      </c>
    </row>
    <row r="4" spans="1:25" x14ac:dyDescent="0.3">
      <c r="A4" s="18" t="s">
        <v>543</v>
      </c>
      <c r="B4" s="18" t="s">
        <v>529</v>
      </c>
    </row>
    <row r="5" spans="1:25" x14ac:dyDescent="0.3">
      <c r="A5" s="18" t="s">
        <v>530</v>
      </c>
      <c r="B5" s="16">
        <v>46168</v>
      </c>
      <c r="C5" s="16">
        <v>46175</v>
      </c>
      <c r="D5" s="16">
        <v>46178</v>
      </c>
      <c r="E5" s="16">
        <v>46181</v>
      </c>
      <c r="F5" s="16">
        <v>46182</v>
      </c>
      <c r="G5" s="16">
        <v>46204</v>
      </c>
      <c r="H5" s="16">
        <v>46211</v>
      </c>
      <c r="I5" s="16">
        <v>46216</v>
      </c>
      <c r="J5" s="16">
        <v>46218</v>
      </c>
      <c r="K5" s="16">
        <v>46219</v>
      </c>
      <c r="L5" s="16">
        <v>46224</v>
      </c>
      <c r="M5" s="16">
        <v>46227</v>
      </c>
      <c r="N5" s="16">
        <v>46231</v>
      </c>
      <c r="O5" s="16">
        <v>46235</v>
      </c>
      <c r="P5" s="16">
        <v>46237</v>
      </c>
      <c r="Q5" s="16">
        <v>46244</v>
      </c>
      <c r="R5" s="16">
        <v>46246</v>
      </c>
      <c r="S5" s="16">
        <v>46252</v>
      </c>
      <c r="T5" s="16">
        <v>46254</v>
      </c>
      <c r="U5" s="16">
        <v>46256</v>
      </c>
      <c r="V5" s="16">
        <v>46260</v>
      </c>
      <c r="W5" s="16">
        <v>46263</v>
      </c>
      <c r="X5" s="16">
        <v>46276</v>
      </c>
      <c r="Y5" s="16" t="s">
        <v>531</v>
      </c>
    </row>
    <row r="6" spans="1:25" x14ac:dyDescent="0.3">
      <c r="A6" s="19" t="s">
        <v>66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  <c r="M6" s="23"/>
      <c r="N6" s="23"/>
      <c r="O6" s="23"/>
      <c r="P6" s="23"/>
      <c r="Q6" s="22">
        <v>336990</v>
      </c>
      <c r="R6" s="22"/>
      <c r="S6" s="22"/>
      <c r="T6" s="22"/>
      <c r="U6" s="22"/>
      <c r="V6" s="22"/>
      <c r="W6" s="22">
        <v>218730</v>
      </c>
      <c r="X6" s="22"/>
      <c r="Y6" s="22">
        <v>555720</v>
      </c>
    </row>
    <row r="7" spans="1:25" x14ac:dyDescent="0.3">
      <c r="A7" s="19" t="s">
        <v>109</v>
      </c>
      <c r="B7" s="22"/>
      <c r="C7" s="22"/>
      <c r="D7" s="22"/>
      <c r="E7" s="22"/>
      <c r="F7" s="22"/>
      <c r="G7" s="22">
        <v>-14712</v>
      </c>
      <c r="H7" s="22"/>
      <c r="I7" s="22"/>
      <c r="J7" s="22">
        <v>-14442</v>
      </c>
      <c r="K7" s="22"/>
      <c r="L7" s="23"/>
      <c r="M7" s="23"/>
      <c r="N7" s="23"/>
      <c r="O7" s="23"/>
      <c r="P7" s="23"/>
      <c r="Q7" s="22"/>
      <c r="R7" s="22"/>
      <c r="S7" s="22"/>
      <c r="T7" s="22"/>
      <c r="U7" s="22"/>
      <c r="V7" s="22"/>
      <c r="W7" s="22"/>
      <c r="X7" s="22"/>
      <c r="Y7" s="22">
        <v>-29154</v>
      </c>
    </row>
    <row r="8" spans="1:25" x14ac:dyDescent="0.3">
      <c r="A8" s="19" t="s">
        <v>268</v>
      </c>
      <c r="B8" s="22">
        <v>-34580</v>
      </c>
      <c r="C8" s="22"/>
      <c r="D8" s="22"/>
      <c r="E8" s="22"/>
      <c r="F8" s="22"/>
      <c r="G8" s="22"/>
      <c r="H8" s="22"/>
      <c r="I8" s="22"/>
      <c r="J8" s="22"/>
      <c r="K8" s="22"/>
      <c r="L8" s="23"/>
      <c r="M8" s="23"/>
      <c r="N8" s="23"/>
      <c r="O8" s="23"/>
      <c r="P8" s="23"/>
      <c r="Q8" s="22"/>
      <c r="R8" s="22"/>
      <c r="S8" s="22"/>
      <c r="T8" s="22"/>
      <c r="U8" s="22"/>
      <c r="V8" s="22"/>
      <c r="W8" s="22"/>
      <c r="X8" s="22"/>
      <c r="Y8" s="22">
        <v>-34580</v>
      </c>
    </row>
    <row r="9" spans="1:25" x14ac:dyDescent="0.3">
      <c r="A9" s="19" t="s">
        <v>272</v>
      </c>
      <c r="B9" s="22"/>
      <c r="C9" s="22"/>
      <c r="D9" s="22"/>
      <c r="E9" s="22">
        <v>-33677</v>
      </c>
      <c r="F9" s="22"/>
      <c r="G9" s="22"/>
      <c r="H9" s="22"/>
      <c r="I9" s="22"/>
      <c r="J9" s="22"/>
      <c r="K9" s="22"/>
      <c r="L9" s="23"/>
      <c r="M9" s="23"/>
      <c r="N9" s="23"/>
      <c r="O9" s="23"/>
      <c r="P9" s="23"/>
      <c r="Q9" s="22"/>
      <c r="R9" s="22"/>
      <c r="S9" s="22"/>
      <c r="T9" s="22">
        <v>14830.54</v>
      </c>
      <c r="U9" s="22">
        <v>18230</v>
      </c>
      <c r="V9" s="22"/>
      <c r="W9" s="22"/>
      <c r="X9" s="22"/>
      <c r="Y9" s="22">
        <v>-616.45999999999913</v>
      </c>
    </row>
    <row r="10" spans="1:25" x14ac:dyDescent="0.3">
      <c r="A10" s="19" t="s">
        <v>282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/>
      <c r="M10" s="23"/>
      <c r="N10" s="23"/>
      <c r="O10" s="23"/>
      <c r="P10" s="23">
        <v>421200</v>
      </c>
      <c r="Q10" s="22"/>
      <c r="R10" s="22"/>
      <c r="S10" s="22"/>
      <c r="T10" s="22"/>
      <c r="U10" s="22"/>
      <c r="V10" s="22"/>
      <c r="W10" s="22">
        <v>316467</v>
      </c>
      <c r="X10" s="22"/>
      <c r="Y10" s="22">
        <v>737667</v>
      </c>
    </row>
    <row r="11" spans="1:25" x14ac:dyDescent="0.3">
      <c r="A11" s="19" t="s">
        <v>292</v>
      </c>
      <c r="B11" s="22"/>
      <c r="C11" s="22"/>
      <c r="D11" s="22"/>
      <c r="E11" s="22"/>
      <c r="F11" s="22">
        <v>-159925</v>
      </c>
      <c r="G11" s="22"/>
      <c r="H11" s="22"/>
      <c r="I11" s="22"/>
      <c r="J11" s="22"/>
      <c r="K11" s="22"/>
      <c r="L11" s="23"/>
      <c r="M11" s="23"/>
      <c r="N11" s="23">
        <v>113004</v>
      </c>
      <c r="O11" s="23"/>
      <c r="P11" s="23"/>
      <c r="Q11" s="22"/>
      <c r="R11" s="22"/>
      <c r="S11" s="22"/>
      <c r="T11" s="22"/>
      <c r="U11" s="22"/>
      <c r="V11" s="22">
        <v>213454</v>
      </c>
      <c r="W11" s="22">
        <v>915642</v>
      </c>
      <c r="X11" s="22"/>
      <c r="Y11" s="22">
        <v>1082175</v>
      </c>
    </row>
    <row r="12" spans="1:25" x14ac:dyDescent="0.3">
      <c r="A12" s="19" t="s">
        <v>311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23"/>
      <c r="N12" s="23">
        <v>45810</v>
      </c>
      <c r="O12" s="23"/>
      <c r="P12" s="23"/>
      <c r="Q12" s="22"/>
      <c r="R12" s="22"/>
      <c r="S12" s="22"/>
      <c r="T12" s="22"/>
      <c r="U12" s="22"/>
      <c r="V12" s="22"/>
      <c r="W12" s="22"/>
      <c r="X12" s="22"/>
      <c r="Y12" s="22">
        <v>45810</v>
      </c>
    </row>
    <row r="13" spans="1:25" x14ac:dyDescent="0.3">
      <c r="A13" s="19" t="s">
        <v>401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  <c r="M13" s="23"/>
      <c r="N13" s="23"/>
      <c r="O13" s="23">
        <v>67008</v>
      </c>
      <c r="P13" s="23"/>
      <c r="Q13" s="22"/>
      <c r="R13" s="22"/>
      <c r="S13" s="22"/>
      <c r="T13" s="22"/>
      <c r="U13" s="22"/>
      <c r="V13" s="22"/>
      <c r="W13" s="22"/>
      <c r="X13" s="22"/>
      <c r="Y13" s="22">
        <v>67008</v>
      </c>
    </row>
    <row r="14" spans="1:25" x14ac:dyDescent="0.3">
      <c r="A14" s="19" t="s">
        <v>407</v>
      </c>
      <c r="B14" s="22"/>
      <c r="C14" s="22"/>
      <c r="D14" s="22">
        <v>-13728</v>
      </c>
      <c r="E14" s="22"/>
      <c r="F14" s="22"/>
      <c r="G14" s="22"/>
      <c r="H14" s="22"/>
      <c r="I14" s="22"/>
      <c r="J14" s="22"/>
      <c r="K14" s="22"/>
      <c r="L14" s="23"/>
      <c r="M14" s="23"/>
      <c r="N14" s="23"/>
      <c r="O14" s="23"/>
      <c r="P14" s="23"/>
      <c r="Q14" s="22"/>
      <c r="R14" s="22"/>
      <c r="S14" s="22"/>
      <c r="T14" s="22"/>
      <c r="U14" s="22"/>
      <c r="V14" s="22"/>
      <c r="W14" s="22"/>
      <c r="X14" s="22">
        <v>68340</v>
      </c>
      <c r="Y14" s="22">
        <v>54612</v>
      </c>
    </row>
    <row r="15" spans="1:25" x14ac:dyDescent="0.3">
      <c r="A15" s="19" t="s">
        <v>427</v>
      </c>
      <c r="B15" s="22"/>
      <c r="C15" s="22">
        <v>-6470</v>
      </c>
      <c r="D15" s="22"/>
      <c r="E15" s="22"/>
      <c r="F15" s="22"/>
      <c r="G15" s="22"/>
      <c r="H15" s="22"/>
      <c r="I15" s="22"/>
      <c r="J15" s="22"/>
      <c r="K15" s="22"/>
      <c r="L15" s="23"/>
      <c r="M15" s="23"/>
      <c r="N15" s="23"/>
      <c r="O15" s="23"/>
      <c r="P15" s="23"/>
      <c r="Q15" s="22"/>
      <c r="R15" s="22">
        <v>29250</v>
      </c>
      <c r="S15" s="22"/>
      <c r="T15" s="22"/>
      <c r="U15" s="22"/>
      <c r="V15" s="22"/>
      <c r="W15" s="22"/>
      <c r="X15" s="22"/>
      <c r="Y15" s="22">
        <v>22780</v>
      </c>
    </row>
    <row r="16" spans="1:25" x14ac:dyDescent="0.3">
      <c r="A16" s="19" t="s">
        <v>445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>
        <v>161795</v>
      </c>
      <c r="M16" s="23"/>
      <c r="N16" s="23"/>
      <c r="O16" s="23"/>
      <c r="P16" s="23"/>
      <c r="Q16" s="22"/>
      <c r="R16" s="22"/>
      <c r="S16" s="22"/>
      <c r="T16" s="22"/>
      <c r="U16" s="22"/>
      <c r="V16" s="22"/>
      <c r="W16" s="22"/>
      <c r="X16" s="22"/>
      <c r="Y16" s="22">
        <v>161795</v>
      </c>
    </row>
    <row r="17" spans="1:25" x14ac:dyDescent="0.3">
      <c r="A17" s="19" t="s">
        <v>449</v>
      </c>
      <c r="B17" s="22"/>
      <c r="C17" s="22"/>
      <c r="D17" s="22"/>
      <c r="E17" s="22"/>
      <c r="F17" s="22"/>
      <c r="G17" s="22"/>
      <c r="H17" s="22">
        <v>-15970</v>
      </c>
      <c r="I17" s="22"/>
      <c r="J17" s="22"/>
      <c r="K17" s="22">
        <v>-16150</v>
      </c>
      <c r="L17" s="23"/>
      <c r="M17" s="23"/>
      <c r="N17" s="23"/>
      <c r="O17" s="23"/>
      <c r="P17" s="23"/>
      <c r="Q17" s="22"/>
      <c r="R17" s="22"/>
      <c r="S17" s="22"/>
      <c r="T17" s="22"/>
      <c r="U17" s="22"/>
      <c r="V17" s="22"/>
      <c r="W17" s="22"/>
      <c r="X17" s="22"/>
      <c r="Y17" s="22">
        <v>-32120</v>
      </c>
    </row>
    <row r="18" spans="1:25" x14ac:dyDescent="0.3">
      <c r="A18" s="19" t="s">
        <v>464</v>
      </c>
      <c r="B18" s="22"/>
      <c r="C18" s="22">
        <v>-9287</v>
      </c>
      <c r="D18" s="22"/>
      <c r="E18" s="22"/>
      <c r="F18" s="22"/>
      <c r="G18" s="22"/>
      <c r="H18" s="22"/>
      <c r="I18" s="22"/>
      <c r="J18" s="22"/>
      <c r="K18" s="22"/>
      <c r="L18" s="23"/>
      <c r="M18" s="23"/>
      <c r="N18" s="23"/>
      <c r="O18" s="23"/>
      <c r="P18" s="23"/>
      <c r="Q18" s="22"/>
      <c r="R18" s="22"/>
      <c r="S18" s="22"/>
      <c r="T18" s="22">
        <v>46018</v>
      </c>
      <c r="U18" s="22"/>
      <c r="V18" s="22"/>
      <c r="W18" s="22"/>
      <c r="X18" s="22"/>
      <c r="Y18" s="22">
        <v>36731</v>
      </c>
    </row>
    <row r="19" spans="1:25" x14ac:dyDescent="0.3">
      <c r="A19" s="19" t="s">
        <v>484</v>
      </c>
      <c r="B19" s="22"/>
      <c r="C19" s="22"/>
      <c r="D19" s="22"/>
      <c r="E19" s="22"/>
      <c r="F19" s="22"/>
      <c r="G19" s="22"/>
      <c r="H19" s="22"/>
      <c r="I19" s="22">
        <v>-24925</v>
      </c>
      <c r="J19" s="22"/>
      <c r="K19" s="22"/>
      <c r="L19" s="23"/>
      <c r="M19" s="23"/>
      <c r="N19" s="23"/>
      <c r="O19" s="23"/>
      <c r="P19" s="23"/>
      <c r="Q19" s="22"/>
      <c r="R19" s="22"/>
      <c r="S19" s="22"/>
      <c r="T19" s="22"/>
      <c r="U19" s="22"/>
      <c r="V19" s="22"/>
      <c r="W19" s="22"/>
      <c r="X19" s="22"/>
      <c r="Y19" s="22">
        <v>-24925</v>
      </c>
    </row>
    <row r="20" spans="1:25" x14ac:dyDescent="0.3">
      <c r="A20" s="19" t="s">
        <v>488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3"/>
      <c r="M20" s="23">
        <v>56785</v>
      </c>
      <c r="N20" s="23"/>
      <c r="O20" s="23"/>
      <c r="P20" s="23"/>
      <c r="Q20" s="22"/>
      <c r="R20" s="22"/>
      <c r="S20" s="22"/>
      <c r="T20" s="22">
        <v>59400</v>
      </c>
      <c r="U20" s="22"/>
      <c r="V20" s="22">
        <v>35725</v>
      </c>
      <c r="W20" s="22"/>
      <c r="X20" s="22"/>
      <c r="Y20" s="22">
        <v>151910</v>
      </c>
    </row>
    <row r="21" spans="1:25" x14ac:dyDescent="0.3">
      <c r="A21" s="19" t="s">
        <v>512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3"/>
      <c r="M21" s="23"/>
      <c r="N21" s="23"/>
      <c r="O21" s="23"/>
      <c r="P21" s="23"/>
      <c r="Q21" s="22"/>
      <c r="R21" s="22"/>
      <c r="S21" s="22"/>
      <c r="T21" s="22"/>
      <c r="U21" s="22"/>
      <c r="V21" s="22"/>
      <c r="W21" s="22">
        <v>111949.5</v>
      </c>
      <c r="X21" s="22"/>
      <c r="Y21" s="22">
        <v>111949.5</v>
      </c>
    </row>
    <row r="22" spans="1:25" x14ac:dyDescent="0.3">
      <c r="A22" s="19" t="s">
        <v>520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3"/>
      <c r="M22" s="23"/>
      <c r="N22" s="23"/>
      <c r="O22" s="23"/>
      <c r="P22" s="23"/>
      <c r="Q22" s="22"/>
      <c r="R22" s="22"/>
      <c r="S22" s="22">
        <v>57857</v>
      </c>
      <c r="T22" s="22"/>
      <c r="U22" s="22"/>
      <c r="V22" s="22"/>
      <c r="W22" s="22"/>
      <c r="X22" s="22"/>
      <c r="Y22" s="22">
        <v>57857</v>
      </c>
    </row>
    <row r="23" spans="1:25" x14ac:dyDescent="0.3">
      <c r="A23" s="19" t="s">
        <v>531</v>
      </c>
      <c r="B23" s="22">
        <v>-34580</v>
      </c>
      <c r="C23" s="22">
        <v>-15757</v>
      </c>
      <c r="D23" s="22">
        <v>-13728</v>
      </c>
      <c r="E23" s="22">
        <v>-33677</v>
      </c>
      <c r="F23" s="22">
        <v>-159925</v>
      </c>
      <c r="G23" s="22">
        <v>-14712</v>
      </c>
      <c r="H23" s="22">
        <v>-15970</v>
      </c>
      <c r="I23" s="22">
        <v>-24925</v>
      </c>
      <c r="J23" s="22">
        <v>-14442</v>
      </c>
      <c r="K23" s="22">
        <v>-16150</v>
      </c>
      <c r="L23" s="23">
        <v>161795</v>
      </c>
      <c r="M23" s="23">
        <v>56785</v>
      </c>
      <c r="N23" s="23">
        <v>158814</v>
      </c>
      <c r="O23" s="23">
        <v>67008</v>
      </c>
      <c r="P23" s="23">
        <v>421200</v>
      </c>
      <c r="Q23" s="22">
        <v>336990</v>
      </c>
      <c r="R23" s="22">
        <v>29250</v>
      </c>
      <c r="S23" s="22">
        <v>57857</v>
      </c>
      <c r="T23" s="22">
        <v>120248.54000000001</v>
      </c>
      <c r="U23" s="22">
        <v>18230</v>
      </c>
      <c r="V23" s="22">
        <v>249179</v>
      </c>
      <c r="W23" s="22">
        <v>1562788.5</v>
      </c>
      <c r="X23" s="22">
        <v>68340</v>
      </c>
      <c r="Y23" s="22">
        <v>2964619.04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171C-9CEB-419E-A6E7-150501A23142}">
  <dimension ref="A1:B66"/>
  <sheetViews>
    <sheetView workbookViewId="0">
      <selection activeCell="B6" sqref="B6:B199"/>
    </sheetView>
  </sheetViews>
  <sheetFormatPr baseColWidth="10" defaultRowHeight="14.4" x14ac:dyDescent="0.3"/>
  <cols>
    <col min="1" max="1" width="38.88671875" bestFit="1" customWidth="1"/>
    <col min="2" max="2" width="18.88671875" bestFit="1" customWidth="1"/>
  </cols>
  <sheetData>
    <row r="1" spans="1:2" x14ac:dyDescent="0.3">
      <c r="A1" s="18" t="s">
        <v>5</v>
      </c>
      <c r="B1" t="s">
        <v>544</v>
      </c>
    </row>
    <row r="2" spans="1:2" x14ac:dyDescent="0.3">
      <c r="A2" s="18" t="s">
        <v>523</v>
      </c>
      <c r="B2" t="s">
        <v>528</v>
      </c>
    </row>
    <row r="3" spans="1:2" x14ac:dyDescent="0.3">
      <c r="A3" s="18" t="s">
        <v>4</v>
      </c>
      <c r="B3" t="s">
        <v>545</v>
      </c>
    </row>
    <row r="5" spans="1:2" x14ac:dyDescent="0.3">
      <c r="A5" s="18" t="s">
        <v>530</v>
      </c>
      <c r="B5" t="s">
        <v>543</v>
      </c>
    </row>
    <row r="6" spans="1:2" x14ac:dyDescent="0.3">
      <c r="A6" s="19" t="s">
        <v>66</v>
      </c>
      <c r="B6" s="21">
        <v>868980</v>
      </c>
    </row>
    <row r="7" spans="1:2" x14ac:dyDescent="0.3">
      <c r="A7" s="20" t="s">
        <v>69</v>
      </c>
      <c r="B7" s="21">
        <v>234900</v>
      </c>
    </row>
    <row r="8" spans="1:2" x14ac:dyDescent="0.3">
      <c r="A8" s="20" t="s">
        <v>67</v>
      </c>
      <c r="B8" s="21">
        <v>78360</v>
      </c>
    </row>
    <row r="9" spans="1:2" x14ac:dyDescent="0.3">
      <c r="A9" s="20" t="s">
        <v>73</v>
      </c>
      <c r="B9" s="21">
        <v>336990</v>
      </c>
    </row>
    <row r="10" spans="1:2" x14ac:dyDescent="0.3">
      <c r="A10" s="20" t="s">
        <v>76</v>
      </c>
      <c r="B10" s="21">
        <v>218730</v>
      </c>
    </row>
    <row r="11" spans="1:2" x14ac:dyDescent="0.3">
      <c r="A11" s="19" t="s">
        <v>104</v>
      </c>
      <c r="B11" s="21">
        <v>15163</v>
      </c>
    </row>
    <row r="12" spans="1:2" x14ac:dyDescent="0.3">
      <c r="A12" s="20" t="s">
        <v>105</v>
      </c>
      <c r="B12" s="21">
        <v>15163</v>
      </c>
    </row>
    <row r="13" spans="1:2" x14ac:dyDescent="0.3">
      <c r="A13" s="19" t="s">
        <v>106</v>
      </c>
      <c r="B13" s="21">
        <v>16355.92</v>
      </c>
    </row>
    <row r="14" spans="1:2" x14ac:dyDescent="0.3">
      <c r="A14" s="20" t="s">
        <v>107</v>
      </c>
      <c r="B14" s="21">
        <v>16355.92</v>
      </c>
    </row>
    <row r="15" spans="1:2" x14ac:dyDescent="0.3">
      <c r="A15" s="19" t="s">
        <v>109</v>
      </c>
      <c r="B15" s="21">
        <v>-29154</v>
      </c>
    </row>
    <row r="16" spans="1:2" x14ac:dyDescent="0.3">
      <c r="A16" s="20" t="s">
        <v>111</v>
      </c>
      <c r="B16" s="21">
        <v>-14712</v>
      </c>
    </row>
    <row r="17" spans="1:2" x14ac:dyDescent="0.3">
      <c r="A17" s="20" t="s">
        <v>114</v>
      </c>
      <c r="B17" s="21">
        <v>-14442</v>
      </c>
    </row>
    <row r="18" spans="1:2" x14ac:dyDescent="0.3">
      <c r="A18" s="19" t="s">
        <v>268</v>
      </c>
      <c r="B18" s="21">
        <v>-34580</v>
      </c>
    </row>
    <row r="19" spans="1:2" x14ac:dyDescent="0.3">
      <c r="A19" s="20" t="s">
        <v>270</v>
      </c>
      <c r="B19" s="21">
        <v>-34580</v>
      </c>
    </row>
    <row r="20" spans="1:2" x14ac:dyDescent="0.3">
      <c r="A20" s="19" t="s">
        <v>272</v>
      </c>
      <c r="B20" s="21">
        <v>-616.45999999999913</v>
      </c>
    </row>
    <row r="21" spans="1:2" x14ac:dyDescent="0.3">
      <c r="A21" s="20" t="s">
        <v>274</v>
      </c>
      <c r="B21" s="21">
        <v>-33677</v>
      </c>
    </row>
    <row r="22" spans="1:2" x14ac:dyDescent="0.3">
      <c r="A22" s="20" t="s">
        <v>277</v>
      </c>
      <c r="B22" s="21">
        <v>14830.54</v>
      </c>
    </row>
    <row r="23" spans="1:2" x14ac:dyDescent="0.3">
      <c r="A23" s="20" t="s">
        <v>280</v>
      </c>
      <c r="B23" s="21">
        <v>18230</v>
      </c>
    </row>
    <row r="24" spans="1:2" x14ac:dyDescent="0.3">
      <c r="A24" s="19" t="s">
        <v>282</v>
      </c>
      <c r="B24" s="21">
        <v>737667</v>
      </c>
    </row>
    <row r="25" spans="1:2" x14ac:dyDescent="0.3">
      <c r="A25" s="20" t="s">
        <v>284</v>
      </c>
      <c r="B25" s="21">
        <v>421200</v>
      </c>
    </row>
    <row r="26" spans="1:2" x14ac:dyDescent="0.3">
      <c r="A26" s="20" t="s">
        <v>287</v>
      </c>
      <c r="B26" s="21">
        <v>211167</v>
      </c>
    </row>
    <row r="27" spans="1:2" x14ac:dyDescent="0.3">
      <c r="A27" s="20" t="s">
        <v>290</v>
      </c>
      <c r="B27" s="21">
        <v>105300</v>
      </c>
    </row>
    <row r="28" spans="1:2" x14ac:dyDescent="0.3">
      <c r="A28" s="19" t="s">
        <v>292</v>
      </c>
      <c r="B28" s="21">
        <v>1082175</v>
      </c>
    </row>
    <row r="29" spans="1:2" x14ac:dyDescent="0.3">
      <c r="A29" s="20" t="s">
        <v>297</v>
      </c>
      <c r="B29" s="21">
        <v>113004</v>
      </c>
    </row>
    <row r="30" spans="1:2" x14ac:dyDescent="0.3">
      <c r="A30" s="20" t="s">
        <v>303</v>
      </c>
      <c r="B30" s="21">
        <v>533250</v>
      </c>
    </row>
    <row r="31" spans="1:2" x14ac:dyDescent="0.3">
      <c r="A31" s="20" t="s">
        <v>306</v>
      </c>
      <c r="B31" s="21">
        <v>169092</v>
      </c>
    </row>
    <row r="32" spans="1:2" x14ac:dyDescent="0.3">
      <c r="A32" s="20" t="s">
        <v>309</v>
      </c>
      <c r="B32" s="21">
        <v>213300</v>
      </c>
    </row>
    <row r="33" spans="1:2" x14ac:dyDescent="0.3">
      <c r="A33" s="20" t="s">
        <v>294</v>
      </c>
      <c r="B33" s="21">
        <v>-159925</v>
      </c>
    </row>
    <row r="34" spans="1:2" x14ac:dyDescent="0.3">
      <c r="A34" s="20" t="s">
        <v>300</v>
      </c>
      <c r="B34" s="21">
        <v>213454</v>
      </c>
    </row>
    <row r="35" spans="1:2" x14ac:dyDescent="0.3">
      <c r="A35" s="19" t="s">
        <v>311</v>
      </c>
      <c r="B35" s="21">
        <v>45810</v>
      </c>
    </row>
    <row r="36" spans="1:2" x14ac:dyDescent="0.3">
      <c r="A36" s="20" t="s">
        <v>313</v>
      </c>
      <c r="B36" s="21">
        <v>45810</v>
      </c>
    </row>
    <row r="37" spans="1:2" x14ac:dyDescent="0.3">
      <c r="A37" s="19" t="s">
        <v>401</v>
      </c>
      <c r="B37" s="21">
        <v>67008</v>
      </c>
    </row>
    <row r="38" spans="1:2" x14ac:dyDescent="0.3">
      <c r="A38" s="20" t="s">
        <v>403</v>
      </c>
      <c r="B38" s="21">
        <v>67008</v>
      </c>
    </row>
    <row r="39" spans="1:2" x14ac:dyDescent="0.3">
      <c r="A39" s="19" t="s">
        <v>404</v>
      </c>
      <c r="B39" s="21">
        <v>10284</v>
      </c>
    </row>
    <row r="40" spans="1:2" x14ac:dyDescent="0.3">
      <c r="A40" s="20" t="s">
        <v>405</v>
      </c>
      <c r="B40" s="21">
        <v>10284</v>
      </c>
    </row>
    <row r="41" spans="1:2" x14ac:dyDescent="0.3">
      <c r="A41" s="19" t="s">
        <v>407</v>
      </c>
      <c r="B41" s="21">
        <v>54612</v>
      </c>
    </row>
    <row r="42" spans="1:2" x14ac:dyDescent="0.3">
      <c r="A42" s="20" t="s">
        <v>412</v>
      </c>
      <c r="B42" s="21">
        <v>68340</v>
      </c>
    </row>
    <row r="43" spans="1:2" x14ac:dyDescent="0.3">
      <c r="A43" s="20" t="s">
        <v>409</v>
      </c>
      <c r="B43" s="21">
        <v>-13728</v>
      </c>
    </row>
    <row r="44" spans="1:2" x14ac:dyDescent="0.3">
      <c r="A44" s="19" t="s">
        <v>427</v>
      </c>
      <c r="B44" s="21">
        <v>22780</v>
      </c>
    </row>
    <row r="45" spans="1:2" x14ac:dyDescent="0.3">
      <c r="A45" s="20" t="s">
        <v>432</v>
      </c>
      <c r="B45" s="21">
        <v>29250</v>
      </c>
    </row>
    <row r="46" spans="1:2" x14ac:dyDescent="0.3">
      <c r="A46" s="20" t="s">
        <v>429</v>
      </c>
      <c r="B46" s="21">
        <v>-6470</v>
      </c>
    </row>
    <row r="47" spans="1:2" x14ac:dyDescent="0.3">
      <c r="A47" s="19" t="s">
        <v>445</v>
      </c>
      <c r="B47" s="21">
        <v>161795</v>
      </c>
    </row>
    <row r="48" spans="1:2" x14ac:dyDescent="0.3">
      <c r="A48" s="20" t="s">
        <v>447</v>
      </c>
      <c r="B48" s="21">
        <v>161795</v>
      </c>
    </row>
    <row r="49" spans="1:2" x14ac:dyDescent="0.3">
      <c r="A49" s="19" t="s">
        <v>449</v>
      </c>
      <c r="B49" s="21">
        <v>-32120</v>
      </c>
    </row>
    <row r="50" spans="1:2" x14ac:dyDescent="0.3">
      <c r="A50" s="20" t="s">
        <v>451</v>
      </c>
      <c r="B50" s="21">
        <v>-15970</v>
      </c>
    </row>
    <row r="51" spans="1:2" x14ac:dyDescent="0.3">
      <c r="A51" s="20" t="s">
        <v>454</v>
      </c>
      <c r="B51" s="21">
        <v>-16150</v>
      </c>
    </row>
    <row r="52" spans="1:2" x14ac:dyDescent="0.3">
      <c r="A52" s="19" t="s">
        <v>464</v>
      </c>
      <c r="B52" s="21">
        <v>36731</v>
      </c>
    </row>
    <row r="53" spans="1:2" x14ac:dyDescent="0.3">
      <c r="A53" s="20" t="s">
        <v>469</v>
      </c>
      <c r="B53" s="21">
        <v>46018</v>
      </c>
    </row>
    <row r="54" spans="1:2" x14ac:dyDescent="0.3">
      <c r="A54" s="20" t="s">
        <v>466</v>
      </c>
      <c r="B54" s="21">
        <v>-9287</v>
      </c>
    </row>
    <row r="55" spans="1:2" x14ac:dyDescent="0.3">
      <c r="A55" s="19" t="s">
        <v>484</v>
      </c>
      <c r="B55" s="21">
        <v>-24925</v>
      </c>
    </row>
    <row r="56" spans="1:2" x14ac:dyDescent="0.3">
      <c r="A56" s="20" t="s">
        <v>486</v>
      </c>
      <c r="B56" s="21">
        <v>-24925</v>
      </c>
    </row>
    <row r="57" spans="1:2" x14ac:dyDescent="0.3">
      <c r="A57" s="19" t="s">
        <v>488</v>
      </c>
      <c r="B57" s="21">
        <v>151910</v>
      </c>
    </row>
    <row r="58" spans="1:2" x14ac:dyDescent="0.3">
      <c r="A58" s="20" t="s">
        <v>496</v>
      </c>
      <c r="B58" s="21">
        <v>59400</v>
      </c>
    </row>
    <row r="59" spans="1:2" x14ac:dyDescent="0.3">
      <c r="A59" s="20" t="s">
        <v>490</v>
      </c>
      <c r="B59" s="21">
        <v>56785</v>
      </c>
    </row>
    <row r="60" spans="1:2" x14ac:dyDescent="0.3">
      <c r="A60" s="20" t="s">
        <v>493</v>
      </c>
      <c r="B60" s="21">
        <v>35725</v>
      </c>
    </row>
    <row r="61" spans="1:2" x14ac:dyDescent="0.3">
      <c r="A61" s="19" t="s">
        <v>512</v>
      </c>
      <c r="B61" s="21">
        <v>111949.5</v>
      </c>
    </row>
    <row r="62" spans="1:2" x14ac:dyDescent="0.3">
      <c r="A62" s="20" t="s">
        <v>515</v>
      </c>
      <c r="B62" s="21">
        <v>30375</v>
      </c>
    </row>
    <row r="63" spans="1:2" x14ac:dyDescent="0.3">
      <c r="A63" s="20" t="s">
        <v>518</v>
      </c>
      <c r="B63" s="21">
        <v>81574.5</v>
      </c>
    </row>
    <row r="64" spans="1:2" x14ac:dyDescent="0.3">
      <c r="A64" s="19" t="s">
        <v>520</v>
      </c>
      <c r="B64" s="21">
        <v>57857</v>
      </c>
    </row>
    <row r="65" spans="1:2" x14ac:dyDescent="0.3">
      <c r="A65" s="20" t="s">
        <v>522</v>
      </c>
      <c r="B65" s="21">
        <v>57857</v>
      </c>
    </row>
    <row r="66" spans="1:2" x14ac:dyDescent="0.3">
      <c r="A66" s="19" t="s">
        <v>531</v>
      </c>
      <c r="B66" s="21">
        <v>3319681.96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D5B7-E38B-441A-BBCE-763E58A7008D}">
  <dimension ref="A1:I46"/>
  <sheetViews>
    <sheetView topLeftCell="B1" workbookViewId="0">
      <selection activeCell="F48" sqref="F48"/>
    </sheetView>
  </sheetViews>
  <sheetFormatPr baseColWidth="10" defaultRowHeight="14.4" x14ac:dyDescent="0.3"/>
  <cols>
    <col min="1" max="1" width="38.8867187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31.6640625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1" spans="1:9" x14ac:dyDescent="0.3">
      <c r="A1" s="18" t="s">
        <v>4</v>
      </c>
      <c r="B1" t="s">
        <v>545</v>
      </c>
      <c r="F1" s="18" t="s">
        <v>4</v>
      </c>
      <c r="G1" t="s">
        <v>545</v>
      </c>
    </row>
    <row r="2" spans="1:9" x14ac:dyDescent="0.3">
      <c r="A2" s="18" t="s">
        <v>538</v>
      </c>
      <c r="B2" t="s">
        <v>539</v>
      </c>
      <c r="F2" s="18" t="s">
        <v>538</v>
      </c>
      <c r="G2" t="s">
        <v>540</v>
      </c>
    </row>
    <row r="3" spans="1:9" x14ac:dyDescent="0.3">
      <c r="A3" s="18" t="s">
        <v>523</v>
      </c>
      <c r="B3" t="s">
        <v>528</v>
      </c>
      <c r="F3" s="18" t="s">
        <v>523</v>
      </c>
      <c r="G3" t="s">
        <v>528</v>
      </c>
    </row>
    <row r="5" spans="1:9" x14ac:dyDescent="0.3">
      <c r="A5" s="18" t="s">
        <v>530</v>
      </c>
      <c r="B5" t="s">
        <v>547</v>
      </c>
      <c r="C5" t="s">
        <v>546</v>
      </c>
      <c r="D5" t="s">
        <v>543</v>
      </c>
      <c r="F5" s="18" t="s">
        <v>530</v>
      </c>
      <c r="G5" t="s">
        <v>547</v>
      </c>
      <c r="H5" t="s">
        <v>546</v>
      </c>
      <c r="I5" t="s">
        <v>543</v>
      </c>
    </row>
    <row r="6" spans="1:9" x14ac:dyDescent="0.3">
      <c r="A6" s="19" t="s">
        <v>66</v>
      </c>
      <c r="B6" s="21">
        <v>1</v>
      </c>
      <c r="C6" s="21">
        <v>20</v>
      </c>
      <c r="D6" s="21">
        <v>218730</v>
      </c>
      <c r="F6" s="19" t="s">
        <v>66</v>
      </c>
      <c r="G6" s="21">
        <v>3</v>
      </c>
      <c r="H6" s="21">
        <v>159</v>
      </c>
      <c r="I6" s="21">
        <v>650250</v>
      </c>
    </row>
    <row r="7" spans="1:9" x14ac:dyDescent="0.3">
      <c r="A7" s="20" t="s">
        <v>76</v>
      </c>
      <c r="B7" s="21">
        <v>1</v>
      </c>
      <c r="C7" s="21">
        <v>20</v>
      </c>
      <c r="D7" s="21">
        <v>218730</v>
      </c>
      <c r="F7" s="20" t="s">
        <v>69</v>
      </c>
      <c r="G7" s="21">
        <v>1</v>
      </c>
      <c r="H7" s="21">
        <v>52</v>
      </c>
      <c r="I7" s="21">
        <v>234900</v>
      </c>
    </row>
    <row r="8" spans="1:9" x14ac:dyDescent="0.3">
      <c r="A8" s="19" t="s">
        <v>109</v>
      </c>
      <c r="B8" s="21"/>
      <c r="C8" s="21">
        <v>24</v>
      </c>
      <c r="D8" s="21">
        <v>-29154</v>
      </c>
      <c r="F8" s="20" t="s">
        <v>67</v>
      </c>
      <c r="G8" s="21">
        <v>1</v>
      </c>
      <c r="H8" s="21">
        <v>55</v>
      </c>
      <c r="I8" s="21">
        <v>78360</v>
      </c>
    </row>
    <row r="9" spans="1:9" x14ac:dyDescent="0.3">
      <c r="A9" s="20" t="s">
        <v>111</v>
      </c>
      <c r="B9" s="21"/>
      <c r="C9" s="21">
        <v>19</v>
      </c>
      <c r="D9" s="21">
        <v>-14712</v>
      </c>
      <c r="F9" s="20" t="s">
        <v>73</v>
      </c>
      <c r="G9" s="21">
        <v>1</v>
      </c>
      <c r="H9" s="21">
        <v>52</v>
      </c>
      <c r="I9" s="21">
        <v>336990</v>
      </c>
    </row>
    <row r="10" spans="1:9" x14ac:dyDescent="0.3">
      <c r="A10" s="20" t="s">
        <v>114</v>
      </c>
      <c r="B10" s="21"/>
      <c r="C10" s="21">
        <v>5</v>
      </c>
      <c r="D10" s="21">
        <v>-14442</v>
      </c>
      <c r="F10" s="19" t="s">
        <v>268</v>
      </c>
      <c r="G10" s="21"/>
      <c r="H10" s="21">
        <v>55</v>
      </c>
      <c r="I10" s="21">
        <v>-34580</v>
      </c>
    </row>
    <row r="11" spans="1:9" x14ac:dyDescent="0.3">
      <c r="A11" s="19" t="s">
        <v>272</v>
      </c>
      <c r="B11" s="21">
        <v>2</v>
      </c>
      <c r="C11" s="21">
        <v>98</v>
      </c>
      <c r="D11" s="21">
        <v>-616.45999999999913</v>
      </c>
      <c r="F11" s="20" t="s">
        <v>270</v>
      </c>
      <c r="G11" s="21"/>
      <c r="H11" s="21">
        <v>55</v>
      </c>
      <c r="I11" s="21">
        <v>-34580</v>
      </c>
    </row>
    <row r="12" spans="1:9" x14ac:dyDescent="0.3">
      <c r="A12" s="20" t="s">
        <v>274</v>
      </c>
      <c r="B12" s="21"/>
      <c r="C12" s="21">
        <v>42</v>
      </c>
      <c r="D12" s="21">
        <v>-33677</v>
      </c>
      <c r="F12" s="19" t="s">
        <v>311</v>
      </c>
      <c r="G12" s="21">
        <v>1</v>
      </c>
      <c r="H12" s="21">
        <v>52</v>
      </c>
      <c r="I12" s="21">
        <v>45810</v>
      </c>
    </row>
    <row r="13" spans="1:9" x14ac:dyDescent="0.3">
      <c r="A13" s="20" t="s">
        <v>277</v>
      </c>
      <c r="B13" s="21">
        <v>1</v>
      </c>
      <c r="C13" s="21">
        <v>29</v>
      </c>
      <c r="D13" s="21">
        <v>14830.54</v>
      </c>
      <c r="F13" s="20" t="s">
        <v>313</v>
      </c>
      <c r="G13" s="21">
        <v>1</v>
      </c>
      <c r="H13" s="21">
        <v>52</v>
      </c>
      <c r="I13" s="21">
        <v>45810</v>
      </c>
    </row>
    <row r="14" spans="1:9" x14ac:dyDescent="0.3">
      <c r="A14" s="20" t="s">
        <v>280</v>
      </c>
      <c r="B14" s="21">
        <v>1</v>
      </c>
      <c r="C14" s="21">
        <v>27</v>
      </c>
      <c r="D14" s="21">
        <v>18230</v>
      </c>
      <c r="F14" s="19" t="s">
        <v>401</v>
      </c>
      <c r="G14" s="21">
        <v>1</v>
      </c>
      <c r="H14" s="21">
        <v>52</v>
      </c>
      <c r="I14" s="21">
        <v>67008</v>
      </c>
    </row>
    <row r="15" spans="1:9" x14ac:dyDescent="0.3">
      <c r="A15" s="19" t="s">
        <v>282</v>
      </c>
      <c r="B15" s="21">
        <v>3</v>
      </c>
      <c r="C15" s="21">
        <v>71</v>
      </c>
      <c r="D15" s="21">
        <v>737667</v>
      </c>
      <c r="F15" s="20" t="s">
        <v>403</v>
      </c>
      <c r="G15" s="21">
        <v>1</v>
      </c>
      <c r="H15" s="21">
        <v>52</v>
      </c>
      <c r="I15" s="21">
        <v>67008</v>
      </c>
    </row>
    <row r="16" spans="1:9" x14ac:dyDescent="0.3">
      <c r="A16" s="20" t="s">
        <v>284</v>
      </c>
      <c r="B16" s="21">
        <v>1</v>
      </c>
      <c r="C16" s="21">
        <v>31</v>
      </c>
      <c r="D16" s="21">
        <v>421200</v>
      </c>
      <c r="F16" s="19" t="s">
        <v>427</v>
      </c>
      <c r="G16" s="21"/>
      <c r="H16" s="21">
        <v>48</v>
      </c>
      <c r="I16" s="21">
        <v>-6470</v>
      </c>
    </row>
    <row r="17" spans="1:9" x14ac:dyDescent="0.3">
      <c r="A17" s="20" t="s">
        <v>287</v>
      </c>
      <c r="B17" s="21">
        <v>1</v>
      </c>
      <c r="C17" s="21">
        <v>20</v>
      </c>
      <c r="D17" s="21">
        <v>211167</v>
      </c>
      <c r="F17" s="20" t="s">
        <v>429</v>
      </c>
      <c r="G17" s="21"/>
      <c r="H17" s="21">
        <v>48</v>
      </c>
      <c r="I17" s="21">
        <v>-6470</v>
      </c>
    </row>
    <row r="18" spans="1:9" x14ac:dyDescent="0.3">
      <c r="A18" s="20" t="s">
        <v>290</v>
      </c>
      <c r="B18" s="21">
        <v>1</v>
      </c>
      <c r="C18" s="21">
        <v>20</v>
      </c>
      <c r="D18" s="21">
        <v>105300</v>
      </c>
      <c r="F18" s="19" t="s">
        <v>464</v>
      </c>
      <c r="G18" s="21"/>
      <c r="H18" s="21">
        <v>48</v>
      </c>
      <c r="I18" s="21">
        <v>-9287</v>
      </c>
    </row>
    <row r="19" spans="1:9" x14ac:dyDescent="0.3">
      <c r="A19" s="19" t="s">
        <v>292</v>
      </c>
      <c r="B19" s="21">
        <v>5</v>
      </c>
      <c r="C19" s="21">
        <v>161</v>
      </c>
      <c r="D19" s="21">
        <v>1082175</v>
      </c>
      <c r="F19" s="20" t="s">
        <v>466</v>
      </c>
      <c r="G19" s="21"/>
      <c r="H19" s="21">
        <v>48</v>
      </c>
      <c r="I19" s="21">
        <v>-9287</v>
      </c>
    </row>
    <row r="20" spans="1:9" x14ac:dyDescent="0.3">
      <c r="A20" s="20" t="s">
        <v>297</v>
      </c>
      <c r="B20" s="21">
        <v>1</v>
      </c>
      <c r="C20" s="21">
        <v>37</v>
      </c>
      <c r="D20" s="21">
        <v>113004</v>
      </c>
      <c r="F20" s="19" t="s">
        <v>488</v>
      </c>
      <c r="G20" s="21">
        <v>1</v>
      </c>
      <c r="H20" s="21">
        <v>52</v>
      </c>
      <c r="I20" s="21">
        <v>35725</v>
      </c>
    </row>
    <row r="21" spans="1:9" x14ac:dyDescent="0.3">
      <c r="A21" s="20" t="s">
        <v>303</v>
      </c>
      <c r="B21" s="21">
        <v>1</v>
      </c>
      <c r="C21" s="21">
        <v>20</v>
      </c>
      <c r="D21" s="21">
        <v>533250</v>
      </c>
      <c r="F21" s="20" t="s">
        <v>493</v>
      </c>
      <c r="G21" s="21">
        <v>1</v>
      </c>
      <c r="H21" s="21">
        <v>52</v>
      </c>
      <c r="I21" s="21">
        <v>35725</v>
      </c>
    </row>
    <row r="22" spans="1:9" x14ac:dyDescent="0.3">
      <c r="A22" s="20" t="s">
        <v>306</v>
      </c>
      <c r="B22" s="21">
        <v>1</v>
      </c>
      <c r="C22" s="21">
        <v>20</v>
      </c>
      <c r="D22" s="21">
        <v>169092</v>
      </c>
      <c r="F22" s="19" t="s">
        <v>531</v>
      </c>
      <c r="G22" s="21">
        <v>6</v>
      </c>
      <c r="H22" s="21">
        <v>466</v>
      </c>
      <c r="I22" s="21">
        <v>748456</v>
      </c>
    </row>
    <row r="23" spans="1:9" x14ac:dyDescent="0.3">
      <c r="A23" s="20" t="s">
        <v>309</v>
      </c>
      <c r="B23" s="21">
        <v>1</v>
      </c>
      <c r="C23" s="21">
        <v>20</v>
      </c>
      <c r="D23" s="21">
        <v>213300</v>
      </c>
    </row>
    <row r="24" spans="1:9" x14ac:dyDescent="0.3">
      <c r="A24" s="20" t="s">
        <v>294</v>
      </c>
      <c r="B24" s="21"/>
      <c r="C24" s="21">
        <v>41</v>
      </c>
      <c r="D24" s="21">
        <v>-159925</v>
      </c>
      <c r="F24" s="18" t="s">
        <v>4</v>
      </c>
      <c r="G24" t="s">
        <v>545</v>
      </c>
    </row>
    <row r="25" spans="1:9" x14ac:dyDescent="0.3">
      <c r="A25" s="20" t="s">
        <v>300</v>
      </c>
      <c r="B25" s="21">
        <v>1</v>
      </c>
      <c r="C25" s="21">
        <v>23</v>
      </c>
      <c r="D25" s="21">
        <v>213454</v>
      </c>
      <c r="F25" s="18" t="s">
        <v>538</v>
      </c>
      <c r="G25" t="s">
        <v>541</v>
      </c>
    </row>
    <row r="26" spans="1:9" x14ac:dyDescent="0.3">
      <c r="A26" s="19" t="s">
        <v>407</v>
      </c>
      <c r="B26" s="21"/>
      <c r="C26" s="21">
        <v>52</v>
      </c>
      <c r="D26" s="21">
        <v>54612</v>
      </c>
      <c r="F26" s="18" t="s">
        <v>523</v>
      </c>
      <c r="G26" t="s">
        <v>528</v>
      </c>
    </row>
    <row r="27" spans="1:9" x14ac:dyDescent="0.3">
      <c r="A27" s="20" t="s">
        <v>412</v>
      </c>
      <c r="B27" s="21"/>
      <c r="C27" s="21">
        <v>7</v>
      </c>
      <c r="D27" s="21">
        <v>68340</v>
      </c>
    </row>
    <row r="28" spans="1:9" x14ac:dyDescent="0.3">
      <c r="A28" s="20" t="s">
        <v>409</v>
      </c>
      <c r="B28" s="21"/>
      <c r="C28" s="21">
        <v>45</v>
      </c>
      <c r="D28" s="21">
        <v>-13728</v>
      </c>
      <c r="F28" s="18" t="s">
        <v>530</v>
      </c>
      <c r="G28" t="s">
        <v>547</v>
      </c>
      <c r="H28" t="s">
        <v>546</v>
      </c>
      <c r="I28" t="s">
        <v>543</v>
      </c>
    </row>
    <row r="29" spans="1:9" x14ac:dyDescent="0.3">
      <c r="A29" s="19" t="s">
        <v>427</v>
      </c>
      <c r="B29" s="21">
        <v>1</v>
      </c>
      <c r="C29" s="21">
        <v>37</v>
      </c>
      <c r="D29" s="21">
        <v>29250</v>
      </c>
      <c r="F29" s="19" t="s">
        <v>104</v>
      </c>
      <c r="G29" s="21">
        <v>1</v>
      </c>
      <c r="H29" s="21">
        <v>84</v>
      </c>
      <c r="I29" s="21">
        <v>15163</v>
      </c>
    </row>
    <row r="30" spans="1:9" x14ac:dyDescent="0.3">
      <c r="A30" s="20" t="s">
        <v>432</v>
      </c>
      <c r="B30" s="21">
        <v>1</v>
      </c>
      <c r="C30" s="21">
        <v>37</v>
      </c>
      <c r="D30" s="21">
        <v>29250</v>
      </c>
      <c r="F30" s="20" t="s">
        <v>105</v>
      </c>
      <c r="G30" s="21">
        <v>1</v>
      </c>
      <c r="H30" s="21">
        <v>84</v>
      </c>
      <c r="I30" s="21">
        <v>15163</v>
      </c>
    </row>
    <row r="31" spans="1:9" x14ac:dyDescent="0.3">
      <c r="A31" s="19" t="s">
        <v>449</v>
      </c>
      <c r="B31" s="21"/>
      <c r="C31" s="21">
        <v>16</v>
      </c>
      <c r="D31" s="21">
        <v>-32120</v>
      </c>
      <c r="F31" s="19" t="s">
        <v>404</v>
      </c>
      <c r="G31" s="21">
        <v>1</v>
      </c>
      <c r="H31" s="21">
        <v>84</v>
      </c>
      <c r="I31" s="21">
        <v>10284</v>
      </c>
    </row>
    <row r="32" spans="1:9" x14ac:dyDescent="0.3">
      <c r="A32" s="20" t="s">
        <v>451</v>
      </c>
      <c r="B32" s="21"/>
      <c r="C32" s="21">
        <v>12</v>
      </c>
      <c r="D32" s="21">
        <v>-15970</v>
      </c>
      <c r="F32" s="20" t="s">
        <v>405</v>
      </c>
      <c r="G32" s="21">
        <v>1</v>
      </c>
      <c r="H32" s="21">
        <v>84</v>
      </c>
      <c r="I32" s="21">
        <v>10284</v>
      </c>
    </row>
    <row r="33" spans="1:9" x14ac:dyDescent="0.3">
      <c r="A33" s="20" t="s">
        <v>454</v>
      </c>
      <c r="B33" s="21"/>
      <c r="C33" s="21">
        <v>4</v>
      </c>
      <c r="D33" s="21">
        <v>-16150</v>
      </c>
      <c r="F33" s="19" t="s">
        <v>445</v>
      </c>
      <c r="G33" s="21">
        <v>1</v>
      </c>
      <c r="H33" s="21">
        <v>64</v>
      </c>
      <c r="I33" s="21">
        <v>161795</v>
      </c>
    </row>
    <row r="34" spans="1:9" x14ac:dyDescent="0.3">
      <c r="A34" s="19" t="s">
        <v>464</v>
      </c>
      <c r="B34" s="21">
        <v>1</v>
      </c>
      <c r="C34" s="21">
        <v>29</v>
      </c>
      <c r="D34" s="21">
        <v>46018</v>
      </c>
      <c r="F34" s="20" t="s">
        <v>447</v>
      </c>
      <c r="G34" s="21">
        <v>1</v>
      </c>
      <c r="H34" s="21">
        <v>64</v>
      </c>
      <c r="I34" s="21">
        <v>161795</v>
      </c>
    </row>
    <row r="35" spans="1:9" x14ac:dyDescent="0.3">
      <c r="A35" s="20" t="s">
        <v>469</v>
      </c>
      <c r="B35" s="21">
        <v>1</v>
      </c>
      <c r="C35" s="21">
        <v>29</v>
      </c>
      <c r="D35" s="21">
        <v>46018</v>
      </c>
      <c r="F35" s="19" t="s">
        <v>488</v>
      </c>
      <c r="G35" s="21">
        <v>1</v>
      </c>
      <c r="H35" s="21">
        <v>82</v>
      </c>
      <c r="I35" s="21">
        <v>56785</v>
      </c>
    </row>
    <row r="36" spans="1:9" x14ac:dyDescent="0.3">
      <c r="A36" s="19" t="s">
        <v>484</v>
      </c>
      <c r="B36" s="21"/>
      <c r="C36" s="21">
        <v>7</v>
      </c>
      <c r="D36" s="21">
        <v>-24925</v>
      </c>
      <c r="F36" s="20" t="s">
        <v>490</v>
      </c>
      <c r="G36" s="21">
        <v>1</v>
      </c>
      <c r="H36" s="21">
        <v>82</v>
      </c>
      <c r="I36" s="21">
        <v>56785</v>
      </c>
    </row>
    <row r="37" spans="1:9" x14ac:dyDescent="0.3">
      <c r="A37" s="20" t="s">
        <v>486</v>
      </c>
      <c r="B37" s="21"/>
      <c r="C37" s="21">
        <v>7</v>
      </c>
      <c r="D37" s="21">
        <v>-24925</v>
      </c>
      <c r="F37" s="19" t="s">
        <v>531</v>
      </c>
      <c r="G37" s="21">
        <v>4</v>
      </c>
      <c r="H37" s="21">
        <v>314</v>
      </c>
      <c r="I37" s="21">
        <v>244027</v>
      </c>
    </row>
    <row r="38" spans="1:9" x14ac:dyDescent="0.3">
      <c r="A38" s="19" t="s">
        <v>488</v>
      </c>
      <c r="B38" s="21">
        <v>1</v>
      </c>
      <c r="C38" s="21">
        <v>29</v>
      </c>
      <c r="D38" s="21">
        <v>59400</v>
      </c>
    </row>
    <row r="39" spans="1:9" x14ac:dyDescent="0.3">
      <c r="A39" s="20" t="s">
        <v>496</v>
      </c>
      <c r="B39" s="21">
        <v>1</v>
      </c>
      <c r="C39" s="21">
        <v>29</v>
      </c>
      <c r="D39" s="21">
        <v>59400</v>
      </c>
      <c r="F39" s="18" t="s">
        <v>4</v>
      </c>
      <c r="G39" t="s">
        <v>545</v>
      </c>
    </row>
    <row r="40" spans="1:9" x14ac:dyDescent="0.3">
      <c r="A40" s="19" t="s">
        <v>512</v>
      </c>
      <c r="B40" s="21">
        <v>2</v>
      </c>
      <c r="C40" s="21">
        <v>40</v>
      </c>
      <c r="D40" s="21">
        <v>111949.5</v>
      </c>
      <c r="F40" s="18" t="s">
        <v>538</v>
      </c>
      <c r="G40" t="s">
        <v>542</v>
      </c>
    </row>
    <row r="41" spans="1:9" x14ac:dyDescent="0.3">
      <c r="A41" s="20" t="s">
        <v>515</v>
      </c>
      <c r="B41" s="21">
        <v>1</v>
      </c>
      <c r="C41" s="21">
        <v>20</v>
      </c>
      <c r="D41" s="21">
        <v>30375</v>
      </c>
      <c r="F41" s="18" t="s">
        <v>523</v>
      </c>
      <c r="G41" t="s">
        <v>528</v>
      </c>
    </row>
    <row r="42" spans="1:9" x14ac:dyDescent="0.3">
      <c r="A42" s="20" t="s">
        <v>518</v>
      </c>
      <c r="B42" s="21">
        <v>1</v>
      </c>
      <c r="C42" s="21">
        <v>20</v>
      </c>
      <c r="D42" s="21">
        <v>81574.5</v>
      </c>
    </row>
    <row r="43" spans="1:9" x14ac:dyDescent="0.3">
      <c r="A43" s="19" t="s">
        <v>520</v>
      </c>
      <c r="B43" s="21">
        <v>1</v>
      </c>
      <c r="C43" s="21">
        <v>31</v>
      </c>
      <c r="D43" s="21">
        <v>57857</v>
      </c>
      <c r="F43" s="18" t="s">
        <v>530</v>
      </c>
      <c r="G43" t="s">
        <v>547</v>
      </c>
      <c r="H43" t="s">
        <v>546</v>
      </c>
      <c r="I43" t="s">
        <v>543</v>
      </c>
    </row>
    <row r="44" spans="1:9" x14ac:dyDescent="0.3">
      <c r="A44" s="20" t="s">
        <v>522</v>
      </c>
      <c r="B44" s="21">
        <v>1</v>
      </c>
      <c r="C44" s="21">
        <v>31</v>
      </c>
      <c r="D44" s="21">
        <v>57857</v>
      </c>
      <c r="F44" s="19" t="s">
        <v>106</v>
      </c>
      <c r="G44" s="21">
        <v>1</v>
      </c>
      <c r="H44" s="21">
        <v>99</v>
      </c>
      <c r="I44" s="21">
        <v>16355.92</v>
      </c>
    </row>
    <row r="45" spans="1:9" x14ac:dyDescent="0.3">
      <c r="A45" s="19" t="s">
        <v>531</v>
      </c>
      <c r="B45" s="21">
        <v>17</v>
      </c>
      <c r="C45" s="21">
        <v>615</v>
      </c>
      <c r="D45" s="21">
        <v>2310843.04</v>
      </c>
      <c r="F45" s="20" t="s">
        <v>107</v>
      </c>
      <c r="G45" s="21">
        <v>1</v>
      </c>
      <c r="H45" s="21">
        <v>99</v>
      </c>
      <c r="I45" s="21">
        <v>16355.92</v>
      </c>
    </row>
    <row r="46" spans="1:9" x14ac:dyDescent="0.3">
      <c r="F46" s="19" t="s">
        <v>531</v>
      </c>
      <c r="G46" s="21">
        <v>1</v>
      </c>
      <c r="H46" s="21">
        <v>99</v>
      </c>
      <c r="I46" s="21">
        <v>16355.92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6"/>
  <sheetViews>
    <sheetView topLeftCell="E1" workbookViewId="0">
      <pane ySplit="1" topLeftCell="A28" activePane="bottomLeft" state="frozen"/>
      <selection pane="bottomLeft" activeCell="G1" sqref="G1"/>
    </sheetView>
  </sheetViews>
  <sheetFormatPr baseColWidth="10" defaultColWidth="8.88671875" defaultRowHeight="14.4" outlineLevelRow="1" x14ac:dyDescent="0.3"/>
  <cols>
    <col min="1" max="1" width="11" bestFit="1" customWidth="1"/>
    <col min="2" max="2" width="36" bestFit="1" customWidth="1"/>
    <col min="3" max="3" width="13" bestFit="1" customWidth="1"/>
    <col min="4" max="4" width="17" bestFit="1" customWidth="1"/>
    <col min="5" max="6" width="19" customWidth="1"/>
    <col min="7" max="7" width="29" customWidth="1"/>
    <col min="8" max="8" width="14" customWidth="1"/>
    <col min="9" max="9" width="23" customWidth="1"/>
    <col min="10" max="10" width="21" customWidth="1"/>
    <col min="11" max="11" width="25" customWidth="1"/>
    <col min="12" max="12" width="11.44140625" customWidth="1"/>
    <col min="13" max="13" width="10.6640625" customWidth="1"/>
    <col min="14" max="14" width="10.88671875" bestFit="1" customWidth="1"/>
    <col min="15" max="15" width="12.77734375" bestFit="1" customWidth="1"/>
    <col min="16" max="16" width="12.21875" bestFit="1" customWidth="1"/>
    <col min="17" max="17" width="12" customWidth="1"/>
    <col min="18" max="18" width="12.6640625" bestFit="1" customWidth="1"/>
  </cols>
  <sheetData>
    <row r="1" spans="1:18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523</v>
      </c>
      <c r="L1" s="10" t="s">
        <v>532</v>
      </c>
      <c r="M1" s="11" t="s">
        <v>533</v>
      </c>
      <c r="N1" s="12" t="s">
        <v>534</v>
      </c>
      <c r="O1" s="13" t="s">
        <v>535</v>
      </c>
      <c r="P1" s="13" t="s">
        <v>536</v>
      </c>
      <c r="Q1" s="14" t="s">
        <v>537</v>
      </c>
      <c r="R1" s="15" t="s">
        <v>538</v>
      </c>
    </row>
    <row r="2" spans="1:18" outlineLevel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45980</v>
      </c>
      <c r="G2" s="4">
        <v>236</v>
      </c>
      <c r="H2" s="3">
        <v>45987</v>
      </c>
      <c r="I2" s="5">
        <v>42.48</v>
      </c>
      <c r="J2" s="2" t="s">
        <v>15</v>
      </c>
      <c r="K2" s="2" t="s">
        <v>524</v>
      </c>
      <c r="O2" s="16">
        <f>H2</f>
        <v>45987</v>
      </c>
      <c r="P2" s="8">
        <f>I2/3.408</f>
        <v>12.464788732394366</v>
      </c>
    </row>
    <row r="3" spans="1:18" outlineLevel="1" x14ac:dyDescent="0.3">
      <c r="A3" s="2" t="s">
        <v>10</v>
      </c>
      <c r="B3" s="2" t="s">
        <v>16</v>
      </c>
      <c r="C3" s="2" t="s">
        <v>17</v>
      </c>
      <c r="D3" s="2" t="s">
        <v>18</v>
      </c>
      <c r="E3" s="2" t="s">
        <v>14</v>
      </c>
      <c r="F3" s="3">
        <v>45980</v>
      </c>
      <c r="G3" s="4">
        <v>236</v>
      </c>
      <c r="H3" s="3">
        <v>45987</v>
      </c>
      <c r="I3" s="5">
        <v>14.16</v>
      </c>
      <c r="J3" s="2" t="s">
        <v>15</v>
      </c>
      <c r="K3" s="2" t="s">
        <v>524</v>
      </c>
      <c r="O3" s="16">
        <f t="shared" ref="O3:O18" si="0">H3</f>
        <v>45987</v>
      </c>
      <c r="P3" s="8">
        <f t="shared" ref="P3:P18" si="1">I3/3.408</f>
        <v>4.154929577464789</v>
      </c>
    </row>
    <row r="4" spans="1:18" outlineLevel="1" x14ac:dyDescent="0.3">
      <c r="A4" s="2" t="s">
        <v>10</v>
      </c>
      <c r="B4" s="2" t="s">
        <v>19</v>
      </c>
      <c r="C4" s="2" t="s">
        <v>20</v>
      </c>
      <c r="D4" s="2" t="s">
        <v>21</v>
      </c>
      <c r="E4" s="2" t="s">
        <v>14</v>
      </c>
      <c r="F4" s="3">
        <v>45980</v>
      </c>
      <c r="G4" s="4">
        <v>236</v>
      </c>
      <c r="H4" s="3">
        <v>45987</v>
      </c>
      <c r="I4" s="5">
        <v>14.16</v>
      </c>
      <c r="J4" s="2" t="s">
        <v>15</v>
      </c>
      <c r="K4" s="2" t="s">
        <v>524</v>
      </c>
      <c r="O4" s="16">
        <f t="shared" si="0"/>
        <v>45987</v>
      </c>
      <c r="P4" s="8">
        <f t="shared" si="1"/>
        <v>4.154929577464789</v>
      </c>
    </row>
    <row r="5" spans="1:18" outlineLevel="1" x14ac:dyDescent="0.3">
      <c r="A5" s="2" t="s">
        <v>10</v>
      </c>
      <c r="B5" s="2" t="s">
        <v>22</v>
      </c>
      <c r="C5" s="2" t="s">
        <v>23</v>
      </c>
      <c r="D5" s="2" t="s">
        <v>24</v>
      </c>
      <c r="E5" s="2" t="s">
        <v>14</v>
      </c>
      <c r="F5" s="3">
        <v>45981</v>
      </c>
      <c r="G5" s="4">
        <v>235</v>
      </c>
      <c r="H5" s="3">
        <v>45988</v>
      </c>
      <c r="I5" s="5">
        <v>28.32</v>
      </c>
      <c r="J5" s="2" t="s">
        <v>15</v>
      </c>
      <c r="K5" s="2" t="s">
        <v>524</v>
      </c>
      <c r="O5" s="16">
        <f t="shared" si="0"/>
        <v>45988</v>
      </c>
      <c r="P5" s="8">
        <f t="shared" si="1"/>
        <v>8.3098591549295779</v>
      </c>
    </row>
    <row r="6" spans="1:18" outlineLevel="1" x14ac:dyDescent="0.3">
      <c r="A6" s="2" t="s">
        <v>10</v>
      </c>
      <c r="B6" s="2" t="s">
        <v>25</v>
      </c>
      <c r="C6" s="2" t="s">
        <v>26</v>
      </c>
      <c r="D6" s="2" t="s">
        <v>27</v>
      </c>
      <c r="E6" s="2" t="s">
        <v>14</v>
      </c>
      <c r="F6" s="3">
        <v>45981</v>
      </c>
      <c r="G6" s="4">
        <v>235</v>
      </c>
      <c r="H6" s="3">
        <v>45988</v>
      </c>
      <c r="I6" s="5">
        <v>14.16</v>
      </c>
      <c r="J6" s="2" t="s">
        <v>15</v>
      </c>
      <c r="K6" s="2" t="s">
        <v>524</v>
      </c>
      <c r="O6" s="16">
        <f t="shared" si="0"/>
        <v>45988</v>
      </c>
      <c r="P6" s="8">
        <f t="shared" si="1"/>
        <v>4.154929577464789</v>
      </c>
    </row>
    <row r="7" spans="1:18" outlineLevel="1" x14ac:dyDescent="0.3">
      <c r="A7" s="2" t="s">
        <v>10</v>
      </c>
      <c r="B7" s="2" t="s">
        <v>28</v>
      </c>
      <c r="C7" s="2" t="s">
        <v>29</v>
      </c>
      <c r="D7" s="2" t="s">
        <v>30</v>
      </c>
      <c r="E7" s="2" t="s">
        <v>14</v>
      </c>
      <c r="F7" s="3">
        <v>45982</v>
      </c>
      <c r="G7" s="4">
        <v>234</v>
      </c>
      <c r="H7" s="3">
        <v>45989</v>
      </c>
      <c r="I7" s="5">
        <v>28.32</v>
      </c>
      <c r="J7" s="2" t="s">
        <v>15</v>
      </c>
      <c r="K7" s="2" t="s">
        <v>524</v>
      </c>
      <c r="O7" s="16">
        <f t="shared" si="0"/>
        <v>45989</v>
      </c>
      <c r="P7" s="8">
        <f t="shared" si="1"/>
        <v>8.3098591549295779</v>
      </c>
    </row>
    <row r="8" spans="1:18" outlineLevel="1" x14ac:dyDescent="0.3">
      <c r="A8" s="2" t="s">
        <v>10</v>
      </c>
      <c r="B8" s="2" t="s">
        <v>31</v>
      </c>
      <c r="C8" s="2" t="s">
        <v>32</v>
      </c>
      <c r="D8" s="2" t="s">
        <v>33</v>
      </c>
      <c r="E8" s="2" t="s">
        <v>14</v>
      </c>
      <c r="F8" s="3">
        <v>45982</v>
      </c>
      <c r="G8" s="4">
        <v>234</v>
      </c>
      <c r="H8" s="3">
        <v>45989</v>
      </c>
      <c r="I8" s="5">
        <v>42.48</v>
      </c>
      <c r="J8" s="2" t="s">
        <v>15</v>
      </c>
      <c r="K8" s="2" t="s">
        <v>524</v>
      </c>
      <c r="O8" s="16">
        <f t="shared" si="0"/>
        <v>45989</v>
      </c>
      <c r="P8" s="8">
        <f t="shared" si="1"/>
        <v>12.464788732394366</v>
      </c>
    </row>
    <row r="9" spans="1:18" outlineLevel="1" x14ac:dyDescent="0.3">
      <c r="A9" s="2" t="s">
        <v>10</v>
      </c>
      <c r="B9" s="2" t="s">
        <v>34</v>
      </c>
      <c r="C9" s="2" t="s">
        <v>35</v>
      </c>
      <c r="D9" s="2" t="s">
        <v>36</v>
      </c>
      <c r="E9" s="2" t="s">
        <v>14</v>
      </c>
      <c r="F9" s="3">
        <v>45982</v>
      </c>
      <c r="G9" s="4">
        <v>234</v>
      </c>
      <c r="H9" s="3">
        <v>45989</v>
      </c>
      <c r="I9" s="5">
        <v>42.48</v>
      </c>
      <c r="J9" s="2" t="s">
        <v>15</v>
      </c>
      <c r="K9" s="2" t="s">
        <v>524</v>
      </c>
      <c r="O9" s="16">
        <f t="shared" si="0"/>
        <v>45989</v>
      </c>
      <c r="P9" s="8">
        <f t="shared" si="1"/>
        <v>12.464788732394366</v>
      </c>
    </row>
    <row r="10" spans="1:18" outlineLevel="1" x14ac:dyDescent="0.3">
      <c r="A10" s="2" t="s">
        <v>10</v>
      </c>
      <c r="B10" s="2" t="s">
        <v>37</v>
      </c>
      <c r="C10" s="2" t="s">
        <v>38</v>
      </c>
      <c r="D10" s="2" t="s">
        <v>39</v>
      </c>
      <c r="E10" s="2" t="s">
        <v>14</v>
      </c>
      <c r="F10" s="3">
        <v>45982</v>
      </c>
      <c r="G10" s="4">
        <v>234</v>
      </c>
      <c r="H10" s="3">
        <v>45989</v>
      </c>
      <c r="I10" s="5">
        <v>14.16</v>
      </c>
      <c r="J10" s="2" t="s">
        <v>15</v>
      </c>
      <c r="K10" s="2" t="s">
        <v>524</v>
      </c>
      <c r="O10" s="16">
        <f t="shared" si="0"/>
        <v>45989</v>
      </c>
      <c r="P10" s="8">
        <f t="shared" si="1"/>
        <v>4.154929577464789</v>
      </c>
    </row>
    <row r="11" spans="1:18" outlineLevel="1" x14ac:dyDescent="0.3">
      <c r="A11" s="2" t="s">
        <v>10</v>
      </c>
      <c r="B11" s="2" t="s">
        <v>40</v>
      </c>
      <c r="C11" s="2" t="s">
        <v>41</v>
      </c>
      <c r="D11" s="2" t="s">
        <v>42</v>
      </c>
      <c r="E11" s="2" t="s">
        <v>14</v>
      </c>
      <c r="F11" s="3">
        <v>45983</v>
      </c>
      <c r="G11" s="4">
        <v>233</v>
      </c>
      <c r="H11" s="3">
        <v>45990</v>
      </c>
      <c r="I11" s="5">
        <v>28.32</v>
      </c>
      <c r="J11" s="2" t="s">
        <v>15</v>
      </c>
      <c r="K11" s="2" t="s">
        <v>524</v>
      </c>
      <c r="O11" s="16">
        <f t="shared" si="0"/>
        <v>45990</v>
      </c>
      <c r="P11" s="8">
        <f t="shared" si="1"/>
        <v>8.3098591549295779</v>
      </c>
    </row>
    <row r="12" spans="1:18" outlineLevel="1" x14ac:dyDescent="0.3">
      <c r="A12" s="2" t="s">
        <v>10</v>
      </c>
      <c r="B12" s="2" t="s">
        <v>43</v>
      </c>
      <c r="C12" s="2" t="s">
        <v>44</v>
      </c>
      <c r="D12" s="2" t="s">
        <v>45</v>
      </c>
      <c r="E12" s="2" t="s">
        <v>14</v>
      </c>
      <c r="F12" s="3">
        <v>45988</v>
      </c>
      <c r="G12" s="4">
        <v>228</v>
      </c>
      <c r="H12" s="3">
        <v>45995</v>
      </c>
      <c r="I12" s="5">
        <v>14.16</v>
      </c>
      <c r="J12" s="2" t="s">
        <v>15</v>
      </c>
      <c r="K12" s="2" t="s">
        <v>524</v>
      </c>
      <c r="O12" s="16">
        <f t="shared" si="0"/>
        <v>45995</v>
      </c>
      <c r="P12" s="8">
        <f t="shared" si="1"/>
        <v>4.154929577464789</v>
      </c>
    </row>
    <row r="13" spans="1:18" outlineLevel="1" x14ac:dyDescent="0.3">
      <c r="A13" s="2" t="s">
        <v>10</v>
      </c>
      <c r="B13" s="2" t="s">
        <v>46</v>
      </c>
      <c r="C13" s="2" t="s">
        <v>47</v>
      </c>
      <c r="D13" s="2" t="s">
        <v>48</v>
      </c>
      <c r="E13" s="2" t="s">
        <v>14</v>
      </c>
      <c r="F13" s="3">
        <v>46028</v>
      </c>
      <c r="G13" s="4">
        <v>188</v>
      </c>
      <c r="H13" s="3">
        <v>46035</v>
      </c>
      <c r="I13" s="5">
        <v>14.16</v>
      </c>
      <c r="J13" s="2" t="s">
        <v>15</v>
      </c>
      <c r="K13" s="2" t="s">
        <v>524</v>
      </c>
      <c r="O13" s="16">
        <f t="shared" si="0"/>
        <v>46035</v>
      </c>
      <c r="P13" s="8">
        <f t="shared" si="1"/>
        <v>4.154929577464789</v>
      </c>
    </row>
    <row r="14" spans="1:18" outlineLevel="1" x14ac:dyDescent="0.3">
      <c r="A14" s="2" t="s">
        <v>10</v>
      </c>
      <c r="B14" s="2" t="s">
        <v>49</v>
      </c>
      <c r="C14" s="2" t="s">
        <v>50</v>
      </c>
      <c r="D14" s="2" t="s">
        <v>51</v>
      </c>
      <c r="E14" s="2" t="s">
        <v>14</v>
      </c>
      <c r="F14" s="3">
        <v>46030</v>
      </c>
      <c r="G14" s="4">
        <v>186</v>
      </c>
      <c r="H14" s="3">
        <v>46037</v>
      </c>
      <c r="I14" s="5">
        <v>14.16</v>
      </c>
      <c r="J14" s="2" t="s">
        <v>15</v>
      </c>
      <c r="K14" s="2" t="s">
        <v>524</v>
      </c>
      <c r="O14" s="16">
        <f t="shared" si="0"/>
        <v>46037</v>
      </c>
      <c r="P14" s="8">
        <f t="shared" si="1"/>
        <v>4.154929577464789</v>
      </c>
    </row>
    <row r="15" spans="1:18" outlineLevel="1" x14ac:dyDescent="0.3">
      <c r="A15" s="2" t="s">
        <v>10</v>
      </c>
      <c r="B15" s="2" t="s">
        <v>52</v>
      </c>
      <c r="C15" s="2" t="s">
        <v>53</v>
      </c>
      <c r="D15" s="2" t="s">
        <v>54</v>
      </c>
      <c r="E15" s="2" t="s">
        <v>14</v>
      </c>
      <c r="F15" s="3">
        <v>46032</v>
      </c>
      <c r="G15" s="4">
        <v>184</v>
      </c>
      <c r="H15" s="3">
        <v>46039</v>
      </c>
      <c r="I15" s="5">
        <v>14.16</v>
      </c>
      <c r="J15" s="2" t="s">
        <v>15</v>
      </c>
      <c r="K15" s="2" t="s">
        <v>524</v>
      </c>
      <c r="O15" s="16">
        <f t="shared" si="0"/>
        <v>46039</v>
      </c>
      <c r="P15" s="8">
        <f t="shared" si="1"/>
        <v>4.154929577464789</v>
      </c>
    </row>
    <row r="16" spans="1:18" outlineLevel="1" x14ac:dyDescent="0.3">
      <c r="A16" s="2" t="s">
        <v>10</v>
      </c>
      <c r="B16" s="2" t="s">
        <v>55</v>
      </c>
      <c r="C16" s="2" t="s">
        <v>56</v>
      </c>
      <c r="D16" s="2" t="s">
        <v>57</v>
      </c>
      <c r="E16" s="2" t="s">
        <v>14</v>
      </c>
      <c r="F16" s="3">
        <v>46038</v>
      </c>
      <c r="G16" s="4">
        <v>178</v>
      </c>
      <c r="H16" s="3">
        <v>46045</v>
      </c>
      <c r="I16" s="5">
        <v>14.16</v>
      </c>
      <c r="J16" s="2" t="s">
        <v>15</v>
      </c>
      <c r="K16" s="2" t="s">
        <v>524</v>
      </c>
      <c r="O16" s="16">
        <f t="shared" si="0"/>
        <v>46045</v>
      </c>
      <c r="P16" s="8">
        <f t="shared" si="1"/>
        <v>4.154929577464789</v>
      </c>
    </row>
    <row r="17" spans="1:18" outlineLevel="1" x14ac:dyDescent="0.3">
      <c r="A17" s="2" t="s">
        <v>10</v>
      </c>
      <c r="B17" s="2" t="s">
        <v>58</v>
      </c>
      <c r="C17" s="2" t="s">
        <v>59</v>
      </c>
      <c r="D17" s="2" t="s">
        <v>60</v>
      </c>
      <c r="E17" s="2" t="s">
        <v>14</v>
      </c>
      <c r="F17" s="3">
        <v>46038</v>
      </c>
      <c r="G17" s="4">
        <v>178</v>
      </c>
      <c r="H17" s="3">
        <v>46045</v>
      </c>
      <c r="I17" s="5">
        <v>14.16</v>
      </c>
      <c r="J17" s="2" t="s">
        <v>15</v>
      </c>
      <c r="K17" s="2" t="s">
        <v>524</v>
      </c>
      <c r="O17" s="16">
        <f t="shared" si="0"/>
        <v>46045</v>
      </c>
      <c r="P17" s="8">
        <f t="shared" si="1"/>
        <v>4.154929577464789</v>
      </c>
    </row>
    <row r="18" spans="1:18" outlineLevel="1" x14ac:dyDescent="0.3">
      <c r="A18" s="2" t="s">
        <v>10</v>
      </c>
      <c r="B18" s="2" t="s">
        <v>61</v>
      </c>
      <c r="C18" s="2" t="s">
        <v>62</v>
      </c>
      <c r="D18" s="2" t="s">
        <v>63</v>
      </c>
      <c r="E18" s="2" t="s">
        <v>14</v>
      </c>
      <c r="F18" s="3">
        <v>46041</v>
      </c>
      <c r="G18" s="4">
        <v>175</v>
      </c>
      <c r="H18" s="3">
        <v>46048</v>
      </c>
      <c r="I18" s="5">
        <v>14.16</v>
      </c>
      <c r="J18" s="2" t="s">
        <v>15</v>
      </c>
      <c r="K18" s="2" t="s">
        <v>524</v>
      </c>
      <c r="O18" s="16">
        <f t="shared" si="0"/>
        <v>46048</v>
      </c>
      <c r="P18" s="8">
        <f t="shared" si="1"/>
        <v>4.154929577464789</v>
      </c>
    </row>
    <row r="19" spans="1:18" outlineLevel="1" x14ac:dyDescent="0.3">
      <c r="A19" s="2" t="s">
        <v>65</v>
      </c>
      <c r="B19" s="2" t="s">
        <v>71</v>
      </c>
      <c r="C19" s="2" t="s">
        <v>72</v>
      </c>
      <c r="D19" s="2" t="s">
        <v>73</v>
      </c>
      <c r="E19" s="2" t="s">
        <v>64</v>
      </c>
      <c r="F19" s="3">
        <v>46171</v>
      </c>
      <c r="G19" s="4">
        <v>52</v>
      </c>
      <c r="H19" s="3">
        <v>46171</v>
      </c>
      <c r="I19" s="5">
        <v>336990</v>
      </c>
      <c r="J19" s="2" t="s">
        <v>68</v>
      </c>
      <c r="K19" s="2" t="s">
        <v>528</v>
      </c>
      <c r="L19" s="16">
        <f t="shared" ref="L19:L20" si="2">F19+60</f>
        <v>46231</v>
      </c>
      <c r="M19" s="17">
        <f t="shared" ref="M19:M20" ca="1" si="3">TODAY()-N19</f>
        <v>-21</v>
      </c>
      <c r="N19" s="16">
        <v>46244</v>
      </c>
      <c r="O19" s="16">
        <v>46244</v>
      </c>
      <c r="P19" s="9">
        <f t="shared" ref="P19:P20" si="4">I19</f>
        <v>336990</v>
      </c>
      <c r="Q19" s="17">
        <f t="shared" ref="Q19:Q20" ca="1" si="5">TODAY()-F19</f>
        <v>52</v>
      </c>
      <c r="R19" t="s">
        <v>540</v>
      </c>
    </row>
    <row r="20" spans="1:18" outlineLevel="1" x14ac:dyDescent="0.3">
      <c r="A20" s="2" t="s">
        <v>65</v>
      </c>
      <c r="B20" s="2" t="s">
        <v>74</v>
      </c>
      <c r="C20" s="2" t="s">
        <v>75</v>
      </c>
      <c r="D20" s="2" t="s">
        <v>76</v>
      </c>
      <c r="E20" s="2" t="s">
        <v>64</v>
      </c>
      <c r="F20" s="3">
        <v>46203</v>
      </c>
      <c r="G20" s="4">
        <v>20</v>
      </c>
      <c r="H20" s="3">
        <v>46203</v>
      </c>
      <c r="I20" s="5">
        <v>218730</v>
      </c>
      <c r="J20" s="2" t="s">
        <v>68</v>
      </c>
      <c r="K20" s="2" t="s">
        <v>528</v>
      </c>
      <c r="L20" s="16">
        <f t="shared" si="2"/>
        <v>46263</v>
      </c>
      <c r="M20" s="17">
        <f t="shared" ca="1" si="3"/>
        <v>-40</v>
      </c>
      <c r="N20" s="16">
        <v>46263</v>
      </c>
      <c r="O20" s="16">
        <v>46263</v>
      </c>
      <c r="P20" s="9">
        <f t="shared" si="4"/>
        <v>218730</v>
      </c>
      <c r="Q20" s="17">
        <f t="shared" ca="1" si="5"/>
        <v>20</v>
      </c>
      <c r="R20" t="s">
        <v>539</v>
      </c>
    </row>
    <row r="21" spans="1:18" outlineLevel="1" x14ac:dyDescent="0.3">
      <c r="A21" s="2" t="s">
        <v>77</v>
      </c>
      <c r="B21" s="2" t="s">
        <v>78</v>
      </c>
      <c r="C21" s="2" t="s">
        <v>79</v>
      </c>
      <c r="D21" s="2" t="s">
        <v>80</v>
      </c>
      <c r="E21" s="2" t="s">
        <v>81</v>
      </c>
      <c r="F21" s="3">
        <v>46159</v>
      </c>
      <c r="G21" s="4">
        <v>57</v>
      </c>
      <c r="H21" s="3">
        <v>46166</v>
      </c>
      <c r="I21" s="5">
        <v>365.8</v>
      </c>
      <c r="J21" s="2" t="s">
        <v>15</v>
      </c>
      <c r="K21" s="2" t="s">
        <v>524</v>
      </c>
      <c r="N21" s="16"/>
      <c r="O21" s="16">
        <f t="shared" ref="O21:O25" si="6">H21</f>
        <v>46166</v>
      </c>
      <c r="P21" s="8">
        <f t="shared" ref="P21:P25" si="7">I21/3.408</f>
        <v>107.33568075117371</v>
      </c>
    </row>
    <row r="22" spans="1:18" outlineLevel="1" x14ac:dyDescent="0.3">
      <c r="A22" s="2" t="s">
        <v>77</v>
      </c>
      <c r="B22" s="2" t="s">
        <v>82</v>
      </c>
      <c r="C22" s="2" t="s">
        <v>83</v>
      </c>
      <c r="D22" s="2" t="s">
        <v>84</v>
      </c>
      <c r="E22" s="2" t="s">
        <v>81</v>
      </c>
      <c r="F22" s="3">
        <v>46159</v>
      </c>
      <c r="G22" s="4">
        <v>57</v>
      </c>
      <c r="H22" s="3">
        <v>46166</v>
      </c>
      <c r="I22" s="5">
        <v>47.2</v>
      </c>
      <c r="J22" s="2" t="s">
        <v>15</v>
      </c>
      <c r="K22" s="2" t="s">
        <v>524</v>
      </c>
      <c r="N22" s="16"/>
      <c r="O22" s="16">
        <f t="shared" si="6"/>
        <v>46166</v>
      </c>
      <c r="P22" s="8">
        <f t="shared" si="7"/>
        <v>13.849765258215964</v>
      </c>
    </row>
    <row r="23" spans="1:18" outlineLevel="1" x14ac:dyDescent="0.3">
      <c r="A23" s="2" t="s">
        <v>77</v>
      </c>
      <c r="B23" s="2" t="s">
        <v>85</v>
      </c>
      <c r="C23" s="2" t="s">
        <v>86</v>
      </c>
      <c r="D23" s="2" t="s">
        <v>87</v>
      </c>
      <c r="E23" s="2" t="s">
        <v>81</v>
      </c>
      <c r="F23" s="3">
        <v>46201</v>
      </c>
      <c r="G23" s="4">
        <v>15</v>
      </c>
      <c r="H23" s="3">
        <v>46208</v>
      </c>
      <c r="I23" s="5">
        <v>820.1</v>
      </c>
      <c r="J23" s="2" t="s">
        <v>15</v>
      </c>
      <c r="K23" s="2" t="s">
        <v>524</v>
      </c>
      <c r="N23" s="16"/>
      <c r="O23" s="16">
        <f t="shared" si="6"/>
        <v>46208</v>
      </c>
      <c r="P23" s="8">
        <f t="shared" si="7"/>
        <v>240.63967136150237</v>
      </c>
    </row>
    <row r="24" spans="1:18" outlineLevel="1" x14ac:dyDescent="0.3">
      <c r="A24" s="2" t="s">
        <v>77</v>
      </c>
      <c r="B24" s="2" t="s">
        <v>88</v>
      </c>
      <c r="C24" s="2" t="s">
        <v>89</v>
      </c>
      <c r="D24" s="2" t="s">
        <v>90</v>
      </c>
      <c r="E24" s="2" t="s">
        <v>81</v>
      </c>
      <c r="F24" s="3">
        <v>46201</v>
      </c>
      <c r="G24" s="4">
        <v>15</v>
      </c>
      <c r="H24" s="3">
        <v>46208</v>
      </c>
      <c r="I24" s="5">
        <v>70.8</v>
      </c>
      <c r="J24" s="2" t="s">
        <v>15</v>
      </c>
      <c r="K24" s="2" t="s">
        <v>524</v>
      </c>
      <c r="N24" s="16"/>
      <c r="O24" s="16">
        <f t="shared" si="6"/>
        <v>46208</v>
      </c>
      <c r="P24" s="8">
        <f t="shared" si="7"/>
        <v>20.774647887323944</v>
      </c>
    </row>
    <row r="25" spans="1:18" outlineLevel="1" x14ac:dyDescent="0.3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14</v>
      </c>
      <c r="F25" s="3">
        <v>46210</v>
      </c>
      <c r="G25" s="4">
        <v>6</v>
      </c>
      <c r="H25" s="3">
        <v>46217</v>
      </c>
      <c r="I25" s="5">
        <v>283.2</v>
      </c>
      <c r="J25" s="2" t="s">
        <v>15</v>
      </c>
      <c r="K25" s="2" t="s">
        <v>524</v>
      </c>
      <c r="N25" s="16"/>
      <c r="O25" s="16">
        <f t="shared" si="6"/>
        <v>46217</v>
      </c>
      <c r="P25" s="8">
        <f t="shared" si="7"/>
        <v>83.098591549295776</v>
      </c>
    </row>
    <row r="26" spans="1:18" outlineLevel="1" x14ac:dyDescent="0.3">
      <c r="A26" s="2" t="s">
        <v>97</v>
      </c>
      <c r="B26" s="2" t="s">
        <v>98</v>
      </c>
      <c r="C26" s="2" t="s">
        <v>99</v>
      </c>
      <c r="D26" s="2" t="s">
        <v>100</v>
      </c>
      <c r="E26" s="2" t="s">
        <v>81</v>
      </c>
      <c r="F26" s="3">
        <v>46220</v>
      </c>
      <c r="G26" s="7">
        <v>-4</v>
      </c>
      <c r="H26" s="3">
        <v>46227</v>
      </c>
      <c r="I26" s="5">
        <v>398.84</v>
      </c>
      <c r="J26" s="2" t="s">
        <v>15</v>
      </c>
      <c r="K26" s="2" t="s">
        <v>524</v>
      </c>
      <c r="N26" s="16"/>
      <c r="O26" s="16">
        <f t="shared" ref="O26:O31" si="8">H26</f>
        <v>46227</v>
      </c>
      <c r="P26" s="8">
        <f t="shared" ref="P26:P27" si="9">I26/3.408</f>
        <v>117.03051643192488</v>
      </c>
    </row>
    <row r="27" spans="1:18" outlineLevel="1" x14ac:dyDescent="0.3">
      <c r="A27" s="2" t="s">
        <v>97</v>
      </c>
      <c r="B27" s="2" t="s">
        <v>101</v>
      </c>
      <c r="C27" s="2" t="s">
        <v>102</v>
      </c>
      <c r="D27" s="2" t="s">
        <v>103</v>
      </c>
      <c r="E27" s="2" t="s">
        <v>81</v>
      </c>
      <c r="F27" s="3">
        <v>46220</v>
      </c>
      <c r="G27" s="7">
        <v>-4</v>
      </c>
      <c r="H27" s="3">
        <v>46227</v>
      </c>
      <c r="I27" s="5">
        <v>47.2</v>
      </c>
      <c r="J27" s="2" t="s">
        <v>15</v>
      </c>
      <c r="K27" s="2" t="s">
        <v>524</v>
      </c>
      <c r="N27" s="16"/>
      <c r="O27" s="16">
        <f t="shared" si="8"/>
        <v>46227</v>
      </c>
      <c r="P27" s="8">
        <f t="shared" si="9"/>
        <v>13.849765258215964</v>
      </c>
    </row>
    <row r="28" spans="1:18" outlineLevel="1" x14ac:dyDescent="0.3">
      <c r="A28" s="2" t="s">
        <v>108</v>
      </c>
      <c r="B28" s="2" t="s">
        <v>109</v>
      </c>
      <c r="C28" s="2" t="s">
        <v>110</v>
      </c>
      <c r="D28" s="2" t="s">
        <v>111</v>
      </c>
      <c r="E28" s="2" t="s">
        <v>96</v>
      </c>
      <c r="F28" s="3">
        <v>46204</v>
      </c>
      <c r="G28" s="4">
        <v>0</v>
      </c>
      <c r="H28" s="3">
        <v>46234</v>
      </c>
      <c r="I28" s="6">
        <v>-14712</v>
      </c>
      <c r="J28" s="2" t="s">
        <v>68</v>
      </c>
      <c r="K28" s="2" t="s">
        <v>528</v>
      </c>
      <c r="L28" s="16">
        <f t="shared" ref="L28:L31" si="10">F28+60</f>
        <v>46264</v>
      </c>
      <c r="M28" s="17"/>
      <c r="N28" s="16"/>
      <c r="O28" s="16">
        <f t="shared" ref="O28:O29" si="11">F28</f>
        <v>46204</v>
      </c>
      <c r="P28" s="9">
        <f t="shared" ref="P28:P31" si="12">I28</f>
        <v>-14712</v>
      </c>
      <c r="Q28" s="17">
        <f t="shared" ref="Q28:Q31" ca="1" si="13">TODAY()-F28</f>
        <v>19</v>
      </c>
      <c r="R28" t="s">
        <v>539</v>
      </c>
    </row>
    <row r="29" spans="1:18" outlineLevel="1" x14ac:dyDescent="0.3">
      <c r="A29" s="2" t="s">
        <v>108</v>
      </c>
      <c r="B29" s="2" t="s">
        <v>112</v>
      </c>
      <c r="C29" s="2" t="s">
        <v>113</v>
      </c>
      <c r="D29" s="2" t="s">
        <v>114</v>
      </c>
      <c r="E29" s="2" t="s">
        <v>96</v>
      </c>
      <c r="F29" s="3">
        <v>46218</v>
      </c>
      <c r="G29" s="4">
        <v>0</v>
      </c>
      <c r="H29" s="3">
        <v>46234</v>
      </c>
      <c r="I29" s="6">
        <v>-14442</v>
      </c>
      <c r="J29" s="2" t="s">
        <v>68</v>
      </c>
      <c r="K29" s="2" t="s">
        <v>528</v>
      </c>
      <c r="L29" s="16">
        <f t="shared" si="10"/>
        <v>46278</v>
      </c>
      <c r="M29" s="17"/>
      <c r="N29" s="16"/>
      <c r="O29" s="16">
        <f t="shared" si="11"/>
        <v>46218</v>
      </c>
      <c r="P29" s="9">
        <f t="shared" si="12"/>
        <v>-14442</v>
      </c>
      <c r="Q29" s="17">
        <f t="shared" ca="1" si="13"/>
        <v>5</v>
      </c>
      <c r="R29" t="s">
        <v>539</v>
      </c>
    </row>
    <row r="30" spans="1:18" outlineLevel="1" x14ac:dyDescent="0.3">
      <c r="A30" s="2" t="s">
        <v>115</v>
      </c>
      <c r="B30" s="2" t="s">
        <v>116</v>
      </c>
      <c r="C30" s="2" t="s">
        <v>117</v>
      </c>
      <c r="D30" s="2" t="s">
        <v>118</v>
      </c>
      <c r="E30" s="2" t="s">
        <v>14</v>
      </c>
      <c r="F30" s="3">
        <v>46209</v>
      </c>
      <c r="G30" s="4">
        <v>7</v>
      </c>
      <c r="H30" s="3">
        <v>46216</v>
      </c>
      <c r="I30" s="5">
        <v>8692.67</v>
      </c>
      <c r="J30" s="2" t="s">
        <v>68</v>
      </c>
      <c r="K30" s="2" t="s">
        <v>524</v>
      </c>
      <c r="L30" s="16">
        <f t="shared" si="10"/>
        <v>46269</v>
      </c>
      <c r="M30" s="17">
        <f t="shared" ref="M30:M31" ca="1" si="14">TODAY()-N30</f>
        <v>46223</v>
      </c>
      <c r="N30" s="16"/>
      <c r="O30" s="16">
        <f t="shared" si="8"/>
        <v>46216</v>
      </c>
      <c r="P30" s="9">
        <f t="shared" si="12"/>
        <v>8692.67</v>
      </c>
      <c r="Q30" s="17">
        <f t="shared" ca="1" si="13"/>
        <v>14</v>
      </c>
      <c r="R30" t="s">
        <v>539</v>
      </c>
    </row>
    <row r="31" spans="1:18" outlineLevel="1" x14ac:dyDescent="0.3">
      <c r="A31" s="2" t="s">
        <v>115</v>
      </c>
      <c r="B31" s="2" t="s">
        <v>119</v>
      </c>
      <c r="C31" s="2" t="s">
        <v>120</v>
      </c>
      <c r="D31" s="2" t="s">
        <v>121</v>
      </c>
      <c r="E31" s="2" t="s">
        <v>14</v>
      </c>
      <c r="F31" s="3">
        <v>46209</v>
      </c>
      <c r="G31" s="4">
        <v>7</v>
      </c>
      <c r="H31" s="3">
        <v>46216</v>
      </c>
      <c r="I31" s="5">
        <v>3596.64</v>
      </c>
      <c r="J31" s="2" t="s">
        <v>68</v>
      </c>
      <c r="K31" s="2" t="s">
        <v>524</v>
      </c>
      <c r="L31" s="16">
        <f t="shared" si="10"/>
        <v>46269</v>
      </c>
      <c r="M31" s="17">
        <f t="shared" ca="1" si="14"/>
        <v>46223</v>
      </c>
      <c r="N31" s="16"/>
      <c r="O31" s="16">
        <f t="shared" si="8"/>
        <v>46216</v>
      </c>
      <c r="P31" s="9">
        <f t="shared" si="12"/>
        <v>3596.64</v>
      </c>
      <c r="Q31" s="17">
        <f t="shared" ca="1" si="13"/>
        <v>14</v>
      </c>
      <c r="R31" t="s">
        <v>539</v>
      </c>
    </row>
    <row r="32" spans="1:18" outlineLevel="1" x14ac:dyDescent="0.3">
      <c r="A32" s="2" t="s">
        <v>122</v>
      </c>
      <c r="B32" s="2" t="s">
        <v>123</v>
      </c>
      <c r="C32" s="2" t="s">
        <v>124</v>
      </c>
      <c r="D32" s="2" t="s">
        <v>125</v>
      </c>
      <c r="E32" s="2" t="s">
        <v>14</v>
      </c>
      <c r="F32" s="3">
        <v>46209</v>
      </c>
      <c r="G32" s="4">
        <v>7</v>
      </c>
      <c r="H32" s="3">
        <v>46216</v>
      </c>
      <c r="I32" s="5">
        <v>773.61</v>
      </c>
      <c r="J32" s="2" t="s">
        <v>15</v>
      </c>
      <c r="K32" s="2" t="s">
        <v>524</v>
      </c>
      <c r="N32" s="16"/>
      <c r="O32" s="16">
        <f t="shared" ref="O32:O92" si="15">H32</f>
        <v>46216</v>
      </c>
      <c r="P32" s="8">
        <f t="shared" ref="P32:P79" si="16">I32/3.408</f>
        <v>226.99823943661974</v>
      </c>
    </row>
    <row r="33" spans="1:16" outlineLevel="1" x14ac:dyDescent="0.3">
      <c r="A33" s="2" t="s">
        <v>122</v>
      </c>
      <c r="B33" s="2" t="s">
        <v>126</v>
      </c>
      <c r="C33" s="2" t="s">
        <v>127</v>
      </c>
      <c r="D33" s="2" t="s">
        <v>128</v>
      </c>
      <c r="E33" s="2" t="s">
        <v>14</v>
      </c>
      <c r="F33" s="3">
        <v>46209</v>
      </c>
      <c r="G33" s="4">
        <v>7</v>
      </c>
      <c r="H33" s="3">
        <v>46216</v>
      </c>
      <c r="I33" s="5">
        <v>70.8</v>
      </c>
      <c r="J33" s="2" t="s">
        <v>15</v>
      </c>
      <c r="K33" s="2" t="s">
        <v>524</v>
      </c>
      <c r="N33" s="16"/>
      <c r="O33" s="16">
        <f t="shared" si="15"/>
        <v>46216</v>
      </c>
      <c r="P33" s="8">
        <f t="shared" si="16"/>
        <v>20.774647887323944</v>
      </c>
    </row>
    <row r="34" spans="1:16" outlineLevel="1" x14ac:dyDescent="0.3">
      <c r="A34" s="2" t="s">
        <v>122</v>
      </c>
      <c r="B34" s="2" t="s">
        <v>129</v>
      </c>
      <c r="C34" s="2" t="s">
        <v>130</v>
      </c>
      <c r="D34" s="2" t="s">
        <v>131</v>
      </c>
      <c r="E34" s="2" t="s">
        <v>14</v>
      </c>
      <c r="F34" s="3">
        <v>46209</v>
      </c>
      <c r="G34" s="4">
        <v>7</v>
      </c>
      <c r="H34" s="3">
        <v>46216</v>
      </c>
      <c r="I34" s="5">
        <v>428.1</v>
      </c>
      <c r="J34" s="2" t="s">
        <v>15</v>
      </c>
      <c r="K34" s="2" t="s">
        <v>524</v>
      </c>
      <c r="N34" s="16"/>
      <c r="O34" s="16">
        <f t="shared" si="15"/>
        <v>46216</v>
      </c>
      <c r="P34" s="8">
        <f t="shared" si="16"/>
        <v>125.61619718309861</v>
      </c>
    </row>
    <row r="35" spans="1:16" outlineLevel="1" x14ac:dyDescent="0.3">
      <c r="A35" s="2" t="s">
        <v>122</v>
      </c>
      <c r="B35" s="2" t="s">
        <v>132</v>
      </c>
      <c r="C35" s="2" t="s">
        <v>133</v>
      </c>
      <c r="D35" s="2" t="s">
        <v>134</v>
      </c>
      <c r="E35" s="2" t="s">
        <v>14</v>
      </c>
      <c r="F35" s="3">
        <v>46209</v>
      </c>
      <c r="G35" s="4">
        <v>7</v>
      </c>
      <c r="H35" s="3">
        <v>46216</v>
      </c>
      <c r="I35" s="5">
        <v>35.4</v>
      </c>
      <c r="J35" s="2" t="s">
        <v>15</v>
      </c>
      <c r="K35" s="2" t="s">
        <v>524</v>
      </c>
      <c r="N35" s="16"/>
      <c r="O35" s="16">
        <f t="shared" si="15"/>
        <v>46216</v>
      </c>
      <c r="P35" s="8">
        <f t="shared" si="16"/>
        <v>10.387323943661972</v>
      </c>
    </row>
    <row r="36" spans="1:16" outlineLevel="1" x14ac:dyDescent="0.3">
      <c r="A36" s="2" t="s">
        <v>122</v>
      </c>
      <c r="B36" s="2" t="s">
        <v>135</v>
      </c>
      <c r="C36" s="2" t="s">
        <v>136</v>
      </c>
      <c r="D36" s="2" t="s">
        <v>137</v>
      </c>
      <c r="E36" s="2" t="s">
        <v>14</v>
      </c>
      <c r="F36" s="3">
        <v>46209</v>
      </c>
      <c r="G36" s="4">
        <v>7</v>
      </c>
      <c r="H36" s="3">
        <v>46216</v>
      </c>
      <c r="I36" s="5">
        <v>202.49</v>
      </c>
      <c r="J36" s="2" t="s">
        <v>15</v>
      </c>
      <c r="K36" s="2" t="s">
        <v>524</v>
      </c>
      <c r="N36" s="16"/>
      <c r="O36" s="16">
        <f t="shared" si="15"/>
        <v>46216</v>
      </c>
      <c r="P36" s="8">
        <f t="shared" si="16"/>
        <v>59.416079812206576</v>
      </c>
    </row>
    <row r="37" spans="1:16" outlineLevel="1" x14ac:dyDescent="0.3">
      <c r="A37" s="2" t="s">
        <v>122</v>
      </c>
      <c r="B37" s="2" t="s">
        <v>138</v>
      </c>
      <c r="C37" s="2" t="s">
        <v>139</v>
      </c>
      <c r="D37" s="2" t="s">
        <v>140</v>
      </c>
      <c r="E37" s="2" t="s">
        <v>14</v>
      </c>
      <c r="F37" s="3">
        <v>46209</v>
      </c>
      <c r="G37" s="4">
        <v>7</v>
      </c>
      <c r="H37" s="3">
        <v>46216</v>
      </c>
      <c r="I37" s="5">
        <v>70.8</v>
      </c>
      <c r="J37" s="2" t="s">
        <v>15</v>
      </c>
      <c r="K37" s="2" t="s">
        <v>524</v>
      </c>
      <c r="N37" s="16"/>
      <c r="O37" s="16">
        <f t="shared" si="15"/>
        <v>46216</v>
      </c>
      <c r="P37" s="8">
        <f t="shared" si="16"/>
        <v>20.774647887323944</v>
      </c>
    </row>
    <row r="38" spans="1:16" outlineLevel="1" x14ac:dyDescent="0.3">
      <c r="A38" s="2" t="s">
        <v>122</v>
      </c>
      <c r="B38" s="2" t="s">
        <v>141</v>
      </c>
      <c r="C38" s="2" t="s">
        <v>142</v>
      </c>
      <c r="D38" s="2" t="s">
        <v>143</v>
      </c>
      <c r="E38" s="2" t="s">
        <v>14</v>
      </c>
      <c r="F38" s="3">
        <v>46209</v>
      </c>
      <c r="G38" s="4">
        <v>7</v>
      </c>
      <c r="H38" s="3">
        <v>46216</v>
      </c>
      <c r="I38" s="5">
        <v>571.59</v>
      </c>
      <c r="J38" s="2" t="s">
        <v>15</v>
      </c>
      <c r="K38" s="2" t="s">
        <v>524</v>
      </c>
      <c r="N38" s="16"/>
      <c r="O38" s="16">
        <f t="shared" si="15"/>
        <v>46216</v>
      </c>
      <c r="P38" s="8">
        <f t="shared" si="16"/>
        <v>167.72007042253523</v>
      </c>
    </row>
    <row r="39" spans="1:16" outlineLevel="1" x14ac:dyDescent="0.3">
      <c r="A39" s="2" t="s">
        <v>122</v>
      </c>
      <c r="B39" s="2" t="s">
        <v>144</v>
      </c>
      <c r="C39" s="2" t="s">
        <v>145</v>
      </c>
      <c r="D39" s="2" t="s">
        <v>146</v>
      </c>
      <c r="E39" s="2" t="s">
        <v>14</v>
      </c>
      <c r="F39" s="3">
        <v>46209</v>
      </c>
      <c r="G39" s="4">
        <v>7</v>
      </c>
      <c r="H39" s="3">
        <v>46216</v>
      </c>
      <c r="I39" s="5">
        <v>159.30000000000001</v>
      </c>
      <c r="J39" s="2" t="s">
        <v>15</v>
      </c>
      <c r="K39" s="2" t="s">
        <v>524</v>
      </c>
      <c r="N39" s="16"/>
      <c r="O39" s="16">
        <f t="shared" si="15"/>
        <v>46216</v>
      </c>
      <c r="P39" s="8">
        <f t="shared" si="16"/>
        <v>46.742957746478879</v>
      </c>
    </row>
    <row r="40" spans="1:16" outlineLevel="1" x14ac:dyDescent="0.3">
      <c r="A40" s="2" t="s">
        <v>122</v>
      </c>
      <c r="B40" s="2" t="s">
        <v>147</v>
      </c>
      <c r="C40" s="2" t="s">
        <v>148</v>
      </c>
      <c r="D40" s="2" t="s">
        <v>149</v>
      </c>
      <c r="E40" s="2" t="s">
        <v>14</v>
      </c>
      <c r="F40" s="3">
        <v>46210</v>
      </c>
      <c r="G40" s="4">
        <v>6</v>
      </c>
      <c r="H40" s="3">
        <v>46217</v>
      </c>
      <c r="I40" s="5">
        <v>427.16</v>
      </c>
      <c r="J40" s="2" t="s">
        <v>15</v>
      </c>
      <c r="K40" s="2" t="s">
        <v>524</v>
      </c>
      <c r="N40" s="16"/>
      <c r="O40" s="16">
        <f t="shared" si="15"/>
        <v>46217</v>
      </c>
      <c r="P40" s="8">
        <f t="shared" si="16"/>
        <v>125.34037558685446</v>
      </c>
    </row>
    <row r="41" spans="1:16" outlineLevel="1" x14ac:dyDescent="0.3">
      <c r="A41" s="2" t="s">
        <v>122</v>
      </c>
      <c r="B41" s="2" t="s">
        <v>150</v>
      </c>
      <c r="C41" s="2" t="s">
        <v>151</v>
      </c>
      <c r="D41" s="2" t="s">
        <v>152</v>
      </c>
      <c r="E41" s="2" t="s">
        <v>14</v>
      </c>
      <c r="F41" s="3">
        <v>46210</v>
      </c>
      <c r="G41" s="4">
        <v>6</v>
      </c>
      <c r="H41" s="3">
        <v>46217</v>
      </c>
      <c r="I41" s="5">
        <v>70.8</v>
      </c>
      <c r="J41" s="2" t="s">
        <v>15</v>
      </c>
      <c r="K41" s="2" t="s">
        <v>524</v>
      </c>
      <c r="N41" s="16"/>
      <c r="O41" s="16">
        <f t="shared" si="15"/>
        <v>46217</v>
      </c>
      <c r="P41" s="8">
        <f t="shared" si="16"/>
        <v>20.774647887323944</v>
      </c>
    </row>
    <row r="42" spans="1:16" outlineLevel="1" x14ac:dyDescent="0.3">
      <c r="A42" s="2" t="s">
        <v>122</v>
      </c>
      <c r="B42" s="2" t="s">
        <v>153</v>
      </c>
      <c r="C42" s="2" t="s">
        <v>154</v>
      </c>
      <c r="D42" s="2" t="s">
        <v>155</v>
      </c>
      <c r="E42" s="2" t="s">
        <v>14</v>
      </c>
      <c r="F42" s="3">
        <v>46211</v>
      </c>
      <c r="G42" s="4">
        <v>5</v>
      </c>
      <c r="H42" s="3">
        <v>46218</v>
      </c>
      <c r="I42" s="5">
        <v>359.43</v>
      </c>
      <c r="J42" s="2" t="s">
        <v>15</v>
      </c>
      <c r="K42" s="2" t="s">
        <v>524</v>
      </c>
      <c r="N42" s="16"/>
      <c r="O42" s="16">
        <f t="shared" si="15"/>
        <v>46218</v>
      </c>
      <c r="P42" s="8">
        <f t="shared" si="16"/>
        <v>105.46654929577466</v>
      </c>
    </row>
    <row r="43" spans="1:16" outlineLevel="1" x14ac:dyDescent="0.3">
      <c r="A43" s="2" t="s">
        <v>122</v>
      </c>
      <c r="B43" s="2" t="s">
        <v>156</v>
      </c>
      <c r="C43" s="2" t="s">
        <v>157</v>
      </c>
      <c r="D43" s="2" t="s">
        <v>158</v>
      </c>
      <c r="E43" s="2" t="s">
        <v>14</v>
      </c>
      <c r="F43" s="3">
        <v>46211</v>
      </c>
      <c r="G43" s="4">
        <v>5</v>
      </c>
      <c r="H43" s="3">
        <v>46218</v>
      </c>
      <c r="I43" s="5">
        <v>47.2</v>
      </c>
      <c r="J43" s="2" t="s">
        <v>15</v>
      </c>
      <c r="K43" s="2" t="s">
        <v>524</v>
      </c>
      <c r="N43" s="16"/>
      <c r="O43" s="16">
        <f t="shared" si="15"/>
        <v>46218</v>
      </c>
      <c r="P43" s="8">
        <f t="shared" si="16"/>
        <v>13.849765258215964</v>
      </c>
    </row>
    <row r="44" spans="1:16" outlineLevel="1" x14ac:dyDescent="0.3">
      <c r="A44" s="2" t="s">
        <v>122</v>
      </c>
      <c r="B44" s="2" t="s">
        <v>159</v>
      </c>
      <c r="C44" s="2" t="s">
        <v>160</v>
      </c>
      <c r="D44" s="2" t="s">
        <v>161</v>
      </c>
      <c r="E44" s="2" t="s">
        <v>14</v>
      </c>
      <c r="F44" s="3">
        <v>46212</v>
      </c>
      <c r="G44" s="4">
        <v>4</v>
      </c>
      <c r="H44" s="3">
        <v>46219</v>
      </c>
      <c r="I44" s="5">
        <v>344.8</v>
      </c>
      <c r="J44" s="2" t="s">
        <v>15</v>
      </c>
      <c r="K44" s="2" t="s">
        <v>524</v>
      </c>
      <c r="N44" s="16"/>
      <c r="O44" s="16">
        <f t="shared" si="15"/>
        <v>46219</v>
      </c>
      <c r="P44" s="8">
        <f t="shared" si="16"/>
        <v>101.17370892018779</v>
      </c>
    </row>
    <row r="45" spans="1:16" outlineLevel="1" x14ac:dyDescent="0.3">
      <c r="A45" s="2" t="s">
        <v>122</v>
      </c>
      <c r="B45" s="2" t="s">
        <v>162</v>
      </c>
      <c r="C45" s="2" t="s">
        <v>163</v>
      </c>
      <c r="D45" s="2" t="s">
        <v>164</v>
      </c>
      <c r="E45" s="2" t="s">
        <v>14</v>
      </c>
      <c r="F45" s="3">
        <v>46212</v>
      </c>
      <c r="G45" s="4">
        <v>4</v>
      </c>
      <c r="H45" s="3">
        <v>46219</v>
      </c>
      <c r="I45" s="5">
        <v>47.2</v>
      </c>
      <c r="J45" s="2" t="s">
        <v>15</v>
      </c>
      <c r="K45" s="2" t="s">
        <v>524</v>
      </c>
      <c r="N45" s="16"/>
      <c r="O45" s="16">
        <f t="shared" si="15"/>
        <v>46219</v>
      </c>
      <c r="P45" s="8">
        <f t="shared" si="16"/>
        <v>13.849765258215964</v>
      </c>
    </row>
    <row r="46" spans="1:16" outlineLevel="1" x14ac:dyDescent="0.3">
      <c r="A46" s="2" t="s">
        <v>122</v>
      </c>
      <c r="B46" s="2" t="s">
        <v>165</v>
      </c>
      <c r="C46" s="2" t="s">
        <v>166</v>
      </c>
      <c r="D46" s="2" t="s">
        <v>167</v>
      </c>
      <c r="E46" s="2" t="s">
        <v>14</v>
      </c>
      <c r="F46" s="3">
        <v>46213</v>
      </c>
      <c r="G46" s="4">
        <v>3</v>
      </c>
      <c r="H46" s="3">
        <v>46220</v>
      </c>
      <c r="I46" s="5">
        <v>521.70000000000005</v>
      </c>
      <c r="J46" s="2" t="s">
        <v>15</v>
      </c>
      <c r="K46" s="2" t="s">
        <v>524</v>
      </c>
      <c r="N46" s="16"/>
      <c r="O46" s="16">
        <f t="shared" si="15"/>
        <v>46220</v>
      </c>
      <c r="P46" s="8">
        <f t="shared" si="16"/>
        <v>153.08098591549299</v>
      </c>
    </row>
    <row r="47" spans="1:16" outlineLevel="1" x14ac:dyDescent="0.3">
      <c r="A47" s="2" t="s">
        <v>122</v>
      </c>
      <c r="B47" s="2" t="s">
        <v>168</v>
      </c>
      <c r="C47" s="2" t="s">
        <v>169</v>
      </c>
      <c r="D47" s="2" t="s">
        <v>170</v>
      </c>
      <c r="E47" s="2" t="s">
        <v>14</v>
      </c>
      <c r="F47" s="3">
        <v>46213</v>
      </c>
      <c r="G47" s="4">
        <v>3</v>
      </c>
      <c r="H47" s="3">
        <v>46220</v>
      </c>
      <c r="I47" s="5">
        <v>153.4</v>
      </c>
      <c r="J47" s="2" t="s">
        <v>15</v>
      </c>
      <c r="K47" s="2" t="s">
        <v>524</v>
      </c>
      <c r="N47" s="16"/>
      <c r="O47" s="16">
        <f t="shared" si="15"/>
        <v>46220</v>
      </c>
      <c r="P47" s="8">
        <f t="shared" si="16"/>
        <v>45.01173708920188</v>
      </c>
    </row>
    <row r="48" spans="1:16" outlineLevel="1" x14ac:dyDescent="0.3">
      <c r="A48" s="2" t="s">
        <v>122</v>
      </c>
      <c r="B48" s="2" t="s">
        <v>171</v>
      </c>
      <c r="C48" s="2" t="s">
        <v>172</v>
      </c>
      <c r="D48" s="2" t="s">
        <v>173</v>
      </c>
      <c r="E48" s="2" t="s">
        <v>14</v>
      </c>
      <c r="F48" s="3">
        <v>46213</v>
      </c>
      <c r="G48" s="4">
        <v>3</v>
      </c>
      <c r="H48" s="3">
        <v>46220</v>
      </c>
      <c r="I48" s="5">
        <v>162.88999999999999</v>
      </c>
      <c r="J48" s="2" t="s">
        <v>15</v>
      </c>
      <c r="K48" s="2" t="s">
        <v>524</v>
      </c>
      <c r="N48" s="16"/>
      <c r="O48" s="16">
        <f t="shared" si="15"/>
        <v>46220</v>
      </c>
      <c r="P48" s="8">
        <f t="shared" si="16"/>
        <v>47.796361502347416</v>
      </c>
    </row>
    <row r="49" spans="1:16" outlineLevel="1" x14ac:dyDescent="0.3">
      <c r="A49" s="2" t="s">
        <v>122</v>
      </c>
      <c r="B49" s="2" t="s">
        <v>174</v>
      </c>
      <c r="C49" s="2" t="s">
        <v>175</v>
      </c>
      <c r="D49" s="2" t="s">
        <v>176</v>
      </c>
      <c r="E49" s="2" t="s">
        <v>14</v>
      </c>
      <c r="F49" s="3">
        <v>46213</v>
      </c>
      <c r="G49" s="4">
        <v>3</v>
      </c>
      <c r="H49" s="3">
        <v>46220</v>
      </c>
      <c r="I49" s="5">
        <v>123.9</v>
      </c>
      <c r="J49" s="2" t="s">
        <v>15</v>
      </c>
      <c r="K49" s="2" t="s">
        <v>524</v>
      </c>
      <c r="N49" s="16"/>
      <c r="O49" s="16">
        <f t="shared" si="15"/>
        <v>46220</v>
      </c>
      <c r="P49" s="8">
        <f t="shared" si="16"/>
        <v>36.355633802816904</v>
      </c>
    </row>
    <row r="50" spans="1:16" outlineLevel="1" x14ac:dyDescent="0.3">
      <c r="A50" s="2" t="s">
        <v>122</v>
      </c>
      <c r="B50" s="2" t="s">
        <v>177</v>
      </c>
      <c r="C50" s="2" t="s">
        <v>178</v>
      </c>
      <c r="D50" s="2" t="s">
        <v>179</v>
      </c>
      <c r="E50" s="2" t="s">
        <v>14</v>
      </c>
      <c r="F50" s="3">
        <v>46214</v>
      </c>
      <c r="G50" s="4">
        <v>2</v>
      </c>
      <c r="H50" s="3">
        <v>46221</v>
      </c>
      <c r="I50" s="5">
        <v>375.71</v>
      </c>
      <c r="J50" s="2" t="s">
        <v>15</v>
      </c>
      <c r="K50" s="2" t="s">
        <v>524</v>
      </c>
      <c r="N50" s="16"/>
      <c r="O50" s="16">
        <f t="shared" si="15"/>
        <v>46221</v>
      </c>
      <c r="P50" s="8">
        <f t="shared" si="16"/>
        <v>110.24354460093896</v>
      </c>
    </row>
    <row r="51" spans="1:16" outlineLevel="1" x14ac:dyDescent="0.3">
      <c r="A51" s="2" t="s">
        <v>122</v>
      </c>
      <c r="B51" s="2" t="s">
        <v>180</v>
      </c>
      <c r="C51" s="2" t="s">
        <v>181</v>
      </c>
      <c r="D51" s="2" t="s">
        <v>182</v>
      </c>
      <c r="E51" s="2" t="s">
        <v>14</v>
      </c>
      <c r="F51" s="3">
        <v>46214</v>
      </c>
      <c r="G51" s="4">
        <v>2</v>
      </c>
      <c r="H51" s="3">
        <v>46221</v>
      </c>
      <c r="I51" s="5">
        <v>35.4</v>
      </c>
      <c r="J51" s="2" t="s">
        <v>15</v>
      </c>
      <c r="K51" s="2" t="s">
        <v>524</v>
      </c>
      <c r="N51" s="16"/>
      <c r="O51" s="16">
        <f t="shared" si="15"/>
        <v>46221</v>
      </c>
      <c r="P51" s="8">
        <f t="shared" si="16"/>
        <v>10.387323943661972</v>
      </c>
    </row>
    <row r="52" spans="1:16" outlineLevel="1" x14ac:dyDescent="0.3">
      <c r="A52" s="2" t="s">
        <v>122</v>
      </c>
      <c r="B52" s="2" t="s">
        <v>183</v>
      </c>
      <c r="C52" s="2" t="s">
        <v>184</v>
      </c>
      <c r="D52" s="2" t="s">
        <v>185</v>
      </c>
      <c r="E52" s="2" t="s">
        <v>14</v>
      </c>
      <c r="F52" s="3">
        <v>46214</v>
      </c>
      <c r="G52" s="4">
        <v>2</v>
      </c>
      <c r="H52" s="3">
        <v>46221</v>
      </c>
      <c r="I52" s="5">
        <v>391.52</v>
      </c>
      <c r="J52" s="2" t="s">
        <v>15</v>
      </c>
      <c r="K52" s="2" t="s">
        <v>524</v>
      </c>
      <c r="N52" s="16"/>
      <c r="O52" s="16">
        <f t="shared" si="15"/>
        <v>46221</v>
      </c>
      <c r="P52" s="8">
        <f t="shared" si="16"/>
        <v>114.88262910798122</v>
      </c>
    </row>
    <row r="53" spans="1:16" outlineLevel="1" x14ac:dyDescent="0.3">
      <c r="A53" s="2" t="s">
        <v>122</v>
      </c>
      <c r="B53" s="2" t="s">
        <v>186</v>
      </c>
      <c r="C53" s="2" t="s">
        <v>187</v>
      </c>
      <c r="D53" s="2" t="s">
        <v>188</v>
      </c>
      <c r="E53" s="2" t="s">
        <v>14</v>
      </c>
      <c r="F53" s="3">
        <v>46214</v>
      </c>
      <c r="G53" s="4">
        <v>2</v>
      </c>
      <c r="H53" s="3">
        <v>46221</v>
      </c>
      <c r="I53" s="5">
        <v>135.69999999999999</v>
      </c>
      <c r="J53" s="2" t="s">
        <v>15</v>
      </c>
      <c r="K53" s="2" t="s">
        <v>524</v>
      </c>
      <c r="N53" s="16"/>
      <c r="O53" s="16">
        <f t="shared" si="15"/>
        <v>46221</v>
      </c>
      <c r="P53" s="8">
        <f t="shared" si="16"/>
        <v>39.818075117370888</v>
      </c>
    </row>
    <row r="54" spans="1:16" outlineLevel="1" x14ac:dyDescent="0.3">
      <c r="A54" s="2" t="s">
        <v>122</v>
      </c>
      <c r="B54" s="2" t="s">
        <v>189</v>
      </c>
      <c r="C54" s="2" t="s">
        <v>190</v>
      </c>
      <c r="D54" s="2" t="s">
        <v>191</v>
      </c>
      <c r="E54" s="2" t="s">
        <v>14</v>
      </c>
      <c r="F54" s="3">
        <v>46215</v>
      </c>
      <c r="G54" s="4">
        <v>1</v>
      </c>
      <c r="H54" s="3">
        <v>46222</v>
      </c>
      <c r="I54" s="5">
        <v>1809.93</v>
      </c>
      <c r="J54" s="2" t="s">
        <v>15</v>
      </c>
      <c r="K54" s="2" t="s">
        <v>524</v>
      </c>
      <c r="N54" s="16"/>
      <c r="O54" s="16">
        <f t="shared" si="15"/>
        <v>46222</v>
      </c>
      <c r="P54" s="8">
        <f t="shared" si="16"/>
        <v>531.08274647887322</v>
      </c>
    </row>
    <row r="55" spans="1:16" outlineLevel="1" x14ac:dyDescent="0.3">
      <c r="A55" s="2" t="s">
        <v>122</v>
      </c>
      <c r="B55" s="2" t="s">
        <v>192</v>
      </c>
      <c r="C55" s="2" t="s">
        <v>193</v>
      </c>
      <c r="D55" s="2" t="s">
        <v>194</v>
      </c>
      <c r="E55" s="2" t="s">
        <v>14</v>
      </c>
      <c r="F55" s="3">
        <v>46215</v>
      </c>
      <c r="G55" s="4">
        <v>1</v>
      </c>
      <c r="H55" s="3">
        <v>46222</v>
      </c>
      <c r="I55" s="5">
        <v>454.3</v>
      </c>
      <c r="J55" s="2" t="s">
        <v>15</v>
      </c>
      <c r="K55" s="2" t="s">
        <v>524</v>
      </c>
      <c r="N55" s="16"/>
      <c r="O55" s="16">
        <f t="shared" si="15"/>
        <v>46222</v>
      </c>
      <c r="P55" s="8">
        <f t="shared" si="16"/>
        <v>133.30399061032864</v>
      </c>
    </row>
    <row r="56" spans="1:16" outlineLevel="1" x14ac:dyDescent="0.3">
      <c r="A56" s="2" t="s">
        <v>122</v>
      </c>
      <c r="B56" s="2" t="s">
        <v>195</v>
      </c>
      <c r="C56" s="2" t="s">
        <v>196</v>
      </c>
      <c r="D56" s="2" t="s">
        <v>197</v>
      </c>
      <c r="E56" s="2" t="s">
        <v>14</v>
      </c>
      <c r="F56" s="3">
        <v>46216</v>
      </c>
      <c r="G56" s="4">
        <v>0</v>
      </c>
      <c r="H56" s="3">
        <v>46223</v>
      </c>
      <c r="I56" s="5">
        <v>675.2</v>
      </c>
      <c r="J56" s="2" t="s">
        <v>15</v>
      </c>
      <c r="K56" s="2" t="s">
        <v>524</v>
      </c>
      <c r="N56" s="16"/>
      <c r="O56" s="16">
        <f t="shared" si="15"/>
        <v>46223</v>
      </c>
      <c r="P56" s="8">
        <f t="shared" si="16"/>
        <v>198.12206572769955</v>
      </c>
    </row>
    <row r="57" spans="1:16" outlineLevel="1" x14ac:dyDescent="0.3">
      <c r="A57" s="2" t="s">
        <v>122</v>
      </c>
      <c r="B57" s="2" t="s">
        <v>198</v>
      </c>
      <c r="C57" s="2" t="s">
        <v>199</v>
      </c>
      <c r="D57" s="2" t="s">
        <v>200</v>
      </c>
      <c r="E57" s="2" t="s">
        <v>14</v>
      </c>
      <c r="F57" s="3">
        <v>46216</v>
      </c>
      <c r="G57" s="4">
        <v>0</v>
      </c>
      <c r="H57" s="3">
        <v>46223</v>
      </c>
      <c r="I57" s="5">
        <v>82.6</v>
      </c>
      <c r="J57" s="2" t="s">
        <v>15</v>
      </c>
      <c r="K57" s="2" t="s">
        <v>524</v>
      </c>
      <c r="N57" s="16"/>
      <c r="O57" s="16">
        <f t="shared" si="15"/>
        <v>46223</v>
      </c>
      <c r="P57" s="8">
        <f t="shared" si="16"/>
        <v>24.237089201877932</v>
      </c>
    </row>
    <row r="58" spans="1:16" outlineLevel="1" x14ac:dyDescent="0.3">
      <c r="A58" s="2" t="s">
        <v>122</v>
      </c>
      <c r="B58" s="2" t="s">
        <v>201</v>
      </c>
      <c r="C58" s="2" t="s">
        <v>202</v>
      </c>
      <c r="D58" s="2" t="s">
        <v>203</v>
      </c>
      <c r="E58" s="2" t="s">
        <v>14</v>
      </c>
      <c r="F58" s="3">
        <v>46217</v>
      </c>
      <c r="G58" s="7">
        <v>-1</v>
      </c>
      <c r="H58" s="3">
        <v>46224</v>
      </c>
      <c r="I58" s="5">
        <v>744.39</v>
      </c>
      <c r="J58" s="2" t="s">
        <v>15</v>
      </c>
      <c r="K58" s="2" t="s">
        <v>524</v>
      </c>
      <c r="N58" s="16"/>
      <c r="O58" s="16">
        <f t="shared" si="15"/>
        <v>46224</v>
      </c>
      <c r="P58" s="8">
        <f t="shared" si="16"/>
        <v>218.4242957746479</v>
      </c>
    </row>
    <row r="59" spans="1:16" outlineLevel="1" x14ac:dyDescent="0.3">
      <c r="A59" s="2" t="s">
        <v>122</v>
      </c>
      <c r="B59" s="2" t="s">
        <v>204</v>
      </c>
      <c r="C59" s="2" t="s">
        <v>205</v>
      </c>
      <c r="D59" s="2" t="s">
        <v>206</v>
      </c>
      <c r="E59" s="2" t="s">
        <v>14</v>
      </c>
      <c r="F59" s="3">
        <v>46217</v>
      </c>
      <c r="G59" s="7">
        <v>-1</v>
      </c>
      <c r="H59" s="3">
        <v>46224</v>
      </c>
      <c r="I59" s="5">
        <v>218.3</v>
      </c>
      <c r="J59" s="2" t="s">
        <v>15</v>
      </c>
      <c r="K59" s="2" t="s">
        <v>524</v>
      </c>
      <c r="N59" s="16"/>
      <c r="O59" s="16">
        <f t="shared" si="15"/>
        <v>46224</v>
      </c>
      <c r="P59" s="8">
        <f t="shared" si="16"/>
        <v>64.055164319248831</v>
      </c>
    </row>
    <row r="60" spans="1:16" outlineLevel="1" x14ac:dyDescent="0.3">
      <c r="A60" s="2" t="s">
        <v>122</v>
      </c>
      <c r="B60" s="2" t="s">
        <v>207</v>
      </c>
      <c r="C60" s="2" t="s">
        <v>208</v>
      </c>
      <c r="D60" s="2" t="s">
        <v>209</v>
      </c>
      <c r="E60" s="2" t="s">
        <v>14</v>
      </c>
      <c r="F60" s="3">
        <v>46217</v>
      </c>
      <c r="G60" s="7">
        <v>-1</v>
      </c>
      <c r="H60" s="3">
        <v>46224</v>
      </c>
      <c r="I60" s="5">
        <v>703.04</v>
      </c>
      <c r="J60" s="2" t="s">
        <v>15</v>
      </c>
      <c r="K60" s="2" t="s">
        <v>524</v>
      </c>
      <c r="N60" s="16"/>
      <c r="O60" s="16">
        <f t="shared" si="15"/>
        <v>46224</v>
      </c>
      <c r="P60" s="8">
        <f t="shared" si="16"/>
        <v>206.29107981220656</v>
      </c>
    </row>
    <row r="61" spans="1:16" outlineLevel="1" x14ac:dyDescent="0.3">
      <c r="A61" s="2" t="s">
        <v>122</v>
      </c>
      <c r="B61" s="2" t="s">
        <v>210</v>
      </c>
      <c r="C61" s="2" t="s">
        <v>211</v>
      </c>
      <c r="D61" s="2" t="s">
        <v>212</v>
      </c>
      <c r="E61" s="2" t="s">
        <v>14</v>
      </c>
      <c r="F61" s="3">
        <v>46217</v>
      </c>
      <c r="G61" s="7">
        <v>-1</v>
      </c>
      <c r="H61" s="3">
        <v>46224</v>
      </c>
      <c r="I61" s="5">
        <v>70.8</v>
      </c>
      <c r="J61" s="2" t="s">
        <v>15</v>
      </c>
      <c r="K61" s="2" t="s">
        <v>524</v>
      </c>
      <c r="N61" s="16"/>
      <c r="O61" s="16">
        <f t="shared" si="15"/>
        <v>46224</v>
      </c>
      <c r="P61" s="8">
        <f t="shared" si="16"/>
        <v>20.774647887323944</v>
      </c>
    </row>
    <row r="62" spans="1:16" outlineLevel="1" x14ac:dyDescent="0.3">
      <c r="A62" s="2" t="s">
        <v>122</v>
      </c>
      <c r="B62" s="2" t="s">
        <v>213</v>
      </c>
      <c r="C62" s="2" t="s">
        <v>214</v>
      </c>
      <c r="D62" s="2" t="s">
        <v>215</v>
      </c>
      <c r="E62" s="2" t="s">
        <v>14</v>
      </c>
      <c r="F62" s="3">
        <v>46217</v>
      </c>
      <c r="G62" s="7">
        <v>-1</v>
      </c>
      <c r="H62" s="3">
        <v>46224</v>
      </c>
      <c r="I62" s="5">
        <v>157.41</v>
      </c>
      <c r="J62" s="2" t="s">
        <v>15</v>
      </c>
      <c r="K62" s="2" t="s">
        <v>524</v>
      </c>
      <c r="N62" s="16"/>
      <c r="O62" s="16">
        <f t="shared" si="15"/>
        <v>46224</v>
      </c>
      <c r="P62" s="8">
        <f t="shared" si="16"/>
        <v>46.188380281690144</v>
      </c>
    </row>
    <row r="63" spans="1:16" outlineLevel="1" x14ac:dyDescent="0.3">
      <c r="A63" s="2" t="s">
        <v>122</v>
      </c>
      <c r="B63" s="2" t="s">
        <v>216</v>
      </c>
      <c r="C63" s="2" t="s">
        <v>217</v>
      </c>
      <c r="D63" s="2" t="s">
        <v>218</v>
      </c>
      <c r="E63" s="2" t="s">
        <v>14</v>
      </c>
      <c r="F63" s="3">
        <v>46217</v>
      </c>
      <c r="G63" s="7">
        <v>-1</v>
      </c>
      <c r="H63" s="3">
        <v>46224</v>
      </c>
      <c r="I63" s="5">
        <v>35.4</v>
      </c>
      <c r="J63" s="2" t="s">
        <v>15</v>
      </c>
      <c r="K63" s="2" t="s">
        <v>524</v>
      </c>
      <c r="N63" s="16"/>
      <c r="O63" s="16">
        <f t="shared" si="15"/>
        <v>46224</v>
      </c>
      <c r="P63" s="8">
        <f t="shared" si="16"/>
        <v>10.387323943661972</v>
      </c>
    </row>
    <row r="64" spans="1:16" outlineLevel="1" x14ac:dyDescent="0.3">
      <c r="A64" s="2" t="s">
        <v>122</v>
      </c>
      <c r="B64" s="2" t="s">
        <v>219</v>
      </c>
      <c r="C64" s="2" t="s">
        <v>220</v>
      </c>
      <c r="D64" s="2" t="s">
        <v>221</v>
      </c>
      <c r="E64" s="2" t="s">
        <v>14</v>
      </c>
      <c r="F64" s="3">
        <v>46218</v>
      </c>
      <c r="G64" s="7">
        <v>-2</v>
      </c>
      <c r="H64" s="3">
        <v>46225</v>
      </c>
      <c r="I64" s="5">
        <v>438.02</v>
      </c>
      <c r="J64" s="2" t="s">
        <v>15</v>
      </c>
      <c r="K64" s="2" t="s">
        <v>524</v>
      </c>
      <c r="N64" s="16"/>
      <c r="O64" s="16">
        <f t="shared" si="15"/>
        <v>46225</v>
      </c>
      <c r="P64" s="8">
        <f t="shared" si="16"/>
        <v>128.52699530516432</v>
      </c>
    </row>
    <row r="65" spans="1:18" outlineLevel="1" x14ac:dyDescent="0.3">
      <c r="A65" s="2" t="s">
        <v>122</v>
      </c>
      <c r="B65" s="2" t="s">
        <v>222</v>
      </c>
      <c r="C65" s="2" t="s">
        <v>223</v>
      </c>
      <c r="D65" s="2" t="s">
        <v>224</v>
      </c>
      <c r="E65" s="2" t="s">
        <v>14</v>
      </c>
      <c r="F65" s="3">
        <v>46218</v>
      </c>
      <c r="G65" s="7">
        <v>-2</v>
      </c>
      <c r="H65" s="3">
        <v>46225</v>
      </c>
      <c r="I65" s="5">
        <v>35.4</v>
      </c>
      <c r="J65" s="2" t="s">
        <v>15</v>
      </c>
      <c r="K65" s="2" t="s">
        <v>524</v>
      </c>
      <c r="N65" s="16"/>
      <c r="O65" s="16">
        <f t="shared" si="15"/>
        <v>46225</v>
      </c>
      <c r="P65" s="8">
        <f t="shared" si="16"/>
        <v>10.387323943661972</v>
      </c>
    </row>
    <row r="66" spans="1:18" outlineLevel="1" x14ac:dyDescent="0.3">
      <c r="A66" s="2" t="s">
        <v>122</v>
      </c>
      <c r="B66" s="2" t="s">
        <v>225</v>
      </c>
      <c r="C66" s="2" t="s">
        <v>226</v>
      </c>
      <c r="D66" s="2" t="s">
        <v>227</v>
      </c>
      <c r="E66" s="2" t="s">
        <v>14</v>
      </c>
      <c r="F66" s="3">
        <v>46218</v>
      </c>
      <c r="G66" s="7">
        <v>-2</v>
      </c>
      <c r="H66" s="3">
        <v>46225</v>
      </c>
      <c r="I66" s="5">
        <v>399.55</v>
      </c>
      <c r="J66" s="2" t="s">
        <v>15</v>
      </c>
      <c r="K66" s="2" t="s">
        <v>524</v>
      </c>
      <c r="N66" s="16"/>
      <c r="O66" s="16">
        <f t="shared" si="15"/>
        <v>46225</v>
      </c>
      <c r="P66" s="8">
        <f t="shared" si="16"/>
        <v>117.23884976525822</v>
      </c>
    </row>
    <row r="67" spans="1:18" outlineLevel="1" x14ac:dyDescent="0.3">
      <c r="A67" s="2" t="s">
        <v>122</v>
      </c>
      <c r="B67" s="2" t="s">
        <v>228</v>
      </c>
      <c r="C67" s="2" t="s">
        <v>229</v>
      </c>
      <c r="D67" s="2" t="s">
        <v>230</v>
      </c>
      <c r="E67" s="2" t="s">
        <v>14</v>
      </c>
      <c r="F67" s="3">
        <v>46218</v>
      </c>
      <c r="G67" s="7">
        <v>-2</v>
      </c>
      <c r="H67" s="3">
        <v>46225</v>
      </c>
      <c r="I67" s="5">
        <v>47.2</v>
      </c>
      <c r="J67" s="2" t="s">
        <v>15</v>
      </c>
      <c r="K67" s="2" t="s">
        <v>524</v>
      </c>
      <c r="N67" s="16"/>
      <c r="O67" s="16">
        <f t="shared" si="15"/>
        <v>46225</v>
      </c>
      <c r="P67" s="8">
        <f t="shared" si="16"/>
        <v>13.849765258215964</v>
      </c>
    </row>
    <row r="68" spans="1:18" outlineLevel="1" x14ac:dyDescent="0.3">
      <c r="A68" s="2" t="s">
        <v>122</v>
      </c>
      <c r="B68" s="2" t="s">
        <v>231</v>
      </c>
      <c r="C68" s="2" t="s">
        <v>232</v>
      </c>
      <c r="D68" s="2" t="s">
        <v>233</v>
      </c>
      <c r="E68" s="2" t="s">
        <v>14</v>
      </c>
      <c r="F68" s="3">
        <v>46219</v>
      </c>
      <c r="G68" s="7">
        <v>-3</v>
      </c>
      <c r="H68" s="3">
        <v>46226</v>
      </c>
      <c r="I68" s="5">
        <v>460.25</v>
      </c>
      <c r="J68" s="2" t="s">
        <v>15</v>
      </c>
      <c r="K68" s="2" t="s">
        <v>524</v>
      </c>
      <c r="N68" s="16"/>
      <c r="O68" s="16">
        <f t="shared" si="15"/>
        <v>46226</v>
      </c>
      <c r="P68" s="8">
        <f t="shared" si="16"/>
        <v>135.049882629108</v>
      </c>
    </row>
    <row r="69" spans="1:18" outlineLevel="1" x14ac:dyDescent="0.3">
      <c r="A69" s="2" t="s">
        <v>122</v>
      </c>
      <c r="B69" s="2" t="s">
        <v>234</v>
      </c>
      <c r="C69" s="2" t="s">
        <v>235</v>
      </c>
      <c r="D69" s="2" t="s">
        <v>236</v>
      </c>
      <c r="E69" s="2" t="s">
        <v>14</v>
      </c>
      <c r="F69" s="3">
        <v>46219</v>
      </c>
      <c r="G69" s="7">
        <v>-3</v>
      </c>
      <c r="H69" s="3">
        <v>46226</v>
      </c>
      <c r="I69" s="5">
        <v>153.4</v>
      </c>
      <c r="J69" s="2" t="s">
        <v>15</v>
      </c>
      <c r="K69" s="2" t="s">
        <v>524</v>
      </c>
      <c r="N69" s="16"/>
      <c r="O69" s="16">
        <f t="shared" si="15"/>
        <v>46226</v>
      </c>
      <c r="P69" s="8">
        <f t="shared" si="16"/>
        <v>45.01173708920188</v>
      </c>
    </row>
    <row r="70" spans="1:18" outlineLevel="1" x14ac:dyDescent="0.3">
      <c r="A70" s="2" t="s">
        <v>122</v>
      </c>
      <c r="B70" s="2" t="s">
        <v>237</v>
      </c>
      <c r="C70" s="2" t="s">
        <v>238</v>
      </c>
      <c r="D70" s="2" t="s">
        <v>239</v>
      </c>
      <c r="E70" s="2" t="s">
        <v>14</v>
      </c>
      <c r="F70" s="3">
        <v>46219</v>
      </c>
      <c r="G70" s="7">
        <v>-3</v>
      </c>
      <c r="H70" s="3">
        <v>46226</v>
      </c>
      <c r="I70" s="5">
        <v>402.85</v>
      </c>
      <c r="J70" s="2" t="s">
        <v>15</v>
      </c>
      <c r="K70" s="2" t="s">
        <v>524</v>
      </c>
      <c r="N70" s="16"/>
      <c r="O70" s="16">
        <f t="shared" si="15"/>
        <v>46226</v>
      </c>
      <c r="P70" s="8">
        <f t="shared" si="16"/>
        <v>118.20715962441315</v>
      </c>
    </row>
    <row r="71" spans="1:18" outlineLevel="1" x14ac:dyDescent="0.3">
      <c r="A71" s="2" t="s">
        <v>122</v>
      </c>
      <c r="B71" s="2" t="s">
        <v>240</v>
      </c>
      <c r="C71" s="2" t="s">
        <v>241</v>
      </c>
      <c r="D71" s="2" t="s">
        <v>242</v>
      </c>
      <c r="E71" s="2" t="s">
        <v>14</v>
      </c>
      <c r="F71" s="3">
        <v>46219</v>
      </c>
      <c r="G71" s="7">
        <v>-3</v>
      </c>
      <c r="H71" s="3">
        <v>46226</v>
      </c>
      <c r="I71" s="5">
        <v>35.4</v>
      </c>
      <c r="J71" s="2" t="s">
        <v>15</v>
      </c>
      <c r="K71" s="2" t="s">
        <v>524</v>
      </c>
      <c r="N71" s="16"/>
      <c r="O71" s="16">
        <f t="shared" si="15"/>
        <v>46226</v>
      </c>
      <c r="P71" s="8">
        <f t="shared" si="16"/>
        <v>10.387323943661972</v>
      </c>
    </row>
    <row r="72" spans="1:18" outlineLevel="1" x14ac:dyDescent="0.3">
      <c r="A72" s="2" t="s">
        <v>122</v>
      </c>
      <c r="B72" s="2" t="s">
        <v>243</v>
      </c>
      <c r="C72" s="2" t="s">
        <v>244</v>
      </c>
      <c r="D72" s="2" t="s">
        <v>245</v>
      </c>
      <c r="E72" s="2" t="s">
        <v>14</v>
      </c>
      <c r="F72" s="3">
        <v>46219</v>
      </c>
      <c r="G72" s="7">
        <v>-3</v>
      </c>
      <c r="H72" s="3">
        <v>46226</v>
      </c>
      <c r="I72" s="5">
        <v>690.21</v>
      </c>
      <c r="J72" s="2" t="s">
        <v>15</v>
      </c>
      <c r="K72" s="2" t="s">
        <v>524</v>
      </c>
      <c r="N72" s="16"/>
      <c r="O72" s="16">
        <f t="shared" si="15"/>
        <v>46226</v>
      </c>
      <c r="P72" s="8">
        <f t="shared" si="16"/>
        <v>202.52640845070425</v>
      </c>
    </row>
    <row r="73" spans="1:18" outlineLevel="1" x14ac:dyDescent="0.3">
      <c r="A73" s="2" t="s">
        <v>122</v>
      </c>
      <c r="B73" s="2" t="s">
        <v>246</v>
      </c>
      <c r="C73" s="2" t="s">
        <v>247</v>
      </c>
      <c r="D73" s="2" t="s">
        <v>248</v>
      </c>
      <c r="E73" s="2" t="s">
        <v>14</v>
      </c>
      <c r="F73" s="3">
        <v>46219</v>
      </c>
      <c r="G73" s="7">
        <v>-3</v>
      </c>
      <c r="H73" s="3">
        <v>46226</v>
      </c>
      <c r="I73" s="5">
        <v>212.4</v>
      </c>
      <c r="J73" s="2" t="s">
        <v>15</v>
      </c>
      <c r="K73" s="2" t="s">
        <v>524</v>
      </c>
      <c r="N73" s="16"/>
      <c r="O73" s="16">
        <f t="shared" si="15"/>
        <v>46226</v>
      </c>
      <c r="P73" s="8">
        <f t="shared" si="16"/>
        <v>62.323943661971832</v>
      </c>
    </row>
    <row r="74" spans="1:18" outlineLevel="1" x14ac:dyDescent="0.3">
      <c r="A74" s="2" t="s">
        <v>122</v>
      </c>
      <c r="B74" s="2" t="s">
        <v>249</v>
      </c>
      <c r="C74" s="2" t="s">
        <v>250</v>
      </c>
      <c r="D74" s="2" t="s">
        <v>251</v>
      </c>
      <c r="E74" s="2" t="s">
        <v>14</v>
      </c>
      <c r="F74" s="3">
        <v>46220</v>
      </c>
      <c r="G74" s="7">
        <v>-4</v>
      </c>
      <c r="H74" s="3">
        <v>46227</v>
      </c>
      <c r="I74" s="5">
        <v>629.41</v>
      </c>
      <c r="J74" s="2" t="s">
        <v>15</v>
      </c>
      <c r="K74" s="2" t="s">
        <v>524</v>
      </c>
      <c r="N74" s="16"/>
      <c r="O74" s="16">
        <f t="shared" si="15"/>
        <v>46227</v>
      </c>
      <c r="P74" s="8">
        <f t="shared" si="16"/>
        <v>184.68603286384976</v>
      </c>
    </row>
    <row r="75" spans="1:18" outlineLevel="1" x14ac:dyDescent="0.3">
      <c r="A75" s="2" t="s">
        <v>122</v>
      </c>
      <c r="B75" s="2" t="s">
        <v>252</v>
      </c>
      <c r="C75" s="2" t="s">
        <v>253</v>
      </c>
      <c r="D75" s="2" t="s">
        <v>254</v>
      </c>
      <c r="E75" s="2" t="s">
        <v>14</v>
      </c>
      <c r="F75" s="3">
        <v>46220</v>
      </c>
      <c r="G75" s="7">
        <v>-4</v>
      </c>
      <c r="H75" s="3">
        <v>46227</v>
      </c>
      <c r="I75" s="5">
        <v>230.1</v>
      </c>
      <c r="J75" s="2" t="s">
        <v>15</v>
      </c>
      <c r="K75" s="2" t="s">
        <v>524</v>
      </c>
      <c r="N75" s="16"/>
      <c r="O75" s="16">
        <f t="shared" si="15"/>
        <v>46227</v>
      </c>
      <c r="P75" s="8">
        <f t="shared" si="16"/>
        <v>67.517605633802816</v>
      </c>
    </row>
    <row r="76" spans="1:18" outlineLevel="1" x14ac:dyDescent="0.3">
      <c r="A76" s="2" t="s">
        <v>122</v>
      </c>
      <c r="B76" s="2" t="s">
        <v>255</v>
      </c>
      <c r="C76" s="2" t="s">
        <v>256</v>
      </c>
      <c r="D76" s="2" t="s">
        <v>257</v>
      </c>
      <c r="E76" s="2" t="s">
        <v>14</v>
      </c>
      <c r="F76" s="3">
        <v>46220</v>
      </c>
      <c r="G76" s="7">
        <v>-4</v>
      </c>
      <c r="H76" s="3">
        <v>46227</v>
      </c>
      <c r="I76" s="5">
        <v>367.07</v>
      </c>
      <c r="J76" s="2" t="s">
        <v>15</v>
      </c>
      <c r="K76" s="2" t="s">
        <v>524</v>
      </c>
      <c r="N76" s="16"/>
      <c r="O76" s="16">
        <f t="shared" si="15"/>
        <v>46227</v>
      </c>
      <c r="P76" s="8">
        <f t="shared" si="16"/>
        <v>107.70833333333333</v>
      </c>
    </row>
    <row r="77" spans="1:18" outlineLevel="1" x14ac:dyDescent="0.3">
      <c r="A77" s="2" t="s">
        <v>122</v>
      </c>
      <c r="B77" s="2" t="s">
        <v>258</v>
      </c>
      <c r="C77" s="2" t="s">
        <v>259</v>
      </c>
      <c r="D77" s="2" t="s">
        <v>260</v>
      </c>
      <c r="E77" s="2" t="s">
        <v>14</v>
      </c>
      <c r="F77" s="3">
        <v>46220</v>
      </c>
      <c r="G77" s="7">
        <v>-4</v>
      </c>
      <c r="H77" s="3">
        <v>46227</v>
      </c>
      <c r="I77" s="5">
        <v>177</v>
      </c>
      <c r="J77" s="2" t="s">
        <v>15</v>
      </c>
      <c r="K77" s="2" t="s">
        <v>524</v>
      </c>
      <c r="N77" s="16"/>
      <c r="O77" s="16">
        <f t="shared" si="15"/>
        <v>46227</v>
      </c>
      <c r="P77" s="8">
        <f t="shared" si="16"/>
        <v>51.936619718309863</v>
      </c>
    </row>
    <row r="78" spans="1:18" outlineLevel="1" x14ac:dyDescent="0.3">
      <c r="A78" s="2" t="s">
        <v>122</v>
      </c>
      <c r="B78" s="2" t="s">
        <v>261</v>
      </c>
      <c r="C78" s="2" t="s">
        <v>262</v>
      </c>
      <c r="D78" s="2" t="s">
        <v>263</v>
      </c>
      <c r="E78" s="2" t="s">
        <v>14</v>
      </c>
      <c r="F78" s="3">
        <v>46220</v>
      </c>
      <c r="G78" s="7">
        <v>-4</v>
      </c>
      <c r="H78" s="3">
        <v>46227</v>
      </c>
      <c r="I78" s="5">
        <v>331.11</v>
      </c>
      <c r="J78" s="2" t="s">
        <v>15</v>
      </c>
      <c r="K78" s="2" t="s">
        <v>524</v>
      </c>
      <c r="N78" s="16"/>
      <c r="O78" s="16">
        <f t="shared" si="15"/>
        <v>46227</v>
      </c>
      <c r="P78" s="8">
        <f t="shared" si="16"/>
        <v>97.156690140845072</v>
      </c>
    </row>
    <row r="79" spans="1:18" outlineLevel="1" x14ac:dyDescent="0.3">
      <c r="A79" s="2" t="s">
        <v>122</v>
      </c>
      <c r="B79" s="2" t="s">
        <v>264</v>
      </c>
      <c r="C79" s="2" t="s">
        <v>265</v>
      </c>
      <c r="D79" s="2" t="s">
        <v>266</v>
      </c>
      <c r="E79" s="2" t="s">
        <v>14</v>
      </c>
      <c r="F79" s="3">
        <v>46220</v>
      </c>
      <c r="G79" s="7">
        <v>-4</v>
      </c>
      <c r="H79" s="3">
        <v>46227</v>
      </c>
      <c r="I79" s="5">
        <v>35.4</v>
      </c>
      <c r="J79" s="2" t="s">
        <v>15</v>
      </c>
      <c r="K79" s="2" t="s">
        <v>524</v>
      </c>
      <c r="N79" s="16"/>
      <c r="O79" s="16">
        <f t="shared" si="15"/>
        <v>46227</v>
      </c>
      <c r="P79" s="8">
        <f t="shared" si="16"/>
        <v>10.387323943661972</v>
      </c>
    </row>
    <row r="80" spans="1:18" outlineLevel="1" x14ac:dyDescent="0.3">
      <c r="A80" s="2" t="s">
        <v>267</v>
      </c>
      <c r="B80" s="2" t="s">
        <v>268</v>
      </c>
      <c r="C80" s="2" t="s">
        <v>269</v>
      </c>
      <c r="D80" s="2" t="s">
        <v>270</v>
      </c>
      <c r="E80" s="2" t="s">
        <v>96</v>
      </c>
      <c r="F80" s="3">
        <v>46168</v>
      </c>
      <c r="G80" s="4">
        <v>0</v>
      </c>
      <c r="H80" s="3">
        <v>46173</v>
      </c>
      <c r="I80" s="6">
        <v>-34580</v>
      </c>
      <c r="J80" s="2" t="s">
        <v>68</v>
      </c>
      <c r="K80" s="2" t="s">
        <v>528</v>
      </c>
      <c r="L80" s="16">
        <f t="shared" ref="L80:L93" si="17">F80+60</f>
        <v>46228</v>
      </c>
      <c r="M80" s="17"/>
      <c r="N80" s="16"/>
      <c r="O80" s="16">
        <f t="shared" ref="O80:O81" si="18">F80</f>
        <v>46168</v>
      </c>
      <c r="P80" s="9">
        <f t="shared" ref="P80:P93" si="19">I80</f>
        <v>-34580</v>
      </c>
      <c r="Q80" s="17">
        <f t="shared" ref="Q80:Q93" ca="1" si="20">TODAY()-F80</f>
        <v>55</v>
      </c>
      <c r="R80" t="s">
        <v>540</v>
      </c>
    </row>
    <row r="81" spans="1:18" outlineLevel="1" x14ac:dyDescent="0.3">
      <c r="A81" s="2" t="s">
        <v>271</v>
      </c>
      <c r="B81" s="2" t="s">
        <v>272</v>
      </c>
      <c r="C81" s="2" t="s">
        <v>273</v>
      </c>
      <c r="D81" s="2" t="s">
        <v>274</v>
      </c>
      <c r="E81" s="2" t="s">
        <v>96</v>
      </c>
      <c r="F81" s="3">
        <v>46181</v>
      </c>
      <c r="G81" s="4">
        <v>0</v>
      </c>
      <c r="H81" s="3">
        <v>46203</v>
      </c>
      <c r="I81" s="6">
        <v>-33677</v>
      </c>
      <c r="J81" s="2" t="s">
        <v>68</v>
      </c>
      <c r="K81" s="2" t="s">
        <v>528</v>
      </c>
      <c r="L81" s="16">
        <f t="shared" si="17"/>
        <v>46241</v>
      </c>
      <c r="M81" s="17"/>
      <c r="N81" s="16"/>
      <c r="O81" s="16">
        <f t="shared" si="18"/>
        <v>46181</v>
      </c>
      <c r="P81" s="9">
        <f t="shared" si="19"/>
        <v>-33677</v>
      </c>
      <c r="Q81" s="17">
        <f t="shared" ca="1" si="20"/>
        <v>42</v>
      </c>
      <c r="R81" t="s">
        <v>539</v>
      </c>
    </row>
    <row r="82" spans="1:18" outlineLevel="1" x14ac:dyDescent="0.3">
      <c r="A82" s="2" t="s">
        <v>271</v>
      </c>
      <c r="B82" s="2" t="s">
        <v>275</v>
      </c>
      <c r="C82" s="2" t="s">
        <v>276</v>
      </c>
      <c r="D82" s="2" t="s">
        <v>277</v>
      </c>
      <c r="E82" s="2" t="s">
        <v>64</v>
      </c>
      <c r="F82" s="3">
        <v>46194</v>
      </c>
      <c r="G82" s="4">
        <v>29</v>
      </c>
      <c r="H82" s="3">
        <v>46194</v>
      </c>
      <c r="I82" s="5">
        <v>14830.54</v>
      </c>
      <c r="J82" s="2" t="s">
        <v>68</v>
      </c>
      <c r="K82" s="2" t="s">
        <v>528</v>
      </c>
      <c r="L82" s="16">
        <f t="shared" si="17"/>
        <v>46254</v>
      </c>
      <c r="M82" s="17">
        <f t="shared" ref="M82:M93" ca="1" si="21">TODAY()-N82</f>
        <v>-31</v>
      </c>
      <c r="N82" s="16">
        <v>46254</v>
      </c>
      <c r="O82" s="16">
        <v>46254</v>
      </c>
      <c r="P82" s="9">
        <f t="shared" si="19"/>
        <v>14830.54</v>
      </c>
      <c r="Q82" s="17">
        <f t="shared" ca="1" si="20"/>
        <v>29</v>
      </c>
      <c r="R82" t="s">
        <v>539</v>
      </c>
    </row>
    <row r="83" spans="1:18" outlineLevel="1" x14ac:dyDescent="0.3">
      <c r="A83" s="2" t="s">
        <v>271</v>
      </c>
      <c r="B83" s="2" t="s">
        <v>278</v>
      </c>
      <c r="C83" s="2" t="s">
        <v>279</v>
      </c>
      <c r="D83" s="2" t="s">
        <v>280</v>
      </c>
      <c r="E83" s="2" t="s">
        <v>64</v>
      </c>
      <c r="F83" s="3">
        <v>46196</v>
      </c>
      <c r="G83" s="4">
        <v>27</v>
      </c>
      <c r="H83" s="3">
        <v>46196</v>
      </c>
      <c r="I83" s="5">
        <v>18230</v>
      </c>
      <c r="J83" s="2" t="s">
        <v>68</v>
      </c>
      <c r="K83" s="2" t="s">
        <v>528</v>
      </c>
      <c r="L83" s="16">
        <f t="shared" si="17"/>
        <v>46256</v>
      </c>
      <c r="M83" s="17">
        <f t="shared" ca="1" si="21"/>
        <v>-33</v>
      </c>
      <c r="N83" s="16">
        <v>46256</v>
      </c>
      <c r="O83" s="16">
        <v>46256</v>
      </c>
      <c r="P83" s="9">
        <f t="shared" si="19"/>
        <v>18230</v>
      </c>
      <c r="Q83" s="17">
        <f t="shared" ca="1" si="20"/>
        <v>27</v>
      </c>
      <c r="R83" t="s">
        <v>539</v>
      </c>
    </row>
    <row r="84" spans="1:18" outlineLevel="1" x14ac:dyDescent="0.3">
      <c r="A84" s="2" t="s">
        <v>281</v>
      </c>
      <c r="B84" s="2" t="s">
        <v>282</v>
      </c>
      <c r="C84" s="2" t="s">
        <v>283</v>
      </c>
      <c r="D84" s="2" t="s">
        <v>284</v>
      </c>
      <c r="E84" s="2" t="s">
        <v>70</v>
      </c>
      <c r="F84" s="3">
        <v>46192</v>
      </c>
      <c r="G84" s="7">
        <v>-14</v>
      </c>
      <c r="H84" s="3">
        <v>46237</v>
      </c>
      <c r="I84" s="5">
        <v>421200</v>
      </c>
      <c r="J84" s="2" t="s">
        <v>68</v>
      </c>
      <c r="K84" s="2" t="s">
        <v>528</v>
      </c>
      <c r="L84" s="16">
        <f t="shared" si="17"/>
        <v>46252</v>
      </c>
      <c r="M84" s="17">
        <f t="shared" ca="1" si="21"/>
        <v>-14</v>
      </c>
      <c r="N84" s="16">
        <v>46237</v>
      </c>
      <c r="O84" s="16">
        <f t="shared" si="15"/>
        <v>46237</v>
      </c>
      <c r="P84" s="9">
        <f t="shared" si="19"/>
        <v>421200</v>
      </c>
      <c r="Q84" s="17">
        <f t="shared" ca="1" si="20"/>
        <v>31</v>
      </c>
      <c r="R84" t="s">
        <v>539</v>
      </c>
    </row>
    <row r="85" spans="1:18" outlineLevel="1" x14ac:dyDescent="0.3">
      <c r="A85" s="2" t="s">
        <v>281</v>
      </c>
      <c r="B85" s="2" t="s">
        <v>285</v>
      </c>
      <c r="C85" s="2" t="s">
        <v>286</v>
      </c>
      <c r="D85" s="2" t="s">
        <v>287</v>
      </c>
      <c r="E85" s="2" t="s">
        <v>70</v>
      </c>
      <c r="F85" s="3">
        <v>46203</v>
      </c>
      <c r="G85" s="7">
        <v>-25</v>
      </c>
      <c r="H85" s="3">
        <v>46248</v>
      </c>
      <c r="I85" s="5">
        <v>211167</v>
      </c>
      <c r="J85" s="2" t="s">
        <v>68</v>
      </c>
      <c r="K85" s="2" t="s">
        <v>528</v>
      </c>
      <c r="L85" s="16">
        <f t="shared" si="17"/>
        <v>46263</v>
      </c>
      <c r="M85" s="17">
        <f t="shared" ca="1" si="21"/>
        <v>-40</v>
      </c>
      <c r="N85" s="16">
        <v>46263</v>
      </c>
      <c r="O85" s="16">
        <v>46263</v>
      </c>
      <c r="P85" s="9">
        <f t="shared" si="19"/>
        <v>211167</v>
      </c>
      <c r="Q85" s="17">
        <f t="shared" ca="1" si="20"/>
        <v>20</v>
      </c>
      <c r="R85" t="s">
        <v>539</v>
      </c>
    </row>
    <row r="86" spans="1:18" outlineLevel="1" x14ac:dyDescent="0.3">
      <c r="A86" s="2" t="s">
        <v>281</v>
      </c>
      <c r="B86" s="2" t="s">
        <v>288</v>
      </c>
      <c r="C86" s="2" t="s">
        <v>289</v>
      </c>
      <c r="D86" s="2" t="s">
        <v>290</v>
      </c>
      <c r="E86" s="2" t="s">
        <v>70</v>
      </c>
      <c r="F86" s="3">
        <v>46203</v>
      </c>
      <c r="G86" s="7">
        <v>-40</v>
      </c>
      <c r="H86" s="3">
        <v>46263</v>
      </c>
      <c r="I86" s="5">
        <v>105300</v>
      </c>
      <c r="J86" s="2" t="s">
        <v>68</v>
      </c>
      <c r="K86" s="2" t="s">
        <v>528</v>
      </c>
      <c r="L86" s="16">
        <f t="shared" si="17"/>
        <v>46263</v>
      </c>
      <c r="M86" s="17">
        <f t="shared" ca="1" si="21"/>
        <v>-40</v>
      </c>
      <c r="N86" s="16">
        <v>46263</v>
      </c>
      <c r="O86" s="16">
        <f t="shared" si="15"/>
        <v>46263</v>
      </c>
      <c r="P86" s="9">
        <f t="shared" si="19"/>
        <v>105300</v>
      </c>
      <c r="Q86" s="17">
        <f t="shared" ca="1" si="20"/>
        <v>20</v>
      </c>
      <c r="R86" t="s">
        <v>539</v>
      </c>
    </row>
    <row r="87" spans="1:18" outlineLevel="1" x14ac:dyDescent="0.3">
      <c r="A87" s="2" t="s">
        <v>291</v>
      </c>
      <c r="B87" s="2" t="s">
        <v>292</v>
      </c>
      <c r="C87" s="2" t="s">
        <v>293</v>
      </c>
      <c r="D87" s="2" t="s">
        <v>294</v>
      </c>
      <c r="E87" s="2" t="s">
        <v>96</v>
      </c>
      <c r="F87" s="3">
        <v>46182</v>
      </c>
      <c r="G87" s="4">
        <v>0</v>
      </c>
      <c r="H87" s="3">
        <v>46203</v>
      </c>
      <c r="I87" s="6">
        <v>-159925</v>
      </c>
      <c r="J87" s="2" t="s">
        <v>68</v>
      </c>
      <c r="K87" s="2" t="s">
        <v>528</v>
      </c>
      <c r="L87" s="16">
        <f t="shared" si="17"/>
        <v>46242</v>
      </c>
      <c r="M87" s="17"/>
      <c r="N87" s="16"/>
      <c r="O87" s="16">
        <f>F87</f>
        <v>46182</v>
      </c>
      <c r="P87" s="9">
        <f t="shared" si="19"/>
        <v>-159925</v>
      </c>
      <c r="Q87" s="17">
        <f t="shared" ca="1" si="20"/>
        <v>41</v>
      </c>
      <c r="R87" t="s">
        <v>539</v>
      </c>
    </row>
    <row r="88" spans="1:18" outlineLevel="1" x14ac:dyDescent="0.3">
      <c r="A88" s="2" t="s">
        <v>291</v>
      </c>
      <c r="B88" s="2" t="s">
        <v>295</v>
      </c>
      <c r="C88" s="2" t="s">
        <v>296</v>
      </c>
      <c r="D88" s="2" t="s">
        <v>297</v>
      </c>
      <c r="E88" s="2" t="s">
        <v>70</v>
      </c>
      <c r="F88" s="3">
        <v>46186</v>
      </c>
      <c r="G88" s="7">
        <v>-8</v>
      </c>
      <c r="H88" s="3">
        <v>46231</v>
      </c>
      <c r="I88" s="5">
        <v>113004</v>
      </c>
      <c r="J88" s="2" t="s">
        <v>68</v>
      </c>
      <c r="K88" s="2" t="s">
        <v>528</v>
      </c>
      <c r="L88" s="16">
        <f t="shared" si="17"/>
        <v>46246</v>
      </c>
      <c r="M88" s="17">
        <f t="shared" ca="1" si="21"/>
        <v>-8</v>
      </c>
      <c r="N88" s="16">
        <v>46231</v>
      </c>
      <c r="O88" s="16">
        <f t="shared" si="15"/>
        <v>46231</v>
      </c>
      <c r="P88" s="9">
        <f t="shared" si="19"/>
        <v>113004</v>
      </c>
      <c r="Q88" s="17">
        <f t="shared" ca="1" si="20"/>
        <v>37</v>
      </c>
      <c r="R88" t="s">
        <v>539</v>
      </c>
    </row>
    <row r="89" spans="1:18" outlineLevel="1" x14ac:dyDescent="0.3">
      <c r="A89" s="2" t="s">
        <v>291</v>
      </c>
      <c r="B89" s="2" t="s">
        <v>298</v>
      </c>
      <c r="C89" s="2" t="s">
        <v>299</v>
      </c>
      <c r="D89" s="2" t="s">
        <v>300</v>
      </c>
      <c r="E89" s="2" t="s">
        <v>64</v>
      </c>
      <c r="F89" s="3">
        <v>46200</v>
      </c>
      <c r="G89" s="4">
        <v>23</v>
      </c>
      <c r="H89" s="3">
        <v>46200</v>
      </c>
      <c r="I89" s="5">
        <v>213454</v>
      </c>
      <c r="J89" s="2" t="s">
        <v>68</v>
      </c>
      <c r="K89" s="2" t="s">
        <v>528</v>
      </c>
      <c r="L89" s="16">
        <f t="shared" si="17"/>
        <v>46260</v>
      </c>
      <c r="M89" s="17">
        <f t="shared" ca="1" si="21"/>
        <v>-37</v>
      </c>
      <c r="N89" s="16">
        <v>46260</v>
      </c>
      <c r="O89" s="16">
        <v>46260</v>
      </c>
      <c r="P89" s="9">
        <f t="shared" si="19"/>
        <v>213454</v>
      </c>
      <c r="Q89" s="17">
        <f t="shared" ca="1" si="20"/>
        <v>23</v>
      </c>
      <c r="R89" t="s">
        <v>539</v>
      </c>
    </row>
    <row r="90" spans="1:18" outlineLevel="1" x14ac:dyDescent="0.3">
      <c r="A90" s="2" t="s">
        <v>291</v>
      </c>
      <c r="B90" s="2" t="s">
        <v>301</v>
      </c>
      <c r="C90" s="2" t="s">
        <v>302</v>
      </c>
      <c r="D90" s="2" t="s">
        <v>303</v>
      </c>
      <c r="E90" s="2" t="s">
        <v>70</v>
      </c>
      <c r="F90" s="3">
        <v>46203</v>
      </c>
      <c r="G90" s="7">
        <v>-40</v>
      </c>
      <c r="H90" s="3">
        <v>46263</v>
      </c>
      <c r="I90" s="5">
        <v>533250</v>
      </c>
      <c r="J90" s="2" t="s">
        <v>68</v>
      </c>
      <c r="K90" s="2" t="s">
        <v>528</v>
      </c>
      <c r="L90" s="16">
        <f t="shared" si="17"/>
        <v>46263</v>
      </c>
      <c r="M90" s="17">
        <f t="shared" ca="1" si="21"/>
        <v>-40</v>
      </c>
      <c r="N90" s="16">
        <v>46263</v>
      </c>
      <c r="O90" s="16">
        <f t="shared" si="15"/>
        <v>46263</v>
      </c>
      <c r="P90" s="9">
        <f t="shared" si="19"/>
        <v>533250</v>
      </c>
      <c r="Q90" s="17">
        <f t="shared" ca="1" si="20"/>
        <v>20</v>
      </c>
      <c r="R90" t="s">
        <v>539</v>
      </c>
    </row>
    <row r="91" spans="1:18" outlineLevel="1" x14ac:dyDescent="0.3">
      <c r="A91" s="2" t="s">
        <v>291</v>
      </c>
      <c r="B91" s="2" t="s">
        <v>304</v>
      </c>
      <c r="C91" s="2" t="s">
        <v>305</v>
      </c>
      <c r="D91" s="2" t="s">
        <v>306</v>
      </c>
      <c r="E91" s="2" t="s">
        <v>70</v>
      </c>
      <c r="F91" s="3">
        <v>46203</v>
      </c>
      <c r="G91" s="7">
        <v>-25</v>
      </c>
      <c r="H91" s="3">
        <v>46248</v>
      </c>
      <c r="I91" s="5">
        <v>169092</v>
      </c>
      <c r="J91" s="2" t="s">
        <v>68</v>
      </c>
      <c r="K91" s="2" t="s">
        <v>528</v>
      </c>
      <c r="L91" s="16">
        <f t="shared" si="17"/>
        <v>46263</v>
      </c>
      <c r="M91" s="17">
        <f t="shared" ca="1" si="21"/>
        <v>-40</v>
      </c>
      <c r="N91" s="16">
        <v>46263</v>
      </c>
      <c r="O91" s="16">
        <v>46263</v>
      </c>
      <c r="P91" s="9">
        <f t="shared" si="19"/>
        <v>169092</v>
      </c>
      <c r="Q91" s="17">
        <f t="shared" ca="1" si="20"/>
        <v>20</v>
      </c>
      <c r="R91" t="s">
        <v>539</v>
      </c>
    </row>
    <row r="92" spans="1:18" outlineLevel="1" x14ac:dyDescent="0.3">
      <c r="A92" s="2" t="s">
        <v>291</v>
      </c>
      <c r="B92" s="2" t="s">
        <v>307</v>
      </c>
      <c r="C92" s="2" t="s">
        <v>308</v>
      </c>
      <c r="D92" s="2" t="s">
        <v>309</v>
      </c>
      <c r="E92" s="2" t="s">
        <v>70</v>
      </c>
      <c r="F92" s="3">
        <v>46203</v>
      </c>
      <c r="G92" s="7">
        <v>-40</v>
      </c>
      <c r="H92" s="3">
        <v>46263</v>
      </c>
      <c r="I92" s="5">
        <v>213300</v>
      </c>
      <c r="J92" s="2" t="s">
        <v>68</v>
      </c>
      <c r="K92" s="2" t="s">
        <v>528</v>
      </c>
      <c r="L92" s="16">
        <f t="shared" si="17"/>
        <v>46263</v>
      </c>
      <c r="M92" s="17">
        <f t="shared" ca="1" si="21"/>
        <v>-40</v>
      </c>
      <c r="N92" s="16">
        <v>46263</v>
      </c>
      <c r="O92" s="16">
        <f t="shared" si="15"/>
        <v>46263</v>
      </c>
      <c r="P92" s="9">
        <f t="shared" si="19"/>
        <v>213300</v>
      </c>
      <c r="Q92" s="17">
        <f t="shared" ca="1" si="20"/>
        <v>20</v>
      </c>
      <c r="R92" t="s">
        <v>539</v>
      </c>
    </row>
    <row r="93" spans="1:18" outlineLevel="1" x14ac:dyDescent="0.3">
      <c r="A93" s="2" t="s">
        <v>310</v>
      </c>
      <c r="B93" s="2" t="s">
        <v>311</v>
      </c>
      <c r="C93" s="2" t="s">
        <v>312</v>
      </c>
      <c r="D93" s="2" t="s">
        <v>313</v>
      </c>
      <c r="E93" s="2" t="s">
        <v>64</v>
      </c>
      <c r="F93" s="3">
        <v>46171</v>
      </c>
      <c r="G93" s="4">
        <v>52</v>
      </c>
      <c r="H93" s="3">
        <v>46171</v>
      </c>
      <c r="I93" s="5">
        <v>45810</v>
      </c>
      <c r="J93" s="2" t="s">
        <v>68</v>
      </c>
      <c r="K93" s="2" t="s">
        <v>528</v>
      </c>
      <c r="L93" s="16">
        <f t="shared" si="17"/>
        <v>46231</v>
      </c>
      <c r="M93" s="17">
        <f t="shared" ca="1" si="21"/>
        <v>-8</v>
      </c>
      <c r="N93" s="16">
        <v>46231</v>
      </c>
      <c r="O93" s="16">
        <v>46231</v>
      </c>
      <c r="P93" s="9">
        <f t="shared" si="19"/>
        <v>45810</v>
      </c>
      <c r="Q93" s="17">
        <f t="shared" ca="1" si="20"/>
        <v>52</v>
      </c>
      <c r="R93" t="s">
        <v>540</v>
      </c>
    </row>
    <row r="94" spans="1:18" outlineLevel="1" x14ac:dyDescent="0.3">
      <c r="A94" s="2" t="s">
        <v>314</v>
      </c>
      <c r="B94" s="2" t="s">
        <v>315</v>
      </c>
      <c r="C94" s="2" t="s">
        <v>316</v>
      </c>
      <c r="D94" s="2" t="s">
        <v>317</v>
      </c>
      <c r="E94" s="2" t="s">
        <v>14</v>
      </c>
      <c r="F94" s="3">
        <v>45964</v>
      </c>
      <c r="G94" s="4">
        <v>252</v>
      </c>
      <c r="H94" s="3">
        <v>45971</v>
      </c>
      <c r="I94" s="5">
        <v>1403.26</v>
      </c>
      <c r="J94" s="2" t="s">
        <v>15</v>
      </c>
      <c r="K94" s="2" t="s">
        <v>525</v>
      </c>
      <c r="N94" s="16"/>
      <c r="O94" s="16">
        <f>H94</f>
        <v>45971</v>
      </c>
      <c r="P94" s="8">
        <f>I94/3.408</f>
        <v>411.75469483568077</v>
      </c>
    </row>
    <row r="95" spans="1:18" outlineLevel="1" x14ac:dyDescent="0.3">
      <c r="A95" s="2" t="s">
        <v>314</v>
      </c>
      <c r="B95" s="2" t="s">
        <v>318</v>
      </c>
      <c r="C95" s="2" t="s">
        <v>319</v>
      </c>
      <c r="D95" s="2" t="s">
        <v>320</v>
      </c>
      <c r="E95" s="2" t="s">
        <v>14</v>
      </c>
      <c r="F95" s="3">
        <v>45964</v>
      </c>
      <c r="G95" s="4">
        <v>252</v>
      </c>
      <c r="H95" s="3">
        <v>45971</v>
      </c>
      <c r="I95" s="5">
        <v>141.6</v>
      </c>
      <c r="J95" s="2" t="s">
        <v>15</v>
      </c>
      <c r="K95" s="2" t="s">
        <v>525</v>
      </c>
      <c r="N95" s="16"/>
      <c r="O95" s="16">
        <f t="shared" ref="O95:O124" si="22">H95</f>
        <v>45971</v>
      </c>
      <c r="P95" s="8">
        <f t="shared" ref="P95:P121" si="23">I95/3.408</f>
        <v>41.549295774647888</v>
      </c>
    </row>
    <row r="96" spans="1:18" outlineLevel="1" x14ac:dyDescent="0.3">
      <c r="A96" s="2" t="s">
        <v>314</v>
      </c>
      <c r="B96" s="2" t="s">
        <v>321</v>
      </c>
      <c r="C96" s="2" t="s">
        <v>322</v>
      </c>
      <c r="D96" s="2" t="s">
        <v>323</v>
      </c>
      <c r="E96" s="2" t="s">
        <v>14</v>
      </c>
      <c r="F96" s="3">
        <v>45967</v>
      </c>
      <c r="G96" s="4">
        <v>249</v>
      </c>
      <c r="H96" s="3">
        <v>45974</v>
      </c>
      <c r="I96" s="5">
        <v>1193.22</v>
      </c>
      <c r="J96" s="2" t="s">
        <v>15</v>
      </c>
      <c r="K96" s="2" t="s">
        <v>525</v>
      </c>
      <c r="N96" s="16"/>
      <c r="O96" s="16">
        <f t="shared" si="22"/>
        <v>45974</v>
      </c>
      <c r="P96" s="8">
        <f t="shared" si="23"/>
        <v>350.12323943661971</v>
      </c>
    </row>
    <row r="97" spans="1:16" outlineLevel="1" x14ac:dyDescent="0.3">
      <c r="A97" s="2" t="s">
        <v>314</v>
      </c>
      <c r="B97" s="2" t="s">
        <v>324</v>
      </c>
      <c r="C97" s="2" t="s">
        <v>325</v>
      </c>
      <c r="D97" s="2" t="s">
        <v>326</v>
      </c>
      <c r="E97" s="2" t="s">
        <v>14</v>
      </c>
      <c r="F97" s="3">
        <v>45967</v>
      </c>
      <c r="G97" s="4">
        <v>249</v>
      </c>
      <c r="H97" s="3">
        <v>45974</v>
      </c>
      <c r="I97" s="5">
        <v>106.2</v>
      </c>
      <c r="J97" s="2" t="s">
        <v>15</v>
      </c>
      <c r="K97" s="2" t="s">
        <v>525</v>
      </c>
      <c r="N97" s="16"/>
      <c r="O97" s="16">
        <f t="shared" si="22"/>
        <v>45974</v>
      </c>
      <c r="P97" s="8">
        <f t="shared" si="23"/>
        <v>31.161971830985916</v>
      </c>
    </row>
    <row r="98" spans="1:16" outlineLevel="1" x14ac:dyDescent="0.3">
      <c r="A98" s="2" t="s">
        <v>314</v>
      </c>
      <c r="B98" s="2" t="s">
        <v>327</v>
      </c>
      <c r="C98" s="2" t="s">
        <v>328</v>
      </c>
      <c r="D98" s="2" t="s">
        <v>329</v>
      </c>
      <c r="E98" s="2" t="s">
        <v>14</v>
      </c>
      <c r="F98" s="3">
        <v>46148</v>
      </c>
      <c r="G98" s="4">
        <v>68</v>
      </c>
      <c r="H98" s="3">
        <v>46155</v>
      </c>
      <c r="I98" s="5">
        <v>23.6</v>
      </c>
      <c r="J98" s="2" t="s">
        <v>15</v>
      </c>
      <c r="K98" s="2" t="s">
        <v>525</v>
      </c>
      <c r="N98" s="16"/>
      <c r="O98" s="16">
        <f t="shared" si="22"/>
        <v>46155</v>
      </c>
      <c r="P98" s="8">
        <f t="shared" si="23"/>
        <v>6.9248826291079819</v>
      </c>
    </row>
    <row r="99" spans="1:16" outlineLevel="1" x14ac:dyDescent="0.3">
      <c r="A99" s="2" t="s">
        <v>314</v>
      </c>
      <c r="B99" s="2" t="s">
        <v>330</v>
      </c>
      <c r="C99" s="2" t="s">
        <v>331</v>
      </c>
      <c r="D99" s="2" t="s">
        <v>332</v>
      </c>
      <c r="E99" s="2" t="s">
        <v>14</v>
      </c>
      <c r="F99" s="3">
        <v>46148</v>
      </c>
      <c r="G99" s="4">
        <v>68</v>
      </c>
      <c r="H99" s="3">
        <v>46155</v>
      </c>
      <c r="I99" s="5">
        <v>261.49</v>
      </c>
      <c r="J99" s="2" t="s">
        <v>15</v>
      </c>
      <c r="K99" s="2" t="s">
        <v>525</v>
      </c>
      <c r="N99" s="16"/>
      <c r="O99" s="16">
        <f t="shared" si="22"/>
        <v>46155</v>
      </c>
      <c r="P99" s="8">
        <f t="shared" si="23"/>
        <v>76.728286384976528</v>
      </c>
    </row>
    <row r="100" spans="1:16" outlineLevel="1" x14ac:dyDescent="0.3">
      <c r="A100" s="2" t="s">
        <v>314</v>
      </c>
      <c r="B100" s="2" t="s">
        <v>333</v>
      </c>
      <c r="C100" s="2" t="s">
        <v>334</v>
      </c>
      <c r="D100" s="2" t="s">
        <v>335</v>
      </c>
      <c r="E100" s="2" t="s">
        <v>14</v>
      </c>
      <c r="F100" s="3">
        <v>46148</v>
      </c>
      <c r="G100" s="4">
        <v>68</v>
      </c>
      <c r="H100" s="3">
        <v>46155</v>
      </c>
      <c r="I100" s="5">
        <v>387.51</v>
      </c>
      <c r="J100" s="2" t="s">
        <v>15</v>
      </c>
      <c r="K100" s="2" t="s">
        <v>525</v>
      </c>
      <c r="N100" s="16"/>
      <c r="O100" s="16">
        <f t="shared" si="22"/>
        <v>46155</v>
      </c>
      <c r="P100" s="8">
        <f t="shared" si="23"/>
        <v>113.70598591549296</v>
      </c>
    </row>
    <row r="101" spans="1:16" outlineLevel="1" x14ac:dyDescent="0.3">
      <c r="A101" s="2" t="s">
        <v>314</v>
      </c>
      <c r="B101" s="2" t="s">
        <v>336</v>
      </c>
      <c r="C101" s="2" t="s">
        <v>337</v>
      </c>
      <c r="D101" s="2" t="s">
        <v>338</v>
      </c>
      <c r="E101" s="2" t="s">
        <v>14</v>
      </c>
      <c r="F101" s="3">
        <v>46148</v>
      </c>
      <c r="G101" s="4">
        <v>68</v>
      </c>
      <c r="H101" s="3">
        <v>46155</v>
      </c>
      <c r="I101" s="5">
        <v>35.4</v>
      </c>
      <c r="J101" s="2" t="s">
        <v>15</v>
      </c>
      <c r="K101" s="2" t="s">
        <v>525</v>
      </c>
      <c r="N101" s="16"/>
      <c r="O101" s="16">
        <f t="shared" si="22"/>
        <v>46155</v>
      </c>
      <c r="P101" s="8">
        <f t="shared" si="23"/>
        <v>10.387323943661972</v>
      </c>
    </row>
    <row r="102" spans="1:16" outlineLevel="1" x14ac:dyDescent="0.3">
      <c r="A102" s="2" t="s">
        <v>314</v>
      </c>
      <c r="B102" s="2" t="s">
        <v>339</v>
      </c>
      <c r="C102" s="2" t="s">
        <v>340</v>
      </c>
      <c r="D102" s="2" t="s">
        <v>341</v>
      </c>
      <c r="E102" s="2" t="s">
        <v>14</v>
      </c>
      <c r="F102" s="3">
        <v>46154</v>
      </c>
      <c r="G102" s="4">
        <v>62</v>
      </c>
      <c r="H102" s="3">
        <v>46161</v>
      </c>
      <c r="I102" s="5">
        <v>482.86</v>
      </c>
      <c r="J102" s="2" t="s">
        <v>15</v>
      </c>
      <c r="K102" s="2" t="s">
        <v>525</v>
      </c>
      <c r="N102" s="16"/>
      <c r="O102" s="16">
        <f t="shared" si="22"/>
        <v>46161</v>
      </c>
      <c r="P102" s="8">
        <f t="shared" si="23"/>
        <v>141.6842723004695</v>
      </c>
    </row>
    <row r="103" spans="1:16" outlineLevel="1" x14ac:dyDescent="0.3">
      <c r="A103" s="2" t="s">
        <v>314</v>
      </c>
      <c r="B103" s="2" t="s">
        <v>342</v>
      </c>
      <c r="C103" s="2" t="s">
        <v>343</v>
      </c>
      <c r="D103" s="2" t="s">
        <v>344</v>
      </c>
      <c r="E103" s="2" t="s">
        <v>14</v>
      </c>
      <c r="F103" s="3">
        <v>46154</v>
      </c>
      <c r="G103" s="4">
        <v>62</v>
      </c>
      <c r="H103" s="3">
        <v>46161</v>
      </c>
      <c r="I103" s="5">
        <v>47.2</v>
      </c>
      <c r="J103" s="2" t="s">
        <v>15</v>
      </c>
      <c r="K103" s="2" t="s">
        <v>525</v>
      </c>
      <c r="N103" s="16"/>
      <c r="O103" s="16">
        <f t="shared" si="22"/>
        <v>46161</v>
      </c>
      <c r="P103" s="8">
        <f t="shared" si="23"/>
        <v>13.849765258215964</v>
      </c>
    </row>
    <row r="104" spans="1:16" outlineLevel="1" x14ac:dyDescent="0.3">
      <c r="A104" s="2" t="s">
        <v>314</v>
      </c>
      <c r="B104" s="2" t="s">
        <v>345</v>
      </c>
      <c r="C104" s="2" t="s">
        <v>346</v>
      </c>
      <c r="D104" s="2" t="s">
        <v>347</v>
      </c>
      <c r="E104" s="2" t="s">
        <v>14</v>
      </c>
      <c r="F104" s="3">
        <v>46158</v>
      </c>
      <c r="G104" s="4">
        <v>58</v>
      </c>
      <c r="H104" s="3">
        <v>46165</v>
      </c>
      <c r="I104" s="5">
        <v>544.45000000000005</v>
      </c>
      <c r="J104" s="2" t="s">
        <v>15</v>
      </c>
      <c r="K104" s="2" t="s">
        <v>525</v>
      </c>
      <c r="N104" s="16"/>
      <c r="O104" s="16">
        <f t="shared" si="22"/>
        <v>46165</v>
      </c>
      <c r="P104" s="8">
        <f t="shared" si="23"/>
        <v>159.75645539906105</v>
      </c>
    </row>
    <row r="105" spans="1:16" outlineLevel="1" x14ac:dyDescent="0.3">
      <c r="A105" s="2" t="s">
        <v>314</v>
      </c>
      <c r="B105" s="2" t="s">
        <v>348</v>
      </c>
      <c r="C105" s="2" t="s">
        <v>349</v>
      </c>
      <c r="D105" s="2" t="s">
        <v>350</v>
      </c>
      <c r="E105" s="2" t="s">
        <v>14</v>
      </c>
      <c r="F105" s="3">
        <v>46158</v>
      </c>
      <c r="G105" s="4">
        <v>58</v>
      </c>
      <c r="H105" s="3">
        <v>46165</v>
      </c>
      <c r="I105" s="5">
        <v>47.2</v>
      </c>
      <c r="J105" s="2" t="s">
        <v>15</v>
      </c>
      <c r="K105" s="2" t="s">
        <v>525</v>
      </c>
      <c r="N105" s="16"/>
      <c r="O105" s="16">
        <f t="shared" si="22"/>
        <v>46165</v>
      </c>
      <c r="P105" s="8">
        <f t="shared" si="23"/>
        <v>13.849765258215964</v>
      </c>
    </row>
    <row r="106" spans="1:16" outlineLevel="1" x14ac:dyDescent="0.3">
      <c r="A106" s="2" t="s">
        <v>314</v>
      </c>
      <c r="B106" s="2" t="s">
        <v>351</v>
      </c>
      <c r="C106" s="2" t="s">
        <v>352</v>
      </c>
      <c r="D106" s="2" t="s">
        <v>353</v>
      </c>
      <c r="E106" s="2" t="s">
        <v>14</v>
      </c>
      <c r="F106" s="3">
        <v>46169</v>
      </c>
      <c r="G106" s="4">
        <v>47</v>
      </c>
      <c r="H106" s="3">
        <v>46176</v>
      </c>
      <c r="I106" s="5">
        <v>591.65</v>
      </c>
      <c r="J106" s="2" t="s">
        <v>15</v>
      </c>
      <c r="K106" s="2" t="s">
        <v>525</v>
      </c>
      <c r="N106" s="16"/>
      <c r="O106" s="16">
        <f t="shared" si="22"/>
        <v>46176</v>
      </c>
      <c r="P106" s="8">
        <f t="shared" si="23"/>
        <v>173.60622065727699</v>
      </c>
    </row>
    <row r="107" spans="1:16" outlineLevel="1" x14ac:dyDescent="0.3">
      <c r="A107" s="2" t="s">
        <v>314</v>
      </c>
      <c r="B107" s="2" t="s">
        <v>354</v>
      </c>
      <c r="C107" s="2" t="s">
        <v>355</v>
      </c>
      <c r="D107" s="2" t="s">
        <v>356</v>
      </c>
      <c r="E107" s="2" t="s">
        <v>14</v>
      </c>
      <c r="F107" s="3">
        <v>46169</v>
      </c>
      <c r="G107" s="4">
        <v>47</v>
      </c>
      <c r="H107" s="3">
        <v>46176</v>
      </c>
      <c r="I107" s="5">
        <v>70.8</v>
      </c>
      <c r="J107" s="2" t="s">
        <v>15</v>
      </c>
      <c r="K107" s="2" t="s">
        <v>525</v>
      </c>
      <c r="N107" s="16"/>
      <c r="O107" s="16">
        <f t="shared" si="22"/>
        <v>46176</v>
      </c>
      <c r="P107" s="8">
        <f t="shared" si="23"/>
        <v>20.774647887323944</v>
      </c>
    </row>
    <row r="108" spans="1:16" outlineLevel="1" x14ac:dyDescent="0.3">
      <c r="A108" s="2" t="s">
        <v>314</v>
      </c>
      <c r="B108" s="2" t="s">
        <v>357</v>
      </c>
      <c r="C108" s="2" t="s">
        <v>358</v>
      </c>
      <c r="D108" s="2" t="s">
        <v>359</v>
      </c>
      <c r="E108" s="2" t="s">
        <v>14</v>
      </c>
      <c r="F108" s="3">
        <v>46175</v>
      </c>
      <c r="G108" s="4">
        <v>41</v>
      </c>
      <c r="H108" s="3">
        <v>46182</v>
      </c>
      <c r="I108" s="5">
        <v>185.97</v>
      </c>
      <c r="J108" s="2" t="s">
        <v>15</v>
      </c>
      <c r="K108" s="2" t="s">
        <v>525</v>
      </c>
      <c r="N108" s="16"/>
      <c r="O108" s="16">
        <f t="shared" si="22"/>
        <v>46182</v>
      </c>
      <c r="P108" s="8">
        <f t="shared" si="23"/>
        <v>54.568661971830984</v>
      </c>
    </row>
    <row r="109" spans="1:16" outlineLevel="1" x14ac:dyDescent="0.3">
      <c r="A109" s="2" t="s">
        <v>314</v>
      </c>
      <c r="B109" s="2" t="s">
        <v>360</v>
      </c>
      <c r="C109" s="2" t="s">
        <v>361</v>
      </c>
      <c r="D109" s="2" t="s">
        <v>362</v>
      </c>
      <c r="E109" s="2" t="s">
        <v>14</v>
      </c>
      <c r="F109" s="3">
        <v>46175</v>
      </c>
      <c r="G109" s="4">
        <v>41</v>
      </c>
      <c r="H109" s="3">
        <v>46182</v>
      </c>
      <c r="I109" s="5">
        <v>23.6</v>
      </c>
      <c r="J109" s="2" t="s">
        <v>15</v>
      </c>
      <c r="K109" s="2" t="s">
        <v>525</v>
      </c>
      <c r="N109" s="16"/>
      <c r="O109" s="16">
        <f t="shared" si="22"/>
        <v>46182</v>
      </c>
      <c r="P109" s="8">
        <f t="shared" si="23"/>
        <v>6.9248826291079819</v>
      </c>
    </row>
    <row r="110" spans="1:16" outlineLevel="1" x14ac:dyDescent="0.3">
      <c r="A110" s="2" t="s">
        <v>314</v>
      </c>
      <c r="B110" s="2" t="s">
        <v>363</v>
      </c>
      <c r="C110" s="2" t="s">
        <v>364</v>
      </c>
      <c r="D110" s="2" t="s">
        <v>365</v>
      </c>
      <c r="E110" s="2" t="s">
        <v>14</v>
      </c>
      <c r="F110" s="3">
        <v>46186</v>
      </c>
      <c r="G110" s="4">
        <v>30</v>
      </c>
      <c r="H110" s="3">
        <v>46193</v>
      </c>
      <c r="I110" s="5">
        <v>535.25</v>
      </c>
      <c r="J110" s="2" t="s">
        <v>15</v>
      </c>
      <c r="K110" s="2" t="s">
        <v>525</v>
      </c>
      <c r="N110" s="16"/>
      <c r="O110" s="16">
        <f t="shared" si="22"/>
        <v>46193</v>
      </c>
      <c r="P110" s="8">
        <f t="shared" si="23"/>
        <v>157.05692488262912</v>
      </c>
    </row>
    <row r="111" spans="1:16" outlineLevel="1" x14ac:dyDescent="0.3">
      <c r="A111" s="2" t="s">
        <v>314</v>
      </c>
      <c r="B111" s="2" t="s">
        <v>366</v>
      </c>
      <c r="C111" s="2" t="s">
        <v>367</v>
      </c>
      <c r="D111" s="2" t="s">
        <v>368</v>
      </c>
      <c r="E111" s="2" t="s">
        <v>14</v>
      </c>
      <c r="F111" s="3">
        <v>46186</v>
      </c>
      <c r="G111" s="4">
        <v>30</v>
      </c>
      <c r="H111" s="3">
        <v>46193</v>
      </c>
      <c r="I111" s="5">
        <v>70.8</v>
      </c>
      <c r="J111" s="2" t="s">
        <v>15</v>
      </c>
      <c r="K111" s="2" t="s">
        <v>525</v>
      </c>
      <c r="N111" s="16"/>
      <c r="O111" s="16">
        <f t="shared" si="22"/>
        <v>46193</v>
      </c>
      <c r="P111" s="8">
        <f t="shared" si="23"/>
        <v>20.774647887323944</v>
      </c>
    </row>
    <row r="112" spans="1:16" outlineLevel="1" x14ac:dyDescent="0.3">
      <c r="A112" s="2" t="s">
        <v>314</v>
      </c>
      <c r="B112" s="2" t="s">
        <v>369</v>
      </c>
      <c r="C112" s="2" t="s">
        <v>370</v>
      </c>
      <c r="D112" s="2" t="s">
        <v>371</v>
      </c>
      <c r="E112" s="2" t="s">
        <v>14</v>
      </c>
      <c r="F112" s="3">
        <v>46206</v>
      </c>
      <c r="G112" s="4">
        <v>10</v>
      </c>
      <c r="H112" s="3">
        <v>46213</v>
      </c>
      <c r="I112" s="5">
        <v>449.11</v>
      </c>
      <c r="J112" s="2" t="s">
        <v>15</v>
      </c>
      <c r="K112" s="2" t="s">
        <v>525</v>
      </c>
      <c r="N112" s="16"/>
      <c r="O112" s="16">
        <f t="shared" si="22"/>
        <v>46213</v>
      </c>
      <c r="P112" s="8">
        <f t="shared" si="23"/>
        <v>131.78110328638499</v>
      </c>
    </row>
    <row r="113" spans="1:18" outlineLevel="1" x14ac:dyDescent="0.3">
      <c r="A113" s="2" t="s">
        <v>314</v>
      </c>
      <c r="B113" s="2" t="s">
        <v>372</v>
      </c>
      <c r="C113" s="2" t="s">
        <v>373</v>
      </c>
      <c r="D113" s="2" t="s">
        <v>374</v>
      </c>
      <c r="E113" s="2" t="s">
        <v>14</v>
      </c>
      <c r="F113" s="3">
        <v>46206</v>
      </c>
      <c r="G113" s="4">
        <v>10</v>
      </c>
      <c r="H113" s="3">
        <v>46213</v>
      </c>
      <c r="I113" s="5">
        <v>35.4</v>
      </c>
      <c r="J113" s="2" t="s">
        <v>15</v>
      </c>
      <c r="K113" s="2" t="s">
        <v>525</v>
      </c>
      <c r="N113" s="16"/>
      <c r="O113" s="16">
        <f t="shared" si="22"/>
        <v>46213</v>
      </c>
      <c r="P113" s="8">
        <f t="shared" si="23"/>
        <v>10.387323943661972</v>
      </c>
    </row>
    <row r="114" spans="1:18" outlineLevel="1" x14ac:dyDescent="0.3">
      <c r="A114" s="2" t="s">
        <v>314</v>
      </c>
      <c r="B114" s="2" t="s">
        <v>375</v>
      </c>
      <c r="C114" s="2" t="s">
        <v>376</v>
      </c>
      <c r="D114" s="2" t="s">
        <v>377</v>
      </c>
      <c r="E114" s="2" t="s">
        <v>14</v>
      </c>
      <c r="F114" s="3">
        <v>46220</v>
      </c>
      <c r="G114" s="7">
        <v>-4</v>
      </c>
      <c r="H114" s="3">
        <v>46227</v>
      </c>
      <c r="I114" s="5">
        <v>355.65</v>
      </c>
      <c r="J114" s="2" t="s">
        <v>15</v>
      </c>
      <c r="K114" s="2" t="s">
        <v>525</v>
      </c>
      <c r="N114" s="16"/>
      <c r="O114" s="16">
        <f t="shared" si="22"/>
        <v>46227</v>
      </c>
      <c r="P114" s="8">
        <f t="shared" si="23"/>
        <v>104.35739436619718</v>
      </c>
    </row>
    <row r="115" spans="1:18" outlineLevel="1" x14ac:dyDescent="0.3">
      <c r="A115" s="2" t="s">
        <v>314</v>
      </c>
      <c r="B115" s="2" t="s">
        <v>378</v>
      </c>
      <c r="C115" s="2" t="s">
        <v>379</v>
      </c>
      <c r="D115" s="2" t="s">
        <v>380</v>
      </c>
      <c r="E115" s="2" t="s">
        <v>14</v>
      </c>
      <c r="F115" s="3">
        <v>46220</v>
      </c>
      <c r="G115" s="7">
        <v>-4</v>
      </c>
      <c r="H115" s="3">
        <v>46227</v>
      </c>
      <c r="I115" s="5">
        <v>47.2</v>
      </c>
      <c r="J115" s="2" t="s">
        <v>15</v>
      </c>
      <c r="K115" s="2" t="s">
        <v>525</v>
      </c>
      <c r="N115" s="16"/>
      <c r="O115" s="16">
        <f t="shared" si="22"/>
        <v>46227</v>
      </c>
      <c r="P115" s="8">
        <f t="shared" si="23"/>
        <v>13.849765258215964</v>
      </c>
    </row>
    <row r="116" spans="1:18" outlineLevel="1" x14ac:dyDescent="0.3">
      <c r="A116" s="2" t="s">
        <v>381</v>
      </c>
      <c r="B116" s="2" t="s">
        <v>382</v>
      </c>
      <c r="C116" s="2" t="s">
        <v>383</v>
      </c>
      <c r="D116" s="2" t="s">
        <v>384</v>
      </c>
      <c r="E116" s="2" t="s">
        <v>14</v>
      </c>
      <c r="F116" s="3">
        <v>46140</v>
      </c>
      <c r="G116" s="4">
        <v>83</v>
      </c>
      <c r="H116" s="3">
        <v>46140</v>
      </c>
      <c r="I116" s="5">
        <v>59</v>
      </c>
      <c r="J116" s="2" t="s">
        <v>15</v>
      </c>
      <c r="K116" s="2" t="s">
        <v>524</v>
      </c>
      <c r="N116" s="16"/>
      <c r="O116" s="16">
        <f t="shared" si="22"/>
        <v>46140</v>
      </c>
      <c r="P116" s="8">
        <f t="shared" si="23"/>
        <v>17.312206572769952</v>
      </c>
    </row>
    <row r="117" spans="1:18" outlineLevel="1" x14ac:dyDescent="0.3">
      <c r="A117" s="2" t="s">
        <v>381</v>
      </c>
      <c r="B117" s="2" t="s">
        <v>385</v>
      </c>
      <c r="C117" s="2" t="s">
        <v>386</v>
      </c>
      <c r="D117" s="2" t="s">
        <v>387</v>
      </c>
      <c r="E117" s="2" t="s">
        <v>14</v>
      </c>
      <c r="F117" s="3">
        <v>46140</v>
      </c>
      <c r="G117" s="4">
        <v>83</v>
      </c>
      <c r="H117" s="3">
        <v>46140</v>
      </c>
      <c r="I117" s="5">
        <v>716.71</v>
      </c>
      <c r="J117" s="2" t="s">
        <v>15</v>
      </c>
      <c r="K117" s="2" t="s">
        <v>524</v>
      </c>
      <c r="N117" s="16"/>
      <c r="O117" s="16">
        <f t="shared" si="22"/>
        <v>46140</v>
      </c>
      <c r="P117" s="8">
        <f t="shared" si="23"/>
        <v>210.30223004694838</v>
      </c>
    </row>
    <row r="118" spans="1:18" outlineLevel="1" x14ac:dyDescent="0.3">
      <c r="A118" s="2" t="s">
        <v>381</v>
      </c>
      <c r="B118" s="2" t="s">
        <v>388</v>
      </c>
      <c r="C118" s="2" t="s">
        <v>389</v>
      </c>
      <c r="D118" s="2" t="s">
        <v>390</v>
      </c>
      <c r="E118" s="2" t="s">
        <v>14</v>
      </c>
      <c r="F118" s="3">
        <v>46140</v>
      </c>
      <c r="G118" s="4">
        <v>83</v>
      </c>
      <c r="H118" s="3">
        <v>46140</v>
      </c>
      <c r="I118" s="5">
        <v>129.80000000000001</v>
      </c>
      <c r="J118" s="2" t="s">
        <v>15</v>
      </c>
      <c r="K118" s="2" t="s">
        <v>524</v>
      </c>
      <c r="N118" s="16"/>
      <c r="O118" s="16">
        <f t="shared" si="22"/>
        <v>46140</v>
      </c>
      <c r="P118" s="8">
        <f t="shared" si="23"/>
        <v>38.086854460093903</v>
      </c>
    </row>
    <row r="119" spans="1:18" outlineLevel="1" x14ac:dyDescent="0.3">
      <c r="A119" s="2" t="s">
        <v>381</v>
      </c>
      <c r="B119" s="2" t="s">
        <v>391</v>
      </c>
      <c r="C119" s="2" t="s">
        <v>392</v>
      </c>
      <c r="D119" s="2" t="s">
        <v>393</v>
      </c>
      <c r="E119" s="2" t="s">
        <v>64</v>
      </c>
      <c r="F119" s="3">
        <v>46140</v>
      </c>
      <c r="G119" s="4">
        <v>83</v>
      </c>
      <c r="H119" s="3">
        <v>46140</v>
      </c>
      <c r="I119" s="5">
        <v>422.56</v>
      </c>
      <c r="J119" s="2" t="s">
        <v>15</v>
      </c>
      <c r="K119" s="2" t="s">
        <v>524</v>
      </c>
      <c r="N119" s="16"/>
      <c r="O119" s="16">
        <f t="shared" si="22"/>
        <v>46140</v>
      </c>
      <c r="P119" s="8">
        <f t="shared" si="23"/>
        <v>123.9906103286385</v>
      </c>
    </row>
    <row r="120" spans="1:18" outlineLevel="1" x14ac:dyDescent="0.3">
      <c r="A120" s="2" t="s">
        <v>381</v>
      </c>
      <c r="B120" s="2" t="s">
        <v>394</v>
      </c>
      <c r="C120" s="2" t="s">
        <v>395</v>
      </c>
      <c r="D120" s="2" t="s">
        <v>396</v>
      </c>
      <c r="E120" s="2" t="s">
        <v>14</v>
      </c>
      <c r="F120" s="3">
        <v>46154</v>
      </c>
      <c r="G120" s="4">
        <v>69</v>
      </c>
      <c r="H120" s="3">
        <v>46154</v>
      </c>
      <c r="I120" s="5">
        <v>404.98</v>
      </c>
      <c r="J120" s="2" t="s">
        <v>15</v>
      </c>
      <c r="K120" s="2" t="s">
        <v>524</v>
      </c>
      <c r="N120" s="16"/>
      <c r="O120" s="16">
        <f t="shared" si="22"/>
        <v>46154</v>
      </c>
      <c r="P120" s="8">
        <f t="shared" si="23"/>
        <v>118.83215962441315</v>
      </c>
    </row>
    <row r="121" spans="1:18" outlineLevel="1" x14ac:dyDescent="0.3">
      <c r="A121" s="2" t="s">
        <v>381</v>
      </c>
      <c r="B121" s="2" t="s">
        <v>397</v>
      </c>
      <c r="C121" s="2" t="s">
        <v>398</v>
      </c>
      <c r="D121" s="2" t="s">
        <v>399</v>
      </c>
      <c r="E121" s="2" t="s">
        <v>14</v>
      </c>
      <c r="F121" s="3">
        <v>46154</v>
      </c>
      <c r="G121" s="4">
        <v>69</v>
      </c>
      <c r="H121" s="3">
        <v>46154</v>
      </c>
      <c r="I121" s="5">
        <v>59</v>
      </c>
      <c r="J121" s="2" t="s">
        <v>15</v>
      </c>
      <c r="K121" s="2" t="s">
        <v>524</v>
      </c>
      <c r="N121" s="16"/>
      <c r="O121" s="16">
        <f t="shared" si="22"/>
        <v>46154</v>
      </c>
      <c r="P121" s="8">
        <f t="shared" si="23"/>
        <v>17.312206572769952</v>
      </c>
    </row>
    <row r="122" spans="1:18" outlineLevel="1" x14ac:dyDescent="0.3">
      <c r="A122" s="2" t="s">
        <v>400</v>
      </c>
      <c r="B122" s="2" t="s">
        <v>401</v>
      </c>
      <c r="C122" s="2" t="s">
        <v>402</v>
      </c>
      <c r="D122" s="2" t="s">
        <v>403</v>
      </c>
      <c r="E122" s="2" t="s">
        <v>64</v>
      </c>
      <c r="F122" s="3">
        <v>46171</v>
      </c>
      <c r="G122" s="4">
        <v>52</v>
      </c>
      <c r="H122" s="3">
        <v>46171</v>
      </c>
      <c r="I122" s="5">
        <v>67008</v>
      </c>
      <c r="J122" s="2" t="s">
        <v>68</v>
      </c>
      <c r="K122" s="2" t="s">
        <v>528</v>
      </c>
      <c r="L122" s="16">
        <f t="shared" ref="L122:L124" si="24">F122+60</f>
        <v>46231</v>
      </c>
      <c r="M122" s="17">
        <f t="shared" ref="M122" ca="1" si="25">TODAY()-N122</f>
        <v>-12</v>
      </c>
      <c r="N122" s="16">
        <v>46235</v>
      </c>
      <c r="O122" s="16">
        <v>46235</v>
      </c>
      <c r="P122" s="9">
        <f t="shared" ref="P122:P124" si="26">I122</f>
        <v>67008</v>
      </c>
      <c r="Q122" s="17">
        <f t="shared" ref="Q122:Q124" ca="1" si="27">TODAY()-F122</f>
        <v>52</v>
      </c>
      <c r="R122" t="s">
        <v>540</v>
      </c>
    </row>
    <row r="123" spans="1:18" outlineLevel="1" x14ac:dyDescent="0.3">
      <c r="A123" s="2" t="s">
        <v>406</v>
      </c>
      <c r="B123" s="2" t="s">
        <v>407</v>
      </c>
      <c r="C123" s="2" t="s">
        <v>408</v>
      </c>
      <c r="D123" s="2" t="s">
        <v>409</v>
      </c>
      <c r="E123" s="2" t="s">
        <v>96</v>
      </c>
      <c r="F123" s="3">
        <v>46178</v>
      </c>
      <c r="G123" s="4">
        <v>0</v>
      </c>
      <c r="H123" s="3">
        <v>46203</v>
      </c>
      <c r="I123" s="6">
        <v>-13728</v>
      </c>
      <c r="J123" s="2" t="s">
        <v>68</v>
      </c>
      <c r="K123" s="2" t="s">
        <v>528</v>
      </c>
      <c r="L123" s="16">
        <f t="shared" si="24"/>
        <v>46238</v>
      </c>
      <c r="M123" s="17"/>
      <c r="N123" s="16"/>
      <c r="O123" s="16">
        <f>F123</f>
        <v>46178</v>
      </c>
      <c r="P123" s="9">
        <f t="shared" si="26"/>
        <v>-13728</v>
      </c>
      <c r="Q123" s="17">
        <f t="shared" ca="1" si="27"/>
        <v>45</v>
      </c>
      <c r="R123" t="s">
        <v>539</v>
      </c>
    </row>
    <row r="124" spans="1:18" outlineLevel="1" x14ac:dyDescent="0.3">
      <c r="A124" s="2" t="s">
        <v>406</v>
      </c>
      <c r="B124" s="2" t="s">
        <v>410</v>
      </c>
      <c r="C124" s="2" t="s">
        <v>411</v>
      </c>
      <c r="D124" s="2" t="s">
        <v>412</v>
      </c>
      <c r="E124" s="2" t="s">
        <v>70</v>
      </c>
      <c r="F124" s="3">
        <v>46216</v>
      </c>
      <c r="G124" s="7">
        <v>-53</v>
      </c>
      <c r="H124" s="3">
        <v>46276</v>
      </c>
      <c r="I124" s="5">
        <v>68340</v>
      </c>
      <c r="J124" s="2" t="s">
        <v>68</v>
      </c>
      <c r="K124" s="2" t="s">
        <v>528</v>
      </c>
      <c r="L124" s="16">
        <f t="shared" si="24"/>
        <v>46276</v>
      </c>
      <c r="M124" s="17"/>
      <c r="N124" s="16"/>
      <c r="O124" s="16">
        <f t="shared" si="22"/>
        <v>46276</v>
      </c>
      <c r="P124" s="9">
        <f t="shared" si="26"/>
        <v>68340</v>
      </c>
      <c r="Q124" s="17">
        <f t="shared" ca="1" si="27"/>
        <v>7</v>
      </c>
      <c r="R124" t="s">
        <v>539</v>
      </c>
    </row>
    <row r="125" spans="1:18" outlineLevel="1" x14ac:dyDescent="0.3">
      <c r="A125" s="2" t="s">
        <v>413</v>
      </c>
      <c r="B125" s="2" t="s">
        <v>414</v>
      </c>
      <c r="C125" s="2" t="s">
        <v>415</v>
      </c>
      <c r="D125" s="2" t="s">
        <v>416</v>
      </c>
      <c r="E125" s="2" t="s">
        <v>64</v>
      </c>
      <c r="F125" s="3">
        <v>45951</v>
      </c>
      <c r="G125" s="4">
        <v>272</v>
      </c>
      <c r="H125" s="3">
        <v>45951</v>
      </c>
      <c r="I125" s="5">
        <v>4460</v>
      </c>
      <c r="J125" s="2" t="s">
        <v>15</v>
      </c>
      <c r="K125" s="2" t="s">
        <v>526</v>
      </c>
      <c r="N125" s="16"/>
      <c r="O125" s="16">
        <f>H125</f>
        <v>45951</v>
      </c>
      <c r="P125" s="8">
        <f>I125/3.408</f>
        <v>1308.6854460093898</v>
      </c>
    </row>
    <row r="126" spans="1:18" outlineLevel="1" x14ac:dyDescent="0.3">
      <c r="A126" s="2" t="s">
        <v>413</v>
      </c>
      <c r="B126" s="2" t="s">
        <v>417</v>
      </c>
      <c r="C126" s="2" t="s">
        <v>418</v>
      </c>
      <c r="D126" s="2" t="s">
        <v>419</v>
      </c>
      <c r="E126" s="2" t="s">
        <v>14</v>
      </c>
      <c r="F126" s="3">
        <v>45965</v>
      </c>
      <c r="G126" s="4">
        <v>251</v>
      </c>
      <c r="H126" s="3">
        <v>45972</v>
      </c>
      <c r="I126" s="5">
        <v>7097.98</v>
      </c>
      <c r="J126" s="2" t="s">
        <v>15</v>
      </c>
      <c r="K126" s="2" t="s">
        <v>526</v>
      </c>
      <c r="N126" s="16"/>
      <c r="O126" s="16">
        <f t="shared" ref="O126:O128" si="28">H126</f>
        <v>45972</v>
      </c>
      <c r="P126" s="8">
        <f t="shared" ref="P126:P128" si="29">I126/3.408</f>
        <v>2082.7406103286385</v>
      </c>
    </row>
    <row r="127" spans="1:18" outlineLevel="1" x14ac:dyDescent="0.3">
      <c r="A127" s="2" t="s">
        <v>413</v>
      </c>
      <c r="B127" s="2" t="s">
        <v>420</v>
      </c>
      <c r="C127" s="2" t="s">
        <v>421</v>
      </c>
      <c r="D127" s="2" t="s">
        <v>422</v>
      </c>
      <c r="E127" s="2" t="s">
        <v>14</v>
      </c>
      <c r="F127" s="3">
        <v>46053</v>
      </c>
      <c r="G127" s="4">
        <v>163</v>
      </c>
      <c r="H127" s="3">
        <v>46060</v>
      </c>
      <c r="I127" s="5">
        <v>4003.46</v>
      </c>
      <c r="J127" s="2" t="s">
        <v>15</v>
      </c>
      <c r="K127" s="2" t="s">
        <v>526</v>
      </c>
      <c r="N127" s="16"/>
      <c r="O127" s="16">
        <f t="shared" si="28"/>
        <v>46060</v>
      </c>
      <c r="P127" s="8">
        <f t="shared" si="29"/>
        <v>1174.724178403756</v>
      </c>
    </row>
    <row r="128" spans="1:18" outlineLevel="1" x14ac:dyDescent="0.3">
      <c r="A128" s="2" t="s">
        <v>413</v>
      </c>
      <c r="B128" s="2" t="s">
        <v>423</v>
      </c>
      <c r="C128" s="2" t="s">
        <v>424</v>
      </c>
      <c r="D128" s="2" t="s">
        <v>425</v>
      </c>
      <c r="E128" s="2" t="s">
        <v>14</v>
      </c>
      <c r="F128" s="3">
        <v>46084</v>
      </c>
      <c r="G128" s="4">
        <v>132</v>
      </c>
      <c r="H128" s="3">
        <v>46091</v>
      </c>
      <c r="I128" s="5">
        <v>4956</v>
      </c>
      <c r="J128" s="2" t="s">
        <v>15</v>
      </c>
      <c r="K128" s="2" t="s">
        <v>526</v>
      </c>
      <c r="N128" s="16"/>
      <c r="O128" s="16">
        <f t="shared" si="28"/>
        <v>46091</v>
      </c>
      <c r="P128" s="8">
        <f t="shared" si="29"/>
        <v>1454.2253521126761</v>
      </c>
    </row>
    <row r="129" spans="1:18" outlineLevel="1" x14ac:dyDescent="0.3">
      <c r="A129" s="2" t="s">
        <v>426</v>
      </c>
      <c r="B129" s="2" t="s">
        <v>427</v>
      </c>
      <c r="C129" s="2" t="s">
        <v>428</v>
      </c>
      <c r="D129" s="2" t="s">
        <v>429</v>
      </c>
      <c r="E129" s="2" t="s">
        <v>96</v>
      </c>
      <c r="F129" s="3">
        <v>46175</v>
      </c>
      <c r="G129" s="4">
        <v>0</v>
      </c>
      <c r="H129" s="3">
        <v>46203</v>
      </c>
      <c r="I129" s="6">
        <v>-6470</v>
      </c>
      <c r="J129" s="2" t="s">
        <v>68</v>
      </c>
      <c r="K129" s="2" t="s">
        <v>528</v>
      </c>
      <c r="L129" s="16">
        <f t="shared" ref="L129:L130" si="30">F129+60</f>
        <v>46235</v>
      </c>
      <c r="M129" s="17"/>
      <c r="N129" s="16"/>
      <c r="O129" s="16">
        <f>F129</f>
        <v>46175</v>
      </c>
      <c r="P129" s="9">
        <f t="shared" ref="P129:P130" si="31">I129</f>
        <v>-6470</v>
      </c>
      <c r="Q129" s="17">
        <f t="shared" ref="Q129:Q130" ca="1" si="32">TODAY()-F129</f>
        <v>48</v>
      </c>
      <c r="R129" t="s">
        <v>540</v>
      </c>
    </row>
    <row r="130" spans="1:18" outlineLevel="1" x14ac:dyDescent="0.3">
      <c r="A130" s="2" t="s">
        <v>426</v>
      </c>
      <c r="B130" s="2" t="s">
        <v>430</v>
      </c>
      <c r="C130" s="2" t="s">
        <v>431</v>
      </c>
      <c r="D130" s="2" t="s">
        <v>432</v>
      </c>
      <c r="E130" s="2" t="s">
        <v>70</v>
      </c>
      <c r="F130" s="3">
        <v>46186</v>
      </c>
      <c r="G130" s="7">
        <v>-8</v>
      </c>
      <c r="H130" s="3">
        <v>46231</v>
      </c>
      <c r="I130" s="5">
        <v>29250</v>
      </c>
      <c r="J130" s="2" t="s">
        <v>68</v>
      </c>
      <c r="K130" s="2" t="s">
        <v>528</v>
      </c>
      <c r="L130" s="16">
        <f t="shared" si="30"/>
        <v>46246</v>
      </c>
      <c r="M130" s="17">
        <f t="shared" ref="M130" ca="1" si="33">TODAY()-N130</f>
        <v>-23</v>
      </c>
      <c r="N130" s="16">
        <v>46246</v>
      </c>
      <c r="O130" s="16">
        <v>46246</v>
      </c>
      <c r="P130" s="9">
        <f t="shared" si="31"/>
        <v>29250</v>
      </c>
      <c r="Q130" s="17">
        <f t="shared" ca="1" si="32"/>
        <v>37</v>
      </c>
      <c r="R130" t="s">
        <v>539</v>
      </c>
    </row>
    <row r="131" spans="1:18" outlineLevel="1" x14ac:dyDescent="0.3">
      <c r="A131" s="2" t="s">
        <v>433</v>
      </c>
      <c r="B131" s="2" t="s">
        <v>434</v>
      </c>
      <c r="C131" s="2" t="s">
        <v>435</v>
      </c>
      <c r="D131" s="2" t="s">
        <v>436</v>
      </c>
      <c r="E131" s="2" t="s">
        <v>14</v>
      </c>
      <c r="F131" s="3">
        <v>46220</v>
      </c>
      <c r="G131" s="7">
        <v>-4</v>
      </c>
      <c r="H131" s="3">
        <v>46227</v>
      </c>
      <c r="I131" s="5">
        <v>658.82</v>
      </c>
      <c r="J131" s="2" t="s">
        <v>15</v>
      </c>
      <c r="K131" s="2" t="s">
        <v>524</v>
      </c>
      <c r="N131" s="16"/>
      <c r="O131" s="16">
        <f t="shared" ref="O131:O132" si="34">H131</f>
        <v>46227</v>
      </c>
      <c r="P131" s="8">
        <f t="shared" ref="P131:P132" si="35">I131/3.408</f>
        <v>193.31572769953053</v>
      </c>
    </row>
    <row r="132" spans="1:18" outlineLevel="1" x14ac:dyDescent="0.3">
      <c r="A132" s="2" t="s">
        <v>433</v>
      </c>
      <c r="B132" s="2" t="s">
        <v>437</v>
      </c>
      <c r="C132" s="2" t="s">
        <v>438</v>
      </c>
      <c r="D132" s="2" t="s">
        <v>439</v>
      </c>
      <c r="E132" s="2" t="s">
        <v>14</v>
      </c>
      <c r="F132" s="3">
        <v>46220</v>
      </c>
      <c r="G132" s="7">
        <v>-4</v>
      </c>
      <c r="H132" s="3">
        <v>46227</v>
      </c>
      <c r="I132" s="5">
        <v>212.4</v>
      </c>
      <c r="J132" s="2" t="s">
        <v>15</v>
      </c>
      <c r="K132" s="2" t="s">
        <v>524</v>
      </c>
      <c r="N132" s="16"/>
      <c r="O132" s="16">
        <f t="shared" si="34"/>
        <v>46227</v>
      </c>
      <c r="P132" s="8">
        <f t="shared" si="35"/>
        <v>62.323943661971832</v>
      </c>
    </row>
    <row r="133" spans="1:18" outlineLevel="1" x14ac:dyDescent="0.3">
      <c r="A133" s="2" t="s">
        <v>440</v>
      </c>
      <c r="B133" s="2" t="s">
        <v>441</v>
      </c>
      <c r="C133" s="2" t="s">
        <v>442</v>
      </c>
      <c r="D133" s="2" t="s">
        <v>443</v>
      </c>
      <c r="E133" s="2" t="s">
        <v>14</v>
      </c>
      <c r="F133" s="3">
        <v>45937</v>
      </c>
      <c r="G133" s="4">
        <v>279</v>
      </c>
      <c r="H133" s="3">
        <v>45944</v>
      </c>
      <c r="I133" s="5">
        <v>790</v>
      </c>
      <c r="J133" s="2" t="s">
        <v>15</v>
      </c>
      <c r="K133" s="2" t="s">
        <v>527</v>
      </c>
      <c r="N133" s="16"/>
      <c r="O133" s="16">
        <f>H133</f>
        <v>45944</v>
      </c>
      <c r="P133" s="8">
        <f>I133/3.408</f>
        <v>231.80751173708921</v>
      </c>
    </row>
    <row r="134" spans="1:18" outlineLevel="1" x14ac:dyDescent="0.3">
      <c r="A134" s="2" t="s">
        <v>444</v>
      </c>
      <c r="B134" s="2" t="s">
        <v>445</v>
      </c>
      <c r="C134" s="2" t="s">
        <v>446</v>
      </c>
      <c r="D134" s="2" t="s">
        <v>447</v>
      </c>
      <c r="E134" s="2" t="s">
        <v>64</v>
      </c>
      <c r="F134" s="3">
        <v>46159</v>
      </c>
      <c r="G134" s="4">
        <v>64</v>
      </c>
      <c r="H134" s="3">
        <v>46159</v>
      </c>
      <c r="I134" s="5">
        <v>161795</v>
      </c>
      <c r="J134" s="2" t="s">
        <v>68</v>
      </c>
      <c r="K134" s="2" t="s">
        <v>528</v>
      </c>
      <c r="L134" s="16">
        <f t="shared" ref="L134:L141" si="36">F134+60</f>
        <v>46219</v>
      </c>
      <c r="M134" s="17">
        <f t="shared" ref="M134:M141" ca="1" si="37">TODAY()-N134</f>
        <v>4</v>
      </c>
      <c r="N134" s="16">
        <v>46219</v>
      </c>
      <c r="O134" s="16">
        <v>46224</v>
      </c>
      <c r="P134" s="9">
        <f t="shared" ref="P134:P141" si="38">I134</f>
        <v>161795</v>
      </c>
      <c r="Q134" s="17">
        <f t="shared" ref="Q134:Q141" ca="1" si="39">TODAY()-F134</f>
        <v>64</v>
      </c>
      <c r="R134" t="s">
        <v>541</v>
      </c>
    </row>
    <row r="135" spans="1:18" outlineLevel="1" x14ac:dyDescent="0.3">
      <c r="A135" s="2" t="s">
        <v>448</v>
      </c>
      <c r="B135" s="2" t="s">
        <v>449</v>
      </c>
      <c r="C135" s="2" t="s">
        <v>450</v>
      </c>
      <c r="D135" s="2" t="s">
        <v>451</v>
      </c>
      <c r="E135" s="2" t="s">
        <v>96</v>
      </c>
      <c r="F135" s="3">
        <v>46211</v>
      </c>
      <c r="G135" s="4">
        <v>0</v>
      </c>
      <c r="H135" s="3">
        <v>46234</v>
      </c>
      <c r="I135" s="6">
        <v>-15970</v>
      </c>
      <c r="J135" s="2" t="s">
        <v>68</v>
      </c>
      <c r="K135" s="2" t="s">
        <v>528</v>
      </c>
      <c r="L135" s="16">
        <f t="shared" si="36"/>
        <v>46271</v>
      </c>
      <c r="M135" s="17"/>
      <c r="N135" s="16"/>
      <c r="O135" s="16">
        <f t="shared" ref="O135:O136" si="40">F135</f>
        <v>46211</v>
      </c>
      <c r="P135" s="9">
        <f t="shared" si="38"/>
        <v>-15970</v>
      </c>
      <c r="Q135" s="17">
        <f t="shared" ca="1" si="39"/>
        <v>12</v>
      </c>
      <c r="R135" t="s">
        <v>539</v>
      </c>
    </row>
    <row r="136" spans="1:18" outlineLevel="1" x14ac:dyDescent="0.3">
      <c r="A136" s="2" t="s">
        <v>448</v>
      </c>
      <c r="B136" s="2" t="s">
        <v>452</v>
      </c>
      <c r="C136" s="2" t="s">
        <v>453</v>
      </c>
      <c r="D136" s="2" t="s">
        <v>454</v>
      </c>
      <c r="E136" s="2" t="s">
        <v>96</v>
      </c>
      <c r="F136" s="3">
        <v>46219</v>
      </c>
      <c r="G136" s="4">
        <v>0</v>
      </c>
      <c r="H136" s="3">
        <v>46234</v>
      </c>
      <c r="I136" s="6">
        <v>-16150</v>
      </c>
      <c r="J136" s="2" t="s">
        <v>68</v>
      </c>
      <c r="K136" s="2" t="s">
        <v>528</v>
      </c>
      <c r="L136" s="16">
        <f t="shared" si="36"/>
        <v>46279</v>
      </c>
      <c r="M136" s="17"/>
      <c r="N136" s="16"/>
      <c r="O136" s="16">
        <f t="shared" si="40"/>
        <v>46219</v>
      </c>
      <c r="P136" s="9">
        <f t="shared" si="38"/>
        <v>-16150</v>
      </c>
      <c r="Q136" s="17">
        <f t="shared" ca="1" si="39"/>
        <v>4</v>
      </c>
      <c r="R136" t="s">
        <v>539</v>
      </c>
    </row>
    <row r="137" spans="1:18" outlineLevel="1" x14ac:dyDescent="0.3">
      <c r="A137" s="2" t="s">
        <v>455</v>
      </c>
      <c r="B137" s="2" t="s">
        <v>456</v>
      </c>
      <c r="C137" s="2" t="s">
        <v>457</v>
      </c>
      <c r="D137" s="2" t="s">
        <v>458</v>
      </c>
      <c r="E137" s="2" t="s">
        <v>91</v>
      </c>
      <c r="F137" s="3">
        <v>45763</v>
      </c>
      <c r="G137" s="4">
        <v>460</v>
      </c>
      <c r="H137" s="3">
        <v>45763</v>
      </c>
      <c r="I137" s="5">
        <v>2198.11</v>
      </c>
      <c r="J137" s="2" t="s">
        <v>68</v>
      </c>
      <c r="K137" s="2" t="s">
        <v>524</v>
      </c>
      <c r="L137" s="16">
        <f t="shared" si="36"/>
        <v>45823</v>
      </c>
      <c r="M137" s="17">
        <f t="shared" ca="1" si="37"/>
        <v>46223</v>
      </c>
      <c r="N137" s="16"/>
      <c r="O137" s="16">
        <f t="shared" ref="O137:O139" si="41">H137</f>
        <v>45763</v>
      </c>
      <c r="P137" s="9">
        <f t="shared" si="38"/>
        <v>2198.11</v>
      </c>
      <c r="Q137" s="17">
        <f t="shared" ca="1" si="39"/>
        <v>460</v>
      </c>
      <c r="R137" t="s">
        <v>542</v>
      </c>
    </row>
    <row r="138" spans="1:18" outlineLevel="1" x14ac:dyDescent="0.3">
      <c r="A138" s="2" t="s">
        <v>455</v>
      </c>
      <c r="B138" s="2" t="s">
        <v>459</v>
      </c>
      <c r="C138" s="2" t="s">
        <v>460</v>
      </c>
      <c r="D138" s="2" t="s">
        <v>458</v>
      </c>
      <c r="E138" s="2" t="s">
        <v>91</v>
      </c>
      <c r="F138" s="3">
        <v>45808</v>
      </c>
      <c r="G138" s="4">
        <v>415</v>
      </c>
      <c r="H138" s="3">
        <v>45808</v>
      </c>
      <c r="I138" s="5">
        <v>7020.55</v>
      </c>
      <c r="J138" s="2" t="s">
        <v>68</v>
      </c>
      <c r="K138" s="2" t="s">
        <v>524</v>
      </c>
      <c r="L138" s="16">
        <f t="shared" si="36"/>
        <v>45868</v>
      </c>
      <c r="M138" s="17">
        <f t="shared" ca="1" si="37"/>
        <v>46223</v>
      </c>
      <c r="N138" s="16"/>
      <c r="O138" s="16">
        <f t="shared" si="41"/>
        <v>45808</v>
      </c>
      <c r="P138" s="9">
        <f t="shared" si="38"/>
        <v>7020.55</v>
      </c>
      <c r="Q138" s="17">
        <f t="shared" ca="1" si="39"/>
        <v>415</v>
      </c>
      <c r="R138" t="s">
        <v>542</v>
      </c>
    </row>
    <row r="139" spans="1:18" outlineLevel="1" x14ac:dyDescent="0.3">
      <c r="A139" s="2" t="s">
        <v>455</v>
      </c>
      <c r="B139" s="2" t="s">
        <v>461</v>
      </c>
      <c r="C139" s="2" t="s">
        <v>462</v>
      </c>
      <c r="D139" s="2" t="s">
        <v>458</v>
      </c>
      <c r="E139" s="2" t="s">
        <v>91</v>
      </c>
      <c r="F139" s="3">
        <v>45888</v>
      </c>
      <c r="G139" s="4">
        <v>335</v>
      </c>
      <c r="H139" s="3">
        <v>45888</v>
      </c>
      <c r="I139" s="5">
        <v>40781.339999999997</v>
      </c>
      <c r="J139" s="2" t="s">
        <v>68</v>
      </c>
      <c r="K139" s="2" t="s">
        <v>524</v>
      </c>
      <c r="L139" s="16">
        <f t="shared" si="36"/>
        <v>45948</v>
      </c>
      <c r="M139" s="17">
        <f t="shared" ca="1" si="37"/>
        <v>46223</v>
      </c>
      <c r="N139" s="16"/>
      <c r="O139" s="16">
        <f t="shared" si="41"/>
        <v>45888</v>
      </c>
      <c r="P139" s="9">
        <f t="shared" si="38"/>
        <v>40781.339999999997</v>
      </c>
      <c r="Q139" s="17">
        <f t="shared" ca="1" si="39"/>
        <v>335</v>
      </c>
      <c r="R139" t="s">
        <v>542</v>
      </c>
    </row>
    <row r="140" spans="1:18" outlineLevel="1" x14ac:dyDescent="0.3">
      <c r="A140" s="2" t="s">
        <v>463</v>
      </c>
      <c r="B140" s="2" t="s">
        <v>464</v>
      </c>
      <c r="C140" s="2" t="s">
        <v>465</v>
      </c>
      <c r="D140" s="2" t="s">
        <v>466</v>
      </c>
      <c r="E140" s="2" t="s">
        <v>96</v>
      </c>
      <c r="F140" s="3">
        <v>46175</v>
      </c>
      <c r="G140" s="4">
        <v>0</v>
      </c>
      <c r="H140" s="3">
        <v>46203</v>
      </c>
      <c r="I140" s="6">
        <v>-9287</v>
      </c>
      <c r="J140" s="2" t="s">
        <v>68</v>
      </c>
      <c r="K140" s="2" t="s">
        <v>528</v>
      </c>
      <c r="L140" s="16">
        <f t="shared" si="36"/>
        <v>46235</v>
      </c>
      <c r="M140" s="17"/>
      <c r="N140" s="16"/>
      <c r="O140" s="16">
        <f>F140</f>
        <v>46175</v>
      </c>
      <c r="P140" s="9">
        <f t="shared" si="38"/>
        <v>-9287</v>
      </c>
      <c r="Q140" s="17">
        <f t="shared" ca="1" si="39"/>
        <v>48</v>
      </c>
      <c r="R140" t="s">
        <v>540</v>
      </c>
    </row>
    <row r="141" spans="1:18" outlineLevel="1" x14ac:dyDescent="0.3">
      <c r="A141" s="2" t="s">
        <v>463</v>
      </c>
      <c r="B141" s="2" t="s">
        <v>467</v>
      </c>
      <c r="C141" s="2" t="s">
        <v>468</v>
      </c>
      <c r="D141" s="2" t="s">
        <v>469</v>
      </c>
      <c r="E141" s="2" t="s">
        <v>70</v>
      </c>
      <c r="F141" s="3">
        <v>46194</v>
      </c>
      <c r="G141" s="7">
        <v>-16</v>
      </c>
      <c r="H141" s="3">
        <v>46239</v>
      </c>
      <c r="I141" s="5">
        <v>46018</v>
      </c>
      <c r="J141" s="2" t="s">
        <v>68</v>
      </c>
      <c r="K141" s="2" t="s">
        <v>528</v>
      </c>
      <c r="L141" s="16">
        <f t="shared" si="36"/>
        <v>46254</v>
      </c>
      <c r="M141" s="17">
        <f t="shared" ca="1" si="37"/>
        <v>-31</v>
      </c>
      <c r="N141" s="16">
        <v>46254</v>
      </c>
      <c r="O141" s="16">
        <v>46254</v>
      </c>
      <c r="P141" s="9">
        <f t="shared" si="38"/>
        <v>46018</v>
      </c>
      <c r="Q141" s="17">
        <f t="shared" ca="1" si="39"/>
        <v>29</v>
      </c>
      <c r="R141" t="s">
        <v>539</v>
      </c>
    </row>
    <row r="142" spans="1:18" outlineLevel="1" x14ac:dyDescent="0.3">
      <c r="A142" s="2" t="s">
        <v>470</v>
      </c>
      <c r="B142" s="2" t="s">
        <v>471</v>
      </c>
      <c r="C142" s="2" t="s">
        <v>472</v>
      </c>
      <c r="D142" s="2" t="s">
        <v>473</v>
      </c>
      <c r="E142" s="2" t="s">
        <v>14</v>
      </c>
      <c r="F142" s="3">
        <v>46211</v>
      </c>
      <c r="G142" s="4">
        <v>5</v>
      </c>
      <c r="H142" s="3">
        <v>46218</v>
      </c>
      <c r="I142" s="5">
        <v>590</v>
      </c>
      <c r="J142" s="2" t="s">
        <v>15</v>
      </c>
      <c r="K142" s="2" t="s">
        <v>524</v>
      </c>
      <c r="N142" s="16"/>
      <c r="O142" s="16">
        <f t="shared" ref="O142:O145" si="42">H142</f>
        <v>46218</v>
      </c>
      <c r="P142" s="8">
        <f t="shared" ref="P142:P145" si="43">I142/3.408</f>
        <v>173.12206572769952</v>
      </c>
    </row>
    <row r="143" spans="1:18" outlineLevel="1" x14ac:dyDescent="0.3">
      <c r="A143" s="2" t="s">
        <v>470</v>
      </c>
      <c r="B143" s="2" t="s">
        <v>474</v>
      </c>
      <c r="C143" s="2" t="s">
        <v>475</v>
      </c>
      <c r="D143" s="2" t="s">
        <v>476</v>
      </c>
      <c r="E143" s="2" t="s">
        <v>14</v>
      </c>
      <c r="F143" s="3">
        <v>46213</v>
      </c>
      <c r="G143" s="4">
        <v>3</v>
      </c>
      <c r="H143" s="3">
        <v>46220</v>
      </c>
      <c r="I143" s="5">
        <v>590</v>
      </c>
      <c r="J143" s="2" t="s">
        <v>15</v>
      </c>
      <c r="K143" s="2" t="s">
        <v>524</v>
      </c>
      <c r="N143" s="16"/>
      <c r="O143" s="16">
        <f t="shared" si="42"/>
        <v>46220</v>
      </c>
      <c r="P143" s="8">
        <f t="shared" si="43"/>
        <v>173.12206572769952</v>
      </c>
    </row>
    <row r="144" spans="1:18" outlineLevel="1" x14ac:dyDescent="0.3">
      <c r="A144" s="2" t="s">
        <v>470</v>
      </c>
      <c r="B144" s="2" t="s">
        <v>477</v>
      </c>
      <c r="C144" s="2" t="s">
        <v>478</v>
      </c>
      <c r="D144" s="2" t="s">
        <v>479</v>
      </c>
      <c r="E144" s="2" t="s">
        <v>14</v>
      </c>
      <c r="F144" s="3">
        <v>46216</v>
      </c>
      <c r="G144" s="4">
        <v>0</v>
      </c>
      <c r="H144" s="3">
        <v>46223</v>
      </c>
      <c r="I144" s="5">
        <v>590</v>
      </c>
      <c r="J144" s="2" t="s">
        <v>15</v>
      </c>
      <c r="K144" s="2" t="s">
        <v>524</v>
      </c>
      <c r="N144" s="16"/>
      <c r="O144" s="16">
        <f t="shared" si="42"/>
        <v>46223</v>
      </c>
      <c r="P144" s="8">
        <f t="shared" si="43"/>
        <v>173.12206572769952</v>
      </c>
    </row>
    <row r="145" spans="1:18" outlineLevel="1" x14ac:dyDescent="0.3">
      <c r="A145" s="2" t="s">
        <v>470</v>
      </c>
      <c r="B145" s="2" t="s">
        <v>480</v>
      </c>
      <c r="C145" s="2" t="s">
        <v>481</v>
      </c>
      <c r="D145" s="2" t="s">
        <v>482</v>
      </c>
      <c r="E145" s="2" t="s">
        <v>14</v>
      </c>
      <c r="F145" s="3">
        <v>46219</v>
      </c>
      <c r="G145" s="7">
        <v>-3</v>
      </c>
      <c r="H145" s="3">
        <v>46226</v>
      </c>
      <c r="I145" s="5">
        <v>590</v>
      </c>
      <c r="J145" s="2" t="s">
        <v>15</v>
      </c>
      <c r="K145" s="2" t="s">
        <v>524</v>
      </c>
      <c r="N145" s="16"/>
      <c r="O145" s="16">
        <f t="shared" si="42"/>
        <v>46226</v>
      </c>
      <c r="P145" s="8">
        <f t="shared" si="43"/>
        <v>173.12206572769952</v>
      </c>
    </row>
    <row r="146" spans="1:18" outlineLevel="1" x14ac:dyDescent="0.3">
      <c r="A146" s="2" t="s">
        <v>483</v>
      </c>
      <c r="B146" s="2" t="s">
        <v>484</v>
      </c>
      <c r="C146" s="2" t="s">
        <v>485</v>
      </c>
      <c r="D146" s="2" t="s">
        <v>486</v>
      </c>
      <c r="E146" s="2" t="s">
        <v>96</v>
      </c>
      <c r="F146" s="3">
        <v>46216</v>
      </c>
      <c r="G146" s="4">
        <v>0</v>
      </c>
      <c r="H146" s="3">
        <v>46234</v>
      </c>
      <c r="I146" s="6">
        <v>-24925</v>
      </c>
      <c r="J146" s="2" t="s">
        <v>68</v>
      </c>
      <c r="K146" s="2" t="s">
        <v>528</v>
      </c>
      <c r="L146" s="16">
        <f t="shared" ref="L146:L149" si="44">F146+60</f>
        <v>46276</v>
      </c>
      <c r="M146" s="17"/>
      <c r="N146" s="16"/>
      <c r="O146" s="16">
        <f>F146</f>
        <v>46216</v>
      </c>
      <c r="P146" s="9">
        <f t="shared" ref="P146:P149" si="45">I146</f>
        <v>-24925</v>
      </c>
      <c r="Q146" s="17">
        <f t="shared" ref="Q146:Q149" ca="1" si="46">TODAY()-F146</f>
        <v>7</v>
      </c>
      <c r="R146" t="s">
        <v>539</v>
      </c>
    </row>
    <row r="147" spans="1:18" outlineLevel="1" x14ac:dyDescent="0.3">
      <c r="A147" s="2" t="s">
        <v>487</v>
      </c>
      <c r="B147" s="2" t="s">
        <v>488</v>
      </c>
      <c r="C147" s="2" t="s">
        <v>489</v>
      </c>
      <c r="D147" s="2" t="s">
        <v>490</v>
      </c>
      <c r="E147" s="2" t="s">
        <v>64</v>
      </c>
      <c r="F147" s="3">
        <v>46141</v>
      </c>
      <c r="G147" s="4">
        <v>82</v>
      </c>
      <c r="H147" s="3">
        <v>46141</v>
      </c>
      <c r="I147" s="5">
        <v>56785</v>
      </c>
      <c r="J147" s="2" t="s">
        <v>68</v>
      </c>
      <c r="K147" s="2" t="s">
        <v>528</v>
      </c>
      <c r="L147" s="16">
        <f t="shared" si="44"/>
        <v>46201</v>
      </c>
      <c r="M147" s="17">
        <f t="shared" ref="M147:M149" ca="1" si="47">TODAY()-N147</f>
        <v>-4</v>
      </c>
      <c r="N147" s="16">
        <v>46227</v>
      </c>
      <c r="O147" s="16">
        <v>46227</v>
      </c>
      <c r="P147" s="9">
        <f t="shared" si="45"/>
        <v>56785</v>
      </c>
      <c r="Q147" s="17">
        <f t="shared" ca="1" si="46"/>
        <v>82</v>
      </c>
      <c r="R147" t="s">
        <v>541</v>
      </c>
    </row>
    <row r="148" spans="1:18" outlineLevel="1" x14ac:dyDescent="0.3">
      <c r="A148" s="2" t="s">
        <v>487</v>
      </c>
      <c r="B148" s="2" t="s">
        <v>491</v>
      </c>
      <c r="C148" s="2" t="s">
        <v>492</v>
      </c>
      <c r="D148" s="2" t="s">
        <v>493</v>
      </c>
      <c r="E148" s="2" t="s">
        <v>64</v>
      </c>
      <c r="F148" s="3">
        <v>46171</v>
      </c>
      <c r="G148" s="4">
        <v>52</v>
      </c>
      <c r="H148" s="3">
        <v>46171</v>
      </c>
      <c r="I148" s="5">
        <v>35725</v>
      </c>
      <c r="J148" s="2" t="s">
        <v>68</v>
      </c>
      <c r="K148" s="2" t="s">
        <v>528</v>
      </c>
      <c r="L148" s="16">
        <f t="shared" si="44"/>
        <v>46231</v>
      </c>
      <c r="M148" s="17">
        <f t="shared" ca="1" si="47"/>
        <v>-37</v>
      </c>
      <c r="N148" s="16">
        <v>46260</v>
      </c>
      <c r="O148" s="16">
        <v>46260</v>
      </c>
      <c r="P148" s="9">
        <f t="shared" si="45"/>
        <v>35725</v>
      </c>
      <c r="Q148" s="17">
        <f t="shared" ca="1" si="46"/>
        <v>52</v>
      </c>
      <c r="R148" t="s">
        <v>540</v>
      </c>
    </row>
    <row r="149" spans="1:18" outlineLevel="1" x14ac:dyDescent="0.3">
      <c r="A149" s="2" t="s">
        <v>487</v>
      </c>
      <c r="B149" s="2" t="s">
        <v>494</v>
      </c>
      <c r="C149" s="2" t="s">
        <v>495</v>
      </c>
      <c r="D149" s="2" t="s">
        <v>496</v>
      </c>
      <c r="E149" s="2" t="s">
        <v>70</v>
      </c>
      <c r="F149" s="3">
        <v>46194</v>
      </c>
      <c r="G149" s="7">
        <v>-16</v>
      </c>
      <c r="H149" s="3">
        <v>46239</v>
      </c>
      <c r="I149" s="5">
        <v>59400</v>
      </c>
      <c r="J149" s="2" t="s">
        <v>68</v>
      </c>
      <c r="K149" s="2" t="s">
        <v>528</v>
      </c>
      <c r="L149" s="16">
        <f t="shared" si="44"/>
        <v>46254</v>
      </c>
      <c r="M149" s="17">
        <f t="shared" ca="1" si="47"/>
        <v>-31</v>
      </c>
      <c r="N149" s="16">
        <v>46254</v>
      </c>
      <c r="O149" s="16">
        <v>46254</v>
      </c>
      <c r="P149" s="9">
        <f t="shared" si="45"/>
        <v>59400</v>
      </c>
      <c r="Q149" s="17">
        <f t="shared" ca="1" si="46"/>
        <v>29</v>
      </c>
      <c r="R149" t="s">
        <v>539</v>
      </c>
    </row>
    <row r="150" spans="1:18" outlineLevel="1" x14ac:dyDescent="0.3">
      <c r="A150" s="2" t="s">
        <v>497</v>
      </c>
      <c r="B150" s="2" t="s">
        <v>498</v>
      </c>
      <c r="C150" s="2" t="s">
        <v>499</v>
      </c>
      <c r="D150" s="2" t="s">
        <v>500</v>
      </c>
      <c r="E150" s="2" t="s">
        <v>14</v>
      </c>
      <c r="F150" s="3">
        <v>46213</v>
      </c>
      <c r="G150" s="4">
        <v>3</v>
      </c>
      <c r="H150" s="3">
        <v>46220</v>
      </c>
      <c r="I150" s="5">
        <v>667.41</v>
      </c>
      <c r="J150" s="2" t="s">
        <v>15</v>
      </c>
      <c r="K150" s="2" t="s">
        <v>524</v>
      </c>
      <c r="N150" s="16"/>
      <c r="O150" s="16">
        <f t="shared" ref="O150:O153" si="48">H150</f>
        <v>46220</v>
      </c>
      <c r="P150" s="8">
        <f t="shared" ref="P150:P153" si="49">I150/3.408</f>
        <v>195.83626760563379</v>
      </c>
    </row>
    <row r="151" spans="1:18" outlineLevel="1" x14ac:dyDescent="0.3">
      <c r="A151" s="2" t="s">
        <v>497</v>
      </c>
      <c r="B151" s="2" t="s">
        <v>501</v>
      </c>
      <c r="C151" s="2" t="s">
        <v>502</v>
      </c>
      <c r="D151" s="2" t="s">
        <v>503</v>
      </c>
      <c r="E151" s="2" t="s">
        <v>14</v>
      </c>
      <c r="F151" s="3">
        <v>46213</v>
      </c>
      <c r="G151" s="4">
        <v>3</v>
      </c>
      <c r="H151" s="3">
        <v>46220</v>
      </c>
      <c r="I151" s="5">
        <v>123.9</v>
      </c>
      <c r="J151" s="2" t="s">
        <v>15</v>
      </c>
      <c r="K151" s="2" t="s">
        <v>524</v>
      </c>
      <c r="N151" s="16"/>
      <c r="O151" s="16">
        <f t="shared" si="48"/>
        <v>46220</v>
      </c>
      <c r="P151" s="8">
        <f t="shared" si="49"/>
        <v>36.355633802816904</v>
      </c>
    </row>
    <row r="152" spans="1:18" outlineLevel="1" x14ac:dyDescent="0.3">
      <c r="A152" s="2" t="s">
        <v>504</v>
      </c>
      <c r="B152" s="2" t="s">
        <v>505</v>
      </c>
      <c r="C152" s="2" t="s">
        <v>506</v>
      </c>
      <c r="D152" s="2" t="s">
        <v>507</v>
      </c>
      <c r="E152" s="2" t="s">
        <v>14</v>
      </c>
      <c r="F152" s="3">
        <v>46213</v>
      </c>
      <c r="G152" s="4">
        <v>3</v>
      </c>
      <c r="H152" s="3">
        <v>46220</v>
      </c>
      <c r="I152" s="5">
        <v>269.04000000000002</v>
      </c>
      <c r="J152" s="2" t="s">
        <v>15</v>
      </c>
      <c r="K152" s="2" t="s">
        <v>524</v>
      </c>
      <c r="N152" s="16"/>
      <c r="O152" s="16">
        <f t="shared" si="48"/>
        <v>46220</v>
      </c>
      <c r="P152" s="8">
        <f t="shared" si="49"/>
        <v>78.943661971830991</v>
      </c>
    </row>
    <row r="153" spans="1:18" outlineLevel="1" x14ac:dyDescent="0.3">
      <c r="A153" s="2" t="s">
        <v>504</v>
      </c>
      <c r="B153" s="2" t="s">
        <v>508</v>
      </c>
      <c r="C153" s="2" t="s">
        <v>509</v>
      </c>
      <c r="D153" s="2" t="s">
        <v>510</v>
      </c>
      <c r="E153" s="2" t="s">
        <v>14</v>
      </c>
      <c r="F153" s="3">
        <v>46214</v>
      </c>
      <c r="G153" s="4">
        <v>2</v>
      </c>
      <c r="H153" s="3">
        <v>46221</v>
      </c>
      <c r="I153" s="5">
        <v>396.48</v>
      </c>
      <c r="J153" s="2" t="s">
        <v>15</v>
      </c>
      <c r="K153" s="2" t="s">
        <v>524</v>
      </c>
      <c r="N153" s="16"/>
      <c r="O153" s="16">
        <f t="shared" si="48"/>
        <v>46221</v>
      </c>
      <c r="P153" s="8">
        <f t="shared" si="49"/>
        <v>116.33802816901409</v>
      </c>
    </row>
    <row r="154" spans="1:18" outlineLevel="1" x14ac:dyDescent="0.3">
      <c r="A154" s="2" t="s">
        <v>511</v>
      </c>
      <c r="B154" s="2" t="s">
        <v>513</v>
      </c>
      <c r="C154" s="2" t="s">
        <v>514</v>
      </c>
      <c r="D154" s="2" t="s">
        <v>515</v>
      </c>
      <c r="E154" s="2" t="s">
        <v>70</v>
      </c>
      <c r="F154" s="3">
        <v>46203</v>
      </c>
      <c r="G154" s="7">
        <v>-25</v>
      </c>
      <c r="H154" s="3">
        <v>46248</v>
      </c>
      <c r="I154" s="5">
        <v>30375</v>
      </c>
      <c r="J154" s="2" t="s">
        <v>68</v>
      </c>
      <c r="K154" s="2" t="s">
        <v>528</v>
      </c>
      <c r="L154" s="16">
        <f t="shared" ref="L154:L156" si="50">F154+60</f>
        <v>46263</v>
      </c>
      <c r="M154" s="17">
        <f t="shared" ref="M154:M156" ca="1" si="51">TODAY()-N154</f>
        <v>-40</v>
      </c>
      <c r="N154" s="16">
        <v>46263</v>
      </c>
      <c r="O154" s="16">
        <v>46263</v>
      </c>
      <c r="P154" s="9">
        <f t="shared" ref="P154:P156" si="52">I154</f>
        <v>30375</v>
      </c>
      <c r="Q154" s="17">
        <f t="shared" ref="Q154:Q156" ca="1" si="53">TODAY()-F154</f>
        <v>20</v>
      </c>
      <c r="R154" t="s">
        <v>539</v>
      </c>
    </row>
    <row r="155" spans="1:18" outlineLevel="1" x14ac:dyDescent="0.3">
      <c r="A155" s="2" t="s">
        <v>511</v>
      </c>
      <c r="B155" s="2" t="s">
        <v>516</v>
      </c>
      <c r="C155" s="2" t="s">
        <v>517</v>
      </c>
      <c r="D155" s="2" t="s">
        <v>518</v>
      </c>
      <c r="E155" s="2" t="s">
        <v>70</v>
      </c>
      <c r="F155" s="3">
        <v>46203</v>
      </c>
      <c r="G155" s="7">
        <v>-25</v>
      </c>
      <c r="H155" s="3">
        <v>46248</v>
      </c>
      <c r="I155" s="5">
        <v>81574.5</v>
      </c>
      <c r="J155" s="2" t="s">
        <v>68</v>
      </c>
      <c r="K155" s="2" t="s">
        <v>528</v>
      </c>
      <c r="L155" s="16">
        <f t="shared" si="50"/>
        <v>46263</v>
      </c>
      <c r="M155" s="17">
        <f t="shared" ca="1" si="51"/>
        <v>-40</v>
      </c>
      <c r="N155" s="16">
        <v>46263</v>
      </c>
      <c r="O155" s="16">
        <v>46263</v>
      </c>
      <c r="P155" s="9">
        <f t="shared" si="52"/>
        <v>81574.5</v>
      </c>
      <c r="Q155" s="17">
        <f t="shared" ca="1" si="53"/>
        <v>20</v>
      </c>
      <c r="R155" t="s">
        <v>539</v>
      </c>
    </row>
    <row r="156" spans="1:18" outlineLevel="1" x14ac:dyDescent="0.3">
      <c r="A156" s="2" t="s">
        <v>519</v>
      </c>
      <c r="B156" s="2" t="s">
        <v>520</v>
      </c>
      <c r="C156" s="2" t="s">
        <v>521</v>
      </c>
      <c r="D156" s="2" t="s">
        <v>522</v>
      </c>
      <c r="E156" s="2" t="s">
        <v>64</v>
      </c>
      <c r="F156" s="3">
        <v>46192</v>
      </c>
      <c r="G156" s="4">
        <v>31</v>
      </c>
      <c r="H156" s="3">
        <v>46192</v>
      </c>
      <c r="I156" s="5">
        <v>57857</v>
      </c>
      <c r="J156" s="2" t="s">
        <v>68</v>
      </c>
      <c r="K156" s="2" t="s">
        <v>528</v>
      </c>
      <c r="L156" s="16">
        <f t="shared" si="50"/>
        <v>46252</v>
      </c>
      <c r="M156" s="17">
        <f t="shared" ca="1" si="51"/>
        <v>-29</v>
      </c>
      <c r="N156" s="16">
        <v>46252</v>
      </c>
      <c r="O156" s="16">
        <v>46252</v>
      </c>
      <c r="P156" s="9">
        <f t="shared" si="52"/>
        <v>57857</v>
      </c>
      <c r="Q156" s="17">
        <f t="shared" ca="1" si="53"/>
        <v>31</v>
      </c>
      <c r="R156" t="s">
        <v>539</v>
      </c>
    </row>
  </sheetData>
  <autoFilter ref="A1:R156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Detalle1</vt:lpstr>
      <vt:lpstr>RESUMEN</vt:lpstr>
      <vt:lpstr>Hoja2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2026-07-20T23:15:29Z</dcterms:created>
  <dcterms:modified xsi:type="dcterms:W3CDTF">2026-07-21T02:17:30Z</dcterms:modified>
  <cp:category/>
</cp:coreProperties>
</file>