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789AED84-2A17-4051-8FE1-1A9DCA27F2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state="hidden" r:id="rId2"/>
    <sheet name="DÍAS" sheetId="5" state="hidden" r:id="rId3"/>
    <sheet name="Data" sheetId="1" r:id="rId4"/>
  </sheets>
  <definedNames>
    <definedName name="_xlnm._FilterDatabase" localSheetId="3" hidden="1">Data!$A$1:$R$179</definedName>
  </definedNames>
  <calcPr calcId="191029"/>
  <pivotCaches>
    <pivotCache cacheId="102" r:id="rId5"/>
    <pivotCache cacheId="103" r:id="rId6"/>
    <pivotCache cacheId="1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9" i="1" l="1"/>
  <c r="O140" i="1"/>
  <c r="O146" i="1"/>
  <c r="O153" i="1"/>
  <c r="O154" i="1"/>
  <c r="O163" i="1"/>
  <c r="O166" i="1"/>
  <c r="M174" i="1"/>
  <c r="M165" i="1"/>
  <c r="M147" i="1"/>
  <c r="M141" i="1"/>
  <c r="M138" i="1"/>
  <c r="M137" i="1"/>
  <c r="M108" i="1"/>
  <c r="M107" i="1"/>
  <c r="M106" i="1"/>
  <c r="M105" i="1"/>
  <c r="M104" i="1"/>
  <c r="M102" i="1"/>
  <c r="M34" i="1"/>
  <c r="M33" i="1"/>
  <c r="M20" i="1"/>
  <c r="M19" i="1"/>
  <c r="Q179" i="1"/>
  <c r="Q178" i="1"/>
  <c r="Q177" i="1"/>
  <c r="Q176" i="1"/>
  <c r="Q175" i="1"/>
  <c r="Q174" i="1"/>
  <c r="Q173" i="1"/>
  <c r="Q172" i="1"/>
  <c r="Q171" i="1"/>
  <c r="Q166" i="1"/>
  <c r="Q165" i="1"/>
  <c r="Q164" i="1"/>
  <c r="Q163" i="1"/>
  <c r="Q156" i="1"/>
  <c r="Q155" i="1"/>
  <c r="Q154" i="1"/>
  <c r="Q153" i="1"/>
  <c r="Q147" i="1"/>
  <c r="Q146" i="1"/>
  <c r="Q141" i="1"/>
  <c r="Q140" i="1"/>
  <c r="Q139" i="1"/>
  <c r="Q138" i="1"/>
  <c r="Q137" i="1"/>
  <c r="Q108" i="1"/>
  <c r="Q107" i="1"/>
  <c r="Q106" i="1"/>
  <c r="Q105" i="1"/>
  <c r="Q104" i="1"/>
  <c r="Q103" i="1"/>
  <c r="Q102" i="1"/>
  <c r="Q101" i="1"/>
  <c r="Q100" i="1"/>
  <c r="Q99" i="1"/>
  <c r="Q35" i="1"/>
  <c r="Q34" i="1"/>
  <c r="Q33" i="1"/>
  <c r="Q23" i="1"/>
  <c r="Q22" i="1"/>
  <c r="Q21" i="1"/>
  <c r="Q20" i="1"/>
  <c r="Q19" i="1"/>
  <c r="L179" i="1"/>
  <c r="L178" i="1"/>
  <c r="L177" i="1"/>
  <c r="L176" i="1"/>
  <c r="L175" i="1"/>
  <c r="L174" i="1"/>
  <c r="L173" i="1"/>
  <c r="L172" i="1"/>
  <c r="L171" i="1"/>
  <c r="L166" i="1"/>
  <c r="L165" i="1"/>
  <c r="L164" i="1"/>
  <c r="L163" i="1"/>
  <c r="L156" i="1"/>
  <c r="L155" i="1"/>
  <c r="L154" i="1"/>
  <c r="L153" i="1"/>
  <c r="L147" i="1"/>
  <c r="L146" i="1"/>
  <c r="L141" i="1"/>
  <c r="L140" i="1"/>
  <c r="L139" i="1"/>
  <c r="L138" i="1"/>
  <c r="L137" i="1"/>
  <c r="L108" i="1"/>
  <c r="L107" i="1"/>
  <c r="L106" i="1"/>
  <c r="L105" i="1"/>
  <c r="L104" i="1"/>
  <c r="L103" i="1"/>
  <c r="L102" i="1"/>
  <c r="L101" i="1"/>
  <c r="L100" i="1"/>
  <c r="L99" i="1"/>
  <c r="L35" i="1"/>
  <c r="L34" i="1"/>
  <c r="L33" i="1"/>
  <c r="L23" i="1"/>
  <c r="L22" i="1"/>
  <c r="L21" i="1"/>
  <c r="L20" i="1"/>
  <c r="L19" i="1"/>
  <c r="P179" i="1"/>
  <c r="P178" i="1"/>
  <c r="P177" i="1"/>
  <c r="P176" i="1"/>
  <c r="P175" i="1"/>
  <c r="P174" i="1"/>
  <c r="P173" i="1"/>
  <c r="P172" i="1"/>
  <c r="P171" i="1"/>
  <c r="P166" i="1"/>
  <c r="P165" i="1"/>
  <c r="P164" i="1"/>
  <c r="P163" i="1"/>
  <c r="P156" i="1"/>
  <c r="P155" i="1"/>
  <c r="P154" i="1"/>
  <c r="P153" i="1"/>
  <c r="P147" i="1"/>
  <c r="P146" i="1"/>
  <c r="P141" i="1"/>
  <c r="P140" i="1"/>
  <c r="P139" i="1"/>
  <c r="P138" i="1"/>
  <c r="P137" i="1"/>
  <c r="P108" i="1"/>
  <c r="P107" i="1"/>
  <c r="P106" i="1"/>
  <c r="P105" i="1"/>
  <c r="P104" i="1"/>
  <c r="P103" i="1"/>
  <c r="P102" i="1"/>
  <c r="P101" i="1"/>
  <c r="P100" i="1"/>
  <c r="P99" i="1"/>
  <c r="P35" i="1"/>
  <c r="P34" i="1"/>
  <c r="P33" i="1"/>
  <c r="P23" i="1"/>
  <c r="P22" i="1"/>
  <c r="P21" i="1"/>
  <c r="P20" i="1"/>
  <c r="P19" i="1"/>
  <c r="O179" i="1"/>
  <c r="O178" i="1"/>
  <c r="O175" i="1"/>
  <c r="O173" i="1"/>
  <c r="O172" i="1"/>
  <c r="O171" i="1"/>
  <c r="O164" i="1"/>
  <c r="O156" i="1"/>
  <c r="O141" i="1"/>
  <c r="O139" i="1"/>
  <c r="O108" i="1"/>
  <c r="O107" i="1"/>
  <c r="O106" i="1"/>
  <c r="O105" i="1"/>
  <c r="O101" i="1"/>
  <c r="O23" i="1"/>
  <c r="O21" i="1"/>
  <c r="P170" i="1"/>
  <c r="P169" i="1"/>
  <c r="P168" i="1"/>
  <c r="P167" i="1"/>
  <c r="P162" i="1"/>
  <c r="P161" i="1"/>
  <c r="P160" i="1"/>
  <c r="P159" i="1"/>
  <c r="P158" i="1"/>
  <c r="P157" i="1"/>
  <c r="P150" i="1"/>
  <c r="P149" i="1"/>
  <c r="P136" i="1"/>
  <c r="P135" i="1"/>
  <c r="P134" i="1"/>
  <c r="P133" i="1"/>
  <c r="P132" i="1"/>
  <c r="P131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2" i="1"/>
  <c r="P31" i="1"/>
  <c r="P30" i="1"/>
  <c r="P29" i="1"/>
  <c r="P28" i="1"/>
  <c r="P27" i="1"/>
  <c r="P26" i="1"/>
  <c r="P25" i="1"/>
  <c r="P24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70" i="1"/>
  <c r="O169" i="1"/>
  <c r="O168" i="1"/>
  <c r="O167" i="1"/>
  <c r="O162" i="1"/>
  <c r="O161" i="1"/>
  <c r="O160" i="1"/>
  <c r="O159" i="1"/>
  <c r="O158" i="1"/>
  <c r="O157" i="1"/>
  <c r="O150" i="1"/>
  <c r="O149" i="1"/>
  <c r="O136" i="1"/>
  <c r="O135" i="1"/>
  <c r="O134" i="1"/>
  <c r="O133" i="1"/>
  <c r="O132" i="1"/>
  <c r="O131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2" i="1"/>
  <c r="O31" i="1"/>
  <c r="O30" i="1"/>
  <c r="O29" i="1"/>
  <c r="O28" i="1"/>
  <c r="O27" i="1"/>
  <c r="O26" i="1"/>
  <c r="O25" i="1"/>
  <c r="O24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09" i="1"/>
  <c r="P152" i="1"/>
  <c r="P151" i="1"/>
  <c r="O152" i="1"/>
  <c r="O151" i="1"/>
  <c r="P148" i="1"/>
  <c r="O148" i="1"/>
  <c r="P36" i="1"/>
  <c r="O36" i="1"/>
  <c r="P143" i="1"/>
  <c r="P144" i="1"/>
  <c r="P145" i="1"/>
  <c r="P142" i="1"/>
  <c r="O143" i="1"/>
  <c r="O144" i="1"/>
  <c r="O145" i="1"/>
  <c r="O142" i="1"/>
</calcChain>
</file>

<file path=xl/sharedStrings.xml><?xml version="1.0" encoding="utf-8"?>
<sst xmlns="http://schemas.openxmlformats.org/spreadsheetml/2006/main" count="1511" uniqueCount="615">
  <si>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</si>
  <si>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</si>
  <si>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</si>
  <si>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</si>
  <si>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</si>
  <si>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</si>
  <si>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</si>
  <si>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</si>
  <si>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</si>
  <si>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</si>
  <si>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</si>
  <si>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</si>
  <si>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</si>
  <si>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</si>
  <si>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</si>
  <si>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</si>
  <si>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</si>
  <si>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</si>
  <si>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</si>
  <si>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</si>
  <si>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</si>
  <si>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</si>
  <si>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</si>
  <si>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</si>
  <si>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</si>
  <si>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</si>
  <si>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</si>
  <si>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</si>
  <si>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</si>
  <si>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</si>
  <si>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</si>
  <si>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</si>
  <si>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</si>
  <si>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</si>
  <si>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</si>
  <si>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</si>
  <si>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</si>
  <si>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</si>
  <si>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</si>
  <si>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</si>
  <si>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</si>
  <si>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</si>
  <si>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</si>
  <si>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</si>
  <si>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</si>
  <si>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</si>
  <si>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</si>
  <si>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</si>
  <si>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</si>
  <si>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</si>
  <si>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</si>
  <si>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</si>
  <si>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</si>
  <si>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</si>
  <si>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</si>
  <si>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</si>
  <si>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</si>
  <si>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</si>
  <si>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</si>
  <si>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</si>
  <si>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</si>
  <si>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</si>
  <si>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</si>
  <si>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</si>
  <si>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ZV</t>
  </si>
  <si>
    <t>2000001028</t>
  </si>
  <si>
    <t>AVANCE GROUP LTD</t>
  </si>
  <si>
    <t>1300004711</t>
  </si>
  <si>
    <t>FT-0F002-0000360</t>
  </si>
  <si>
    <t>USD</t>
  </si>
  <si>
    <t>AVANCE GROUP LTD</t>
  </si>
  <si>
    <t>1300005598</t>
  </si>
  <si>
    <t>FT-0F002-0000386</t>
  </si>
  <si>
    <t>AVANCE GROUP LTD</t>
  </si>
  <si>
    <t>1200003451</t>
  </si>
  <si>
    <t>01-0F002-0000392</t>
  </si>
  <si>
    <t>DE</t>
  </si>
  <si>
    <t>AVANCE GROUP LTD</t>
  </si>
  <si>
    <t>1200003454</t>
  </si>
  <si>
    <t>01-0F002-0000395</t>
  </si>
  <si>
    <t>AVANCE GROUP LTD</t>
  </si>
  <si>
    <t>1200003470</t>
  </si>
  <si>
    <t>01-0F002-0000403</t>
  </si>
  <si>
    <t>1000013678</t>
  </si>
  <si>
    <t>CORPORACION NACIONAL PERU EXPORTACI</t>
  </si>
  <si>
    <t>1200003045</t>
  </si>
  <si>
    <t>01-0F101-0007358</t>
  </si>
  <si>
    <t>1000002057</t>
  </si>
  <si>
    <t>CRISTO DE LA VICTORIA S.A.C.</t>
  </si>
  <si>
    <t>1200003380</t>
  </si>
  <si>
    <t>01-0F101-0007640</t>
  </si>
  <si>
    <t>CRISTO DE LA VICTORIA S.A.C.</t>
  </si>
  <si>
    <t>1200003381</t>
  </si>
  <si>
    <t>01-0F101-0007641</t>
  </si>
  <si>
    <t>CRISTO DE LA VICTORIA S.A.C.</t>
  </si>
  <si>
    <t>1200003404</t>
  </si>
  <si>
    <t>01-0F101-0007656</t>
  </si>
  <si>
    <t>CRISTO DE LA VICTORIA S.A.C.</t>
  </si>
  <si>
    <t>1200003405</t>
  </si>
  <si>
    <t>01-0F101-0007657</t>
  </si>
  <si>
    <t>CRISTO DE LA VICTORIA S.A.C.</t>
  </si>
  <si>
    <t>1200003406</t>
  </si>
  <si>
    <t>01-0F101-0007658</t>
  </si>
  <si>
    <t>CRISTO DE LA VICTORIA S.A.C.</t>
  </si>
  <si>
    <t>1200003407</t>
  </si>
  <si>
    <t>01-0F101-0007659</t>
  </si>
  <si>
    <t>CRISTO DE LA VICTORIA S.A.C.</t>
  </si>
  <si>
    <t>1200003422</t>
  </si>
  <si>
    <t>01-0F101-0007674</t>
  </si>
  <si>
    <t>CRISTO DE LA VICTORIA S.A.C.</t>
  </si>
  <si>
    <t>1200003423</t>
  </si>
  <si>
    <t>01-0F101-0007675</t>
  </si>
  <si>
    <t>DZ</t>
  </si>
  <si>
    <t>2000001368</t>
  </si>
  <si>
    <t>FOOD &amp; BEVERAGES TRADERS, S.L.</t>
  </si>
  <si>
    <t>1300004854</t>
  </si>
  <si>
    <t>FT-0F002-0000311</t>
  </si>
  <si>
    <t>2000001361</t>
  </si>
  <si>
    <t>GLOBAL OCEAN FLEXTRADING, S. L</t>
  </si>
  <si>
    <t>GLOBAL OCEAN FLEXTRADING, S. L</t>
  </si>
  <si>
    <t>1300004210</t>
  </si>
  <si>
    <t>FT-0F002-0000295</t>
  </si>
  <si>
    <t>2000001439</t>
  </si>
  <si>
    <t>GOLDEN SEAFOOD PTE. LTD.</t>
  </si>
  <si>
    <t>1300007163</t>
  </si>
  <si>
    <t>FT-0F002-0000400</t>
  </si>
  <si>
    <t>6002186</t>
  </si>
  <si>
    <t>INDUSTRIAL PESQUERA SANTA MONICA S.</t>
  </si>
  <si>
    <t>1300007116</t>
  </si>
  <si>
    <t>FT-0F101-0007342</t>
  </si>
  <si>
    <t>1000006830</t>
  </si>
  <si>
    <t>JAHFISH E.I.R.L.</t>
  </si>
  <si>
    <t>1200003020</t>
  </si>
  <si>
    <t>01-0F101-0007338</t>
  </si>
  <si>
    <t>JAHFISH E.I.R.L.</t>
  </si>
  <si>
    <t>1200003021</t>
  </si>
  <si>
    <t>01-0F101-0007339</t>
  </si>
  <si>
    <t>JAHFISH E.I.R.L.</t>
  </si>
  <si>
    <t>1200003026</t>
  </si>
  <si>
    <t>01-0F101-0007344</t>
  </si>
  <si>
    <t>JAHFISH E.I.R.L.</t>
  </si>
  <si>
    <t>1200003027</t>
  </si>
  <si>
    <t>01-0F101-0007345</t>
  </si>
  <si>
    <t>JAHFISH E.I.R.L.</t>
  </si>
  <si>
    <t>1200003040</t>
  </si>
  <si>
    <t>01-0F101-0007354</t>
  </si>
  <si>
    <t>JAHFISH E.I.R.L.</t>
  </si>
  <si>
    <t>1200003041</t>
  </si>
  <si>
    <t>01-0F101-0007355</t>
  </si>
  <si>
    <t>JAHFISH E.I.R.L.</t>
  </si>
  <si>
    <t>1200003042</t>
  </si>
  <si>
    <t>01-0F101-0007356</t>
  </si>
  <si>
    <t>JAHFISH E.I.R.L.</t>
  </si>
  <si>
    <t>1200003043</t>
  </si>
  <si>
    <t>01-0F101-0007357</t>
  </si>
  <si>
    <t>JAHFISH E.I.R.L.</t>
  </si>
  <si>
    <t>1200003046</t>
  </si>
  <si>
    <t>01-0F101-0007359</t>
  </si>
  <si>
    <t>JAHFISH E.I.R.L.</t>
  </si>
  <si>
    <t>1200003047</t>
  </si>
  <si>
    <t>01-0F101-0007360</t>
  </si>
  <si>
    <t>JAHFISH E.I.R.L.</t>
  </si>
  <si>
    <t>1200003065</t>
  </si>
  <si>
    <t>01-0F101-0007375</t>
  </si>
  <si>
    <t>JAHFISH E.I.R.L.</t>
  </si>
  <si>
    <t>1200003066</t>
  </si>
  <si>
    <t>01-0F101-0007376</t>
  </si>
  <si>
    <t>JAHFISH E.I.R.L.</t>
  </si>
  <si>
    <t>1200003086</t>
  </si>
  <si>
    <t>01-0F101-0007396</t>
  </si>
  <si>
    <t>JAHFISH E.I.R.L.</t>
  </si>
  <si>
    <t>1200003087</t>
  </si>
  <si>
    <t>01-0F101-0007397</t>
  </si>
  <si>
    <t>JAHFISH E.I.R.L.</t>
  </si>
  <si>
    <t>1200003101</t>
  </si>
  <si>
    <t>01-0F101-0007408</t>
  </si>
  <si>
    <t>JAHFISH E.I.R.L.</t>
  </si>
  <si>
    <t>1200003102</t>
  </si>
  <si>
    <t>01-0F101-0007409</t>
  </si>
  <si>
    <t>JAHFISH E.I.R.L.</t>
  </si>
  <si>
    <t>1200003105</t>
  </si>
  <si>
    <t>01-0F101-0007412</t>
  </si>
  <si>
    <t>JAHFISH E.I.R.L.</t>
  </si>
  <si>
    <t>1200003106</t>
  </si>
  <si>
    <t>01-0F101-0007413</t>
  </si>
  <si>
    <t>JAHFISH E.I.R.L.</t>
  </si>
  <si>
    <t>1200003126</t>
  </si>
  <si>
    <t>01-0F101-0007431</t>
  </si>
  <si>
    <t>JAHFISH E.I.R.L.</t>
  </si>
  <si>
    <t>1200003127</t>
  </si>
  <si>
    <t>01-0F101-0007432</t>
  </si>
  <si>
    <t>JAHFISH E.I.R.L.</t>
  </si>
  <si>
    <t>1200003135</t>
  </si>
  <si>
    <t>01-0F101-0007438</t>
  </si>
  <si>
    <t>JAHFISH E.I.R.L.</t>
  </si>
  <si>
    <t>1200003136</t>
  </si>
  <si>
    <t>01-0F101-0007439</t>
  </si>
  <si>
    <t>JAHFISH E.I.R.L.</t>
  </si>
  <si>
    <t>1200003141</t>
  </si>
  <si>
    <t>01-0F101-0007440</t>
  </si>
  <si>
    <t>JAHFISH E.I.R.L.</t>
  </si>
  <si>
    <t>1200003142</t>
  </si>
  <si>
    <t>01-0F101-0007441</t>
  </si>
  <si>
    <t>JAHFISH E.I.R.L.</t>
  </si>
  <si>
    <t>1200003165</t>
  </si>
  <si>
    <t>01-0F101-0007460</t>
  </si>
  <si>
    <t>JAHFISH E.I.R.L.</t>
  </si>
  <si>
    <t>1200003166</t>
  </si>
  <si>
    <t>01-0F101-0007461</t>
  </si>
  <si>
    <t>JAHFISH E.I.R.L.</t>
  </si>
  <si>
    <t>1200003181</t>
  </si>
  <si>
    <t>01-0F101-0007472</t>
  </si>
  <si>
    <t>JAHFISH E.I.R.L.</t>
  </si>
  <si>
    <t>1200003182</t>
  </si>
  <si>
    <t>01-0F101-0007473</t>
  </si>
  <si>
    <t>JAHFISH E.I.R.L.</t>
  </si>
  <si>
    <t>1200003204</t>
  </si>
  <si>
    <t>01-0F101-0007491</t>
  </si>
  <si>
    <t>JAHFISH E.I.R.L.</t>
  </si>
  <si>
    <t>1200003205</t>
  </si>
  <si>
    <t>01-0F101-0007492</t>
  </si>
  <si>
    <t>JAHFISH E.I.R.L.</t>
  </si>
  <si>
    <t>1200003206</t>
  </si>
  <si>
    <t>01-0F101-0007493</t>
  </si>
  <si>
    <t>JAHFISH E.I.R.L.</t>
  </si>
  <si>
    <t>1200003207</t>
  </si>
  <si>
    <t>01-0F101-0007494</t>
  </si>
  <si>
    <t>JAHFISH E.I.R.L.</t>
  </si>
  <si>
    <t>1200003228</t>
  </si>
  <si>
    <t>01-0F101-0007512</t>
  </si>
  <si>
    <t>JAHFISH E.I.R.L.</t>
  </si>
  <si>
    <t>1200003229</t>
  </si>
  <si>
    <t>01-0F101-0007513</t>
  </si>
  <si>
    <t>JAHFISH E.I.R.L.</t>
  </si>
  <si>
    <t>1200003236</t>
  </si>
  <si>
    <t>01-0F101-0007520</t>
  </si>
  <si>
    <t>JAHFISH E.I.R.L.</t>
  </si>
  <si>
    <t>1200003237</t>
  </si>
  <si>
    <t>01-0F101-0007521</t>
  </si>
  <si>
    <t>JAHFISH E.I.R.L.</t>
  </si>
  <si>
    <t>1200003254</t>
  </si>
  <si>
    <t>01-0F101-0007534</t>
  </si>
  <si>
    <t>JAHFISH E.I.R.L.</t>
  </si>
  <si>
    <t>1200003255</t>
  </si>
  <si>
    <t>01-0F101-0007535</t>
  </si>
  <si>
    <t>JAHFISH E.I.R.L.</t>
  </si>
  <si>
    <t>1200003257</t>
  </si>
  <si>
    <t>01-0F101-0007536</t>
  </si>
  <si>
    <t>JAHFISH E.I.R.L.</t>
  </si>
  <si>
    <t>1200003258</t>
  </si>
  <si>
    <t>01-0F101-0007537</t>
  </si>
  <si>
    <t>JAHFISH E.I.R.L.</t>
  </si>
  <si>
    <t>1200003276</t>
  </si>
  <si>
    <t>01-0F101-0007554</t>
  </si>
  <si>
    <t>JAHFISH E.I.R.L.</t>
  </si>
  <si>
    <t>1200003277</t>
  </si>
  <si>
    <t>01-0F101-0007555</t>
  </si>
  <si>
    <t>JAHFISH E.I.R.L.</t>
  </si>
  <si>
    <t>1200003284</t>
  </si>
  <si>
    <t>01-0F101-0007562</t>
  </si>
  <si>
    <t>JAHFISH E.I.R.L.</t>
  </si>
  <si>
    <t>1200003285</t>
  </si>
  <si>
    <t>01-0F101-0007563</t>
  </si>
  <si>
    <t>JAHFISH E.I.R.L.</t>
  </si>
  <si>
    <t>1200003286</t>
  </si>
  <si>
    <t>01-0F101-0007564</t>
  </si>
  <si>
    <t>JAHFISH E.I.R.L.</t>
  </si>
  <si>
    <t>1200003287</t>
  </si>
  <si>
    <t>01-0F101-0007565</t>
  </si>
  <si>
    <t>JAHFISH E.I.R.L.</t>
  </si>
  <si>
    <t>1200003289</t>
  </si>
  <si>
    <t>01-0F101-0007567</t>
  </si>
  <si>
    <t>JAHFISH E.I.R.L.</t>
  </si>
  <si>
    <t>1200003290</t>
  </si>
  <si>
    <t>01-0F101-0007568</t>
  </si>
  <si>
    <t>JAHFISH E.I.R.L.</t>
  </si>
  <si>
    <t>1200003348</t>
  </si>
  <si>
    <t>01-0F101-0007613</t>
  </si>
  <si>
    <t>JAHFISH E.I.R.L.</t>
  </si>
  <si>
    <t>1200003349</t>
  </si>
  <si>
    <t>01-0F101-0007614</t>
  </si>
  <si>
    <t>JAHFISH E.I.R.L.</t>
  </si>
  <si>
    <t>1200003350</t>
  </si>
  <si>
    <t>01-0F101-0007615</t>
  </si>
  <si>
    <t>JAHFISH E.I.R.L.</t>
  </si>
  <si>
    <t>1200003351</t>
  </si>
  <si>
    <t>01-0F101-0007616</t>
  </si>
  <si>
    <t>JAHFISH E.I.R.L.</t>
  </si>
  <si>
    <t>1200003368</t>
  </si>
  <si>
    <t>01-0F101-0007630</t>
  </si>
  <si>
    <t>JAHFISH E.I.R.L.</t>
  </si>
  <si>
    <t>1200003369</t>
  </si>
  <si>
    <t>01-0F101-0007631</t>
  </si>
  <si>
    <t>JAHFISH E.I.R.L.</t>
  </si>
  <si>
    <t>1200003412</t>
  </si>
  <si>
    <t>01-0F101-0007664</t>
  </si>
  <si>
    <t>JAHFISH E.I.R.L.</t>
  </si>
  <si>
    <t>1200003413</t>
  </si>
  <si>
    <t>01-0F101-0007665</t>
  </si>
  <si>
    <t>JAHFISH E.I.R.L.</t>
  </si>
  <si>
    <t>1200003426</t>
  </si>
  <si>
    <t>01-0F101-0007676</t>
  </si>
  <si>
    <t>JAHFISH E.I.R.L.</t>
  </si>
  <si>
    <t>1200003427</t>
  </si>
  <si>
    <t>01-0F101-0007677</t>
  </si>
  <si>
    <t>JAHFISH E.I.R.L.</t>
  </si>
  <si>
    <t>1200003436</t>
  </si>
  <si>
    <t>01-0F101-0007682</t>
  </si>
  <si>
    <t>JAHFISH E.I.R.L.</t>
  </si>
  <si>
    <t>1200003437</t>
  </si>
  <si>
    <t>01-0F101-0007683</t>
  </si>
  <si>
    <t>JAHFISH E.I.R.L.</t>
  </si>
  <si>
    <t>1200003448</t>
  </si>
  <si>
    <t>01-0F101-0007690</t>
  </si>
  <si>
    <t>JAHFISH E.I.R.L.</t>
  </si>
  <si>
    <t>1200003449</t>
  </si>
  <si>
    <t>01-0F101-0007691</t>
  </si>
  <si>
    <t>2000001459</t>
  </si>
  <si>
    <t>KS FROZEN COMPANY LIMITED</t>
  </si>
  <si>
    <t>1300004230</t>
  </si>
  <si>
    <t>ANTICIPO FP242</t>
  </si>
  <si>
    <t>KS FROZEN COMPANY LIMITED</t>
  </si>
  <si>
    <t>1200003452</t>
  </si>
  <si>
    <t>01-0F002-0000393</t>
  </si>
  <si>
    <t>KS FROZEN COMPANY LIMITED</t>
  </si>
  <si>
    <t>1200003474</t>
  </si>
  <si>
    <t>01-0F002-0000407</t>
  </si>
  <si>
    <t>2000001172</t>
  </si>
  <si>
    <t>KULALIA SL</t>
  </si>
  <si>
    <t>KULALIA SL</t>
  </si>
  <si>
    <t>1300007034</t>
  </si>
  <si>
    <t>FT-0F002-0000374</t>
  </si>
  <si>
    <t>KULALIA SL</t>
  </si>
  <si>
    <t>1200003362</t>
  </si>
  <si>
    <t>01-0F002-0000389</t>
  </si>
  <si>
    <t>2000000231</t>
  </si>
  <si>
    <t>LONGKOU JIABAO AQUATIC FOODSTUFFS</t>
  </si>
  <si>
    <t>1300007149</t>
  </si>
  <si>
    <t>FT-0F002-0000371</t>
  </si>
  <si>
    <t>LONGKOU JIABAO AQUATIC FOODSTUFFS</t>
  </si>
  <si>
    <t>1200002880</t>
  </si>
  <si>
    <t>01-0F002-0000378</t>
  </si>
  <si>
    <t>LONGKOU JIABAO AQUATIC FOODSTUFFS</t>
  </si>
  <si>
    <t>1200002882</t>
  </si>
  <si>
    <t>01-0F002-0000379</t>
  </si>
  <si>
    <t>2000000233</t>
  </si>
  <si>
    <t>LONGKOU SANMING AQUATIC</t>
  </si>
  <si>
    <t>LONGKOU SANMING AQUATIC</t>
  </si>
  <si>
    <t>1200002904</t>
  </si>
  <si>
    <t>LONGKOU SANMING AQUATIC</t>
  </si>
  <si>
    <t>1200002938</t>
  </si>
  <si>
    <t>01-0F002-0000385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</si>
  <si>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</si>
  <si>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</si>
  <si>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</si>
  <si>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</si>
  <si>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</si>
  <si>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</si>
  <si>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</si>
  <si>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</si>
  <si>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</si>
  <si>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</si>
  <si>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</si>
  <si>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</si>
  <si>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</si>
  <si>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</si>
  <si>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</si>
  <si>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</si>
  <si>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</si>
  <si>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</si>
  <si>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</si>
  <si>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</si>
  <si>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</si>
  <si>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</si>
  <si>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</si>
  <si>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</si>
  <si>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</si>
  <si>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</si>
  <si>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</si>
  <si>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</si>
  <si>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</si>
  <si>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</si>
  <si>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</si>
  <si>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</si>
  <si>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</si>
  <si>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</si>
  <si>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</si>
  <si>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</si>
  <si>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</si>
  <si>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</si>
  <si>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</si>
  <si>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</si>
  <si>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</si>
  <si>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</si>
  <si>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</si>
  <si>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</si>
  <si>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</si>
  <si>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</si>
  <si>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</si>
  <si>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</si>
  <si>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</si>
  <si>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</si>
  <si>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</si>
  <si>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</si>
  <si>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</si>
  <si>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</si>
  <si>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</si>
  <si>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</si>
  <si>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</si>
  <si>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</si>
  <si>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</si>
  <si>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</si>
  <si>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</si>
  <si>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</si>
  <si>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1200003319</t>
  </si>
  <si>
    <t>01-0F101-0007590</t>
  </si>
  <si>
    <t>NAVAPEZ E.I.R.L.</t>
  </si>
  <si>
    <t>1200003320</t>
  </si>
  <si>
    <t>01-0F101-0007591</t>
  </si>
  <si>
    <t>6001105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</si>
  <si>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</si>
  <si>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</si>
  <si>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</si>
  <si>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</si>
  <si>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</si>
  <si>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</si>
  <si>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</si>
  <si>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</si>
  <si>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</si>
  <si>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</si>
  <si>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</si>
  <si>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</si>
  <si>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</si>
  <si>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</si>
  <si>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</si>
  <si>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NEGOCIOS PESQUEROS AARON EIRL</t>
  </si>
  <si>
    <t>1300007099</t>
  </si>
  <si>
    <t>FT-0F101-0007507</t>
  </si>
  <si>
    <t>2000001443</t>
  </si>
  <si>
    <t>NINGBO JUN TAO IMPORT AND</t>
  </si>
  <si>
    <t>1300004715</t>
  </si>
  <si>
    <t>FT-0F002-0000355</t>
  </si>
  <si>
    <t>2000001359</t>
  </si>
  <si>
    <t>OCEANUS FISH S.L.</t>
  </si>
  <si>
    <t>1300005285</t>
  </si>
  <si>
    <t>FT-0F002-0000309</t>
  </si>
  <si>
    <t>OCEANUS FISH S.L.</t>
  </si>
  <si>
    <t>1200003338</t>
  </si>
  <si>
    <t>01-0F002-0000388</t>
  </si>
  <si>
    <t>2000001468</t>
  </si>
  <si>
    <t>OPTIMIZE INTEGRATION GROUP INC</t>
  </si>
  <si>
    <t>1300004843</t>
  </si>
  <si>
    <t>ANTICIPO FP-247</t>
  </si>
  <si>
    <t>OPTIMIZE INTEGRATION GROUP INC</t>
  </si>
  <si>
    <t>1200003263</t>
  </si>
  <si>
    <t>01-0F002-0000387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</si>
  <si>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</si>
  <si>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</si>
  <si>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</si>
  <si>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</si>
  <si>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</si>
  <si>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</si>
  <si>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</si>
  <si>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</si>
  <si>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</si>
  <si>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</si>
  <si>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</si>
  <si>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</si>
  <si>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</si>
  <si>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2000001380</t>
  </si>
  <si>
    <t>PELAGICS INTERNATIONAL CORP SAS</t>
  </si>
  <si>
    <t>1300004799</t>
  </si>
  <si>
    <t>ANTICIPO FP-243</t>
  </si>
  <si>
    <t>PELAGICS INTERNATIONAL CORP SAS</t>
  </si>
  <si>
    <t>1200002542</t>
  </si>
  <si>
    <t>01-0F002-0000368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</si>
  <si>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</si>
  <si>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</si>
  <si>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</si>
  <si>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</si>
  <si>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</si>
  <si>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</si>
  <si>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1200003352</t>
  </si>
  <si>
    <t>01-0F101-0007617</t>
  </si>
  <si>
    <t>PROVEEDORA DE PRODUCTOS MARINOS</t>
  </si>
  <si>
    <t>1200003365</t>
  </si>
  <si>
    <t>01-0F101-0007627</t>
  </si>
  <si>
    <t>PROVEEDORA DE PRODUCTOS MARINOS</t>
  </si>
  <si>
    <t>1200003468</t>
  </si>
  <si>
    <t>01-0F003-0000198</t>
  </si>
  <si>
    <t>PROVEEDORA DE PRODUCTOS MARINOS</t>
  </si>
  <si>
    <t>1200003469</t>
  </si>
  <si>
    <t>01-0F003-0000199</t>
  </si>
  <si>
    <t>2000001382</t>
  </si>
  <si>
    <t>QINGDAO OCEAN FISHERY COMPANY LIMIT</t>
  </si>
  <si>
    <t>1300005603</t>
  </si>
  <si>
    <t>FP-255</t>
  </si>
  <si>
    <t>QINGDAO OCEAN FISHERY COMPANY LIMIT</t>
  </si>
  <si>
    <t>1300007032</t>
  </si>
  <si>
    <t>FP-261</t>
  </si>
  <si>
    <t>QINGDAO OCEAN FISHERY COMPANY LIMIT</t>
  </si>
  <si>
    <t>1200003453</t>
  </si>
  <si>
    <t>01-0F002-0000394</t>
  </si>
  <si>
    <t>QINGDAO OCEAN FISHERY COMPANY LIMIT</t>
  </si>
  <si>
    <t>1200003471</t>
  </si>
  <si>
    <t>01-0F002-0000404</t>
  </si>
  <si>
    <t>1000015392</t>
  </si>
  <si>
    <t>SEBGUSTA FISH S.R.L.</t>
  </si>
  <si>
    <t>1200002881</t>
  </si>
  <si>
    <t>01-0F003-0000192</t>
  </si>
  <si>
    <t>1000001965</t>
  </si>
  <si>
    <t>SERVICIOS DIESEL EXPRESS E.I.R.L.</t>
  </si>
  <si>
    <t>1200003073</t>
  </si>
  <si>
    <t>01-0F101-0007383</t>
  </si>
  <si>
    <t>SERVICIOS DIESEL EXPRESS E.I.R.L.</t>
  </si>
  <si>
    <t>1200003103</t>
  </si>
  <si>
    <t>01-0F101-0007410</t>
  </si>
  <si>
    <t>SERVICIOS DIESEL EXPRESS E.I.R.L.</t>
  </si>
  <si>
    <t>1200003167</t>
  </si>
  <si>
    <t>01-0F101-0007462</t>
  </si>
  <si>
    <t>SERVICIOS DIESEL EXPRESS E.I.R.L.</t>
  </si>
  <si>
    <t>1200003261</t>
  </si>
  <si>
    <t>01-0F101-0007540</t>
  </si>
  <si>
    <t>SERVICIOS DIESEL EXPRESS E.I.R.L.</t>
  </si>
  <si>
    <t>1200003339</t>
  </si>
  <si>
    <t>01-0F101-0007604</t>
  </si>
  <si>
    <t>2000000974</t>
  </si>
  <si>
    <t>SHANDONG LONGKOU XINLONG</t>
  </si>
  <si>
    <t>1300007031</t>
  </si>
  <si>
    <t>FP-258</t>
  </si>
  <si>
    <t>SHANDONG LONGKOU XINLONG</t>
  </si>
  <si>
    <t>1200003473</t>
  </si>
  <si>
    <t>01-0F002-0000406</t>
  </si>
  <si>
    <t>2000001440</t>
  </si>
  <si>
    <t>Shenzhen Yueshi Supply Chain</t>
  </si>
  <si>
    <t>1300007153</t>
  </si>
  <si>
    <t>FT-0F002-0000372</t>
  </si>
  <si>
    <t>Shenzhen Yueshi Supply Chain</t>
  </si>
  <si>
    <t>1300007151</t>
  </si>
  <si>
    <t>FP-266</t>
  </si>
  <si>
    <t>1000013801</t>
  </si>
  <si>
    <t>STL 5.0 S.A.C.</t>
  </si>
  <si>
    <t>1300007121</t>
  </si>
  <si>
    <t>FT-0F101-0007611</t>
  </si>
  <si>
    <t>1000013686</t>
  </si>
  <si>
    <t>TRANSPORTES O Y G S.A.C.</t>
  </si>
  <si>
    <t>1200003431</t>
  </si>
  <si>
    <t>01-0F101-0007679</t>
  </si>
  <si>
    <t>TRANSPORTES O Y G S.A.C.</t>
  </si>
  <si>
    <t>1200003450</t>
  </si>
  <si>
    <t>01-0F101-0007692</t>
  </si>
  <si>
    <t>TRANSPORTES O Y G S.A.C.</t>
  </si>
  <si>
    <t>1200003477</t>
  </si>
  <si>
    <t>01-0F101-0007693</t>
  </si>
  <si>
    <t>2000000786</t>
  </si>
  <si>
    <t>TSUJINO &amp; CO., LTD</t>
  </si>
  <si>
    <t>TSUJINO &amp; CO., LTD</t>
  </si>
  <si>
    <t>1200003458</t>
  </si>
  <si>
    <t>01-0F002-0000399</t>
  </si>
  <si>
    <t>TSUJINO &amp; CO., LTD</t>
  </si>
  <si>
    <t>1200003465</t>
  </si>
  <si>
    <t>01-0F002-0000401</t>
  </si>
  <si>
    <t>TSUJINO &amp; CO., LTD</t>
  </si>
  <si>
    <t>1200003467</t>
  </si>
  <si>
    <t>01-0F002-0000402</t>
  </si>
  <si>
    <t>2000001444</t>
  </si>
  <si>
    <t>YANTAI HONGCHANG IMPORT AND EXPORT</t>
  </si>
  <si>
    <t>1300007042</t>
  </si>
  <si>
    <t>FT-0F002-0000370</t>
  </si>
  <si>
    <t>2000001348</t>
  </si>
  <si>
    <t>YANTAI JIAHONG IMP &amp; EXP CO., LTD.</t>
  </si>
  <si>
    <t>1200003447</t>
  </si>
  <si>
    <t>01-0F002-0000391</t>
  </si>
  <si>
    <t>YANTAI JIAHONG IMP &amp; EXP CO., LTD.</t>
  </si>
  <si>
    <t>1200003456</t>
  </si>
  <si>
    <t>01-0F002-0000397</t>
  </si>
  <si>
    <t>YANTAI JIAHONG IMP &amp; EXP CO., LTD.</t>
  </si>
  <si>
    <t>1200003457</t>
  </si>
  <si>
    <t>01-0F002-0000398</t>
  </si>
  <si>
    <t>YANTAI JIAHONG IMP &amp; EXP CO., LTD.</t>
  </si>
  <si>
    <t>1200003472</t>
  </si>
  <si>
    <t>01-0F002-0000405</t>
  </si>
  <si>
    <t>YANTAI JIAHONG IMP &amp; EXP CO., LTD.</t>
  </si>
  <si>
    <t>1200003478</t>
  </si>
  <si>
    <t>01-0F002-0000408</t>
  </si>
  <si>
    <t>UNIDAD DE NEGOCIO</t>
  </si>
  <si>
    <t>NACIONAL</t>
  </si>
  <si>
    <t>RODRIGO</t>
  </si>
  <si>
    <t>CISTERNA</t>
  </si>
  <si>
    <t>OTROS</t>
  </si>
  <si>
    <t>RESIDUOS</t>
  </si>
  <si>
    <t>EXPORTACION</t>
  </si>
  <si>
    <t xml:space="preserve">CONGELAMIENTO </t>
  </si>
  <si>
    <t>Suma de Importe en moneda doc.</t>
  </si>
  <si>
    <t>Etiquetas de columna</t>
  </si>
  <si>
    <t>Etiquetas de fila</t>
  </si>
  <si>
    <t>Total general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</si>
  <si>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</si>
  <si>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</si>
  <si>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</si>
  <si>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</si>
  <si>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</si>
  <si>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</si>
  <si>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</si>
  <si>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</si>
  <si>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</si>
  <si>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61-90</t>
  </si>
  <si>
    <t>91-a más</t>
  </si>
  <si>
    <t>Suma de USD HOMOL</t>
  </si>
  <si>
    <t>(Todas)</t>
  </si>
  <si>
    <t>(Varios elementos)</t>
  </si>
  <si>
    <t>Suma de DÍAS ATRASADOS</t>
  </si>
  <si>
    <t>Cuenta de DÍAS VENCIDOS</t>
  </si>
  <si>
    <t>FT-0F002-0000382</t>
  </si>
  <si>
    <t>FT-0F002-0000385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</si>
</sst>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</cellStyleXfs>
  <cellXfs count="2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3" fontId="0" fillId="0" borderId="0" xfId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4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4" applyFont="1" applyFill="1" applyAlignment="1">
      <alignment vertical="top" wrapText="1"/>
    </xf>
    <xf numFmtId="0" fontId="4" fillId="5" borderId="0" xfId="4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0" fillId="6" borderId="0" xfId="0" applyFill="1" applyAlignment="1">
      <alignment horizontal="left" vertical="top"/>
    </xf>
    <xf numFmtId="3" fontId="0" fillId="6" borderId="0" xfId="0" applyNumberFormat="1" applyFill="1" applyAlignment="1">
      <alignment vertical="top"/>
    </xf>
    <xf numFmtId="3" fontId="0" fillId="5" borderId="0" xfId="0" applyNumberFormat="1" applyFill="1" applyAlignment="1">
      <alignment vertical="top"/>
    </xf>
  </cellXfs>
  <cellStyles count="6">
    <cellStyle name="Millares" xfId="1" builtinId="3"/>
    <cellStyle name="Millares 2" xfId="5" xr:uid="{81CDCC47-4E65-4A78-ABC0-C005FB3B50D2}"/>
    <cellStyle name="Millares 3" xfId="3" xr:uid="{C03BBEC6-72D0-4180-B4F2-A81E698E4105}"/>
    <cellStyle name="Millares 4" xfId="2" xr:uid="{50BB2972-3536-443D-B90E-35AE52C3120D}"/>
    <cellStyle name="Normal" xfId="0" builtinId="0"/>
    <cellStyle name="Normal 2" xfId="4" xr:uid="{46E6959E-3D29-4ACC-AB5A-D9D7A5AB6A05}"/>
  </cellStyles>
  <dxfs count="13">
    <dxf>
      <numFmt numFmtId="3" formatCode="#,##0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37.723861921295" createdVersion="8" refreshedVersion="8" minRefreshableVersion="3" recordCount="178" xr:uid="{D9CCA838-A451-40FE-9193-E8C62E2CA7C7}">
  <cacheSource type="worksheet">
    <worksheetSource ref="A1:R179" sheet="Data"/>
  </cacheSource>
  <cacheFields count="18">
    <cacheField name="Cliente" numFmtId="0">
      <sharedItems/>
    </cacheField>
    <cacheField name="Nombre de cliente" numFmtId="0">
      <sharedItems count="32">
        <s v="ARKANO TRADING SOCIEDAD ANONIMA CER"/>
        <s v="AVANCE GROUP LTD"/>
        <s v="CORPORACION NACIONAL PERU EXPORTACI"/>
        <s v="CRISTO DE LA VICTORIA S.A.C."/>
        <s v="FOOD &amp; BEVERAGES TRADERS, S.L."/>
        <s v="GLOBAL OCEAN FLEXTRADING, S. L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OCEAN FISHERY COMPANY LIMIT"/>
        <s v="SEBGUSTA FISH S.R.L."/>
        <s v="SERVICIOS DIESEL EXPRESS E.I.R.L."/>
        <s v="SHANDONG LONGKOU XINLONG"/>
        <s v="Shenzhen Yueshi Supply Chain"/>
        <s v="STL 5.0 S.A.C."/>
        <s v="TRANSPORTES O Y G S.A.C."/>
        <s v="TSUJINO &amp; CO., LTD"/>
        <s v="YANTAI HONGCHANG IMPORT AND EXPORT"/>
        <s v="YANTAI JIAHONG IMP &amp; EXP CO., LTD."/>
      </sharedItems>
    </cacheField>
    <cacheField name="Nº documento" numFmtId="0">
      <sharedItems/>
    </cacheField>
    <cacheField name="Referencia" numFmtId="0">
      <sharedItems count="185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60"/>
        <s v="FT-0F002-0000386"/>
        <s v="01-0F002-0000392"/>
        <s v="01-0F002-0000395"/>
        <s v="01-0F002-0000403"/>
        <s v="01-0F101-0007358"/>
        <s v="01-0F101-0007640"/>
        <s v="01-0F101-0007641"/>
        <s v="01-0F101-0007656"/>
        <s v="01-0F101-0007657"/>
        <s v="01-0F101-0007658"/>
        <s v="01-0F101-0007659"/>
        <s v="01-0F101-0007674"/>
        <s v="01-0F101-0007675"/>
        <s v="FT-0F002-0000311"/>
        <s v="FT-0F002-0000295"/>
        <s v="FT-0F002-0000400"/>
        <s v="FT-0F101-0007342"/>
        <s v="01-0F101-0007338"/>
        <s v="01-0F101-0007339"/>
        <s v="01-0F101-0007344"/>
        <s v="01-0F101-0007345"/>
        <s v="01-0F101-0007354"/>
        <s v="01-0F101-0007355"/>
        <s v="01-0F101-0007356"/>
        <s v="01-0F101-0007357"/>
        <s v="01-0F101-0007359"/>
        <s v="01-0F101-0007360"/>
        <s v="01-0F101-0007375"/>
        <s v="01-0F101-0007376"/>
        <s v="01-0F101-0007396"/>
        <s v="01-0F101-0007397"/>
        <s v="01-0F101-0007408"/>
        <s v="01-0F101-0007409"/>
        <s v="01-0F101-0007412"/>
        <s v="01-0F101-0007413"/>
        <s v="01-0F101-0007431"/>
        <s v="01-0F101-0007432"/>
        <s v="01-0F101-0007438"/>
        <s v="01-0F101-0007439"/>
        <s v="01-0F101-0007440"/>
        <s v="01-0F101-0007441"/>
        <s v="01-0F101-0007460"/>
        <s v="01-0F101-0007461"/>
        <s v="01-0F101-0007472"/>
        <s v="01-0F101-0007473"/>
        <s v="01-0F101-0007491"/>
        <s v="01-0F101-0007492"/>
        <s v="01-0F101-0007493"/>
        <s v="01-0F101-0007494"/>
        <s v="01-0F101-0007512"/>
        <s v="01-0F101-0007513"/>
        <s v="01-0F101-0007520"/>
        <s v="01-0F101-0007521"/>
        <s v="01-0F101-0007534"/>
        <s v="01-0F101-0007535"/>
        <s v="01-0F101-0007536"/>
        <s v="01-0F101-0007537"/>
        <s v="01-0F101-0007554"/>
        <s v="01-0F101-0007555"/>
        <s v="01-0F101-0007562"/>
        <s v="01-0F101-0007563"/>
        <s v="01-0F101-0007564"/>
        <s v="01-0F101-0007565"/>
        <s v="01-0F101-0007567"/>
        <s v="01-0F101-0007568"/>
        <s v="01-0F101-0007613"/>
        <s v="01-0F101-0007614"/>
        <s v="01-0F101-0007615"/>
        <s v="01-0F101-0007616"/>
        <s v="01-0F101-0007630"/>
        <s v="01-0F101-0007631"/>
        <s v="01-0F101-0007664"/>
        <s v="01-0F101-0007665"/>
        <s v="01-0F101-0007676"/>
        <s v="01-0F101-0007677"/>
        <s v="01-0F101-0007682"/>
        <s v="01-0F101-0007683"/>
        <s v="01-0F101-0007690"/>
        <s v="01-0F101-0007691"/>
        <s v="ANTICIPO FP242"/>
        <s v="01-0F002-0000393"/>
        <s v="01-0F002-0000407"/>
        <s v="FT-0F002-0000374"/>
        <s v="01-0F002-0000389"/>
        <s v="FT-0F002-0000371"/>
        <s v="01-0F002-0000378"/>
        <s v="01-0F002-0000379"/>
        <s v="FT-0F002-0000382"/>
        <s v="01-0F002-0000385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55"/>
        <s v="FT-0F002-0000309"/>
        <s v="01-0F002-0000388"/>
        <s v="ANTICIPO FP-247"/>
        <s v="01-0F002-0000387"/>
        <s v="FT-0F003-0000101"/>
        <s v="01-0F003-0000129"/>
        <s v="01-0F003-0000168"/>
        <s v="01-0F003-0000174"/>
        <s v="ANTICIPO FP-243"/>
        <s v="01-0F002-0000368"/>
        <s v="01-0F003-0000083"/>
        <s v="01-0F101-0007617"/>
        <s v="01-0F101-0007627"/>
        <s v="01-0F003-0000198"/>
        <s v="01-0F003-0000199"/>
        <s v="FP-255"/>
        <s v="FP-261"/>
        <s v="01-0F002-0000394"/>
        <s v="01-0F002-0000404"/>
        <s v="01-0F003-0000192"/>
        <s v="01-0F101-0007383"/>
        <s v="01-0F101-0007410"/>
        <s v="01-0F101-0007462"/>
        <s v="01-0F101-0007540"/>
        <s v="01-0F101-0007604"/>
        <s v="FP-258"/>
        <s v="01-0F002-0000406"/>
        <s v="FT-0F002-0000372"/>
        <s v="FP-266"/>
        <s v="FT-0F101-0007611"/>
        <s v="01-0F101-0007679"/>
        <s v="01-0F101-0007692"/>
        <s v="01-0F101-0007693"/>
        <s v="01-0F002-0000399"/>
        <s v="01-0F002-0000401"/>
        <s v="01-0F002-0000402"/>
        <s v="FT-0F002-0000370"/>
        <s v="01-0F002-0000391"/>
        <s v="01-0F002-0000397"/>
        <s v="01-0F002-0000398"/>
        <s v="01-0F002-0000405"/>
        <s v="01-0F002-0000408"/>
        <s v="ANTICIPO FP-248" u="1"/>
        <s v="ANTICIPO FP-249" u="1"/>
        <s v="01-0F002-0000382" u="1"/>
        <s v="FT-0F002-0000375" u="1"/>
        <s v="07-0F002-0000045" u="1"/>
        <s v="FT-0F002-0000377" u="1"/>
        <s v="01-0F002-0000384" u="1"/>
      </sharedItems>
    </cacheField>
    <cacheField name="Clase de documento" numFmtId="0">
      <sharedItems count="5">
        <s v="DF"/>
        <s v="ZV"/>
        <s v="DE"/>
        <s v="DZ"/>
        <s v="DC" u="1"/>
      </sharedItems>
    </cacheField>
    <cacheField name="Fecha de documento" numFmtId="14">
      <sharedItems containsSemiMixedTypes="0" containsNonDate="0" containsDate="1" containsString="0" minDate="2025-10-07T00:00:00" maxDate="2026-08-02T00:00:00" count="57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5-29T00:00:00"/>
        <d v="2026-06-30T00:00:00"/>
        <d v="2026-07-25T00:00:00"/>
        <d v="2026-07-27T00:00:00"/>
        <d v="2026-07-29T00:00:00"/>
        <d v="2026-07-07T00:00:00"/>
        <d v="2026-07-21T00:00:00"/>
        <d v="2026-07-22T00:00:00"/>
        <d v="2026-07-24T00:00:00"/>
        <d v="2026-04-27T00:00:00"/>
        <d v="2026-04-12T00:00:00"/>
        <d v="2026-07-28T00:00:00"/>
        <d v="2026-07-06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5-26T00:00:00"/>
        <d v="2026-07-31T00:00:00"/>
        <d v="2026-06-21T00:00:00"/>
        <d v="2026-06-19T00:00:00"/>
        <d v="2025-11-03T00:00:00"/>
        <d v="2025-11-06T00:00:00"/>
        <d v="2026-05-06T00:00:00"/>
        <d v="2026-05-12T00:00:00"/>
        <d v="2026-05-16T00:00:00"/>
        <d v="2026-05-27T00:00:00"/>
        <d v="2026-06-02T00:00:00"/>
        <d v="2026-06-13T00:00:00"/>
        <d v="2026-07-03T00:00:00"/>
        <d v="2026-04-28T00:00:00"/>
        <d v="2026-06-05T00:00:00"/>
        <d v="2025-10-21T00:00:00"/>
        <d v="2025-11-04T00:00:00"/>
        <d v="2026-01-31T00:00:00"/>
        <d v="2026-03-03T00:00:00"/>
        <d v="2025-10-07T00:00:00"/>
        <d v="2026-08-01T00:00:00"/>
      </sharedItems>
    </cacheField>
    <cacheField name="Demora tras vencimiento neto" numFmtId="3">
      <sharedItems containsSemiMixedTypes="0" containsString="0" containsNumber="1" containsInteger="1" minValue="-114" maxValue="293"/>
    </cacheField>
    <cacheField name="Fecha de pago" numFmtId="14">
      <sharedItems containsSemiMixedTypes="0" containsNonDate="0" containsDate="1" containsString="0" minDate="2025-10-14T00:00:00" maxDate="2026-11-26T00:00:00"/>
    </cacheField>
    <cacheField name="Importe en moneda doc." numFmtId="4">
      <sharedItems containsSemiMixedTypes="0" containsString="0" containsNumber="1" minValue="-34580" maxValue="550800"/>
    </cacheField>
    <cacheField name="Moneda del documento" numFmtId="0">
      <sharedItems/>
    </cacheField>
    <cacheField name="UNIDAD DE NEGOCIO" numFmtId="0">
      <sharedItems count="7">
        <s v="NACIONAL"/>
        <s v="EXPORTACION"/>
        <s v="CONGELAMIENTO 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6-11T00:00:00" maxDate="2026-09-30T00:00:00"/>
    </cacheField>
    <cacheField name="DÍAS VENCIDOS" numFmtId="0">
      <sharedItems containsString="0" containsBlank="1" containsNumber="1" containsInteger="1" minValue="-39" maxValue="3"/>
    </cacheField>
    <cacheField name="Vcto finanzas SEMANA PASADA" numFmtId="0">
      <sharedItems containsNonDate="0" containsDate="1" containsString="0" containsBlank="1" minDate="2026-07-31T00:00:00" maxDate="2026-09-12T00:00:00"/>
    </cacheField>
    <cacheField name="Vcto finanzas" numFmtId="14">
      <sharedItems containsSemiMixedTypes="0" containsNonDate="0" containsDate="1" containsString="0" minDate="2025-10-14T00:00:00" maxDate="2026-10-16T00:00:00"/>
    </cacheField>
    <cacheField name="USD HOMOL" numFmtId="0">
      <sharedItems containsSemiMixedTypes="0" containsString="0" containsNumber="1" minValue="-34580" maxValue="550800"/>
    </cacheField>
    <cacheField name="DÍAS ATRASADOS" numFmtId="0">
      <sharedItems containsString="0" containsBlank="1" containsNumber="1" containsInteger="1" minValue="3" maxValue="113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37.72399027778" createdVersion="8" refreshedVersion="8" minRefreshableVersion="3" recordCount="178" xr:uid="{722C889B-33DB-4A0F-8710-7CD1D482698E}">
  <cacheSource type="worksheet">
    <worksheetSource ref="A1:R179" sheet="Data"/>
  </cacheSource>
  <cacheFields count="18">
    <cacheField name="Cliente" numFmtId="0">
      <sharedItems/>
    </cacheField>
    <cacheField name="Nombre de cliente" numFmtId="0">
      <sharedItems count="32">
        <s v="ARKANO TRADING SOCIEDAD ANONIMA CER"/>
        <s v="AVANCE GROUP LTD"/>
        <s v="CORPORACION NACIONAL PERU EXPORTACI"/>
        <s v="CRISTO DE LA VICTORIA S.A.C."/>
        <s v="FOOD &amp; BEVERAGES TRADERS, S.L."/>
        <s v="GLOBAL OCEAN FLEXTRADING, S. L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OCEAN FISHERY COMPANY LIMIT"/>
        <s v="SEBGUSTA FISH S.R.L."/>
        <s v="SERVICIOS DIESEL EXPRESS E.I.R.L."/>
        <s v="SHANDONG LONGKOU XINLONG"/>
        <s v="Shenzhen Yueshi Supply Chain"/>
        <s v="STL 5.0 S.A.C."/>
        <s v="TRANSPORTES O Y G S.A.C."/>
        <s v="TSUJINO &amp; CO., LTD"/>
        <s v="YANTAI HONGCHANG IMPORT AND EXPORT"/>
        <s v="YANTAI JIAHONG IMP &amp; EXP CO., LTD."/>
      </sharedItems>
    </cacheField>
    <cacheField name="Nº documento" numFmtId="0">
      <sharedItems/>
    </cacheField>
    <cacheField name="Referencia" numFmtId="0">
      <sharedItems count="185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60"/>
        <s v="FT-0F002-0000386"/>
        <s v="01-0F002-0000392"/>
        <s v="01-0F002-0000395"/>
        <s v="01-0F002-0000403"/>
        <s v="01-0F101-0007358"/>
        <s v="01-0F101-0007640"/>
        <s v="01-0F101-0007641"/>
        <s v="01-0F101-0007656"/>
        <s v="01-0F101-0007657"/>
        <s v="01-0F101-0007658"/>
        <s v="01-0F101-0007659"/>
        <s v="01-0F101-0007674"/>
        <s v="01-0F101-0007675"/>
        <s v="FT-0F002-0000311"/>
        <s v="FT-0F002-0000295"/>
        <s v="FT-0F002-0000400"/>
        <s v="FT-0F101-0007342"/>
        <s v="01-0F101-0007338"/>
        <s v="01-0F101-0007339"/>
        <s v="01-0F101-0007344"/>
        <s v="01-0F101-0007345"/>
        <s v="01-0F101-0007354"/>
        <s v="01-0F101-0007355"/>
        <s v="01-0F101-0007356"/>
        <s v="01-0F101-0007357"/>
        <s v="01-0F101-0007359"/>
        <s v="01-0F101-0007360"/>
        <s v="01-0F101-0007375"/>
        <s v="01-0F101-0007376"/>
        <s v="01-0F101-0007396"/>
        <s v="01-0F101-0007397"/>
        <s v="01-0F101-0007408"/>
        <s v="01-0F101-0007409"/>
        <s v="01-0F101-0007412"/>
        <s v="01-0F101-0007413"/>
        <s v="01-0F101-0007431"/>
        <s v="01-0F101-0007432"/>
        <s v="01-0F101-0007438"/>
        <s v="01-0F101-0007439"/>
        <s v="01-0F101-0007440"/>
        <s v="01-0F101-0007441"/>
        <s v="01-0F101-0007460"/>
        <s v="01-0F101-0007461"/>
        <s v="01-0F101-0007472"/>
        <s v="01-0F101-0007473"/>
        <s v="01-0F101-0007491"/>
        <s v="01-0F101-0007492"/>
        <s v="01-0F101-0007493"/>
        <s v="01-0F101-0007494"/>
        <s v="01-0F101-0007512"/>
        <s v="01-0F101-0007513"/>
        <s v="01-0F101-0007520"/>
        <s v="01-0F101-0007521"/>
        <s v="01-0F101-0007534"/>
        <s v="01-0F101-0007535"/>
        <s v="01-0F101-0007536"/>
        <s v="01-0F101-0007537"/>
        <s v="01-0F101-0007554"/>
        <s v="01-0F101-0007555"/>
        <s v="01-0F101-0007562"/>
        <s v="01-0F101-0007563"/>
        <s v="01-0F101-0007564"/>
        <s v="01-0F101-0007565"/>
        <s v="01-0F101-0007567"/>
        <s v="01-0F101-0007568"/>
        <s v="01-0F101-0007613"/>
        <s v="01-0F101-0007614"/>
        <s v="01-0F101-0007615"/>
        <s v="01-0F101-0007616"/>
        <s v="01-0F101-0007630"/>
        <s v="01-0F101-0007631"/>
        <s v="01-0F101-0007664"/>
        <s v="01-0F101-0007665"/>
        <s v="01-0F101-0007676"/>
        <s v="01-0F101-0007677"/>
        <s v="01-0F101-0007682"/>
        <s v="01-0F101-0007683"/>
        <s v="01-0F101-0007690"/>
        <s v="01-0F101-0007691"/>
        <s v="ANTICIPO FP242"/>
        <s v="01-0F002-0000393"/>
        <s v="01-0F002-0000407"/>
        <s v="FT-0F002-0000374"/>
        <s v="01-0F002-0000389"/>
        <s v="FT-0F002-0000371"/>
        <s v="01-0F002-0000378"/>
        <s v="01-0F002-0000379"/>
        <s v="FT-0F002-0000382"/>
        <s v="01-0F002-0000385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55"/>
        <s v="FT-0F002-0000309"/>
        <s v="01-0F002-0000388"/>
        <s v="ANTICIPO FP-247"/>
        <s v="01-0F002-0000387"/>
        <s v="FT-0F003-0000101"/>
        <s v="01-0F003-0000129"/>
        <s v="01-0F003-0000168"/>
        <s v="01-0F003-0000174"/>
        <s v="ANTICIPO FP-243"/>
        <s v="01-0F002-0000368"/>
        <s v="01-0F003-0000083"/>
        <s v="01-0F101-0007617"/>
        <s v="01-0F101-0007627"/>
        <s v="01-0F003-0000198"/>
        <s v="01-0F003-0000199"/>
        <s v="FP-255"/>
        <s v="FP-261"/>
        <s v="01-0F002-0000394"/>
        <s v="01-0F002-0000404"/>
        <s v="01-0F003-0000192"/>
        <s v="01-0F101-0007383"/>
        <s v="01-0F101-0007410"/>
        <s v="01-0F101-0007462"/>
        <s v="01-0F101-0007540"/>
        <s v="01-0F101-0007604"/>
        <s v="FP-258"/>
        <s v="01-0F002-0000406"/>
        <s v="FT-0F002-0000372"/>
        <s v="FP-266"/>
        <s v="FT-0F101-0007611"/>
        <s v="01-0F101-0007679"/>
        <s v="01-0F101-0007692"/>
        <s v="01-0F101-0007693"/>
        <s v="01-0F002-0000399"/>
        <s v="01-0F002-0000401"/>
        <s v="01-0F002-0000402"/>
        <s v="FT-0F002-0000370"/>
        <s v="01-0F002-0000391"/>
        <s v="01-0F002-0000397"/>
        <s v="01-0F002-0000398"/>
        <s v="01-0F002-0000405"/>
        <s v="01-0F002-0000408"/>
        <s v="ANTICIPO FP-248" u="1"/>
        <s v="ANTICIPO FP-249" u="1"/>
        <s v="01-0F002-0000382" u="1"/>
        <s v="FT-0F002-0000375" u="1"/>
        <s v="07-0F002-0000045" u="1"/>
        <s v="FT-0F002-0000377" u="1"/>
        <s v="01-0F002-0000384" u="1"/>
      </sharedItems>
    </cacheField>
    <cacheField name="Clase de documento" numFmtId="0">
      <sharedItems count="5">
        <s v="DF"/>
        <s v="ZV"/>
        <s v="DE"/>
        <s v="DZ"/>
        <s v="DC" u="1"/>
      </sharedItems>
    </cacheField>
    <cacheField name="Fecha de documento" numFmtId="14">
      <sharedItems containsSemiMixedTypes="0" containsNonDate="0" containsDate="1" containsString="0" minDate="2025-10-07T00:00:00" maxDate="2026-08-02T00:00:00"/>
    </cacheField>
    <cacheField name="Demora tras vencimiento neto" numFmtId="3">
      <sharedItems containsSemiMixedTypes="0" containsString="0" containsNumber="1" containsInteger="1" minValue="-114" maxValue="293"/>
    </cacheField>
    <cacheField name="Fecha de pago" numFmtId="14">
      <sharedItems containsSemiMixedTypes="0" containsNonDate="0" containsDate="1" containsString="0" minDate="2025-10-14T00:00:00" maxDate="2026-11-26T00:00:00"/>
    </cacheField>
    <cacheField name="Importe en moneda doc." numFmtId="4">
      <sharedItems containsSemiMixedTypes="0" containsString="0" containsNumber="1" minValue="-34580" maxValue="550800"/>
    </cacheField>
    <cacheField name="Moneda del documento" numFmtId="0">
      <sharedItems/>
    </cacheField>
    <cacheField name="UNIDAD DE NEGOCIO" numFmtId="0">
      <sharedItems count="7">
        <s v="NACIONAL"/>
        <s v="EXPORTACION"/>
        <s v="CONGELAMIENTO 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6-11T00:00:00" maxDate="2026-09-30T00:00:00"/>
    </cacheField>
    <cacheField name="DÍAS VENCIDOS" numFmtId="0">
      <sharedItems containsString="0" containsBlank="1" containsNumber="1" containsInteger="1" minValue="-39" maxValue="3"/>
    </cacheField>
    <cacheField name="Vcto finanzas SEMANA PASADA" numFmtId="0">
      <sharedItems containsNonDate="0" containsDate="1" containsString="0" containsBlank="1" minDate="2026-07-31T00:00:00" maxDate="2026-09-12T00:00:00"/>
    </cacheField>
    <cacheField name="Vcto finanzas" numFmtId="14">
      <sharedItems containsSemiMixedTypes="0" containsNonDate="0" containsDate="1" containsString="0" minDate="2025-10-14T00:00:00" maxDate="2026-10-16T00:00:00"/>
    </cacheField>
    <cacheField name="USD HOMOL" numFmtId="0">
      <sharedItems containsSemiMixedTypes="0" containsString="0" containsNumber="1" minValue="-34580" maxValue="550800"/>
    </cacheField>
    <cacheField name="DÍAS ATRASADOS" numFmtId="0">
      <sharedItems containsString="0" containsBlank="1" containsNumber="1" containsInteger="1" minValue="3" maxValue="113"/>
    </cacheField>
    <cacheField name="ANTIGÜEDAD" numFmtId="0">
      <sharedItems containsBlank="1" count="5">
        <m/>
        <s v="61-90"/>
        <s v="0-45"/>
        <s v="91-a más"/>
        <s v="46-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37.750172106484" createdVersion="8" refreshedVersion="8" minRefreshableVersion="3" recordCount="178" xr:uid="{F7A48E61-9344-4C78-B8F6-813EF6AA0722}">
  <cacheSource type="worksheet">
    <worksheetSource ref="A1:R179" sheet="Data"/>
  </cacheSource>
  <cacheFields count="18">
    <cacheField name="Cliente" numFmtId="0">
      <sharedItems/>
    </cacheField>
    <cacheField name="Nombre de cliente" numFmtId="0">
      <sharedItems count="32">
        <s v="ARKANO TRADING SOCIEDAD ANONIMA CER"/>
        <s v="AVANCE GROUP LTD"/>
        <s v="CORPORACION NACIONAL PERU EXPORTACI"/>
        <s v="CRISTO DE LA VICTORIA S.A.C."/>
        <s v="FOOD &amp; BEVERAGES TRADERS, S.L."/>
        <s v="GLOBAL OCEAN FLEXTRADING, S. L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OCEAN FISHERY COMPANY LIMIT"/>
        <s v="SEBGUSTA FISH S.R.L."/>
        <s v="SERVICIOS DIESEL EXPRESS E.I.R.L."/>
        <s v="SHANDONG LONGKOU XINLONG"/>
        <s v="Shenzhen Yueshi Supply Chain"/>
        <s v="STL 5.0 S.A.C."/>
        <s v="TRANSPORTES O Y G S.A.C."/>
        <s v="TSUJINO &amp; CO., LTD"/>
        <s v="YANTAI HONGCHANG IMPORT AND EXPORT"/>
        <s v="YANTAI JIAHONG IMP &amp; EXP CO., LTD.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5">
        <s v="DF"/>
        <s v="ZV"/>
        <s v="DE"/>
        <s v="DZ"/>
        <s v="DC" u="1"/>
      </sharedItems>
    </cacheField>
    <cacheField name="Fecha de documento" numFmtId="14">
      <sharedItems containsSemiMixedTypes="0" containsNonDate="0" containsDate="1" containsString="0" minDate="2025-10-07T00:00:00" maxDate="2026-08-02T00:00:00"/>
    </cacheField>
    <cacheField name="Demora tras vencimiento neto" numFmtId="3">
      <sharedItems containsSemiMixedTypes="0" containsString="0" containsNumber="1" containsInteger="1" minValue="-114" maxValue="293"/>
    </cacheField>
    <cacheField name="Fecha de pago" numFmtId="14">
      <sharedItems containsSemiMixedTypes="0" containsNonDate="0" containsDate="1" containsString="0" minDate="2025-10-14T00:00:00" maxDate="2026-11-26T00:00:00"/>
    </cacheField>
    <cacheField name="Importe en moneda doc." numFmtId="4">
      <sharedItems containsSemiMixedTypes="0" containsString="0" containsNumber="1" minValue="-34580" maxValue="550800"/>
    </cacheField>
    <cacheField name="Moneda del documento" numFmtId="0">
      <sharedItems/>
    </cacheField>
    <cacheField name="UNIDAD DE NEGOCIO" numFmtId="0">
      <sharedItems count="7">
        <s v="NACIONAL"/>
        <s v="EXPORTACION"/>
        <s v="CONGELAMIENTO 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6-11T00:00:00" maxDate="2026-09-30T00:00:00"/>
    </cacheField>
    <cacheField name="DÍAS VENCIDOS" numFmtId="0">
      <sharedItems containsString="0" containsBlank="1" containsNumber="1" containsInteger="1" minValue="-39" maxValue="3"/>
    </cacheField>
    <cacheField name="Vcto finanzas SEMANA PASADA" numFmtId="0">
      <sharedItems containsNonDate="0" containsDate="1" containsString="0" containsBlank="1" minDate="2026-07-31T00:00:00" maxDate="2026-09-12T00:00:00"/>
    </cacheField>
    <cacheField name="Vcto finanzas" numFmtId="14">
      <sharedItems containsSemiMixedTypes="0" containsNonDate="0" containsDate="1" containsString="0" minDate="2025-10-14T00:00:00" maxDate="2026-10-16T00:00:00" count="68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8-10T00:00:00"/>
        <d v="2026-08-29T00:00:00"/>
        <d v="2026-09-23T00:00:00"/>
        <d v="2026-09-25T00:00:00"/>
        <d v="2026-09-27T00:00:00"/>
        <d v="2026-07-14T00:00:00"/>
        <d v="2026-07-28T00:00:00"/>
        <d v="2026-07-29T00:00:00"/>
        <d v="2026-07-31T00:00:00"/>
        <d v="2026-10-15T00:00:00"/>
        <d v="2026-09-26T00:00:00"/>
        <d v="2026-07-06T00:00:00"/>
        <d v="2026-07-13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8-03T00:00:00"/>
        <d v="2026-05-26T00:00:00"/>
        <d v="2026-09-29T00:00:00"/>
        <d v="2026-08-20T00:00:00"/>
        <d v="2026-09-15T00:00:00"/>
        <d v="2026-08-12T00:00:00"/>
        <d v="2026-08-14T00:00:00"/>
        <d v="2025-11-10T00:00:00"/>
        <d v="2025-11-13T00:00:00"/>
        <d v="2026-05-13T00:00:00"/>
        <d v="2026-05-19T00:00:00"/>
        <d v="2026-05-23T00:00:00"/>
        <d v="2026-06-03T00:00:00"/>
        <d v="2026-06-09T00:00:00"/>
        <d v="2026-06-20T00:00:00"/>
        <d v="2026-07-10T00:00:00"/>
        <d v="2026-04-28T00:00:00"/>
        <d v="2026-05-12T00:00:00"/>
        <d v="2026-08-15T00:00:00"/>
        <d v="2026-06-05T00:00:00"/>
        <d v="2026-09-11T00:00:00"/>
        <d v="2025-10-21T00:00:00"/>
        <d v="2025-11-11T00:00:00"/>
        <d v="2026-02-07T00:00:00"/>
        <d v="2026-03-10T00:00:00"/>
        <d v="2026-06-02T00:00:00"/>
        <d v="2025-10-14T00:00:00"/>
        <d v="2026-07-08T00:00:00"/>
        <d v="2026-07-07T00:00:00"/>
        <d v="2026-08-08T00:00:00"/>
        <d v="2026-08-18T00:00:00"/>
        <d v="2026-09-22T00:00:00"/>
      </sharedItems>
    </cacheField>
    <cacheField name="USD HOMOL" numFmtId="0">
      <sharedItems containsSemiMixedTypes="0" containsString="0" containsNumber="1" minValue="-34580" maxValue="550800"/>
    </cacheField>
    <cacheField name="DÍAS ATRASADOS" numFmtId="0">
      <sharedItems containsString="0" containsBlank="1" containsNumber="1" containsInteger="1" minValue="3" maxValue="113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s v="1000013966"/>
    <x v="0"/>
    <s v="1200005220"/>
    <x v="0"/>
    <x v="0"/>
    <x v="0"/>
    <n v="250"/>
    <d v="2025-11-26T00:00:00"/>
    <n v="42.48"/>
    <s v="PEN"/>
    <x v="0"/>
    <m/>
    <m/>
    <m/>
    <d v="2025-11-26T00:00:00"/>
    <n v="12.494117647058824"/>
    <m/>
    <m/>
  </r>
  <r>
    <s v="1000013966"/>
    <x v="0"/>
    <s v="1200005228"/>
    <x v="1"/>
    <x v="0"/>
    <x v="0"/>
    <n v="250"/>
    <d v="2025-11-26T00:00:00"/>
    <n v="14.16"/>
    <s v="PEN"/>
    <x v="0"/>
    <m/>
    <m/>
    <m/>
    <d v="2025-11-26T00:00:00"/>
    <n v="4.1647058823529415"/>
    <m/>
    <m/>
  </r>
  <r>
    <s v="1000013966"/>
    <x v="0"/>
    <s v="1200005242"/>
    <x v="2"/>
    <x v="0"/>
    <x v="0"/>
    <n v="250"/>
    <d v="2025-11-26T00:00:00"/>
    <n v="14.16"/>
    <s v="PEN"/>
    <x v="0"/>
    <m/>
    <m/>
    <m/>
    <d v="2025-11-26T00:00:00"/>
    <n v="4.1647058823529415"/>
    <m/>
    <m/>
  </r>
  <r>
    <s v="1000013966"/>
    <x v="0"/>
    <s v="1200005264"/>
    <x v="3"/>
    <x v="0"/>
    <x v="1"/>
    <n v="249"/>
    <d v="2025-11-27T00:00:00"/>
    <n v="28.32"/>
    <s v="PEN"/>
    <x v="0"/>
    <m/>
    <m/>
    <m/>
    <d v="2025-11-27T00:00:00"/>
    <n v="8.329411764705883"/>
    <m/>
    <m/>
  </r>
  <r>
    <s v="1000013966"/>
    <x v="0"/>
    <s v="1200005271"/>
    <x v="4"/>
    <x v="0"/>
    <x v="1"/>
    <n v="249"/>
    <d v="2025-11-27T00:00:00"/>
    <n v="14.16"/>
    <s v="PEN"/>
    <x v="0"/>
    <m/>
    <m/>
    <m/>
    <d v="2025-11-27T00:00:00"/>
    <n v="4.1647058823529415"/>
    <m/>
    <m/>
  </r>
  <r>
    <s v="1000013966"/>
    <x v="0"/>
    <s v="1200005296"/>
    <x v="5"/>
    <x v="0"/>
    <x v="2"/>
    <n v="248"/>
    <d v="2025-11-28T00:00:00"/>
    <n v="28.32"/>
    <s v="PEN"/>
    <x v="0"/>
    <m/>
    <m/>
    <m/>
    <d v="2025-11-28T00:00:00"/>
    <n v="8.329411764705883"/>
    <m/>
    <m/>
  </r>
  <r>
    <s v="1000013966"/>
    <x v="0"/>
    <s v="1200005302"/>
    <x v="6"/>
    <x v="0"/>
    <x v="2"/>
    <n v="248"/>
    <d v="2025-11-28T00:00:00"/>
    <n v="42.48"/>
    <s v="PEN"/>
    <x v="0"/>
    <m/>
    <m/>
    <m/>
    <d v="2025-11-28T00:00:00"/>
    <n v="12.494117647058824"/>
    <m/>
    <m/>
  </r>
  <r>
    <s v="1000013966"/>
    <x v="0"/>
    <s v="1200005304"/>
    <x v="7"/>
    <x v="0"/>
    <x v="2"/>
    <n v="248"/>
    <d v="2025-11-28T00:00:00"/>
    <n v="42.48"/>
    <s v="PEN"/>
    <x v="0"/>
    <m/>
    <m/>
    <m/>
    <d v="2025-11-28T00:00:00"/>
    <n v="12.494117647058824"/>
    <m/>
    <m/>
  </r>
  <r>
    <s v="1000013966"/>
    <x v="0"/>
    <s v="1200005313"/>
    <x v="8"/>
    <x v="0"/>
    <x v="2"/>
    <n v="248"/>
    <d v="2025-11-28T00:00:00"/>
    <n v="14.16"/>
    <s v="PEN"/>
    <x v="0"/>
    <m/>
    <m/>
    <m/>
    <d v="2025-11-28T00:00:00"/>
    <n v="4.1647058823529415"/>
    <m/>
    <m/>
  </r>
  <r>
    <s v="1000013966"/>
    <x v="0"/>
    <s v="1200005346"/>
    <x v="9"/>
    <x v="0"/>
    <x v="3"/>
    <n v="247"/>
    <d v="2025-11-29T00:00:00"/>
    <n v="28.32"/>
    <s v="PEN"/>
    <x v="0"/>
    <m/>
    <m/>
    <m/>
    <d v="2025-11-29T00:00:00"/>
    <n v="8.329411764705883"/>
    <m/>
    <m/>
  </r>
  <r>
    <s v="1000013966"/>
    <x v="0"/>
    <s v="1200005422"/>
    <x v="10"/>
    <x v="0"/>
    <x v="4"/>
    <n v="242"/>
    <d v="2025-12-04T00:00:00"/>
    <n v="14.16"/>
    <s v="PEN"/>
    <x v="0"/>
    <m/>
    <m/>
    <m/>
    <d v="2025-12-04T00:00:00"/>
    <n v="4.1647058823529415"/>
    <m/>
    <m/>
  </r>
  <r>
    <s v="1000013966"/>
    <x v="0"/>
    <s v="1200000045"/>
    <x v="11"/>
    <x v="0"/>
    <x v="5"/>
    <n v="202"/>
    <d v="2026-01-13T00:00:00"/>
    <n v="14.16"/>
    <s v="PEN"/>
    <x v="0"/>
    <m/>
    <m/>
    <m/>
    <d v="2026-01-13T00:00:00"/>
    <n v="4.1647058823529415"/>
    <m/>
    <m/>
  </r>
  <r>
    <s v="1000013966"/>
    <x v="0"/>
    <s v="1200000090"/>
    <x v="12"/>
    <x v="0"/>
    <x v="6"/>
    <n v="200"/>
    <d v="2026-01-15T00:00:00"/>
    <n v="14.16"/>
    <s v="PEN"/>
    <x v="0"/>
    <m/>
    <m/>
    <m/>
    <d v="2026-01-15T00:00:00"/>
    <n v="4.1647058823529415"/>
    <m/>
    <m/>
  </r>
  <r>
    <s v="1000013966"/>
    <x v="0"/>
    <s v="1200000113"/>
    <x v="13"/>
    <x v="0"/>
    <x v="7"/>
    <n v="198"/>
    <d v="2026-01-17T00:00:00"/>
    <n v="14.16"/>
    <s v="PEN"/>
    <x v="0"/>
    <m/>
    <m/>
    <m/>
    <d v="2026-01-17T00:00:00"/>
    <n v="4.1647058823529415"/>
    <m/>
    <m/>
  </r>
  <r>
    <s v="1000013966"/>
    <x v="0"/>
    <s v="1200000132"/>
    <x v="14"/>
    <x v="0"/>
    <x v="8"/>
    <n v="192"/>
    <d v="2026-01-23T00:00:00"/>
    <n v="14.16"/>
    <s v="PEN"/>
    <x v="0"/>
    <m/>
    <m/>
    <m/>
    <d v="2026-01-23T00:00:00"/>
    <n v="4.1647058823529415"/>
    <m/>
    <m/>
  </r>
  <r>
    <s v="1000013966"/>
    <x v="0"/>
    <s v="1200000133"/>
    <x v="15"/>
    <x v="0"/>
    <x v="8"/>
    <n v="192"/>
    <d v="2026-01-23T00:00:00"/>
    <n v="14.16"/>
    <s v="PEN"/>
    <x v="0"/>
    <m/>
    <m/>
    <m/>
    <d v="2026-01-23T00:00:00"/>
    <n v="4.1647058823529415"/>
    <m/>
    <m/>
  </r>
  <r>
    <s v="1000013966"/>
    <x v="0"/>
    <s v="1200000141"/>
    <x v="16"/>
    <x v="0"/>
    <x v="9"/>
    <n v="189"/>
    <d v="2026-01-26T00:00:00"/>
    <n v="14.16"/>
    <s v="PEN"/>
    <x v="0"/>
    <m/>
    <m/>
    <m/>
    <d v="2026-01-26T00:00:00"/>
    <n v="4.1647058823529415"/>
    <m/>
    <m/>
  </r>
  <r>
    <s v="2000001028"/>
    <x v="1"/>
    <s v="1300004711"/>
    <x v="17"/>
    <x v="1"/>
    <x v="10"/>
    <n v="66"/>
    <d v="2026-05-29T00:00:00"/>
    <n v="336990"/>
    <s v="USD"/>
    <x v="1"/>
    <d v="2026-07-28T00:00:00"/>
    <n v="-7"/>
    <d v="2026-08-10T00:00:00"/>
    <d v="2026-08-10T00:00:00"/>
    <n v="336990"/>
    <n v="66"/>
    <s v="61-90"/>
  </r>
  <r>
    <s v="2000001028"/>
    <x v="1"/>
    <s v="1300005598"/>
    <x v="18"/>
    <x v="1"/>
    <x v="11"/>
    <n v="34"/>
    <d v="2026-06-30T00:00:00"/>
    <n v="218730"/>
    <s v="USD"/>
    <x v="1"/>
    <d v="2026-08-29T00:00:00"/>
    <n v="-26"/>
    <d v="2026-08-29T00:00:00"/>
    <d v="2026-08-29T00:00:00"/>
    <n v="218730"/>
    <n v="34"/>
    <s v="0-45"/>
  </r>
  <r>
    <s v="2000001028"/>
    <x v="1"/>
    <s v="1200003451"/>
    <x v="19"/>
    <x v="2"/>
    <x v="12"/>
    <n v="-51"/>
    <d v="2026-09-23T00:00:00"/>
    <n v="83280"/>
    <s v="USD"/>
    <x v="1"/>
    <d v="2026-09-23T00:00:00"/>
    <m/>
    <m/>
    <d v="2026-09-23T00:00:00"/>
    <n v="83280"/>
    <n v="9"/>
    <s v="0-45"/>
  </r>
  <r>
    <s v="2000001028"/>
    <x v="1"/>
    <s v="1200003454"/>
    <x v="20"/>
    <x v="2"/>
    <x v="13"/>
    <n v="-113"/>
    <d v="2026-11-24T00:00:00"/>
    <n v="83280"/>
    <s v="USD"/>
    <x v="1"/>
    <d v="2026-09-25T00:00:00"/>
    <m/>
    <m/>
    <d v="2026-09-25T00:00:00"/>
    <n v="83280"/>
    <n v="7"/>
    <s v="0-45"/>
  </r>
  <r>
    <s v="2000001028"/>
    <x v="1"/>
    <s v="1200003470"/>
    <x v="21"/>
    <x v="2"/>
    <x v="14"/>
    <n v="-55"/>
    <d v="2026-09-27T00:00:00"/>
    <n v="41448"/>
    <s v="USD"/>
    <x v="1"/>
    <d v="2026-09-27T00:00:00"/>
    <m/>
    <m/>
    <d v="2026-09-27T00:00:00"/>
    <n v="41448"/>
    <n v="5"/>
    <s v="0-45"/>
  </r>
  <r>
    <s v="1000013678"/>
    <x v="2"/>
    <s v="1200003045"/>
    <x v="22"/>
    <x v="0"/>
    <x v="15"/>
    <n v="20"/>
    <d v="2026-07-14T00:00:00"/>
    <n v="283.2"/>
    <s v="PEN"/>
    <x v="0"/>
    <m/>
    <m/>
    <m/>
    <d v="2026-07-14T00:00:00"/>
    <n v="83.294117647058826"/>
    <m/>
    <m/>
  </r>
  <r>
    <s v="1000002057"/>
    <x v="3"/>
    <s v="1200003380"/>
    <x v="23"/>
    <x v="0"/>
    <x v="16"/>
    <n v="6"/>
    <d v="2026-07-28T00:00:00"/>
    <n v="431.17"/>
    <s v="PEN"/>
    <x v="0"/>
    <m/>
    <m/>
    <m/>
    <d v="2026-07-28T00:00:00"/>
    <n v="126.81470588235295"/>
    <m/>
    <m/>
  </r>
  <r>
    <s v="1000002057"/>
    <x v="3"/>
    <s v="1200003381"/>
    <x v="24"/>
    <x v="0"/>
    <x v="16"/>
    <n v="6"/>
    <d v="2026-07-28T00:00:00"/>
    <n v="141.6"/>
    <s v="PEN"/>
    <x v="0"/>
    <m/>
    <m/>
    <m/>
    <d v="2026-07-28T00:00:00"/>
    <n v="41.647058823529413"/>
    <m/>
    <m/>
  </r>
  <r>
    <s v="1000002057"/>
    <x v="3"/>
    <s v="1200003404"/>
    <x v="25"/>
    <x v="0"/>
    <x v="17"/>
    <n v="5"/>
    <d v="2026-07-29T00:00:00"/>
    <n v="1048.69"/>
    <s v="PEN"/>
    <x v="0"/>
    <m/>
    <m/>
    <m/>
    <d v="2026-07-29T00:00:00"/>
    <n v="308.43823529411765"/>
    <m/>
    <m/>
  </r>
  <r>
    <s v="1000002057"/>
    <x v="3"/>
    <s v="1200003405"/>
    <x v="26"/>
    <x v="0"/>
    <x v="17"/>
    <n v="5"/>
    <d v="2026-07-29T00:00:00"/>
    <n v="371.7"/>
    <s v="PEN"/>
    <x v="0"/>
    <m/>
    <m/>
    <m/>
    <d v="2026-07-29T00:00:00"/>
    <n v="109.32352941176471"/>
    <m/>
    <m/>
  </r>
  <r>
    <s v="1000002057"/>
    <x v="3"/>
    <s v="1200003406"/>
    <x v="27"/>
    <x v="0"/>
    <x v="18"/>
    <n v="3"/>
    <d v="2026-07-31T00:00:00"/>
    <n v="163.88"/>
    <s v="PEN"/>
    <x v="0"/>
    <m/>
    <m/>
    <m/>
    <d v="2026-07-31T00:00:00"/>
    <n v="48.2"/>
    <m/>
    <m/>
  </r>
  <r>
    <s v="1000002057"/>
    <x v="3"/>
    <s v="1200003407"/>
    <x v="28"/>
    <x v="0"/>
    <x v="18"/>
    <n v="3"/>
    <d v="2026-07-31T00:00:00"/>
    <n v="106.2"/>
    <s v="PEN"/>
    <x v="0"/>
    <m/>
    <m/>
    <m/>
    <d v="2026-07-31T00:00:00"/>
    <n v="31.235294117647062"/>
    <m/>
    <m/>
  </r>
  <r>
    <s v="1000002057"/>
    <x v="3"/>
    <s v="1200003422"/>
    <x v="29"/>
    <x v="0"/>
    <x v="18"/>
    <n v="3"/>
    <d v="2026-07-31T00:00:00"/>
    <n v="535.25"/>
    <s v="PEN"/>
    <x v="0"/>
    <m/>
    <m/>
    <m/>
    <d v="2026-07-31T00:00:00"/>
    <n v="157.4264705882353"/>
    <m/>
    <m/>
  </r>
  <r>
    <s v="1000002057"/>
    <x v="3"/>
    <s v="1200003423"/>
    <x v="30"/>
    <x v="0"/>
    <x v="18"/>
    <n v="3"/>
    <d v="2026-07-31T00:00:00"/>
    <n v="230.1"/>
    <s v="PEN"/>
    <x v="0"/>
    <m/>
    <m/>
    <m/>
    <d v="2026-07-31T00:00:00"/>
    <n v="67.67647058823529"/>
    <m/>
    <m/>
  </r>
  <r>
    <s v="2000001368"/>
    <x v="4"/>
    <s v="1300004854"/>
    <x v="31"/>
    <x v="1"/>
    <x v="19"/>
    <n v="98"/>
    <d v="2026-04-27T00:00:00"/>
    <n v="15163"/>
    <s v="USD"/>
    <x v="1"/>
    <d v="2026-06-26T00:00:00"/>
    <n v="3"/>
    <d v="2026-07-31T00:00:00"/>
    <d v="2026-10-15T00:00:00"/>
    <n v="15163"/>
    <n v="98"/>
    <s v="91-a más"/>
  </r>
  <r>
    <s v="2000001361"/>
    <x v="5"/>
    <s v="1300004210"/>
    <x v="32"/>
    <x v="1"/>
    <x v="20"/>
    <n v="113"/>
    <d v="2026-04-12T00:00:00"/>
    <n v="16355.92"/>
    <s v="USD"/>
    <x v="1"/>
    <d v="2026-06-11T00:00:00"/>
    <n v="3"/>
    <d v="2026-07-31T00:00:00"/>
    <d v="2026-10-15T00:00:00"/>
    <n v="16355.92"/>
    <n v="113"/>
    <s v="91-a más"/>
  </r>
  <r>
    <s v="2000001439"/>
    <x v="6"/>
    <s v="1300007163"/>
    <x v="33"/>
    <x v="1"/>
    <x v="21"/>
    <n v="6"/>
    <d v="2026-07-28T00:00:00"/>
    <n v="54894"/>
    <s v="USD"/>
    <x v="1"/>
    <d v="2026-09-26T00:00:00"/>
    <m/>
    <m/>
    <d v="2026-09-26T00:00:00"/>
    <n v="54894"/>
    <n v="6"/>
    <s v="0-45"/>
  </r>
  <r>
    <s v="6002186"/>
    <x v="7"/>
    <s v="1300007116"/>
    <x v="34"/>
    <x v="1"/>
    <x v="22"/>
    <n v="28"/>
    <d v="2026-07-06T00:00:00"/>
    <n v="1402.88"/>
    <s v="USD"/>
    <x v="2"/>
    <m/>
    <m/>
    <m/>
    <d v="2026-07-06T00:00:00"/>
    <n v="1402.88"/>
    <m/>
    <m/>
  </r>
  <r>
    <s v="1000006830"/>
    <x v="8"/>
    <s v="1200003020"/>
    <x v="35"/>
    <x v="0"/>
    <x v="22"/>
    <n v="21"/>
    <d v="2026-07-13T00:00:00"/>
    <n v="773.61"/>
    <s v="PEN"/>
    <x v="0"/>
    <m/>
    <m/>
    <m/>
    <d v="2026-07-13T00:00:00"/>
    <n v="227.53235294117647"/>
    <m/>
    <m/>
  </r>
  <r>
    <s v="1000006830"/>
    <x v="8"/>
    <s v="1200003021"/>
    <x v="36"/>
    <x v="0"/>
    <x v="22"/>
    <n v="21"/>
    <d v="2026-07-13T00:00:00"/>
    <n v="70.8"/>
    <s v="PEN"/>
    <x v="0"/>
    <m/>
    <m/>
    <m/>
    <d v="2026-07-13T00:00:00"/>
    <n v="20.823529411764707"/>
    <m/>
    <m/>
  </r>
  <r>
    <s v="1000006830"/>
    <x v="8"/>
    <s v="1200003026"/>
    <x v="37"/>
    <x v="0"/>
    <x v="22"/>
    <n v="21"/>
    <d v="2026-07-13T00:00:00"/>
    <n v="428.1"/>
    <s v="PEN"/>
    <x v="0"/>
    <m/>
    <m/>
    <m/>
    <d v="2026-07-13T00:00:00"/>
    <n v="125.91176470588236"/>
    <m/>
    <m/>
  </r>
  <r>
    <s v="1000006830"/>
    <x v="8"/>
    <s v="1200003027"/>
    <x v="38"/>
    <x v="0"/>
    <x v="22"/>
    <n v="21"/>
    <d v="2026-07-13T00:00:00"/>
    <n v="35.4"/>
    <s v="PEN"/>
    <x v="0"/>
    <m/>
    <m/>
    <m/>
    <d v="2026-07-13T00:00:00"/>
    <n v="10.411764705882353"/>
    <m/>
    <m/>
  </r>
  <r>
    <s v="1000006830"/>
    <x v="8"/>
    <s v="1200003040"/>
    <x v="39"/>
    <x v="0"/>
    <x v="22"/>
    <n v="21"/>
    <d v="2026-07-13T00:00:00"/>
    <n v="202.49"/>
    <s v="PEN"/>
    <x v="0"/>
    <m/>
    <m/>
    <m/>
    <d v="2026-07-13T00:00:00"/>
    <n v="59.555882352941182"/>
    <m/>
    <m/>
  </r>
  <r>
    <s v="1000006830"/>
    <x v="8"/>
    <s v="1200003041"/>
    <x v="40"/>
    <x v="0"/>
    <x v="22"/>
    <n v="21"/>
    <d v="2026-07-13T00:00:00"/>
    <n v="70.8"/>
    <s v="PEN"/>
    <x v="0"/>
    <m/>
    <m/>
    <m/>
    <d v="2026-07-13T00:00:00"/>
    <n v="20.823529411764707"/>
    <m/>
    <m/>
  </r>
  <r>
    <s v="1000006830"/>
    <x v="8"/>
    <s v="1200003042"/>
    <x v="41"/>
    <x v="0"/>
    <x v="22"/>
    <n v="21"/>
    <d v="2026-07-13T00:00:00"/>
    <n v="571.59"/>
    <s v="PEN"/>
    <x v="0"/>
    <m/>
    <m/>
    <m/>
    <d v="2026-07-13T00:00:00"/>
    <n v="168.11470588235295"/>
    <m/>
    <m/>
  </r>
  <r>
    <s v="1000006830"/>
    <x v="8"/>
    <s v="1200003043"/>
    <x v="42"/>
    <x v="0"/>
    <x v="22"/>
    <n v="21"/>
    <d v="2026-07-13T00:00:00"/>
    <n v="159.30000000000001"/>
    <s v="PEN"/>
    <x v="0"/>
    <m/>
    <m/>
    <m/>
    <d v="2026-07-13T00:00:00"/>
    <n v="46.852941176470594"/>
    <m/>
    <m/>
  </r>
  <r>
    <s v="1000006830"/>
    <x v="8"/>
    <s v="1200003046"/>
    <x v="43"/>
    <x v="0"/>
    <x v="15"/>
    <n v="20"/>
    <d v="2026-07-14T00:00:00"/>
    <n v="427.16"/>
    <s v="PEN"/>
    <x v="0"/>
    <m/>
    <m/>
    <m/>
    <d v="2026-07-14T00:00:00"/>
    <n v="125.63529411764706"/>
    <m/>
    <m/>
  </r>
  <r>
    <s v="1000006830"/>
    <x v="8"/>
    <s v="1200003047"/>
    <x v="44"/>
    <x v="0"/>
    <x v="15"/>
    <n v="20"/>
    <d v="2026-07-14T00:00:00"/>
    <n v="70.8"/>
    <s v="PEN"/>
    <x v="0"/>
    <m/>
    <m/>
    <m/>
    <d v="2026-07-14T00:00:00"/>
    <n v="20.823529411764707"/>
    <m/>
    <m/>
  </r>
  <r>
    <s v="1000006830"/>
    <x v="8"/>
    <s v="1200003065"/>
    <x v="45"/>
    <x v="0"/>
    <x v="23"/>
    <n v="19"/>
    <d v="2026-07-15T00:00:00"/>
    <n v="359.43"/>
    <s v="PEN"/>
    <x v="0"/>
    <m/>
    <m/>
    <m/>
    <d v="2026-07-15T00:00:00"/>
    <n v="105.71470588235294"/>
    <m/>
    <m/>
  </r>
  <r>
    <s v="1000006830"/>
    <x v="8"/>
    <s v="1200003066"/>
    <x v="46"/>
    <x v="0"/>
    <x v="23"/>
    <n v="19"/>
    <d v="2026-07-15T00:00:00"/>
    <n v="47.2"/>
    <s v="PEN"/>
    <x v="0"/>
    <m/>
    <m/>
    <m/>
    <d v="2026-07-15T00:00:00"/>
    <n v="13.882352941176471"/>
    <m/>
    <m/>
  </r>
  <r>
    <s v="1000006830"/>
    <x v="8"/>
    <s v="1200003086"/>
    <x v="47"/>
    <x v="0"/>
    <x v="24"/>
    <n v="18"/>
    <d v="2026-07-16T00:00:00"/>
    <n v="344.8"/>
    <s v="PEN"/>
    <x v="0"/>
    <m/>
    <m/>
    <m/>
    <d v="2026-07-16T00:00:00"/>
    <n v="101.41176470588236"/>
    <m/>
    <m/>
  </r>
  <r>
    <s v="1000006830"/>
    <x v="8"/>
    <s v="1200003087"/>
    <x v="48"/>
    <x v="0"/>
    <x v="24"/>
    <n v="18"/>
    <d v="2026-07-16T00:00:00"/>
    <n v="47.2"/>
    <s v="PEN"/>
    <x v="0"/>
    <m/>
    <m/>
    <m/>
    <d v="2026-07-16T00:00:00"/>
    <n v="13.882352941176471"/>
    <m/>
    <m/>
  </r>
  <r>
    <s v="1000006830"/>
    <x v="8"/>
    <s v="1200003101"/>
    <x v="49"/>
    <x v="0"/>
    <x v="25"/>
    <n v="17"/>
    <d v="2026-07-17T00:00:00"/>
    <n v="521.70000000000005"/>
    <s v="PEN"/>
    <x v="0"/>
    <m/>
    <m/>
    <m/>
    <d v="2026-07-17T00:00:00"/>
    <n v="153.44117647058826"/>
    <m/>
    <m/>
  </r>
  <r>
    <s v="1000006830"/>
    <x v="8"/>
    <s v="1200003102"/>
    <x v="50"/>
    <x v="0"/>
    <x v="25"/>
    <n v="17"/>
    <d v="2026-07-17T00:00:00"/>
    <n v="153.4"/>
    <s v="PEN"/>
    <x v="0"/>
    <m/>
    <m/>
    <m/>
    <d v="2026-07-17T00:00:00"/>
    <n v="45.117647058823529"/>
    <m/>
    <m/>
  </r>
  <r>
    <s v="1000006830"/>
    <x v="8"/>
    <s v="1200003105"/>
    <x v="51"/>
    <x v="0"/>
    <x v="25"/>
    <n v="17"/>
    <d v="2026-07-17T00:00:00"/>
    <n v="162.88999999999999"/>
    <s v="PEN"/>
    <x v="0"/>
    <m/>
    <m/>
    <m/>
    <d v="2026-07-17T00:00:00"/>
    <n v="47.908823529411762"/>
    <m/>
    <m/>
  </r>
  <r>
    <s v="1000006830"/>
    <x v="8"/>
    <s v="1200003106"/>
    <x v="52"/>
    <x v="0"/>
    <x v="25"/>
    <n v="17"/>
    <d v="2026-07-17T00:00:00"/>
    <n v="123.9"/>
    <s v="PEN"/>
    <x v="0"/>
    <m/>
    <m/>
    <m/>
    <d v="2026-07-17T00:00:00"/>
    <n v="36.441176470588239"/>
    <m/>
    <m/>
  </r>
  <r>
    <s v="1000006830"/>
    <x v="8"/>
    <s v="1200003126"/>
    <x v="53"/>
    <x v="0"/>
    <x v="26"/>
    <n v="16"/>
    <d v="2026-07-18T00:00:00"/>
    <n v="375.71"/>
    <s v="PEN"/>
    <x v="0"/>
    <m/>
    <m/>
    <m/>
    <d v="2026-07-18T00:00:00"/>
    <n v="110.50294117647059"/>
    <m/>
    <m/>
  </r>
  <r>
    <s v="1000006830"/>
    <x v="8"/>
    <s v="1200003127"/>
    <x v="54"/>
    <x v="0"/>
    <x v="26"/>
    <n v="16"/>
    <d v="2026-07-18T00:00:00"/>
    <n v="35.4"/>
    <s v="PEN"/>
    <x v="0"/>
    <m/>
    <m/>
    <m/>
    <d v="2026-07-18T00:00:00"/>
    <n v="10.411764705882353"/>
    <m/>
    <m/>
  </r>
  <r>
    <s v="1000006830"/>
    <x v="8"/>
    <s v="1200003135"/>
    <x v="55"/>
    <x v="0"/>
    <x v="26"/>
    <n v="16"/>
    <d v="2026-07-18T00:00:00"/>
    <n v="391.52"/>
    <s v="PEN"/>
    <x v="0"/>
    <m/>
    <m/>
    <m/>
    <d v="2026-07-18T00:00:00"/>
    <n v="115.15294117647059"/>
    <m/>
    <m/>
  </r>
  <r>
    <s v="1000006830"/>
    <x v="8"/>
    <s v="1200003136"/>
    <x v="56"/>
    <x v="0"/>
    <x v="26"/>
    <n v="16"/>
    <d v="2026-07-18T00:00:00"/>
    <n v="135.69999999999999"/>
    <s v="PEN"/>
    <x v="0"/>
    <m/>
    <m/>
    <m/>
    <d v="2026-07-18T00:00:00"/>
    <n v="39.911764705882348"/>
    <m/>
    <m/>
  </r>
  <r>
    <s v="1000006830"/>
    <x v="8"/>
    <s v="1200003141"/>
    <x v="57"/>
    <x v="0"/>
    <x v="27"/>
    <n v="15"/>
    <d v="2026-07-19T00:00:00"/>
    <n v="1809.93"/>
    <s v="PEN"/>
    <x v="0"/>
    <m/>
    <m/>
    <m/>
    <d v="2026-07-19T00:00:00"/>
    <n v="532.33235294117651"/>
    <m/>
    <m/>
  </r>
  <r>
    <s v="1000006830"/>
    <x v="8"/>
    <s v="1200003142"/>
    <x v="58"/>
    <x v="0"/>
    <x v="27"/>
    <n v="15"/>
    <d v="2026-07-19T00:00:00"/>
    <n v="454.3"/>
    <s v="PEN"/>
    <x v="0"/>
    <m/>
    <m/>
    <m/>
    <d v="2026-07-19T00:00:00"/>
    <n v="133.61764705882354"/>
    <m/>
    <m/>
  </r>
  <r>
    <s v="1000006830"/>
    <x v="8"/>
    <s v="1200003165"/>
    <x v="59"/>
    <x v="0"/>
    <x v="28"/>
    <n v="14"/>
    <d v="2026-07-20T00:00:00"/>
    <n v="675.2"/>
    <s v="PEN"/>
    <x v="0"/>
    <m/>
    <m/>
    <m/>
    <d v="2026-07-20T00:00:00"/>
    <n v="198.58823529411765"/>
    <m/>
    <m/>
  </r>
  <r>
    <s v="1000006830"/>
    <x v="8"/>
    <s v="1200003166"/>
    <x v="60"/>
    <x v="0"/>
    <x v="28"/>
    <n v="14"/>
    <d v="2026-07-20T00:00:00"/>
    <n v="82.6"/>
    <s v="PEN"/>
    <x v="0"/>
    <m/>
    <m/>
    <m/>
    <d v="2026-07-20T00:00:00"/>
    <n v="24.294117647058822"/>
    <m/>
    <m/>
  </r>
  <r>
    <s v="1000006830"/>
    <x v="8"/>
    <s v="1200003181"/>
    <x v="61"/>
    <x v="0"/>
    <x v="29"/>
    <n v="13"/>
    <d v="2026-07-21T00:00:00"/>
    <n v="744.39"/>
    <s v="PEN"/>
    <x v="0"/>
    <m/>
    <m/>
    <m/>
    <d v="2026-07-21T00:00:00"/>
    <n v="218.93823529411765"/>
    <m/>
    <m/>
  </r>
  <r>
    <s v="1000006830"/>
    <x v="8"/>
    <s v="1200003182"/>
    <x v="62"/>
    <x v="0"/>
    <x v="29"/>
    <n v="13"/>
    <d v="2026-07-21T00:00:00"/>
    <n v="218.3"/>
    <s v="PEN"/>
    <x v="0"/>
    <m/>
    <m/>
    <m/>
    <d v="2026-07-21T00:00:00"/>
    <n v="64.205882352941188"/>
    <m/>
    <m/>
  </r>
  <r>
    <s v="1000006830"/>
    <x v="8"/>
    <s v="1200003204"/>
    <x v="63"/>
    <x v="0"/>
    <x v="29"/>
    <n v="13"/>
    <d v="2026-07-21T00:00:00"/>
    <n v="703.04"/>
    <s v="PEN"/>
    <x v="0"/>
    <m/>
    <m/>
    <m/>
    <d v="2026-07-21T00:00:00"/>
    <n v="206.7764705882353"/>
    <m/>
    <m/>
  </r>
  <r>
    <s v="1000006830"/>
    <x v="8"/>
    <s v="1200003205"/>
    <x v="64"/>
    <x v="0"/>
    <x v="29"/>
    <n v="13"/>
    <d v="2026-07-21T00:00:00"/>
    <n v="70.8"/>
    <s v="PEN"/>
    <x v="0"/>
    <m/>
    <m/>
    <m/>
    <d v="2026-07-21T00:00:00"/>
    <n v="20.823529411764707"/>
    <m/>
    <m/>
  </r>
  <r>
    <s v="1000006830"/>
    <x v="8"/>
    <s v="1200003206"/>
    <x v="65"/>
    <x v="0"/>
    <x v="29"/>
    <n v="13"/>
    <d v="2026-07-21T00:00:00"/>
    <n v="157.41"/>
    <s v="PEN"/>
    <x v="0"/>
    <m/>
    <m/>
    <m/>
    <d v="2026-07-21T00:00:00"/>
    <n v="46.297058823529412"/>
    <m/>
    <m/>
  </r>
  <r>
    <s v="1000006830"/>
    <x v="8"/>
    <s v="1200003207"/>
    <x v="66"/>
    <x v="0"/>
    <x v="29"/>
    <n v="13"/>
    <d v="2026-07-21T00:00:00"/>
    <n v="35.4"/>
    <s v="PEN"/>
    <x v="0"/>
    <m/>
    <m/>
    <m/>
    <d v="2026-07-21T00:00:00"/>
    <n v="10.411764705882353"/>
    <m/>
    <m/>
  </r>
  <r>
    <s v="1000006830"/>
    <x v="8"/>
    <s v="1200003228"/>
    <x v="67"/>
    <x v="0"/>
    <x v="30"/>
    <n v="12"/>
    <d v="2026-07-22T00:00:00"/>
    <n v="438.02"/>
    <s v="PEN"/>
    <x v="0"/>
    <m/>
    <m/>
    <m/>
    <d v="2026-07-22T00:00:00"/>
    <n v="128.82941176470587"/>
    <m/>
    <m/>
  </r>
  <r>
    <s v="1000006830"/>
    <x v="8"/>
    <s v="1200003229"/>
    <x v="68"/>
    <x v="0"/>
    <x v="30"/>
    <n v="12"/>
    <d v="2026-07-22T00:00:00"/>
    <n v="35.4"/>
    <s v="PEN"/>
    <x v="0"/>
    <m/>
    <m/>
    <m/>
    <d v="2026-07-22T00:00:00"/>
    <n v="10.411764705882353"/>
    <m/>
    <m/>
  </r>
  <r>
    <s v="1000006830"/>
    <x v="8"/>
    <s v="1200003236"/>
    <x v="69"/>
    <x v="0"/>
    <x v="30"/>
    <n v="12"/>
    <d v="2026-07-22T00:00:00"/>
    <n v="399.55"/>
    <s v="PEN"/>
    <x v="0"/>
    <m/>
    <m/>
    <m/>
    <d v="2026-07-22T00:00:00"/>
    <n v="117.51470588235294"/>
    <m/>
    <m/>
  </r>
  <r>
    <s v="1000006830"/>
    <x v="8"/>
    <s v="1200003237"/>
    <x v="70"/>
    <x v="0"/>
    <x v="30"/>
    <n v="12"/>
    <d v="2026-07-22T00:00:00"/>
    <n v="47.2"/>
    <s v="PEN"/>
    <x v="0"/>
    <m/>
    <m/>
    <m/>
    <d v="2026-07-22T00:00:00"/>
    <n v="13.882352941176471"/>
    <m/>
    <m/>
  </r>
  <r>
    <s v="1000006830"/>
    <x v="8"/>
    <s v="1200003254"/>
    <x v="71"/>
    <x v="0"/>
    <x v="31"/>
    <n v="11"/>
    <d v="2026-07-23T00:00:00"/>
    <n v="460.25"/>
    <s v="PEN"/>
    <x v="0"/>
    <m/>
    <m/>
    <m/>
    <d v="2026-07-23T00:00:00"/>
    <n v="135.36764705882354"/>
    <m/>
    <m/>
  </r>
  <r>
    <s v="1000006830"/>
    <x v="8"/>
    <s v="1200003255"/>
    <x v="72"/>
    <x v="0"/>
    <x v="31"/>
    <n v="11"/>
    <d v="2026-07-23T00:00:00"/>
    <n v="153.4"/>
    <s v="PEN"/>
    <x v="0"/>
    <m/>
    <m/>
    <m/>
    <d v="2026-07-23T00:00:00"/>
    <n v="45.117647058823529"/>
    <m/>
    <m/>
  </r>
  <r>
    <s v="1000006830"/>
    <x v="8"/>
    <s v="1200003257"/>
    <x v="73"/>
    <x v="0"/>
    <x v="31"/>
    <n v="11"/>
    <d v="2026-07-23T00:00:00"/>
    <n v="402.85"/>
    <s v="PEN"/>
    <x v="0"/>
    <m/>
    <m/>
    <m/>
    <d v="2026-07-23T00:00:00"/>
    <n v="118.48529411764707"/>
    <m/>
    <m/>
  </r>
  <r>
    <s v="1000006830"/>
    <x v="8"/>
    <s v="1200003258"/>
    <x v="74"/>
    <x v="0"/>
    <x v="31"/>
    <n v="11"/>
    <d v="2026-07-23T00:00:00"/>
    <n v="35.4"/>
    <s v="PEN"/>
    <x v="0"/>
    <m/>
    <m/>
    <m/>
    <d v="2026-07-23T00:00:00"/>
    <n v="10.411764705882353"/>
    <m/>
    <m/>
  </r>
  <r>
    <s v="1000006830"/>
    <x v="8"/>
    <s v="1200003276"/>
    <x v="75"/>
    <x v="0"/>
    <x v="31"/>
    <n v="11"/>
    <d v="2026-07-23T00:00:00"/>
    <n v="690.21"/>
    <s v="PEN"/>
    <x v="0"/>
    <m/>
    <m/>
    <m/>
    <d v="2026-07-23T00:00:00"/>
    <n v="203.00294117647061"/>
    <m/>
    <m/>
  </r>
  <r>
    <s v="1000006830"/>
    <x v="8"/>
    <s v="1200003277"/>
    <x v="76"/>
    <x v="0"/>
    <x v="31"/>
    <n v="11"/>
    <d v="2026-07-23T00:00:00"/>
    <n v="212.4"/>
    <s v="PEN"/>
    <x v="0"/>
    <m/>
    <m/>
    <m/>
    <d v="2026-07-23T00:00:00"/>
    <n v="62.470588235294123"/>
    <m/>
    <m/>
  </r>
  <r>
    <s v="1000006830"/>
    <x v="8"/>
    <s v="1200003284"/>
    <x v="77"/>
    <x v="0"/>
    <x v="32"/>
    <n v="10"/>
    <d v="2026-07-24T00:00:00"/>
    <n v="629.41"/>
    <s v="PEN"/>
    <x v="0"/>
    <m/>
    <m/>
    <m/>
    <d v="2026-07-24T00:00:00"/>
    <n v="185.12058823529412"/>
    <m/>
    <m/>
  </r>
  <r>
    <s v="1000006830"/>
    <x v="8"/>
    <s v="1200003285"/>
    <x v="78"/>
    <x v="0"/>
    <x v="32"/>
    <n v="10"/>
    <d v="2026-07-24T00:00:00"/>
    <n v="230.1"/>
    <s v="PEN"/>
    <x v="0"/>
    <m/>
    <m/>
    <m/>
    <d v="2026-07-24T00:00:00"/>
    <n v="67.67647058823529"/>
    <m/>
    <m/>
  </r>
  <r>
    <s v="1000006830"/>
    <x v="8"/>
    <s v="1200003286"/>
    <x v="79"/>
    <x v="0"/>
    <x v="32"/>
    <n v="10"/>
    <d v="2026-07-24T00:00:00"/>
    <n v="367.07"/>
    <s v="PEN"/>
    <x v="0"/>
    <m/>
    <m/>
    <m/>
    <d v="2026-07-24T00:00:00"/>
    <n v="107.96176470588236"/>
    <m/>
    <m/>
  </r>
  <r>
    <s v="1000006830"/>
    <x v="8"/>
    <s v="1200003287"/>
    <x v="80"/>
    <x v="0"/>
    <x v="32"/>
    <n v="10"/>
    <d v="2026-07-24T00:00:00"/>
    <n v="177"/>
    <s v="PEN"/>
    <x v="0"/>
    <m/>
    <m/>
    <m/>
    <d v="2026-07-24T00:00:00"/>
    <n v="52.058823529411768"/>
    <m/>
    <m/>
  </r>
  <r>
    <s v="1000006830"/>
    <x v="8"/>
    <s v="1200003289"/>
    <x v="81"/>
    <x v="0"/>
    <x v="32"/>
    <n v="10"/>
    <d v="2026-07-24T00:00:00"/>
    <n v="331.11"/>
    <s v="PEN"/>
    <x v="0"/>
    <m/>
    <m/>
    <m/>
    <d v="2026-07-24T00:00:00"/>
    <n v="97.385294117647064"/>
    <m/>
    <m/>
  </r>
  <r>
    <s v="1000006830"/>
    <x v="8"/>
    <s v="1200003290"/>
    <x v="82"/>
    <x v="0"/>
    <x v="32"/>
    <n v="10"/>
    <d v="2026-07-24T00:00:00"/>
    <n v="35.4"/>
    <s v="PEN"/>
    <x v="0"/>
    <m/>
    <m/>
    <m/>
    <d v="2026-07-24T00:00:00"/>
    <n v="10.411764705882353"/>
    <m/>
    <m/>
  </r>
  <r>
    <s v="1000006830"/>
    <x v="8"/>
    <s v="1200003348"/>
    <x v="83"/>
    <x v="0"/>
    <x v="33"/>
    <n v="9"/>
    <d v="2026-07-25T00:00:00"/>
    <n v="683.27"/>
    <s v="PEN"/>
    <x v="0"/>
    <m/>
    <m/>
    <m/>
    <d v="2026-07-25T00:00:00"/>
    <n v="200.96176470588236"/>
    <m/>
    <m/>
  </r>
  <r>
    <s v="1000006830"/>
    <x v="8"/>
    <s v="1200003349"/>
    <x v="84"/>
    <x v="0"/>
    <x v="33"/>
    <n v="9"/>
    <d v="2026-07-25T00:00:00"/>
    <n v="194.7"/>
    <s v="PEN"/>
    <x v="0"/>
    <m/>
    <m/>
    <m/>
    <d v="2026-07-25T00:00:00"/>
    <n v="57.264705882352942"/>
    <m/>
    <m/>
  </r>
  <r>
    <s v="1000006830"/>
    <x v="8"/>
    <s v="1200003350"/>
    <x v="85"/>
    <x v="0"/>
    <x v="34"/>
    <n v="8"/>
    <d v="2026-07-26T00:00:00"/>
    <n v="692.85"/>
    <s v="PEN"/>
    <x v="0"/>
    <m/>
    <m/>
    <m/>
    <d v="2026-07-26T00:00:00"/>
    <n v="203.77941176470588"/>
    <m/>
    <m/>
  </r>
  <r>
    <s v="1000006830"/>
    <x v="8"/>
    <s v="1200003351"/>
    <x v="86"/>
    <x v="0"/>
    <x v="34"/>
    <n v="8"/>
    <d v="2026-07-26T00:00:00"/>
    <n v="194.7"/>
    <s v="PEN"/>
    <x v="0"/>
    <m/>
    <m/>
    <m/>
    <d v="2026-07-26T00:00:00"/>
    <n v="57.264705882352942"/>
    <m/>
    <m/>
  </r>
  <r>
    <s v="1000006830"/>
    <x v="8"/>
    <s v="1200003368"/>
    <x v="87"/>
    <x v="0"/>
    <x v="35"/>
    <n v="7"/>
    <d v="2026-07-27T00:00:00"/>
    <n v="367.07"/>
    <s v="PEN"/>
    <x v="0"/>
    <m/>
    <m/>
    <m/>
    <d v="2026-07-27T00:00:00"/>
    <n v="107.96176470588236"/>
    <m/>
    <m/>
  </r>
  <r>
    <s v="1000006830"/>
    <x v="8"/>
    <s v="1200003369"/>
    <x v="88"/>
    <x v="0"/>
    <x v="35"/>
    <n v="7"/>
    <d v="2026-07-27T00:00:00"/>
    <n v="135.69999999999999"/>
    <s v="PEN"/>
    <x v="0"/>
    <m/>
    <m/>
    <m/>
    <d v="2026-07-27T00:00:00"/>
    <n v="39.911764705882348"/>
    <m/>
    <m/>
  </r>
  <r>
    <s v="1000006830"/>
    <x v="8"/>
    <s v="1200003412"/>
    <x v="89"/>
    <x v="0"/>
    <x v="18"/>
    <n v="3"/>
    <d v="2026-07-31T00:00:00"/>
    <n v="452.98"/>
    <s v="PEN"/>
    <x v="0"/>
    <m/>
    <m/>
    <m/>
    <d v="2026-07-31T00:00:00"/>
    <n v="133.2294117647059"/>
    <m/>
    <m/>
  </r>
  <r>
    <s v="1000006830"/>
    <x v="8"/>
    <s v="1200003413"/>
    <x v="90"/>
    <x v="0"/>
    <x v="18"/>
    <n v="3"/>
    <d v="2026-07-31T00:00:00"/>
    <n v="153.4"/>
    <s v="PEN"/>
    <x v="0"/>
    <m/>
    <m/>
    <m/>
    <d v="2026-07-31T00:00:00"/>
    <n v="45.117647058823529"/>
    <m/>
    <m/>
  </r>
  <r>
    <s v="1000006830"/>
    <x v="8"/>
    <s v="1200003426"/>
    <x v="91"/>
    <x v="0"/>
    <x v="18"/>
    <n v="3"/>
    <d v="2026-07-31T00:00:00"/>
    <n v="617.85"/>
    <s v="PEN"/>
    <x v="0"/>
    <m/>
    <m/>
    <m/>
    <d v="2026-07-31T00:00:00"/>
    <n v="181.72058823529412"/>
    <m/>
    <m/>
  </r>
  <r>
    <s v="1000006830"/>
    <x v="8"/>
    <s v="1200003427"/>
    <x v="92"/>
    <x v="0"/>
    <x v="18"/>
    <n v="3"/>
    <d v="2026-07-31T00:00:00"/>
    <n v="177"/>
    <s v="PEN"/>
    <x v="0"/>
    <m/>
    <m/>
    <m/>
    <d v="2026-07-31T00:00:00"/>
    <n v="52.058823529411768"/>
    <m/>
    <m/>
  </r>
  <r>
    <s v="1000006830"/>
    <x v="8"/>
    <s v="1200003436"/>
    <x v="93"/>
    <x v="0"/>
    <x v="18"/>
    <n v="3"/>
    <d v="2026-07-31T00:00:00"/>
    <n v="673.02"/>
    <s v="PEN"/>
    <x v="0"/>
    <m/>
    <m/>
    <m/>
    <d v="2026-07-31T00:00:00"/>
    <n v="197.9470588235294"/>
    <m/>
    <m/>
  </r>
  <r>
    <s v="1000006830"/>
    <x v="8"/>
    <s v="1200003437"/>
    <x v="94"/>
    <x v="0"/>
    <x v="18"/>
    <n v="3"/>
    <d v="2026-07-31T00:00:00"/>
    <n v="177"/>
    <s v="PEN"/>
    <x v="0"/>
    <m/>
    <m/>
    <m/>
    <d v="2026-07-31T00:00:00"/>
    <n v="52.058823529411768"/>
    <m/>
    <m/>
  </r>
  <r>
    <s v="1000006830"/>
    <x v="8"/>
    <s v="1200003448"/>
    <x v="95"/>
    <x v="0"/>
    <x v="13"/>
    <n v="0"/>
    <d v="2026-08-03T00:00:00"/>
    <n v="47.2"/>
    <s v="PEN"/>
    <x v="0"/>
    <m/>
    <m/>
    <m/>
    <d v="2026-08-03T00:00:00"/>
    <n v="13.882352941176471"/>
    <m/>
    <m/>
  </r>
  <r>
    <s v="1000006830"/>
    <x v="8"/>
    <s v="1200003449"/>
    <x v="96"/>
    <x v="0"/>
    <x v="13"/>
    <n v="0"/>
    <d v="2026-08-03T00:00:00"/>
    <n v="266.44"/>
    <s v="PEN"/>
    <x v="0"/>
    <m/>
    <m/>
    <m/>
    <d v="2026-08-03T00:00:00"/>
    <n v="78.364705882352936"/>
    <m/>
    <m/>
  </r>
  <r>
    <s v="2000001459"/>
    <x v="9"/>
    <s v="1300004230"/>
    <x v="97"/>
    <x v="3"/>
    <x v="36"/>
    <n v="0"/>
    <d v="2026-05-31T00:00:00"/>
    <n v="-34580"/>
    <s v="USD"/>
    <x v="1"/>
    <d v="2026-07-25T00:00:00"/>
    <m/>
    <m/>
    <d v="2026-05-31T00:00:00"/>
    <n v="-34580"/>
    <n v="69"/>
    <s v="61-90"/>
  </r>
  <r>
    <s v="2000001459"/>
    <x v="9"/>
    <s v="1200003452"/>
    <x v="98"/>
    <x v="2"/>
    <x v="13"/>
    <n v="-113"/>
    <d v="2026-11-24T00:00:00"/>
    <n v="89775"/>
    <s v="USD"/>
    <x v="1"/>
    <d v="2026-09-25T00:00:00"/>
    <m/>
    <m/>
    <d v="2026-09-25T00:00:00"/>
    <n v="89775"/>
    <n v="7"/>
    <s v="0-45"/>
  </r>
  <r>
    <s v="2000001459"/>
    <x v="9"/>
    <s v="1200003474"/>
    <x v="99"/>
    <x v="2"/>
    <x v="37"/>
    <n v="-57"/>
    <d v="2026-09-29T00:00:00"/>
    <n v="29925"/>
    <s v="USD"/>
    <x v="1"/>
    <d v="2026-09-29T00:00:00"/>
    <m/>
    <m/>
    <d v="2026-09-29T00:00:00"/>
    <n v="29925"/>
    <n v="3"/>
    <s v="0-45"/>
  </r>
  <r>
    <s v="2000001172"/>
    <x v="10"/>
    <s v="1300007034"/>
    <x v="100"/>
    <x v="1"/>
    <x v="38"/>
    <n v="43"/>
    <d v="2026-06-21T00:00:00"/>
    <n v="14830.54"/>
    <s v="USD"/>
    <x v="1"/>
    <d v="2026-08-20T00:00:00"/>
    <n v="-17"/>
    <d v="2026-08-20T00:00:00"/>
    <d v="2026-08-20T00:00:00"/>
    <n v="14830.54"/>
    <n v="43"/>
    <s v="0-45"/>
  </r>
  <r>
    <s v="2000001172"/>
    <x v="10"/>
    <s v="1200003362"/>
    <x v="101"/>
    <x v="2"/>
    <x v="32"/>
    <n v="-28"/>
    <d v="2026-08-31T00:00:00"/>
    <n v="3145.44"/>
    <s v="USD"/>
    <x v="1"/>
    <d v="2026-09-15T00:00:00"/>
    <m/>
    <m/>
    <d v="2026-09-15T00:00:00"/>
    <n v="3145.44"/>
    <n v="17"/>
    <s v="0-45"/>
  </r>
  <r>
    <s v="2000000231"/>
    <x v="11"/>
    <s v="1300007149"/>
    <x v="102"/>
    <x v="1"/>
    <x v="39"/>
    <n v="45"/>
    <d v="2026-06-19T00:00:00"/>
    <n v="157950"/>
    <s v="USD"/>
    <x v="1"/>
    <d v="2026-08-18T00:00:00"/>
    <n v="0"/>
    <d v="2026-08-03T00:00:00"/>
    <d v="2026-08-12T00:00:00"/>
    <n v="157950"/>
    <n v="45"/>
    <s v="0-45"/>
  </r>
  <r>
    <s v="2000000231"/>
    <x v="11"/>
    <s v="1200002880"/>
    <x v="103"/>
    <x v="2"/>
    <x v="11"/>
    <n v="-11"/>
    <d v="2026-08-14T00:00:00"/>
    <n v="211167"/>
    <s v="USD"/>
    <x v="1"/>
    <d v="2026-08-29T00:00:00"/>
    <n v="-26"/>
    <d v="2026-08-29T00:00:00"/>
    <d v="2026-08-14T00:00:00"/>
    <n v="211167"/>
    <n v="34"/>
    <s v="0-45"/>
  </r>
  <r>
    <s v="2000000231"/>
    <x v="11"/>
    <s v="1200002882"/>
    <x v="104"/>
    <x v="2"/>
    <x v="11"/>
    <n v="-26"/>
    <d v="2026-08-29T00:00:00"/>
    <n v="105300"/>
    <s v="USD"/>
    <x v="1"/>
    <d v="2026-08-29T00:00:00"/>
    <n v="-26"/>
    <d v="2026-08-29T00:00:00"/>
    <d v="2026-08-29T00:00:00"/>
    <n v="105300"/>
    <n v="34"/>
    <s v="0-45"/>
  </r>
  <r>
    <s v="2000000233"/>
    <x v="12"/>
    <s v="1200002904"/>
    <x v="105"/>
    <x v="1"/>
    <x v="11"/>
    <n v="-26"/>
    <d v="2026-08-29T00:00:00"/>
    <n v="395975.8"/>
    <s v="USD"/>
    <x v="1"/>
    <d v="2026-08-29T00:00:00"/>
    <n v="-26"/>
    <d v="2026-08-29T00:00:00"/>
    <d v="2026-08-29T00:00:00"/>
    <n v="395975.8"/>
    <n v="34"/>
    <s v="0-45"/>
  </r>
  <r>
    <s v="2000000233"/>
    <x v="12"/>
    <s v="1200002938"/>
    <x v="106"/>
    <x v="2"/>
    <x v="11"/>
    <n v="-26"/>
    <d v="2026-08-29T00:00:00"/>
    <n v="213300"/>
    <s v="USD"/>
    <x v="1"/>
    <d v="2026-08-29T00:00:00"/>
    <n v="-26"/>
    <d v="2026-08-29T00:00:00"/>
    <d v="2026-08-29T00:00:00"/>
    <n v="213300"/>
    <n v="34"/>
    <s v="0-45"/>
  </r>
  <r>
    <s v="6002007"/>
    <x v="13"/>
    <s v="1200005141"/>
    <x v="107"/>
    <x v="0"/>
    <x v="40"/>
    <n v="266"/>
    <d v="2025-11-10T00:00:00"/>
    <n v="1403.26"/>
    <s v="PEN"/>
    <x v="3"/>
    <m/>
    <m/>
    <m/>
    <d v="2025-11-10T00:00:00"/>
    <n v="412.72352941176473"/>
    <m/>
    <m/>
  </r>
  <r>
    <s v="6002007"/>
    <x v="13"/>
    <s v="1200005142"/>
    <x v="108"/>
    <x v="0"/>
    <x v="40"/>
    <n v="266"/>
    <d v="2025-11-10T00:00:00"/>
    <n v="141.6"/>
    <s v="PEN"/>
    <x v="3"/>
    <m/>
    <m/>
    <m/>
    <d v="2025-11-10T00:00:00"/>
    <n v="41.647058823529413"/>
    <m/>
    <m/>
  </r>
  <r>
    <s v="6002007"/>
    <x v="13"/>
    <s v="1200005158"/>
    <x v="109"/>
    <x v="0"/>
    <x v="41"/>
    <n v="263"/>
    <d v="2025-11-13T00:00:00"/>
    <n v="1193.22"/>
    <s v="PEN"/>
    <x v="3"/>
    <m/>
    <m/>
    <m/>
    <d v="2025-11-13T00:00:00"/>
    <n v="350.9470588235294"/>
    <m/>
    <m/>
  </r>
  <r>
    <s v="6002007"/>
    <x v="13"/>
    <s v="1200005159"/>
    <x v="110"/>
    <x v="0"/>
    <x v="41"/>
    <n v="263"/>
    <d v="2025-11-13T00:00:00"/>
    <n v="106.2"/>
    <s v="PEN"/>
    <x v="3"/>
    <m/>
    <m/>
    <m/>
    <d v="2025-11-13T00:00:00"/>
    <n v="31.235294117647062"/>
    <m/>
    <m/>
  </r>
  <r>
    <s v="6002007"/>
    <x v="13"/>
    <s v="1200001503"/>
    <x v="111"/>
    <x v="0"/>
    <x v="42"/>
    <n v="82"/>
    <d v="2026-05-13T00:00:00"/>
    <n v="23.6"/>
    <s v="PEN"/>
    <x v="3"/>
    <m/>
    <m/>
    <m/>
    <d v="2026-05-13T00:00:00"/>
    <n v="6.9411764705882355"/>
    <m/>
    <m/>
  </r>
  <r>
    <s v="6002007"/>
    <x v="13"/>
    <s v="1200001504"/>
    <x v="112"/>
    <x v="0"/>
    <x v="42"/>
    <n v="82"/>
    <d v="2026-05-13T00:00:00"/>
    <n v="261.49"/>
    <s v="PEN"/>
    <x v="3"/>
    <m/>
    <m/>
    <m/>
    <d v="2026-05-13T00:00:00"/>
    <n v="76.908823529411762"/>
    <m/>
    <m/>
  </r>
  <r>
    <s v="6002007"/>
    <x v="13"/>
    <s v="1200001509"/>
    <x v="113"/>
    <x v="0"/>
    <x v="42"/>
    <n v="82"/>
    <d v="2026-05-13T00:00:00"/>
    <n v="387.51"/>
    <s v="PEN"/>
    <x v="3"/>
    <m/>
    <m/>
    <m/>
    <d v="2026-05-13T00:00:00"/>
    <n v="113.9735294117647"/>
    <m/>
    <m/>
  </r>
  <r>
    <s v="6002007"/>
    <x v="13"/>
    <s v="1200001510"/>
    <x v="114"/>
    <x v="0"/>
    <x v="42"/>
    <n v="82"/>
    <d v="2026-05-13T00:00:00"/>
    <n v="35.4"/>
    <s v="PEN"/>
    <x v="3"/>
    <m/>
    <m/>
    <m/>
    <d v="2026-05-13T00:00:00"/>
    <n v="10.411764705882353"/>
    <m/>
    <m/>
  </r>
  <r>
    <s v="6002007"/>
    <x v="13"/>
    <s v="1200001609"/>
    <x v="115"/>
    <x v="0"/>
    <x v="43"/>
    <n v="76"/>
    <d v="2026-05-19T00:00:00"/>
    <n v="482.86"/>
    <s v="PEN"/>
    <x v="3"/>
    <m/>
    <m/>
    <m/>
    <d v="2026-05-19T00:00:00"/>
    <n v="142.01764705882354"/>
    <m/>
    <m/>
  </r>
  <r>
    <s v="6002007"/>
    <x v="13"/>
    <s v="1200001610"/>
    <x v="116"/>
    <x v="0"/>
    <x v="43"/>
    <n v="76"/>
    <d v="2026-05-19T00:00:00"/>
    <n v="47.2"/>
    <s v="PEN"/>
    <x v="3"/>
    <m/>
    <m/>
    <m/>
    <d v="2026-05-19T00:00:00"/>
    <n v="13.882352941176471"/>
    <m/>
    <m/>
  </r>
  <r>
    <s v="6002007"/>
    <x v="13"/>
    <s v="1200001789"/>
    <x v="117"/>
    <x v="0"/>
    <x v="44"/>
    <n v="72"/>
    <d v="2026-05-23T00:00:00"/>
    <n v="544.45000000000005"/>
    <s v="PEN"/>
    <x v="3"/>
    <m/>
    <m/>
    <m/>
    <d v="2026-05-23T00:00:00"/>
    <n v="160.13235294117649"/>
    <m/>
    <m/>
  </r>
  <r>
    <s v="6002007"/>
    <x v="13"/>
    <s v="1200001790"/>
    <x v="118"/>
    <x v="0"/>
    <x v="44"/>
    <n v="72"/>
    <d v="2026-05-23T00:00:00"/>
    <n v="47.2"/>
    <s v="PEN"/>
    <x v="3"/>
    <m/>
    <m/>
    <m/>
    <d v="2026-05-23T00:00:00"/>
    <n v="13.882352941176471"/>
    <m/>
    <m/>
  </r>
  <r>
    <s v="6002007"/>
    <x v="13"/>
    <s v="1200002045"/>
    <x v="119"/>
    <x v="0"/>
    <x v="45"/>
    <n v="61"/>
    <d v="2026-06-03T00:00:00"/>
    <n v="591.65"/>
    <s v="PEN"/>
    <x v="3"/>
    <m/>
    <m/>
    <m/>
    <d v="2026-06-03T00:00:00"/>
    <n v="174.01470588235293"/>
    <m/>
    <m/>
  </r>
  <r>
    <s v="6002007"/>
    <x v="13"/>
    <s v="1200002046"/>
    <x v="120"/>
    <x v="0"/>
    <x v="45"/>
    <n v="61"/>
    <d v="2026-06-03T00:00:00"/>
    <n v="70.8"/>
    <s v="PEN"/>
    <x v="3"/>
    <m/>
    <m/>
    <m/>
    <d v="2026-06-03T00:00:00"/>
    <n v="20.823529411764707"/>
    <m/>
    <m/>
  </r>
  <r>
    <s v="6002007"/>
    <x v="13"/>
    <s v="1200002186"/>
    <x v="121"/>
    <x v="0"/>
    <x v="46"/>
    <n v="55"/>
    <d v="2026-06-09T00:00:00"/>
    <n v="185.97"/>
    <s v="PEN"/>
    <x v="3"/>
    <m/>
    <m/>
    <m/>
    <d v="2026-06-09T00:00:00"/>
    <n v="54.69705882352941"/>
    <m/>
    <m/>
  </r>
  <r>
    <s v="6002007"/>
    <x v="13"/>
    <s v="1200002187"/>
    <x v="122"/>
    <x v="0"/>
    <x v="46"/>
    <n v="55"/>
    <d v="2026-06-09T00:00:00"/>
    <n v="23.6"/>
    <s v="PEN"/>
    <x v="3"/>
    <m/>
    <m/>
    <m/>
    <d v="2026-06-09T00:00:00"/>
    <n v="6.9411764705882355"/>
    <m/>
    <m/>
  </r>
  <r>
    <s v="6002007"/>
    <x v="13"/>
    <s v="1200002487"/>
    <x v="123"/>
    <x v="0"/>
    <x v="47"/>
    <n v="44"/>
    <d v="2026-06-20T00:00:00"/>
    <n v="535.25"/>
    <s v="PEN"/>
    <x v="3"/>
    <m/>
    <m/>
    <m/>
    <d v="2026-06-20T00:00:00"/>
    <n v="157.4264705882353"/>
    <m/>
    <m/>
  </r>
  <r>
    <s v="6002007"/>
    <x v="13"/>
    <s v="1200002488"/>
    <x v="124"/>
    <x v="0"/>
    <x v="47"/>
    <n v="44"/>
    <d v="2026-06-20T00:00:00"/>
    <n v="70.8"/>
    <s v="PEN"/>
    <x v="3"/>
    <m/>
    <m/>
    <m/>
    <d v="2026-06-20T00:00:00"/>
    <n v="20.823529411764707"/>
    <m/>
    <m/>
  </r>
  <r>
    <s v="6002007"/>
    <x v="13"/>
    <s v="1200002956"/>
    <x v="125"/>
    <x v="0"/>
    <x v="48"/>
    <n v="24"/>
    <d v="2026-07-10T00:00:00"/>
    <n v="449.11"/>
    <s v="PEN"/>
    <x v="3"/>
    <m/>
    <m/>
    <m/>
    <d v="2026-07-10T00:00:00"/>
    <n v="132.09117647058824"/>
    <m/>
    <m/>
  </r>
  <r>
    <s v="6002007"/>
    <x v="13"/>
    <s v="1200002957"/>
    <x v="126"/>
    <x v="0"/>
    <x v="48"/>
    <n v="24"/>
    <d v="2026-07-10T00:00:00"/>
    <n v="35.4"/>
    <s v="PEN"/>
    <x v="3"/>
    <m/>
    <m/>
    <m/>
    <d v="2026-07-10T00:00:00"/>
    <n v="10.411764705882353"/>
    <m/>
    <m/>
  </r>
  <r>
    <s v="6002007"/>
    <x v="13"/>
    <s v="1200003319"/>
    <x v="127"/>
    <x v="0"/>
    <x v="32"/>
    <n v="10"/>
    <d v="2026-07-24T00:00:00"/>
    <n v="355.65"/>
    <s v="PEN"/>
    <x v="3"/>
    <m/>
    <m/>
    <m/>
    <d v="2026-07-24T00:00:00"/>
    <n v="104.60294117647058"/>
    <m/>
    <m/>
  </r>
  <r>
    <s v="6002007"/>
    <x v="13"/>
    <s v="1200003320"/>
    <x v="128"/>
    <x v="0"/>
    <x v="32"/>
    <n v="10"/>
    <d v="2026-07-24T00:00:00"/>
    <n v="47.2"/>
    <s v="PEN"/>
    <x v="3"/>
    <m/>
    <m/>
    <m/>
    <d v="2026-07-24T00:00:00"/>
    <n v="13.882352941176471"/>
    <m/>
    <m/>
  </r>
  <r>
    <s v="6001105"/>
    <x v="14"/>
    <s v="1200001301"/>
    <x v="129"/>
    <x v="0"/>
    <x v="49"/>
    <n v="97"/>
    <d v="2026-04-28T00:00:00"/>
    <n v="716.71"/>
    <s v="PEN"/>
    <x v="0"/>
    <m/>
    <m/>
    <m/>
    <d v="2026-04-28T00:00:00"/>
    <n v="210.79705882352943"/>
    <m/>
    <m/>
  </r>
  <r>
    <s v="6001105"/>
    <x v="14"/>
    <s v="1200001302"/>
    <x v="130"/>
    <x v="0"/>
    <x v="49"/>
    <n v="97"/>
    <d v="2026-04-28T00:00:00"/>
    <n v="129.80000000000001"/>
    <s v="PEN"/>
    <x v="0"/>
    <m/>
    <m/>
    <m/>
    <d v="2026-04-28T00:00:00"/>
    <n v="38.176470588235297"/>
    <m/>
    <m/>
  </r>
  <r>
    <s v="6001105"/>
    <x v="14"/>
    <s v="1300004037"/>
    <x v="131"/>
    <x v="1"/>
    <x v="49"/>
    <n v="97"/>
    <d v="2026-04-28T00:00:00"/>
    <n v="422.56"/>
    <s v="PEN"/>
    <x v="0"/>
    <m/>
    <m/>
    <m/>
    <d v="2026-04-28T00:00:00"/>
    <n v="124.28235294117647"/>
    <m/>
    <m/>
  </r>
  <r>
    <s v="6001105"/>
    <x v="14"/>
    <s v="1200001648"/>
    <x v="132"/>
    <x v="0"/>
    <x v="43"/>
    <n v="83"/>
    <d v="2026-05-12T00:00:00"/>
    <n v="404.98"/>
    <s v="PEN"/>
    <x v="0"/>
    <m/>
    <m/>
    <m/>
    <d v="2026-05-12T00:00:00"/>
    <n v="119.11176470588236"/>
    <m/>
    <m/>
  </r>
  <r>
    <s v="6001105"/>
    <x v="14"/>
    <s v="1200001649"/>
    <x v="133"/>
    <x v="0"/>
    <x v="43"/>
    <n v="83"/>
    <d v="2026-05-12T00:00:00"/>
    <n v="59"/>
    <s v="PEN"/>
    <x v="0"/>
    <m/>
    <m/>
    <m/>
    <d v="2026-05-12T00:00:00"/>
    <n v="17.352941176470587"/>
    <m/>
    <m/>
  </r>
  <r>
    <s v="6001105"/>
    <x v="14"/>
    <s v="1300007099"/>
    <x v="134"/>
    <x v="1"/>
    <x v="30"/>
    <n v="19"/>
    <d v="2026-07-15T00:00:00"/>
    <n v="23.6"/>
    <s v="PEN"/>
    <x v="0"/>
    <m/>
    <m/>
    <m/>
    <d v="2026-07-15T00:00:00"/>
    <n v="6.9411764705882355"/>
    <m/>
    <m/>
  </r>
  <r>
    <s v="2000001443"/>
    <x v="15"/>
    <s v="1300004715"/>
    <x v="135"/>
    <x v="1"/>
    <x v="10"/>
    <n v="66"/>
    <d v="2026-05-29T00:00:00"/>
    <n v="67008"/>
    <s v="USD"/>
    <x v="1"/>
    <d v="2026-07-28T00:00:00"/>
    <n v="2"/>
    <d v="2026-08-01T00:00:00"/>
    <d v="2026-08-15T00:00:00"/>
    <n v="67008"/>
    <n v="66"/>
    <s v="61-90"/>
  </r>
  <r>
    <s v="2000001359"/>
    <x v="16"/>
    <s v="1300005285"/>
    <x v="136"/>
    <x v="1"/>
    <x v="19"/>
    <n v="98"/>
    <d v="2026-04-27T00:00:00"/>
    <n v="10284"/>
    <s v="USD"/>
    <x v="1"/>
    <d v="2026-06-26T00:00:00"/>
    <n v="3"/>
    <d v="2026-07-31T00:00:00"/>
    <d v="2026-10-15T00:00:00"/>
    <n v="10284"/>
    <n v="98"/>
    <s v="91-a más"/>
  </r>
  <r>
    <s v="2000001359"/>
    <x v="16"/>
    <s v="1200003338"/>
    <x v="137"/>
    <x v="2"/>
    <x v="32"/>
    <n v="-43"/>
    <d v="2026-09-15T00:00:00"/>
    <n v="74100"/>
    <s v="USD"/>
    <x v="1"/>
    <d v="2026-09-15T00:00:00"/>
    <m/>
    <m/>
    <d v="2026-09-15T00:00:00"/>
    <n v="74100"/>
    <n v="17"/>
    <s v="0-45"/>
  </r>
  <r>
    <s v="2000001468"/>
    <x v="17"/>
    <s v="1300004843"/>
    <x v="138"/>
    <x v="3"/>
    <x v="50"/>
    <n v="0"/>
    <d v="2026-06-30T00:00:00"/>
    <n v="-13728"/>
    <s v="USD"/>
    <x v="1"/>
    <d v="2026-08-04T00:00:00"/>
    <m/>
    <m/>
    <d v="2026-06-30T00:00:00"/>
    <n v="-13728"/>
    <n v="59"/>
    <s v="46-60"/>
  </r>
  <r>
    <s v="2000001468"/>
    <x v="17"/>
    <s v="1200003263"/>
    <x v="139"/>
    <x v="2"/>
    <x v="28"/>
    <n v="-39"/>
    <d v="2026-09-11T00:00:00"/>
    <n v="68340"/>
    <s v="USD"/>
    <x v="1"/>
    <d v="2026-09-11T00:00:00"/>
    <n v="-39"/>
    <d v="2026-09-11T00:00:00"/>
    <d v="2026-09-11T00:00:00"/>
    <n v="68340"/>
    <n v="21"/>
    <s v="0-45"/>
  </r>
  <r>
    <s v="1000013925"/>
    <x v="18"/>
    <s v="1300006898"/>
    <x v="140"/>
    <x v="1"/>
    <x v="51"/>
    <n v="286"/>
    <d v="2025-10-21T00:00:00"/>
    <n v="4460"/>
    <s v="PEN"/>
    <x v="4"/>
    <m/>
    <m/>
    <m/>
    <d v="2025-10-21T00:00:00"/>
    <n v="1311.7647058823529"/>
    <m/>
    <m/>
  </r>
  <r>
    <s v="1000013925"/>
    <x v="18"/>
    <s v="1200005124"/>
    <x v="141"/>
    <x v="0"/>
    <x v="52"/>
    <n v="265"/>
    <d v="2025-11-11T00:00:00"/>
    <n v="7097.98"/>
    <s v="PEN"/>
    <x v="4"/>
    <m/>
    <m/>
    <m/>
    <d v="2025-11-11T00:00:00"/>
    <n v="2087.6411764705881"/>
    <m/>
    <m/>
  </r>
  <r>
    <s v="1000013925"/>
    <x v="18"/>
    <s v="1200000182"/>
    <x v="142"/>
    <x v="0"/>
    <x v="53"/>
    <n v="177"/>
    <d v="2026-02-07T00:00:00"/>
    <n v="4003.46"/>
    <s v="PEN"/>
    <x v="4"/>
    <m/>
    <m/>
    <m/>
    <d v="2026-02-07T00:00:00"/>
    <n v="1177.4882352941177"/>
    <m/>
    <m/>
  </r>
  <r>
    <s v="1000013925"/>
    <x v="18"/>
    <s v="1200000382"/>
    <x v="143"/>
    <x v="0"/>
    <x v="54"/>
    <n v="146"/>
    <d v="2026-03-10T00:00:00"/>
    <n v="4956"/>
    <s v="PEN"/>
    <x v="4"/>
    <m/>
    <m/>
    <m/>
    <d v="2026-03-10T00:00:00"/>
    <n v="1457.6470588235295"/>
    <m/>
    <m/>
  </r>
  <r>
    <s v="2000001380"/>
    <x v="19"/>
    <s v="1300004799"/>
    <x v="144"/>
    <x v="3"/>
    <x v="46"/>
    <n v="0"/>
    <d v="2026-06-30T00:00:00"/>
    <n v="-6470"/>
    <s v="USD"/>
    <x v="1"/>
    <d v="2026-08-01T00:00:00"/>
    <m/>
    <m/>
    <d v="2026-06-30T00:00:00"/>
    <n v="-6470"/>
    <n v="62"/>
    <s v="61-90"/>
  </r>
  <r>
    <s v="2000001380"/>
    <x v="19"/>
    <s v="1200002542"/>
    <x v="145"/>
    <x v="2"/>
    <x v="47"/>
    <n v="6"/>
    <d v="2026-07-28T00:00:00"/>
    <n v="29250"/>
    <s v="USD"/>
    <x v="1"/>
    <d v="2026-08-12T00:00:00"/>
    <n v="-9"/>
    <d v="2026-08-12T00:00:00"/>
    <d v="2026-08-12T00:00:00"/>
    <n v="29250"/>
    <n v="51"/>
    <s v="46-60"/>
  </r>
  <r>
    <s v="6000434"/>
    <x v="20"/>
    <s v="1200004540"/>
    <x v="146"/>
    <x v="0"/>
    <x v="55"/>
    <n v="293"/>
    <d v="2025-10-14T00:00:00"/>
    <n v="790"/>
    <s v="PEN"/>
    <x v="5"/>
    <m/>
    <m/>
    <m/>
    <d v="2025-10-14T00:00:00"/>
    <n v="232.35294117647061"/>
    <m/>
    <m/>
  </r>
  <r>
    <s v="1000001607"/>
    <x v="21"/>
    <s v="1200003352"/>
    <x v="147"/>
    <x v="0"/>
    <x v="34"/>
    <n v="8"/>
    <d v="2026-07-26T00:00:00"/>
    <n v="2152.3200000000002"/>
    <s v="PEN"/>
    <x v="0"/>
    <m/>
    <m/>
    <m/>
    <d v="2026-07-26T00:00:00"/>
    <n v="633.03529411764714"/>
    <m/>
    <m/>
  </r>
  <r>
    <s v="1000001607"/>
    <x v="21"/>
    <s v="1200003365"/>
    <x v="148"/>
    <x v="0"/>
    <x v="35"/>
    <n v="7"/>
    <d v="2026-07-27T00:00:00"/>
    <n v="1699.2"/>
    <s v="PEN"/>
    <x v="0"/>
    <m/>
    <m/>
    <m/>
    <d v="2026-07-27T00:00:00"/>
    <n v="499.76470588235298"/>
    <m/>
    <m/>
  </r>
  <r>
    <s v="1000001607"/>
    <x v="21"/>
    <s v="1200003468"/>
    <x v="149"/>
    <x v="0"/>
    <x v="37"/>
    <n v="0"/>
    <d v="2026-08-03T00:00:00"/>
    <n v="46259.3"/>
    <s v="PEN"/>
    <x v="6"/>
    <m/>
    <m/>
    <m/>
    <d v="2026-08-03T00:00:00"/>
    <n v="13605.676470588236"/>
    <m/>
    <m/>
  </r>
  <r>
    <s v="1000001607"/>
    <x v="21"/>
    <s v="1200003469"/>
    <x v="150"/>
    <x v="0"/>
    <x v="37"/>
    <n v="0"/>
    <d v="2026-08-03T00:00:00"/>
    <n v="51735.68"/>
    <s v="PEN"/>
    <x v="6"/>
    <m/>
    <m/>
    <m/>
    <d v="2026-08-03T00:00:00"/>
    <n v="15216.376470588235"/>
    <m/>
    <m/>
  </r>
  <r>
    <s v="2000001382"/>
    <x v="22"/>
    <s v="1300005603"/>
    <x v="151"/>
    <x v="3"/>
    <x v="23"/>
    <n v="0"/>
    <d v="2026-07-31T00:00:00"/>
    <n v="-15970"/>
    <s v="USD"/>
    <x v="1"/>
    <d v="2026-09-06T00:00:00"/>
    <m/>
    <m/>
    <d v="2026-07-31T00:00:00"/>
    <n v="-15970"/>
    <n v="26"/>
    <s v="0-45"/>
  </r>
  <r>
    <s v="2000001382"/>
    <x v="22"/>
    <s v="1300007032"/>
    <x v="152"/>
    <x v="3"/>
    <x v="31"/>
    <n v="0"/>
    <d v="2026-07-31T00:00:00"/>
    <n v="-16150"/>
    <s v="USD"/>
    <x v="1"/>
    <d v="2026-09-14T00:00:00"/>
    <m/>
    <m/>
    <d v="2026-07-31T00:00:00"/>
    <n v="-16150"/>
    <n v="18"/>
    <s v="0-45"/>
  </r>
  <r>
    <s v="2000001382"/>
    <x v="22"/>
    <s v="1200003453"/>
    <x v="153"/>
    <x v="2"/>
    <x v="13"/>
    <n v="-113"/>
    <d v="2026-11-24T00:00:00"/>
    <n v="80610"/>
    <s v="USD"/>
    <x v="1"/>
    <d v="2026-09-25T00:00:00"/>
    <m/>
    <m/>
    <d v="2026-09-25T00:00:00"/>
    <n v="80610"/>
    <n v="7"/>
    <s v="0-45"/>
  </r>
  <r>
    <s v="2000001382"/>
    <x v="22"/>
    <s v="1200003471"/>
    <x v="154"/>
    <x v="2"/>
    <x v="14"/>
    <n v="-55"/>
    <d v="2026-09-27T00:00:00"/>
    <n v="81000"/>
    <s v="USD"/>
    <x v="1"/>
    <d v="2026-09-27T00:00:00"/>
    <m/>
    <m/>
    <d v="2026-09-27T00:00:00"/>
    <n v="81000"/>
    <n v="5"/>
    <s v="0-45"/>
  </r>
  <r>
    <s v="1000015392"/>
    <x v="23"/>
    <s v="1200002881"/>
    <x v="155"/>
    <x v="0"/>
    <x v="11"/>
    <n v="27"/>
    <d v="2026-07-07T00:00:00"/>
    <n v="590"/>
    <s v="PEN"/>
    <x v="0"/>
    <m/>
    <m/>
    <m/>
    <d v="2026-07-07T00:00:00"/>
    <n v="173.52941176470588"/>
    <m/>
    <m/>
  </r>
  <r>
    <s v="1000001965"/>
    <x v="24"/>
    <s v="1200003073"/>
    <x v="156"/>
    <x v="0"/>
    <x v="23"/>
    <n v="19"/>
    <d v="2026-07-15T00:00:00"/>
    <n v="590"/>
    <s v="PEN"/>
    <x v="0"/>
    <m/>
    <m/>
    <m/>
    <d v="2026-07-15T00:00:00"/>
    <n v="173.52941176470588"/>
    <m/>
    <m/>
  </r>
  <r>
    <s v="1000001965"/>
    <x v="24"/>
    <s v="1200003103"/>
    <x v="157"/>
    <x v="0"/>
    <x v="25"/>
    <n v="17"/>
    <d v="2026-07-17T00:00:00"/>
    <n v="590"/>
    <s v="PEN"/>
    <x v="0"/>
    <m/>
    <m/>
    <m/>
    <d v="2026-07-17T00:00:00"/>
    <n v="173.52941176470588"/>
    <m/>
    <m/>
  </r>
  <r>
    <s v="1000001965"/>
    <x v="24"/>
    <s v="1200003167"/>
    <x v="158"/>
    <x v="0"/>
    <x v="28"/>
    <n v="14"/>
    <d v="2026-07-20T00:00:00"/>
    <n v="590"/>
    <s v="PEN"/>
    <x v="0"/>
    <m/>
    <m/>
    <m/>
    <d v="2026-07-20T00:00:00"/>
    <n v="173.52941176470588"/>
    <m/>
    <m/>
  </r>
  <r>
    <s v="1000001965"/>
    <x v="24"/>
    <s v="1200003261"/>
    <x v="159"/>
    <x v="0"/>
    <x v="31"/>
    <n v="11"/>
    <d v="2026-07-23T00:00:00"/>
    <n v="590"/>
    <s v="PEN"/>
    <x v="0"/>
    <m/>
    <m/>
    <m/>
    <d v="2026-07-23T00:00:00"/>
    <n v="173.52941176470588"/>
    <m/>
    <m/>
  </r>
  <r>
    <s v="1000001965"/>
    <x v="24"/>
    <s v="1200003339"/>
    <x v="160"/>
    <x v="0"/>
    <x v="33"/>
    <n v="9"/>
    <d v="2026-07-25T00:00:00"/>
    <n v="590"/>
    <s v="PEN"/>
    <x v="0"/>
    <m/>
    <m/>
    <m/>
    <d v="2026-07-25T00:00:00"/>
    <n v="173.52941176470588"/>
    <m/>
    <m/>
  </r>
  <r>
    <s v="2000000974"/>
    <x v="25"/>
    <s v="1300007031"/>
    <x v="161"/>
    <x v="3"/>
    <x v="28"/>
    <n v="0"/>
    <d v="2026-07-31T00:00:00"/>
    <n v="-24925"/>
    <s v="USD"/>
    <x v="1"/>
    <d v="2026-09-11T00:00:00"/>
    <m/>
    <m/>
    <d v="2026-07-31T00:00:00"/>
    <n v="-24925"/>
    <n v="21"/>
    <s v="0-45"/>
  </r>
  <r>
    <s v="2000000974"/>
    <x v="25"/>
    <s v="1200003473"/>
    <x v="162"/>
    <x v="2"/>
    <x v="14"/>
    <n v="-55"/>
    <d v="2026-09-27T00:00:00"/>
    <n v="96292.5"/>
    <s v="USD"/>
    <x v="1"/>
    <d v="2026-09-27T00:00:00"/>
    <m/>
    <m/>
    <d v="2026-09-27T00:00:00"/>
    <n v="96292.5"/>
    <n v="5"/>
    <s v="0-45"/>
  </r>
  <r>
    <s v="2000001440"/>
    <x v="26"/>
    <s v="1300007153"/>
    <x v="163"/>
    <x v="1"/>
    <x v="38"/>
    <n v="43"/>
    <d v="2026-06-21T00:00:00"/>
    <n v="47690"/>
    <s v="USD"/>
    <x v="1"/>
    <d v="2026-08-20T00:00:00"/>
    <n v="-17"/>
    <d v="2026-08-20T00:00:00"/>
    <d v="2026-08-20T00:00:00"/>
    <n v="47690"/>
    <n v="43"/>
    <s v="0-45"/>
  </r>
  <r>
    <s v="2000001440"/>
    <x v="26"/>
    <s v="1300007151"/>
    <x v="164"/>
    <x v="3"/>
    <x v="16"/>
    <n v="0"/>
    <d v="2026-07-31T00:00:00"/>
    <n v="-9650"/>
    <s v="USD"/>
    <x v="1"/>
    <d v="2026-09-19T00:00:00"/>
    <m/>
    <m/>
    <d v="2026-07-31T00:00:00"/>
    <n v="-9650"/>
    <n v="13"/>
    <s v="0-45"/>
  </r>
  <r>
    <s v="1000013801"/>
    <x v="27"/>
    <s v="1300007121"/>
    <x v="165"/>
    <x v="1"/>
    <x v="33"/>
    <n v="16"/>
    <d v="2026-07-18T00:00:00"/>
    <n v="203.67"/>
    <s v="PEN"/>
    <x v="0"/>
    <m/>
    <m/>
    <m/>
    <d v="2026-07-18T00:00:00"/>
    <n v="59.902941176470584"/>
    <m/>
    <m/>
  </r>
  <r>
    <s v="1000013686"/>
    <x v="28"/>
    <s v="1200003431"/>
    <x v="166"/>
    <x v="0"/>
    <x v="18"/>
    <n v="3"/>
    <d v="2026-07-31T00:00:00"/>
    <n v="368.16"/>
    <s v="PEN"/>
    <x v="0"/>
    <m/>
    <m/>
    <m/>
    <d v="2026-07-31T00:00:00"/>
    <n v="108.28235294117648"/>
    <m/>
    <m/>
  </r>
  <r>
    <s v="1000013686"/>
    <x v="28"/>
    <s v="1200003450"/>
    <x v="167"/>
    <x v="0"/>
    <x v="13"/>
    <n v="0"/>
    <d v="2026-08-03T00:00:00"/>
    <n v="368.16"/>
    <s v="PEN"/>
    <x v="0"/>
    <m/>
    <m/>
    <m/>
    <d v="2026-08-03T00:00:00"/>
    <n v="108.28235294117648"/>
    <m/>
    <m/>
  </r>
  <r>
    <s v="1000013686"/>
    <x v="28"/>
    <s v="1200003477"/>
    <x v="168"/>
    <x v="0"/>
    <x v="56"/>
    <n v="-5"/>
    <d v="2026-08-08T00:00:00"/>
    <n v="368.16"/>
    <s v="PEN"/>
    <x v="0"/>
    <m/>
    <m/>
    <m/>
    <d v="2026-08-08T00:00:00"/>
    <n v="108.28235294117648"/>
    <m/>
    <m/>
  </r>
  <r>
    <s v="2000000786"/>
    <x v="29"/>
    <s v="1200003458"/>
    <x v="169"/>
    <x v="2"/>
    <x v="21"/>
    <n v="-54"/>
    <d v="2026-09-26T00:00:00"/>
    <n v="58500"/>
    <s v="USD"/>
    <x v="1"/>
    <d v="2026-09-26T00:00:00"/>
    <m/>
    <m/>
    <d v="2026-09-26T00:00:00"/>
    <n v="58500"/>
    <n v="6"/>
    <s v="0-45"/>
  </r>
  <r>
    <s v="2000000786"/>
    <x v="29"/>
    <s v="1200003465"/>
    <x v="170"/>
    <x v="2"/>
    <x v="21"/>
    <n v="-54"/>
    <d v="2026-09-26T00:00:00"/>
    <n v="41500"/>
    <s v="USD"/>
    <x v="1"/>
    <d v="2026-09-26T00:00:00"/>
    <m/>
    <m/>
    <d v="2026-09-26T00:00:00"/>
    <n v="41500"/>
    <n v="6"/>
    <s v="0-45"/>
  </r>
  <r>
    <s v="2000000786"/>
    <x v="29"/>
    <s v="1200003467"/>
    <x v="171"/>
    <x v="2"/>
    <x v="21"/>
    <n v="-54"/>
    <d v="2026-09-26T00:00:00"/>
    <n v="45000"/>
    <s v="USD"/>
    <x v="1"/>
    <d v="2026-09-26T00:00:00"/>
    <m/>
    <m/>
    <d v="2026-09-26T00:00:00"/>
    <n v="45000"/>
    <n v="6"/>
    <s v="0-45"/>
  </r>
  <r>
    <s v="2000001444"/>
    <x v="30"/>
    <s v="1300007042"/>
    <x v="172"/>
    <x v="1"/>
    <x v="39"/>
    <n v="45"/>
    <d v="2026-06-19T00:00:00"/>
    <n v="57857"/>
    <s v="USD"/>
    <x v="1"/>
    <d v="2026-08-18T00:00:00"/>
    <n v="-15"/>
    <d v="2026-08-18T00:00:00"/>
    <d v="2026-08-18T00:00:00"/>
    <n v="57857"/>
    <n v="45"/>
    <s v="0-45"/>
  </r>
  <r>
    <s v="2000001348"/>
    <x v="31"/>
    <s v="1200003447"/>
    <x v="173"/>
    <x v="2"/>
    <x v="18"/>
    <n v="-50"/>
    <d v="2026-09-22T00:00:00"/>
    <n v="432000"/>
    <s v="USD"/>
    <x v="1"/>
    <d v="2026-09-22T00:00:00"/>
    <m/>
    <m/>
    <d v="2026-09-22T00:00:00"/>
    <n v="432000"/>
    <n v="10"/>
    <s v="0-45"/>
  </r>
  <r>
    <s v="2000001348"/>
    <x v="31"/>
    <s v="1200003456"/>
    <x v="174"/>
    <x v="2"/>
    <x v="21"/>
    <n v="-114"/>
    <d v="2026-11-25T00:00:00"/>
    <n v="405000"/>
    <s v="USD"/>
    <x v="1"/>
    <d v="2026-09-26T00:00:00"/>
    <m/>
    <m/>
    <d v="2026-09-26T00:00:00"/>
    <n v="405000"/>
    <n v="6"/>
    <s v="0-45"/>
  </r>
  <r>
    <s v="2000001348"/>
    <x v="31"/>
    <s v="1200003457"/>
    <x v="175"/>
    <x v="2"/>
    <x v="21"/>
    <n v="-114"/>
    <d v="2026-11-25T00:00:00"/>
    <n v="550800"/>
    <s v="USD"/>
    <x v="1"/>
    <d v="2026-09-26T00:00:00"/>
    <m/>
    <m/>
    <d v="2026-09-26T00:00:00"/>
    <n v="550800"/>
    <n v="6"/>
    <s v="0-45"/>
  </r>
  <r>
    <s v="2000001348"/>
    <x v="31"/>
    <s v="1200003472"/>
    <x v="176"/>
    <x v="2"/>
    <x v="14"/>
    <n v="-55"/>
    <d v="2026-09-27T00:00:00"/>
    <n v="245700"/>
    <s v="USD"/>
    <x v="1"/>
    <d v="2026-09-27T00:00:00"/>
    <m/>
    <m/>
    <d v="2026-09-27T00:00:00"/>
    <n v="245700"/>
    <n v="5"/>
    <s v="0-45"/>
  </r>
  <r>
    <s v="2000001348"/>
    <x v="31"/>
    <s v="1200003478"/>
    <x v="177"/>
    <x v="2"/>
    <x v="37"/>
    <n v="-57"/>
    <d v="2026-09-29T00:00:00"/>
    <n v="547740"/>
    <s v="USD"/>
    <x v="1"/>
    <d v="2026-09-29T00:00:00"/>
    <m/>
    <m/>
    <d v="2026-09-29T00:00:00"/>
    <n v="547740"/>
    <n v="3"/>
    <s v="0-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s v="1000013966"/>
    <x v="0"/>
    <s v="1200005220"/>
    <x v="0"/>
    <x v="0"/>
    <d v="2025-11-19T00:00:00"/>
    <n v="250"/>
    <d v="2025-11-26T00:00:00"/>
    <n v="42.48"/>
    <s v="PEN"/>
    <x v="0"/>
    <m/>
    <m/>
    <m/>
    <d v="2025-11-26T00:00:00"/>
    <n v="12.494117647058824"/>
    <m/>
    <x v="0"/>
  </r>
  <r>
    <s v="1000013966"/>
    <x v="0"/>
    <s v="1200005228"/>
    <x v="1"/>
    <x v="0"/>
    <d v="2025-11-19T00:00:00"/>
    <n v="250"/>
    <d v="2025-11-26T00:00:00"/>
    <n v="14.16"/>
    <s v="PEN"/>
    <x v="0"/>
    <m/>
    <m/>
    <m/>
    <d v="2025-11-26T00:00:00"/>
    <n v="4.1647058823529415"/>
    <m/>
    <x v="0"/>
  </r>
  <r>
    <s v="1000013966"/>
    <x v="0"/>
    <s v="1200005242"/>
    <x v="2"/>
    <x v="0"/>
    <d v="2025-11-19T00:00:00"/>
    <n v="250"/>
    <d v="2025-11-26T00:00:00"/>
    <n v="14.16"/>
    <s v="PEN"/>
    <x v="0"/>
    <m/>
    <m/>
    <m/>
    <d v="2025-11-26T00:00:00"/>
    <n v="4.1647058823529415"/>
    <m/>
    <x v="0"/>
  </r>
  <r>
    <s v="1000013966"/>
    <x v="0"/>
    <s v="1200005264"/>
    <x v="3"/>
    <x v="0"/>
    <d v="2025-11-20T00:00:00"/>
    <n v="249"/>
    <d v="2025-11-27T00:00:00"/>
    <n v="28.32"/>
    <s v="PEN"/>
    <x v="0"/>
    <m/>
    <m/>
    <m/>
    <d v="2025-11-27T00:00:00"/>
    <n v="8.329411764705883"/>
    <m/>
    <x v="0"/>
  </r>
  <r>
    <s v="1000013966"/>
    <x v="0"/>
    <s v="1200005271"/>
    <x v="4"/>
    <x v="0"/>
    <d v="2025-11-20T00:00:00"/>
    <n v="249"/>
    <d v="2025-11-27T00:00:00"/>
    <n v="14.16"/>
    <s v="PEN"/>
    <x v="0"/>
    <m/>
    <m/>
    <m/>
    <d v="2025-11-27T00:00:00"/>
    <n v="4.1647058823529415"/>
    <m/>
    <x v="0"/>
  </r>
  <r>
    <s v="1000013966"/>
    <x v="0"/>
    <s v="1200005296"/>
    <x v="5"/>
    <x v="0"/>
    <d v="2025-11-21T00:00:00"/>
    <n v="248"/>
    <d v="2025-11-28T00:00:00"/>
    <n v="28.32"/>
    <s v="PEN"/>
    <x v="0"/>
    <m/>
    <m/>
    <m/>
    <d v="2025-11-28T00:00:00"/>
    <n v="8.329411764705883"/>
    <m/>
    <x v="0"/>
  </r>
  <r>
    <s v="1000013966"/>
    <x v="0"/>
    <s v="1200005302"/>
    <x v="6"/>
    <x v="0"/>
    <d v="2025-11-21T00:00:00"/>
    <n v="248"/>
    <d v="2025-11-28T00:00:00"/>
    <n v="42.48"/>
    <s v="PEN"/>
    <x v="0"/>
    <m/>
    <m/>
    <m/>
    <d v="2025-11-28T00:00:00"/>
    <n v="12.494117647058824"/>
    <m/>
    <x v="0"/>
  </r>
  <r>
    <s v="1000013966"/>
    <x v="0"/>
    <s v="1200005304"/>
    <x v="7"/>
    <x v="0"/>
    <d v="2025-11-21T00:00:00"/>
    <n v="248"/>
    <d v="2025-11-28T00:00:00"/>
    <n v="42.48"/>
    <s v="PEN"/>
    <x v="0"/>
    <m/>
    <m/>
    <m/>
    <d v="2025-11-28T00:00:00"/>
    <n v="12.494117647058824"/>
    <m/>
    <x v="0"/>
  </r>
  <r>
    <s v="1000013966"/>
    <x v="0"/>
    <s v="1200005313"/>
    <x v="8"/>
    <x v="0"/>
    <d v="2025-11-21T00:00:00"/>
    <n v="248"/>
    <d v="2025-11-28T00:00:00"/>
    <n v="14.16"/>
    <s v="PEN"/>
    <x v="0"/>
    <m/>
    <m/>
    <m/>
    <d v="2025-11-28T00:00:00"/>
    <n v="4.1647058823529415"/>
    <m/>
    <x v="0"/>
  </r>
  <r>
    <s v="1000013966"/>
    <x v="0"/>
    <s v="1200005346"/>
    <x v="9"/>
    <x v="0"/>
    <d v="2025-11-22T00:00:00"/>
    <n v="247"/>
    <d v="2025-11-29T00:00:00"/>
    <n v="28.32"/>
    <s v="PEN"/>
    <x v="0"/>
    <m/>
    <m/>
    <m/>
    <d v="2025-11-29T00:00:00"/>
    <n v="8.329411764705883"/>
    <m/>
    <x v="0"/>
  </r>
  <r>
    <s v="1000013966"/>
    <x v="0"/>
    <s v="1200005422"/>
    <x v="10"/>
    <x v="0"/>
    <d v="2025-11-27T00:00:00"/>
    <n v="242"/>
    <d v="2025-12-04T00:00:00"/>
    <n v="14.16"/>
    <s v="PEN"/>
    <x v="0"/>
    <m/>
    <m/>
    <m/>
    <d v="2025-12-04T00:00:00"/>
    <n v="4.1647058823529415"/>
    <m/>
    <x v="0"/>
  </r>
  <r>
    <s v="1000013966"/>
    <x v="0"/>
    <s v="1200000045"/>
    <x v="11"/>
    <x v="0"/>
    <d v="2026-01-06T00:00:00"/>
    <n v="202"/>
    <d v="2026-01-13T00:00:00"/>
    <n v="14.16"/>
    <s v="PEN"/>
    <x v="0"/>
    <m/>
    <m/>
    <m/>
    <d v="2026-01-13T00:00:00"/>
    <n v="4.1647058823529415"/>
    <m/>
    <x v="0"/>
  </r>
  <r>
    <s v="1000013966"/>
    <x v="0"/>
    <s v="1200000090"/>
    <x v="12"/>
    <x v="0"/>
    <d v="2026-01-08T00:00:00"/>
    <n v="200"/>
    <d v="2026-01-15T00:00:00"/>
    <n v="14.16"/>
    <s v="PEN"/>
    <x v="0"/>
    <m/>
    <m/>
    <m/>
    <d v="2026-01-15T00:00:00"/>
    <n v="4.1647058823529415"/>
    <m/>
    <x v="0"/>
  </r>
  <r>
    <s v="1000013966"/>
    <x v="0"/>
    <s v="1200000113"/>
    <x v="13"/>
    <x v="0"/>
    <d v="2026-01-10T00:00:00"/>
    <n v="198"/>
    <d v="2026-01-17T00:00:00"/>
    <n v="14.16"/>
    <s v="PEN"/>
    <x v="0"/>
    <m/>
    <m/>
    <m/>
    <d v="2026-01-17T00:00:00"/>
    <n v="4.1647058823529415"/>
    <m/>
    <x v="0"/>
  </r>
  <r>
    <s v="1000013966"/>
    <x v="0"/>
    <s v="1200000132"/>
    <x v="14"/>
    <x v="0"/>
    <d v="2026-01-16T00:00:00"/>
    <n v="192"/>
    <d v="2026-01-23T00:00:00"/>
    <n v="14.16"/>
    <s v="PEN"/>
    <x v="0"/>
    <m/>
    <m/>
    <m/>
    <d v="2026-01-23T00:00:00"/>
    <n v="4.1647058823529415"/>
    <m/>
    <x v="0"/>
  </r>
  <r>
    <s v="1000013966"/>
    <x v="0"/>
    <s v="1200000133"/>
    <x v="15"/>
    <x v="0"/>
    <d v="2026-01-16T00:00:00"/>
    <n v="192"/>
    <d v="2026-01-23T00:00:00"/>
    <n v="14.16"/>
    <s v="PEN"/>
    <x v="0"/>
    <m/>
    <m/>
    <m/>
    <d v="2026-01-23T00:00:00"/>
    <n v="4.1647058823529415"/>
    <m/>
    <x v="0"/>
  </r>
  <r>
    <s v="1000013966"/>
    <x v="0"/>
    <s v="1200000141"/>
    <x v="16"/>
    <x v="0"/>
    <d v="2026-01-19T00:00:00"/>
    <n v="189"/>
    <d v="2026-01-26T00:00:00"/>
    <n v="14.16"/>
    <s v="PEN"/>
    <x v="0"/>
    <m/>
    <m/>
    <m/>
    <d v="2026-01-26T00:00:00"/>
    <n v="4.1647058823529415"/>
    <m/>
    <x v="0"/>
  </r>
  <r>
    <s v="2000001028"/>
    <x v="1"/>
    <s v="1300004711"/>
    <x v="17"/>
    <x v="1"/>
    <d v="2026-05-29T00:00:00"/>
    <n v="66"/>
    <d v="2026-05-29T00:00:00"/>
    <n v="336990"/>
    <s v="USD"/>
    <x v="1"/>
    <d v="2026-07-28T00:00:00"/>
    <n v="-7"/>
    <d v="2026-08-10T00:00:00"/>
    <d v="2026-08-10T00:00:00"/>
    <n v="336990"/>
    <n v="66"/>
    <x v="1"/>
  </r>
  <r>
    <s v="2000001028"/>
    <x v="1"/>
    <s v="1300005598"/>
    <x v="18"/>
    <x v="1"/>
    <d v="2026-06-30T00:00:00"/>
    <n v="34"/>
    <d v="2026-06-30T00:00:00"/>
    <n v="218730"/>
    <s v="USD"/>
    <x v="1"/>
    <d v="2026-08-29T00:00:00"/>
    <n v="-26"/>
    <d v="2026-08-29T00:00:00"/>
    <d v="2026-08-29T00:00:00"/>
    <n v="218730"/>
    <n v="34"/>
    <x v="2"/>
  </r>
  <r>
    <s v="2000001028"/>
    <x v="1"/>
    <s v="1200003451"/>
    <x v="19"/>
    <x v="2"/>
    <d v="2026-07-25T00:00:00"/>
    <n v="-51"/>
    <d v="2026-09-23T00:00:00"/>
    <n v="83280"/>
    <s v="USD"/>
    <x v="1"/>
    <d v="2026-09-23T00:00:00"/>
    <m/>
    <m/>
    <d v="2026-09-23T00:00:00"/>
    <n v="83280"/>
    <n v="9"/>
    <x v="2"/>
  </r>
  <r>
    <s v="2000001028"/>
    <x v="1"/>
    <s v="1200003454"/>
    <x v="20"/>
    <x v="2"/>
    <d v="2026-07-27T00:00:00"/>
    <n v="-113"/>
    <d v="2026-11-24T00:00:00"/>
    <n v="83280"/>
    <s v="USD"/>
    <x v="1"/>
    <d v="2026-09-25T00:00:00"/>
    <m/>
    <m/>
    <d v="2026-09-25T00:00:00"/>
    <n v="83280"/>
    <n v="7"/>
    <x v="2"/>
  </r>
  <r>
    <s v="2000001028"/>
    <x v="1"/>
    <s v="1200003470"/>
    <x v="21"/>
    <x v="2"/>
    <d v="2026-07-29T00:00:00"/>
    <n v="-55"/>
    <d v="2026-09-27T00:00:00"/>
    <n v="41448"/>
    <s v="USD"/>
    <x v="1"/>
    <d v="2026-09-27T00:00:00"/>
    <m/>
    <m/>
    <d v="2026-09-27T00:00:00"/>
    <n v="41448"/>
    <n v="5"/>
    <x v="2"/>
  </r>
  <r>
    <s v="1000013678"/>
    <x v="2"/>
    <s v="1200003045"/>
    <x v="22"/>
    <x v="0"/>
    <d v="2026-07-07T00:00:00"/>
    <n v="20"/>
    <d v="2026-07-14T00:00:00"/>
    <n v="283.2"/>
    <s v="PEN"/>
    <x v="0"/>
    <m/>
    <m/>
    <m/>
    <d v="2026-07-14T00:00:00"/>
    <n v="83.294117647058826"/>
    <m/>
    <x v="0"/>
  </r>
  <r>
    <s v="1000002057"/>
    <x v="3"/>
    <s v="1200003380"/>
    <x v="23"/>
    <x v="0"/>
    <d v="2026-07-21T00:00:00"/>
    <n v="6"/>
    <d v="2026-07-28T00:00:00"/>
    <n v="431.17"/>
    <s v="PEN"/>
    <x v="0"/>
    <m/>
    <m/>
    <m/>
    <d v="2026-07-28T00:00:00"/>
    <n v="126.81470588235295"/>
    <m/>
    <x v="0"/>
  </r>
  <r>
    <s v="1000002057"/>
    <x v="3"/>
    <s v="1200003381"/>
    <x v="24"/>
    <x v="0"/>
    <d v="2026-07-21T00:00:00"/>
    <n v="6"/>
    <d v="2026-07-28T00:00:00"/>
    <n v="141.6"/>
    <s v="PEN"/>
    <x v="0"/>
    <m/>
    <m/>
    <m/>
    <d v="2026-07-28T00:00:00"/>
    <n v="41.647058823529413"/>
    <m/>
    <x v="0"/>
  </r>
  <r>
    <s v="1000002057"/>
    <x v="3"/>
    <s v="1200003404"/>
    <x v="25"/>
    <x v="0"/>
    <d v="2026-07-22T00:00:00"/>
    <n v="5"/>
    <d v="2026-07-29T00:00:00"/>
    <n v="1048.69"/>
    <s v="PEN"/>
    <x v="0"/>
    <m/>
    <m/>
    <m/>
    <d v="2026-07-29T00:00:00"/>
    <n v="308.43823529411765"/>
    <m/>
    <x v="0"/>
  </r>
  <r>
    <s v="1000002057"/>
    <x v="3"/>
    <s v="1200003405"/>
    <x v="26"/>
    <x v="0"/>
    <d v="2026-07-22T00:00:00"/>
    <n v="5"/>
    <d v="2026-07-29T00:00:00"/>
    <n v="371.7"/>
    <s v="PEN"/>
    <x v="0"/>
    <m/>
    <m/>
    <m/>
    <d v="2026-07-29T00:00:00"/>
    <n v="109.32352941176471"/>
    <m/>
    <x v="0"/>
  </r>
  <r>
    <s v="1000002057"/>
    <x v="3"/>
    <s v="1200003406"/>
    <x v="27"/>
    <x v="0"/>
    <d v="2026-07-24T00:00:00"/>
    <n v="3"/>
    <d v="2026-07-31T00:00:00"/>
    <n v="163.88"/>
    <s v="PEN"/>
    <x v="0"/>
    <m/>
    <m/>
    <m/>
    <d v="2026-07-31T00:00:00"/>
    <n v="48.2"/>
    <m/>
    <x v="0"/>
  </r>
  <r>
    <s v="1000002057"/>
    <x v="3"/>
    <s v="1200003407"/>
    <x v="28"/>
    <x v="0"/>
    <d v="2026-07-24T00:00:00"/>
    <n v="3"/>
    <d v="2026-07-31T00:00:00"/>
    <n v="106.2"/>
    <s v="PEN"/>
    <x v="0"/>
    <m/>
    <m/>
    <m/>
    <d v="2026-07-31T00:00:00"/>
    <n v="31.235294117647062"/>
    <m/>
    <x v="0"/>
  </r>
  <r>
    <s v="1000002057"/>
    <x v="3"/>
    <s v="1200003422"/>
    <x v="29"/>
    <x v="0"/>
    <d v="2026-07-24T00:00:00"/>
    <n v="3"/>
    <d v="2026-07-31T00:00:00"/>
    <n v="535.25"/>
    <s v="PEN"/>
    <x v="0"/>
    <m/>
    <m/>
    <m/>
    <d v="2026-07-31T00:00:00"/>
    <n v="157.4264705882353"/>
    <m/>
    <x v="0"/>
  </r>
  <r>
    <s v="1000002057"/>
    <x v="3"/>
    <s v="1200003423"/>
    <x v="30"/>
    <x v="0"/>
    <d v="2026-07-24T00:00:00"/>
    <n v="3"/>
    <d v="2026-07-31T00:00:00"/>
    <n v="230.1"/>
    <s v="PEN"/>
    <x v="0"/>
    <m/>
    <m/>
    <m/>
    <d v="2026-07-31T00:00:00"/>
    <n v="67.67647058823529"/>
    <m/>
    <x v="0"/>
  </r>
  <r>
    <s v="2000001368"/>
    <x v="4"/>
    <s v="1300004854"/>
    <x v="31"/>
    <x v="1"/>
    <d v="2026-04-27T00:00:00"/>
    <n v="98"/>
    <d v="2026-04-27T00:00:00"/>
    <n v="15163"/>
    <s v="USD"/>
    <x v="1"/>
    <d v="2026-06-26T00:00:00"/>
    <n v="3"/>
    <d v="2026-07-31T00:00:00"/>
    <d v="2026-10-15T00:00:00"/>
    <n v="15163"/>
    <n v="98"/>
    <x v="3"/>
  </r>
  <r>
    <s v="2000001361"/>
    <x v="5"/>
    <s v="1300004210"/>
    <x v="32"/>
    <x v="1"/>
    <d v="2026-04-12T00:00:00"/>
    <n v="113"/>
    <d v="2026-04-12T00:00:00"/>
    <n v="16355.92"/>
    <s v="USD"/>
    <x v="1"/>
    <d v="2026-06-11T00:00:00"/>
    <n v="3"/>
    <d v="2026-07-31T00:00:00"/>
    <d v="2026-10-15T00:00:00"/>
    <n v="16355.92"/>
    <n v="113"/>
    <x v="3"/>
  </r>
  <r>
    <s v="2000001439"/>
    <x v="6"/>
    <s v="1300007163"/>
    <x v="33"/>
    <x v="1"/>
    <d v="2026-07-28T00:00:00"/>
    <n v="6"/>
    <d v="2026-07-28T00:00:00"/>
    <n v="54894"/>
    <s v="USD"/>
    <x v="1"/>
    <d v="2026-09-26T00:00:00"/>
    <m/>
    <m/>
    <d v="2026-09-26T00:00:00"/>
    <n v="54894"/>
    <n v="6"/>
    <x v="2"/>
  </r>
  <r>
    <s v="6002186"/>
    <x v="7"/>
    <s v="1300007116"/>
    <x v="34"/>
    <x v="1"/>
    <d v="2026-07-06T00:00:00"/>
    <n v="28"/>
    <d v="2026-07-06T00:00:00"/>
    <n v="1402.88"/>
    <s v="USD"/>
    <x v="2"/>
    <m/>
    <m/>
    <m/>
    <d v="2026-07-06T00:00:00"/>
    <n v="1402.88"/>
    <m/>
    <x v="0"/>
  </r>
  <r>
    <s v="1000006830"/>
    <x v="8"/>
    <s v="1200003020"/>
    <x v="35"/>
    <x v="0"/>
    <d v="2026-07-06T00:00:00"/>
    <n v="21"/>
    <d v="2026-07-13T00:00:00"/>
    <n v="773.61"/>
    <s v="PEN"/>
    <x v="0"/>
    <m/>
    <m/>
    <m/>
    <d v="2026-07-13T00:00:00"/>
    <n v="227.53235294117647"/>
    <m/>
    <x v="0"/>
  </r>
  <r>
    <s v="1000006830"/>
    <x v="8"/>
    <s v="1200003021"/>
    <x v="36"/>
    <x v="0"/>
    <d v="2026-07-06T00:00:00"/>
    <n v="21"/>
    <d v="2026-07-13T00:00:00"/>
    <n v="70.8"/>
    <s v="PEN"/>
    <x v="0"/>
    <m/>
    <m/>
    <m/>
    <d v="2026-07-13T00:00:00"/>
    <n v="20.823529411764707"/>
    <m/>
    <x v="0"/>
  </r>
  <r>
    <s v="1000006830"/>
    <x v="8"/>
    <s v="1200003026"/>
    <x v="37"/>
    <x v="0"/>
    <d v="2026-07-06T00:00:00"/>
    <n v="21"/>
    <d v="2026-07-13T00:00:00"/>
    <n v="428.1"/>
    <s v="PEN"/>
    <x v="0"/>
    <m/>
    <m/>
    <m/>
    <d v="2026-07-13T00:00:00"/>
    <n v="125.91176470588236"/>
    <m/>
    <x v="0"/>
  </r>
  <r>
    <s v="1000006830"/>
    <x v="8"/>
    <s v="1200003027"/>
    <x v="38"/>
    <x v="0"/>
    <d v="2026-07-06T00:00:00"/>
    <n v="21"/>
    <d v="2026-07-13T00:00:00"/>
    <n v="35.4"/>
    <s v="PEN"/>
    <x v="0"/>
    <m/>
    <m/>
    <m/>
    <d v="2026-07-13T00:00:00"/>
    <n v="10.411764705882353"/>
    <m/>
    <x v="0"/>
  </r>
  <r>
    <s v="1000006830"/>
    <x v="8"/>
    <s v="1200003040"/>
    <x v="39"/>
    <x v="0"/>
    <d v="2026-07-06T00:00:00"/>
    <n v="21"/>
    <d v="2026-07-13T00:00:00"/>
    <n v="202.49"/>
    <s v="PEN"/>
    <x v="0"/>
    <m/>
    <m/>
    <m/>
    <d v="2026-07-13T00:00:00"/>
    <n v="59.555882352941182"/>
    <m/>
    <x v="0"/>
  </r>
  <r>
    <s v="1000006830"/>
    <x v="8"/>
    <s v="1200003041"/>
    <x v="40"/>
    <x v="0"/>
    <d v="2026-07-06T00:00:00"/>
    <n v="21"/>
    <d v="2026-07-13T00:00:00"/>
    <n v="70.8"/>
    <s v="PEN"/>
    <x v="0"/>
    <m/>
    <m/>
    <m/>
    <d v="2026-07-13T00:00:00"/>
    <n v="20.823529411764707"/>
    <m/>
    <x v="0"/>
  </r>
  <r>
    <s v="1000006830"/>
    <x v="8"/>
    <s v="1200003042"/>
    <x v="41"/>
    <x v="0"/>
    <d v="2026-07-06T00:00:00"/>
    <n v="21"/>
    <d v="2026-07-13T00:00:00"/>
    <n v="571.59"/>
    <s v="PEN"/>
    <x v="0"/>
    <m/>
    <m/>
    <m/>
    <d v="2026-07-13T00:00:00"/>
    <n v="168.11470588235295"/>
    <m/>
    <x v="0"/>
  </r>
  <r>
    <s v="1000006830"/>
    <x v="8"/>
    <s v="1200003043"/>
    <x v="42"/>
    <x v="0"/>
    <d v="2026-07-06T00:00:00"/>
    <n v="21"/>
    <d v="2026-07-13T00:00:00"/>
    <n v="159.30000000000001"/>
    <s v="PEN"/>
    <x v="0"/>
    <m/>
    <m/>
    <m/>
    <d v="2026-07-13T00:00:00"/>
    <n v="46.852941176470594"/>
    <m/>
    <x v="0"/>
  </r>
  <r>
    <s v="1000006830"/>
    <x v="8"/>
    <s v="1200003046"/>
    <x v="43"/>
    <x v="0"/>
    <d v="2026-07-07T00:00:00"/>
    <n v="20"/>
    <d v="2026-07-14T00:00:00"/>
    <n v="427.16"/>
    <s v="PEN"/>
    <x v="0"/>
    <m/>
    <m/>
    <m/>
    <d v="2026-07-14T00:00:00"/>
    <n v="125.63529411764706"/>
    <m/>
    <x v="0"/>
  </r>
  <r>
    <s v="1000006830"/>
    <x v="8"/>
    <s v="1200003047"/>
    <x v="44"/>
    <x v="0"/>
    <d v="2026-07-07T00:00:00"/>
    <n v="20"/>
    <d v="2026-07-14T00:00:00"/>
    <n v="70.8"/>
    <s v="PEN"/>
    <x v="0"/>
    <m/>
    <m/>
    <m/>
    <d v="2026-07-14T00:00:00"/>
    <n v="20.823529411764707"/>
    <m/>
    <x v="0"/>
  </r>
  <r>
    <s v="1000006830"/>
    <x v="8"/>
    <s v="1200003065"/>
    <x v="45"/>
    <x v="0"/>
    <d v="2026-07-08T00:00:00"/>
    <n v="19"/>
    <d v="2026-07-15T00:00:00"/>
    <n v="359.43"/>
    <s v="PEN"/>
    <x v="0"/>
    <m/>
    <m/>
    <m/>
    <d v="2026-07-15T00:00:00"/>
    <n v="105.71470588235294"/>
    <m/>
    <x v="0"/>
  </r>
  <r>
    <s v="1000006830"/>
    <x v="8"/>
    <s v="1200003066"/>
    <x v="46"/>
    <x v="0"/>
    <d v="2026-07-08T00:00:00"/>
    <n v="19"/>
    <d v="2026-07-15T00:00:00"/>
    <n v="47.2"/>
    <s v="PEN"/>
    <x v="0"/>
    <m/>
    <m/>
    <m/>
    <d v="2026-07-15T00:00:00"/>
    <n v="13.882352941176471"/>
    <m/>
    <x v="0"/>
  </r>
  <r>
    <s v="1000006830"/>
    <x v="8"/>
    <s v="1200003086"/>
    <x v="47"/>
    <x v="0"/>
    <d v="2026-07-09T00:00:00"/>
    <n v="18"/>
    <d v="2026-07-16T00:00:00"/>
    <n v="344.8"/>
    <s v="PEN"/>
    <x v="0"/>
    <m/>
    <m/>
    <m/>
    <d v="2026-07-16T00:00:00"/>
    <n v="101.41176470588236"/>
    <m/>
    <x v="0"/>
  </r>
  <r>
    <s v="1000006830"/>
    <x v="8"/>
    <s v="1200003087"/>
    <x v="48"/>
    <x v="0"/>
    <d v="2026-07-09T00:00:00"/>
    <n v="18"/>
    <d v="2026-07-16T00:00:00"/>
    <n v="47.2"/>
    <s v="PEN"/>
    <x v="0"/>
    <m/>
    <m/>
    <m/>
    <d v="2026-07-16T00:00:00"/>
    <n v="13.882352941176471"/>
    <m/>
    <x v="0"/>
  </r>
  <r>
    <s v="1000006830"/>
    <x v="8"/>
    <s v="1200003101"/>
    <x v="49"/>
    <x v="0"/>
    <d v="2026-07-10T00:00:00"/>
    <n v="17"/>
    <d v="2026-07-17T00:00:00"/>
    <n v="521.70000000000005"/>
    <s v="PEN"/>
    <x v="0"/>
    <m/>
    <m/>
    <m/>
    <d v="2026-07-17T00:00:00"/>
    <n v="153.44117647058826"/>
    <m/>
    <x v="0"/>
  </r>
  <r>
    <s v="1000006830"/>
    <x v="8"/>
    <s v="1200003102"/>
    <x v="50"/>
    <x v="0"/>
    <d v="2026-07-10T00:00:00"/>
    <n v="17"/>
    <d v="2026-07-17T00:00:00"/>
    <n v="153.4"/>
    <s v="PEN"/>
    <x v="0"/>
    <m/>
    <m/>
    <m/>
    <d v="2026-07-17T00:00:00"/>
    <n v="45.117647058823529"/>
    <m/>
    <x v="0"/>
  </r>
  <r>
    <s v="1000006830"/>
    <x v="8"/>
    <s v="1200003105"/>
    <x v="51"/>
    <x v="0"/>
    <d v="2026-07-10T00:00:00"/>
    <n v="17"/>
    <d v="2026-07-17T00:00:00"/>
    <n v="162.88999999999999"/>
    <s v="PEN"/>
    <x v="0"/>
    <m/>
    <m/>
    <m/>
    <d v="2026-07-17T00:00:00"/>
    <n v="47.908823529411762"/>
    <m/>
    <x v="0"/>
  </r>
  <r>
    <s v="1000006830"/>
    <x v="8"/>
    <s v="1200003106"/>
    <x v="52"/>
    <x v="0"/>
    <d v="2026-07-10T00:00:00"/>
    <n v="17"/>
    <d v="2026-07-17T00:00:00"/>
    <n v="123.9"/>
    <s v="PEN"/>
    <x v="0"/>
    <m/>
    <m/>
    <m/>
    <d v="2026-07-17T00:00:00"/>
    <n v="36.441176470588239"/>
    <m/>
    <x v="0"/>
  </r>
  <r>
    <s v="1000006830"/>
    <x v="8"/>
    <s v="1200003126"/>
    <x v="53"/>
    <x v="0"/>
    <d v="2026-07-11T00:00:00"/>
    <n v="16"/>
    <d v="2026-07-18T00:00:00"/>
    <n v="375.71"/>
    <s v="PEN"/>
    <x v="0"/>
    <m/>
    <m/>
    <m/>
    <d v="2026-07-18T00:00:00"/>
    <n v="110.50294117647059"/>
    <m/>
    <x v="0"/>
  </r>
  <r>
    <s v="1000006830"/>
    <x v="8"/>
    <s v="1200003127"/>
    <x v="54"/>
    <x v="0"/>
    <d v="2026-07-11T00:00:00"/>
    <n v="16"/>
    <d v="2026-07-18T00:00:00"/>
    <n v="35.4"/>
    <s v="PEN"/>
    <x v="0"/>
    <m/>
    <m/>
    <m/>
    <d v="2026-07-18T00:00:00"/>
    <n v="10.411764705882353"/>
    <m/>
    <x v="0"/>
  </r>
  <r>
    <s v="1000006830"/>
    <x v="8"/>
    <s v="1200003135"/>
    <x v="55"/>
    <x v="0"/>
    <d v="2026-07-11T00:00:00"/>
    <n v="16"/>
    <d v="2026-07-18T00:00:00"/>
    <n v="391.52"/>
    <s v="PEN"/>
    <x v="0"/>
    <m/>
    <m/>
    <m/>
    <d v="2026-07-18T00:00:00"/>
    <n v="115.15294117647059"/>
    <m/>
    <x v="0"/>
  </r>
  <r>
    <s v="1000006830"/>
    <x v="8"/>
    <s v="1200003136"/>
    <x v="56"/>
    <x v="0"/>
    <d v="2026-07-11T00:00:00"/>
    <n v="16"/>
    <d v="2026-07-18T00:00:00"/>
    <n v="135.69999999999999"/>
    <s v="PEN"/>
    <x v="0"/>
    <m/>
    <m/>
    <m/>
    <d v="2026-07-18T00:00:00"/>
    <n v="39.911764705882348"/>
    <m/>
    <x v="0"/>
  </r>
  <r>
    <s v="1000006830"/>
    <x v="8"/>
    <s v="1200003141"/>
    <x v="57"/>
    <x v="0"/>
    <d v="2026-07-12T00:00:00"/>
    <n v="15"/>
    <d v="2026-07-19T00:00:00"/>
    <n v="1809.93"/>
    <s v="PEN"/>
    <x v="0"/>
    <m/>
    <m/>
    <m/>
    <d v="2026-07-19T00:00:00"/>
    <n v="532.33235294117651"/>
    <m/>
    <x v="0"/>
  </r>
  <r>
    <s v="1000006830"/>
    <x v="8"/>
    <s v="1200003142"/>
    <x v="58"/>
    <x v="0"/>
    <d v="2026-07-12T00:00:00"/>
    <n v="15"/>
    <d v="2026-07-19T00:00:00"/>
    <n v="454.3"/>
    <s v="PEN"/>
    <x v="0"/>
    <m/>
    <m/>
    <m/>
    <d v="2026-07-19T00:00:00"/>
    <n v="133.61764705882354"/>
    <m/>
    <x v="0"/>
  </r>
  <r>
    <s v="1000006830"/>
    <x v="8"/>
    <s v="1200003165"/>
    <x v="59"/>
    <x v="0"/>
    <d v="2026-07-13T00:00:00"/>
    <n v="14"/>
    <d v="2026-07-20T00:00:00"/>
    <n v="675.2"/>
    <s v="PEN"/>
    <x v="0"/>
    <m/>
    <m/>
    <m/>
    <d v="2026-07-20T00:00:00"/>
    <n v="198.58823529411765"/>
    <m/>
    <x v="0"/>
  </r>
  <r>
    <s v="1000006830"/>
    <x v="8"/>
    <s v="1200003166"/>
    <x v="60"/>
    <x v="0"/>
    <d v="2026-07-13T00:00:00"/>
    <n v="14"/>
    <d v="2026-07-20T00:00:00"/>
    <n v="82.6"/>
    <s v="PEN"/>
    <x v="0"/>
    <m/>
    <m/>
    <m/>
    <d v="2026-07-20T00:00:00"/>
    <n v="24.294117647058822"/>
    <m/>
    <x v="0"/>
  </r>
  <r>
    <s v="1000006830"/>
    <x v="8"/>
    <s v="1200003181"/>
    <x v="61"/>
    <x v="0"/>
    <d v="2026-07-14T00:00:00"/>
    <n v="13"/>
    <d v="2026-07-21T00:00:00"/>
    <n v="744.39"/>
    <s v="PEN"/>
    <x v="0"/>
    <m/>
    <m/>
    <m/>
    <d v="2026-07-21T00:00:00"/>
    <n v="218.93823529411765"/>
    <m/>
    <x v="0"/>
  </r>
  <r>
    <s v="1000006830"/>
    <x v="8"/>
    <s v="1200003182"/>
    <x v="62"/>
    <x v="0"/>
    <d v="2026-07-14T00:00:00"/>
    <n v="13"/>
    <d v="2026-07-21T00:00:00"/>
    <n v="218.3"/>
    <s v="PEN"/>
    <x v="0"/>
    <m/>
    <m/>
    <m/>
    <d v="2026-07-21T00:00:00"/>
    <n v="64.205882352941188"/>
    <m/>
    <x v="0"/>
  </r>
  <r>
    <s v="1000006830"/>
    <x v="8"/>
    <s v="1200003204"/>
    <x v="63"/>
    <x v="0"/>
    <d v="2026-07-14T00:00:00"/>
    <n v="13"/>
    <d v="2026-07-21T00:00:00"/>
    <n v="703.04"/>
    <s v="PEN"/>
    <x v="0"/>
    <m/>
    <m/>
    <m/>
    <d v="2026-07-21T00:00:00"/>
    <n v="206.7764705882353"/>
    <m/>
    <x v="0"/>
  </r>
  <r>
    <s v="1000006830"/>
    <x v="8"/>
    <s v="1200003205"/>
    <x v="64"/>
    <x v="0"/>
    <d v="2026-07-14T00:00:00"/>
    <n v="13"/>
    <d v="2026-07-21T00:00:00"/>
    <n v="70.8"/>
    <s v="PEN"/>
    <x v="0"/>
    <m/>
    <m/>
    <m/>
    <d v="2026-07-21T00:00:00"/>
    <n v="20.823529411764707"/>
    <m/>
    <x v="0"/>
  </r>
  <r>
    <s v="1000006830"/>
    <x v="8"/>
    <s v="1200003206"/>
    <x v="65"/>
    <x v="0"/>
    <d v="2026-07-14T00:00:00"/>
    <n v="13"/>
    <d v="2026-07-21T00:00:00"/>
    <n v="157.41"/>
    <s v="PEN"/>
    <x v="0"/>
    <m/>
    <m/>
    <m/>
    <d v="2026-07-21T00:00:00"/>
    <n v="46.297058823529412"/>
    <m/>
    <x v="0"/>
  </r>
  <r>
    <s v="1000006830"/>
    <x v="8"/>
    <s v="1200003207"/>
    <x v="66"/>
    <x v="0"/>
    <d v="2026-07-14T00:00:00"/>
    <n v="13"/>
    <d v="2026-07-21T00:00:00"/>
    <n v="35.4"/>
    <s v="PEN"/>
    <x v="0"/>
    <m/>
    <m/>
    <m/>
    <d v="2026-07-21T00:00:00"/>
    <n v="10.411764705882353"/>
    <m/>
    <x v="0"/>
  </r>
  <r>
    <s v="1000006830"/>
    <x v="8"/>
    <s v="1200003228"/>
    <x v="67"/>
    <x v="0"/>
    <d v="2026-07-15T00:00:00"/>
    <n v="12"/>
    <d v="2026-07-22T00:00:00"/>
    <n v="438.02"/>
    <s v="PEN"/>
    <x v="0"/>
    <m/>
    <m/>
    <m/>
    <d v="2026-07-22T00:00:00"/>
    <n v="128.82941176470587"/>
    <m/>
    <x v="0"/>
  </r>
  <r>
    <s v="1000006830"/>
    <x v="8"/>
    <s v="1200003229"/>
    <x v="68"/>
    <x v="0"/>
    <d v="2026-07-15T00:00:00"/>
    <n v="12"/>
    <d v="2026-07-22T00:00:00"/>
    <n v="35.4"/>
    <s v="PEN"/>
    <x v="0"/>
    <m/>
    <m/>
    <m/>
    <d v="2026-07-22T00:00:00"/>
    <n v="10.411764705882353"/>
    <m/>
    <x v="0"/>
  </r>
  <r>
    <s v="1000006830"/>
    <x v="8"/>
    <s v="1200003236"/>
    <x v="69"/>
    <x v="0"/>
    <d v="2026-07-15T00:00:00"/>
    <n v="12"/>
    <d v="2026-07-22T00:00:00"/>
    <n v="399.55"/>
    <s v="PEN"/>
    <x v="0"/>
    <m/>
    <m/>
    <m/>
    <d v="2026-07-22T00:00:00"/>
    <n v="117.51470588235294"/>
    <m/>
    <x v="0"/>
  </r>
  <r>
    <s v="1000006830"/>
    <x v="8"/>
    <s v="1200003237"/>
    <x v="70"/>
    <x v="0"/>
    <d v="2026-07-15T00:00:00"/>
    <n v="12"/>
    <d v="2026-07-22T00:00:00"/>
    <n v="47.2"/>
    <s v="PEN"/>
    <x v="0"/>
    <m/>
    <m/>
    <m/>
    <d v="2026-07-22T00:00:00"/>
    <n v="13.882352941176471"/>
    <m/>
    <x v="0"/>
  </r>
  <r>
    <s v="1000006830"/>
    <x v="8"/>
    <s v="1200003254"/>
    <x v="71"/>
    <x v="0"/>
    <d v="2026-07-16T00:00:00"/>
    <n v="11"/>
    <d v="2026-07-23T00:00:00"/>
    <n v="460.25"/>
    <s v="PEN"/>
    <x v="0"/>
    <m/>
    <m/>
    <m/>
    <d v="2026-07-23T00:00:00"/>
    <n v="135.36764705882354"/>
    <m/>
    <x v="0"/>
  </r>
  <r>
    <s v="1000006830"/>
    <x v="8"/>
    <s v="1200003255"/>
    <x v="72"/>
    <x v="0"/>
    <d v="2026-07-16T00:00:00"/>
    <n v="11"/>
    <d v="2026-07-23T00:00:00"/>
    <n v="153.4"/>
    <s v="PEN"/>
    <x v="0"/>
    <m/>
    <m/>
    <m/>
    <d v="2026-07-23T00:00:00"/>
    <n v="45.117647058823529"/>
    <m/>
    <x v="0"/>
  </r>
  <r>
    <s v="1000006830"/>
    <x v="8"/>
    <s v="1200003257"/>
    <x v="73"/>
    <x v="0"/>
    <d v="2026-07-16T00:00:00"/>
    <n v="11"/>
    <d v="2026-07-23T00:00:00"/>
    <n v="402.85"/>
    <s v="PEN"/>
    <x v="0"/>
    <m/>
    <m/>
    <m/>
    <d v="2026-07-23T00:00:00"/>
    <n v="118.48529411764707"/>
    <m/>
    <x v="0"/>
  </r>
  <r>
    <s v="1000006830"/>
    <x v="8"/>
    <s v="1200003258"/>
    <x v="74"/>
    <x v="0"/>
    <d v="2026-07-16T00:00:00"/>
    <n v="11"/>
    <d v="2026-07-23T00:00:00"/>
    <n v="35.4"/>
    <s v="PEN"/>
    <x v="0"/>
    <m/>
    <m/>
    <m/>
    <d v="2026-07-23T00:00:00"/>
    <n v="10.411764705882353"/>
    <m/>
    <x v="0"/>
  </r>
  <r>
    <s v="1000006830"/>
    <x v="8"/>
    <s v="1200003276"/>
    <x v="75"/>
    <x v="0"/>
    <d v="2026-07-16T00:00:00"/>
    <n v="11"/>
    <d v="2026-07-23T00:00:00"/>
    <n v="690.21"/>
    <s v="PEN"/>
    <x v="0"/>
    <m/>
    <m/>
    <m/>
    <d v="2026-07-23T00:00:00"/>
    <n v="203.00294117647061"/>
    <m/>
    <x v="0"/>
  </r>
  <r>
    <s v="1000006830"/>
    <x v="8"/>
    <s v="1200003277"/>
    <x v="76"/>
    <x v="0"/>
    <d v="2026-07-16T00:00:00"/>
    <n v="11"/>
    <d v="2026-07-23T00:00:00"/>
    <n v="212.4"/>
    <s v="PEN"/>
    <x v="0"/>
    <m/>
    <m/>
    <m/>
    <d v="2026-07-23T00:00:00"/>
    <n v="62.470588235294123"/>
    <m/>
    <x v="0"/>
  </r>
  <r>
    <s v="1000006830"/>
    <x v="8"/>
    <s v="1200003284"/>
    <x v="77"/>
    <x v="0"/>
    <d v="2026-07-17T00:00:00"/>
    <n v="10"/>
    <d v="2026-07-24T00:00:00"/>
    <n v="629.41"/>
    <s v="PEN"/>
    <x v="0"/>
    <m/>
    <m/>
    <m/>
    <d v="2026-07-24T00:00:00"/>
    <n v="185.12058823529412"/>
    <m/>
    <x v="0"/>
  </r>
  <r>
    <s v="1000006830"/>
    <x v="8"/>
    <s v="1200003285"/>
    <x v="78"/>
    <x v="0"/>
    <d v="2026-07-17T00:00:00"/>
    <n v="10"/>
    <d v="2026-07-24T00:00:00"/>
    <n v="230.1"/>
    <s v="PEN"/>
    <x v="0"/>
    <m/>
    <m/>
    <m/>
    <d v="2026-07-24T00:00:00"/>
    <n v="67.67647058823529"/>
    <m/>
    <x v="0"/>
  </r>
  <r>
    <s v="1000006830"/>
    <x v="8"/>
    <s v="1200003286"/>
    <x v="79"/>
    <x v="0"/>
    <d v="2026-07-17T00:00:00"/>
    <n v="10"/>
    <d v="2026-07-24T00:00:00"/>
    <n v="367.07"/>
    <s v="PEN"/>
    <x v="0"/>
    <m/>
    <m/>
    <m/>
    <d v="2026-07-24T00:00:00"/>
    <n v="107.96176470588236"/>
    <m/>
    <x v="0"/>
  </r>
  <r>
    <s v="1000006830"/>
    <x v="8"/>
    <s v="1200003287"/>
    <x v="80"/>
    <x v="0"/>
    <d v="2026-07-17T00:00:00"/>
    <n v="10"/>
    <d v="2026-07-24T00:00:00"/>
    <n v="177"/>
    <s v="PEN"/>
    <x v="0"/>
    <m/>
    <m/>
    <m/>
    <d v="2026-07-24T00:00:00"/>
    <n v="52.058823529411768"/>
    <m/>
    <x v="0"/>
  </r>
  <r>
    <s v="1000006830"/>
    <x v="8"/>
    <s v="1200003289"/>
    <x v="81"/>
    <x v="0"/>
    <d v="2026-07-17T00:00:00"/>
    <n v="10"/>
    <d v="2026-07-24T00:00:00"/>
    <n v="331.11"/>
    <s v="PEN"/>
    <x v="0"/>
    <m/>
    <m/>
    <m/>
    <d v="2026-07-24T00:00:00"/>
    <n v="97.385294117647064"/>
    <m/>
    <x v="0"/>
  </r>
  <r>
    <s v="1000006830"/>
    <x v="8"/>
    <s v="1200003290"/>
    <x v="82"/>
    <x v="0"/>
    <d v="2026-07-17T00:00:00"/>
    <n v="10"/>
    <d v="2026-07-24T00:00:00"/>
    <n v="35.4"/>
    <s v="PEN"/>
    <x v="0"/>
    <m/>
    <m/>
    <m/>
    <d v="2026-07-24T00:00:00"/>
    <n v="10.411764705882353"/>
    <m/>
    <x v="0"/>
  </r>
  <r>
    <s v="1000006830"/>
    <x v="8"/>
    <s v="1200003348"/>
    <x v="83"/>
    <x v="0"/>
    <d v="2026-07-18T00:00:00"/>
    <n v="9"/>
    <d v="2026-07-25T00:00:00"/>
    <n v="683.27"/>
    <s v="PEN"/>
    <x v="0"/>
    <m/>
    <m/>
    <m/>
    <d v="2026-07-25T00:00:00"/>
    <n v="200.96176470588236"/>
    <m/>
    <x v="0"/>
  </r>
  <r>
    <s v="1000006830"/>
    <x v="8"/>
    <s v="1200003349"/>
    <x v="84"/>
    <x v="0"/>
    <d v="2026-07-18T00:00:00"/>
    <n v="9"/>
    <d v="2026-07-25T00:00:00"/>
    <n v="194.7"/>
    <s v="PEN"/>
    <x v="0"/>
    <m/>
    <m/>
    <m/>
    <d v="2026-07-25T00:00:00"/>
    <n v="57.264705882352942"/>
    <m/>
    <x v="0"/>
  </r>
  <r>
    <s v="1000006830"/>
    <x v="8"/>
    <s v="1200003350"/>
    <x v="85"/>
    <x v="0"/>
    <d v="2026-07-19T00:00:00"/>
    <n v="8"/>
    <d v="2026-07-26T00:00:00"/>
    <n v="692.85"/>
    <s v="PEN"/>
    <x v="0"/>
    <m/>
    <m/>
    <m/>
    <d v="2026-07-26T00:00:00"/>
    <n v="203.77941176470588"/>
    <m/>
    <x v="0"/>
  </r>
  <r>
    <s v="1000006830"/>
    <x v="8"/>
    <s v="1200003351"/>
    <x v="86"/>
    <x v="0"/>
    <d v="2026-07-19T00:00:00"/>
    <n v="8"/>
    <d v="2026-07-26T00:00:00"/>
    <n v="194.7"/>
    <s v="PEN"/>
    <x v="0"/>
    <m/>
    <m/>
    <m/>
    <d v="2026-07-26T00:00:00"/>
    <n v="57.264705882352942"/>
    <m/>
    <x v="0"/>
  </r>
  <r>
    <s v="1000006830"/>
    <x v="8"/>
    <s v="1200003368"/>
    <x v="87"/>
    <x v="0"/>
    <d v="2026-07-20T00:00:00"/>
    <n v="7"/>
    <d v="2026-07-27T00:00:00"/>
    <n v="367.07"/>
    <s v="PEN"/>
    <x v="0"/>
    <m/>
    <m/>
    <m/>
    <d v="2026-07-27T00:00:00"/>
    <n v="107.96176470588236"/>
    <m/>
    <x v="0"/>
  </r>
  <r>
    <s v="1000006830"/>
    <x v="8"/>
    <s v="1200003369"/>
    <x v="88"/>
    <x v="0"/>
    <d v="2026-07-20T00:00:00"/>
    <n v="7"/>
    <d v="2026-07-27T00:00:00"/>
    <n v="135.69999999999999"/>
    <s v="PEN"/>
    <x v="0"/>
    <m/>
    <m/>
    <m/>
    <d v="2026-07-27T00:00:00"/>
    <n v="39.911764705882348"/>
    <m/>
    <x v="0"/>
  </r>
  <r>
    <s v="1000006830"/>
    <x v="8"/>
    <s v="1200003412"/>
    <x v="89"/>
    <x v="0"/>
    <d v="2026-07-24T00:00:00"/>
    <n v="3"/>
    <d v="2026-07-31T00:00:00"/>
    <n v="452.98"/>
    <s v="PEN"/>
    <x v="0"/>
    <m/>
    <m/>
    <m/>
    <d v="2026-07-31T00:00:00"/>
    <n v="133.2294117647059"/>
    <m/>
    <x v="0"/>
  </r>
  <r>
    <s v="1000006830"/>
    <x v="8"/>
    <s v="1200003413"/>
    <x v="90"/>
    <x v="0"/>
    <d v="2026-07-24T00:00:00"/>
    <n v="3"/>
    <d v="2026-07-31T00:00:00"/>
    <n v="153.4"/>
    <s v="PEN"/>
    <x v="0"/>
    <m/>
    <m/>
    <m/>
    <d v="2026-07-31T00:00:00"/>
    <n v="45.117647058823529"/>
    <m/>
    <x v="0"/>
  </r>
  <r>
    <s v="1000006830"/>
    <x v="8"/>
    <s v="1200003426"/>
    <x v="91"/>
    <x v="0"/>
    <d v="2026-07-24T00:00:00"/>
    <n v="3"/>
    <d v="2026-07-31T00:00:00"/>
    <n v="617.85"/>
    <s v="PEN"/>
    <x v="0"/>
    <m/>
    <m/>
    <m/>
    <d v="2026-07-31T00:00:00"/>
    <n v="181.72058823529412"/>
    <m/>
    <x v="0"/>
  </r>
  <r>
    <s v="1000006830"/>
    <x v="8"/>
    <s v="1200003427"/>
    <x v="92"/>
    <x v="0"/>
    <d v="2026-07-24T00:00:00"/>
    <n v="3"/>
    <d v="2026-07-31T00:00:00"/>
    <n v="177"/>
    <s v="PEN"/>
    <x v="0"/>
    <m/>
    <m/>
    <m/>
    <d v="2026-07-31T00:00:00"/>
    <n v="52.058823529411768"/>
    <m/>
    <x v="0"/>
  </r>
  <r>
    <s v="1000006830"/>
    <x v="8"/>
    <s v="1200003436"/>
    <x v="93"/>
    <x v="0"/>
    <d v="2026-07-24T00:00:00"/>
    <n v="3"/>
    <d v="2026-07-31T00:00:00"/>
    <n v="673.02"/>
    <s v="PEN"/>
    <x v="0"/>
    <m/>
    <m/>
    <m/>
    <d v="2026-07-31T00:00:00"/>
    <n v="197.9470588235294"/>
    <m/>
    <x v="0"/>
  </r>
  <r>
    <s v="1000006830"/>
    <x v="8"/>
    <s v="1200003437"/>
    <x v="94"/>
    <x v="0"/>
    <d v="2026-07-24T00:00:00"/>
    <n v="3"/>
    <d v="2026-07-31T00:00:00"/>
    <n v="177"/>
    <s v="PEN"/>
    <x v="0"/>
    <m/>
    <m/>
    <m/>
    <d v="2026-07-31T00:00:00"/>
    <n v="52.058823529411768"/>
    <m/>
    <x v="0"/>
  </r>
  <r>
    <s v="1000006830"/>
    <x v="8"/>
    <s v="1200003448"/>
    <x v="95"/>
    <x v="0"/>
    <d v="2026-07-27T00:00:00"/>
    <n v="0"/>
    <d v="2026-08-03T00:00:00"/>
    <n v="47.2"/>
    <s v="PEN"/>
    <x v="0"/>
    <m/>
    <m/>
    <m/>
    <d v="2026-08-03T00:00:00"/>
    <n v="13.882352941176471"/>
    <m/>
    <x v="0"/>
  </r>
  <r>
    <s v="1000006830"/>
    <x v="8"/>
    <s v="1200003449"/>
    <x v="96"/>
    <x v="0"/>
    <d v="2026-07-27T00:00:00"/>
    <n v="0"/>
    <d v="2026-08-03T00:00:00"/>
    <n v="266.44"/>
    <s v="PEN"/>
    <x v="0"/>
    <m/>
    <m/>
    <m/>
    <d v="2026-08-03T00:00:00"/>
    <n v="78.364705882352936"/>
    <m/>
    <x v="0"/>
  </r>
  <r>
    <s v="2000001459"/>
    <x v="9"/>
    <s v="1300004230"/>
    <x v="97"/>
    <x v="3"/>
    <d v="2026-05-26T00:00:00"/>
    <n v="0"/>
    <d v="2026-05-31T00:00:00"/>
    <n v="-34580"/>
    <s v="USD"/>
    <x v="1"/>
    <d v="2026-07-25T00:00:00"/>
    <m/>
    <m/>
    <d v="2026-05-31T00:00:00"/>
    <n v="-34580"/>
    <n v="69"/>
    <x v="1"/>
  </r>
  <r>
    <s v="2000001459"/>
    <x v="9"/>
    <s v="1200003452"/>
    <x v="98"/>
    <x v="2"/>
    <d v="2026-07-27T00:00:00"/>
    <n v="-113"/>
    <d v="2026-11-24T00:00:00"/>
    <n v="89775"/>
    <s v="USD"/>
    <x v="1"/>
    <d v="2026-09-25T00:00:00"/>
    <m/>
    <m/>
    <d v="2026-09-25T00:00:00"/>
    <n v="89775"/>
    <n v="7"/>
    <x v="2"/>
  </r>
  <r>
    <s v="2000001459"/>
    <x v="9"/>
    <s v="1200003474"/>
    <x v="99"/>
    <x v="2"/>
    <d v="2026-07-31T00:00:00"/>
    <n v="-57"/>
    <d v="2026-09-29T00:00:00"/>
    <n v="29925"/>
    <s v="USD"/>
    <x v="1"/>
    <d v="2026-09-29T00:00:00"/>
    <m/>
    <m/>
    <d v="2026-09-29T00:00:00"/>
    <n v="29925"/>
    <n v="3"/>
    <x v="2"/>
  </r>
  <r>
    <s v="2000001172"/>
    <x v="10"/>
    <s v="1300007034"/>
    <x v="100"/>
    <x v="1"/>
    <d v="2026-06-21T00:00:00"/>
    <n v="43"/>
    <d v="2026-06-21T00:00:00"/>
    <n v="14830.54"/>
    <s v="USD"/>
    <x v="1"/>
    <d v="2026-08-20T00:00:00"/>
    <n v="-17"/>
    <d v="2026-08-20T00:00:00"/>
    <d v="2026-08-20T00:00:00"/>
    <n v="14830.54"/>
    <n v="43"/>
    <x v="2"/>
  </r>
  <r>
    <s v="2000001172"/>
    <x v="10"/>
    <s v="1200003362"/>
    <x v="101"/>
    <x v="2"/>
    <d v="2026-07-17T00:00:00"/>
    <n v="-28"/>
    <d v="2026-08-31T00:00:00"/>
    <n v="3145.44"/>
    <s v="USD"/>
    <x v="1"/>
    <d v="2026-09-15T00:00:00"/>
    <m/>
    <m/>
    <d v="2026-09-15T00:00:00"/>
    <n v="3145.44"/>
    <n v="17"/>
    <x v="2"/>
  </r>
  <r>
    <s v="2000000231"/>
    <x v="11"/>
    <s v="1300007149"/>
    <x v="102"/>
    <x v="1"/>
    <d v="2026-06-19T00:00:00"/>
    <n v="45"/>
    <d v="2026-06-19T00:00:00"/>
    <n v="157950"/>
    <s v="USD"/>
    <x v="1"/>
    <d v="2026-08-18T00:00:00"/>
    <n v="0"/>
    <d v="2026-08-03T00:00:00"/>
    <d v="2026-08-12T00:00:00"/>
    <n v="157950"/>
    <n v="45"/>
    <x v="2"/>
  </r>
  <r>
    <s v="2000000231"/>
    <x v="11"/>
    <s v="1200002880"/>
    <x v="103"/>
    <x v="2"/>
    <d v="2026-06-30T00:00:00"/>
    <n v="-11"/>
    <d v="2026-08-14T00:00:00"/>
    <n v="211167"/>
    <s v="USD"/>
    <x v="1"/>
    <d v="2026-08-29T00:00:00"/>
    <n v="-26"/>
    <d v="2026-08-29T00:00:00"/>
    <d v="2026-08-14T00:00:00"/>
    <n v="211167"/>
    <n v="34"/>
    <x v="2"/>
  </r>
  <r>
    <s v="2000000231"/>
    <x v="11"/>
    <s v="1200002882"/>
    <x v="104"/>
    <x v="2"/>
    <d v="2026-06-30T00:00:00"/>
    <n v="-26"/>
    <d v="2026-08-29T00:00:00"/>
    <n v="105300"/>
    <s v="USD"/>
    <x v="1"/>
    <d v="2026-08-29T00:00:00"/>
    <n v="-26"/>
    <d v="2026-08-29T00:00:00"/>
    <d v="2026-08-29T00:00:00"/>
    <n v="105300"/>
    <n v="34"/>
    <x v="2"/>
  </r>
  <r>
    <s v="2000000233"/>
    <x v="12"/>
    <s v="1200002904"/>
    <x v="105"/>
    <x v="1"/>
    <d v="2026-06-30T00:00:00"/>
    <n v="-26"/>
    <d v="2026-08-29T00:00:00"/>
    <n v="395975.8"/>
    <s v="USD"/>
    <x v="1"/>
    <d v="2026-08-29T00:00:00"/>
    <n v="-26"/>
    <d v="2026-08-29T00:00:00"/>
    <d v="2026-08-29T00:00:00"/>
    <n v="395975.8"/>
    <n v="34"/>
    <x v="2"/>
  </r>
  <r>
    <s v="2000000233"/>
    <x v="12"/>
    <s v="1200002938"/>
    <x v="106"/>
    <x v="2"/>
    <d v="2026-06-30T00:00:00"/>
    <n v="-26"/>
    <d v="2026-08-29T00:00:00"/>
    <n v="213300"/>
    <s v="USD"/>
    <x v="1"/>
    <d v="2026-08-29T00:00:00"/>
    <n v="-26"/>
    <d v="2026-08-29T00:00:00"/>
    <d v="2026-08-29T00:00:00"/>
    <n v="213300"/>
    <n v="34"/>
    <x v="2"/>
  </r>
  <r>
    <s v="6002007"/>
    <x v="13"/>
    <s v="1200005141"/>
    <x v="107"/>
    <x v="0"/>
    <d v="2025-11-03T00:00:00"/>
    <n v="266"/>
    <d v="2025-11-10T00:00:00"/>
    <n v="1403.26"/>
    <s v="PEN"/>
    <x v="3"/>
    <m/>
    <m/>
    <m/>
    <d v="2025-11-10T00:00:00"/>
    <n v="412.72352941176473"/>
    <m/>
    <x v="0"/>
  </r>
  <r>
    <s v="6002007"/>
    <x v="13"/>
    <s v="1200005142"/>
    <x v="108"/>
    <x v="0"/>
    <d v="2025-11-03T00:00:00"/>
    <n v="266"/>
    <d v="2025-11-10T00:00:00"/>
    <n v="141.6"/>
    <s v="PEN"/>
    <x v="3"/>
    <m/>
    <m/>
    <m/>
    <d v="2025-11-10T00:00:00"/>
    <n v="41.647058823529413"/>
    <m/>
    <x v="0"/>
  </r>
  <r>
    <s v="6002007"/>
    <x v="13"/>
    <s v="1200005158"/>
    <x v="109"/>
    <x v="0"/>
    <d v="2025-11-06T00:00:00"/>
    <n v="263"/>
    <d v="2025-11-13T00:00:00"/>
    <n v="1193.22"/>
    <s v="PEN"/>
    <x v="3"/>
    <m/>
    <m/>
    <m/>
    <d v="2025-11-13T00:00:00"/>
    <n v="350.9470588235294"/>
    <m/>
    <x v="0"/>
  </r>
  <r>
    <s v="6002007"/>
    <x v="13"/>
    <s v="1200005159"/>
    <x v="110"/>
    <x v="0"/>
    <d v="2025-11-06T00:00:00"/>
    <n v="263"/>
    <d v="2025-11-13T00:00:00"/>
    <n v="106.2"/>
    <s v="PEN"/>
    <x v="3"/>
    <m/>
    <m/>
    <m/>
    <d v="2025-11-13T00:00:00"/>
    <n v="31.235294117647062"/>
    <m/>
    <x v="0"/>
  </r>
  <r>
    <s v="6002007"/>
    <x v="13"/>
    <s v="1200001503"/>
    <x v="111"/>
    <x v="0"/>
    <d v="2026-05-06T00:00:00"/>
    <n v="82"/>
    <d v="2026-05-13T00:00:00"/>
    <n v="23.6"/>
    <s v="PEN"/>
    <x v="3"/>
    <m/>
    <m/>
    <m/>
    <d v="2026-05-13T00:00:00"/>
    <n v="6.9411764705882355"/>
    <m/>
    <x v="0"/>
  </r>
  <r>
    <s v="6002007"/>
    <x v="13"/>
    <s v="1200001504"/>
    <x v="112"/>
    <x v="0"/>
    <d v="2026-05-06T00:00:00"/>
    <n v="82"/>
    <d v="2026-05-13T00:00:00"/>
    <n v="261.49"/>
    <s v="PEN"/>
    <x v="3"/>
    <m/>
    <m/>
    <m/>
    <d v="2026-05-13T00:00:00"/>
    <n v="76.908823529411762"/>
    <m/>
    <x v="0"/>
  </r>
  <r>
    <s v="6002007"/>
    <x v="13"/>
    <s v="1200001509"/>
    <x v="113"/>
    <x v="0"/>
    <d v="2026-05-06T00:00:00"/>
    <n v="82"/>
    <d v="2026-05-13T00:00:00"/>
    <n v="387.51"/>
    <s v="PEN"/>
    <x v="3"/>
    <m/>
    <m/>
    <m/>
    <d v="2026-05-13T00:00:00"/>
    <n v="113.9735294117647"/>
    <m/>
    <x v="0"/>
  </r>
  <r>
    <s v="6002007"/>
    <x v="13"/>
    <s v="1200001510"/>
    <x v="114"/>
    <x v="0"/>
    <d v="2026-05-06T00:00:00"/>
    <n v="82"/>
    <d v="2026-05-13T00:00:00"/>
    <n v="35.4"/>
    <s v="PEN"/>
    <x v="3"/>
    <m/>
    <m/>
    <m/>
    <d v="2026-05-13T00:00:00"/>
    <n v="10.411764705882353"/>
    <m/>
    <x v="0"/>
  </r>
  <r>
    <s v="6002007"/>
    <x v="13"/>
    <s v="1200001609"/>
    <x v="115"/>
    <x v="0"/>
    <d v="2026-05-12T00:00:00"/>
    <n v="76"/>
    <d v="2026-05-19T00:00:00"/>
    <n v="482.86"/>
    <s v="PEN"/>
    <x v="3"/>
    <m/>
    <m/>
    <m/>
    <d v="2026-05-19T00:00:00"/>
    <n v="142.01764705882354"/>
    <m/>
    <x v="0"/>
  </r>
  <r>
    <s v="6002007"/>
    <x v="13"/>
    <s v="1200001610"/>
    <x v="116"/>
    <x v="0"/>
    <d v="2026-05-12T00:00:00"/>
    <n v="76"/>
    <d v="2026-05-19T00:00:00"/>
    <n v="47.2"/>
    <s v="PEN"/>
    <x v="3"/>
    <m/>
    <m/>
    <m/>
    <d v="2026-05-19T00:00:00"/>
    <n v="13.882352941176471"/>
    <m/>
    <x v="0"/>
  </r>
  <r>
    <s v="6002007"/>
    <x v="13"/>
    <s v="1200001789"/>
    <x v="117"/>
    <x v="0"/>
    <d v="2026-05-16T00:00:00"/>
    <n v="72"/>
    <d v="2026-05-23T00:00:00"/>
    <n v="544.45000000000005"/>
    <s v="PEN"/>
    <x v="3"/>
    <m/>
    <m/>
    <m/>
    <d v="2026-05-23T00:00:00"/>
    <n v="160.13235294117649"/>
    <m/>
    <x v="0"/>
  </r>
  <r>
    <s v="6002007"/>
    <x v="13"/>
    <s v="1200001790"/>
    <x v="118"/>
    <x v="0"/>
    <d v="2026-05-16T00:00:00"/>
    <n v="72"/>
    <d v="2026-05-23T00:00:00"/>
    <n v="47.2"/>
    <s v="PEN"/>
    <x v="3"/>
    <m/>
    <m/>
    <m/>
    <d v="2026-05-23T00:00:00"/>
    <n v="13.882352941176471"/>
    <m/>
    <x v="0"/>
  </r>
  <r>
    <s v="6002007"/>
    <x v="13"/>
    <s v="1200002045"/>
    <x v="119"/>
    <x v="0"/>
    <d v="2026-05-27T00:00:00"/>
    <n v="61"/>
    <d v="2026-06-03T00:00:00"/>
    <n v="591.65"/>
    <s v="PEN"/>
    <x v="3"/>
    <m/>
    <m/>
    <m/>
    <d v="2026-06-03T00:00:00"/>
    <n v="174.01470588235293"/>
    <m/>
    <x v="0"/>
  </r>
  <r>
    <s v="6002007"/>
    <x v="13"/>
    <s v="1200002046"/>
    <x v="120"/>
    <x v="0"/>
    <d v="2026-05-27T00:00:00"/>
    <n v="61"/>
    <d v="2026-06-03T00:00:00"/>
    <n v="70.8"/>
    <s v="PEN"/>
    <x v="3"/>
    <m/>
    <m/>
    <m/>
    <d v="2026-06-03T00:00:00"/>
    <n v="20.823529411764707"/>
    <m/>
    <x v="0"/>
  </r>
  <r>
    <s v="6002007"/>
    <x v="13"/>
    <s v="1200002186"/>
    <x v="121"/>
    <x v="0"/>
    <d v="2026-06-02T00:00:00"/>
    <n v="55"/>
    <d v="2026-06-09T00:00:00"/>
    <n v="185.97"/>
    <s v="PEN"/>
    <x v="3"/>
    <m/>
    <m/>
    <m/>
    <d v="2026-06-09T00:00:00"/>
    <n v="54.69705882352941"/>
    <m/>
    <x v="0"/>
  </r>
  <r>
    <s v="6002007"/>
    <x v="13"/>
    <s v="1200002187"/>
    <x v="122"/>
    <x v="0"/>
    <d v="2026-06-02T00:00:00"/>
    <n v="55"/>
    <d v="2026-06-09T00:00:00"/>
    <n v="23.6"/>
    <s v="PEN"/>
    <x v="3"/>
    <m/>
    <m/>
    <m/>
    <d v="2026-06-09T00:00:00"/>
    <n v="6.9411764705882355"/>
    <m/>
    <x v="0"/>
  </r>
  <r>
    <s v="6002007"/>
    <x v="13"/>
    <s v="1200002487"/>
    <x v="123"/>
    <x v="0"/>
    <d v="2026-06-13T00:00:00"/>
    <n v="44"/>
    <d v="2026-06-20T00:00:00"/>
    <n v="535.25"/>
    <s v="PEN"/>
    <x v="3"/>
    <m/>
    <m/>
    <m/>
    <d v="2026-06-20T00:00:00"/>
    <n v="157.4264705882353"/>
    <m/>
    <x v="0"/>
  </r>
  <r>
    <s v="6002007"/>
    <x v="13"/>
    <s v="1200002488"/>
    <x v="124"/>
    <x v="0"/>
    <d v="2026-06-13T00:00:00"/>
    <n v="44"/>
    <d v="2026-06-20T00:00:00"/>
    <n v="70.8"/>
    <s v="PEN"/>
    <x v="3"/>
    <m/>
    <m/>
    <m/>
    <d v="2026-06-20T00:00:00"/>
    <n v="20.823529411764707"/>
    <m/>
    <x v="0"/>
  </r>
  <r>
    <s v="6002007"/>
    <x v="13"/>
    <s v="1200002956"/>
    <x v="125"/>
    <x v="0"/>
    <d v="2026-07-03T00:00:00"/>
    <n v="24"/>
    <d v="2026-07-10T00:00:00"/>
    <n v="449.11"/>
    <s v="PEN"/>
    <x v="3"/>
    <m/>
    <m/>
    <m/>
    <d v="2026-07-10T00:00:00"/>
    <n v="132.09117647058824"/>
    <m/>
    <x v="0"/>
  </r>
  <r>
    <s v="6002007"/>
    <x v="13"/>
    <s v="1200002957"/>
    <x v="126"/>
    <x v="0"/>
    <d v="2026-07-03T00:00:00"/>
    <n v="24"/>
    <d v="2026-07-10T00:00:00"/>
    <n v="35.4"/>
    <s v="PEN"/>
    <x v="3"/>
    <m/>
    <m/>
    <m/>
    <d v="2026-07-10T00:00:00"/>
    <n v="10.411764705882353"/>
    <m/>
    <x v="0"/>
  </r>
  <r>
    <s v="6002007"/>
    <x v="13"/>
    <s v="1200003319"/>
    <x v="127"/>
    <x v="0"/>
    <d v="2026-07-17T00:00:00"/>
    <n v="10"/>
    <d v="2026-07-24T00:00:00"/>
    <n v="355.65"/>
    <s v="PEN"/>
    <x v="3"/>
    <m/>
    <m/>
    <m/>
    <d v="2026-07-24T00:00:00"/>
    <n v="104.60294117647058"/>
    <m/>
    <x v="0"/>
  </r>
  <r>
    <s v="6002007"/>
    <x v="13"/>
    <s v="1200003320"/>
    <x v="128"/>
    <x v="0"/>
    <d v="2026-07-17T00:00:00"/>
    <n v="10"/>
    <d v="2026-07-24T00:00:00"/>
    <n v="47.2"/>
    <s v="PEN"/>
    <x v="3"/>
    <m/>
    <m/>
    <m/>
    <d v="2026-07-24T00:00:00"/>
    <n v="13.882352941176471"/>
    <m/>
    <x v="0"/>
  </r>
  <r>
    <s v="6001105"/>
    <x v="14"/>
    <s v="1200001301"/>
    <x v="129"/>
    <x v="0"/>
    <d v="2026-04-28T00:00:00"/>
    <n v="97"/>
    <d v="2026-04-28T00:00:00"/>
    <n v="716.71"/>
    <s v="PEN"/>
    <x v="0"/>
    <m/>
    <m/>
    <m/>
    <d v="2026-04-28T00:00:00"/>
    <n v="210.79705882352943"/>
    <m/>
    <x v="0"/>
  </r>
  <r>
    <s v="6001105"/>
    <x v="14"/>
    <s v="1200001302"/>
    <x v="130"/>
    <x v="0"/>
    <d v="2026-04-28T00:00:00"/>
    <n v="97"/>
    <d v="2026-04-28T00:00:00"/>
    <n v="129.80000000000001"/>
    <s v="PEN"/>
    <x v="0"/>
    <m/>
    <m/>
    <m/>
    <d v="2026-04-28T00:00:00"/>
    <n v="38.176470588235297"/>
    <m/>
    <x v="0"/>
  </r>
  <r>
    <s v="6001105"/>
    <x v="14"/>
    <s v="1300004037"/>
    <x v="131"/>
    <x v="1"/>
    <d v="2026-04-28T00:00:00"/>
    <n v="97"/>
    <d v="2026-04-28T00:00:00"/>
    <n v="422.56"/>
    <s v="PEN"/>
    <x v="0"/>
    <m/>
    <m/>
    <m/>
    <d v="2026-04-28T00:00:00"/>
    <n v="124.28235294117647"/>
    <m/>
    <x v="0"/>
  </r>
  <r>
    <s v="6001105"/>
    <x v="14"/>
    <s v="1200001648"/>
    <x v="132"/>
    <x v="0"/>
    <d v="2026-05-12T00:00:00"/>
    <n v="83"/>
    <d v="2026-05-12T00:00:00"/>
    <n v="404.98"/>
    <s v="PEN"/>
    <x v="0"/>
    <m/>
    <m/>
    <m/>
    <d v="2026-05-12T00:00:00"/>
    <n v="119.11176470588236"/>
    <m/>
    <x v="0"/>
  </r>
  <r>
    <s v="6001105"/>
    <x v="14"/>
    <s v="1200001649"/>
    <x v="133"/>
    <x v="0"/>
    <d v="2026-05-12T00:00:00"/>
    <n v="83"/>
    <d v="2026-05-12T00:00:00"/>
    <n v="59"/>
    <s v="PEN"/>
    <x v="0"/>
    <m/>
    <m/>
    <m/>
    <d v="2026-05-12T00:00:00"/>
    <n v="17.352941176470587"/>
    <m/>
    <x v="0"/>
  </r>
  <r>
    <s v="6001105"/>
    <x v="14"/>
    <s v="1300007099"/>
    <x v="134"/>
    <x v="1"/>
    <d v="2026-07-15T00:00:00"/>
    <n v="19"/>
    <d v="2026-07-15T00:00:00"/>
    <n v="23.6"/>
    <s v="PEN"/>
    <x v="0"/>
    <m/>
    <m/>
    <m/>
    <d v="2026-07-15T00:00:00"/>
    <n v="6.9411764705882355"/>
    <m/>
    <x v="0"/>
  </r>
  <r>
    <s v="2000001443"/>
    <x v="15"/>
    <s v="1300004715"/>
    <x v="135"/>
    <x v="1"/>
    <d v="2026-05-29T00:00:00"/>
    <n v="66"/>
    <d v="2026-05-29T00:00:00"/>
    <n v="67008"/>
    <s v="USD"/>
    <x v="1"/>
    <d v="2026-07-28T00:00:00"/>
    <n v="2"/>
    <d v="2026-08-01T00:00:00"/>
    <d v="2026-08-15T00:00:00"/>
    <n v="67008"/>
    <n v="66"/>
    <x v="1"/>
  </r>
  <r>
    <s v="2000001359"/>
    <x v="16"/>
    <s v="1300005285"/>
    <x v="136"/>
    <x v="1"/>
    <d v="2026-04-27T00:00:00"/>
    <n v="98"/>
    <d v="2026-04-27T00:00:00"/>
    <n v="10284"/>
    <s v="USD"/>
    <x v="1"/>
    <d v="2026-06-26T00:00:00"/>
    <n v="3"/>
    <d v="2026-07-31T00:00:00"/>
    <d v="2026-10-15T00:00:00"/>
    <n v="10284"/>
    <n v="98"/>
    <x v="3"/>
  </r>
  <r>
    <s v="2000001359"/>
    <x v="16"/>
    <s v="1200003338"/>
    <x v="137"/>
    <x v="2"/>
    <d v="2026-07-17T00:00:00"/>
    <n v="-43"/>
    <d v="2026-09-15T00:00:00"/>
    <n v="74100"/>
    <s v="USD"/>
    <x v="1"/>
    <d v="2026-09-15T00:00:00"/>
    <m/>
    <m/>
    <d v="2026-09-15T00:00:00"/>
    <n v="74100"/>
    <n v="17"/>
    <x v="2"/>
  </r>
  <r>
    <s v="2000001468"/>
    <x v="17"/>
    <s v="1300004843"/>
    <x v="138"/>
    <x v="3"/>
    <d v="2026-06-05T00:00:00"/>
    <n v="0"/>
    <d v="2026-06-30T00:00:00"/>
    <n v="-13728"/>
    <s v="USD"/>
    <x v="1"/>
    <d v="2026-08-04T00:00:00"/>
    <m/>
    <m/>
    <d v="2026-06-30T00:00:00"/>
    <n v="-13728"/>
    <n v="59"/>
    <x v="4"/>
  </r>
  <r>
    <s v="2000001468"/>
    <x v="17"/>
    <s v="1200003263"/>
    <x v="139"/>
    <x v="2"/>
    <d v="2026-07-13T00:00:00"/>
    <n v="-39"/>
    <d v="2026-09-11T00:00:00"/>
    <n v="68340"/>
    <s v="USD"/>
    <x v="1"/>
    <d v="2026-09-11T00:00:00"/>
    <n v="-39"/>
    <d v="2026-09-11T00:00:00"/>
    <d v="2026-09-11T00:00:00"/>
    <n v="68340"/>
    <n v="21"/>
    <x v="2"/>
  </r>
  <r>
    <s v="1000013925"/>
    <x v="18"/>
    <s v="1300006898"/>
    <x v="140"/>
    <x v="1"/>
    <d v="2025-10-21T00:00:00"/>
    <n v="286"/>
    <d v="2025-10-21T00:00:00"/>
    <n v="4460"/>
    <s v="PEN"/>
    <x v="4"/>
    <m/>
    <m/>
    <m/>
    <d v="2025-10-21T00:00:00"/>
    <n v="1311.7647058823529"/>
    <m/>
    <x v="0"/>
  </r>
  <r>
    <s v="1000013925"/>
    <x v="18"/>
    <s v="1200005124"/>
    <x v="141"/>
    <x v="0"/>
    <d v="2025-11-04T00:00:00"/>
    <n v="265"/>
    <d v="2025-11-11T00:00:00"/>
    <n v="7097.98"/>
    <s v="PEN"/>
    <x v="4"/>
    <m/>
    <m/>
    <m/>
    <d v="2025-11-11T00:00:00"/>
    <n v="2087.6411764705881"/>
    <m/>
    <x v="0"/>
  </r>
  <r>
    <s v="1000013925"/>
    <x v="18"/>
    <s v="1200000182"/>
    <x v="142"/>
    <x v="0"/>
    <d v="2026-01-31T00:00:00"/>
    <n v="177"/>
    <d v="2026-02-07T00:00:00"/>
    <n v="4003.46"/>
    <s v="PEN"/>
    <x v="4"/>
    <m/>
    <m/>
    <m/>
    <d v="2026-02-07T00:00:00"/>
    <n v="1177.4882352941177"/>
    <m/>
    <x v="0"/>
  </r>
  <r>
    <s v="1000013925"/>
    <x v="18"/>
    <s v="1200000382"/>
    <x v="143"/>
    <x v="0"/>
    <d v="2026-03-03T00:00:00"/>
    <n v="146"/>
    <d v="2026-03-10T00:00:00"/>
    <n v="4956"/>
    <s v="PEN"/>
    <x v="4"/>
    <m/>
    <m/>
    <m/>
    <d v="2026-03-10T00:00:00"/>
    <n v="1457.6470588235295"/>
    <m/>
    <x v="0"/>
  </r>
  <r>
    <s v="2000001380"/>
    <x v="19"/>
    <s v="1300004799"/>
    <x v="144"/>
    <x v="3"/>
    <d v="2026-06-02T00:00:00"/>
    <n v="0"/>
    <d v="2026-06-30T00:00:00"/>
    <n v="-6470"/>
    <s v="USD"/>
    <x v="1"/>
    <d v="2026-08-01T00:00:00"/>
    <m/>
    <m/>
    <d v="2026-06-30T00:00:00"/>
    <n v="-6470"/>
    <n v="62"/>
    <x v="1"/>
  </r>
  <r>
    <s v="2000001380"/>
    <x v="19"/>
    <s v="1200002542"/>
    <x v="145"/>
    <x v="2"/>
    <d v="2026-06-13T00:00:00"/>
    <n v="6"/>
    <d v="2026-07-28T00:00:00"/>
    <n v="29250"/>
    <s v="USD"/>
    <x v="1"/>
    <d v="2026-08-12T00:00:00"/>
    <n v="-9"/>
    <d v="2026-08-12T00:00:00"/>
    <d v="2026-08-12T00:00:00"/>
    <n v="29250"/>
    <n v="51"/>
    <x v="4"/>
  </r>
  <r>
    <s v="6000434"/>
    <x v="20"/>
    <s v="1200004540"/>
    <x v="146"/>
    <x v="0"/>
    <d v="2025-10-07T00:00:00"/>
    <n v="293"/>
    <d v="2025-10-14T00:00:00"/>
    <n v="790"/>
    <s v="PEN"/>
    <x v="5"/>
    <m/>
    <m/>
    <m/>
    <d v="2025-10-14T00:00:00"/>
    <n v="232.35294117647061"/>
    <m/>
    <x v="0"/>
  </r>
  <r>
    <s v="1000001607"/>
    <x v="21"/>
    <s v="1200003352"/>
    <x v="147"/>
    <x v="0"/>
    <d v="2026-07-19T00:00:00"/>
    <n v="8"/>
    <d v="2026-07-26T00:00:00"/>
    <n v="2152.3200000000002"/>
    <s v="PEN"/>
    <x v="0"/>
    <m/>
    <m/>
    <m/>
    <d v="2026-07-26T00:00:00"/>
    <n v="633.03529411764714"/>
    <m/>
    <x v="0"/>
  </r>
  <r>
    <s v="1000001607"/>
    <x v="21"/>
    <s v="1200003365"/>
    <x v="148"/>
    <x v="0"/>
    <d v="2026-07-20T00:00:00"/>
    <n v="7"/>
    <d v="2026-07-27T00:00:00"/>
    <n v="1699.2"/>
    <s v="PEN"/>
    <x v="0"/>
    <m/>
    <m/>
    <m/>
    <d v="2026-07-27T00:00:00"/>
    <n v="499.76470588235298"/>
    <m/>
    <x v="0"/>
  </r>
  <r>
    <s v="1000001607"/>
    <x v="21"/>
    <s v="1200003468"/>
    <x v="149"/>
    <x v="0"/>
    <d v="2026-07-31T00:00:00"/>
    <n v="0"/>
    <d v="2026-08-03T00:00:00"/>
    <n v="46259.3"/>
    <s v="PEN"/>
    <x v="6"/>
    <m/>
    <m/>
    <m/>
    <d v="2026-08-03T00:00:00"/>
    <n v="13605.676470588236"/>
    <m/>
    <x v="0"/>
  </r>
  <r>
    <s v="1000001607"/>
    <x v="21"/>
    <s v="1200003469"/>
    <x v="150"/>
    <x v="0"/>
    <d v="2026-07-31T00:00:00"/>
    <n v="0"/>
    <d v="2026-08-03T00:00:00"/>
    <n v="51735.68"/>
    <s v="PEN"/>
    <x v="6"/>
    <m/>
    <m/>
    <m/>
    <d v="2026-08-03T00:00:00"/>
    <n v="15216.376470588235"/>
    <m/>
    <x v="0"/>
  </r>
  <r>
    <s v="2000001382"/>
    <x v="22"/>
    <s v="1300005603"/>
    <x v="151"/>
    <x v="3"/>
    <d v="2026-07-08T00:00:00"/>
    <n v="0"/>
    <d v="2026-07-31T00:00:00"/>
    <n v="-15970"/>
    <s v="USD"/>
    <x v="1"/>
    <d v="2026-09-06T00:00:00"/>
    <m/>
    <m/>
    <d v="2026-07-31T00:00:00"/>
    <n v="-15970"/>
    <n v="26"/>
    <x v="2"/>
  </r>
  <r>
    <s v="2000001382"/>
    <x v="22"/>
    <s v="1300007032"/>
    <x v="152"/>
    <x v="3"/>
    <d v="2026-07-16T00:00:00"/>
    <n v="0"/>
    <d v="2026-07-31T00:00:00"/>
    <n v="-16150"/>
    <s v="USD"/>
    <x v="1"/>
    <d v="2026-09-14T00:00:00"/>
    <m/>
    <m/>
    <d v="2026-07-31T00:00:00"/>
    <n v="-16150"/>
    <n v="18"/>
    <x v="2"/>
  </r>
  <r>
    <s v="2000001382"/>
    <x v="22"/>
    <s v="1200003453"/>
    <x v="153"/>
    <x v="2"/>
    <d v="2026-07-27T00:00:00"/>
    <n v="-113"/>
    <d v="2026-11-24T00:00:00"/>
    <n v="80610"/>
    <s v="USD"/>
    <x v="1"/>
    <d v="2026-09-25T00:00:00"/>
    <m/>
    <m/>
    <d v="2026-09-25T00:00:00"/>
    <n v="80610"/>
    <n v="7"/>
    <x v="2"/>
  </r>
  <r>
    <s v="2000001382"/>
    <x v="22"/>
    <s v="1200003471"/>
    <x v="154"/>
    <x v="2"/>
    <d v="2026-07-29T00:00:00"/>
    <n v="-55"/>
    <d v="2026-09-27T00:00:00"/>
    <n v="81000"/>
    <s v="USD"/>
    <x v="1"/>
    <d v="2026-09-27T00:00:00"/>
    <m/>
    <m/>
    <d v="2026-09-27T00:00:00"/>
    <n v="81000"/>
    <n v="5"/>
    <x v="2"/>
  </r>
  <r>
    <s v="1000015392"/>
    <x v="23"/>
    <s v="1200002881"/>
    <x v="155"/>
    <x v="0"/>
    <d v="2026-06-30T00:00:00"/>
    <n v="27"/>
    <d v="2026-07-07T00:00:00"/>
    <n v="590"/>
    <s v="PEN"/>
    <x v="0"/>
    <m/>
    <m/>
    <m/>
    <d v="2026-07-07T00:00:00"/>
    <n v="173.52941176470588"/>
    <m/>
    <x v="0"/>
  </r>
  <r>
    <s v="1000001965"/>
    <x v="24"/>
    <s v="1200003073"/>
    <x v="156"/>
    <x v="0"/>
    <d v="2026-07-08T00:00:00"/>
    <n v="19"/>
    <d v="2026-07-15T00:00:00"/>
    <n v="590"/>
    <s v="PEN"/>
    <x v="0"/>
    <m/>
    <m/>
    <m/>
    <d v="2026-07-15T00:00:00"/>
    <n v="173.52941176470588"/>
    <m/>
    <x v="0"/>
  </r>
  <r>
    <s v="1000001965"/>
    <x v="24"/>
    <s v="1200003103"/>
    <x v="157"/>
    <x v="0"/>
    <d v="2026-07-10T00:00:00"/>
    <n v="17"/>
    <d v="2026-07-17T00:00:00"/>
    <n v="590"/>
    <s v="PEN"/>
    <x v="0"/>
    <m/>
    <m/>
    <m/>
    <d v="2026-07-17T00:00:00"/>
    <n v="173.52941176470588"/>
    <m/>
    <x v="0"/>
  </r>
  <r>
    <s v="1000001965"/>
    <x v="24"/>
    <s v="1200003167"/>
    <x v="158"/>
    <x v="0"/>
    <d v="2026-07-13T00:00:00"/>
    <n v="14"/>
    <d v="2026-07-20T00:00:00"/>
    <n v="590"/>
    <s v="PEN"/>
    <x v="0"/>
    <m/>
    <m/>
    <m/>
    <d v="2026-07-20T00:00:00"/>
    <n v="173.52941176470588"/>
    <m/>
    <x v="0"/>
  </r>
  <r>
    <s v="1000001965"/>
    <x v="24"/>
    <s v="1200003261"/>
    <x v="159"/>
    <x v="0"/>
    <d v="2026-07-16T00:00:00"/>
    <n v="11"/>
    <d v="2026-07-23T00:00:00"/>
    <n v="590"/>
    <s v="PEN"/>
    <x v="0"/>
    <m/>
    <m/>
    <m/>
    <d v="2026-07-23T00:00:00"/>
    <n v="173.52941176470588"/>
    <m/>
    <x v="0"/>
  </r>
  <r>
    <s v="1000001965"/>
    <x v="24"/>
    <s v="1200003339"/>
    <x v="160"/>
    <x v="0"/>
    <d v="2026-07-18T00:00:00"/>
    <n v="9"/>
    <d v="2026-07-25T00:00:00"/>
    <n v="590"/>
    <s v="PEN"/>
    <x v="0"/>
    <m/>
    <m/>
    <m/>
    <d v="2026-07-25T00:00:00"/>
    <n v="173.52941176470588"/>
    <m/>
    <x v="0"/>
  </r>
  <r>
    <s v="2000000974"/>
    <x v="25"/>
    <s v="1300007031"/>
    <x v="161"/>
    <x v="3"/>
    <d v="2026-07-13T00:00:00"/>
    <n v="0"/>
    <d v="2026-07-31T00:00:00"/>
    <n v="-24925"/>
    <s v="USD"/>
    <x v="1"/>
    <d v="2026-09-11T00:00:00"/>
    <m/>
    <m/>
    <d v="2026-07-31T00:00:00"/>
    <n v="-24925"/>
    <n v="21"/>
    <x v="2"/>
  </r>
  <r>
    <s v="2000000974"/>
    <x v="25"/>
    <s v="1200003473"/>
    <x v="162"/>
    <x v="2"/>
    <d v="2026-07-29T00:00:00"/>
    <n v="-55"/>
    <d v="2026-09-27T00:00:00"/>
    <n v="96292.5"/>
    <s v="USD"/>
    <x v="1"/>
    <d v="2026-09-27T00:00:00"/>
    <m/>
    <m/>
    <d v="2026-09-27T00:00:00"/>
    <n v="96292.5"/>
    <n v="5"/>
    <x v="2"/>
  </r>
  <r>
    <s v="2000001440"/>
    <x v="26"/>
    <s v="1300007153"/>
    <x v="163"/>
    <x v="1"/>
    <d v="2026-06-21T00:00:00"/>
    <n v="43"/>
    <d v="2026-06-21T00:00:00"/>
    <n v="47690"/>
    <s v="USD"/>
    <x v="1"/>
    <d v="2026-08-20T00:00:00"/>
    <n v="-17"/>
    <d v="2026-08-20T00:00:00"/>
    <d v="2026-08-20T00:00:00"/>
    <n v="47690"/>
    <n v="43"/>
    <x v="2"/>
  </r>
  <r>
    <s v="2000001440"/>
    <x v="26"/>
    <s v="1300007151"/>
    <x v="164"/>
    <x v="3"/>
    <d v="2026-07-21T00:00:00"/>
    <n v="0"/>
    <d v="2026-07-31T00:00:00"/>
    <n v="-9650"/>
    <s v="USD"/>
    <x v="1"/>
    <d v="2026-09-19T00:00:00"/>
    <m/>
    <m/>
    <d v="2026-07-31T00:00:00"/>
    <n v="-9650"/>
    <n v="13"/>
    <x v="2"/>
  </r>
  <r>
    <s v="1000013801"/>
    <x v="27"/>
    <s v="1300007121"/>
    <x v="165"/>
    <x v="1"/>
    <d v="2026-07-18T00:00:00"/>
    <n v="16"/>
    <d v="2026-07-18T00:00:00"/>
    <n v="203.67"/>
    <s v="PEN"/>
    <x v="0"/>
    <m/>
    <m/>
    <m/>
    <d v="2026-07-18T00:00:00"/>
    <n v="59.902941176470584"/>
    <m/>
    <x v="0"/>
  </r>
  <r>
    <s v="1000013686"/>
    <x v="28"/>
    <s v="1200003431"/>
    <x v="166"/>
    <x v="0"/>
    <d v="2026-07-24T00:00:00"/>
    <n v="3"/>
    <d v="2026-07-31T00:00:00"/>
    <n v="368.16"/>
    <s v="PEN"/>
    <x v="0"/>
    <m/>
    <m/>
    <m/>
    <d v="2026-07-31T00:00:00"/>
    <n v="108.28235294117648"/>
    <m/>
    <x v="0"/>
  </r>
  <r>
    <s v="1000013686"/>
    <x v="28"/>
    <s v="1200003450"/>
    <x v="167"/>
    <x v="0"/>
    <d v="2026-07-27T00:00:00"/>
    <n v="0"/>
    <d v="2026-08-03T00:00:00"/>
    <n v="368.16"/>
    <s v="PEN"/>
    <x v="0"/>
    <m/>
    <m/>
    <m/>
    <d v="2026-08-03T00:00:00"/>
    <n v="108.28235294117648"/>
    <m/>
    <x v="0"/>
  </r>
  <r>
    <s v="1000013686"/>
    <x v="28"/>
    <s v="1200003477"/>
    <x v="168"/>
    <x v="0"/>
    <d v="2026-08-01T00:00:00"/>
    <n v="-5"/>
    <d v="2026-08-08T00:00:00"/>
    <n v="368.16"/>
    <s v="PEN"/>
    <x v="0"/>
    <m/>
    <m/>
    <m/>
    <d v="2026-08-08T00:00:00"/>
    <n v="108.28235294117648"/>
    <m/>
    <x v="0"/>
  </r>
  <r>
    <s v="2000000786"/>
    <x v="29"/>
    <s v="1200003458"/>
    <x v="169"/>
    <x v="2"/>
    <d v="2026-07-28T00:00:00"/>
    <n v="-54"/>
    <d v="2026-09-26T00:00:00"/>
    <n v="58500"/>
    <s v="USD"/>
    <x v="1"/>
    <d v="2026-09-26T00:00:00"/>
    <m/>
    <m/>
    <d v="2026-09-26T00:00:00"/>
    <n v="58500"/>
    <n v="6"/>
    <x v="2"/>
  </r>
  <r>
    <s v="2000000786"/>
    <x v="29"/>
    <s v="1200003465"/>
    <x v="170"/>
    <x v="2"/>
    <d v="2026-07-28T00:00:00"/>
    <n v="-54"/>
    <d v="2026-09-26T00:00:00"/>
    <n v="41500"/>
    <s v="USD"/>
    <x v="1"/>
    <d v="2026-09-26T00:00:00"/>
    <m/>
    <m/>
    <d v="2026-09-26T00:00:00"/>
    <n v="41500"/>
    <n v="6"/>
    <x v="2"/>
  </r>
  <r>
    <s v="2000000786"/>
    <x v="29"/>
    <s v="1200003467"/>
    <x v="171"/>
    <x v="2"/>
    <d v="2026-07-28T00:00:00"/>
    <n v="-54"/>
    <d v="2026-09-26T00:00:00"/>
    <n v="45000"/>
    <s v="USD"/>
    <x v="1"/>
    <d v="2026-09-26T00:00:00"/>
    <m/>
    <m/>
    <d v="2026-09-26T00:00:00"/>
    <n v="45000"/>
    <n v="6"/>
    <x v="2"/>
  </r>
  <r>
    <s v="2000001444"/>
    <x v="30"/>
    <s v="1300007042"/>
    <x v="172"/>
    <x v="1"/>
    <d v="2026-06-19T00:00:00"/>
    <n v="45"/>
    <d v="2026-06-19T00:00:00"/>
    <n v="57857"/>
    <s v="USD"/>
    <x v="1"/>
    <d v="2026-08-18T00:00:00"/>
    <n v="-15"/>
    <d v="2026-08-18T00:00:00"/>
    <d v="2026-08-18T00:00:00"/>
    <n v="57857"/>
    <n v="45"/>
    <x v="2"/>
  </r>
  <r>
    <s v="2000001348"/>
    <x v="31"/>
    <s v="1200003447"/>
    <x v="173"/>
    <x v="2"/>
    <d v="2026-07-24T00:00:00"/>
    <n v="-50"/>
    <d v="2026-09-22T00:00:00"/>
    <n v="432000"/>
    <s v="USD"/>
    <x v="1"/>
    <d v="2026-09-22T00:00:00"/>
    <m/>
    <m/>
    <d v="2026-09-22T00:00:00"/>
    <n v="432000"/>
    <n v="10"/>
    <x v="2"/>
  </r>
  <r>
    <s v="2000001348"/>
    <x v="31"/>
    <s v="1200003456"/>
    <x v="174"/>
    <x v="2"/>
    <d v="2026-07-28T00:00:00"/>
    <n v="-114"/>
    <d v="2026-11-25T00:00:00"/>
    <n v="405000"/>
    <s v="USD"/>
    <x v="1"/>
    <d v="2026-09-26T00:00:00"/>
    <m/>
    <m/>
    <d v="2026-09-26T00:00:00"/>
    <n v="405000"/>
    <n v="6"/>
    <x v="2"/>
  </r>
  <r>
    <s v="2000001348"/>
    <x v="31"/>
    <s v="1200003457"/>
    <x v="175"/>
    <x v="2"/>
    <d v="2026-07-28T00:00:00"/>
    <n v="-114"/>
    <d v="2026-11-25T00:00:00"/>
    <n v="550800"/>
    <s v="USD"/>
    <x v="1"/>
    <d v="2026-09-26T00:00:00"/>
    <m/>
    <m/>
    <d v="2026-09-26T00:00:00"/>
    <n v="550800"/>
    <n v="6"/>
    <x v="2"/>
  </r>
  <r>
    <s v="2000001348"/>
    <x v="31"/>
    <s v="1200003472"/>
    <x v="176"/>
    <x v="2"/>
    <d v="2026-07-29T00:00:00"/>
    <n v="-55"/>
    <d v="2026-09-27T00:00:00"/>
    <n v="245700"/>
    <s v="USD"/>
    <x v="1"/>
    <d v="2026-09-27T00:00:00"/>
    <m/>
    <m/>
    <d v="2026-09-27T00:00:00"/>
    <n v="245700"/>
    <n v="5"/>
    <x v="2"/>
  </r>
  <r>
    <s v="2000001348"/>
    <x v="31"/>
    <s v="1200003478"/>
    <x v="177"/>
    <x v="2"/>
    <d v="2026-07-31T00:00:00"/>
    <n v="-57"/>
    <d v="2026-09-29T00:00:00"/>
    <n v="547740"/>
    <s v="USD"/>
    <x v="1"/>
    <d v="2026-09-29T00:00:00"/>
    <m/>
    <m/>
    <d v="2026-09-29T00:00:00"/>
    <n v="547740"/>
    <n v="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s v="1000013966"/>
    <x v="0"/>
    <s v="1200005220"/>
    <s v="01-0F101-0004694"/>
    <x v="0"/>
    <d v="2025-11-19T00:00:00"/>
    <n v="250"/>
    <d v="2025-11-26T00:00:00"/>
    <n v="42.48"/>
    <s v="PEN"/>
    <x v="0"/>
    <m/>
    <m/>
    <m/>
    <x v="0"/>
    <n v="12.494117647058824"/>
    <m/>
    <m/>
  </r>
  <r>
    <s v="1000013966"/>
    <x v="0"/>
    <s v="1200005228"/>
    <s v="01-0F101-0004700"/>
    <x v="0"/>
    <d v="2025-11-19T00:00:00"/>
    <n v="250"/>
    <d v="2025-11-26T00:00:00"/>
    <n v="14.16"/>
    <s v="PEN"/>
    <x v="0"/>
    <m/>
    <m/>
    <m/>
    <x v="0"/>
    <n v="4.1647058823529415"/>
    <m/>
    <m/>
  </r>
  <r>
    <s v="1000013966"/>
    <x v="0"/>
    <s v="1200005242"/>
    <s v="01-0F101-0004710"/>
    <x v="0"/>
    <d v="2025-11-19T00:00:00"/>
    <n v="250"/>
    <d v="2025-11-26T00:00:00"/>
    <n v="14.16"/>
    <s v="PEN"/>
    <x v="0"/>
    <m/>
    <m/>
    <m/>
    <x v="0"/>
    <n v="4.1647058823529415"/>
    <m/>
    <m/>
  </r>
  <r>
    <s v="1000013966"/>
    <x v="0"/>
    <s v="1200005264"/>
    <s v="01-0F101-0004729"/>
    <x v="0"/>
    <d v="2025-11-20T00:00:00"/>
    <n v="249"/>
    <d v="2025-11-27T00:00:00"/>
    <n v="28.32"/>
    <s v="PEN"/>
    <x v="0"/>
    <m/>
    <m/>
    <m/>
    <x v="1"/>
    <n v="8.329411764705883"/>
    <m/>
    <m/>
  </r>
  <r>
    <s v="1000013966"/>
    <x v="0"/>
    <s v="1200005271"/>
    <s v="01-0F101-0004736"/>
    <x v="0"/>
    <d v="2025-11-20T00:00:00"/>
    <n v="249"/>
    <d v="2025-11-27T00:00:00"/>
    <n v="14.16"/>
    <s v="PEN"/>
    <x v="0"/>
    <m/>
    <m/>
    <m/>
    <x v="1"/>
    <n v="4.1647058823529415"/>
    <m/>
    <m/>
  </r>
  <r>
    <s v="1000013966"/>
    <x v="0"/>
    <s v="1200005296"/>
    <s v="01-0F101-0004758"/>
    <x v="0"/>
    <d v="2025-11-21T00:00:00"/>
    <n v="248"/>
    <d v="2025-11-28T00:00:00"/>
    <n v="28.32"/>
    <s v="PEN"/>
    <x v="0"/>
    <m/>
    <m/>
    <m/>
    <x v="2"/>
    <n v="8.329411764705883"/>
    <m/>
    <m/>
  </r>
  <r>
    <s v="1000013966"/>
    <x v="0"/>
    <s v="1200005302"/>
    <s v="01-0F101-0004762"/>
    <x v="0"/>
    <d v="2025-11-21T00:00:00"/>
    <n v="248"/>
    <d v="2025-11-28T00:00:00"/>
    <n v="42.48"/>
    <s v="PEN"/>
    <x v="0"/>
    <m/>
    <m/>
    <m/>
    <x v="2"/>
    <n v="12.494117647058824"/>
    <m/>
    <m/>
  </r>
  <r>
    <s v="1000013966"/>
    <x v="0"/>
    <s v="1200005304"/>
    <s v="01-0F101-0004763"/>
    <x v="0"/>
    <d v="2025-11-21T00:00:00"/>
    <n v="248"/>
    <d v="2025-11-28T00:00:00"/>
    <n v="42.48"/>
    <s v="PEN"/>
    <x v="0"/>
    <m/>
    <m/>
    <m/>
    <x v="2"/>
    <n v="12.494117647058824"/>
    <m/>
    <m/>
  </r>
  <r>
    <s v="1000013966"/>
    <x v="0"/>
    <s v="1200005313"/>
    <s v="01-0F101-0004772"/>
    <x v="0"/>
    <d v="2025-11-21T00:00:00"/>
    <n v="248"/>
    <d v="2025-11-28T00:00:00"/>
    <n v="14.16"/>
    <s v="PEN"/>
    <x v="0"/>
    <m/>
    <m/>
    <m/>
    <x v="2"/>
    <n v="4.1647058823529415"/>
    <m/>
    <m/>
  </r>
  <r>
    <s v="1000013966"/>
    <x v="0"/>
    <s v="1200005346"/>
    <s v="01-0F101-0004803"/>
    <x v="0"/>
    <d v="2025-11-22T00:00:00"/>
    <n v="247"/>
    <d v="2025-11-29T00:00:00"/>
    <n v="28.32"/>
    <s v="PEN"/>
    <x v="0"/>
    <m/>
    <m/>
    <m/>
    <x v="3"/>
    <n v="8.329411764705883"/>
    <m/>
    <m/>
  </r>
  <r>
    <s v="1000013966"/>
    <x v="0"/>
    <s v="1200005422"/>
    <s v="01-0F101-0004855"/>
    <x v="0"/>
    <d v="2025-11-27T00:00:00"/>
    <n v="242"/>
    <d v="2025-12-04T00:00:00"/>
    <n v="14.16"/>
    <s v="PEN"/>
    <x v="0"/>
    <m/>
    <m/>
    <m/>
    <x v="4"/>
    <n v="4.1647058823529415"/>
    <m/>
    <m/>
  </r>
  <r>
    <s v="1000013966"/>
    <x v="0"/>
    <s v="1200000045"/>
    <s v="01-0F101-0005160"/>
    <x v="0"/>
    <d v="2026-01-06T00:00:00"/>
    <n v="202"/>
    <d v="2026-01-13T00:00:00"/>
    <n v="14.16"/>
    <s v="PEN"/>
    <x v="0"/>
    <m/>
    <m/>
    <m/>
    <x v="5"/>
    <n v="4.1647058823529415"/>
    <m/>
    <m/>
  </r>
  <r>
    <s v="1000013966"/>
    <x v="0"/>
    <s v="1200000090"/>
    <s v="01-0F101-0005198"/>
    <x v="0"/>
    <d v="2026-01-08T00:00:00"/>
    <n v="200"/>
    <d v="2026-01-15T00:00:00"/>
    <n v="14.16"/>
    <s v="PEN"/>
    <x v="0"/>
    <m/>
    <m/>
    <m/>
    <x v="6"/>
    <n v="4.1647058823529415"/>
    <m/>
    <m/>
  </r>
  <r>
    <s v="1000013966"/>
    <x v="0"/>
    <s v="1200000113"/>
    <s v="01-0F101-0005211"/>
    <x v="0"/>
    <d v="2026-01-10T00:00:00"/>
    <n v="198"/>
    <d v="2026-01-17T00:00:00"/>
    <n v="14.16"/>
    <s v="PEN"/>
    <x v="0"/>
    <m/>
    <m/>
    <m/>
    <x v="7"/>
    <n v="4.1647058823529415"/>
    <m/>
    <m/>
  </r>
  <r>
    <s v="1000013966"/>
    <x v="0"/>
    <s v="1200000132"/>
    <s v="01-0F101-0005224"/>
    <x v="0"/>
    <d v="2026-01-16T00:00:00"/>
    <n v="192"/>
    <d v="2026-01-23T00:00:00"/>
    <n v="14.16"/>
    <s v="PEN"/>
    <x v="0"/>
    <m/>
    <m/>
    <m/>
    <x v="8"/>
    <n v="4.1647058823529415"/>
    <m/>
    <m/>
  </r>
  <r>
    <s v="1000013966"/>
    <x v="0"/>
    <s v="1200000133"/>
    <s v="01-0F101-0005225"/>
    <x v="0"/>
    <d v="2026-01-16T00:00:00"/>
    <n v="192"/>
    <d v="2026-01-23T00:00:00"/>
    <n v="14.16"/>
    <s v="PEN"/>
    <x v="0"/>
    <m/>
    <m/>
    <m/>
    <x v="8"/>
    <n v="4.1647058823529415"/>
    <m/>
    <m/>
  </r>
  <r>
    <s v="1000013966"/>
    <x v="0"/>
    <s v="1200000141"/>
    <s v="01-0F101-0005231"/>
    <x v="0"/>
    <d v="2026-01-19T00:00:00"/>
    <n v="189"/>
    <d v="2026-01-26T00:00:00"/>
    <n v="14.16"/>
    <s v="PEN"/>
    <x v="0"/>
    <m/>
    <m/>
    <m/>
    <x v="9"/>
    <n v="4.1647058823529415"/>
    <m/>
    <m/>
  </r>
  <r>
    <s v="2000001028"/>
    <x v="1"/>
    <s v="1300004711"/>
    <s v="FT-0F002-0000360"/>
    <x v="1"/>
    <d v="2026-05-29T00:00:00"/>
    <n v="66"/>
    <d v="2026-05-29T00:00:00"/>
    <n v="336990"/>
    <s v="USD"/>
    <x v="1"/>
    <d v="2026-07-28T00:00:00"/>
    <n v="-7"/>
    <d v="2026-08-10T00:00:00"/>
    <x v="10"/>
    <n v="336990"/>
    <n v="66"/>
    <s v="61-90"/>
  </r>
  <r>
    <s v="2000001028"/>
    <x v="1"/>
    <s v="1300005598"/>
    <s v="FT-0F002-0000386"/>
    <x v="1"/>
    <d v="2026-06-30T00:00:00"/>
    <n v="34"/>
    <d v="2026-06-30T00:00:00"/>
    <n v="218730"/>
    <s v="USD"/>
    <x v="1"/>
    <d v="2026-08-29T00:00:00"/>
    <n v="-26"/>
    <d v="2026-08-29T00:00:00"/>
    <x v="11"/>
    <n v="218730"/>
    <n v="34"/>
    <s v="0-45"/>
  </r>
  <r>
    <s v="2000001028"/>
    <x v="1"/>
    <s v="1200003451"/>
    <s v="01-0F002-0000392"/>
    <x v="2"/>
    <d v="2026-07-25T00:00:00"/>
    <n v="-51"/>
    <d v="2026-09-23T00:00:00"/>
    <n v="83280"/>
    <s v="USD"/>
    <x v="1"/>
    <d v="2026-09-23T00:00:00"/>
    <m/>
    <m/>
    <x v="12"/>
    <n v="83280"/>
    <n v="9"/>
    <s v="0-45"/>
  </r>
  <r>
    <s v="2000001028"/>
    <x v="1"/>
    <s v="1200003454"/>
    <s v="01-0F002-0000395"/>
    <x v="2"/>
    <d v="2026-07-27T00:00:00"/>
    <n v="-113"/>
    <d v="2026-11-24T00:00:00"/>
    <n v="83280"/>
    <s v="USD"/>
    <x v="1"/>
    <d v="2026-09-25T00:00:00"/>
    <m/>
    <m/>
    <x v="13"/>
    <n v="83280"/>
    <n v="7"/>
    <s v="0-45"/>
  </r>
  <r>
    <s v="2000001028"/>
    <x v="1"/>
    <s v="1200003470"/>
    <s v="01-0F002-0000403"/>
    <x v="2"/>
    <d v="2026-07-29T00:00:00"/>
    <n v="-55"/>
    <d v="2026-09-27T00:00:00"/>
    <n v="41448"/>
    <s v="USD"/>
    <x v="1"/>
    <d v="2026-09-27T00:00:00"/>
    <m/>
    <m/>
    <x v="14"/>
    <n v="41448"/>
    <n v="5"/>
    <s v="0-45"/>
  </r>
  <r>
    <s v="1000013678"/>
    <x v="2"/>
    <s v="1200003045"/>
    <s v="01-0F101-0007358"/>
    <x v="0"/>
    <d v="2026-07-07T00:00:00"/>
    <n v="20"/>
    <d v="2026-07-14T00:00:00"/>
    <n v="283.2"/>
    <s v="PEN"/>
    <x v="0"/>
    <m/>
    <m/>
    <m/>
    <x v="15"/>
    <n v="83.294117647058826"/>
    <m/>
    <m/>
  </r>
  <r>
    <s v="1000002057"/>
    <x v="3"/>
    <s v="1200003380"/>
    <s v="01-0F101-0007640"/>
    <x v="0"/>
    <d v="2026-07-21T00:00:00"/>
    <n v="6"/>
    <d v="2026-07-28T00:00:00"/>
    <n v="431.17"/>
    <s v="PEN"/>
    <x v="0"/>
    <m/>
    <m/>
    <m/>
    <x v="16"/>
    <n v="126.81470588235295"/>
    <m/>
    <m/>
  </r>
  <r>
    <s v="1000002057"/>
    <x v="3"/>
    <s v="1200003381"/>
    <s v="01-0F101-0007641"/>
    <x v="0"/>
    <d v="2026-07-21T00:00:00"/>
    <n v="6"/>
    <d v="2026-07-28T00:00:00"/>
    <n v="141.6"/>
    <s v="PEN"/>
    <x v="0"/>
    <m/>
    <m/>
    <m/>
    <x v="16"/>
    <n v="41.647058823529413"/>
    <m/>
    <m/>
  </r>
  <r>
    <s v="1000002057"/>
    <x v="3"/>
    <s v="1200003404"/>
    <s v="01-0F101-0007656"/>
    <x v="0"/>
    <d v="2026-07-22T00:00:00"/>
    <n v="5"/>
    <d v="2026-07-29T00:00:00"/>
    <n v="1048.69"/>
    <s v="PEN"/>
    <x v="0"/>
    <m/>
    <m/>
    <m/>
    <x v="17"/>
    <n v="308.43823529411765"/>
    <m/>
    <m/>
  </r>
  <r>
    <s v="1000002057"/>
    <x v="3"/>
    <s v="1200003405"/>
    <s v="01-0F101-0007657"/>
    <x v="0"/>
    <d v="2026-07-22T00:00:00"/>
    <n v="5"/>
    <d v="2026-07-29T00:00:00"/>
    <n v="371.7"/>
    <s v="PEN"/>
    <x v="0"/>
    <m/>
    <m/>
    <m/>
    <x v="17"/>
    <n v="109.32352941176471"/>
    <m/>
    <m/>
  </r>
  <r>
    <s v="1000002057"/>
    <x v="3"/>
    <s v="1200003406"/>
    <s v="01-0F101-0007658"/>
    <x v="0"/>
    <d v="2026-07-24T00:00:00"/>
    <n v="3"/>
    <d v="2026-07-31T00:00:00"/>
    <n v="163.88"/>
    <s v="PEN"/>
    <x v="0"/>
    <m/>
    <m/>
    <m/>
    <x v="18"/>
    <n v="48.2"/>
    <m/>
    <m/>
  </r>
  <r>
    <s v="1000002057"/>
    <x v="3"/>
    <s v="1200003407"/>
    <s v="01-0F101-0007659"/>
    <x v="0"/>
    <d v="2026-07-24T00:00:00"/>
    <n v="3"/>
    <d v="2026-07-31T00:00:00"/>
    <n v="106.2"/>
    <s v="PEN"/>
    <x v="0"/>
    <m/>
    <m/>
    <m/>
    <x v="18"/>
    <n v="31.235294117647062"/>
    <m/>
    <m/>
  </r>
  <r>
    <s v="1000002057"/>
    <x v="3"/>
    <s v="1200003422"/>
    <s v="01-0F101-0007674"/>
    <x v="0"/>
    <d v="2026-07-24T00:00:00"/>
    <n v="3"/>
    <d v="2026-07-31T00:00:00"/>
    <n v="535.25"/>
    <s v="PEN"/>
    <x v="0"/>
    <m/>
    <m/>
    <m/>
    <x v="18"/>
    <n v="157.4264705882353"/>
    <m/>
    <m/>
  </r>
  <r>
    <s v="1000002057"/>
    <x v="3"/>
    <s v="1200003423"/>
    <s v="01-0F101-0007675"/>
    <x v="0"/>
    <d v="2026-07-24T00:00:00"/>
    <n v="3"/>
    <d v="2026-07-31T00:00:00"/>
    <n v="230.1"/>
    <s v="PEN"/>
    <x v="0"/>
    <m/>
    <m/>
    <m/>
    <x v="18"/>
    <n v="67.67647058823529"/>
    <m/>
    <m/>
  </r>
  <r>
    <s v="2000001368"/>
    <x v="4"/>
    <s v="1300004854"/>
    <s v="FT-0F002-0000311"/>
    <x v="1"/>
    <d v="2026-04-27T00:00:00"/>
    <n v="98"/>
    <d v="2026-04-27T00:00:00"/>
    <n v="15163"/>
    <s v="USD"/>
    <x v="1"/>
    <d v="2026-06-26T00:00:00"/>
    <n v="3"/>
    <d v="2026-07-31T00:00:00"/>
    <x v="19"/>
    <n v="15163"/>
    <n v="98"/>
    <s v="91-a más"/>
  </r>
  <r>
    <s v="2000001361"/>
    <x v="5"/>
    <s v="1300004210"/>
    <s v="FT-0F002-0000295"/>
    <x v="1"/>
    <d v="2026-04-12T00:00:00"/>
    <n v="113"/>
    <d v="2026-04-12T00:00:00"/>
    <n v="16355.92"/>
    <s v="USD"/>
    <x v="1"/>
    <d v="2026-06-11T00:00:00"/>
    <n v="3"/>
    <d v="2026-07-31T00:00:00"/>
    <x v="19"/>
    <n v="16355.92"/>
    <n v="113"/>
    <s v="91-a más"/>
  </r>
  <r>
    <s v="2000001439"/>
    <x v="6"/>
    <s v="1300007163"/>
    <s v="FT-0F002-0000400"/>
    <x v="1"/>
    <d v="2026-07-28T00:00:00"/>
    <n v="6"/>
    <d v="2026-07-28T00:00:00"/>
    <n v="54894"/>
    <s v="USD"/>
    <x v="1"/>
    <d v="2026-09-26T00:00:00"/>
    <m/>
    <m/>
    <x v="20"/>
    <n v="54894"/>
    <n v="6"/>
    <s v="0-45"/>
  </r>
  <r>
    <s v="6002186"/>
    <x v="7"/>
    <s v="1300007116"/>
    <s v="FT-0F101-0007342"/>
    <x v="1"/>
    <d v="2026-07-06T00:00:00"/>
    <n v="28"/>
    <d v="2026-07-06T00:00:00"/>
    <n v="1402.88"/>
    <s v="USD"/>
    <x v="2"/>
    <m/>
    <m/>
    <m/>
    <x v="21"/>
    <n v="1402.88"/>
    <m/>
    <m/>
  </r>
  <r>
    <s v="1000006830"/>
    <x v="8"/>
    <s v="1200003020"/>
    <s v="01-0F101-0007338"/>
    <x v="0"/>
    <d v="2026-07-06T00:00:00"/>
    <n v="21"/>
    <d v="2026-07-13T00:00:00"/>
    <n v="773.61"/>
    <s v="PEN"/>
    <x v="0"/>
    <m/>
    <m/>
    <m/>
    <x v="22"/>
    <n v="227.53235294117647"/>
    <m/>
    <m/>
  </r>
  <r>
    <s v="1000006830"/>
    <x v="8"/>
    <s v="1200003021"/>
    <s v="01-0F101-0007339"/>
    <x v="0"/>
    <d v="2026-07-06T00:00:00"/>
    <n v="21"/>
    <d v="2026-07-13T00:00:00"/>
    <n v="70.8"/>
    <s v="PEN"/>
    <x v="0"/>
    <m/>
    <m/>
    <m/>
    <x v="22"/>
    <n v="20.823529411764707"/>
    <m/>
    <m/>
  </r>
  <r>
    <s v="1000006830"/>
    <x v="8"/>
    <s v="1200003026"/>
    <s v="01-0F101-0007344"/>
    <x v="0"/>
    <d v="2026-07-06T00:00:00"/>
    <n v="21"/>
    <d v="2026-07-13T00:00:00"/>
    <n v="428.1"/>
    <s v="PEN"/>
    <x v="0"/>
    <m/>
    <m/>
    <m/>
    <x v="22"/>
    <n v="125.91176470588236"/>
    <m/>
    <m/>
  </r>
  <r>
    <s v="1000006830"/>
    <x v="8"/>
    <s v="1200003027"/>
    <s v="01-0F101-0007345"/>
    <x v="0"/>
    <d v="2026-07-06T00:00:00"/>
    <n v="21"/>
    <d v="2026-07-13T00:00:00"/>
    <n v="35.4"/>
    <s v="PEN"/>
    <x v="0"/>
    <m/>
    <m/>
    <m/>
    <x v="22"/>
    <n v="10.411764705882353"/>
    <m/>
    <m/>
  </r>
  <r>
    <s v="1000006830"/>
    <x v="8"/>
    <s v="1200003040"/>
    <s v="01-0F101-0007354"/>
    <x v="0"/>
    <d v="2026-07-06T00:00:00"/>
    <n v="21"/>
    <d v="2026-07-13T00:00:00"/>
    <n v="202.49"/>
    <s v="PEN"/>
    <x v="0"/>
    <m/>
    <m/>
    <m/>
    <x v="22"/>
    <n v="59.555882352941182"/>
    <m/>
    <m/>
  </r>
  <r>
    <s v="1000006830"/>
    <x v="8"/>
    <s v="1200003041"/>
    <s v="01-0F101-0007355"/>
    <x v="0"/>
    <d v="2026-07-06T00:00:00"/>
    <n v="21"/>
    <d v="2026-07-13T00:00:00"/>
    <n v="70.8"/>
    <s v="PEN"/>
    <x v="0"/>
    <m/>
    <m/>
    <m/>
    <x v="22"/>
    <n v="20.823529411764707"/>
    <m/>
    <m/>
  </r>
  <r>
    <s v="1000006830"/>
    <x v="8"/>
    <s v="1200003042"/>
    <s v="01-0F101-0007356"/>
    <x v="0"/>
    <d v="2026-07-06T00:00:00"/>
    <n v="21"/>
    <d v="2026-07-13T00:00:00"/>
    <n v="571.59"/>
    <s v="PEN"/>
    <x v="0"/>
    <m/>
    <m/>
    <m/>
    <x v="22"/>
    <n v="168.11470588235295"/>
    <m/>
    <m/>
  </r>
  <r>
    <s v="1000006830"/>
    <x v="8"/>
    <s v="1200003043"/>
    <s v="01-0F101-0007357"/>
    <x v="0"/>
    <d v="2026-07-06T00:00:00"/>
    <n v="21"/>
    <d v="2026-07-13T00:00:00"/>
    <n v="159.30000000000001"/>
    <s v="PEN"/>
    <x v="0"/>
    <m/>
    <m/>
    <m/>
    <x v="22"/>
    <n v="46.852941176470594"/>
    <m/>
    <m/>
  </r>
  <r>
    <s v="1000006830"/>
    <x v="8"/>
    <s v="1200003046"/>
    <s v="01-0F101-0007359"/>
    <x v="0"/>
    <d v="2026-07-07T00:00:00"/>
    <n v="20"/>
    <d v="2026-07-14T00:00:00"/>
    <n v="427.16"/>
    <s v="PEN"/>
    <x v="0"/>
    <m/>
    <m/>
    <m/>
    <x v="15"/>
    <n v="125.63529411764706"/>
    <m/>
    <m/>
  </r>
  <r>
    <s v="1000006830"/>
    <x v="8"/>
    <s v="1200003047"/>
    <s v="01-0F101-0007360"/>
    <x v="0"/>
    <d v="2026-07-07T00:00:00"/>
    <n v="20"/>
    <d v="2026-07-14T00:00:00"/>
    <n v="70.8"/>
    <s v="PEN"/>
    <x v="0"/>
    <m/>
    <m/>
    <m/>
    <x v="15"/>
    <n v="20.823529411764707"/>
    <m/>
    <m/>
  </r>
  <r>
    <s v="1000006830"/>
    <x v="8"/>
    <s v="1200003065"/>
    <s v="01-0F101-0007375"/>
    <x v="0"/>
    <d v="2026-07-08T00:00:00"/>
    <n v="19"/>
    <d v="2026-07-15T00:00:00"/>
    <n v="359.43"/>
    <s v="PEN"/>
    <x v="0"/>
    <m/>
    <m/>
    <m/>
    <x v="23"/>
    <n v="105.71470588235294"/>
    <m/>
    <m/>
  </r>
  <r>
    <s v="1000006830"/>
    <x v="8"/>
    <s v="1200003066"/>
    <s v="01-0F101-0007376"/>
    <x v="0"/>
    <d v="2026-07-08T00:00:00"/>
    <n v="19"/>
    <d v="2026-07-15T00:00:00"/>
    <n v="47.2"/>
    <s v="PEN"/>
    <x v="0"/>
    <m/>
    <m/>
    <m/>
    <x v="23"/>
    <n v="13.882352941176471"/>
    <m/>
    <m/>
  </r>
  <r>
    <s v="1000006830"/>
    <x v="8"/>
    <s v="1200003086"/>
    <s v="01-0F101-0007396"/>
    <x v="0"/>
    <d v="2026-07-09T00:00:00"/>
    <n v="18"/>
    <d v="2026-07-16T00:00:00"/>
    <n v="344.8"/>
    <s v="PEN"/>
    <x v="0"/>
    <m/>
    <m/>
    <m/>
    <x v="24"/>
    <n v="101.41176470588236"/>
    <m/>
    <m/>
  </r>
  <r>
    <s v="1000006830"/>
    <x v="8"/>
    <s v="1200003087"/>
    <s v="01-0F101-0007397"/>
    <x v="0"/>
    <d v="2026-07-09T00:00:00"/>
    <n v="18"/>
    <d v="2026-07-16T00:00:00"/>
    <n v="47.2"/>
    <s v="PEN"/>
    <x v="0"/>
    <m/>
    <m/>
    <m/>
    <x v="24"/>
    <n v="13.882352941176471"/>
    <m/>
    <m/>
  </r>
  <r>
    <s v="1000006830"/>
    <x v="8"/>
    <s v="1200003101"/>
    <s v="01-0F101-0007408"/>
    <x v="0"/>
    <d v="2026-07-10T00:00:00"/>
    <n v="17"/>
    <d v="2026-07-17T00:00:00"/>
    <n v="521.70000000000005"/>
    <s v="PEN"/>
    <x v="0"/>
    <m/>
    <m/>
    <m/>
    <x v="25"/>
    <n v="153.44117647058826"/>
    <m/>
    <m/>
  </r>
  <r>
    <s v="1000006830"/>
    <x v="8"/>
    <s v="1200003102"/>
    <s v="01-0F101-0007409"/>
    <x v="0"/>
    <d v="2026-07-10T00:00:00"/>
    <n v="17"/>
    <d v="2026-07-17T00:00:00"/>
    <n v="153.4"/>
    <s v="PEN"/>
    <x v="0"/>
    <m/>
    <m/>
    <m/>
    <x v="25"/>
    <n v="45.117647058823529"/>
    <m/>
    <m/>
  </r>
  <r>
    <s v="1000006830"/>
    <x v="8"/>
    <s v="1200003105"/>
    <s v="01-0F101-0007412"/>
    <x v="0"/>
    <d v="2026-07-10T00:00:00"/>
    <n v="17"/>
    <d v="2026-07-17T00:00:00"/>
    <n v="162.88999999999999"/>
    <s v="PEN"/>
    <x v="0"/>
    <m/>
    <m/>
    <m/>
    <x v="25"/>
    <n v="47.908823529411762"/>
    <m/>
    <m/>
  </r>
  <r>
    <s v="1000006830"/>
    <x v="8"/>
    <s v="1200003106"/>
    <s v="01-0F101-0007413"/>
    <x v="0"/>
    <d v="2026-07-10T00:00:00"/>
    <n v="17"/>
    <d v="2026-07-17T00:00:00"/>
    <n v="123.9"/>
    <s v="PEN"/>
    <x v="0"/>
    <m/>
    <m/>
    <m/>
    <x v="25"/>
    <n v="36.441176470588239"/>
    <m/>
    <m/>
  </r>
  <r>
    <s v="1000006830"/>
    <x v="8"/>
    <s v="1200003126"/>
    <s v="01-0F101-0007431"/>
    <x v="0"/>
    <d v="2026-07-11T00:00:00"/>
    <n v="16"/>
    <d v="2026-07-18T00:00:00"/>
    <n v="375.71"/>
    <s v="PEN"/>
    <x v="0"/>
    <m/>
    <m/>
    <m/>
    <x v="26"/>
    <n v="110.50294117647059"/>
    <m/>
    <m/>
  </r>
  <r>
    <s v="1000006830"/>
    <x v="8"/>
    <s v="1200003127"/>
    <s v="01-0F101-0007432"/>
    <x v="0"/>
    <d v="2026-07-11T00:00:00"/>
    <n v="16"/>
    <d v="2026-07-18T00:00:00"/>
    <n v="35.4"/>
    <s v="PEN"/>
    <x v="0"/>
    <m/>
    <m/>
    <m/>
    <x v="26"/>
    <n v="10.411764705882353"/>
    <m/>
    <m/>
  </r>
  <r>
    <s v="1000006830"/>
    <x v="8"/>
    <s v="1200003135"/>
    <s v="01-0F101-0007438"/>
    <x v="0"/>
    <d v="2026-07-11T00:00:00"/>
    <n v="16"/>
    <d v="2026-07-18T00:00:00"/>
    <n v="391.52"/>
    <s v="PEN"/>
    <x v="0"/>
    <m/>
    <m/>
    <m/>
    <x v="26"/>
    <n v="115.15294117647059"/>
    <m/>
    <m/>
  </r>
  <r>
    <s v="1000006830"/>
    <x v="8"/>
    <s v="1200003136"/>
    <s v="01-0F101-0007439"/>
    <x v="0"/>
    <d v="2026-07-11T00:00:00"/>
    <n v="16"/>
    <d v="2026-07-18T00:00:00"/>
    <n v="135.69999999999999"/>
    <s v="PEN"/>
    <x v="0"/>
    <m/>
    <m/>
    <m/>
    <x v="26"/>
    <n v="39.911764705882348"/>
    <m/>
    <m/>
  </r>
  <r>
    <s v="1000006830"/>
    <x v="8"/>
    <s v="1200003141"/>
    <s v="01-0F101-0007440"/>
    <x v="0"/>
    <d v="2026-07-12T00:00:00"/>
    <n v="15"/>
    <d v="2026-07-19T00:00:00"/>
    <n v="1809.93"/>
    <s v="PEN"/>
    <x v="0"/>
    <m/>
    <m/>
    <m/>
    <x v="27"/>
    <n v="532.33235294117651"/>
    <m/>
    <m/>
  </r>
  <r>
    <s v="1000006830"/>
    <x v="8"/>
    <s v="1200003142"/>
    <s v="01-0F101-0007441"/>
    <x v="0"/>
    <d v="2026-07-12T00:00:00"/>
    <n v="15"/>
    <d v="2026-07-19T00:00:00"/>
    <n v="454.3"/>
    <s v="PEN"/>
    <x v="0"/>
    <m/>
    <m/>
    <m/>
    <x v="27"/>
    <n v="133.61764705882354"/>
    <m/>
    <m/>
  </r>
  <r>
    <s v="1000006830"/>
    <x v="8"/>
    <s v="1200003165"/>
    <s v="01-0F101-0007460"/>
    <x v="0"/>
    <d v="2026-07-13T00:00:00"/>
    <n v="14"/>
    <d v="2026-07-20T00:00:00"/>
    <n v="675.2"/>
    <s v="PEN"/>
    <x v="0"/>
    <m/>
    <m/>
    <m/>
    <x v="28"/>
    <n v="198.58823529411765"/>
    <m/>
    <m/>
  </r>
  <r>
    <s v="1000006830"/>
    <x v="8"/>
    <s v="1200003166"/>
    <s v="01-0F101-0007461"/>
    <x v="0"/>
    <d v="2026-07-13T00:00:00"/>
    <n v="14"/>
    <d v="2026-07-20T00:00:00"/>
    <n v="82.6"/>
    <s v="PEN"/>
    <x v="0"/>
    <m/>
    <m/>
    <m/>
    <x v="28"/>
    <n v="24.294117647058822"/>
    <m/>
    <m/>
  </r>
  <r>
    <s v="1000006830"/>
    <x v="8"/>
    <s v="1200003181"/>
    <s v="01-0F101-0007472"/>
    <x v="0"/>
    <d v="2026-07-14T00:00:00"/>
    <n v="13"/>
    <d v="2026-07-21T00:00:00"/>
    <n v="744.39"/>
    <s v="PEN"/>
    <x v="0"/>
    <m/>
    <m/>
    <m/>
    <x v="29"/>
    <n v="218.93823529411765"/>
    <m/>
    <m/>
  </r>
  <r>
    <s v="1000006830"/>
    <x v="8"/>
    <s v="1200003182"/>
    <s v="01-0F101-0007473"/>
    <x v="0"/>
    <d v="2026-07-14T00:00:00"/>
    <n v="13"/>
    <d v="2026-07-21T00:00:00"/>
    <n v="218.3"/>
    <s v="PEN"/>
    <x v="0"/>
    <m/>
    <m/>
    <m/>
    <x v="29"/>
    <n v="64.205882352941188"/>
    <m/>
    <m/>
  </r>
  <r>
    <s v="1000006830"/>
    <x v="8"/>
    <s v="1200003204"/>
    <s v="01-0F101-0007491"/>
    <x v="0"/>
    <d v="2026-07-14T00:00:00"/>
    <n v="13"/>
    <d v="2026-07-21T00:00:00"/>
    <n v="703.04"/>
    <s v="PEN"/>
    <x v="0"/>
    <m/>
    <m/>
    <m/>
    <x v="29"/>
    <n v="206.7764705882353"/>
    <m/>
    <m/>
  </r>
  <r>
    <s v="1000006830"/>
    <x v="8"/>
    <s v="1200003205"/>
    <s v="01-0F101-0007492"/>
    <x v="0"/>
    <d v="2026-07-14T00:00:00"/>
    <n v="13"/>
    <d v="2026-07-21T00:00:00"/>
    <n v="70.8"/>
    <s v="PEN"/>
    <x v="0"/>
    <m/>
    <m/>
    <m/>
    <x v="29"/>
    <n v="20.823529411764707"/>
    <m/>
    <m/>
  </r>
  <r>
    <s v="1000006830"/>
    <x v="8"/>
    <s v="1200003206"/>
    <s v="01-0F101-0007493"/>
    <x v="0"/>
    <d v="2026-07-14T00:00:00"/>
    <n v="13"/>
    <d v="2026-07-21T00:00:00"/>
    <n v="157.41"/>
    <s v="PEN"/>
    <x v="0"/>
    <m/>
    <m/>
    <m/>
    <x v="29"/>
    <n v="46.297058823529412"/>
    <m/>
    <m/>
  </r>
  <r>
    <s v="1000006830"/>
    <x v="8"/>
    <s v="1200003207"/>
    <s v="01-0F101-0007494"/>
    <x v="0"/>
    <d v="2026-07-14T00:00:00"/>
    <n v="13"/>
    <d v="2026-07-21T00:00:00"/>
    <n v="35.4"/>
    <s v="PEN"/>
    <x v="0"/>
    <m/>
    <m/>
    <m/>
    <x v="29"/>
    <n v="10.411764705882353"/>
    <m/>
    <m/>
  </r>
  <r>
    <s v="1000006830"/>
    <x v="8"/>
    <s v="1200003228"/>
    <s v="01-0F101-0007512"/>
    <x v="0"/>
    <d v="2026-07-15T00:00:00"/>
    <n v="12"/>
    <d v="2026-07-22T00:00:00"/>
    <n v="438.02"/>
    <s v="PEN"/>
    <x v="0"/>
    <m/>
    <m/>
    <m/>
    <x v="30"/>
    <n v="128.82941176470587"/>
    <m/>
    <m/>
  </r>
  <r>
    <s v="1000006830"/>
    <x v="8"/>
    <s v="1200003229"/>
    <s v="01-0F101-0007513"/>
    <x v="0"/>
    <d v="2026-07-15T00:00:00"/>
    <n v="12"/>
    <d v="2026-07-22T00:00:00"/>
    <n v="35.4"/>
    <s v="PEN"/>
    <x v="0"/>
    <m/>
    <m/>
    <m/>
    <x v="30"/>
    <n v="10.411764705882353"/>
    <m/>
    <m/>
  </r>
  <r>
    <s v="1000006830"/>
    <x v="8"/>
    <s v="1200003236"/>
    <s v="01-0F101-0007520"/>
    <x v="0"/>
    <d v="2026-07-15T00:00:00"/>
    <n v="12"/>
    <d v="2026-07-22T00:00:00"/>
    <n v="399.55"/>
    <s v="PEN"/>
    <x v="0"/>
    <m/>
    <m/>
    <m/>
    <x v="30"/>
    <n v="117.51470588235294"/>
    <m/>
    <m/>
  </r>
  <r>
    <s v="1000006830"/>
    <x v="8"/>
    <s v="1200003237"/>
    <s v="01-0F101-0007521"/>
    <x v="0"/>
    <d v="2026-07-15T00:00:00"/>
    <n v="12"/>
    <d v="2026-07-22T00:00:00"/>
    <n v="47.2"/>
    <s v="PEN"/>
    <x v="0"/>
    <m/>
    <m/>
    <m/>
    <x v="30"/>
    <n v="13.882352941176471"/>
    <m/>
    <m/>
  </r>
  <r>
    <s v="1000006830"/>
    <x v="8"/>
    <s v="1200003254"/>
    <s v="01-0F101-0007534"/>
    <x v="0"/>
    <d v="2026-07-16T00:00:00"/>
    <n v="11"/>
    <d v="2026-07-23T00:00:00"/>
    <n v="460.25"/>
    <s v="PEN"/>
    <x v="0"/>
    <m/>
    <m/>
    <m/>
    <x v="31"/>
    <n v="135.36764705882354"/>
    <m/>
    <m/>
  </r>
  <r>
    <s v="1000006830"/>
    <x v="8"/>
    <s v="1200003255"/>
    <s v="01-0F101-0007535"/>
    <x v="0"/>
    <d v="2026-07-16T00:00:00"/>
    <n v="11"/>
    <d v="2026-07-23T00:00:00"/>
    <n v="153.4"/>
    <s v="PEN"/>
    <x v="0"/>
    <m/>
    <m/>
    <m/>
    <x v="31"/>
    <n v="45.117647058823529"/>
    <m/>
    <m/>
  </r>
  <r>
    <s v="1000006830"/>
    <x v="8"/>
    <s v="1200003257"/>
    <s v="01-0F101-0007536"/>
    <x v="0"/>
    <d v="2026-07-16T00:00:00"/>
    <n v="11"/>
    <d v="2026-07-23T00:00:00"/>
    <n v="402.85"/>
    <s v="PEN"/>
    <x v="0"/>
    <m/>
    <m/>
    <m/>
    <x v="31"/>
    <n v="118.48529411764707"/>
    <m/>
    <m/>
  </r>
  <r>
    <s v="1000006830"/>
    <x v="8"/>
    <s v="1200003258"/>
    <s v="01-0F101-0007537"/>
    <x v="0"/>
    <d v="2026-07-16T00:00:00"/>
    <n v="11"/>
    <d v="2026-07-23T00:00:00"/>
    <n v="35.4"/>
    <s v="PEN"/>
    <x v="0"/>
    <m/>
    <m/>
    <m/>
    <x v="31"/>
    <n v="10.411764705882353"/>
    <m/>
    <m/>
  </r>
  <r>
    <s v="1000006830"/>
    <x v="8"/>
    <s v="1200003276"/>
    <s v="01-0F101-0007554"/>
    <x v="0"/>
    <d v="2026-07-16T00:00:00"/>
    <n v="11"/>
    <d v="2026-07-23T00:00:00"/>
    <n v="690.21"/>
    <s v="PEN"/>
    <x v="0"/>
    <m/>
    <m/>
    <m/>
    <x v="31"/>
    <n v="203.00294117647061"/>
    <m/>
    <m/>
  </r>
  <r>
    <s v="1000006830"/>
    <x v="8"/>
    <s v="1200003277"/>
    <s v="01-0F101-0007555"/>
    <x v="0"/>
    <d v="2026-07-16T00:00:00"/>
    <n v="11"/>
    <d v="2026-07-23T00:00:00"/>
    <n v="212.4"/>
    <s v="PEN"/>
    <x v="0"/>
    <m/>
    <m/>
    <m/>
    <x v="31"/>
    <n v="62.470588235294123"/>
    <m/>
    <m/>
  </r>
  <r>
    <s v="1000006830"/>
    <x v="8"/>
    <s v="1200003284"/>
    <s v="01-0F101-0007562"/>
    <x v="0"/>
    <d v="2026-07-17T00:00:00"/>
    <n v="10"/>
    <d v="2026-07-24T00:00:00"/>
    <n v="629.41"/>
    <s v="PEN"/>
    <x v="0"/>
    <m/>
    <m/>
    <m/>
    <x v="32"/>
    <n v="185.12058823529412"/>
    <m/>
    <m/>
  </r>
  <r>
    <s v="1000006830"/>
    <x v="8"/>
    <s v="1200003285"/>
    <s v="01-0F101-0007563"/>
    <x v="0"/>
    <d v="2026-07-17T00:00:00"/>
    <n v="10"/>
    <d v="2026-07-24T00:00:00"/>
    <n v="230.1"/>
    <s v="PEN"/>
    <x v="0"/>
    <m/>
    <m/>
    <m/>
    <x v="32"/>
    <n v="67.67647058823529"/>
    <m/>
    <m/>
  </r>
  <r>
    <s v="1000006830"/>
    <x v="8"/>
    <s v="1200003286"/>
    <s v="01-0F101-0007564"/>
    <x v="0"/>
    <d v="2026-07-17T00:00:00"/>
    <n v="10"/>
    <d v="2026-07-24T00:00:00"/>
    <n v="367.07"/>
    <s v="PEN"/>
    <x v="0"/>
    <m/>
    <m/>
    <m/>
    <x v="32"/>
    <n v="107.96176470588236"/>
    <m/>
    <m/>
  </r>
  <r>
    <s v="1000006830"/>
    <x v="8"/>
    <s v="1200003287"/>
    <s v="01-0F101-0007565"/>
    <x v="0"/>
    <d v="2026-07-17T00:00:00"/>
    <n v="10"/>
    <d v="2026-07-24T00:00:00"/>
    <n v="177"/>
    <s v="PEN"/>
    <x v="0"/>
    <m/>
    <m/>
    <m/>
    <x v="32"/>
    <n v="52.058823529411768"/>
    <m/>
    <m/>
  </r>
  <r>
    <s v="1000006830"/>
    <x v="8"/>
    <s v="1200003289"/>
    <s v="01-0F101-0007567"/>
    <x v="0"/>
    <d v="2026-07-17T00:00:00"/>
    <n v="10"/>
    <d v="2026-07-24T00:00:00"/>
    <n v="331.11"/>
    <s v="PEN"/>
    <x v="0"/>
    <m/>
    <m/>
    <m/>
    <x v="32"/>
    <n v="97.385294117647064"/>
    <m/>
    <m/>
  </r>
  <r>
    <s v="1000006830"/>
    <x v="8"/>
    <s v="1200003290"/>
    <s v="01-0F101-0007568"/>
    <x v="0"/>
    <d v="2026-07-17T00:00:00"/>
    <n v="10"/>
    <d v="2026-07-24T00:00:00"/>
    <n v="35.4"/>
    <s v="PEN"/>
    <x v="0"/>
    <m/>
    <m/>
    <m/>
    <x v="32"/>
    <n v="10.411764705882353"/>
    <m/>
    <m/>
  </r>
  <r>
    <s v="1000006830"/>
    <x v="8"/>
    <s v="1200003348"/>
    <s v="01-0F101-0007613"/>
    <x v="0"/>
    <d v="2026-07-18T00:00:00"/>
    <n v="9"/>
    <d v="2026-07-25T00:00:00"/>
    <n v="683.27"/>
    <s v="PEN"/>
    <x v="0"/>
    <m/>
    <m/>
    <m/>
    <x v="33"/>
    <n v="200.96176470588236"/>
    <m/>
    <m/>
  </r>
  <r>
    <s v="1000006830"/>
    <x v="8"/>
    <s v="1200003349"/>
    <s v="01-0F101-0007614"/>
    <x v="0"/>
    <d v="2026-07-18T00:00:00"/>
    <n v="9"/>
    <d v="2026-07-25T00:00:00"/>
    <n v="194.7"/>
    <s v="PEN"/>
    <x v="0"/>
    <m/>
    <m/>
    <m/>
    <x v="33"/>
    <n v="57.264705882352942"/>
    <m/>
    <m/>
  </r>
  <r>
    <s v="1000006830"/>
    <x v="8"/>
    <s v="1200003350"/>
    <s v="01-0F101-0007615"/>
    <x v="0"/>
    <d v="2026-07-19T00:00:00"/>
    <n v="8"/>
    <d v="2026-07-26T00:00:00"/>
    <n v="692.85"/>
    <s v="PEN"/>
    <x v="0"/>
    <m/>
    <m/>
    <m/>
    <x v="34"/>
    <n v="203.77941176470588"/>
    <m/>
    <m/>
  </r>
  <r>
    <s v="1000006830"/>
    <x v="8"/>
    <s v="1200003351"/>
    <s v="01-0F101-0007616"/>
    <x v="0"/>
    <d v="2026-07-19T00:00:00"/>
    <n v="8"/>
    <d v="2026-07-26T00:00:00"/>
    <n v="194.7"/>
    <s v="PEN"/>
    <x v="0"/>
    <m/>
    <m/>
    <m/>
    <x v="34"/>
    <n v="57.264705882352942"/>
    <m/>
    <m/>
  </r>
  <r>
    <s v="1000006830"/>
    <x v="8"/>
    <s v="1200003368"/>
    <s v="01-0F101-0007630"/>
    <x v="0"/>
    <d v="2026-07-20T00:00:00"/>
    <n v="7"/>
    <d v="2026-07-27T00:00:00"/>
    <n v="367.07"/>
    <s v="PEN"/>
    <x v="0"/>
    <m/>
    <m/>
    <m/>
    <x v="35"/>
    <n v="107.96176470588236"/>
    <m/>
    <m/>
  </r>
  <r>
    <s v="1000006830"/>
    <x v="8"/>
    <s v="1200003369"/>
    <s v="01-0F101-0007631"/>
    <x v="0"/>
    <d v="2026-07-20T00:00:00"/>
    <n v="7"/>
    <d v="2026-07-27T00:00:00"/>
    <n v="135.69999999999999"/>
    <s v="PEN"/>
    <x v="0"/>
    <m/>
    <m/>
    <m/>
    <x v="35"/>
    <n v="39.911764705882348"/>
    <m/>
    <m/>
  </r>
  <r>
    <s v="1000006830"/>
    <x v="8"/>
    <s v="1200003412"/>
    <s v="01-0F101-0007664"/>
    <x v="0"/>
    <d v="2026-07-24T00:00:00"/>
    <n v="3"/>
    <d v="2026-07-31T00:00:00"/>
    <n v="452.98"/>
    <s v="PEN"/>
    <x v="0"/>
    <m/>
    <m/>
    <m/>
    <x v="18"/>
    <n v="133.2294117647059"/>
    <m/>
    <m/>
  </r>
  <r>
    <s v="1000006830"/>
    <x v="8"/>
    <s v="1200003413"/>
    <s v="01-0F101-0007665"/>
    <x v="0"/>
    <d v="2026-07-24T00:00:00"/>
    <n v="3"/>
    <d v="2026-07-31T00:00:00"/>
    <n v="153.4"/>
    <s v="PEN"/>
    <x v="0"/>
    <m/>
    <m/>
    <m/>
    <x v="18"/>
    <n v="45.117647058823529"/>
    <m/>
    <m/>
  </r>
  <r>
    <s v="1000006830"/>
    <x v="8"/>
    <s v="1200003426"/>
    <s v="01-0F101-0007676"/>
    <x v="0"/>
    <d v="2026-07-24T00:00:00"/>
    <n v="3"/>
    <d v="2026-07-31T00:00:00"/>
    <n v="617.85"/>
    <s v="PEN"/>
    <x v="0"/>
    <m/>
    <m/>
    <m/>
    <x v="18"/>
    <n v="181.72058823529412"/>
    <m/>
    <m/>
  </r>
  <r>
    <s v="1000006830"/>
    <x v="8"/>
    <s v="1200003427"/>
    <s v="01-0F101-0007677"/>
    <x v="0"/>
    <d v="2026-07-24T00:00:00"/>
    <n v="3"/>
    <d v="2026-07-31T00:00:00"/>
    <n v="177"/>
    <s v="PEN"/>
    <x v="0"/>
    <m/>
    <m/>
    <m/>
    <x v="18"/>
    <n v="52.058823529411768"/>
    <m/>
    <m/>
  </r>
  <r>
    <s v="1000006830"/>
    <x v="8"/>
    <s v="1200003436"/>
    <s v="01-0F101-0007682"/>
    <x v="0"/>
    <d v="2026-07-24T00:00:00"/>
    <n v="3"/>
    <d v="2026-07-31T00:00:00"/>
    <n v="673.02"/>
    <s v="PEN"/>
    <x v="0"/>
    <m/>
    <m/>
    <m/>
    <x v="18"/>
    <n v="197.9470588235294"/>
    <m/>
    <m/>
  </r>
  <r>
    <s v="1000006830"/>
    <x v="8"/>
    <s v="1200003437"/>
    <s v="01-0F101-0007683"/>
    <x v="0"/>
    <d v="2026-07-24T00:00:00"/>
    <n v="3"/>
    <d v="2026-07-31T00:00:00"/>
    <n v="177"/>
    <s v="PEN"/>
    <x v="0"/>
    <m/>
    <m/>
    <m/>
    <x v="18"/>
    <n v="52.058823529411768"/>
    <m/>
    <m/>
  </r>
  <r>
    <s v="1000006830"/>
    <x v="8"/>
    <s v="1200003448"/>
    <s v="01-0F101-0007690"/>
    <x v="0"/>
    <d v="2026-07-27T00:00:00"/>
    <n v="0"/>
    <d v="2026-08-03T00:00:00"/>
    <n v="47.2"/>
    <s v="PEN"/>
    <x v="0"/>
    <m/>
    <m/>
    <m/>
    <x v="36"/>
    <n v="13.882352941176471"/>
    <m/>
    <m/>
  </r>
  <r>
    <s v="1000006830"/>
    <x v="8"/>
    <s v="1200003449"/>
    <s v="01-0F101-0007691"/>
    <x v="0"/>
    <d v="2026-07-27T00:00:00"/>
    <n v="0"/>
    <d v="2026-08-03T00:00:00"/>
    <n v="266.44"/>
    <s v="PEN"/>
    <x v="0"/>
    <m/>
    <m/>
    <m/>
    <x v="36"/>
    <n v="78.364705882352936"/>
    <m/>
    <m/>
  </r>
  <r>
    <s v="2000001459"/>
    <x v="9"/>
    <s v="1300004230"/>
    <s v="ANTICIPO FP242"/>
    <x v="3"/>
    <d v="2026-05-26T00:00:00"/>
    <n v="0"/>
    <d v="2026-05-31T00:00:00"/>
    <n v="-34580"/>
    <s v="USD"/>
    <x v="1"/>
    <d v="2026-07-25T00:00:00"/>
    <m/>
    <m/>
    <x v="37"/>
    <n v="-34580"/>
    <n v="69"/>
    <s v="61-90"/>
  </r>
  <r>
    <s v="2000001459"/>
    <x v="9"/>
    <s v="1200003452"/>
    <s v="01-0F002-0000393"/>
    <x v="2"/>
    <d v="2026-07-27T00:00:00"/>
    <n v="-113"/>
    <d v="2026-11-24T00:00:00"/>
    <n v="89775"/>
    <s v="USD"/>
    <x v="1"/>
    <d v="2026-09-25T00:00:00"/>
    <m/>
    <m/>
    <x v="13"/>
    <n v="89775"/>
    <n v="7"/>
    <s v="0-45"/>
  </r>
  <r>
    <s v="2000001459"/>
    <x v="9"/>
    <s v="1200003474"/>
    <s v="01-0F002-0000407"/>
    <x v="2"/>
    <d v="2026-07-31T00:00:00"/>
    <n v="-57"/>
    <d v="2026-09-29T00:00:00"/>
    <n v="29925"/>
    <s v="USD"/>
    <x v="1"/>
    <d v="2026-09-29T00:00:00"/>
    <m/>
    <m/>
    <x v="38"/>
    <n v="29925"/>
    <n v="3"/>
    <s v="0-45"/>
  </r>
  <r>
    <s v="2000001172"/>
    <x v="10"/>
    <s v="1300007034"/>
    <s v="FT-0F002-0000374"/>
    <x v="1"/>
    <d v="2026-06-21T00:00:00"/>
    <n v="43"/>
    <d v="2026-06-21T00:00:00"/>
    <n v="14830.54"/>
    <s v="USD"/>
    <x v="1"/>
    <d v="2026-08-20T00:00:00"/>
    <n v="-17"/>
    <d v="2026-08-20T00:00:00"/>
    <x v="39"/>
    <n v="14830.54"/>
    <n v="43"/>
    <s v="0-45"/>
  </r>
  <r>
    <s v="2000001172"/>
    <x v="10"/>
    <s v="1200003362"/>
    <s v="01-0F002-0000389"/>
    <x v="2"/>
    <d v="2026-07-17T00:00:00"/>
    <n v="-28"/>
    <d v="2026-08-31T00:00:00"/>
    <n v="3145.44"/>
    <s v="USD"/>
    <x v="1"/>
    <d v="2026-09-15T00:00:00"/>
    <m/>
    <m/>
    <x v="40"/>
    <n v="3145.44"/>
    <n v="17"/>
    <s v="0-45"/>
  </r>
  <r>
    <s v="2000000231"/>
    <x v="11"/>
    <s v="1300007149"/>
    <s v="FT-0F002-0000371"/>
    <x v="1"/>
    <d v="2026-06-19T00:00:00"/>
    <n v="45"/>
    <d v="2026-06-19T00:00:00"/>
    <n v="157950"/>
    <s v="USD"/>
    <x v="1"/>
    <d v="2026-08-18T00:00:00"/>
    <n v="0"/>
    <d v="2026-08-03T00:00:00"/>
    <x v="41"/>
    <n v="157950"/>
    <n v="45"/>
    <s v="0-45"/>
  </r>
  <r>
    <s v="2000000231"/>
    <x v="11"/>
    <s v="1200002880"/>
    <s v="01-0F002-0000378"/>
    <x v="2"/>
    <d v="2026-06-30T00:00:00"/>
    <n v="-11"/>
    <d v="2026-08-14T00:00:00"/>
    <n v="211167"/>
    <s v="USD"/>
    <x v="1"/>
    <d v="2026-08-29T00:00:00"/>
    <n v="-26"/>
    <d v="2026-08-29T00:00:00"/>
    <x v="42"/>
    <n v="211167"/>
    <n v="34"/>
    <s v="0-45"/>
  </r>
  <r>
    <s v="2000000231"/>
    <x v="11"/>
    <s v="1200002882"/>
    <s v="01-0F002-0000379"/>
    <x v="2"/>
    <d v="2026-06-30T00:00:00"/>
    <n v="-26"/>
    <d v="2026-08-29T00:00:00"/>
    <n v="105300"/>
    <s v="USD"/>
    <x v="1"/>
    <d v="2026-08-29T00:00:00"/>
    <n v="-26"/>
    <d v="2026-08-29T00:00:00"/>
    <x v="11"/>
    <n v="105300"/>
    <n v="34"/>
    <s v="0-45"/>
  </r>
  <r>
    <s v="2000000233"/>
    <x v="12"/>
    <s v="1200002904"/>
    <s v="FT-0F002-0000382"/>
    <x v="1"/>
    <d v="2026-06-30T00:00:00"/>
    <n v="-26"/>
    <d v="2026-08-29T00:00:00"/>
    <n v="395975.8"/>
    <s v="USD"/>
    <x v="1"/>
    <d v="2026-08-29T00:00:00"/>
    <n v="-26"/>
    <d v="2026-08-29T00:00:00"/>
    <x v="11"/>
    <n v="395975.8"/>
    <n v="34"/>
    <s v="0-45"/>
  </r>
  <r>
    <s v="2000000233"/>
    <x v="12"/>
    <s v="1200002938"/>
    <s v="FT-0F002-0000385"/>
    <x v="2"/>
    <d v="2026-06-30T00:00:00"/>
    <n v="-26"/>
    <d v="2026-08-29T00:00:00"/>
    <n v="190849.2"/>
    <s v="USD"/>
    <x v="1"/>
    <d v="2026-08-29T00:00:00"/>
    <n v="-26"/>
    <d v="2026-08-29T00:00:00"/>
    <x v="11"/>
    <n v="190849.2"/>
    <n v="34"/>
    <s v="0-45"/>
  </r>
  <r>
    <s v="6002007"/>
    <x v="13"/>
    <s v="1200005141"/>
    <s v="01-0F101-0004638"/>
    <x v="0"/>
    <d v="2025-11-03T00:00:00"/>
    <n v="266"/>
    <d v="2025-11-10T00:00:00"/>
    <n v="1403.26"/>
    <s v="PEN"/>
    <x v="3"/>
    <m/>
    <m/>
    <m/>
    <x v="43"/>
    <n v="412.72352941176473"/>
    <m/>
    <m/>
  </r>
  <r>
    <s v="6002007"/>
    <x v="13"/>
    <s v="1200005142"/>
    <s v="01-0F101-0004639"/>
    <x v="0"/>
    <d v="2025-11-03T00:00:00"/>
    <n v="266"/>
    <d v="2025-11-10T00:00:00"/>
    <n v="141.6"/>
    <s v="PEN"/>
    <x v="3"/>
    <m/>
    <m/>
    <m/>
    <x v="43"/>
    <n v="41.647058823529413"/>
    <m/>
    <m/>
  </r>
  <r>
    <s v="6002007"/>
    <x v="13"/>
    <s v="1200005158"/>
    <s v="01-0F101-0004653"/>
    <x v="0"/>
    <d v="2025-11-06T00:00:00"/>
    <n v="263"/>
    <d v="2025-11-13T00:00:00"/>
    <n v="1193.22"/>
    <s v="PEN"/>
    <x v="3"/>
    <m/>
    <m/>
    <m/>
    <x v="44"/>
    <n v="350.9470588235294"/>
    <m/>
    <m/>
  </r>
  <r>
    <s v="6002007"/>
    <x v="13"/>
    <s v="1200005159"/>
    <s v="01-0F101-0004654"/>
    <x v="0"/>
    <d v="2025-11-06T00:00:00"/>
    <n v="263"/>
    <d v="2025-11-13T00:00:00"/>
    <n v="106.2"/>
    <s v="PEN"/>
    <x v="3"/>
    <m/>
    <m/>
    <m/>
    <x v="44"/>
    <n v="31.235294117647062"/>
    <m/>
    <m/>
  </r>
  <r>
    <s v="6002007"/>
    <x v="13"/>
    <s v="1200001503"/>
    <s v="01-0F101-0006226"/>
    <x v="0"/>
    <d v="2026-05-06T00:00:00"/>
    <n v="82"/>
    <d v="2026-05-13T00:00:00"/>
    <n v="23.6"/>
    <s v="PEN"/>
    <x v="3"/>
    <m/>
    <m/>
    <m/>
    <x v="45"/>
    <n v="6.9411764705882355"/>
    <m/>
    <m/>
  </r>
  <r>
    <s v="6002007"/>
    <x v="13"/>
    <s v="1200001504"/>
    <s v="01-0F101-0006227"/>
    <x v="0"/>
    <d v="2026-05-06T00:00:00"/>
    <n v="82"/>
    <d v="2026-05-13T00:00:00"/>
    <n v="261.49"/>
    <s v="PEN"/>
    <x v="3"/>
    <m/>
    <m/>
    <m/>
    <x v="45"/>
    <n v="76.908823529411762"/>
    <m/>
    <m/>
  </r>
  <r>
    <s v="6002007"/>
    <x v="13"/>
    <s v="1200001509"/>
    <s v="01-0F101-0006232"/>
    <x v="0"/>
    <d v="2026-05-06T00:00:00"/>
    <n v="82"/>
    <d v="2026-05-13T00:00:00"/>
    <n v="387.51"/>
    <s v="PEN"/>
    <x v="3"/>
    <m/>
    <m/>
    <m/>
    <x v="45"/>
    <n v="113.9735294117647"/>
    <m/>
    <m/>
  </r>
  <r>
    <s v="6002007"/>
    <x v="13"/>
    <s v="1200001510"/>
    <s v="01-0F101-0006233"/>
    <x v="0"/>
    <d v="2026-05-06T00:00:00"/>
    <n v="82"/>
    <d v="2026-05-13T00:00:00"/>
    <n v="35.4"/>
    <s v="PEN"/>
    <x v="3"/>
    <m/>
    <m/>
    <m/>
    <x v="45"/>
    <n v="10.411764705882353"/>
    <m/>
    <m/>
  </r>
  <r>
    <s v="6002007"/>
    <x v="13"/>
    <s v="1200001609"/>
    <s v="01-0F101-0006311"/>
    <x v="0"/>
    <d v="2026-05-12T00:00:00"/>
    <n v="76"/>
    <d v="2026-05-19T00:00:00"/>
    <n v="482.86"/>
    <s v="PEN"/>
    <x v="3"/>
    <m/>
    <m/>
    <m/>
    <x v="46"/>
    <n v="142.01764705882354"/>
    <m/>
    <m/>
  </r>
  <r>
    <s v="6002007"/>
    <x v="13"/>
    <s v="1200001610"/>
    <s v="01-0F101-0006312"/>
    <x v="0"/>
    <d v="2026-05-12T00:00:00"/>
    <n v="76"/>
    <d v="2026-05-19T00:00:00"/>
    <n v="47.2"/>
    <s v="PEN"/>
    <x v="3"/>
    <m/>
    <m/>
    <m/>
    <x v="46"/>
    <n v="13.882352941176471"/>
    <m/>
    <m/>
  </r>
  <r>
    <s v="6002007"/>
    <x v="13"/>
    <s v="1200001789"/>
    <s v="01-0F101-0006447"/>
    <x v="0"/>
    <d v="2026-05-16T00:00:00"/>
    <n v="72"/>
    <d v="2026-05-23T00:00:00"/>
    <n v="544.45000000000005"/>
    <s v="PEN"/>
    <x v="3"/>
    <m/>
    <m/>
    <m/>
    <x v="47"/>
    <n v="160.13235294117649"/>
    <m/>
    <m/>
  </r>
  <r>
    <s v="6002007"/>
    <x v="13"/>
    <s v="1200001790"/>
    <s v="01-0F101-0006448"/>
    <x v="0"/>
    <d v="2026-05-16T00:00:00"/>
    <n v="72"/>
    <d v="2026-05-23T00:00:00"/>
    <n v="47.2"/>
    <s v="PEN"/>
    <x v="3"/>
    <m/>
    <m/>
    <m/>
    <x v="47"/>
    <n v="13.882352941176471"/>
    <m/>
    <m/>
  </r>
  <r>
    <s v="6002007"/>
    <x v="13"/>
    <s v="1200002045"/>
    <s v="01-0F101-0006626"/>
    <x v="0"/>
    <d v="2026-05-27T00:00:00"/>
    <n v="61"/>
    <d v="2026-06-03T00:00:00"/>
    <n v="591.65"/>
    <s v="PEN"/>
    <x v="3"/>
    <m/>
    <m/>
    <m/>
    <x v="48"/>
    <n v="174.01470588235293"/>
    <m/>
    <m/>
  </r>
  <r>
    <s v="6002007"/>
    <x v="13"/>
    <s v="1200002046"/>
    <s v="01-0F101-0006627"/>
    <x v="0"/>
    <d v="2026-05-27T00:00:00"/>
    <n v="61"/>
    <d v="2026-06-03T00:00:00"/>
    <n v="70.8"/>
    <s v="PEN"/>
    <x v="3"/>
    <m/>
    <m/>
    <m/>
    <x v="48"/>
    <n v="20.823529411764707"/>
    <m/>
    <m/>
  </r>
  <r>
    <s v="6002007"/>
    <x v="13"/>
    <s v="1200002186"/>
    <s v="01-0F101-0006716"/>
    <x v="0"/>
    <d v="2026-06-02T00:00:00"/>
    <n v="55"/>
    <d v="2026-06-09T00:00:00"/>
    <n v="185.97"/>
    <s v="PEN"/>
    <x v="3"/>
    <m/>
    <m/>
    <m/>
    <x v="49"/>
    <n v="54.69705882352941"/>
    <m/>
    <m/>
  </r>
  <r>
    <s v="6002007"/>
    <x v="13"/>
    <s v="1200002187"/>
    <s v="01-0F101-0006717"/>
    <x v="0"/>
    <d v="2026-06-02T00:00:00"/>
    <n v="55"/>
    <d v="2026-06-09T00:00:00"/>
    <n v="23.6"/>
    <s v="PEN"/>
    <x v="3"/>
    <m/>
    <m/>
    <m/>
    <x v="49"/>
    <n v="6.9411764705882355"/>
    <m/>
    <m/>
  </r>
  <r>
    <s v="6002007"/>
    <x v="13"/>
    <s v="1200002487"/>
    <s v="01-0F101-0006948"/>
    <x v="0"/>
    <d v="2026-06-13T00:00:00"/>
    <n v="44"/>
    <d v="2026-06-20T00:00:00"/>
    <n v="535.25"/>
    <s v="PEN"/>
    <x v="3"/>
    <m/>
    <m/>
    <m/>
    <x v="50"/>
    <n v="157.4264705882353"/>
    <m/>
    <m/>
  </r>
  <r>
    <s v="6002007"/>
    <x v="13"/>
    <s v="1200002488"/>
    <s v="01-0F101-0006949"/>
    <x v="0"/>
    <d v="2026-06-13T00:00:00"/>
    <n v="44"/>
    <d v="2026-06-20T00:00:00"/>
    <n v="70.8"/>
    <s v="PEN"/>
    <x v="3"/>
    <m/>
    <m/>
    <m/>
    <x v="50"/>
    <n v="20.823529411764707"/>
    <m/>
    <m/>
  </r>
  <r>
    <s v="6002007"/>
    <x v="13"/>
    <s v="1200002956"/>
    <s v="01-0F101-0007286"/>
    <x v="0"/>
    <d v="2026-07-03T00:00:00"/>
    <n v="24"/>
    <d v="2026-07-10T00:00:00"/>
    <n v="449.11"/>
    <s v="PEN"/>
    <x v="3"/>
    <m/>
    <m/>
    <m/>
    <x v="51"/>
    <n v="132.09117647058824"/>
    <m/>
    <m/>
  </r>
  <r>
    <s v="6002007"/>
    <x v="13"/>
    <s v="1200002957"/>
    <s v="01-0F101-0007287"/>
    <x v="0"/>
    <d v="2026-07-03T00:00:00"/>
    <n v="24"/>
    <d v="2026-07-10T00:00:00"/>
    <n v="35.4"/>
    <s v="PEN"/>
    <x v="3"/>
    <m/>
    <m/>
    <m/>
    <x v="51"/>
    <n v="10.411764705882353"/>
    <m/>
    <m/>
  </r>
  <r>
    <s v="6002007"/>
    <x v="13"/>
    <s v="1200003319"/>
    <s v="01-0F101-0007590"/>
    <x v="0"/>
    <d v="2026-07-17T00:00:00"/>
    <n v="10"/>
    <d v="2026-07-24T00:00:00"/>
    <n v="355.65"/>
    <s v="PEN"/>
    <x v="3"/>
    <m/>
    <m/>
    <m/>
    <x v="32"/>
    <n v="104.60294117647058"/>
    <m/>
    <m/>
  </r>
  <r>
    <s v="6002007"/>
    <x v="13"/>
    <s v="1200003320"/>
    <s v="01-0F101-0007591"/>
    <x v="0"/>
    <d v="2026-07-17T00:00:00"/>
    <n v="10"/>
    <d v="2026-07-24T00:00:00"/>
    <n v="47.2"/>
    <s v="PEN"/>
    <x v="3"/>
    <m/>
    <m/>
    <m/>
    <x v="32"/>
    <n v="13.882352941176471"/>
    <m/>
    <m/>
  </r>
  <r>
    <s v="6001105"/>
    <x v="14"/>
    <s v="1200001301"/>
    <s v="01-0F101-0006074"/>
    <x v="0"/>
    <d v="2026-04-28T00:00:00"/>
    <n v="97"/>
    <d v="2026-04-28T00:00:00"/>
    <n v="716.71"/>
    <s v="PEN"/>
    <x v="0"/>
    <m/>
    <m/>
    <m/>
    <x v="52"/>
    <n v="210.79705882352943"/>
    <m/>
    <m/>
  </r>
  <r>
    <s v="6001105"/>
    <x v="14"/>
    <s v="1200001302"/>
    <s v="01-0F101-0006075"/>
    <x v="0"/>
    <d v="2026-04-28T00:00:00"/>
    <n v="97"/>
    <d v="2026-04-28T00:00:00"/>
    <n v="129.80000000000001"/>
    <s v="PEN"/>
    <x v="0"/>
    <m/>
    <m/>
    <m/>
    <x v="52"/>
    <n v="38.176470588235297"/>
    <m/>
    <m/>
  </r>
  <r>
    <s v="6001105"/>
    <x v="14"/>
    <s v="1300004037"/>
    <s v="FT-0F101-0006072"/>
    <x v="1"/>
    <d v="2026-04-28T00:00:00"/>
    <n v="97"/>
    <d v="2026-04-28T00:00:00"/>
    <n v="422.56"/>
    <s v="PEN"/>
    <x v="0"/>
    <m/>
    <m/>
    <m/>
    <x v="52"/>
    <n v="124.28235294117647"/>
    <m/>
    <m/>
  </r>
  <r>
    <s v="6001105"/>
    <x v="14"/>
    <s v="1200001648"/>
    <s v="01-0F101-0006336"/>
    <x v="0"/>
    <d v="2026-05-12T00:00:00"/>
    <n v="83"/>
    <d v="2026-05-12T00:00:00"/>
    <n v="404.98"/>
    <s v="PEN"/>
    <x v="0"/>
    <m/>
    <m/>
    <m/>
    <x v="53"/>
    <n v="119.11176470588236"/>
    <m/>
    <m/>
  </r>
  <r>
    <s v="6001105"/>
    <x v="14"/>
    <s v="1200001649"/>
    <s v="01-0F101-0006337"/>
    <x v="0"/>
    <d v="2026-05-12T00:00:00"/>
    <n v="83"/>
    <d v="2026-05-12T00:00:00"/>
    <n v="59"/>
    <s v="PEN"/>
    <x v="0"/>
    <m/>
    <m/>
    <m/>
    <x v="53"/>
    <n v="17.352941176470587"/>
    <m/>
    <m/>
  </r>
  <r>
    <s v="6001105"/>
    <x v="14"/>
    <s v="1300007099"/>
    <s v="FT-0F101-0007507"/>
    <x v="1"/>
    <d v="2026-07-15T00:00:00"/>
    <n v="19"/>
    <d v="2026-07-15T00:00:00"/>
    <n v="23.6"/>
    <s v="PEN"/>
    <x v="0"/>
    <m/>
    <m/>
    <m/>
    <x v="23"/>
    <n v="6.9411764705882355"/>
    <m/>
    <m/>
  </r>
  <r>
    <s v="2000001443"/>
    <x v="15"/>
    <s v="1300004715"/>
    <s v="FT-0F002-0000355"/>
    <x v="1"/>
    <d v="2026-05-29T00:00:00"/>
    <n v="66"/>
    <d v="2026-05-29T00:00:00"/>
    <n v="67008"/>
    <s v="USD"/>
    <x v="1"/>
    <d v="2026-07-28T00:00:00"/>
    <n v="2"/>
    <d v="2026-08-01T00:00:00"/>
    <x v="54"/>
    <n v="67008"/>
    <n v="66"/>
    <s v="61-90"/>
  </r>
  <r>
    <s v="2000001359"/>
    <x v="16"/>
    <s v="1300005285"/>
    <s v="FT-0F002-0000309"/>
    <x v="1"/>
    <d v="2026-04-27T00:00:00"/>
    <n v="98"/>
    <d v="2026-04-27T00:00:00"/>
    <n v="10284"/>
    <s v="USD"/>
    <x v="1"/>
    <d v="2026-06-26T00:00:00"/>
    <n v="3"/>
    <d v="2026-07-31T00:00:00"/>
    <x v="19"/>
    <n v="10284"/>
    <n v="98"/>
    <s v="91-a más"/>
  </r>
  <r>
    <s v="2000001359"/>
    <x v="16"/>
    <s v="1200003338"/>
    <s v="01-0F002-0000388"/>
    <x v="2"/>
    <d v="2026-07-17T00:00:00"/>
    <n v="-43"/>
    <d v="2026-09-15T00:00:00"/>
    <n v="74100"/>
    <s v="USD"/>
    <x v="1"/>
    <d v="2026-09-15T00:00:00"/>
    <m/>
    <m/>
    <x v="40"/>
    <n v="74100"/>
    <n v="17"/>
    <s v="0-45"/>
  </r>
  <r>
    <s v="2000001468"/>
    <x v="17"/>
    <s v="1300004843"/>
    <s v="ANTICIPO FP-247"/>
    <x v="3"/>
    <d v="2026-06-05T00:00:00"/>
    <n v="0"/>
    <d v="2026-06-30T00:00:00"/>
    <n v="-13728"/>
    <s v="USD"/>
    <x v="1"/>
    <d v="2026-08-04T00:00:00"/>
    <m/>
    <m/>
    <x v="55"/>
    <n v="-13728"/>
    <n v="59"/>
    <s v="46-60"/>
  </r>
  <r>
    <s v="2000001468"/>
    <x v="17"/>
    <s v="1200003263"/>
    <s v="01-0F002-0000387"/>
    <x v="2"/>
    <d v="2026-07-13T00:00:00"/>
    <n v="-39"/>
    <d v="2026-09-11T00:00:00"/>
    <n v="68340"/>
    <s v="USD"/>
    <x v="1"/>
    <d v="2026-09-11T00:00:00"/>
    <n v="-39"/>
    <d v="2026-09-11T00:00:00"/>
    <x v="56"/>
    <n v="68340"/>
    <n v="21"/>
    <s v="0-45"/>
  </r>
  <r>
    <s v="1000013925"/>
    <x v="18"/>
    <s v="1300006898"/>
    <s v="FT-0F003-0000101"/>
    <x v="1"/>
    <d v="2025-10-21T00:00:00"/>
    <n v="286"/>
    <d v="2025-10-21T00:00:00"/>
    <n v="4460"/>
    <s v="PEN"/>
    <x v="4"/>
    <m/>
    <m/>
    <m/>
    <x v="57"/>
    <n v="1311.7647058823529"/>
    <m/>
    <m/>
  </r>
  <r>
    <s v="1000013925"/>
    <x v="18"/>
    <s v="1200005124"/>
    <s v="01-0F003-0000129"/>
    <x v="0"/>
    <d v="2025-11-04T00:00:00"/>
    <n v="265"/>
    <d v="2025-11-11T00:00:00"/>
    <n v="7097.98"/>
    <s v="PEN"/>
    <x v="4"/>
    <m/>
    <m/>
    <m/>
    <x v="58"/>
    <n v="2087.6411764705881"/>
    <m/>
    <m/>
  </r>
  <r>
    <s v="1000013925"/>
    <x v="18"/>
    <s v="1200000182"/>
    <s v="01-0F003-0000168"/>
    <x v="0"/>
    <d v="2026-01-31T00:00:00"/>
    <n v="177"/>
    <d v="2026-02-07T00:00:00"/>
    <n v="4003.46"/>
    <s v="PEN"/>
    <x v="4"/>
    <m/>
    <m/>
    <m/>
    <x v="59"/>
    <n v="1177.4882352941177"/>
    <m/>
    <m/>
  </r>
  <r>
    <s v="1000013925"/>
    <x v="18"/>
    <s v="1200000382"/>
    <s v="01-0F003-0000174"/>
    <x v="0"/>
    <d v="2026-03-03T00:00:00"/>
    <n v="146"/>
    <d v="2026-03-10T00:00:00"/>
    <n v="4956"/>
    <s v="PEN"/>
    <x v="4"/>
    <m/>
    <m/>
    <m/>
    <x v="60"/>
    <n v="1457.6470588235295"/>
    <m/>
    <m/>
  </r>
  <r>
    <s v="2000001380"/>
    <x v="19"/>
    <s v="1300004799"/>
    <s v="ANTICIPO FP-243"/>
    <x v="3"/>
    <d v="2026-06-02T00:00:00"/>
    <n v="0"/>
    <d v="2026-06-30T00:00:00"/>
    <n v="-6470"/>
    <s v="USD"/>
    <x v="1"/>
    <d v="2026-08-01T00:00:00"/>
    <m/>
    <m/>
    <x v="61"/>
    <n v="-6470"/>
    <n v="62"/>
    <s v="61-90"/>
  </r>
  <r>
    <s v="2000001380"/>
    <x v="19"/>
    <s v="1200002542"/>
    <s v="01-0F002-0000368"/>
    <x v="2"/>
    <d v="2026-06-13T00:00:00"/>
    <n v="6"/>
    <d v="2026-07-28T00:00:00"/>
    <n v="29250"/>
    <s v="USD"/>
    <x v="1"/>
    <d v="2026-08-12T00:00:00"/>
    <n v="-9"/>
    <d v="2026-08-12T00:00:00"/>
    <x v="41"/>
    <n v="29250"/>
    <n v="51"/>
    <s v="46-60"/>
  </r>
  <r>
    <s v="6000434"/>
    <x v="20"/>
    <s v="1200004540"/>
    <s v="01-0F003-0000083"/>
    <x v="0"/>
    <d v="2025-10-07T00:00:00"/>
    <n v="293"/>
    <d v="2025-10-14T00:00:00"/>
    <n v="790"/>
    <s v="PEN"/>
    <x v="5"/>
    <m/>
    <m/>
    <m/>
    <x v="62"/>
    <n v="232.35294117647061"/>
    <m/>
    <m/>
  </r>
  <r>
    <s v="1000001607"/>
    <x v="21"/>
    <s v="1200003352"/>
    <s v="01-0F101-0007617"/>
    <x v="0"/>
    <d v="2026-07-19T00:00:00"/>
    <n v="8"/>
    <d v="2026-07-26T00:00:00"/>
    <n v="2152.3200000000002"/>
    <s v="PEN"/>
    <x v="0"/>
    <m/>
    <m/>
    <m/>
    <x v="34"/>
    <n v="633.03529411764714"/>
    <m/>
    <m/>
  </r>
  <r>
    <s v="1000001607"/>
    <x v="21"/>
    <s v="1200003365"/>
    <s v="01-0F101-0007627"/>
    <x v="0"/>
    <d v="2026-07-20T00:00:00"/>
    <n v="7"/>
    <d v="2026-07-27T00:00:00"/>
    <n v="1699.2"/>
    <s v="PEN"/>
    <x v="0"/>
    <m/>
    <m/>
    <m/>
    <x v="35"/>
    <n v="499.76470588235298"/>
    <m/>
    <m/>
  </r>
  <r>
    <s v="1000001607"/>
    <x v="21"/>
    <s v="1200003468"/>
    <s v="01-0F003-0000198"/>
    <x v="0"/>
    <d v="2026-07-31T00:00:00"/>
    <n v="0"/>
    <d v="2026-08-03T00:00:00"/>
    <n v="46259.3"/>
    <s v="PEN"/>
    <x v="6"/>
    <m/>
    <m/>
    <m/>
    <x v="36"/>
    <n v="13605.676470588236"/>
    <m/>
    <m/>
  </r>
  <r>
    <s v="1000001607"/>
    <x v="21"/>
    <s v="1200003469"/>
    <s v="01-0F003-0000199"/>
    <x v="0"/>
    <d v="2026-07-31T00:00:00"/>
    <n v="0"/>
    <d v="2026-08-03T00:00:00"/>
    <n v="51735.68"/>
    <s v="PEN"/>
    <x v="6"/>
    <m/>
    <m/>
    <m/>
    <x v="36"/>
    <n v="15216.376470588235"/>
    <m/>
    <m/>
  </r>
  <r>
    <s v="2000001382"/>
    <x v="22"/>
    <s v="1300005603"/>
    <s v="FP-255"/>
    <x v="3"/>
    <d v="2026-07-08T00:00:00"/>
    <n v="0"/>
    <d v="2026-07-31T00:00:00"/>
    <n v="-15970"/>
    <s v="USD"/>
    <x v="1"/>
    <d v="2026-09-06T00:00:00"/>
    <m/>
    <m/>
    <x v="63"/>
    <n v="-15970"/>
    <n v="26"/>
    <s v="0-45"/>
  </r>
  <r>
    <s v="2000001382"/>
    <x v="22"/>
    <s v="1300007032"/>
    <s v="FP-261"/>
    <x v="3"/>
    <d v="2026-07-16T00:00:00"/>
    <n v="0"/>
    <d v="2026-07-31T00:00:00"/>
    <n v="-16150"/>
    <s v="USD"/>
    <x v="1"/>
    <d v="2026-09-14T00:00:00"/>
    <m/>
    <m/>
    <x v="24"/>
    <n v="-16150"/>
    <n v="18"/>
    <s v="0-45"/>
  </r>
  <r>
    <s v="2000001382"/>
    <x v="22"/>
    <s v="1200003453"/>
    <s v="01-0F002-0000394"/>
    <x v="2"/>
    <d v="2026-07-27T00:00:00"/>
    <n v="-113"/>
    <d v="2026-11-24T00:00:00"/>
    <n v="80610"/>
    <s v="USD"/>
    <x v="1"/>
    <d v="2026-09-25T00:00:00"/>
    <m/>
    <m/>
    <x v="13"/>
    <n v="80610"/>
    <n v="7"/>
    <s v="0-45"/>
  </r>
  <r>
    <s v="2000001382"/>
    <x v="22"/>
    <s v="1200003471"/>
    <s v="01-0F002-0000404"/>
    <x v="2"/>
    <d v="2026-07-29T00:00:00"/>
    <n v="-55"/>
    <d v="2026-09-27T00:00:00"/>
    <n v="81000"/>
    <s v="USD"/>
    <x v="1"/>
    <d v="2026-09-27T00:00:00"/>
    <m/>
    <m/>
    <x v="14"/>
    <n v="81000"/>
    <n v="5"/>
    <s v="0-45"/>
  </r>
  <r>
    <s v="1000015392"/>
    <x v="23"/>
    <s v="1200002881"/>
    <s v="01-0F003-0000192"/>
    <x v="0"/>
    <d v="2026-06-30T00:00:00"/>
    <n v="27"/>
    <d v="2026-07-07T00:00:00"/>
    <n v="590"/>
    <s v="PEN"/>
    <x v="0"/>
    <m/>
    <m/>
    <m/>
    <x v="64"/>
    <n v="173.52941176470588"/>
    <m/>
    <m/>
  </r>
  <r>
    <s v="1000001965"/>
    <x v="24"/>
    <s v="1200003073"/>
    <s v="01-0F101-0007383"/>
    <x v="0"/>
    <d v="2026-07-08T00:00:00"/>
    <n v="19"/>
    <d v="2026-07-15T00:00:00"/>
    <n v="590"/>
    <s v="PEN"/>
    <x v="0"/>
    <m/>
    <m/>
    <m/>
    <x v="23"/>
    <n v="173.52941176470588"/>
    <m/>
    <m/>
  </r>
  <r>
    <s v="1000001965"/>
    <x v="24"/>
    <s v="1200003103"/>
    <s v="01-0F101-0007410"/>
    <x v="0"/>
    <d v="2026-07-10T00:00:00"/>
    <n v="17"/>
    <d v="2026-07-17T00:00:00"/>
    <n v="590"/>
    <s v="PEN"/>
    <x v="0"/>
    <m/>
    <m/>
    <m/>
    <x v="25"/>
    <n v="173.52941176470588"/>
    <m/>
    <m/>
  </r>
  <r>
    <s v="1000001965"/>
    <x v="24"/>
    <s v="1200003167"/>
    <s v="01-0F101-0007462"/>
    <x v="0"/>
    <d v="2026-07-13T00:00:00"/>
    <n v="14"/>
    <d v="2026-07-20T00:00:00"/>
    <n v="590"/>
    <s v="PEN"/>
    <x v="0"/>
    <m/>
    <m/>
    <m/>
    <x v="28"/>
    <n v="173.52941176470588"/>
    <m/>
    <m/>
  </r>
  <r>
    <s v="1000001965"/>
    <x v="24"/>
    <s v="1200003261"/>
    <s v="01-0F101-0007540"/>
    <x v="0"/>
    <d v="2026-07-16T00:00:00"/>
    <n v="11"/>
    <d v="2026-07-23T00:00:00"/>
    <n v="590"/>
    <s v="PEN"/>
    <x v="0"/>
    <m/>
    <m/>
    <m/>
    <x v="31"/>
    <n v="173.52941176470588"/>
    <m/>
    <m/>
  </r>
  <r>
    <s v="1000001965"/>
    <x v="24"/>
    <s v="1200003339"/>
    <s v="01-0F101-0007604"/>
    <x v="0"/>
    <d v="2026-07-18T00:00:00"/>
    <n v="9"/>
    <d v="2026-07-25T00:00:00"/>
    <n v="590"/>
    <s v="PEN"/>
    <x v="0"/>
    <m/>
    <m/>
    <m/>
    <x v="33"/>
    <n v="173.52941176470588"/>
    <m/>
    <m/>
  </r>
  <r>
    <s v="2000000974"/>
    <x v="25"/>
    <s v="1300007031"/>
    <s v="FP-258"/>
    <x v="3"/>
    <d v="2026-07-13T00:00:00"/>
    <n v="0"/>
    <d v="2026-07-31T00:00:00"/>
    <n v="-24925"/>
    <s v="USD"/>
    <x v="1"/>
    <d v="2026-09-11T00:00:00"/>
    <m/>
    <m/>
    <x v="22"/>
    <n v="-24925"/>
    <n v="21"/>
    <s v="0-45"/>
  </r>
  <r>
    <s v="2000000974"/>
    <x v="25"/>
    <s v="1200003473"/>
    <s v="01-0F002-0000406"/>
    <x v="2"/>
    <d v="2026-07-29T00:00:00"/>
    <n v="-55"/>
    <d v="2026-09-27T00:00:00"/>
    <n v="96292.5"/>
    <s v="USD"/>
    <x v="1"/>
    <d v="2026-09-27T00:00:00"/>
    <m/>
    <m/>
    <x v="14"/>
    <n v="96292.5"/>
    <n v="5"/>
    <s v="0-45"/>
  </r>
  <r>
    <s v="2000001440"/>
    <x v="26"/>
    <s v="1300007153"/>
    <s v="FT-0F002-0000372"/>
    <x v="1"/>
    <d v="2026-06-21T00:00:00"/>
    <n v="43"/>
    <d v="2026-06-21T00:00:00"/>
    <n v="47690"/>
    <s v="USD"/>
    <x v="1"/>
    <d v="2026-08-20T00:00:00"/>
    <n v="-17"/>
    <d v="2026-08-20T00:00:00"/>
    <x v="39"/>
    <n v="47690"/>
    <n v="43"/>
    <s v="0-45"/>
  </r>
  <r>
    <s v="2000001440"/>
    <x v="26"/>
    <s v="1300007151"/>
    <s v="FP-266"/>
    <x v="3"/>
    <d v="2026-07-21T00:00:00"/>
    <n v="0"/>
    <d v="2026-07-31T00:00:00"/>
    <n v="-9650"/>
    <s v="USD"/>
    <x v="1"/>
    <d v="2026-09-19T00:00:00"/>
    <m/>
    <m/>
    <x v="29"/>
    <n v="-9650"/>
    <n v="13"/>
    <s v="0-45"/>
  </r>
  <r>
    <s v="1000013801"/>
    <x v="27"/>
    <s v="1300007121"/>
    <s v="FT-0F101-0007611"/>
    <x v="1"/>
    <d v="2026-07-18T00:00:00"/>
    <n v="16"/>
    <d v="2026-07-18T00:00:00"/>
    <n v="203.67"/>
    <s v="PEN"/>
    <x v="0"/>
    <m/>
    <m/>
    <m/>
    <x v="26"/>
    <n v="59.902941176470584"/>
    <m/>
    <m/>
  </r>
  <r>
    <s v="1000013686"/>
    <x v="28"/>
    <s v="1200003431"/>
    <s v="01-0F101-0007679"/>
    <x v="0"/>
    <d v="2026-07-24T00:00:00"/>
    <n v="3"/>
    <d v="2026-07-31T00:00:00"/>
    <n v="368.16"/>
    <s v="PEN"/>
    <x v="0"/>
    <m/>
    <m/>
    <m/>
    <x v="18"/>
    <n v="108.28235294117648"/>
    <m/>
    <m/>
  </r>
  <r>
    <s v="1000013686"/>
    <x v="28"/>
    <s v="1200003450"/>
    <s v="01-0F101-0007692"/>
    <x v="0"/>
    <d v="2026-07-27T00:00:00"/>
    <n v="0"/>
    <d v="2026-08-03T00:00:00"/>
    <n v="368.16"/>
    <s v="PEN"/>
    <x v="0"/>
    <m/>
    <m/>
    <m/>
    <x v="36"/>
    <n v="108.28235294117648"/>
    <m/>
    <m/>
  </r>
  <r>
    <s v="1000013686"/>
    <x v="28"/>
    <s v="1200003477"/>
    <s v="01-0F101-0007693"/>
    <x v="0"/>
    <d v="2026-08-01T00:00:00"/>
    <n v="-5"/>
    <d v="2026-08-08T00:00:00"/>
    <n v="368.16"/>
    <s v="PEN"/>
    <x v="0"/>
    <m/>
    <m/>
    <m/>
    <x v="65"/>
    <n v="108.28235294117648"/>
    <m/>
    <m/>
  </r>
  <r>
    <s v="2000000786"/>
    <x v="29"/>
    <s v="1200003458"/>
    <s v="01-0F002-0000399"/>
    <x v="2"/>
    <d v="2026-07-28T00:00:00"/>
    <n v="-54"/>
    <d v="2026-09-26T00:00:00"/>
    <n v="58500"/>
    <s v="USD"/>
    <x v="1"/>
    <d v="2026-09-26T00:00:00"/>
    <m/>
    <m/>
    <x v="20"/>
    <n v="58500"/>
    <n v="6"/>
    <s v="0-45"/>
  </r>
  <r>
    <s v="2000000786"/>
    <x v="29"/>
    <s v="1200003465"/>
    <s v="01-0F002-0000401"/>
    <x v="2"/>
    <d v="2026-07-28T00:00:00"/>
    <n v="-54"/>
    <d v="2026-09-26T00:00:00"/>
    <n v="41500"/>
    <s v="USD"/>
    <x v="1"/>
    <d v="2026-09-26T00:00:00"/>
    <m/>
    <m/>
    <x v="20"/>
    <n v="41500"/>
    <n v="6"/>
    <s v="0-45"/>
  </r>
  <r>
    <s v="2000000786"/>
    <x v="29"/>
    <s v="1200003467"/>
    <s v="01-0F002-0000402"/>
    <x v="2"/>
    <d v="2026-07-28T00:00:00"/>
    <n v="-54"/>
    <d v="2026-09-26T00:00:00"/>
    <n v="45000"/>
    <s v="USD"/>
    <x v="1"/>
    <d v="2026-09-26T00:00:00"/>
    <m/>
    <m/>
    <x v="20"/>
    <n v="45000"/>
    <n v="6"/>
    <s v="0-45"/>
  </r>
  <r>
    <s v="2000001444"/>
    <x v="30"/>
    <s v="1300007042"/>
    <s v="FT-0F002-0000370"/>
    <x v="1"/>
    <d v="2026-06-19T00:00:00"/>
    <n v="45"/>
    <d v="2026-06-19T00:00:00"/>
    <n v="57857"/>
    <s v="USD"/>
    <x v="1"/>
    <d v="2026-08-18T00:00:00"/>
    <n v="-15"/>
    <d v="2026-08-18T00:00:00"/>
    <x v="66"/>
    <n v="57857"/>
    <n v="45"/>
    <s v="0-45"/>
  </r>
  <r>
    <s v="2000001348"/>
    <x v="31"/>
    <s v="1200003447"/>
    <s v="01-0F002-0000391"/>
    <x v="2"/>
    <d v="2026-07-24T00:00:00"/>
    <n v="-50"/>
    <d v="2026-09-22T00:00:00"/>
    <n v="432000"/>
    <s v="USD"/>
    <x v="1"/>
    <d v="2026-09-22T00:00:00"/>
    <m/>
    <m/>
    <x v="67"/>
    <n v="432000"/>
    <n v="10"/>
    <s v="0-45"/>
  </r>
  <r>
    <s v="2000001348"/>
    <x v="31"/>
    <s v="1200003456"/>
    <s v="01-0F002-0000397"/>
    <x v="2"/>
    <d v="2026-07-28T00:00:00"/>
    <n v="-114"/>
    <d v="2026-11-25T00:00:00"/>
    <n v="405000"/>
    <s v="USD"/>
    <x v="1"/>
    <d v="2026-09-26T00:00:00"/>
    <m/>
    <m/>
    <x v="20"/>
    <n v="405000"/>
    <n v="6"/>
    <s v="0-45"/>
  </r>
  <r>
    <s v="2000001348"/>
    <x v="31"/>
    <s v="1200003457"/>
    <s v="01-0F002-0000398"/>
    <x v="2"/>
    <d v="2026-07-28T00:00:00"/>
    <n v="-114"/>
    <d v="2026-11-25T00:00:00"/>
    <n v="550800"/>
    <s v="USD"/>
    <x v="1"/>
    <d v="2026-09-26T00:00:00"/>
    <m/>
    <m/>
    <x v="20"/>
    <n v="550800"/>
    <n v="6"/>
    <s v="0-45"/>
  </r>
  <r>
    <s v="2000001348"/>
    <x v="31"/>
    <s v="1200003472"/>
    <s v="01-0F002-0000405"/>
    <x v="2"/>
    <d v="2026-07-29T00:00:00"/>
    <n v="-55"/>
    <d v="2026-09-27T00:00:00"/>
    <n v="245700"/>
    <s v="USD"/>
    <x v="1"/>
    <d v="2026-09-27T00:00:00"/>
    <m/>
    <m/>
    <x v="14"/>
    <n v="245700"/>
    <n v="5"/>
    <s v="0-45"/>
  </r>
  <r>
    <s v="2000001348"/>
    <x v="31"/>
    <s v="1200003478"/>
    <s v="01-0F002-0000408"/>
    <x v="2"/>
    <d v="2026-07-31T00:00:00"/>
    <n v="-57"/>
    <d v="2026-09-29T00:00:00"/>
    <n v="547740"/>
    <s v="USD"/>
    <x v="1"/>
    <d v="2026-09-29T00:00:00"/>
    <m/>
    <m/>
    <x v="38"/>
    <n v="547740"/>
    <n v="3"/>
    <s v="0-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65BF2-3F1A-45DC-91E8-0E9542301915}" name="TablaDinámica2" cacheId="1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Y25" firstHeaderRow="1" firstDataRow="2" firstDataCol="1" rowPageCount="2" colPageCount="1"/>
  <pivotFields count="18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axis="axisPage" showAll="0">
      <items count="6">
        <item m="1" x="4"/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dataField="1" numFmtId="4" showAll="0"/>
    <pivotField showAll="0"/>
    <pivotField axis="axisPage" multipleItemSelectionAllowed="1" showAll="0">
      <items count="8">
        <item h="1" x="4"/>
        <item h="1" x="2"/>
        <item x="1"/>
        <item h="1" x="0"/>
        <item h="1" x="5"/>
        <item h="1" x="6"/>
        <item h="1" x="3"/>
        <item t="default"/>
      </items>
    </pivotField>
    <pivotField showAll="0"/>
    <pivotField showAll="0"/>
    <pivotField showAll="0"/>
    <pivotField axis="axisCol" showAll="0">
      <items count="69">
        <item x="62"/>
        <item x="57"/>
        <item x="43"/>
        <item x="58"/>
        <item x="44"/>
        <item x="0"/>
        <item x="1"/>
        <item x="2"/>
        <item x="3"/>
        <item x="4"/>
        <item x="5"/>
        <item x="6"/>
        <item x="7"/>
        <item x="8"/>
        <item x="9"/>
        <item x="59"/>
        <item x="60"/>
        <item x="52"/>
        <item x="53"/>
        <item x="45"/>
        <item x="46"/>
        <item x="47"/>
        <item x="48"/>
        <item x="49"/>
        <item x="50"/>
        <item x="21"/>
        <item x="64"/>
        <item x="51"/>
        <item x="37"/>
        <item x="55"/>
        <item x="61"/>
        <item x="63"/>
        <item x="22"/>
        <item x="15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16"/>
        <item x="17"/>
        <item x="18"/>
        <item x="36"/>
        <item x="65"/>
        <item x="10"/>
        <item x="41"/>
        <item x="42"/>
        <item x="54"/>
        <item x="66"/>
        <item x="39"/>
        <item x="11"/>
        <item x="56"/>
        <item x="40"/>
        <item x="67"/>
        <item x="12"/>
        <item x="13"/>
        <item x="20"/>
        <item x="14"/>
        <item x="38"/>
        <item x="19"/>
        <item t="default"/>
      </items>
    </pivotField>
    <pivotField showAll="0"/>
    <pivotField showAll="0"/>
    <pivotField showAll="0"/>
  </pivotFields>
  <rowFields count="1">
    <field x="1"/>
  </rowFields>
  <rowItems count="19">
    <i>
      <x v="1"/>
    </i>
    <i>
      <x v="4"/>
    </i>
    <i>
      <x v="5"/>
    </i>
    <i>
      <x v="6"/>
    </i>
    <i>
      <x v="9"/>
    </i>
    <i>
      <x v="10"/>
    </i>
    <i>
      <x v="11"/>
    </i>
    <i>
      <x v="12"/>
    </i>
    <i>
      <x v="15"/>
    </i>
    <i>
      <x v="16"/>
    </i>
    <i>
      <x v="17"/>
    </i>
    <i>
      <x v="19"/>
    </i>
    <i>
      <x v="22"/>
    </i>
    <i>
      <x v="25"/>
    </i>
    <i>
      <x v="26"/>
    </i>
    <i>
      <x v="29"/>
    </i>
    <i>
      <x v="30"/>
    </i>
    <i>
      <x v="31"/>
    </i>
    <i t="grand">
      <x/>
    </i>
  </rowItems>
  <colFields count="1">
    <field x="14"/>
  </colFields>
  <colItems count="24">
    <i>
      <x v="28"/>
    </i>
    <i>
      <x v="29"/>
    </i>
    <i>
      <x v="30"/>
    </i>
    <i>
      <x v="31"/>
    </i>
    <i>
      <x v="32"/>
    </i>
    <i>
      <x v="35"/>
    </i>
    <i>
      <x v="40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colItems>
  <pageFields count="2">
    <pageField fld="4" hier="-1"/>
    <pageField fld="10" hier="-1"/>
  </pageFields>
  <dataFields count="1">
    <dataField name="Suma de Importe en moneda doc." fld="8" baseField="0" baseItem="0" numFmtId="3"/>
  </dataFields>
  <formats count="4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1">
            <x v="31"/>
          </reference>
        </references>
      </pivotArea>
    </format>
    <format dxfId="10">
      <pivotArea dataOnly="0" labelOnly="1" fieldPosition="0">
        <references count="1">
          <reference field="1" count="1">
            <x v="31"/>
          </reference>
        </references>
      </pivotArea>
    </format>
    <format dxfId="9">
      <pivotArea collapsedLevelsAreSubtotals="1" fieldPosition="0">
        <references count="2">
          <reference field="1" count="17">
            <x v="1"/>
            <x v="4"/>
            <x v="5"/>
            <x v="6"/>
            <x v="9"/>
            <x v="10"/>
            <x v="11"/>
            <x v="12"/>
            <x v="15"/>
            <x v="16"/>
            <x v="17"/>
            <x v="19"/>
            <x v="22"/>
            <x v="25"/>
            <x v="26"/>
            <x v="29"/>
            <x v="30"/>
          </reference>
          <reference field="14" count="4" selected="0">
            <x v="52"/>
            <x v="53"/>
            <x v="54"/>
            <x v="5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F590E-B644-406B-BF43-3B52A9C3683F}" name="TablaDinámica4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66" firstHeaderRow="1" firstDataRow="1" firstDataCol="1" rowPageCount="3" colPageCount="1"/>
  <pivotFields count="18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>
      <items count="186">
        <item x="145"/>
        <item x="103"/>
        <item x="104"/>
        <item m="1" x="180"/>
        <item m="1" x="184"/>
        <item x="106"/>
        <item x="139"/>
        <item x="137"/>
        <item x="101"/>
        <item x="173"/>
        <item x="19"/>
        <item x="98"/>
        <item x="153"/>
        <item x="20"/>
        <item x="174"/>
        <item x="175"/>
        <item x="169"/>
        <item x="170"/>
        <item x="171"/>
        <item x="21"/>
        <item x="154"/>
        <item x="176"/>
        <item x="162"/>
        <item x="99"/>
        <item x="177"/>
        <item x="146"/>
        <item x="141"/>
        <item x="142"/>
        <item x="143"/>
        <item x="155"/>
        <item x="149"/>
        <item x="150"/>
        <item x="107"/>
        <item x="108"/>
        <item x="109"/>
        <item x="1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9"/>
        <item x="130"/>
        <item x="111"/>
        <item x="112"/>
        <item x="113"/>
        <item x="114"/>
        <item x="115"/>
        <item x="116"/>
        <item x="132"/>
        <item x="133"/>
        <item x="117"/>
        <item x="118"/>
        <item x="119"/>
        <item x="120"/>
        <item x="121"/>
        <item x="122"/>
        <item x="123"/>
        <item x="124"/>
        <item x="125"/>
        <item x="126"/>
        <item x="35"/>
        <item x="36"/>
        <item x="37"/>
        <item x="38"/>
        <item x="39"/>
        <item x="40"/>
        <item x="41"/>
        <item x="42"/>
        <item x="22"/>
        <item x="43"/>
        <item x="44"/>
        <item x="45"/>
        <item x="46"/>
        <item x="156"/>
        <item x="47"/>
        <item x="48"/>
        <item x="49"/>
        <item x="50"/>
        <item x="157"/>
        <item x="51"/>
        <item x="52"/>
        <item x="53"/>
        <item x="54"/>
        <item x="55"/>
        <item x="56"/>
        <item x="57"/>
        <item x="58"/>
        <item x="59"/>
        <item x="60"/>
        <item x="158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59"/>
        <item x="75"/>
        <item x="76"/>
        <item x="77"/>
        <item x="78"/>
        <item x="79"/>
        <item x="80"/>
        <item x="81"/>
        <item x="82"/>
        <item x="127"/>
        <item x="128"/>
        <item x="160"/>
        <item x="83"/>
        <item x="84"/>
        <item x="85"/>
        <item x="86"/>
        <item x="147"/>
        <item x="148"/>
        <item x="87"/>
        <item x="88"/>
        <item x="23"/>
        <item x="24"/>
        <item x="25"/>
        <item x="26"/>
        <item x="27"/>
        <item x="28"/>
        <item x="89"/>
        <item x="90"/>
        <item x="29"/>
        <item x="30"/>
        <item x="91"/>
        <item x="92"/>
        <item x="166"/>
        <item x="93"/>
        <item x="94"/>
        <item x="95"/>
        <item x="96"/>
        <item x="167"/>
        <item x="168"/>
        <item m="1" x="182"/>
        <item x="97"/>
        <item x="144"/>
        <item x="138"/>
        <item m="1" x="178"/>
        <item m="1" x="179"/>
        <item x="151"/>
        <item x="161"/>
        <item x="152"/>
        <item x="164"/>
        <item x="32"/>
        <item x="136"/>
        <item x="31"/>
        <item x="135"/>
        <item x="17"/>
        <item x="172"/>
        <item x="102"/>
        <item x="163"/>
        <item x="100"/>
        <item m="1" x="181"/>
        <item m="1" x="183"/>
        <item x="18"/>
        <item x="33"/>
        <item x="140"/>
        <item x="131"/>
        <item x="34"/>
        <item x="134"/>
        <item x="165"/>
        <item x="105"/>
        <item t="default"/>
      </items>
    </pivotField>
    <pivotField axis="axisPage" multipleItemSelectionAllowed="1" showAll="0">
      <items count="6">
        <item h="1" m="1" x="4"/>
        <item x="2"/>
        <item h="1" x="0"/>
        <item x="3"/>
        <item x="1"/>
        <item t="default"/>
      </items>
    </pivotField>
    <pivotField axis="axisPage" numFmtId="14" showAll="0">
      <items count="58">
        <item x="55"/>
        <item x="51"/>
        <item x="40"/>
        <item x="52"/>
        <item x="41"/>
        <item x="0"/>
        <item x="1"/>
        <item x="2"/>
        <item x="3"/>
        <item x="4"/>
        <item x="5"/>
        <item x="6"/>
        <item x="7"/>
        <item x="8"/>
        <item x="9"/>
        <item x="53"/>
        <item x="54"/>
        <item x="20"/>
        <item x="19"/>
        <item x="49"/>
        <item x="42"/>
        <item x="43"/>
        <item x="44"/>
        <item x="36"/>
        <item x="45"/>
        <item x="10"/>
        <item x="46"/>
        <item x="50"/>
        <item x="47"/>
        <item x="39"/>
        <item x="38"/>
        <item x="11"/>
        <item x="48"/>
        <item x="22"/>
        <item x="15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16"/>
        <item x="17"/>
        <item x="18"/>
        <item x="12"/>
        <item x="13"/>
        <item x="21"/>
        <item x="14"/>
        <item x="37"/>
        <item x="56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4"/>
        <item h="1" x="2"/>
        <item x="1"/>
        <item h="1" x="0"/>
        <item h="1" x="5"/>
        <item h="1" x="6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3"/>
  </rowFields>
  <rowItems count="61">
    <i>
      <x v="1"/>
    </i>
    <i r="1">
      <x v="10"/>
    </i>
    <i r="1">
      <x v="13"/>
    </i>
    <i r="1">
      <x v="19"/>
    </i>
    <i r="1">
      <x v="170"/>
    </i>
    <i r="1">
      <x v="177"/>
    </i>
    <i>
      <x v="4"/>
    </i>
    <i r="1">
      <x v="168"/>
    </i>
    <i>
      <x v="5"/>
    </i>
    <i r="1">
      <x v="166"/>
    </i>
    <i>
      <x v="6"/>
    </i>
    <i r="1">
      <x v="178"/>
    </i>
    <i>
      <x v="9"/>
    </i>
    <i r="1">
      <x v="11"/>
    </i>
    <i r="1">
      <x v="23"/>
    </i>
    <i r="1">
      <x v="157"/>
    </i>
    <i>
      <x v="10"/>
    </i>
    <i r="1">
      <x v="8"/>
    </i>
    <i r="1">
      <x v="174"/>
    </i>
    <i>
      <x v="11"/>
    </i>
    <i r="1">
      <x v="1"/>
    </i>
    <i r="1">
      <x v="2"/>
    </i>
    <i r="1">
      <x v="172"/>
    </i>
    <i>
      <x v="12"/>
    </i>
    <i r="1">
      <x v="5"/>
    </i>
    <i r="1">
      <x v="184"/>
    </i>
    <i>
      <x v="15"/>
    </i>
    <i r="1">
      <x v="169"/>
    </i>
    <i>
      <x v="16"/>
    </i>
    <i r="1">
      <x v="7"/>
    </i>
    <i r="1">
      <x v="167"/>
    </i>
    <i>
      <x v="17"/>
    </i>
    <i r="1">
      <x v="6"/>
    </i>
    <i r="1">
      <x v="159"/>
    </i>
    <i>
      <x v="19"/>
    </i>
    <i r="1">
      <x/>
    </i>
    <i r="1">
      <x v="158"/>
    </i>
    <i>
      <x v="22"/>
    </i>
    <i r="1">
      <x v="12"/>
    </i>
    <i r="1">
      <x v="20"/>
    </i>
    <i r="1">
      <x v="162"/>
    </i>
    <i r="1">
      <x v="164"/>
    </i>
    <i>
      <x v="25"/>
    </i>
    <i r="1">
      <x v="22"/>
    </i>
    <i r="1">
      <x v="163"/>
    </i>
    <i>
      <x v="26"/>
    </i>
    <i r="1">
      <x v="165"/>
    </i>
    <i r="1">
      <x v="173"/>
    </i>
    <i>
      <x v="29"/>
    </i>
    <i r="1">
      <x v="16"/>
    </i>
    <i r="1">
      <x v="17"/>
    </i>
    <i r="1">
      <x v="18"/>
    </i>
    <i>
      <x v="30"/>
    </i>
    <i r="1">
      <x v="171"/>
    </i>
    <i>
      <x v="31"/>
    </i>
    <i r="1">
      <x v="9"/>
    </i>
    <i r="1">
      <x v="14"/>
    </i>
    <i r="1">
      <x v="15"/>
    </i>
    <i r="1">
      <x v="21"/>
    </i>
    <i r="1">
      <x v="24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422D6-2B83-4FB1-AFA4-2C09A6D1B23A}" name="TablaDinámica9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5:I42" firstHeaderRow="0" firstDataRow="1" firstDataCol="1" rowPageCount="3" colPageCount="1"/>
  <pivotFields count="18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>
      <items count="186">
        <item x="145"/>
        <item x="103"/>
        <item x="104"/>
        <item m="1" x="180"/>
        <item m="1" x="184"/>
        <item x="106"/>
        <item x="139"/>
        <item x="137"/>
        <item x="101"/>
        <item x="173"/>
        <item x="19"/>
        <item x="98"/>
        <item x="153"/>
        <item x="20"/>
        <item x="174"/>
        <item x="175"/>
        <item x="169"/>
        <item x="170"/>
        <item x="171"/>
        <item x="21"/>
        <item x="154"/>
        <item x="176"/>
        <item x="162"/>
        <item x="99"/>
        <item x="177"/>
        <item x="146"/>
        <item x="141"/>
        <item x="142"/>
        <item x="143"/>
        <item x="155"/>
        <item x="149"/>
        <item x="150"/>
        <item x="107"/>
        <item x="108"/>
        <item x="109"/>
        <item x="1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9"/>
        <item x="130"/>
        <item x="111"/>
        <item x="112"/>
        <item x="113"/>
        <item x="114"/>
        <item x="115"/>
        <item x="116"/>
        <item x="132"/>
        <item x="133"/>
        <item x="117"/>
        <item x="118"/>
        <item x="119"/>
        <item x="120"/>
        <item x="121"/>
        <item x="122"/>
        <item x="123"/>
        <item x="124"/>
        <item x="125"/>
        <item x="126"/>
        <item x="35"/>
        <item x="36"/>
        <item x="37"/>
        <item x="38"/>
        <item x="39"/>
        <item x="40"/>
        <item x="41"/>
        <item x="42"/>
        <item x="22"/>
        <item x="43"/>
        <item x="44"/>
        <item x="45"/>
        <item x="46"/>
        <item x="156"/>
        <item x="47"/>
        <item x="48"/>
        <item x="49"/>
        <item x="50"/>
        <item x="157"/>
        <item x="51"/>
        <item x="52"/>
        <item x="53"/>
        <item x="54"/>
        <item x="55"/>
        <item x="56"/>
        <item x="57"/>
        <item x="58"/>
        <item x="59"/>
        <item x="60"/>
        <item x="158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59"/>
        <item x="75"/>
        <item x="76"/>
        <item x="77"/>
        <item x="78"/>
        <item x="79"/>
        <item x="80"/>
        <item x="81"/>
        <item x="82"/>
        <item x="127"/>
        <item x="128"/>
        <item x="160"/>
        <item x="83"/>
        <item x="84"/>
        <item x="85"/>
        <item x="86"/>
        <item x="147"/>
        <item x="148"/>
        <item x="87"/>
        <item x="88"/>
        <item x="23"/>
        <item x="24"/>
        <item x="25"/>
        <item x="26"/>
        <item x="27"/>
        <item x="28"/>
        <item x="89"/>
        <item x="90"/>
        <item x="29"/>
        <item x="30"/>
        <item x="91"/>
        <item x="92"/>
        <item x="166"/>
        <item x="93"/>
        <item x="94"/>
        <item x="95"/>
        <item x="96"/>
        <item x="167"/>
        <item x="168"/>
        <item m="1" x="182"/>
        <item x="97"/>
        <item x="144"/>
        <item x="138"/>
        <item m="1" x="178"/>
        <item m="1" x="179"/>
        <item x="151"/>
        <item x="161"/>
        <item x="152"/>
        <item x="164"/>
        <item x="32"/>
        <item x="136"/>
        <item x="31"/>
        <item x="135"/>
        <item x="17"/>
        <item x="172"/>
        <item x="102"/>
        <item x="163"/>
        <item x="100"/>
        <item m="1" x="181"/>
        <item m="1" x="183"/>
        <item x="18"/>
        <item x="33"/>
        <item x="140"/>
        <item x="131"/>
        <item x="34"/>
        <item x="134"/>
        <item x="165"/>
        <item x="105"/>
        <item t="default"/>
      </items>
    </pivotField>
    <pivotField axis="axisPage" multipleItemSelectionAllowed="1" showAll="0">
      <items count="6">
        <item h="1" m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4"/>
        <item h="1" x="2"/>
        <item x="1"/>
        <item h="1" x="0"/>
        <item h="1" x="5"/>
        <item h="1" x="6"/>
        <item h="1" x="3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h="1" x="2"/>
        <item h="1" x="4"/>
        <item h="1" x="1"/>
        <item x="3"/>
        <item h="1" x="0"/>
        <item t="default"/>
      </items>
    </pivotField>
  </pivotFields>
  <rowFields count="2">
    <field x="1"/>
    <field x="3"/>
  </rowFields>
  <rowItems count="7">
    <i>
      <x v="4"/>
    </i>
    <i r="1">
      <x v="168"/>
    </i>
    <i>
      <x v="5"/>
    </i>
    <i r="1">
      <x v="166"/>
    </i>
    <i>
      <x v="16"/>
    </i>
    <i r="1">
      <x v="16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05B78-E1E7-4650-A9BB-5AFB94BC57FD}" name="TablaDinámica8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0:I29" firstHeaderRow="0" firstDataRow="1" firstDataCol="1" rowPageCount="3" colPageCount="1"/>
  <pivotFields count="18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>
      <items count="186">
        <item x="145"/>
        <item x="103"/>
        <item x="104"/>
        <item m="1" x="180"/>
        <item m="1" x="184"/>
        <item x="106"/>
        <item x="139"/>
        <item x="137"/>
        <item x="101"/>
        <item x="173"/>
        <item x="19"/>
        <item x="98"/>
        <item x="153"/>
        <item x="20"/>
        <item x="174"/>
        <item x="175"/>
        <item x="169"/>
        <item x="170"/>
        <item x="171"/>
        <item x="21"/>
        <item x="154"/>
        <item x="176"/>
        <item x="162"/>
        <item x="99"/>
        <item x="177"/>
        <item x="146"/>
        <item x="141"/>
        <item x="142"/>
        <item x="143"/>
        <item x="155"/>
        <item x="149"/>
        <item x="150"/>
        <item x="107"/>
        <item x="108"/>
        <item x="109"/>
        <item x="1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9"/>
        <item x="130"/>
        <item x="111"/>
        <item x="112"/>
        <item x="113"/>
        <item x="114"/>
        <item x="115"/>
        <item x="116"/>
        <item x="132"/>
        <item x="133"/>
        <item x="117"/>
        <item x="118"/>
        <item x="119"/>
        <item x="120"/>
        <item x="121"/>
        <item x="122"/>
        <item x="123"/>
        <item x="124"/>
        <item x="125"/>
        <item x="126"/>
        <item x="35"/>
        <item x="36"/>
        <item x="37"/>
        <item x="38"/>
        <item x="39"/>
        <item x="40"/>
        <item x="41"/>
        <item x="42"/>
        <item x="22"/>
        <item x="43"/>
        <item x="44"/>
        <item x="45"/>
        <item x="46"/>
        <item x="156"/>
        <item x="47"/>
        <item x="48"/>
        <item x="49"/>
        <item x="50"/>
        <item x="157"/>
        <item x="51"/>
        <item x="52"/>
        <item x="53"/>
        <item x="54"/>
        <item x="55"/>
        <item x="56"/>
        <item x="57"/>
        <item x="58"/>
        <item x="59"/>
        <item x="60"/>
        <item x="158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59"/>
        <item x="75"/>
        <item x="76"/>
        <item x="77"/>
        <item x="78"/>
        <item x="79"/>
        <item x="80"/>
        <item x="81"/>
        <item x="82"/>
        <item x="127"/>
        <item x="128"/>
        <item x="160"/>
        <item x="83"/>
        <item x="84"/>
        <item x="85"/>
        <item x="86"/>
        <item x="147"/>
        <item x="148"/>
        <item x="87"/>
        <item x="88"/>
        <item x="23"/>
        <item x="24"/>
        <item x="25"/>
        <item x="26"/>
        <item x="27"/>
        <item x="28"/>
        <item x="89"/>
        <item x="90"/>
        <item x="29"/>
        <item x="30"/>
        <item x="91"/>
        <item x="92"/>
        <item x="166"/>
        <item x="93"/>
        <item x="94"/>
        <item x="95"/>
        <item x="96"/>
        <item x="167"/>
        <item x="168"/>
        <item m="1" x="182"/>
        <item x="97"/>
        <item x="144"/>
        <item x="138"/>
        <item m="1" x="178"/>
        <item m="1" x="179"/>
        <item x="151"/>
        <item x="161"/>
        <item x="152"/>
        <item x="164"/>
        <item x="32"/>
        <item x="136"/>
        <item x="31"/>
        <item x="135"/>
        <item x="17"/>
        <item x="172"/>
        <item x="102"/>
        <item x="163"/>
        <item x="100"/>
        <item m="1" x="181"/>
        <item m="1" x="183"/>
        <item x="18"/>
        <item x="33"/>
        <item x="140"/>
        <item x="131"/>
        <item x="34"/>
        <item x="134"/>
        <item x="165"/>
        <item x="105"/>
        <item t="default"/>
      </items>
    </pivotField>
    <pivotField axis="axisPage" multipleItemSelectionAllowed="1" showAll="0">
      <items count="6">
        <item h="1" m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4"/>
        <item h="1" x="2"/>
        <item x="1"/>
        <item h="1" x="0"/>
        <item h="1" x="5"/>
        <item h="1" x="6"/>
        <item h="1" x="3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h="1" x="2"/>
        <item h="1" x="4"/>
        <item x="1"/>
        <item h="1" x="3"/>
        <item h="1" x="0"/>
        <item t="default"/>
      </items>
    </pivotField>
  </pivotFields>
  <rowFields count="2">
    <field x="1"/>
    <field x="3"/>
  </rowFields>
  <rowItems count="9">
    <i>
      <x v="1"/>
    </i>
    <i r="1">
      <x v="170"/>
    </i>
    <i>
      <x v="9"/>
    </i>
    <i r="1">
      <x v="157"/>
    </i>
    <i>
      <x v="15"/>
    </i>
    <i r="1">
      <x v="169"/>
    </i>
    <i>
      <x v="19"/>
    </i>
    <i r="1">
      <x v="15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89554-9851-4B7A-84D7-500CB960510A}" name="TablaDinámica7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10" firstHeaderRow="0" firstDataRow="1" firstDataCol="1" rowPageCount="3" colPageCount="1"/>
  <pivotFields count="18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>
      <items count="186">
        <item x="145"/>
        <item x="103"/>
        <item x="104"/>
        <item m="1" x="180"/>
        <item m="1" x="184"/>
        <item x="106"/>
        <item x="139"/>
        <item x="137"/>
        <item x="101"/>
        <item x="173"/>
        <item x="19"/>
        <item x="98"/>
        <item x="153"/>
        <item x="20"/>
        <item x="174"/>
        <item x="175"/>
        <item x="169"/>
        <item x="170"/>
        <item x="171"/>
        <item x="21"/>
        <item x="154"/>
        <item x="176"/>
        <item x="162"/>
        <item x="99"/>
        <item x="177"/>
        <item x="146"/>
        <item x="141"/>
        <item x="142"/>
        <item x="143"/>
        <item x="155"/>
        <item x="149"/>
        <item x="150"/>
        <item x="107"/>
        <item x="108"/>
        <item x="109"/>
        <item x="1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9"/>
        <item x="130"/>
        <item x="111"/>
        <item x="112"/>
        <item x="113"/>
        <item x="114"/>
        <item x="115"/>
        <item x="116"/>
        <item x="132"/>
        <item x="133"/>
        <item x="117"/>
        <item x="118"/>
        <item x="119"/>
        <item x="120"/>
        <item x="121"/>
        <item x="122"/>
        <item x="123"/>
        <item x="124"/>
        <item x="125"/>
        <item x="126"/>
        <item x="35"/>
        <item x="36"/>
        <item x="37"/>
        <item x="38"/>
        <item x="39"/>
        <item x="40"/>
        <item x="41"/>
        <item x="42"/>
        <item x="22"/>
        <item x="43"/>
        <item x="44"/>
        <item x="45"/>
        <item x="46"/>
        <item x="156"/>
        <item x="47"/>
        <item x="48"/>
        <item x="49"/>
        <item x="50"/>
        <item x="157"/>
        <item x="51"/>
        <item x="52"/>
        <item x="53"/>
        <item x="54"/>
        <item x="55"/>
        <item x="56"/>
        <item x="57"/>
        <item x="58"/>
        <item x="59"/>
        <item x="60"/>
        <item x="158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59"/>
        <item x="75"/>
        <item x="76"/>
        <item x="77"/>
        <item x="78"/>
        <item x="79"/>
        <item x="80"/>
        <item x="81"/>
        <item x="82"/>
        <item x="127"/>
        <item x="128"/>
        <item x="160"/>
        <item x="83"/>
        <item x="84"/>
        <item x="85"/>
        <item x="86"/>
        <item x="147"/>
        <item x="148"/>
        <item x="87"/>
        <item x="88"/>
        <item x="23"/>
        <item x="24"/>
        <item x="25"/>
        <item x="26"/>
        <item x="27"/>
        <item x="28"/>
        <item x="89"/>
        <item x="90"/>
        <item x="29"/>
        <item x="30"/>
        <item x="91"/>
        <item x="92"/>
        <item x="166"/>
        <item x="93"/>
        <item x="94"/>
        <item x="95"/>
        <item x="96"/>
        <item x="167"/>
        <item x="168"/>
        <item m="1" x="182"/>
        <item x="97"/>
        <item x="144"/>
        <item x="138"/>
        <item m="1" x="178"/>
        <item m="1" x="179"/>
        <item x="151"/>
        <item x="161"/>
        <item x="152"/>
        <item x="164"/>
        <item x="32"/>
        <item x="136"/>
        <item x="31"/>
        <item x="135"/>
        <item x="17"/>
        <item x="172"/>
        <item x="102"/>
        <item x="163"/>
        <item x="100"/>
        <item m="1" x="181"/>
        <item m="1" x="183"/>
        <item x="18"/>
        <item x="33"/>
        <item x="140"/>
        <item x="131"/>
        <item x="34"/>
        <item x="134"/>
        <item x="165"/>
        <item x="105"/>
        <item t="default"/>
      </items>
    </pivotField>
    <pivotField axis="axisPage" multipleItemSelectionAllowed="1" showAll="0">
      <items count="6">
        <item h="1" m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4"/>
        <item h="1" x="2"/>
        <item x="1"/>
        <item h="1" x="0"/>
        <item h="1" x="5"/>
        <item h="1" x="6"/>
        <item h="1" x="3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h="1" x="2"/>
        <item x="4"/>
        <item h="1" x="1"/>
        <item h="1" x="3"/>
        <item h="1" x="0"/>
        <item t="default"/>
      </items>
    </pivotField>
  </pivotFields>
  <rowFields count="2">
    <field x="1"/>
    <field x="3"/>
  </rowFields>
  <rowItems count="5">
    <i>
      <x v="17"/>
    </i>
    <i r="1">
      <x v="159"/>
    </i>
    <i>
      <x v="19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D71C4-538C-4638-95EA-2BB43674BDA8}" name="TablaDinámica6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53" firstHeaderRow="0" firstDataRow="1" firstDataCol="1" rowPageCount="3" colPageCount="1"/>
  <pivotFields count="18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>
      <items count="186">
        <item x="145"/>
        <item x="103"/>
        <item x="104"/>
        <item m="1" x="180"/>
        <item m="1" x="184"/>
        <item x="106"/>
        <item x="139"/>
        <item x="137"/>
        <item x="101"/>
        <item x="173"/>
        <item x="19"/>
        <item x="98"/>
        <item x="153"/>
        <item x="20"/>
        <item x="174"/>
        <item x="175"/>
        <item x="169"/>
        <item x="170"/>
        <item x="171"/>
        <item x="21"/>
        <item x="154"/>
        <item x="176"/>
        <item x="162"/>
        <item x="99"/>
        <item x="177"/>
        <item x="146"/>
        <item x="141"/>
        <item x="142"/>
        <item x="143"/>
        <item x="155"/>
        <item x="149"/>
        <item x="150"/>
        <item x="107"/>
        <item x="108"/>
        <item x="109"/>
        <item x="1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29"/>
        <item x="130"/>
        <item x="111"/>
        <item x="112"/>
        <item x="113"/>
        <item x="114"/>
        <item x="115"/>
        <item x="116"/>
        <item x="132"/>
        <item x="133"/>
        <item x="117"/>
        <item x="118"/>
        <item x="119"/>
        <item x="120"/>
        <item x="121"/>
        <item x="122"/>
        <item x="123"/>
        <item x="124"/>
        <item x="125"/>
        <item x="126"/>
        <item x="35"/>
        <item x="36"/>
        <item x="37"/>
        <item x="38"/>
        <item x="39"/>
        <item x="40"/>
        <item x="41"/>
        <item x="42"/>
        <item x="22"/>
        <item x="43"/>
        <item x="44"/>
        <item x="45"/>
        <item x="46"/>
        <item x="156"/>
        <item x="47"/>
        <item x="48"/>
        <item x="49"/>
        <item x="50"/>
        <item x="157"/>
        <item x="51"/>
        <item x="52"/>
        <item x="53"/>
        <item x="54"/>
        <item x="55"/>
        <item x="56"/>
        <item x="57"/>
        <item x="58"/>
        <item x="59"/>
        <item x="60"/>
        <item x="158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59"/>
        <item x="75"/>
        <item x="76"/>
        <item x="77"/>
        <item x="78"/>
        <item x="79"/>
        <item x="80"/>
        <item x="81"/>
        <item x="82"/>
        <item x="127"/>
        <item x="128"/>
        <item x="160"/>
        <item x="83"/>
        <item x="84"/>
        <item x="85"/>
        <item x="86"/>
        <item x="147"/>
        <item x="148"/>
        <item x="87"/>
        <item x="88"/>
        <item x="23"/>
        <item x="24"/>
        <item x="25"/>
        <item x="26"/>
        <item x="27"/>
        <item x="28"/>
        <item x="89"/>
        <item x="90"/>
        <item x="29"/>
        <item x="30"/>
        <item x="91"/>
        <item x="92"/>
        <item x="166"/>
        <item x="93"/>
        <item x="94"/>
        <item x="95"/>
        <item x="96"/>
        <item x="167"/>
        <item x="168"/>
        <item m="1" x="182"/>
        <item x="97"/>
        <item x="144"/>
        <item x="138"/>
        <item m="1" x="178"/>
        <item m="1" x="179"/>
        <item x="151"/>
        <item x="161"/>
        <item x="152"/>
        <item x="164"/>
        <item x="32"/>
        <item x="136"/>
        <item x="31"/>
        <item x="135"/>
        <item x="17"/>
        <item x="172"/>
        <item x="102"/>
        <item x="163"/>
        <item x="100"/>
        <item m="1" x="181"/>
        <item m="1" x="183"/>
        <item x="18"/>
        <item x="33"/>
        <item x="140"/>
        <item x="131"/>
        <item x="34"/>
        <item x="134"/>
        <item x="165"/>
        <item x="105"/>
        <item t="default"/>
      </items>
    </pivotField>
    <pivotField axis="axisPage" multipleItemSelectionAllowed="1" showAll="0">
      <items count="6">
        <item h="1" m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4"/>
        <item h="1" x="2"/>
        <item x="1"/>
        <item h="1" x="0"/>
        <item h="1" x="5"/>
        <item h="1" x="6"/>
        <item h="1" x="3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axis="axisPage" multipleItemSelectionAllowed="1" showAll="0">
      <items count="6">
        <item x="2"/>
        <item h="1" x="4"/>
        <item h="1" x="1"/>
        <item h="1" x="3"/>
        <item h="1" x="0"/>
        <item t="default"/>
      </items>
    </pivotField>
  </pivotFields>
  <rowFields count="2">
    <field x="1"/>
    <field x="3"/>
  </rowFields>
  <rowItems count="48">
    <i>
      <x v="1"/>
    </i>
    <i r="1">
      <x v="10"/>
    </i>
    <i r="1">
      <x v="13"/>
    </i>
    <i r="1">
      <x v="19"/>
    </i>
    <i r="1">
      <x v="177"/>
    </i>
    <i>
      <x v="6"/>
    </i>
    <i r="1">
      <x v="178"/>
    </i>
    <i>
      <x v="9"/>
    </i>
    <i r="1">
      <x v="11"/>
    </i>
    <i r="1">
      <x v="23"/>
    </i>
    <i>
      <x v="10"/>
    </i>
    <i r="1">
      <x v="8"/>
    </i>
    <i r="1">
      <x v="174"/>
    </i>
    <i>
      <x v="11"/>
    </i>
    <i r="1">
      <x v="1"/>
    </i>
    <i r="1">
      <x v="2"/>
    </i>
    <i r="1">
      <x v="172"/>
    </i>
    <i>
      <x v="12"/>
    </i>
    <i r="1">
      <x v="5"/>
    </i>
    <i r="1">
      <x v="184"/>
    </i>
    <i>
      <x v="16"/>
    </i>
    <i r="1">
      <x v="7"/>
    </i>
    <i>
      <x v="17"/>
    </i>
    <i r="1">
      <x v="6"/>
    </i>
    <i>
      <x v="22"/>
    </i>
    <i r="1">
      <x v="12"/>
    </i>
    <i r="1">
      <x v="20"/>
    </i>
    <i r="1">
      <x v="162"/>
    </i>
    <i r="1">
      <x v="164"/>
    </i>
    <i>
      <x v="25"/>
    </i>
    <i r="1">
      <x v="22"/>
    </i>
    <i r="1">
      <x v="163"/>
    </i>
    <i>
      <x v="26"/>
    </i>
    <i r="1">
      <x v="165"/>
    </i>
    <i r="1">
      <x v="173"/>
    </i>
    <i>
      <x v="29"/>
    </i>
    <i r="1">
      <x v="16"/>
    </i>
    <i r="1">
      <x v="17"/>
    </i>
    <i r="1">
      <x v="18"/>
    </i>
    <i>
      <x v="30"/>
    </i>
    <i r="1">
      <x v="171"/>
    </i>
    <i>
      <x v="31"/>
    </i>
    <i r="1">
      <x v="9"/>
    </i>
    <i r="1">
      <x v="14"/>
    </i>
    <i r="1">
      <x v="15"/>
    </i>
    <i r="1">
      <x v="21"/>
    </i>
    <i r="1"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4CC9-6886-41BF-AFA5-A80901948DE3}">
  <dimension ref="A2:Y25"/>
  <sheetViews>
    <sheetView showGridLines="0" tabSelected="1" zoomScale="80" zoomScaleNormal="80" workbookViewId="0">
      <pane xSplit="1" topLeftCell="K1" activePane="topRight" state="frozen"/>
      <selection pane="topRight" activeCell="T30" sqref="T30"/>
    </sheetView>
  </sheetViews>
  <sheetFormatPr baseColWidth="10" defaultRowHeight="14.4" x14ac:dyDescent="0.3"/>
  <cols>
    <col min="1" max="1" width="37.88671875" bestFit="1" customWidth="1"/>
    <col min="2" max="2" width="22.77734375" bestFit="1" customWidth="1"/>
    <col min="3" max="5" width="9.33203125" bestFit="1" customWidth="1"/>
    <col min="6" max="24" width="10.33203125" bestFit="1" customWidth="1"/>
    <col min="25" max="25" width="12.21875" bestFit="1" customWidth="1"/>
    <col min="26" max="26" width="10.77734375" bestFit="1" customWidth="1"/>
    <col min="27" max="29" width="10.33203125" bestFit="1" customWidth="1"/>
    <col min="30" max="31" width="9.33203125" bestFit="1" customWidth="1"/>
    <col min="32" max="50" width="10.33203125" bestFit="1" customWidth="1"/>
    <col min="51" max="51" width="9.33203125" bestFit="1" customWidth="1"/>
    <col min="52" max="52" width="9.77734375" bestFit="1" customWidth="1"/>
    <col min="53" max="53" width="9.33203125" bestFit="1" customWidth="1"/>
    <col min="54" max="60" width="10.33203125" bestFit="1" customWidth="1"/>
    <col min="61" max="61" width="11.6640625" bestFit="1" customWidth="1"/>
    <col min="62" max="66" width="10.33203125" bestFit="1" customWidth="1"/>
    <col min="67" max="67" width="11.6640625" bestFit="1" customWidth="1"/>
    <col min="68" max="70" width="10.33203125" bestFit="1" customWidth="1"/>
    <col min="71" max="71" width="11.6640625" bestFit="1" customWidth="1"/>
  </cols>
  <sheetData>
    <row r="2" spans="1:25" x14ac:dyDescent="0.3">
      <c r="A2" s="9" t="s">
        <v>4</v>
      </c>
      <c r="B2" t="s">
        <v>609</v>
      </c>
    </row>
    <row r="3" spans="1:25" x14ac:dyDescent="0.3">
      <c r="A3" s="9" t="s">
        <v>585</v>
      </c>
      <c r="B3" t="s">
        <v>591</v>
      </c>
    </row>
    <row r="5" spans="1:25" x14ac:dyDescent="0.3">
      <c r="A5" s="9" t="s">
        <v>593</v>
      </c>
      <c r="B5" s="9" t="s">
        <v>594</v>
      </c>
    </row>
    <row r="6" spans="1:25" x14ac:dyDescent="0.3">
      <c r="A6" s="9" t="s">
        <v>595</v>
      </c>
      <c r="B6" s="19">
        <v>46168</v>
      </c>
      <c r="C6" s="19">
        <v>46178</v>
      </c>
      <c r="D6" s="19">
        <v>46175</v>
      </c>
      <c r="E6" s="19">
        <v>46211</v>
      </c>
      <c r="F6" s="19">
        <v>46216</v>
      </c>
      <c r="G6" s="19">
        <v>46219</v>
      </c>
      <c r="H6" s="19">
        <v>46224</v>
      </c>
      <c r="I6" s="19">
        <v>46244</v>
      </c>
      <c r="J6" s="19">
        <v>46246</v>
      </c>
      <c r="K6" s="19">
        <v>46248</v>
      </c>
      <c r="L6" s="19">
        <v>46249</v>
      </c>
      <c r="M6" s="19">
        <v>46252</v>
      </c>
      <c r="N6" s="19">
        <v>46254</v>
      </c>
      <c r="O6" s="19">
        <v>46263</v>
      </c>
      <c r="P6" s="19">
        <v>46276</v>
      </c>
      <c r="Q6" s="19">
        <v>46280</v>
      </c>
      <c r="R6" s="19">
        <v>46287</v>
      </c>
      <c r="S6" s="19">
        <v>46288</v>
      </c>
      <c r="T6" s="19">
        <v>46290</v>
      </c>
      <c r="U6" s="19">
        <v>46291</v>
      </c>
      <c r="V6" s="19">
        <v>46292</v>
      </c>
      <c r="W6" s="19">
        <v>46294</v>
      </c>
      <c r="X6" s="19">
        <v>46310</v>
      </c>
      <c r="Y6" t="s">
        <v>596</v>
      </c>
    </row>
    <row r="7" spans="1:25" x14ac:dyDescent="0.3">
      <c r="A7" s="10" t="s">
        <v>66</v>
      </c>
      <c r="B7" s="22"/>
      <c r="C7" s="22"/>
      <c r="D7" s="22"/>
      <c r="E7" s="22"/>
      <c r="F7" s="22"/>
      <c r="G7" s="22"/>
      <c r="H7" s="22"/>
      <c r="I7" s="25">
        <v>336990</v>
      </c>
      <c r="J7" s="25"/>
      <c r="K7" s="25"/>
      <c r="L7" s="25"/>
      <c r="M7" s="22"/>
      <c r="N7" s="22"/>
      <c r="O7" s="22">
        <v>218730</v>
      </c>
      <c r="P7" s="22"/>
      <c r="Q7" s="22"/>
      <c r="R7" s="22"/>
      <c r="S7" s="22">
        <v>83280</v>
      </c>
      <c r="T7" s="22">
        <v>83280</v>
      </c>
      <c r="U7" s="22"/>
      <c r="V7" s="22">
        <v>41448</v>
      </c>
      <c r="W7" s="22"/>
      <c r="X7" s="22"/>
      <c r="Y7" s="22">
        <v>763728</v>
      </c>
    </row>
    <row r="8" spans="1:25" x14ac:dyDescent="0.3">
      <c r="A8" s="10" t="s">
        <v>114</v>
      </c>
      <c r="B8" s="22"/>
      <c r="C8" s="22"/>
      <c r="D8" s="22"/>
      <c r="E8" s="22"/>
      <c r="F8" s="22"/>
      <c r="G8" s="22"/>
      <c r="H8" s="22"/>
      <c r="I8" s="25"/>
      <c r="J8" s="25"/>
      <c r="K8" s="25"/>
      <c r="L8" s="25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>
        <v>15163</v>
      </c>
      <c r="Y8" s="22">
        <v>15163</v>
      </c>
    </row>
    <row r="9" spans="1:25" x14ac:dyDescent="0.3">
      <c r="A9" s="10" t="s">
        <v>118</v>
      </c>
      <c r="B9" s="22"/>
      <c r="C9" s="22"/>
      <c r="D9" s="22"/>
      <c r="E9" s="22"/>
      <c r="F9" s="22"/>
      <c r="G9" s="22"/>
      <c r="H9" s="22"/>
      <c r="I9" s="25"/>
      <c r="J9" s="25"/>
      <c r="K9" s="25"/>
      <c r="L9" s="25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>
        <v>16355.92</v>
      </c>
      <c r="Y9" s="22">
        <v>16355.92</v>
      </c>
    </row>
    <row r="10" spans="1:25" x14ac:dyDescent="0.3">
      <c r="A10" s="10" t="s">
        <v>123</v>
      </c>
      <c r="B10" s="22"/>
      <c r="C10" s="22"/>
      <c r="D10" s="22"/>
      <c r="E10" s="22"/>
      <c r="F10" s="22"/>
      <c r="G10" s="22"/>
      <c r="H10" s="22"/>
      <c r="I10" s="25"/>
      <c r="J10" s="25"/>
      <c r="K10" s="25"/>
      <c r="L10" s="25"/>
      <c r="M10" s="22"/>
      <c r="N10" s="22"/>
      <c r="O10" s="22"/>
      <c r="P10" s="22"/>
      <c r="Q10" s="22"/>
      <c r="R10" s="22"/>
      <c r="S10" s="22"/>
      <c r="T10" s="22"/>
      <c r="U10" s="22">
        <v>54894</v>
      </c>
      <c r="V10" s="22"/>
      <c r="W10" s="22"/>
      <c r="X10" s="22"/>
      <c r="Y10" s="22">
        <v>54894</v>
      </c>
    </row>
    <row r="11" spans="1:25" x14ac:dyDescent="0.3">
      <c r="A11" s="10" t="s">
        <v>318</v>
      </c>
      <c r="B11" s="22">
        <v>-34580</v>
      </c>
      <c r="C11" s="22"/>
      <c r="D11" s="22"/>
      <c r="E11" s="22"/>
      <c r="F11" s="22"/>
      <c r="G11" s="22"/>
      <c r="H11" s="22"/>
      <c r="I11" s="25"/>
      <c r="J11" s="25"/>
      <c r="K11" s="25"/>
      <c r="L11" s="25"/>
      <c r="M11" s="22"/>
      <c r="N11" s="22"/>
      <c r="O11" s="22"/>
      <c r="P11" s="22"/>
      <c r="Q11" s="22"/>
      <c r="R11" s="22"/>
      <c r="S11" s="22"/>
      <c r="T11" s="22">
        <v>89775</v>
      </c>
      <c r="U11" s="22"/>
      <c r="V11" s="22"/>
      <c r="W11" s="22">
        <v>29925</v>
      </c>
      <c r="X11" s="22"/>
      <c r="Y11" s="22">
        <v>85120</v>
      </c>
    </row>
    <row r="12" spans="1:25" x14ac:dyDescent="0.3">
      <c r="A12" s="10" t="s">
        <v>328</v>
      </c>
      <c r="B12" s="22"/>
      <c r="C12" s="22"/>
      <c r="D12" s="22"/>
      <c r="E12" s="22"/>
      <c r="F12" s="22"/>
      <c r="G12" s="22"/>
      <c r="H12" s="22"/>
      <c r="I12" s="25"/>
      <c r="J12" s="25"/>
      <c r="K12" s="25"/>
      <c r="L12" s="25"/>
      <c r="M12" s="22"/>
      <c r="N12" s="22">
        <v>14830.54</v>
      </c>
      <c r="O12" s="22"/>
      <c r="P12" s="22"/>
      <c r="Q12" s="22">
        <v>3145.44</v>
      </c>
      <c r="R12" s="22"/>
      <c r="S12" s="22"/>
      <c r="T12" s="22"/>
      <c r="U12" s="22"/>
      <c r="V12" s="22"/>
      <c r="W12" s="22"/>
      <c r="X12" s="22"/>
      <c r="Y12" s="22">
        <v>17975.98</v>
      </c>
    </row>
    <row r="13" spans="1:25" x14ac:dyDescent="0.3">
      <c r="A13" s="10" t="s">
        <v>336</v>
      </c>
      <c r="B13" s="22"/>
      <c r="C13" s="22"/>
      <c r="D13" s="22"/>
      <c r="E13" s="22"/>
      <c r="F13" s="22"/>
      <c r="G13" s="22"/>
      <c r="H13" s="22"/>
      <c r="I13" s="25"/>
      <c r="J13" s="25">
        <v>157950</v>
      </c>
      <c r="K13" s="25">
        <v>211167</v>
      </c>
      <c r="L13" s="25"/>
      <c r="M13" s="22"/>
      <c r="N13" s="22"/>
      <c r="O13" s="22">
        <v>105300</v>
      </c>
      <c r="P13" s="22"/>
      <c r="Q13" s="22"/>
      <c r="R13" s="22"/>
      <c r="S13" s="22"/>
      <c r="T13" s="22"/>
      <c r="U13" s="22"/>
      <c r="V13" s="22"/>
      <c r="W13" s="22"/>
      <c r="X13" s="22"/>
      <c r="Y13" s="22">
        <v>474417</v>
      </c>
    </row>
    <row r="14" spans="1:25" x14ac:dyDescent="0.3">
      <c r="A14" s="10" t="s">
        <v>346</v>
      </c>
      <c r="B14" s="22"/>
      <c r="C14" s="22"/>
      <c r="D14" s="22"/>
      <c r="E14" s="22"/>
      <c r="F14" s="22"/>
      <c r="G14" s="22"/>
      <c r="H14" s="22"/>
      <c r="I14" s="25"/>
      <c r="J14" s="25"/>
      <c r="K14" s="25"/>
      <c r="L14" s="25"/>
      <c r="M14" s="22"/>
      <c r="N14" s="22"/>
      <c r="O14" s="22">
        <v>586825</v>
      </c>
      <c r="P14" s="22"/>
      <c r="Q14" s="22"/>
      <c r="R14" s="22"/>
      <c r="S14" s="22"/>
      <c r="T14" s="22"/>
      <c r="U14" s="22"/>
      <c r="V14" s="22"/>
      <c r="W14" s="22"/>
      <c r="X14" s="22"/>
      <c r="Y14" s="22">
        <v>586825</v>
      </c>
    </row>
    <row r="15" spans="1:25" x14ac:dyDescent="0.3">
      <c r="A15" s="10" t="s">
        <v>439</v>
      </c>
      <c r="B15" s="22"/>
      <c r="C15" s="22"/>
      <c r="D15" s="22"/>
      <c r="E15" s="22"/>
      <c r="F15" s="22"/>
      <c r="G15" s="22"/>
      <c r="H15" s="22"/>
      <c r="I15" s="25"/>
      <c r="J15" s="25"/>
      <c r="K15" s="25"/>
      <c r="L15" s="25">
        <v>67008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>
        <v>67008</v>
      </c>
    </row>
    <row r="16" spans="1:25" x14ac:dyDescent="0.3">
      <c r="A16" s="10" t="s">
        <v>443</v>
      </c>
      <c r="B16" s="22"/>
      <c r="C16" s="22"/>
      <c r="D16" s="22"/>
      <c r="E16" s="22"/>
      <c r="F16" s="22"/>
      <c r="G16" s="22"/>
      <c r="H16" s="22"/>
      <c r="I16" s="25"/>
      <c r="J16" s="25"/>
      <c r="K16" s="25"/>
      <c r="L16" s="25"/>
      <c r="M16" s="22"/>
      <c r="N16" s="22"/>
      <c r="O16" s="22"/>
      <c r="P16" s="22"/>
      <c r="Q16" s="22">
        <v>74100</v>
      </c>
      <c r="R16" s="22"/>
      <c r="S16" s="22"/>
      <c r="T16" s="22"/>
      <c r="U16" s="22"/>
      <c r="V16" s="22"/>
      <c r="W16" s="22"/>
      <c r="X16" s="22">
        <v>10284</v>
      </c>
      <c r="Y16" s="22">
        <v>84384</v>
      </c>
    </row>
    <row r="17" spans="1:25" x14ac:dyDescent="0.3">
      <c r="A17" s="10" t="s">
        <v>450</v>
      </c>
      <c r="B17" s="22"/>
      <c r="C17" s="22">
        <v>-13728</v>
      </c>
      <c r="D17" s="22"/>
      <c r="E17" s="22"/>
      <c r="F17" s="22"/>
      <c r="G17" s="22"/>
      <c r="H17" s="22"/>
      <c r="I17" s="25"/>
      <c r="J17" s="25"/>
      <c r="K17" s="25"/>
      <c r="L17" s="25"/>
      <c r="M17" s="22"/>
      <c r="N17" s="22"/>
      <c r="O17" s="22"/>
      <c r="P17" s="22">
        <v>68340</v>
      </c>
      <c r="Q17" s="22"/>
      <c r="R17" s="22"/>
      <c r="S17" s="22"/>
      <c r="T17" s="22"/>
      <c r="U17" s="22"/>
      <c r="V17" s="22"/>
      <c r="W17" s="22"/>
      <c r="X17" s="22"/>
      <c r="Y17" s="22">
        <v>54612</v>
      </c>
    </row>
    <row r="18" spans="1:25" x14ac:dyDescent="0.3">
      <c r="A18" s="10" t="s">
        <v>470</v>
      </c>
      <c r="B18" s="22"/>
      <c r="C18" s="22"/>
      <c r="D18" s="22">
        <v>-6470</v>
      </c>
      <c r="E18" s="22"/>
      <c r="F18" s="22"/>
      <c r="G18" s="22"/>
      <c r="H18" s="22"/>
      <c r="I18" s="25"/>
      <c r="J18" s="25">
        <v>29250</v>
      </c>
      <c r="K18" s="25"/>
      <c r="L18" s="25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>
        <v>22780</v>
      </c>
    </row>
    <row r="19" spans="1:25" x14ac:dyDescent="0.3">
      <c r="A19" s="10" t="s">
        <v>494</v>
      </c>
      <c r="B19" s="22"/>
      <c r="C19" s="22"/>
      <c r="D19" s="22"/>
      <c r="E19" s="22">
        <v>-15970</v>
      </c>
      <c r="F19" s="22"/>
      <c r="G19" s="22">
        <v>-16150</v>
      </c>
      <c r="H19" s="22"/>
      <c r="I19" s="25"/>
      <c r="J19" s="25"/>
      <c r="K19" s="25"/>
      <c r="L19" s="25"/>
      <c r="M19" s="22"/>
      <c r="N19" s="22"/>
      <c r="O19" s="22"/>
      <c r="P19" s="22"/>
      <c r="Q19" s="22"/>
      <c r="R19" s="22"/>
      <c r="S19" s="22"/>
      <c r="T19" s="22">
        <v>80610</v>
      </c>
      <c r="U19" s="22"/>
      <c r="V19" s="22">
        <v>81000</v>
      </c>
      <c r="W19" s="22"/>
      <c r="X19" s="22"/>
      <c r="Y19" s="22">
        <v>129490</v>
      </c>
    </row>
    <row r="20" spans="1:25" x14ac:dyDescent="0.3">
      <c r="A20" s="10" t="s">
        <v>527</v>
      </c>
      <c r="B20" s="22"/>
      <c r="C20" s="22"/>
      <c r="D20" s="22"/>
      <c r="E20" s="22"/>
      <c r="F20" s="22">
        <v>-24925</v>
      </c>
      <c r="G20" s="22"/>
      <c r="H20" s="22"/>
      <c r="I20" s="25"/>
      <c r="J20" s="25"/>
      <c r="K20" s="25"/>
      <c r="L20" s="25"/>
      <c r="M20" s="22"/>
      <c r="N20" s="22"/>
      <c r="O20" s="22"/>
      <c r="P20" s="22"/>
      <c r="Q20" s="22"/>
      <c r="R20" s="22"/>
      <c r="S20" s="22"/>
      <c r="T20" s="22"/>
      <c r="U20" s="22"/>
      <c r="V20" s="22">
        <v>96292.5</v>
      </c>
      <c r="W20" s="22"/>
      <c r="X20" s="22"/>
      <c r="Y20" s="22">
        <v>71367.5</v>
      </c>
    </row>
    <row r="21" spans="1:25" x14ac:dyDescent="0.3">
      <c r="A21" s="10" t="s">
        <v>534</v>
      </c>
      <c r="B21" s="22"/>
      <c r="C21" s="22"/>
      <c r="D21" s="22"/>
      <c r="E21" s="22"/>
      <c r="F21" s="22"/>
      <c r="G21" s="22"/>
      <c r="H21" s="22">
        <v>-9650</v>
      </c>
      <c r="I21" s="25"/>
      <c r="J21" s="25"/>
      <c r="K21" s="25"/>
      <c r="L21" s="25"/>
      <c r="M21" s="22"/>
      <c r="N21" s="22">
        <v>47690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>
        <v>38040</v>
      </c>
    </row>
    <row r="22" spans="1:25" x14ac:dyDescent="0.3">
      <c r="A22" s="10" t="s">
        <v>555</v>
      </c>
      <c r="B22" s="22"/>
      <c r="C22" s="22"/>
      <c r="D22" s="22"/>
      <c r="E22" s="22"/>
      <c r="F22" s="22"/>
      <c r="G22" s="22"/>
      <c r="H22" s="22"/>
      <c r="I22" s="25"/>
      <c r="J22" s="25"/>
      <c r="K22" s="25"/>
      <c r="L22" s="25"/>
      <c r="M22" s="22"/>
      <c r="N22" s="22"/>
      <c r="O22" s="22"/>
      <c r="P22" s="22"/>
      <c r="Q22" s="22"/>
      <c r="R22" s="22"/>
      <c r="S22" s="22"/>
      <c r="T22" s="22"/>
      <c r="U22" s="22">
        <v>145000</v>
      </c>
      <c r="V22" s="22"/>
      <c r="W22" s="22"/>
      <c r="X22" s="22"/>
      <c r="Y22" s="22">
        <v>145000</v>
      </c>
    </row>
    <row r="23" spans="1:25" x14ac:dyDescent="0.3">
      <c r="A23" s="10" t="s">
        <v>566</v>
      </c>
      <c r="B23" s="22"/>
      <c r="C23" s="22"/>
      <c r="D23" s="22"/>
      <c r="E23" s="22"/>
      <c r="F23" s="22"/>
      <c r="G23" s="22"/>
      <c r="H23" s="22"/>
      <c r="I23" s="25"/>
      <c r="J23" s="25"/>
      <c r="K23" s="25"/>
      <c r="L23" s="25"/>
      <c r="M23" s="22">
        <v>57857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>
        <v>57857</v>
      </c>
    </row>
    <row r="24" spans="1:25" x14ac:dyDescent="0.3">
      <c r="A24" s="23" t="s">
        <v>570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>
        <v>432000</v>
      </c>
      <c r="S24" s="24"/>
      <c r="T24" s="24"/>
      <c r="U24" s="24">
        <v>955800</v>
      </c>
      <c r="V24" s="24">
        <v>245700</v>
      </c>
      <c r="W24" s="24">
        <v>547740</v>
      </c>
      <c r="X24" s="24"/>
      <c r="Y24" s="24">
        <v>2181240</v>
      </c>
    </row>
    <row r="25" spans="1:25" x14ac:dyDescent="0.3">
      <c r="A25" s="10" t="s">
        <v>596</v>
      </c>
      <c r="B25" s="22">
        <v>-34580</v>
      </c>
      <c r="C25" s="22">
        <v>-13728</v>
      </c>
      <c r="D25" s="22">
        <v>-6470</v>
      </c>
      <c r="E25" s="22">
        <v>-15970</v>
      </c>
      <c r="F25" s="22">
        <v>-24925</v>
      </c>
      <c r="G25" s="22">
        <v>-16150</v>
      </c>
      <c r="H25" s="22">
        <v>-9650</v>
      </c>
      <c r="I25" s="22">
        <v>336990</v>
      </c>
      <c r="J25" s="22">
        <v>187200</v>
      </c>
      <c r="K25" s="22">
        <v>211167</v>
      </c>
      <c r="L25" s="22">
        <v>67008</v>
      </c>
      <c r="M25" s="22">
        <v>57857</v>
      </c>
      <c r="N25" s="22">
        <v>62520.54</v>
      </c>
      <c r="O25" s="22">
        <v>910855</v>
      </c>
      <c r="P25" s="22">
        <v>68340</v>
      </c>
      <c r="Q25" s="22">
        <v>77245.440000000002</v>
      </c>
      <c r="R25" s="22">
        <v>432000</v>
      </c>
      <c r="S25" s="22">
        <v>83280</v>
      </c>
      <c r="T25" s="22">
        <v>253665</v>
      </c>
      <c r="U25" s="22">
        <v>1155694</v>
      </c>
      <c r="V25" s="22">
        <v>464440.5</v>
      </c>
      <c r="W25" s="22">
        <v>577665</v>
      </c>
      <c r="X25" s="22">
        <v>41802.92</v>
      </c>
      <c r="Y25" s="22">
        <v>4866257.4000000004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3346-52D1-45B0-8D93-0C17611B91FC}">
  <dimension ref="A1:B66"/>
  <sheetViews>
    <sheetView workbookViewId="0">
      <selection activeCell="A11" sqref="A11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9" t="s">
        <v>5</v>
      </c>
      <c r="B1" t="s">
        <v>609</v>
      </c>
    </row>
    <row r="2" spans="1:2" x14ac:dyDescent="0.3">
      <c r="A2" s="9" t="s">
        <v>585</v>
      </c>
      <c r="B2" t="s">
        <v>591</v>
      </c>
    </row>
    <row r="3" spans="1:2" x14ac:dyDescent="0.3">
      <c r="A3" s="9" t="s">
        <v>4</v>
      </c>
      <c r="B3" t="s">
        <v>610</v>
      </c>
    </row>
    <row r="5" spans="1:2" x14ac:dyDescent="0.3">
      <c r="A5" s="9" t="s">
        <v>595</v>
      </c>
      <c r="B5" t="s">
        <v>608</v>
      </c>
    </row>
    <row r="6" spans="1:2" x14ac:dyDescent="0.3">
      <c r="A6" s="10" t="s">
        <v>66</v>
      </c>
      <c r="B6" s="21">
        <v>763728</v>
      </c>
    </row>
    <row r="7" spans="1:2" x14ac:dyDescent="0.3">
      <c r="A7" s="12" t="s">
        <v>75</v>
      </c>
      <c r="B7" s="21">
        <v>83280</v>
      </c>
    </row>
    <row r="8" spans="1:2" x14ac:dyDescent="0.3">
      <c r="A8" s="12" t="s">
        <v>79</v>
      </c>
      <c r="B8" s="21">
        <v>83280</v>
      </c>
    </row>
    <row r="9" spans="1:2" x14ac:dyDescent="0.3">
      <c r="A9" s="12" t="s">
        <v>82</v>
      </c>
      <c r="B9" s="21">
        <v>41448</v>
      </c>
    </row>
    <row r="10" spans="1:2" x14ac:dyDescent="0.3">
      <c r="A10" s="12" t="s">
        <v>68</v>
      </c>
      <c r="B10" s="21">
        <v>336990</v>
      </c>
    </row>
    <row r="11" spans="1:2" x14ac:dyDescent="0.3">
      <c r="A11" s="12" t="s">
        <v>72</v>
      </c>
      <c r="B11" s="21">
        <v>218730</v>
      </c>
    </row>
    <row r="12" spans="1:2" x14ac:dyDescent="0.3">
      <c r="A12" s="10" t="s">
        <v>114</v>
      </c>
      <c r="B12" s="21">
        <v>15163</v>
      </c>
    </row>
    <row r="13" spans="1:2" x14ac:dyDescent="0.3">
      <c r="A13" s="12" t="s">
        <v>116</v>
      </c>
      <c r="B13" s="21">
        <v>15163</v>
      </c>
    </row>
    <row r="14" spans="1:2" x14ac:dyDescent="0.3">
      <c r="A14" s="10" t="s">
        <v>118</v>
      </c>
      <c r="B14" s="21">
        <v>16355.92</v>
      </c>
    </row>
    <row r="15" spans="1:2" x14ac:dyDescent="0.3">
      <c r="A15" s="12" t="s">
        <v>121</v>
      </c>
      <c r="B15" s="21">
        <v>16355.92</v>
      </c>
    </row>
    <row r="16" spans="1:2" x14ac:dyDescent="0.3">
      <c r="A16" s="10" t="s">
        <v>123</v>
      </c>
      <c r="B16" s="21">
        <v>54894</v>
      </c>
    </row>
    <row r="17" spans="1:2" x14ac:dyDescent="0.3">
      <c r="A17" s="12" t="s">
        <v>125</v>
      </c>
      <c r="B17" s="21">
        <v>54894</v>
      </c>
    </row>
    <row r="18" spans="1:2" x14ac:dyDescent="0.3">
      <c r="A18" s="10" t="s">
        <v>318</v>
      </c>
      <c r="B18" s="21">
        <v>85120</v>
      </c>
    </row>
    <row r="19" spans="1:2" x14ac:dyDescent="0.3">
      <c r="A19" s="12" t="s">
        <v>323</v>
      </c>
      <c r="B19" s="21">
        <v>89775</v>
      </c>
    </row>
    <row r="20" spans="1:2" x14ac:dyDescent="0.3">
      <c r="A20" s="12" t="s">
        <v>326</v>
      </c>
      <c r="B20" s="21">
        <v>29925</v>
      </c>
    </row>
    <row r="21" spans="1:2" x14ac:dyDescent="0.3">
      <c r="A21" s="12" t="s">
        <v>320</v>
      </c>
      <c r="B21" s="21">
        <v>-34580</v>
      </c>
    </row>
    <row r="22" spans="1:2" x14ac:dyDescent="0.3">
      <c r="A22" s="10" t="s">
        <v>328</v>
      </c>
      <c r="B22" s="21">
        <v>17975.98</v>
      </c>
    </row>
    <row r="23" spans="1:2" x14ac:dyDescent="0.3">
      <c r="A23" s="12" t="s">
        <v>334</v>
      </c>
      <c r="B23" s="21">
        <v>3145.44</v>
      </c>
    </row>
    <row r="24" spans="1:2" x14ac:dyDescent="0.3">
      <c r="A24" s="12" t="s">
        <v>331</v>
      </c>
      <c r="B24" s="21">
        <v>14830.54</v>
      </c>
    </row>
    <row r="25" spans="1:2" x14ac:dyDescent="0.3">
      <c r="A25" s="10" t="s">
        <v>336</v>
      </c>
      <c r="B25" s="21">
        <v>474417</v>
      </c>
    </row>
    <row r="26" spans="1:2" x14ac:dyDescent="0.3">
      <c r="A26" s="12" t="s">
        <v>341</v>
      </c>
      <c r="B26" s="21">
        <v>211167</v>
      </c>
    </row>
    <row r="27" spans="1:2" x14ac:dyDescent="0.3">
      <c r="A27" s="12" t="s">
        <v>344</v>
      </c>
      <c r="B27" s="21">
        <v>105300</v>
      </c>
    </row>
    <row r="28" spans="1:2" x14ac:dyDescent="0.3">
      <c r="A28" s="12" t="s">
        <v>338</v>
      </c>
      <c r="B28" s="21">
        <v>157950</v>
      </c>
    </row>
    <row r="29" spans="1:2" x14ac:dyDescent="0.3">
      <c r="A29" s="10" t="s">
        <v>346</v>
      </c>
      <c r="B29" s="21">
        <v>609275.80000000005</v>
      </c>
    </row>
    <row r="30" spans="1:2" x14ac:dyDescent="0.3">
      <c r="A30" s="12" t="s">
        <v>351</v>
      </c>
      <c r="B30" s="21">
        <v>213300</v>
      </c>
    </row>
    <row r="31" spans="1:2" x14ac:dyDescent="0.3">
      <c r="A31" s="12" t="s">
        <v>613</v>
      </c>
      <c r="B31" s="21">
        <v>395975.8</v>
      </c>
    </row>
    <row r="32" spans="1:2" x14ac:dyDescent="0.3">
      <c r="A32" s="10" t="s">
        <v>439</v>
      </c>
      <c r="B32" s="21">
        <v>67008</v>
      </c>
    </row>
    <row r="33" spans="1:2" x14ac:dyDescent="0.3">
      <c r="A33" s="12" t="s">
        <v>441</v>
      </c>
      <c r="B33" s="21">
        <v>67008</v>
      </c>
    </row>
    <row r="34" spans="1:2" x14ac:dyDescent="0.3">
      <c r="A34" s="10" t="s">
        <v>443</v>
      </c>
      <c r="B34" s="21">
        <v>84384</v>
      </c>
    </row>
    <row r="35" spans="1:2" x14ac:dyDescent="0.3">
      <c r="A35" s="12" t="s">
        <v>448</v>
      </c>
      <c r="B35" s="21">
        <v>74100</v>
      </c>
    </row>
    <row r="36" spans="1:2" x14ac:dyDescent="0.3">
      <c r="A36" s="12" t="s">
        <v>445</v>
      </c>
      <c r="B36" s="21">
        <v>10284</v>
      </c>
    </row>
    <row r="37" spans="1:2" x14ac:dyDescent="0.3">
      <c r="A37" s="10" t="s">
        <v>450</v>
      </c>
      <c r="B37" s="21">
        <v>54612</v>
      </c>
    </row>
    <row r="38" spans="1:2" x14ac:dyDescent="0.3">
      <c r="A38" s="12" t="s">
        <v>455</v>
      </c>
      <c r="B38" s="21">
        <v>68340</v>
      </c>
    </row>
    <row r="39" spans="1:2" x14ac:dyDescent="0.3">
      <c r="A39" s="12" t="s">
        <v>452</v>
      </c>
      <c r="B39" s="21">
        <v>-13728</v>
      </c>
    </row>
    <row r="40" spans="1:2" x14ac:dyDescent="0.3">
      <c r="A40" s="10" t="s">
        <v>470</v>
      </c>
      <c r="B40" s="21">
        <v>22780</v>
      </c>
    </row>
    <row r="41" spans="1:2" x14ac:dyDescent="0.3">
      <c r="A41" s="12" t="s">
        <v>475</v>
      </c>
      <c r="B41" s="21">
        <v>29250</v>
      </c>
    </row>
    <row r="42" spans="1:2" x14ac:dyDescent="0.3">
      <c r="A42" s="12" t="s">
        <v>472</v>
      </c>
      <c r="B42" s="21">
        <v>-6470</v>
      </c>
    </row>
    <row r="43" spans="1:2" x14ac:dyDescent="0.3">
      <c r="A43" s="10" t="s">
        <v>494</v>
      </c>
      <c r="B43" s="21">
        <v>129490</v>
      </c>
    </row>
    <row r="44" spans="1:2" x14ac:dyDescent="0.3">
      <c r="A44" s="12" t="s">
        <v>502</v>
      </c>
      <c r="B44" s="21">
        <v>80610</v>
      </c>
    </row>
    <row r="45" spans="1:2" x14ac:dyDescent="0.3">
      <c r="A45" s="12" t="s">
        <v>505</v>
      </c>
      <c r="B45" s="21">
        <v>81000</v>
      </c>
    </row>
    <row r="46" spans="1:2" x14ac:dyDescent="0.3">
      <c r="A46" s="12" t="s">
        <v>496</v>
      </c>
      <c r="B46" s="21">
        <v>-15970</v>
      </c>
    </row>
    <row r="47" spans="1:2" x14ac:dyDescent="0.3">
      <c r="A47" s="12" t="s">
        <v>499</v>
      </c>
      <c r="B47" s="21">
        <v>-16150</v>
      </c>
    </row>
    <row r="48" spans="1:2" x14ac:dyDescent="0.3">
      <c r="A48" s="10" t="s">
        <v>527</v>
      </c>
      <c r="B48" s="21">
        <v>71367.5</v>
      </c>
    </row>
    <row r="49" spans="1:2" x14ac:dyDescent="0.3">
      <c r="A49" s="12" t="s">
        <v>532</v>
      </c>
      <c r="B49" s="21">
        <v>96292.5</v>
      </c>
    </row>
    <row r="50" spans="1:2" x14ac:dyDescent="0.3">
      <c r="A50" s="12" t="s">
        <v>529</v>
      </c>
      <c r="B50" s="21">
        <v>-24925</v>
      </c>
    </row>
    <row r="51" spans="1:2" x14ac:dyDescent="0.3">
      <c r="A51" s="10" t="s">
        <v>534</v>
      </c>
      <c r="B51" s="21">
        <v>38040</v>
      </c>
    </row>
    <row r="52" spans="1:2" x14ac:dyDescent="0.3">
      <c r="A52" s="12" t="s">
        <v>539</v>
      </c>
      <c r="B52" s="21">
        <v>-9650</v>
      </c>
    </row>
    <row r="53" spans="1:2" x14ac:dyDescent="0.3">
      <c r="A53" s="12" t="s">
        <v>536</v>
      </c>
      <c r="B53" s="21">
        <v>47690</v>
      </c>
    </row>
    <row r="54" spans="1:2" x14ac:dyDescent="0.3">
      <c r="A54" s="10" t="s">
        <v>555</v>
      </c>
      <c r="B54" s="21">
        <v>145000</v>
      </c>
    </row>
    <row r="55" spans="1:2" x14ac:dyDescent="0.3">
      <c r="A55" s="12" t="s">
        <v>558</v>
      </c>
      <c r="B55" s="21">
        <v>58500</v>
      </c>
    </row>
    <row r="56" spans="1:2" x14ac:dyDescent="0.3">
      <c r="A56" s="12" t="s">
        <v>561</v>
      </c>
      <c r="B56" s="21">
        <v>41500</v>
      </c>
    </row>
    <row r="57" spans="1:2" x14ac:dyDescent="0.3">
      <c r="A57" s="12" t="s">
        <v>564</v>
      </c>
      <c r="B57" s="21">
        <v>45000</v>
      </c>
    </row>
    <row r="58" spans="1:2" x14ac:dyDescent="0.3">
      <c r="A58" s="10" t="s">
        <v>566</v>
      </c>
      <c r="B58" s="21">
        <v>57857</v>
      </c>
    </row>
    <row r="59" spans="1:2" x14ac:dyDescent="0.3">
      <c r="A59" s="12" t="s">
        <v>568</v>
      </c>
      <c r="B59" s="21">
        <v>57857</v>
      </c>
    </row>
    <row r="60" spans="1:2" x14ac:dyDescent="0.3">
      <c r="A60" s="10" t="s">
        <v>570</v>
      </c>
      <c r="B60" s="21">
        <v>2181240</v>
      </c>
    </row>
    <row r="61" spans="1:2" x14ac:dyDescent="0.3">
      <c r="A61" s="12" t="s">
        <v>572</v>
      </c>
      <c r="B61" s="21">
        <v>432000</v>
      </c>
    </row>
    <row r="62" spans="1:2" x14ac:dyDescent="0.3">
      <c r="A62" s="12" t="s">
        <v>575</v>
      </c>
      <c r="B62" s="21">
        <v>405000</v>
      </c>
    </row>
    <row r="63" spans="1:2" x14ac:dyDescent="0.3">
      <c r="A63" s="12" t="s">
        <v>578</v>
      </c>
      <c r="B63" s="21">
        <v>550800</v>
      </c>
    </row>
    <row r="64" spans="1:2" x14ac:dyDescent="0.3">
      <c r="A64" s="12" t="s">
        <v>581</v>
      </c>
      <c r="B64" s="21">
        <v>245700</v>
      </c>
    </row>
    <row r="65" spans="1:2" x14ac:dyDescent="0.3">
      <c r="A65" s="12" t="s">
        <v>584</v>
      </c>
      <c r="B65" s="21">
        <v>547740</v>
      </c>
    </row>
    <row r="66" spans="1:2" x14ac:dyDescent="0.3">
      <c r="A66" s="10" t="s">
        <v>596</v>
      </c>
      <c r="B66" s="21">
        <v>4888708.2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5B76-1C5F-4305-8CC8-F21338F21364}">
  <dimension ref="A1:I53"/>
  <sheetViews>
    <sheetView topLeftCell="A25" workbookViewId="0">
      <selection activeCell="F32" sqref="F32"/>
    </sheetView>
  </sheetViews>
  <sheetFormatPr baseColWidth="10" defaultRowHeight="14.4" x14ac:dyDescent="0.3"/>
  <cols>
    <col min="1" max="1" width="38.8867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4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9" t="s">
        <v>4</v>
      </c>
      <c r="B1" t="s">
        <v>610</v>
      </c>
      <c r="F1" s="9" t="s">
        <v>4</v>
      </c>
      <c r="G1" t="s">
        <v>610</v>
      </c>
    </row>
    <row r="2" spans="1:9" x14ac:dyDescent="0.3">
      <c r="A2" s="9" t="s">
        <v>603</v>
      </c>
      <c r="B2" t="s">
        <v>604</v>
      </c>
      <c r="F2" s="9" t="s">
        <v>603</v>
      </c>
      <c r="G2" t="s">
        <v>605</v>
      </c>
    </row>
    <row r="3" spans="1:9" x14ac:dyDescent="0.3">
      <c r="A3" s="9" t="s">
        <v>585</v>
      </c>
      <c r="B3" t="s">
        <v>591</v>
      </c>
      <c r="F3" s="9" t="s">
        <v>585</v>
      </c>
      <c r="G3" t="s">
        <v>591</v>
      </c>
    </row>
    <row r="5" spans="1:9" x14ac:dyDescent="0.3">
      <c r="A5" s="9" t="s">
        <v>595</v>
      </c>
      <c r="B5" t="s">
        <v>612</v>
      </c>
      <c r="C5" t="s">
        <v>611</v>
      </c>
      <c r="D5" t="s">
        <v>608</v>
      </c>
      <c r="F5" s="9" t="s">
        <v>595</v>
      </c>
      <c r="G5" t="s">
        <v>612</v>
      </c>
      <c r="H5" t="s">
        <v>611</v>
      </c>
      <c r="I5" t="s">
        <v>608</v>
      </c>
    </row>
    <row r="6" spans="1:9" x14ac:dyDescent="0.3">
      <c r="A6" s="10" t="s">
        <v>66</v>
      </c>
      <c r="B6" s="21">
        <v>1</v>
      </c>
      <c r="C6" s="21">
        <v>55</v>
      </c>
      <c r="D6" s="21">
        <v>426738</v>
      </c>
      <c r="F6" s="10" t="s">
        <v>450</v>
      </c>
      <c r="G6" s="21"/>
      <c r="H6" s="21">
        <v>59</v>
      </c>
      <c r="I6" s="21">
        <v>-13728</v>
      </c>
    </row>
    <row r="7" spans="1:9" x14ac:dyDescent="0.3">
      <c r="A7" s="12" t="s">
        <v>75</v>
      </c>
      <c r="B7" s="21"/>
      <c r="C7" s="21">
        <v>9</v>
      </c>
      <c r="D7" s="21">
        <v>83280</v>
      </c>
      <c r="F7" s="12" t="s">
        <v>452</v>
      </c>
      <c r="G7" s="21"/>
      <c r="H7" s="21">
        <v>59</v>
      </c>
      <c r="I7" s="21">
        <v>-13728</v>
      </c>
    </row>
    <row r="8" spans="1:9" x14ac:dyDescent="0.3">
      <c r="A8" s="12" t="s">
        <v>79</v>
      </c>
      <c r="B8" s="21"/>
      <c r="C8" s="21">
        <v>7</v>
      </c>
      <c r="D8" s="21">
        <v>83280</v>
      </c>
      <c r="F8" s="10" t="s">
        <v>470</v>
      </c>
      <c r="G8" s="21">
        <v>1</v>
      </c>
      <c r="H8" s="21">
        <v>51</v>
      </c>
      <c r="I8" s="21">
        <v>29250</v>
      </c>
    </row>
    <row r="9" spans="1:9" x14ac:dyDescent="0.3">
      <c r="A9" s="12" t="s">
        <v>82</v>
      </c>
      <c r="B9" s="21"/>
      <c r="C9" s="21">
        <v>5</v>
      </c>
      <c r="D9" s="21">
        <v>41448</v>
      </c>
      <c r="F9" s="12" t="s">
        <v>475</v>
      </c>
      <c r="G9" s="21">
        <v>1</v>
      </c>
      <c r="H9" s="21">
        <v>51</v>
      </c>
      <c r="I9" s="21">
        <v>29250</v>
      </c>
    </row>
    <row r="10" spans="1:9" x14ac:dyDescent="0.3">
      <c r="A10" s="12" t="s">
        <v>72</v>
      </c>
      <c r="B10" s="21">
        <v>1</v>
      </c>
      <c r="C10" s="21">
        <v>34</v>
      </c>
      <c r="D10" s="21">
        <v>218730</v>
      </c>
      <c r="F10" s="10" t="s">
        <v>596</v>
      </c>
      <c r="G10" s="21">
        <v>1</v>
      </c>
      <c r="H10" s="21">
        <v>110</v>
      </c>
      <c r="I10" s="21">
        <v>15522</v>
      </c>
    </row>
    <row r="11" spans="1:9" x14ac:dyDescent="0.3">
      <c r="A11" s="10" t="s">
        <v>123</v>
      </c>
      <c r="B11" s="21"/>
      <c r="C11" s="21">
        <v>6</v>
      </c>
      <c r="D11" s="21">
        <v>54894</v>
      </c>
    </row>
    <row r="12" spans="1:9" x14ac:dyDescent="0.3">
      <c r="A12" s="12" t="s">
        <v>125</v>
      </c>
      <c r="B12" s="21"/>
      <c r="C12" s="21">
        <v>6</v>
      </c>
      <c r="D12" s="21">
        <v>54894</v>
      </c>
    </row>
    <row r="13" spans="1:9" x14ac:dyDescent="0.3">
      <c r="A13" s="10" t="s">
        <v>318</v>
      </c>
      <c r="B13" s="21"/>
      <c r="C13" s="21">
        <v>10</v>
      </c>
      <c r="D13" s="21">
        <v>119700</v>
      </c>
    </row>
    <row r="14" spans="1:9" x14ac:dyDescent="0.3">
      <c r="A14" s="12" t="s">
        <v>323</v>
      </c>
      <c r="B14" s="21"/>
      <c r="C14" s="21">
        <v>7</v>
      </c>
      <c r="D14" s="21">
        <v>89775</v>
      </c>
    </row>
    <row r="15" spans="1:9" x14ac:dyDescent="0.3">
      <c r="A15" s="12" t="s">
        <v>326</v>
      </c>
      <c r="B15" s="21"/>
      <c r="C15" s="21">
        <v>3</v>
      </c>
      <c r="D15" s="21">
        <v>29925</v>
      </c>
    </row>
    <row r="16" spans="1:9" x14ac:dyDescent="0.3">
      <c r="A16" s="10" t="s">
        <v>328</v>
      </c>
      <c r="B16" s="21">
        <v>1</v>
      </c>
      <c r="C16" s="21">
        <v>60</v>
      </c>
      <c r="D16" s="21">
        <v>17975.98</v>
      </c>
      <c r="F16" s="9" t="s">
        <v>4</v>
      </c>
      <c r="G16" t="s">
        <v>610</v>
      </c>
    </row>
    <row r="17" spans="1:9" x14ac:dyDescent="0.3">
      <c r="A17" s="12" t="s">
        <v>334</v>
      </c>
      <c r="B17" s="21"/>
      <c r="C17" s="21">
        <v>17</v>
      </c>
      <c r="D17" s="21">
        <v>3145.44</v>
      </c>
      <c r="F17" s="9" t="s">
        <v>603</v>
      </c>
      <c r="G17" t="s">
        <v>606</v>
      </c>
    </row>
    <row r="18" spans="1:9" x14ac:dyDescent="0.3">
      <c r="A18" s="12" t="s">
        <v>331</v>
      </c>
      <c r="B18" s="21">
        <v>1</v>
      </c>
      <c r="C18" s="21">
        <v>43</v>
      </c>
      <c r="D18" s="21">
        <v>14830.54</v>
      </c>
      <c r="F18" s="9" t="s">
        <v>585</v>
      </c>
      <c r="G18" t="s">
        <v>591</v>
      </c>
    </row>
    <row r="19" spans="1:9" x14ac:dyDescent="0.3">
      <c r="A19" s="10" t="s">
        <v>336</v>
      </c>
      <c r="B19" s="21">
        <v>3</v>
      </c>
      <c r="C19" s="21">
        <v>113</v>
      </c>
      <c r="D19" s="21">
        <v>474417</v>
      </c>
    </row>
    <row r="20" spans="1:9" x14ac:dyDescent="0.3">
      <c r="A20" s="12" t="s">
        <v>341</v>
      </c>
      <c r="B20" s="21">
        <v>1</v>
      </c>
      <c r="C20" s="21">
        <v>34</v>
      </c>
      <c r="D20" s="21">
        <v>211167</v>
      </c>
      <c r="F20" s="9" t="s">
        <v>595</v>
      </c>
      <c r="G20" t="s">
        <v>612</v>
      </c>
      <c r="H20" t="s">
        <v>611</v>
      </c>
      <c r="I20" t="s">
        <v>608</v>
      </c>
    </row>
    <row r="21" spans="1:9" x14ac:dyDescent="0.3">
      <c r="A21" s="12" t="s">
        <v>344</v>
      </c>
      <c r="B21" s="21">
        <v>1</v>
      </c>
      <c r="C21" s="21">
        <v>34</v>
      </c>
      <c r="D21" s="21">
        <v>105300</v>
      </c>
      <c r="F21" s="10" t="s">
        <v>66</v>
      </c>
      <c r="G21" s="21">
        <v>1</v>
      </c>
      <c r="H21" s="21">
        <v>66</v>
      </c>
      <c r="I21" s="21">
        <v>336990</v>
      </c>
    </row>
    <row r="22" spans="1:9" x14ac:dyDescent="0.3">
      <c r="A22" s="12" t="s">
        <v>338</v>
      </c>
      <c r="B22" s="21">
        <v>1</v>
      </c>
      <c r="C22" s="21">
        <v>45</v>
      </c>
      <c r="D22" s="21">
        <v>157950</v>
      </c>
      <c r="F22" s="12" t="s">
        <v>68</v>
      </c>
      <c r="G22" s="21">
        <v>1</v>
      </c>
      <c r="H22" s="21">
        <v>66</v>
      </c>
      <c r="I22" s="21">
        <v>336990</v>
      </c>
    </row>
    <row r="23" spans="1:9" x14ac:dyDescent="0.3">
      <c r="A23" s="10" t="s">
        <v>346</v>
      </c>
      <c r="B23" s="21">
        <v>2</v>
      </c>
      <c r="C23" s="21">
        <v>68</v>
      </c>
      <c r="D23" s="21">
        <v>609275.80000000005</v>
      </c>
      <c r="F23" s="10" t="s">
        <v>318</v>
      </c>
      <c r="G23" s="21"/>
      <c r="H23" s="21">
        <v>69</v>
      </c>
      <c r="I23" s="21">
        <v>-34580</v>
      </c>
    </row>
    <row r="24" spans="1:9" x14ac:dyDescent="0.3">
      <c r="A24" s="12" t="s">
        <v>351</v>
      </c>
      <c r="B24" s="21">
        <v>1</v>
      </c>
      <c r="C24" s="21">
        <v>34</v>
      </c>
      <c r="D24" s="21">
        <v>213300</v>
      </c>
      <c r="F24" s="12" t="s">
        <v>320</v>
      </c>
      <c r="G24" s="21"/>
      <c r="H24" s="21">
        <v>69</v>
      </c>
      <c r="I24" s="21">
        <v>-34580</v>
      </c>
    </row>
    <row r="25" spans="1:9" x14ac:dyDescent="0.3">
      <c r="A25" s="12" t="s">
        <v>613</v>
      </c>
      <c r="B25" s="21">
        <v>1</v>
      </c>
      <c r="C25" s="21">
        <v>34</v>
      </c>
      <c r="D25" s="21">
        <v>395975.8</v>
      </c>
      <c r="F25" s="10" t="s">
        <v>439</v>
      </c>
      <c r="G25" s="21">
        <v>1</v>
      </c>
      <c r="H25" s="21">
        <v>66</v>
      </c>
      <c r="I25" s="21">
        <v>67008</v>
      </c>
    </row>
    <row r="26" spans="1:9" x14ac:dyDescent="0.3">
      <c r="A26" s="10" t="s">
        <v>443</v>
      </c>
      <c r="B26" s="21"/>
      <c r="C26" s="21">
        <v>17</v>
      </c>
      <c r="D26" s="21">
        <v>74100</v>
      </c>
      <c r="F26" s="12" t="s">
        <v>441</v>
      </c>
      <c r="G26" s="21">
        <v>1</v>
      </c>
      <c r="H26" s="21">
        <v>66</v>
      </c>
      <c r="I26" s="21">
        <v>67008</v>
      </c>
    </row>
    <row r="27" spans="1:9" x14ac:dyDescent="0.3">
      <c r="A27" s="12" t="s">
        <v>448</v>
      </c>
      <c r="B27" s="21"/>
      <c r="C27" s="21">
        <v>17</v>
      </c>
      <c r="D27" s="21">
        <v>74100</v>
      </c>
      <c r="F27" s="10" t="s">
        <v>470</v>
      </c>
      <c r="G27" s="21"/>
      <c r="H27" s="21">
        <v>62</v>
      </c>
      <c r="I27" s="21">
        <v>-6470</v>
      </c>
    </row>
    <row r="28" spans="1:9" x14ac:dyDescent="0.3">
      <c r="A28" s="10" t="s">
        <v>450</v>
      </c>
      <c r="B28" s="21">
        <v>1</v>
      </c>
      <c r="C28" s="21">
        <v>21</v>
      </c>
      <c r="D28" s="21">
        <v>68340</v>
      </c>
      <c r="F28" s="12" t="s">
        <v>472</v>
      </c>
      <c r="G28" s="21"/>
      <c r="H28" s="21">
        <v>62</v>
      </c>
      <c r="I28" s="21">
        <v>-6470</v>
      </c>
    </row>
    <row r="29" spans="1:9" x14ac:dyDescent="0.3">
      <c r="A29" s="12" t="s">
        <v>455</v>
      </c>
      <c r="B29" s="21">
        <v>1</v>
      </c>
      <c r="C29" s="21">
        <v>21</v>
      </c>
      <c r="D29" s="21">
        <v>68340</v>
      </c>
      <c r="F29" s="10" t="s">
        <v>596</v>
      </c>
      <c r="G29" s="21">
        <v>2</v>
      </c>
      <c r="H29" s="21">
        <v>263</v>
      </c>
      <c r="I29" s="21">
        <v>362948</v>
      </c>
    </row>
    <row r="30" spans="1:9" x14ac:dyDescent="0.3">
      <c r="A30" s="10" t="s">
        <v>494</v>
      </c>
      <c r="B30" s="21"/>
      <c r="C30" s="21">
        <v>56</v>
      </c>
      <c r="D30" s="21">
        <v>129490</v>
      </c>
    </row>
    <row r="31" spans="1:9" x14ac:dyDescent="0.3">
      <c r="A31" s="12" t="s">
        <v>502</v>
      </c>
      <c r="B31" s="21"/>
      <c r="C31" s="21">
        <v>7</v>
      </c>
      <c r="D31" s="21">
        <v>80610</v>
      </c>
      <c r="F31" s="9" t="s">
        <v>4</v>
      </c>
      <c r="G31" t="s">
        <v>610</v>
      </c>
    </row>
    <row r="32" spans="1:9" x14ac:dyDescent="0.3">
      <c r="A32" s="12" t="s">
        <v>505</v>
      </c>
      <c r="B32" s="21"/>
      <c r="C32" s="21">
        <v>5</v>
      </c>
      <c r="D32" s="21">
        <v>81000</v>
      </c>
      <c r="F32" s="9" t="s">
        <v>603</v>
      </c>
      <c r="G32" t="s">
        <v>607</v>
      </c>
    </row>
    <row r="33" spans="1:9" x14ac:dyDescent="0.3">
      <c r="A33" s="12" t="s">
        <v>496</v>
      </c>
      <c r="B33" s="21"/>
      <c r="C33" s="21">
        <v>26</v>
      </c>
      <c r="D33" s="21">
        <v>-15970</v>
      </c>
      <c r="F33" s="9" t="s">
        <v>585</v>
      </c>
      <c r="G33" t="s">
        <v>591</v>
      </c>
    </row>
    <row r="34" spans="1:9" x14ac:dyDescent="0.3">
      <c r="A34" s="12" t="s">
        <v>499</v>
      </c>
      <c r="B34" s="21"/>
      <c r="C34" s="21">
        <v>18</v>
      </c>
      <c r="D34" s="21">
        <v>-16150</v>
      </c>
    </row>
    <row r="35" spans="1:9" x14ac:dyDescent="0.3">
      <c r="A35" s="10" t="s">
        <v>527</v>
      </c>
      <c r="B35" s="21"/>
      <c r="C35" s="21">
        <v>26</v>
      </c>
      <c r="D35" s="21">
        <v>71367.5</v>
      </c>
      <c r="F35" s="9" t="s">
        <v>595</v>
      </c>
      <c r="G35" t="s">
        <v>612</v>
      </c>
      <c r="H35" t="s">
        <v>611</v>
      </c>
      <c r="I35" t="s">
        <v>608</v>
      </c>
    </row>
    <row r="36" spans="1:9" x14ac:dyDescent="0.3">
      <c r="A36" s="12" t="s">
        <v>532</v>
      </c>
      <c r="B36" s="21"/>
      <c r="C36" s="21">
        <v>5</v>
      </c>
      <c r="D36" s="21">
        <v>96292.5</v>
      </c>
      <c r="F36" s="10" t="s">
        <v>114</v>
      </c>
      <c r="G36" s="21">
        <v>1</v>
      </c>
      <c r="H36" s="21">
        <v>98</v>
      </c>
      <c r="I36" s="21">
        <v>15163</v>
      </c>
    </row>
    <row r="37" spans="1:9" x14ac:dyDescent="0.3">
      <c r="A37" s="12" t="s">
        <v>529</v>
      </c>
      <c r="B37" s="21"/>
      <c r="C37" s="21">
        <v>21</v>
      </c>
      <c r="D37" s="21">
        <v>-24925</v>
      </c>
      <c r="F37" s="12" t="s">
        <v>116</v>
      </c>
      <c r="G37" s="21">
        <v>1</v>
      </c>
      <c r="H37" s="21">
        <v>98</v>
      </c>
      <c r="I37" s="21">
        <v>15163</v>
      </c>
    </row>
    <row r="38" spans="1:9" x14ac:dyDescent="0.3">
      <c r="A38" s="10" t="s">
        <v>534</v>
      </c>
      <c r="B38" s="21">
        <v>1</v>
      </c>
      <c r="C38" s="21">
        <v>56</v>
      </c>
      <c r="D38" s="21">
        <v>38040</v>
      </c>
      <c r="F38" s="10" t="s">
        <v>118</v>
      </c>
      <c r="G38" s="21">
        <v>1</v>
      </c>
      <c r="H38" s="21">
        <v>113</v>
      </c>
      <c r="I38" s="21">
        <v>16355.92</v>
      </c>
    </row>
    <row r="39" spans="1:9" x14ac:dyDescent="0.3">
      <c r="A39" s="12" t="s">
        <v>539</v>
      </c>
      <c r="B39" s="21"/>
      <c r="C39" s="21">
        <v>13</v>
      </c>
      <c r="D39" s="21">
        <v>-9650</v>
      </c>
      <c r="F39" s="12" t="s">
        <v>121</v>
      </c>
      <c r="G39" s="21">
        <v>1</v>
      </c>
      <c r="H39" s="21">
        <v>113</v>
      </c>
      <c r="I39" s="21">
        <v>16355.92</v>
      </c>
    </row>
    <row r="40" spans="1:9" x14ac:dyDescent="0.3">
      <c r="A40" s="12" t="s">
        <v>536</v>
      </c>
      <c r="B40" s="21">
        <v>1</v>
      </c>
      <c r="C40" s="21">
        <v>43</v>
      </c>
      <c r="D40" s="21">
        <v>47690</v>
      </c>
      <c r="F40" s="10" t="s">
        <v>443</v>
      </c>
      <c r="G40" s="21">
        <v>1</v>
      </c>
      <c r="H40" s="21">
        <v>98</v>
      </c>
      <c r="I40" s="21">
        <v>10284</v>
      </c>
    </row>
    <row r="41" spans="1:9" x14ac:dyDescent="0.3">
      <c r="A41" s="10" t="s">
        <v>555</v>
      </c>
      <c r="B41" s="21"/>
      <c r="C41" s="21">
        <v>18</v>
      </c>
      <c r="D41" s="21">
        <v>145000</v>
      </c>
      <c r="F41" s="12" t="s">
        <v>445</v>
      </c>
      <c r="G41" s="21">
        <v>1</v>
      </c>
      <c r="H41" s="21">
        <v>98</v>
      </c>
      <c r="I41" s="21">
        <v>10284</v>
      </c>
    </row>
    <row r="42" spans="1:9" x14ac:dyDescent="0.3">
      <c r="A42" s="12" t="s">
        <v>558</v>
      </c>
      <c r="B42" s="21"/>
      <c r="C42" s="21">
        <v>6</v>
      </c>
      <c r="D42" s="21">
        <v>58500</v>
      </c>
      <c r="F42" s="10" t="s">
        <v>596</v>
      </c>
      <c r="G42" s="21">
        <v>3</v>
      </c>
      <c r="H42" s="21">
        <v>309</v>
      </c>
      <c r="I42" s="21">
        <v>41802.92</v>
      </c>
    </row>
    <row r="43" spans="1:9" x14ac:dyDescent="0.3">
      <c r="A43" s="12" t="s">
        <v>561</v>
      </c>
      <c r="B43" s="21"/>
      <c r="C43" s="21">
        <v>6</v>
      </c>
      <c r="D43" s="21">
        <v>41500</v>
      </c>
    </row>
    <row r="44" spans="1:9" x14ac:dyDescent="0.3">
      <c r="A44" s="12" t="s">
        <v>564</v>
      </c>
      <c r="B44" s="21"/>
      <c r="C44" s="21">
        <v>6</v>
      </c>
      <c r="D44" s="21">
        <v>45000</v>
      </c>
    </row>
    <row r="45" spans="1:9" x14ac:dyDescent="0.3">
      <c r="A45" s="10" t="s">
        <v>566</v>
      </c>
      <c r="B45" s="21">
        <v>1</v>
      </c>
      <c r="C45" s="21">
        <v>45</v>
      </c>
      <c r="D45" s="21">
        <v>57857</v>
      </c>
    </row>
    <row r="46" spans="1:9" x14ac:dyDescent="0.3">
      <c r="A46" s="12" t="s">
        <v>568</v>
      </c>
      <c r="B46" s="21">
        <v>1</v>
      </c>
      <c r="C46" s="21">
        <v>45</v>
      </c>
      <c r="D46" s="21">
        <v>57857</v>
      </c>
    </row>
    <row r="47" spans="1:9" x14ac:dyDescent="0.3">
      <c r="A47" s="10" t="s">
        <v>570</v>
      </c>
      <c r="B47" s="21"/>
      <c r="C47" s="21">
        <v>30</v>
      </c>
      <c r="D47" s="21">
        <v>2181240</v>
      </c>
    </row>
    <row r="48" spans="1:9" x14ac:dyDescent="0.3">
      <c r="A48" s="12" t="s">
        <v>572</v>
      </c>
      <c r="B48" s="21"/>
      <c r="C48" s="21">
        <v>10</v>
      </c>
      <c r="D48" s="21">
        <v>432000</v>
      </c>
    </row>
    <row r="49" spans="1:4" x14ac:dyDescent="0.3">
      <c r="A49" s="12" t="s">
        <v>575</v>
      </c>
      <c r="B49" s="21"/>
      <c r="C49" s="21">
        <v>6</v>
      </c>
      <c r="D49" s="21">
        <v>405000</v>
      </c>
    </row>
    <row r="50" spans="1:4" x14ac:dyDescent="0.3">
      <c r="A50" s="12" t="s">
        <v>578</v>
      </c>
      <c r="B50" s="21"/>
      <c r="C50" s="21">
        <v>6</v>
      </c>
      <c r="D50" s="21">
        <v>550800</v>
      </c>
    </row>
    <row r="51" spans="1:4" x14ac:dyDescent="0.3">
      <c r="A51" s="12" t="s">
        <v>581</v>
      </c>
      <c r="B51" s="21"/>
      <c r="C51" s="21">
        <v>5</v>
      </c>
      <c r="D51" s="21">
        <v>245700</v>
      </c>
    </row>
    <row r="52" spans="1:4" x14ac:dyDescent="0.3">
      <c r="A52" s="12" t="s">
        <v>584</v>
      </c>
      <c r="B52" s="21"/>
      <c r="C52" s="21">
        <v>3</v>
      </c>
      <c r="D52" s="21">
        <v>547740</v>
      </c>
    </row>
    <row r="53" spans="1:4" x14ac:dyDescent="0.3">
      <c r="A53" s="10" t="s">
        <v>596</v>
      </c>
      <c r="B53" s="21">
        <v>10</v>
      </c>
      <c r="C53" s="21">
        <v>581</v>
      </c>
      <c r="D53" s="21">
        <v>4468435.28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"/>
  <sheetViews>
    <sheetView workbookViewId="0">
      <pane ySplit="1" topLeftCell="A107" activePane="bottomLeft" state="frozen"/>
      <selection pane="bottomLeft" activeCell="B108" sqref="B108"/>
    </sheetView>
  </sheetViews>
  <sheetFormatPr baseColWidth="10" defaultColWidth="8.88671875" defaultRowHeight="14.4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6" width="19" bestFit="1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0.44140625" customWidth="1"/>
    <col min="13" max="13" width="10.33203125" customWidth="1"/>
    <col min="14" max="14" width="10.33203125" bestFit="1" customWidth="1"/>
    <col min="15" max="15" width="15" bestFit="1" customWidth="1"/>
    <col min="16" max="16" width="14.44140625" bestFit="1" customWidth="1"/>
    <col min="17" max="17" width="12.5546875" customWidth="1"/>
    <col min="18" max="18" width="14.8867187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585</v>
      </c>
      <c r="L1" s="13" t="s">
        <v>597</v>
      </c>
      <c r="M1" s="14" t="s">
        <v>598</v>
      </c>
      <c r="N1" s="15" t="s">
        <v>599</v>
      </c>
      <c r="O1" s="16" t="s">
        <v>600</v>
      </c>
      <c r="P1" s="16" t="s">
        <v>601</v>
      </c>
      <c r="Q1" s="17" t="s">
        <v>602</v>
      </c>
      <c r="R1" s="18" t="s">
        <v>603</v>
      </c>
    </row>
    <row r="2" spans="1:1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45980</v>
      </c>
      <c r="G2" s="4">
        <v>250</v>
      </c>
      <c r="H2" s="3">
        <v>45987</v>
      </c>
      <c r="I2" s="5">
        <v>42.48</v>
      </c>
      <c r="J2" s="2" t="s">
        <v>15</v>
      </c>
      <c r="K2" s="2" t="s">
        <v>586</v>
      </c>
      <c r="O2" s="19">
        <f>H2</f>
        <v>45987</v>
      </c>
      <c r="P2" s="8">
        <f>I2/3.4</f>
        <v>12.494117647058824</v>
      </c>
    </row>
    <row r="3" spans="1:18" x14ac:dyDescent="0.3">
      <c r="A3" s="2" t="s">
        <v>10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45980</v>
      </c>
      <c r="G3" s="4">
        <v>250</v>
      </c>
      <c r="H3" s="3">
        <v>45987</v>
      </c>
      <c r="I3" s="5">
        <v>14.16</v>
      </c>
      <c r="J3" s="2" t="s">
        <v>15</v>
      </c>
      <c r="K3" s="2" t="s">
        <v>586</v>
      </c>
      <c r="O3" s="19">
        <f t="shared" ref="O3:O18" si="0">H3</f>
        <v>45987</v>
      </c>
      <c r="P3" s="8">
        <f t="shared" ref="P3:P18" si="1">I3/3.4</f>
        <v>4.1647058823529415</v>
      </c>
    </row>
    <row r="4" spans="1:18" x14ac:dyDescent="0.3">
      <c r="A4" s="2" t="s">
        <v>10</v>
      </c>
      <c r="B4" s="2" t="s">
        <v>19</v>
      </c>
      <c r="C4" s="2" t="s">
        <v>20</v>
      </c>
      <c r="D4" s="2" t="s">
        <v>21</v>
      </c>
      <c r="E4" s="2" t="s">
        <v>14</v>
      </c>
      <c r="F4" s="3">
        <v>45980</v>
      </c>
      <c r="G4" s="4">
        <v>250</v>
      </c>
      <c r="H4" s="3">
        <v>45987</v>
      </c>
      <c r="I4" s="5">
        <v>14.16</v>
      </c>
      <c r="J4" s="2" t="s">
        <v>15</v>
      </c>
      <c r="K4" s="2" t="s">
        <v>586</v>
      </c>
      <c r="O4" s="19">
        <f t="shared" si="0"/>
        <v>45987</v>
      </c>
      <c r="P4" s="8">
        <f t="shared" si="1"/>
        <v>4.1647058823529415</v>
      </c>
    </row>
    <row r="5" spans="1:18" x14ac:dyDescent="0.3">
      <c r="A5" s="2" t="s">
        <v>10</v>
      </c>
      <c r="B5" s="2" t="s">
        <v>22</v>
      </c>
      <c r="C5" s="2" t="s">
        <v>23</v>
      </c>
      <c r="D5" s="2" t="s">
        <v>24</v>
      </c>
      <c r="E5" s="2" t="s">
        <v>14</v>
      </c>
      <c r="F5" s="3">
        <v>45981</v>
      </c>
      <c r="G5" s="4">
        <v>249</v>
      </c>
      <c r="H5" s="3">
        <v>45988</v>
      </c>
      <c r="I5" s="5">
        <v>28.32</v>
      </c>
      <c r="J5" s="2" t="s">
        <v>15</v>
      </c>
      <c r="K5" s="2" t="s">
        <v>586</v>
      </c>
      <c r="O5" s="19">
        <f t="shared" si="0"/>
        <v>45988</v>
      </c>
      <c r="P5" s="8">
        <f t="shared" si="1"/>
        <v>8.329411764705883</v>
      </c>
    </row>
    <row r="6" spans="1:18" x14ac:dyDescent="0.3">
      <c r="A6" s="2" t="s">
        <v>10</v>
      </c>
      <c r="B6" s="2" t="s">
        <v>25</v>
      </c>
      <c r="C6" s="2" t="s">
        <v>26</v>
      </c>
      <c r="D6" s="2" t="s">
        <v>27</v>
      </c>
      <c r="E6" s="2" t="s">
        <v>14</v>
      </c>
      <c r="F6" s="3">
        <v>45981</v>
      </c>
      <c r="G6" s="4">
        <v>249</v>
      </c>
      <c r="H6" s="3">
        <v>45988</v>
      </c>
      <c r="I6" s="5">
        <v>14.16</v>
      </c>
      <c r="J6" s="2" t="s">
        <v>15</v>
      </c>
      <c r="K6" s="2" t="s">
        <v>586</v>
      </c>
      <c r="O6" s="19">
        <f t="shared" si="0"/>
        <v>45988</v>
      </c>
      <c r="P6" s="8">
        <f t="shared" si="1"/>
        <v>4.1647058823529415</v>
      </c>
    </row>
    <row r="7" spans="1:18" x14ac:dyDescent="0.3">
      <c r="A7" s="2" t="s">
        <v>10</v>
      </c>
      <c r="B7" s="2" t="s">
        <v>28</v>
      </c>
      <c r="C7" s="2" t="s">
        <v>29</v>
      </c>
      <c r="D7" s="2" t="s">
        <v>30</v>
      </c>
      <c r="E7" s="2" t="s">
        <v>14</v>
      </c>
      <c r="F7" s="3">
        <v>45982</v>
      </c>
      <c r="G7" s="4">
        <v>248</v>
      </c>
      <c r="H7" s="3">
        <v>45989</v>
      </c>
      <c r="I7" s="5">
        <v>28.32</v>
      </c>
      <c r="J7" s="2" t="s">
        <v>15</v>
      </c>
      <c r="K7" s="2" t="s">
        <v>586</v>
      </c>
      <c r="O7" s="19">
        <f t="shared" si="0"/>
        <v>45989</v>
      </c>
      <c r="P7" s="8">
        <f t="shared" si="1"/>
        <v>8.329411764705883</v>
      </c>
    </row>
    <row r="8" spans="1:18" x14ac:dyDescent="0.3">
      <c r="A8" s="2" t="s">
        <v>10</v>
      </c>
      <c r="B8" s="2" t="s">
        <v>31</v>
      </c>
      <c r="C8" s="2" t="s">
        <v>32</v>
      </c>
      <c r="D8" s="2" t="s">
        <v>33</v>
      </c>
      <c r="E8" s="2" t="s">
        <v>14</v>
      </c>
      <c r="F8" s="3">
        <v>45982</v>
      </c>
      <c r="G8" s="4">
        <v>248</v>
      </c>
      <c r="H8" s="3">
        <v>45989</v>
      </c>
      <c r="I8" s="5">
        <v>42.48</v>
      </c>
      <c r="J8" s="2" t="s">
        <v>15</v>
      </c>
      <c r="K8" s="2" t="s">
        <v>586</v>
      </c>
      <c r="O8" s="19">
        <f t="shared" si="0"/>
        <v>45989</v>
      </c>
      <c r="P8" s="8">
        <f t="shared" si="1"/>
        <v>12.494117647058824</v>
      </c>
    </row>
    <row r="9" spans="1:18" x14ac:dyDescent="0.3">
      <c r="A9" s="2" t="s">
        <v>10</v>
      </c>
      <c r="B9" s="2" t="s">
        <v>34</v>
      </c>
      <c r="C9" s="2" t="s">
        <v>35</v>
      </c>
      <c r="D9" s="2" t="s">
        <v>36</v>
      </c>
      <c r="E9" s="2" t="s">
        <v>14</v>
      </c>
      <c r="F9" s="3">
        <v>45982</v>
      </c>
      <c r="G9" s="4">
        <v>248</v>
      </c>
      <c r="H9" s="3">
        <v>45989</v>
      </c>
      <c r="I9" s="5">
        <v>42.48</v>
      </c>
      <c r="J9" s="2" t="s">
        <v>15</v>
      </c>
      <c r="K9" s="2" t="s">
        <v>586</v>
      </c>
      <c r="O9" s="19">
        <f t="shared" si="0"/>
        <v>45989</v>
      </c>
      <c r="P9" s="8">
        <f t="shared" si="1"/>
        <v>12.494117647058824</v>
      </c>
    </row>
    <row r="10" spans="1:18" x14ac:dyDescent="0.3">
      <c r="A10" s="2" t="s">
        <v>10</v>
      </c>
      <c r="B10" s="2" t="s">
        <v>37</v>
      </c>
      <c r="C10" s="2" t="s">
        <v>38</v>
      </c>
      <c r="D10" s="2" t="s">
        <v>39</v>
      </c>
      <c r="E10" s="2" t="s">
        <v>14</v>
      </c>
      <c r="F10" s="3">
        <v>45982</v>
      </c>
      <c r="G10" s="4">
        <v>248</v>
      </c>
      <c r="H10" s="3">
        <v>45989</v>
      </c>
      <c r="I10" s="5">
        <v>14.16</v>
      </c>
      <c r="J10" s="2" t="s">
        <v>15</v>
      </c>
      <c r="K10" s="2" t="s">
        <v>586</v>
      </c>
      <c r="O10" s="19">
        <f t="shared" si="0"/>
        <v>45989</v>
      </c>
      <c r="P10" s="8">
        <f t="shared" si="1"/>
        <v>4.1647058823529415</v>
      </c>
    </row>
    <row r="11" spans="1:18" x14ac:dyDescent="0.3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14</v>
      </c>
      <c r="F11" s="3">
        <v>45983</v>
      </c>
      <c r="G11" s="4">
        <v>247</v>
      </c>
      <c r="H11" s="3">
        <v>45990</v>
      </c>
      <c r="I11" s="5">
        <v>28.32</v>
      </c>
      <c r="J11" s="2" t="s">
        <v>15</v>
      </c>
      <c r="K11" s="2" t="s">
        <v>586</v>
      </c>
      <c r="O11" s="19">
        <f t="shared" si="0"/>
        <v>45990</v>
      </c>
      <c r="P11" s="8">
        <f t="shared" si="1"/>
        <v>8.329411764705883</v>
      </c>
    </row>
    <row r="12" spans="1:18" x14ac:dyDescent="0.3">
      <c r="A12" s="2" t="s">
        <v>10</v>
      </c>
      <c r="B12" s="2" t="s">
        <v>43</v>
      </c>
      <c r="C12" s="2" t="s">
        <v>44</v>
      </c>
      <c r="D12" s="2" t="s">
        <v>45</v>
      </c>
      <c r="E12" s="2" t="s">
        <v>14</v>
      </c>
      <c r="F12" s="3">
        <v>45988</v>
      </c>
      <c r="G12" s="4">
        <v>242</v>
      </c>
      <c r="H12" s="3">
        <v>45995</v>
      </c>
      <c r="I12" s="5">
        <v>14.16</v>
      </c>
      <c r="J12" s="2" t="s">
        <v>15</v>
      </c>
      <c r="K12" s="2" t="s">
        <v>586</v>
      </c>
      <c r="O12" s="19">
        <f t="shared" si="0"/>
        <v>45995</v>
      </c>
      <c r="P12" s="8">
        <f t="shared" si="1"/>
        <v>4.1647058823529415</v>
      </c>
    </row>
    <row r="13" spans="1:18" x14ac:dyDescent="0.3">
      <c r="A13" s="2" t="s">
        <v>10</v>
      </c>
      <c r="B13" s="2" t="s">
        <v>46</v>
      </c>
      <c r="C13" s="2" t="s">
        <v>47</v>
      </c>
      <c r="D13" s="2" t="s">
        <v>48</v>
      </c>
      <c r="E13" s="2" t="s">
        <v>14</v>
      </c>
      <c r="F13" s="3">
        <v>46028</v>
      </c>
      <c r="G13" s="4">
        <v>202</v>
      </c>
      <c r="H13" s="3">
        <v>46035</v>
      </c>
      <c r="I13" s="5">
        <v>14.16</v>
      </c>
      <c r="J13" s="2" t="s">
        <v>15</v>
      </c>
      <c r="K13" s="2" t="s">
        <v>586</v>
      </c>
      <c r="O13" s="19">
        <f t="shared" si="0"/>
        <v>46035</v>
      </c>
      <c r="P13" s="8">
        <f t="shared" si="1"/>
        <v>4.1647058823529415</v>
      </c>
    </row>
    <row r="14" spans="1:18" x14ac:dyDescent="0.3">
      <c r="A14" s="2" t="s">
        <v>10</v>
      </c>
      <c r="B14" s="2" t="s">
        <v>49</v>
      </c>
      <c r="C14" s="2" t="s">
        <v>50</v>
      </c>
      <c r="D14" s="2" t="s">
        <v>51</v>
      </c>
      <c r="E14" s="2" t="s">
        <v>14</v>
      </c>
      <c r="F14" s="3">
        <v>46030</v>
      </c>
      <c r="G14" s="4">
        <v>200</v>
      </c>
      <c r="H14" s="3">
        <v>46037</v>
      </c>
      <c r="I14" s="5">
        <v>14.16</v>
      </c>
      <c r="J14" s="2" t="s">
        <v>15</v>
      </c>
      <c r="K14" s="2" t="s">
        <v>586</v>
      </c>
      <c r="O14" s="19">
        <f t="shared" si="0"/>
        <v>46037</v>
      </c>
      <c r="P14" s="8">
        <f t="shared" si="1"/>
        <v>4.1647058823529415</v>
      </c>
    </row>
    <row r="15" spans="1:18" x14ac:dyDescent="0.3">
      <c r="A15" s="2" t="s">
        <v>10</v>
      </c>
      <c r="B15" s="2" t="s">
        <v>52</v>
      </c>
      <c r="C15" s="2" t="s">
        <v>53</v>
      </c>
      <c r="D15" s="2" t="s">
        <v>54</v>
      </c>
      <c r="E15" s="2" t="s">
        <v>14</v>
      </c>
      <c r="F15" s="3">
        <v>46032</v>
      </c>
      <c r="G15" s="4">
        <v>198</v>
      </c>
      <c r="H15" s="3">
        <v>46039</v>
      </c>
      <c r="I15" s="5">
        <v>14.16</v>
      </c>
      <c r="J15" s="2" t="s">
        <v>15</v>
      </c>
      <c r="K15" s="2" t="s">
        <v>586</v>
      </c>
      <c r="O15" s="19">
        <f t="shared" si="0"/>
        <v>46039</v>
      </c>
      <c r="P15" s="8">
        <f t="shared" si="1"/>
        <v>4.1647058823529415</v>
      </c>
    </row>
    <row r="16" spans="1:18" x14ac:dyDescent="0.3">
      <c r="A16" s="2" t="s">
        <v>10</v>
      </c>
      <c r="B16" s="2" t="s">
        <v>55</v>
      </c>
      <c r="C16" s="2" t="s">
        <v>56</v>
      </c>
      <c r="D16" s="2" t="s">
        <v>57</v>
      </c>
      <c r="E16" s="2" t="s">
        <v>14</v>
      </c>
      <c r="F16" s="3">
        <v>46038</v>
      </c>
      <c r="G16" s="4">
        <v>192</v>
      </c>
      <c r="H16" s="3">
        <v>46045</v>
      </c>
      <c r="I16" s="5">
        <v>14.16</v>
      </c>
      <c r="J16" s="2" t="s">
        <v>15</v>
      </c>
      <c r="K16" s="2" t="s">
        <v>586</v>
      </c>
      <c r="O16" s="19">
        <f t="shared" si="0"/>
        <v>46045</v>
      </c>
      <c r="P16" s="8">
        <f t="shared" si="1"/>
        <v>4.1647058823529415</v>
      </c>
    </row>
    <row r="17" spans="1:18" x14ac:dyDescent="0.3">
      <c r="A17" s="2" t="s">
        <v>10</v>
      </c>
      <c r="B17" s="2" t="s">
        <v>58</v>
      </c>
      <c r="C17" s="2" t="s">
        <v>59</v>
      </c>
      <c r="D17" s="2" t="s">
        <v>60</v>
      </c>
      <c r="E17" s="2" t="s">
        <v>14</v>
      </c>
      <c r="F17" s="3">
        <v>46038</v>
      </c>
      <c r="G17" s="4">
        <v>192</v>
      </c>
      <c r="H17" s="3">
        <v>46045</v>
      </c>
      <c r="I17" s="5">
        <v>14.16</v>
      </c>
      <c r="J17" s="2" t="s">
        <v>15</v>
      </c>
      <c r="K17" s="2" t="s">
        <v>586</v>
      </c>
      <c r="O17" s="19">
        <f t="shared" si="0"/>
        <v>46045</v>
      </c>
      <c r="P17" s="8">
        <f t="shared" si="1"/>
        <v>4.1647058823529415</v>
      </c>
    </row>
    <row r="18" spans="1:18" x14ac:dyDescent="0.3">
      <c r="A18" s="2" t="s">
        <v>10</v>
      </c>
      <c r="B18" s="2" t="s">
        <v>61</v>
      </c>
      <c r="C18" s="2" t="s">
        <v>62</v>
      </c>
      <c r="D18" s="2" t="s">
        <v>63</v>
      </c>
      <c r="E18" s="2" t="s">
        <v>14</v>
      </c>
      <c r="F18" s="3">
        <v>46041</v>
      </c>
      <c r="G18" s="4">
        <v>189</v>
      </c>
      <c r="H18" s="3">
        <v>46048</v>
      </c>
      <c r="I18" s="5">
        <v>14.16</v>
      </c>
      <c r="J18" s="2" t="s">
        <v>15</v>
      </c>
      <c r="K18" s="2" t="s">
        <v>586</v>
      </c>
      <c r="O18" s="19">
        <f t="shared" si="0"/>
        <v>46048</v>
      </c>
      <c r="P18" s="8">
        <f t="shared" si="1"/>
        <v>4.1647058823529415</v>
      </c>
    </row>
    <row r="19" spans="1:18" x14ac:dyDescent="0.3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64</v>
      </c>
      <c r="F19" s="3">
        <v>46171</v>
      </c>
      <c r="G19" s="4">
        <v>66</v>
      </c>
      <c r="H19" s="3">
        <v>46171</v>
      </c>
      <c r="I19" s="5">
        <v>336990</v>
      </c>
      <c r="J19" s="2" t="s">
        <v>69</v>
      </c>
      <c r="K19" s="2" t="s">
        <v>591</v>
      </c>
      <c r="L19" s="19">
        <f>F19+60</f>
        <v>46231</v>
      </c>
      <c r="M19" s="20">
        <f ca="1">TODAY()-N19</f>
        <v>-7</v>
      </c>
      <c r="N19" s="19">
        <v>46244</v>
      </c>
      <c r="O19" s="19">
        <v>46244</v>
      </c>
      <c r="P19" s="11">
        <f>I19</f>
        <v>336990</v>
      </c>
      <c r="Q19" s="20">
        <f ca="1">TODAY()-F19</f>
        <v>66</v>
      </c>
      <c r="R19" t="s">
        <v>606</v>
      </c>
    </row>
    <row r="20" spans="1:18" x14ac:dyDescent="0.3">
      <c r="A20" s="2" t="s">
        <v>65</v>
      </c>
      <c r="B20" s="2" t="s">
        <v>70</v>
      </c>
      <c r="C20" s="2" t="s">
        <v>71</v>
      </c>
      <c r="D20" s="2" t="s">
        <v>72</v>
      </c>
      <c r="E20" s="2" t="s">
        <v>64</v>
      </c>
      <c r="F20" s="3">
        <v>46203</v>
      </c>
      <c r="G20" s="4">
        <v>34</v>
      </c>
      <c r="H20" s="3">
        <v>46203</v>
      </c>
      <c r="I20" s="5">
        <v>218730</v>
      </c>
      <c r="J20" s="2" t="s">
        <v>69</v>
      </c>
      <c r="K20" s="2" t="s">
        <v>591</v>
      </c>
      <c r="L20" s="19">
        <f t="shared" ref="L20:L23" si="2">F20+60</f>
        <v>46263</v>
      </c>
      <c r="M20" s="20">
        <f t="shared" ref="M20" ca="1" si="3">TODAY()-N20</f>
        <v>-26</v>
      </c>
      <c r="N20" s="19">
        <v>46263</v>
      </c>
      <c r="O20" s="19">
        <v>46263</v>
      </c>
      <c r="P20" s="11">
        <f t="shared" ref="P20:P23" si="4">I20</f>
        <v>218730</v>
      </c>
      <c r="Q20" s="20">
        <f t="shared" ref="Q20:Q23" ca="1" si="5">TODAY()-F20</f>
        <v>34</v>
      </c>
      <c r="R20" t="s">
        <v>604</v>
      </c>
    </row>
    <row r="21" spans="1:18" x14ac:dyDescent="0.3">
      <c r="A21" s="2" t="s">
        <v>65</v>
      </c>
      <c r="B21" s="2" t="s">
        <v>73</v>
      </c>
      <c r="C21" s="2" t="s">
        <v>74</v>
      </c>
      <c r="D21" s="2" t="s">
        <v>75</v>
      </c>
      <c r="E21" s="2" t="s">
        <v>76</v>
      </c>
      <c r="F21" s="3">
        <v>46228</v>
      </c>
      <c r="G21" s="7">
        <v>-51</v>
      </c>
      <c r="H21" s="3">
        <v>46288</v>
      </c>
      <c r="I21" s="5">
        <v>83280</v>
      </c>
      <c r="J21" s="2" t="s">
        <v>69</v>
      </c>
      <c r="K21" s="2" t="s">
        <v>591</v>
      </c>
      <c r="L21" s="19">
        <f t="shared" si="2"/>
        <v>46288</v>
      </c>
      <c r="M21" s="20"/>
      <c r="N21" s="19"/>
      <c r="O21" s="19">
        <f t="shared" ref="O21:O23" si="6">H21</f>
        <v>46288</v>
      </c>
      <c r="P21" s="11">
        <f t="shared" si="4"/>
        <v>83280</v>
      </c>
      <c r="Q21" s="20">
        <f t="shared" ca="1" si="5"/>
        <v>9</v>
      </c>
      <c r="R21" t="s">
        <v>604</v>
      </c>
    </row>
    <row r="22" spans="1:18" x14ac:dyDescent="0.3">
      <c r="A22" s="2" t="s">
        <v>65</v>
      </c>
      <c r="B22" s="2" t="s">
        <v>77</v>
      </c>
      <c r="C22" s="2" t="s">
        <v>78</v>
      </c>
      <c r="D22" s="2" t="s">
        <v>79</v>
      </c>
      <c r="E22" s="2" t="s">
        <v>76</v>
      </c>
      <c r="F22" s="3">
        <v>46230</v>
      </c>
      <c r="G22" s="7">
        <v>-113</v>
      </c>
      <c r="H22" s="3">
        <v>46350</v>
      </c>
      <c r="I22" s="5">
        <v>83280</v>
      </c>
      <c r="J22" s="2" t="s">
        <v>69</v>
      </c>
      <c r="K22" s="2" t="s">
        <v>591</v>
      </c>
      <c r="L22" s="19">
        <f t="shared" si="2"/>
        <v>46290</v>
      </c>
      <c r="M22" s="20"/>
      <c r="N22" s="19"/>
      <c r="O22" s="19">
        <v>46290</v>
      </c>
      <c r="P22" s="11">
        <f t="shared" si="4"/>
        <v>83280</v>
      </c>
      <c r="Q22" s="20">
        <f t="shared" ca="1" si="5"/>
        <v>7</v>
      </c>
      <c r="R22" t="s">
        <v>604</v>
      </c>
    </row>
    <row r="23" spans="1:18" x14ac:dyDescent="0.3">
      <c r="A23" s="2" t="s">
        <v>65</v>
      </c>
      <c r="B23" s="2" t="s">
        <v>80</v>
      </c>
      <c r="C23" s="2" t="s">
        <v>81</v>
      </c>
      <c r="D23" s="2" t="s">
        <v>82</v>
      </c>
      <c r="E23" s="2" t="s">
        <v>76</v>
      </c>
      <c r="F23" s="3">
        <v>46232</v>
      </c>
      <c r="G23" s="7">
        <v>-55</v>
      </c>
      <c r="H23" s="3">
        <v>46292</v>
      </c>
      <c r="I23" s="5">
        <v>41448</v>
      </c>
      <c r="J23" s="2" t="s">
        <v>69</v>
      </c>
      <c r="K23" s="2" t="s">
        <v>591</v>
      </c>
      <c r="L23" s="19">
        <f t="shared" si="2"/>
        <v>46292</v>
      </c>
      <c r="M23" s="20"/>
      <c r="N23" s="19"/>
      <c r="O23" s="19">
        <f t="shared" si="6"/>
        <v>46292</v>
      </c>
      <c r="P23" s="11">
        <f t="shared" si="4"/>
        <v>41448</v>
      </c>
      <c r="Q23" s="20">
        <f t="shared" ca="1" si="5"/>
        <v>5</v>
      </c>
      <c r="R23" t="s">
        <v>604</v>
      </c>
    </row>
    <row r="24" spans="1:18" x14ac:dyDescent="0.3">
      <c r="A24" s="2" t="s">
        <v>83</v>
      </c>
      <c r="B24" s="2" t="s">
        <v>84</v>
      </c>
      <c r="C24" s="2" t="s">
        <v>85</v>
      </c>
      <c r="D24" s="2" t="s">
        <v>86</v>
      </c>
      <c r="E24" s="2" t="s">
        <v>14</v>
      </c>
      <c r="F24" s="3">
        <v>46210</v>
      </c>
      <c r="G24" s="4">
        <v>20</v>
      </c>
      <c r="H24" s="3">
        <v>46217</v>
      </c>
      <c r="I24" s="5">
        <v>283.2</v>
      </c>
      <c r="J24" s="2" t="s">
        <v>15</v>
      </c>
      <c r="K24" s="2" t="s">
        <v>586</v>
      </c>
      <c r="N24" s="19"/>
      <c r="O24" s="19">
        <f t="shared" ref="O24:O32" si="7">H24</f>
        <v>46217</v>
      </c>
      <c r="P24" s="8">
        <f t="shared" ref="P24:P32" si="8">I24/3.4</f>
        <v>83.294117647058826</v>
      </c>
    </row>
    <row r="25" spans="1:18" x14ac:dyDescent="0.3">
      <c r="A25" s="2" t="s">
        <v>87</v>
      </c>
      <c r="B25" s="2" t="s">
        <v>88</v>
      </c>
      <c r="C25" s="2" t="s">
        <v>89</v>
      </c>
      <c r="D25" s="2" t="s">
        <v>90</v>
      </c>
      <c r="E25" s="2" t="s">
        <v>14</v>
      </c>
      <c r="F25" s="3">
        <v>46224</v>
      </c>
      <c r="G25" s="4">
        <v>6</v>
      </c>
      <c r="H25" s="3">
        <v>46231</v>
      </c>
      <c r="I25" s="5">
        <v>431.17</v>
      </c>
      <c r="J25" s="2" t="s">
        <v>15</v>
      </c>
      <c r="K25" s="2" t="s">
        <v>586</v>
      </c>
      <c r="N25" s="19"/>
      <c r="O25" s="19">
        <f t="shared" si="7"/>
        <v>46231</v>
      </c>
      <c r="P25" s="8">
        <f t="shared" si="8"/>
        <v>126.81470588235295</v>
      </c>
    </row>
    <row r="26" spans="1:18" x14ac:dyDescent="0.3">
      <c r="A26" s="2" t="s">
        <v>87</v>
      </c>
      <c r="B26" s="2" t="s">
        <v>91</v>
      </c>
      <c r="C26" s="2" t="s">
        <v>92</v>
      </c>
      <c r="D26" s="2" t="s">
        <v>93</v>
      </c>
      <c r="E26" s="2" t="s">
        <v>14</v>
      </c>
      <c r="F26" s="3">
        <v>46224</v>
      </c>
      <c r="G26" s="4">
        <v>6</v>
      </c>
      <c r="H26" s="3">
        <v>46231</v>
      </c>
      <c r="I26" s="5">
        <v>141.6</v>
      </c>
      <c r="J26" s="2" t="s">
        <v>15</v>
      </c>
      <c r="K26" s="2" t="s">
        <v>586</v>
      </c>
      <c r="N26" s="19"/>
      <c r="O26" s="19">
        <f t="shared" si="7"/>
        <v>46231</v>
      </c>
      <c r="P26" s="8">
        <f t="shared" si="8"/>
        <v>41.647058823529413</v>
      </c>
    </row>
    <row r="27" spans="1:18" x14ac:dyDescent="0.3">
      <c r="A27" s="2" t="s">
        <v>87</v>
      </c>
      <c r="B27" s="2" t="s">
        <v>94</v>
      </c>
      <c r="C27" s="2" t="s">
        <v>95</v>
      </c>
      <c r="D27" s="2" t="s">
        <v>96</v>
      </c>
      <c r="E27" s="2" t="s">
        <v>14</v>
      </c>
      <c r="F27" s="3">
        <v>46225</v>
      </c>
      <c r="G27" s="4">
        <v>5</v>
      </c>
      <c r="H27" s="3">
        <v>46232</v>
      </c>
      <c r="I27" s="5">
        <v>1048.69</v>
      </c>
      <c r="J27" s="2" t="s">
        <v>15</v>
      </c>
      <c r="K27" s="2" t="s">
        <v>586</v>
      </c>
      <c r="N27" s="19"/>
      <c r="O27" s="19">
        <f t="shared" si="7"/>
        <v>46232</v>
      </c>
      <c r="P27" s="8">
        <f t="shared" si="8"/>
        <v>308.43823529411765</v>
      </c>
    </row>
    <row r="28" spans="1:18" x14ac:dyDescent="0.3">
      <c r="A28" s="2" t="s">
        <v>87</v>
      </c>
      <c r="B28" s="2" t="s">
        <v>97</v>
      </c>
      <c r="C28" s="2" t="s">
        <v>98</v>
      </c>
      <c r="D28" s="2" t="s">
        <v>99</v>
      </c>
      <c r="E28" s="2" t="s">
        <v>14</v>
      </c>
      <c r="F28" s="3">
        <v>46225</v>
      </c>
      <c r="G28" s="4">
        <v>5</v>
      </c>
      <c r="H28" s="3">
        <v>46232</v>
      </c>
      <c r="I28" s="5">
        <v>371.7</v>
      </c>
      <c r="J28" s="2" t="s">
        <v>15</v>
      </c>
      <c r="K28" s="2" t="s">
        <v>586</v>
      </c>
      <c r="N28" s="19"/>
      <c r="O28" s="19">
        <f t="shared" si="7"/>
        <v>46232</v>
      </c>
      <c r="P28" s="8">
        <f t="shared" si="8"/>
        <v>109.32352941176471</v>
      </c>
    </row>
    <row r="29" spans="1:18" x14ac:dyDescent="0.3">
      <c r="A29" s="2" t="s">
        <v>87</v>
      </c>
      <c r="B29" s="2" t="s">
        <v>100</v>
      </c>
      <c r="C29" s="2" t="s">
        <v>101</v>
      </c>
      <c r="D29" s="2" t="s">
        <v>102</v>
      </c>
      <c r="E29" s="2" t="s">
        <v>14</v>
      </c>
      <c r="F29" s="3">
        <v>46227</v>
      </c>
      <c r="G29" s="4">
        <v>3</v>
      </c>
      <c r="H29" s="3">
        <v>46234</v>
      </c>
      <c r="I29" s="5">
        <v>163.88</v>
      </c>
      <c r="J29" s="2" t="s">
        <v>15</v>
      </c>
      <c r="K29" s="2" t="s">
        <v>586</v>
      </c>
      <c r="N29" s="19"/>
      <c r="O29" s="19">
        <f t="shared" si="7"/>
        <v>46234</v>
      </c>
      <c r="P29" s="8">
        <f t="shared" si="8"/>
        <v>48.2</v>
      </c>
    </row>
    <row r="30" spans="1:18" x14ac:dyDescent="0.3">
      <c r="A30" s="2" t="s">
        <v>87</v>
      </c>
      <c r="B30" s="2" t="s">
        <v>103</v>
      </c>
      <c r="C30" s="2" t="s">
        <v>104</v>
      </c>
      <c r="D30" s="2" t="s">
        <v>105</v>
      </c>
      <c r="E30" s="2" t="s">
        <v>14</v>
      </c>
      <c r="F30" s="3">
        <v>46227</v>
      </c>
      <c r="G30" s="4">
        <v>3</v>
      </c>
      <c r="H30" s="3">
        <v>46234</v>
      </c>
      <c r="I30" s="5">
        <v>106.2</v>
      </c>
      <c r="J30" s="2" t="s">
        <v>15</v>
      </c>
      <c r="K30" s="2" t="s">
        <v>586</v>
      </c>
      <c r="N30" s="19"/>
      <c r="O30" s="19">
        <f t="shared" si="7"/>
        <v>46234</v>
      </c>
      <c r="P30" s="8">
        <f t="shared" si="8"/>
        <v>31.235294117647062</v>
      </c>
    </row>
    <row r="31" spans="1:18" x14ac:dyDescent="0.3">
      <c r="A31" s="2" t="s">
        <v>87</v>
      </c>
      <c r="B31" s="2" t="s">
        <v>106</v>
      </c>
      <c r="C31" s="2" t="s">
        <v>107</v>
      </c>
      <c r="D31" s="2" t="s">
        <v>108</v>
      </c>
      <c r="E31" s="2" t="s">
        <v>14</v>
      </c>
      <c r="F31" s="3">
        <v>46227</v>
      </c>
      <c r="G31" s="4">
        <v>3</v>
      </c>
      <c r="H31" s="3">
        <v>46234</v>
      </c>
      <c r="I31" s="5">
        <v>535.25</v>
      </c>
      <c r="J31" s="2" t="s">
        <v>15</v>
      </c>
      <c r="K31" s="2" t="s">
        <v>586</v>
      </c>
      <c r="N31" s="19"/>
      <c r="O31" s="19">
        <f t="shared" si="7"/>
        <v>46234</v>
      </c>
      <c r="P31" s="8">
        <f t="shared" si="8"/>
        <v>157.4264705882353</v>
      </c>
    </row>
    <row r="32" spans="1:18" x14ac:dyDescent="0.3">
      <c r="A32" s="2" t="s">
        <v>87</v>
      </c>
      <c r="B32" s="2" t="s">
        <v>109</v>
      </c>
      <c r="C32" s="2" t="s">
        <v>110</v>
      </c>
      <c r="D32" s="2" t="s">
        <v>111</v>
      </c>
      <c r="E32" s="2" t="s">
        <v>14</v>
      </c>
      <c r="F32" s="3">
        <v>46227</v>
      </c>
      <c r="G32" s="4">
        <v>3</v>
      </c>
      <c r="H32" s="3">
        <v>46234</v>
      </c>
      <c r="I32" s="5">
        <v>230.1</v>
      </c>
      <c r="J32" s="2" t="s">
        <v>15</v>
      </c>
      <c r="K32" s="2" t="s">
        <v>586</v>
      </c>
      <c r="N32" s="19"/>
      <c r="O32" s="19">
        <f t="shared" si="7"/>
        <v>46234</v>
      </c>
      <c r="P32" s="8">
        <f t="shared" si="8"/>
        <v>67.67647058823529</v>
      </c>
    </row>
    <row r="33" spans="1:18" x14ac:dyDescent="0.3">
      <c r="A33" s="2" t="s">
        <v>113</v>
      </c>
      <c r="B33" s="2" t="s">
        <v>114</v>
      </c>
      <c r="C33" s="2" t="s">
        <v>115</v>
      </c>
      <c r="D33" s="2" t="s">
        <v>116</v>
      </c>
      <c r="E33" s="2" t="s">
        <v>64</v>
      </c>
      <c r="F33" s="3">
        <v>46139</v>
      </c>
      <c r="G33" s="4">
        <v>98</v>
      </c>
      <c r="H33" s="3">
        <v>46139</v>
      </c>
      <c r="I33" s="5">
        <v>15163</v>
      </c>
      <c r="J33" s="2" t="s">
        <v>69</v>
      </c>
      <c r="K33" s="2" t="s">
        <v>591</v>
      </c>
      <c r="L33" s="19">
        <f t="shared" ref="L33:L35" si="9">F33+60</f>
        <v>46199</v>
      </c>
      <c r="M33" s="20">
        <f t="shared" ref="M33:M34" ca="1" si="10">TODAY()-N33</f>
        <v>3</v>
      </c>
      <c r="N33" s="19">
        <v>46234</v>
      </c>
      <c r="O33" s="19">
        <v>46310</v>
      </c>
      <c r="P33" s="11">
        <f t="shared" ref="P33:P35" si="11">I33</f>
        <v>15163</v>
      </c>
      <c r="Q33" s="20">
        <f t="shared" ref="Q33:Q35" ca="1" si="12">TODAY()-F33</f>
        <v>98</v>
      </c>
      <c r="R33" t="s">
        <v>607</v>
      </c>
    </row>
    <row r="34" spans="1:18" x14ac:dyDescent="0.3">
      <c r="A34" s="2" t="s">
        <v>117</v>
      </c>
      <c r="B34" s="2" t="s">
        <v>119</v>
      </c>
      <c r="C34" s="2" t="s">
        <v>120</v>
      </c>
      <c r="D34" s="2" t="s">
        <v>121</v>
      </c>
      <c r="E34" s="2" t="s">
        <v>64</v>
      </c>
      <c r="F34" s="3">
        <v>46124</v>
      </c>
      <c r="G34" s="4">
        <v>113</v>
      </c>
      <c r="H34" s="3">
        <v>46124</v>
      </c>
      <c r="I34" s="5">
        <v>16355.92</v>
      </c>
      <c r="J34" s="2" t="s">
        <v>69</v>
      </c>
      <c r="K34" s="2" t="s">
        <v>591</v>
      </c>
      <c r="L34" s="19">
        <f t="shared" si="9"/>
        <v>46184</v>
      </c>
      <c r="M34" s="20">
        <f t="shared" ca="1" si="10"/>
        <v>3</v>
      </c>
      <c r="N34" s="19">
        <v>46234</v>
      </c>
      <c r="O34" s="19">
        <v>46310</v>
      </c>
      <c r="P34" s="11">
        <f t="shared" si="11"/>
        <v>16355.92</v>
      </c>
      <c r="Q34" s="20">
        <f t="shared" ca="1" si="12"/>
        <v>113</v>
      </c>
      <c r="R34" t="s">
        <v>607</v>
      </c>
    </row>
    <row r="35" spans="1:18" x14ac:dyDescent="0.3">
      <c r="A35" s="2" t="s">
        <v>122</v>
      </c>
      <c r="B35" s="2" t="s">
        <v>123</v>
      </c>
      <c r="C35" s="2" t="s">
        <v>124</v>
      </c>
      <c r="D35" s="2" t="s">
        <v>125</v>
      </c>
      <c r="E35" s="2" t="s">
        <v>64</v>
      </c>
      <c r="F35" s="3">
        <v>46231</v>
      </c>
      <c r="G35" s="4">
        <v>6</v>
      </c>
      <c r="H35" s="3">
        <v>46231</v>
      </c>
      <c r="I35" s="5">
        <v>54894</v>
      </c>
      <c r="J35" s="2" t="s">
        <v>69</v>
      </c>
      <c r="K35" s="2" t="s">
        <v>591</v>
      </c>
      <c r="L35" s="19">
        <f t="shared" si="9"/>
        <v>46291</v>
      </c>
      <c r="M35" s="20"/>
      <c r="N35" s="19"/>
      <c r="O35" s="19">
        <v>46291</v>
      </c>
      <c r="P35" s="11">
        <f t="shared" si="11"/>
        <v>54894</v>
      </c>
      <c r="Q35" s="20">
        <f t="shared" ca="1" si="12"/>
        <v>6</v>
      </c>
      <c r="R35" t="s">
        <v>604</v>
      </c>
    </row>
    <row r="36" spans="1:18" x14ac:dyDescent="0.3">
      <c r="A36" s="2" t="s">
        <v>126</v>
      </c>
      <c r="B36" s="2" t="s">
        <v>127</v>
      </c>
      <c r="C36" s="2" t="s">
        <v>128</v>
      </c>
      <c r="D36" s="2" t="s">
        <v>129</v>
      </c>
      <c r="E36" s="2" t="s">
        <v>64</v>
      </c>
      <c r="F36" s="3">
        <v>46209</v>
      </c>
      <c r="G36" s="4">
        <v>28</v>
      </c>
      <c r="H36" s="3">
        <v>46209</v>
      </c>
      <c r="I36" s="5">
        <v>1402.88</v>
      </c>
      <c r="J36" s="2" t="s">
        <v>69</v>
      </c>
      <c r="K36" s="2" t="s">
        <v>592</v>
      </c>
      <c r="N36" s="19"/>
      <c r="O36" s="19">
        <f>H36</f>
        <v>46209</v>
      </c>
      <c r="P36" s="11">
        <f>I36</f>
        <v>1402.88</v>
      </c>
    </row>
    <row r="37" spans="1:18" x14ac:dyDescent="0.3">
      <c r="A37" s="2" t="s">
        <v>130</v>
      </c>
      <c r="B37" s="2" t="s">
        <v>131</v>
      </c>
      <c r="C37" s="2" t="s">
        <v>132</v>
      </c>
      <c r="D37" s="2" t="s">
        <v>133</v>
      </c>
      <c r="E37" s="2" t="s">
        <v>14</v>
      </c>
      <c r="F37" s="3">
        <v>46209</v>
      </c>
      <c r="G37" s="4">
        <v>21</v>
      </c>
      <c r="H37" s="3">
        <v>46216</v>
      </c>
      <c r="I37" s="5">
        <v>773.61</v>
      </c>
      <c r="J37" s="2" t="s">
        <v>15</v>
      </c>
      <c r="K37" s="2" t="s">
        <v>586</v>
      </c>
      <c r="N37" s="19"/>
      <c r="O37" s="19">
        <f t="shared" ref="O37:O98" si="13">H37</f>
        <v>46216</v>
      </c>
      <c r="P37" s="8">
        <f t="shared" ref="P37:P98" si="14">I37/3.4</f>
        <v>227.53235294117647</v>
      </c>
    </row>
    <row r="38" spans="1:18" x14ac:dyDescent="0.3">
      <c r="A38" s="2" t="s">
        <v>130</v>
      </c>
      <c r="B38" s="2" t="s">
        <v>134</v>
      </c>
      <c r="C38" s="2" t="s">
        <v>135</v>
      </c>
      <c r="D38" s="2" t="s">
        <v>136</v>
      </c>
      <c r="E38" s="2" t="s">
        <v>14</v>
      </c>
      <c r="F38" s="3">
        <v>46209</v>
      </c>
      <c r="G38" s="4">
        <v>21</v>
      </c>
      <c r="H38" s="3">
        <v>46216</v>
      </c>
      <c r="I38" s="5">
        <v>70.8</v>
      </c>
      <c r="J38" s="2" t="s">
        <v>15</v>
      </c>
      <c r="K38" s="2" t="s">
        <v>586</v>
      </c>
      <c r="N38" s="19"/>
      <c r="O38" s="19">
        <f t="shared" si="13"/>
        <v>46216</v>
      </c>
      <c r="P38" s="8">
        <f t="shared" si="14"/>
        <v>20.823529411764707</v>
      </c>
    </row>
    <row r="39" spans="1:18" x14ac:dyDescent="0.3">
      <c r="A39" s="2" t="s">
        <v>130</v>
      </c>
      <c r="B39" s="2" t="s">
        <v>137</v>
      </c>
      <c r="C39" s="2" t="s">
        <v>138</v>
      </c>
      <c r="D39" s="2" t="s">
        <v>139</v>
      </c>
      <c r="E39" s="2" t="s">
        <v>14</v>
      </c>
      <c r="F39" s="3">
        <v>46209</v>
      </c>
      <c r="G39" s="4">
        <v>21</v>
      </c>
      <c r="H39" s="3">
        <v>46216</v>
      </c>
      <c r="I39" s="5">
        <v>428.1</v>
      </c>
      <c r="J39" s="2" t="s">
        <v>15</v>
      </c>
      <c r="K39" s="2" t="s">
        <v>586</v>
      </c>
      <c r="N39" s="19"/>
      <c r="O39" s="19">
        <f t="shared" si="13"/>
        <v>46216</v>
      </c>
      <c r="P39" s="8">
        <f t="shared" si="14"/>
        <v>125.91176470588236</v>
      </c>
    </row>
    <row r="40" spans="1:18" x14ac:dyDescent="0.3">
      <c r="A40" s="2" t="s">
        <v>130</v>
      </c>
      <c r="B40" s="2" t="s">
        <v>140</v>
      </c>
      <c r="C40" s="2" t="s">
        <v>141</v>
      </c>
      <c r="D40" s="2" t="s">
        <v>142</v>
      </c>
      <c r="E40" s="2" t="s">
        <v>14</v>
      </c>
      <c r="F40" s="3">
        <v>46209</v>
      </c>
      <c r="G40" s="4">
        <v>21</v>
      </c>
      <c r="H40" s="3">
        <v>46216</v>
      </c>
      <c r="I40" s="5">
        <v>35.4</v>
      </c>
      <c r="J40" s="2" t="s">
        <v>15</v>
      </c>
      <c r="K40" s="2" t="s">
        <v>586</v>
      </c>
      <c r="N40" s="19"/>
      <c r="O40" s="19">
        <f t="shared" si="13"/>
        <v>46216</v>
      </c>
      <c r="P40" s="8">
        <f t="shared" si="14"/>
        <v>10.411764705882353</v>
      </c>
    </row>
    <row r="41" spans="1:18" x14ac:dyDescent="0.3">
      <c r="A41" s="2" t="s">
        <v>130</v>
      </c>
      <c r="B41" s="2" t="s">
        <v>143</v>
      </c>
      <c r="C41" s="2" t="s">
        <v>144</v>
      </c>
      <c r="D41" s="2" t="s">
        <v>145</v>
      </c>
      <c r="E41" s="2" t="s">
        <v>14</v>
      </c>
      <c r="F41" s="3">
        <v>46209</v>
      </c>
      <c r="G41" s="4">
        <v>21</v>
      </c>
      <c r="H41" s="3">
        <v>46216</v>
      </c>
      <c r="I41" s="5">
        <v>202.49</v>
      </c>
      <c r="J41" s="2" t="s">
        <v>15</v>
      </c>
      <c r="K41" s="2" t="s">
        <v>586</v>
      </c>
      <c r="N41" s="19"/>
      <c r="O41" s="19">
        <f t="shared" si="13"/>
        <v>46216</v>
      </c>
      <c r="P41" s="8">
        <f t="shared" si="14"/>
        <v>59.555882352941182</v>
      </c>
    </row>
    <row r="42" spans="1:18" x14ac:dyDescent="0.3">
      <c r="A42" s="2" t="s">
        <v>130</v>
      </c>
      <c r="B42" s="2" t="s">
        <v>146</v>
      </c>
      <c r="C42" s="2" t="s">
        <v>147</v>
      </c>
      <c r="D42" s="2" t="s">
        <v>148</v>
      </c>
      <c r="E42" s="2" t="s">
        <v>14</v>
      </c>
      <c r="F42" s="3">
        <v>46209</v>
      </c>
      <c r="G42" s="4">
        <v>21</v>
      </c>
      <c r="H42" s="3">
        <v>46216</v>
      </c>
      <c r="I42" s="5">
        <v>70.8</v>
      </c>
      <c r="J42" s="2" t="s">
        <v>15</v>
      </c>
      <c r="K42" s="2" t="s">
        <v>586</v>
      </c>
      <c r="N42" s="19"/>
      <c r="O42" s="19">
        <f t="shared" si="13"/>
        <v>46216</v>
      </c>
      <c r="P42" s="8">
        <f t="shared" si="14"/>
        <v>20.823529411764707</v>
      </c>
    </row>
    <row r="43" spans="1:18" x14ac:dyDescent="0.3">
      <c r="A43" s="2" t="s">
        <v>130</v>
      </c>
      <c r="B43" s="2" t="s">
        <v>149</v>
      </c>
      <c r="C43" s="2" t="s">
        <v>150</v>
      </c>
      <c r="D43" s="2" t="s">
        <v>151</v>
      </c>
      <c r="E43" s="2" t="s">
        <v>14</v>
      </c>
      <c r="F43" s="3">
        <v>46209</v>
      </c>
      <c r="G43" s="4">
        <v>21</v>
      </c>
      <c r="H43" s="3">
        <v>46216</v>
      </c>
      <c r="I43" s="5">
        <v>571.59</v>
      </c>
      <c r="J43" s="2" t="s">
        <v>15</v>
      </c>
      <c r="K43" s="2" t="s">
        <v>586</v>
      </c>
      <c r="N43" s="19"/>
      <c r="O43" s="19">
        <f t="shared" si="13"/>
        <v>46216</v>
      </c>
      <c r="P43" s="8">
        <f t="shared" si="14"/>
        <v>168.11470588235295</v>
      </c>
    </row>
    <row r="44" spans="1:18" x14ac:dyDescent="0.3">
      <c r="A44" s="2" t="s">
        <v>130</v>
      </c>
      <c r="B44" s="2" t="s">
        <v>152</v>
      </c>
      <c r="C44" s="2" t="s">
        <v>153</v>
      </c>
      <c r="D44" s="2" t="s">
        <v>154</v>
      </c>
      <c r="E44" s="2" t="s">
        <v>14</v>
      </c>
      <c r="F44" s="3">
        <v>46209</v>
      </c>
      <c r="G44" s="4">
        <v>21</v>
      </c>
      <c r="H44" s="3">
        <v>46216</v>
      </c>
      <c r="I44" s="5">
        <v>159.30000000000001</v>
      </c>
      <c r="J44" s="2" t="s">
        <v>15</v>
      </c>
      <c r="K44" s="2" t="s">
        <v>586</v>
      </c>
      <c r="N44" s="19"/>
      <c r="O44" s="19">
        <f t="shared" si="13"/>
        <v>46216</v>
      </c>
      <c r="P44" s="8">
        <f t="shared" si="14"/>
        <v>46.852941176470594</v>
      </c>
    </row>
    <row r="45" spans="1:18" x14ac:dyDescent="0.3">
      <c r="A45" s="2" t="s">
        <v>130</v>
      </c>
      <c r="B45" s="2" t="s">
        <v>155</v>
      </c>
      <c r="C45" s="2" t="s">
        <v>156</v>
      </c>
      <c r="D45" s="2" t="s">
        <v>157</v>
      </c>
      <c r="E45" s="2" t="s">
        <v>14</v>
      </c>
      <c r="F45" s="3">
        <v>46210</v>
      </c>
      <c r="G45" s="4">
        <v>20</v>
      </c>
      <c r="H45" s="3">
        <v>46217</v>
      </c>
      <c r="I45" s="5">
        <v>427.16</v>
      </c>
      <c r="J45" s="2" t="s">
        <v>15</v>
      </c>
      <c r="K45" s="2" t="s">
        <v>586</v>
      </c>
      <c r="N45" s="19"/>
      <c r="O45" s="19">
        <f t="shared" si="13"/>
        <v>46217</v>
      </c>
      <c r="P45" s="8">
        <f t="shared" si="14"/>
        <v>125.63529411764706</v>
      </c>
    </row>
    <row r="46" spans="1:18" x14ac:dyDescent="0.3">
      <c r="A46" s="2" t="s">
        <v>130</v>
      </c>
      <c r="B46" s="2" t="s">
        <v>158</v>
      </c>
      <c r="C46" s="2" t="s">
        <v>159</v>
      </c>
      <c r="D46" s="2" t="s">
        <v>160</v>
      </c>
      <c r="E46" s="2" t="s">
        <v>14</v>
      </c>
      <c r="F46" s="3">
        <v>46210</v>
      </c>
      <c r="G46" s="4">
        <v>20</v>
      </c>
      <c r="H46" s="3">
        <v>46217</v>
      </c>
      <c r="I46" s="5">
        <v>70.8</v>
      </c>
      <c r="J46" s="2" t="s">
        <v>15</v>
      </c>
      <c r="K46" s="2" t="s">
        <v>586</v>
      </c>
      <c r="N46" s="19"/>
      <c r="O46" s="19">
        <f t="shared" si="13"/>
        <v>46217</v>
      </c>
      <c r="P46" s="8">
        <f t="shared" si="14"/>
        <v>20.823529411764707</v>
      </c>
    </row>
    <row r="47" spans="1:18" x14ac:dyDescent="0.3">
      <c r="A47" s="2" t="s">
        <v>130</v>
      </c>
      <c r="B47" s="2" t="s">
        <v>161</v>
      </c>
      <c r="C47" s="2" t="s">
        <v>162</v>
      </c>
      <c r="D47" s="2" t="s">
        <v>163</v>
      </c>
      <c r="E47" s="2" t="s">
        <v>14</v>
      </c>
      <c r="F47" s="3">
        <v>46211</v>
      </c>
      <c r="G47" s="4">
        <v>19</v>
      </c>
      <c r="H47" s="3">
        <v>46218</v>
      </c>
      <c r="I47" s="5">
        <v>359.43</v>
      </c>
      <c r="J47" s="2" t="s">
        <v>15</v>
      </c>
      <c r="K47" s="2" t="s">
        <v>586</v>
      </c>
      <c r="N47" s="19"/>
      <c r="O47" s="19">
        <f t="shared" si="13"/>
        <v>46218</v>
      </c>
      <c r="P47" s="8">
        <f t="shared" si="14"/>
        <v>105.71470588235294</v>
      </c>
    </row>
    <row r="48" spans="1:18" x14ac:dyDescent="0.3">
      <c r="A48" s="2" t="s">
        <v>130</v>
      </c>
      <c r="B48" s="2" t="s">
        <v>164</v>
      </c>
      <c r="C48" s="2" t="s">
        <v>165</v>
      </c>
      <c r="D48" s="2" t="s">
        <v>166</v>
      </c>
      <c r="E48" s="2" t="s">
        <v>14</v>
      </c>
      <c r="F48" s="3">
        <v>46211</v>
      </c>
      <c r="G48" s="4">
        <v>19</v>
      </c>
      <c r="H48" s="3">
        <v>46218</v>
      </c>
      <c r="I48" s="5">
        <v>47.2</v>
      </c>
      <c r="J48" s="2" t="s">
        <v>15</v>
      </c>
      <c r="K48" s="2" t="s">
        <v>586</v>
      </c>
      <c r="N48" s="19"/>
      <c r="O48" s="19">
        <f t="shared" si="13"/>
        <v>46218</v>
      </c>
      <c r="P48" s="8">
        <f t="shared" si="14"/>
        <v>13.882352941176471</v>
      </c>
    </row>
    <row r="49" spans="1:16" x14ac:dyDescent="0.3">
      <c r="A49" s="2" t="s">
        <v>130</v>
      </c>
      <c r="B49" s="2" t="s">
        <v>167</v>
      </c>
      <c r="C49" s="2" t="s">
        <v>168</v>
      </c>
      <c r="D49" s="2" t="s">
        <v>169</v>
      </c>
      <c r="E49" s="2" t="s">
        <v>14</v>
      </c>
      <c r="F49" s="3">
        <v>46212</v>
      </c>
      <c r="G49" s="4">
        <v>18</v>
      </c>
      <c r="H49" s="3">
        <v>46219</v>
      </c>
      <c r="I49" s="5">
        <v>344.8</v>
      </c>
      <c r="J49" s="2" t="s">
        <v>15</v>
      </c>
      <c r="K49" s="2" t="s">
        <v>586</v>
      </c>
      <c r="N49" s="19"/>
      <c r="O49" s="19">
        <f t="shared" si="13"/>
        <v>46219</v>
      </c>
      <c r="P49" s="8">
        <f t="shared" si="14"/>
        <v>101.41176470588236</v>
      </c>
    </row>
    <row r="50" spans="1:16" x14ac:dyDescent="0.3">
      <c r="A50" s="2" t="s">
        <v>130</v>
      </c>
      <c r="B50" s="2" t="s">
        <v>170</v>
      </c>
      <c r="C50" s="2" t="s">
        <v>171</v>
      </c>
      <c r="D50" s="2" t="s">
        <v>172</v>
      </c>
      <c r="E50" s="2" t="s">
        <v>14</v>
      </c>
      <c r="F50" s="3">
        <v>46212</v>
      </c>
      <c r="G50" s="4">
        <v>18</v>
      </c>
      <c r="H50" s="3">
        <v>46219</v>
      </c>
      <c r="I50" s="5">
        <v>47.2</v>
      </c>
      <c r="J50" s="2" t="s">
        <v>15</v>
      </c>
      <c r="K50" s="2" t="s">
        <v>586</v>
      </c>
      <c r="N50" s="19"/>
      <c r="O50" s="19">
        <f t="shared" si="13"/>
        <v>46219</v>
      </c>
      <c r="P50" s="8">
        <f t="shared" si="14"/>
        <v>13.882352941176471</v>
      </c>
    </row>
    <row r="51" spans="1:16" x14ac:dyDescent="0.3">
      <c r="A51" s="2" t="s">
        <v>130</v>
      </c>
      <c r="B51" s="2" t="s">
        <v>173</v>
      </c>
      <c r="C51" s="2" t="s">
        <v>174</v>
      </c>
      <c r="D51" s="2" t="s">
        <v>175</v>
      </c>
      <c r="E51" s="2" t="s">
        <v>14</v>
      </c>
      <c r="F51" s="3">
        <v>46213</v>
      </c>
      <c r="G51" s="4">
        <v>17</v>
      </c>
      <c r="H51" s="3">
        <v>46220</v>
      </c>
      <c r="I51" s="5">
        <v>521.70000000000005</v>
      </c>
      <c r="J51" s="2" t="s">
        <v>15</v>
      </c>
      <c r="K51" s="2" t="s">
        <v>586</v>
      </c>
      <c r="N51" s="19"/>
      <c r="O51" s="19">
        <f t="shared" si="13"/>
        <v>46220</v>
      </c>
      <c r="P51" s="8">
        <f t="shared" si="14"/>
        <v>153.44117647058826</v>
      </c>
    </row>
    <row r="52" spans="1:16" x14ac:dyDescent="0.3">
      <c r="A52" s="2" t="s">
        <v>130</v>
      </c>
      <c r="B52" s="2" t="s">
        <v>176</v>
      </c>
      <c r="C52" s="2" t="s">
        <v>177</v>
      </c>
      <c r="D52" s="2" t="s">
        <v>178</v>
      </c>
      <c r="E52" s="2" t="s">
        <v>14</v>
      </c>
      <c r="F52" s="3">
        <v>46213</v>
      </c>
      <c r="G52" s="4">
        <v>17</v>
      </c>
      <c r="H52" s="3">
        <v>46220</v>
      </c>
      <c r="I52" s="5">
        <v>153.4</v>
      </c>
      <c r="J52" s="2" t="s">
        <v>15</v>
      </c>
      <c r="K52" s="2" t="s">
        <v>586</v>
      </c>
      <c r="N52" s="19"/>
      <c r="O52" s="19">
        <f t="shared" si="13"/>
        <v>46220</v>
      </c>
      <c r="P52" s="8">
        <f t="shared" si="14"/>
        <v>45.117647058823529</v>
      </c>
    </row>
    <row r="53" spans="1:16" x14ac:dyDescent="0.3">
      <c r="A53" s="2" t="s">
        <v>130</v>
      </c>
      <c r="B53" s="2" t="s">
        <v>179</v>
      </c>
      <c r="C53" s="2" t="s">
        <v>180</v>
      </c>
      <c r="D53" s="2" t="s">
        <v>181</v>
      </c>
      <c r="E53" s="2" t="s">
        <v>14</v>
      </c>
      <c r="F53" s="3">
        <v>46213</v>
      </c>
      <c r="G53" s="4">
        <v>17</v>
      </c>
      <c r="H53" s="3">
        <v>46220</v>
      </c>
      <c r="I53" s="5">
        <v>162.88999999999999</v>
      </c>
      <c r="J53" s="2" t="s">
        <v>15</v>
      </c>
      <c r="K53" s="2" t="s">
        <v>586</v>
      </c>
      <c r="N53" s="19"/>
      <c r="O53" s="19">
        <f t="shared" si="13"/>
        <v>46220</v>
      </c>
      <c r="P53" s="8">
        <f t="shared" si="14"/>
        <v>47.908823529411762</v>
      </c>
    </row>
    <row r="54" spans="1:16" x14ac:dyDescent="0.3">
      <c r="A54" s="2" t="s">
        <v>130</v>
      </c>
      <c r="B54" s="2" t="s">
        <v>182</v>
      </c>
      <c r="C54" s="2" t="s">
        <v>183</v>
      </c>
      <c r="D54" s="2" t="s">
        <v>184</v>
      </c>
      <c r="E54" s="2" t="s">
        <v>14</v>
      </c>
      <c r="F54" s="3">
        <v>46213</v>
      </c>
      <c r="G54" s="4">
        <v>17</v>
      </c>
      <c r="H54" s="3">
        <v>46220</v>
      </c>
      <c r="I54" s="5">
        <v>123.9</v>
      </c>
      <c r="J54" s="2" t="s">
        <v>15</v>
      </c>
      <c r="K54" s="2" t="s">
        <v>586</v>
      </c>
      <c r="N54" s="19"/>
      <c r="O54" s="19">
        <f t="shared" si="13"/>
        <v>46220</v>
      </c>
      <c r="P54" s="8">
        <f t="shared" si="14"/>
        <v>36.441176470588239</v>
      </c>
    </row>
    <row r="55" spans="1:16" x14ac:dyDescent="0.3">
      <c r="A55" s="2" t="s">
        <v>130</v>
      </c>
      <c r="B55" s="2" t="s">
        <v>185</v>
      </c>
      <c r="C55" s="2" t="s">
        <v>186</v>
      </c>
      <c r="D55" s="2" t="s">
        <v>187</v>
      </c>
      <c r="E55" s="2" t="s">
        <v>14</v>
      </c>
      <c r="F55" s="3">
        <v>46214</v>
      </c>
      <c r="G55" s="4">
        <v>16</v>
      </c>
      <c r="H55" s="3">
        <v>46221</v>
      </c>
      <c r="I55" s="5">
        <v>375.71</v>
      </c>
      <c r="J55" s="2" t="s">
        <v>15</v>
      </c>
      <c r="K55" s="2" t="s">
        <v>586</v>
      </c>
      <c r="N55" s="19"/>
      <c r="O55" s="19">
        <f t="shared" si="13"/>
        <v>46221</v>
      </c>
      <c r="P55" s="8">
        <f t="shared" si="14"/>
        <v>110.50294117647059</v>
      </c>
    </row>
    <row r="56" spans="1:16" x14ac:dyDescent="0.3">
      <c r="A56" s="2" t="s">
        <v>130</v>
      </c>
      <c r="B56" s="2" t="s">
        <v>188</v>
      </c>
      <c r="C56" s="2" t="s">
        <v>189</v>
      </c>
      <c r="D56" s="2" t="s">
        <v>190</v>
      </c>
      <c r="E56" s="2" t="s">
        <v>14</v>
      </c>
      <c r="F56" s="3">
        <v>46214</v>
      </c>
      <c r="G56" s="4">
        <v>16</v>
      </c>
      <c r="H56" s="3">
        <v>46221</v>
      </c>
      <c r="I56" s="5">
        <v>35.4</v>
      </c>
      <c r="J56" s="2" t="s">
        <v>15</v>
      </c>
      <c r="K56" s="2" t="s">
        <v>586</v>
      </c>
      <c r="N56" s="19"/>
      <c r="O56" s="19">
        <f t="shared" si="13"/>
        <v>46221</v>
      </c>
      <c r="P56" s="8">
        <f t="shared" si="14"/>
        <v>10.411764705882353</v>
      </c>
    </row>
    <row r="57" spans="1:16" x14ac:dyDescent="0.3">
      <c r="A57" s="2" t="s">
        <v>130</v>
      </c>
      <c r="B57" s="2" t="s">
        <v>191</v>
      </c>
      <c r="C57" s="2" t="s">
        <v>192</v>
      </c>
      <c r="D57" s="2" t="s">
        <v>193</v>
      </c>
      <c r="E57" s="2" t="s">
        <v>14</v>
      </c>
      <c r="F57" s="3">
        <v>46214</v>
      </c>
      <c r="G57" s="4">
        <v>16</v>
      </c>
      <c r="H57" s="3">
        <v>46221</v>
      </c>
      <c r="I57" s="5">
        <v>391.52</v>
      </c>
      <c r="J57" s="2" t="s">
        <v>15</v>
      </c>
      <c r="K57" s="2" t="s">
        <v>586</v>
      </c>
      <c r="N57" s="19"/>
      <c r="O57" s="19">
        <f t="shared" si="13"/>
        <v>46221</v>
      </c>
      <c r="P57" s="8">
        <f t="shared" si="14"/>
        <v>115.15294117647059</v>
      </c>
    </row>
    <row r="58" spans="1:16" x14ac:dyDescent="0.3">
      <c r="A58" s="2" t="s">
        <v>130</v>
      </c>
      <c r="B58" s="2" t="s">
        <v>194</v>
      </c>
      <c r="C58" s="2" t="s">
        <v>195</v>
      </c>
      <c r="D58" s="2" t="s">
        <v>196</v>
      </c>
      <c r="E58" s="2" t="s">
        <v>14</v>
      </c>
      <c r="F58" s="3">
        <v>46214</v>
      </c>
      <c r="G58" s="4">
        <v>16</v>
      </c>
      <c r="H58" s="3">
        <v>46221</v>
      </c>
      <c r="I58" s="5">
        <v>135.69999999999999</v>
      </c>
      <c r="J58" s="2" t="s">
        <v>15</v>
      </c>
      <c r="K58" s="2" t="s">
        <v>586</v>
      </c>
      <c r="N58" s="19"/>
      <c r="O58" s="19">
        <f t="shared" si="13"/>
        <v>46221</v>
      </c>
      <c r="P58" s="8">
        <f t="shared" si="14"/>
        <v>39.911764705882348</v>
      </c>
    </row>
    <row r="59" spans="1:16" x14ac:dyDescent="0.3">
      <c r="A59" s="2" t="s">
        <v>130</v>
      </c>
      <c r="B59" s="2" t="s">
        <v>197</v>
      </c>
      <c r="C59" s="2" t="s">
        <v>198</v>
      </c>
      <c r="D59" s="2" t="s">
        <v>199</v>
      </c>
      <c r="E59" s="2" t="s">
        <v>14</v>
      </c>
      <c r="F59" s="3">
        <v>46215</v>
      </c>
      <c r="G59" s="4">
        <v>15</v>
      </c>
      <c r="H59" s="3">
        <v>46222</v>
      </c>
      <c r="I59" s="5">
        <v>1809.93</v>
      </c>
      <c r="J59" s="2" t="s">
        <v>15</v>
      </c>
      <c r="K59" s="2" t="s">
        <v>586</v>
      </c>
      <c r="N59" s="19"/>
      <c r="O59" s="19">
        <f t="shared" si="13"/>
        <v>46222</v>
      </c>
      <c r="P59" s="8">
        <f t="shared" si="14"/>
        <v>532.33235294117651</v>
      </c>
    </row>
    <row r="60" spans="1:16" x14ac:dyDescent="0.3">
      <c r="A60" s="2" t="s">
        <v>130</v>
      </c>
      <c r="B60" s="2" t="s">
        <v>200</v>
      </c>
      <c r="C60" s="2" t="s">
        <v>201</v>
      </c>
      <c r="D60" s="2" t="s">
        <v>202</v>
      </c>
      <c r="E60" s="2" t="s">
        <v>14</v>
      </c>
      <c r="F60" s="3">
        <v>46215</v>
      </c>
      <c r="G60" s="4">
        <v>15</v>
      </c>
      <c r="H60" s="3">
        <v>46222</v>
      </c>
      <c r="I60" s="5">
        <v>454.3</v>
      </c>
      <c r="J60" s="2" t="s">
        <v>15</v>
      </c>
      <c r="K60" s="2" t="s">
        <v>586</v>
      </c>
      <c r="N60" s="19"/>
      <c r="O60" s="19">
        <f t="shared" si="13"/>
        <v>46222</v>
      </c>
      <c r="P60" s="8">
        <f t="shared" si="14"/>
        <v>133.61764705882354</v>
      </c>
    </row>
    <row r="61" spans="1:16" x14ac:dyDescent="0.3">
      <c r="A61" s="2" t="s">
        <v>130</v>
      </c>
      <c r="B61" s="2" t="s">
        <v>203</v>
      </c>
      <c r="C61" s="2" t="s">
        <v>204</v>
      </c>
      <c r="D61" s="2" t="s">
        <v>205</v>
      </c>
      <c r="E61" s="2" t="s">
        <v>14</v>
      </c>
      <c r="F61" s="3">
        <v>46216</v>
      </c>
      <c r="G61" s="4">
        <v>14</v>
      </c>
      <c r="H61" s="3">
        <v>46223</v>
      </c>
      <c r="I61" s="5">
        <v>675.2</v>
      </c>
      <c r="J61" s="2" t="s">
        <v>15</v>
      </c>
      <c r="K61" s="2" t="s">
        <v>586</v>
      </c>
      <c r="N61" s="19"/>
      <c r="O61" s="19">
        <f t="shared" si="13"/>
        <v>46223</v>
      </c>
      <c r="P61" s="8">
        <f t="shared" si="14"/>
        <v>198.58823529411765</v>
      </c>
    </row>
    <row r="62" spans="1:16" x14ac:dyDescent="0.3">
      <c r="A62" s="2" t="s">
        <v>130</v>
      </c>
      <c r="B62" s="2" t="s">
        <v>206</v>
      </c>
      <c r="C62" s="2" t="s">
        <v>207</v>
      </c>
      <c r="D62" s="2" t="s">
        <v>208</v>
      </c>
      <c r="E62" s="2" t="s">
        <v>14</v>
      </c>
      <c r="F62" s="3">
        <v>46216</v>
      </c>
      <c r="G62" s="4">
        <v>14</v>
      </c>
      <c r="H62" s="3">
        <v>46223</v>
      </c>
      <c r="I62" s="5">
        <v>82.6</v>
      </c>
      <c r="J62" s="2" t="s">
        <v>15</v>
      </c>
      <c r="K62" s="2" t="s">
        <v>586</v>
      </c>
      <c r="N62" s="19"/>
      <c r="O62" s="19">
        <f t="shared" si="13"/>
        <v>46223</v>
      </c>
      <c r="P62" s="8">
        <f t="shared" si="14"/>
        <v>24.294117647058822</v>
      </c>
    </row>
    <row r="63" spans="1:16" x14ac:dyDescent="0.3">
      <c r="A63" s="2" t="s">
        <v>130</v>
      </c>
      <c r="B63" s="2" t="s">
        <v>209</v>
      </c>
      <c r="C63" s="2" t="s">
        <v>210</v>
      </c>
      <c r="D63" s="2" t="s">
        <v>211</v>
      </c>
      <c r="E63" s="2" t="s">
        <v>14</v>
      </c>
      <c r="F63" s="3">
        <v>46217</v>
      </c>
      <c r="G63" s="4">
        <v>13</v>
      </c>
      <c r="H63" s="3">
        <v>46224</v>
      </c>
      <c r="I63" s="5">
        <v>744.39</v>
      </c>
      <c r="J63" s="2" t="s">
        <v>15</v>
      </c>
      <c r="K63" s="2" t="s">
        <v>586</v>
      </c>
      <c r="N63" s="19"/>
      <c r="O63" s="19">
        <f t="shared" si="13"/>
        <v>46224</v>
      </c>
      <c r="P63" s="8">
        <f t="shared" si="14"/>
        <v>218.93823529411765</v>
      </c>
    </row>
    <row r="64" spans="1:16" x14ac:dyDescent="0.3">
      <c r="A64" s="2" t="s">
        <v>130</v>
      </c>
      <c r="B64" s="2" t="s">
        <v>212</v>
      </c>
      <c r="C64" s="2" t="s">
        <v>213</v>
      </c>
      <c r="D64" s="2" t="s">
        <v>214</v>
      </c>
      <c r="E64" s="2" t="s">
        <v>14</v>
      </c>
      <c r="F64" s="3">
        <v>46217</v>
      </c>
      <c r="G64" s="4">
        <v>13</v>
      </c>
      <c r="H64" s="3">
        <v>46224</v>
      </c>
      <c r="I64" s="5">
        <v>218.3</v>
      </c>
      <c r="J64" s="2" t="s">
        <v>15</v>
      </c>
      <c r="K64" s="2" t="s">
        <v>586</v>
      </c>
      <c r="N64" s="19"/>
      <c r="O64" s="19">
        <f t="shared" si="13"/>
        <v>46224</v>
      </c>
      <c r="P64" s="8">
        <f t="shared" si="14"/>
        <v>64.205882352941188</v>
      </c>
    </row>
    <row r="65" spans="1:16" x14ac:dyDescent="0.3">
      <c r="A65" s="2" t="s">
        <v>130</v>
      </c>
      <c r="B65" s="2" t="s">
        <v>215</v>
      </c>
      <c r="C65" s="2" t="s">
        <v>216</v>
      </c>
      <c r="D65" s="2" t="s">
        <v>217</v>
      </c>
      <c r="E65" s="2" t="s">
        <v>14</v>
      </c>
      <c r="F65" s="3">
        <v>46217</v>
      </c>
      <c r="G65" s="4">
        <v>13</v>
      </c>
      <c r="H65" s="3">
        <v>46224</v>
      </c>
      <c r="I65" s="5">
        <v>703.04</v>
      </c>
      <c r="J65" s="2" t="s">
        <v>15</v>
      </c>
      <c r="K65" s="2" t="s">
        <v>586</v>
      </c>
      <c r="N65" s="19"/>
      <c r="O65" s="19">
        <f t="shared" si="13"/>
        <v>46224</v>
      </c>
      <c r="P65" s="8">
        <f t="shared" si="14"/>
        <v>206.7764705882353</v>
      </c>
    </row>
    <row r="66" spans="1:16" x14ac:dyDescent="0.3">
      <c r="A66" s="2" t="s">
        <v>130</v>
      </c>
      <c r="B66" s="2" t="s">
        <v>218</v>
      </c>
      <c r="C66" s="2" t="s">
        <v>219</v>
      </c>
      <c r="D66" s="2" t="s">
        <v>220</v>
      </c>
      <c r="E66" s="2" t="s">
        <v>14</v>
      </c>
      <c r="F66" s="3">
        <v>46217</v>
      </c>
      <c r="G66" s="4">
        <v>13</v>
      </c>
      <c r="H66" s="3">
        <v>46224</v>
      </c>
      <c r="I66" s="5">
        <v>70.8</v>
      </c>
      <c r="J66" s="2" t="s">
        <v>15</v>
      </c>
      <c r="K66" s="2" t="s">
        <v>586</v>
      </c>
      <c r="N66" s="19"/>
      <c r="O66" s="19">
        <f t="shared" si="13"/>
        <v>46224</v>
      </c>
      <c r="P66" s="8">
        <f t="shared" si="14"/>
        <v>20.823529411764707</v>
      </c>
    </row>
    <row r="67" spans="1:16" x14ac:dyDescent="0.3">
      <c r="A67" s="2" t="s">
        <v>130</v>
      </c>
      <c r="B67" s="2" t="s">
        <v>221</v>
      </c>
      <c r="C67" s="2" t="s">
        <v>222</v>
      </c>
      <c r="D67" s="2" t="s">
        <v>223</v>
      </c>
      <c r="E67" s="2" t="s">
        <v>14</v>
      </c>
      <c r="F67" s="3">
        <v>46217</v>
      </c>
      <c r="G67" s="4">
        <v>13</v>
      </c>
      <c r="H67" s="3">
        <v>46224</v>
      </c>
      <c r="I67" s="5">
        <v>157.41</v>
      </c>
      <c r="J67" s="2" t="s">
        <v>15</v>
      </c>
      <c r="K67" s="2" t="s">
        <v>586</v>
      </c>
      <c r="N67" s="19"/>
      <c r="O67" s="19">
        <f t="shared" si="13"/>
        <v>46224</v>
      </c>
      <c r="P67" s="8">
        <f t="shared" si="14"/>
        <v>46.297058823529412</v>
      </c>
    </row>
    <row r="68" spans="1:16" x14ac:dyDescent="0.3">
      <c r="A68" s="2" t="s">
        <v>130</v>
      </c>
      <c r="B68" s="2" t="s">
        <v>224</v>
      </c>
      <c r="C68" s="2" t="s">
        <v>225</v>
      </c>
      <c r="D68" s="2" t="s">
        <v>226</v>
      </c>
      <c r="E68" s="2" t="s">
        <v>14</v>
      </c>
      <c r="F68" s="3">
        <v>46217</v>
      </c>
      <c r="G68" s="4">
        <v>13</v>
      </c>
      <c r="H68" s="3">
        <v>46224</v>
      </c>
      <c r="I68" s="5">
        <v>35.4</v>
      </c>
      <c r="J68" s="2" t="s">
        <v>15</v>
      </c>
      <c r="K68" s="2" t="s">
        <v>586</v>
      </c>
      <c r="N68" s="19"/>
      <c r="O68" s="19">
        <f t="shared" si="13"/>
        <v>46224</v>
      </c>
      <c r="P68" s="8">
        <f t="shared" si="14"/>
        <v>10.411764705882353</v>
      </c>
    </row>
    <row r="69" spans="1:16" x14ac:dyDescent="0.3">
      <c r="A69" s="2" t="s">
        <v>130</v>
      </c>
      <c r="B69" s="2" t="s">
        <v>227</v>
      </c>
      <c r="C69" s="2" t="s">
        <v>228</v>
      </c>
      <c r="D69" s="2" t="s">
        <v>229</v>
      </c>
      <c r="E69" s="2" t="s">
        <v>14</v>
      </c>
      <c r="F69" s="3">
        <v>46218</v>
      </c>
      <c r="G69" s="4">
        <v>12</v>
      </c>
      <c r="H69" s="3">
        <v>46225</v>
      </c>
      <c r="I69" s="5">
        <v>438.02</v>
      </c>
      <c r="J69" s="2" t="s">
        <v>15</v>
      </c>
      <c r="K69" s="2" t="s">
        <v>586</v>
      </c>
      <c r="N69" s="19"/>
      <c r="O69" s="19">
        <f t="shared" si="13"/>
        <v>46225</v>
      </c>
      <c r="P69" s="8">
        <f t="shared" si="14"/>
        <v>128.82941176470587</v>
      </c>
    </row>
    <row r="70" spans="1:16" x14ac:dyDescent="0.3">
      <c r="A70" s="2" t="s">
        <v>130</v>
      </c>
      <c r="B70" s="2" t="s">
        <v>230</v>
      </c>
      <c r="C70" s="2" t="s">
        <v>231</v>
      </c>
      <c r="D70" s="2" t="s">
        <v>232</v>
      </c>
      <c r="E70" s="2" t="s">
        <v>14</v>
      </c>
      <c r="F70" s="3">
        <v>46218</v>
      </c>
      <c r="G70" s="4">
        <v>12</v>
      </c>
      <c r="H70" s="3">
        <v>46225</v>
      </c>
      <c r="I70" s="5">
        <v>35.4</v>
      </c>
      <c r="J70" s="2" t="s">
        <v>15</v>
      </c>
      <c r="K70" s="2" t="s">
        <v>586</v>
      </c>
      <c r="N70" s="19"/>
      <c r="O70" s="19">
        <f t="shared" si="13"/>
        <v>46225</v>
      </c>
      <c r="P70" s="8">
        <f t="shared" si="14"/>
        <v>10.411764705882353</v>
      </c>
    </row>
    <row r="71" spans="1:16" x14ac:dyDescent="0.3">
      <c r="A71" s="2" t="s">
        <v>130</v>
      </c>
      <c r="B71" s="2" t="s">
        <v>233</v>
      </c>
      <c r="C71" s="2" t="s">
        <v>234</v>
      </c>
      <c r="D71" s="2" t="s">
        <v>235</v>
      </c>
      <c r="E71" s="2" t="s">
        <v>14</v>
      </c>
      <c r="F71" s="3">
        <v>46218</v>
      </c>
      <c r="G71" s="4">
        <v>12</v>
      </c>
      <c r="H71" s="3">
        <v>46225</v>
      </c>
      <c r="I71" s="5">
        <v>399.55</v>
      </c>
      <c r="J71" s="2" t="s">
        <v>15</v>
      </c>
      <c r="K71" s="2" t="s">
        <v>586</v>
      </c>
      <c r="N71" s="19"/>
      <c r="O71" s="19">
        <f t="shared" si="13"/>
        <v>46225</v>
      </c>
      <c r="P71" s="8">
        <f t="shared" si="14"/>
        <v>117.51470588235294</v>
      </c>
    </row>
    <row r="72" spans="1:16" x14ac:dyDescent="0.3">
      <c r="A72" s="2" t="s">
        <v>130</v>
      </c>
      <c r="B72" s="2" t="s">
        <v>236</v>
      </c>
      <c r="C72" s="2" t="s">
        <v>237</v>
      </c>
      <c r="D72" s="2" t="s">
        <v>238</v>
      </c>
      <c r="E72" s="2" t="s">
        <v>14</v>
      </c>
      <c r="F72" s="3">
        <v>46218</v>
      </c>
      <c r="G72" s="4">
        <v>12</v>
      </c>
      <c r="H72" s="3">
        <v>46225</v>
      </c>
      <c r="I72" s="5">
        <v>47.2</v>
      </c>
      <c r="J72" s="2" t="s">
        <v>15</v>
      </c>
      <c r="K72" s="2" t="s">
        <v>586</v>
      </c>
      <c r="N72" s="19"/>
      <c r="O72" s="19">
        <f t="shared" si="13"/>
        <v>46225</v>
      </c>
      <c r="P72" s="8">
        <f t="shared" si="14"/>
        <v>13.882352941176471</v>
      </c>
    </row>
    <row r="73" spans="1:16" x14ac:dyDescent="0.3">
      <c r="A73" s="2" t="s">
        <v>130</v>
      </c>
      <c r="B73" s="2" t="s">
        <v>239</v>
      </c>
      <c r="C73" s="2" t="s">
        <v>240</v>
      </c>
      <c r="D73" s="2" t="s">
        <v>241</v>
      </c>
      <c r="E73" s="2" t="s">
        <v>14</v>
      </c>
      <c r="F73" s="3">
        <v>46219</v>
      </c>
      <c r="G73" s="4">
        <v>11</v>
      </c>
      <c r="H73" s="3">
        <v>46226</v>
      </c>
      <c r="I73" s="5">
        <v>460.25</v>
      </c>
      <c r="J73" s="2" t="s">
        <v>15</v>
      </c>
      <c r="K73" s="2" t="s">
        <v>586</v>
      </c>
      <c r="N73" s="19"/>
      <c r="O73" s="19">
        <f t="shared" si="13"/>
        <v>46226</v>
      </c>
      <c r="P73" s="8">
        <f t="shared" si="14"/>
        <v>135.36764705882354</v>
      </c>
    </row>
    <row r="74" spans="1:16" x14ac:dyDescent="0.3">
      <c r="A74" s="2" t="s">
        <v>130</v>
      </c>
      <c r="B74" s="2" t="s">
        <v>242</v>
      </c>
      <c r="C74" s="2" t="s">
        <v>243</v>
      </c>
      <c r="D74" s="2" t="s">
        <v>244</v>
      </c>
      <c r="E74" s="2" t="s">
        <v>14</v>
      </c>
      <c r="F74" s="3">
        <v>46219</v>
      </c>
      <c r="G74" s="4">
        <v>11</v>
      </c>
      <c r="H74" s="3">
        <v>46226</v>
      </c>
      <c r="I74" s="5">
        <v>153.4</v>
      </c>
      <c r="J74" s="2" t="s">
        <v>15</v>
      </c>
      <c r="K74" s="2" t="s">
        <v>586</v>
      </c>
      <c r="N74" s="19"/>
      <c r="O74" s="19">
        <f t="shared" si="13"/>
        <v>46226</v>
      </c>
      <c r="P74" s="8">
        <f t="shared" si="14"/>
        <v>45.117647058823529</v>
      </c>
    </row>
    <row r="75" spans="1:16" x14ac:dyDescent="0.3">
      <c r="A75" s="2" t="s">
        <v>130</v>
      </c>
      <c r="B75" s="2" t="s">
        <v>245</v>
      </c>
      <c r="C75" s="2" t="s">
        <v>246</v>
      </c>
      <c r="D75" s="2" t="s">
        <v>247</v>
      </c>
      <c r="E75" s="2" t="s">
        <v>14</v>
      </c>
      <c r="F75" s="3">
        <v>46219</v>
      </c>
      <c r="G75" s="4">
        <v>11</v>
      </c>
      <c r="H75" s="3">
        <v>46226</v>
      </c>
      <c r="I75" s="5">
        <v>402.85</v>
      </c>
      <c r="J75" s="2" t="s">
        <v>15</v>
      </c>
      <c r="K75" s="2" t="s">
        <v>586</v>
      </c>
      <c r="N75" s="19"/>
      <c r="O75" s="19">
        <f t="shared" si="13"/>
        <v>46226</v>
      </c>
      <c r="P75" s="8">
        <f t="shared" si="14"/>
        <v>118.48529411764707</v>
      </c>
    </row>
    <row r="76" spans="1:16" x14ac:dyDescent="0.3">
      <c r="A76" s="2" t="s">
        <v>130</v>
      </c>
      <c r="B76" s="2" t="s">
        <v>248</v>
      </c>
      <c r="C76" s="2" t="s">
        <v>249</v>
      </c>
      <c r="D76" s="2" t="s">
        <v>250</v>
      </c>
      <c r="E76" s="2" t="s">
        <v>14</v>
      </c>
      <c r="F76" s="3">
        <v>46219</v>
      </c>
      <c r="G76" s="4">
        <v>11</v>
      </c>
      <c r="H76" s="3">
        <v>46226</v>
      </c>
      <c r="I76" s="5">
        <v>35.4</v>
      </c>
      <c r="J76" s="2" t="s">
        <v>15</v>
      </c>
      <c r="K76" s="2" t="s">
        <v>586</v>
      </c>
      <c r="N76" s="19"/>
      <c r="O76" s="19">
        <f t="shared" si="13"/>
        <v>46226</v>
      </c>
      <c r="P76" s="8">
        <f t="shared" si="14"/>
        <v>10.411764705882353</v>
      </c>
    </row>
    <row r="77" spans="1:16" x14ac:dyDescent="0.3">
      <c r="A77" s="2" t="s">
        <v>130</v>
      </c>
      <c r="B77" s="2" t="s">
        <v>251</v>
      </c>
      <c r="C77" s="2" t="s">
        <v>252</v>
      </c>
      <c r="D77" s="2" t="s">
        <v>253</v>
      </c>
      <c r="E77" s="2" t="s">
        <v>14</v>
      </c>
      <c r="F77" s="3">
        <v>46219</v>
      </c>
      <c r="G77" s="4">
        <v>11</v>
      </c>
      <c r="H77" s="3">
        <v>46226</v>
      </c>
      <c r="I77" s="5">
        <v>690.21</v>
      </c>
      <c r="J77" s="2" t="s">
        <v>15</v>
      </c>
      <c r="K77" s="2" t="s">
        <v>586</v>
      </c>
      <c r="N77" s="19"/>
      <c r="O77" s="19">
        <f t="shared" si="13"/>
        <v>46226</v>
      </c>
      <c r="P77" s="8">
        <f t="shared" si="14"/>
        <v>203.00294117647061</v>
      </c>
    </row>
    <row r="78" spans="1:16" x14ac:dyDescent="0.3">
      <c r="A78" s="2" t="s">
        <v>130</v>
      </c>
      <c r="B78" s="2" t="s">
        <v>254</v>
      </c>
      <c r="C78" s="2" t="s">
        <v>255</v>
      </c>
      <c r="D78" s="2" t="s">
        <v>256</v>
      </c>
      <c r="E78" s="2" t="s">
        <v>14</v>
      </c>
      <c r="F78" s="3">
        <v>46219</v>
      </c>
      <c r="G78" s="4">
        <v>11</v>
      </c>
      <c r="H78" s="3">
        <v>46226</v>
      </c>
      <c r="I78" s="5">
        <v>212.4</v>
      </c>
      <c r="J78" s="2" t="s">
        <v>15</v>
      </c>
      <c r="K78" s="2" t="s">
        <v>586</v>
      </c>
      <c r="N78" s="19"/>
      <c r="O78" s="19">
        <f t="shared" si="13"/>
        <v>46226</v>
      </c>
      <c r="P78" s="8">
        <f t="shared" si="14"/>
        <v>62.470588235294123</v>
      </c>
    </row>
    <row r="79" spans="1:16" x14ac:dyDescent="0.3">
      <c r="A79" s="2" t="s">
        <v>130</v>
      </c>
      <c r="B79" s="2" t="s">
        <v>257</v>
      </c>
      <c r="C79" s="2" t="s">
        <v>258</v>
      </c>
      <c r="D79" s="2" t="s">
        <v>259</v>
      </c>
      <c r="E79" s="2" t="s">
        <v>14</v>
      </c>
      <c r="F79" s="3">
        <v>46220</v>
      </c>
      <c r="G79" s="4">
        <v>10</v>
      </c>
      <c r="H79" s="3">
        <v>46227</v>
      </c>
      <c r="I79" s="5">
        <v>629.41</v>
      </c>
      <c r="J79" s="2" t="s">
        <v>15</v>
      </c>
      <c r="K79" s="2" t="s">
        <v>586</v>
      </c>
      <c r="N79" s="19"/>
      <c r="O79" s="19">
        <f t="shared" si="13"/>
        <v>46227</v>
      </c>
      <c r="P79" s="8">
        <f t="shared" si="14"/>
        <v>185.12058823529412</v>
      </c>
    </row>
    <row r="80" spans="1:16" x14ac:dyDescent="0.3">
      <c r="A80" s="2" t="s">
        <v>130</v>
      </c>
      <c r="B80" s="2" t="s">
        <v>260</v>
      </c>
      <c r="C80" s="2" t="s">
        <v>261</v>
      </c>
      <c r="D80" s="2" t="s">
        <v>262</v>
      </c>
      <c r="E80" s="2" t="s">
        <v>14</v>
      </c>
      <c r="F80" s="3">
        <v>46220</v>
      </c>
      <c r="G80" s="4">
        <v>10</v>
      </c>
      <c r="H80" s="3">
        <v>46227</v>
      </c>
      <c r="I80" s="5">
        <v>230.1</v>
      </c>
      <c r="J80" s="2" t="s">
        <v>15</v>
      </c>
      <c r="K80" s="2" t="s">
        <v>586</v>
      </c>
      <c r="N80" s="19"/>
      <c r="O80" s="19">
        <f t="shared" si="13"/>
        <v>46227</v>
      </c>
      <c r="P80" s="8">
        <f t="shared" si="14"/>
        <v>67.67647058823529</v>
      </c>
    </row>
    <row r="81" spans="1:16" x14ac:dyDescent="0.3">
      <c r="A81" s="2" t="s">
        <v>130</v>
      </c>
      <c r="B81" s="2" t="s">
        <v>263</v>
      </c>
      <c r="C81" s="2" t="s">
        <v>264</v>
      </c>
      <c r="D81" s="2" t="s">
        <v>265</v>
      </c>
      <c r="E81" s="2" t="s">
        <v>14</v>
      </c>
      <c r="F81" s="3">
        <v>46220</v>
      </c>
      <c r="G81" s="4">
        <v>10</v>
      </c>
      <c r="H81" s="3">
        <v>46227</v>
      </c>
      <c r="I81" s="5">
        <v>367.07</v>
      </c>
      <c r="J81" s="2" t="s">
        <v>15</v>
      </c>
      <c r="K81" s="2" t="s">
        <v>586</v>
      </c>
      <c r="N81" s="19"/>
      <c r="O81" s="19">
        <f t="shared" si="13"/>
        <v>46227</v>
      </c>
      <c r="P81" s="8">
        <f t="shared" si="14"/>
        <v>107.96176470588236</v>
      </c>
    </row>
    <row r="82" spans="1:16" x14ac:dyDescent="0.3">
      <c r="A82" s="2" t="s">
        <v>130</v>
      </c>
      <c r="B82" s="2" t="s">
        <v>266</v>
      </c>
      <c r="C82" s="2" t="s">
        <v>267</v>
      </c>
      <c r="D82" s="2" t="s">
        <v>268</v>
      </c>
      <c r="E82" s="2" t="s">
        <v>14</v>
      </c>
      <c r="F82" s="3">
        <v>46220</v>
      </c>
      <c r="G82" s="4">
        <v>10</v>
      </c>
      <c r="H82" s="3">
        <v>46227</v>
      </c>
      <c r="I82" s="5">
        <v>177</v>
      </c>
      <c r="J82" s="2" t="s">
        <v>15</v>
      </c>
      <c r="K82" s="2" t="s">
        <v>586</v>
      </c>
      <c r="N82" s="19"/>
      <c r="O82" s="19">
        <f t="shared" si="13"/>
        <v>46227</v>
      </c>
      <c r="P82" s="8">
        <f t="shared" si="14"/>
        <v>52.058823529411768</v>
      </c>
    </row>
    <row r="83" spans="1:16" x14ac:dyDescent="0.3">
      <c r="A83" s="2" t="s">
        <v>130</v>
      </c>
      <c r="B83" s="2" t="s">
        <v>269</v>
      </c>
      <c r="C83" s="2" t="s">
        <v>270</v>
      </c>
      <c r="D83" s="2" t="s">
        <v>271</v>
      </c>
      <c r="E83" s="2" t="s">
        <v>14</v>
      </c>
      <c r="F83" s="3">
        <v>46220</v>
      </c>
      <c r="G83" s="4">
        <v>10</v>
      </c>
      <c r="H83" s="3">
        <v>46227</v>
      </c>
      <c r="I83" s="5">
        <v>331.11</v>
      </c>
      <c r="J83" s="2" t="s">
        <v>15</v>
      </c>
      <c r="K83" s="2" t="s">
        <v>586</v>
      </c>
      <c r="N83" s="19"/>
      <c r="O83" s="19">
        <f t="shared" si="13"/>
        <v>46227</v>
      </c>
      <c r="P83" s="8">
        <f t="shared" si="14"/>
        <v>97.385294117647064</v>
      </c>
    </row>
    <row r="84" spans="1:16" x14ac:dyDescent="0.3">
      <c r="A84" s="2" t="s">
        <v>130</v>
      </c>
      <c r="B84" s="2" t="s">
        <v>272</v>
      </c>
      <c r="C84" s="2" t="s">
        <v>273</v>
      </c>
      <c r="D84" s="2" t="s">
        <v>274</v>
      </c>
      <c r="E84" s="2" t="s">
        <v>14</v>
      </c>
      <c r="F84" s="3">
        <v>46220</v>
      </c>
      <c r="G84" s="4">
        <v>10</v>
      </c>
      <c r="H84" s="3">
        <v>46227</v>
      </c>
      <c r="I84" s="5">
        <v>35.4</v>
      </c>
      <c r="J84" s="2" t="s">
        <v>15</v>
      </c>
      <c r="K84" s="2" t="s">
        <v>586</v>
      </c>
      <c r="N84" s="19"/>
      <c r="O84" s="19">
        <f t="shared" si="13"/>
        <v>46227</v>
      </c>
      <c r="P84" s="8">
        <f t="shared" si="14"/>
        <v>10.411764705882353</v>
      </c>
    </row>
    <row r="85" spans="1:16" x14ac:dyDescent="0.3">
      <c r="A85" s="2" t="s">
        <v>130</v>
      </c>
      <c r="B85" s="2" t="s">
        <v>275</v>
      </c>
      <c r="C85" s="2" t="s">
        <v>276</v>
      </c>
      <c r="D85" s="2" t="s">
        <v>277</v>
      </c>
      <c r="E85" s="2" t="s">
        <v>14</v>
      </c>
      <c r="F85" s="3">
        <v>46221</v>
      </c>
      <c r="G85" s="4">
        <v>9</v>
      </c>
      <c r="H85" s="3">
        <v>46228</v>
      </c>
      <c r="I85" s="5">
        <v>683.27</v>
      </c>
      <c r="J85" s="2" t="s">
        <v>15</v>
      </c>
      <c r="K85" s="2" t="s">
        <v>586</v>
      </c>
      <c r="N85" s="19"/>
      <c r="O85" s="19">
        <f t="shared" si="13"/>
        <v>46228</v>
      </c>
      <c r="P85" s="8">
        <f t="shared" si="14"/>
        <v>200.96176470588236</v>
      </c>
    </row>
    <row r="86" spans="1:16" x14ac:dyDescent="0.3">
      <c r="A86" s="2" t="s">
        <v>130</v>
      </c>
      <c r="B86" s="2" t="s">
        <v>278</v>
      </c>
      <c r="C86" s="2" t="s">
        <v>279</v>
      </c>
      <c r="D86" s="2" t="s">
        <v>280</v>
      </c>
      <c r="E86" s="2" t="s">
        <v>14</v>
      </c>
      <c r="F86" s="3">
        <v>46221</v>
      </c>
      <c r="G86" s="4">
        <v>9</v>
      </c>
      <c r="H86" s="3">
        <v>46228</v>
      </c>
      <c r="I86" s="5">
        <v>194.7</v>
      </c>
      <c r="J86" s="2" t="s">
        <v>15</v>
      </c>
      <c r="K86" s="2" t="s">
        <v>586</v>
      </c>
      <c r="N86" s="19"/>
      <c r="O86" s="19">
        <f t="shared" si="13"/>
        <v>46228</v>
      </c>
      <c r="P86" s="8">
        <f t="shared" si="14"/>
        <v>57.264705882352942</v>
      </c>
    </row>
    <row r="87" spans="1:16" x14ac:dyDescent="0.3">
      <c r="A87" s="2" t="s">
        <v>130</v>
      </c>
      <c r="B87" s="2" t="s">
        <v>281</v>
      </c>
      <c r="C87" s="2" t="s">
        <v>282</v>
      </c>
      <c r="D87" s="2" t="s">
        <v>283</v>
      </c>
      <c r="E87" s="2" t="s">
        <v>14</v>
      </c>
      <c r="F87" s="3">
        <v>46222</v>
      </c>
      <c r="G87" s="4">
        <v>8</v>
      </c>
      <c r="H87" s="3">
        <v>46229</v>
      </c>
      <c r="I87" s="5">
        <v>692.85</v>
      </c>
      <c r="J87" s="2" t="s">
        <v>15</v>
      </c>
      <c r="K87" s="2" t="s">
        <v>586</v>
      </c>
      <c r="N87" s="19"/>
      <c r="O87" s="19">
        <f t="shared" si="13"/>
        <v>46229</v>
      </c>
      <c r="P87" s="8">
        <f t="shared" si="14"/>
        <v>203.77941176470588</v>
      </c>
    </row>
    <row r="88" spans="1:16" x14ac:dyDescent="0.3">
      <c r="A88" s="2" t="s">
        <v>130</v>
      </c>
      <c r="B88" s="2" t="s">
        <v>284</v>
      </c>
      <c r="C88" s="2" t="s">
        <v>285</v>
      </c>
      <c r="D88" s="2" t="s">
        <v>286</v>
      </c>
      <c r="E88" s="2" t="s">
        <v>14</v>
      </c>
      <c r="F88" s="3">
        <v>46222</v>
      </c>
      <c r="G88" s="4">
        <v>8</v>
      </c>
      <c r="H88" s="3">
        <v>46229</v>
      </c>
      <c r="I88" s="5">
        <v>194.7</v>
      </c>
      <c r="J88" s="2" t="s">
        <v>15</v>
      </c>
      <c r="K88" s="2" t="s">
        <v>586</v>
      </c>
      <c r="N88" s="19"/>
      <c r="O88" s="19">
        <f t="shared" si="13"/>
        <v>46229</v>
      </c>
      <c r="P88" s="8">
        <f t="shared" si="14"/>
        <v>57.264705882352942</v>
      </c>
    </row>
    <row r="89" spans="1:16" x14ac:dyDescent="0.3">
      <c r="A89" s="2" t="s">
        <v>130</v>
      </c>
      <c r="B89" s="2" t="s">
        <v>287</v>
      </c>
      <c r="C89" s="2" t="s">
        <v>288</v>
      </c>
      <c r="D89" s="2" t="s">
        <v>289</v>
      </c>
      <c r="E89" s="2" t="s">
        <v>14</v>
      </c>
      <c r="F89" s="3">
        <v>46223</v>
      </c>
      <c r="G89" s="4">
        <v>7</v>
      </c>
      <c r="H89" s="3">
        <v>46230</v>
      </c>
      <c r="I89" s="5">
        <v>367.07</v>
      </c>
      <c r="J89" s="2" t="s">
        <v>15</v>
      </c>
      <c r="K89" s="2" t="s">
        <v>586</v>
      </c>
      <c r="N89" s="19"/>
      <c r="O89" s="19">
        <f t="shared" si="13"/>
        <v>46230</v>
      </c>
      <c r="P89" s="8">
        <f t="shared" si="14"/>
        <v>107.96176470588236</v>
      </c>
    </row>
    <row r="90" spans="1:16" x14ac:dyDescent="0.3">
      <c r="A90" s="2" t="s">
        <v>130</v>
      </c>
      <c r="B90" s="2" t="s">
        <v>290</v>
      </c>
      <c r="C90" s="2" t="s">
        <v>291</v>
      </c>
      <c r="D90" s="2" t="s">
        <v>292</v>
      </c>
      <c r="E90" s="2" t="s">
        <v>14</v>
      </c>
      <c r="F90" s="3">
        <v>46223</v>
      </c>
      <c r="G90" s="4">
        <v>7</v>
      </c>
      <c r="H90" s="3">
        <v>46230</v>
      </c>
      <c r="I90" s="5">
        <v>135.69999999999999</v>
      </c>
      <c r="J90" s="2" t="s">
        <v>15</v>
      </c>
      <c r="K90" s="2" t="s">
        <v>586</v>
      </c>
      <c r="N90" s="19"/>
      <c r="O90" s="19">
        <f t="shared" si="13"/>
        <v>46230</v>
      </c>
      <c r="P90" s="8">
        <f t="shared" si="14"/>
        <v>39.911764705882348</v>
      </c>
    </row>
    <row r="91" spans="1:16" x14ac:dyDescent="0.3">
      <c r="A91" s="2" t="s">
        <v>130</v>
      </c>
      <c r="B91" s="2" t="s">
        <v>293</v>
      </c>
      <c r="C91" s="2" t="s">
        <v>294</v>
      </c>
      <c r="D91" s="2" t="s">
        <v>295</v>
      </c>
      <c r="E91" s="2" t="s">
        <v>14</v>
      </c>
      <c r="F91" s="3">
        <v>46227</v>
      </c>
      <c r="G91" s="4">
        <v>3</v>
      </c>
      <c r="H91" s="3">
        <v>46234</v>
      </c>
      <c r="I91" s="5">
        <v>452.98</v>
      </c>
      <c r="J91" s="2" t="s">
        <v>15</v>
      </c>
      <c r="K91" s="2" t="s">
        <v>586</v>
      </c>
      <c r="N91" s="19"/>
      <c r="O91" s="19">
        <f t="shared" si="13"/>
        <v>46234</v>
      </c>
      <c r="P91" s="8">
        <f t="shared" si="14"/>
        <v>133.2294117647059</v>
      </c>
    </row>
    <row r="92" spans="1:16" x14ac:dyDescent="0.3">
      <c r="A92" s="2" t="s">
        <v>130</v>
      </c>
      <c r="B92" s="2" t="s">
        <v>296</v>
      </c>
      <c r="C92" s="2" t="s">
        <v>297</v>
      </c>
      <c r="D92" s="2" t="s">
        <v>298</v>
      </c>
      <c r="E92" s="2" t="s">
        <v>14</v>
      </c>
      <c r="F92" s="3">
        <v>46227</v>
      </c>
      <c r="G92" s="4">
        <v>3</v>
      </c>
      <c r="H92" s="3">
        <v>46234</v>
      </c>
      <c r="I92" s="5">
        <v>153.4</v>
      </c>
      <c r="J92" s="2" t="s">
        <v>15</v>
      </c>
      <c r="K92" s="2" t="s">
        <v>586</v>
      </c>
      <c r="N92" s="19"/>
      <c r="O92" s="19">
        <f t="shared" si="13"/>
        <v>46234</v>
      </c>
      <c r="P92" s="8">
        <f t="shared" si="14"/>
        <v>45.117647058823529</v>
      </c>
    </row>
    <row r="93" spans="1:16" x14ac:dyDescent="0.3">
      <c r="A93" s="2" t="s">
        <v>130</v>
      </c>
      <c r="B93" s="2" t="s">
        <v>299</v>
      </c>
      <c r="C93" s="2" t="s">
        <v>300</v>
      </c>
      <c r="D93" s="2" t="s">
        <v>301</v>
      </c>
      <c r="E93" s="2" t="s">
        <v>14</v>
      </c>
      <c r="F93" s="3">
        <v>46227</v>
      </c>
      <c r="G93" s="4">
        <v>3</v>
      </c>
      <c r="H93" s="3">
        <v>46234</v>
      </c>
      <c r="I93" s="5">
        <v>617.85</v>
      </c>
      <c r="J93" s="2" t="s">
        <v>15</v>
      </c>
      <c r="K93" s="2" t="s">
        <v>586</v>
      </c>
      <c r="N93" s="19"/>
      <c r="O93" s="19">
        <f t="shared" si="13"/>
        <v>46234</v>
      </c>
      <c r="P93" s="8">
        <f t="shared" si="14"/>
        <v>181.72058823529412</v>
      </c>
    </row>
    <row r="94" spans="1:16" x14ac:dyDescent="0.3">
      <c r="A94" s="2" t="s">
        <v>130</v>
      </c>
      <c r="B94" s="2" t="s">
        <v>302</v>
      </c>
      <c r="C94" s="2" t="s">
        <v>303</v>
      </c>
      <c r="D94" s="2" t="s">
        <v>304</v>
      </c>
      <c r="E94" s="2" t="s">
        <v>14</v>
      </c>
      <c r="F94" s="3">
        <v>46227</v>
      </c>
      <c r="G94" s="4">
        <v>3</v>
      </c>
      <c r="H94" s="3">
        <v>46234</v>
      </c>
      <c r="I94" s="5">
        <v>177</v>
      </c>
      <c r="J94" s="2" t="s">
        <v>15</v>
      </c>
      <c r="K94" s="2" t="s">
        <v>586</v>
      </c>
      <c r="N94" s="19"/>
      <c r="O94" s="19">
        <f t="shared" si="13"/>
        <v>46234</v>
      </c>
      <c r="P94" s="8">
        <f t="shared" si="14"/>
        <v>52.058823529411768</v>
      </c>
    </row>
    <row r="95" spans="1:16" x14ac:dyDescent="0.3">
      <c r="A95" s="2" t="s">
        <v>130</v>
      </c>
      <c r="B95" s="2" t="s">
        <v>305</v>
      </c>
      <c r="C95" s="2" t="s">
        <v>306</v>
      </c>
      <c r="D95" s="2" t="s">
        <v>307</v>
      </c>
      <c r="E95" s="2" t="s">
        <v>14</v>
      </c>
      <c r="F95" s="3">
        <v>46227</v>
      </c>
      <c r="G95" s="4">
        <v>3</v>
      </c>
      <c r="H95" s="3">
        <v>46234</v>
      </c>
      <c r="I95" s="5">
        <v>673.02</v>
      </c>
      <c r="J95" s="2" t="s">
        <v>15</v>
      </c>
      <c r="K95" s="2" t="s">
        <v>586</v>
      </c>
      <c r="N95" s="19"/>
      <c r="O95" s="19">
        <f t="shared" si="13"/>
        <v>46234</v>
      </c>
      <c r="P95" s="8">
        <f t="shared" si="14"/>
        <v>197.9470588235294</v>
      </c>
    </row>
    <row r="96" spans="1:16" x14ac:dyDescent="0.3">
      <c r="A96" s="2" t="s">
        <v>130</v>
      </c>
      <c r="B96" s="2" t="s">
        <v>308</v>
      </c>
      <c r="C96" s="2" t="s">
        <v>309</v>
      </c>
      <c r="D96" s="2" t="s">
        <v>310</v>
      </c>
      <c r="E96" s="2" t="s">
        <v>14</v>
      </c>
      <c r="F96" s="3">
        <v>46227</v>
      </c>
      <c r="G96" s="4">
        <v>3</v>
      </c>
      <c r="H96" s="3">
        <v>46234</v>
      </c>
      <c r="I96" s="5">
        <v>177</v>
      </c>
      <c r="J96" s="2" t="s">
        <v>15</v>
      </c>
      <c r="K96" s="2" t="s">
        <v>586</v>
      </c>
      <c r="N96" s="19"/>
      <c r="O96" s="19">
        <f t="shared" si="13"/>
        <v>46234</v>
      </c>
      <c r="P96" s="8">
        <f t="shared" si="14"/>
        <v>52.058823529411768</v>
      </c>
    </row>
    <row r="97" spans="1:18" x14ac:dyDescent="0.3">
      <c r="A97" s="2" t="s">
        <v>130</v>
      </c>
      <c r="B97" s="2" t="s">
        <v>311</v>
      </c>
      <c r="C97" s="2" t="s">
        <v>312</v>
      </c>
      <c r="D97" s="2" t="s">
        <v>313</v>
      </c>
      <c r="E97" s="2" t="s">
        <v>14</v>
      </c>
      <c r="F97" s="3">
        <v>46230</v>
      </c>
      <c r="G97" s="4">
        <v>0</v>
      </c>
      <c r="H97" s="3">
        <v>46237</v>
      </c>
      <c r="I97" s="5">
        <v>47.2</v>
      </c>
      <c r="J97" s="2" t="s">
        <v>15</v>
      </c>
      <c r="K97" s="2" t="s">
        <v>586</v>
      </c>
      <c r="N97" s="19"/>
      <c r="O97" s="19">
        <f t="shared" si="13"/>
        <v>46237</v>
      </c>
      <c r="P97" s="8">
        <f t="shared" si="14"/>
        <v>13.882352941176471</v>
      </c>
    </row>
    <row r="98" spans="1:18" x14ac:dyDescent="0.3">
      <c r="A98" s="2" t="s">
        <v>130</v>
      </c>
      <c r="B98" s="2" t="s">
        <v>314</v>
      </c>
      <c r="C98" s="2" t="s">
        <v>315</v>
      </c>
      <c r="D98" s="2" t="s">
        <v>316</v>
      </c>
      <c r="E98" s="2" t="s">
        <v>14</v>
      </c>
      <c r="F98" s="3">
        <v>46230</v>
      </c>
      <c r="G98" s="4">
        <v>0</v>
      </c>
      <c r="H98" s="3">
        <v>46237</v>
      </c>
      <c r="I98" s="5">
        <v>266.44</v>
      </c>
      <c r="J98" s="2" t="s">
        <v>15</v>
      </c>
      <c r="K98" s="2" t="s">
        <v>586</v>
      </c>
      <c r="N98" s="19"/>
      <c r="O98" s="19">
        <f t="shared" si="13"/>
        <v>46237</v>
      </c>
      <c r="P98" s="8">
        <f t="shared" si="14"/>
        <v>78.364705882352936</v>
      </c>
    </row>
    <row r="99" spans="1:18" x14ac:dyDescent="0.3">
      <c r="A99" s="2" t="s">
        <v>317</v>
      </c>
      <c r="B99" s="2" t="s">
        <v>318</v>
      </c>
      <c r="C99" s="2" t="s">
        <v>319</v>
      </c>
      <c r="D99" s="2" t="s">
        <v>320</v>
      </c>
      <c r="E99" s="2" t="s">
        <v>112</v>
      </c>
      <c r="F99" s="3">
        <v>46168</v>
      </c>
      <c r="G99" s="4">
        <v>0</v>
      </c>
      <c r="H99" s="3">
        <v>46173</v>
      </c>
      <c r="I99" s="6">
        <v>-34580</v>
      </c>
      <c r="J99" s="2" t="s">
        <v>69</v>
      </c>
      <c r="K99" s="2" t="s">
        <v>591</v>
      </c>
      <c r="L99" s="19">
        <f t="shared" ref="L99:L108" si="15">F99+60</f>
        <v>46228</v>
      </c>
      <c r="M99" s="20"/>
      <c r="N99" s="19"/>
      <c r="O99" s="19">
        <f>F99</f>
        <v>46168</v>
      </c>
      <c r="P99" s="11">
        <f t="shared" ref="P99:P108" si="16">I99</f>
        <v>-34580</v>
      </c>
      <c r="Q99" s="20">
        <f t="shared" ref="Q99:Q108" ca="1" si="17">TODAY()-F99</f>
        <v>69</v>
      </c>
      <c r="R99" t="s">
        <v>606</v>
      </c>
    </row>
    <row r="100" spans="1:18" x14ac:dyDescent="0.3">
      <c r="A100" s="2" t="s">
        <v>317</v>
      </c>
      <c r="B100" s="2" t="s">
        <v>321</v>
      </c>
      <c r="C100" s="2" t="s">
        <v>322</v>
      </c>
      <c r="D100" s="2" t="s">
        <v>323</v>
      </c>
      <c r="E100" s="2" t="s">
        <v>76</v>
      </c>
      <c r="F100" s="3">
        <v>46230</v>
      </c>
      <c r="G100" s="7">
        <v>-113</v>
      </c>
      <c r="H100" s="3">
        <v>46350</v>
      </c>
      <c r="I100" s="5">
        <v>89775</v>
      </c>
      <c r="J100" s="2" t="s">
        <v>69</v>
      </c>
      <c r="K100" s="2" t="s">
        <v>591</v>
      </c>
      <c r="L100" s="19">
        <f t="shared" si="15"/>
        <v>46290</v>
      </c>
      <c r="M100" s="20"/>
      <c r="N100" s="19"/>
      <c r="O100" s="19">
        <v>46290</v>
      </c>
      <c r="P100" s="11">
        <f t="shared" si="16"/>
        <v>89775</v>
      </c>
      <c r="Q100" s="20">
        <f t="shared" ca="1" si="17"/>
        <v>7</v>
      </c>
      <c r="R100" t="s">
        <v>604</v>
      </c>
    </row>
    <row r="101" spans="1:18" x14ac:dyDescent="0.3">
      <c r="A101" s="2" t="s">
        <v>317</v>
      </c>
      <c r="B101" s="2" t="s">
        <v>324</v>
      </c>
      <c r="C101" s="2" t="s">
        <v>325</v>
      </c>
      <c r="D101" s="2" t="s">
        <v>326</v>
      </c>
      <c r="E101" s="2" t="s">
        <v>76</v>
      </c>
      <c r="F101" s="3">
        <v>46234</v>
      </c>
      <c r="G101" s="7">
        <v>-57</v>
      </c>
      <c r="H101" s="3">
        <v>46294</v>
      </c>
      <c r="I101" s="5">
        <v>29925</v>
      </c>
      <c r="J101" s="2" t="s">
        <v>69</v>
      </c>
      <c r="K101" s="2" t="s">
        <v>591</v>
      </c>
      <c r="L101" s="19">
        <f t="shared" si="15"/>
        <v>46294</v>
      </c>
      <c r="M101" s="20"/>
      <c r="N101" s="19"/>
      <c r="O101" s="19">
        <f t="shared" ref="O101:O108" si="18">H101</f>
        <v>46294</v>
      </c>
      <c r="P101" s="11">
        <f t="shared" si="16"/>
        <v>29925</v>
      </c>
      <c r="Q101" s="20">
        <f t="shared" ca="1" si="17"/>
        <v>3</v>
      </c>
      <c r="R101" t="s">
        <v>604</v>
      </c>
    </row>
    <row r="102" spans="1:18" x14ac:dyDescent="0.3">
      <c r="A102" s="2" t="s">
        <v>327</v>
      </c>
      <c r="B102" s="2" t="s">
        <v>329</v>
      </c>
      <c r="C102" s="2" t="s">
        <v>330</v>
      </c>
      <c r="D102" s="2" t="s">
        <v>331</v>
      </c>
      <c r="E102" s="2" t="s">
        <v>64</v>
      </c>
      <c r="F102" s="3">
        <v>46194</v>
      </c>
      <c r="G102" s="4">
        <v>43</v>
      </c>
      <c r="H102" s="3">
        <v>46194</v>
      </c>
      <c r="I102" s="5">
        <v>14830.54</v>
      </c>
      <c r="J102" s="2" t="s">
        <v>69</v>
      </c>
      <c r="K102" s="2" t="s">
        <v>591</v>
      </c>
      <c r="L102" s="19">
        <f t="shared" si="15"/>
        <v>46254</v>
      </c>
      <c r="M102" s="20">
        <f t="shared" ref="M102:M108" ca="1" si="19">TODAY()-N102</f>
        <v>-17</v>
      </c>
      <c r="N102" s="19">
        <v>46254</v>
      </c>
      <c r="O102" s="19">
        <v>46254</v>
      </c>
      <c r="P102" s="11">
        <f t="shared" si="16"/>
        <v>14830.54</v>
      </c>
      <c r="Q102" s="20">
        <f t="shared" ca="1" si="17"/>
        <v>43</v>
      </c>
      <c r="R102" t="s">
        <v>604</v>
      </c>
    </row>
    <row r="103" spans="1:18" x14ac:dyDescent="0.3">
      <c r="A103" s="2" t="s">
        <v>327</v>
      </c>
      <c r="B103" s="2" t="s">
        <v>332</v>
      </c>
      <c r="C103" s="2" t="s">
        <v>333</v>
      </c>
      <c r="D103" s="2" t="s">
        <v>334</v>
      </c>
      <c r="E103" s="2" t="s">
        <v>76</v>
      </c>
      <c r="F103" s="3">
        <v>46220</v>
      </c>
      <c r="G103" s="7">
        <v>-28</v>
      </c>
      <c r="H103" s="3">
        <v>46265</v>
      </c>
      <c r="I103" s="5">
        <v>3145.44</v>
      </c>
      <c r="J103" s="2" t="s">
        <v>69</v>
      </c>
      <c r="K103" s="2" t="s">
        <v>591</v>
      </c>
      <c r="L103" s="19">
        <f t="shared" si="15"/>
        <v>46280</v>
      </c>
      <c r="M103" s="20"/>
      <c r="N103" s="19"/>
      <c r="O103" s="19">
        <v>46280</v>
      </c>
      <c r="P103" s="11">
        <f t="shared" si="16"/>
        <v>3145.44</v>
      </c>
      <c r="Q103" s="20">
        <f t="shared" ca="1" si="17"/>
        <v>17</v>
      </c>
      <c r="R103" t="s">
        <v>604</v>
      </c>
    </row>
    <row r="104" spans="1:18" x14ac:dyDescent="0.3">
      <c r="A104" s="2" t="s">
        <v>335</v>
      </c>
      <c r="B104" s="2" t="s">
        <v>336</v>
      </c>
      <c r="C104" s="2" t="s">
        <v>337</v>
      </c>
      <c r="D104" s="2" t="s">
        <v>338</v>
      </c>
      <c r="E104" s="2" t="s">
        <v>64</v>
      </c>
      <c r="F104" s="3">
        <v>46192</v>
      </c>
      <c r="G104" s="4">
        <v>45</v>
      </c>
      <c r="H104" s="3">
        <v>46192</v>
      </c>
      <c r="I104" s="5">
        <v>157950</v>
      </c>
      <c r="J104" s="2" t="s">
        <v>69</v>
      </c>
      <c r="K104" s="2" t="s">
        <v>591</v>
      </c>
      <c r="L104" s="19">
        <f t="shared" si="15"/>
        <v>46252</v>
      </c>
      <c r="M104" s="20">
        <f t="shared" ca="1" si="19"/>
        <v>0</v>
      </c>
      <c r="N104" s="19">
        <v>46237</v>
      </c>
      <c r="O104" s="19">
        <v>46246</v>
      </c>
      <c r="P104" s="11">
        <f t="shared" si="16"/>
        <v>157950</v>
      </c>
      <c r="Q104" s="20">
        <f t="shared" ca="1" si="17"/>
        <v>45</v>
      </c>
      <c r="R104" t="s">
        <v>604</v>
      </c>
    </row>
    <row r="105" spans="1:18" x14ac:dyDescent="0.3">
      <c r="A105" s="2" t="s">
        <v>335</v>
      </c>
      <c r="B105" s="2" t="s">
        <v>339</v>
      </c>
      <c r="C105" s="2" t="s">
        <v>340</v>
      </c>
      <c r="D105" s="2" t="s">
        <v>341</v>
      </c>
      <c r="E105" s="2" t="s">
        <v>76</v>
      </c>
      <c r="F105" s="3">
        <v>46203</v>
      </c>
      <c r="G105" s="7">
        <v>-11</v>
      </c>
      <c r="H105" s="3">
        <v>46248</v>
      </c>
      <c r="I105" s="5">
        <v>211167</v>
      </c>
      <c r="J105" s="2" t="s">
        <v>69</v>
      </c>
      <c r="K105" s="2" t="s">
        <v>591</v>
      </c>
      <c r="L105" s="19">
        <f t="shared" si="15"/>
        <v>46263</v>
      </c>
      <c r="M105" s="20">
        <f t="shared" ca="1" si="19"/>
        <v>-26</v>
      </c>
      <c r="N105" s="19">
        <v>46263</v>
      </c>
      <c r="O105" s="19">
        <f t="shared" si="18"/>
        <v>46248</v>
      </c>
      <c r="P105" s="11">
        <f t="shared" si="16"/>
        <v>211167</v>
      </c>
      <c r="Q105" s="20">
        <f t="shared" ca="1" si="17"/>
        <v>34</v>
      </c>
      <c r="R105" t="s">
        <v>604</v>
      </c>
    </row>
    <row r="106" spans="1:18" x14ac:dyDescent="0.3">
      <c r="A106" s="2" t="s">
        <v>335</v>
      </c>
      <c r="B106" s="2" t="s">
        <v>342</v>
      </c>
      <c r="C106" s="2" t="s">
        <v>343</v>
      </c>
      <c r="D106" s="2" t="s">
        <v>344</v>
      </c>
      <c r="E106" s="2" t="s">
        <v>76</v>
      </c>
      <c r="F106" s="3">
        <v>46203</v>
      </c>
      <c r="G106" s="7">
        <v>-26</v>
      </c>
      <c r="H106" s="3">
        <v>46263</v>
      </c>
      <c r="I106" s="5">
        <v>105300</v>
      </c>
      <c r="J106" s="2" t="s">
        <v>69</v>
      </c>
      <c r="K106" s="2" t="s">
        <v>591</v>
      </c>
      <c r="L106" s="19">
        <f t="shared" si="15"/>
        <v>46263</v>
      </c>
      <c r="M106" s="20">
        <f t="shared" ca="1" si="19"/>
        <v>-26</v>
      </c>
      <c r="N106" s="19">
        <v>46263</v>
      </c>
      <c r="O106" s="19">
        <f t="shared" si="18"/>
        <v>46263</v>
      </c>
      <c r="P106" s="11">
        <f t="shared" si="16"/>
        <v>105300</v>
      </c>
      <c r="Q106" s="20">
        <f t="shared" ca="1" si="17"/>
        <v>34</v>
      </c>
      <c r="R106" t="s">
        <v>604</v>
      </c>
    </row>
    <row r="107" spans="1:18" x14ac:dyDescent="0.3">
      <c r="A107" s="2" t="s">
        <v>345</v>
      </c>
      <c r="B107" s="2" t="s">
        <v>347</v>
      </c>
      <c r="C107" s="2" t="s">
        <v>348</v>
      </c>
      <c r="D107" s="2" t="s">
        <v>613</v>
      </c>
      <c r="E107" s="2" t="s">
        <v>64</v>
      </c>
      <c r="F107" s="3">
        <v>46203</v>
      </c>
      <c r="G107" s="7">
        <v>-26</v>
      </c>
      <c r="H107" s="3">
        <v>46263</v>
      </c>
      <c r="I107" s="5">
        <v>395975.8</v>
      </c>
      <c r="J107" s="2" t="s">
        <v>69</v>
      </c>
      <c r="K107" s="2" t="s">
        <v>591</v>
      </c>
      <c r="L107" s="19">
        <f t="shared" si="15"/>
        <v>46263</v>
      </c>
      <c r="M107" s="20">
        <f t="shared" ca="1" si="19"/>
        <v>-26</v>
      </c>
      <c r="N107" s="19">
        <v>46263</v>
      </c>
      <c r="O107" s="19">
        <f t="shared" si="18"/>
        <v>46263</v>
      </c>
      <c r="P107" s="11">
        <f t="shared" si="16"/>
        <v>395975.8</v>
      </c>
      <c r="Q107" s="20">
        <f t="shared" ca="1" si="17"/>
        <v>34</v>
      </c>
      <c r="R107" t="s">
        <v>604</v>
      </c>
    </row>
    <row r="108" spans="1:18" x14ac:dyDescent="0.3">
      <c r="A108" s="2" t="s">
        <v>345</v>
      </c>
      <c r="B108" s="2" t="s">
        <v>349</v>
      </c>
      <c r="C108" s="2" t="s">
        <v>350</v>
      </c>
      <c r="D108" s="2" t="s">
        <v>614</v>
      </c>
      <c r="E108" s="2" t="s">
        <v>76</v>
      </c>
      <c r="F108" s="3">
        <v>46203</v>
      </c>
      <c r="G108" s="7">
        <v>-26</v>
      </c>
      <c r="H108" s="3">
        <v>46263</v>
      </c>
      <c r="I108" s="5">
        <v>190849.2</v>
      </c>
      <c r="J108" s="2" t="s">
        <v>69</v>
      </c>
      <c r="K108" s="2" t="s">
        <v>591</v>
      </c>
      <c r="L108" s="19">
        <f t="shared" si="15"/>
        <v>46263</v>
      </c>
      <c r="M108" s="20">
        <f t="shared" ca="1" si="19"/>
        <v>-26</v>
      </c>
      <c r="N108" s="19">
        <v>46263</v>
      </c>
      <c r="O108" s="19">
        <f t="shared" si="18"/>
        <v>46263</v>
      </c>
      <c r="P108" s="11">
        <f t="shared" si="16"/>
        <v>190849.2</v>
      </c>
      <c r="Q108" s="20">
        <f t="shared" ca="1" si="17"/>
        <v>34</v>
      </c>
      <c r="R108" t="s">
        <v>604</v>
      </c>
    </row>
    <row r="109" spans="1:18" x14ac:dyDescent="0.3">
      <c r="A109" s="2" t="s">
        <v>352</v>
      </c>
      <c r="B109" s="2" t="s">
        <v>353</v>
      </c>
      <c r="C109" s="2" t="s">
        <v>354</v>
      </c>
      <c r="D109" s="2" t="s">
        <v>355</v>
      </c>
      <c r="E109" s="2" t="s">
        <v>14</v>
      </c>
      <c r="F109" s="3">
        <v>45964</v>
      </c>
      <c r="G109" s="4">
        <v>266</v>
      </c>
      <c r="H109" s="3">
        <v>45971</v>
      </c>
      <c r="I109" s="5">
        <v>1403.26</v>
      </c>
      <c r="J109" s="2" t="s">
        <v>15</v>
      </c>
      <c r="K109" s="2" t="s">
        <v>587</v>
      </c>
      <c r="N109" s="19"/>
      <c r="O109" s="19">
        <f>H109</f>
        <v>45971</v>
      </c>
      <c r="P109" s="8">
        <f>I109/3.4</f>
        <v>412.72352941176473</v>
      </c>
    </row>
    <row r="110" spans="1:18" x14ac:dyDescent="0.3">
      <c r="A110" s="2" t="s">
        <v>352</v>
      </c>
      <c r="B110" s="2" t="s">
        <v>356</v>
      </c>
      <c r="C110" s="2" t="s">
        <v>357</v>
      </c>
      <c r="D110" s="2" t="s">
        <v>358</v>
      </c>
      <c r="E110" s="2" t="s">
        <v>14</v>
      </c>
      <c r="F110" s="3">
        <v>45964</v>
      </c>
      <c r="G110" s="4">
        <v>266</v>
      </c>
      <c r="H110" s="3">
        <v>45971</v>
      </c>
      <c r="I110" s="5">
        <v>141.6</v>
      </c>
      <c r="J110" s="2" t="s">
        <v>15</v>
      </c>
      <c r="K110" s="2" t="s">
        <v>587</v>
      </c>
      <c r="N110" s="19"/>
      <c r="O110" s="19">
        <f t="shared" ref="O110:O141" si="20">H110</f>
        <v>45971</v>
      </c>
      <c r="P110" s="8">
        <f t="shared" ref="P110:P136" si="21">I110/3.4</f>
        <v>41.647058823529413</v>
      </c>
    </row>
    <row r="111" spans="1:18" x14ac:dyDescent="0.3">
      <c r="A111" s="2" t="s">
        <v>352</v>
      </c>
      <c r="B111" s="2" t="s">
        <v>359</v>
      </c>
      <c r="C111" s="2" t="s">
        <v>360</v>
      </c>
      <c r="D111" s="2" t="s">
        <v>361</v>
      </c>
      <c r="E111" s="2" t="s">
        <v>14</v>
      </c>
      <c r="F111" s="3">
        <v>45967</v>
      </c>
      <c r="G111" s="4">
        <v>263</v>
      </c>
      <c r="H111" s="3">
        <v>45974</v>
      </c>
      <c r="I111" s="5">
        <v>1193.22</v>
      </c>
      <c r="J111" s="2" t="s">
        <v>15</v>
      </c>
      <c r="K111" s="2" t="s">
        <v>587</v>
      </c>
      <c r="N111" s="19"/>
      <c r="O111" s="19">
        <f t="shared" si="20"/>
        <v>45974</v>
      </c>
      <c r="P111" s="8">
        <f t="shared" si="21"/>
        <v>350.9470588235294</v>
      </c>
    </row>
    <row r="112" spans="1:18" x14ac:dyDescent="0.3">
      <c r="A112" s="2" t="s">
        <v>352</v>
      </c>
      <c r="B112" s="2" t="s">
        <v>362</v>
      </c>
      <c r="C112" s="2" t="s">
        <v>363</v>
      </c>
      <c r="D112" s="2" t="s">
        <v>364</v>
      </c>
      <c r="E112" s="2" t="s">
        <v>14</v>
      </c>
      <c r="F112" s="3">
        <v>45967</v>
      </c>
      <c r="G112" s="4">
        <v>263</v>
      </c>
      <c r="H112" s="3">
        <v>45974</v>
      </c>
      <c r="I112" s="5">
        <v>106.2</v>
      </c>
      <c r="J112" s="2" t="s">
        <v>15</v>
      </c>
      <c r="K112" s="2" t="s">
        <v>587</v>
      </c>
      <c r="N112" s="19"/>
      <c r="O112" s="19">
        <f t="shared" si="20"/>
        <v>45974</v>
      </c>
      <c r="P112" s="8">
        <f t="shared" si="21"/>
        <v>31.235294117647062</v>
      </c>
    </row>
    <row r="113" spans="1:16" x14ac:dyDescent="0.3">
      <c r="A113" s="2" t="s">
        <v>352</v>
      </c>
      <c r="B113" s="2" t="s">
        <v>365</v>
      </c>
      <c r="C113" s="2" t="s">
        <v>366</v>
      </c>
      <c r="D113" s="2" t="s">
        <v>367</v>
      </c>
      <c r="E113" s="2" t="s">
        <v>14</v>
      </c>
      <c r="F113" s="3">
        <v>46148</v>
      </c>
      <c r="G113" s="4">
        <v>82</v>
      </c>
      <c r="H113" s="3">
        <v>46155</v>
      </c>
      <c r="I113" s="5">
        <v>23.6</v>
      </c>
      <c r="J113" s="2" t="s">
        <v>15</v>
      </c>
      <c r="K113" s="2" t="s">
        <v>587</v>
      </c>
      <c r="N113" s="19"/>
      <c r="O113" s="19">
        <f t="shared" si="20"/>
        <v>46155</v>
      </c>
      <c r="P113" s="8">
        <f t="shared" si="21"/>
        <v>6.9411764705882355</v>
      </c>
    </row>
    <row r="114" spans="1:16" x14ac:dyDescent="0.3">
      <c r="A114" s="2" t="s">
        <v>352</v>
      </c>
      <c r="B114" s="2" t="s">
        <v>368</v>
      </c>
      <c r="C114" s="2" t="s">
        <v>369</v>
      </c>
      <c r="D114" s="2" t="s">
        <v>370</v>
      </c>
      <c r="E114" s="2" t="s">
        <v>14</v>
      </c>
      <c r="F114" s="3">
        <v>46148</v>
      </c>
      <c r="G114" s="4">
        <v>82</v>
      </c>
      <c r="H114" s="3">
        <v>46155</v>
      </c>
      <c r="I114" s="5">
        <v>261.49</v>
      </c>
      <c r="J114" s="2" t="s">
        <v>15</v>
      </c>
      <c r="K114" s="2" t="s">
        <v>587</v>
      </c>
      <c r="N114" s="19"/>
      <c r="O114" s="19">
        <f t="shared" si="20"/>
        <v>46155</v>
      </c>
      <c r="P114" s="8">
        <f t="shared" si="21"/>
        <v>76.908823529411762</v>
      </c>
    </row>
    <row r="115" spans="1:16" x14ac:dyDescent="0.3">
      <c r="A115" s="2" t="s">
        <v>352</v>
      </c>
      <c r="B115" s="2" t="s">
        <v>371</v>
      </c>
      <c r="C115" s="2" t="s">
        <v>372</v>
      </c>
      <c r="D115" s="2" t="s">
        <v>373</v>
      </c>
      <c r="E115" s="2" t="s">
        <v>14</v>
      </c>
      <c r="F115" s="3">
        <v>46148</v>
      </c>
      <c r="G115" s="4">
        <v>82</v>
      </c>
      <c r="H115" s="3">
        <v>46155</v>
      </c>
      <c r="I115" s="5">
        <v>387.51</v>
      </c>
      <c r="J115" s="2" t="s">
        <v>15</v>
      </c>
      <c r="K115" s="2" t="s">
        <v>587</v>
      </c>
      <c r="N115" s="19"/>
      <c r="O115" s="19">
        <f t="shared" si="20"/>
        <v>46155</v>
      </c>
      <c r="P115" s="8">
        <f t="shared" si="21"/>
        <v>113.9735294117647</v>
      </c>
    </row>
    <row r="116" spans="1:16" x14ac:dyDescent="0.3">
      <c r="A116" s="2" t="s">
        <v>352</v>
      </c>
      <c r="B116" s="2" t="s">
        <v>374</v>
      </c>
      <c r="C116" s="2" t="s">
        <v>375</v>
      </c>
      <c r="D116" s="2" t="s">
        <v>376</v>
      </c>
      <c r="E116" s="2" t="s">
        <v>14</v>
      </c>
      <c r="F116" s="3">
        <v>46148</v>
      </c>
      <c r="G116" s="4">
        <v>82</v>
      </c>
      <c r="H116" s="3">
        <v>46155</v>
      </c>
      <c r="I116" s="5">
        <v>35.4</v>
      </c>
      <c r="J116" s="2" t="s">
        <v>15</v>
      </c>
      <c r="K116" s="2" t="s">
        <v>587</v>
      </c>
      <c r="N116" s="19"/>
      <c r="O116" s="19">
        <f t="shared" si="20"/>
        <v>46155</v>
      </c>
      <c r="P116" s="8">
        <f t="shared" si="21"/>
        <v>10.411764705882353</v>
      </c>
    </row>
    <row r="117" spans="1:16" x14ac:dyDescent="0.3">
      <c r="A117" s="2" t="s">
        <v>352</v>
      </c>
      <c r="B117" s="2" t="s">
        <v>377</v>
      </c>
      <c r="C117" s="2" t="s">
        <v>378</v>
      </c>
      <c r="D117" s="2" t="s">
        <v>379</v>
      </c>
      <c r="E117" s="2" t="s">
        <v>14</v>
      </c>
      <c r="F117" s="3">
        <v>46154</v>
      </c>
      <c r="G117" s="4">
        <v>76</v>
      </c>
      <c r="H117" s="3">
        <v>46161</v>
      </c>
      <c r="I117" s="5">
        <v>482.86</v>
      </c>
      <c r="J117" s="2" t="s">
        <v>15</v>
      </c>
      <c r="K117" s="2" t="s">
        <v>587</v>
      </c>
      <c r="N117" s="19"/>
      <c r="O117" s="19">
        <f t="shared" si="20"/>
        <v>46161</v>
      </c>
      <c r="P117" s="8">
        <f t="shared" si="21"/>
        <v>142.01764705882354</v>
      </c>
    </row>
    <row r="118" spans="1:16" x14ac:dyDescent="0.3">
      <c r="A118" s="2" t="s">
        <v>352</v>
      </c>
      <c r="B118" s="2" t="s">
        <v>380</v>
      </c>
      <c r="C118" s="2" t="s">
        <v>381</v>
      </c>
      <c r="D118" s="2" t="s">
        <v>382</v>
      </c>
      <c r="E118" s="2" t="s">
        <v>14</v>
      </c>
      <c r="F118" s="3">
        <v>46154</v>
      </c>
      <c r="G118" s="4">
        <v>76</v>
      </c>
      <c r="H118" s="3">
        <v>46161</v>
      </c>
      <c r="I118" s="5">
        <v>47.2</v>
      </c>
      <c r="J118" s="2" t="s">
        <v>15</v>
      </c>
      <c r="K118" s="2" t="s">
        <v>587</v>
      </c>
      <c r="N118" s="19"/>
      <c r="O118" s="19">
        <f t="shared" si="20"/>
        <v>46161</v>
      </c>
      <c r="P118" s="8">
        <f t="shared" si="21"/>
        <v>13.882352941176471</v>
      </c>
    </row>
    <row r="119" spans="1:16" x14ac:dyDescent="0.3">
      <c r="A119" s="2" t="s">
        <v>352</v>
      </c>
      <c r="B119" s="2" t="s">
        <v>383</v>
      </c>
      <c r="C119" s="2" t="s">
        <v>384</v>
      </c>
      <c r="D119" s="2" t="s">
        <v>385</v>
      </c>
      <c r="E119" s="2" t="s">
        <v>14</v>
      </c>
      <c r="F119" s="3">
        <v>46158</v>
      </c>
      <c r="G119" s="4">
        <v>72</v>
      </c>
      <c r="H119" s="3">
        <v>46165</v>
      </c>
      <c r="I119" s="5">
        <v>544.45000000000005</v>
      </c>
      <c r="J119" s="2" t="s">
        <v>15</v>
      </c>
      <c r="K119" s="2" t="s">
        <v>587</v>
      </c>
      <c r="N119" s="19"/>
      <c r="O119" s="19">
        <f t="shared" si="20"/>
        <v>46165</v>
      </c>
      <c r="P119" s="8">
        <f t="shared" si="21"/>
        <v>160.13235294117649</v>
      </c>
    </row>
    <row r="120" spans="1:16" x14ac:dyDescent="0.3">
      <c r="A120" s="2" t="s">
        <v>352</v>
      </c>
      <c r="B120" s="2" t="s">
        <v>386</v>
      </c>
      <c r="C120" s="2" t="s">
        <v>387</v>
      </c>
      <c r="D120" s="2" t="s">
        <v>388</v>
      </c>
      <c r="E120" s="2" t="s">
        <v>14</v>
      </c>
      <c r="F120" s="3">
        <v>46158</v>
      </c>
      <c r="G120" s="4">
        <v>72</v>
      </c>
      <c r="H120" s="3">
        <v>46165</v>
      </c>
      <c r="I120" s="5">
        <v>47.2</v>
      </c>
      <c r="J120" s="2" t="s">
        <v>15</v>
      </c>
      <c r="K120" s="2" t="s">
        <v>587</v>
      </c>
      <c r="N120" s="19"/>
      <c r="O120" s="19">
        <f t="shared" si="20"/>
        <v>46165</v>
      </c>
      <c r="P120" s="8">
        <f t="shared" si="21"/>
        <v>13.882352941176471</v>
      </c>
    </row>
    <row r="121" spans="1:16" x14ac:dyDescent="0.3">
      <c r="A121" s="2" t="s">
        <v>352</v>
      </c>
      <c r="B121" s="2" t="s">
        <v>389</v>
      </c>
      <c r="C121" s="2" t="s">
        <v>390</v>
      </c>
      <c r="D121" s="2" t="s">
        <v>391</v>
      </c>
      <c r="E121" s="2" t="s">
        <v>14</v>
      </c>
      <c r="F121" s="3">
        <v>46169</v>
      </c>
      <c r="G121" s="4">
        <v>61</v>
      </c>
      <c r="H121" s="3">
        <v>46176</v>
      </c>
      <c r="I121" s="5">
        <v>591.65</v>
      </c>
      <c r="J121" s="2" t="s">
        <v>15</v>
      </c>
      <c r="K121" s="2" t="s">
        <v>587</v>
      </c>
      <c r="N121" s="19"/>
      <c r="O121" s="19">
        <f t="shared" si="20"/>
        <v>46176</v>
      </c>
      <c r="P121" s="8">
        <f t="shared" si="21"/>
        <v>174.01470588235293</v>
      </c>
    </row>
    <row r="122" spans="1:16" x14ac:dyDescent="0.3">
      <c r="A122" s="2" t="s">
        <v>352</v>
      </c>
      <c r="B122" s="2" t="s">
        <v>392</v>
      </c>
      <c r="C122" s="2" t="s">
        <v>393</v>
      </c>
      <c r="D122" s="2" t="s">
        <v>394</v>
      </c>
      <c r="E122" s="2" t="s">
        <v>14</v>
      </c>
      <c r="F122" s="3">
        <v>46169</v>
      </c>
      <c r="G122" s="4">
        <v>61</v>
      </c>
      <c r="H122" s="3">
        <v>46176</v>
      </c>
      <c r="I122" s="5">
        <v>70.8</v>
      </c>
      <c r="J122" s="2" t="s">
        <v>15</v>
      </c>
      <c r="K122" s="2" t="s">
        <v>587</v>
      </c>
      <c r="N122" s="19"/>
      <c r="O122" s="19">
        <f t="shared" si="20"/>
        <v>46176</v>
      </c>
      <c r="P122" s="8">
        <f t="shared" si="21"/>
        <v>20.823529411764707</v>
      </c>
    </row>
    <row r="123" spans="1:16" x14ac:dyDescent="0.3">
      <c r="A123" s="2" t="s">
        <v>352</v>
      </c>
      <c r="B123" s="2" t="s">
        <v>395</v>
      </c>
      <c r="C123" s="2" t="s">
        <v>396</v>
      </c>
      <c r="D123" s="2" t="s">
        <v>397</v>
      </c>
      <c r="E123" s="2" t="s">
        <v>14</v>
      </c>
      <c r="F123" s="3">
        <v>46175</v>
      </c>
      <c r="G123" s="4">
        <v>55</v>
      </c>
      <c r="H123" s="3">
        <v>46182</v>
      </c>
      <c r="I123" s="5">
        <v>185.97</v>
      </c>
      <c r="J123" s="2" t="s">
        <v>15</v>
      </c>
      <c r="K123" s="2" t="s">
        <v>587</v>
      </c>
      <c r="N123" s="19"/>
      <c r="O123" s="19">
        <f t="shared" si="20"/>
        <v>46182</v>
      </c>
      <c r="P123" s="8">
        <f t="shared" si="21"/>
        <v>54.69705882352941</v>
      </c>
    </row>
    <row r="124" spans="1:16" x14ac:dyDescent="0.3">
      <c r="A124" s="2" t="s">
        <v>352</v>
      </c>
      <c r="B124" s="2" t="s">
        <v>398</v>
      </c>
      <c r="C124" s="2" t="s">
        <v>399</v>
      </c>
      <c r="D124" s="2" t="s">
        <v>400</v>
      </c>
      <c r="E124" s="2" t="s">
        <v>14</v>
      </c>
      <c r="F124" s="3">
        <v>46175</v>
      </c>
      <c r="G124" s="4">
        <v>55</v>
      </c>
      <c r="H124" s="3">
        <v>46182</v>
      </c>
      <c r="I124" s="5">
        <v>23.6</v>
      </c>
      <c r="J124" s="2" t="s">
        <v>15</v>
      </c>
      <c r="K124" s="2" t="s">
        <v>587</v>
      </c>
      <c r="N124" s="19"/>
      <c r="O124" s="19">
        <f t="shared" si="20"/>
        <v>46182</v>
      </c>
      <c r="P124" s="8">
        <f t="shared" si="21"/>
        <v>6.9411764705882355</v>
      </c>
    </row>
    <row r="125" spans="1:16" x14ac:dyDescent="0.3">
      <c r="A125" s="2" t="s">
        <v>352</v>
      </c>
      <c r="B125" s="2" t="s">
        <v>401</v>
      </c>
      <c r="C125" s="2" t="s">
        <v>402</v>
      </c>
      <c r="D125" s="2" t="s">
        <v>403</v>
      </c>
      <c r="E125" s="2" t="s">
        <v>14</v>
      </c>
      <c r="F125" s="3">
        <v>46186</v>
      </c>
      <c r="G125" s="4">
        <v>44</v>
      </c>
      <c r="H125" s="3">
        <v>46193</v>
      </c>
      <c r="I125" s="5">
        <v>535.25</v>
      </c>
      <c r="J125" s="2" t="s">
        <v>15</v>
      </c>
      <c r="K125" s="2" t="s">
        <v>587</v>
      </c>
      <c r="N125" s="19"/>
      <c r="O125" s="19">
        <f t="shared" si="20"/>
        <v>46193</v>
      </c>
      <c r="P125" s="8">
        <f t="shared" si="21"/>
        <v>157.4264705882353</v>
      </c>
    </row>
    <row r="126" spans="1:16" x14ac:dyDescent="0.3">
      <c r="A126" s="2" t="s">
        <v>352</v>
      </c>
      <c r="B126" s="2" t="s">
        <v>404</v>
      </c>
      <c r="C126" s="2" t="s">
        <v>405</v>
      </c>
      <c r="D126" s="2" t="s">
        <v>406</v>
      </c>
      <c r="E126" s="2" t="s">
        <v>14</v>
      </c>
      <c r="F126" s="3">
        <v>46186</v>
      </c>
      <c r="G126" s="4">
        <v>44</v>
      </c>
      <c r="H126" s="3">
        <v>46193</v>
      </c>
      <c r="I126" s="5">
        <v>70.8</v>
      </c>
      <c r="J126" s="2" t="s">
        <v>15</v>
      </c>
      <c r="K126" s="2" t="s">
        <v>587</v>
      </c>
      <c r="N126" s="19"/>
      <c r="O126" s="19">
        <f t="shared" si="20"/>
        <v>46193</v>
      </c>
      <c r="P126" s="8">
        <f t="shared" si="21"/>
        <v>20.823529411764707</v>
      </c>
    </row>
    <row r="127" spans="1:16" x14ac:dyDescent="0.3">
      <c r="A127" s="2" t="s">
        <v>352</v>
      </c>
      <c r="B127" s="2" t="s">
        <v>407</v>
      </c>
      <c r="C127" s="2" t="s">
        <v>408</v>
      </c>
      <c r="D127" s="2" t="s">
        <v>409</v>
      </c>
      <c r="E127" s="2" t="s">
        <v>14</v>
      </c>
      <c r="F127" s="3">
        <v>46206</v>
      </c>
      <c r="G127" s="4">
        <v>24</v>
      </c>
      <c r="H127" s="3">
        <v>46213</v>
      </c>
      <c r="I127" s="5">
        <v>449.11</v>
      </c>
      <c r="J127" s="2" t="s">
        <v>15</v>
      </c>
      <c r="K127" s="2" t="s">
        <v>587</v>
      </c>
      <c r="N127" s="19"/>
      <c r="O127" s="19">
        <f t="shared" si="20"/>
        <v>46213</v>
      </c>
      <c r="P127" s="8">
        <f t="shared" si="21"/>
        <v>132.09117647058824</v>
      </c>
    </row>
    <row r="128" spans="1:16" x14ac:dyDescent="0.3">
      <c r="A128" s="2" t="s">
        <v>352</v>
      </c>
      <c r="B128" s="2" t="s">
        <v>410</v>
      </c>
      <c r="C128" s="2" t="s">
        <v>411</v>
      </c>
      <c r="D128" s="2" t="s">
        <v>412</v>
      </c>
      <c r="E128" s="2" t="s">
        <v>14</v>
      </c>
      <c r="F128" s="3">
        <v>46206</v>
      </c>
      <c r="G128" s="4">
        <v>24</v>
      </c>
      <c r="H128" s="3">
        <v>46213</v>
      </c>
      <c r="I128" s="5">
        <v>35.4</v>
      </c>
      <c r="J128" s="2" t="s">
        <v>15</v>
      </c>
      <c r="K128" s="2" t="s">
        <v>587</v>
      </c>
      <c r="N128" s="19"/>
      <c r="O128" s="19">
        <f t="shared" si="20"/>
        <v>46213</v>
      </c>
      <c r="P128" s="8">
        <f t="shared" si="21"/>
        <v>10.411764705882353</v>
      </c>
    </row>
    <row r="129" spans="1:18" x14ac:dyDescent="0.3">
      <c r="A129" s="2" t="s">
        <v>352</v>
      </c>
      <c r="B129" s="2" t="s">
        <v>413</v>
      </c>
      <c r="C129" s="2" t="s">
        <v>414</v>
      </c>
      <c r="D129" s="2" t="s">
        <v>415</v>
      </c>
      <c r="E129" s="2" t="s">
        <v>14</v>
      </c>
      <c r="F129" s="3">
        <v>46220</v>
      </c>
      <c r="G129" s="4">
        <v>10</v>
      </c>
      <c r="H129" s="3">
        <v>46227</v>
      </c>
      <c r="I129" s="5">
        <v>355.65</v>
      </c>
      <c r="J129" s="2" t="s">
        <v>15</v>
      </c>
      <c r="K129" s="2" t="s">
        <v>587</v>
      </c>
      <c r="N129" s="19"/>
      <c r="O129" s="19">
        <f t="shared" si="20"/>
        <v>46227</v>
      </c>
      <c r="P129" s="8">
        <f t="shared" si="21"/>
        <v>104.60294117647058</v>
      </c>
    </row>
    <row r="130" spans="1:18" x14ac:dyDescent="0.3">
      <c r="A130" s="2" t="s">
        <v>352</v>
      </c>
      <c r="B130" s="2" t="s">
        <v>416</v>
      </c>
      <c r="C130" s="2" t="s">
        <v>417</v>
      </c>
      <c r="D130" s="2" t="s">
        <v>418</v>
      </c>
      <c r="E130" s="2" t="s">
        <v>14</v>
      </c>
      <c r="F130" s="3">
        <v>46220</v>
      </c>
      <c r="G130" s="4">
        <v>10</v>
      </c>
      <c r="H130" s="3">
        <v>46227</v>
      </c>
      <c r="I130" s="5">
        <v>47.2</v>
      </c>
      <c r="J130" s="2" t="s">
        <v>15</v>
      </c>
      <c r="K130" s="2" t="s">
        <v>587</v>
      </c>
      <c r="N130" s="19"/>
      <c r="O130" s="19">
        <f t="shared" si="20"/>
        <v>46227</v>
      </c>
      <c r="P130" s="8">
        <f t="shared" si="21"/>
        <v>13.882352941176471</v>
      </c>
    </row>
    <row r="131" spans="1:18" x14ac:dyDescent="0.3">
      <c r="A131" s="2" t="s">
        <v>419</v>
      </c>
      <c r="B131" s="2" t="s">
        <v>420</v>
      </c>
      <c r="C131" s="2" t="s">
        <v>421</v>
      </c>
      <c r="D131" s="2" t="s">
        <v>422</v>
      </c>
      <c r="E131" s="2" t="s">
        <v>14</v>
      </c>
      <c r="F131" s="3">
        <v>46140</v>
      </c>
      <c r="G131" s="4">
        <v>97</v>
      </c>
      <c r="H131" s="3">
        <v>46140</v>
      </c>
      <c r="I131" s="5">
        <v>716.71</v>
      </c>
      <c r="J131" s="2" t="s">
        <v>15</v>
      </c>
      <c r="K131" s="2" t="s">
        <v>586</v>
      </c>
      <c r="N131" s="19"/>
      <c r="O131" s="19">
        <f t="shared" si="20"/>
        <v>46140</v>
      </c>
      <c r="P131" s="8">
        <f t="shared" si="21"/>
        <v>210.79705882352943</v>
      </c>
    </row>
    <row r="132" spans="1:18" x14ac:dyDescent="0.3">
      <c r="A132" s="2" t="s">
        <v>419</v>
      </c>
      <c r="B132" s="2" t="s">
        <v>423</v>
      </c>
      <c r="C132" s="2" t="s">
        <v>424</v>
      </c>
      <c r="D132" s="2" t="s">
        <v>425</v>
      </c>
      <c r="E132" s="2" t="s">
        <v>14</v>
      </c>
      <c r="F132" s="3">
        <v>46140</v>
      </c>
      <c r="G132" s="4">
        <v>97</v>
      </c>
      <c r="H132" s="3">
        <v>46140</v>
      </c>
      <c r="I132" s="5">
        <v>129.80000000000001</v>
      </c>
      <c r="J132" s="2" t="s">
        <v>15</v>
      </c>
      <c r="K132" s="2" t="s">
        <v>586</v>
      </c>
      <c r="N132" s="19"/>
      <c r="O132" s="19">
        <f t="shared" si="20"/>
        <v>46140</v>
      </c>
      <c r="P132" s="8">
        <f t="shared" si="21"/>
        <v>38.176470588235297</v>
      </c>
    </row>
    <row r="133" spans="1:18" x14ac:dyDescent="0.3">
      <c r="A133" s="2" t="s">
        <v>419</v>
      </c>
      <c r="B133" s="2" t="s">
        <v>426</v>
      </c>
      <c r="C133" s="2" t="s">
        <v>427</v>
      </c>
      <c r="D133" s="2" t="s">
        <v>428</v>
      </c>
      <c r="E133" s="2" t="s">
        <v>64</v>
      </c>
      <c r="F133" s="3">
        <v>46140</v>
      </c>
      <c r="G133" s="4">
        <v>97</v>
      </c>
      <c r="H133" s="3">
        <v>46140</v>
      </c>
      <c r="I133" s="5">
        <v>422.56</v>
      </c>
      <c r="J133" s="2" t="s">
        <v>15</v>
      </c>
      <c r="K133" s="2" t="s">
        <v>586</v>
      </c>
      <c r="N133" s="19"/>
      <c r="O133" s="19">
        <f t="shared" si="20"/>
        <v>46140</v>
      </c>
      <c r="P133" s="8">
        <f t="shared" si="21"/>
        <v>124.28235294117647</v>
      </c>
    </row>
    <row r="134" spans="1:18" x14ac:dyDescent="0.3">
      <c r="A134" s="2" t="s">
        <v>419</v>
      </c>
      <c r="B134" s="2" t="s">
        <v>429</v>
      </c>
      <c r="C134" s="2" t="s">
        <v>430</v>
      </c>
      <c r="D134" s="2" t="s">
        <v>431</v>
      </c>
      <c r="E134" s="2" t="s">
        <v>14</v>
      </c>
      <c r="F134" s="3">
        <v>46154</v>
      </c>
      <c r="G134" s="4">
        <v>83</v>
      </c>
      <c r="H134" s="3">
        <v>46154</v>
      </c>
      <c r="I134" s="5">
        <v>404.98</v>
      </c>
      <c r="J134" s="2" t="s">
        <v>15</v>
      </c>
      <c r="K134" s="2" t="s">
        <v>586</v>
      </c>
      <c r="N134" s="19"/>
      <c r="O134" s="19">
        <f t="shared" si="20"/>
        <v>46154</v>
      </c>
      <c r="P134" s="8">
        <f t="shared" si="21"/>
        <v>119.11176470588236</v>
      </c>
    </row>
    <row r="135" spans="1:18" x14ac:dyDescent="0.3">
      <c r="A135" s="2" t="s">
        <v>419</v>
      </c>
      <c r="B135" s="2" t="s">
        <v>432</v>
      </c>
      <c r="C135" s="2" t="s">
        <v>433</v>
      </c>
      <c r="D135" s="2" t="s">
        <v>434</v>
      </c>
      <c r="E135" s="2" t="s">
        <v>14</v>
      </c>
      <c r="F135" s="3">
        <v>46154</v>
      </c>
      <c r="G135" s="4">
        <v>83</v>
      </c>
      <c r="H135" s="3">
        <v>46154</v>
      </c>
      <c r="I135" s="5">
        <v>59</v>
      </c>
      <c r="J135" s="2" t="s">
        <v>15</v>
      </c>
      <c r="K135" s="2" t="s">
        <v>586</v>
      </c>
      <c r="N135" s="19"/>
      <c r="O135" s="19">
        <f t="shared" si="20"/>
        <v>46154</v>
      </c>
      <c r="P135" s="8">
        <f t="shared" si="21"/>
        <v>17.352941176470587</v>
      </c>
    </row>
    <row r="136" spans="1:18" x14ac:dyDescent="0.3">
      <c r="A136" s="2" t="s">
        <v>419</v>
      </c>
      <c r="B136" s="2" t="s">
        <v>435</v>
      </c>
      <c r="C136" s="2" t="s">
        <v>436</v>
      </c>
      <c r="D136" s="2" t="s">
        <v>437</v>
      </c>
      <c r="E136" s="2" t="s">
        <v>64</v>
      </c>
      <c r="F136" s="3">
        <v>46218</v>
      </c>
      <c r="G136" s="4">
        <v>19</v>
      </c>
      <c r="H136" s="3">
        <v>46218</v>
      </c>
      <c r="I136" s="5">
        <v>23.6</v>
      </c>
      <c r="J136" s="2" t="s">
        <v>15</v>
      </c>
      <c r="K136" s="2" t="s">
        <v>586</v>
      </c>
      <c r="N136" s="19"/>
      <c r="O136" s="19">
        <f t="shared" si="20"/>
        <v>46218</v>
      </c>
      <c r="P136" s="8">
        <f t="shared" si="21"/>
        <v>6.9411764705882355</v>
      </c>
    </row>
    <row r="137" spans="1:18" x14ac:dyDescent="0.3">
      <c r="A137" s="2" t="s">
        <v>438</v>
      </c>
      <c r="B137" s="2" t="s">
        <v>439</v>
      </c>
      <c r="C137" s="2" t="s">
        <v>440</v>
      </c>
      <c r="D137" s="2" t="s">
        <v>441</v>
      </c>
      <c r="E137" s="2" t="s">
        <v>64</v>
      </c>
      <c r="F137" s="3">
        <v>46171</v>
      </c>
      <c r="G137" s="4">
        <v>66</v>
      </c>
      <c r="H137" s="3">
        <v>46171</v>
      </c>
      <c r="I137" s="5">
        <v>67008</v>
      </c>
      <c r="J137" s="2" t="s">
        <v>69</v>
      </c>
      <c r="K137" s="2" t="s">
        <v>591</v>
      </c>
      <c r="L137" s="19">
        <f t="shared" ref="L137:L141" si="22">F137+60</f>
        <v>46231</v>
      </c>
      <c r="M137" s="20">
        <f t="shared" ref="M137:M141" ca="1" si="23">TODAY()-N137</f>
        <v>2</v>
      </c>
      <c r="N137" s="19">
        <v>46235</v>
      </c>
      <c r="O137" s="19">
        <v>46249</v>
      </c>
      <c r="P137" s="11">
        <f t="shared" ref="P137:P141" si="24">I137</f>
        <v>67008</v>
      </c>
      <c r="Q137" s="20">
        <f t="shared" ref="Q137:Q141" ca="1" si="25">TODAY()-F137</f>
        <v>66</v>
      </c>
      <c r="R137" t="s">
        <v>606</v>
      </c>
    </row>
    <row r="138" spans="1:18" x14ac:dyDescent="0.3">
      <c r="A138" s="2" t="s">
        <v>442</v>
      </c>
      <c r="B138" s="2" t="s">
        <v>443</v>
      </c>
      <c r="C138" s="2" t="s">
        <v>444</v>
      </c>
      <c r="D138" s="2" t="s">
        <v>445</v>
      </c>
      <c r="E138" s="2" t="s">
        <v>64</v>
      </c>
      <c r="F138" s="3">
        <v>46139</v>
      </c>
      <c r="G138" s="4">
        <v>98</v>
      </c>
      <c r="H138" s="3">
        <v>46139</v>
      </c>
      <c r="I138" s="5">
        <v>10284</v>
      </c>
      <c r="J138" s="2" t="s">
        <v>69</v>
      </c>
      <c r="K138" s="2" t="s">
        <v>591</v>
      </c>
      <c r="L138" s="19">
        <f t="shared" si="22"/>
        <v>46199</v>
      </c>
      <c r="M138" s="20">
        <f t="shared" ca="1" si="23"/>
        <v>3</v>
      </c>
      <c r="N138" s="19">
        <v>46234</v>
      </c>
      <c r="O138" s="19">
        <v>46310</v>
      </c>
      <c r="P138" s="11">
        <f t="shared" si="24"/>
        <v>10284</v>
      </c>
      <c r="Q138" s="20">
        <f t="shared" ca="1" si="25"/>
        <v>98</v>
      </c>
      <c r="R138" t="s">
        <v>607</v>
      </c>
    </row>
    <row r="139" spans="1:18" x14ac:dyDescent="0.3">
      <c r="A139" s="2" t="s">
        <v>442</v>
      </c>
      <c r="B139" s="2" t="s">
        <v>446</v>
      </c>
      <c r="C139" s="2" t="s">
        <v>447</v>
      </c>
      <c r="D139" s="2" t="s">
        <v>448</v>
      </c>
      <c r="E139" s="2" t="s">
        <v>76</v>
      </c>
      <c r="F139" s="3">
        <v>46220</v>
      </c>
      <c r="G139" s="7">
        <v>-43</v>
      </c>
      <c r="H139" s="3">
        <v>46280</v>
      </c>
      <c r="I139" s="5">
        <v>74100</v>
      </c>
      <c r="J139" s="2" t="s">
        <v>69</v>
      </c>
      <c r="K139" s="2" t="s">
        <v>591</v>
      </c>
      <c r="L139" s="19">
        <f t="shared" si="22"/>
        <v>46280</v>
      </c>
      <c r="M139" s="20"/>
      <c r="N139" s="19"/>
      <c r="O139" s="19">
        <f t="shared" si="20"/>
        <v>46280</v>
      </c>
      <c r="P139" s="11">
        <f t="shared" si="24"/>
        <v>74100</v>
      </c>
      <c r="Q139" s="20">
        <f t="shared" ca="1" si="25"/>
        <v>17</v>
      </c>
      <c r="R139" t="s">
        <v>604</v>
      </c>
    </row>
    <row r="140" spans="1:18" x14ac:dyDescent="0.3">
      <c r="A140" s="2" t="s">
        <v>449</v>
      </c>
      <c r="B140" s="2" t="s">
        <v>450</v>
      </c>
      <c r="C140" s="2" t="s">
        <v>451</v>
      </c>
      <c r="D140" s="2" t="s">
        <v>452</v>
      </c>
      <c r="E140" s="2" t="s">
        <v>112</v>
      </c>
      <c r="F140" s="3">
        <v>46178</v>
      </c>
      <c r="G140" s="4">
        <v>0</v>
      </c>
      <c r="H140" s="3">
        <v>46203</v>
      </c>
      <c r="I140" s="6">
        <v>-13728</v>
      </c>
      <c r="J140" s="2" t="s">
        <v>69</v>
      </c>
      <c r="K140" s="2" t="s">
        <v>591</v>
      </c>
      <c r="L140" s="19">
        <f t="shared" si="22"/>
        <v>46238</v>
      </c>
      <c r="M140" s="20"/>
      <c r="N140" s="19"/>
      <c r="O140" s="19">
        <f>F140</f>
        <v>46178</v>
      </c>
      <c r="P140" s="11">
        <f t="shared" si="24"/>
        <v>-13728</v>
      </c>
      <c r="Q140" s="20">
        <f t="shared" ca="1" si="25"/>
        <v>59</v>
      </c>
      <c r="R140" t="s">
        <v>605</v>
      </c>
    </row>
    <row r="141" spans="1:18" x14ac:dyDescent="0.3">
      <c r="A141" s="2" t="s">
        <v>449</v>
      </c>
      <c r="B141" s="2" t="s">
        <v>453</v>
      </c>
      <c r="C141" s="2" t="s">
        <v>454</v>
      </c>
      <c r="D141" s="2" t="s">
        <v>455</v>
      </c>
      <c r="E141" s="2" t="s">
        <v>76</v>
      </c>
      <c r="F141" s="3">
        <v>46216</v>
      </c>
      <c r="G141" s="7">
        <v>-39</v>
      </c>
      <c r="H141" s="3">
        <v>46276</v>
      </c>
      <c r="I141" s="5">
        <v>68340</v>
      </c>
      <c r="J141" s="2" t="s">
        <v>69</v>
      </c>
      <c r="K141" s="2" t="s">
        <v>591</v>
      </c>
      <c r="L141" s="19">
        <f t="shared" si="22"/>
        <v>46276</v>
      </c>
      <c r="M141" s="20">
        <f t="shared" ca="1" si="23"/>
        <v>-39</v>
      </c>
      <c r="N141" s="19">
        <v>46276</v>
      </c>
      <c r="O141" s="19">
        <f t="shared" si="20"/>
        <v>46276</v>
      </c>
      <c r="P141" s="11">
        <f t="shared" si="24"/>
        <v>68340</v>
      </c>
      <c r="Q141" s="20">
        <f t="shared" ca="1" si="25"/>
        <v>21</v>
      </c>
      <c r="R141" t="s">
        <v>604</v>
      </c>
    </row>
    <row r="142" spans="1:18" x14ac:dyDescent="0.3">
      <c r="A142" s="2" t="s">
        <v>456</v>
      </c>
      <c r="B142" s="2" t="s">
        <v>457</v>
      </c>
      <c r="C142" s="2" t="s">
        <v>458</v>
      </c>
      <c r="D142" s="2" t="s">
        <v>459</v>
      </c>
      <c r="E142" s="2" t="s">
        <v>64</v>
      </c>
      <c r="F142" s="3">
        <v>45951</v>
      </c>
      <c r="G142" s="4">
        <v>286</v>
      </c>
      <c r="H142" s="3">
        <v>45951</v>
      </c>
      <c r="I142" s="5">
        <v>4460</v>
      </c>
      <c r="J142" s="2" t="s">
        <v>15</v>
      </c>
      <c r="K142" s="2" t="s">
        <v>588</v>
      </c>
      <c r="N142" s="19"/>
      <c r="O142" s="19">
        <f>H142</f>
        <v>45951</v>
      </c>
      <c r="P142" s="8">
        <f>I142/3.4</f>
        <v>1311.7647058823529</v>
      </c>
    </row>
    <row r="143" spans="1:18" x14ac:dyDescent="0.3">
      <c r="A143" s="2" t="s">
        <v>456</v>
      </c>
      <c r="B143" s="2" t="s">
        <v>460</v>
      </c>
      <c r="C143" s="2" t="s">
        <v>461</v>
      </c>
      <c r="D143" s="2" t="s">
        <v>462</v>
      </c>
      <c r="E143" s="2" t="s">
        <v>14</v>
      </c>
      <c r="F143" s="3">
        <v>45965</v>
      </c>
      <c r="G143" s="4">
        <v>265</v>
      </c>
      <c r="H143" s="3">
        <v>45972</v>
      </c>
      <c r="I143" s="5">
        <v>7097.98</v>
      </c>
      <c r="J143" s="2" t="s">
        <v>15</v>
      </c>
      <c r="K143" s="2" t="s">
        <v>588</v>
      </c>
      <c r="N143" s="19"/>
      <c r="O143" s="19">
        <f t="shared" ref="O143:O145" si="26">H143</f>
        <v>45972</v>
      </c>
      <c r="P143" s="8">
        <f t="shared" ref="P143:P145" si="27">I143/3.4</f>
        <v>2087.6411764705881</v>
      </c>
    </row>
    <row r="144" spans="1:18" x14ac:dyDescent="0.3">
      <c r="A144" s="2" t="s">
        <v>456</v>
      </c>
      <c r="B144" s="2" t="s">
        <v>463</v>
      </c>
      <c r="C144" s="2" t="s">
        <v>464</v>
      </c>
      <c r="D144" s="2" t="s">
        <v>465</v>
      </c>
      <c r="E144" s="2" t="s">
        <v>14</v>
      </c>
      <c r="F144" s="3">
        <v>46053</v>
      </c>
      <c r="G144" s="4">
        <v>177</v>
      </c>
      <c r="H144" s="3">
        <v>46060</v>
      </c>
      <c r="I144" s="5">
        <v>4003.46</v>
      </c>
      <c r="J144" s="2" t="s">
        <v>15</v>
      </c>
      <c r="K144" s="2" t="s">
        <v>588</v>
      </c>
      <c r="N144" s="19"/>
      <c r="O144" s="19">
        <f t="shared" si="26"/>
        <v>46060</v>
      </c>
      <c r="P144" s="8">
        <f t="shared" si="27"/>
        <v>1177.4882352941177</v>
      </c>
    </row>
    <row r="145" spans="1:18" x14ac:dyDescent="0.3">
      <c r="A145" s="2" t="s">
        <v>456</v>
      </c>
      <c r="B145" s="2" t="s">
        <v>466</v>
      </c>
      <c r="C145" s="2" t="s">
        <v>467</v>
      </c>
      <c r="D145" s="2" t="s">
        <v>468</v>
      </c>
      <c r="E145" s="2" t="s">
        <v>14</v>
      </c>
      <c r="F145" s="3">
        <v>46084</v>
      </c>
      <c r="G145" s="4">
        <v>146</v>
      </c>
      <c r="H145" s="3">
        <v>46091</v>
      </c>
      <c r="I145" s="5">
        <v>4956</v>
      </c>
      <c r="J145" s="2" t="s">
        <v>15</v>
      </c>
      <c r="K145" s="2" t="s">
        <v>588</v>
      </c>
      <c r="N145" s="19"/>
      <c r="O145" s="19">
        <f t="shared" si="26"/>
        <v>46091</v>
      </c>
      <c r="P145" s="8">
        <f t="shared" si="27"/>
        <v>1457.6470588235295</v>
      </c>
    </row>
    <row r="146" spans="1:18" x14ac:dyDescent="0.3">
      <c r="A146" s="2" t="s">
        <v>469</v>
      </c>
      <c r="B146" s="2" t="s">
        <v>470</v>
      </c>
      <c r="C146" s="2" t="s">
        <v>471</v>
      </c>
      <c r="D146" s="2" t="s">
        <v>472</v>
      </c>
      <c r="E146" s="2" t="s">
        <v>112</v>
      </c>
      <c r="F146" s="3">
        <v>46175</v>
      </c>
      <c r="G146" s="4">
        <v>0</v>
      </c>
      <c r="H146" s="3">
        <v>46203</v>
      </c>
      <c r="I146" s="6">
        <v>-6470</v>
      </c>
      <c r="J146" s="2" t="s">
        <v>69</v>
      </c>
      <c r="K146" s="2" t="s">
        <v>591</v>
      </c>
      <c r="L146" s="19">
        <f t="shared" ref="L146:L147" si="28">F146+60</f>
        <v>46235</v>
      </c>
      <c r="M146" s="20"/>
      <c r="N146" s="19"/>
      <c r="O146" s="19">
        <f>F146</f>
        <v>46175</v>
      </c>
      <c r="P146" s="11">
        <f t="shared" ref="P146:P147" si="29">I146</f>
        <v>-6470</v>
      </c>
      <c r="Q146" s="20">
        <f t="shared" ref="Q146:Q147" ca="1" si="30">TODAY()-F146</f>
        <v>62</v>
      </c>
      <c r="R146" t="s">
        <v>606</v>
      </c>
    </row>
    <row r="147" spans="1:18" x14ac:dyDescent="0.3">
      <c r="A147" s="2" t="s">
        <v>469</v>
      </c>
      <c r="B147" s="2" t="s">
        <v>473</v>
      </c>
      <c r="C147" s="2" t="s">
        <v>474</v>
      </c>
      <c r="D147" s="2" t="s">
        <v>475</v>
      </c>
      <c r="E147" s="2" t="s">
        <v>76</v>
      </c>
      <c r="F147" s="3">
        <v>46186</v>
      </c>
      <c r="G147" s="4">
        <v>6</v>
      </c>
      <c r="H147" s="3">
        <v>46231</v>
      </c>
      <c r="I147" s="5">
        <v>29250</v>
      </c>
      <c r="J147" s="2" t="s">
        <v>69</v>
      </c>
      <c r="K147" s="2" t="s">
        <v>591</v>
      </c>
      <c r="L147" s="19">
        <f t="shared" si="28"/>
        <v>46246</v>
      </c>
      <c r="M147" s="20">
        <f t="shared" ref="M147" ca="1" si="31">TODAY()-N147</f>
        <v>-9</v>
      </c>
      <c r="N147" s="19">
        <v>46246</v>
      </c>
      <c r="O147" s="19">
        <v>46246</v>
      </c>
      <c r="P147" s="11">
        <f t="shared" si="29"/>
        <v>29250</v>
      </c>
      <c r="Q147" s="20">
        <f t="shared" ca="1" si="30"/>
        <v>51</v>
      </c>
      <c r="R147" t="s">
        <v>605</v>
      </c>
    </row>
    <row r="148" spans="1:18" x14ac:dyDescent="0.3">
      <c r="A148" s="2" t="s">
        <v>476</v>
      </c>
      <c r="B148" s="2" t="s">
        <v>477</v>
      </c>
      <c r="C148" s="2" t="s">
        <v>478</v>
      </c>
      <c r="D148" s="2" t="s">
        <v>479</v>
      </c>
      <c r="E148" s="2" t="s">
        <v>14</v>
      </c>
      <c r="F148" s="3">
        <v>45937</v>
      </c>
      <c r="G148" s="4">
        <v>293</v>
      </c>
      <c r="H148" s="3">
        <v>45944</v>
      </c>
      <c r="I148" s="5">
        <v>790</v>
      </c>
      <c r="J148" s="2" t="s">
        <v>15</v>
      </c>
      <c r="K148" s="2" t="s">
        <v>589</v>
      </c>
      <c r="N148" s="19"/>
      <c r="O148" s="19">
        <f>H148</f>
        <v>45944</v>
      </c>
      <c r="P148" s="8">
        <f>I148/3.4</f>
        <v>232.35294117647061</v>
      </c>
    </row>
    <row r="149" spans="1:18" x14ac:dyDescent="0.3">
      <c r="A149" s="2" t="s">
        <v>480</v>
      </c>
      <c r="B149" s="2" t="s">
        <v>481</v>
      </c>
      <c r="C149" s="2" t="s">
        <v>482</v>
      </c>
      <c r="D149" s="2" t="s">
        <v>483</v>
      </c>
      <c r="E149" s="2" t="s">
        <v>14</v>
      </c>
      <c r="F149" s="3">
        <v>46222</v>
      </c>
      <c r="G149" s="4">
        <v>8</v>
      </c>
      <c r="H149" s="3">
        <v>46229</v>
      </c>
      <c r="I149" s="5">
        <v>2152.3200000000002</v>
      </c>
      <c r="J149" s="2" t="s">
        <v>15</v>
      </c>
      <c r="K149" s="2" t="s">
        <v>586</v>
      </c>
      <c r="N149" s="19"/>
      <c r="O149" s="19">
        <f t="shared" ref="O149:O150" si="32">H149</f>
        <v>46229</v>
      </c>
      <c r="P149" s="8">
        <f t="shared" ref="P149:P150" si="33">I149/3.4</f>
        <v>633.03529411764714</v>
      </c>
    </row>
    <row r="150" spans="1:18" x14ac:dyDescent="0.3">
      <c r="A150" s="2" t="s">
        <v>480</v>
      </c>
      <c r="B150" s="2" t="s">
        <v>484</v>
      </c>
      <c r="C150" s="2" t="s">
        <v>485</v>
      </c>
      <c r="D150" s="2" t="s">
        <v>486</v>
      </c>
      <c r="E150" s="2" t="s">
        <v>14</v>
      </c>
      <c r="F150" s="3">
        <v>46223</v>
      </c>
      <c r="G150" s="4">
        <v>7</v>
      </c>
      <c r="H150" s="3">
        <v>46230</v>
      </c>
      <c r="I150" s="5">
        <v>1699.2</v>
      </c>
      <c r="J150" s="2" t="s">
        <v>15</v>
      </c>
      <c r="K150" s="2" t="s">
        <v>586</v>
      </c>
      <c r="N150" s="19"/>
      <c r="O150" s="19">
        <f t="shared" si="32"/>
        <v>46230</v>
      </c>
      <c r="P150" s="8">
        <f t="shared" si="33"/>
        <v>499.76470588235298</v>
      </c>
    </row>
    <row r="151" spans="1:18" x14ac:dyDescent="0.3">
      <c r="A151" s="2" t="s">
        <v>480</v>
      </c>
      <c r="B151" s="2" t="s">
        <v>487</v>
      </c>
      <c r="C151" s="2" t="s">
        <v>488</v>
      </c>
      <c r="D151" s="2" t="s">
        <v>489</v>
      </c>
      <c r="E151" s="2" t="s">
        <v>14</v>
      </c>
      <c r="F151" s="3">
        <v>46234</v>
      </c>
      <c r="G151" s="4">
        <v>0</v>
      </c>
      <c r="H151" s="3">
        <v>46237</v>
      </c>
      <c r="I151" s="5">
        <v>46259.3</v>
      </c>
      <c r="J151" s="2" t="s">
        <v>15</v>
      </c>
      <c r="K151" s="2" t="s">
        <v>590</v>
      </c>
      <c r="N151" s="19"/>
      <c r="O151" s="19">
        <f>H151</f>
        <v>46237</v>
      </c>
      <c r="P151" s="8">
        <f>I151/3.4</f>
        <v>13605.676470588236</v>
      </c>
    </row>
    <row r="152" spans="1:18" x14ac:dyDescent="0.3">
      <c r="A152" s="2" t="s">
        <v>480</v>
      </c>
      <c r="B152" s="2" t="s">
        <v>490</v>
      </c>
      <c r="C152" s="2" t="s">
        <v>491</v>
      </c>
      <c r="D152" s="2" t="s">
        <v>492</v>
      </c>
      <c r="E152" s="2" t="s">
        <v>14</v>
      </c>
      <c r="F152" s="3">
        <v>46234</v>
      </c>
      <c r="G152" s="4">
        <v>0</v>
      </c>
      <c r="H152" s="3">
        <v>46237</v>
      </c>
      <c r="I152" s="5">
        <v>51735.68</v>
      </c>
      <c r="J152" s="2" t="s">
        <v>15</v>
      </c>
      <c r="K152" s="2" t="s">
        <v>590</v>
      </c>
      <c r="N152" s="19"/>
      <c r="O152" s="19">
        <f>H152</f>
        <v>46237</v>
      </c>
      <c r="P152" s="8">
        <f>I152/3.4</f>
        <v>15216.376470588235</v>
      </c>
    </row>
    <row r="153" spans="1:18" x14ac:dyDescent="0.3">
      <c r="A153" s="2" t="s">
        <v>493</v>
      </c>
      <c r="B153" s="2" t="s">
        <v>494</v>
      </c>
      <c r="C153" s="2" t="s">
        <v>495</v>
      </c>
      <c r="D153" s="2" t="s">
        <v>496</v>
      </c>
      <c r="E153" s="2" t="s">
        <v>112</v>
      </c>
      <c r="F153" s="3">
        <v>46211</v>
      </c>
      <c r="G153" s="4">
        <v>0</v>
      </c>
      <c r="H153" s="3">
        <v>46234</v>
      </c>
      <c r="I153" s="6">
        <v>-15970</v>
      </c>
      <c r="J153" s="2" t="s">
        <v>69</v>
      </c>
      <c r="K153" s="2" t="s">
        <v>591</v>
      </c>
      <c r="L153" s="19">
        <f t="shared" ref="L153:L156" si="34">F153+60</f>
        <v>46271</v>
      </c>
      <c r="M153" s="20"/>
      <c r="N153" s="19"/>
      <c r="O153" s="19">
        <f t="shared" ref="O153:O154" si="35">F153</f>
        <v>46211</v>
      </c>
      <c r="P153" s="11">
        <f t="shared" ref="P153:P156" si="36">I153</f>
        <v>-15970</v>
      </c>
      <c r="Q153" s="20">
        <f t="shared" ref="Q153:Q156" ca="1" si="37">TODAY()-F153</f>
        <v>26</v>
      </c>
      <c r="R153" t="s">
        <v>604</v>
      </c>
    </row>
    <row r="154" spans="1:18" x14ac:dyDescent="0.3">
      <c r="A154" s="2" t="s">
        <v>493</v>
      </c>
      <c r="B154" s="2" t="s">
        <v>497</v>
      </c>
      <c r="C154" s="2" t="s">
        <v>498</v>
      </c>
      <c r="D154" s="2" t="s">
        <v>499</v>
      </c>
      <c r="E154" s="2" t="s">
        <v>112</v>
      </c>
      <c r="F154" s="3">
        <v>46219</v>
      </c>
      <c r="G154" s="4">
        <v>0</v>
      </c>
      <c r="H154" s="3">
        <v>46234</v>
      </c>
      <c r="I154" s="6">
        <v>-16150</v>
      </c>
      <c r="J154" s="2" t="s">
        <v>69</v>
      </c>
      <c r="K154" s="2" t="s">
        <v>591</v>
      </c>
      <c r="L154" s="19">
        <f t="shared" si="34"/>
        <v>46279</v>
      </c>
      <c r="M154" s="20"/>
      <c r="N154" s="19"/>
      <c r="O154" s="19">
        <f t="shared" si="35"/>
        <v>46219</v>
      </c>
      <c r="P154" s="11">
        <f t="shared" si="36"/>
        <v>-16150</v>
      </c>
      <c r="Q154" s="20">
        <f t="shared" ca="1" si="37"/>
        <v>18</v>
      </c>
      <c r="R154" t="s">
        <v>604</v>
      </c>
    </row>
    <row r="155" spans="1:18" x14ac:dyDescent="0.3">
      <c r="A155" s="2" t="s">
        <v>493</v>
      </c>
      <c r="B155" s="2" t="s">
        <v>500</v>
      </c>
      <c r="C155" s="2" t="s">
        <v>501</v>
      </c>
      <c r="D155" s="2" t="s">
        <v>502</v>
      </c>
      <c r="E155" s="2" t="s">
        <v>76</v>
      </c>
      <c r="F155" s="3">
        <v>46230</v>
      </c>
      <c r="G155" s="7">
        <v>-113</v>
      </c>
      <c r="H155" s="3">
        <v>46350</v>
      </c>
      <c r="I155" s="5">
        <v>80610</v>
      </c>
      <c r="J155" s="2" t="s">
        <v>69</v>
      </c>
      <c r="K155" s="2" t="s">
        <v>591</v>
      </c>
      <c r="L155" s="19">
        <f t="shared" si="34"/>
        <v>46290</v>
      </c>
      <c r="M155" s="20"/>
      <c r="N155" s="19"/>
      <c r="O155" s="19">
        <v>46290</v>
      </c>
      <c r="P155" s="11">
        <f t="shared" si="36"/>
        <v>80610</v>
      </c>
      <c r="Q155" s="20">
        <f t="shared" ca="1" si="37"/>
        <v>7</v>
      </c>
      <c r="R155" t="s">
        <v>604</v>
      </c>
    </row>
    <row r="156" spans="1:18" x14ac:dyDescent="0.3">
      <c r="A156" s="2" t="s">
        <v>493</v>
      </c>
      <c r="B156" s="2" t="s">
        <v>503</v>
      </c>
      <c r="C156" s="2" t="s">
        <v>504</v>
      </c>
      <c r="D156" s="2" t="s">
        <v>505</v>
      </c>
      <c r="E156" s="2" t="s">
        <v>76</v>
      </c>
      <c r="F156" s="3">
        <v>46232</v>
      </c>
      <c r="G156" s="7">
        <v>-55</v>
      </c>
      <c r="H156" s="3">
        <v>46292</v>
      </c>
      <c r="I156" s="5">
        <v>81000</v>
      </c>
      <c r="J156" s="2" t="s">
        <v>69</v>
      </c>
      <c r="K156" s="2" t="s">
        <v>591</v>
      </c>
      <c r="L156" s="19">
        <f t="shared" si="34"/>
        <v>46292</v>
      </c>
      <c r="M156" s="20"/>
      <c r="N156" s="19"/>
      <c r="O156" s="19">
        <f t="shared" ref="O156" si="38">H156</f>
        <v>46292</v>
      </c>
      <c r="P156" s="11">
        <f t="shared" si="36"/>
        <v>81000</v>
      </c>
      <c r="Q156" s="20">
        <f t="shared" ca="1" si="37"/>
        <v>5</v>
      </c>
      <c r="R156" t="s">
        <v>604</v>
      </c>
    </row>
    <row r="157" spans="1:18" x14ac:dyDescent="0.3">
      <c r="A157" s="2" t="s">
        <v>506</v>
      </c>
      <c r="B157" s="2" t="s">
        <v>507</v>
      </c>
      <c r="C157" s="2" t="s">
        <v>508</v>
      </c>
      <c r="D157" s="2" t="s">
        <v>509</v>
      </c>
      <c r="E157" s="2" t="s">
        <v>14</v>
      </c>
      <c r="F157" s="3">
        <v>46203</v>
      </c>
      <c r="G157" s="4">
        <v>27</v>
      </c>
      <c r="H157" s="3">
        <v>46210</v>
      </c>
      <c r="I157" s="5">
        <v>590</v>
      </c>
      <c r="J157" s="2" t="s">
        <v>15</v>
      </c>
      <c r="K157" s="2" t="s">
        <v>586</v>
      </c>
      <c r="N157" s="19"/>
      <c r="O157" s="19">
        <f t="shared" ref="O157:O164" si="39">H157</f>
        <v>46210</v>
      </c>
      <c r="P157" s="8">
        <f t="shared" ref="P157:P162" si="40">I157/3.4</f>
        <v>173.52941176470588</v>
      </c>
    </row>
    <row r="158" spans="1:18" x14ac:dyDescent="0.3">
      <c r="A158" s="2" t="s">
        <v>510</v>
      </c>
      <c r="B158" s="2" t="s">
        <v>511</v>
      </c>
      <c r="C158" s="2" t="s">
        <v>512</v>
      </c>
      <c r="D158" s="2" t="s">
        <v>513</v>
      </c>
      <c r="E158" s="2" t="s">
        <v>14</v>
      </c>
      <c r="F158" s="3">
        <v>46211</v>
      </c>
      <c r="G158" s="4">
        <v>19</v>
      </c>
      <c r="H158" s="3">
        <v>46218</v>
      </c>
      <c r="I158" s="5">
        <v>590</v>
      </c>
      <c r="J158" s="2" t="s">
        <v>15</v>
      </c>
      <c r="K158" s="2" t="s">
        <v>586</v>
      </c>
      <c r="N158" s="19"/>
      <c r="O158" s="19">
        <f t="shared" si="39"/>
        <v>46218</v>
      </c>
      <c r="P158" s="8">
        <f t="shared" si="40"/>
        <v>173.52941176470588</v>
      </c>
    </row>
    <row r="159" spans="1:18" x14ac:dyDescent="0.3">
      <c r="A159" s="2" t="s">
        <v>510</v>
      </c>
      <c r="B159" s="2" t="s">
        <v>514</v>
      </c>
      <c r="C159" s="2" t="s">
        <v>515</v>
      </c>
      <c r="D159" s="2" t="s">
        <v>516</v>
      </c>
      <c r="E159" s="2" t="s">
        <v>14</v>
      </c>
      <c r="F159" s="3">
        <v>46213</v>
      </c>
      <c r="G159" s="4">
        <v>17</v>
      </c>
      <c r="H159" s="3">
        <v>46220</v>
      </c>
      <c r="I159" s="5">
        <v>590</v>
      </c>
      <c r="J159" s="2" t="s">
        <v>15</v>
      </c>
      <c r="K159" s="2" t="s">
        <v>586</v>
      </c>
      <c r="N159" s="19"/>
      <c r="O159" s="19">
        <f t="shared" si="39"/>
        <v>46220</v>
      </c>
      <c r="P159" s="8">
        <f t="shared" si="40"/>
        <v>173.52941176470588</v>
      </c>
    </row>
    <row r="160" spans="1:18" x14ac:dyDescent="0.3">
      <c r="A160" s="2" t="s">
        <v>510</v>
      </c>
      <c r="B160" s="2" t="s">
        <v>517</v>
      </c>
      <c r="C160" s="2" t="s">
        <v>518</v>
      </c>
      <c r="D160" s="2" t="s">
        <v>519</v>
      </c>
      <c r="E160" s="2" t="s">
        <v>14</v>
      </c>
      <c r="F160" s="3">
        <v>46216</v>
      </c>
      <c r="G160" s="4">
        <v>14</v>
      </c>
      <c r="H160" s="3">
        <v>46223</v>
      </c>
      <c r="I160" s="5">
        <v>590</v>
      </c>
      <c r="J160" s="2" t="s">
        <v>15</v>
      </c>
      <c r="K160" s="2" t="s">
        <v>586</v>
      </c>
      <c r="N160" s="19"/>
      <c r="O160" s="19">
        <f t="shared" si="39"/>
        <v>46223</v>
      </c>
      <c r="P160" s="8">
        <f t="shared" si="40"/>
        <v>173.52941176470588</v>
      </c>
    </row>
    <row r="161" spans="1:18" x14ac:dyDescent="0.3">
      <c r="A161" s="2" t="s">
        <v>510</v>
      </c>
      <c r="B161" s="2" t="s">
        <v>520</v>
      </c>
      <c r="C161" s="2" t="s">
        <v>521</v>
      </c>
      <c r="D161" s="2" t="s">
        <v>522</v>
      </c>
      <c r="E161" s="2" t="s">
        <v>14</v>
      </c>
      <c r="F161" s="3">
        <v>46219</v>
      </c>
      <c r="G161" s="4">
        <v>11</v>
      </c>
      <c r="H161" s="3">
        <v>46226</v>
      </c>
      <c r="I161" s="5">
        <v>590</v>
      </c>
      <c r="J161" s="2" t="s">
        <v>15</v>
      </c>
      <c r="K161" s="2" t="s">
        <v>586</v>
      </c>
      <c r="N161" s="19"/>
      <c r="O161" s="19">
        <f t="shared" si="39"/>
        <v>46226</v>
      </c>
      <c r="P161" s="8">
        <f t="shared" si="40"/>
        <v>173.52941176470588</v>
      </c>
    </row>
    <row r="162" spans="1:18" x14ac:dyDescent="0.3">
      <c r="A162" s="2" t="s">
        <v>510</v>
      </c>
      <c r="B162" s="2" t="s">
        <v>523</v>
      </c>
      <c r="C162" s="2" t="s">
        <v>524</v>
      </c>
      <c r="D162" s="2" t="s">
        <v>525</v>
      </c>
      <c r="E162" s="2" t="s">
        <v>14</v>
      </c>
      <c r="F162" s="3">
        <v>46221</v>
      </c>
      <c r="G162" s="4">
        <v>9</v>
      </c>
      <c r="H162" s="3">
        <v>46228</v>
      </c>
      <c r="I162" s="5">
        <v>590</v>
      </c>
      <c r="J162" s="2" t="s">
        <v>15</v>
      </c>
      <c r="K162" s="2" t="s">
        <v>586</v>
      </c>
      <c r="N162" s="19"/>
      <c r="O162" s="19">
        <f t="shared" si="39"/>
        <v>46228</v>
      </c>
      <c r="P162" s="8">
        <f t="shared" si="40"/>
        <v>173.52941176470588</v>
      </c>
    </row>
    <row r="163" spans="1:18" x14ac:dyDescent="0.3">
      <c r="A163" s="2" t="s">
        <v>526</v>
      </c>
      <c r="B163" s="2" t="s">
        <v>527</v>
      </c>
      <c r="C163" s="2" t="s">
        <v>528</v>
      </c>
      <c r="D163" s="2" t="s">
        <v>529</v>
      </c>
      <c r="E163" s="2" t="s">
        <v>112</v>
      </c>
      <c r="F163" s="3">
        <v>46216</v>
      </c>
      <c r="G163" s="4">
        <v>0</v>
      </c>
      <c r="H163" s="3">
        <v>46234</v>
      </c>
      <c r="I163" s="6">
        <v>-24925</v>
      </c>
      <c r="J163" s="2" t="s">
        <v>69</v>
      </c>
      <c r="K163" s="2" t="s">
        <v>591</v>
      </c>
      <c r="L163" s="19">
        <f t="shared" ref="L163:L166" si="41">F163+60</f>
        <v>46276</v>
      </c>
      <c r="M163" s="20"/>
      <c r="N163" s="19"/>
      <c r="O163" s="19">
        <f>F163</f>
        <v>46216</v>
      </c>
      <c r="P163" s="11">
        <f t="shared" ref="P163:P166" si="42">I163</f>
        <v>-24925</v>
      </c>
      <c r="Q163" s="20">
        <f t="shared" ref="Q163:Q166" ca="1" si="43">TODAY()-F163</f>
        <v>21</v>
      </c>
      <c r="R163" t="s">
        <v>604</v>
      </c>
    </row>
    <row r="164" spans="1:18" x14ac:dyDescent="0.3">
      <c r="A164" s="2" t="s">
        <v>526</v>
      </c>
      <c r="B164" s="2" t="s">
        <v>530</v>
      </c>
      <c r="C164" s="2" t="s">
        <v>531</v>
      </c>
      <c r="D164" s="2" t="s">
        <v>532</v>
      </c>
      <c r="E164" s="2" t="s">
        <v>76</v>
      </c>
      <c r="F164" s="3">
        <v>46232</v>
      </c>
      <c r="G164" s="7">
        <v>-55</v>
      </c>
      <c r="H164" s="3">
        <v>46292</v>
      </c>
      <c r="I164" s="5">
        <v>96292.5</v>
      </c>
      <c r="J164" s="2" t="s">
        <v>69</v>
      </c>
      <c r="K164" s="2" t="s">
        <v>591</v>
      </c>
      <c r="L164" s="19">
        <f t="shared" si="41"/>
        <v>46292</v>
      </c>
      <c r="M164" s="20"/>
      <c r="N164" s="19"/>
      <c r="O164" s="19">
        <f t="shared" si="39"/>
        <v>46292</v>
      </c>
      <c r="P164" s="11">
        <f t="shared" si="42"/>
        <v>96292.5</v>
      </c>
      <c r="Q164" s="20">
        <f t="shared" ca="1" si="43"/>
        <v>5</v>
      </c>
      <c r="R164" t="s">
        <v>604</v>
      </c>
    </row>
    <row r="165" spans="1:18" x14ac:dyDescent="0.3">
      <c r="A165" s="2" t="s">
        <v>533</v>
      </c>
      <c r="B165" s="2" t="s">
        <v>534</v>
      </c>
      <c r="C165" s="2" t="s">
        <v>535</v>
      </c>
      <c r="D165" s="2" t="s">
        <v>536</v>
      </c>
      <c r="E165" s="2" t="s">
        <v>64</v>
      </c>
      <c r="F165" s="3">
        <v>46194</v>
      </c>
      <c r="G165" s="4">
        <v>43</v>
      </c>
      <c r="H165" s="3">
        <v>46194</v>
      </c>
      <c r="I165" s="5">
        <v>47690</v>
      </c>
      <c r="J165" s="2" t="s">
        <v>69</v>
      </c>
      <c r="K165" s="2" t="s">
        <v>591</v>
      </c>
      <c r="L165" s="19">
        <f t="shared" si="41"/>
        <v>46254</v>
      </c>
      <c r="M165" s="20">
        <f t="shared" ref="M165" ca="1" si="44">TODAY()-N165</f>
        <v>-17</v>
      </c>
      <c r="N165" s="19">
        <v>46254</v>
      </c>
      <c r="O165" s="19">
        <v>46254</v>
      </c>
      <c r="P165" s="11">
        <f t="shared" si="42"/>
        <v>47690</v>
      </c>
      <c r="Q165" s="20">
        <f t="shared" ca="1" si="43"/>
        <v>43</v>
      </c>
      <c r="R165" t="s">
        <v>604</v>
      </c>
    </row>
    <row r="166" spans="1:18" x14ac:dyDescent="0.3">
      <c r="A166" s="2" t="s">
        <v>533</v>
      </c>
      <c r="B166" s="2" t="s">
        <v>537</v>
      </c>
      <c r="C166" s="2" t="s">
        <v>538</v>
      </c>
      <c r="D166" s="2" t="s">
        <v>539</v>
      </c>
      <c r="E166" s="2" t="s">
        <v>112</v>
      </c>
      <c r="F166" s="3">
        <v>46224</v>
      </c>
      <c r="G166" s="4">
        <v>0</v>
      </c>
      <c r="H166" s="3">
        <v>46234</v>
      </c>
      <c r="I166" s="6">
        <v>-9650</v>
      </c>
      <c r="J166" s="2" t="s">
        <v>69</v>
      </c>
      <c r="K166" s="2" t="s">
        <v>591</v>
      </c>
      <c r="L166" s="19">
        <f t="shared" si="41"/>
        <v>46284</v>
      </c>
      <c r="M166" s="20"/>
      <c r="N166" s="19"/>
      <c r="O166" s="19">
        <f>F166</f>
        <v>46224</v>
      </c>
      <c r="P166" s="11">
        <f t="shared" si="42"/>
        <v>-9650</v>
      </c>
      <c r="Q166" s="20">
        <f t="shared" ca="1" si="43"/>
        <v>13</v>
      </c>
      <c r="R166" t="s">
        <v>604</v>
      </c>
    </row>
    <row r="167" spans="1:18" x14ac:dyDescent="0.3">
      <c r="A167" s="2" t="s">
        <v>540</v>
      </c>
      <c r="B167" s="2" t="s">
        <v>541</v>
      </c>
      <c r="C167" s="2" t="s">
        <v>542</v>
      </c>
      <c r="D167" s="2" t="s">
        <v>543</v>
      </c>
      <c r="E167" s="2" t="s">
        <v>64</v>
      </c>
      <c r="F167" s="3">
        <v>46221</v>
      </c>
      <c r="G167" s="4">
        <v>16</v>
      </c>
      <c r="H167" s="3">
        <v>46221</v>
      </c>
      <c r="I167" s="5">
        <v>203.67</v>
      </c>
      <c r="J167" s="2" t="s">
        <v>15</v>
      </c>
      <c r="K167" s="2" t="s">
        <v>586</v>
      </c>
      <c r="N167" s="19"/>
      <c r="O167" s="19">
        <f t="shared" ref="O167:O179" si="45">H167</f>
        <v>46221</v>
      </c>
      <c r="P167" s="8">
        <f t="shared" ref="P167:P170" si="46">I167/3.4</f>
        <v>59.902941176470584</v>
      </c>
    </row>
    <row r="168" spans="1:18" x14ac:dyDescent="0.3">
      <c r="A168" s="2" t="s">
        <v>544</v>
      </c>
      <c r="B168" s="2" t="s">
        <v>545</v>
      </c>
      <c r="C168" s="2" t="s">
        <v>546</v>
      </c>
      <c r="D168" s="2" t="s">
        <v>547</v>
      </c>
      <c r="E168" s="2" t="s">
        <v>14</v>
      </c>
      <c r="F168" s="3">
        <v>46227</v>
      </c>
      <c r="G168" s="4">
        <v>3</v>
      </c>
      <c r="H168" s="3">
        <v>46234</v>
      </c>
      <c r="I168" s="5">
        <v>368.16</v>
      </c>
      <c r="J168" s="2" t="s">
        <v>15</v>
      </c>
      <c r="K168" s="2" t="s">
        <v>586</v>
      </c>
      <c r="N168" s="19"/>
      <c r="O168" s="19">
        <f t="shared" si="45"/>
        <v>46234</v>
      </c>
      <c r="P168" s="8">
        <f t="shared" si="46"/>
        <v>108.28235294117648</v>
      </c>
    </row>
    <row r="169" spans="1:18" x14ac:dyDescent="0.3">
      <c r="A169" s="2" t="s">
        <v>544</v>
      </c>
      <c r="B169" s="2" t="s">
        <v>548</v>
      </c>
      <c r="C169" s="2" t="s">
        <v>549</v>
      </c>
      <c r="D169" s="2" t="s">
        <v>550</v>
      </c>
      <c r="E169" s="2" t="s">
        <v>14</v>
      </c>
      <c r="F169" s="3">
        <v>46230</v>
      </c>
      <c r="G169" s="4">
        <v>0</v>
      </c>
      <c r="H169" s="3">
        <v>46237</v>
      </c>
      <c r="I169" s="5">
        <v>368.16</v>
      </c>
      <c r="J169" s="2" t="s">
        <v>15</v>
      </c>
      <c r="K169" s="2" t="s">
        <v>586</v>
      </c>
      <c r="N169" s="19"/>
      <c r="O169" s="19">
        <f t="shared" si="45"/>
        <v>46237</v>
      </c>
      <c r="P169" s="8">
        <f t="shared" si="46"/>
        <v>108.28235294117648</v>
      </c>
    </row>
    <row r="170" spans="1:18" x14ac:dyDescent="0.3">
      <c r="A170" s="2" t="s">
        <v>544</v>
      </c>
      <c r="B170" s="2" t="s">
        <v>551</v>
      </c>
      <c r="C170" s="2" t="s">
        <v>552</v>
      </c>
      <c r="D170" s="2" t="s">
        <v>553</v>
      </c>
      <c r="E170" s="2" t="s">
        <v>14</v>
      </c>
      <c r="F170" s="3">
        <v>46235</v>
      </c>
      <c r="G170" s="7">
        <v>-5</v>
      </c>
      <c r="H170" s="3">
        <v>46242</v>
      </c>
      <c r="I170" s="5">
        <v>368.16</v>
      </c>
      <c r="J170" s="2" t="s">
        <v>15</v>
      </c>
      <c r="K170" s="2" t="s">
        <v>586</v>
      </c>
      <c r="N170" s="19"/>
      <c r="O170" s="19">
        <f t="shared" si="45"/>
        <v>46242</v>
      </c>
      <c r="P170" s="8">
        <f t="shared" si="46"/>
        <v>108.28235294117648</v>
      </c>
    </row>
    <row r="171" spans="1:18" x14ac:dyDescent="0.3">
      <c r="A171" s="2" t="s">
        <v>554</v>
      </c>
      <c r="B171" s="2" t="s">
        <v>556</v>
      </c>
      <c r="C171" s="2" t="s">
        <v>557</v>
      </c>
      <c r="D171" s="2" t="s">
        <v>558</v>
      </c>
      <c r="E171" s="2" t="s">
        <v>76</v>
      </c>
      <c r="F171" s="3">
        <v>46231</v>
      </c>
      <c r="G171" s="7">
        <v>-54</v>
      </c>
      <c r="H171" s="3">
        <v>46291</v>
      </c>
      <c r="I171" s="5">
        <v>58500</v>
      </c>
      <c r="J171" s="2" t="s">
        <v>69</v>
      </c>
      <c r="K171" s="2" t="s">
        <v>591</v>
      </c>
      <c r="L171" s="19">
        <f t="shared" ref="L171:L179" si="47">F171+60</f>
        <v>46291</v>
      </c>
      <c r="M171" s="20"/>
      <c r="N171" s="19"/>
      <c r="O171" s="19">
        <f t="shared" si="45"/>
        <v>46291</v>
      </c>
      <c r="P171" s="11">
        <f t="shared" ref="P171:P179" si="48">I171</f>
        <v>58500</v>
      </c>
      <c r="Q171" s="20">
        <f t="shared" ref="Q171:Q179" ca="1" si="49">TODAY()-F171</f>
        <v>6</v>
      </c>
      <c r="R171" t="s">
        <v>604</v>
      </c>
    </row>
    <row r="172" spans="1:18" x14ac:dyDescent="0.3">
      <c r="A172" s="2" t="s">
        <v>554</v>
      </c>
      <c r="B172" s="2" t="s">
        <v>559</v>
      </c>
      <c r="C172" s="2" t="s">
        <v>560</v>
      </c>
      <c r="D172" s="2" t="s">
        <v>561</v>
      </c>
      <c r="E172" s="2" t="s">
        <v>76</v>
      </c>
      <c r="F172" s="3">
        <v>46231</v>
      </c>
      <c r="G172" s="7">
        <v>-54</v>
      </c>
      <c r="H172" s="3">
        <v>46291</v>
      </c>
      <c r="I172" s="5">
        <v>41500</v>
      </c>
      <c r="J172" s="2" t="s">
        <v>69</v>
      </c>
      <c r="K172" s="2" t="s">
        <v>591</v>
      </c>
      <c r="L172" s="19">
        <f t="shared" si="47"/>
        <v>46291</v>
      </c>
      <c r="M172" s="20"/>
      <c r="N172" s="19"/>
      <c r="O172" s="19">
        <f t="shared" si="45"/>
        <v>46291</v>
      </c>
      <c r="P172" s="11">
        <f t="shared" si="48"/>
        <v>41500</v>
      </c>
      <c r="Q172" s="20">
        <f t="shared" ca="1" si="49"/>
        <v>6</v>
      </c>
      <c r="R172" t="s">
        <v>604</v>
      </c>
    </row>
    <row r="173" spans="1:18" x14ac:dyDescent="0.3">
      <c r="A173" s="2" t="s">
        <v>554</v>
      </c>
      <c r="B173" s="2" t="s">
        <v>562</v>
      </c>
      <c r="C173" s="2" t="s">
        <v>563</v>
      </c>
      <c r="D173" s="2" t="s">
        <v>564</v>
      </c>
      <c r="E173" s="2" t="s">
        <v>76</v>
      </c>
      <c r="F173" s="3">
        <v>46231</v>
      </c>
      <c r="G173" s="7">
        <v>-54</v>
      </c>
      <c r="H173" s="3">
        <v>46291</v>
      </c>
      <c r="I173" s="5">
        <v>45000</v>
      </c>
      <c r="J173" s="2" t="s">
        <v>69</v>
      </c>
      <c r="K173" s="2" t="s">
        <v>591</v>
      </c>
      <c r="L173" s="19">
        <f t="shared" si="47"/>
        <v>46291</v>
      </c>
      <c r="M173" s="20"/>
      <c r="N173" s="19"/>
      <c r="O173" s="19">
        <f t="shared" si="45"/>
        <v>46291</v>
      </c>
      <c r="P173" s="11">
        <f t="shared" si="48"/>
        <v>45000</v>
      </c>
      <c r="Q173" s="20">
        <f t="shared" ca="1" si="49"/>
        <v>6</v>
      </c>
      <c r="R173" t="s">
        <v>604</v>
      </c>
    </row>
    <row r="174" spans="1:18" x14ac:dyDescent="0.3">
      <c r="A174" s="2" t="s">
        <v>565</v>
      </c>
      <c r="B174" s="2" t="s">
        <v>566</v>
      </c>
      <c r="C174" s="2" t="s">
        <v>567</v>
      </c>
      <c r="D174" s="2" t="s">
        <v>568</v>
      </c>
      <c r="E174" s="2" t="s">
        <v>64</v>
      </c>
      <c r="F174" s="3">
        <v>46192</v>
      </c>
      <c r="G174" s="4">
        <v>45</v>
      </c>
      <c r="H174" s="3">
        <v>46192</v>
      </c>
      <c r="I174" s="5">
        <v>57857</v>
      </c>
      <c r="J174" s="2" t="s">
        <v>69</v>
      </c>
      <c r="K174" s="2" t="s">
        <v>591</v>
      </c>
      <c r="L174" s="19">
        <f t="shared" si="47"/>
        <v>46252</v>
      </c>
      <c r="M174" s="20">
        <f t="shared" ref="M174" ca="1" si="50">TODAY()-N174</f>
        <v>-15</v>
      </c>
      <c r="N174" s="19">
        <v>46252</v>
      </c>
      <c r="O174" s="19">
        <v>46252</v>
      </c>
      <c r="P174" s="11">
        <f t="shared" si="48"/>
        <v>57857</v>
      </c>
      <c r="Q174" s="20">
        <f t="shared" ca="1" si="49"/>
        <v>45</v>
      </c>
      <c r="R174" t="s">
        <v>604</v>
      </c>
    </row>
    <row r="175" spans="1:18" x14ac:dyDescent="0.3">
      <c r="A175" s="2" t="s">
        <v>569</v>
      </c>
      <c r="B175" s="2" t="s">
        <v>570</v>
      </c>
      <c r="C175" s="2" t="s">
        <v>571</v>
      </c>
      <c r="D175" s="2" t="s">
        <v>572</v>
      </c>
      <c r="E175" s="2" t="s">
        <v>76</v>
      </c>
      <c r="F175" s="3">
        <v>46227</v>
      </c>
      <c r="G175" s="7">
        <v>-50</v>
      </c>
      <c r="H175" s="3">
        <v>46287</v>
      </c>
      <c r="I175" s="5">
        <v>432000</v>
      </c>
      <c r="J175" s="2" t="s">
        <v>69</v>
      </c>
      <c r="K175" s="2" t="s">
        <v>591</v>
      </c>
      <c r="L175" s="19">
        <f t="shared" si="47"/>
        <v>46287</v>
      </c>
      <c r="M175" s="20"/>
      <c r="N175" s="19"/>
      <c r="O175" s="19">
        <f t="shared" si="45"/>
        <v>46287</v>
      </c>
      <c r="P175" s="11">
        <f t="shared" si="48"/>
        <v>432000</v>
      </c>
      <c r="Q175" s="20">
        <f t="shared" ca="1" si="49"/>
        <v>10</v>
      </c>
      <c r="R175" t="s">
        <v>604</v>
      </c>
    </row>
    <row r="176" spans="1:18" x14ac:dyDescent="0.3">
      <c r="A176" s="2" t="s">
        <v>569</v>
      </c>
      <c r="B176" s="2" t="s">
        <v>573</v>
      </c>
      <c r="C176" s="2" t="s">
        <v>574</v>
      </c>
      <c r="D176" s="2" t="s">
        <v>575</v>
      </c>
      <c r="E176" s="2" t="s">
        <v>76</v>
      </c>
      <c r="F176" s="3">
        <v>46231</v>
      </c>
      <c r="G176" s="7">
        <v>-114</v>
      </c>
      <c r="H176" s="3">
        <v>46351</v>
      </c>
      <c r="I176" s="5">
        <v>405000</v>
      </c>
      <c r="J176" s="2" t="s">
        <v>69</v>
      </c>
      <c r="K176" s="2" t="s">
        <v>591</v>
      </c>
      <c r="L176" s="19">
        <f t="shared" si="47"/>
        <v>46291</v>
      </c>
      <c r="M176" s="20"/>
      <c r="N176" s="19"/>
      <c r="O176" s="19">
        <v>46291</v>
      </c>
      <c r="P176" s="11">
        <f t="shared" si="48"/>
        <v>405000</v>
      </c>
      <c r="Q176" s="20">
        <f t="shared" ca="1" si="49"/>
        <v>6</v>
      </c>
      <c r="R176" t="s">
        <v>604</v>
      </c>
    </row>
    <row r="177" spans="1:18" x14ac:dyDescent="0.3">
      <c r="A177" s="2" t="s">
        <v>569</v>
      </c>
      <c r="B177" s="2" t="s">
        <v>576</v>
      </c>
      <c r="C177" s="2" t="s">
        <v>577</v>
      </c>
      <c r="D177" s="2" t="s">
        <v>578</v>
      </c>
      <c r="E177" s="2" t="s">
        <v>76</v>
      </c>
      <c r="F177" s="3">
        <v>46231</v>
      </c>
      <c r="G177" s="7">
        <v>-114</v>
      </c>
      <c r="H177" s="3">
        <v>46351</v>
      </c>
      <c r="I177" s="5">
        <v>550800</v>
      </c>
      <c r="J177" s="2" t="s">
        <v>69</v>
      </c>
      <c r="K177" s="2" t="s">
        <v>591</v>
      </c>
      <c r="L177" s="19">
        <f t="shared" si="47"/>
        <v>46291</v>
      </c>
      <c r="M177" s="20"/>
      <c r="N177" s="19"/>
      <c r="O177" s="19">
        <v>46291</v>
      </c>
      <c r="P177" s="11">
        <f t="shared" si="48"/>
        <v>550800</v>
      </c>
      <c r="Q177" s="20">
        <f t="shared" ca="1" si="49"/>
        <v>6</v>
      </c>
      <c r="R177" t="s">
        <v>604</v>
      </c>
    </row>
    <row r="178" spans="1:18" x14ac:dyDescent="0.3">
      <c r="A178" s="2" t="s">
        <v>569</v>
      </c>
      <c r="B178" s="2" t="s">
        <v>579</v>
      </c>
      <c r="C178" s="2" t="s">
        <v>580</v>
      </c>
      <c r="D178" s="2" t="s">
        <v>581</v>
      </c>
      <c r="E178" s="2" t="s">
        <v>76</v>
      </c>
      <c r="F178" s="3">
        <v>46232</v>
      </c>
      <c r="G178" s="7">
        <v>-55</v>
      </c>
      <c r="H178" s="3">
        <v>46292</v>
      </c>
      <c r="I178" s="5">
        <v>245700</v>
      </c>
      <c r="J178" s="2" t="s">
        <v>69</v>
      </c>
      <c r="K178" s="2" t="s">
        <v>591</v>
      </c>
      <c r="L178" s="19">
        <f t="shared" si="47"/>
        <v>46292</v>
      </c>
      <c r="M178" s="20"/>
      <c r="N178" s="19"/>
      <c r="O178" s="19">
        <f t="shared" si="45"/>
        <v>46292</v>
      </c>
      <c r="P178" s="11">
        <f t="shared" si="48"/>
        <v>245700</v>
      </c>
      <c r="Q178" s="20">
        <f t="shared" ca="1" si="49"/>
        <v>5</v>
      </c>
      <c r="R178" t="s">
        <v>604</v>
      </c>
    </row>
    <row r="179" spans="1:18" x14ac:dyDescent="0.3">
      <c r="A179" s="2" t="s">
        <v>569</v>
      </c>
      <c r="B179" s="2" t="s">
        <v>582</v>
      </c>
      <c r="C179" s="2" t="s">
        <v>583</v>
      </c>
      <c r="D179" s="2" t="s">
        <v>584</v>
      </c>
      <c r="E179" s="2" t="s">
        <v>76</v>
      </c>
      <c r="F179" s="3">
        <v>46234</v>
      </c>
      <c r="G179" s="7">
        <v>-57</v>
      </c>
      <c r="H179" s="3">
        <v>46294</v>
      </c>
      <c r="I179" s="5">
        <v>547740</v>
      </c>
      <c r="J179" s="2" t="s">
        <v>69</v>
      </c>
      <c r="K179" s="2" t="s">
        <v>591</v>
      </c>
      <c r="L179" s="19">
        <f t="shared" si="47"/>
        <v>46294</v>
      </c>
      <c r="M179" s="20"/>
      <c r="N179" s="19"/>
      <c r="O179" s="19">
        <f t="shared" si="45"/>
        <v>46294</v>
      </c>
      <c r="P179" s="11">
        <f t="shared" si="48"/>
        <v>547740</v>
      </c>
      <c r="Q179" s="20">
        <f t="shared" ca="1" si="49"/>
        <v>3</v>
      </c>
      <c r="R179" t="s">
        <v>604</v>
      </c>
    </row>
  </sheetData>
  <autoFilter ref="A1:R17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2026-08-03T22:46:47Z</dcterms:created>
  <dcterms:modified xsi:type="dcterms:W3CDTF">2026-08-04T00:14:22Z</dcterms:modified>
  <cp:category/>
</cp:coreProperties>
</file>